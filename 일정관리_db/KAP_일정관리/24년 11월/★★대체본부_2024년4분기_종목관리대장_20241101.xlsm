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현재_통합_문서" defaultThemeVersion="164011"/>
  <mc:AlternateContent xmlns:mc="http://schemas.openxmlformats.org/markup-compatibility/2006">
    <mc:Choice Requires="x15">
      <x15ac:absPath xmlns:x15ac="http://schemas.microsoft.com/office/spreadsheetml/2010/11/ac" url="C:\Users\ysshin22\Desktop\"/>
    </mc:Choice>
  </mc:AlternateContent>
  <bookViews>
    <workbookView xWindow="0" yWindow="0" windowWidth="28800" windowHeight="12165"/>
  </bookViews>
  <sheets>
    <sheet name="종목관리대장" sheetId="1" r:id="rId1"/>
    <sheet name="분배율" sheetId="2" r:id="rId2"/>
    <sheet name="RM" sheetId="3" r:id="rId3"/>
    <sheet name="평가예정" sheetId="5" r:id="rId4"/>
    <sheet name="작성용" sheetId="6" r:id="rId5"/>
  </sheets>
  <definedNames>
    <definedName name="_xlnm._FilterDatabase" localSheetId="2" hidden="1">RM!$A$2:$G$1892</definedName>
    <definedName name="_xlnm._FilterDatabase" localSheetId="1" hidden="1">분배율!$C$7:$X$74</definedName>
    <definedName name="_xlnm._FilterDatabase" localSheetId="4" hidden="1">작성용!$A$1:$AL$1152</definedName>
    <definedName name="_xlnm._FilterDatabase" localSheetId="0" hidden="1">종목관리대장!$A$4:$AB$1155</definedName>
    <definedName name="_xlnm._FilterDatabase" localSheetId="3" hidden="1">평가예정!$A$1:$AL$381</definedName>
    <definedName name="_xlnm.Criteria" localSheetId="2">RM!#REF!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892" i="3" l="1"/>
  <c r="E1892" i="3"/>
  <c r="C1892" i="3"/>
  <c r="G1891" i="3"/>
  <c r="E1891" i="3"/>
  <c r="C1891" i="3"/>
  <c r="G1890" i="3"/>
  <c r="E1890" i="3"/>
  <c r="C1890" i="3"/>
  <c r="G1889" i="3"/>
  <c r="E1889" i="3"/>
  <c r="C1889" i="3"/>
  <c r="G1888" i="3"/>
  <c r="E1888" i="3"/>
  <c r="C1888" i="3"/>
  <c r="G1887" i="3"/>
  <c r="E1887" i="3"/>
  <c r="C1887" i="3"/>
  <c r="G1886" i="3"/>
  <c r="E1886" i="3"/>
  <c r="C1886" i="3"/>
  <c r="G1885" i="3"/>
  <c r="E1885" i="3"/>
  <c r="C1885" i="3"/>
  <c r="G1884" i="3"/>
  <c r="E1884" i="3"/>
  <c r="C1884" i="3"/>
  <c r="G1883" i="3"/>
  <c r="E1883" i="3"/>
  <c r="C1883" i="3"/>
  <c r="G1882" i="3"/>
  <c r="E1882" i="3"/>
  <c r="C1882" i="3"/>
  <c r="G1881" i="3"/>
  <c r="E1881" i="3"/>
  <c r="C1881" i="3"/>
  <c r="G1880" i="3"/>
  <c r="E1880" i="3"/>
  <c r="C1880" i="3"/>
  <c r="G1879" i="3"/>
  <c r="E1879" i="3"/>
  <c r="C1879" i="3"/>
  <c r="G1878" i="3"/>
  <c r="E1878" i="3"/>
  <c r="C1878" i="3"/>
  <c r="G1877" i="3"/>
  <c r="E1877" i="3"/>
  <c r="C1877" i="3"/>
  <c r="G1876" i="3"/>
  <c r="E1876" i="3"/>
  <c r="C1876" i="3"/>
  <c r="G1875" i="3"/>
  <c r="E1875" i="3"/>
  <c r="C1875" i="3"/>
  <c r="G1874" i="3"/>
  <c r="E1874" i="3"/>
  <c r="C1874" i="3"/>
  <c r="G1873" i="3"/>
  <c r="E1873" i="3"/>
  <c r="C1873" i="3"/>
  <c r="G1872" i="3"/>
  <c r="E1872" i="3"/>
  <c r="C1872" i="3"/>
  <c r="G1871" i="3"/>
  <c r="E1871" i="3"/>
  <c r="C1871" i="3"/>
  <c r="G1870" i="3"/>
  <c r="E1870" i="3"/>
  <c r="C1870" i="3"/>
  <c r="G1869" i="3"/>
  <c r="E1869" i="3"/>
  <c r="C1869" i="3"/>
  <c r="G1868" i="3"/>
  <c r="E1868" i="3"/>
  <c r="C1868" i="3"/>
  <c r="G1867" i="3"/>
  <c r="E1867" i="3"/>
  <c r="C1867" i="3"/>
  <c r="G1866" i="3"/>
  <c r="E1866" i="3"/>
  <c r="C1866" i="3"/>
  <c r="G1865" i="3"/>
  <c r="E1865" i="3"/>
  <c r="C1865" i="3"/>
  <c r="G1864" i="3"/>
  <c r="E1864" i="3"/>
  <c r="C1864" i="3"/>
  <c r="G1863" i="3"/>
  <c r="E1863" i="3"/>
  <c r="C1863" i="3"/>
  <c r="G1862" i="3"/>
  <c r="E1862" i="3"/>
  <c r="C1862" i="3"/>
  <c r="G1861" i="3"/>
  <c r="E1861" i="3"/>
  <c r="C1861" i="3"/>
  <c r="G1860" i="3"/>
  <c r="E1860" i="3"/>
  <c r="C1860" i="3"/>
  <c r="G1859" i="3"/>
  <c r="E1859" i="3"/>
  <c r="C1859" i="3"/>
  <c r="G1858" i="3"/>
  <c r="E1858" i="3"/>
  <c r="C1858" i="3"/>
  <c r="G1857" i="3"/>
  <c r="E1857" i="3"/>
  <c r="C1857" i="3"/>
  <c r="G1856" i="3"/>
  <c r="E1856" i="3"/>
  <c r="C1856" i="3"/>
  <c r="G1855" i="3"/>
  <c r="E1855" i="3"/>
  <c r="C1855" i="3"/>
  <c r="G1854" i="3"/>
  <c r="E1854" i="3"/>
  <c r="C1854" i="3"/>
  <c r="G1853" i="3"/>
  <c r="E1853" i="3"/>
  <c r="C1853" i="3"/>
  <c r="G1852" i="3"/>
  <c r="E1852" i="3"/>
  <c r="C1852" i="3"/>
  <c r="G1851" i="3"/>
  <c r="E1851" i="3"/>
  <c r="C1851" i="3"/>
  <c r="G1850" i="3"/>
  <c r="E1850" i="3"/>
  <c r="C1850" i="3"/>
  <c r="G1849" i="3"/>
  <c r="E1849" i="3"/>
  <c r="C1849" i="3"/>
  <c r="G1848" i="3"/>
  <c r="E1848" i="3"/>
  <c r="C1848" i="3"/>
  <c r="G1847" i="3"/>
  <c r="E1847" i="3"/>
  <c r="C1847" i="3"/>
  <c r="G1846" i="3"/>
  <c r="E1846" i="3"/>
  <c r="C1846" i="3"/>
  <c r="G1845" i="3"/>
  <c r="E1845" i="3"/>
  <c r="C1845" i="3"/>
  <c r="G1844" i="3"/>
  <c r="E1844" i="3"/>
  <c r="C1844" i="3"/>
  <c r="G1843" i="3"/>
  <c r="E1843" i="3"/>
  <c r="C1843" i="3"/>
  <c r="G1842" i="3"/>
  <c r="E1842" i="3"/>
  <c r="C1842" i="3"/>
  <c r="G1841" i="3"/>
  <c r="E1841" i="3"/>
  <c r="C1841" i="3"/>
  <c r="G1840" i="3"/>
  <c r="E1840" i="3"/>
  <c r="C1840" i="3"/>
  <c r="G1839" i="3"/>
  <c r="E1839" i="3"/>
  <c r="C1839" i="3"/>
  <c r="G1838" i="3"/>
  <c r="E1838" i="3"/>
  <c r="C1838" i="3"/>
  <c r="G1837" i="3"/>
  <c r="E1837" i="3"/>
  <c r="C1837" i="3"/>
  <c r="G1836" i="3"/>
  <c r="E1836" i="3"/>
  <c r="C1836" i="3"/>
  <c r="G1835" i="3"/>
  <c r="E1835" i="3"/>
  <c r="C1835" i="3"/>
  <c r="G1834" i="3"/>
  <c r="E1834" i="3"/>
  <c r="C1834" i="3"/>
  <c r="G1833" i="3"/>
  <c r="E1833" i="3"/>
  <c r="C1833" i="3"/>
  <c r="G1832" i="3"/>
  <c r="E1832" i="3"/>
  <c r="C1832" i="3"/>
  <c r="G1831" i="3"/>
  <c r="E1831" i="3"/>
  <c r="C1831" i="3"/>
  <c r="G1830" i="3"/>
  <c r="E1830" i="3"/>
  <c r="C1830" i="3"/>
  <c r="G1829" i="3"/>
  <c r="E1829" i="3"/>
  <c r="C1829" i="3"/>
  <c r="G1828" i="3"/>
  <c r="E1828" i="3"/>
  <c r="C1828" i="3"/>
  <c r="G1827" i="3"/>
  <c r="E1827" i="3"/>
  <c r="C1827" i="3"/>
  <c r="G1826" i="3"/>
  <c r="E1826" i="3"/>
  <c r="C1826" i="3"/>
  <c r="G1825" i="3"/>
  <c r="E1825" i="3"/>
  <c r="C1825" i="3"/>
  <c r="G1824" i="3"/>
  <c r="E1824" i="3"/>
  <c r="C1824" i="3"/>
  <c r="G1823" i="3"/>
  <c r="E1823" i="3"/>
  <c r="C1823" i="3"/>
  <c r="G1822" i="3"/>
  <c r="E1822" i="3"/>
  <c r="C1822" i="3"/>
  <c r="G1821" i="3"/>
  <c r="E1821" i="3"/>
  <c r="C1821" i="3"/>
  <c r="G1820" i="3"/>
  <c r="E1820" i="3"/>
  <c r="C1820" i="3"/>
  <c r="G1819" i="3"/>
  <c r="E1819" i="3"/>
  <c r="C1819" i="3"/>
  <c r="G1818" i="3"/>
  <c r="E1818" i="3"/>
  <c r="C1818" i="3"/>
  <c r="G1817" i="3"/>
  <c r="E1817" i="3"/>
  <c r="C1817" i="3"/>
  <c r="G1816" i="3"/>
  <c r="E1816" i="3"/>
  <c r="C1816" i="3"/>
  <c r="G1815" i="3"/>
  <c r="E1815" i="3"/>
  <c r="C1815" i="3"/>
  <c r="G1814" i="3"/>
  <c r="E1814" i="3"/>
  <c r="C1814" i="3"/>
  <c r="G1813" i="3"/>
  <c r="E1813" i="3"/>
  <c r="C1813" i="3"/>
  <c r="G1812" i="3"/>
  <c r="E1812" i="3"/>
  <c r="C1812" i="3"/>
  <c r="G1811" i="3"/>
  <c r="E1811" i="3"/>
  <c r="C1811" i="3"/>
  <c r="G1810" i="3"/>
  <c r="E1810" i="3"/>
  <c r="C1810" i="3"/>
  <c r="G1809" i="3"/>
  <c r="E1809" i="3"/>
  <c r="C1809" i="3"/>
  <c r="G1808" i="3"/>
  <c r="E1808" i="3"/>
  <c r="C1808" i="3"/>
  <c r="G1807" i="3"/>
  <c r="E1807" i="3"/>
  <c r="C1807" i="3"/>
  <c r="G1806" i="3"/>
  <c r="E1806" i="3"/>
  <c r="C1806" i="3"/>
  <c r="G1805" i="3"/>
  <c r="E1805" i="3"/>
  <c r="C1805" i="3"/>
  <c r="G1804" i="3"/>
  <c r="E1804" i="3"/>
  <c r="C1804" i="3"/>
  <c r="G1803" i="3"/>
  <c r="E1803" i="3"/>
  <c r="C1803" i="3"/>
  <c r="G1802" i="3"/>
  <c r="E1802" i="3"/>
  <c r="C1802" i="3"/>
  <c r="G1801" i="3"/>
  <c r="E1801" i="3"/>
  <c r="C1801" i="3"/>
  <c r="G1800" i="3"/>
  <c r="E1800" i="3"/>
  <c r="C1800" i="3"/>
  <c r="G1799" i="3"/>
  <c r="E1799" i="3"/>
  <c r="C1799" i="3"/>
  <c r="G1798" i="3"/>
  <c r="E1798" i="3"/>
  <c r="C1798" i="3"/>
  <c r="G1797" i="3"/>
  <c r="E1797" i="3"/>
  <c r="C1797" i="3"/>
  <c r="G1796" i="3"/>
  <c r="E1796" i="3"/>
  <c r="C1796" i="3"/>
  <c r="G1795" i="3"/>
  <c r="E1795" i="3"/>
  <c r="C1795" i="3"/>
  <c r="G1794" i="3"/>
  <c r="E1794" i="3"/>
  <c r="C1794" i="3"/>
  <c r="G1793" i="3"/>
  <c r="E1793" i="3"/>
  <c r="C1793" i="3"/>
  <c r="G1792" i="3"/>
  <c r="E1792" i="3"/>
  <c r="C1792" i="3"/>
  <c r="G1791" i="3"/>
  <c r="E1791" i="3"/>
  <c r="C1791" i="3"/>
  <c r="G1790" i="3"/>
  <c r="E1790" i="3"/>
  <c r="C1790" i="3"/>
  <c r="G1789" i="3"/>
  <c r="E1789" i="3"/>
  <c r="C1789" i="3"/>
  <c r="G1788" i="3"/>
  <c r="E1788" i="3"/>
  <c r="C1788" i="3"/>
  <c r="G1787" i="3"/>
  <c r="E1787" i="3"/>
  <c r="C1787" i="3"/>
  <c r="G1786" i="3"/>
  <c r="E1786" i="3"/>
  <c r="C1786" i="3"/>
  <c r="G1785" i="3"/>
  <c r="E1785" i="3"/>
  <c r="C1785" i="3"/>
  <c r="G1784" i="3"/>
  <c r="E1784" i="3"/>
  <c r="C1784" i="3"/>
  <c r="G1783" i="3"/>
  <c r="E1783" i="3"/>
  <c r="C1783" i="3"/>
  <c r="G1782" i="3"/>
  <c r="E1782" i="3"/>
  <c r="C1782" i="3"/>
  <c r="G1781" i="3"/>
  <c r="E1781" i="3"/>
  <c r="C1781" i="3"/>
  <c r="G1780" i="3"/>
  <c r="E1780" i="3"/>
  <c r="C1780" i="3"/>
  <c r="G1779" i="3"/>
  <c r="E1779" i="3"/>
  <c r="C1779" i="3"/>
  <c r="G1778" i="3"/>
  <c r="E1778" i="3"/>
  <c r="C1778" i="3"/>
  <c r="G1777" i="3"/>
  <c r="E1777" i="3"/>
  <c r="C1777" i="3"/>
  <c r="G1776" i="3"/>
  <c r="E1776" i="3"/>
  <c r="C1776" i="3"/>
  <c r="G1775" i="3"/>
  <c r="E1775" i="3"/>
  <c r="C1775" i="3"/>
  <c r="G1774" i="3"/>
  <c r="E1774" i="3"/>
  <c r="C1774" i="3"/>
  <c r="G1773" i="3"/>
  <c r="E1773" i="3"/>
  <c r="C1773" i="3"/>
  <c r="G1772" i="3"/>
  <c r="E1772" i="3"/>
  <c r="C1772" i="3"/>
  <c r="G1771" i="3"/>
  <c r="E1771" i="3"/>
  <c r="C1771" i="3"/>
  <c r="G1770" i="3"/>
  <c r="E1770" i="3"/>
  <c r="C1770" i="3"/>
  <c r="G1769" i="3"/>
  <c r="E1769" i="3"/>
  <c r="C1769" i="3"/>
  <c r="G1768" i="3"/>
  <c r="E1768" i="3"/>
  <c r="C1768" i="3"/>
  <c r="G1767" i="3"/>
  <c r="E1767" i="3"/>
  <c r="C1767" i="3"/>
  <c r="G1766" i="3"/>
  <c r="E1766" i="3"/>
  <c r="C1766" i="3"/>
  <c r="G1765" i="3"/>
  <c r="E1765" i="3"/>
  <c r="C1765" i="3"/>
  <c r="G1764" i="3"/>
  <c r="E1764" i="3"/>
  <c r="C1764" i="3"/>
  <c r="G1763" i="3"/>
  <c r="E1763" i="3"/>
  <c r="C1763" i="3"/>
  <c r="G1762" i="3"/>
  <c r="E1762" i="3"/>
  <c r="C1762" i="3"/>
  <c r="G1761" i="3"/>
  <c r="E1761" i="3"/>
  <c r="C1761" i="3"/>
  <c r="G1760" i="3"/>
  <c r="E1760" i="3"/>
  <c r="C1760" i="3"/>
  <c r="G1759" i="3"/>
  <c r="E1759" i="3"/>
  <c r="C1759" i="3"/>
  <c r="G1758" i="3"/>
  <c r="E1758" i="3"/>
  <c r="C1758" i="3"/>
  <c r="G1757" i="3"/>
  <c r="E1757" i="3"/>
  <c r="C1757" i="3"/>
  <c r="G1756" i="3"/>
  <c r="E1756" i="3"/>
  <c r="C1756" i="3"/>
  <c r="G1755" i="3"/>
  <c r="E1755" i="3"/>
  <c r="C1755" i="3"/>
  <c r="G1754" i="3"/>
  <c r="E1754" i="3"/>
  <c r="C1754" i="3"/>
  <c r="G1753" i="3"/>
  <c r="E1753" i="3"/>
  <c r="C1753" i="3"/>
  <c r="G1752" i="3"/>
  <c r="E1752" i="3"/>
  <c r="C1752" i="3"/>
  <c r="G1751" i="3"/>
  <c r="E1751" i="3"/>
  <c r="C1751" i="3"/>
  <c r="G1750" i="3"/>
  <c r="E1750" i="3"/>
  <c r="C1750" i="3"/>
  <c r="G1749" i="3"/>
  <c r="E1749" i="3"/>
  <c r="C1749" i="3"/>
  <c r="G1748" i="3"/>
  <c r="E1748" i="3"/>
  <c r="C1748" i="3"/>
  <c r="G1747" i="3"/>
  <c r="E1747" i="3"/>
  <c r="C1747" i="3"/>
  <c r="G1746" i="3"/>
  <c r="E1746" i="3"/>
  <c r="C1746" i="3"/>
  <c r="G1745" i="3"/>
  <c r="E1745" i="3"/>
  <c r="C1745" i="3"/>
  <c r="G1744" i="3"/>
  <c r="E1744" i="3"/>
  <c r="C1744" i="3"/>
  <c r="G1743" i="3"/>
  <c r="E1743" i="3"/>
  <c r="C1743" i="3"/>
  <c r="G1742" i="3"/>
  <c r="E1742" i="3"/>
  <c r="C1742" i="3"/>
  <c r="G1741" i="3"/>
  <c r="E1741" i="3"/>
  <c r="C1741" i="3"/>
  <c r="G1740" i="3"/>
  <c r="E1740" i="3"/>
  <c r="C1740" i="3"/>
  <c r="G1739" i="3"/>
  <c r="E1739" i="3"/>
  <c r="C1739" i="3"/>
  <c r="G1738" i="3"/>
  <c r="E1738" i="3"/>
  <c r="C1738" i="3"/>
  <c r="G1737" i="3"/>
  <c r="E1737" i="3"/>
  <c r="C1737" i="3"/>
  <c r="G1736" i="3"/>
  <c r="E1736" i="3"/>
  <c r="C1736" i="3"/>
  <c r="G1735" i="3"/>
  <c r="E1735" i="3"/>
  <c r="C1735" i="3"/>
  <c r="G1734" i="3"/>
  <c r="E1734" i="3"/>
  <c r="C1734" i="3"/>
  <c r="G1733" i="3"/>
  <c r="E1733" i="3"/>
  <c r="C1733" i="3"/>
  <c r="G1732" i="3"/>
  <c r="E1732" i="3"/>
  <c r="C1732" i="3"/>
  <c r="G1731" i="3"/>
  <c r="E1731" i="3"/>
  <c r="C1731" i="3"/>
  <c r="G1730" i="3"/>
  <c r="E1730" i="3"/>
  <c r="C1730" i="3"/>
  <c r="G1729" i="3"/>
  <c r="E1729" i="3"/>
  <c r="C1729" i="3"/>
  <c r="G1728" i="3"/>
  <c r="E1728" i="3"/>
  <c r="C1728" i="3"/>
  <c r="G1727" i="3"/>
  <c r="E1727" i="3"/>
  <c r="C1727" i="3"/>
  <c r="G1726" i="3"/>
  <c r="E1726" i="3"/>
  <c r="C1726" i="3"/>
  <c r="G1725" i="3"/>
  <c r="E1725" i="3"/>
  <c r="C1725" i="3"/>
  <c r="G1724" i="3"/>
  <c r="E1724" i="3"/>
  <c r="C1724" i="3"/>
  <c r="G1723" i="3"/>
  <c r="E1723" i="3"/>
  <c r="C1723" i="3"/>
  <c r="G1722" i="3"/>
  <c r="E1722" i="3"/>
  <c r="C1722" i="3"/>
  <c r="G1721" i="3"/>
  <c r="E1721" i="3"/>
  <c r="C1721" i="3"/>
  <c r="G1720" i="3"/>
  <c r="E1720" i="3"/>
  <c r="C1720" i="3"/>
  <c r="G1719" i="3"/>
  <c r="E1719" i="3"/>
  <c r="C1719" i="3"/>
  <c r="G1718" i="3"/>
  <c r="E1718" i="3"/>
  <c r="C1718" i="3"/>
  <c r="G1717" i="3"/>
  <c r="E1717" i="3"/>
  <c r="C1717" i="3"/>
  <c r="G1716" i="3"/>
  <c r="E1716" i="3"/>
  <c r="C1716" i="3"/>
  <c r="G1715" i="3"/>
  <c r="E1715" i="3"/>
  <c r="C1715" i="3"/>
  <c r="G1714" i="3"/>
  <c r="E1714" i="3"/>
  <c r="C1714" i="3"/>
  <c r="G1713" i="3"/>
  <c r="E1713" i="3"/>
  <c r="C1713" i="3"/>
  <c r="G1712" i="3"/>
  <c r="E1712" i="3"/>
  <c r="C1712" i="3"/>
  <c r="G1711" i="3"/>
  <c r="E1711" i="3"/>
  <c r="C1711" i="3"/>
  <c r="G1710" i="3"/>
  <c r="E1710" i="3"/>
  <c r="C1710" i="3"/>
  <c r="G1709" i="3"/>
  <c r="E1709" i="3"/>
  <c r="C1709" i="3"/>
  <c r="G1708" i="3"/>
  <c r="E1708" i="3"/>
  <c r="C1708" i="3"/>
  <c r="G1707" i="3"/>
  <c r="E1707" i="3"/>
  <c r="C1707" i="3"/>
  <c r="G1706" i="3"/>
  <c r="E1706" i="3"/>
  <c r="C1706" i="3"/>
  <c r="G1705" i="3"/>
  <c r="E1705" i="3"/>
  <c r="C1705" i="3"/>
  <c r="G1704" i="3"/>
  <c r="E1704" i="3"/>
  <c r="C1704" i="3"/>
  <c r="G1703" i="3"/>
  <c r="E1703" i="3"/>
  <c r="C1703" i="3"/>
  <c r="G1702" i="3"/>
  <c r="E1702" i="3"/>
  <c r="C1702" i="3"/>
  <c r="G1701" i="3"/>
  <c r="E1701" i="3"/>
  <c r="C1701" i="3"/>
  <c r="G1700" i="3"/>
  <c r="E1700" i="3"/>
  <c r="C1700" i="3"/>
  <c r="G1699" i="3"/>
  <c r="E1699" i="3"/>
  <c r="C1699" i="3"/>
  <c r="G1698" i="3"/>
  <c r="E1698" i="3"/>
  <c r="C1698" i="3"/>
  <c r="G1697" i="3"/>
  <c r="E1697" i="3"/>
  <c r="C1697" i="3"/>
  <c r="G1696" i="3"/>
  <c r="E1696" i="3"/>
  <c r="C1696" i="3"/>
  <c r="G1695" i="3"/>
  <c r="E1695" i="3"/>
  <c r="C1695" i="3"/>
  <c r="G1694" i="3"/>
  <c r="E1694" i="3"/>
  <c r="C1694" i="3"/>
  <c r="G1693" i="3"/>
  <c r="E1693" i="3"/>
  <c r="C1693" i="3"/>
  <c r="G1692" i="3"/>
  <c r="E1692" i="3"/>
  <c r="C1692" i="3"/>
  <c r="G1691" i="3"/>
  <c r="E1691" i="3"/>
  <c r="C1691" i="3"/>
  <c r="G1690" i="3"/>
  <c r="E1690" i="3"/>
  <c r="C1690" i="3"/>
  <c r="G1689" i="3"/>
  <c r="E1689" i="3"/>
  <c r="C1689" i="3"/>
  <c r="G1688" i="3"/>
  <c r="E1688" i="3"/>
  <c r="C1688" i="3"/>
  <c r="G1687" i="3"/>
  <c r="E1687" i="3"/>
  <c r="C1687" i="3"/>
  <c r="G1686" i="3"/>
  <c r="E1686" i="3"/>
  <c r="C1686" i="3"/>
  <c r="G1685" i="3"/>
  <c r="E1685" i="3"/>
  <c r="C1685" i="3"/>
  <c r="G1684" i="3"/>
  <c r="E1684" i="3"/>
  <c r="C1684" i="3"/>
  <c r="G1683" i="3"/>
  <c r="E1683" i="3"/>
  <c r="C1683" i="3"/>
  <c r="G1682" i="3"/>
  <c r="E1682" i="3"/>
  <c r="C1682" i="3"/>
  <c r="G1681" i="3"/>
  <c r="E1681" i="3"/>
  <c r="C1681" i="3"/>
  <c r="G1680" i="3"/>
  <c r="E1680" i="3"/>
  <c r="C1680" i="3"/>
  <c r="G1679" i="3"/>
  <c r="E1679" i="3"/>
  <c r="C1679" i="3"/>
  <c r="G1678" i="3"/>
  <c r="E1678" i="3"/>
  <c r="C1678" i="3"/>
  <c r="G1677" i="3"/>
  <c r="E1677" i="3"/>
  <c r="C1677" i="3"/>
  <c r="G1676" i="3"/>
  <c r="E1676" i="3"/>
  <c r="C1676" i="3"/>
  <c r="G1675" i="3"/>
  <c r="E1675" i="3"/>
  <c r="C1675" i="3"/>
  <c r="G1674" i="3"/>
  <c r="E1674" i="3"/>
  <c r="C1674" i="3"/>
  <c r="G1673" i="3"/>
  <c r="E1673" i="3"/>
  <c r="C1673" i="3"/>
  <c r="G1672" i="3"/>
  <c r="E1672" i="3"/>
  <c r="C1672" i="3"/>
  <c r="G1671" i="3"/>
  <c r="E1671" i="3"/>
  <c r="C1671" i="3"/>
  <c r="G1670" i="3"/>
  <c r="E1670" i="3"/>
  <c r="C1670" i="3"/>
  <c r="G1669" i="3"/>
  <c r="E1669" i="3"/>
  <c r="C1669" i="3"/>
  <c r="G1668" i="3"/>
  <c r="E1668" i="3"/>
  <c r="C1668" i="3"/>
  <c r="G1667" i="3"/>
  <c r="E1667" i="3"/>
  <c r="C1667" i="3"/>
  <c r="G1666" i="3"/>
  <c r="E1666" i="3"/>
  <c r="C1666" i="3"/>
  <c r="G1665" i="3"/>
  <c r="E1665" i="3"/>
  <c r="C1665" i="3"/>
  <c r="G1664" i="3"/>
  <c r="E1664" i="3"/>
  <c r="C1664" i="3"/>
  <c r="G1663" i="3"/>
  <c r="E1663" i="3"/>
  <c r="C1663" i="3"/>
  <c r="G1662" i="3"/>
  <c r="E1662" i="3"/>
  <c r="C1662" i="3"/>
  <c r="G1661" i="3"/>
  <c r="E1661" i="3"/>
  <c r="C1661" i="3"/>
  <c r="G1660" i="3"/>
  <c r="E1660" i="3"/>
  <c r="C1660" i="3"/>
  <c r="G1659" i="3"/>
  <c r="E1659" i="3"/>
  <c r="C1659" i="3"/>
  <c r="G1658" i="3"/>
  <c r="E1658" i="3"/>
  <c r="C1658" i="3"/>
  <c r="G1657" i="3"/>
  <c r="E1657" i="3"/>
  <c r="C1657" i="3"/>
  <c r="G1656" i="3"/>
  <c r="E1656" i="3"/>
  <c r="C1656" i="3"/>
  <c r="G1655" i="3"/>
  <c r="E1655" i="3"/>
  <c r="C1655" i="3"/>
  <c r="G1654" i="3"/>
  <c r="E1654" i="3"/>
  <c r="C1654" i="3"/>
  <c r="G1653" i="3"/>
  <c r="E1653" i="3"/>
  <c r="C1653" i="3"/>
  <c r="G1652" i="3"/>
  <c r="E1652" i="3"/>
  <c r="C1652" i="3"/>
  <c r="G1651" i="3"/>
  <c r="E1651" i="3"/>
  <c r="C1651" i="3"/>
  <c r="G1650" i="3"/>
  <c r="E1650" i="3"/>
  <c r="C1650" i="3"/>
  <c r="G1649" i="3"/>
  <c r="E1649" i="3"/>
  <c r="C1649" i="3"/>
  <c r="G1648" i="3"/>
  <c r="E1648" i="3"/>
  <c r="C1648" i="3"/>
  <c r="G1647" i="3"/>
  <c r="E1647" i="3"/>
  <c r="C1647" i="3"/>
  <c r="G1646" i="3"/>
  <c r="E1646" i="3"/>
  <c r="C1646" i="3"/>
  <c r="G1645" i="3"/>
  <c r="E1645" i="3"/>
  <c r="C1645" i="3"/>
  <c r="G1644" i="3"/>
  <c r="E1644" i="3"/>
  <c r="C1644" i="3"/>
  <c r="G1643" i="3"/>
  <c r="E1643" i="3"/>
  <c r="C1643" i="3"/>
  <c r="G1642" i="3"/>
  <c r="E1642" i="3"/>
  <c r="C1642" i="3"/>
  <c r="G1641" i="3"/>
  <c r="E1641" i="3"/>
  <c r="C1641" i="3"/>
  <c r="G1640" i="3"/>
  <c r="E1640" i="3"/>
  <c r="C1640" i="3"/>
  <c r="G1639" i="3"/>
  <c r="E1639" i="3"/>
  <c r="C1639" i="3"/>
  <c r="G1638" i="3"/>
  <c r="E1638" i="3"/>
  <c r="C1638" i="3"/>
  <c r="G1637" i="3"/>
  <c r="E1637" i="3"/>
  <c r="C1637" i="3"/>
  <c r="G1636" i="3"/>
  <c r="E1636" i="3"/>
  <c r="C1636" i="3"/>
  <c r="G1635" i="3"/>
  <c r="E1635" i="3"/>
  <c r="C1635" i="3"/>
  <c r="G1634" i="3"/>
  <c r="E1634" i="3"/>
  <c r="C1634" i="3"/>
  <c r="G1633" i="3"/>
  <c r="E1633" i="3"/>
  <c r="C1633" i="3"/>
  <c r="G1632" i="3"/>
  <c r="E1632" i="3"/>
  <c r="C1632" i="3"/>
  <c r="G1631" i="3"/>
  <c r="E1631" i="3"/>
  <c r="C1631" i="3"/>
  <c r="G1630" i="3"/>
  <c r="E1630" i="3"/>
  <c r="C1630" i="3"/>
  <c r="G1629" i="3"/>
  <c r="E1629" i="3"/>
  <c r="C1629" i="3"/>
  <c r="G1628" i="3"/>
  <c r="E1628" i="3"/>
  <c r="C1628" i="3"/>
  <c r="G1627" i="3"/>
  <c r="E1627" i="3"/>
  <c r="C1627" i="3"/>
  <c r="G1626" i="3"/>
  <c r="E1626" i="3"/>
  <c r="C1626" i="3"/>
  <c r="G1625" i="3"/>
  <c r="E1625" i="3"/>
  <c r="C1625" i="3"/>
  <c r="G1624" i="3"/>
  <c r="E1624" i="3"/>
  <c r="C1624" i="3"/>
  <c r="G1623" i="3"/>
  <c r="E1623" i="3"/>
  <c r="C1623" i="3"/>
  <c r="G1622" i="3"/>
  <c r="E1622" i="3"/>
  <c r="C1622" i="3"/>
  <c r="G1621" i="3"/>
  <c r="E1621" i="3"/>
  <c r="C1621" i="3"/>
  <c r="G1620" i="3"/>
  <c r="E1620" i="3"/>
  <c r="C1620" i="3"/>
  <c r="G1619" i="3"/>
  <c r="E1619" i="3"/>
  <c r="C1619" i="3"/>
  <c r="G1618" i="3"/>
  <c r="E1618" i="3"/>
  <c r="C1618" i="3"/>
  <c r="G1617" i="3"/>
  <c r="E1617" i="3"/>
  <c r="C1617" i="3"/>
  <c r="G1616" i="3"/>
  <c r="E1616" i="3"/>
  <c r="C1616" i="3"/>
  <c r="G1615" i="3"/>
  <c r="E1615" i="3"/>
  <c r="C1615" i="3"/>
  <c r="G1614" i="3"/>
  <c r="E1614" i="3"/>
  <c r="C1614" i="3"/>
  <c r="G1613" i="3"/>
  <c r="E1613" i="3"/>
  <c r="C1613" i="3"/>
  <c r="G1612" i="3"/>
  <c r="E1612" i="3"/>
  <c r="C1612" i="3"/>
  <c r="G1611" i="3"/>
  <c r="E1611" i="3"/>
  <c r="C1611" i="3"/>
  <c r="G1610" i="3"/>
  <c r="E1610" i="3"/>
  <c r="C1610" i="3"/>
  <c r="G1609" i="3"/>
  <c r="E1609" i="3"/>
  <c r="C1609" i="3"/>
  <c r="G1608" i="3"/>
  <c r="E1608" i="3"/>
  <c r="C1608" i="3"/>
  <c r="G1607" i="3"/>
  <c r="E1607" i="3"/>
  <c r="C1607" i="3"/>
  <c r="G1606" i="3"/>
  <c r="E1606" i="3"/>
  <c r="C1606" i="3"/>
  <c r="G1605" i="3"/>
  <c r="E1605" i="3"/>
  <c r="C1605" i="3"/>
  <c r="G1604" i="3"/>
  <c r="E1604" i="3"/>
  <c r="C1604" i="3"/>
  <c r="G1603" i="3"/>
  <c r="E1603" i="3"/>
  <c r="C1603" i="3"/>
  <c r="G1602" i="3"/>
  <c r="E1602" i="3"/>
  <c r="C1602" i="3"/>
  <c r="G1601" i="3"/>
  <c r="E1601" i="3"/>
  <c r="C1601" i="3"/>
  <c r="G1600" i="3"/>
  <c r="E1600" i="3"/>
  <c r="C1600" i="3"/>
  <c r="G1599" i="3"/>
  <c r="E1599" i="3"/>
  <c r="C1599" i="3"/>
  <c r="G1598" i="3"/>
  <c r="E1598" i="3"/>
  <c r="C1598" i="3"/>
  <c r="G1597" i="3"/>
  <c r="E1597" i="3"/>
  <c r="C1597" i="3"/>
  <c r="G1596" i="3"/>
  <c r="E1596" i="3"/>
  <c r="C1596" i="3"/>
  <c r="G1595" i="3"/>
  <c r="E1595" i="3"/>
  <c r="C1595" i="3"/>
  <c r="G1594" i="3"/>
  <c r="E1594" i="3"/>
  <c r="C1594" i="3"/>
  <c r="G1593" i="3"/>
  <c r="E1593" i="3"/>
  <c r="C1593" i="3"/>
  <c r="G1592" i="3"/>
  <c r="E1592" i="3"/>
  <c r="C1592" i="3"/>
  <c r="G1591" i="3"/>
  <c r="E1591" i="3"/>
  <c r="C1591" i="3"/>
  <c r="G1590" i="3"/>
  <c r="E1590" i="3"/>
  <c r="C1590" i="3"/>
  <c r="G1589" i="3"/>
  <c r="E1589" i="3"/>
  <c r="C1589" i="3"/>
  <c r="G1588" i="3"/>
  <c r="E1588" i="3"/>
  <c r="C1588" i="3"/>
  <c r="G1587" i="3"/>
  <c r="E1587" i="3"/>
  <c r="C1587" i="3"/>
  <c r="G1586" i="3"/>
  <c r="E1586" i="3"/>
  <c r="C1586" i="3"/>
  <c r="G1585" i="3"/>
  <c r="E1585" i="3"/>
  <c r="C1585" i="3"/>
  <c r="G1584" i="3"/>
  <c r="E1584" i="3"/>
  <c r="C1584" i="3"/>
  <c r="G1583" i="3"/>
  <c r="E1583" i="3"/>
  <c r="C1583" i="3"/>
  <c r="G1582" i="3"/>
  <c r="E1582" i="3"/>
  <c r="C1582" i="3"/>
  <c r="G1581" i="3"/>
  <c r="E1581" i="3"/>
  <c r="C1581" i="3"/>
  <c r="G1580" i="3"/>
  <c r="E1580" i="3"/>
  <c r="C1580" i="3"/>
  <c r="G1579" i="3"/>
  <c r="E1579" i="3"/>
  <c r="C1579" i="3"/>
  <c r="G1578" i="3"/>
  <c r="E1578" i="3"/>
  <c r="C1578" i="3"/>
  <c r="G1577" i="3"/>
  <c r="E1577" i="3"/>
  <c r="C1577" i="3"/>
  <c r="G1576" i="3"/>
  <c r="E1576" i="3"/>
  <c r="C1576" i="3"/>
  <c r="G1575" i="3"/>
  <c r="E1575" i="3"/>
  <c r="C1575" i="3"/>
  <c r="G1574" i="3"/>
  <c r="E1574" i="3"/>
  <c r="C1574" i="3"/>
  <c r="G1573" i="3"/>
  <c r="E1573" i="3"/>
  <c r="C1573" i="3"/>
  <c r="G1572" i="3"/>
  <c r="E1572" i="3"/>
  <c r="C1572" i="3"/>
  <c r="G1571" i="3"/>
  <c r="E1571" i="3"/>
  <c r="C1571" i="3"/>
  <c r="G1570" i="3"/>
  <c r="E1570" i="3"/>
  <c r="C1570" i="3"/>
  <c r="G1569" i="3"/>
  <c r="E1569" i="3"/>
  <c r="C1569" i="3"/>
  <c r="G1568" i="3"/>
  <c r="E1568" i="3"/>
  <c r="C1568" i="3"/>
  <c r="G1567" i="3"/>
  <c r="E1567" i="3"/>
  <c r="C1567" i="3"/>
  <c r="G1566" i="3"/>
  <c r="E1566" i="3"/>
  <c r="C1566" i="3"/>
  <c r="G1565" i="3"/>
  <c r="E1565" i="3"/>
  <c r="C1565" i="3"/>
  <c r="G1564" i="3"/>
  <c r="E1564" i="3"/>
  <c r="C1564" i="3"/>
  <c r="G1563" i="3"/>
  <c r="E1563" i="3"/>
  <c r="C1563" i="3"/>
  <c r="G1562" i="3"/>
  <c r="E1562" i="3"/>
  <c r="C1562" i="3"/>
  <c r="G1561" i="3"/>
  <c r="E1561" i="3"/>
  <c r="C1561" i="3"/>
  <c r="G1560" i="3"/>
  <c r="E1560" i="3"/>
  <c r="C1560" i="3"/>
  <c r="G1559" i="3"/>
  <c r="E1559" i="3"/>
  <c r="C1559" i="3"/>
  <c r="G1558" i="3"/>
  <c r="E1558" i="3"/>
  <c r="C1558" i="3"/>
  <c r="G1557" i="3"/>
  <c r="E1557" i="3"/>
  <c r="C1557" i="3"/>
  <c r="G1556" i="3"/>
  <c r="E1556" i="3"/>
  <c r="C1556" i="3"/>
  <c r="G1555" i="3"/>
  <c r="E1555" i="3"/>
  <c r="C1555" i="3"/>
  <c r="G1554" i="3"/>
  <c r="E1554" i="3"/>
  <c r="C1554" i="3"/>
  <c r="G1553" i="3"/>
  <c r="E1553" i="3"/>
  <c r="C1553" i="3"/>
  <c r="G1552" i="3"/>
  <c r="E1552" i="3"/>
  <c r="C1552" i="3"/>
  <c r="G1551" i="3"/>
  <c r="E1551" i="3"/>
  <c r="C1551" i="3"/>
  <c r="G1550" i="3"/>
  <c r="E1550" i="3"/>
  <c r="C1550" i="3"/>
  <c r="G1549" i="3"/>
  <c r="E1549" i="3"/>
  <c r="C1549" i="3"/>
  <c r="G1548" i="3"/>
  <c r="E1548" i="3"/>
  <c r="C1548" i="3"/>
  <c r="G1547" i="3"/>
  <c r="E1547" i="3"/>
  <c r="C1547" i="3"/>
  <c r="G1546" i="3"/>
  <c r="E1546" i="3"/>
  <c r="C1546" i="3"/>
  <c r="G1545" i="3"/>
  <c r="E1545" i="3"/>
  <c r="C1545" i="3"/>
  <c r="G1544" i="3"/>
  <c r="E1544" i="3"/>
  <c r="C1544" i="3"/>
  <c r="G1543" i="3"/>
  <c r="E1543" i="3"/>
  <c r="C1543" i="3"/>
  <c r="G1542" i="3"/>
  <c r="E1542" i="3"/>
  <c r="C1542" i="3"/>
  <c r="G1541" i="3"/>
  <c r="E1541" i="3"/>
  <c r="C1541" i="3"/>
  <c r="G1540" i="3"/>
  <c r="E1540" i="3"/>
  <c r="C1540" i="3"/>
  <c r="G1539" i="3"/>
  <c r="E1539" i="3"/>
  <c r="C1539" i="3"/>
  <c r="G1538" i="3"/>
  <c r="E1538" i="3"/>
  <c r="C1538" i="3"/>
  <c r="G1537" i="3"/>
  <c r="E1537" i="3"/>
  <c r="C1537" i="3"/>
  <c r="G1536" i="3"/>
  <c r="E1536" i="3"/>
  <c r="C1536" i="3"/>
  <c r="G1535" i="3"/>
  <c r="E1535" i="3"/>
  <c r="C1535" i="3"/>
  <c r="G1534" i="3"/>
  <c r="E1534" i="3"/>
  <c r="C1534" i="3"/>
  <c r="G1533" i="3"/>
  <c r="E1533" i="3"/>
  <c r="C1533" i="3"/>
  <c r="G1532" i="3"/>
  <c r="E1532" i="3"/>
  <c r="C1532" i="3"/>
  <c r="G1531" i="3"/>
  <c r="E1531" i="3"/>
  <c r="C1531" i="3"/>
  <c r="G1530" i="3"/>
  <c r="E1530" i="3"/>
  <c r="C1530" i="3"/>
  <c r="G1529" i="3"/>
  <c r="E1529" i="3"/>
  <c r="C1529" i="3"/>
  <c r="G1528" i="3"/>
  <c r="E1528" i="3"/>
  <c r="C1528" i="3"/>
  <c r="G1527" i="3"/>
  <c r="E1527" i="3"/>
  <c r="C1527" i="3"/>
  <c r="G1526" i="3"/>
  <c r="E1526" i="3"/>
  <c r="C1526" i="3"/>
  <c r="G1525" i="3"/>
  <c r="E1525" i="3"/>
  <c r="C1525" i="3"/>
  <c r="G1524" i="3"/>
  <c r="E1524" i="3"/>
  <c r="C1524" i="3"/>
  <c r="G1523" i="3"/>
  <c r="E1523" i="3"/>
  <c r="C1523" i="3"/>
  <c r="G1522" i="3"/>
  <c r="E1522" i="3"/>
  <c r="C1522" i="3"/>
  <c r="G1521" i="3"/>
  <c r="E1521" i="3"/>
  <c r="C1521" i="3"/>
  <c r="G1520" i="3"/>
  <c r="E1520" i="3"/>
  <c r="C1520" i="3"/>
  <c r="G1519" i="3"/>
  <c r="E1519" i="3"/>
  <c r="C1519" i="3"/>
  <c r="G1518" i="3"/>
  <c r="E1518" i="3"/>
  <c r="C1518" i="3"/>
  <c r="G1517" i="3"/>
  <c r="E1517" i="3"/>
  <c r="C1517" i="3"/>
  <c r="G1516" i="3"/>
  <c r="E1516" i="3"/>
  <c r="C1516" i="3"/>
  <c r="G1515" i="3"/>
  <c r="E1515" i="3"/>
  <c r="C1515" i="3"/>
  <c r="G1514" i="3"/>
  <c r="E1514" i="3"/>
  <c r="C1514" i="3"/>
  <c r="G1513" i="3"/>
  <c r="E1513" i="3"/>
  <c r="C1513" i="3"/>
  <c r="G1512" i="3"/>
  <c r="E1512" i="3"/>
  <c r="C1512" i="3"/>
  <c r="G1511" i="3"/>
  <c r="E1511" i="3"/>
  <c r="C1511" i="3"/>
  <c r="G1510" i="3"/>
  <c r="E1510" i="3"/>
  <c r="C1510" i="3"/>
  <c r="G1509" i="3"/>
  <c r="E1509" i="3"/>
  <c r="C1509" i="3"/>
  <c r="G1508" i="3"/>
  <c r="E1508" i="3"/>
  <c r="C1508" i="3"/>
  <c r="G1507" i="3"/>
  <c r="E1507" i="3"/>
  <c r="C1507" i="3"/>
  <c r="G1506" i="3"/>
  <c r="E1506" i="3"/>
  <c r="C1506" i="3"/>
  <c r="G1505" i="3"/>
  <c r="E1505" i="3"/>
  <c r="C1505" i="3"/>
  <c r="G1504" i="3"/>
  <c r="E1504" i="3"/>
  <c r="C1504" i="3"/>
  <c r="G1503" i="3"/>
  <c r="E1503" i="3"/>
  <c r="C1503" i="3"/>
  <c r="G1502" i="3"/>
  <c r="E1502" i="3"/>
  <c r="C1502" i="3"/>
  <c r="G1501" i="3"/>
  <c r="E1501" i="3"/>
  <c r="C1501" i="3"/>
  <c r="G1500" i="3"/>
  <c r="E1500" i="3"/>
  <c r="C1500" i="3"/>
  <c r="G1499" i="3"/>
  <c r="E1499" i="3"/>
  <c r="C1499" i="3"/>
  <c r="G1498" i="3"/>
  <c r="E1498" i="3"/>
  <c r="C1498" i="3"/>
  <c r="G1497" i="3"/>
  <c r="E1497" i="3"/>
  <c r="C1497" i="3"/>
  <c r="G1496" i="3"/>
  <c r="E1496" i="3"/>
  <c r="C1496" i="3"/>
  <c r="G1495" i="3"/>
  <c r="E1495" i="3"/>
  <c r="C1495" i="3"/>
  <c r="G1494" i="3"/>
  <c r="E1494" i="3"/>
  <c r="C1494" i="3"/>
  <c r="G1493" i="3"/>
  <c r="E1493" i="3"/>
  <c r="C1493" i="3"/>
  <c r="G1492" i="3"/>
  <c r="E1492" i="3"/>
  <c r="C1492" i="3"/>
  <c r="G1491" i="3"/>
  <c r="E1491" i="3"/>
  <c r="C1491" i="3"/>
  <c r="G1490" i="3"/>
  <c r="E1490" i="3"/>
  <c r="C1490" i="3"/>
  <c r="G1489" i="3"/>
  <c r="E1489" i="3"/>
  <c r="C1489" i="3"/>
  <c r="G1488" i="3"/>
  <c r="E1488" i="3"/>
  <c r="C1488" i="3"/>
  <c r="G1487" i="3"/>
  <c r="E1487" i="3"/>
  <c r="C1487" i="3"/>
  <c r="G1486" i="3"/>
  <c r="E1486" i="3"/>
  <c r="C1486" i="3"/>
  <c r="G1485" i="3"/>
  <c r="E1485" i="3"/>
  <c r="C1485" i="3"/>
  <c r="G1484" i="3"/>
  <c r="E1484" i="3"/>
  <c r="C1484" i="3"/>
  <c r="G1483" i="3"/>
  <c r="E1483" i="3"/>
  <c r="C1483" i="3"/>
  <c r="G1482" i="3"/>
  <c r="E1482" i="3"/>
  <c r="C1482" i="3"/>
  <c r="G1481" i="3"/>
  <c r="E1481" i="3"/>
  <c r="C1481" i="3"/>
  <c r="G1480" i="3"/>
  <c r="E1480" i="3"/>
  <c r="C1480" i="3"/>
  <c r="G1479" i="3"/>
  <c r="E1479" i="3"/>
  <c r="C1479" i="3"/>
  <c r="G1478" i="3"/>
  <c r="E1478" i="3"/>
  <c r="C1478" i="3"/>
  <c r="G1477" i="3"/>
  <c r="E1477" i="3"/>
  <c r="C1477" i="3"/>
  <c r="G1476" i="3"/>
  <c r="E1476" i="3"/>
  <c r="C1476" i="3"/>
  <c r="G1475" i="3"/>
  <c r="E1475" i="3"/>
  <c r="C1475" i="3"/>
  <c r="G1474" i="3"/>
  <c r="E1474" i="3"/>
  <c r="C1474" i="3"/>
  <c r="G1473" i="3"/>
  <c r="E1473" i="3"/>
  <c r="C1473" i="3"/>
  <c r="G1472" i="3"/>
  <c r="E1472" i="3"/>
  <c r="C1472" i="3"/>
  <c r="G1471" i="3"/>
  <c r="E1471" i="3"/>
  <c r="C1471" i="3"/>
  <c r="G1470" i="3"/>
  <c r="E1470" i="3"/>
  <c r="C1470" i="3"/>
  <c r="G1469" i="3"/>
  <c r="E1469" i="3"/>
  <c r="C1469" i="3"/>
  <c r="G1468" i="3"/>
  <c r="E1468" i="3"/>
  <c r="C1468" i="3"/>
  <c r="G1467" i="3"/>
  <c r="E1467" i="3"/>
  <c r="C1467" i="3"/>
  <c r="G1466" i="3"/>
  <c r="E1466" i="3"/>
  <c r="C1466" i="3"/>
  <c r="G1465" i="3"/>
  <c r="E1465" i="3"/>
  <c r="C1465" i="3"/>
  <c r="G1464" i="3"/>
  <c r="E1464" i="3"/>
  <c r="C1464" i="3"/>
  <c r="G1463" i="3"/>
  <c r="E1463" i="3"/>
  <c r="C1463" i="3"/>
  <c r="G1462" i="3"/>
  <c r="E1462" i="3"/>
  <c r="C1462" i="3"/>
  <c r="G1461" i="3"/>
  <c r="E1461" i="3"/>
  <c r="C1461" i="3"/>
  <c r="G1460" i="3"/>
  <c r="E1460" i="3"/>
  <c r="C1460" i="3"/>
  <c r="G1459" i="3"/>
  <c r="E1459" i="3"/>
  <c r="C1459" i="3"/>
  <c r="G1458" i="3"/>
  <c r="E1458" i="3"/>
  <c r="C1458" i="3"/>
  <c r="G1457" i="3"/>
  <c r="E1457" i="3"/>
  <c r="C1457" i="3"/>
  <c r="G1456" i="3"/>
  <c r="E1456" i="3"/>
  <c r="C1456" i="3"/>
  <c r="G1455" i="3"/>
  <c r="E1455" i="3"/>
  <c r="C1455" i="3"/>
  <c r="G1454" i="3"/>
  <c r="E1454" i="3"/>
  <c r="C1454" i="3"/>
  <c r="G1453" i="3"/>
  <c r="E1453" i="3"/>
  <c r="C1453" i="3"/>
  <c r="G1452" i="3"/>
  <c r="E1452" i="3"/>
  <c r="C1452" i="3"/>
  <c r="G1451" i="3"/>
  <c r="E1451" i="3"/>
  <c r="C1451" i="3"/>
  <c r="G1450" i="3"/>
  <c r="E1450" i="3"/>
  <c r="C1450" i="3"/>
  <c r="G1449" i="3"/>
  <c r="E1449" i="3"/>
  <c r="C1449" i="3"/>
  <c r="G1448" i="3"/>
  <c r="E1448" i="3"/>
  <c r="C1448" i="3"/>
  <c r="G1447" i="3"/>
  <c r="E1447" i="3"/>
  <c r="C1447" i="3"/>
  <c r="G1446" i="3"/>
  <c r="E1446" i="3"/>
  <c r="C1446" i="3"/>
  <c r="G1445" i="3"/>
  <c r="E1445" i="3"/>
  <c r="C1445" i="3"/>
  <c r="G1444" i="3"/>
  <c r="E1444" i="3"/>
  <c r="C1444" i="3"/>
  <c r="G1443" i="3"/>
  <c r="E1443" i="3"/>
  <c r="C1443" i="3"/>
  <c r="G1442" i="3"/>
  <c r="E1442" i="3"/>
  <c r="C1442" i="3"/>
  <c r="G1441" i="3"/>
  <c r="E1441" i="3"/>
  <c r="C1441" i="3"/>
  <c r="G1440" i="3"/>
  <c r="E1440" i="3"/>
  <c r="C1440" i="3"/>
  <c r="G1439" i="3"/>
  <c r="E1439" i="3"/>
  <c r="C1439" i="3"/>
  <c r="G1438" i="3"/>
  <c r="E1438" i="3"/>
  <c r="C1438" i="3"/>
  <c r="G1437" i="3"/>
  <c r="E1437" i="3"/>
  <c r="C1437" i="3"/>
  <c r="G1436" i="3"/>
  <c r="E1436" i="3"/>
  <c r="C1436" i="3"/>
  <c r="G1435" i="3"/>
  <c r="E1435" i="3"/>
  <c r="C1435" i="3"/>
  <c r="G1434" i="3"/>
  <c r="E1434" i="3"/>
  <c r="C1434" i="3"/>
  <c r="G1433" i="3"/>
  <c r="E1433" i="3"/>
  <c r="C1433" i="3"/>
  <c r="G1432" i="3"/>
  <c r="E1432" i="3"/>
  <c r="C1432" i="3"/>
  <c r="G1431" i="3"/>
  <c r="E1431" i="3"/>
  <c r="C1431" i="3"/>
  <c r="G1430" i="3"/>
  <c r="E1430" i="3"/>
  <c r="C1430" i="3"/>
  <c r="G1429" i="3"/>
  <c r="E1429" i="3"/>
  <c r="C1429" i="3"/>
  <c r="G1428" i="3"/>
  <c r="E1428" i="3"/>
  <c r="C1428" i="3"/>
  <c r="G1427" i="3"/>
  <c r="E1427" i="3"/>
  <c r="C1427" i="3"/>
  <c r="G1426" i="3"/>
  <c r="E1426" i="3"/>
  <c r="C1426" i="3"/>
  <c r="G1425" i="3"/>
  <c r="E1425" i="3"/>
  <c r="C1425" i="3"/>
  <c r="G1424" i="3"/>
  <c r="E1424" i="3"/>
  <c r="C1424" i="3"/>
  <c r="G1423" i="3"/>
  <c r="E1423" i="3"/>
  <c r="C1423" i="3"/>
  <c r="G1422" i="3"/>
  <c r="E1422" i="3"/>
  <c r="C1422" i="3"/>
  <c r="G1421" i="3"/>
  <c r="E1421" i="3"/>
  <c r="C1421" i="3"/>
  <c r="G1420" i="3"/>
  <c r="E1420" i="3"/>
  <c r="C1420" i="3"/>
  <c r="G1419" i="3"/>
  <c r="E1419" i="3"/>
  <c r="C1419" i="3"/>
  <c r="G1418" i="3"/>
  <c r="E1418" i="3"/>
  <c r="C1418" i="3"/>
  <c r="G1417" i="3"/>
  <c r="E1417" i="3"/>
  <c r="C1417" i="3"/>
  <c r="G1416" i="3"/>
  <c r="E1416" i="3"/>
  <c r="C1416" i="3"/>
  <c r="G1415" i="3"/>
  <c r="E1415" i="3"/>
  <c r="C1415" i="3"/>
  <c r="G1414" i="3"/>
  <c r="E1414" i="3"/>
  <c r="C1414" i="3"/>
  <c r="G1413" i="3"/>
  <c r="E1413" i="3"/>
  <c r="C1413" i="3"/>
  <c r="G1412" i="3"/>
  <c r="E1412" i="3"/>
  <c r="C1412" i="3"/>
  <c r="G1411" i="3"/>
  <c r="E1411" i="3"/>
  <c r="C1411" i="3"/>
  <c r="G1410" i="3"/>
  <c r="E1410" i="3"/>
  <c r="C1410" i="3"/>
  <c r="G1409" i="3"/>
  <c r="E1409" i="3"/>
  <c r="C1409" i="3"/>
  <c r="G1408" i="3"/>
  <c r="E1408" i="3"/>
  <c r="C1408" i="3"/>
  <c r="G1407" i="3"/>
  <c r="E1407" i="3"/>
  <c r="C1407" i="3"/>
  <c r="G1406" i="3"/>
  <c r="E1406" i="3"/>
  <c r="C1406" i="3"/>
  <c r="G1405" i="3"/>
  <c r="E1405" i="3"/>
  <c r="C1405" i="3"/>
  <c r="G1404" i="3"/>
  <c r="E1404" i="3"/>
  <c r="C1404" i="3"/>
  <c r="G1403" i="3"/>
  <c r="E1403" i="3"/>
  <c r="C1403" i="3"/>
  <c r="G1402" i="3"/>
  <c r="E1402" i="3"/>
  <c r="C1402" i="3"/>
  <c r="G1401" i="3"/>
  <c r="E1401" i="3"/>
  <c r="C1401" i="3"/>
  <c r="G1400" i="3"/>
  <c r="E1400" i="3"/>
  <c r="C1400" i="3"/>
  <c r="G1399" i="3"/>
  <c r="E1399" i="3"/>
  <c r="C1399" i="3"/>
  <c r="G1398" i="3"/>
  <c r="E1398" i="3"/>
  <c r="C1398" i="3"/>
  <c r="G1397" i="3"/>
  <c r="E1397" i="3"/>
  <c r="C1397" i="3"/>
  <c r="G1396" i="3"/>
  <c r="E1396" i="3"/>
  <c r="C1396" i="3"/>
  <c r="G1395" i="3"/>
  <c r="E1395" i="3"/>
  <c r="C1395" i="3"/>
  <c r="G1394" i="3"/>
  <c r="E1394" i="3"/>
  <c r="C1394" i="3"/>
  <c r="G1393" i="3"/>
  <c r="E1393" i="3"/>
  <c r="C1393" i="3"/>
  <c r="G1392" i="3"/>
  <c r="E1392" i="3"/>
  <c r="C1392" i="3"/>
  <c r="G1391" i="3"/>
  <c r="E1391" i="3"/>
  <c r="C1391" i="3"/>
  <c r="G1390" i="3"/>
  <c r="E1390" i="3"/>
  <c r="C1390" i="3"/>
  <c r="G1389" i="3"/>
  <c r="E1389" i="3"/>
  <c r="C1389" i="3"/>
  <c r="G1388" i="3"/>
  <c r="E1388" i="3"/>
  <c r="C1388" i="3"/>
  <c r="G1387" i="3"/>
  <c r="E1387" i="3"/>
  <c r="C1387" i="3"/>
  <c r="G1386" i="3"/>
  <c r="E1386" i="3"/>
  <c r="C1386" i="3"/>
  <c r="G1385" i="3"/>
  <c r="E1385" i="3"/>
  <c r="C1385" i="3"/>
  <c r="G1384" i="3"/>
  <c r="E1384" i="3"/>
  <c r="C1384" i="3"/>
  <c r="G1383" i="3"/>
  <c r="E1383" i="3"/>
  <c r="C1383" i="3"/>
  <c r="G1382" i="3"/>
  <c r="E1382" i="3"/>
  <c r="C1382" i="3"/>
  <c r="G1381" i="3"/>
  <c r="E1381" i="3"/>
  <c r="C1381" i="3"/>
  <c r="G1380" i="3"/>
  <c r="E1380" i="3"/>
  <c r="C1380" i="3"/>
  <c r="G1379" i="3"/>
  <c r="E1379" i="3"/>
  <c r="C1379" i="3"/>
  <c r="G1378" i="3"/>
  <c r="E1378" i="3"/>
  <c r="C1378" i="3"/>
  <c r="G1377" i="3"/>
  <c r="E1377" i="3"/>
  <c r="C1377" i="3"/>
  <c r="G1376" i="3"/>
  <c r="E1376" i="3"/>
  <c r="C1376" i="3"/>
  <c r="G1375" i="3"/>
  <c r="E1375" i="3"/>
  <c r="C1375" i="3"/>
  <c r="G1374" i="3"/>
  <c r="E1374" i="3"/>
  <c r="C1374" i="3"/>
  <c r="G1373" i="3"/>
  <c r="E1373" i="3"/>
  <c r="C1373" i="3"/>
  <c r="G1372" i="3"/>
  <c r="E1372" i="3"/>
  <c r="C1372" i="3"/>
  <c r="G1371" i="3"/>
  <c r="E1371" i="3"/>
  <c r="C1371" i="3"/>
  <c r="G1370" i="3"/>
  <c r="E1370" i="3"/>
  <c r="C1370" i="3"/>
  <c r="G1369" i="3"/>
  <c r="E1369" i="3"/>
  <c r="C1369" i="3"/>
  <c r="G1368" i="3"/>
  <c r="E1368" i="3"/>
  <c r="C1368" i="3"/>
  <c r="G1367" i="3"/>
  <c r="E1367" i="3"/>
  <c r="C1367" i="3"/>
  <c r="G1366" i="3"/>
  <c r="E1366" i="3"/>
  <c r="C1366" i="3"/>
  <c r="G1365" i="3"/>
  <c r="E1365" i="3"/>
  <c r="C1365" i="3"/>
  <c r="G1364" i="3"/>
  <c r="E1364" i="3"/>
  <c r="C1364" i="3"/>
  <c r="G1363" i="3"/>
  <c r="E1363" i="3"/>
  <c r="C1363" i="3"/>
  <c r="G1362" i="3"/>
  <c r="E1362" i="3"/>
  <c r="C1362" i="3"/>
  <c r="G1361" i="3"/>
  <c r="E1361" i="3"/>
  <c r="C1361" i="3"/>
  <c r="G1360" i="3"/>
  <c r="E1360" i="3"/>
  <c r="C1360" i="3"/>
  <c r="G1359" i="3"/>
  <c r="E1359" i="3"/>
  <c r="C1359" i="3"/>
  <c r="G1358" i="3"/>
  <c r="E1358" i="3"/>
  <c r="C1358" i="3"/>
  <c r="G1357" i="3"/>
  <c r="E1357" i="3"/>
  <c r="C1357" i="3"/>
  <c r="G1356" i="3"/>
  <c r="E1356" i="3"/>
  <c r="C1356" i="3"/>
  <c r="G1355" i="3"/>
  <c r="E1355" i="3"/>
  <c r="C1355" i="3"/>
  <c r="G1354" i="3"/>
  <c r="E1354" i="3"/>
  <c r="C1354" i="3"/>
  <c r="G1353" i="3"/>
  <c r="E1353" i="3"/>
  <c r="C1353" i="3"/>
  <c r="G1352" i="3"/>
  <c r="E1352" i="3"/>
  <c r="C1352" i="3"/>
  <c r="G1351" i="3"/>
  <c r="E1351" i="3"/>
  <c r="C1351" i="3"/>
  <c r="G1350" i="3"/>
  <c r="E1350" i="3"/>
  <c r="C1350" i="3"/>
  <c r="G1349" i="3"/>
  <c r="E1349" i="3"/>
  <c r="C1349" i="3"/>
  <c r="G1348" i="3"/>
  <c r="E1348" i="3"/>
  <c r="C1348" i="3"/>
  <c r="G1347" i="3"/>
  <c r="E1347" i="3"/>
  <c r="C1347" i="3"/>
  <c r="G1346" i="3"/>
  <c r="E1346" i="3"/>
  <c r="C1346" i="3"/>
  <c r="G1345" i="3"/>
  <c r="E1345" i="3"/>
  <c r="C1345" i="3"/>
  <c r="G1344" i="3"/>
  <c r="E1344" i="3"/>
  <c r="C1344" i="3"/>
  <c r="G1343" i="3"/>
  <c r="E1343" i="3"/>
  <c r="C1343" i="3"/>
  <c r="G1342" i="3"/>
  <c r="E1342" i="3"/>
  <c r="C1342" i="3"/>
  <c r="G1341" i="3"/>
  <c r="E1341" i="3"/>
  <c r="C1341" i="3"/>
  <c r="G1340" i="3"/>
  <c r="E1340" i="3"/>
  <c r="C1340" i="3"/>
  <c r="G1339" i="3"/>
  <c r="E1339" i="3"/>
  <c r="C1339" i="3"/>
  <c r="G1338" i="3"/>
  <c r="E1338" i="3"/>
  <c r="C1338" i="3"/>
  <c r="G1337" i="3"/>
  <c r="E1337" i="3"/>
  <c r="C1337" i="3"/>
  <c r="G1336" i="3"/>
  <c r="E1336" i="3"/>
  <c r="C1336" i="3"/>
  <c r="G1335" i="3"/>
  <c r="E1335" i="3"/>
  <c r="C1335" i="3"/>
  <c r="G1334" i="3"/>
  <c r="E1334" i="3"/>
  <c r="C1334" i="3"/>
  <c r="G1333" i="3"/>
  <c r="E1333" i="3"/>
  <c r="C1333" i="3"/>
  <c r="G1332" i="3"/>
  <c r="E1332" i="3"/>
  <c r="C1332" i="3"/>
  <c r="G1331" i="3"/>
  <c r="E1331" i="3"/>
  <c r="C1331" i="3"/>
  <c r="G1330" i="3"/>
  <c r="E1330" i="3"/>
  <c r="C1330" i="3"/>
  <c r="G1329" i="3"/>
  <c r="E1329" i="3"/>
  <c r="C1329" i="3"/>
  <c r="G1328" i="3"/>
  <c r="E1328" i="3"/>
  <c r="C1328" i="3"/>
  <c r="G1327" i="3"/>
  <c r="E1327" i="3"/>
  <c r="C1327" i="3"/>
  <c r="G1326" i="3"/>
  <c r="E1326" i="3"/>
  <c r="C1326" i="3"/>
  <c r="G1325" i="3"/>
  <c r="E1325" i="3"/>
  <c r="C1325" i="3"/>
  <c r="G1324" i="3"/>
  <c r="E1324" i="3"/>
  <c r="C1324" i="3"/>
  <c r="G1323" i="3"/>
  <c r="E1323" i="3"/>
  <c r="C1323" i="3"/>
  <c r="G1322" i="3"/>
  <c r="E1322" i="3"/>
  <c r="C1322" i="3"/>
  <c r="G1321" i="3"/>
  <c r="E1321" i="3"/>
  <c r="C1321" i="3"/>
  <c r="G1320" i="3"/>
  <c r="E1320" i="3"/>
  <c r="C1320" i="3"/>
  <c r="G1319" i="3"/>
  <c r="E1319" i="3"/>
  <c r="C1319" i="3"/>
  <c r="G1318" i="3"/>
  <c r="E1318" i="3"/>
  <c r="C1318" i="3"/>
  <c r="G1317" i="3"/>
  <c r="E1317" i="3"/>
  <c r="C1317" i="3"/>
  <c r="G1316" i="3"/>
  <c r="E1316" i="3"/>
  <c r="C1316" i="3"/>
  <c r="G1315" i="3"/>
  <c r="E1315" i="3"/>
  <c r="C1315" i="3"/>
  <c r="G1314" i="3"/>
  <c r="E1314" i="3"/>
  <c r="C1314" i="3"/>
  <c r="G1313" i="3"/>
  <c r="E1313" i="3"/>
  <c r="C1313" i="3"/>
  <c r="G1312" i="3"/>
  <c r="E1312" i="3"/>
  <c r="C1312" i="3"/>
  <c r="G1311" i="3"/>
  <c r="E1311" i="3"/>
  <c r="C1311" i="3"/>
  <c r="G1310" i="3"/>
  <c r="E1310" i="3"/>
  <c r="C1310" i="3"/>
  <c r="G1309" i="3"/>
  <c r="E1309" i="3"/>
  <c r="C1309" i="3"/>
  <c r="G1308" i="3"/>
  <c r="E1308" i="3"/>
  <c r="C1308" i="3"/>
  <c r="G1307" i="3"/>
  <c r="E1307" i="3"/>
  <c r="C1307" i="3"/>
  <c r="G1306" i="3"/>
  <c r="E1306" i="3"/>
  <c r="C1306" i="3"/>
  <c r="G1305" i="3"/>
  <c r="E1305" i="3"/>
  <c r="C1305" i="3"/>
  <c r="G1304" i="3"/>
  <c r="E1304" i="3"/>
  <c r="C1304" i="3"/>
  <c r="G1303" i="3"/>
  <c r="E1303" i="3"/>
  <c r="C1303" i="3"/>
  <c r="G1302" i="3"/>
  <c r="E1302" i="3"/>
  <c r="C1302" i="3"/>
  <c r="G1301" i="3"/>
  <c r="E1301" i="3"/>
  <c r="C1301" i="3"/>
  <c r="G1300" i="3"/>
  <c r="E1300" i="3"/>
  <c r="C1300" i="3"/>
  <c r="G1299" i="3"/>
  <c r="E1299" i="3"/>
  <c r="C1299" i="3"/>
  <c r="G1298" i="3"/>
  <c r="E1298" i="3"/>
  <c r="C1298" i="3"/>
  <c r="G1297" i="3"/>
  <c r="E1297" i="3"/>
  <c r="C1297" i="3"/>
  <c r="G1296" i="3"/>
  <c r="E1296" i="3"/>
  <c r="C1296" i="3"/>
  <c r="G1295" i="3"/>
  <c r="E1295" i="3"/>
  <c r="C1295" i="3"/>
  <c r="G1294" i="3"/>
  <c r="E1294" i="3"/>
  <c r="C1294" i="3"/>
  <c r="G1293" i="3"/>
  <c r="E1293" i="3"/>
  <c r="C1293" i="3"/>
  <c r="G1292" i="3"/>
  <c r="E1292" i="3"/>
  <c r="C1292" i="3"/>
  <c r="G1291" i="3"/>
  <c r="E1291" i="3"/>
  <c r="C1291" i="3"/>
  <c r="G1290" i="3"/>
  <c r="E1290" i="3"/>
  <c r="C1290" i="3"/>
  <c r="G1289" i="3"/>
  <c r="E1289" i="3"/>
  <c r="C1289" i="3"/>
  <c r="G1288" i="3"/>
  <c r="E1288" i="3"/>
  <c r="C1288" i="3"/>
  <c r="G1287" i="3"/>
  <c r="E1287" i="3"/>
  <c r="C1287" i="3"/>
  <c r="G1286" i="3"/>
  <c r="E1286" i="3"/>
  <c r="C1286" i="3"/>
  <c r="G1285" i="3"/>
  <c r="E1285" i="3"/>
  <c r="C1285" i="3"/>
  <c r="G1284" i="3"/>
  <c r="E1284" i="3"/>
  <c r="C1284" i="3"/>
  <c r="G1283" i="3"/>
  <c r="E1283" i="3"/>
  <c r="C1283" i="3"/>
  <c r="G1282" i="3"/>
  <c r="E1282" i="3"/>
  <c r="C1282" i="3"/>
  <c r="G1281" i="3"/>
  <c r="E1281" i="3"/>
  <c r="C1281" i="3"/>
  <c r="G1280" i="3"/>
  <c r="E1280" i="3"/>
  <c r="C1280" i="3"/>
  <c r="G1279" i="3"/>
  <c r="E1279" i="3"/>
  <c r="C1279" i="3"/>
  <c r="G1278" i="3"/>
  <c r="E1278" i="3"/>
  <c r="C1278" i="3"/>
  <c r="G1277" i="3"/>
  <c r="E1277" i="3"/>
  <c r="C1277" i="3"/>
  <c r="G1276" i="3"/>
  <c r="E1276" i="3"/>
  <c r="C1276" i="3"/>
  <c r="G1275" i="3"/>
  <c r="E1275" i="3"/>
  <c r="C1275" i="3"/>
  <c r="G1274" i="3"/>
  <c r="E1274" i="3"/>
  <c r="C1274" i="3"/>
  <c r="G1273" i="3"/>
  <c r="E1273" i="3"/>
  <c r="C1273" i="3"/>
  <c r="G1272" i="3"/>
  <c r="E1272" i="3"/>
  <c r="C1272" i="3"/>
  <c r="G1271" i="3"/>
  <c r="E1271" i="3"/>
  <c r="C1271" i="3"/>
  <c r="G1270" i="3"/>
  <c r="E1270" i="3"/>
  <c r="C1270" i="3"/>
  <c r="G1269" i="3"/>
  <c r="E1269" i="3"/>
  <c r="C1269" i="3"/>
  <c r="G1268" i="3"/>
  <c r="E1268" i="3"/>
  <c r="C1268" i="3"/>
  <c r="G1267" i="3"/>
  <c r="E1267" i="3"/>
  <c r="C1267" i="3"/>
  <c r="G1266" i="3"/>
  <c r="E1266" i="3"/>
  <c r="C1266" i="3"/>
  <c r="G1265" i="3"/>
  <c r="E1265" i="3"/>
  <c r="C1265" i="3"/>
  <c r="G1264" i="3"/>
  <c r="E1264" i="3"/>
  <c r="C1264" i="3"/>
  <c r="G1263" i="3"/>
  <c r="E1263" i="3"/>
  <c r="C1263" i="3"/>
  <c r="G1262" i="3"/>
  <c r="E1262" i="3"/>
  <c r="C1262" i="3"/>
  <c r="G1261" i="3"/>
  <c r="E1261" i="3"/>
  <c r="C1261" i="3"/>
  <c r="G1260" i="3"/>
  <c r="E1260" i="3"/>
  <c r="C1260" i="3"/>
  <c r="G1259" i="3"/>
  <c r="E1259" i="3"/>
  <c r="C1259" i="3"/>
  <c r="G1258" i="3"/>
  <c r="E1258" i="3"/>
  <c r="C1258" i="3"/>
  <c r="G1257" i="3"/>
  <c r="E1257" i="3"/>
  <c r="C1257" i="3"/>
  <c r="G1256" i="3"/>
  <c r="E1256" i="3"/>
  <c r="C1256" i="3"/>
  <c r="G1255" i="3"/>
  <c r="E1255" i="3"/>
  <c r="C1255" i="3"/>
  <c r="G1254" i="3"/>
  <c r="E1254" i="3"/>
  <c r="C1254" i="3"/>
  <c r="G1253" i="3"/>
  <c r="E1253" i="3"/>
  <c r="C1253" i="3"/>
  <c r="G1252" i="3"/>
  <c r="E1252" i="3"/>
  <c r="C1252" i="3"/>
  <c r="G1251" i="3"/>
  <c r="E1251" i="3"/>
  <c r="C1251" i="3"/>
  <c r="G1250" i="3"/>
  <c r="E1250" i="3"/>
  <c r="C1250" i="3"/>
  <c r="G1249" i="3"/>
  <c r="E1249" i="3"/>
  <c r="C1249" i="3"/>
  <c r="G1248" i="3"/>
  <c r="E1248" i="3"/>
  <c r="C1248" i="3"/>
  <c r="G1247" i="3"/>
  <c r="E1247" i="3"/>
  <c r="C1247" i="3"/>
  <c r="G1246" i="3"/>
  <c r="E1246" i="3"/>
  <c r="C1246" i="3"/>
  <c r="G1245" i="3"/>
  <c r="E1245" i="3"/>
  <c r="C1245" i="3"/>
  <c r="G1244" i="3"/>
  <c r="E1244" i="3"/>
  <c r="C1244" i="3"/>
  <c r="G1243" i="3"/>
  <c r="E1243" i="3"/>
  <c r="C1243" i="3"/>
  <c r="G1242" i="3"/>
  <c r="E1242" i="3"/>
  <c r="C1242" i="3"/>
  <c r="G1241" i="3"/>
  <c r="E1241" i="3"/>
  <c r="C1241" i="3"/>
  <c r="G1240" i="3"/>
  <c r="E1240" i="3"/>
  <c r="C1240" i="3"/>
  <c r="G1239" i="3"/>
  <c r="E1239" i="3"/>
  <c r="C1239" i="3"/>
  <c r="G1238" i="3"/>
  <c r="E1238" i="3"/>
  <c r="C1238" i="3"/>
  <c r="G1237" i="3"/>
  <c r="E1237" i="3"/>
  <c r="C1237" i="3"/>
  <c r="G1236" i="3"/>
  <c r="E1236" i="3"/>
  <c r="C1236" i="3"/>
  <c r="G1235" i="3"/>
  <c r="E1235" i="3"/>
  <c r="C1235" i="3"/>
  <c r="G1234" i="3"/>
  <c r="E1234" i="3"/>
  <c r="C1234" i="3"/>
  <c r="G1233" i="3"/>
  <c r="E1233" i="3"/>
  <c r="C1233" i="3"/>
  <c r="G1232" i="3"/>
  <c r="E1232" i="3"/>
  <c r="C1232" i="3"/>
  <c r="G1231" i="3"/>
  <c r="E1231" i="3"/>
  <c r="C1231" i="3"/>
  <c r="G1230" i="3"/>
  <c r="E1230" i="3"/>
  <c r="C1230" i="3"/>
  <c r="G1229" i="3"/>
  <c r="E1229" i="3"/>
  <c r="C1229" i="3"/>
  <c r="G1228" i="3"/>
  <c r="E1228" i="3"/>
  <c r="C1228" i="3"/>
  <c r="G1227" i="3"/>
  <c r="E1227" i="3"/>
  <c r="C1227" i="3"/>
  <c r="G1226" i="3"/>
  <c r="E1226" i="3"/>
  <c r="C1226" i="3"/>
  <c r="G1225" i="3"/>
  <c r="E1225" i="3"/>
  <c r="C1225" i="3"/>
  <c r="G1224" i="3"/>
  <c r="E1224" i="3"/>
  <c r="C1224" i="3"/>
  <c r="G1223" i="3"/>
  <c r="E1223" i="3"/>
  <c r="C1223" i="3"/>
  <c r="G1222" i="3"/>
  <c r="E1222" i="3"/>
  <c r="C1222" i="3"/>
  <c r="G1221" i="3"/>
  <c r="E1221" i="3"/>
  <c r="C1221" i="3"/>
  <c r="G1220" i="3"/>
  <c r="E1220" i="3"/>
  <c r="C1220" i="3"/>
  <c r="G1219" i="3"/>
  <c r="E1219" i="3"/>
  <c r="C1219" i="3"/>
  <c r="G1218" i="3"/>
  <c r="E1218" i="3"/>
  <c r="C1218" i="3"/>
  <c r="G1217" i="3"/>
  <c r="E1217" i="3"/>
  <c r="C1217" i="3"/>
  <c r="G1216" i="3"/>
  <c r="E1216" i="3"/>
  <c r="C1216" i="3"/>
  <c r="G1215" i="3"/>
  <c r="E1215" i="3"/>
  <c r="C1215" i="3"/>
  <c r="G1214" i="3"/>
  <c r="E1214" i="3"/>
  <c r="C1214" i="3"/>
  <c r="G1213" i="3"/>
  <c r="E1213" i="3"/>
  <c r="C1213" i="3"/>
  <c r="G1212" i="3"/>
  <c r="E1212" i="3"/>
  <c r="C1212" i="3"/>
  <c r="G1211" i="3"/>
  <c r="E1211" i="3"/>
  <c r="C1211" i="3"/>
  <c r="G1210" i="3"/>
  <c r="E1210" i="3"/>
  <c r="C1210" i="3"/>
  <c r="G1209" i="3"/>
  <c r="E1209" i="3"/>
  <c r="C1209" i="3"/>
  <c r="G1208" i="3"/>
  <c r="E1208" i="3"/>
  <c r="C1208" i="3"/>
  <c r="G1207" i="3"/>
  <c r="E1207" i="3"/>
  <c r="C1207" i="3"/>
  <c r="G1206" i="3"/>
  <c r="E1206" i="3"/>
  <c r="C1206" i="3"/>
  <c r="G1205" i="3"/>
  <c r="E1205" i="3"/>
  <c r="C1205" i="3"/>
  <c r="G1204" i="3"/>
  <c r="E1204" i="3"/>
  <c r="C1204" i="3"/>
  <c r="G1203" i="3"/>
  <c r="E1203" i="3"/>
  <c r="C1203" i="3"/>
  <c r="G1202" i="3"/>
  <c r="E1202" i="3"/>
  <c r="C1202" i="3"/>
  <c r="G1201" i="3"/>
  <c r="E1201" i="3"/>
  <c r="C1201" i="3"/>
  <c r="G1200" i="3"/>
  <c r="E1200" i="3"/>
  <c r="C1200" i="3"/>
  <c r="G1199" i="3"/>
  <c r="E1199" i="3"/>
  <c r="C1199" i="3"/>
  <c r="G1198" i="3"/>
  <c r="E1198" i="3"/>
  <c r="C1198" i="3"/>
  <c r="G1197" i="3"/>
  <c r="E1197" i="3"/>
  <c r="C1197" i="3"/>
  <c r="G1196" i="3"/>
  <c r="E1196" i="3"/>
  <c r="C1196" i="3"/>
  <c r="G1195" i="3"/>
  <c r="E1195" i="3"/>
  <c r="C1195" i="3"/>
  <c r="G1194" i="3"/>
  <c r="E1194" i="3"/>
  <c r="C1194" i="3"/>
  <c r="G1193" i="3"/>
  <c r="E1193" i="3"/>
  <c r="C1193" i="3"/>
  <c r="G1192" i="3"/>
  <c r="E1192" i="3"/>
  <c r="C1192" i="3"/>
  <c r="G1191" i="3"/>
  <c r="E1191" i="3"/>
  <c r="C1191" i="3"/>
  <c r="G1190" i="3"/>
  <c r="E1190" i="3"/>
  <c r="C1190" i="3"/>
  <c r="G1189" i="3"/>
  <c r="E1189" i="3"/>
  <c r="C1189" i="3"/>
  <c r="G1188" i="3"/>
  <c r="E1188" i="3"/>
  <c r="C1188" i="3"/>
  <c r="G1187" i="3"/>
  <c r="E1187" i="3"/>
  <c r="C1187" i="3"/>
  <c r="G1186" i="3"/>
  <c r="E1186" i="3"/>
  <c r="C1186" i="3"/>
  <c r="G1185" i="3"/>
  <c r="E1185" i="3"/>
  <c r="C1185" i="3"/>
  <c r="G1184" i="3"/>
  <c r="E1184" i="3"/>
  <c r="C1184" i="3"/>
  <c r="G1183" i="3"/>
  <c r="E1183" i="3"/>
  <c r="C1183" i="3"/>
  <c r="G1182" i="3"/>
  <c r="E1182" i="3"/>
  <c r="C1182" i="3"/>
  <c r="G1181" i="3"/>
  <c r="E1181" i="3"/>
  <c r="C1181" i="3"/>
  <c r="G1180" i="3"/>
  <c r="E1180" i="3"/>
  <c r="C1180" i="3"/>
  <c r="G1179" i="3"/>
  <c r="E1179" i="3"/>
  <c r="C1179" i="3"/>
  <c r="G1178" i="3"/>
  <c r="E1178" i="3"/>
  <c r="C1178" i="3"/>
  <c r="G1177" i="3"/>
  <c r="E1177" i="3"/>
  <c r="C1177" i="3"/>
  <c r="G1176" i="3"/>
  <c r="E1176" i="3"/>
  <c r="C1176" i="3"/>
  <c r="G1175" i="3"/>
  <c r="E1175" i="3"/>
  <c r="C1175" i="3"/>
  <c r="G1174" i="3"/>
  <c r="E1174" i="3"/>
  <c r="C1174" i="3"/>
  <c r="G1173" i="3"/>
  <c r="E1173" i="3"/>
  <c r="C1173" i="3"/>
  <c r="G1172" i="3"/>
  <c r="E1172" i="3"/>
  <c r="C1172" i="3"/>
  <c r="G1171" i="3"/>
  <c r="E1171" i="3"/>
  <c r="C1171" i="3"/>
  <c r="G1170" i="3"/>
  <c r="E1170" i="3"/>
  <c r="C1170" i="3"/>
  <c r="G1169" i="3"/>
  <c r="E1169" i="3"/>
  <c r="C1169" i="3"/>
  <c r="G1168" i="3"/>
  <c r="E1168" i="3"/>
  <c r="C1168" i="3"/>
  <c r="G1167" i="3"/>
  <c r="E1167" i="3"/>
  <c r="C1167" i="3"/>
  <c r="G1166" i="3"/>
  <c r="E1166" i="3"/>
  <c r="C1166" i="3"/>
  <c r="G1165" i="3"/>
  <c r="E1165" i="3"/>
  <c r="C1165" i="3"/>
  <c r="G1164" i="3"/>
  <c r="E1164" i="3"/>
  <c r="C1164" i="3"/>
  <c r="G1163" i="3"/>
  <c r="E1163" i="3"/>
  <c r="C1163" i="3"/>
  <c r="G1162" i="3"/>
  <c r="E1162" i="3"/>
  <c r="C1162" i="3"/>
  <c r="G1161" i="3"/>
  <c r="E1161" i="3"/>
  <c r="C1161" i="3"/>
  <c r="G1160" i="3"/>
  <c r="E1160" i="3"/>
  <c r="C1160" i="3"/>
  <c r="G1159" i="3"/>
  <c r="E1159" i="3"/>
  <c r="C1159" i="3"/>
  <c r="G1158" i="3"/>
  <c r="E1158" i="3"/>
  <c r="C1158" i="3"/>
  <c r="G1157" i="3"/>
  <c r="E1157" i="3"/>
  <c r="C1157" i="3"/>
  <c r="G1156" i="3"/>
  <c r="E1156" i="3"/>
  <c r="C1156" i="3"/>
  <c r="G1155" i="3"/>
  <c r="E1155" i="3"/>
  <c r="C1155" i="3"/>
  <c r="G1154" i="3"/>
  <c r="E1154" i="3"/>
  <c r="C1154" i="3"/>
  <c r="G1153" i="3"/>
  <c r="E1153" i="3"/>
  <c r="C1153" i="3"/>
  <c r="G1152" i="3"/>
  <c r="E1152" i="3"/>
  <c r="C1152" i="3"/>
  <c r="G1151" i="3"/>
  <c r="E1151" i="3"/>
  <c r="C1151" i="3"/>
  <c r="G1150" i="3"/>
  <c r="E1150" i="3"/>
  <c r="C1150" i="3"/>
  <c r="G1149" i="3"/>
  <c r="E1149" i="3"/>
  <c r="C1149" i="3"/>
  <c r="G1148" i="3"/>
  <c r="E1148" i="3"/>
  <c r="C1148" i="3"/>
  <c r="G1147" i="3"/>
  <c r="E1147" i="3"/>
  <c r="C1147" i="3"/>
  <c r="G1146" i="3"/>
  <c r="E1146" i="3"/>
  <c r="C1146" i="3"/>
  <c r="G1145" i="3"/>
  <c r="E1145" i="3"/>
  <c r="C1145" i="3"/>
  <c r="G1144" i="3"/>
  <c r="E1144" i="3"/>
  <c r="C1144" i="3"/>
  <c r="G1143" i="3"/>
  <c r="E1143" i="3"/>
  <c r="C1143" i="3"/>
  <c r="G1142" i="3"/>
  <c r="E1142" i="3"/>
  <c r="C1142" i="3"/>
  <c r="G1141" i="3"/>
  <c r="E1141" i="3"/>
  <c r="C1141" i="3"/>
  <c r="G1140" i="3"/>
  <c r="E1140" i="3"/>
  <c r="C1140" i="3"/>
  <c r="G1139" i="3"/>
  <c r="E1139" i="3"/>
  <c r="C1139" i="3"/>
  <c r="G1138" i="3"/>
  <c r="E1138" i="3"/>
  <c r="C1138" i="3"/>
  <c r="G1137" i="3"/>
  <c r="E1137" i="3"/>
  <c r="C1137" i="3"/>
  <c r="G1136" i="3"/>
  <c r="E1136" i="3"/>
  <c r="C1136" i="3"/>
  <c r="G1135" i="3"/>
  <c r="E1135" i="3"/>
  <c r="C1135" i="3"/>
  <c r="G1134" i="3"/>
  <c r="E1134" i="3"/>
  <c r="C1134" i="3"/>
  <c r="G1133" i="3"/>
  <c r="E1133" i="3"/>
  <c r="C1133" i="3"/>
  <c r="G1132" i="3"/>
  <c r="E1132" i="3"/>
  <c r="C1132" i="3"/>
  <c r="G1131" i="3"/>
  <c r="E1131" i="3"/>
  <c r="C1131" i="3"/>
  <c r="G1130" i="3"/>
  <c r="E1130" i="3"/>
  <c r="C1130" i="3"/>
  <c r="G1129" i="3"/>
  <c r="E1129" i="3"/>
  <c r="C1129" i="3"/>
  <c r="G1128" i="3"/>
  <c r="E1128" i="3"/>
  <c r="C1128" i="3"/>
  <c r="G1127" i="3"/>
  <c r="E1127" i="3"/>
  <c r="C1127" i="3"/>
  <c r="G1126" i="3"/>
  <c r="E1126" i="3"/>
  <c r="C1126" i="3"/>
  <c r="G1125" i="3"/>
  <c r="E1125" i="3"/>
  <c r="C1125" i="3"/>
  <c r="G1124" i="3"/>
  <c r="E1124" i="3"/>
  <c r="C1124" i="3"/>
  <c r="G1123" i="3"/>
  <c r="E1123" i="3"/>
  <c r="C1123" i="3"/>
  <c r="G1122" i="3"/>
  <c r="E1122" i="3"/>
  <c r="C1122" i="3"/>
  <c r="G1121" i="3"/>
  <c r="E1121" i="3"/>
  <c r="C1121" i="3"/>
  <c r="G1120" i="3"/>
  <c r="E1120" i="3"/>
  <c r="C1120" i="3"/>
  <c r="G1119" i="3"/>
  <c r="E1119" i="3"/>
  <c r="C1119" i="3"/>
  <c r="G1118" i="3"/>
  <c r="E1118" i="3"/>
  <c r="C1118" i="3"/>
  <c r="G1117" i="3"/>
  <c r="E1117" i="3"/>
  <c r="C1117" i="3"/>
  <c r="G1116" i="3"/>
  <c r="E1116" i="3"/>
  <c r="C1116" i="3"/>
  <c r="G1115" i="3"/>
  <c r="E1115" i="3"/>
  <c r="C1115" i="3"/>
  <c r="G1114" i="3"/>
  <c r="E1114" i="3"/>
  <c r="C1114" i="3"/>
  <c r="G1113" i="3"/>
  <c r="E1113" i="3"/>
  <c r="C1113" i="3"/>
  <c r="G1112" i="3"/>
  <c r="E1112" i="3"/>
  <c r="C1112" i="3"/>
  <c r="G1111" i="3"/>
  <c r="E1111" i="3"/>
  <c r="C1111" i="3"/>
  <c r="G1110" i="3"/>
  <c r="E1110" i="3"/>
  <c r="C1110" i="3"/>
  <c r="G1109" i="3"/>
  <c r="E1109" i="3"/>
  <c r="C1109" i="3"/>
  <c r="G1108" i="3"/>
  <c r="E1108" i="3"/>
  <c r="C1108" i="3"/>
  <c r="G1107" i="3"/>
  <c r="E1107" i="3"/>
  <c r="C1107" i="3"/>
  <c r="G1106" i="3"/>
  <c r="E1106" i="3"/>
  <c r="C1106" i="3"/>
  <c r="G1105" i="3"/>
  <c r="E1105" i="3"/>
  <c r="C1105" i="3"/>
  <c r="G1104" i="3"/>
  <c r="E1104" i="3"/>
  <c r="C1104" i="3"/>
  <c r="G1103" i="3"/>
  <c r="E1103" i="3"/>
  <c r="C1103" i="3"/>
  <c r="G1102" i="3"/>
  <c r="E1102" i="3"/>
  <c r="C1102" i="3"/>
  <c r="G1101" i="3"/>
  <c r="E1101" i="3"/>
  <c r="C1101" i="3"/>
  <c r="G1100" i="3"/>
  <c r="E1100" i="3"/>
  <c r="C1100" i="3"/>
  <c r="G1099" i="3"/>
  <c r="E1099" i="3"/>
  <c r="C1099" i="3"/>
  <c r="G1098" i="3"/>
  <c r="E1098" i="3"/>
  <c r="C1098" i="3"/>
  <c r="G1097" i="3"/>
  <c r="E1097" i="3"/>
  <c r="C1097" i="3"/>
  <c r="G1096" i="3"/>
  <c r="E1096" i="3"/>
  <c r="C1096" i="3"/>
  <c r="G1095" i="3"/>
  <c r="E1095" i="3"/>
  <c r="C1095" i="3"/>
  <c r="G1094" i="3"/>
  <c r="E1094" i="3"/>
  <c r="C1094" i="3"/>
  <c r="G1093" i="3"/>
  <c r="E1093" i="3"/>
  <c r="C1093" i="3"/>
  <c r="G1092" i="3"/>
  <c r="E1092" i="3"/>
  <c r="C1092" i="3"/>
  <c r="G1091" i="3"/>
  <c r="E1091" i="3"/>
  <c r="C1091" i="3"/>
  <c r="G1090" i="3"/>
  <c r="E1090" i="3"/>
  <c r="C1090" i="3"/>
  <c r="G1089" i="3"/>
  <c r="E1089" i="3"/>
  <c r="C1089" i="3"/>
  <c r="G1088" i="3"/>
  <c r="E1088" i="3"/>
  <c r="C1088" i="3"/>
  <c r="G1087" i="3"/>
  <c r="E1087" i="3"/>
  <c r="C1087" i="3"/>
  <c r="G1086" i="3"/>
  <c r="E1086" i="3"/>
  <c r="C1086" i="3"/>
  <c r="G1085" i="3"/>
  <c r="E1085" i="3"/>
  <c r="C1085" i="3"/>
  <c r="G1084" i="3"/>
  <c r="E1084" i="3"/>
  <c r="C1084" i="3"/>
  <c r="G1083" i="3"/>
  <c r="E1083" i="3"/>
  <c r="C1083" i="3"/>
  <c r="G1082" i="3"/>
  <c r="E1082" i="3"/>
  <c r="C1082" i="3"/>
  <c r="G1081" i="3"/>
  <c r="E1081" i="3"/>
  <c r="C1081" i="3"/>
  <c r="G1080" i="3"/>
  <c r="E1080" i="3"/>
  <c r="C1080" i="3"/>
  <c r="G1079" i="3"/>
  <c r="E1079" i="3"/>
  <c r="C1079" i="3"/>
  <c r="G1078" i="3"/>
  <c r="E1078" i="3"/>
  <c r="C1078" i="3"/>
  <c r="G1077" i="3"/>
  <c r="E1077" i="3"/>
  <c r="C1077" i="3"/>
  <c r="G1076" i="3"/>
  <c r="E1076" i="3"/>
  <c r="C1076" i="3"/>
  <c r="G1075" i="3"/>
  <c r="E1075" i="3"/>
  <c r="C1075" i="3"/>
  <c r="G1074" i="3"/>
  <c r="E1074" i="3"/>
  <c r="C1074" i="3"/>
  <c r="G1073" i="3"/>
  <c r="E1073" i="3"/>
  <c r="C1073" i="3"/>
  <c r="G1072" i="3"/>
  <c r="E1072" i="3"/>
  <c r="C1072" i="3"/>
  <c r="G1071" i="3"/>
  <c r="E1071" i="3"/>
  <c r="C1071" i="3"/>
  <c r="G1070" i="3"/>
  <c r="E1070" i="3"/>
  <c r="C1070" i="3"/>
  <c r="G1069" i="3"/>
  <c r="E1069" i="3"/>
  <c r="C1069" i="3"/>
  <c r="G1068" i="3"/>
  <c r="E1068" i="3"/>
  <c r="C1068" i="3"/>
  <c r="G1067" i="3"/>
  <c r="E1067" i="3"/>
  <c r="C1067" i="3"/>
  <c r="G1066" i="3"/>
  <c r="E1066" i="3"/>
  <c r="C1066" i="3"/>
  <c r="G1065" i="3"/>
  <c r="E1065" i="3"/>
  <c r="C1065" i="3"/>
  <c r="G1064" i="3"/>
  <c r="E1064" i="3"/>
  <c r="C1064" i="3"/>
  <c r="G1063" i="3"/>
  <c r="E1063" i="3"/>
  <c r="C1063" i="3"/>
  <c r="G1062" i="3"/>
  <c r="E1062" i="3"/>
  <c r="C1062" i="3"/>
  <c r="G1061" i="3"/>
  <c r="E1061" i="3"/>
  <c r="C1061" i="3"/>
  <c r="G1060" i="3"/>
  <c r="E1060" i="3"/>
  <c r="C1060" i="3"/>
  <c r="G1059" i="3"/>
  <c r="E1059" i="3"/>
  <c r="C1059" i="3"/>
  <c r="G1058" i="3"/>
  <c r="E1058" i="3"/>
  <c r="C1058" i="3"/>
  <c r="G1057" i="3"/>
  <c r="E1057" i="3"/>
  <c r="C1057" i="3"/>
  <c r="G1056" i="3"/>
  <c r="E1056" i="3"/>
  <c r="C1056" i="3"/>
  <c r="G1055" i="3"/>
  <c r="E1055" i="3"/>
  <c r="C1055" i="3"/>
  <c r="G1054" i="3"/>
  <c r="E1054" i="3"/>
  <c r="C1054" i="3"/>
  <c r="G1053" i="3"/>
  <c r="E1053" i="3"/>
  <c r="C1053" i="3"/>
  <c r="G1052" i="3"/>
  <c r="E1052" i="3"/>
  <c r="C1052" i="3"/>
  <c r="G1051" i="3"/>
  <c r="E1051" i="3"/>
  <c r="C1051" i="3"/>
  <c r="G1050" i="3"/>
  <c r="E1050" i="3"/>
  <c r="C1050" i="3"/>
  <c r="G1049" i="3"/>
  <c r="E1049" i="3"/>
  <c r="C1049" i="3"/>
  <c r="G1048" i="3"/>
  <c r="E1048" i="3"/>
  <c r="C1048" i="3"/>
  <c r="G1047" i="3"/>
  <c r="E1047" i="3"/>
  <c r="C1047" i="3"/>
  <c r="G1046" i="3"/>
  <c r="E1046" i="3"/>
  <c r="C1046" i="3"/>
  <c r="G1045" i="3"/>
  <c r="E1045" i="3"/>
  <c r="C1045" i="3"/>
  <c r="G1044" i="3"/>
  <c r="E1044" i="3"/>
  <c r="C1044" i="3"/>
  <c r="G1043" i="3"/>
  <c r="E1043" i="3"/>
  <c r="C1043" i="3"/>
  <c r="G1042" i="3"/>
  <c r="E1042" i="3"/>
  <c r="C1042" i="3"/>
  <c r="G1041" i="3"/>
  <c r="E1041" i="3"/>
  <c r="C1041" i="3"/>
  <c r="G1040" i="3"/>
  <c r="E1040" i="3"/>
  <c r="C1040" i="3"/>
  <c r="G1039" i="3"/>
  <c r="E1039" i="3"/>
  <c r="C1039" i="3"/>
  <c r="G1038" i="3"/>
  <c r="E1038" i="3"/>
  <c r="C1038" i="3"/>
  <c r="G1037" i="3"/>
  <c r="E1037" i="3"/>
  <c r="C1037" i="3"/>
  <c r="G1036" i="3"/>
  <c r="E1036" i="3"/>
  <c r="C1036" i="3"/>
  <c r="G1035" i="3"/>
  <c r="E1035" i="3"/>
  <c r="C1035" i="3"/>
  <c r="G1034" i="3"/>
  <c r="E1034" i="3"/>
  <c r="C1034" i="3"/>
  <c r="G1033" i="3"/>
  <c r="E1033" i="3"/>
  <c r="C1033" i="3"/>
  <c r="G1032" i="3"/>
  <c r="E1032" i="3"/>
  <c r="C1032" i="3"/>
  <c r="G1031" i="3"/>
  <c r="E1031" i="3"/>
  <c r="C1031" i="3"/>
  <c r="G1030" i="3"/>
  <c r="E1030" i="3"/>
  <c r="C1030" i="3"/>
  <c r="G1029" i="3"/>
  <c r="E1029" i="3"/>
  <c r="C1029" i="3"/>
  <c r="G1028" i="3"/>
  <c r="E1028" i="3"/>
  <c r="C1028" i="3"/>
  <c r="G1027" i="3"/>
  <c r="E1027" i="3"/>
  <c r="C1027" i="3"/>
  <c r="G1026" i="3"/>
  <c r="E1026" i="3"/>
  <c r="C1026" i="3"/>
  <c r="G1025" i="3"/>
  <c r="E1025" i="3"/>
  <c r="C1025" i="3"/>
  <c r="G1024" i="3"/>
  <c r="E1024" i="3"/>
  <c r="C1024" i="3"/>
  <c r="G1023" i="3"/>
  <c r="E1023" i="3"/>
  <c r="C1023" i="3"/>
  <c r="G1022" i="3"/>
  <c r="E1022" i="3"/>
  <c r="C1022" i="3"/>
  <c r="G1021" i="3"/>
  <c r="E1021" i="3"/>
  <c r="C1021" i="3"/>
  <c r="G1020" i="3"/>
  <c r="E1020" i="3"/>
  <c r="C1020" i="3"/>
  <c r="G1019" i="3"/>
  <c r="E1019" i="3"/>
  <c r="C1019" i="3"/>
  <c r="G1018" i="3"/>
  <c r="E1018" i="3"/>
  <c r="C1018" i="3"/>
  <c r="G1017" i="3"/>
  <c r="E1017" i="3"/>
  <c r="C1017" i="3"/>
  <c r="G1016" i="3"/>
  <c r="E1016" i="3"/>
  <c r="C1016" i="3"/>
  <c r="G1015" i="3"/>
  <c r="E1015" i="3"/>
  <c r="C1015" i="3"/>
  <c r="G1014" i="3"/>
  <c r="E1014" i="3"/>
  <c r="C1014" i="3"/>
  <c r="G1013" i="3"/>
  <c r="E1013" i="3"/>
  <c r="C1013" i="3"/>
  <c r="G1012" i="3"/>
  <c r="E1012" i="3"/>
  <c r="C1012" i="3"/>
  <c r="G1011" i="3"/>
  <c r="E1011" i="3"/>
  <c r="C1011" i="3"/>
  <c r="G1010" i="3"/>
  <c r="E1010" i="3"/>
  <c r="C1010" i="3"/>
  <c r="G1009" i="3"/>
  <c r="E1009" i="3"/>
  <c r="C1009" i="3"/>
  <c r="G1008" i="3"/>
  <c r="E1008" i="3"/>
  <c r="C1008" i="3"/>
  <c r="G1007" i="3"/>
  <c r="E1007" i="3"/>
  <c r="C1007" i="3"/>
  <c r="G1006" i="3"/>
  <c r="E1006" i="3"/>
  <c r="C1006" i="3"/>
  <c r="G1005" i="3"/>
  <c r="E1005" i="3"/>
  <c r="C1005" i="3"/>
  <c r="G1004" i="3"/>
  <c r="E1004" i="3"/>
  <c r="C1004" i="3"/>
  <c r="G1003" i="3"/>
  <c r="E1003" i="3"/>
  <c r="C1003" i="3"/>
  <c r="G1002" i="3"/>
  <c r="E1002" i="3"/>
  <c r="C1002" i="3"/>
  <c r="G1001" i="3"/>
  <c r="E1001" i="3"/>
  <c r="C1001" i="3"/>
  <c r="G1000" i="3"/>
  <c r="E1000" i="3"/>
  <c r="C1000" i="3"/>
  <c r="G999" i="3"/>
  <c r="E999" i="3"/>
  <c r="C999" i="3"/>
  <c r="G998" i="3"/>
  <c r="E998" i="3"/>
  <c r="C998" i="3"/>
  <c r="G997" i="3"/>
  <c r="E997" i="3"/>
  <c r="C997" i="3"/>
  <c r="G996" i="3"/>
  <c r="E996" i="3"/>
  <c r="C996" i="3"/>
  <c r="G995" i="3"/>
  <c r="E995" i="3"/>
  <c r="C995" i="3"/>
  <c r="G994" i="3"/>
  <c r="E994" i="3"/>
  <c r="C994" i="3"/>
  <c r="G993" i="3"/>
  <c r="E993" i="3"/>
  <c r="C993" i="3"/>
  <c r="G992" i="3"/>
  <c r="E992" i="3"/>
  <c r="C992" i="3"/>
  <c r="G991" i="3"/>
  <c r="E991" i="3"/>
  <c r="C991" i="3"/>
  <c r="G990" i="3"/>
  <c r="E990" i="3"/>
  <c r="C990" i="3"/>
  <c r="G989" i="3"/>
  <c r="E989" i="3"/>
  <c r="C989" i="3"/>
  <c r="G988" i="3"/>
  <c r="E988" i="3"/>
  <c r="C988" i="3"/>
  <c r="G987" i="3"/>
  <c r="E987" i="3"/>
  <c r="C987" i="3"/>
  <c r="G986" i="3"/>
  <c r="E986" i="3"/>
  <c r="C986" i="3"/>
  <c r="G985" i="3"/>
  <c r="E985" i="3"/>
  <c r="C985" i="3"/>
  <c r="G984" i="3"/>
  <c r="E984" i="3"/>
  <c r="C984" i="3"/>
  <c r="G983" i="3"/>
  <c r="E983" i="3"/>
  <c r="C983" i="3"/>
  <c r="G982" i="3"/>
  <c r="E982" i="3"/>
  <c r="C982" i="3"/>
  <c r="G981" i="3"/>
  <c r="E981" i="3"/>
  <c r="C981" i="3"/>
  <c r="G980" i="3"/>
  <c r="E980" i="3"/>
  <c r="C980" i="3"/>
  <c r="G979" i="3"/>
  <c r="E979" i="3"/>
  <c r="C979" i="3"/>
  <c r="G978" i="3"/>
  <c r="E978" i="3"/>
  <c r="C978" i="3"/>
  <c r="G977" i="3"/>
  <c r="E977" i="3"/>
  <c r="C977" i="3"/>
  <c r="G976" i="3"/>
  <c r="E976" i="3"/>
  <c r="C976" i="3"/>
  <c r="G975" i="3"/>
  <c r="E975" i="3"/>
  <c r="C975" i="3"/>
  <c r="G974" i="3"/>
  <c r="E974" i="3"/>
  <c r="C974" i="3"/>
  <c r="G973" i="3"/>
  <c r="E973" i="3"/>
  <c r="C973" i="3"/>
  <c r="G972" i="3"/>
  <c r="E972" i="3"/>
  <c r="C972" i="3"/>
  <c r="G971" i="3"/>
  <c r="E971" i="3"/>
  <c r="C971" i="3"/>
  <c r="G970" i="3"/>
  <c r="E970" i="3"/>
  <c r="C970" i="3"/>
  <c r="G969" i="3"/>
  <c r="E969" i="3"/>
  <c r="C969" i="3"/>
  <c r="G968" i="3"/>
  <c r="E968" i="3"/>
  <c r="C968" i="3"/>
  <c r="G967" i="3"/>
  <c r="E967" i="3"/>
  <c r="C967" i="3"/>
  <c r="G966" i="3"/>
  <c r="E966" i="3"/>
  <c r="C966" i="3"/>
  <c r="G965" i="3"/>
  <c r="E965" i="3"/>
  <c r="C965" i="3"/>
  <c r="G964" i="3"/>
  <c r="E964" i="3"/>
  <c r="C964" i="3"/>
  <c r="G963" i="3"/>
  <c r="E963" i="3"/>
  <c r="C963" i="3"/>
  <c r="G962" i="3"/>
  <c r="E962" i="3"/>
  <c r="C962" i="3"/>
  <c r="G961" i="3"/>
  <c r="E961" i="3"/>
  <c r="C961" i="3"/>
  <c r="G960" i="3"/>
  <c r="E960" i="3"/>
  <c r="C960" i="3"/>
  <c r="G959" i="3"/>
  <c r="E959" i="3"/>
  <c r="C959" i="3"/>
  <c r="G958" i="3"/>
  <c r="E958" i="3"/>
  <c r="C958" i="3"/>
  <c r="G957" i="3"/>
  <c r="E957" i="3"/>
  <c r="C957" i="3"/>
  <c r="G956" i="3"/>
  <c r="E956" i="3"/>
  <c r="C956" i="3"/>
  <c r="G955" i="3"/>
  <c r="E955" i="3"/>
  <c r="C955" i="3"/>
  <c r="G954" i="3"/>
  <c r="E954" i="3"/>
  <c r="C954" i="3"/>
  <c r="G953" i="3"/>
  <c r="E953" i="3"/>
  <c r="C953" i="3"/>
  <c r="G952" i="3"/>
  <c r="E952" i="3"/>
  <c r="C952" i="3"/>
  <c r="G951" i="3"/>
  <c r="E951" i="3"/>
  <c r="C951" i="3"/>
  <c r="G950" i="3"/>
  <c r="E950" i="3"/>
  <c r="C950" i="3"/>
  <c r="G949" i="3"/>
  <c r="E949" i="3"/>
  <c r="C949" i="3"/>
  <c r="G948" i="3"/>
  <c r="E948" i="3"/>
  <c r="C948" i="3"/>
  <c r="G947" i="3"/>
  <c r="E947" i="3"/>
  <c r="C947" i="3"/>
  <c r="G946" i="3"/>
  <c r="E946" i="3"/>
  <c r="C946" i="3"/>
  <c r="G945" i="3"/>
  <c r="E945" i="3"/>
  <c r="C945" i="3"/>
  <c r="G944" i="3"/>
  <c r="E944" i="3"/>
  <c r="C944" i="3"/>
  <c r="G943" i="3"/>
  <c r="E943" i="3"/>
  <c r="C943" i="3"/>
  <c r="G942" i="3"/>
  <c r="E942" i="3"/>
  <c r="C942" i="3"/>
  <c r="G941" i="3"/>
  <c r="E941" i="3"/>
  <c r="C941" i="3"/>
  <c r="G940" i="3"/>
  <c r="E940" i="3"/>
  <c r="C940" i="3"/>
  <c r="G939" i="3"/>
  <c r="E939" i="3"/>
  <c r="C939" i="3"/>
  <c r="G938" i="3"/>
  <c r="E938" i="3"/>
  <c r="C938" i="3"/>
  <c r="G937" i="3"/>
  <c r="E937" i="3"/>
  <c r="C937" i="3"/>
  <c r="G936" i="3"/>
  <c r="E936" i="3"/>
  <c r="C936" i="3"/>
  <c r="G935" i="3"/>
  <c r="E935" i="3"/>
  <c r="C935" i="3"/>
  <c r="G934" i="3"/>
  <c r="E934" i="3"/>
  <c r="C934" i="3"/>
  <c r="G933" i="3"/>
  <c r="E933" i="3"/>
  <c r="C933" i="3"/>
  <c r="G932" i="3"/>
  <c r="E932" i="3"/>
  <c r="C932" i="3"/>
  <c r="G931" i="3"/>
  <c r="E931" i="3"/>
  <c r="C931" i="3"/>
  <c r="G930" i="3"/>
  <c r="E930" i="3"/>
  <c r="C930" i="3"/>
  <c r="G929" i="3"/>
  <c r="E929" i="3"/>
  <c r="C929" i="3"/>
  <c r="G928" i="3"/>
  <c r="E928" i="3"/>
  <c r="C928" i="3"/>
  <c r="G927" i="3"/>
  <c r="E927" i="3"/>
  <c r="C927" i="3"/>
  <c r="G926" i="3"/>
  <c r="E926" i="3"/>
  <c r="C926" i="3"/>
  <c r="G925" i="3"/>
  <c r="E925" i="3"/>
  <c r="C925" i="3"/>
  <c r="G924" i="3"/>
  <c r="E924" i="3"/>
  <c r="C924" i="3"/>
  <c r="G923" i="3"/>
  <c r="E923" i="3"/>
  <c r="C923" i="3"/>
  <c r="G922" i="3"/>
  <c r="E922" i="3"/>
  <c r="C922" i="3"/>
  <c r="G921" i="3"/>
  <c r="E921" i="3"/>
  <c r="C921" i="3"/>
  <c r="G920" i="3"/>
  <c r="E920" i="3"/>
  <c r="C920" i="3"/>
  <c r="G919" i="3"/>
  <c r="E919" i="3"/>
  <c r="C919" i="3"/>
  <c r="G918" i="3"/>
  <c r="E918" i="3"/>
  <c r="C918" i="3"/>
  <c r="G917" i="3"/>
  <c r="E917" i="3"/>
  <c r="C917" i="3"/>
  <c r="G916" i="3"/>
  <c r="E916" i="3"/>
  <c r="C916" i="3"/>
  <c r="G915" i="3"/>
  <c r="E915" i="3"/>
  <c r="C915" i="3"/>
  <c r="G914" i="3"/>
  <c r="E914" i="3"/>
  <c r="C914" i="3"/>
  <c r="G913" i="3"/>
  <c r="E913" i="3"/>
  <c r="C913" i="3"/>
  <c r="G912" i="3"/>
  <c r="E912" i="3"/>
  <c r="C912" i="3"/>
  <c r="G911" i="3"/>
  <c r="E911" i="3"/>
  <c r="C911" i="3"/>
  <c r="G910" i="3"/>
  <c r="E910" i="3"/>
  <c r="C910" i="3"/>
  <c r="G909" i="3"/>
  <c r="E909" i="3"/>
  <c r="C909" i="3"/>
  <c r="G908" i="3"/>
  <c r="E908" i="3"/>
  <c r="C908" i="3"/>
  <c r="G907" i="3"/>
  <c r="E907" i="3"/>
  <c r="C907" i="3"/>
  <c r="G906" i="3"/>
  <c r="E906" i="3"/>
  <c r="C906" i="3"/>
  <c r="G905" i="3"/>
  <c r="E905" i="3"/>
  <c r="C905" i="3"/>
  <c r="G904" i="3"/>
  <c r="E904" i="3"/>
  <c r="C904" i="3"/>
  <c r="G903" i="3"/>
  <c r="E903" i="3"/>
  <c r="C903" i="3"/>
  <c r="G902" i="3"/>
  <c r="E902" i="3"/>
  <c r="C902" i="3"/>
  <c r="G901" i="3"/>
  <c r="E901" i="3"/>
  <c r="C901" i="3"/>
  <c r="G900" i="3"/>
  <c r="E900" i="3"/>
  <c r="C900" i="3"/>
  <c r="G899" i="3"/>
  <c r="E899" i="3"/>
  <c r="C899" i="3"/>
  <c r="G898" i="3"/>
  <c r="E898" i="3"/>
  <c r="C898" i="3"/>
  <c r="G897" i="3"/>
  <c r="E897" i="3"/>
  <c r="C897" i="3"/>
  <c r="G896" i="3"/>
  <c r="E896" i="3"/>
  <c r="C896" i="3"/>
  <c r="G895" i="3"/>
  <c r="E895" i="3"/>
  <c r="C895" i="3"/>
  <c r="G894" i="3"/>
  <c r="E894" i="3"/>
  <c r="C894" i="3"/>
  <c r="G893" i="3"/>
  <c r="E893" i="3"/>
  <c r="C893" i="3"/>
  <c r="G892" i="3"/>
  <c r="E892" i="3"/>
  <c r="C892" i="3"/>
  <c r="G891" i="3"/>
  <c r="E891" i="3"/>
  <c r="C891" i="3"/>
  <c r="G890" i="3"/>
  <c r="E890" i="3"/>
  <c r="C890" i="3"/>
  <c r="G889" i="3"/>
  <c r="E889" i="3"/>
  <c r="C889" i="3"/>
  <c r="G888" i="3"/>
  <c r="E888" i="3"/>
  <c r="C888" i="3"/>
  <c r="G887" i="3"/>
  <c r="E887" i="3"/>
  <c r="C887" i="3"/>
  <c r="G886" i="3"/>
  <c r="E886" i="3"/>
  <c r="C886" i="3"/>
  <c r="G885" i="3"/>
  <c r="E885" i="3"/>
  <c r="C885" i="3"/>
  <c r="G884" i="3"/>
  <c r="E884" i="3"/>
  <c r="C884" i="3"/>
  <c r="G883" i="3"/>
  <c r="E883" i="3"/>
  <c r="C883" i="3"/>
  <c r="G882" i="3"/>
  <c r="E882" i="3"/>
  <c r="C882" i="3"/>
  <c r="G881" i="3"/>
  <c r="E881" i="3"/>
  <c r="C881" i="3"/>
  <c r="G880" i="3"/>
  <c r="E880" i="3"/>
  <c r="C880" i="3"/>
  <c r="G879" i="3"/>
  <c r="E879" i="3"/>
  <c r="C879" i="3"/>
  <c r="G878" i="3"/>
  <c r="E878" i="3"/>
  <c r="C878" i="3"/>
  <c r="G877" i="3"/>
  <c r="E877" i="3"/>
  <c r="C877" i="3"/>
  <c r="G876" i="3"/>
  <c r="E876" i="3"/>
  <c r="C876" i="3"/>
  <c r="G875" i="3"/>
  <c r="E875" i="3"/>
  <c r="C875" i="3"/>
  <c r="G874" i="3"/>
  <c r="E874" i="3"/>
  <c r="C874" i="3"/>
  <c r="G873" i="3"/>
  <c r="E873" i="3"/>
  <c r="C873" i="3"/>
  <c r="G872" i="3"/>
  <c r="E872" i="3"/>
  <c r="C872" i="3"/>
  <c r="G871" i="3"/>
  <c r="E871" i="3"/>
  <c r="C871" i="3"/>
  <c r="G870" i="3"/>
  <c r="E870" i="3"/>
  <c r="C870" i="3"/>
  <c r="G869" i="3"/>
  <c r="E869" i="3"/>
  <c r="C869" i="3"/>
  <c r="G868" i="3"/>
  <c r="E868" i="3"/>
  <c r="C868" i="3"/>
  <c r="G867" i="3"/>
  <c r="E867" i="3"/>
  <c r="C867" i="3"/>
  <c r="G866" i="3"/>
  <c r="E866" i="3"/>
  <c r="C866" i="3"/>
  <c r="G865" i="3"/>
  <c r="E865" i="3"/>
  <c r="C865" i="3"/>
  <c r="G864" i="3"/>
  <c r="E864" i="3"/>
  <c r="C864" i="3"/>
  <c r="G863" i="3"/>
  <c r="E863" i="3"/>
  <c r="C863" i="3"/>
  <c r="G862" i="3"/>
  <c r="E862" i="3"/>
  <c r="C862" i="3"/>
  <c r="G861" i="3"/>
  <c r="E861" i="3"/>
  <c r="C861" i="3"/>
  <c r="G860" i="3"/>
  <c r="E860" i="3"/>
  <c r="C860" i="3"/>
  <c r="G859" i="3"/>
  <c r="E859" i="3"/>
  <c r="C859" i="3"/>
  <c r="G858" i="3"/>
  <c r="E858" i="3"/>
  <c r="C858" i="3"/>
  <c r="G857" i="3"/>
  <c r="E857" i="3"/>
  <c r="C857" i="3"/>
  <c r="G856" i="3"/>
  <c r="E856" i="3"/>
  <c r="C856" i="3"/>
  <c r="G855" i="3"/>
  <c r="E855" i="3"/>
  <c r="C855" i="3"/>
  <c r="G854" i="3"/>
  <c r="E854" i="3"/>
  <c r="C854" i="3"/>
  <c r="G853" i="3"/>
  <c r="E853" i="3"/>
  <c r="C853" i="3"/>
  <c r="G852" i="3"/>
  <c r="E852" i="3"/>
  <c r="C852" i="3"/>
  <c r="G851" i="3"/>
  <c r="E851" i="3"/>
  <c r="C851" i="3"/>
  <c r="G850" i="3"/>
  <c r="E850" i="3"/>
  <c r="C850" i="3"/>
  <c r="G849" i="3"/>
  <c r="E849" i="3"/>
  <c r="C849" i="3"/>
  <c r="G848" i="3"/>
  <c r="E848" i="3"/>
  <c r="C848" i="3"/>
  <c r="G847" i="3"/>
  <c r="E847" i="3"/>
  <c r="C847" i="3"/>
  <c r="G846" i="3"/>
  <c r="E846" i="3"/>
  <c r="C846" i="3"/>
  <c r="G845" i="3"/>
  <c r="E845" i="3"/>
  <c r="C845" i="3"/>
  <c r="G844" i="3"/>
  <c r="E844" i="3"/>
  <c r="C844" i="3"/>
  <c r="G843" i="3"/>
  <c r="E843" i="3"/>
  <c r="C843" i="3"/>
  <c r="G842" i="3"/>
  <c r="E842" i="3"/>
  <c r="C842" i="3"/>
  <c r="G841" i="3"/>
  <c r="E841" i="3"/>
  <c r="C841" i="3"/>
  <c r="G840" i="3"/>
  <c r="E840" i="3"/>
  <c r="C840" i="3"/>
  <c r="G839" i="3"/>
  <c r="E839" i="3"/>
  <c r="C839" i="3"/>
  <c r="G838" i="3"/>
  <c r="E838" i="3"/>
  <c r="C838" i="3"/>
  <c r="G837" i="3"/>
  <c r="E837" i="3"/>
  <c r="C837" i="3"/>
  <c r="G836" i="3"/>
  <c r="E836" i="3"/>
  <c r="C836" i="3"/>
  <c r="G835" i="3"/>
  <c r="E835" i="3"/>
  <c r="C835" i="3"/>
  <c r="G834" i="3"/>
  <c r="E834" i="3"/>
  <c r="C834" i="3"/>
  <c r="G833" i="3"/>
  <c r="E833" i="3"/>
  <c r="C833" i="3"/>
  <c r="G832" i="3"/>
  <c r="E832" i="3"/>
  <c r="C832" i="3"/>
  <c r="G831" i="3"/>
  <c r="E831" i="3"/>
  <c r="C831" i="3"/>
  <c r="G830" i="3"/>
  <c r="E830" i="3"/>
  <c r="C830" i="3"/>
  <c r="G829" i="3"/>
  <c r="E829" i="3"/>
  <c r="C829" i="3"/>
  <c r="G828" i="3"/>
  <c r="E828" i="3"/>
  <c r="C828" i="3"/>
  <c r="G827" i="3"/>
  <c r="E827" i="3"/>
  <c r="C827" i="3"/>
  <c r="G826" i="3"/>
  <c r="E826" i="3"/>
  <c r="C826" i="3"/>
  <c r="G825" i="3"/>
  <c r="E825" i="3"/>
  <c r="C825" i="3"/>
  <c r="G824" i="3"/>
  <c r="E824" i="3"/>
  <c r="C824" i="3"/>
  <c r="G823" i="3"/>
  <c r="E823" i="3"/>
  <c r="C823" i="3"/>
  <c r="G822" i="3"/>
  <c r="E822" i="3"/>
  <c r="C822" i="3"/>
  <c r="G821" i="3"/>
  <c r="E821" i="3"/>
  <c r="C821" i="3"/>
  <c r="G820" i="3"/>
  <c r="E820" i="3"/>
  <c r="C820" i="3"/>
  <c r="G819" i="3"/>
  <c r="E819" i="3"/>
  <c r="C819" i="3"/>
  <c r="G818" i="3"/>
  <c r="E818" i="3"/>
  <c r="C818" i="3"/>
  <c r="G817" i="3"/>
  <c r="E817" i="3"/>
  <c r="C817" i="3"/>
  <c r="G816" i="3"/>
  <c r="E816" i="3"/>
  <c r="C816" i="3"/>
  <c r="G815" i="3"/>
  <c r="E815" i="3"/>
  <c r="C815" i="3"/>
  <c r="G814" i="3"/>
  <c r="E814" i="3"/>
  <c r="C814" i="3"/>
  <c r="G813" i="3"/>
  <c r="E813" i="3"/>
  <c r="C813" i="3"/>
  <c r="G812" i="3"/>
  <c r="E812" i="3"/>
  <c r="C812" i="3"/>
  <c r="G811" i="3"/>
  <c r="E811" i="3"/>
  <c r="C811" i="3"/>
  <c r="G810" i="3"/>
  <c r="E810" i="3"/>
  <c r="C810" i="3"/>
  <c r="G809" i="3"/>
  <c r="E809" i="3"/>
  <c r="C809" i="3"/>
  <c r="G808" i="3"/>
  <c r="E808" i="3"/>
  <c r="C808" i="3"/>
  <c r="G807" i="3"/>
  <c r="E807" i="3"/>
  <c r="C807" i="3"/>
  <c r="G806" i="3"/>
  <c r="E806" i="3"/>
  <c r="C806" i="3"/>
  <c r="G805" i="3"/>
  <c r="E805" i="3"/>
  <c r="C805" i="3"/>
  <c r="G804" i="3"/>
  <c r="E804" i="3"/>
  <c r="C804" i="3"/>
  <c r="G803" i="3"/>
  <c r="E803" i="3"/>
  <c r="C803" i="3"/>
  <c r="G802" i="3"/>
  <c r="E802" i="3"/>
  <c r="C802" i="3"/>
  <c r="G801" i="3"/>
  <c r="E801" i="3"/>
  <c r="C801" i="3"/>
  <c r="G800" i="3"/>
  <c r="E800" i="3"/>
  <c r="C800" i="3"/>
  <c r="G799" i="3"/>
  <c r="E799" i="3"/>
  <c r="C799" i="3"/>
  <c r="G798" i="3"/>
  <c r="E798" i="3"/>
  <c r="C798" i="3"/>
  <c r="G797" i="3"/>
  <c r="E797" i="3"/>
  <c r="C797" i="3"/>
  <c r="G796" i="3"/>
  <c r="E796" i="3"/>
  <c r="C796" i="3"/>
  <c r="G795" i="3"/>
  <c r="E795" i="3"/>
  <c r="C795" i="3"/>
  <c r="G794" i="3"/>
  <c r="E794" i="3"/>
  <c r="C794" i="3"/>
  <c r="G793" i="3"/>
  <c r="E793" i="3"/>
  <c r="C793" i="3"/>
  <c r="G792" i="3"/>
  <c r="E792" i="3"/>
  <c r="C792" i="3"/>
  <c r="G791" i="3"/>
  <c r="E791" i="3"/>
  <c r="C791" i="3"/>
  <c r="G790" i="3"/>
  <c r="E790" i="3"/>
  <c r="C790" i="3"/>
  <c r="G789" i="3"/>
  <c r="E789" i="3"/>
  <c r="C789" i="3"/>
  <c r="G788" i="3"/>
  <c r="E788" i="3"/>
  <c r="C788" i="3"/>
  <c r="G787" i="3"/>
  <c r="E787" i="3"/>
  <c r="C787" i="3"/>
  <c r="G786" i="3"/>
  <c r="E786" i="3"/>
  <c r="C786" i="3"/>
  <c r="G785" i="3"/>
  <c r="E785" i="3"/>
  <c r="C785" i="3"/>
  <c r="G784" i="3"/>
  <c r="E784" i="3"/>
  <c r="C784" i="3"/>
  <c r="G783" i="3"/>
  <c r="E783" i="3"/>
  <c r="C783" i="3"/>
  <c r="G782" i="3"/>
  <c r="E782" i="3"/>
  <c r="C782" i="3"/>
  <c r="G781" i="3"/>
  <c r="E781" i="3"/>
  <c r="C781" i="3"/>
  <c r="G780" i="3"/>
  <c r="E780" i="3"/>
  <c r="C780" i="3"/>
  <c r="G779" i="3"/>
  <c r="E779" i="3"/>
  <c r="C779" i="3"/>
  <c r="G778" i="3"/>
  <c r="E778" i="3"/>
  <c r="C778" i="3"/>
  <c r="G777" i="3"/>
  <c r="E777" i="3"/>
  <c r="C777" i="3"/>
  <c r="G776" i="3"/>
  <c r="E776" i="3"/>
  <c r="C776" i="3"/>
  <c r="G775" i="3"/>
  <c r="E775" i="3"/>
  <c r="C775" i="3"/>
  <c r="G774" i="3"/>
  <c r="E774" i="3"/>
  <c r="C774" i="3"/>
  <c r="G773" i="3"/>
  <c r="E773" i="3"/>
  <c r="C773" i="3"/>
  <c r="G772" i="3"/>
  <c r="E772" i="3"/>
  <c r="C772" i="3"/>
  <c r="G771" i="3"/>
  <c r="E771" i="3"/>
  <c r="C771" i="3"/>
  <c r="G770" i="3"/>
  <c r="E770" i="3"/>
  <c r="C770" i="3"/>
  <c r="G769" i="3"/>
  <c r="E769" i="3"/>
  <c r="C769" i="3"/>
  <c r="G768" i="3"/>
  <c r="E768" i="3"/>
  <c r="C768" i="3"/>
  <c r="G767" i="3"/>
  <c r="E767" i="3"/>
  <c r="C767" i="3"/>
  <c r="G766" i="3"/>
  <c r="E766" i="3"/>
  <c r="C766" i="3"/>
  <c r="G765" i="3"/>
  <c r="E765" i="3"/>
  <c r="C765" i="3"/>
  <c r="G764" i="3"/>
  <c r="E764" i="3"/>
  <c r="C764" i="3"/>
  <c r="G763" i="3"/>
  <c r="E763" i="3"/>
  <c r="C763" i="3"/>
  <c r="G762" i="3"/>
  <c r="E762" i="3"/>
  <c r="C762" i="3"/>
  <c r="G761" i="3"/>
  <c r="E761" i="3"/>
  <c r="C761" i="3"/>
  <c r="G760" i="3"/>
  <c r="E760" i="3"/>
  <c r="C760" i="3"/>
  <c r="G759" i="3"/>
  <c r="E759" i="3"/>
  <c r="C759" i="3"/>
  <c r="G758" i="3"/>
  <c r="E758" i="3"/>
  <c r="C758" i="3"/>
  <c r="G757" i="3"/>
  <c r="E757" i="3"/>
  <c r="C757" i="3"/>
  <c r="G756" i="3"/>
  <c r="E756" i="3"/>
  <c r="C756" i="3"/>
  <c r="G755" i="3"/>
  <c r="E755" i="3"/>
  <c r="C755" i="3"/>
  <c r="G754" i="3"/>
  <c r="E754" i="3"/>
  <c r="C754" i="3"/>
  <c r="G753" i="3"/>
  <c r="E753" i="3"/>
  <c r="C753" i="3"/>
  <c r="G752" i="3"/>
  <c r="E752" i="3"/>
  <c r="C752" i="3"/>
  <c r="G751" i="3"/>
  <c r="E751" i="3"/>
  <c r="C751" i="3"/>
  <c r="G750" i="3"/>
  <c r="E750" i="3"/>
  <c r="C750" i="3"/>
  <c r="G749" i="3"/>
  <c r="E749" i="3"/>
  <c r="C749" i="3"/>
  <c r="G748" i="3"/>
  <c r="E748" i="3"/>
  <c r="C748" i="3"/>
  <c r="G747" i="3"/>
  <c r="E747" i="3"/>
  <c r="C747" i="3"/>
  <c r="G746" i="3"/>
  <c r="E746" i="3"/>
  <c r="C746" i="3"/>
  <c r="G745" i="3"/>
  <c r="E745" i="3"/>
  <c r="C745" i="3"/>
  <c r="G744" i="3"/>
  <c r="E744" i="3"/>
  <c r="C744" i="3"/>
  <c r="G743" i="3"/>
  <c r="E743" i="3"/>
  <c r="C743" i="3"/>
  <c r="G742" i="3"/>
  <c r="E742" i="3"/>
  <c r="C742" i="3"/>
  <c r="G741" i="3"/>
  <c r="E741" i="3"/>
  <c r="C741" i="3"/>
  <c r="G740" i="3"/>
  <c r="E740" i="3"/>
  <c r="C740" i="3"/>
  <c r="G739" i="3"/>
  <c r="E739" i="3"/>
  <c r="C739" i="3"/>
  <c r="G738" i="3"/>
  <c r="E738" i="3"/>
  <c r="C738" i="3"/>
  <c r="G737" i="3"/>
  <c r="E737" i="3"/>
  <c r="C737" i="3"/>
  <c r="G736" i="3"/>
  <c r="E736" i="3"/>
  <c r="C736" i="3"/>
  <c r="G735" i="3"/>
  <c r="E735" i="3"/>
  <c r="C735" i="3"/>
  <c r="G734" i="3"/>
  <c r="E734" i="3"/>
  <c r="C734" i="3"/>
  <c r="G733" i="3"/>
  <c r="E733" i="3"/>
  <c r="C733" i="3"/>
  <c r="G732" i="3"/>
  <c r="E732" i="3"/>
  <c r="C732" i="3"/>
  <c r="G731" i="3"/>
  <c r="E731" i="3"/>
  <c r="C731" i="3"/>
  <c r="G730" i="3"/>
  <c r="E730" i="3"/>
  <c r="C730" i="3"/>
  <c r="G729" i="3"/>
  <c r="E729" i="3"/>
  <c r="C729" i="3"/>
  <c r="G728" i="3"/>
  <c r="E728" i="3"/>
  <c r="C728" i="3"/>
  <c r="G727" i="3"/>
  <c r="E727" i="3"/>
  <c r="C727" i="3"/>
  <c r="G726" i="3"/>
  <c r="E726" i="3"/>
  <c r="C726" i="3"/>
  <c r="G725" i="3"/>
  <c r="E725" i="3"/>
  <c r="C725" i="3"/>
  <c r="G724" i="3"/>
  <c r="E724" i="3"/>
  <c r="C724" i="3"/>
  <c r="G723" i="3"/>
  <c r="E723" i="3"/>
  <c r="C723" i="3"/>
  <c r="G722" i="3"/>
  <c r="E722" i="3"/>
  <c r="C722" i="3"/>
  <c r="G721" i="3"/>
  <c r="E721" i="3"/>
  <c r="C721" i="3"/>
  <c r="G720" i="3"/>
  <c r="E720" i="3"/>
  <c r="C720" i="3"/>
  <c r="G719" i="3"/>
  <c r="E719" i="3"/>
  <c r="C719" i="3"/>
  <c r="G718" i="3"/>
  <c r="E718" i="3"/>
  <c r="C718" i="3"/>
  <c r="G717" i="3"/>
  <c r="E717" i="3"/>
  <c r="C717" i="3"/>
  <c r="G716" i="3"/>
  <c r="E716" i="3"/>
  <c r="C716" i="3"/>
  <c r="G715" i="3"/>
  <c r="E715" i="3"/>
  <c r="C715" i="3"/>
  <c r="G714" i="3"/>
  <c r="E714" i="3"/>
  <c r="C714" i="3"/>
  <c r="G713" i="3"/>
  <c r="E713" i="3"/>
  <c r="C713" i="3"/>
  <c r="G712" i="3"/>
  <c r="E712" i="3"/>
  <c r="C712" i="3"/>
  <c r="G711" i="3"/>
  <c r="E711" i="3"/>
  <c r="C711" i="3"/>
  <c r="G710" i="3"/>
  <c r="E710" i="3"/>
  <c r="C710" i="3"/>
  <c r="G709" i="3"/>
  <c r="E709" i="3"/>
  <c r="C709" i="3"/>
  <c r="G708" i="3"/>
  <c r="E708" i="3"/>
  <c r="C708" i="3"/>
  <c r="G707" i="3"/>
  <c r="E707" i="3"/>
  <c r="C707" i="3"/>
  <c r="G706" i="3"/>
  <c r="E706" i="3"/>
  <c r="C706" i="3"/>
  <c r="G705" i="3"/>
  <c r="E705" i="3"/>
  <c r="C705" i="3"/>
  <c r="G704" i="3"/>
  <c r="E704" i="3"/>
  <c r="C704" i="3"/>
  <c r="G703" i="3"/>
  <c r="E703" i="3"/>
  <c r="C703" i="3"/>
  <c r="G702" i="3"/>
  <c r="E702" i="3"/>
  <c r="C702" i="3"/>
  <c r="G701" i="3"/>
  <c r="E701" i="3"/>
  <c r="C701" i="3"/>
  <c r="G700" i="3"/>
  <c r="E700" i="3"/>
  <c r="C700" i="3"/>
  <c r="G699" i="3"/>
  <c r="E699" i="3"/>
  <c r="C699" i="3"/>
  <c r="G698" i="3"/>
  <c r="E698" i="3"/>
  <c r="C698" i="3"/>
  <c r="G697" i="3"/>
  <c r="E697" i="3"/>
  <c r="C697" i="3"/>
  <c r="G696" i="3"/>
  <c r="E696" i="3"/>
  <c r="C696" i="3"/>
  <c r="G695" i="3"/>
  <c r="E695" i="3"/>
  <c r="C695" i="3"/>
  <c r="G694" i="3"/>
  <c r="E694" i="3"/>
  <c r="C694" i="3"/>
  <c r="G693" i="3"/>
  <c r="E693" i="3"/>
  <c r="C693" i="3"/>
  <c r="G692" i="3"/>
  <c r="E692" i="3"/>
  <c r="C692" i="3"/>
  <c r="G691" i="3"/>
  <c r="E691" i="3"/>
  <c r="C691" i="3"/>
  <c r="G690" i="3"/>
  <c r="E690" i="3"/>
  <c r="C690" i="3"/>
  <c r="G689" i="3"/>
  <c r="E689" i="3"/>
  <c r="C689" i="3"/>
  <c r="G688" i="3"/>
  <c r="E688" i="3"/>
  <c r="C688" i="3"/>
  <c r="G687" i="3"/>
  <c r="E687" i="3"/>
  <c r="C687" i="3"/>
  <c r="G686" i="3"/>
  <c r="E686" i="3"/>
  <c r="C686" i="3"/>
  <c r="G685" i="3"/>
  <c r="E685" i="3"/>
  <c r="C685" i="3"/>
  <c r="G684" i="3"/>
  <c r="E684" i="3"/>
  <c r="C684" i="3"/>
  <c r="G683" i="3"/>
  <c r="E683" i="3"/>
  <c r="C683" i="3"/>
  <c r="G682" i="3"/>
  <c r="E682" i="3"/>
  <c r="C682" i="3"/>
  <c r="G681" i="3"/>
  <c r="E681" i="3"/>
  <c r="C681" i="3"/>
  <c r="G680" i="3"/>
  <c r="E680" i="3"/>
  <c r="C680" i="3"/>
  <c r="G679" i="3"/>
  <c r="E679" i="3"/>
  <c r="C679" i="3"/>
  <c r="G678" i="3"/>
  <c r="E678" i="3"/>
  <c r="C678" i="3"/>
  <c r="G677" i="3"/>
  <c r="E677" i="3"/>
  <c r="C677" i="3"/>
  <c r="G676" i="3"/>
  <c r="E676" i="3"/>
  <c r="C676" i="3"/>
  <c r="G675" i="3"/>
  <c r="E675" i="3"/>
  <c r="C675" i="3"/>
  <c r="G674" i="3"/>
  <c r="E674" i="3"/>
  <c r="C674" i="3"/>
  <c r="G673" i="3"/>
  <c r="E673" i="3"/>
  <c r="C673" i="3"/>
  <c r="G672" i="3"/>
  <c r="E672" i="3"/>
  <c r="C672" i="3"/>
  <c r="G671" i="3"/>
  <c r="E671" i="3"/>
  <c r="C671" i="3"/>
  <c r="G670" i="3"/>
  <c r="E670" i="3"/>
  <c r="C670" i="3"/>
  <c r="G669" i="3"/>
  <c r="E669" i="3"/>
  <c r="C669" i="3"/>
  <c r="G668" i="3"/>
  <c r="E668" i="3"/>
  <c r="C668" i="3"/>
  <c r="G667" i="3"/>
  <c r="E667" i="3"/>
  <c r="C667" i="3"/>
  <c r="G666" i="3"/>
  <c r="E666" i="3"/>
  <c r="C666" i="3"/>
  <c r="G665" i="3"/>
  <c r="E665" i="3"/>
  <c r="C665" i="3"/>
  <c r="G664" i="3"/>
  <c r="E664" i="3"/>
  <c r="C664" i="3"/>
  <c r="G663" i="3"/>
  <c r="E663" i="3"/>
  <c r="C663" i="3"/>
  <c r="G662" i="3"/>
  <c r="E662" i="3"/>
  <c r="C662" i="3"/>
  <c r="G661" i="3"/>
  <c r="E661" i="3"/>
  <c r="C661" i="3"/>
  <c r="G660" i="3"/>
  <c r="E660" i="3"/>
  <c r="C660" i="3"/>
  <c r="G659" i="3"/>
  <c r="E659" i="3"/>
  <c r="C659" i="3"/>
  <c r="G658" i="3"/>
  <c r="E658" i="3"/>
  <c r="C658" i="3"/>
  <c r="G657" i="3"/>
  <c r="E657" i="3"/>
  <c r="C657" i="3"/>
  <c r="G656" i="3"/>
  <c r="E656" i="3"/>
  <c r="C656" i="3"/>
  <c r="G655" i="3"/>
  <c r="E655" i="3"/>
  <c r="C655" i="3"/>
  <c r="G654" i="3"/>
  <c r="E654" i="3"/>
  <c r="C654" i="3"/>
  <c r="G653" i="3"/>
  <c r="E653" i="3"/>
  <c r="C653" i="3"/>
  <c r="G652" i="3"/>
  <c r="E652" i="3"/>
  <c r="C652" i="3"/>
  <c r="G651" i="3"/>
  <c r="E651" i="3"/>
  <c r="C651" i="3"/>
  <c r="G650" i="3"/>
  <c r="E650" i="3"/>
  <c r="C650" i="3"/>
  <c r="G649" i="3"/>
  <c r="E649" i="3"/>
  <c r="C649" i="3"/>
  <c r="G648" i="3"/>
  <c r="E648" i="3"/>
  <c r="C648" i="3"/>
  <c r="G647" i="3"/>
  <c r="E647" i="3"/>
  <c r="C647" i="3"/>
  <c r="G646" i="3"/>
  <c r="E646" i="3"/>
  <c r="C646" i="3"/>
  <c r="G645" i="3"/>
  <c r="E645" i="3"/>
  <c r="C645" i="3"/>
  <c r="G644" i="3"/>
  <c r="E644" i="3"/>
  <c r="C644" i="3"/>
  <c r="G643" i="3"/>
  <c r="E643" i="3"/>
  <c r="C643" i="3"/>
  <c r="G642" i="3"/>
  <c r="E642" i="3"/>
  <c r="C642" i="3"/>
  <c r="G641" i="3"/>
  <c r="E641" i="3"/>
  <c r="C641" i="3"/>
  <c r="G640" i="3"/>
  <c r="E640" i="3"/>
  <c r="C640" i="3"/>
  <c r="G639" i="3"/>
  <c r="E639" i="3"/>
  <c r="C639" i="3"/>
  <c r="G638" i="3"/>
  <c r="E638" i="3"/>
  <c r="C638" i="3"/>
  <c r="G637" i="3"/>
  <c r="E637" i="3"/>
  <c r="C637" i="3"/>
  <c r="G636" i="3"/>
  <c r="E636" i="3"/>
  <c r="C636" i="3"/>
  <c r="G635" i="3"/>
  <c r="E635" i="3"/>
  <c r="C635" i="3"/>
  <c r="G634" i="3"/>
  <c r="E634" i="3"/>
  <c r="C634" i="3"/>
  <c r="G633" i="3"/>
  <c r="E633" i="3"/>
  <c r="C633" i="3"/>
  <c r="G632" i="3"/>
  <c r="E632" i="3"/>
  <c r="C632" i="3"/>
  <c r="G631" i="3"/>
  <c r="E631" i="3"/>
  <c r="C631" i="3"/>
  <c r="G630" i="3"/>
  <c r="E630" i="3"/>
  <c r="C630" i="3"/>
  <c r="G629" i="3"/>
  <c r="E629" i="3"/>
  <c r="C629" i="3"/>
  <c r="G628" i="3"/>
  <c r="E628" i="3"/>
  <c r="C628" i="3"/>
  <c r="G627" i="3"/>
  <c r="E627" i="3"/>
  <c r="C627" i="3"/>
  <c r="G626" i="3"/>
  <c r="E626" i="3"/>
  <c r="C626" i="3"/>
  <c r="G625" i="3"/>
  <c r="E625" i="3"/>
  <c r="C625" i="3"/>
  <c r="G624" i="3"/>
  <c r="E624" i="3"/>
  <c r="C624" i="3"/>
  <c r="G623" i="3"/>
  <c r="E623" i="3"/>
  <c r="C623" i="3"/>
  <c r="G622" i="3"/>
  <c r="E622" i="3"/>
  <c r="C622" i="3"/>
  <c r="G621" i="3"/>
  <c r="E621" i="3"/>
  <c r="C621" i="3"/>
  <c r="G620" i="3"/>
  <c r="E620" i="3"/>
  <c r="C620" i="3"/>
  <c r="G619" i="3"/>
  <c r="E619" i="3"/>
  <c r="C619" i="3"/>
  <c r="G618" i="3"/>
  <c r="E618" i="3"/>
  <c r="C618" i="3"/>
  <c r="G617" i="3"/>
  <c r="E617" i="3"/>
  <c r="C617" i="3"/>
  <c r="G616" i="3"/>
  <c r="E616" i="3"/>
  <c r="C616" i="3"/>
  <c r="G615" i="3"/>
  <c r="E615" i="3"/>
  <c r="C615" i="3"/>
  <c r="G614" i="3"/>
  <c r="E614" i="3"/>
  <c r="C614" i="3"/>
  <c r="G613" i="3"/>
  <c r="E613" i="3"/>
  <c r="C613" i="3"/>
  <c r="G612" i="3"/>
  <c r="E612" i="3"/>
  <c r="C612" i="3"/>
  <c r="G611" i="3"/>
  <c r="E611" i="3"/>
  <c r="C611" i="3"/>
  <c r="G610" i="3"/>
  <c r="E610" i="3"/>
  <c r="C610" i="3"/>
  <c r="G609" i="3"/>
  <c r="E609" i="3"/>
  <c r="C609" i="3"/>
  <c r="G608" i="3"/>
  <c r="E608" i="3"/>
  <c r="C608" i="3"/>
  <c r="G607" i="3"/>
  <c r="E607" i="3"/>
  <c r="C607" i="3"/>
  <c r="G606" i="3"/>
  <c r="E606" i="3"/>
  <c r="C606" i="3"/>
  <c r="G605" i="3"/>
  <c r="E605" i="3"/>
  <c r="C605" i="3"/>
  <c r="G604" i="3"/>
  <c r="E604" i="3"/>
  <c r="C604" i="3"/>
  <c r="G603" i="3"/>
  <c r="E603" i="3"/>
  <c r="C603" i="3"/>
  <c r="G602" i="3"/>
  <c r="E602" i="3"/>
  <c r="C602" i="3"/>
  <c r="G601" i="3"/>
  <c r="E601" i="3"/>
  <c r="C601" i="3"/>
  <c r="G600" i="3"/>
  <c r="E600" i="3"/>
  <c r="C600" i="3"/>
  <c r="G599" i="3"/>
  <c r="E599" i="3"/>
  <c r="C599" i="3"/>
  <c r="G598" i="3"/>
  <c r="E598" i="3"/>
  <c r="C598" i="3"/>
  <c r="G597" i="3"/>
  <c r="E597" i="3"/>
  <c r="C597" i="3"/>
  <c r="G596" i="3"/>
  <c r="E596" i="3"/>
  <c r="C596" i="3"/>
  <c r="G595" i="3"/>
  <c r="E595" i="3"/>
  <c r="C595" i="3"/>
  <c r="G594" i="3"/>
  <c r="E594" i="3"/>
  <c r="C594" i="3"/>
  <c r="G593" i="3"/>
  <c r="E593" i="3"/>
  <c r="C593" i="3"/>
  <c r="G592" i="3"/>
  <c r="E592" i="3"/>
  <c r="C592" i="3"/>
  <c r="G591" i="3"/>
  <c r="E591" i="3"/>
  <c r="C591" i="3"/>
  <c r="G590" i="3"/>
  <c r="E590" i="3"/>
  <c r="C590" i="3"/>
  <c r="G589" i="3"/>
  <c r="E589" i="3"/>
  <c r="C589" i="3"/>
  <c r="G588" i="3"/>
  <c r="E588" i="3"/>
  <c r="C588" i="3"/>
  <c r="G587" i="3"/>
  <c r="E587" i="3"/>
  <c r="C587" i="3"/>
  <c r="G586" i="3"/>
  <c r="E586" i="3"/>
  <c r="C586" i="3"/>
  <c r="G585" i="3"/>
  <c r="E585" i="3"/>
  <c r="C585" i="3"/>
  <c r="G584" i="3"/>
  <c r="E584" i="3"/>
  <c r="C584" i="3"/>
  <c r="G583" i="3"/>
  <c r="E583" i="3"/>
  <c r="C583" i="3"/>
  <c r="G582" i="3"/>
  <c r="E582" i="3"/>
  <c r="C582" i="3"/>
  <c r="G581" i="3"/>
  <c r="E581" i="3"/>
  <c r="C581" i="3"/>
  <c r="G580" i="3"/>
  <c r="E580" i="3"/>
  <c r="C580" i="3"/>
  <c r="G579" i="3"/>
  <c r="E579" i="3"/>
  <c r="C579" i="3"/>
  <c r="G578" i="3"/>
  <c r="E578" i="3"/>
  <c r="C578" i="3"/>
  <c r="G577" i="3"/>
  <c r="E577" i="3"/>
  <c r="C577" i="3"/>
  <c r="G576" i="3"/>
  <c r="E576" i="3"/>
  <c r="C576" i="3"/>
  <c r="G575" i="3"/>
  <c r="E575" i="3"/>
  <c r="C575" i="3"/>
  <c r="G574" i="3"/>
  <c r="E574" i="3"/>
  <c r="C574" i="3"/>
  <c r="G573" i="3"/>
  <c r="E573" i="3"/>
  <c r="C573" i="3"/>
  <c r="G572" i="3"/>
  <c r="E572" i="3"/>
  <c r="C572" i="3"/>
  <c r="G571" i="3"/>
  <c r="E571" i="3"/>
  <c r="C571" i="3"/>
  <c r="G570" i="3"/>
  <c r="E570" i="3"/>
  <c r="C570" i="3"/>
  <c r="G569" i="3"/>
  <c r="E569" i="3"/>
  <c r="C569" i="3"/>
  <c r="G568" i="3"/>
  <c r="E568" i="3"/>
  <c r="C568" i="3"/>
  <c r="G567" i="3"/>
  <c r="E567" i="3"/>
  <c r="C567" i="3"/>
  <c r="G566" i="3"/>
  <c r="E566" i="3"/>
  <c r="C566" i="3"/>
  <c r="G565" i="3"/>
  <c r="E565" i="3"/>
  <c r="C565" i="3"/>
  <c r="G564" i="3"/>
  <c r="E564" i="3"/>
  <c r="C564" i="3"/>
  <c r="G563" i="3"/>
  <c r="E563" i="3"/>
  <c r="C563" i="3"/>
  <c r="G562" i="3"/>
  <c r="E562" i="3"/>
  <c r="C562" i="3"/>
  <c r="G561" i="3"/>
  <c r="E561" i="3"/>
  <c r="C561" i="3"/>
  <c r="G560" i="3"/>
  <c r="E560" i="3"/>
  <c r="C560" i="3"/>
  <c r="G559" i="3"/>
  <c r="E559" i="3"/>
  <c r="C559" i="3"/>
  <c r="G558" i="3"/>
  <c r="E558" i="3"/>
  <c r="C558" i="3"/>
  <c r="G557" i="3"/>
  <c r="E557" i="3"/>
  <c r="C557" i="3"/>
  <c r="G556" i="3"/>
  <c r="E556" i="3"/>
  <c r="C556" i="3"/>
  <c r="G555" i="3"/>
  <c r="E555" i="3"/>
  <c r="C555" i="3"/>
  <c r="G554" i="3"/>
  <c r="E554" i="3"/>
  <c r="C554" i="3"/>
  <c r="G553" i="3"/>
  <c r="E553" i="3"/>
  <c r="C553" i="3"/>
  <c r="G552" i="3"/>
  <c r="E552" i="3"/>
  <c r="C552" i="3"/>
  <c r="G551" i="3"/>
  <c r="E551" i="3"/>
  <c r="C551" i="3"/>
  <c r="G550" i="3"/>
  <c r="E550" i="3"/>
  <c r="C550" i="3"/>
  <c r="G549" i="3"/>
  <c r="E549" i="3"/>
  <c r="C549" i="3"/>
  <c r="G548" i="3"/>
  <c r="E548" i="3"/>
  <c r="C548" i="3"/>
  <c r="G547" i="3"/>
  <c r="E547" i="3"/>
  <c r="C547" i="3"/>
  <c r="G546" i="3"/>
  <c r="E546" i="3"/>
  <c r="C546" i="3"/>
  <c r="G545" i="3"/>
  <c r="E545" i="3"/>
  <c r="C545" i="3"/>
  <c r="G544" i="3"/>
  <c r="E544" i="3"/>
  <c r="C544" i="3"/>
  <c r="G543" i="3"/>
  <c r="E543" i="3"/>
  <c r="C543" i="3"/>
  <c r="G542" i="3"/>
  <c r="E542" i="3"/>
  <c r="C542" i="3"/>
  <c r="G541" i="3"/>
  <c r="E541" i="3"/>
  <c r="C541" i="3"/>
  <c r="G540" i="3"/>
  <c r="E540" i="3"/>
  <c r="C540" i="3"/>
  <c r="G539" i="3"/>
  <c r="E539" i="3"/>
  <c r="C539" i="3"/>
  <c r="G538" i="3"/>
  <c r="E538" i="3"/>
  <c r="C538" i="3"/>
  <c r="G537" i="3"/>
  <c r="E537" i="3"/>
  <c r="C537" i="3"/>
  <c r="G536" i="3"/>
  <c r="E536" i="3"/>
  <c r="C536" i="3"/>
  <c r="G535" i="3"/>
  <c r="E535" i="3"/>
  <c r="C535" i="3"/>
  <c r="G534" i="3"/>
  <c r="E534" i="3"/>
  <c r="C534" i="3"/>
  <c r="G533" i="3"/>
  <c r="E533" i="3"/>
  <c r="C533" i="3"/>
  <c r="G532" i="3"/>
  <c r="E532" i="3"/>
  <c r="C532" i="3"/>
  <c r="G531" i="3"/>
  <c r="E531" i="3"/>
  <c r="C531" i="3"/>
  <c r="G530" i="3"/>
  <c r="E530" i="3"/>
  <c r="C530" i="3"/>
  <c r="G529" i="3"/>
  <c r="E529" i="3"/>
  <c r="C529" i="3"/>
  <c r="G528" i="3"/>
  <c r="E528" i="3"/>
  <c r="C528" i="3"/>
  <c r="G527" i="3"/>
  <c r="E527" i="3"/>
  <c r="C527" i="3"/>
  <c r="G526" i="3"/>
  <c r="E526" i="3"/>
  <c r="C526" i="3"/>
  <c r="G525" i="3"/>
  <c r="E525" i="3"/>
  <c r="C525" i="3"/>
  <c r="G524" i="3"/>
  <c r="E524" i="3"/>
  <c r="C524" i="3"/>
  <c r="G523" i="3"/>
  <c r="E523" i="3"/>
  <c r="C523" i="3"/>
  <c r="G522" i="3"/>
  <c r="E522" i="3"/>
  <c r="C522" i="3"/>
  <c r="G521" i="3"/>
  <c r="E521" i="3"/>
  <c r="C521" i="3"/>
  <c r="G520" i="3"/>
  <c r="E520" i="3"/>
  <c r="C520" i="3"/>
  <c r="G519" i="3"/>
  <c r="E519" i="3"/>
  <c r="C519" i="3"/>
  <c r="G518" i="3"/>
  <c r="E518" i="3"/>
  <c r="C518" i="3"/>
  <c r="G517" i="3"/>
  <c r="E517" i="3"/>
  <c r="C517" i="3"/>
  <c r="G516" i="3"/>
  <c r="E516" i="3"/>
  <c r="C516" i="3"/>
  <c r="G515" i="3"/>
  <c r="E515" i="3"/>
  <c r="C515" i="3"/>
  <c r="G514" i="3"/>
  <c r="E514" i="3"/>
  <c r="C514" i="3"/>
  <c r="G513" i="3"/>
  <c r="E513" i="3"/>
  <c r="C513" i="3"/>
  <c r="G512" i="3"/>
  <c r="E512" i="3"/>
  <c r="C512" i="3"/>
  <c r="G511" i="3"/>
  <c r="E511" i="3"/>
  <c r="C511" i="3"/>
  <c r="G510" i="3"/>
  <c r="E510" i="3"/>
  <c r="C510" i="3"/>
  <c r="G509" i="3"/>
  <c r="E509" i="3"/>
  <c r="C509" i="3"/>
  <c r="G508" i="3"/>
  <c r="E508" i="3"/>
  <c r="C508" i="3"/>
  <c r="G507" i="3"/>
  <c r="E507" i="3"/>
  <c r="C507" i="3"/>
  <c r="G506" i="3"/>
  <c r="E506" i="3"/>
  <c r="C506" i="3"/>
  <c r="G505" i="3"/>
  <c r="E505" i="3"/>
  <c r="C505" i="3"/>
  <c r="G504" i="3"/>
  <c r="E504" i="3"/>
  <c r="C504" i="3"/>
  <c r="G503" i="3"/>
  <c r="E503" i="3"/>
  <c r="C503" i="3"/>
  <c r="G502" i="3"/>
  <c r="E502" i="3"/>
  <c r="C502" i="3"/>
  <c r="G501" i="3"/>
  <c r="E501" i="3"/>
  <c r="C501" i="3"/>
  <c r="G500" i="3"/>
  <c r="E500" i="3"/>
  <c r="C500" i="3"/>
  <c r="G499" i="3"/>
  <c r="E499" i="3"/>
  <c r="C499" i="3"/>
  <c r="G498" i="3"/>
  <c r="E498" i="3"/>
  <c r="C498" i="3"/>
  <c r="G497" i="3"/>
  <c r="E497" i="3"/>
  <c r="C497" i="3"/>
  <c r="G496" i="3"/>
  <c r="E496" i="3"/>
  <c r="C496" i="3"/>
  <c r="G495" i="3"/>
  <c r="E495" i="3"/>
  <c r="C495" i="3"/>
  <c r="G494" i="3"/>
  <c r="E494" i="3"/>
  <c r="C494" i="3"/>
  <c r="G493" i="3"/>
  <c r="E493" i="3"/>
  <c r="C493" i="3"/>
  <c r="G492" i="3"/>
  <c r="E492" i="3"/>
  <c r="C492" i="3"/>
  <c r="G491" i="3"/>
  <c r="E491" i="3"/>
  <c r="C491" i="3"/>
  <c r="G490" i="3"/>
  <c r="E490" i="3"/>
  <c r="C490" i="3"/>
  <c r="G489" i="3"/>
  <c r="E489" i="3"/>
  <c r="C489" i="3"/>
  <c r="G488" i="3"/>
  <c r="E488" i="3"/>
  <c r="C488" i="3"/>
  <c r="G487" i="3"/>
  <c r="E487" i="3"/>
  <c r="C487" i="3"/>
  <c r="G486" i="3"/>
  <c r="E486" i="3"/>
  <c r="C486" i="3"/>
  <c r="G485" i="3"/>
  <c r="E485" i="3"/>
  <c r="C485" i="3"/>
  <c r="G484" i="3"/>
  <c r="E484" i="3"/>
  <c r="C484" i="3"/>
  <c r="G483" i="3"/>
  <c r="E483" i="3"/>
  <c r="C483" i="3"/>
  <c r="G482" i="3"/>
  <c r="E482" i="3"/>
  <c r="C482" i="3"/>
  <c r="G481" i="3"/>
  <c r="E481" i="3"/>
  <c r="C481" i="3"/>
  <c r="G480" i="3"/>
  <c r="E480" i="3"/>
  <c r="C480" i="3"/>
  <c r="G479" i="3"/>
  <c r="E479" i="3"/>
  <c r="C479" i="3"/>
  <c r="G478" i="3"/>
  <c r="E478" i="3"/>
  <c r="C478" i="3"/>
  <c r="G477" i="3"/>
  <c r="E477" i="3"/>
  <c r="C477" i="3"/>
  <c r="G476" i="3"/>
  <c r="E476" i="3"/>
  <c r="C476" i="3"/>
  <c r="G475" i="3"/>
  <c r="E475" i="3"/>
  <c r="C475" i="3"/>
  <c r="G474" i="3"/>
  <c r="E474" i="3"/>
  <c r="C474" i="3"/>
  <c r="G473" i="3"/>
  <c r="E473" i="3"/>
  <c r="C473" i="3"/>
  <c r="G472" i="3"/>
  <c r="E472" i="3"/>
  <c r="C472" i="3"/>
  <c r="G471" i="3"/>
  <c r="E471" i="3"/>
  <c r="C471" i="3"/>
  <c r="G470" i="3"/>
  <c r="E470" i="3"/>
  <c r="C470" i="3"/>
  <c r="G469" i="3"/>
  <c r="E469" i="3"/>
  <c r="C469" i="3"/>
  <c r="G468" i="3"/>
  <c r="E468" i="3"/>
  <c r="C468" i="3"/>
  <c r="G467" i="3"/>
  <c r="E467" i="3"/>
  <c r="C467" i="3"/>
  <c r="G466" i="3"/>
  <c r="E466" i="3"/>
  <c r="C466" i="3"/>
  <c r="G465" i="3"/>
  <c r="E465" i="3"/>
  <c r="C465" i="3"/>
  <c r="G464" i="3"/>
  <c r="E464" i="3"/>
  <c r="C464" i="3"/>
  <c r="G463" i="3"/>
  <c r="E463" i="3"/>
  <c r="C463" i="3"/>
  <c r="G462" i="3"/>
  <c r="E462" i="3"/>
  <c r="C462" i="3"/>
  <c r="G461" i="3"/>
  <c r="E461" i="3"/>
  <c r="C461" i="3"/>
  <c r="G460" i="3"/>
  <c r="E460" i="3"/>
  <c r="C460" i="3"/>
  <c r="G459" i="3"/>
  <c r="E459" i="3"/>
  <c r="C459" i="3"/>
  <c r="G458" i="3"/>
  <c r="E458" i="3"/>
  <c r="C458" i="3"/>
  <c r="G457" i="3"/>
  <c r="E457" i="3"/>
  <c r="C457" i="3"/>
  <c r="G456" i="3"/>
  <c r="E456" i="3"/>
  <c r="C456" i="3"/>
  <c r="G455" i="3"/>
  <c r="E455" i="3"/>
  <c r="C455" i="3"/>
  <c r="G454" i="3"/>
  <c r="E454" i="3"/>
  <c r="C454" i="3"/>
  <c r="G453" i="3"/>
  <c r="E453" i="3"/>
  <c r="C453" i="3"/>
  <c r="G452" i="3"/>
  <c r="E452" i="3"/>
  <c r="C452" i="3"/>
  <c r="G451" i="3"/>
  <c r="E451" i="3"/>
  <c r="C451" i="3"/>
  <c r="G450" i="3"/>
  <c r="E450" i="3"/>
  <c r="C450" i="3"/>
  <c r="G449" i="3"/>
  <c r="E449" i="3"/>
  <c r="C449" i="3"/>
  <c r="G448" i="3"/>
  <c r="E448" i="3"/>
  <c r="C448" i="3"/>
  <c r="G447" i="3"/>
  <c r="E447" i="3"/>
  <c r="C447" i="3"/>
  <c r="G446" i="3"/>
  <c r="E446" i="3"/>
  <c r="C446" i="3"/>
  <c r="G445" i="3"/>
  <c r="E445" i="3"/>
  <c r="C445" i="3"/>
  <c r="G444" i="3"/>
  <c r="E444" i="3"/>
  <c r="C444" i="3"/>
  <c r="G443" i="3"/>
  <c r="E443" i="3"/>
  <c r="C443" i="3"/>
  <c r="G442" i="3"/>
  <c r="E442" i="3"/>
  <c r="C442" i="3"/>
  <c r="G441" i="3"/>
  <c r="E441" i="3"/>
  <c r="C441" i="3"/>
  <c r="G440" i="3"/>
  <c r="E440" i="3"/>
  <c r="C440" i="3"/>
  <c r="G439" i="3"/>
  <c r="E439" i="3"/>
  <c r="C439" i="3"/>
  <c r="G438" i="3"/>
  <c r="E438" i="3"/>
  <c r="C438" i="3"/>
  <c r="G437" i="3"/>
  <c r="E437" i="3"/>
  <c r="C437" i="3"/>
  <c r="G436" i="3"/>
  <c r="E436" i="3"/>
  <c r="C436" i="3"/>
  <c r="G435" i="3"/>
  <c r="E435" i="3"/>
  <c r="C435" i="3"/>
  <c r="G434" i="3"/>
  <c r="E434" i="3"/>
  <c r="C434" i="3"/>
  <c r="G433" i="3"/>
  <c r="E433" i="3"/>
  <c r="C433" i="3"/>
  <c r="G432" i="3"/>
  <c r="E432" i="3"/>
  <c r="C432" i="3"/>
  <c r="G431" i="3"/>
  <c r="E431" i="3"/>
  <c r="C431" i="3"/>
  <c r="G430" i="3"/>
  <c r="E430" i="3"/>
  <c r="C430" i="3"/>
  <c r="G429" i="3"/>
  <c r="E429" i="3"/>
  <c r="C429" i="3"/>
  <c r="G428" i="3"/>
  <c r="E428" i="3"/>
  <c r="C428" i="3"/>
  <c r="G427" i="3"/>
  <c r="E427" i="3"/>
  <c r="C427" i="3"/>
  <c r="G426" i="3"/>
  <c r="E426" i="3"/>
  <c r="C426" i="3"/>
  <c r="G425" i="3"/>
  <c r="E425" i="3"/>
  <c r="C425" i="3"/>
  <c r="G424" i="3"/>
  <c r="E424" i="3"/>
  <c r="C424" i="3"/>
  <c r="G423" i="3"/>
  <c r="E423" i="3"/>
  <c r="C423" i="3"/>
  <c r="G422" i="3"/>
  <c r="E422" i="3"/>
  <c r="C422" i="3"/>
  <c r="G421" i="3"/>
  <c r="E421" i="3"/>
  <c r="C421" i="3"/>
  <c r="G420" i="3"/>
  <c r="E420" i="3"/>
  <c r="C420" i="3"/>
  <c r="G419" i="3"/>
  <c r="E419" i="3"/>
  <c r="C419" i="3"/>
  <c r="G418" i="3"/>
  <c r="E418" i="3"/>
  <c r="C418" i="3"/>
  <c r="G417" i="3"/>
  <c r="E417" i="3"/>
  <c r="C417" i="3"/>
  <c r="G416" i="3"/>
  <c r="E416" i="3"/>
  <c r="C416" i="3"/>
  <c r="G415" i="3"/>
  <c r="E415" i="3"/>
  <c r="C415" i="3"/>
  <c r="G414" i="3"/>
  <c r="E414" i="3"/>
  <c r="C414" i="3"/>
  <c r="G413" i="3"/>
  <c r="E413" i="3"/>
  <c r="C413" i="3"/>
  <c r="G412" i="3"/>
  <c r="E412" i="3"/>
  <c r="C412" i="3"/>
  <c r="G411" i="3"/>
  <c r="E411" i="3"/>
  <c r="C411" i="3"/>
  <c r="G410" i="3"/>
  <c r="E410" i="3"/>
  <c r="C410" i="3"/>
  <c r="G409" i="3"/>
  <c r="E409" i="3"/>
  <c r="C409" i="3"/>
  <c r="G408" i="3"/>
  <c r="E408" i="3"/>
  <c r="C408" i="3"/>
  <c r="G407" i="3"/>
  <c r="E407" i="3"/>
  <c r="C407" i="3"/>
  <c r="G406" i="3"/>
  <c r="E406" i="3"/>
  <c r="C406" i="3"/>
  <c r="G405" i="3"/>
  <c r="E405" i="3"/>
  <c r="C405" i="3"/>
  <c r="G404" i="3"/>
  <c r="E404" i="3"/>
  <c r="C404" i="3"/>
  <c r="G403" i="3"/>
  <c r="E403" i="3"/>
  <c r="C403" i="3"/>
  <c r="G402" i="3"/>
  <c r="E402" i="3"/>
  <c r="C402" i="3"/>
  <c r="G401" i="3"/>
  <c r="E401" i="3"/>
  <c r="C401" i="3"/>
  <c r="G400" i="3"/>
  <c r="E400" i="3"/>
  <c r="C400" i="3"/>
  <c r="G399" i="3"/>
  <c r="E399" i="3"/>
  <c r="C399" i="3"/>
  <c r="G398" i="3"/>
  <c r="E398" i="3"/>
  <c r="C398" i="3"/>
  <c r="G397" i="3"/>
  <c r="E397" i="3"/>
  <c r="C397" i="3"/>
  <c r="G396" i="3"/>
  <c r="E396" i="3"/>
  <c r="C396" i="3"/>
  <c r="G395" i="3"/>
  <c r="E395" i="3"/>
  <c r="C395" i="3"/>
  <c r="G394" i="3"/>
  <c r="E394" i="3"/>
  <c r="C394" i="3"/>
  <c r="G393" i="3"/>
  <c r="E393" i="3"/>
  <c r="C393" i="3"/>
  <c r="G392" i="3"/>
  <c r="E392" i="3"/>
  <c r="C392" i="3"/>
  <c r="G391" i="3"/>
  <c r="E391" i="3"/>
  <c r="C391" i="3"/>
  <c r="G390" i="3"/>
  <c r="E390" i="3"/>
  <c r="C390" i="3"/>
  <c r="G389" i="3"/>
  <c r="E389" i="3"/>
  <c r="C389" i="3"/>
  <c r="G388" i="3"/>
  <c r="E388" i="3"/>
  <c r="C388" i="3"/>
  <c r="G387" i="3"/>
  <c r="E387" i="3"/>
  <c r="C387" i="3"/>
  <c r="G386" i="3"/>
  <c r="E386" i="3"/>
  <c r="C386" i="3"/>
  <c r="G385" i="3"/>
  <c r="E385" i="3"/>
  <c r="C385" i="3"/>
  <c r="G384" i="3"/>
  <c r="E384" i="3"/>
  <c r="C384" i="3"/>
  <c r="G383" i="3"/>
  <c r="E383" i="3"/>
  <c r="C383" i="3"/>
  <c r="G382" i="3"/>
  <c r="E382" i="3"/>
  <c r="C382" i="3"/>
  <c r="G381" i="3"/>
  <c r="E381" i="3"/>
  <c r="C381" i="3"/>
  <c r="G380" i="3"/>
  <c r="E380" i="3"/>
  <c r="C380" i="3"/>
  <c r="G379" i="3"/>
  <c r="E379" i="3"/>
  <c r="C379" i="3"/>
  <c r="G378" i="3"/>
  <c r="E378" i="3"/>
  <c r="C378" i="3"/>
  <c r="G377" i="3"/>
  <c r="E377" i="3"/>
  <c r="C377" i="3"/>
  <c r="G376" i="3"/>
  <c r="E376" i="3"/>
  <c r="C376" i="3"/>
  <c r="G375" i="3"/>
  <c r="E375" i="3"/>
  <c r="C375" i="3"/>
  <c r="G374" i="3"/>
  <c r="E374" i="3"/>
  <c r="C374" i="3"/>
  <c r="G373" i="3"/>
  <c r="E373" i="3"/>
  <c r="C373" i="3"/>
  <c r="G372" i="3"/>
  <c r="E372" i="3"/>
  <c r="C372" i="3"/>
  <c r="G371" i="3"/>
  <c r="E371" i="3"/>
  <c r="C371" i="3"/>
  <c r="G370" i="3"/>
  <c r="E370" i="3"/>
  <c r="C370" i="3"/>
  <c r="G369" i="3"/>
  <c r="E369" i="3"/>
  <c r="C369" i="3"/>
  <c r="G368" i="3"/>
  <c r="E368" i="3"/>
  <c r="C368" i="3"/>
  <c r="G367" i="3"/>
  <c r="E367" i="3"/>
  <c r="C367" i="3"/>
  <c r="G366" i="3"/>
  <c r="E366" i="3"/>
  <c r="C366" i="3"/>
  <c r="G365" i="3"/>
  <c r="E365" i="3"/>
  <c r="C365" i="3"/>
  <c r="G364" i="3"/>
  <c r="E364" i="3"/>
  <c r="C364" i="3"/>
  <c r="G363" i="3"/>
  <c r="E363" i="3"/>
  <c r="C363" i="3"/>
  <c r="G362" i="3"/>
  <c r="E362" i="3"/>
  <c r="C362" i="3"/>
  <c r="G361" i="3"/>
  <c r="E361" i="3"/>
  <c r="C361" i="3"/>
  <c r="G360" i="3"/>
  <c r="E360" i="3"/>
  <c r="C360" i="3"/>
  <c r="G359" i="3"/>
  <c r="E359" i="3"/>
  <c r="C359" i="3"/>
  <c r="G358" i="3"/>
  <c r="E358" i="3"/>
  <c r="C358" i="3"/>
  <c r="G357" i="3"/>
  <c r="E357" i="3"/>
  <c r="C357" i="3"/>
  <c r="G356" i="3"/>
  <c r="E356" i="3"/>
  <c r="C356" i="3"/>
  <c r="G355" i="3"/>
  <c r="E355" i="3"/>
  <c r="C355" i="3"/>
  <c r="G354" i="3"/>
  <c r="E354" i="3"/>
  <c r="C354" i="3"/>
  <c r="G353" i="3"/>
  <c r="E353" i="3"/>
  <c r="C353" i="3"/>
  <c r="G352" i="3"/>
  <c r="E352" i="3"/>
  <c r="C352" i="3"/>
  <c r="G351" i="3"/>
  <c r="E351" i="3"/>
  <c r="C351" i="3"/>
  <c r="G350" i="3"/>
  <c r="E350" i="3"/>
  <c r="C350" i="3"/>
  <c r="G349" i="3"/>
  <c r="E349" i="3"/>
  <c r="C349" i="3"/>
  <c r="G348" i="3"/>
  <c r="E348" i="3"/>
  <c r="C348" i="3"/>
  <c r="G347" i="3"/>
  <c r="E347" i="3"/>
  <c r="C347" i="3"/>
  <c r="G346" i="3"/>
  <c r="E346" i="3"/>
  <c r="C346" i="3"/>
  <c r="G345" i="3"/>
  <c r="E345" i="3"/>
  <c r="C345" i="3"/>
  <c r="G344" i="3"/>
  <c r="E344" i="3"/>
  <c r="C344" i="3"/>
  <c r="G343" i="3"/>
  <c r="E343" i="3"/>
  <c r="C343" i="3"/>
  <c r="G342" i="3"/>
  <c r="E342" i="3"/>
  <c r="C342" i="3"/>
  <c r="G341" i="3"/>
  <c r="E341" i="3"/>
  <c r="C341" i="3"/>
  <c r="G340" i="3"/>
  <c r="E340" i="3"/>
  <c r="C340" i="3"/>
  <c r="G339" i="3"/>
  <c r="E339" i="3"/>
  <c r="C339" i="3"/>
  <c r="G338" i="3"/>
  <c r="E338" i="3"/>
  <c r="C338" i="3"/>
  <c r="G337" i="3"/>
  <c r="E337" i="3"/>
  <c r="C337" i="3"/>
  <c r="G336" i="3"/>
  <c r="E336" i="3"/>
  <c r="C336" i="3"/>
  <c r="G335" i="3"/>
  <c r="E335" i="3"/>
  <c r="C335" i="3"/>
  <c r="G334" i="3"/>
  <c r="E334" i="3"/>
  <c r="C334" i="3"/>
  <c r="G333" i="3"/>
  <c r="E333" i="3"/>
  <c r="C333" i="3"/>
  <c r="G332" i="3"/>
  <c r="E332" i="3"/>
  <c r="C332" i="3"/>
  <c r="G331" i="3"/>
  <c r="E331" i="3"/>
  <c r="C331" i="3"/>
  <c r="G330" i="3"/>
  <c r="E330" i="3"/>
  <c r="C330" i="3"/>
  <c r="G329" i="3"/>
  <c r="E329" i="3"/>
  <c r="C329" i="3"/>
  <c r="G328" i="3"/>
  <c r="E328" i="3"/>
  <c r="C328" i="3"/>
  <c r="G327" i="3"/>
  <c r="E327" i="3"/>
  <c r="C327" i="3"/>
  <c r="G326" i="3"/>
  <c r="E326" i="3"/>
  <c r="C326" i="3"/>
  <c r="G325" i="3"/>
  <c r="E325" i="3"/>
  <c r="C325" i="3"/>
  <c r="G324" i="3"/>
  <c r="E324" i="3"/>
  <c r="C324" i="3"/>
  <c r="G323" i="3"/>
  <c r="E323" i="3"/>
  <c r="C323" i="3"/>
  <c r="G322" i="3"/>
  <c r="E322" i="3"/>
  <c r="C322" i="3"/>
  <c r="G321" i="3"/>
  <c r="E321" i="3"/>
  <c r="C321" i="3"/>
  <c r="G320" i="3"/>
  <c r="E320" i="3"/>
  <c r="C320" i="3"/>
  <c r="G319" i="3"/>
  <c r="E319" i="3"/>
  <c r="C319" i="3"/>
  <c r="G318" i="3"/>
  <c r="E318" i="3"/>
  <c r="C318" i="3"/>
  <c r="G317" i="3"/>
  <c r="E317" i="3"/>
  <c r="C317" i="3"/>
  <c r="G316" i="3"/>
  <c r="E316" i="3"/>
  <c r="C316" i="3"/>
  <c r="G315" i="3"/>
  <c r="E315" i="3"/>
  <c r="C315" i="3"/>
  <c r="G314" i="3"/>
  <c r="E314" i="3"/>
  <c r="C314" i="3"/>
  <c r="G313" i="3"/>
  <c r="E313" i="3"/>
  <c r="C313" i="3"/>
  <c r="G312" i="3"/>
  <c r="E312" i="3"/>
  <c r="C312" i="3"/>
  <c r="G311" i="3"/>
  <c r="E311" i="3"/>
  <c r="C311" i="3"/>
  <c r="G310" i="3"/>
  <c r="E310" i="3"/>
  <c r="C310" i="3"/>
  <c r="G309" i="3"/>
  <c r="E309" i="3"/>
  <c r="C309" i="3"/>
  <c r="G308" i="3"/>
  <c r="E308" i="3"/>
  <c r="C308" i="3"/>
  <c r="G307" i="3"/>
  <c r="E307" i="3"/>
  <c r="C307" i="3"/>
  <c r="G306" i="3"/>
  <c r="E306" i="3"/>
  <c r="C306" i="3"/>
  <c r="G305" i="3"/>
  <c r="E305" i="3"/>
  <c r="C305" i="3"/>
  <c r="G304" i="3"/>
  <c r="E304" i="3"/>
  <c r="C304" i="3"/>
  <c r="G303" i="3"/>
  <c r="E303" i="3"/>
  <c r="C303" i="3"/>
  <c r="G302" i="3"/>
  <c r="E302" i="3"/>
  <c r="C302" i="3"/>
  <c r="G301" i="3"/>
  <c r="E301" i="3"/>
  <c r="C301" i="3"/>
  <c r="G300" i="3"/>
  <c r="E300" i="3"/>
  <c r="C300" i="3"/>
  <c r="G299" i="3"/>
  <c r="E299" i="3"/>
  <c r="C299" i="3"/>
  <c r="G298" i="3"/>
  <c r="E298" i="3"/>
  <c r="C298" i="3"/>
  <c r="G297" i="3"/>
  <c r="E297" i="3"/>
  <c r="C297" i="3"/>
  <c r="G296" i="3"/>
  <c r="E296" i="3"/>
  <c r="C296" i="3"/>
  <c r="G295" i="3"/>
  <c r="E295" i="3"/>
  <c r="C295" i="3"/>
  <c r="G294" i="3"/>
  <c r="E294" i="3"/>
  <c r="C294" i="3"/>
  <c r="G293" i="3"/>
  <c r="E293" i="3"/>
  <c r="C293" i="3"/>
  <c r="G292" i="3"/>
  <c r="E292" i="3"/>
  <c r="C292" i="3"/>
  <c r="G291" i="3"/>
  <c r="E291" i="3"/>
  <c r="C291" i="3"/>
  <c r="G290" i="3"/>
  <c r="E290" i="3"/>
  <c r="C290" i="3"/>
  <c r="G289" i="3"/>
  <c r="E289" i="3"/>
  <c r="C289" i="3"/>
  <c r="G288" i="3"/>
  <c r="E288" i="3"/>
  <c r="C288" i="3"/>
  <c r="G287" i="3"/>
  <c r="E287" i="3"/>
  <c r="C287" i="3"/>
  <c r="G286" i="3"/>
  <c r="E286" i="3"/>
  <c r="C286" i="3"/>
  <c r="G285" i="3"/>
  <c r="E285" i="3"/>
  <c r="C285" i="3"/>
  <c r="G284" i="3"/>
  <c r="E284" i="3"/>
  <c r="C284" i="3"/>
  <c r="G283" i="3"/>
  <c r="E283" i="3"/>
  <c r="C283" i="3"/>
  <c r="G282" i="3"/>
  <c r="E282" i="3"/>
  <c r="C282" i="3"/>
  <c r="G281" i="3"/>
  <c r="E281" i="3"/>
  <c r="C281" i="3"/>
  <c r="G280" i="3"/>
  <c r="E280" i="3"/>
  <c r="C280" i="3"/>
  <c r="G279" i="3"/>
  <c r="E279" i="3"/>
  <c r="C279" i="3"/>
  <c r="G278" i="3"/>
  <c r="E278" i="3"/>
  <c r="C278" i="3"/>
  <c r="G277" i="3"/>
  <c r="E277" i="3"/>
  <c r="C277" i="3"/>
  <c r="G276" i="3"/>
  <c r="E276" i="3"/>
  <c r="C276" i="3"/>
  <c r="G275" i="3"/>
  <c r="E275" i="3"/>
  <c r="C275" i="3"/>
  <c r="G274" i="3"/>
  <c r="E274" i="3"/>
  <c r="C274" i="3"/>
  <c r="G273" i="3"/>
  <c r="E273" i="3"/>
  <c r="C273" i="3"/>
  <c r="G272" i="3"/>
  <c r="E272" i="3"/>
  <c r="C272" i="3"/>
  <c r="G271" i="3"/>
  <c r="E271" i="3"/>
  <c r="C271" i="3"/>
  <c r="G270" i="3"/>
  <c r="E270" i="3"/>
  <c r="C270" i="3"/>
  <c r="G269" i="3"/>
  <c r="E269" i="3"/>
  <c r="C269" i="3"/>
  <c r="G268" i="3"/>
  <c r="E268" i="3"/>
  <c r="C268" i="3"/>
  <c r="G267" i="3"/>
  <c r="E267" i="3"/>
  <c r="C267" i="3"/>
  <c r="G266" i="3"/>
  <c r="E266" i="3"/>
  <c r="C266" i="3"/>
  <c r="G265" i="3"/>
  <c r="E265" i="3"/>
  <c r="C265" i="3"/>
  <c r="G264" i="3"/>
  <c r="E264" i="3"/>
  <c r="C264" i="3"/>
  <c r="G263" i="3"/>
  <c r="E263" i="3"/>
  <c r="C263" i="3"/>
  <c r="G262" i="3"/>
  <c r="E262" i="3"/>
  <c r="C262" i="3"/>
  <c r="G261" i="3"/>
  <c r="E261" i="3"/>
  <c r="C261" i="3"/>
  <c r="G260" i="3"/>
  <c r="E260" i="3"/>
  <c r="C260" i="3"/>
  <c r="G259" i="3"/>
  <c r="E259" i="3"/>
  <c r="C259" i="3"/>
  <c r="G258" i="3"/>
  <c r="E258" i="3"/>
  <c r="C258" i="3"/>
  <c r="G257" i="3"/>
  <c r="E257" i="3"/>
  <c r="C257" i="3"/>
  <c r="G256" i="3"/>
  <c r="E256" i="3"/>
  <c r="C256" i="3"/>
  <c r="G255" i="3"/>
  <c r="E255" i="3"/>
  <c r="C255" i="3"/>
  <c r="G254" i="3"/>
  <c r="E254" i="3"/>
  <c r="C254" i="3"/>
  <c r="G253" i="3"/>
  <c r="E253" i="3"/>
  <c r="C253" i="3"/>
  <c r="G252" i="3"/>
  <c r="E252" i="3"/>
  <c r="C252" i="3"/>
  <c r="G251" i="3"/>
  <c r="E251" i="3"/>
  <c r="C251" i="3"/>
  <c r="G250" i="3"/>
  <c r="E250" i="3"/>
  <c r="C250" i="3"/>
  <c r="G249" i="3"/>
  <c r="E249" i="3"/>
  <c r="C249" i="3"/>
  <c r="G248" i="3"/>
  <c r="E248" i="3"/>
  <c r="C248" i="3"/>
  <c r="G247" i="3"/>
  <c r="E247" i="3"/>
  <c r="C247" i="3"/>
  <c r="G246" i="3"/>
  <c r="E246" i="3"/>
  <c r="C246" i="3"/>
  <c r="G245" i="3"/>
  <c r="E245" i="3"/>
  <c r="C245" i="3"/>
  <c r="G244" i="3"/>
  <c r="E244" i="3"/>
  <c r="C244" i="3"/>
  <c r="G243" i="3"/>
  <c r="E243" i="3"/>
  <c r="C243" i="3"/>
  <c r="G242" i="3"/>
  <c r="E242" i="3"/>
  <c r="C242" i="3"/>
  <c r="G241" i="3"/>
  <c r="E241" i="3"/>
  <c r="C241" i="3"/>
  <c r="G240" i="3"/>
  <c r="E240" i="3"/>
  <c r="C240" i="3"/>
  <c r="G239" i="3"/>
  <c r="E239" i="3"/>
  <c r="C239" i="3"/>
  <c r="G238" i="3"/>
  <c r="E238" i="3"/>
  <c r="C238" i="3"/>
  <c r="G237" i="3"/>
  <c r="E237" i="3"/>
  <c r="C237" i="3"/>
  <c r="G236" i="3"/>
  <c r="E236" i="3"/>
  <c r="C236" i="3"/>
  <c r="G235" i="3"/>
  <c r="E235" i="3"/>
  <c r="C235" i="3"/>
  <c r="G234" i="3"/>
  <c r="E234" i="3"/>
  <c r="C234" i="3"/>
  <c r="G233" i="3"/>
  <c r="E233" i="3"/>
  <c r="C233" i="3"/>
  <c r="G232" i="3"/>
  <c r="E232" i="3"/>
  <c r="C232" i="3"/>
  <c r="G231" i="3"/>
  <c r="E231" i="3"/>
  <c r="C231" i="3"/>
  <c r="G230" i="3"/>
  <c r="E230" i="3"/>
  <c r="C230" i="3"/>
  <c r="G229" i="3"/>
  <c r="E229" i="3"/>
  <c r="C229" i="3"/>
  <c r="G228" i="3"/>
  <c r="E228" i="3"/>
  <c r="C228" i="3"/>
  <c r="G227" i="3"/>
  <c r="E227" i="3"/>
  <c r="C227" i="3"/>
  <c r="G226" i="3"/>
  <c r="E226" i="3"/>
  <c r="C226" i="3"/>
  <c r="G225" i="3"/>
  <c r="E225" i="3"/>
  <c r="C225" i="3"/>
  <c r="G224" i="3"/>
  <c r="E224" i="3"/>
  <c r="C224" i="3"/>
  <c r="G223" i="3"/>
  <c r="E223" i="3"/>
  <c r="C223" i="3"/>
  <c r="G222" i="3"/>
  <c r="E222" i="3"/>
  <c r="C222" i="3"/>
  <c r="G221" i="3"/>
  <c r="E221" i="3"/>
  <c r="C221" i="3"/>
  <c r="G220" i="3"/>
  <c r="E220" i="3"/>
  <c r="C220" i="3"/>
  <c r="G219" i="3"/>
  <c r="E219" i="3"/>
  <c r="C219" i="3"/>
  <c r="G218" i="3"/>
  <c r="E218" i="3"/>
  <c r="C218" i="3"/>
  <c r="G217" i="3"/>
  <c r="E217" i="3"/>
  <c r="C217" i="3"/>
  <c r="G216" i="3"/>
  <c r="E216" i="3"/>
  <c r="C216" i="3"/>
  <c r="G215" i="3"/>
  <c r="E215" i="3"/>
  <c r="C215" i="3"/>
  <c r="G214" i="3"/>
  <c r="E214" i="3"/>
  <c r="C214" i="3"/>
  <c r="G213" i="3"/>
  <c r="E213" i="3"/>
  <c r="C213" i="3"/>
  <c r="G212" i="3"/>
  <c r="E212" i="3"/>
  <c r="C212" i="3"/>
  <c r="G211" i="3"/>
  <c r="E211" i="3"/>
  <c r="C211" i="3"/>
  <c r="G210" i="3"/>
  <c r="E210" i="3"/>
  <c r="C210" i="3"/>
  <c r="G209" i="3"/>
  <c r="E209" i="3"/>
  <c r="C209" i="3"/>
  <c r="G208" i="3"/>
  <c r="E208" i="3"/>
  <c r="C208" i="3"/>
  <c r="G207" i="3"/>
  <c r="E207" i="3"/>
  <c r="C207" i="3"/>
  <c r="G206" i="3"/>
  <c r="E206" i="3"/>
  <c r="C206" i="3"/>
  <c r="G205" i="3"/>
  <c r="E205" i="3"/>
  <c r="C205" i="3"/>
  <c r="G204" i="3"/>
  <c r="E204" i="3"/>
  <c r="C204" i="3"/>
  <c r="G203" i="3"/>
  <c r="E203" i="3"/>
  <c r="C203" i="3"/>
  <c r="G202" i="3"/>
  <c r="E202" i="3"/>
  <c r="C202" i="3"/>
  <c r="G201" i="3"/>
  <c r="E201" i="3"/>
  <c r="C201" i="3"/>
  <c r="G200" i="3"/>
  <c r="E200" i="3"/>
  <c r="C200" i="3"/>
  <c r="G199" i="3"/>
  <c r="E199" i="3"/>
  <c r="C199" i="3"/>
  <c r="G198" i="3"/>
  <c r="E198" i="3"/>
  <c r="C198" i="3"/>
  <c r="G197" i="3"/>
  <c r="E197" i="3"/>
  <c r="C197" i="3"/>
  <c r="G196" i="3"/>
  <c r="E196" i="3"/>
  <c r="C196" i="3"/>
  <c r="G195" i="3"/>
  <c r="E195" i="3"/>
  <c r="C195" i="3"/>
  <c r="G194" i="3"/>
  <c r="E194" i="3"/>
  <c r="C194" i="3"/>
  <c r="G193" i="3"/>
  <c r="E193" i="3"/>
  <c r="C193" i="3"/>
  <c r="G192" i="3"/>
  <c r="E192" i="3"/>
  <c r="C192" i="3"/>
  <c r="G191" i="3"/>
  <c r="E191" i="3"/>
  <c r="C191" i="3"/>
  <c r="G190" i="3"/>
  <c r="E190" i="3"/>
  <c r="C190" i="3"/>
  <c r="G189" i="3"/>
  <c r="E189" i="3"/>
  <c r="C189" i="3"/>
  <c r="G188" i="3"/>
  <c r="E188" i="3"/>
  <c r="C188" i="3"/>
  <c r="G187" i="3"/>
  <c r="E187" i="3"/>
  <c r="C187" i="3"/>
  <c r="G186" i="3"/>
  <c r="E186" i="3"/>
  <c r="C186" i="3"/>
  <c r="G185" i="3"/>
  <c r="E185" i="3"/>
  <c r="C185" i="3"/>
  <c r="G184" i="3"/>
  <c r="E184" i="3"/>
  <c r="C184" i="3"/>
  <c r="G183" i="3"/>
  <c r="E183" i="3"/>
  <c r="C183" i="3"/>
  <c r="G182" i="3"/>
  <c r="E182" i="3"/>
  <c r="C182" i="3"/>
  <c r="G181" i="3"/>
  <c r="E181" i="3"/>
  <c r="C181" i="3"/>
  <c r="G180" i="3"/>
  <c r="E180" i="3"/>
  <c r="C180" i="3"/>
  <c r="G179" i="3"/>
  <c r="E179" i="3"/>
  <c r="C179" i="3"/>
  <c r="G178" i="3"/>
  <c r="E178" i="3"/>
  <c r="C178" i="3"/>
  <c r="G177" i="3"/>
  <c r="E177" i="3"/>
  <c r="C177" i="3"/>
  <c r="G176" i="3"/>
  <c r="E176" i="3"/>
  <c r="C176" i="3"/>
  <c r="G175" i="3"/>
  <c r="E175" i="3"/>
  <c r="C175" i="3"/>
  <c r="G174" i="3"/>
  <c r="E174" i="3"/>
  <c r="C174" i="3"/>
  <c r="G173" i="3"/>
  <c r="E173" i="3"/>
  <c r="C173" i="3"/>
  <c r="G172" i="3"/>
  <c r="E172" i="3"/>
  <c r="C172" i="3"/>
  <c r="G171" i="3"/>
  <c r="E171" i="3"/>
  <c r="C171" i="3"/>
  <c r="G170" i="3"/>
  <c r="E170" i="3"/>
  <c r="C170" i="3"/>
  <c r="G169" i="3"/>
  <c r="E169" i="3"/>
  <c r="C169" i="3"/>
  <c r="G168" i="3"/>
  <c r="E168" i="3"/>
  <c r="C168" i="3"/>
  <c r="G167" i="3"/>
  <c r="E167" i="3"/>
  <c r="C167" i="3"/>
  <c r="G166" i="3"/>
  <c r="E166" i="3"/>
  <c r="C166" i="3"/>
  <c r="G165" i="3"/>
  <c r="E165" i="3"/>
  <c r="C165" i="3"/>
  <c r="G164" i="3"/>
  <c r="E164" i="3"/>
  <c r="C164" i="3"/>
  <c r="G163" i="3"/>
  <c r="E163" i="3"/>
  <c r="C163" i="3"/>
  <c r="G162" i="3"/>
  <c r="E162" i="3"/>
  <c r="C162" i="3"/>
  <c r="G161" i="3"/>
  <c r="E161" i="3"/>
  <c r="C161" i="3"/>
  <c r="G160" i="3"/>
  <c r="E160" i="3"/>
  <c r="C160" i="3"/>
  <c r="G159" i="3"/>
  <c r="E159" i="3"/>
  <c r="C159" i="3"/>
  <c r="G158" i="3"/>
  <c r="E158" i="3"/>
  <c r="C158" i="3"/>
  <c r="G157" i="3"/>
  <c r="E157" i="3"/>
  <c r="C157" i="3"/>
  <c r="G156" i="3"/>
  <c r="E156" i="3"/>
  <c r="C156" i="3"/>
  <c r="G155" i="3"/>
  <c r="E155" i="3"/>
  <c r="C155" i="3"/>
  <c r="G154" i="3"/>
  <c r="E154" i="3"/>
  <c r="C154" i="3"/>
  <c r="G153" i="3"/>
  <c r="E153" i="3"/>
  <c r="C153" i="3"/>
  <c r="G152" i="3"/>
  <c r="E152" i="3"/>
  <c r="C152" i="3"/>
  <c r="G151" i="3"/>
  <c r="E151" i="3"/>
  <c r="C151" i="3"/>
  <c r="G150" i="3"/>
  <c r="E150" i="3"/>
  <c r="C150" i="3"/>
  <c r="G149" i="3"/>
  <c r="E149" i="3"/>
  <c r="C149" i="3"/>
  <c r="G148" i="3"/>
  <c r="E148" i="3"/>
  <c r="C148" i="3"/>
  <c r="G147" i="3"/>
  <c r="E147" i="3"/>
  <c r="C147" i="3"/>
  <c r="G146" i="3"/>
  <c r="E146" i="3"/>
  <c r="C146" i="3"/>
  <c r="G145" i="3"/>
  <c r="E145" i="3"/>
  <c r="C145" i="3"/>
  <c r="G144" i="3"/>
  <c r="E144" i="3"/>
  <c r="C144" i="3"/>
  <c r="G143" i="3"/>
  <c r="E143" i="3"/>
  <c r="C143" i="3"/>
  <c r="G142" i="3"/>
  <c r="E142" i="3"/>
  <c r="C142" i="3"/>
  <c r="G141" i="3"/>
  <c r="E141" i="3"/>
  <c r="C141" i="3"/>
  <c r="G140" i="3"/>
  <c r="E140" i="3"/>
  <c r="C140" i="3"/>
  <c r="G139" i="3"/>
  <c r="E139" i="3"/>
  <c r="C139" i="3"/>
  <c r="G138" i="3"/>
  <c r="E138" i="3"/>
  <c r="C138" i="3"/>
  <c r="G137" i="3"/>
  <c r="E137" i="3"/>
  <c r="C137" i="3"/>
  <c r="G136" i="3"/>
  <c r="K22" i="3" s="1"/>
  <c r="E136" i="3"/>
  <c r="C136" i="3"/>
  <c r="G135" i="3"/>
  <c r="E135" i="3"/>
  <c r="C135" i="3"/>
  <c r="G134" i="3"/>
  <c r="E134" i="3"/>
  <c r="C134" i="3"/>
  <c r="G133" i="3"/>
  <c r="E133" i="3"/>
  <c r="C133" i="3"/>
  <c r="G132" i="3"/>
  <c r="E132" i="3"/>
  <c r="C132" i="3"/>
  <c r="G131" i="3"/>
  <c r="E131" i="3"/>
  <c r="C131" i="3"/>
  <c r="G130" i="3"/>
  <c r="E130" i="3"/>
  <c r="C130" i="3"/>
  <c r="G129" i="3"/>
  <c r="E129" i="3"/>
  <c r="C129" i="3"/>
  <c r="G128" i="3"/>
  <c r="E128" i="3"/>
  <c r="C128" i="3"/>
  <c r="G127" i="3"/>
  <c r="E127" i="3"/>
  <c r="C127" i="3"/>
  <c r="G126" i="3"/>
  <c r="E126" i="3"/>
  <c r="C126" i="3"/>
  <c r="G125" i="3"/>
  <c r="E125" i="3"/>
  <c r="C125" i="3"/>
  <c r="G124" i="3"/>
  <c r="E124" i="3"/>
  <c r="C124" i="3"/>
  <c r="G123" i="3"/>
  <c r="E123" i="3"/>
  <c r="C123" i="3"/>
  <c r="G122" i="3"/>
  <c r="E122" i="3"/>
  <c r="C122" i="3"/>
  <c r="G121" i="3"/>
  <c r="E121" i="3"/>
  <c r="C121" i="3"/>
  <c r="G120" i="3"/>
  <c r="E120" i="3"/>
  <c r="C120" i="3"/>
  <c r="G119" i="3"/>
  <c r="E119" i="3"/>
  <c r="C119" i="3"/>
  <c r="G118" i="3"/>
  <c r="E118" i="3"/>
  <c r="C118" i="3"/>
  <c r="G117" i="3"/>
  <c r="E117" i="3"/>
  <c r="C117" i="3"/>
  <c r="G116" i="3"/>
  <c r="E116" i="3"/>
  <c r="C116" i="3"/>
  <c r="G115" i="3"/>
  <c r="E115" i="3"/>
  <c r="C115" i="3"/>
  <c r="G114" i="3"/>
  <c r="E114" i="3"/>
  <c r="C114" i="3"/>
  <c r="G113" i="3"/>
  <c r="E113" i="3"/>
  <c r="C113" i="3"/>
  <c r="G112" i="3"/>
  <c r="E112" i="3"/>
  <c r="C112" i="3"/>
  <c r="G111" i="3"/>
  <c r="E111" i="3"/>
  <c r="C111" i="3"/>
  <c r="G110" i="3"/>
  <c r="E110" i="3"/>
  <c r="C110" i="3"/>
  <c r="G109" i="3"/>
  <c r="E109" i="3"/>
  <c r="C109" i="3"/>
  <c r="G108" i="3"/>
  <c r="E108" i="3"/>
  <c r="C108" i="3"/>
  <c r="G107" i="3"/>
  <c r="E107" i="3"/>
  <c r="C107" i="3"/>
  <c r="G106" i="3"/>
  <c r="E106" i="3"/>
  <c r="C106" i="3"/>
  <c r="G105" i="3"/>
  <c r="E105" i="3"/>
  <c r="C105" i="3"/>
  <c r="G104" i="3"/>
  <c r="E104" i="3"/>
  <c r="C104" i="3"/>
  <c r="G103" i="3"/>
  <c r="E103" i="3"/>
  <c r="C103" i="3"/>
  <c r="G102" i="3"/>
  <c r="E102" i="3"/>
  <c r="C102" i="3"/>
  <c r="G101" i="3"/>
  <c r="E101" i="3"/>
  <c r="C101" i="3"/>
  <c r="G100" i="3"/>
  <c r="E100" i="3"/>
  <c r="C100" i="3"/>
  <c r="G99" i="3"/>
  <c r="E99" i="3"/>
  <c r="C99" i="3"/>
  <c r="G98" i="3"/>
  <c r="E98" i="3"/>
  <c r="C98" i="3"/>
  <c r="G97" i="3"/>
  <c r="E97" i="3"/>
  <c r="C97" i="3"/>
  <c r="G96" i="3"/>
  <c r="E96" i="3"/>
  <c r="C96" i="3"/>
  <c r="G95" i="3"/>
  <c r="E95" i="3"/>
  <c r="C95" i="3"/>
  <c r="G94" i="3"/>
  <c r="E94" i="3"/>
  <c r="C94" i="3"/>
  <c r="G93" i="3"/>
  <c r="E93" i="3"/>
  <c r="C93" i="3"/>
  <c r="G92" i="3"/>
  <c r="E92" i="3"/>
  <c r="C92" i="3"/>
  <c r="G91" i="3"/>
  <c r="E91" i="3"/>
  <c r="C91" i="3"/>
  <c r="G90" i="3"/>
  <c r="E90" i="3"/>
  <c r="C90" i="3"/>
  <c r="G89" i="3"/>
  <c r="E89" i="3"/>
  <c r="C89" i="3"/>
  <c r="G88" i="3"/>
  <c r="E88" i="3"/>
  <c r="C88" i="3"/>
  <c r="G87" i="3"/>
  <c r="E87" i="3"/>
  <c r="C87" i="3"/>
  <c r="G86" i="3"/>
  <c r="E86" i="3"/>
  <c r="C86" i="3"/>
  <c r="G85" i="3"/>
  <c r="E85" i="3"/>
  <c r="C85" i="3"/>
  <c r="G84" i="3"/>
  <c r="E84" i="3"/>
  <c r="C84" i="3"/>
  <c r="G83" i="3"/>
  <c r="E83" i="3"/>
  <c r="C83" i="3"/>
  <c r="G82" i="3"/>
  <c r="E82" i="3"/>
  <c r="C82" i="3"/>
  <c r="G81" i="3"/>
  <c r="E81" i="3"/>
  <c r="C81" i="3"/>
  <c r="G80" i="3"/>
  <c r="E80" i="3"/>
  <c r="C80" i="3"/>
  <c r="G79" i="3"/>
  <c r="E79" i="3"/>
  <c r="C79" i="3"/>
  <c r="G78" i="3"/>
  <c r="E78" i="3"/>
  <c r="C78" i="3"/>
  <c r="G77" i="3"/>
  <c r="E77" i="3"/>
  <c r="C77" i="3"/>
  <c r="G76" i="3"/>
  <c r="E76" i="3"/>
  <c r="C76" i="3"/>
  <c r="G75" i="3"/>
  <c r="E75" i="3"/>
  <c r="C75" i="3"/>
  <c r="G74" i="3"/>
  <c r="E74" i="3"/>
  <c r="C74" i="3"/>
  <c r="G73" i="3"/>
  <c r="E73" i="3"/>
  <c r="C73" i="3"/>
  <c r="G72" i="3"/>
  <c r="E72" i="3"/>
  <c r="C72" i="3"/>
  <c r="G71" i="3"/>
  <c r="E71" i="3"/>
  <c r="C71" i="3"/>
  <c r="G70" i="3"/>
  <c r="E70" i="3"/>
  <c r="C70" i="3"/>
  <c r="G69" i="3"/>
  <c r="E69" i="3"/>
  <c r="C69" i="3"/>
  <c r="G68" i="3"/>
  <c r="E68" i="3"/>
  <c r="C68" i="3"/>
  <c r="G67" i="3"/>
  <c r="E67" i="3"/>
  <c r="C67" i="3"/>
  <c r="G66" i="3"/>
  <c r="E66" i="3"/>
  <c r="C66" i="3"/>
  <c r="G65" i="3"/>
  <c r="E65" i="3"/>
  <c r="C65" i="3"/>
  <c r="G64" i="3"/>
  <c r="E64" i="3"/>
  <c r="C64" i="3"/>
  <c r="G63" i="3"/>
  <c r="E63" i="3"/>
  <c r="C63" i="3"/>
  <c r="G62" i="3"/>
  <c r="E62" i="3"/>
  <c r="C62" i="3"/>
  <c r="G61" i="3"/>
  <c r="E61" i="3"/>
  <c r="C61" i="3"/>
  <c r="G60" i="3"/>
  <c r="E60" i="3"/>
  <c r="C60" i="3"/>
  <c r="G59" i="3"/>
  <c r="E59" i="3"/>
  <c r="C59" i="3"/>
  <c r="G58" i="3"/>
  <c r="E58" i="3"/>
  <c r="C58" i="3"/>
  <c r="G57" i="3"/>
  <c r="E57" i="3"/>
  <c r="C57" i="3"/>
  <c r="G56" i="3"/>
  <c r="E56" i="3"/>
  <c r="C56" i="3"/>
  <c r="G55" i="3"/>
  <c r="E55" i="3"/>
  <c r="C55" i="3"/>
  <c r="G54" i="3"/>
  <c r="E54" i="3"/>
  <c r="C54" i="3"/>
  <c r="G53" i="3"/>
  <c r="E53" i="3"/>
  <c r="C53" i="3"/>
  <c r="G52" i="3"/>
  <c r="E52" i="3"/>
  <c r="C52" i="3"/>
  <c r="G51" i="3"/>
  <c r="E51" i="3"/>
  <c r="C51" i="3"/>
  <c r="G50" i="3"/>
  <c r="E50" i="3"/>
  <c r="C50" i="3"/>
  <c r="G49" i="3"/>
  <c r="E49" i="3"/>
  <c r="C49" i="3"/>
  <c r="G48" i="3"/>
  <c r="E48" i="3"/>
  <c r="C48" i="3"/>
  <c r="G47" i="3"/>
  <c r="E47" i="3"/>
  <c r="C47" i="3"/>
  <c r="G46" i="3"/>
  <c r="E46" i="3"/>
  <c r="C46" i="3"/>
  <c r="G45" i="3"/>
  <c r="E45" i="3"/>
  <c r="C45" i="3"/>
  <c r="G44" i="3"/>
  <c r="E44" i="3"/>
  <c r="C44" i="3"/>
  <c r="G43" i="3"/>
  <c r="E43" i="3"/>
  <c r="C43" i="3"/>
  <c r="G42" i="3"/>
  <c r="E42" i="3"/>
  <c r="C42" i="3"/>
  <c r="G41" i="3"/>
  <c r="E41" i="3"/>
  <c r="C41" i="3"/>
  <c r="G40" i="3"/>
  <c r="E40" i="3"/>
  <c r="C40" i="3"/>
  <c r="G39" i="3"/>
  <c r="E39" i="3"/>
  <c r="C39" i="3"/>
  <c r="G38" i="3"/>
  <c r="E38" i="3"/>
  <c r="C38" i="3"/>
  <c r="G37" i="3"/>
  <c r="E37" i="3"/>
  <c r="C37" i="3"/>
  <c r="G36" i="3"/>
  <c r="E36" i="3"/>
  <c r="C36" i="3"/>
  <c r="G35" i="3"/>
  <c r="L8" i="3" s="1"/>
  <c r="E35" i="3"/>
  <c r="C35" i="3"/>
  <c r="G34" i="3"/>
  <c r="L25" i="3" s="1"/>
  <c r="E34" i="3"/>
  <c r="C34" i="3"/>
  <c r="G33" i="3"/>
  <c r="E33" i="3"/>
  <c r="C33" i="3"/>
  <c r="G32" i="3"/>
  <c r="E32" i="3"/>
  <c r="C32" i="3"/>
  <c r="G31" i="3"/>
  <c r="E31" i="3"/>
  <c r="C31" i="3"/>
  <c r="G30" i="3"/>
  <c r="E30" i="3"/>
  <c r="C30" i="3"/>
  <c r="G29" i="3"/>
  <c r="E29" i="3"/>
  <c r="C29" i="3"/>
  <c r="G28" i="3"/>
  <c r="E28" i="3"/>
  <c r="C28" i="3"/>
  <c r="G27" i="3"/>
  <c r="E27" i="3"/>
  <c r="C27" i="3"/>
  <c r="G26" i="3"/>
  <c r="E26" i="3"/>
  <c r="C26" i="3"/>
  <c r="G25" i="3"/>
  <c r="E25" i="3"/>
  <c r="C25" i="3"/>
  <c r="G24" i="3"/>
  <c r="E24" i="3"/>
  <c r="C24" i="3"/>
  <c r="G23" i="3"/>
  <c r="E23" i="3"/>
  <c r="C23" i="3"/>
  <c r="G22" i="3"/>
  <c r="E22" i="3"/>
  <c r="C22" i="3"/>
  <c r="G21" i="3"/>
  <c r="E21" i="3"/>
  <c r="C21" i="3"/>
  <c r="G20" i="3"/>
  <c r="K7" i="3" s="1"/>
  <c r="E20" i="3"/>
  <c r="C20" i="3"/>
  <c r="G19" i="3"/>
  <c r="L26" i="3" s="1"/>
  <c r="E19" i="3"/>
  <c r="C19" i="3"/>
  <c r="G18" i="3"/>
  <c r="E18" i="3"/>
  <c r="C18" i="3"/>
  <c r="G17" i="3"/>
  <c r="E17" i="3"/>
  <c r="C17" i="3"/>
  <c r="G16" i="3"/>
  <c r="E16" i="3"/>
  <c r="C16" i="3"/>
  <c r="G15" i="3"/>
  <c r="E15" i="3"/>
  <c r="C15" i="3"/>
  <c r="G14" i="3"/>
  <c r="E14" i="3"/>
  <c r="C14" i="3"/>
  <c r="G13" i="3"/>
  <c r="E13" i="3"/>
  <c r="C13" i="3"/>
  <c r="G12" i="3"/>
  <c r="E12" i="3"/>
  <c r="C12" i="3"/>
  <c r="G11" i="3"/>
  <c r="E11" i="3"/>
  <c r="C11" i="3"/>
  <c r="G10" i="3"/>
  <c r="E10" i="3"/>
  <c r="C10" i="3"/>
  <c r="G9" i="3"/>
  <c r="E9" i="3"/>
  <c r="C9" i="3"/>
  <c r="G8" i="3"/>
  <c r="E8" i="3"/>
  <c r="C8" i="3"/>
  <c r="G7" i="3"/>
  <c r="E7" i="3"/>
  <c r="C7" i="3"/>
  <c r="G6" i="3"/>
  <c r="E6" i="3"/>
  <c r="C6" i="3"/>
  <c r="G5" i="3"/>
  <c r="E5" i="3"/>
  <c r="C5" i="3"/>
  <c r="G4" i="3"/>
  <c r="E4" i="3"/>
  <c r="C4" i="3"/>
  <c r="G3" i="3"/>
  <c r="E3" i="3"/>
  <c r="C3" i="3"/>
  <c r="L24" i="3"/>
  <c r="L29" i="3"/>
  <c r="K29" i="3"/>
  <c r="J29" i="3"/>
  <c r="L28" i="3"/>
  <c r="K28" i="3"/>
  <c r="J28" i="3"/>
  <c r="L27" i="3"/>
  <c r="K27" i="3"/>
  <c r="J27" i="3"/>
  <c r="J26" i="3"/>
  <c r="J25" i="3"/>
  <c r="K24" i="3"/>
  <c r="J24" i="3"/>
  <c r="L23" i="3"/>
  <c r="K23" i="3"/>
  <c r="J23" i="3"/>
  <c r="L22" i="3"/>
  <c r="J22" i="3"/>
  <c r="Q21" i="3"/>
  <c r="P21" i="3"/>
  <c r="O21" i="3"/>
  <c r="L21" i="3"/>
  <c r="K21" i="3"/>
  <c r="J21" i="3"/>
  <c r="Q20" i="3"/>
  <c r="P20" i="3"/>
  <c r="O20" i="3"/>
  <c r="L20" i="3"/>
  <c r="K20" i="3"/>
  <c r="J20" i="3"/>
  <c r="O19" i="3"/>
  <c r="L19" i="3"/>
  <c r="K19" i="3"/>
  <c r="J19" i="3"/>
  <c r="Q18" i="3"/>
  <c r="P18" i="3"/>
  <c r="O18" i="3"/>
  <c r="L18" i="3"/>
  <c r="K18" i="3"/>
  <c r="J18" i="3"/>
  <c r="Q17" i="3"/>
  <c r="P17" i="3"/>
  <c r="O17" i="3"/>
  <c r="L17" i="3"/>
  <c r="K17" i="3"/>
  <c r="J17" i="3"/>
  <c r="L12" i="3"/>
  <c r="Q16" i="3"/>
  <c r="P16" i="3"/>
  <c r="O16" i="3"/>
  <c r="L16" i="3"/>
  <c r="K16" i="3"/>
  <c r="J16" i="3"/>
  <c r="Q15" i="3"/>
  <c r="P15" i="3"/>
  <c r="O15" i="3"/>
  <c r="L15" i="3"/>
  <c r="K15" i="3"/>
  <c r="J15" i="3"/>
  <c r="Q14" i="3"/>
  <c r="P14" i="3"/>
  <c r="O14" i="3"/>
  <c r="L14" i="3"/>
  <c r="K14" i="3"/>
  <c r="J14" i="3"/>
  <c r="Q13" i="3"/>
  <c r="P13" i="3"/>
  <c r="O13" i="3"/>
  <c r="L13" i="3"/>
  <c r="K13" i="3"/>
  <c r="J13" i="3"/>
  <c r="Q12" i="3"/>
  <c r="P12" i="3"/>
  <c r="O12" i="3"/>
  <c r="K12" i="3"/>
  <c r="J12" i="3"/>
  <c r="Q11" i="3"/>
  <c r="P11" i="3"/>
  <c r="O11" i="3"/>
  <c r="L11" i="3"/>
  <c r="K11" i="3"/>
  <c r="J11" i="3"/>
  <c r="Q10" i="3"/>
  <c r="P10" i="3"/>
  <c r="O10" i="3"/>
  <c r="L10" i="3"/>
  <c r="K10" i="3"/>
  <c r="J10" i="3"/>
  <c r="Q9" i="3"/>
  <c r="P9" i="3"/>
  <c r="O9" i="3"/>
  <c r="L9" i="3"/>
  <c r="K9" i="3"/>
  <c r="J9" i="3"/>
  <c r="Q8" i="3"/>
  <c r="P8" i="3"/>
  <c r="O8" i="3"/>
  <c r="J8" i="3"/>
  <c r="Q7" i="3"/>
  <c r="P7" i="3"/>
  <c r="O7" i="3"/>
  <c r="L7" i="3"/>
  <c r="J7" i="3"/>
  <c r="Q6" i="3"/>
  <c r="P6" i="3"/>
  <c r="O6" i="3"/>
  <c r="L6" i="3"/>
  <c r="K6" i="3"/>
  <c r="J6" i="3"/>
  <c r="Q5" i="3"/>
  <c r="P5" i="3"/>
  <c r="O5" i="3"/>
  <c r="L5" i="3"/>
  <c r="K5" i="3"/>
  <c r="J5" i="3"/>
  <c r="Q19" i="3"/>
  <c r="Q4" i="3"/>
  <c r="P4" i="3"/>
  <c r="O4" i="3"/>
  <c r="L4" i="3"/>
  <c r="K4" i="3"/>
  <c r="J4" i="3"/>
  <c r="Q3" i="3"/>
  <c r="P3" i="3"/>
  <c r="O3" i="3"/>
  <c r="J3" i="3"/>
  <c r="AG1152" i="6"/>
  <c r="AG1151" i="6"/>
  <c r="AG1150" i="6"/>
  <c r="AG1149" i="6"/>
  <c r="AG1148" i="6"/>
  <c r="AG1147" i="6"/>
  <c r="AG1146" i="6"/>
  <c r="AG1145" i="6"/>
  <c r="AG1144" i="6"/>
  <c r="AG1143" i="6"/>
  <c r="AG1142" i="6"/>
  <c r="AG1141" i="6"/>
  <c r="AG1140" i="6"/>
  <c r="AG1139" i="6"/>
  <c r="AG1138" i="6"/>
  <c r="AG1137" i="6"/>
  <c r="AG1136" i="6"/>
  <c r="AG1134" i="6"/>
  <c r="AG1133" i="6"/>
  <c r="AG1132" i="6"/>
  <c r="AG1131" i="6"/>
  <c r="AG1130" i="6"/>
  <c r="AG1129" i="6"/>
  <c r="AG1128" i="6"/>
  <c r="AG1127" i="6"/>
  <c r="AG1126" i="6"/>
  <c r="AG1125" i="6"/>
  <c r="AG1124" i="6"/>
  <c r="AG1123" i="6"/>
  <c r="AG1122" i="6"/>
  <c r="AG1121" i="6"/>
  <c r="AG1120" i="6"/>
  <c r="AG1119" i="6"/>
  <c r="AG1118" i="6"/>
  <c r="AG1117" i="6"/>
  <c r="AG1116" i="6"/>
  <c r="AG1115" i="6"/>
  <c r="AG1114" i="6"/>
  <c r="AG1113" i="6"/>
  <c r="AG1112" i="6"/>
  <c r="AG1111" i="6"/>
  <c r="AG1110" i="6"/>
  <c r="AG1109" i="6"/>
  <c r="AG1108" i="6"/>
  <c r="AG1107" i="6"/>
  <c r="AG1106" i="6"/>
  <c r="AG1105" i="6"/>
  <c r="AG1104" i="6"/>
  <c r="AG1103" i="6"/>
  <c r="AG1102" i="6"/>
  <c r="AG1101" i="6"/>
  <c r="AG1100" i="6"/>
  <c r="AG1099" i="6"/>
  <c r="AG1098" i="6"/>
  <c r="AG1097" i="6"/>
  <c r="AG1096" i="6"/>
  <c r="AG1095" i="6"/>
  <c r="AG1094" i="6"/>
  <c r="AG1093" i="6"/>
  <c r="AG1092" i="6"/>
  <c r="AG1091" i="6"/>
  <c r="AG1090" i="6"/>
  <c r="AG1089" i="6"/>
  <c r="AG1088" i="6"/>
  <c r="AG1087" i="6"/>
  <c r="AG1086" i="6"/>
  <c r="AG1085" i="6"/>
  <c r="AG1084" i="6"/>
  <c r="AG1083" i="6"/>
  <c r="AG1082" i="6"/>
  <c r="AG1081" i="6"/>
  <c r="AG1080" i="6"/>
  <c r="AG1079" i="6"/>
  <c r="AG1078" i="6"/>
  <c r="AG1077" i="6"/>
  <c r="AG1076" i="6"/>
  <c r="AG1075" i="6"/>
  <c r="AG1074" i="6"/>
  <c r="AG1073" i="6"/>
  <c r="AG1072" i="6"/>
  <c r="AG1071" i="6"/>
  <c r="AG1070" i="6"/>
  <c r="AG1069" i="6"/>
  <c r="AG1068" i="6"/>
  <c r="AG1067" i="6"/>
  <c r="AG1066" i="6"/>
  <c r="AG1065" i="6"/>
  <c r="AG1064" i="6"/>
  <c r="AG1063" i="6"/>
  <c r="AG1062" i="6"/>
  <c r="AG1061" i="6"/>
  <c r="AG1060" i="6"/>
  <c r="AG1059" i="6"/>
  <c r="AG1058" i="6"/>
  <c r="AG1057" i="6"/>
  <c r="AG1056" i="6"/>
  <c r="AG1055" i="6"/>
  <c r="AG1054" i="6"/>
  <c r="AG1053" i="6"/>
  <c r="AG1052" i="6"/>
  <c r="AG1051" i="6"/>
  <c r="AG1050" i="6"/>
  <c r="AG1049" i="6"/>
  <c r="AG1048" i="6"/>
  <c r="AG1047" i="6"/>
  <c r="AG1046" i="6"/>
  <c r="AG1045" i="6"/>
  <c r="AG1044" i="6"/>
  <c r="AG1043" i="6"/>
  <c r="AG1042" i="6"/>
  <c r="AG1041" i="6"/>
  <c r="AG1040" i="6"/>
  <c r="AG1039" i="6"/>
  <c r="AG1038" i="6"/>
  <c r="AG1037" i="6"/>
  <c r="AG1036" i="6"/>
  <c r="AG1035" i="6"/>
  <c r="AG1034" i="6"/>
  <c r="AG1033" i="6"/>
  <c r="AG1032" i="6"/>
  <c r="AG1031" i="6"/>
  <c r="AG1030" i="6"/>
  <c r="AG1029" i="6"/>
  <c r="AG1028" i="6"/>
  <c r="AG1027" i="6"/>
  <c r="AG1026" i="6"/>
  <c r="AG1025" i="6"/>
  <c r="AG1024" i="6"/>
  <c r="AG1023" i="6"/>
  <c r="AG1022" i="6"/>
  <c r="AG1021" i="6"/>
  <c r="AG1020" i="6"/>
  <c r="AG1019" i="6"/>
  <c r="AG1018" i="6"/>
  <c r="AG1017" i="6"/>
  <c r="AG1016" i="6"/>
  <c r="AG1015" i="6"/>
  <c r="AG1014" i="6"/>
  <c r="AG1013" i="6"/>
  <c r="AG1012" i="6"/>
  <c r="AG1011" i="6"/>
  <c r="AG1010" i="6"/>
  <c r="AG1009" i="6"/>
  <c r="AG1008" i="6"/>
  <c r="AG1007" i="6"/>
  <c r="AG1006" i="6"/>
  <c r="AG1005" i="6"/>
  <c r="AG1004" i="6"/>
  <c r="AG1003" i="6"/>
  <c r="AG1002" i="6"/>
  <c r="AG1001" i="6"/>
  <c r="AG1000" i="6"/>
  <c r="AG999" i="6"/>
  <c r="AG998" i="6"/>
  <c r="AG997" i="6"/>
  <c r="AG996" i="6"/>
  <c r="AG995" i="6"/>
  <c r="AG994" i="6"/>
  <c r="AG993" i="6"/>
  <c r="AG992" i="6"/>
  <c r="AG991" i="6"/>
  <c r="AG990" i="6"/>
  <c r="AG989" i="6"/>
  <c r="AG988" i="6"/>
  <c r="AG987" i="6"/>
  <c r="AG986" i="6"/>
  <c r="AG985" i="6"/>
  <c r="AG984" i="6"/>
  <c r="AG983" i="6"/>
  <c r="AG982" i="6"/>
  <c r="AG981" i="6"/>
  <c r="AG980" i="6"/>
  <c r="AG979" i="6"/>
  <c r="AG978" i="6"/>
  <c r="AG977" i="6"/>
  <c r="AG976" i="6"/>
  <c r="AG975" i="6"/>
  <c r="AG974" i="6"/>
  <c r="AG973" i="6"/>
  <c r="AG972" i="6"/>
  <c r="AG971" i="6"/>
  <c r="AG970" i="6"/>
  <c r="AG969" i="6"/>
  <c r="AG968" i="6"/>
  <c r="AG967" i="6"/>
  <c r="AG966" i="6"/>
  <c r="AG965" i="6"/>
  <c r="AG964" i="6"/>
  <c r="AG963" i="6"/>
  <c r="AG962" i="6"/>
  <c r="AG961" i="6"/>
  <c r="AG960" i="6"/>
  <c r="AG959" i="6"/>
  <c r="AG958" i="6"/>
  <c r="AG957" i="6"/>
  <c r="AG956" i="6"/>
  <c r="AG955" i="6"/>
  <c r="AG954" i="6"/>
  <c r="AG953" i="6"/>
  <c r="AG952" i="6"/>
  <c r="AG951" i="6"/>
  <c r="AG950" i="6"/>
  <c r="AG949" i="6"/>
  <c r="AG948" i="6"/>
  <c r="AG947" i="6"/>
  <c r="AG946" i="6"/>
  <c r="AG945" i="6"/>
  <c r="AG944" i="6"/>
  <c r="AG943" i="6"/>
  <c r="AG942" i="6"/>
  <c r="AG941" i="6"/>
  <c r="AG940" i="6"/>
  <c r="AG939" i="6"/>
  <c r="AG938" i="6"/>
  <c r="AG937" i="6"/>
  <c r="AG936" i="6"/>
  <c r="AG935" i="6"/>
  <c r="AG934" i="6"/>
  <c r="AG933" i="6"/>
  <c r="AG932" i="6"/>
  <c r="AG931" i="6"/>
  <c r="AG930" i="6"/>
  <c r="AG929" i="6"/>
  <c r="AG928" i="6"/>
  <c r="AG927" i="6"/>
  <c r="AG926" i="6"/>
  <c r="AG925" i="6"/>
  <c r="AG924" i="6"/>
  <c r="AG923" i="6"/>
  <c r="AG922" i="6"/>
  <c r="AG921" i="6"/>
  <c r="AG920" i="6"/>
  <c r="AG919" i="6"/>
  <c r="AG918" i="6"/>
  <c r="AG917" i="6"/>
  <c r="AG916" i="6"/>
  <c r="AG915" i="6"/>
  <c r="AG914" i="6"/>
  <c r="AG913" i="6"/>
  <c r="AG912" i="6"/>
  <c r="AG911" i="6"/>
  <c r="AG910" i="6"/>
  <c r="AG909" i="6"/>
  <c r="AG908" i="6"/>
  <c r="AG907" i="6"/>
  <c r="AG906" i="6"/>
  <c r="AG905" i="6"/>
  <c r="AG904" i="6"/>
  <c r="AG903" i="6"/>
  <c r="AG902" i="6"/>
  <c r="AG901" i="6"/>
  <c r="AG900" i="6"/>
  <c r="AG899" i="6"/>
  <c r="AG898" i="6"/>
  <c r="AG897" i="6"/>
  <c r="AG896" i="6"/>
  <c r="AG895" i="6"/>
  <c r="AG894" i="6"/>
  <c r="AG893" i="6"/>
  <c r="AG892" i="6"/>
  <c r="AG891" i="6"/>
  <c r="AG890" i="6"/>
  <c r="AG889" i="6"/>
  <c r="AG888" i="6"/>
  <c r="AG887" i="6"/>
  <c r="AG886" i="6"/>
  <c r="AG885" i="6"/>
  <c r="AG884" i="6"/>
  <c r="AG883" i="6"/>
  <c r="AG882" i="6"/>
  <c r="AG881" i="6"/>
  <c r="AG880" i="6"/>
  <c r="AG879" i="6"/>
  <c r="AG878" i="6"/>
  <c r="AG877" i="6"/>
  <c r="AG876" i="6"/>
  <c r="AG875" i="6"/>
  <c r="AG874" i="6"/>
  <c r="AG873" i="6"/>
  <c r="AG872" i="6"/>
  <c r="AG871" i="6"/>
  <c r="AG870" i="6"/>
  <c r="AG869" i="6"/>
  <c r="AG868" i="6"/>
  <c r="AG867" i="6"/>
  <c r="AG866" i="6"/>
  <c r="AG865" i="6"/>
  <c r="AG864" i="6"/>
  <c r="AG863" i="6"/>
  <c r="AG862" i="6"/>
  <c r="AG861" i="6"/>
  <c r="AG860" i="6"/>
  <c r="AG859" i="6"/>
  <c r="AG858" i="6"/>
  <c r="AG857" i="6"/>
  <c r="AG856" i="6"/>
  <c r="AG855" i="6"/>
  <c r="AG854" i="6"/>
  <c r="AG853" i="6"/>
  <c r="AG852" i="6"/>
  <c r="AG851" i="6"/>
  <c r="AG850" i="6"/>
  <c r="AG849" i="6"/>
  <c r="AG848" i="6"/>
  <c r="AG847" i="6"/>
  <c r="AG846" i="6"/>
  <c r="AG845" i="6"/>
  <c r="AG844" i="6"/>
  <c r="AG843" i="6"/>
  <c r="AG842" i="6"/>
  <c r="AG841" i="6"/>
  <c r="AG840" i="6"/>
  <c r="AG839" i="6"/>
  <c r="AG838" i="6"/>
  <c r="AG837" i="6"/>
  <c r="AG836" i="6"/>
  <c r="AG835" i="6"/>
  <c r="AG834" i="6"/>
  <c r="AG833" i="6"/>
  <c r="AG832" i="6"/>
  <c r="AG831" i="6"/>
  <c r="AG830" i="6"/>
  <c r="AG829" i="6"/>
  <c r="AG828" i="6"/>
  <c r="AG827" i="6"/>
  <c r="AG826" i="6"/>
  <c r="AG825" i="6"/>
  <c r="AG824" i="6"/>
  <c r="AG823" i="6"/>
  <c r="AG822" i="6"/>
  <c r="AG821" i="6"/>
  <c r="AG820" i="6"/>
  <c r="AG819" i="6"/>
  <c r="AG818" i="6"/>
  <c r="AG817" i="6"/>
  <c r="AG816" i="6"/>
  <c r="AG815" i="6"/>
  <c r="AG814" i="6"/>
  <c r="AG813" i="6"/>
  <c r="AG812" i="6"/>
  <c r="AG811" i="6"/>
  <c r="AG810" i="6"/>
  <c r="AG809" i="6"/>
  <c r="AG808" i="6"/>
  <c r="AG807" i="6"/>
  <c r="AG806" i="6"/>
  <c r="AG805" i="6"/>
  <c r="AG804" i="6"/>
  <c r="AG803" i="6"/>
  <c r="AG802" i="6"/>
  <c r="AG801" i="6"/>
  <c r="AG800" i="6"/>
  <c r="AG799" i="6"/>
  <c r="AG798" i="6"/>
  <c r="AG797" i="6"/>
  <c r="AG796" i="6"/>
  <c r="AG795" i="6"/>
  <c r="AG794" i="6"/>
  <c r="AG793" i="6"/>
  <c r="AG792" i="6"/>
  <c r="AG791" i="6"/>
  <c r="AG790" i="6"/>
  <c r="AG789" i="6"/>
  <c r="AG788" i="6"/>
  <c r="AG787" i="6"/>
  <c r="AG786" i="6"/>
  <c r="AG785" i="6"/>
  <c r="AG784" i="6"/>
  <c r="AG783" i="6"/>
  <c r="AG782" i="6"/>
  <c r="AG781" i="6"/>
  <c r="AG780" i="6"/>
  <c r="AG779" i="6"/>
  <c r="AG778" i="6"/>
  <c r="AG777" i="6"/>
  <c r="AG776" i="6"/>
  <c r="AG775" i="6"/>
  <c r="AG774" i="6"/>
  <c r="AG773" i="6"/>
  <c r="AG772" i="6"/>
  <c r="AG771" i="6"/>
  <c r="AG770" i="6"/>
  <c r="AG769" i="6"/>
  <c r="AG768" i="6"/>
  <c r="AG767" i="6"/>
  <c r="AG766" i="6"/>
  <c r="AG765" i="6"/>
  <c r="AG764" i="6"/>
  <c r="AG763" i="6"/>
  <c r="AG762" i="6"/>
  <c r="AG761" i="6"/>
  <c r="AG760" i="6"/>
  <c r="AG759" i="6"/>
  <c r="AG758" i="6"/>
  <c r="AG757" i="6"/>
  <c r="AG756" i="6"/>
  <c r="AG755" i="6"/>
  <c r="AG754" i="6"/>
  <c r="AG753" i="6"/>
  <c r="AG752" i="6"/>
  <c r="AG751" i="6"/>
  <c r="AG750" i="6"/>
  <c r="AG749" i="6"/>
  <c r="AG748" i="6"/>
  <c r="AG747" i="6"/>
  <c r="AG746" i="6"/>
  <c r="AG745" i="6"/>
  <c r="AG744" i="6"/>
  <c r="AG743" i="6"/>
  <c r="AG742" i="6"/>
  <c r="AG741" i="6"/>
  <c r="AG740" i="6"/>
  <c r="AG739" i="6"/>
  <c r="AG738" i="6"/>
  <c r="AG737" i="6"/>
  <c r="AG736" i="6"/>
  <c r="AG735" i="6"/>
  <c r="AG734" i="6"/>
  <c r="AG733" i="6"/>
  <c r="AG732" i="6"/>
  <c r="AG731" i="6"/>
  <c r="AG730" i="6"/>
  <c r="AG729" i="6"/>
  <c r="AG728" i="6"/>
  <c r="AG727" i="6"/>
  <c r="AG726" i="6"/>
  <c r="AG725" i="6"/>
  <c r="AG724" i="6"/>
  <c r="AG723" i="6"/>
  <c r="AG722" i="6"/>
  <c r="AG721" i="6"/>
  <c r="AG720" i="6"/>
  <c r="AG719" i="6"/>
  <c r="AG718" i="6"/>
  <c r="AG717" i="6"/>
  <c r="AG716" i="6"/>
  <c r="AG715" i="6"/>
  <c r="AG714" i="6"/>
  <c r="AG713" i="6"/>
  <c r="AG712" i="6"/>
  <c r="AG711" i="6"/>
  <c r="AG710" i="6"/>
  <c r="AG709" i="6"/>
  <c r="AG708" i="6"/>
  <c r="AG707" i="6"/>
  <c r="AG706" i="6"/>
  <c r="AG705" i="6"/>
  <c r="AG704" i="6"/>
  <c r="AG703" i="6"/>
  <c r="AG702" i="6"/>
  <c r="AG701" i="6"/>
  <c r="AG700" i="6"/>
  <c r="AG699" i="6"/>
  <c r="AG698" i="6"/>
  <c r="AG697" i="6"/>
  <c r="AG696" i="6"/>
  <c r="AG695" i="6"/>
  <c r="AG694" i="6"/>
  <c r="AG693" i="6"/>
  <c r="AG692" i="6"/>
  <c r="AG691" i="6"/>
  <c r="AG690" i="6"/>
  <c r="AG689" i="6"/>
  <c r="AG688" i="6"/>
  <c r="AG687" i="6"/>
  <c r="AG686" i="6"/>
  <c r="AG685" i="6"/>
  <c r="AG684" i="6"/>
  <c r="AG683" i="6"/>
  <c r="AG682" i="6"/>
  <c r="AG681" i="6"/>
  <c r="AG680" i="6"/>
  <c r="AG679" i="6"/>
  <c r="AG678" i="6"/>
  <c r="AG677" i="6"/>
  <c r="AG676" i="6"/>
  <c r="AG675" i="6"/>
  <c r="AG674" i="6"/>
  <c r="AG673" i="6"/>
  <c r="AG672" i="6"/>
  <c r="AG671" i="6"/>
  <c r="AG670" i="6"/>
  <c r="AG669" i="6"/>
  <c r="AG668" i="6"/>
  <c r="AG667" i="6"/>
  <c r="AG666" i="6"/>
  <c r="AG665" i="6"/>
  <c r="AG664" i="6"/>
  <c r="AG663" i="6"/>
  <c r="AG662" i="6"/>
  <c r="AG661" i="6"/>
  <c r="AG660" i="6"/>
  <c r="AG659" i="6"/>
  <c r="AG658" i="6"/>
  <c r="AG657" i="6"/>
  <c r="AG656" i="6"/>
  <c r="AG655" i="6"/>
  <c r="AG654" i="6"/>
  <c r="AG653" i="6"/>
  <c r="AG652" i="6"/>
  <c r="AG651" i="6"/>
  <c r="AG650" i="6"/>
  <c r="AG649" i="6"/>
  <c r="AG648" i="6"/>
  <c r="AG647" i="6"/>
  <c r="AG646" i="6"/>
  <c r="AG645" i="6"/>
  <c r="AG644" i="6"/>
  <c r="AG643" i="6"/>
  <c r="AG642" i="6"/>
  <c r="AG641" i="6"/>
  <c r="AG640" i="6"/>
  <c r="AG639" i="6"/>
  <c r="AG638" i="6"/>
  <c r="AG637" i="6"/>
  <c r="AG636" i="6"/>
  <c r="AG635" i="6"/>
  <c r="AG634" i="6"/>
  <c r="AG633" i="6"/>
  <c r="AG632" i="6"/>
  <c r="AG631" i="6"/>
  <c r="AG630" i="6"/>
  <c r="AG629" i="6"/>
  <c r="AG628" i="6"/>
  <c r="AG627" i="6"/>
  <c r="AG626" i="6"/>
  <c r="AG625" i="6"/>
  <c r="AG624" i="6"/>
  <c r="AG623" i="6"/>
  <c r="AG622" i="6"/>
  <c r="AG621" i="6"/>
  <c r="AG620" i="6"/>
  <c r="AG619" i="6"/>
  <c r="AG618" i="6"/>
  <c r="AG617" i="6"/>
  <c r="AG616" i="6"/>
  <c r="AG615" i="6"/>
  <c r="AG614" i="6"/>
  <c r="AG613" i="6"/>
  <c r="AG612" i="6"/>
  <c r="AG611" i="6"/>
  <c r="AG610" i="6"/>
  <c r="AG609" i="6"/>
  <c r="AG608" i="6"/>
  <c r="AG607" i="6"/>
  <c r="AG606" i="6"/>
  <c r="AG605" i="6"/>
  <c r="AG604" i="6"/>
  <c r="AG603" i="6"/>
  <c r="AG602" i="6"/>
  <c r="AG601" i="6"/>
  <c r="AG600" i="6"/>
  <c r="AG599" i="6"/>
  <c r="AG598" i="6"/>
  <c r="AG597" i="6"/>
  <c r="AG596" i="6"/>
  <c r="AG595" i="6"/>
  <c r="AG594" i="6"/>
  <c r="AG593" i="6"/>
  <c r="AG592" i="6"/>
  <c r="AG591" i="6"/>
  <c r="AG590" i="6"/>
  <c r="AG589" i="6"/>
  <c r="AG588" i="6"/>
  <c r="AG587" i="6"/>
  <c r="AG586" i="6"/>
  <c r="AG585" i="6"/>
  <c r="AG584" i="6"/>
  <c r="AG583" i="6"/>
  <c r="AG582" i="6"/>
  <c r="AG581" i="6"/>
  <c r="AG580" i="6"/>
  <c r="AG579" i="6"/>
  <c r="AG578" i="6"/>
  <c r="AG577" i="6"/>
  <c r="AG576" i="6"/>
  <c r="AG575" i="6"/>
  <c r="AG574" i="6"/>
  <c r="AG573" i="6"/>
  <c r="AG572" i="6"/>
  <c r="AG571" i="6"/>
  <c r="AG570" i="6"/>
  <c r="AG569" i="6"/>
  <c r="AG568" i="6"/>
  <c r="AG567" i="6"/>
  <c r="AG566" i="6"/>
  <c r="AG565" i="6"/>
  <c r="AG564" i="6"/>
  <c r="AG563" i="6"/>
  <c r="AG562" i="6"/>
  <c r="AG561" i="6"/>
  <c r="AG560" i="6"/>
  <c r="AG559" i="6"/>
  <c r="AG558" i="6"/>
  <c r="AG557" i="6"/>
  <c r="AG556" i="6"/>
  <c r="AG555" i="6"/>
  <c r="AG554" i="6"/>
  <c r="AG553" i="6"/>
  <c r="AG552" i="6"/>
  <c r="AG551" i="6"/>
  <c r="AG550" i="6"/>
  <c r="AG549" i="6"/>
  <c r="AG548" i="6"/>
  <c r="AG547" i="6"/>
  <c r="AG546" i="6"/>
  <c r="AG545" i="6"/>
  <c r="AG544" i="6"/>
  <c r="AG543" i="6"/>
  <c r="AG542" i="6"/>
  <c r="AG541" i="6"/>
  <c r="AG540" i="6"/>
  <c r="AG539" i="6"/>
  <c r="AG538" i="6"/>
  <c r="AG537" i="6"/>
  <c r="AG536" i="6"/>
  <c r="AG535" i="6"/>
  <c r="AG534" i="6"/>
  <c r="AG533" i="6"/>
  <c r="AG532" i="6"/>
  <c r="AG531" i="6"/>
  <c r="AG530" i="6"/>
  <c r="AG529" i="6"/>
  <c r="AG528" i="6"/>
  <c r="AG527" i="6"/>
  <c r="AG526" i="6"/>
  <c r="AG525" i="6"/>
  <c r="AG524" i="6"/>
  <c r="AG523" i="6"/>
  <c r="AG522" i="6"/>
  <c r="AG521" i="6"/>
  <c r="AG520" i="6"/>
  <c r="AG519" i="6"/>
  <c r="AG518" i="6"/>
  <c r="AG517" i="6"/>
  <c r="AG516" i="6"/>
  <c r="AG515" i="6"/>
  <c r="AG514" i="6"/>
  <c r="AG513" i="6"/>
  <c r="AG512" i="6"/>
  <c r="AG511" i="6"/>
  <c r="AG510" i="6"/>
  <c r="AG509" i="6"/>
  <c r="AG508" i="6"/>
  <c r="AG507" i="6"/>
  <c r="AG506" i="6"/>
  <c r="AG505" i="6"/>
  <c r="AG504" i="6"/>
  <c r="AG503" i="6"/>
  <c r="AG502" i="6"/>
  <c r="AG501" i="6"/>
  <c r="AG500" i="6"/>
  <c r="AG499" i="6"/>
  <c r="AG498" i="6"/>
  <c r="AG497" i="6"/>
  <c r="AG496" i="6"/>
  <c r="AG495" i="6"/>
  <c r="AG494" i="6"/>
  <c r="AG493" i="6"/>
  <c r="AG492" i="6"/>
  <c r="AG491" i="6"/>
  <c r="AG490" i="6"/>
  <c r="AG489" i="6"/>
  <c r="AG488" i="6"/>
  <c r="AG487" i="6"/>
  <c r="AG486" i="6"/>
  <c r="AG485" i="6"/>
  <c r="AG484" i="6"/>
  <c r="AG483" i="6"/>
  <c r="AG482" i="6"/>
  <c r="AG481" i="6"/>
  <c r="AG480" i="6"/>
  <c r="AG479" i="6"/>
  <c r="AG478" i="6"/>
  <c r="AG477" i="6"/>
  <c r="AG476" i="6"/>
  <c r="AG475" i="6"/>
  <c r="AG474" i="6"/>
  <c r="AG473" i="6"/>
  <c r="AG472" i="6"/>
  <c r="AG471" i="6"/>
  <c r="AG470" i="6"/>
  <c r="AG469" i="6"/>
  <c r="AG468" i="6"/>
  <c r="AG467" i="6"/>
  <c r="AG466" i="6"/>
  <c r="AG465" i="6"/>
  <c r="AG464" i="6"/>
  <c r="AG463" i="6"/>
  <c r="AG462" i="6"/>
  <c r="AG461" i="6"/>
  <c r="AG460" i="6"/>
  <c r="AG459" i="6"/>
  <c r="AG458" i="6"/>
  <c r="AG457" i="6"/>
  <c r="AG456" i="6"/>
  <c r="AG455" i="6"/>
  <c r="AG454" i="6"/>
  <c r="AG453" i="6"/>
  <c r="AG452" i="6"/>
  <c r="AG451" i="6"/>
  <c r="AG450" i="6"/>
  <c r="AG449" i="6"/>
  <c r="AG448" i="6"/>
  <c r="AG447" i="6"/>
  <c r="AG446" i="6"/>
  <c r="AG445" i="6"/>
  <c r="AG444" i="6"/>
  <c r="AG443" i="6"/>
  <c r="AG442" i="6"/>
  <c r="AG441" i="6"/>
  <c r="AG440" i="6"/>
  <c r="AG439" i="6"/>
  <c r="AG438" i="6"/>
  <c r="AG437" i="6"/>
  <c r="AG436" i="6"/>
  <c r="AG435" i="6"/>
  <c r="AG434" i="6"/>
  <c r="AG433" i="6"/>
  <c r="AG432" i="6"/>
  <c r="AG431" i="6"/>
  <c r="AG430" i="6"/>
  <c r="AG429" i="6"/>
  <c r="AG428" i="6"/>
  <c r="AG427" i="6"/>
  <c r="AG426" i="6"/>
  <c r="AG425" i="6"/>
  <c r="AG424" i="6"/>
  <c r="AG423" i="6"/>
  <c r="AG422" i="6"/>
  <c r="AG421" i="6"/>
  <c r="AG420" i="6"/>
  <c r="AG419" i="6"/>
  <c r="AG418" i="6"/>
  <c r="AG417" i="6"/>
  <c r="AG416" i="6"/>
  <c r="AG415" i="6"/>
  <c r="AG414" i="6"/>
  <c r="AG413" i="6"/>
  <c r="AG412" i="6"/>
  <c r="AG411" i="6"/>
  <c r="AG410" i="6"/>
  <c r="AG409" i="6"/>
  <c r="AG408" i="6"/>
  <c r="AG407" i="6"/>
  <c r="AG406" i="6"/>
  <c r="AG405" i="6"/>
  <c r="AG404" i="6"/>
  <c r="AG403" i="6"/>
  <c r="AG402" i="6"/>
  <c r="AG401" i="6"/>
  <c r="AG400" i="6"/>
  <c r="AG399" i="6"/>
  <c r="AG398" i="6"/>
  <c r="AG397" i="6"/>
  <c r="AG396" i="6"/>
  <c r="AG395" i="6"/>
  <c r="AG394" i="6"/>
  <c r="AG393" i="6"/>
  <c r="AG392" i="6"/>
  <c r="AG391" i="6"/>
  <c r="AG390" i="6"/>
  <c r="AG389" i="6"/>
  <c r="AG388" i="6"/>
  <c r="AG387" i="6"/>
  <c r="AG386" i="6"/>
  <c r="AG385" i="6"/>
  <c r="AG384" i="6"/>
  <c r="AG383" i="6"/>
  <c r="AG382" i="6"/>
  <c r="AG381" i="6"/>
  <c r="AG380" i="6"/>
  <c r="AG379" i="6"/>
  <c r="AG378" i="6"/>
  <c r="AG377" i="6"/>
  <c r="AG376" i="6"/>
  <c r="AG375" i="6"/>
  <c r="AG374" i="6"/>
  <c r="AG373" i="6"/>
  <c r="AG372" i="6"/>
  <c r="AG371" i="6"/>
  <c r="AG370" i="6"/>
  <c r="AG369" i="6"/>
  <c r="AG368" i="6"/>
  <c r="AG367" i="6"/>
  <c r="AG366" i="6"/>
  <c r="AG365" i="6"/>
  <c r="AG364" i="6"/>
  <c r="AG363" i="6"/>
  <c r="AG362" i="6"/>
  <c r="AG361" i="6"/>
  <c r="AG360" i="6"/>
  <c r="AG359" i="6"/>
  <c r="AG358" i="6"/>
  <c r="AG357" i="6"/>
  <c r="AG356" i="6"/>
  <c r="AG355" i="6"/>
  <c r="AG354" i="6"/>
  <c r="AG353" i="6"/>
  <c r="AG352" i="6"/>
  <c r="AG351" i="6"/>
  <c r="AG350" i="6"/>
  <c r="AG349" i="6"/>
  <c r="AG348" i="6"/>
  <c r="AG347" i="6"/>
  <c r="AG346" i="6"/>
  <c r="AG345" i="6"/>
  <c r="AG344" i="6"/>
  <c r="AG343" i="6"/>
  <c r="AG342" i="6"/>
  <c r="AG341" i="6"/>
  <c r="AG340" i="6"/>
  <c r="AG339" i="6"/>
  <c r="AG338" i="6"/>
  <c r="AG337" i="6"/>
  <c r="AG336" i="6"/>
  <c r="AG335" i="6"/>
  <c r="AG334" i="6"/>
  <c r="AG333" i="6"/>
  <c r="AG332" i="6"/>
  <c r="AG331" i="6"/>
  <c r="AG330" i="6"/>
  <c r="AG329" i="6"/>
  <c r="AG328" i="6"/>
  <c r="AG327" i="6"/>
  <c r="AG326" i="6"/>
  <c r="AG325" i="6"/>
  <c r="AG324" i="6"/>
  <c r="AG323" i="6"/>
  <c r="AG322" i="6"/>
  <c r="AG321" i="6"/>
  <c r="AG320" i="6"/>
  <c r="AG319" i="6"/>
  <c r="AG318" i="6"/>
  <c r="AG317" i="6"/>
  <c r="AG316" i="6"/>
  <c r="AG315" i="6"/>
  <c r="AG314" i="6"/>
  <c r="AG313" i="6"/>
  <c r="AG312" i="6"/>
  <c r="AG311" i="6"/>
  <c r="AG310" i="6"/>
  <c r="AG309" i="6"/>
  <c r="AG308" i="6"/>
  <c r="AG307" i="6"/>
  <c r="AG306" i="6"/>
  <c r="AG305" i="6"/>
  <c r="AG304" i="6"/>
  <c r="AG303" i="6"/>
  <c r="AG302" i="6"/>
  <c r="AG301" i="6"/>
  <c r="AG300" i="6"/>
  <c r="AG299" i="6"/>
  <c r="AG298" i="6"/>
  <c r="AG297" i="6"/>
  <c r="AG296" i="6"/>
  <c r="AG295" i="6"/>
  <c r="AG294" i="6"/>
  <c r="AG293" i="6"/>
  <c r="AG292" i="6"/>
  <c r="AG291" i="6"/>
  <c r="AG290" i="6"/>
  <c r="AG289" i="6"/>
  <c r="AG288" i="6"/>
  <c r="AG287" i="6"/>
  <c r="AG286" i="6"/>
  <c r="AG285" i="6"/>
  <c r="AG284" i="6"/>
  <c r="AG283" i="6"/>
  <c r="AG282" i="6"/>
  <c r="AG281" i="6"/>
  <c r="AG280" i="6"/>
  <c r="AG279" i="6"/>
  <c r="AG278" i="6"/>
  <c r="AG277" i="6"/>
  <c r="AG276" i="6"/>
  <c r="AG275" i="6"/>
  <c r="AG274" i="6"/>
  <c r="AG273" i="6"/>
  <c r="AG272" i="6"/>
  <c r="AG271" i="6"/>
  <c r="AG270" i="6"/>
  <c r="AG269" i="6"/>
  <c r="AG268" i="6"/>
  <c r="AG267" i="6"/>
  <c r="AG266" i="6"/>
  <c r="AG265" i="6"/>
  <c r="AG264" i="6"/>
  <c r="AG263" i="6"/>
  <c r="AG262" i="6"/>
  <c r="AG261" i="6"/>
  <c r="AG260" i="6"/>
  <c r="AG259" i="6"/>
  <c r="AG258" i="6"/>
  <c r="AG257" i="6"/>
  <c r="AG256" i="6"/>
  <c r="AG255" i="6"/>
  <c r="AG254" i="6"/>
  <c r="AG253" i="6"/>
  <c r="AG252" i="6"/>
  <c r="AG251" i="6"/>
  <c r="AG250" i="6"/>
  <c r="AG249" i="6"/>
  <c r="AG248" i="6"/>
  <c r="AG247" i="6"/>
  <c r="AG246" i="6"/>
  <c r="AG245" i="6"/>
  <c r="AG244" i="6"/>
  <c r="AG243" i="6"/>
  <c r="AG242" i="6"/>
  <c r="AG241" i="6"/>
  <c r="AG240" i="6"/>
  <c r="AG239" i="6"/>
  <c r="AG238" i="6"/>
  <c r="AG237" i="6"/>
  <c r="AG236" i="6"/>
  <c r="AG235" i="6"/>
  <c r="AG234" i="6"/>
  <c r="AG233" i="6"/>
  <c r="AG232" i="6"/>
  <c r="AG231" i="6"/>
  <c r="AG230" i="6"/>
  <c r="AG229" i="6"/>
  <c r="AG228" i="6"/>
  <c r="AG227" i="6"/>
  <c r="AG226" i="6"/>
  <c r="AG225" i="6"/>
  <c r="AG224" i="6"/>
  <c r="AG223" i="6"/>
  <c r="AG222" i="6"/>
  <c r="AG221" i="6"/>
  <c r="AG220" i="6"/>
  <c r="AG219" i="6"/>
  <c r="AG218" i="6"/>
  <c r="AG217" i="6"/>
  <c r="AG216" i="6"/>
  <c r="AG215" i="6"/>
  <c r="AG214" i="6"/>
  <c r="AG213" i="6"/>
  <c r="AG212" i="6"/>
  <c r="AG211" i="6"/>
  <c r="AG210" i="6"/>
  <c r="AG209" i="6"/>
  <c r="AG208" i="6"/>
  <c r="AG207" i="6"/>
  <c r="AG206" i="6"/>
  <c r="AG205" i="6"/>
  <c r="AG204" i="6"/>
  <c r="AG203" i="6"/>
  <c r="AG202" i="6"/>
  <c r="AG201" i="6"/>
  <c r="AG200" i="6"/>
  <c r="AG199" i="6"/>
  <c r="AG198" i="6"/>
  <c r="AG197" i="6"/>
  <c r="AG196" i="6"/>
  <c r="AG195" i="6"/>
  <c r="AG194" i="6"/>
  <c r="AG193" i="6"/>
  <c r="AG192" i="6"/>
  <c r="AG191" i="6"/>
  <c r="AG190" i="6"/>
  <c r="AG189" i="6"/>
  <c r="AG188" i="6"/>
  <c r="AG187" i="6"/>
  <c r="AG186" i="6"/>
  <c r="AG185" i="6"/>
  <c r="AG184" i="6"/>
  <c r="AG183" i="6"/>
  <c r="AG182" i="6"/>
  <c r="AG181" i="6"/>
  <c r="AG180" i="6"/>
  <c r="AG179" i="6"/>
  <c r="AG178" i="6"/>
  <c r="AG177" i="6"/>
  <c r="AG176" i="6"/>
  <c r="AG175" i="6"/>
  <c r="AG174" i="6"/>
  <c r="AG173" i="6"/>
  <c r="AG172" i="6"/>
  <c r="AG171" i="6"/>
  <c r="AG170" i="6"/>
  <c r="AG169" i="6"/>
  <c r="AG168" i="6"/>
  <c r="AG167" i="6"/>
  <c r="AG166" i="6"/>
  <c r="AG165" i="6"/>
  <c r="AG164" i="6"/>
  <c r="AG163" i="6"/>
  <c r="AG162" i="6"/>
  <c r="AG161" i="6"/>
  <c r="AG160" i="6"/>
  <c r="AG159" i="6"/>
  <c r="AG158" i="6"/>
  <c r="AG157" i="6"/>
  <c r="AG156" i="6"/>
  <c r="AG155" i="6"/>
  <c r="AG154" i="6"/>
  <c r="AG153" i="6"/>
  <c r="AG152" i="6"/>
  <c r="AG151" i="6"/>
  <c r="AG150" i="6"/>
  <c r="AG149" i="6"/>
  <c r="AG148" i="6"/>
  <c r="AG147" i="6"/>
  <c r="AG146" i="6"/>
  <c r="AG145" i="6"/>
  <c r="AG144" i="6"/>
  <c r="AG143" i="6"/>
  <c r="AG142" i="6"/>
  <c r="AG141" i="6"/>
  <c r="AG140" i="6"/>
  <c r="AG139" i="6"/>
  <c r="AG138" i="6"/>
  <c r="AG137" i="6"/>
  <c r="AG136" i="6"/>
  <c r="AG135" i="6"/>
  <c r="AG134" i="6"/>
  <c r="AG133" i="6"/>
  <c r="AG132" i="6"/>
  <c r="AG131" i="6"/>
  <c r="AG130" i="6"/>
  <c r="AG129" i="6"/>
  <c r="AG128" i="6"/>
  <c r="AG127" i="6"/>
  <c r="AG126" i="6"/>
  <c r="AG125" i="6"/>
  <c r="AG124" i="6"/>
  <c r="AG123" i="6"/>
  <c r="AG122" i="6"/>
  <c r="AG121" i="6"/>
  <c r="AG120" i="6"/>
  <c r="AG119" i="6"/>
  <c r="AG118" i="6"/>
  <c r="AG117" i="6"/>
  <c r="AG116" i="6"/>
  <c r="AG115" i="6"/>
  <c r="AG114" i="6"/>
  <c r="AG113" i="6"/>
  <c r="AG112" i="6"/>
  <c r="AG111" i="6"/>
  <c r="AG110" i="6"/>
  <c r="AG109" i="6"/>
  <c r="AG108" i="6"/>
  <c r="AG107" i="6"/>
  <c r="AG106" i="6"/>
  <c r="AG105" i="6"/>
  <c r="AG104" i="6"/>
  <c r="AG103" i="6"/>
  <c r="AG102" i="6"/>
  <c r="AG101" i="6"/>
  <c r="AG100" i="6"/>
  <c r="AG99" i="6"/>
  <c r="AG98" i="6"/>
  <c r="AG97" i="6"/>
  <c r="AG96" i="6"/>
  <c r="AG95" i="6"/>
  <c r="AG94" i="6"/>
  <c r="AG93" i="6"/>
  <c r="AG92" i="6"/>
  <c r="AG91" i="6"/>
  <c r="AG90" i="6"/>
  <c r="AG89" i="6"/>
  <c r="AG88" i="6"/>
  <c r="AG87" i="6"/>
  <c r="AG86" i="6"/>
  <c r="AG85" i="6"/>
  <c r="AG84" i="6"/>
  <c r="AG83" i="6"/>
  <c r="AG82" i="6"/>
  <c r="AG81" i="6"/>
  <c r="AG80" i="6"/>
  <c r="AG79" i="6"/>
  <c r="AG78" i="6"/>
  <c r="AG77" i="6"/>
  <c r="AG76" i="6"/>
  <c r="AG75" i="6"/>
  <c r="AG74" i="6"/>
  <c r="AG73" i="6"/>
  <c r="AG72" i="6"/>
  <c r="AG71" i="6"/>
  <c r="AG70" i="6"/>
  <c r="AG69" i="6"/>
  <c r="AG68" i="6"/>
  <c r="AG67" i="6"/>
  <c r="AG66" i="6"/>
  <c r="AG65" i="6"/>
  <c r="AG64" i="6"/>
  <c r="AG63" i="6"/>
  <c r="AG62" i="6"/>
  <c r="AG61" i="6"/>
  <c r="AG60" i="6"/>
  <c r="AG59" i="6"/>
  <c r="AG58" i="6"/>
  <c r="AG57" i="6"/>
  <c r="AG56" i="6"/>
  <c r="AG55" i="6"/>
  <c r="AG54" i="6"/>
  <c r="AG53" i="6"/>
  <c r="AG52" i="6"/>
  <c r="AG51" i="6"/>
  <c r="AG50" i="6"/>
  <c r="AG49" i="6"/>
  <c r="AG48" i="6"/>
  <c r="AG47" i="6"/>
  <c r="AG46" i="6"/>
  <c r="AG45" i="6"/>
  <c r="AG44" i="6"/>
  <c r="AG43" i="6"/>
  <c r="AG42" i="6"/>
  <c r="AG41" i="6"/>
  <c r="AG40" i="6"/>
  <c r="AG39" i="6"/>
  <c r="AG38" i="6"/>
  <c r="AG37" i="6"/>
  <c r="AG36" i="6"/>
  <c r="AG35" i="6"/>
  <c r="AG34" i="6"/>
  <c r="AG33" i="6"/>
  <c r="AG32" i="6"/>
  <c r="AG31" i="6"/>
  <c r="AG30" i="6"/>
  <c r="AG29" i="6"/>
  <c r="AG28" i="6"/>
  <c r="AG27" i="6"/>
  <c r="AG26" i="6"/>
  <c r="AG25" i="6"/>
  <c r="AG24" i="6"/>
  <c r="AG23" i="6"/>
  <c r="AG22" i="6"/>
  <c r="AG21" i="6"/>
  <c r="AG20" i="6"/>
  <c r="AG19" i="6"/>
  <c r="AG18" i="6"/>
  <c r="AG17" i="6"/>
  <c r="AG16" i="6"/>
  <c r="AG15" i="6"/>
  <c r="AG14" i="6"/>
  <c r="AG13" i="6"/>
  <c r="AG12" i="6"/>
  <c r="AG11" i="6"/>
  <c r="AG10" i="6"/>
  <c r="AG9" i="6"/>
  <c r="AG8" i="6"/>
  <c r="AG7" i="6"/>
  <c r="AG6" i="6"/>
  <c r="AG5" i="6"/>
  <c r="AG4" i="6"/>
  <c r="AG3" i="6"/>
  <c r="AG2" i="6"/>
  <c r="L3" i="3" l="1"/>
  <c r="K25" i="3"/>
  <c r="K8" i="3"/>
  <c r="K3" i="3"/>
  <c r="P19" i="3"/>
  <c r="K26" i="3"/>
  <c r="A6" i="1" l="1"/>
  <c r="B6" i="1"/>
  <c r="C6" i="1"/>
  <c r="D6" i="1"/>
  <c r="E6" i="1"/>
  <c r="F6" i="1"/>
  <c r="G6" i="1"/>
  <c r="H6" i="1"/>
  <c r="I6" i="1"/>
  <c r="J6" i="1"/>
  <c r="K6" i="1"/>
  <c r="L6" i="1"/>
  <c r="M6" i="1"/>
  <c r="N6" i="1"/>
  <c r="O6" i="1"/>
  <c r="P6" i="1"/>
  <c r="Q6" i="1"/>
  <c r="R6" i="1"/>
  <c r="S6" i="1"/>
  <c r="T6" i="1"/>
  <c r="U6" i="1"/>
  <c r="V6" i="1"/>
  <c r="W6" i="1"/>
  <c r="X6" i="1"/>
  <c r="Y6" i="1"/>
  <c r="Z6" i="1"/>
  <c r="AA6" i="1"/>
  <c r="AB6" i="1"/>
  <c r="A7" i="1"/>
  <c r="B7" i="1"/>
  <c r="C7" i="1"/>
  <c r="D7" i="1"/>
  <c r="E7" i="1"/>
  <c r="F7" i="1"/>
  <c r="G7" i="1"/>
  <c r="H7" i="1"/>
  <c r="I7" i="1"/>
  <c r="J7" i="1"/>
  <c r="K7" i="1"/>
  <c r="L7" i="1"/>
  <c r="M7" i="1"/>
  <c r="N7" i="1"/>
  <c r="O7" i="1"/>
  <c r="P7" i="1"/>
  <c r="Q7" i="1"/>
  <c r="R7" i="1"/>
  <c r="S7" i="1"/>
  <c r="T7" i="1"/>
  <c r="U7" i="1"/>
  <c r="V7" i="1"/>
  <c r="W7" i="1"/>
  <c r="X7" i="1"/>
  <c r="Y7" i="1"/>
  <c r="Z7" i="1"/>
  <c r="AA7" i="1"/>
  <c r="AB7" i="1"/>
  <c r="A8" i="1"/>
  <c r="B8" i="1"/>
  <c r="C8" i="1"/>
  <c r="D8" i="1"/>
  <c r="E8" i="1"/>
  <c r="F8" i="1"/>
  <c r="G8" i="1"/>
  <c r="H8" i="1"/>
  <c r="I8" i="1"/>
  <c r="J8" i="1"/>
  <c r="K8" i="1"/>
  <c r="L8" i="1"/>
  <c r="M8" i="1"/>
  <c r="N8" i="1"/>
  <c r="O8" i="1"/>
  <c r="P8" i="1"/>
  <c r="Q8" i="1"/>
  <c r="R8" i="1"/>
  <c r="S8" i="1"/>
  <c r="T8" i="1"/>
  <c r="U8" i="1"/>
  <c r="V8" i="1"/>
  <c r="W8" i="1"/>
  <c r="X8" i="1"/>
  <c r="Y8" i="1"/>
  <c r="Z8" i="1"/>
  <c r="AA8" i="1"/>
  <c r="AB8" i="1"/>
  <c r="A9" i="1"/>
  <c r="B9" i="1"/>
  <c r="C9" i="1"/>
  <c r="D9" i="1"/>
  <c r="E9" i="1"/>
  <c r="F9" i="1"/>
  <c r="G9" i="1"/>
  <c r="H9" i="1"/>
  <c r="I9" i="1"/>
  <c r="J9" i="1"/>
  <c r="K9" i="1"/>
  <c r="L9" i="1"/>
  <c r="M9" i="1"/>
  <c r="N9" i="1"/>
  <c r="O9" i="1"/>
  <c r="P9" i="1"/>
  <c r="Q9" i="1"/>
  <c r="R9" i="1"/>
  <c r="S9" i="1"/>
  <c r="T9" i="1"/>
  <c r="U9" i="1"/>
  <c r="V9" i="1"/>
  <c r="W9" i="1"/>
  <c r="X9" i="1"/>
  <c r="Y9" i="1"/>
  <c r="Z9" i="1"/>
  <c r="AA9" i="1"/>
  <c r="AB9" i="1"/>
  <c r="A10" i="1"/>
  <c r="B10" i="1"/>
  <c r="C10" i="1"/>
  <c r="D10" i="1"/>
  <c r="E10" i="1"/>
  <c r="F10" i="1"/>
  <c r="G10" i="1"/>
  <c r="H10" i="1"/>
  <c r="I10" i="1"/>
  <c r="J10" i="1"/>
  <c r="K10" i="1"/>
  <c r="L10" i="1"/>
  <c r="M10" i="1"/>
  <c r="N10" i="1"/>
  <c r="O10" i="1"/>
  <c r="P10" i="1"/>
  <c r="Q10" i="1"/>
  <c r="R10" i="1"/>
  <c r="S10" i="1"/>
  <c r="T10" i="1"/>
  <c r="U10" i="1"/>
  <c r="V10" i="1"/>
  <c r="W10" i="1"/>
  <c r="X10" i="1"/>
  <c r="Y10" i="1"/>
  <c r="Z10" i="1"/>
  <c r="AA10" i="1"/>
  <c r="AB10" i="1"/>
  <c r="A11" i="1"/>
  <c r="B11" i="1"/>
  <c r="C11" i="1"/>
  <c r="D11" i="1"/>
  <c r="E11" i="1"/>
  <c r="F11" i="1"/>
  <c r="G11" i="1"/>
  <c r="H11" i="1"/>
  <c r="I11" i="1"/>
  <c r="J11" i="1"/>
  <c r="K11" i="1"/>
  <c r="L11" i="1"/>
  <c r="M11" i="1"/>
  <c r="N11" i="1"/>
  <c r="O11" i="1"/>
  <c r="P11" i="1"/>
  <c r="Q11" i="1"/>
  <c r="R11" i="1"/>
  <c r="S11" i="1"/>
  <c r="T11" i="1"/>
  <c r="U11" i="1"/>
  <c r="V11" i="1"/>
  <c r="W11" i="1"/>
  <c r="X11" i="1"/>
  <c r="Y11" i="1"/>
  <c r="Z11" i="1"/>
  <c r="AA11" i="1"/>
  <c r="AB11" i="1"/>
  <c r="A12" i="1"/>
  <c r="B12" i="1"/>
  <c r="C12" i="1"/>
  <c r="D12" i="1"/>
  <c r="E12" i="1"/>
  <c r="F12" i="1"/>
  <c r="G12" i="1"/>
  <c r="H12" i="1"/>
  <c r="I12" i="1"/>
  <c r="J12" i="1"/>
  <c r="K12" i="1"/>
  <c r="L12" i="1"/>
  <c r="M12" i="1"/>
  <c r="N12" i="1"/>
  <c r="O12" i="1"/>
  <c r="P12" i="1"/>
  <c r="Q12" i="1"/>
  <c r="R12" i="1"/>
  <c r="S12" i="1"/>
  <c r="T12" i="1"/>
  <c r="U12" i="1"/>
  <c r="V12" i="1"/>
  <c r="W12" i="1"/>
  <c r="X12" i="1"/>
  <c r="Y12" i="1"/>
  <c r="Z12" i="1"/>
  <c r="AA12" i="1"/>
  <c r="AB12" i="1"/>
  <c r="A13" i="1"/>
  <c r="B13" i="1"/>
  <c r="C13" i="1"/>
  <c r="D13" i="1"/>
  <c r="E13" i="1"/>
  <c r="F13" i="1"/>
  <c r="G13" i="1"/>
  <c r="H13" i="1"/>
  <c r="I13" i="1"/>
  <c r="J13" i="1"/>
  <c r="K13" i="1"/>
  <c r="L13" i="1"/>
  <c r="M13" i="1"/>
  <c r="N13" i="1"/>
  <c r="O13" i="1"/>
  <c r="P13" i="1"/>
  <c r="Q13" i="1"/>
  <c r="R13" i="1"/>
  <c r="S13" i="1"/>
  <c r="T13" i="1"/>
  <c r="U13" i="1"/>
  <c r="V13" i="1"/>
  <c r="W13" i="1"/>
  <c r="X13" i="1"/>
  <c r="Y13" i="1"/>
  <c r="Z13" i="1"/>
  <c r="AA13" i="1"/>
  <c r="AB13" i="1"/>
  <c r="A14" i="1"/>
  <c r="B14" i="1"/>
  <c r="C14" i="1"/>
  <c r="D14" i="1"/>
  <c r="E14" i="1"/>
  <c r="F14" i="1"/>
  <c r="G14" i="1"/>
  <c r="H14" i="1"/>
  <c r="I14" i="1"/>
  <c r="J14" i="1"/>
  <c r="K14" i="1"/>
  <c r="L14" i="1"/>
  <c r="M14" i="1"/>
  <c r="N14" i="1"/>
  <c r="O14" i="1"/>
  <c r="P14" i="1"/>
  <c r="Q14" i="1"/>
  <c r="R14" i="1"/>
  <c r="S14" i="1"/>
  <c r="T14" i="1"/>
  <c r="U14" i="1"/>
  <c r="V14" i="1"/>
  <c r="W14" i="1"/>
  <c r="X14" i="1"/>
  <c r="Y14" i="1"/>
  <c r="Z14" i="1"/>
  <c r="AA14" i="1"/>
  <c r="AB14" i="1"/>
  <c r="A15" i="1"/>
  <c r="B15" i="1"/>
  <c r="C15" i="1"/>
  <c r="D15" i="1"/>
  <c r="E15" i="1"/>
  <c r="F15" i="1"/>
  <c r="G15" i="1"/>
  <c r="H15" i="1"/>
  <c r="I15" i="1"/>
  <c r="J15" i="1"/>
  <c r="K15" i="1"/>
  <c r="L15" i="1"/>
  <c r="M15" i="1"/>
  <c r="N15" i="1"/>
  <c r="O15" i="1"/>
  <c r="P15" i="1"/>
  <c r="Q15" i="1"/>
  <c r="R15" i="1"/>
  <c r="S15" i="1"/>
  <c r="T15" i="1"/>
  <c r="U15" i="1"/>
  <c r="V15" i="1"/>
  <c r="W15" i="1"/>
  <c r="X15" i="1"/>
  <c r="Y15" i="1"/>
  <c r="Z15" i="1"/>
  <c r="AA15" i="1"/>
  <c r="AB15" i="1"/>
  <c r="A16" i="1"/>
  <c r="B16" i="1"/>
  <c r="C16" i="1"/>
  <c r="D16" i="1"/>
  <c r="E16" i="1"/>
  <c r="F16" i="1"/>
  <c r="G16" i="1"/>
  <c r="H16" i="1"/>
  <c r="I16" i="1"/>
  <c r="J16" i="1"/>
  <c r="K16" i="1"/>
  <c r="L16" i="1"/>
  <c r="M16" i="1"/>
  <c r="N16" i="1"/>
  <c r="O16" i="1"/>
  <c r="P16" i="1"/>
  <c r="Q16" i="1"/>
  <c r="R16" i="1"/>
  <c r="S16" i="1"/>
  <c r="T16" i="1"/>
  <c r="U16" i="1"/>
  <c r="V16" i="1"/>
  <c r="W16" i="1"/>
  <c r="X16" i="1"/>
  <c r="Y16" i="1"/>
  <c r="Z16" i="1"/>
  <c r="AA16" i="1"/>
  <c r="AB16" i="1"/>
  <c r="A17" i="1"/>
  <c r="B17" i="1"/>
  <c r="C17" i="1"/>
  <c r="D17" i="1"/>
  <c r="E17" i="1"/>
  <c r="F17" i="1"/>
  <c r="G17" i="1"/>
  <c r="H17" i="1"/>
  <c r="I17" i="1"/>
  <c r="J17" i="1"/>
  <c r="K17" i="1"/>
  <c r="L17" i="1"/>
  <c r="M17" i="1"/>
  <c r="N17" i="1"/>
  <c r="O17" i="1"/>
  <c r="P17" i="1"/>
  <c r="Q17" i="1"/>
  <c r="R17" i="1"/>
  <c r="S17" i="1"/>
  <c r="T17" i="1"/>
  <c r="U17" i="1"/>
  <c r="V17" i="1"/>
  <c r="W17" i="1"/>
  <c r="X17" i="1"/>
  <c r="Y17" i="1"/>
  <c r="Z17" i="1"/>
  <c r="AA17" i="1"/>
  <c r="AB17" i="1"/>
  <c r="A18" i="1"/>
  <c r="B18" i="1"/>
  <c r="C18" i="1"/>
  <c r="D18" i="1"/>
  <c r="E18" i="1"/>
  <c r="F18" i="1"/>
  <c r="G18" i="1"/>
  <c r="H18" i="1"/>
  <c r="I18" i="1"/>
  <c r="J18" i="1"/>
  <c r="K18" i="1"/>
  <c r="L18" i="1"/>
  <c r="M18" i="1"/>
  <c r="N18" i="1"/>
  <c r="O18" i="1"/>
  <c r="P18" i="1"/>
  <c r="Q18" i="1"/>
  <c r="R18" i="1"/>
  <c r="S18" i="1"/>
  <c r="T18" i="1"/>
  <c r="U18" i="1"/>
  <c r="V18" i="1"/>
  <c r="W18" i="1"/>
  <c r="X18" i="1"/>
  <c r="Y18" i="1"/>
  <c r="Z18" i="1"/>
  <c r="AA18" i="1"/>
  <c r="AB18" i="1"/>
  <c r="A19" i="1"/>
  <c r="B19" i="1"/>
  <c r="C19" i="1"/>
  <c r="D19" i="1"/>
  <c r="E19" i="1"/>
  <c r="F19" i="1"/>
  <c r="G19" i="1"/>
  <c r="H19" i="1"/>
  <c r="I19" i="1"/>
  <c r="J19" i="1"/>
  <c r="K19" i="1"/>
  <c r="L19" i="1"/>
  <c r="M19" i="1"/>
  <c r="N19" i="1"/>
  <c r="O19" i="1"/>
  <c r="P19" i="1"/>
  <c r="Q19" i="1"/>
  <c r="R19" i="1"/>
  <c r="S19" i="1"/>
  <c r="T19" i="1"/>
  <c r="U19" i="1"/>
  <c r="V19" i="1"/>
  <c r="W19" i="1"/>
  <c r="X19" i="1"/>
  <c r="Y19" i="1"/>
  <c r="Z19" i="1"/>
  <c r="AA19" i="1"/>
  <c r="AB19" i="1"/>
  <c r="A20" i="1"/>
  <c r="B20" i="1"/>
  <c r="C20" i="1"/>
  <c r="D20" i="1"/>
  <c r="E20" i="1"/>
  <c r="F20" i="1"/>
  <c r="G20" i="1"/>
  <c r="H20" i="1"/>
  <c r="I20" i="1"/>
  <c r="J20" i="1"/>
  <c r="K20" i="1"/>
  <c r="L20" i="1"/>
  <c r="M20" i="1"/>
  <c r="N20" i="1"/>
  <c r="O20" i="1"/>
  <c r="P20" i="1"/>
  <c r="Q20" i="1"/>
  <c r="R20" i="1"/>
  <c r="S20" i="1"/>
  <c r="T20" i="1"/>
  <c r="U20" i="1"/>
  <c r="V20" i="1"/>
  <c r="W20" i="1"/>
  <c r="X20" i="1"/>
  <c r="Y20" i="1"/>
  <c r="Z20" i="1"/>
  <c r="AA20" i="1"/>
  <c r="AB20" i="1"/>
  <c r="A21" i="1"/>
  <c r="B21" i="1"/>
  <c r="C21" i="1"/>
  <c r="D21" i="1"/>
  <c r="E21" i="1"/>
  <c r="F21" i="1"/>
  <c r="G21" i="1"/>
  <c r="H21" i="1"/>
  <c r="I21" i="1"/>
  <c r="J21" i="1"/>
  <c r="K21" i="1"/>
  <c r="L21" i="1"/>
  <c r="M21" i="1"/>
  <c r="N21" i="1"/>
  <c r="O21" i="1"/>
  <c r="P21" i="1"/>
  <c r="Q21" i="1"/>
  <c r="R21" i="1"/>
  <c r="S21" i="1"/>
  <c r="T21" i="1"/>
  <c r="U21" i="1"/>
  <c r="V21" i="1"/>
  <c r="W21" i="1"/>
  <c r="X21" i="1"/>
  <c r="Y21" i="1"/>
  <c r="Z21" i="1"/>
  <c r="AA21" i="1"/>
  <c r="AB21" i="1"/>
  <c r="A22" i="1"/>
  <c r="B22" i="1"/>
  <c r="C22" i="1"/>
  <c r="D22" i="1"/>
  <c r="E22" i="1"/>
  <c r="F22" i="1"/>
  <c r="G22" i="1"/>
  <c r="H22" i="1"/>
  <c r="I22" i="1"/>
  <c r="J22" i="1"/>
  <c r="K22" i="1"/>
  <c r="L22" i="1"/>
  <c r="M22" i="1"/>
  <c r="N22" i="1"/>
  <c r="O22" i="1"/>
  <c r="P22" i="1"/>
  <c r="Q22" i="1"/>
  <c r="R22" i="1"/>
  <c r="S22" i="1"/>
  <c r="T22" i="1"/>
  <c r="U22" i="1"/>
  <c r="V22" i="1"/>
  <c r="W22" i="1"/>
  <c r="X22" i="1"/>
  <c r="Y22" i="1"/>
  <c r="Z22" i="1"/>
  <c r="AA22" i="1"/>
  <c r="AB22" i="1"/>
  <c r="A23" i="1"/>
  <c r="B23" i="1"/>
  <c r="C23" i="1"/>
  <c r="D23" i="1"/>
  <c r="E23" i="1"/>
  <c r="F23" i="1"/>
  <c r="G23" i="1"/>
  <c r="H23" i="1"/>
  <c r="I23" i="1"/>
  <c r="J23" i="1"/>
  <c r="K23" i="1"/>
  <c r="L23" i="1"/>
  <c r="M23" i="1"/>
  <c r="N23" i="1"/>
  <c r="O23" i="1"/>
  <c r="P23" i="1"/>
  <c r="Q23" i="1"/>
  <c r="R23" i="1"/>
  <c r="S23" i="1"/>
  <c r="T23" i="1"/>
  <c r="U23" i="1"/>
  <c r="V23" i="1"/>
  <c r="W23" i="1"/>
  <c r="X23" i="1"/>
  <c r="Y23" i="1"/>
  <c r="Z23" i="1"/>
  <c r="AA23" i="1"/>
  <c r="AB23" i="1"/>
  <c r="A24" i="1"/>
  <c r="B24" i="1"/>
  <c r="C24" i="1"/>
  <c r="D24" i="1"/>
  <c r="E24" i="1"/>
  <c r="F24" i="1"/>
  <c r="G24" i="1"/>
  <c r="H24" i="1"/>
  <c r="I24" i="1"/>
  <c r="J24" i="1"/>
  <c r="K24" i="1"/>
  <c r="L24" i="1"/>
  <c r="M24" i="1"/>
  <c r="N24" i="1"/>
  <c r="O24" i="1"/>
  <c r="P24" i="1"/>
  <c r="Q24" i="1"/>
  <c r="R24" i="1"/>
  <c r="S24" i="1"/>
  <c r="T24" i="1"/>
  <c r="U24" i="1"/>
  <c r="V24" i="1"/>
  <c r="W24" i="1"/>
  <c r="X24" i="1"/>
  <c r="Y24" i="1"/>
  <c r="Z24" i="1"/>
  <c r="AA24" i="1"/>
  <c r="AB24" i="1"/>
  <c r="A25" i="1"/>
  <c r="B25" i="1"/>
  <c r="C25" i="1"/>
  <c r="D25" i="1"/>
  <c r="E25" i="1"/>
  <c r="F25" i="1"/>
  <c r="G25" i="1"/>
  <c r="H25" i="1"/>
  <c r="I25" i="1"/>
  <c r="J25" i="1"/>
  <c r="K25" i="1"/>
  <c r="L25" i="1"/>
  <c r="M25" i="1"/>
  <c r="N25" i="1"/>
  <c r="O25" i="1"/>
  <c r="P25" i="1"/>
  <c r="Q25" i="1"/>
  <c r="R25" i="1"/>
  <c r="S25" i="1"/>
  <c r="T25" i="1"/>
  <c r="U25" i="1"/>
  <c r="V25" i="1"/>
  <c r="W25" i="1"/>
  <c r="X25" i="1"/>
  <c r="Y25" i="1"/>
  <c r="Z25" i="1"/>
  <c r="AA25" i="1"/>
  <c r="AB25" i="1"/>
  <c r="A26" i="1"/>
  <c r="B26" i="1"/>
  <c r="C26" i="1"/>
  <c r="D26" i="1"/>
  <c r="E26" i="1"/>
  <c r="F26" i="1"/>
  <c r="G26" i="1"/>
  <c r="H26" i="1"/>
  <c r="I26" i="1"/>
  <c r="J26" i="1"/>
  <c r="K26" i="1"/>
  <c r="L26" i="1"/>
  <c r="M26" i="1"/>
  <c r="N26" i="1"/>
  <c r="O26" i="1"/>
  <c r="P26" i="1"/>
  <c r="Q26" i="1"/>
  <c r="R26" i="1"/>
  <c r="S26" i="1"/>
  <c r="T26" i="1"/>
  <c r="U26" i="1"/>
  <c r="V26" i="1"/>
  <c r="W26" i="1"/>
  <c r="X26" i="1"/>
  <c r="Y26" i="1"/>
  <c r="Z26" i="1"/>
  <c r="AA26" i="1"/>
  <c r="AB26" i="1"/>
  <c r="A27" i="1"/>
  <c r="B27" i="1"/>
  <c r="C27" i="1"/>
  <c r="D27" i="1"/>
  <c r="E27" i="1"/>
  <c r="F27" i="1"/>
  <c r="G27" i="1"/>
  <c r="H27" i="1"/>
  <c r="I27" i="1"/>
  <c r="J27" i="1"/>
  <c r="K27" i="1"/>
  <c r="L27" i="1"/>
  <c r="M27" i="1"/>
  <c r="N27" i="1"/>
  <c r="O27" i="1"/>
  <c r="P27" i="1"/>
  <c r="Q27" i="1"/>
  <c r="R27" i="1"/>
  <c r="S27" i="1"/>
  <c r="T27" i="1"/>
  <c r="U27" i="1"/>
  <c r="V27" i="1"/>
  <c r="W27" i="1"/>
  <c r="X27" i="1"/>
  <c r="Y27" i="1"/>
  <c r="Z27" i="1"/>
  <c r="AA27" i="1"/>
  <c r="AB27" i="1"/>
  <c r="A28" i="1"/>
  <c r="B28" i="1"/>
  <c r="C28" i="1"/>
  <c r="D28" i="1"/>
  <c r="E28" i="1"/>
  <c r="F28" i="1"/>
  <c r="G28" i="1"/>
  <c r="H28" i="1"/>
  <c r="I28" i="1"/>
  <c r="J28" i="1"/>
  <c r="K28" i="1"/>
  <c r="L28" i="1"/>
  <c r="M28" i="1"/>
  <c r="N28" i="1"/>
  <c r="O28" i="1"/>
  <c r="P28" i="1"/>
  <c r="Q28" i="1"/>
  <c r="R28" i="1"/>
  <c r="S28" i="1"/>
  <c r="T28" i="1"/>
  <c r="U28" i="1"/>
  <c r="V28" i="1"/>
  <c r="W28" i="1"/>
  <c r="X28" i="1"/>
  <c r="Y28" i="1"/>
  <c r="Z28" i="1"/>
  <c r="AA28" i="1"/>
  <c r="AB28" i="1"/>
  <c r="A29" i="1"/>
  <c r="B29" i="1"/>
  <c r="C29" i="1"/>
  <c r="D29" i="1"/>
  <c r="E29" i="1"/>
  <c r="F29" i="1"/>
  <c r="G29" i="1"/>
  <c r="H29" i="1"/>
  <c r="I29" i="1"/>
  <c r="J29" i="1"/>
  <c r="K29" i="1"/>
  <c r="L29" i="1"/>
  <c r="M29" i="1"/>
  <c r="N29" i="1"/>
  <c r="O29" i="1"/>
  <c r="P29" i="1"/>
  <c r="Q29" i="1"/>
  <c r="R29" i="1"/>
  <c r="S29" i="1"/>
  <c r="T29" i="1"/>
  <c r="U29" i="1"/>
  <c r="V29" i="1"/>
  <c r="W29" i="1"/>
  <c r="X29" i="1"/>
  <c r="Y29" i="1"/>
  <c r="Z29" i="1"/>
  <c r="AA29" i="1"/>
  <c r="AB29" i="1"/>
  <c r="A30" i="1"/>
  <c r="B30" i="1"/>
  <c r="C30" i="1"/>
  <c r="D30" i="1"/>
  <c r="E30" i="1"/>
  <c r="F30" i="1"/>
  <c r="G30" i="1"/>
  <c r="H30" i="1"/>
  <c r="I30" i="1"/>
  <c r="J30" i="1"/>
  <c r="K30" i="1"/>
  <c r="L30" i="1"/>
  <c r="M30" i="1"/>
  <c r="N30" i="1"/>
  <c r="O30" i="1"/>
  <c r="P30" i="1"/>
  <c r="Q30" i="1"/>
  <c r="R30" i="1"/>
  <c r="S30" i="1"/>
  <c r="T30" i="1"/>
  <c r="U30" i="1"/>
  <c r="V30" i="1"/>
  <c r="W30" i="1"/>
  <c r="X30" i="1"/>
  <c r="Y30" i="1"/>
  <c r="Z30" i="1"/>
  <c r="AA30" i="1"/>
  <c r="AB30" i="1"/>
  <c r="A31" i="1"/>
  <c r="B31" i="1"/>
  <c r="C31" i="1"/>
  <c r="D31" i="1"/>
  <c r="E31" i="1"/>
  <c r="F31" i="1"/>
  <c r="G31" i="1"/>
  <c r="H31" i="1"/>
  <c r="I31" i="1"/>
  <c r="J31" i="1"/>
  <c r="K31" i="1"/>
  <c r="L31" i="1"/>
  <c r="M31" i="1"/>
  <c r="N31" i="1"/>
  <c r="O31" i="1"/>
  <c r="P31" i="1"/>
  <c r="Q31" i="1"/>
  <c r="R31" i="1"/>
  <c r="S31" i="1"/>
  <c r="T31" i="1"/>
  <c r="U31" i="1"/>
  <c r="V31" i="1"/>
  <c r="W31" i="1"/>
  <c r="X31" i="1"/>
  <c r="Y31" i="1"/>
  <c r="Z31" i="1"/>
  <c r="AA31" i="1"/>
  <c r="AB31" i="1"/>
  <c r="A32" i="1"/>
  <c r="B32" i="1"/>
  <c r="C32" i="1"/>
  <c r="D32" i="1"/>
  <c r="E32" i="1"/>
  <c r="F32" i="1"/>
  <c r="G32" i="1"/>
  <c r="H32" i="1"/>
  <c r="I32" i="1"/>
  <c r="J32" i="1"/>
  <c r="K32" i="1"/>
  <c r="L32" i="1"/>
  <c r="M32" i="1"/>
  <c r="N32" i="1"/>
  <c r="O32" i="1"/>
  <c r="P32" i="1"/>
  <c r="Q32" i="1"/>
  <c r="R32" i="1"/>
  <c r="S32" i="1"/>
  <c r="T32" i="1"/>
  <c r="U32" i="1"/>
  <c r="V32" i="1"/>
  <c r="W32" i="1"/>
  <c r="X32" i="1"/>
  <c r="Y32" i="1"/>
  <c r="Z32" i="1"/>
  <c r="AA32" i="1"/>
  <c r="AB32" i="1"/>
  <c r="A33" i="1"/>
  <c r="B33" i="1"/>
  <c r="C33" i="1"/>
  <c r="D33" i="1"/>
  <c r="E33" i="1"/>
  <c r="F33" i="1"/>
  <c r="G33" i="1"/>
  <c r="H33" i="1"/>
  <c r="I33" i="1"/>
  <c r="J33" i="1"/>
  <c r="K33" i="1"/>
  <c r="L33" i="1"/>
  <c r="M33" i="1"/>
  <c r="N33" i="1"/>
  <c r="O33" i="1"/>
  <c r="P33" i="1"/>
  <c r="Q33" i="1"/>
  <c r="R33" i="1"/>
  <c r="S33" i="1"/>
  <c r="T33" i="1"/>
  <c r="U33" i="1"/>
  <c r="V33" i="1"/>
  <c r="W33" i="1"/>
  <c r="X33" i="1"/>
  <c r="Y33" i="1"/>
  <c r="Z33" i="1"/>
  <c r="AA33" i="1"/>
  <c r="AB33" i="1"/>
  <c r="A34" i="1"/>
  <c r="B34" i="1"/>
  <c r="C34" i="1"/>
  <c r="D34" i="1"/>
  <c r="E34" i="1"/>
  <c r="F34" i="1"/>
  <c r="G34" i="1"/>
  <c r="H34" i="1"/>
  <c r="I34" i="1"/>
  <c r="J34" i="1"/>
  <c r="K34" i="1"/>
  <c r="L34" i="1"/>
  <c r="M34" i="1"/>
  <c r="N34" i="1"/>
  <c r="O34" i="1"/>
  <c r="P34" i="1"/>
  <c r="Q34" i="1"/>
  <c r="R34" i="1"/>
  <c r="S34" i="1"/>
  <c r="T34" i="1"/>
  <c r="U34" i="1"/>
  <c r="V34" i="1"/>
  <c r="W34" i="1"/>
  <c r="X34" i="1"/>
  <c r="Y34" i="1"/>
  <c r="Z34" i="1"/>
  <c r="AA34" i="1"/>
  <c r="AB34" i="1"/>
  <c r="A35" i="1"/>
  <c r="B35" i="1"/>
  <c r="C35" i="1"/>
  <c r="D35" i="1"/>
  <c r="E35" i="1"/>
  <c r="F35" i="1"/>
  <c r="G35" i="1"/>
  <c r="H35" i="1"/>
  <c r="I35" i="1"/>
  <c r="J35" i="1"/>
  <c r="K35" i="1"/>
  <c r="L35" i="1"/>
  <c r="M35" i="1"/>
  <c r="N35" i="1"/>
  <c r="O35" i="1"/>
  <c r="P35" i="1"/>
  <c r="Q35" i="1"/>
  <c r="R35" i="1"/>
  <c r="S35" i="1"/>
  <c r="T35" i="1"/>
  <c r="U35" i="1"/>
  <c r="V35" i="1"/>
  <c r="W35" i="1"/>
  <c r="X35" i="1"/>
  <c r="Y35" i="1"/>
  <c r="Z35" i="1"/>
  <c r="AA35" i="1"/>
  <c r="AB35" i="1"/>
  <c r="A36" i="1"/>
  <c r="B36" i="1"/>
  <c r="C36" i="1"/>
  <c r="D36" i="1"/>
  <c r="E36" i="1"/>
  <c r="F36" i="1"/>
  <c r="G36" i="1"/>
  <c r="H36" i="1"/>
  <c r="I36" i="1"/>
  <c r="J36" i="1"/>
  <c r="K36" i="1"/>
  <c r="L36" i="1"/>
  <c r="M36" i="1"/>
  <c r="N36" i="1"/>
  <c r="O36" i="1"/>
  <c r="P36" i="1"/>
  <c r="Q36" i="1"/>
  <c r="R36" i="1"/>
  <c r="S36" i="1"/>
  <c r="T36" i="1"/>
  <c r="U36" i="1"/>
  <c r="V36" i="1"/>
  <c r="W36" i="1"/>
  <c r="X36" i="1"/>
  <c r="Y36" i="1"/>
  <c r="Z36" i="1"/>
  <c r="AA36" i="1"/>
  <c r="AB36" i="1"/>
  <c r="A37" i="1"/>
  <c r="B37" i="1"/>
  <c r="C37" i="1"/>
  <c r="D37" i="1"/>
  <c r="E37" i="1"/>
  <c r="F37" i="1"/>
  <c r="G37" i="1"/>
  <c r="H37" i="1"/>
  <c r="I37" i="1"/>
  <c r="J37" i="1"/>
  <c r="K37" i="1"/>
  <c r="L37" i="1"/>
  <c r="M37" i="1"/>
  <c r="N37" i="1"/>
  <c r="O37" i="1"/>
  <c r="P37" i="1"/>
  <c r="Q37" i="1"/>
  <c r="R37" i="1"/>
  <c r="S37" i="1"/>
  <c r="T37" i="1"/>
  <c r="U37" i="1"/>
  <c r="V37" i="1"/>
  <c r="W37" i="1"/>
  <c r="X37" i="1"/>
  <c r="Y37" i="1"/>
  <c r="Z37" i="1"/>
  <c r="AA37" i="1"/>
  <c r="AB37" i="1"/>
  <c r="A38" i="1"/>
  <c r="B38" i="1"/>
  <c r="C38" i="1"/>
  <c r="D38" i="1"/>
  <c r="E38" i="1"/>
  <c r="F38" i="1"/>
  <c r="G38" i="1"/>
  <c r="H38" i="1"/>
  <c r="I38" i="1"/>
  <c r="J38" i="1"/>
  <c r="K38" i="1"/>
  <c r="L38" i="1"/>
  <c r="M38" i="1"/>
  <c r="N38" i="1"/>
  <c r="O38" i="1"/>
  <c r="P38" i="1"/>
  <c r="Q38" i="1"/>
  <c r="R38" i="1"/>
  <c r="S38" i="1"/>
  <c r="T38" i="1"/>
  <c r="U38" i="1"/>
  <c r="V38" i="1"/>
  <c r="W38" i="1"/>
  <c r="X38" i="1"/>
  <c r="Y38" i="1"/>
  <c r="Z38" i="1"/>
  <c r="AA38" i="1"/>
  <c r="AB38" i="1"/>
  <c r="A39" i="1"/>
  <c r="B39" i="1"/>
  <c r="C39" i="1"/>
  <c r="D39" i="1"/>
  <c r="E39" i="1"/>
  <c r="F39" i="1"/>
  <c r="G39" i="1"/>
  <c r="H39" i="1"/>
  <c r="I39" i="1"/>
  <c r="J39" i="1"/>
  <c r="K39" i="1"/>
  <c r="L39" i="1"/>
  <c r="M39" i="1"/>
  <c r="N39" i="1"/>
  <c r="O39" i="1"/>
  <c r="P39" i="1"/>
  <c r="Q39" i="1"/>
  <c r="R39" i="1"/>
  <c r="S39" i="1"/>
  <c r="T39" i="1"/>
  <c r="U39" i="1"/>
  <c r="V39" i="1"/>
  <c r="W39" i="1"/>
  <c r="X39" i="1"/>
  <c r="Y39" i="1"/>
  <c r="Z39" i="1"/>
  <c r="AA39" i="1"/>
  <c r="AB39" i="1"/>
  <c r="A40" i="1"/>
  <c r="B40" i="1"/>
  <c r="C40" i="1"/>
  <c r="D40" i="1"/>
  <c r="E40" i="1"/>
  <c r="F40" i="1"/>
  <c r="G40" i="1"/>
  <c r="H40" i="1"/>
  <c r="I40" i="1"/>
  <c r="J40" i="1"/>
  <c r="K40" i="1"/>
  <c r="L40" i="1"/>
  <c r="M40" i="1"/>
  <c r="N40" i="1"/>
  <c r="O40" i="1"/>
  <c r="P40" i="1"/>
  <c r="Q40" i="1"/>
  <c r="R40" i="1"/>
  <c r="S40" i="1"/>
  <c r="T40" i="1"/>
  <c r="U40" i="1"/>
  <c r="V40" i="1"/>
  <c r="W40" i="1"/>
  <c r="X40" i="1"/>
  <c r="Y40" i="1"/>
  <c r="Z40" i="1"/>
  <c r="AA40" i="1"/>
  <c r="AB40" i="1"/>
  <c r="A41" i="1"/>
  <c r="B41" i="1"/>
  <c r="C41" i="1"/>
  <c r="D41" i="1"/>
  <c r="E41" i="1"/>
  <c r="F41" i="1"/>
  <c r="G41" i="1"/>
  <c r="H41" i="1"/>
  <c r="I41" i="1"/>
  <c r="J41" i="1"/>
  <c r="K41" i="1"/>
  <c r="L41" i="1"/>
  <c r="M41" i="1"/>
  <c r="N41" i="1"/>
  <c r="O41" i="1"/>
  <c r="P41" i="1"/>
  <c r="Q41" i="1"/>
  <c r="R41" i="1"/>
  <c r="S41" i="1"/>
  <c r="T41" i="1"/>
  <c r="U41" i="1"/>
  <c r="V41" i="1"/>
  <c r="W41" i="1"/>
  <c r="X41" i="1"/>
  <c r="Y41" i="1"/>
  <c r="Z41" i="1"/>
  <c r="AA41" i="1"/>
  <c r="AB41" i="1"/>
  <c r="A42" i="1"/>
  <c r="B42" i="1"/>
  <c r="C42" i="1"/>
  <c r="D42" i="1"/>
  <c r="E42" i="1"/>
  <c r="F42" i="1"/>
  <c r="G42" i="1"/>
  <c r="H42" i="1"/>
  <c r="I42" i="1"/>
  <c r="J42" i="1"/>
  <c r="K42" i="1"/>
  <c r="L42" i="1"/>
  <c r="M42" i="1"/>
  <c r="N42" i="1"/>
  <c r="O42" i="1"/>
  <c r="P42" i="1"/>
  <c r="Q42" i="1"/>
  <c r="R42" i="1"/>
  <c r="S42" i="1"/>
  <c r="T42" i="1"/>
  <c r="U42" i="1"/>
  <c r="V42" i="1"/>
  <c r="W42" i="1"/>
  <c r="X42" i="1"/>
  <c r="Y42" i="1"/>
  <c r="Z42" i="1"/>
  <c r="AA42" i="1"/>
  <c r="AB42" i="1"/>
  <c r="A43" i="1"/>
  <c r="B43" i="1"/>
  <c r="C43" i="1"/>
  <c r="D43" i="1"/>
  <c r="E43" i="1"/>
  <c r="F43" i="1"/>
  <c r="G43" i="1"/>
  <c r="H43" i="1"/>
  <c r="I43" i="1"/>
  <c r="J43" i="1"/>
  <c r="K43" i="1"/>
  <c r="L43" i="1"/>
  <c r="M43" i="1"/>
  <c r="N43" i="1"/>
  <c r="O43" i="1"/>
  <c r="P43" i="1"/>
  <c r="Q43" i="1"/>
  <c r="R43" i="1"/>
  <c r="S43" i="1"/>
  <c r="T43" i="1"/>
  <c r="U43" i="1"/>
  <c r="V43" i="1"/>
  <c r="W43" i="1"/>
  <c r="X43" i="1"/>
  <c r="Y43" i="1"/>
  <c r="Z43" i="1"/>
  <c r="AA43" i="1"/>
  <c r="AB43" i="1"/>
  <c r="A44" i="1"/>
  <c r="B44" i="1"/>
  <c r="C44" i="1"/>
  <c r="D44" i="1"/>
  <c r="E44" i="1"/>
  <c r="F44" i="1"/>
  <c r="G44" i="1"/>
  <c r="H44" i="1"/>
  <c r="I44" i="1"/>
  <c r="J44" i="1"/>
  <c r="K44" i="1"/>
  <c r="L44" i="1"/>
  <c r="M44" i="1"/>
  <c r="N44" i="1"/>
  <c r="O44" i="1"/>
  <c r="P44" i="1"/>
  <c r="Q44" i="1"/>
  <c r="R44" i="1"/>
  <c r="S44" i="1"/>
  <c r="T44" i="1"/>
  <c r="U44" i="1"/>
  <c r="V44" i="1"/>
  <c r="W44" i="1"/>
  <c r="X44" i="1"/>
  <c r="Y44" i="1"/>
  <c r="Z44" i="1"/>
  <c r="AA44" i="1"/>
  <c r="AB44" i="1"/>
  <c r="A45" i="1"/>
  <c r="B45" i="1"/>
  <c r="C45" i="1"/>
  <c r="D45" i="1"/>
  <c r="E45" i="1"/>
  <c r="F45" i="1"/>
  <c r="G45" i="1"/>
  <c r="H45" i="1"/>
  <c r="I45" i="1"/>
  <c r="J45" i="1"/>
  <c r="K45" i="1"/>
  <c r="L45" i="1"/>
  <c r="M45" i="1"/>
  <c r="N45" i="1"/>
  <c r="O45" i="1"/>
  <c r="P45" i="1"/>
  <c r="Q45" i="1"/>
  <c r="R45" i="1"/>
  <c r="S45" i="1"/>
  <c r="T45" i="1"/>
  <c r="U45" i="1"/>
  <c r="V45" i="1"/>
  <c r="W45" i="1"/>
  <c r="X45" i="1"/>
  <c r="Y45" i="1"/>
  <c r="Z45" i="1"/>
  <c r="AA45" i="1"/>
  <c r="AB45" i="1"/>
  <c r="A46" i="1"/>
  <c r="B46" i="1"/>
  <c r="C46" i="1"/>
  <c r="D46" i="1"/>
  <c r="E46" i="1"/>
  <c r="F46" i="1"/>
  <c r="G46" i="1"/>
  <c r="H46" i="1"/>
  <c r="I46" i="1"/>
  <c r="J46" i="1"/>
  <c r="K46" i="1"/>
  <c r="L46" i="1"/>
  <c r="M46" i="1"/>
  <c r="N46" i="1"/>
  <c r="O46" i="1"/>
  <c r="P46" i="1"/>
  <c r="Q46" i="1"/>
  <c r="R46" i="1"/>
  <c r="S46" i="1"/>
  <c r="T46" i="1"/>
  <c r="U46" i="1"/>
  <c r="V46" i="1"/>
  <c r="W46" i="1"/>
  <c r="X46" i="1"/>
  <c r="Y46" i="1"/>
  <c r="Z46" i="1"/>
  <c r="AA46" i="1"/>
  <c r="AB46" i="1"/>
  <c r="A47" i="1"/>
  <c r="B47" i="1"/>
  <c r="C47" i="1"/>
  <c r="D47" i="1"/>
  <c r="E47" i="1"/>
  <c r="F47" i="1"/>
  <c r="G47" i="1"/>
  <c r="H47" i="1"/>
  <c r="I47" i="1"/>
  <c r="J47" i="1"/>
  <c r="K47" i="1"/>
  <c r="L47" i="1"/>
  <c r="M47" i="1"/>
  <c r="N47" i="1"/>
  <c r="O47" i="1"/>
  <c r="P47" i="1"/>
  <c r="Q47" i="1"/>
  <c r="R47" i="1"/>
  <c r="S47" i="1"/>
  <c r="T47" i="1"/>
  <c r="U47" i="1"/>
  <c r="V47" i="1"/>
  <c r="W47" i="1"/>
  <c r="X47" i="1"/>
  <c r="Y47" i="1"/>
  <c r="Z47" i="1"/>
  <c r="AA47" i="1"/>
  <c r="AB47" i="1"/>
  <c r="A48" i="1"/>
  <c r="B48" i="1"/>
  <c r="C48" i="1"/>
  <c r="D48" i="1"/>
  <c r="E48" i="1"/>
  <c r="F48" i="1"/>
  <c r="G48" i="1"/>
  <c r="H48" i="1"/>
  <c r="I48" i="1"/>
  <c r="J48" i="1"/>
  <c r="K48" i="1"/>
  <c r="L48" i="1"/>
  <c r="M48" i="1"/>
  <c r="N48" i="1"/>
  <c r="O48" i="1"/>
  <c r="P48" i="1"/>
  <c r="Q48" i="1"/>
  <c r="R48" i="1"/>
  <c r="S48" i="1"/>
  <c r="T48" i="1"/>
  <c r="U48" i="1"/>
  <c r="V48" i="1"/>
  <c r="W48" i="1"/>
  <c r="X48" i="1"/>
  <c r="Y48" i="1"/>
  <c r="Z48" i="1"/>
  <c r="AA48" i="1"/>
  <c r="AB48" i="1"/>
  <c r="A49" i="1"/>
  <c r="B49" i="1"/>
  <c r="C49" i="1"/>
  <c r="D49" i="1"/>
  <c r="E49" i="1"/>
  <c r="F49" i="1"/>
  <c r="G49" i="1"/>
  <c r="H49" i="1"/>
  <c r="I49" i="1"/>
  <c r="J49" i="1"/>
  <c r="K49" i="1"/>
  <c r="L49" i="1"/>
  <c r="M49" i="1"/>
  <c r="N49" i="1"/>
  <c r="O49" i="1"/>
  <c r="P49" i="1"/>
  <c r="Q49" i="1"/>
  <c r="R49" i="1"/>
  <c r="S49" i="1"/>
  <c r="T49" i="1"/>
  <c r="U49" i="1"/>
  <c r="V49" i="1"/>
  <c r="W49" i="1"/>
  <c r="X49" i="1"/>
  <c r="Y49" i="1"/>
  <c r="Z49" i="1"/>
  <c r="AA49" i="1"/>
  <c r="AB49" i="1"/>
  <c r="A50" i="1"/>
  <c r="B50" i="1"/>
  <c r="C50" i="1"/>
  <c r="D50" i="1"/>
  <c r="E50" i="1"/>
  <c r="F50" i="1"/>
  <c r="G50" i="1"/>
  <c r="H50" i="1"/>
  <c r="I50" i="1"/>
  <c r="J50" i="1"/>
  <c r="K50" i="1"/>
  <c r="L50" i="1"/>
  <c r="M50" i="1"/>
  <c r="N50" i="1"/>
  <c r="O50" i="1"/>
  <c r="P50" i="1"/>
  <c r="Q50" i="1"/>
  <c r="R50" i="1"/>
  <c r="S50" i="1"/>
  <c r="T50" i="1"/>
  <c r="U50" i="1"/>
  <c r="V50" i="1"/>
  <c r="W50" i="1"/>
  <c r="X50" i="1"/>
  <c r="Y50" i="1"/>
  <c r="Z50" i="1"/>
  <c r="AA50" i="1"/>
  <c r="AB50" i="1"/>
  <c r="A51" i="1"/>
  <c r="B51" i="1"/>
  <c r="C51" i="1"/>
  <c r="D51" i="1"/>
  <c r="E51" i="1"/>
  <c r="F51" i="1"/>
  <c r="G51" i="1"/>
  <c r="H51" i="1"/>
  <c r="I51" i="1"/>
  <c r="J51" i="1"/>
  <c r="K51" i="1"/>
  <c r="L51" i="1"/>
  <c r="M51" i="1"/>
  <c r="N51" i="1"/>
  <c r="O51" i="1"/>
  <c r="P51" i="1"/>
  <c r="Q51" i="1"/>
  <c r="R51" i="1"/>
  <c r="S51" i="1"/>
  <c r="T51" i="1"/>
  <c r="U51" i="1"/>
  <c r="V51" i="1"/>
  <c r="W51" i="1"/>
  <c r="X51" i="1"/>
  <c r="Y51" i="1"/>
  <c r="Z51" i="1"/>
  <c r="AA51" i="1"/>
  <c r="AB51" i="1"/>
  <c r="A52" i="1"/>
  <c r="B52" i="1"/>
  <c r="C52" i="1"/>
  <c r="D52" i="1"/>
  <c r="E52" i="1"/>
  <c r="F52" i="1"/>
  <c r="G52" i="1"/>
  <c r="H52" i="1"/>
  <c r="I52" i="1"/>
  <c r="J52" i="1"/>
  <c r="K52" i="1"/>
  <c r="L52" i="1"/>
  <c r="M52" i="1"/>
  <c r="N52" i="1"/>
  <c r="O52" i="1"/>
  <c r="P52" i="1"/>
  <c r="Q52" i="1"/>
  <c r="R52" i="1"/>
  <c r="S52" i="1"/>
  <c r="T52" i="1"/>
  <c r="U52" i="1"/>
  <c r="V52" i="1"/>
  <c r="W52" i="1"/>
  <c r="X52" i="1"/>
  <c r="Y52" i="1"/>
  <c r="Z52" i="1"/>
  <c r="AA52" i="1"/>
  <c r="AB52" i="1"/>
  <c r="A53" i="1"/>
  <c r="B53" i="1"/>
  <c r="C53" i="1"/>
  <c r="D53" i="1"/>
  <c r="E53" i="1"/>
  <c r="F53" i="1"/>
  <c r="G53" i="1"/>
  <c r="H53" i="1"/>
  <c r="I53" i="1"/>
  <c r="J53" i="1"/>
  <c r="K53" i="1"/>
  <c r="L53" i="1"/>
  <c r="M53" i="1"/>
  <c r="N53" i="1"/>
  <c r="O53" i="1"/>
  <c r="P53" i="1"/>
  <c r="Q53" i="1"/>
  <c r="R53" i="1"/>
  <c r="S53" i="1"/>
  <c r="T53" i="1"/>
  <c r="U53" i="1"/>
  <c r="V53" i="1"/>
  <c r="W53" i="1"/>
  <c r="X53" i="1"/>
  <c r="Y53" i="1"/>
  <c r="Z53" i="1"/>
  <c r="AA53" i="1"/>
  <c r="AB53" i="1"/>
  <c r="A54" i="1"/>
  <c r="B54" i="1"/>
  <c r="C54" i="1"/>
  <c r="D54" i="1"/>
  <c r="E54" i="1"/>
  <c r="F54" i="1"/>
  <c r="G54" i="1"/>
  <c r="H54" i="1"/>
  <c r="I54" i="1"/>
  <c r="J54" i="1"/>
  <c r="K54" i="1"/>
  <c r="L54" i="1"/>
  <c r="M54" i="1"/>
  <c r="N54" i="1"/>
  <c r="O54" i="1"/>
  <c r="P54" i="1"/>
  <c r="Q54" i="1"/>
  <c r="R54" i="1"/>
  <c r="S54" i="1"/>
  <c r="T54" i="1"/>
  <c r="U54" i="1"/>
  <c r="V54" i="1"/>
  <c r="W54" i="1"/>
  <c r="X54" i="1"/>
  <c r="Y54" i="1"/>
  <c r="Z54" i="1"/>
  <c r="AA54" i="1"/>
  <c r="AB54" i="1"/>
  <c r="A55" i="1"/>
  <c r="B55" i="1"/>
  <c r="C55" i="1"/>
  <c r="D55" i="1"/>
  <c r="E55" i="1"/>
  <c r="F55" i="1"/>
  <c r="G55" i="1"/>
  <c r="H55" i="1"/>
  <c r="I55" i="1"/>
  <c r="J55" i="1"/>
  <c r="K55" i="1"/>
  <c r="L55" i="1"/>
  <c r="M55" i="1"/>
  <c r="N55" i="1"/>
  <c r="O55" i="1"/>
  <c r="P55" i="1"/>
  <c r="Q55" i="1"/>
  <c r="R55" i="1"/>
  <c r="S55" i="1"/>
  <c r="T55" i="1"/>
  <c r="U55" i="1"/>
  <c r="V55" i="1"/>
  <c r="W55" i="1"/>
  <c r="X55" i="1"/>
  <c r="Y55" i="1"/>
  <c r="Z55" i="1"/>
  <c r="AA55" i="1"/>
  <c r="AB55" i="1"/>
  <c r="A56" i="1"/>
  <c r="B56" i="1"/>
  <c r="C56" i="1"/>
  <c r="D56" i="1"/>
  <c r="E56" i="1"/>
  <c r="F56" i="1"/>
  <c r="G56" i="1"/>
  <c r="H56" i="1"/>
  <c r="I56" i="1"/>
  <c r="J56" i="1"/>
  <c r="K56" i="1"/>
  <c r="L56" i="1"/>
  <c r="M56" i="1"/>
  <c r="N56" i="1"/>
  <c r="O56" i="1"/>
  <c r="P56" i="1"/>
  <c r="Q56" i="1"/>
  <c r="R56" i="1"/>
  <c r="S56" i="1"/>
  <c r="T56" i="1"/>
  <c r="U56" i="1"/>
  <c r="V56" i="1"/>
  <c r="W56" i="1"/>
  <c r="X56" i="1"/>
  <c r="Y56" i="1"/>
  <c r="Z56" i="1"/>
  <c r="AA56" i="1"/>
  <c r="AB56" i="1"/>
  <c r="A57" i="1"/>
  <c r="B57" i="1"/>
  <c r="C57" i="1"/>
  <c r="D57" i="1"/>
  <c r="E57" i="1"/>
  <c r="F57" i="1"/>
  <c r="G57" i="1"/>
  <c r="H57" i="1"/>
  <c r="I57" i="1"/>
  <c r="J57" i="1"/>
  <c r="K57" i="1"/>
  <c r="L57" i="1"/>
  <c r="M57" i="1"/>
  <c r="N57" i="1"/>
  <c r="O57" i="1"/>
  <c r="P57" i="1"/>
  <c r="Q57" i="1"/>
  <c r="R57" i="1"/>
  <c r="S57" i="1"/>
  <c r="T57" i="1"/>
  <c r="U57" i="1"/>
  <c r="V57" i="1"/>
  <c r="W57" i="1"/>
  <c r="X57" i="1"/>
  <c r="Y57" i="1"/>
  <c r="Z57" i="1"/>
  <c r="AA57" i="1"/>
  <c r="AB57" i="1"/>
  <c r="A58" i="1"/>
  <c r="B58" i="1"/>
  <c r="C58" i="1"/>
  <c r="D58" i="1"/>
  <c r="E58" i="1"/>
  <c r="F58" i="1"/>
  <c r="G58" i="1"/>
  <c r="H58" i="1"/>
  <c r="I58" i="1"/>
  <c r="J58" i="1"/>
  <c r="K58" i="1"/>
  <c r="L58" i="1"/>
  <c r="M58" i="1"/>
  <c r="N58" i="1"/>
  <c r="O58" i="1"/>
  <c r="P58" i="1"/>
  <c r="Q58" i="1"/>
  <c r="R58" i="1"/>
  <c r="S58" i="1"/>
  <c r="T58" i="1"/>
  <c r="U58" i="1"/>
  <c r="V58" i="1"/>
  <c r="W58" i="1"/>
  <c r="X58" i="1"/>
  <c r="Y58" i="1"/>
  <c r="Z58" i="1"/>
  <c r="AA58" i="1"/>
  <c r="AB58" i="1"/>
  <c r="A59" i="1"/>
  <c r="B59" i="1"/>
  <c r="C59" i="1"/>
  <c r="D59" i="1"/>
  <c r="E59" i="1"/>
  <c r="F59" i="1"/>
  <c r="G59" i="1"/>
  <c r="H59" i="1"/>
  <c r="I59" i="1"/>
  <c r="J59" i="1"/>
  <c r="K59" i="1"/>
  <c r="L59" i="1"/>
  <c r="M59" i="1"/>
  <c r="N59" i="1"/>
  <c r="O59" i="1"/>
  <c r="P59" i="1"/>
  <c r="Q59" i="1"/>
  <c r="R59" i="1"/>
  <c r="S59" i="1"/>
  <c r="T59" i="1"/>
  <c r="U59" i="1"/>
  <c r="V59" i="1"/>
  <c r="W59" i="1"/>
  <c r="X59" i="1"/>
  <c r="Y59" i="1"/>
  <c r="Z59" i="1"/>
  <c r="AA59" i="1"/>
  <c r="AB59" i="1"/>
  <c r="A60" i="1"/>
  <c r="B60" i="1"/>
  <c r="C60" i="1"/>
  <c r="D60" i="1"/>
  <c r="E60" i="1"/>
  <c r="F60" i="1"/>
  <c r="G60" i="1"/>
  <c r="H60" i="1"/>
  <c r="I60" i="1"/>
  <c r="J60" i="1"/>
  <c r="K60" i="1"/>
  <c r="L60" i="1"/>
  <c r="M60" i="1"/>
  <c r="N60" i="1"/>
  <c r="O60" i="1"/>
  <c r="P60" i="1"/>
  <c r="Q60" i="1"/>
  <c r="R60" i="1"/>
  <c r="S60" i="1"/>
  <c r="T60" i="1"/>
  <c r="U60" i="1"/>
  <c r="V60" i="1"/>
  <c r="W60" i="1"/>
  <c r="X60" i="1"/>
  <c r="Y60" i="1"/>
  <c r="Z60" i="1"/>
  <c r="AA60" i="1"/>
  <c r="AB60" i="1"/>
  <c r="A61" i="1"/>
  <c r="B61" i="1"/>
  <c r="C61" i="1"/>
  <c r="D61" i="1"/>
  <c r="E61" i="1"/>
  <c r="F61" i="1"/>
  <c r="G61" i="1"/>
  <c r="H61" i="1"/>
  <c r="I61" i="1"/>
  <c r="J61" i="1"/>
  <c r="K61" i="1"/>
  <c r="L61" i="1"/>
  <c r="M61" i="1"/>
  <c r="N61" i="1"/>
  <c r="O61" i="1"/>
  <c r="P61" i="1"/>
  <c r="Q61" i="1"/>
  <c r="R61" i="1"/>
  <c r="S61" i="1"/>
  <c r="T61" i="1"/>
  <c r="U61" i="1"/>
  <c r="V61" i="1"/>
  <c r="W61" i="1"/>
  <c r="X61" i="1"/>
  <c r="Y61" i="1"/>
  <c r="Z61" i="1"/>
  <c r="AA61" i="1"/>
  <c r="AB61" i="1"/>
  <c r="A62" i="1"/>
  <c r="B62" i="1"/>
  <c r="C62" i="1"/>
  <c r="D62" i="1"/>
  <c r="E62" i="1"/>
  <c r="F62" i="1"/>
  <c r="G62" i="1"/>
  <c r="H62" i="1"/>
  <c r="I62" i="1"/>
  <c r="J62" i="1"/>
  <c r="K62" i="1"/>
  <c r="L62" i="1"/>
  <c r="M62" i="1"/>
  <c r="N62" i="1"/>
  <c r="O62" i="1"/>
  <c r="P62" i="1"/>
  <c r="Q62" i="1"/>
  <c r="R62" i="1"/>
  <c r="S62" i="1"/>
  <c r="T62" i="1"/>
  <c r="U62" i="1"/>
  <c r="V62" i="1"/>
  <c r="W62" i="1"/>
  <c r="X62" i="1"/>
  <c r="Y62" i="1"/>
  <c r="Z62" i="1"/>
  <c r="AA62" i="1"/>
  <c r="AB62" i="1"/>
  <c r="A63" i="1"/>
  <c r="B63" i="1"/>
  <c r="C63" i="1"/>
  <c r="D63" i="1"/>
  <c r="E63" i="1"/>
  <c r="F63" i="1"/>
  <c r="G63" i="1"/>
  <c r="H63" i="1"/>
  <c r="I63" i="1"/>
  <c r="J63" i="1"/>
  <c r="K63" i="1"/>
  <c r="L63" i="1"/>
  <c r="M63" i="1"/>
  <c r="N63" i="1"/>
  <c r="O63" i="1"/>
  <c r="P63" i="1"/>
  <c r="Q63" i="1"/>
  <c r="R63" i="1"/>
  <c r="S63" i="1"/>
  <c r="T63" i="1"/>
  <c r="U63" i="1"/>
  <c r="V63" i="1"/>
  <c r="W63" i="1"/>
  <c r="X63" i="1"/>
  <c r="Y63" i="1"/>
  <c r="Z63" i="1"/>
  <c r="AA63" i="1"/>
  <c r="AB63" i="1"/>
  <c r="A64" i="1"/>
  <c r="B64" i="1"/>
  <c r="C64" i="1"/>
  <c r="D64" i="1"/>
  <c r="E64" i="1"/>
  <c r="F64" i="1"/>
  <c r="G64" i="1"/>
  <c r="H64" i="1"/>
  <c r="I64" i="1"/>
  <c r="J64" i="1"/>
  <c r="K64" i="1"/>
  <c r="L64" i="1"/>
  <c r="M64" i="1"/>
  <c r="N64" i="1"/>
  <c r="O64" i="1"/>
  <c r="P64" i="1"/>
  <c r="Q64" i="1"/>
  <c r="R64" i="1"/>
  <c r="S64" i="1"/>
  <c r="T64" i="1"/>
  <c r="U64" i="1"/>
  <c r="V64" i="1"/>
  <c r="W64" i="1"/>
  <c r="X64" i="1"/>
  <c r="Y64" i="1"/>
  <c r="Z64" i="1"/>
  <c r="AA64" i="1"/>
  <c r="AB64" i="1"/>
  <c r="A65" i="1"/>
  <c r="B65" i="1"/>
  <c r="C65" i="1"/>
  <c r="D65" i="1"/>
  <c r="E65" i="1"/>
  <c r="F65" i="1"/>
  <c r="G65" i="1"/>
  <c r="H65" i="1"/>
  <c r="I65" i="1"/>
  <c r="J65" i="1"/>
  <c r="K65" i="1"/>
  <c r="L65" i="1"/>
  <c r="M65" i="1"/>
  <c r="N65" i="1"/>
  <c r="O65" i="1"/>
  <c r="P65" i="1"/>
  <c r="Q65" i="1"/>
  <c r="R65" i="1"/>
  <c r="S65" i="1"/>
  <c r="T65" i="1"/>
  <c r="U65" i="1"/>
  <c r="V65" i="1"/>
  <c r="W65" i="1"/>
  <c r="X65" i="1"/>
  <c r="Y65" i="1"/>
  <c r="Z65" i="1"/>
  <c r="AA65" i="1"/>
  <c r="AB65" i="1"/>
  <c r="A66" i="1"/>
  <c r="B66" i="1"/>
  <c r="C66" i="1"/>
  <c r="D66" i="1"/>
  <c r="E66" i="1"/>
  <c r="F66" i="1"/>
  <c r="G66" i="1"/>
  <c r="H66" i="1"/>
  <c r="I66" i="1"/>
  <c r="J66" i="1"/>
  <c r="K66" i="1"/>
  <c r="L66" i="1"/>
  <c r="M66" i="1"/>
  <c r="N66" i="1"/>
  <c r="O66" i="1"/>
  <c r="P66" i="1"/>
  <c r="Q66" i="1"/>
  <c r="R66" i="1"/>
  <c r="S66" i="1"/>
  <c r="T66" i="1"/>
  <c r="U66" i="1"/>
  <c r="V66" i="1"/>
  <c r="W66" i="1"/>
  <c r="X66" i="1"/>
  <c r="Y66" i="1"/>
  <c r="Z66" i="1"/>
  <c r="AA66" i="1"/>
  <c r="AB66" i="1"/>
  <c r="A67" i="1"/>
  <c r="B67" i="1"/>
  <c r="C67" i="1"/>
  <c r="D67" i="1"/>
  <c r="E67" i="1"/>
  <c r="F67" i="1"/>
  <c r="G67" i="1"/>
  <c r="H67" i="1"/>
  <c r="I67" i="1"/>
  <c r="J67" i="1"/>
  <c r="K67" i="1"/>
  <c r="L67" i="1"/>
  <c r="M67" i="1"/>
  <c r="N67" i="1"/>
  <c r="O67" i="1"/>
  <c r="P67" i="1"/>
  <c r="Q67" i="1"/>
  <c r="R67" i="1"/>
  <c r="S67" i="1"/>
  <c r="T67" i="1"/>
  <c r="U67" i="1"/>
  <c r="V67" i="1"/>
  <c r="W67" i="1"/>
  <c r="X67" i="1"/>
  <c r="Y67" i="1"/>
  <c r="Z67" i="1"/>
  <c r="AA67" i="1"/>
  <c r="AB67" i="1"/>
  <c r="A68" i="1"/>
  <c r="B68" i="1"/>
  <c r="C68" i="1"/>
  <c r="D68" i="1"/>
  <c r="E68" i="1"/>
  <c r="F68" i="1"/>
  <c r="G68" i="1"/>
  <c r="H68" i="1"/>
  <c r="I68" i="1"/>
  <c r="J68" i="1"/>
  <c r="K68" i="1"/>
  <c r="L68" i="1"/>
  <c r="M68" i="1"/>
  <c r="N68" i="1"/>
  <c r="O68" i="1"/>
  <c r="P68" i="1"/>
  <c r="Q68" i="1"/>
  <c r="R68" i="1"/>
  <c r="S68" i="1"/>
  <c r="T68" i="1"/>
  <c r="U68" i="1"/>
  <c r="V68" i="1"/>
  <c r="W68" i="1"/>
  <c r="X68" i="1"/>
  <c r="Y68" i="1"/>
  <c r="Z68" i="1"/>
  <c r="AA68" i="1"/>
  <c r="AB68" i="1"/>
  <c r="A69" i="1"/>
  <c r="B69" i="1"/>
  <c r="C69" i="1"/>
  <c r="D69" i="1"/>
  <c r="E69" i="1"/>
  <c r="F69" i="1"/>
  <c r="G69" i="1"/>
  <c r="H69" i="1"/>
  <c r="I69" i="1"/>
  <c r="J69" i="1"/>
  <c r="K69" i="1"/>
  <c r="L69" i="1"/>
  <c r="M69" i="1"/>
  <c r="N69" i="1"/>
  <c r="O69" i="1"/>
  <c r="P69" i="1"/>
  <c r="Q69" i="1"/>
  <c r="R69" i="1"/>
  <c r="S69" i="1"/>
  <c r="T69" i="1"/>
  <c r="U69" i="1"/>
  <c r="V69" i="1"/>
  <c r="W69" i="1"/>
  <c r="X69" i="1"/>
  <c r="Y69" i="1"/>
  <c r="Z69" i="1"/>
  <c r="AA69" i="1"/>
  <c r="AB69" i="1"/>
  <c r="A70" i="1"/>
  <c r="B70" i="1"/>
  <c r="C70" i="1"/>
  <c r="D70" i="1"/>
  <c r="E70" i="1"/>
  <c r="F70" i="1"/>
  <c r="G70" i="1"/>
  <c r="H70" i="1"/>
  <c r="I70" i="1"/>
  <c r="J70" i="1"/>
  <c r="K70" i="1"/>
  <c r="L70" i="1"/>
  <c r="M70" i="1"/>
  <c r="N70" i="1"/>
  <c r="O70" i="1"/>
  <c r="P70" i="1"/>
  <c r="Q70" i="1"/>
  <c r="R70" i="1"/>
  <c r="S70" i="1"/>
  <c r="T70" i="1"/>
  <c r="U70" i="1"/>
  <c r="V70" i="1"/>
  <c r="W70" i="1"/>
  <c r="X70" i="1"/>
  <c r="Y70" i="1"/>
  <c r="Z70" i="1"/>
  <c r="AA70" i="1"/>
  <c r="AB70" i="1"/>
  <c r="A71" i="1"/>
  <c r="B71" i="1"/>
  <c r="C71" i="1"/>
  <c r="D71" i="1"/>
  <c r="E71" i="1"/>
  <c r="F71" i="1"/>
  <c r="G71" i="1"/>
  <c r="H71" i="1"/>
  <c r="I71" i="1"/>
  <c r="J71" i="1"/>
  <c r="K71" i="1"/>
  <c r="L71" i="1"/>
  <c r="M71" i="1"/>
  <c r="N71" i="1"/>
  <c r="O71" i="1"/>
  <c r="P71" i="1"/>
  <c r="Q71" i="1"/>
  <c r="R71" i="1"/>
  <c r="S71" i="1"/>
  <c r="T71" i="1"/>
  <c r="U71" i="1"/>
  <c r="V71" i="1"/>
  <c r="W71" i="1"/>
  <c r="X71" i="1"/>
  <c r="Y71" i="1"/>
  <c r="Z71" i="1"/>
  <c r="AA71" i="1"/>
  <c r="AB71" i="1"/>
  <c r="A72" i="1"/>
  <c r="B72" i="1"/>
  <c r="C72" i="1"/>
  <c r="D72" i="1"/>
  <c r="E72" i="1"/>
  <c r="F72" i="1"/>
  <c r="G72" i="1"/>
  <c r="H72" i="1"/>
  <c r="I72" i="1"/>
  <c r="J72" i="1"/>
  <c r="K72" i="1"/>
  <c r="L72" i="1"/>
  <c r="M72" i="1"/>
  <c r="N72" i="1"/>
  <c r="O72" i="1"/>
  <c r="P72" i="1"/>
  <c r="Q72" i="1"/>
  <c r="R72" i="1"/>
  <c r="S72" i="1"/>
  <c r="T72" i="1"/>
  <c r="U72" i="1"/>
  <c r="V72" i="1"/>
  <c r="W72" i="1"/>
  <c r="X72" i="1"/>
  <c r="Y72" i="1"/>
  <c r="Z72" i="1"/>
  <c r="AA72" i="1"/>
  <c r="AB72" i="1"/>
  <c r="A73" i="1"/>
  <c r="B73" i="1"/>
  <c r="C73" i="1"/>
  <c r="D73" i="1"/>
  <c r="E73" i="1"/>
  <c r="F73" i="1"/>
  <c r="G73" i="1"/>
  <c r="H73" i="1"/>
  <c r="I73" i="1"/>
  <c r="J73" i="1"/>
  <c r="K73" i="1"/>
  <c r="L73" i="1"/>
  <c r="M73" i="1"/>
  <c r="N73" i="1"/>
  <c r="O73" i="1"/>
  <c r="P73" i="1"/>
  <c r="Q73" i="1"/>
  <c r="R73" i="1"/>
  <c r="S73" i="1"/>
  <c r="T73" i="1"/>
  <c r="U73" i="1"/>
  <c r="V73" i="1"/>
  <c r="W73" i="1"/>
  <c r="X73" i="1"/>
  <c r="Y73" i="1"/>
  <c r="Z73" i="1"/>
  <c r="AA73" i="1"/>
  <c r="AB73" i="1"/>
  <c r="A74" i="1"/>
  <c r="B74" i="1"/>
  <c r="C74" i="1"/>
  <c r="D74" i="1"/>
  <c r="E74" i="1"/>
  <c r="F74" i="1"/>
  <c r="G74" i="1"/>
  <c r="H74" i="1"/>
  <c r="I74" i="1"/>
  <c r="J74" i="1"/>
  <c r="K74" i="1"/>
  <c r="L74" i="1"/>
  <c r="M74" i="1"/>
  <c r="N74" i="1"/>
  <c r="O74" i="1"/>
  <c r="P74" i="1"/>
  <c r="Q74" i="1"/>
  <c r="R74" i="1"/>
  <c r="S74" i="1"/>
  <c r="T74" i="1"/>
  <c r="U74" i="1"/>
  <c r="V74" i="1"/>
  <c r="W74" i="1"/>
  <c r="X74" i="1"/>
  <c r="Y74" i="1"/>
  <c r="Z74" i="1"/>
  <c r="AA74" i="1"/>
  <c r="AB74" i="1"/>
  <c r="A75" i="1"/>
  <c r="B75" i="1"/>
  <c r="C75" i="1"/>
  <c r="D75" i="1"/>
  <c r="E75" i="1"/>
  <c r="F75" i="1"/>
  <c r="G75" i="1"/>
  <c r="H75" i="1"/>
  <c r="I75" i="1"/>
  <c r="J75" i="1"/>
  <c r="K75" i="1"/>
  <c r="L75" i="1"/>
  <c r="M75" i="1"/>
  <c r="N75" i="1"/>
  <c r="O75" i="1"/>
  <c r="P75" i="1"/>
  <c r="Q75" i="1"/>
  <c r="R75" i="1"/>
  <c r="S75" i="1"/>
  <c r="T75" i="1"/>
  <c r="U75" i="1"/>
  <c r="V75" i="1"/>
  <c r="W75" i="1"/>
  <c r="X75" i="1"/>
  <c r="Y75" i="1"/>
  <c r="Z75" i="1"/>
  <c r="AA75" i="1"/>
  <c r="AB75" i="1"/>
  <c r="A76" i="1"/>
  <c r="B76" i="1"/>
  <c r="C76" i="1"/>
  <c r="D76" i="1"/>
  <c r="E76" i="1"/>
  <c r="F76" i="1"/>
  <c r="G76" i="1"/>
  <c r="H76" i="1"/>
  <c r="I76" i="1"/>
  <c r="J76" i="1"/>
  <c r="K76" i="1"/>
  <c r="L76" i="1"/>
  <c r="M76" i="1"/>
  <c r="N76" i="1"/>
  <c r="O76" i="1"/>
  <c r="P76" i="1"/>
  <c r="Q76" i="1"/>
  <c r="R76" i="1"/>
  <c r="S76" i="1"/>
  <c r="T76" i="1"/>
  <c r="U76" i="1"/>
  <c r="V76" i="1"/>
  <c r="W76" i="1"/>
  <c r="X76" i="1"/>
  <c r="Y76" i="1"/>
  <c r="Z76" i="1"/>
  <c r="AA76" i="1"/>
  <c r="AB76" i="1"/>
  <c r="A77" i="1"/>
  <c r="B77" i="1"/>
  <c r="C77" i="1"/>
  <c r="D77" i="1"/>
  <c r="E77" i="1"/>
  <c r="F77" i="1"/>
  <c r="G77" i="1"/>
  <c r="H77" i="1"/>
  <c r="I77" i="1"/>
  <c r="J77" i="1"/>
  <c r="K77" i="1"/>
  <c r="L77" i="1"/>
  <c r="M77" i="1"/>
  <c r="N77" i="1"/>
  <c r="O77" i="1"/>
  <c r="P77" i="1"/>
  <c r="Q77" i="1"/>
  <c r="R77" i="1"/>
  <c r="S77" i="1"/>
  <c r="T77" i="1"/>
  <c r="U77" i="1"/>
  <c r="V77" i="1"/>
  <c r="W77" i="1"/>
  <c r="X77" i="1"/>
  <c r="Y77" i="1"/>
  <c r="Z77" i="1"/>
  <c r="AA77" i="1"/>
  <c r="AB77" i="1"/>
  <c r="A78" i="1"/>
  <c r="B78" i="1"/>
  <c r="C78" i="1"/>
  <c r="D78" i="1"/>
  <c r="E78" i="1"/>
  <c r="F78" i="1"/>
  <c r="G78" i="1"/>
  <c r="H78" i="1"/>
  <c r="I78" i="1"/>
  <c r="J78" i="1"/>
  <c r="K78" i="1"/>
  <c r="L78" i="1"/>
  <c r="M78" i="1"/>
  <c r="N78" i="1"/>
  <c r="O78" i="1"/>
  <c r="P78" i="1"/>
  <c r="Q78" i="1"/>
  <c r="R78" i="1"/>
  <c r="S78" i="1"/>
  <c r="T78" i="1"/>
  <c r="U78" i="1"/>
  <c r="V78" i="1"/>
  <c r="W78" i="1"/>
  <c r="X78" i="1"/>
  <c r="Y78" i="1"/>
  <c r="Z78" i="1"/>
  <c r="AA78" i="1"/>
  <c r="AB78" i="1"/>
  <c r="A79" i="1"/>
  <c r="B79" i="1"/>
  <c r="C79" i="1"/>
  <c r="D79" i="1"/>
  <c r="E79" i="1"/>
  <c r="F79" i="1"/>
  <c r="G79" i="1"/>
  <c r="H79" i="1"/>
  <c r="I79" i="1"/>
  <c r="J79" i="1"/>
  <c r="K79" i="1"/>
  <c r="L79" i="1"/>
  <c r="M79" i="1"/>
  <c r="N79" i="1"/>
  <c r="O79" i="1"/>
  <c r="P79" i="1"/>
  <c r="Q79" i="1"/>
  <c r="R79" i="1"/>
  <c r="S79" i="1"/>
  <c r="T79" i="1"/>
  <c r="U79" i="1"/>
  <c r="V79" i="1"/>
  <c r="W79" i="1"/>
  <c r="X79" i="1"/>
  <c r="Y79" i="1"/>
  <c r="Z79" i="1"/>
  <c r="AA79" i="1"/>
  <c r="AB79" i="1"/>
  <c r="A80" i="1"/>
  <c r="B80" i="1"/>
  <c r="C80" i="1"/>
  <c r="D80" i="1"/>
  <c r="E80" i="1"/>
  <c r="F80" i="1"/>
  <c r="G80" i="1"/>
  <c r="H80" i="1"/>
  <c r="I80" i="1"/>
  <c r="J80" i="1"/>
  <c r="K80" i="1"/>
  <c r="L80" i="1"/>
  <c r="M80" i="1"/>
  <c r="N80" i="1"/>
  <c r="O80" i="1"/>
  <c r="P80" i="1"/>
  <c r="Q80" i="1"/>
  <c r="R80" i="1"/>
  <c r="S80" i="1"/>
  <c r="T80" i="1"/>
  <c r="U80" i="1"/>
  <c r="V80" i="1"/>
  <c r="W80" i="1"/>
  <c r="X80" i="1"/>
  <c r="Y80" i="1"/>
  <c r="Z80" i="1"/>
  <c r="AA80" i="1"/>
  <c r="AB80" i="1"/>
  <c r="A81" i="1"/>
  <c r="B81" i="1"/>
  <c r="C81" i="1"/>
  <c r="D81" i="1"/>
  <c r="E81" i="1"/>
  <c r="F81" i="1"/>
  <c r="G81" i="1"/>
  <c r="H81" i="1"/>
  <c r="I81" i="1"/>
  <c r="J81" i="1"/>
  <c r="K81" i="1"/>
  <c r="L81" i="1"/>
  <c r="M81" i="1"/>
  <c r="N81" i="1"/>
  <c r="O81" i="1"/>
  <c r="P81" i="1"/>
  <c r="Q81" i="1"/>
  <c r="R81" i="1"/>
  <c r="S81" i="1"/>
  <c r="T81" i="1"/>
  <c r="U81" i="1"/>
  <c r="V81" i="1"/>
  <c r="W81" i="1"/>
  <c r="X81" i="1"/>
  <c r="Y81" i="1"/>
  <c r="Z81" i="1"/>
  <c r="AA81" i="1"/>
  <c r="AB81" i="1"/>
  <c r="A82" i="1"/>
  <c r="B82" i="1"/>
  <c r="C82" i="1"/>
  <c r="D82" i="1"/>
  <c r="E82" i="1"/>
  <c r="F82" i="1"/>
  <c r="G82" i="1"/>
  <c r="H82" i="1"/>
  <c r="I82" i="1"/>
  <c r="J82" i="1"/>
  <c r="K82" i="1"/>
  <c r="L82" i="1"/>
  <c r="M82" i="1"/>
  <c r="N82" i="1"/>
  <c r="O82" i="1"/>
  <c r="P82" i="1"/>
  <c r="Q82" i="1"/>
  <c r="R82" i="1"/>
  <c r="S82" i="1"/>
  <c r="T82" i="1"/>
  <c r="U82" i="1"/>
  <c r="V82" i="1"/>
  <c r="W82" i="1"/>
  <c r="X82" i="1"/>
  <c r="Y82" i="1"/>
  <c r="Z82" i="1"/>
  <c r="AA82" i="1"/>
  <c r="AB82" i="1"/>
  <c r="A83" i="1"/>
  <c r="B83" i="1"/>
  <c r="C83" i="1"/>
  <c r="D83" i="1"/>
  <c r="E83" i="1"/>
  <c r="F83" i="1"/>
  <c r="G83" i="1"/>
  <c r="H83" i="1"/>
  <c r="I83" i="1"/>
  <c r="J83" i="1"/>
  <c r="K83" i="1"/>
  <c r="L83" i="1"/>
  <c r="M83" i="1"/>
  <c r="N83" i="1"/>
  <c r="O83" i="1"/>
  <c r="P83" i="1"/>
  <c r="Q83" i="1"/>
  <c r="R83" i="1"/>
  <c r="S83" i="1"/>
  <c r="T83" i="1"/>
  <c r="U83" i="1"/>
  <c r="V83" i="1"/>
  <c r="W83" i="1"/>
  <c r="X83" i="1"/>
  <c r="Y83" i="1"/>
  <c r="Z83" i="1"/>
  <c r="AA83" i="1"/>
  <c r="AB83" i="1"/>
  <c r="A84" i="1"/>
  <c r="B84" i="1"/>
  <c r="C84" i="1"/>
  <c r="D84" i="1"/>
  <c r="E84" i="1"/>
  <c r="F84" i="1"/>
  <c r="G84" i="1"/>
  <c r="H84" i="1"/>
  <c r="I84" i="1"/>
  <c r="J84" i="1"/>
  <c r="K84" i="1"/>
  <c r="L84" i="1"/>
  <c r="M84" i="1"/>
  <c r="N84" i="1"/>
  <c r="O84" i="1"/>
  <c r="P84" i="1"/>
  <c r="Q84" i="1"/>
  <c r="R84" i="1"/>
  <c r="S84" i="1"/>
  <c r="T84" i="1"/>
  <c r="U84" i="1"/>
  <c r="V84" i="1"/>
  <c r="W84" i="1"/>
  <c r="X84" i="1"/>
  <c r="Y84" i="1"/>
  <c r="Z84" i="1"/>
  <c r="AA84" i="1"/>
  <c r="AB84" i="1"/>
  <c r="A85" i="1"/>
  <c r="B85" i="1"/>
  <c r="C85" i="1"/>
  <c r="D85" i="1"/>
  <c r="E85" i="1"/>
  <c r="F85" i="1"/>
  <c r="G85" i="1"/>
  <c r="H85" i="1"/>
  <c r="I85" i="1"/>
  <c r="J85" i="1"/>
  <c r="K85" i="1"/>
  <c r="L85" i="1"/>
  <c r="M85" i="1"/>
  <c r="N85" i="1"/>
  <c r="O85" i="1"/>
  <c r="P85" i="1"/>
  <c r="Q85" i="1"/>
  <c r="R85" i="1"/>
  <c r="S85" i="1"/>
  <c r="T85" i="1"/>
  <c r="U85" i="1"/>
  <c r="V85" i="1"/>
  <c r="W85" i="1"/>
  <c r="X85" i="1"/>
  <c r="Y85" i="1"/>
  <c r="Z85" i="1"/>
  <c r="AA85" i="1"/>
  <c r="AB85" i="1"/>
  <c r="A86" i="1"/>
  <c r="B86" i="1"/>
  <c r="C86" i="1"/>
  <c r="D86" i="1"/>
  <c r="E86" i="1"/>
  <c r="F86" i="1"/>
  <c r="G86" i="1"/>
  <c r="H86" i="1"/>
  <c r="I86" i="1"/>
  <c r="J86" i="1"/>
  <c r="K86" i="1"/>
  <c r="L86" i="1"/>
  <c r="M86" i="1"/>
  <c r="N86" i="1"/>
  <c r="O86" i="1"/>
  <c r="P86" i="1"/>
  <c r="Q86" i="1"/>
  <c r="R86" i="1"/>
  <c r="S86" i="1"/>
  <c r="T86" i="1"/>
  <c r="U86" i="1"/>
  <c r="V86" i="1"/>
  <c r="W86" i="1"/>
  <c r="X86" i="1"/>
  <c r="Y86" i="1"/>
  <c r="Z86" i="1"/>
  <c r="AA86" i="1"/>
  <c r="AB86" i="1"/>
  <c r="A87" i="1"/>
  <c r="B87" i="1"/>
  <c r="C87" i="1"/>
  <c r="D87" i="1"/>
  <c r="E87" i="1"/>
  <c r="F87" i="1"/>
  <c r="G87" i="1"/>
  <c r="H87" i="1"/>
  <c r="I87" i="1"/>
  <c r="J87" i="1"/>
  <c r="K87" i="1"/>
  <c r="L87" i="1"/>
  <c r="M87" i="1"/>
  <c r="N87" i="1"/>
  <c r="O87" i="1"/>
  <c r="P87" i="1"/>
  <c r="Q87" i="1"/>
  <c r="R87" i="1"/>
  <c r="S87" i="1"/>
  <c r="T87" i="1"/>
  <c r="U87" i="1"/>
  <c r="V87" i="1"/>
  <c r="W87" i="1"/>
  <c r="X87" i="1"/>
  <c r="Y87" i="1"/>
  <c r="Z87" i="1"/>
  <c r="AA87" i="1"/>
  <c r="AB87" i="1"/>
  <c r="A88" i="1"/>
  <c r="B88" i="1"/>
  <c r="C88" i="1"/>
  <c r="D88" i="1"/>
  <c r="E88" i="1"/>
  <c r="F88" i="1"/>
  <c r="G88" i="1"/>
  <c r="H88" i="1"/>
  <c r="I88" i="1"/>
  <c r="J88" i="1"/>
  <c r="K88" i="1"/>
  <c r="L88" i="1"/>
  <c r="M88" i="1"/>
  <c r="N88" i="1"/>
  <c r="O88" i="1"/>
  <c r="P88" i="1"/>
  <c r="Q88" i="1"/>
  <c r="R88" i="1"/>
  <c r="S88" i="1"/>
  <c r="T88" i="1"/>
  <c r="U88" i="1"/>
  <c r="V88" i="1"/>
  <c r="W88" i="1"/>
  <c r="X88" i="1"/>
  <c r="Y88" i="1"/>
  <c r="Z88" i="1"/>
  <c r="AA88" i="1"/>
  <c r="AB88" i="1"/>
  <c r="A89" i="1"/>
  <c r="B89" i="1"/>
  <c r="C89" i="1"/>
  <c r="D89" i="1"/>
  <c r="E89" i="1"/>
  <c r="F89" i="1"/>
  <c r="G89" i="1"/>
  <c r="H89" i="1"/>
  <c r="I89" i="1"/>
  <c r="J89" i="1"/>
  <c r="K89" i="1"/>
  <c r="L89" i="1"/>
  <c r="M89" i="1"/>
  <c r="N89" i="1"/>
  <c r="O89" i="1"/>
  <c r="P89" i="1"/>
  <c r="Q89" i="1"/>
  <c r="R89" i="1"/>
  <c r="S89" i="1"/>
  <c r="T89" i="1"/>
  <c r="U89" i="1"/>
  <c r="V89" i="1"/>
  <c r="W89" i="1"/>
  <c r="X89" i="1"/>
  <c r="Y89" i="1"/>
  <c r="Z89" i="1"/>
  <c r="AA89" i="1"/>
  <c r="AB89" i="1"/>
  <c r="A90" i="1"/>
  <c r="B90" i="1"/>
  <c r="C90" i="1"/>
  <c r="D90" i="1"/>
  <c r="E90" i="1"/>
  <c r="F90" i="1"/>
  <c r="G90" i="1"/>
  <c r="H90" i="1"/>
  <c r="I90" i="1"/>
  <c r="J90" i="1"/>
  <c r="K90" i="1"/>
  <c r="L90" i="1"/>
  <c r="M90" i="1"/>
  <c r="N90" i="1"/>
  <c r="O90" i="1"/>
  <c r="P90" i="1"/>
  <c r="Q90" i="1"/>
  <c r="R90" i="1"/>
  <c r="S90" i="1"/>
  <c r="T90" i="1"/>
  <c r="U90" i="1"/>
  <c r="V90" i="1"/>
  <c r="W90" i="1"/>
  <c r="X90" i="1"/>
  <c r="Y90" i="1"/>
  <c r="Z90" i="1"/>
  <c r="AA90" i="1"/>
  <c r="AB90" i="1"/>
  <c r="A91" i="1"/>
  <c r="B91" i="1"/>
  <c r="C91" i="1"/>
  <c r="D91" i="1"/>
  <c r="E91" i="1"/>
  <c r="F91" i="1"/>
  <c r="G91" i="1"/>
  <c r="H91" i="1"/>
  <c r="I91" i="1"/>
  <c r="J91" i="1"/>
  <c r="K91" i="1"/>
  <c r="L91" i="1"/>
  <c r="M91" i="1"/>
  <c r="N91" i="1"/>
  <c r="O91" i="1"/>
  <c r="P91" i="1"/>
  <c r="Q91" i="1"/>
  <c r="R91" i="1"/>
  <c r="S91" i="1"/>
  <c r="T91" i="1"/>
  <c r="U91" i="1"/>
  <c r="V91" i="1"/>
  <c r="W91" i="1"/>
  <c r="X91" i="1"/>
  <c r="Y91" i="1"/>
  <c r="Z91" i="1"/>
  <c r="AA91" i="1"/>
  <c r="AB91" i="1"/>
  <c r="A92" i="1"/>
  <c r="B92" i="1"/>
  <c r="C92" i="1"/>
  <c r="D92" i="1"/>
  <c r="E92" i="1"/>
  <c r="F92" i="1"/>
  <c r="G92" i="1"/>
  <c r="H92" i="1"/>
  <c r="I92" i="1"/>
  <c r="J92" i="1"/>
  <c r="K92" i="1"/>
  <c r="L92" i="1"/>
  <c r="M92" i="1"/>
  <c r="N92" i="1"/>
  <c r="O92" i="1"/>
  <c r="P92" i="1"/>
  <c r="Q92" i="1"/>
  <c r="R92" i="1"/>
  <c r="S92" i="1"/>
  <c r="T92" i="1"/>
  <c r="U92" i="1"/>
  <c r="V92" i="1"/>
  <c r="W92" i="1"/>
  <c r="X92" i="1"/>
  <c r="Y92" i="1"/>
  <c r="Z92" i="1"/>
  <c r="AA92" i="1"/>
  <c r="AB92" i="1"/>
  <c r="A93" i="1"/>
  <c r="B93" i="1"/>
  <c r="C93" i="1"/>
  <c r="D93" i="1"/>
  <c r="E93" i="1"/>
  <c r="F93" i="1"/>
  <c r="G93" i="1"/>
  <c r="H93" i="1"/>
  <c r="I93" i="1"/>
  <c r="J93" i="1"/>
  <c r="K93" i="1"/>
  <c r="L93" i="1"/>
  <c r="M93" i="1"/>
  <c r="N93" i="1"/>
  <c r="O93" i="1"/>
  <c r="P93" i="1"/>
  <c r="Q93" i="1"/>
  <c r="R93" i="1"/>
  <c r="S93" i="1"/>
  <c r="T93" i="1"/>
  <c r="U93" i="1"/>
  <c r="V93" i="1"/>
  <c r="W93" i="1"/>
  <c r="X93" i="1"/>
  <c r="Y93" i="1"/>
  <c r="Z93" i="1"/>
  <c r="AA93" i="1"/>
  <c r="AB93" i="1"/>
  <c r="A94" i="1"/>
  <c r="B94" i="1"/>
  <c r="C94" i="1"/>
  <c r="D94" i="1"/>
  <c r="E94" i="1"/>
  <c r="F94" i="1"/>
  <c r="G94" i="1"/>
  <c r="H94" i="1"/>
  <c r="I94" i="1"/>
  <c r="J94" i="1"/>
  <c r="K94" i="1"/>
  <c r="L94" i="1"/>
  <c r="M94" i="1"/>
  <c r="N94" i="1"/>
  <c r="O94" i="1"/>
  <c r="P94" i="1"/>
  <c r="Q94" i="1"/>
  <c r="R94" i="1"/>
  <c r="S94" i="1"/>
  <c r="T94" i="1"/>
  <c r="U94" i="1"/>
  <c r="V94" i="1"/>
  <c r="W94" i="1"/>
  <c r="X94" i="1"/>
  <c r="Y94" i="1"/>
  <c r="Z94" i="1"/>
  <c r="AA94" i="1"/>
  <c r="AB94" i="1"/>
  <c r="A95" i="1"/>
  <c r="B95" i="1"/>
  <c r="C95" i="1"/>
  <c r="D95" i="1"/>
  <c r="E95" i="1"/>
  <c r="F95" i="1"/>
  <c r="G95" i="1"/>
  <c r="H95" i="1"/>
  <c r="I95" i="1"/>
  <c r="J95" i="1"/>
  <c r="K95" i="1"/>
  <c r="L95" i="1"/>
  <c r="M95" i="1"/>
  <c r="N95" i="1"/>
  <c r="O95" i="1"/>
  <c r="P95" i="1"/>
  <c r="Q95" i="1"/>
  <c r="R95" i="1"/>
  <c r="S95" i="1"/>
  <c r="T95" i="1"/>
  <c r="U95" i="1"/>
  <c r="V95" i="1"/>
  <c r="W95" i="1"/>
  <c r="X95" i="1"/>
  <c r="Y95" i="1"/>
  <c r="Z95" i="1"/>
  <c r="AA95" i="1"/>
  <c r="AB95" i="1"/>
  <c r="A96" i="1"/>
  <c r="B96" i="1"/>
  <c r="C96" i="1"/>
  <c r="D96" i="1"/>
  <c r="E96" i="1"/>
  <c r="F96" i="1"/>
  <c r="G96" i="1"/>
  <c r="H96" i="1"/>
  <c r="I96" i="1"/>
  <c r="J96" i="1"/>
  <c r="K96" i="1"/>
  <c r="L96" i="1"/>
  <c r="M96" i="1"/>
  <c r="N96" i="1"/>
  <c r="O96" i="1"/>
  <c r="P96" i="1"/>
  <c r="Q96" i="1"/>
  <c r="R96" i="1"/>
  <c r="S96" i="1"/>
  <c r="T96" i="1"/>
  <c r="U96" i="1"/>
  <c r="V96" i="1"/>
  <c r="W96" i="1"/>
  <c r="X96" i="1"/>
  <c r="Y96" i="1"/>
  <c r="Z96" i="1"/>
  <c r="AA96" i="1"/>
  <c r="AB96" i="1"/>
  <c r="A97" i="1"/>
  <c r="B97" i="1"/>
  <c r="C97" i="1"/>
  <c r="D97" i="1"/>
  <c r="E97" i="1"/>
  <c r="F97" i="1"/>
  <c r="G97" i="1"/>
  <c r="H97" i="1"/>
  <c r="I97" i="1"/>
  <c r="J97" i="1"/>
  <c r="K97" i="1"/>
  <c r="L97" i="1"/>
  <c r="M97" i="1"/>
  <c r="N97" i="1"/>
  <c r="O97" i="1"/>
  <c r="P97" i="1"/>
  <c r="Q97" i="1"/>
  <c r="R97" i="1"/>
  <c r="S97" i="1"/>
  <c r="T97" i="1"/>
  <c r="U97" i="1"/>
  <c r="V97" i="1"/>
  <c r="W97" i="1"/>
  <c r="X97" i="1"/>
  <c r="Y97" i="1"/>
  <c r="Z97" i="1"/>
  <c r="AA97" i="1"/>
  <c r="AB97" i="1"/>
  <c r="A98" i="1"/>
  <c r="B98" i="1"/>
  <c r="C98" i="1"/>
  <c r="D98" i="1"/>
  <c r="E98" i="1"/>
  <c r="F98" i="1"/>
  <c r="G98" i="1"/>
  <c r="H98" i="1"/>
  <c r="I98" i="1"/>
  <c r="J98" i="1"/>
  <c r="K98" i="1"/>
  <c r="L98" i="1"/>
  <c r="M98" i="1"/>
  <c r="N98" i="1"/>
  <c r="O98" i="1"/>
  <c r="P98" i="1"/>
  <c r="Q98" i="1"/>
  <c r="R98" i="1"/>
  <c r="S98" i="1"/>
  <c r="T98" i="1"/>
  <c r="U98" i="1"/>
  <c r="V98" i="1"/>
  <c r="W98" i="1"/>
  <c r="X98" i="1"/>
  <c r="Y98" i="1"/>
  <c r="Z98" i="1"/>
  <c r="AA98" i="1"/>
  <c r="AB98" i="1"/>
  <c r="A99" i="1"/>
  <c r="B99" i="1"/>
  <c r="C99" i="1"/>
  <c r="D99" i="1"/>
  <c r="E99" i="1"/>
  <c r="F99" i="1"/>
  <c r="G99" i="1"/>
  <c r="H99" i="1"/>
  <c r="I99" i="1"/>
  <c r="J99" i="1"/>
  <c r="K99" i="1"/>
  <c r="L99" i="1"/>
  <c r="M99" i="1"/>
  <c r="N99" i="1"/>
  <c r="O99" i="1"/>
  <c r="P99" i="1"/>
  <c r="Q99" i="1"/>
  <c r="R99" i="1"/>
  <c r="S99" i="1"/>
  <c r="T99" i="1"/>
  <c r="U99" i="1"/>
  <c r="V99" i="1"/>
  <c r="W99" i="1"/>
  <c r="X99" i="1"/>
  <c r="Y99" i="1"/>
  <c r="Z99" i="1"/>
  <c r="AA99" i="1"/>
  <c r="AB99" i="1"/>
  <c r="A100" i="1"/>
  <c r="B100"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101" i="1"/>
  <c r="B101"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102" i="1"/>
  <c r="B102" i="1"/>
  <c r="C102" i="1"/>
  <c r="D102" i="1"/>
  <c r="E102" i="1"/>
  <c r="F102" i="1"/>
  <c r="G102" i="1"/>
  <c r="H102" i="1"/>
  <c r="I102" i="1"/>
  <c r="J102" i="1"/>
  <c r="K102" i="1"/>
  <c r="L102" i="1"/>
  <c r="M102" i="1"/>
  <c r="N102" i="1"/>
  <c r="O102" i="1"/>
  <c r="P102" i="1"/>
  <c r="Q102" i="1"/>
  <c r="R102" i="1"/>
  <c r="S102" i="1"/>
  <c r="T102" i="1"/>
  <c r="U102" i="1"/>
  <c r="V102" i="1"/>
  <c r="W102" i="1"/>
  <c r="X102" i="1"/>
  <c r="Y102" i="1"/>
  <c r="Z102" i="1"/>
  <c r="AA102" i="1"/>
  <c r="AB102" i="1"/>
  <c r="A103" i="1"/>
  <c r="B103" i="1"/>
  <c r="C103" i="1"/>
  <c r="D103" i="1"/>
  <c r="E103" i="1"/>
  <c r="F103" i="1"/>
  <c r="G103" i="1"/>
  <c r="H103" i="1"/>
  <c r="I103" i="1"/>
  <c r="J103" i="1"/>
  <c r="K103" i="1"/>
  <c r="L103" i="1"/>
  <c r="M103" i="1"/>
  <c r="N103" i="1"/>
  <c r="O103" i="1"/>
  <c r="P103" i="1"/>
  <c r="Q103" i="1"/>
  <c r="R103" i="1"/>
  <c r="S103" i="1"/>
  <c r="T103" i="1"/>
  <c r="U103" i="1"/>
  <c r="V103" i="1"/>
  <c r="W103" i="1"/>
  <c r="X103" i="1"/>
  <c r="Y103" i="1"/>
  <c r="Z103" i="1"/>
  <c r="AA103" i="1"/>
  <c r="AB103" i="1"/>
  <c r="A104" i="1"/>
  <c r="B104"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105" i="1"/>
  <c r="B105"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106" i="1"/>
  <c r="B106"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107" i="1"/>
  <c r="B107"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108" i="1"/>
  <c r="B108"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109" i="1"/>
  <c r="B109"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110" i="1"/>
  <c r="B110"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111" i="1"/>
  <c r="B111"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112" i="1"/>
  <c r="B112"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113" i="1"/>
  <c r="B113"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114" i="1"/>
  <c r="B114"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115" i="1"/>
  <c r="B115"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116" i="1"/>
  <c r="B116" i="1"/>
  <c r="C116" i="1"/>
  <c r="D116" i="1"/>
  <c r="E116" i="1"/>
  <c r="F116" i="1"/>
  <c r="G116" i="1"/>
  <c r="H116" i="1"/>
  <c r="I116" i="1"/>
  <c r="J116" i="1"/>
  <c r="K116" i="1"/>
  <c r="L116" i="1"/>
  <c r="M116" i="1"/>
  <c r="N116" i="1"/>
  <c r="O116" i="1"/>
  <c r="P116" i="1"/>
  <c r="Q116" i="1"/>
  <c r="R116" i="1"/>
  <c r="S116" i="1"/>
  <c r="T116" i="1"/>
  <c r="U116" i="1"/>
  <c r="V116" i="1"/>
  <c r="W116" i="1"/>
  <c r="X116" i="1"/>
  <c r="Y116" i="1"/>
  <c r="Z116" i="1"/>
  <c r="AA116" i="1"/>
  <c r="AB116" i="1"/>
  <c r="A117" i="1"/>
  <c r="B117" i="1"/>
  <c r="C117" i="1"/>
  <c r="D117" i="1"/>
  <c r="E117" i="1"/>
  <c r="F117" i="1"/>
  <c r="G117" i="1"/>
  <c r="H117" i="1"/>
  <c r="I117" i="1"/>
  <c r="J117" i="1"/>
  <c r="K117" i="1"/>
  <c r="L117" i="1"/>
  <c r="M117" i="1"/>
  <c r="N117" i="1"/>
  <c r="O117" i="1"/>
  <c r="P117" i="1"/>
  <c r="Q117" i="1"/>
  <c r="R117" i="1"/>
  <c r="S117" i="1"/>
  <c r="T117" i="1"/>
  <c r="U117" i="1"/>
  <c r="V117" i="1"/>
  <c r="W117" i="1"/>
  <c r="X117" i="1"/>
  <c r="Y117" i="1"/>
  <c r="Z117" i="1"/>
  <c r="AA117" i="1"/>
  <c r="AB117" i="1"/>
  <c r="A118" i="1"/>
  <c r="B118"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119" i="1"/>
  <c r="B119"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120" i="1"/>
  <c r="B120"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121" i="1"/>
  <c r="B121"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122" i="1"/>
  <c r="B122"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123" i="1"/>
  <c r="B123"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124" i="1"/>
  <c r="B124"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125" i="1"/>
  <c r="B125"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126" i="1"/>
  <c r="B126"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127" i="1"/>
  <c r="B127"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128" i="1"/>
  <c r="B128"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129" i="1"/>
  <c r="B129"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130" i="1"/>
  <c r="B130"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131" i="1"/>
  <c r="B131"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132" i="1"/>
  <c r="B132"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133" i="1"/>
  <c r="B133" i="1"/>
  <c r="C133" i="1"/>
  <c r="D133" i="1"/>
  <c r="E133" i="1"/>
  <c r="F133" i="1"/>
  <c r="G133" i="1"/>
  <c r="H133" i="1"/>
  <c r="I133" i="1"/>
  <c r="J133" i="1"/>
  <c r="K133" i="1"/>
  <c r="L133" i="1"/>
  <c r="M133" i="1"/>
  <c r="N133" i="1"/>
  <c r="O133" i="1"/>
  <c r="P133" i="1"/>
  <c r="Q133" i="1"/>
  <c r="R133" i="1"/>
  <c r="S133" i="1"/>
  <c r="T133" i="1"/>
  <c r="U133" i="1"/>
  <c r="V133" i="1"/>
  <c r="W133" i="1"/>
  <c r="X133" i="1"/>
  <c r="Y133" i="1"/>
  <c r="Z133" i="1"/>
  <c r="AA133" i="1"/>
  <c r="AB133" i="1"/>
  <c r="A134" i="1"/>
  <c r="B134" i="1"/>
  <c r="C134" i="1"/>
  <c r="D134" i="1"/>
  <c r="E134" i="1"/>
  <c r="F134" i="1"/>
  <c r="G134" i="1"/>
  <c r="H134" i="1"/>
  <c r="I134" i="1"/>
  <c r="J134" i="1"/>
  <c r="K134" i="1"/>
  <c r="L134" i="1"/>
  <c r="M134" i="1"/>
  <c r="N134" i="1"/>
  <c r="O134" i="1"/>
  <c r="P134" i="1"/>
  <c r="Q134" i="1"/>
  <c r="R134" i="1"/>
  <c r="S134" i="1"/>
  <c r="T134" i="1"/>
  <c r="U134" i="1"/>
  <c r="V134" i="1"/>
  <c r="W134" i="1"/>
  <c r="X134" i="1"/>
  <c r="Y134" i="1"/>
  <c r="Z134" i="1"/>
  <c r="AA134" i="1"/>
  <c r="AB134" i="1"/>
  <c r="A135" i="1"/>
  <c r="B135" i="1"/>
  <c r="C135" i="1"/>
  <c r="D135" i="1"/>
  <c r="E135" i="1"/>
  <c r="F135" i="1"/>
  <c r="G135" i="1"/>
  <c r="H135" i="1"/>
  <c r="I135" i="1"/>
  <c r="J135" i="1"/>
  <c r="K135" i="1"/>
  <c r="L135" i="1"/>
  <c r="M135" i="1"/>
  <c r="N135" i="1"/>
  <c r="O135" i="1"/>
  <c r="P135" i="1"/>
  <c r="Q135" i="1"/>
  <c r="R135" i="1"/>
  <c r="S135" i="1"/>
  <c r="T135" i="1"/>
  <c r="U135" i="1"/>
  <c r="V135" i="1"/>
  <c r="W135" i="1"/>
  <c r="X135" i="1"/>
  <c r="Y135" i="1"/>
  <c r="Z135" i="1"/>
  <c r="AA135" i="1"/>
  <c r="AB135" i="1"/>
  <c r="A136" i="1"/>
  <c r="B136" i="1"/>
  <c r="C136" i="1"/>
  <c r="D136" i="1"/>
  <c r="E136" i="1"/>
  <c r="F136" i="1"/>
  <c r="G136" i="1"/>
  <c r="H136" i="1"/>
  <c r="I136" i="1"/>
  <c r="J136" i="1"/>
  <c r="K136" i="1"/>
  <c r="L136" i="1"/>
  <c r="M136" i="1"/>
  <c r="N136" i="1"/>
  <c r="O136" i="1"/>
  <c r="P136" i="1"/>
  <c r="Q136" i="1"/>
  <c r="R136" i="1"/>
  <c r="S136" i="1"/>
  <c r="T136" i="1"/>
  <c r="U136" i="1"/>
  <c r="V136" i="1"/>
  <c r="W136" i="1"/>
  <c r="X136" i="1"/>
  <c r="Y136" i="1"/>
  <c r="Z136" i="1"/>
  <c r="AA136" i="1"/>
  <c r="AB136" i="1"/>
  <c r="A137" i="1"/>
  <c r="B137" i="1"/>
  <c r="C137" i="1"/>
  <c r="D137" i="1"/>
  <c r="E137" i="1"/>
  <c r="F137" i="1"/>
  <c r="G137" i="1"/>
  <c r="H137" i="1"/>
  <c r="I137" i="1"/>
  <c r="J137" i="1"/>
  <c r="K137" i="1"/>
  <c r="L137" i="1"/>
  <c r="M137" i="1"/>
  <c r="N137" i="1"/>
  <c r="O137" i="1"/>
  <c r="P137" i="1"/>
  <c r="Q137" i="1"/>
  <c r="R137" i="1"/>
  <c r="S137" i="1"/>
  <c r="T137" i="1"/>
  <c r="U137" i="1"/>
  <c r="V137" i="1"/>
  <c r="W137" i="1"/>
  <c r="X137" i="1"/>
  <c r="Y137" i="1"/>
  <c r="Z137" i="1"/>
  <c r="AA137" i="1"/>
  <c r="AB137" i="1"/>
  <c r="A138" i="1"/>
  <c r="B138" i="1"/>
  <c r="C138" i="1"/>
  <c r="D138" i="1"/>
  <c r="E138" i="1"/>
  <c r="F138" i="1"/>
  <c r="G138" i="1"/>
  <c r="H138" i="1"/>
  <c r="I138" i="1"/>
  <c r="J138" i="1"/>
  <c r="K138" i="1"/>
  <c r="L138" i="1"/>
  <c r="M138" i="1"/>
  <c r="N138" i="1"/>
  <c r="O138" i="1"/>
  <c r="P138" i="1"/>
  <c r="Q138" i="1"/>
  <c r="R138" i="1"/>
  <c r="S138" i="1"/>
  <c r="T138" i="1"/>
  <c r="U138" i="1"/>
  <c r="V138" i="1"/>
  <c r="W138" i="1"/>
  <c r="X138" i="1"/>
  <c r="Y138" i="1"/>
  <c r="Z138" i="1"/>
  <c r="AA138" i="1"/>
  <c r="AB138" i="1"/>
  <c r="A139" i="1"/>
  <c r="B139" i="1"/>
  <c r="C139" i="1"/>
  <c r="D139" i="1"/>
  <c r="E139" i="1"/>
  <c r="F139" i="1"/>
  <c r="G139" i="1"/>
  <c r="H139" i="1"/>
  <c r="I139" i="1"/>
  <c r="J139" i="1"/>
  <c r="K139" i="1"/>
  <c r="L139" i="1"/>
  <c r="M139" i="1"/>
  <c r="N139" i="1"/>
  <c r="O139" i="1"/>
  <c r="P139" i="1"/>
  <c r="Q139" i="1"/>
  <c r="R139" i="1"/>
  <c r="S139" i="1"/>
  <c r="T139" i="1"/>
  <c r="U139" i="1"/>
  <c r="V139" i="1"/>
  <c r="W139" i="1"/>
  <c r="X139" i="1"/>
  <c r="Y139" i="1"/>
  <c r="Z139" i="1"/>
  <c r="AA139" i="1"/>
  <c r="AB139" i="1"/>
  <c r="A140" i="1"/>
  <c r="B140" i="1"/>
  <c r="C140" i="1"/>
  <c r="D140" i="1"/>
  <c r="E140" i="1"/>
  <c r="F140" i="1"/>
  <c r="G140" i="1"/>
  <c r="H140" i="1"/>
  <c r="I140" i="1"/>
  <c r="J140" i="1"/>
  <c r="K140" i="1"/>
  <c r="L140" i="1"/>
  <c r="M140" i="1"/>
  <c r="N140" i="1"/>
  <c r="O140" i="1"/>
  <c r="P140" i="1"/>
  <c r="Q140" i="1"/>
  <c r="R140" i="1"/>
  <c r="S140" i="1"/>
  <c r="T140" i="1"/>
  <c r="U140" i="1"/>
  <c r="V140" i="1"/>
  <c r="W140" i="1"/>
  <c r="X140" i="1"/>
  <c r="Y140" i="1"/>
  <c r="Z140" i="1"/>
  <c r="AA140" i="1"/>
  <c r="AB140" i="1"/>
  <c r="A141" i="1"/>
  <c r="B141" i="1"/>
  <c r="C141" i="1"/>
  <c r="D141" i="1"/>
  <c r="E141" i="1"/>
  <c r="F141" i="1"/>
  <c r="G141" i="1"/>
  <c r="H141" i="1"/>
  <c r="I141" i="1"/>
  <c r="J141" i="1"/>
  <c r="K141" i="1"/>
  <c r="L141" i="1"/>
  <c r="M141" i="1"/>
  <c r="N141" i="1"/>
  <c r="O141" i="1"/>
  <c r="P141" i="1"/>
  <c r="Q141" i="1"/>
  <c r="R141" i="1"/>
  <c r="S141" i="1"/>
  <c r="T141" i="1"/>
  <c r="U141" i="1"/>
  <c r="V141" i="1"/>
  <c r="W141" i="1"/>
  <c r="X141" i="1"/>
  <c r="Y141" i="1"/>
  <c r="Z141" i="1"/>
  <c r="AA141" i="1"/>
  <c r="AB141" i="1"/>
  <c r="A142" i="1"/>
  <c r="B142" i="1"/>
  <c r="C142" i="1"/>
  <c r="D142" i="1"/>
  <c r="E142" i="1"/>
  <c r="F142" i="1"/>
  <c r="G142" i="1"/>
  <c r="H142" i="1"/>
  <c r="I142" i="1"/>
  <c r="J142" i="1"/>
  <c r="K142" i="1"/>
  <c r="L142" i="1"/>
  <c r="M142" i="1"/>
  <c r="N142" i="1"/>
  <c r="O142" i="1"/>
  <c r="P142" i="1"/>
  <c r="Q142" i="1"/>
  <c r="R142" i="1"/>
  <c r="S142" i="1"/>
  <c r="T142" i="1"/>
  <c r="U142" i="1"/>
  <c r="V142" i="1"/>
  <c r="W142" i="1"/>
  <c r="X142" i="1"/>
  <c r="Y142" i="1"/>
  <c r="Z142" i="1"/>
  <c r="AA142" i="1"/>
  <c r="AB142" i="1"/>
  <c r="A143" i="1"/>
  <c r="B143" i="1"/>
  <c r="C143" i="1"/>
  <c r="D143" i="1"/>
  <c r="E143" i="1"/>
  <c r="F143" i="1"/>
  <c r="G143" i="1"/>
  <c r="H143" i="1"/>
  <c r="I143" i="1"/>
  <c r="J143" i="1"/>
  <c r="K143" i="1"/>
  <c r="L143" i="1"/>
  <c r="M143" i="1"/>
  <c r="N143" i="1"/>
  <c r="O143" i="1"/>
  <c r="P143" i="1"/>
  <c r="Q143" i="1"/>
  <c r="R143" i="1"/>
  <c r="S143" i="1"/>
  <c r="T143" i="1"/>
  <c r="U143" i="1"/>
  <c r="V143" i="1"/>
  <c r="W143" i="1"/>
  <c r="X143" i="1"/>
  <c r="Y143" i="1"/>
  <c r="Z143" i="1"/>
  <c r="AA143" i="1"/>
  <c r="AB143" i="1"/>
  <c r="A144" i="1"/>
  <c r="B144" i="1"/>
  <c r="C144" i="1"/>
  <c r="D144" i="1"/>
  <c r="E144" i="1"/>
  <c r="F144" i="1"/>
  <c r="G144" i="1"/>
  <c r="H144" i="1"/>
  <c r="I144" i="1"/>
  <c r="J144" i="1"/>
  <c r="K144" i="1"/>
  <c r="L144" i="1"/>
  <c r="M144" i="1"/>
  <c r="N144" i="1"/>
  <c r="O144" i="1"/>
  <c r="P144" i="1"/>
  <c r="Q144" i="1"/>
  <c r="R144" i="1"/>
  <c r="S144" i="1"/>
  <c r="T144" i="1"/>
  <c r="U144" i="1"/>
  <c r="V144" i="1"/>
  <c r="W144" i="1"/>
  <c r="X144" i="1"/>
  <c r="Y144" i="1"/>
  <c r="Z144" i="1"/>
  <c r="AA144" i="1"/>
  <c r="AB144" i="1"/>
  <c r="A145" i="1"/>
  <c r="B145" i="1"/>
  <c r="C145" i="1"/>
  <c r="D145" i="1"/>
  <c r="E145" i="1"/>
  <c r="F145" i="1"/>
  <c r="G145" i="1"/>
  <c r="H145" i="1"/>
  <c r="I145" i="1"/>
  <c r="J145" i="1"/>
  <c r="K145" i="1"/>
  <c r="L145" i="1"/>
  <c r="M145" i="1"/>
  <c r="N145" i="1"/>
  <c r="O145" i="1"/>
  <c r="P145" i="1"/>
  <c r="Q145" i="1"/>
  <c r="R145" i="1"/>
  <c r="S145" i="1"/>
  <c r="T145" i="1"/>
  <c r="U145" i="1"/>
  <c r="V145" i="1"/>
  <c r="W145" i="1"/>
  <c r="X145" i="1"/>
  <c r="Y145" i="1"/>
  <c r="Z145" i="1"/>
  <c r="AA145" i="1"/>
  <c r="AB145" i="1"/>
  <c r="A146" i="1"/>
  <c r="B146" i="1"/>
  <c r="C146" i="1"/>
  <c r="D146" i="1"/>
  <c r="E146" i="1"/>
  <c r="F146" i="1"/>
  <c r="G146" i="1"/>
  <c r="H146" i="1"/>
  <c r="I146" i="1"/>
  <c r="J146" i="1"/>
  <c r="K146" i="1"/>
  <c r="L146" i="1"/>
  <c r="M146" i="1"/>
  <c r="N146" i="1"/>
  <c r="O146" i="1"/>
  <c r="P146" i="1"/>
  <c r="Q146" i="1"/>
  <c r="R146" i="1"/>
  <c r="S146" i="1"/>
  <c r="T146" i="1"/>
  <c r="U146" i="1"/>
  <c r="V146" i="1"/>
  <c r="W146" i="1"/>
  <c r="X146" i="1"/>
  <c r="Y146" i="1"/>
  <c r="Z146" i="1"/>
  <c r="AA146" i="1"/>
  <c r="AB146" i="1"/>
  <c r="A147" i="1"/>
  <c r="B147" i="1"/>
  <c r="C147" i="1"/>
  <c r="D147" i="1"/>
  <c r="E147" i="1"/>
  <c r="F147" i="1"/>
  <c r="G147" i="1"/>
  <c r="H147" i="1"/>
  <c r="I147" i="1"/>
  <c r="J147" i="1"/>
  <c r="K147" i="1"/>
  <c r="L147" i="1"/>
  <c r="M147" i="1"/>
  <c r="N147" i="1"/>
  <c r="O147" i="1"/>
  <c r="P147" i="1"/>
  <c r="Q147" i="1"/>
  <c r="R147" i="1"/>
  <c r="S147" i="1"/>
  <c r="T147" i="1"/>
  <c r="U147" i="1"/>
  <c r="V147" i="1"/>
  <c r="W147" i="1"/>
  <c r="X147" i="1"/>
  <c r="Y147" i="1"/>
  <c r="Z147" i="1"/>
  <c r="AA147" i="1"/>
  <c r="AB147" i="1"/>
  <c r="A148" i="1"/>
  <c r="B148" i="1"/>
  <c r="C148" i="1"/>
  <c r="D148" i="1"/>
  <c r="E148" i="1"/>
  <c r="F148" i="1"/>
  <c r="G148" i="1"/>
  <c r="H148" i="1"/>
  <c r="I148" i="1"/>
  <c r="J148" i="1"/>
  <c r="K148" i="1"/>
  <c r="L148" i="1"/>
  <c r="M148" i="1"/>
  <c r="N148" i="1"/>
  <c r="O148" i="1"/>
  <c r="P148" i="1"/>
  <c r="Q148" i="1"/>
  <c r="R148" i="1"/>
  <c r="S148" i="1"/>
  <c r="T148" i="1"/>
  <c r="U148" i="1"/>
  <c r="V148" i="1"/>
  <c r="W148" i="1"/>
  <c r="X148" i="1"/>
  <c r="Y148" i="1"/>
  <c r="Z148" i="1"/>
  <c r="AA148" i="1"/>
  <c r="AB148" i="1"/>
  <c r="A149" i="1"/>
  <c r="B149" i="1"/>
  <c r="C149" i="1"/>
  <c r="D149" i="1"/>
  <c r="E149" i="1"/>
  <c r="F149" i="1"/>
  <c r="G149" i="1"/>
  <c r="H149" i="1"/>
  <c r="I149" i="1"/>
  <c r="J149" i="1"/>
  <c r="K149" i="1"/>
  <c r="L149" i="1"/>
  <c r="M149" i="1"/>
  <c r="N149" i="1"/>
  <c r="O149" i="1"/>
  <c r="P149" i="1"/>
  <c r="Q149" i="1"/>
  <c r="R149" i="1"/>
  <c r="S149" i="1"/>
  <c r="T149" i="1"/>
  <c r="U149" i="1"/>
  <c r="V149" i="1"/>
  <c r="W149" i="1"/>
  <c r="X149" i="1"/>
  <c r="Y149" i="1"/>
  <c r="Z149" i="1"/>
  <c r="AA149" i="1"/>
  <c r="AB149" i="1"/>
  <c r="A150" i="1"/>
  <c r="B150" i="1"/>
  <c r="C150" i="1"/>
  <c r="D150" i="1"/>
  <c r="E150" i="1"/>
  <c r="F150" i="1"/>
  <c r="G150" i="1"/>
  <c r="H150" i="1"/>
  <c r="I150" i="1"/>
  <c r="J150" i="1"/>
  <c r="K150" i="1"/>
  <c r="L150" i="1"/>
  <c r="M150" i="1"/>
  <c r="N150" i="1"/>
  <c r="O150" i="1"/>
  <c r="P150" i="1"/>
  <c r="Q150" i="1"/>
  <c r="R150" i="1"/>
  <c r="S150" i="1"/>
  <c r="T150" i="1"/>
  <c r="U150" i="1"/>
  <c r="V150" i="1"/>
  <c r="W150" i="1"/>
  <c r="X150" i="1"/>
  <c r="Y150" i="1"/>
  <c r="Z150" i="1"/>
  <c r="AA150" i="1"/>
  <c r="AB150" i="1"/>
  <c r="A151" i="1"/>
  <c r="B151" i="1"/>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152" i="1"/>
  <c r="B152" i="1"/>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153" i="1"/>
  <c r="B153" i="1"/>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154" i="1"/>
  <c r="B154" i="1"/>
  <c r="C154" i="1"/>
  <c r="D154" i="1"/>
  <c r="E154" i="1"/>
  <c r="F154" i="1"/>
  <c r="G154" i="1"/>
  <c r="H154" i="1"/>
  <c r="I154" i="1"/>
  <c r="J154" i="1"/>
  <c r="K154" i="1"/>
  <c r="L154" i="1"/>
  <c r="M154" i="1"/>
  <c r="N154" i="1"/>
  <c r="O154" i="1"/>
  <c r="P154" i="1"/>
  <c r="Q154" i="1"/>
  <c r="R154" i="1"/>
  <c r="S154" i="1"/>
  <c r="T154" i="1"/>
  <c r="U154" i="1"/>
  <c r="V154" i="1"/>
  <c r="W154" i="1"/>
  <c r="X154" i="1"/>
  <c r="Y154" i="1"/>
  <c r="Z154" i="1"/>
  <c r="AA154" i="1"/>
  <c r="AB154" i="1"/>
  <c r="A155" i="1"/>
  <c r="B155" i="1"/>
  <c r="C155" i="1"/>
  <c r="D155" i="1"/>
  <c r="E155" i="1"/>
  <c r="F155" i="1"/>
  <c r="G155" i="1"/>
  <c r="H155" i="1"/>
  <c r="I155" i="1"/>
  <c r="J155" i="1"/>
  <c r="K155" i="1"/>
  <c r="L155" i="1"/>
  <c r="M155" i="1"/>
  <c r="N155" i="1"/>
  <c r="O155" i="1"/>
  <c r="P155" i="1"/>
  <c r="Q155" i="1"/>
  <c r="R155" i="1"/>
  <c r="S155" i="1"/>
  <c r="T155" i="1"/>
  <c r="U155" i="1"/>
  <c r="V155" i="1"/>
  <c r="W155" i="1"/>
  <c r="X155" i="1"/>
  <c r="Y155" i="1"/>
  <c r="Z155" i="1"/>
  <c r="AA155" i="1"/>
  <c r="AB155" i="1"/>
  <c r="A156" i="1"/>
  <c r="B156" i="1"/>
  <c r="C156" i="1"/>
  <c r="D156" i="1"/>
  <c r="E156" i="1"/>
  <c r="F156" i="1"/>
  <c r="G156" i="1"/>
  <c r="H156" i="1"/>
  <c r="I156" i="1"/>
  <c r="J156" i="1"/>
  <c r="K156" i="1"/>
  <c r="L156" i="1"/>
  <c r="M156" i="1"/>
  <c r="N156" i="1"/>
  <c r="O156" i="1"/>
  <c r="P156" i="1"/>
  <c r="Q156" i="1"/>
  <c r="R156" i="1"/>
  <c r="S156" i="1"/>
  <c r="T156" i="1"/>
  <c r="U156" i="1"/>
  <c r="V156" i="1"/>
  <c r="W156" i="1"/>
  <c r="X156" i="1"/>
  <c r="Y156" i="1"/>
  <c r="Z156" i="1"/>
  <c r="AA156" i="1"/>
  <c r="AB156" i="1"/>
  <c r="A157" i="1"/>
  <c r="B157" i="1"/>
  <c r="C157" i="1"/>
  <c r="D157" i="1"/>
  <c r="E157" i="1"/>
  <c r="F157" i="1"/>
  <c r="G157" i="1"/>
  <c r="H157" i="1"/>
  <c r="I157" i="1"/>
  <c r="J157" i="1"/>
  <c r="K157" i="1"/>
  <c r="L157" i="1"/>
  <c r="M157" i="1"/>
  <c r="N157" i="1"/>
  <c r="O157" i="1"/>
  <c r="P157" i="1"/>
  <c r="Q157" i="1"/>
  <c r="R157" i="1"/>
  <c r="S157" i="1"/>
  <c r="T157" i="1"/>
  <c r="U157" i="1"/>
  <c r="V157" i="1"/>
  <c r="W157" i="1"/>
  <c r="X157" i="1"/>
  <c r="Y157" i="1"/>
  <c r="Z157" i="1"/>
  <c r="AA157" i="1"/>
  <c r="AB157" i="1"/>
  <c r="A158" i="1"/>
  <c r="B158"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159" i="1"/>
  <c r="B159"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160" i="1"/>
  <c r="B160"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161" i="1"/>
  <c r="B161"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162" i="1"/>
  <c r="B162"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163" i="1"/>
  <c r="B163"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164" i="1"/>
  <c r="B164"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165" i="1"/>
  <c r="B165"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166" i="1"/>
  <c r="B166"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167" i="1"/>
  <c r="B167"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168" i="1"/>
  <c r="B168"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169" i="1"/>
  <c r="B169"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170" i="1"/>
  <c r="B170"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171" i="1"/>
  <c r="B171"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172" i="1"/>
  <c r="B172"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173" i="1"/>
  <c r="B173"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174" i="1"/>
  <c r="B174"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175" i="1"/>
  <c r="B175"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176" i="1"/>
  <c r="B176"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177" i="1"/>
  <c r="B177"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178" i="1"/>
  <c r="B178"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179" i="1"/>
  <c r="B179"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180" i="1"/>
  <c r="B180"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181" i="1"/>
  <c r="B181"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182" i="1"/>
  <c r="B182"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183" i="1"/>
  <c r="B183"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184" i="1"/>
  <c r="B184"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185" i="1"/>
  <c r="B185"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186" i="1"/>
  <c r="B186"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187" i="1"/>
  <c r="B187"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188" i="1"/>
  <c r="B188"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189" i="1"/>
  <c r="B189"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190" i="1"/>
  <c r="B190"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191" i="1"/>
  <c r="B191"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192" i="1"/>
  <c r="B192"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193" i="1"/>
  <c r="B193"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194" i="1"/>
  <c r="B194"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195" i="1"/>
  <c r="B195"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196" i="1"/>
  <c r="B196"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197" i="1"/>
  <c r="B197"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198" i="1"/>
  <c r="B198"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199" i="1"/>
  <c r="B199"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200" i="1"/>
  <c r="B200"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201" i="1"/>
  <c r="B201"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202" i="1"/>
  <c r="B202"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203" i="1"/>
  <c r="B203"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204" i="1"/>
  <c r="B204"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205" i="1"/>
  <c r="B205"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206" i="1"/>
  <c r="B206" i="1"/>
  <c r="C206" i="1"/>
  <c r="D206" i="1"/>
  <c r="E206" i="1"/>
  <c r="F206" i="1"/>
  <c r="G206" i="1"/>
  <c r="H206" i="1"/>
  <c r="I206" i="1"/>
  <c r="J206" i="1"/>
  <c r="K206" i="1"/>
  <c r="L206" i="1"/>
  <c r="M206" i="1"/>
  <c r="N206" i="1"/>
  <c r="O206" i="1"/>
  <c r="P206" i="1"/>
  <c r="Q206" i="1"/>
  <c r="R206" i="1"/>
  <c r="S206" i="1"/>
  <c r="T206" i="1"/>
  <c r="U206" i="1"/>
  <c r="V206" i="1"/>
  <c r="W206" i="1"/>
  <c r="X206" i="1"/>
  <c r="Y206" i="1"/>
  <c r="Z206" i="1"/>
  <c r="AA206" i="1"/>
  <c r="AB206" i="1"/>
  <c r="A207" i="1"/>
  <c r="B207" i="1"/>
  <c r="C207" i="1"/>
  <c r="D207" i="1"/>
  <c r="E207" i="1"/>
  <c r="F207" i="1"/>
  <c r="G207" i="1"/>
  <c r="H207" i="1"/>
  <c r="I207" i="1"/>
  <c r="J207" i="1"/>
  <c r="K207" i="1"/>
  <c r="L207" i="1"/>
  <c r="M207" i="1"/>
  <c r="N207" i="1"/>
  <c r="O207" i="1"/>
  <c r="P207" i="1"/>
  <c r="Q207" i="1"/>
  <c r="R207" i="1"/>
  <c r="S207" i="1"/>
  <c r="T207" i="1"/>
  <c r="U207" i="1"/>
  <c r="V207" i="1"/>
  <c r="W207" i="1"/>
  <c r="X207" i="1"/>
  <c r="Y207" i="1"/>
  <c r="Z207" i="1"/>
  <c r="AA207" i="1"/>
  <c r="AB207" i="1"/>
  <c r="A208" i="1"/>
  <c r="B208" i="1"/>
  <c r="C208" i="1"/>
  <c r="D208" i="1"/>
  <c r="E208" i="1"/>
  <c r="F208" i="1"/>
  <c r="G208" i="1"/>
  <c r="H208" i="1"/>
  <c r="I208" i="1"/>
  <c r="J208" i="1"/>
  <c r="K208" i="1"/>
  <c r="L208" i="1"/>
  <c r="M208" i="1"/>
  <c r="N208" i="1"/>
  <c r="O208" i="1"/>
  <c r="P208" i="1"/>
  <c r="Q208" i="1"/>
  <c r="R208" i="1"/>
  <c r="S208" i="1"/>
  <c r="T208" i="1"/>
  <c r="U208" i="1"/>
  <c r="V208" i="1"/>
  <c r="W208" i="1"/>
  <c r="X208" i="1"/>
  <c r="Y208" i="1"/>
  <c r="Z208" i="1"/>
  <c r="AA208" i="1"/>
  <c r="AB208" i="1"/>
  <c r="A209" i="1"/>
  <c r="B209" i="1"/>
  <c r="C209" i="1"/>
  <c r="D209" i="1"/>
  <c r="E209" i="1"/>
  <c r="F209" i="1"/>
  <c r="G209" i="1"/>
  <c r="H209" i="1"/>
  <c r="I209" i="1"/>
  <c r="J209" i="1"/>
  <c r="K209" i="1"/>
  <c r="L209" i="1"/>
  <c r="M209" i="1"/>
  <c r="N209" i="1"/>
  <c r="O209" i="1"/>
  <c r="P209" i="1"/>
  <c r="Q209" i="1"/>
  <c r="R209" i="1"/>
  <c r="S209" i="1"/>
  <c r="T209" i="1"/>
  <c r="U209" i="1"/>
  <c r="V209" i="1"/>
  <c r="W209" i="1"/>
  <c r="X209" i="1"/>
  <c r="Y209" i="1"/>
  <c r="Z209" i="1"/>
  <c r="AA209" i="1"/>
  <c r="AB209" i="1"/>
  <c r="A210" i="1"/>
  <c r="B210" i="1"/>
  <c r="C210" i="1"/>
  <c r="D210" i="1"/>
  <c r="E210" i="1"/>
  <c r="F210" i="1"/>
  <c r="G210" i="1"/>
  <c r="H210" i="1"/>
  <c r="I210" i="1"/>
  <c r="J210" i="1"/>
  <c r="K210" i="1"/>
  <c r="L210" i="1"/>
  <c r="M210" i="1"/>
  <c r="N210" i="1"/>
  <c r="O210" i="1"/>
  <c r="P210" i="1"/>
  <c r="Q210" i="1"/>
  <c r="R210" i="1"/>
  <c r="S210" i="1"/>
  <c r="T210" i="1"/>
  <c r="U210" i="1"/>
  <c r="V210" i="1"/>
  <c r="W210" i="1"/>
  <c r="X210" i="1"/>
  <c r="Y210" i="1"/>
  <c r="Z210" i="1"/>
  <c r="AA210" i="1"/>
  <c r="AB210" i="1"/>
  <c r="A211" i="1"/>
  <c r="B211" i="1"/>
  <c r="C211" i="1"/>
  <c r="D211" i="1"/>
  <c r="E211" i="1"/>
  <c r="F211" i="1"/>
  <c r="G211" i="1"/>
  <c r="H211" i="1"/>
  <c r="I211" i="1"/>
  <c r="J211" i="1"/>
  <c r="K211" i="1"/>
  <c r="L211" i="1"/>
  <c r="M211" i="1"/>
  <c r="N211" i="1"/>
  <c r="O211" i="1"/>
  <c r="P211" i="1"/>
  <c r="Q211" i="1"/>
  <c r="R211" i="1"/>
  <c r="S211" i="1"/>
  <c r="T211" i="1"/>
  <c r="U211" i="1"/>
  <c r="V211" i="1"/>
  <c r="W211" i="1"/>
  <c r="X211" i="1"/>
  <c r="Y211" i="1"/>
  <c r="Z211" i="1"/>
  <c r="AA211" i="1"/>
  <c r="AB211" i="1"/>
  <c r="A212" i="1"/>
  <c r="B212" i="1"/>
  <c r="C212" i="1"/>
  <c r="D212" i="1"/>
  <c r="E212" i="1"/>
  <c r="F212" i="1"/>
  <c r="G212" i="1"/>
  <c r="H212" i="1"/>
  <c r="I212" i="1"/>
  <c r="J212" i="1"/>
  <c r="K212" i="1"/>
  <c r="L212" i="1"/>
  <c r="M212" i="1"/>
  <c r="N212" i="1"/>
  <c r="O212" i="1"/>
  <c r="P212" i="1"/>
  <c r="Q212" i="1"/>
  <c r="R212" i="1"/>
  <c r="S212" i="1"/>
  <c r="T212" i="1"/>
  <c r="U212" i="1"/>
  <c r="V212" i="1"/>
  <c r="W212" i="1"/>
  <c r="X212" i="1"/>
  <c r="Y212" i="1"/>
  <c r="Z212" i="1"/>
  <c r="AA212" i="1"/>
  <c r="AB212" i="1"/>
  <c r="A213" i="1"/>
  <c r="B213" i="1"/>
  <c r="C213" i="1"/>
  <c r="D213" i="1"/>
  <c r="E213" i="1"/>
  <c r="F213" i="1"/>
  <c r="G213" i="1"/>
  <c r="H213" i="1"/>
  <c r="I213" i="1"/>
  <c r="J213" i="1"/>
  <c r="K213" i="1"/>
  <c r="L213" i="1"/>
  <c r="M213" i="1"/>
  <c r="N213" i="1"/>
  <c r="O213" i="1"/>
  <c r="P213" i="1"/>
  <c r="Q213" i="1"/>
  <c r="R213" i="1"/>
  <c r="S213" i="1"/>
  <c r="T213" i="1"/>
  <c r="U213" i="1"/>
  <c r="V213" i="1"/>
  <c r="W213" i="1"/>
  <c r="X213" i="1"/>
  <c r="Y213" i="1"/>
  <c r="Z213" i="1"/>
  <c r="AA213" i="1"/>
  <c r="AB213" i="1"/>
  <c r="A214" i="1"/>
  <c r="B214" i="1"/>
  <c r="C214" i="1"/>
  <c r="D214" i="1"/>
  <c r="E214" i="1"/>
  <c r="F214" i="1"/>
  <c r="G214" i="1"/>
  <c r="H214" i="1"/>
  <c r="I214" i="1"/>
  <c r="J214" i="1"/>
  <c r="K214" i="1"/>
  <c r="L214" i="1"/>
  <c r="M214" i="1"/>
  <c r="N214" i="1"/>
  <c r="O214" i="1"/>
  <c r="P214" i="1"/>
  <c r="Q214" i="1"/>
  <c r="R214" i="1"/>
  <c r="S214" i="1"/>
  <c r="T214" i="1"/>
  <c r="U214" i="1"/>
  <c r="V214" i="1"/>
  <c r="W214" i="1"/>
  <c r="X214" i="1"/>
  <c r="Y214" i="1"/>
  <c r="Z214" i="1"/>
  <c r="AA214" i="1"/>
  <c r="AB214" i="1"/>
  <c r="A215" i="1"/>
  <c r="B215" i="1"/>
  <c r="C215" i="1"/>
  <c r="D215" i="1"/>
  <c r="E215" i="1"/>
  <c r="F215" i="1"/>
  <c r="G215" i="1"/>
  <c r="H215" i="1"/>
  <c r="I215" i="1"/>
  <c r="J215" i="1"/>
  <c r="K215" i="1"/>
  <c r="L215" i="1"/>
  <c r="M215" i="1"/>
  <c r="N215" i="1"/>
  <c r="O215" i="1"/>
  <c r="P215" i="1"/>
  <c r="Q215" i="1"/>
  <c r="R215" i="1"/>
  <c r="S215" i="1"/>
  <c r="T215" i="1"/>
  <c r="U215" i="1"/>
  <c r="V215" i="1"/>
  <c r="W215" i="1"/>
  <c r="X215" i="1"/>
  <c r="Y215" i="1"/>
  <c r="Z215" i="1"/>
  <c r="AA215" i="1"/>
  <c r="AB215" i="1"/>
  <c r="A216" i="1"/>
  <c r="B216" i="1"/>
  <c r="C216" i="1"/>
  <c r="D216" i="1"/>
  <c r="E216" i="1"/>
  <c r="F216" i="1"/>
  <c r="G216" i="1"/>
  <c r="H216" i="1"/>
  <c r="I216" i="1"/>
  <c r="J216" i="1"/>
  <c r="K216" i="1"/>
  <c r="L216" i="1"/>
  <c r="M216" i="1"/>
  <c r="N216" i="1"/>
  <c r="O216" i="1"/>
  <c r="P216" i="1"/>
  <c r="Q216" i="1"/>
  <c r="R216" i="1"/>
  <c r="S216" i="1"/>
  <c r="T216" i="1"/>
  <c r="U216" i="1"/>
  <c r="V216" i="1"/>
  <c r="W216" i="1"/>
  <c r="X216" i="1"/>
  <c r="Y216" i="1"/>
  <c r="Z216" i="1"/>
  <c r="AA216" i="1"/>
  <c r="AB216" i="1"/>
  <c r="A217" i="1"/>
  <c r="B217" i="1"/>
  <c r="C217" i="1"/>
  <c r="D217" i="1"/>
  <c r="E217" i="1"/>
  <c r="F217" i="1"/>
  <c r="G217" i="1"/>
  <c r="H217" i="1"/>
  <c r="I217" i="1"/>
  <c r="J217" i="1"/>
  <c r="K217" i="1"/>
  <c r="L217" i="1"/>
  <c r="M217" i="1"/>
  <c r="N217" i="1"/>
  <c r="O217" i="1"/>
  <c r="P217" i="1"/>
  <c r="Q217" i="1"/>
  <c r="R217" i="1"/>
  <c r="S217" i="1"/>
  <c r="T217" i="1"/>
  <c r="U217" i="1"/>
  <c r="V217" i="1"/>
  <c r="W217" i="1"/>
  <c r="X217" i="1"/>
  <c r="Y217" i="1"/>
  <c r="Z217" i="1"/>
  <c r="AA217" i="1"/>
  <c r="AB217" i="1"/>
  <c r="A218" i="1"/>
  <c r="B218" i="1"/>
  <c r="C218" i="1"/>
  <c r="D218" i="1"/>
  <c r="E218" i="1"/>
  <c r="F218" i="1"/>
  <c r="G218" i="1"/>
  <c r="H218" i="1"/>
  <c r="I218" i="1"/>
  <c r="J218" i="1"/>
  <c r="K218" i="1"/>
  <c r="L218" i="1"/>
  <c r="M218" i="1"/>
  <c r="N218" i="1"/>
  <c r="O218" i="1"/>
  <c r="P218" i="1"/>
  <c r="Q218" i="1"/>
  <c r="R218" i="1"/>
  <c r="S218" i="1"/>
  <c r="T218" i="1"/>
  <c r="U218" i="1"/>
  <c r="V218" i="1"/>
  <c r="W218" i="1"/>
  <c r="X218" i="1"/>
  <c r="Y218" i="1"/>
  <c r="Z218" i="1"/>
  <c r="AA218" i="1"/>
  <c r="AB218" i="1"/>
  <c r="A219" i="1"/>
  <c r="B219" i="1"/>
  <c r="C219" i="1"/>
  <c r="D219" i="1"/>
  <c r="E219" i="1"/>
  <c r="F219" i="1"/>
  <c r="G219" i="1"/>
  <c r="H219" i="1"/>
  <c r="I219" i="1"/>
  <c r="J219" i="1"/>
  <c r="K219" i="1"/>
  <c r="L219" i="1"/>
  <c r="M219" i="1"/>
  <c r="N219" i="1"/>
  <c r="O219" i="1"/>
  <c r="P219" i="1"/>
  <c r="Q219" i="1"/>
  <c r="R219" i="1"/>
  <c r="S219" i="1"/>
  <c r="T219" i="1"/>
  <c r="U219" i="1"/>
  <c r="V219" i="1"/>
  <c r="W219" i="1"/>
  <c r="X219" i="1"/>
  <c r="Y219" i="1"/>
  <c r="Z219" i="1"/>
  <c r="AA219" i="1"/>
  <c r="AB219" i="1"/>
  <c r="A220" i="1"/>
  <c r="B220" i="1"/>
  <c r="C220" i="1"/>
  <c r="D220" i="1"/>
  <c r="E220" i="1"/>
  <c r="F220" i="1"/>
  <c r="G220" i="1"/>
  <c r="H220" i="1"/>
  <c r="I220" i="1"/>
  <c r="J220" i="1"/>
  <c r="K220" i="1"/>
  <c r="L220" i="1"/>
  <c r="M220" i="1"/>
  <c r="N220" i="1"/>
  <c r="O220" i="1"/>
  <c r="P220" i="1"/>
  <c r="Q220" i="1"/>
  <c r="R220" i="1"/>
  <c r="S220" i="1"/>
  <c r="T220" i="1"/>
  <c r="U220" i="1"/>
  <c r="V220" i="1"/>
  <c r="W220" i="1"/>
  <c r="X220" i="1"/>
  <c r="Y220" i="1"/>
  <c r="Z220" i="1"/>
  <c r="AA220" i="1"/>
  <c r="AB220" i="1"/>
  <c r="A221" i="1"/>
  <c r="B221" i="1"/>
  <c r="C221" i="1"/>
  <c r="D221" i="1"/>
  <c r="E221" i="1"/>
  <c r="F221" i="1"/>
  <c r="G221" i="1"/>
  <c r="H221" i="1"/>
  <c r="I221" i="1"/>
  <c r="J221" i="1"/>
  <c r="K221" i="1"/>
  <c r="L221" i="1"/>
  <c r="M221" i="1"/>
  <c r="N221" i="1"/>
  <c r="O221" i="1"/>
  <c r="P221" i="1"/>
  <c r="Q221" i="1"/>
  <c r="R221" i="1"/>
  <c r="S221" i="1"/>
  <c r="T221" i="1"/>
  <c r="U221" i="1"/>
  <c r="V221" i="1"/>
  <c r="W221" i="1"/>
  <c r="X221" i="1"/>
  <c r="Y221" i="1"/>
  <c r="Z221" i="1"/>
  <c r="AA221" i="1"/>
  <c r="AB221" i="1"/>
  <c r="A222" i="1"/>
  <c r="B222" i="1"/>
  <c r="C222" i="1"/>
  <c r="D222" i="1"/>
  <c r="E222" i="1"/>
  <c r="F222" i="1"/>
  <c r="G222" i="1"/>
  <c r="H222" i="1"/>
  <c r="I222" i="1"/>
  <c r="J222" i="1"/>
  <c r="K222" i="1"/>
  <c r="L222" i="1"/>
  <c r="M222" i="1"/>
  <c r="N222" i="1"/>
  <c r="O222" i="1"/>
  <c r="P222" i="1"/>
  <c r="Q222" i="1"/>
  <c r="R222" i="1"/>
  <c r="S222" i="1"/>
  <c r="T222" i="1"/>
  <c r="U222" i="1"/>
  <c r="V222" i="1"/>
  <c r="W222" i="1"/>
  <c r="X222" i="1"/>
  <c r="Y222" i="1"/>
  <c r="Z222" i="1"/>
  <c r="AA222" i="1"/>
  <c r="AB222" i="1"/>
  <c r="A223" i="1"/>
  <c r="B223" i="1"/>
  <c r="C223" i="1"/>
  <c r="D223" i="1"/>
  <c r="E223" i="1"/>
  <c r="F223" i="1"/>
  <c r="G223" i="1"/>
  <c r="H223" i="1"/>
  <c r="I223" i="1"/>
  <c r="J223" i="1"/>
  <c r="K223" i="1"/>
  <c r="L223" i="1"/>
  <c r="M223" i="1"/>
  <c r="N223" i="1"/>
  <c r="O223" i="1"/>
  <c r="P223" i="1"/>
  <c r="Q223" i="1"/>
  <c r="R223" i="1"/>
  <c r="S223" i="1"/>
  <c r="T223" i="1"/>
  <c r="U223" i="1"/>
  <c r="V223" i="1"/>
  <c r="W223" i="1"/>
  <c r="X223" i="1"/>
  <c r="Y223" i="1"/>
  <c r="Z223" i="1"/>
  <c r="AA223" i="1"/>
  <c r="AB223" i="1"/>
  <c r="A224" i="1"/>
  <c r="B224" i="1"/>
  <c r="C224" i="1"/>
  <c r="D224" i="1"/>
  <c r="E224" i="1"/>
  <c r="F224" i="1"/>
  <c r="G224" i="1"/>
  <c r="H224" i="1"/>
  <c r="I224" i="1"/>
  <c r="J224" i="1"/>
  <c r="K224" i="1"/>
  <c r="L224" i="1"/>
  <c r="M224" i="1"/>
  <c r="N224" i="1"/>
  <c r="O224" i="1"/>
  <c r="P224" i="1"/>
  <c r="Q224" i="1"/>
  <c r="R224" i="1"/>
  <c r="S224" i="1"/>
  <c r="T224" i="1"/>
  <c r="U224" i="1"/>
  <c r="V224" i="1"/>
  <c r="W224" i="1"/>
  <c r="X224" i="1"/>
  <c r="Y224" i="1"/>
  <c r="Z224" i="1"/>
  <c r="AA224" i="1"/>
  <c r="AB224" i="1"/>
  <c r="A225" i="1"/>
  <c r="B225" i="1"/>
  <c r="C225" i="1"/>
  <c r="D225" i="1"/>
  <c r="E225" i="1"/>
  <c r="F225" i="1"/>
  <c r="G225" i="1"/>
  <c r="H225" i="1"/>
  <c r="I225" i="1"/>
  <c r="J225" i="1"/>
  <c r="K225" i="1"/>
  <c r="L225" i="1"/>
  <c r="M225" i="1"/>
  <c r="N225" i="1"/>
  <c r="O225" i="1"/>
  <c r="P225" i="1"/>
  <c r="Q225" i="1"/>
  <c r="R225" i="1"/>
  <c r="S225" i="1"/>
  <c r="T225" i="1"/>
  <c r="U225" i="1"/>
  <c r="V225" i="1"/>
  <c r="W225" i="1"/>
  <c r="X225" i="1"/>
  <c r="Y225" i="1"/>
  <c r="Z225" i="1"/>
  <c r="AA225" i="1"/>
  <c r="AB225" i="1"/>
  <c r="A226" i="1"/>
  <c r="B226" i="1"/>
  <c r="C226" i="1"/>
  <c r="D226" i="1"/>
  <c r="E226" i="1"/>
  <c r="F226" i="1"/>
  <c r="G226" i="1"/>
  <c r="H226" i="1"/>
  <c r="I226" i="1"/>
  <c r="J226" i="1"/>
  <c r="K226" i="1"/>
  <c r="L226" i="1"/>
  <c r="M226" i="1"/>
  <c r="N226" i="1"/>
  <c r="O226" i="1"/>
  <c r="P226" i="1"/>
  <c r="Q226" i="1"/>
  <c r="R226" i="1"/>
  <c r="S226" i="1"/>
  <c r="T226" i="1"/>
  <c r="U226" i="1"/>
  <c r="V226" i="1"/>
  <c r="W226" i="1"/>
  <c r="X226" i="1"/>
  <c r="Y226" i="1"/>
  <c r="Z226" i="1"/>
  <c r="AA226" i="1"/>
  <c r="AB226" i="1"/>
  <c r="A227" i="1"/>
  <c r="B227" i="1"/>
  <c r="C227" i="1"/>
  <c r="D227" i="1"/>
  <c r="E227" i="1"/>
  <c r="F227" i="1"/>
  <c r="G227" i="1"/>
  <c r="H227" i="1"/>
  <c r="I227" i="1"/>
  <c r="J227" i="1"/>
  <c r="K227" i="1"/>
  <c r="L227" i="1"/>
  <c r="M227" i="1"/>
  <c r="N227" i="1"/>
  <c r="O227" i="1"/>
  <c r="P227" i="1"/>
  <c r="Q227" i="1"/>
  <c r="R227" i="1"/>
  <c r="S227" i="1"/>
  <c r="T227" i="1"/>
  <c r="U227" i="1"/>
  <c r="V227" i="1"/>
  <c r="W227" i="1"/>
  <c r="X227" i="1"/>
  <c r="Y227" i="1"/>
  <c r="Z227" i="1"/>
  <c r="AA227" i="1"/>
  <c r="AB227" i="1"/>
  <c r="A228" i="1"/>
  <c r="B228" i="1"/>
  <c r="C228" i="1"/>
  <c r="D228" i="1"/>
  <c r="E228" i="1"/>
  <c r="F228" i="1"/>
  <c r="G228" i="1"/>
  <c r="H228" i="1"/>
  <c r="I228" i="1"/>
  <c r="J228" i="1"/>
  <c r="K228" i="1"/>
  <c r="L228" i="1"/>
  <c r="M228" i="1"/>
  <c r="N228" i="1"/>
  <c r="O228" i="1"/>
  <c r="P228" i="1"/>
  <c r="Q228" i="1"/>
  <c r="R228" i="1"/>
  <c r="S228" i="1"/>
  <c r="T228" i="1"/>
  <c r="U228" i="1"/>
  <c r="V228" i="1"/>
  <c r="W228" i="1"/>
  <c r="X228" i="1"/>
  <c r="Y228" i="1"/>
  <c r="Z228" i="1"/>
  <c r="AA228" i="1"/>
  <c r="AB228" i="1"/>
  <c r="A229" i="1"/>
  <c r="B229" i="1"/>
  <c r="C229" i="1"/>
  <c r="D229" i="1"/>
  <c r="E229" i="1"/>
  <c r="F229" i="1"/>
  <c r="G229" i="1"/>
  <c r="H229" i="1"/>
  <c r="I229" i="1"/>
  <c r="J229" i="1"/>
  <c r="K229" i="1"/>
  <c r="L229" i="1"/>
  <c r="M229" i="1"/>
  <c r="N229" i="1"/>
  <c r="O229" i="1"/>
  <c r="P229" i="1"/>
  <c r="Q229" i="1"/>
  <c r="R229" i="1"/>
  <c r="S229" i="1"/>
  <c r="T229" i="1"/>
  <c r="U229" i="1"/>
  <c r="V229" i="1"/>
  <c r="W229" i="1"/>
  <c r="X229" i="1"/>
  <c r="Y229" i="1"/>
  <c r="Z229" i="1"/>
  <c r="AA229" i="1"/>
  <c r="AB229" i="1"/>
  <c r="A230" i="1"/>
  <c r="B230" i="1"/>
  <c r="C230" i="1"/>
  <c r="D230" i="1"/>
  <c r="E230" i="1"/>
  <c r="F230" i="1"/>
  <c r="G230" i="1"/>
  <c r="H230" i="1"/>
  <c r="I230" i="1"/>
  <c r="J230" i="1"/>
  <c r="K230" i="1"/>
  <c r="L230" i="1"/>
  <c r="M230" i="1"/>
  <c r="N230" i="1"/>
  <c r="O230" i="1"/>
  <c r="P230" i="1"/>
  <c r="Q230" i="1"/>
  <c r="R230" i="1"/>
  <c r="S230" i="1"/>
  <c r="T230" i="1"/>
  <c r="U230" i="1"/>
  <c r="V230" i="1"/>
  <c r="W230" i="1"/>
  <c r="X230" i="1"/>
  <c r="Y230" i="1"/>
  <c r="Z230" i="1"/>
  <c r="AA230" i="1"/>
  <c r="AB230" i="1"/>
  <c r="A231" i="1"/>
  <c r="B231" i="1"/>
  <c r="C231" i="1"/>
  <c r="D231" i="1"/>
  <c r="E231" i="1"/>
  <c r="F231" i="1"/>
  <c r="G231" i="1"/>
  <c r="H231" i="1"/>
  <c r="I231" i="1"/>
  <c r="J231" i="1"/>
  <c r="K231" i="1"/>
  <c r="L231" i="1"/>
  <c r="M231" i="1"/>
  <c r="N231" i="1"/>
  <c r="O231" i="1"/>
  <c r="P231" i="1"/>
  <c r="Q231" i="1"/>
  <c r="R231" i="1"/>
  <c r="S231" i="1"/>
  <c r="T231" i="1"/>
  <c r="U231" i="1"/>
  <c r="V231" i="1"/>
  <c r="W231" i="1"/>
  <c r="X231" i="1"/>
  <c r="Y231" i="1"/>
  <c r="Z231" i="1"/>
  <c r="AA231" i="1"/>
  <c r="AB231" i="1"/>
  <c r="A232" i="1"/>
  <c r="B232" i="1"/>
  <c r="C232" i="1"/>
  <c r="D232" i="1"/>
  <c r="E232" i="1"/>
  <c r="F232" i="1"/>
  <c r="G232" i="1"/>
  <c r="H232" i="1"/>
  <c r="I232" i="1"/>
  <c r="J232" i="1"/>
  <c r="K232" i="1"/>
  <c r="L232" i="1"/>
  <c r="M232" i="1"/>
  <c r="N232" i="1"/>
  <c r="O232" i="1"/>
  <c r="P232" i="1"/>
  <c r="Q232" i="1"/>
  <c r="R232" i="1"/>
  <c r="S232" i="1"/>
  <c r="T232" i="1"/>
  <c r="U232" i="1"/>
  <c r="V232" i="1"/>
  <c r="W232" i="1"/>
  <c r="X232" i="1"/>
  <c r="Y232" i="1"/>
  <c r="Z232" i="1"/>
  <c r="AA232" i="1"/>
  <c r="AB232" i="1"/>
  <c r="A233" i="1"/>
  <c r="B233" i="1"/>
  <c r="C233" i="1"/>
  <c r="D233" i="1"/>
  <c r="E233" i="1"/>
  <c r="F233" i="1"/>
  <c r="G233" i="1"/>
  <c r="H233" i="1"/>
  <c r="I233" i="1"/>
  <c r="J233" i="1"/>
  <c r="K233" i="1"/>
  <c r="L233" i="1"/>
  <c r="M233" i="1"/>
  <c r="N233" i="1"/>
  <c r="O233" i="1"/>
  <c r="P233" i="1"/>
  <c r="Q233" i="1"/>
  <c r="R233" i="1"/>
  <c r="S233" i="1"/>
  <c r="T233" i="1"/>
  <c r="U233" i="1"/>
  <c r="V233" i="1"/>
  <c r="W233" i="1"/>
  <c r="X233" i="1"/>
  <c r="Y233" i="1"/>
  <c r="Z233" i="1"/>
  <c r="AA233" i="1"/>
  <c r="AB233" i="1"/>
  <c r="A234" i="1"/>
  <c r="B234" i="1"/>
  <c r="C234" i="1"/>
  <c r="D234" i="1"/>
  <c r="E234" i="1"/>
  <c r="F234" i="1"/>
  <c r="G234" i="1"/>
  <c r="H234" i="1"/>
  <c r="I234" i="1"/>
  <c r="J234" i="1"/>
  <c r="K234" i="1"/>
  <c r="L234" i="1"/>
  <c r="M234" i="1"/>
  <c r="N234" i="1"/>
  <c r="O234" i="1"/>
  <c r="P234" i="1"/>
  <c r="Q234" i="1"/>
  <c r="R234" i="1"/>
  <c r="S234" i="1"/>
  <c r="T234" i="1"/>
  <c r="U234" i="1"/>
  <c r="V234" i="1"/>
  <c r="W234" i="1"/>
  <c r="X234" i="1"/>
  <c r="Y234" i="1"/>
  <c r="Z234" i="1"/>
  <c r="AA234" i="1"/>
  <c r="AB234" i="1"/>
  <c r="A235" i="1"/>
  <c r="B235" i="1"/>
  <c r="C235" i="1"/>
  <c r="D235" i="1"/>
  <c r="E235" i="1"/>
  <c r="F235" i="1"/>
  <c r="G235" i="1"/>
  <c r="H235" i="1"/>
  <c r="I235" i="1"/>
  <c r="J235" i="1"/>
  <c r="K235" i="1"/>
  <c r="L235" i="1"/>
  <c r="M235" i="1"/>
  <c r="N235" i="1"/>
  <c r="O235" i="1"/>
  <c r="P235" i="1"/>
  <c r="Q235" i="1"/>
  <c r="R235" i="1"/>
  <c r="S235" i="1"/>
  <c r="T235" i="1"/>
  <c r="U235" i="1"/>
  <c r="V235" i="1"/>
  <c r="W235" i="1"/>
  <c r="X235" i="1"/>
  <c r="Y235" i="1"/>
  <c r="Z235" i="1"/>
  <c r="AA235" i="1"/>
  <c r="AB235" i="1"/>
  <c r="A236" i="1"/>
  <c r="B236" i="1"/>
  <c r="C236" i="1"/>
  <c r="D236" i="1"/>
  <c r="E236" i="1"/>
  <c r="F236" i="1"/>
  <c r="G236" i="1"/>
  <c r="H236" i="1"/>
  <c r="I236" i="1"/>
  <c r="J236" i="1"/>
  <c r="K236" i="1"/>
  <c r="L236" i="1"/>
  <c r="M236" i="1"/>
  <c r="N236" i="1"/>
  <c r="O236" i="1"/>
  <c r="P236" i="1"/>
  <c r="Q236" i="1"/>
  <c r="R236" i="1"/>
  <c r="S236" i="1"/>
  <c r="T236" i="1"/>
  <c r="U236" i="1"/>
  <c r="V236" i="1"/>
  <c r="W236" i="1"/>
  <c r="X236" i="1"/>
  <c r="Y236" i="1"/>
  <c r="Z236" i="1"/>
  <c r="AA236" i="1"/>
  <c r="AB236" i="1"/>
  <c r="A237" i="1"/>
  <c r="B237" i="1"/>
  <c r="C237" i="1"/>
  <c r="D237" i="1"/>
  <c r="E237" i="1"/>
  <c r="F237" i="1"/>
  <c r="G237" i="1"/>
  <c r="H237" i="1"/>
  <c r="I237" i="1"/>
  <c r="J237" i="1"/>
  <c r="K237" i="1"/>
  <c r="L237" i="1"/>
  <c r="M237" i="1"/>
  <c r="N237" i="1"/>
  <c r="O237" i="1"/>
  <c r="P237" i="1"/>
  <c r="Q237" i="1"/>
  <c r="R237" i="1"/>
  <c r="S237" i="1"/>
  <c r="T237" i="1"/>
  <c r="U237" i="1"/>
  <c r="V237" i="1"/>
  <c r="W237" i="1"/>
  <c r="X237" i="1"/>
  <c r="Y237" i="1"/>
  <c r="Z237" i="1"/>
  <c r="AA237" i="1"/>
  <c r="AB237" i="1"/>
  <c r="A238" i="1"/>
  <c r="B238" i="1"/>
  <c r="C238" i="1"/>
  <c r="D238" i="1"/>
  <c r="E238" i="1"/>
  <c r="F238" i="1"/>
  <c r="G238" i="1"/>
  <c r="H238" i="1"/>
  <c r="I238" i="1"/>
  <c r="J238" i="1"/>
  <c r="K238" i="1"/>
  <c r="L238" i="1"/>
  <c r="M238" i="1"/>
  <c r="N238" i="1"/>
  <c r="O238" i="1"/>
  <c r="P238" i="1"/>
  <c r="Q238" i="1"/>
  <c r="R238" i="1"/>
  <c r="S238" i="1"/>
  <c r="T238" i="1"/>
  <c r="U238" i="1"/>
  <c r="V238" i="1"/>
  <c r="W238" i="1"/>
  <c r="X238" i="1"/>
  <c r="Y238" i="1"/>
  <c r="Z238" i="1"/>
  <c r="AA238" i="1"/>
  <c r="AB238" i="1"/>
  <c r="A239" i="1"/>
  <c r="B239" i="1"/>
  <c r="C239" i="1"/>
  <c r="D239" i="1"/>
  <c r="E239" i="1"/>
  <c r="F239" i="1"/>
  <c r="G239" i="1"/>
  <c r="H239" i="1"/>
  <c r="I239" i="1"/>
  <c r="J239" i="1"/>
  <c r="K239" i="1"/>
  <c r="L239" i="1"/>
  <c r="M239" i="1"/>
  <c r="N239" i="1"/>
  <c r="O239" i="1"/>
  <c r="P239" i="1"/>
  <c r="Q239" i="1"/>
  <c r="R239" i="1"/>
  <c r="S239" i="1"/>
  <c r="T239" i="1"/>
  <c r="U239" i="1"/>
  <c r="V239" i="1"/>
  <c r="W239" i="1"/>
  <c r="X239" i="1"/>
  <c r="Y239" i="1"/>
  <c r="Z239" i="1"/>
  <c r="AA239" i="1"/>
  <c r="AB239" i="1"/>
  <c r="A240" i="1"/>
  <c r="B240" i="1"/>
  <c r="C240" i="1"/>
  <c r="D240" i="1"/>
  <c r="E240" i="1"/>
  <c r="F240" i="1"/>
  <c r="G240" i="1"/>
  <c r="H240" i="1"/>
  <c r="I240" i="1"/>
  <c r="J240" i="1"/>
  <c r="K240" i="1"/>
  <c r="L240" i="1"/>
  <c r="M240" i="1"/>
  <c r="N240" i="1"/>
  <c r="O240" i="1"/>
  <c r="P240" i="1"/>
  <c r="Q240" i="1"/>
  <c r="R240" i="1"/>
  <c r="S240" i="1"/>
  <c r="T240" i="1"/>
  <c r="U240" i="1"/>
  <c r="V240" i="1"/>
  <c r="W240" i="1"/>
  <c r="X240" i="1"/>
  <c r="Y240" i="1"/>
  <c r="Z240" i="1"/>
  <c r="AA240" i="1"/>
  <c r="AB240" i="1"/>
  <c r="A241" i="1"/>
  <c r="B241" i="1"/>
  <c r="C241" i="1"/>
  <c r="D241" i="1"/>
  <c r="E241" i="1"/>
  <c r="F241" i="1"/>
  <c r="G241" i="1"/>
  <c r="H241" i="1"/>
  <c r="I241" i="1"/>
  <c r="J241" i="1"/>
  <c r="K241" i="1"/>
  <c r="L241" i="1"/>
  <c r="M241" i="1"/>
  <c r="N241" i="1"/>
  <c r="O241" i="1"/>
  <c r="P241" i="1"/>
  <c r="Q241" i="1"/>
  <c r="R241" i="1"/>
  <c r="S241" i="1"/>
  <c r="T241" i="1"/>
  <c r="U241" i="1"/>
  <c r="V241" i="1"/>
  <c r="W241" i="1"/>
  <c r="X241" i="1"/>
  <c r="Y241" i="1"/>
  <c r="Z241" i="1"/>
  <c r="AA241" i="1"/>
  <c r="AB241" i="1"/>
  <c r="A242" i="1"/>
  <c r="B242" i="1"/>
  <c r="C242" i="1"/>
  <c r="D242" i="1"/>
  <c r="E242" i="1"/>
  <c r="F242" i="1"/>
  <c r="G242" i="1"/>
  <c r="H242" i="1"/>
  <c r="I242" i="1"/>
  <c r="J242" i="1"/>
  <c r="K242" i="1"/>
  <c r="L242" i="1"/>
  <c r="M242" i="1"/>
  <c r="N242" i="1"/>
  <c r="O242" i="1"/>
  <c r="P242" i="1"/>
  <c r="Q242" i="1"/>
  <c r="R242" i="1"/>
  <c r="S242" i="1"/>
  <c r="T242" i="1"/>
  <c r="U242" i="1"/>
  <c r="V242" i="1"/>
  <c r="W242" i="1"/>
  <c r="X242" i="1"/>
  <c r="Y242" i="1"/>
  <c r="Z242" i="1"/>
  <c r="AA242" i="1"/>
  <c r="AB242" i="1"/>
  <c r="A243" i="1"/>
  <c r="B243" i="1"/>
  <c r="C243" i="1"/>
  <c r="D243" i="1"/>
  <c r="E243" i="1"/>
  <c r="F243" i="1"/>
  <c r="G243" i="1"/>
  <c r="H243" i="1"/>
  <c r="I243" i="1"/>
  <c r="J243" i="1"/>
  <c r="K243" i="1"/>
  <c r="L243" i="1"/>
  <c r="M243" i="1"/>
  <c r="N243" i="1"/>
  <c r="O243" i="1"/>
  <c r="P243" i="1"/>
  <c r="Q243" i="1"/>
  <c r="R243" i="1"/>
  <c r="S243" i="1"/>
  <c r="T243" i="1"/>
  <c r="U243" i="1"/>
  <c r="V243" i="1"/>
  <c r="W243" i="1"/>
  <c r="X243" i="1"/>
  <c r="Y243" i="1"/>
  <c r="Z243" i="1"/>
  <c r="AA243" i="1"/>
  <c r="AB243" i="1"/>
  <c r="A244" i="1"/>
  <c r="B244" i="1"/>
  <c r="C244" i="1"/>
  <c r="D244" i="1"/>
  <c r="E244" i="1"/>
  <c r="F244" i="1"/>
  <c r="G244" i="1"/>
  <c r="H244" i="1"/>
  <c r="I244" i="1"/>
  <c r="J244" i="1"/>
  <c r="K244" i="1"/>
  <c r="L244" i="1"/>
  <c r="M244" i="1"/>
  <c r="N244" i="1"/>
  <c r="O244" i="1"/>
  <c r="P244" i="1"/>
  <c r="Q244" i="1"/>
  <c r="R244" i="1"/>
  <c r="S244" i="1"/>
  <c r="T244" i="1"/>
  <c r="U244" i="1"/>
  <c r="V244" i="1"/>
  <c r="W244" i="1"/>
  <c r="X244" i="1"/>
  <c r="Y244" i="1"/>
  <c r="Z244" i="1"/>
  <c r="AA244" i="1"/>
  <c r="AB244" i="1"/>
  <c r="A245" i="1"/>
  <c r="B245" i="1"/>
  <c r="C245" i="1"/>
  <c r="D245" i="1"/>
  <c r="E245" i="1"/>
  <c r="F245" i="1"/>
  <c r="G245" i="1"/>
  <c r="H245" i="1"/>
  <c r="I245" i="1"/>
  <c r="J245" i="1"/>
  <c r="K245" i="1"/>
  <c r="L245" i="1"/>
  <c r="M245" i="1"/>
  <c r="N245" i="1"/>
  <c r="O245" i="1"/>
  <c r="P245" i="1"/>
  <c r="Q245" i="1"/>
  <c r="R245" i="1"/>
  <c r="S245" i="1"/>
  <c r="T245" i="1"/>
  <c r="U245" i="1"/>
  <c r="V245" i="1"/>
  <c r="W245" i="1"/>
  <c r="X245" i="1"/>
  <c r="Y245" i="1"/>
  <c r="Z245" i="1"/>
  <c r="AA245" i="1"/>
  <c r="AB245" i="1"/>
  <c r="A246" i="1"/>
  <c r="B246" i="1"/>
  <c r="C246" i="1"/>
  <c r="D246" i="1"/>
  <c r="E246" i="1"/>
  <c r="F246" i="1"/>
  <c r="G246" i="1"/>
  <c r="H246" i="1"/>
  <c r="I246" i="1"/>
  <c r="J246" i="1"/>
  <c r="K246" i="1"/>
  <c r="L246" i="1"/>
  <c r="M246" i="1"/>
  <c r="N246" i="1"/>
  <c r="O246" i="1"/>
  <c r="P246" i="1"/>
  <c r="Q246" i="1"/>
  <c r="R246" i="1"/>
  <c r="S246" i="1"/>
  <c r="T246" i="1"/>
  <c r="U246" i="1"/>
  <c r="V246" i="1"/>
  <c r="W246" i="1"/>
  <c r="X246" i="1"/>
  <c r="Y246" i="1"/>
  <c r="Z246" i="1"/>
  <c r="AA246" i="1"/>
  <c r="AB246" i="1"/>
  <c r="A247" i="1"/>
  <c r="B247" i="1"/>
  <c r="C247" i="1"/>
  <c r="D247" i="1"/>
  <c r="E247" i="1"/>
  <c r="F247" i="1"/>
  <c r="G247" i="1"/>
  <c r="H247" i="1"/>
  <c r="I247" i="1"/>
  <c r="J247" i="1"/>
  <c r="K247" i="1"/>
  <c r="L247" i="1"/>
  <c r="M247" i="1"/>
  <c r="N247" i="1"/>
  <c r="O247" i="1"/>
  <c r="P247" i="1"/>
  <c r="Q247" i="1"/>
  <c r="R247" i="1"/>
  <c r="S247" i="1"/>
  <c r="T247" i="1"/>
  <c r="U247" i="1"/>
  <c r="V247" i="1"/>
  <c r="W247" i="1"/>
  <c r="X247" i="1"/>
  <c r="Y247" i="1"/>
  <c r="Z247" i="1"/>
  <c r="AA247" i="1"/>
  <c r="AB247" i="1"/>
  <c r="A248" i="1"/>
  <c r="B248" i="1"/>
  <c r="C248" i="1"/>
  <c r="D248" i="1"/>
  <c r="E248" i="1"/>
  <c r="F248" i="1"/>
  <c r="G248" i="1"/>
  <c r="H248" i="1"/>
  <c r="I248" i="1"/>
  <c r="J248" i="1"/>
  <c r="K248" i="1"/>
  <c r="L248" i="1"/>
  <c r="M248" i="1"/>
  <c r="N248" i="1"/>
  <c r="O248" i="1"/>
  <c r="P248" i="1"/>
  <c r="Q248" i="1"/>
  <c r="R248" i="1"/>
  <c r="S248" i="1"/>
  <c r="T248" i="1"/>
  <c r="U248" i="1"/>
  <c r="V248" i="1"/>
  <c r="W248" i="1"/>
  <c r="X248" i="1"/>
  <c r="Y248" i="1"/>
  <c r="Z248" i="1"/>
  <c r="AA248" i="1"/>
  <c r="AB248" i="1"/>
  <c r="A249" i="1"/>
  <c r="B249" i="1"/>
  <c r="C249" i="1"/>
  <c r="D249" i="1"/>
  <c r="E249" i="1"/>
  <c r="F249" i="1"/>
  <c r="G249" i="1"/>
  <c r="H249" i="1"/>
  <c r="I249" i="1"/>
  <c r="J249" i="1"/>
  <c r="K249" i="1"/>
  <c r="L249" i="1"/>
  <c r="M249" i="1"/>
  <c r="N249" i="1"/>
  <c r="O249" i="1"/>
  <c r="P249" i="1"/>
  <c r="Q249" i="1"/>
  <c r="R249" i="1"/>
  <c r="S249" i="1"/>
  <c r="T249" i="1"/>
  <c r="U249" i="1"/>
  <c r="V249" i="1"/>
  <c r="W249" i="1"/>
  <c r="X249" i="1"/>
  <c r="Y249" i="1"/>
  <c r="Z249" i="1"/>
  <c r="AA249" i="1"/>
  <c r="AB249" i="1"/>
  <c r="A250" i="1"/>
  <c r="B250" i="1"/>
  <c r="C250" i="1"/>
  <c r="D250" i="1"/>
  <c r="E250" i="1"/>
  <c r="F250" i="1"/>
  <c r="G250" i="1"/>
  <c r="H250" i="1"/>
  <c r="I250" i="1"/>
  <c r="J250" i="1"/>
  <c r="K250" i="1"/>
  <c r="L250" i="1"/>
  <c r="M250" i="1"/>
  <c r="N250" i="1"/>
  <c r="O250" i="1"/>
  <c r="P250" i="1"/>
  <c r="Q250" i="1"/>
  <c r="R250" i="1"/>
  <c r="S250" i="1"/>
  <c r="T250" i="1"/>
  <c r="U250" i="1"/>
  <c r="V250" i="1"/>
  <c r="W250" i="1"/>
  <c r="X250" i="1"/>
  <c r="Y250" i="1"/>
  <c r="Z250" i="1"/>
  <c r="AA250" i="1"/>
  <c r="AB250" i="1"/>
  <c r="A251" i="1"/>
  <c r="B251" i="1"/>
  <c r="C251" i="1"/>
  <c r="D251" i="1"/>
  <c r="E251" i="1"/>
  <c r="F251" i="1"/>
  <c r="G251" i="1"/>
  <c r="H251" i="1"/>
  <c r="I251" i="1"/>
  <c r="J251" i="1"/>
  <c r="K251" i="1"/>
  <c r="L251" i="1"/>
  <c r="M251" i="1"/>
  <c r="N251" i="1"/>
  <c r="O251" i="1"/>
  <c r="P251" i="1"/>
  <c r="Q251" i="1"/>
  <c r="R251" i="1"/>
  <c r="S251" i="1"/>
  <c r="T251" i="1"/>
  <c r="U251" i="1"/>
  <c r="V251" i="1"/>
  <c r="W251" i="1"/>
  <c r="X251" i="1"/>
  <c r="Y251" i="1"/>
  <c r="Z251" i="1"/>
  <c r="AA251" i="1"/>
  <c r="AB251" i="1"/>
  <c r="A252" i="1"/>
  <c r="B252" i="1"/>
  <c r="C252" i="1"/>
  <c r="D252" i="1"/>
  <c r="E252" i="1"/>
  <c r="F252" i="1"/>
  <c r="G252" i="1"/>
  <c r="H252" i="1"/>
  <c r="I252" i="1"/>
  <c r="J252" i="1"/>
  <c r="K252" i="1"/>
  <c r="L252" i="1"/>
  <c r="M252" i="1"/>
  <c r="N252" i="1"/>
  <c r="O252" i="1"/>
  <c r="P252" i="1"/>
  <c r="Q252" i="1"/>
  <c r="R252" i="1"/>
  <c r="S252" i="1"/>
  <c r="T252" i="1"/>
  <c r="U252" i="1"/>
  <c r="V252" i="1"/>
  <c r="W252" i="1"/>
  <c r="X252" i="1"/>
  <c r="Y252" i="1"/>
  <c r="Z252" i="1"/>
  <c r="AA252" i="1"/>
  <c r="AB252" i="1"/>
  <c r="A253" i="1"/>
  <c r="B253" i="1"/>
  <c r="C253" i="1"/>
  <c r="D253" i="1"/>
  <c r="E253" i="1"/>
  <c r="F253" i="1"/>
  <c r="G253" i="1"/>
  <c r="H253" i="1"/>
  <c r="I253" i="1"/>
  <c r="J253" i="1"/>
  <c r="K253" i="1"/>
  <c r="L253" i="1"/>
  <c r="M253" i="1"/>
  <c r="N253" i="1"/>
  <c r="O253" i="1"/>
  <c r="P253" i="1"/>
  <c r="Q253" i="1"/>
  <c r="R253" i="1"/>
  <c r="S253" i="1"/>
  <c r="T253" i="1"/>
  <c r="U253" i="1"/>
  <c r="V253" i="1"/>
  <c r="W253" i="1"/>
  <c r="X253" i="1"/>
  <c r="Y253" i="1"/>
  <c r="Z253" i="1"/>
  <c r="AA253" i="1"/>
  <c r="AB253" i="1"/>
  <c r="A254" i="1"/>
  <c r="B254" i="1"/>
  <c r="C254" i="1"/>
  <c r="D254" i="1"/>
  <c r="E254" i="1"/>
  <c r="F254" i="1"/>
  <c r="G254" i="1"/>
  <c r="H254" i="1"/>
  <c r="I254" i="1"/>
  <c r="J254" i="1"/>
  <c r="K254" i="1"/>
  <c r="L254" i="1"/>
  <c r="M254" i="1"/>
  <c r="N254" i="1"/>
  <c r="O254" i="1"/>
  <c r="P254" i="1"/>
  <c r="Q254" i="1"/>
  <c r="R254" i="1"/>
  <c r="S254" i="1"/>
  <c r="T254" i="1"/>
  <c r="U254" i="1"/>
  <c r="V254" i="1"/>
  <c r="W254" i="1"/>
  <c r="X254" i="1"/>
  <c r="Y254" i="1"/>
  <c r="Z254" i="1"/>
  <c r="AA254" i="1"/>
  <c r="AB254" i="1"/>
  <c r="A255" i="1"/>
  <c r="B255" i="1"/>
  <c r="C255" i="1"/>
  <c r="D255" i="1"/>
  <c r="E255" i="1"/>
  <c r="F255" i="1"/>
  <c r="G255" i="1"/>
  <c r="H255" i="1"/>
  <c r="I255" i="1"/>
  <c r="J255" i="1"/>
  <c r="K255" i="1"/>
  <c r="L255" i="1"/>
  <c r="M255" i="1"/>
  <c r="N255" i="1"/>
  <c r="O255" i="1"/>
  <c r="P255" i="1"/>
  <c r="Q255" i="1"/>
  <c r="R255" i="1"/>
  <c r="S255" i="1"/>
  <c r="T255" i="1"/>
  <c r="U255" i="1"/>
  <c r="V255" i="1"/>
  <c r="W255" i="1"/>
  <c r="X255" i="1"/>
  <c r="Y255" i="1"/>
  <c r="Z255" i="1"/>
  <c r="AA255" i="1"/>
  <c r="AB255" i="1"/>
  <c r="A256" i="1"/>
  <c r="B256" i="1"/>
  <c r="C256" i="1"/>
  <c r="D256" i="1"/>
  <c r="E256" i="1"/>
  <c r="F256" i="1"/>
  <c r="G256" i="1"/>
  <c r="H256" i="1"/>
  <c r="I256" i="1"/>
  <c r="J256" i="1"/>
  <c r="K256" i="1"/>
  <c r="L256" i="1"/>
  <c r="M256" i="1"/>
  <c r="N256" i="1"/>
  <c r="O256" i="1"/>
  <c r="P256" i="1"/>
  <c r="Q256" i="1"/>
  <c r="R256" i="1"/>
  <c r="S256" i="1"/>
  <c r="T256" i="1"/>
  <c r="U256" i="1"/>
  <c r="V256" i="1"/>
  <c r="W256" i="1"/>
  <c r="X256" i="1"/>
  <c r="Y256" i="1"/>
  <c r="Z256" i="1"/>
  <c r="AA256" i="1"/>
  <c r="AB256" i="1"/>
  <c r="A257" i="1"/>
  <c r="B257" i="1"/>
  <c r="C257" i="1"/>
  <c r="D257" i="1"/>
  <c r="E257" i="1"/>
  <c r="F257" i="1"/>
  <c r="G257" i="1"/>
  <c r="H257" i="1"/>
  <c r="I257" i="1"/>
  <c r="J257" i="1"/>
  <c r="K257" i="1"/>
  <c r="L257" i="1"/>
  <c r="M257" i="1"/>
  <c r="N257" i="1"/>
  <c r="O257" i="1"/>
  <c r="P257" i="1"/>
  <c r="Q257" i="1"/>
  <c r="R257" i="1"/>
  <c r="S257" i="1"/>
  <c r="T257" i="1"/>
  <c r="U257" i="1"/>
  <c r="V257" i="1"/>
  <c r="W257" i="1"/>
  <c r="X257" i="1"/>
  <c r="Y257" i="1"/>
  <c r="Z257" i="1"/>
  <c r="AA257" i="1"/>
  <c r="AB257" i="1"/>
  <c r="A258" i="1"/>
  <c r="B258" i="1"/>
  <c r="C258" i="1"/>
  <c r="D258" i="1"/>
  <c r="E258" i="1"/>
  <c r="F258" i="1"/>
  <c r="G258" i="1"/>
  <c r="H258" i="1"/>
  <c r="I258" i="1"/>
  <c r="J258" i="1"/>
  <c r="K258" i="1"/>
  <c r="L258" i="1"/>
  <c r="M258" i="1"/>
  <c r="N258" i="1"/>
  <c r="O258" i="1"/>
  <c r="P258" i="1"/>
  <c r="Q258" i="1"/>
  <c r="R258" i="1"/>
  <c r="S258" i="1"/>
  <c r="T258" i="1"/>
  <c r="U258" i="1"/>
  <c r="V258" i="1"/>
  <c r="W258" i="1"/>
  <c r="X258" i="1"/>
  <c r="Y258" i="1"/>
  <c r="Z258" i="1"/>
  <c r="AA258" i="1"/>
  <c r="AB258" i="1"/>
  <c r="A259" i="1"/>
  <c r="B259" i="1"/>
  <c r="C259" i="1"/>
  <c r="D259" i="1"/>
  <c r="E259" i="1"/>
  <c r="F259" i="1"/>
  <c r="G259" i="1"/>
  <c r="H259" i="1"/>
  <c r="I259" i="1"/>
  <c r="J259" i="1"/>
  <c r="K259" i="1"/>
  <c r="L259" i="1"/>
  <c r="M259" i="1"/>
  <c r="N259" i="1"/>
  <c r="O259" i="1"/>
  <c r="P259" i="1"/>
  <c r="Q259" i="1"/>
  <c r="R259" i="1"/>
  <c r="S259" i="1"/>
  <c r="T259" i="1"/>
  <c r="U259" i="1"/>
  <c r="V259" i="1"/>
  <c r="W259" i="1"/>
  <c r="X259" i="1"/>
  <c r="Y259" i="1"/>
  <c r="Z259" i="1"/>
  <c r="AA259" i="1"/>
  <c r="AB259" i="1"/>
  <c r="A260" i="1"/>
  <c r="B260" i="1"/>
  <c r="C260" i="1"/>
  <c r="D260" i="1"/>
  <c r="E260" i="1"/>
  <c r="F260" i="1"/>
  <c r="G260" i="1"/>
  <c r="H260" i="1"/>
  <c r="I260" i="1"/>
  <c r="J260" i="1"/>
  <c r="K260" i="1"/>
  <c r="L260" i="1"/>
  <c r="M260" i="1"/>
  <c r="N260" i="1"/>
  <c r="O260" i="1"/>
  <c r="P260" i="1"/>
  <c r="Q260" i="1"/>
  <c r="R260" i="1"/>
  <c r="S260" i="1"/>
  <c r="T260" i="1"/>
  <c r="U260" i="1"/>
  <c r="V260" i="1"/>
  <c r="W260" i="1"/>
  <c r="X260" i="1"/>
  <c r="Y260" i="1"/>
  <c r="Z260" i="1"/>
  <c r="AA260" i="1"/>
  <c r="AB260" i="1"/>
  <c r="A261" i="1"/>
  <c r="B261" i="1"/>
  <c r="C261" i="1"/>
  <c r="D261" i="1"/>
  <c r="E261" i="1"/>
  <c r="F261" i="1"/>
  <c r="G261" i="1"/>
  <c r="H261" i="1"/>
  <c r="I261" i="1"/>
  <c r="J261" i="1"/>
  <c r="K261" i="1"/>
  <c r="L261" i="1"/>
  <c r="M261" i="1"/>
  <c r="N261" i="1"/>
  <c r="O261" i="1"/>
  <c r="P261" i="1"/>
  <c r="Q261" i="1"/>
  <c r="R261" i="1"/>
  <c r="S261" i="1"/>
  <c r="T261" i="1"/>
  <c r="U261" i="1"/>
  <c r="V261" i="1"/>
  <c r="W261" i="1"/>
  <c r="X261" i="1"/>
  <c r="Y261" i="1"/>
  <c r="Z261" i="1"/>
  <c r="AA261" i="1"/>
  <c r="AB261" i="1"/>
  <c r="A262" i="1"/>
  <c r="B262" i="1"/>
  <c r="C262" i="1"/>
  <c r="D262" i="1"/>
  <c r="E262" i="1"/>
  <c r="F262" i="1"/>
  <c r="G262" i="1"/>
  <c r="H262" i="1"/>
  <c r="I262" i="1"/>
  <c r="J262" i="1"/>
  <c r="K262" i="1"/>
  <c r="L262" i="1"/>
  <c r="M262" i="1"/>
  <c r="N262" i="1"/>
  <c r="O262" i="1"/>
  <c r="P262" i="1"/>
  <c r="Q262" i="1"/>
  <c r="R262" i="1"/>
  <c r="S262" i="1"/>
  <c r="T262" i="1"/>
  <c r="U262" i="1"/>
  <c r="V262" i="1"/>
  <c r="W262" i="1"/>
  <c r="X262" i="1"/>
  <c r="Y262" i="1"/>
  <c r="Z262" i="1"/>
  <c r="AA262" i="1"/>
  <c r="AB262" i="1"/>
  <c r="A263" i="1"/>
  <c r="B263" i="1"/>
  <c r="C263" i="1"/>
  <c r="D263" i="1"/>
  <c r="E263" i="1"/>
  <c r="F263" i="1"/>
  <c r="G263" i="1"/>
  <c r="H263" i="1"/>
  <c r="I263" i="1"/>
  <c r="J263" i="1"/>
  <c r="K263" i="1"/>
  <c r="L263" i="1"/>
  <c r="M263" i="1"/>
  <c r="N263" i="1"/>
  <c r="O263" i="1"/>
  <c r="P263" i="1"/>
  <c r="Q263" i="1"/>
  <c r="R263" i="1"/>
  <c r="S263" i="1"/>
  <c r="T263" i="1"/>
  <c r="U263" i="1"/>
  <c r="V263" i="1"/>
  <c r="W263" i="1"/>
  <c r="X263" i="1"/>
  <c r="Y263" i="1"/>
  <c r="Z263" i="1"/>
  <c r="AA263" i="1"/>
  <c r="AB263" i="1"/>
  <c r="A264" i="1"/>
  <c r="B264" i="1"/>
  <c r="C264" i="1"/>
  <c r="D264" i="1"/>
  <c r="E264" i="1"/>
  <c r="F264" i="1"/>
  <c r="G264" i="1"/>
  <c r="H264" i="1"/>
  <c r="I264" i="1"/>
  <c r="J264" i="1"/>
  <c r="K264" i="1"/>
  <c r="L264" i="1"/>
  <c r="M264" i="1"/>
  <c r="N264" i="1"/>
  <c r="O264" i="1"/>
  <c r="P264" i="1"/>
  <c r="Q264" i="1"/>
  <c r="R264" i="1"/>
  <c r="S264" i="1"/>
  <c r="T264" i="1"/>
  <c r="U264" i="1"/>
  <c r="V264" i="1"/>
  <c r="W264" i="1"/>
  <c r="X264" i="1"/>
  <c r="Y264" i="1"/>
  <c r="Z264" i="1"/>
  <c r="AA264" i="1"/>
  <c r="AB264" i="1"/>
  <c r="A265" i="1"/>
  <c r="B265" i="1"/>
  <c r="C265" i="1"/>
  <c r="D265" i="1"/>
  <c r="E265" i="1"/>
  <c r="F265" i="1"/>
  <c r="G265" i="1"/>
  <c r="H265" i="1"/>
  <c r="I265" i="1"/>
  <c r="J265" i="1"/>
  <c r="K265" i="1"/>
  <c r="L265" i="1"/>
  <c r="M265" i="1"/>
  <c r="N265" i="1"/>
  <c r="O265" i="1"/>
  <c r="P265" i="1"/>
  <c r="Q265" i="1"/>
  <c r="R265" i="1"/>
  <c r="S265" i="1"/>
  <c r="T265" i="1"/>
  <c r="U265" i="1"/>
  <c r="V265" i="1"/>
  <c r="W265" i="1"/>
  <c r="X265" i="1"/>
  <c r="Y265" i="1"/>
  <c r="Z265" i="1"/>
  <c r="AA265" i="1"/>
  <c r="AB265" i="1"/>
  <c r="A266" i="1"/>
  <c r="B266" i="1"/>
  <c r="C266" i="1"/>
  <c r="D266" i="1"/>
  <c r="E266" i="1"/>
  <c r="F266" i="1"/>
  <c r="G266" i="1"/>
  <c r="H266" i="1"/>
  <c r="I266" i="1"/>
  <c r="J266" i="1"/>
  <c r="K266" i="1"/>
  <c r="L266" i="1"/>
  <c r="M266" i="1"/>
  <c r="N266" i="1"/>
  <c r="O266" i="1"/>
  <c r="P266" i="1"/>
  <c r="Q266" i="1"/>
  <c r="R266" i="1"/>
  <c r="S266" i="1"/>
  <c r="T266" i="1"/>
  <c r="U266" i="1"/>
  <c r="V266" i="1"/>
  <c r="W266" i="1"/>
  <c r="X266" i="1"/>
  <c r="Y266" i="1"/>
  <c r="Z266" i="1"/>
  <c r="AA266" i="1"/>
  <c r="AB266" i="1"/>
  <c r="A267" i="1"/>
  <c r="B267" i="1"/>
  <c r="C267" i="1"/>
  <c r="D267" i="1"/>
  <c r="E267" i="1"/>
  <c r="F267" i="1"/>
  <c r="G267" i="1"/>
  <c r="H267" i="1"/>
  <c r="I267" i="1"/>
  <c r="J267" i="1"/>
  <c r="K267" i="1"/>
  <c r="L267" i="1"/>
  <c r="M267" i="1"/>
  <c r="N267" i="1"/>
  <c r="O267" i="1"/>
  <c r="P267" i="1"/>
  <c r="Q267" i="1"/>
  <c r="R267" i="1"/>
  <c r="S267" i="1"/>
  <c r="T267" i="1"/>
  <c r="U267" i="1"/>
  <c r="V267" i="1"/>
  <c r="W267" i="1"/>
  <c r="X267" i="1"/>
  <c r="Y267" i="1"/>
  <c r="Z267" i="1"/>
  <c r="AA267" i="1"/>
  <c r="AB267" i="1"/>
  <c r="A268" i="1"/>
  <c r="B268" i="1"/>
  <c r="C268" i="1"/>
  <c r="D268" i="1"/>
  <c r="E268" i="1"/>
  <c r="F268" i="1"/>
  <c r="G268" i="1"/>
  <c r="H268" i="1"/>
  <c r="I268" i="1"/>
  <c r="J268" i="1"/>
  <c r="K268" i="1"/>
  <c r="L268" i="1"/>
  <c r="M268" i="1"/>
  <c r="N268" i="1"/>
  <c r="O268" i="1"/>
  <c r="P268" i="1"/>
  <c r="Q268" i="1"/>
  <c r="R268" i="1"/>
  <c r="S268" i="1"/>
  <c r="T268" i="1"/>
  <c r="U268" i="1"/>
  <c r="V268" i="1"/>
  <c r="W268" i="1"/>
  <c r="X268" i="1"/>
  <c r="Y268" i="1"/>
  <c r="Z268" i="1"/>
  <c r="AA268" i="1"/>
  <c r="AB268" i="1"/>
  <c r="A269" i="1"/>
  <c r="B269" i="1"/>
  <c r="C269" i="1"/>
  <c r="D269" i="1"/>
  <c r="E269" i="1"/>
  <c r="F269" i="1"/>
  <c r="G269" i="1"/>
  <c r="H269" i="1"/>
  <c r="I269" i="1"/>
  <c r="J269" i="1"/>
  <c r="K269" i="1"/>
  <c r="L269" i="1"/>
  <c r="M269" i="1"/>
  <c r="N269" i="1"/>
  <c r="O269" i="1"/>
  <c r="P269" i="1"/>
  <c r="Q269" i="1"/>
  <c r="R269" i="1"/>
  <c r="S269" i="1"/>
  <c r="T269" i="1"/>
  <c r="U269" i="1"/>
  <c r="V269" i="1"/>
  <c r="W269" i="1"/>
  <c r="X269" i="1"/>
  <c r="Y269" i="1"/>
  <c r="Z269" i="1"/>
  <c r="AA269" i="1"/>
  <c r="AB269" i="1"/>
  <c r="A270" i="1"/>
  <c r="B270" i="1"/>
  <c r="C270" i="1"/>
  <c r="D270" i="1"/>
  <c r="E270" i="1"/>
  <c r="F270" i="1"/>
  <c r="G270" i="1"/>
  <c r="H270" i="1"/>
  <c r="I270" i="1"/>
  <c r="J270" i="1"/>
  <c r="K270" i="1"/>
  <c r="L270" i="1"/>
  <c r="M270" i="1"/>
  <c r="N270" i="1"/>
  <c r="O270" i="1"/>
  <c r="P270" i="1"/>
  <c r="Q270" i="1"/>
  <c r="R270" i="1"/>
  <c r="S270" i="1"/>
  <c r="T270" i="1"/>
  <c r="U270" i="1"/>
  <c r="V270" i="1"/>
  <c r="W270" i="1"/>
  <c r="X270" i="1"/>
  <c r="Y270" i="1"/>
  <c r="Z270" i="1"/>
  <c r="AA270" i="1"/>
  <c r="AB270" i="1"/>
  <c r="A271" i="1"/>
  <c r="B271" i="1"/>
  <c r="C271" i="1"/>
  <c r="D271" i="1"/>
  <c r="E271" i="1"/>
  <c r="F271" i="1"/>
  <c r="G271" i="1"/>
  <c r="H271" i="1"/>
  <c r="I271" i="1"/>
  <c r="J271" i="1"/>
  <c r="K271" i="1"/>
  <c r="L271" i="1"/>
  <c r="M271" i="1"/>
  <c r="N271" i="1"/>
  <c r="O271" i="1"/>
  <c r="P271" i="1"/>
  <c r="Q271" i="1"/>
  <c r="R271" i="1"/>
  <c r="S271" i="1"/>
  <c r="T271" i="1"/>
  <c r="U271" i="1"/>
  <c r="V271" i="1"/>
  <c r="W271" i="1"/>
  <c r="X271" i="1"/>
  <c r="Y271" i="1"/>
  <c r="Z271" i="1"/>
  <c r="AA271" i="1"/>
  <c r="AB271" i="1"/>
  <c r="A272" i="1"/>
  <c r="B272" i="1"/>
  <c r="C272" i="1"/>
  <c r="D272" i="1"/>
  <c r="E272" i="1"/>
  <c r="F272" i="1"/>
  <c r="G272" i="1"/>
  <c r="H272" i="1"/>
  <c r="I272" i="1"/>
  <c r="J272" i="1"/>
  <c r="K272" i="1"/>
  <c r="L272" i="1"/>
  <c r="M272" i="1"/>
  <c r="N272" i="1"/>
  <c r="O272" i="1"/>
  <c r="P272" i="1"/>
  <c r="Q272" i="1"/>
  <c r="R272" i="1"/>
  <c r="S272" i="1"/>
  <c r="T272" i="1"/>
  <c r="U272" i="1"/>
  <c r="V272" i="1"/>
  <c r="W272" i="1"/>
  <c r="X272" i="1"/>
  <c r="Y272" i="1"/>
  <c r="Z272" i="1"/>
  <c r="AA272" i="1"/>
  <c r="AB272" i="1"/>
  <c r="A273" i="1"/>
  <c r="B273" i="1"/>
  <c r="C273" i="1"/>
  <c r="D273" i="1"/>
  <c r="E273" i="1"/>
  <c r="F273" i="1"/>
  <c r="G273" i="1"/>
  <c r="H273" i="1"/>
  <c r="I273" i="1"/>
  <c r="J273" i="1"/>
  <c r="K273" i="1"/>
  <c r="L273" i="1"/>
  <c r="M273" i="1"/>
  <c r="N273" i="1"/>
  <c r="O273" i="1"/>
  <c r="P273" i="1"/>
  <c r="Q273" i="1"/>
  <c r="R273" i="1"/>
  <c r="S273" i="1"/>
  <c r="T273" i="1"/>
  <c r="U273" i="1"/>
  <c r="V273" i="1"/>
  <c r="W273" i="1"/>
  <c r="X273" i="1"/>
  <c r="Y273" i="1"/>
  <c r="Z273" i="1"/>
  <c r="AA273" i="1"/>
  <c r="AB273" i="1"/>
  <c r="A274" i="1"/>
  <c r="B274" i="1"/>
  <c r="C274" i="1"/>
  <c r="D274" i="1"/>
  <c r="E274" i="1"/>
  <c r="F274" i="1"/>
  <c r="G274" i="1"/>
  <c r="H274" i="1"/>
  <c r="I274" i="1"/>
  <c r="J274" i="1"/>
  <c r="K274" i="1"/>
  <c r="L274" i="1"/>
  <c r="M274" i="1"/>
  <c r="N274" i="1"/>
  <c r="O274" i="1"/>
  <c r="P274" i="1"/>
  <c r="Q274" i="1"/>
  <c r="R274" i="1"/>
  <c r="S274" i="1"/>
  <c r="T274" i="1"/>
  <c r="U274" i="1"/>
  <c r="V274" i="1"/>
  <c r="W274" i="1"/>
  <c r="X274" i="1"/>
  <c r="Y274" i="1"/>
  <c r="Z274" i="1"/>
  <c r="AA274" i="1"/>
  <c r="AB274" i="1"/>
  <c r="A275" i="1"/>
  <c r="B275" i="1"/>
  <c r="C275" i="1"/>
  <c r="D275" i="1"/>
  <c r="E275" i="1"/>
  <c r="F275" i="1"/>
  <c r="G275" i="1"/>
  <c r="H275" i="1"/>
  <c r="I275" i="1"/>
  <c r="J275" i="1"/>
  <c r="K275" i="1"/>
  <c r="L275" i="1"/>
  <c r="M275" i="1"/>
  <c r="N275" i="1"/>
  <c r="O275" i="1"/>
  <c r="P275" i="1"/>
  <c r="Q275" i="1"/>
  <c r="R275" i="1"/>
  <c r="S275" i="1"/>
  <c r="T275" i="1"/>
  <c r="U275" i="1"/>
  <c r="V275" i="1"/>
  <c r="W275" i="1"/>
  <c r="X275" i="1"/>
  <c r="Y275" i="1"/>
  <c r="Z275" i="1"/>
  <c r="AA275" i="1"/>
  <c r="AB275" i="1"/>
  <c r="A276" i="1"/>
  <c r="B276" i="1"/>
  <c r="C276" i="1"/>
  <c r="D276" i="1"/>
  <c r="E276" i="1"/>
  <c r="F276" i="1"/>
  <c r="G276" i="1"/>
  <c r="H276" i="1"/>
  <c r="I276" i="1"/>
  <c r="J276" i="1"/>
  <c r="K276" i="1"/>
  <c r="L276" i="1"/>
  <c r="M276" i="1"/>
  <c r="N276" i="1"/>
  <c r="O276" i="1"/>
  <c r="P276" i="1"/>
  <c r="Q276" i="1"/>
  <c r="R276" i="1"/>
  <c r="S276" i="1"/>
  <c r="T276" i="1"/>
  <c r="U276" i="1"/>
  <c r="V276" i="1"/>
  <c r="W276" i="1"/>
  <c r="X276" i="1"/>
  <c r="Y276" i="1"/>
  <c r="Z276" i="1"/>
  <c r="AA276" i="1"/>
  <c r="AB276" i="1"/>
  <c r="A277" i="1"/>
  <c r="B277" i="1"/>
  <c r="C277" i="1"/>
  <c r="D277" i="1"/>
  <c r="E277" i="1"/>
  <c r="F277" i="1"/>
  <c r="G277" i="1"/>
  <c r="H277" i="1"/>
  <c r="I277" i="1"/>
  <c r="J277" i="1"/>
  <c r="K277" i="1"/>
  <c r="L277" i="1"/>
  <c r="M277" i="1"/>
  <c r="N277" i="1"/>
  <c r="O277" i="1"/>
  <c r="P277" i="1"/>
  <c r="Q277" i="1"/>
  <c r="R277" i="1"/>
  <c r="S277" i="1"/>
  <c r="T277" i="1"/>
  <c r="U277" i="1"/>
  <c r="V277" i="1"/>
  <c r="W277" i="1"/>
  <c r="X277" i="1"/>
  <c r="Y277" i="1"/>
  <c r="Z277" i="1"/>
  <c r="AA277" i="1"/>
  <c r="AB277" i="1"/>
  <c r="A278" i="1"/>
  <c r="B278" i="1"/>
  <c r="C278" i="1"/>
  <c r="D278" i="1"/>
  <c r="E278" i="1"/>
  <c r="F278" i="1"/>
  <c r="G278" i="1"/>
  <c r="H278" i="1"/>
  <c r="I278" i="1"/>
  <c r="J278" i="1"/>
  <c r="K278" i="1"/>
  <c r="L278" i="1"/>
  <c r="M278" i="1"/>
  <c r="N278" i="1"/>
  <c r="O278" i="1"/>
  <c r="P278" i="1"/>
  <c r="Q278" i="1"/>
  <c r="R278" i="1"/>
  <c r="S278" i="1"/>
  <c r="T278" i="1"/>
  <c r="U278" i="1"/>
  <c r="V278" i="1"/>
  <c r="W278" i="1"/>
  <c r="X278" i="1"/>
  <c r="Y278" i="1"/>
  <c r="Z278" i="1"/>
  <c r="AA278" i="1"/>
  <c r="AB278" i="1"/>
  <c r="A279" i="1"/>
  <c r="B279" i="1"/>
  <c r="C279" i="1"/>
  <c r="D279" i="1"/>
  <c r="E279" i="1"/>
  <c r="F279" i="1"/>
  <c r="G279" i="1"/>
  <c r="H279" i="1"/>
  <c r="I279" i="1"/>
  <c r="J279" i="1"/>
  <c r="K279" i="1"/>
  <c r="L279" i="1"/>
  <c r="M279" i="1"/>
  <c r="N279" i="1"/>
  <c r="O279" i="1"/>
  <c r="P279" i="1"/>
  <c r="Q279" i="1"/>
  <c r="R279" i="1"/>
  <c r="S279" i="1"/>
  <c r="T279" i="1"/>
  <c r="U279" i="1"/>
  <c r="V279" i="1"/>
  <c r="W279" i="1"/>
  <c r="X279" i="1"/>
  <c r="Y279" i="1"/>
  <c r="Z279" i="1"/>
  <c r="AA279" i="1"/>
  <c r="AB279" i="1"/>
  <c r="A280" i="1"/>
  <c r="B280" i="1"/>
  <c r="C280" i="1"/>
  <c r="D280" i="1"/>
  <c r="E280" i="1"/>
  <c r="F280" i="1"/>
  <c r="G280" i="1"/>
  <c r="H280" i="1"/>
  <c r="I280" i="1"/>
  <c r="J280" i="1"/>
  <c r="K280" i="1"/>
  <c r="L280" i="1"/>
  <c r="M280" i="1"/>
  <c r="N280" i="1"/>
  <c r="O280" i="1"/>
  <c r="P280" i="1"/>
  <c r="Q280" i="1"/>
  <c r="R280" i="1"/>
  <c r="S280" i="1"/>
  <c r="T280" i="1"/>
  <c r="U280" i="1"/>
  <c r="V280" i="1"/>
  <c r="W280" i="1"/>
  <c r="X280" i="1"/>
  <c r="Y280" i="1"/>
  <c r="Z280" i="1"/>
  <c r="AA280" i="1"/>
  <c r="AB280" i="1"/>
  <c r="A281" i="1"/>
  <c r="B281" i="1"/>
  <c r="C281" i="1"/>
  <c r="D281" i="1"/>
  <c r="E281" i="1"/>
  <c r="F281" i="1"/>
  <c r="G281" i="1"/>
  <c r="H281" i="1"/>
  <c r="I281" i="1"/>
  <c r="J281" i="1"/>
  <c r="K281" i="1"/>
  <c r="L281" i="1"/>
  <c r="M281" i="1"/>
  <c r="N281" i="1"/>
  <c r="O281" i="1"/>
  <c r="P281" i="1"/>
  <c r="Q281" i="1"/>
  <c r="R281" i="1"/>
  <c r="S281" i="1"/>
  <c r="T281" i="1"/>
  <c r="U281" i="1"/>
  <c r="V281" i="1"/>
  <c r="W281" i="1"/>
  <c r="X281" i="1"/>
  <c r="Y281" i="1"/>
  <c r="Z281" i="1"/>
  <c r="AA281" i="1"/>
  <c r="AB281" i="1"/>
  <c r="A282" i="1"/>
  <c r="B282" i="1"/>
  <c r="C282" i="1"/>
  <c r="D282" i="1"/>
  <c r="E282" i="1"/>
  <c r="F282" i="1"/>
  <c r="G282" i="1"/>
  <c r="H282" i="1"/>
  <c r="I282" i="1"/>
  <c r="J282" i="1"/>
  <c r="K282" i="1"/>
  <c r="L282" i="1"/>
  <c r="M282" i="1"/>
  <c r="N282" i="1"/>
  <c r="O282" i="1"/>
  <c r="P282" i="1"/>
  <c r="Q282" i="1"/>
  <c r="R282" i="1"/>
  <c r="S282" i="1"/>
  <c r="T282" i="1"/>
  <c r="U282" i="1"/>
  <c r="V282" i="1"/>
  <c r="W282" i="1"/>
  <c r="X282" i="1"/>
  <c r="Y282" i="1"/>
  <c r="Z282" i="1"/>
  <c r="AA282" i="1"/>
  <c r="AB282" i="1"/>
  <c r="A283" i="1"/>
  <c r="B283" i="1"/>
  <c r="C283" i="1"/>
  <c r="D283" i="1"/>
  <c r="E283" i="1"/>
  <c r="F283" i="1"/>
  <c r="G283" i="1"/>
  <c r="H283" i="1"/>
  <c r="I283" i="1"/>
  <c r="J283" i="1"/>
  <c r="K283" i="1"/>
  <c r="L283" i="1"/>
  <c r="M283" i="1"/>
  <c r="N283" i="1"/>
  <c r="O283" i="1"/>
  <c r="P283" i="1"/>
  <c r="Q283" i="1"/>
  <c r="R283" i="1"/>
  <c r="S283" i="1"/>
  <c r="T283" i="1"/>
  <c r="U283" i="1"/>
  <c r="V283" i="1"/>
  <c r="W283" i="1"/>
  <c r="X283" i="1"/>
  <c r="Y283" i="1"/>
  <c r="Z283" i="1"/>
  <c r="AA283" i="1"/>
  <c r="AB283" i="1"/>
  <c r="A284" i="1"/>
  <c r="B284" i="1"/>
  <c r="C284" i="1"/>
  <c r="D284" i="1"/>
  <c r="E284" i="1"/>
  <c r="F284" i="1"/>
  <c r="G284" i="1"/>
  <c r="H284" i="1"/>
  <c r="I284" i="1"/>
  <c r="J284" i="1"/>
  <c r="K284" i="1"/>
  <c r="L284" i="1"/>
  <c r="M284" i="1"/>
  <c r="N284" i="1"/>
  <c r="O284" i="1"/>
  <c r="P284" i="1"/>
  <c r="Q284" i="1"/>
  <c r="R284" i="1"/>
  <c r="S284" i="1"/>
  <c r="T284" i="1"/>
  <c r="U284" i="1"/>
  <c r="V284" i="1"/>
  <c r="W284" i="1"/>
  <c r="X284" i="1"/>
  <c r="Y284" i="1"/>
  <c r="Z284" i="1"/>
  <c r="AA284" i="1"/>
  <c r="AB284" i="1"/>
  <c r="A285" i="1"/>
  <c r="B285" i="1"/>
  <c r="C285" i="1"/>
  <c r="D285" i="1"/>
  <c r="E285" i="1"/>
  <c r="F285" i="1"/>
  <c r="G285" i="1"/>
  <c r="H285" i="1"/>
  <c r="I285" i="1"/>
  <c r="J285" i="1"/>
  <c r="K285" i="1"/>
  <c r="L285" i="1"/>
  <c r="M285" i="1"/>
  <c r="N285" i="1"/>
  <c r="O285" i="1"/>
  <c r="P285" i="1"/>
  <c r="Q285" i="1"/>
  <c r="R285" i="1"/>
  <c r="S285" i="1"/>
  <c r="T285" i="1"/>
  <c r="U285" i="1"/>
  <c r="V285" i="1"/>
  <c r="W285" i="1"/>
  <c r="X285" i="1"/>
  <c r="Y285" i="1"/>
  <c r="Z285" i="1"/>
  <c r="AA285" i="1"/>
  <c r="AB285" i="1"/>
  <c r="A286" i="1"/>
  <c r="B286" i="1"/>
  <c r="C286" i="1"/>
  <c r="D286" i="1"/>
  <c r="E286" i="1"/>
  <c r="F286" i="1"/>
  <c r="G286" i="1"/>
  <c r="H286" i="1"/>
  <c r="I286" i="1"/>
  <c r="J286" i="1"/>
  <c r="K286" i="1"/>
  <c r="L286" i="1"/>
  <c r="M286" i="1"/>
  <c r="N286" i="1"/>
  <c r="O286" i="1"/>
  <c r="P286" i="1"/>
  <c r="Q286" i="1"/>
  <c r="R286" i="1"/>
  <c r="S286" i="1"/>
  <c r="T286" i="1"/>
  <c r="U286" i="1"/>
  <c r="V286" i="1"/>
  <c r="W286" i="1"/>
  <c r="X286" i="1"/>
  <c r="Y286" i="1"/>
  <c r="Z286" i="1"/>
  <c r="AA286" i="1"/>
  <c r="AB286" i="1"/>
  <c r="A287" i="1"/>
  <c r="B287" i="1"/>
  <c r="C287" i="1"/>
  <c r="D287" i="1"/>
  <c r="E287" i="1"/>
  <c r="F287" i="1"/>
  <c r="G287" i="1"/>
  <c r="H287" i="1"/>
  <c r="I287" i="1"/>
  <c r="J287" i="1"/>
  <c r="K287" i="1"/>
  <c r="L287" i="1"/>
  <c r="M287" i="1"/>
  <c r="N287" i="1"/>
  <c r="O287" i="1"/>
  <c r="P287" i="1"/>
  <c r="Q287" i="1"/>
  <c r="R287" i="1"/>
  <c r="S287" i="1"/>
  <c r="T287" i="1"/>
  <c r="U287" i="1"/>
  <c r="V287" i="1"/>
  <c r="W287" i="1"/>
  <c r="X287" i="1"/>
  <c r="Y287" i="1"/>
  <c r="Z287" i="1"/>
  <c r="AA287" i="1"/>
  <c r="AB287" i="1"/>
  <c r="A288" i="1"/>
  <c r="B288" i="1"/>
  <c r="C288" i="1"/>
  <c r="D288" i="1"/>
  <c r="E288" i="1"/>
  <c r="F288" i="1"/>
  <c r="G288" i="1"/>
  <c r="H288" i="1"/>
  <c r="I288" i="1"/>
  <c r="J288" i="1"/>
  <c r="K288" i="1"/>
  <c r="L288" i="1"/>
  <c r="M288" i="1"/>
  <c r="N288" i="1"/>
  <c r="O288" i="1"/>
  <c r="P288" i="1"/>
  <c r="Q288" i="1"/>
  <c r="R288" i="1"/>
  <c r="S288" i="1"/>
  <c r="T288" i="1"/>
  <c r="U288" i="1"/>
  <c r="V288" i="1"/>
  <c r="W288" i="1"/>
  <c r="X288" i="1"/>
  <c r="Y288" i="1"/>
  <c r="Z288" i="1"/>
  <c r="AA288" i="1"/>
  <c r="AB288" i="1"/>
  <c r="A289" i="1"/>
  <c r="B289" i="1"/>
  <c r="C289" i="1"/>
  <c r="D289" i="1"/>
  <c r="E289" i="1"/>
  <c r="F289" i="1"/>
  <c r="G289" i="1"/>
  <c r="H289" i="1"/>
  <c r="I289" i="1"/>
  <c r="J289" i="1"/>
  <c r="K289" i="1"/>
  <c r="L289" i="1"/>
  <c r="M289" i="1"/>
  <c r="N289" i="1"/>
  <c r="O289" i="1"/>
  <c r="P289" i="1"/>
  <c r="Q289" i="1"/>
  <c r="R289" i="1"/>
  <c r="S289" i="1"/>
  <c r="T289" i="1"/>
  <c r="U289" i="1"/>
  <c r="V289" i="1"/>
  <c r="W289" i="1"/>
  <c r="X289" i="1"/>
  <c r="Y289" i="1"/>
  <c r="Z289" i="1"/>
  <c r="AA289" i="1"/>
  <c r="AB289" i="1"/>
  <c r="A290" i="1"/>
  <c r="B290" i="1"/>
  <c r="C290" i="1"/>
  <c r="D290" i="1"/>
  <c r="E290" i="1"/>
  <c r="F290" i="1"/>
  <c r="G290" i="1"/>
  <c r="H290" i="1"/>
  <c r="I290" i="1"/>
  <c r="J290" i="1"/>
  <c r="K290" i="1"/>
  <c r="L290" i="1"/>
  <c r="M290" i="1"/>
  <c r="N290" i="1"/>
  <c r="O290" i="1"/>
  <c r="P290" i="1"/>
  <c r="Q290" i="1"/>
  <c r="R290" i="1"/>
  <c r="S290" i="1"/>
  <c r="T290" i="1"/>
  <c r="U290" i="1"/>
  <c r="V290" i="1"/>
  <c r="W290" i="1"/>
  <c r="X290" i="1"/>
  <c r="Y290" i="1"/>
  <c r="Z290" i="1"/>
  <c r="AA290" i="1"/>
  <c r="AB290" i="1"/>
  <c r="A291" i="1"/>
  <c r="B291" i="1"/>
  <c r="C291" i="1"/>
  <c r="D291" i="1"/>
  <c r="E291" i="1"/>
  <c r="F291" i="1"/>
  <c r="G291" i="1"/>
  <c r="H291" i="1"/>
  <c r="I291" i="1"/>
  <c r="J291" i="1"/>
  <c r="K291" i="1"/>
  <c r="L291" i="1"/>
  <c r="M291" i="1"/>
  <c r="N291" i="1"/>
  <c r="O291" i="1"/>
  <c r="P291" i="1"/>
  <c r="Q291" i="1"/>
  <c r="R291" i="1"/>
  <c r="S291" i="1"/>
  <c r="T291" i="1"/>
  <c r="U291" i="1"/>
  <c r="V291" i="1"/>
  <c r="W291" i="1"/>
  <c r="X291" i="1"/>
  <c r="Y291" i="1"/>
  <c r="Z291" i="1"/>
  <c r="AA291" i="1"/>
  <c r="AB291" i="1"/>
  <c r="A292" i="1"/>
  <c r="B292" i="1"/>
  <c r="C292" i="1"/>
  <c r="D292" i="1"/>
  <c r="E292" i="1"/>
  <c r="F292" i="1"/>
  <c r="G292" i="1"/>
  <c r="H292" i="1"/>
  <c r="I292" i="1"/>
  <c r="J292" i="1"/>
  <c r="K292" i="1"/>
  <c r="L292" i="1"/>
  <c r="M292" i="1"/>
  <c r="N292" i="1"/>
  <c r="O292" i="1"/>
  <c r="P292" i="1"/>
  <c r="Q292" i="1"/>
  <c r="R292" i="1"/>
  <c r="S292" i="1"/>
  <c r="T292" i="1"/>
  <c r="U292" i="1"/>
  <c r="V292" i="1"/>
  <c r="W292" i="1"/>
  <c r="X292" i="1"/>
  <c r="Y292" i="1"/>
  <c r="Z292" i="1"/>
  <c r="AA292" i="1"/>
  <c r="AB292" i="1"/>
  <c r="A293" i="1"/>
  <c r="B293" i="1"/>
  <c r="C293" i="1"/>
  <c r="D293" i="1"/>
  <c r="E293" i="1"/>
  <c r="F293" i="1"/>
  <c r="G293" i="1"/>
  <c r="H293" i="1"/>
  <c r="I293" i="1"/>
  <c r="J293" i="1"/>
  <c r="K293" i="1"/>
  <c r="L293" i="1"/>
  <c r="M293" i="1"/>
  <c r="N293" i="1"/>
  <c r="O293" i="1"/>
  <c r="P293" i="1"/>
  <c r="Q293" i="1"/>
  <c r="R293" i="1"/>
  <c r="S293" i="1"/>
  <c r="T293" i="1"/>
  <c r="U293" i="1"/>
  <c r="V293" i="1"/>
  <c r="W293" i="1"/>
  <c r="X293" i="1"/>
  <c r="Y293" i="1"/>
  <c r="Z293" i="1"/>
  <c r="AA293" i="1"/>
  <c r="AB293" i="1"/>
  <c r="A294" i="1"/>
  <c r="B294" i="1"/>
  <c r="C294" i="1"/>
  <c r="D294" i="1"/>
  <c r="E294" i="1"/>
  <c r="F294" i="1"/>
  <c r="G294" i="1"/>
  <c r="H294" i="1"/>
  <c r="I294" i="1"/>
  <c r="J294" i="1"/>
  <c r="K294" i="1"/>
  <c r="L294" i="1"/>
  <c r="M294" i="1"/>
  <c r="N294" i="1"/>
  <c r="O294" i="1"/>
  <c r="P294" i="1"/>
  <c r="Q294" i="1"/>
  <c r="R294" i="1"/>
  <c r="S294" i="1"/>
  <c r="T294" i="1"/>
  <c r="U294" i="1"/>
  <c r="V294" i="1"/>
  <c r="W294" i="1"/>
  <c r="X294" i="1"/>
  <c r="Y294" i="1"/>
  <c r="Z294" i="1"/>
  <c r="AA294" i="1"/>
  <c r="AB294" i="1"/>
  <c r="A295" i="1"/>
  <c r="B295" i="1"/>
  <c r="C295" i="1"/>
  <c r="D295" i="1"/>
  <c r="E295" i="1"/>
  <c r="F295" i="1"/>
  <c r="G295" i="1"/>
  <c r="H295" i="1"/>
  <c r="I295" i="1"/>
  <c r="J295" i="1"/>
  <c r="K295" i="1"/>
  <c r="L295" i="1"/>
  <c r="M295" i="1"/>
  <c r="N295" i="1"/>
  <c r="O295" i="1"/>
  <c r="P295" i="1"/>
  <c r="Q295" i="1"/>
  <c r="R295" i="1"/>
  <c r="S295" i="1"/>
  <c r="T295" i="1"/>
  <c r="U295" i="1"/>
  <c r="V295" i="1"/>
  <c r="W295" i="1"/>
  <c r="X295" i="1"/>
  <c r="Y295" i="1"/>
  <c r="Z295" i="1"/>
  <c r="AA295" i="1"/>
  <c r="AB295" i="1"/>
  <c r="A296" i="1"/>
  <c r="B296" i="1"/>
  <c r="C296" i="1"/>
  <c r="D296" i="1"/>
  <c r="E296" i="1"/>
  <c r="F296" i="1"/>
  <c r="G296" i="1"/>
  <c r="H296" i="1"/>
  <c r="I296" i="1"/>
  <c r="J296" i="1"/>
  <c r="K296" i="1"/>
  <c r="L296" i="1"/>
  <c r="M296" i="1"/>
  <c r="N296" i="1"/>
  <c r="O296" i="1"/>
  <c r="P296" i="1"/>
  <c r="Q296" i="1"/>
  <c r="R296" i="1"/>
  <c r="S296" i="1"/>
  <c r="T296" i="1"/>
  <c r="U296" i="1"/>
  <c r="V296" i="1"/>
  <c r="W296" i="1"/>
  <c r="X296" i="1"/>
  <c r="Y296" i="1"/>
  <c r="Z296" i="1"/>
  <c r="AA296" i="1"/>
  <c r="AB296" i="1"/>
  <c r="A297" i="1"/>
  <c r="B297" i="1"/>
  <c r="C297" i="1"/>
  <c r="D297" i="1"/>
  <c r="E297" i="1"/>
  <c r="F297" i="1"/>
  <c r="G297" i="1"/>
  <c r="H297" i="1"/>
  <c r="I297" i="1"/>
  <c r="J297" i="1"/>
  <c r="K297" i="1"/>
  <c r="L297" i="1"/>
  <c r="M297" i="1"/>
  <c r="N297" i="1"/>
  <c r="O297" i="1"/>
  <c r="P297" i="1"/>
  <c r="Q297" i="1"/>
  <c r="R297" i="1"/>
  <c r="S297" i="1"/>
  <c r="T297" i="1"/>
  <c r="U297" i="1"/>
  <c r="V297" i="1"/>
  <c r="W297" i="1"/>
  <c r="X297" i="1"/>
  <c r="Y297" i="1"/>
  <c r="Z297" i="1"/>
  <c r="AA297" i="1"/>
  <c r="AB297" i="1"/>
  <c r="A298" i="1"/>
  <c r="B298" i="1"/>
  <c r="C298" i="1"/>
  <c r="D298" i="1"/>
  <c r="E298" i="1"/>
  <c r="F298" i="1"/>
  <c r="G298" i="1"/>
  <c r="H298" i="1"/>
  <c r="I298" i="1"/>
  <c r="J298" i="1"/>
  <c r="K298" i="1"/>
  <c r="L298" i="1"/>
  <c r="M298" i="1"/>
  <c r="N298" i="1"/>
  <c r="O298" i="1"/>
  <c r="P298" i="1"/>
  <c r="Q298" i="1"/>
  <c r="R298" i="1"/>
  <c r="S298" i="1"/>
  <c r="T298" i="1"/>
  <c r="U298" i="1"/>
  <c r="V298" i="1"/>
  <c r="W298" i="1"/>
  <c r="X298" i="1"/>
  <c r="Y298" i="1"/>
  <c r="Z298" i="1"/>
  <c r="AA298" i="1"/>
  <c r="AB298" i="1"/>
  <c r="A299" i="1"/>
  <c r="B299" i="1"/>
  <c r="C299" i="1"/>
  <c r="D299" i="1"/>
  <c r="E299" i="1"/>
  <c r="F299" i="1"/>
  <c r="G299" i="1"/>
  <c r="H299" i="1"/>
  <c r="I299" i="1"/>
  <c r="J299" i="1"/>
  <c r="K299" i="1"/>
  <c r="L299" i="1"/>
  <c r="M299" i="1"/>
  <c r="N299" i="1"/>
  <c r="O299" i="1"/>
  <c r="P299" i="1"/>
  <c r="Q299" i="1"/>
  <c r="R299" i="1"/>
  <c r="S299" i="1"/>
  <c r="T299" i="1"/>
  <c r="U299" i="1"/>
  <c r="V299" i="1"/>
  <c r="W299" i="1"/>
  <c r="X299" i="1"/>
  <c r="Y299" i="1"/>
  <c r="Z299" i="1"/>
  <c r="AA299" i="1"/>
  <c r="AB299" i="1"/>
  <c r="A300" i="1"/>
  <c r="B300" i="1"/>
  <c r="C300" i="1"/>
  <c r="D300" i="1"/>
  <c r="E300" i="1"/>
  <c r="F300" i="1"/>
  <c r="G300" i="1"/>
  <c r="H300" i="1"/>
  <c r="I300" i="1"/>
  <c r="J300" i="1"/>
  <c r="K300" i="1"/>
  <c r="L300" i="1"/>
  <c r="M300" i="1"/>
  <c r="N300" i="1"/>
  <c r="O300" i="1"/>
  <c r="P300" i="1"/>
  <c r="Q300" i="1"/>
  <c r="R300" i="1"/>
  <c r="S300" i="1"/>
  <c r="T300" i="1"/>
  <c r="U300" i="1"/>
  <c r="V300" i="1"/>
  <c r="W300" i="1"/>
  <c r="X300" i="1"/>
  <c r="Y300" i="1"/>
  <c r="Z300" i="1"/>
  <c r="AA300" i="1"/>
  <c r="AB300" i="1"/>
  <c r="A301" i="1"/>
  <c r="B301" i="1"/>
  <c r="C301" i="1"/>
  <c r="D301" i="1"/>
  <c r="E301" i="1"/>
  <c r="F301" i="1"/>
  <c r="G301" i="1"/>
  <c r="H301" i="1"/>
  <c r="I301" i="1"/>
  <c r="J301" i="1"/>
  <c r="K301" i="1"/>
  <c r="L301" i="1"/>
  <c r="M301" i="1"/>
  <c r="N301" i="1"/>
  <c r="O301" i="1"/>
  <c r="P301" i="1"/>
  <c r="Q301" i="1"/>
  <c r="R301" i="1"/>
  <c r="S301" i="1"/>
  <c r="T301" i="1"/>
  <c r="U301" i="1"/>
  <c r="V301" i="1"/>
  <c r="W301" i="1"/>
  <c r="X301" i="1"/>
  <c r="Y301" i="1"/>
  <c r="Z301" i="1"/>
  <c r="AA301" i="1"/>
  <c r="AB301" i="1"/>
  <c r="A302" i="1"/>
  <c r="B302" i="1"/>
  <c r="C302" i="1"/>
  <c r="D302" i="1"/>
  <c r="E302" i="1"/>
  <c r="F302" i="1"/>
  <c r="G302" i="1"/>
  <c r="H302" i="1"/>
  <c r="I302" i="1"/>
  <c r="J302" i="1"/>
  <c r="K302" i="1"/>
  <c r="L302" i="1"/>
  <c r="M302" i="1"/>
  <c r="N302" i="1"/>
  <c r="O302" i="1"/>
  <c r="P302" i="1"/>
  <c r="Q302" i="1"/>
  <c r="R302" i="1"/>
  <c r="S302" i="1"/>
  <c r="T302" i="1"/>
  <c r="U302" i="1"/>
  <c r="V302" i="1"/>
  <c r="W302" i="1"/>
  <c r="X302" i="1"/>
  <c r="Y302" i="1"/>
  <c r="Z302" i="1"/>
  <c r="AA302" i="1"/>
  <c r="AB302" i="1"/>
  <c r="A303" i="1"/>
  <c r="B303" i="1"/>
  <c r="C303" i="1"/>
  <c r="D303" i="1"/>
  <c r="E303" i="1"/>
  <c r="F303" i="1"/>
  <c r="G303" i="1"/>
  <c r="H303" i="1"/>
  <c r="I303" i="1"/>
  <c r="J303" i="1"/>
  <c r="K303" i="1"/>
  <c r="L303" i="1"/>
  <c r="M303" i="1"/>
  <c r="N303" i="1"/>
  <c r="O303" i="1"/>
  <c r="P303" i="1"/>
  <c r="Q303" i="1"/>
  <c r="R303" i="1"/>
  <c r="S303" i="1"/>
  <c r="T303" i="1"/>
  <c r="U303" i="1"/>
  <c r="V303" i="1"/>
  <c r="W303" i="1"/>
  <c r="X303" i="1"/>
  <c r="Y303" i="1"/>
  <c r="Z303" i="1"/>
  <c r="AA303" i="1"/>
  <c r="AB303" i="1"/>
  <c r="A304" i="1"/>
  <c r="B304" i="1"/>
  <c r="C304" i="1"/>
  <c r="D304" i="1"/>
  <c r="E304" i="1"/>
  <c r="F304" i="1"/>
  <c r="G304" i="1"/>
  <c r="H304" i="1"/>
  <c r="I304" i="1"/>
  <c r="J304" i="1"/>
  <c r="K304" i="1"/>
  <c r="L304" i="1"/>
  <c r="M304" i="1"/>
  <c r="N304" i="1"/>
  <c r="O304" i="1"/>
  <c r="P304" i="1"/>
  <c r="Q304" i="1"/>
  <c r="R304" i="1"/>
  <c r="S304" i="1"/>
  <c r="T304" i="1"/>
  <c r="U304" i="1"/>
  <c r="V304" i="1"/>
  <c r="W304" i="1"/>
  <c r="X304" i="1"/>
  <c r="Y304" i="1"/>
  <c r="Z304" i="1"/>
  <c r="AA304" i="1"/>
  <c r="AB304" i="1"/>
  <c r="A305" i="1"/>
  <c r="B305" i="1"/>
  <c r="C305" i="1"/>
  <c r="D305" i="1"/>
  <c r="E305" i="1"/>
  <c r="F305" i="1"/>
  <c r="G305" i="1"/>
  <c r="H305" i="1"/>
  <c r="I305" i="1"/>
  <c r="J305" i="1"/>
  <c r="K305" i="1"/>
  <c r="L305" i="1"/>
  <c r="M305" i="1"/>
  <c r="N305" i="1"/>
  <c r="O305" i="1"/>
  <c r="P305" i="1"/>
  <c r="Q305" i="1"/>
  <c r="R305" i="1"/>
  <c r="S305" i="1"/>
  <c r="T305" i="1"/>
  <c r="U305" i="1"/>
  <c r="V305" i="1"/>
  <c r="W305" i="1"/>
  <c r="X305" i="1"/>
  <c r="Y305" i="1"/>
  <c r="Z305" i="1"/>
  <c r="AA305" i="1"/>
  <c r="AB305" i="1"/>
  <c r="A306" i="1"/>
  <c r="B306" i="1"/>
  <c r="C306" i="1"/>
  <c r="D306" i="1"/>
  <c r="E306" i="1"/>
  <c r="F306" i="1"/>
  <c r="G306" i="1"/>
  <c r="H306" i="1"/>
  <c r="I306" i="1"/>
  <c r="J306" i="1"/>
  <c r="K306" i="1"/>
  <c r="L306" i="1"/>
  <c r="M306" i="1"/>
  <c r="N306" i="1"/>
  <c r="O306" i="1"/>
  <c r="P306" i="1"/>
  <c r="Q306" i="1"/>
  <c r="R306" i="1"/>
  <c r="S306" i="1"/>
  <c r="T306" i="1"/>
  <c r="U306" i="1"/>
  <c r="V306" i="1"/>
  <c r="W306" i="1"/>
  <c r="X306" i="1"/>
  <c r="Y306" i="1"/>
  <c r="Z306" i="1"/>
  <c r="AA306" i="1"/>
  <c r="AB306" i="1"/>
  <c r="A307" i="1"/>
  <c r="B307" i="1"/>
  <c r="C307" i="1"/>
  <c r="D307" i="1"/>
  <c r="E307" i="1"/>
  <c r="F307" i="1"/>
  <c r="G307" i="1"/>
  <c r="H307" i="1"/>
  <c r="I307" i="1"/>
  <c r="J307" i="1"/>
  <c r="K307" i="1"/>
  <c r="L307" i="1"/>
  <c r="M307" i="1"/>
  <c r="N307" i="1"/>
  <c r="O307" i="1"/>
  <c r="P307" i="1"/>
  <c r="Q307" i="1"/>
  <c r="R307" i="1"/>
  <c r="S307" i="1"/>
  <c r="T307" i="1"/>
  <c r="U307" i="1"/>
  <c r="V307" i="1"/>
  <c r="W307" i="1"/>
  <c r="X307" i="1"/>
  <c r="Y307" i="1"/>
  <c r="Z307" i="1"/>
  <c r="AA307" i="1"/>
  <c r="AB307" i="1"/>
  <c r="A308" i="1"/>
  <c r="B308" i="1"/>
  <c r="C308" i="1"/>
  <c r="D308" i="1"/>
  <c r="E308" i="1"/>
  <c r="F308" i="1"/>
  <c r="G308" i="1"/>
  <c r="H308" i="1"/>
  <c r="I308" i="1"/>
  <c r="J308" i="1"/>
  <c r="K308" i="1"/>
  <c r="L308" i="1"/>
  <c r="M308" i="1"/>
  <c r="N308" i="1"/>
  <c r="O308" i="1"/>
  <c r="P308" i="1"/>
  <c r="Q308" i="1"/>
  <c r="R308" i="1"/>
  <c r="S308" i="1"/>
  <c r="T308" i="1"/>
  <c r="U308" i="1"/>
  <c r="V308" i="1"/>
  <c r="W308" i="1"/>
  <c r="X308" i="1"/>
  <c r="Y308" i="1"/>
  <c r="Z308" i="1"/>
  <c r="AA308" i="1"/>
  <c r="AB308" i="1"/>
  <c r="A309" i="1"/>
  <c r="B309" i="1"/>
  <c r="C309" i="1"/>
  <c r="D309" i="1"/>
  <c r="E309" i="1"/>
  <c r="F309" i="1"/>
  <c r="G309" i="1"/>
  <c r="H309" i="1"/>
  <c r="I309" i="1"/>
  <c r="J309" i="1"/>
  <c r="K309" i="1"/>
  <c r="L309" i="1"/>
  <c r="M309" i="1"/>
  <c r="N309" i="1"/>
  <c r="O309" i="1"/>
  <c r="P309" i="1"/>
  <c r="Q309" i="1"/>
  <c r="R309" i="1"/>
  <c r="S309" i="1"/>
  <c r="T309" i="1"/>
  <c r="U309" i="1"/>
  <c r="V309" i="1"/>
  <c r="W309" i="1"/>
  <c r="X309" i="1"/>
  <c r="Y309" i="1"/>
  <c r="Z309" i="1"/>
  <c r="AA309" i="1"/>
  <c r="AB309" i="1"/>
  <c r="A310" i="1"/>
  <c r="B310" i="1"/>
  <c r="C310" i="1"/>
  <c r="D310" i="1"/>
  <c r="E310" i="1"/>
  <c r="F310" i="1"/>
  <c r="G310" i="1"/>
  <c r="H310" i="1"/>
  <c r="I310" i="1"/>
  <c r="J310" i="1"/>
  <c r="K310" i="1"/>
  <c r="L310" i="1"/>
  <c r="M310" i="1"/>
  <c r="N310" i="1"/>
  <c r="O310" i="1"/>
  <c r="P310" i="1"/>
  <c r="Q310" i="1"/>
  <c r="R310" i="1"/>
  <c r="S310" i="1"/>
  <c r="T310" i="1"/>
  <c r="U310" i="1"/>
  <c r="V310" i="1"/>
  <c r="W310" i="1"/>
  <c r="X310" i="1"/>
  <c r="Y310" i="1"/>
  <c r="Z310" i="1"/>
  <c r="AA310" i="1"/>
  <c r="AB310" i="1"/>
  <c r="A311" i="1"/>
  <c r="B311" i="1"/>
  <c r="C311" i="1"/>
  <c r="D311" i="1"/>
  <c r="E311" i="1"/>
  <c r="F311" i="1"/>
  <c r="G311" i="1"/>
  <c r="H311" i="1"/>
  <c r="I311" i="1"/>
  <c r="J311" i="1"/>
  <c r="K311" i="1"/>
  <c r="L311" i="1"/>
  <c r="M311" i="1"/>
  <c r="N311" i="1"/>
  <c r="O311" i="1"/>
  <c r="P311" i="1"/>
  <c r="Q311" i="1"/>
  <c r="R311" i="1"/>
  <c r="S311" i="1"/>
  <c r="T311" i="1"/>
  <c r="U311" i="1"/>
  <c r="V311" i="1"/>
  <c r="W311" i="1"/>
  <c r="X311" i="1"/>
  <c r="Y311" i="1"/>
  <c r="Z311" i="1"/>
  <c r="AA311" i="1"/>
  <c r="AB311" i="1"/>
  <c r="A312" i="1"/>
  <c r="B312" i="1"/>
  <c r="C312" i="1"/>
  <c r="D312" i="1"/>
  <c r="E312" i="1"/>
  <c r="F312" i="1"/>
  <c r="G312" i="1"/>
  <c r="H312" i="1"/>
  <c r="I312" i="1"/>
  <c r="J312" i="1"/>
  <c r="K312" i="1"/>
  <c r="L312" i="1"/>
  <c r="M312" i="1"/>
  <c r="N312" i="1"/>
  <c r="O312" i="1"/>
  <c r="P312" i="1"/>
  <c r="Q312" i="1"/>
  <c r="R312" i="1"/>
  <c r="S312" i="1"/>
  <c r="T312" i="1"/>
  <c r="U312" i="1"/>
  <c r="V312" i="1"/>
  <c r="W312" i="1"/>
  <c r="X312" i="1"/>
  <c r="Y312" i="1"/>
  <c r="Z312" i="1"/>
  <c r="AA312" i="1"/>
  <c r="AB312" i="1"/>
  <c r="A313" i="1"/>
  <c r="B313" i="1"/>
  <c r="C313" i="1"/>
  <c r="D313" i="1"/>
  <c r="E313" i="1"/>
  <c r="F313" i="1"/>
  <c r="G313" i="1"/>
  <c r="H313" i="1"/>
  <c r="I313" i="1"/>
  <c r="J313" i="1"/>
  <c r="K313" i="1"/>
  <c r="L313" i="1"/>
  <c r="M313" i="1"/>
  <c r="N313" i="1"/>
  <c r="O313" i="1"/>
  <c r="P313" i="1"/>
  <c r="Q313" i="1"/>
  <c r="R313" i="1"/>
  <c r="S313" i="1"/>
  <c r="T313" i="1"/>
  <c r="U313" i="1"/>
  <c r="V313" i="1"/>
  <c r="W313" i="1"/>
  <c r="X313" i="1"/>
  <c r="Y313" i="1"/>
  <c r="Z313" i="1"/>
  <c r="AA313" i="1"/>
  <c r="AB313" i="1"/>
  <c r="A314" i="1"/>
  <c r="B314" i="1"/>
  <c r="C314" i="1"/>
  <c r="D314" i="1"/>
  <c r="E314" i="1"/>
  <c r="F314" i="1"/>
  <c r="G314" i="1"/>
  <c r="H314" i="1"/>
  <c r="I314" i="1"/>
  <c r="J314" i="1"/>
  <c r="K314" i="1"/>
  <c r="L314" i="1"/>
  <c r="M314" i="1"/>
  <c r="N314" i="1"/>
  <c r="O314" i="1"/>
  <c r="P314" i="1"/>
  <c r="Q314" i="1"/>
  <c r="R314" i="1"/>
  <c r="S314" i="1"/>
  <c r="T314" i="1"/>
  <c r="U314" i="1"/>
  <c r="V314" i="1"/>
  <c r="W314" i="1"/>
  <c r="X314" i="1"/>
  <c r="Y314" i="1"/>
  <c r="Z314" i="1"/>
  <c r="AA314" i="1"/>
  <c r="AB314" i="1"/>
  <c r="A315" i="1"/>
  <c r="B315" i="1"/>
  <c r="C315" i="1"/>
  <c r="D315" i="1"/>
  <c r="E315" i="1"/>
  <c r="F315" i="1"/>
  <c r="G315" i="1"/>
  <c r="H315" i="1"/>
  <c r="I315" i="1"/>
  <c r="J315" i="1"/>
  <c r="K315" i="1"/>
  <c r="L315" i="1"/>
  <c r="M315" i="1"/>
  <c r="N315" i="1"/>
  <c r="O315" i="1"/>
  <c r="P315" i="1"/>
  <c r="Q315" i="1"/>
  <c r="R315" i="1"/>
  <c r="S315" i="1"/>
  <c r="T315" i="1"/>
  <c r="U315" i="1"/>
  <c r="V315" i="1"/>
  <c r="W315" i="1"/>
  <c r="X315" i="1"/>
  <c r="Y315" i="1"/>
  <c r="Z315" i="1"/>
  <c r="AA315" i="1"/>
  <c r="AB315" i="1"/>
  <c r="A316" i="1"/>
  <c r="B316" i="1"/>
  <c r="C316" i="1"/>
  <c r="D316" i="1"/>
  <c r="E316" i="1"/>
  <c r="F316" i="1"/>
  <c r="G316" i="1"/>
  <c r="H316" i="1"/>
  <c r="I316" i="1"/>
  <c r="J316" i="1"/>
  <c r="K316" i="1"/>
  <c r="L316" i="1"/>
  <c r="M316" i="1"/>
  <c r="N316" i="1"/>
  <c r="O316" i="1"/>
  <c r="P316" i="1"/>
  <c r="Q316" i="1"/>
  <c r="R316" i="1"/>
  <c r="S316" i="1"/>
  <c r="T316" i="1"/>
  <c r="U316" i="1"/>
  <c r="V316" i="1"/>
  <c r="W316" i="1"/>
  <c r="X316" i="1"/>
  <c r="Y316" i="1"/>
  <c r="Z316" i="1"/>
  <c r="AA316" i="1"/>
  <c r="AB316" i="1"/>
  <c r="A317" i="1"/>
  <c r="B317" i="1"/>
  <c r="C317" i="1"/>
  <c r="D317" i="1"/>
  <c r="E317" i="1"/>
  <c r="F317" i="1"/>
  <c r="G317" i="1"/>
  <c r="H317" i="1"/>
  <c r="I317" i="1"/>
  <c r="J317" i="1"/>
  <c r="K317" i="1"/>
  <c r="L317" i="1"/>
  <c r="M317" i="1"/>
  <c r="N317" i="1"/>
  <c r="O317" i="1"/>
  <c r="P317" i="1"/>
  <c r="Q317" i="1"/>
  <c r="R317" i="1"/>
  <c r="S317" i="1"/>
  <c r="T317" i="1"/>
  <c r="U317" i="1"/>
  <c r="V317" i="1"/>
  <c r="W317" i="1"/>
  <c r="X317" i="1"/>
  <c r="Y317" i="1"/>
  <c r="Z317" i="1"/>
  <c r="AA317" i="1"/>
  <c r="AB317" i="1"/>
  <c r="A318" i="1"/>
  <c r="B318" i="1"/>
  <c r="C318" i="1"/>
  <c r="D318" i="1"/>
  <c r="E318" i="1"/>
  <c r="F318" i="1"/>
  <c r="G318" i="1"/>
  <c r="H318" i="1"/>
  <c r="I318" i="1"/>
  <c r="J318" i="1"/>
  <c r="K318" i="1"/>
  <c r="L318" i="1"/>
  <c r="M318" i="1"/>
  <c r="N318" i="1"/>
  <c r="O318" i="1"/>
  <c r="P318" i="1"/>
  <c r="Q318" i="1"/>
  <c r="R318" i="1"/>
  <c r="S318" i="1"/>
  <c r="T318" i="1"/>
  <c r="U318" i="1"/>
  <c r="V318" i="1"/>
  <c r="W318" i="1"/>
  <c r="X318" i="1"/>
  <c r="Y318" i="1"/>
  <c r="Z318" i="1"/>
  <c r="AA318" i="1"/>
  <c r="AB318" i="1"/>
  <c r="A319" i="1"/>
  <c r="B319" i="1"/>
  <c r="C319" i="1"/>
  <c r="D319" i="1"/>
  <c r="E319" i="1"/>
  <c r="F319" i="1"/>
  <c r="G319" i="1"/>
  <c r="H319" i="1"/>
  <c r="I319" i="1"/>
  <c r="J319" i="1"/>
  <c r="K319" i="1"/>
  <c r="L319" i="1"/>
  <c r="M319" i="1"/>
  <c r="N319" i="1"/>
  <c r="O319" i="1"/>
  <c r="P319" i="1"/>
  <c r="Q319" i="1"/>
  <c r="R319" i="1"/>
  <c r="S319" i="1"/>
  <c r="T319" i="1"/>
  <c r="U319" i="1"/>
  <c r="V319" i="1"/>
  <c r="W319" i="1"/>
  <c r="X319" i="1"/>
  <c r="Y319" i="1"/>
  <c r="Z319" i="1"/>
  <c r="AA319" i="1"/>
  <c r="AB319" i="1"/>
  <c r="A320" i="1"/>
  <c r="B320" i="1"/>
  <c r="C320" i="1"/>
  <c r="D320" i="1"/>
  <c r="E320" i="1"/>
  <c r="F320" i="1"/>
  <c r="G320" i="1"/>
  <c r="H320" i="1"/>
  <c r="I320" i="1"/>
  <c r="J320" i="1"/>
  <c r="K320" i="1"/>
  <c r="L320" i="1"/>
  <c r="M320" i="1"/>
  <c r="N320" i="1"/>
  <c r="O320" i="1"/>
  <c r="P320" i="1"/>
  <c r="Q320" i="1"/>
  <c r="R320" i="1"/>
  <c r="S320" i="1"/>
  <c r="T320" i="1"/>
  <c r="U320" i="1"/>
  <c r="V320" i="1"/>
  <c r="W320" i="1"/>
  <c r="X320" i="1"/>
  <c r="Y320" i="1"/>
  <c r="Z320" i="1"/>
  <c r="AA320" i="1"/>
  <c r="AB320" i="1"/>
  <c r="A321" i="1"/>
  <c r="B321" i="1"/>
  <c r="C321" i="1"/>
  <c r="D321" i="1"/>
  <c r="E321" i="1"/>
  <c r="F321" i="1"/>
  <c r="G321" i="1"/>
  <c r="H321" i="1"/>
  <c r="I321" i="1"/>
  <c r="J321" i="1"/>
  <c r="K321" i="1"/>
  <c r="L321" i="1"/>
  <c r="M321" i="1"/>
  <c r="N321" i="1"/>
  <c r="O321" i="1"/>
  <c r="P321" i="1"/>
  <c r="Q321" i="1"/>
  <c r="R321" i="1"/>
  <c r="S321" i="1"/>
  <c r="T321" i="1"/>
  <c r="U321" i="1"/>
  <c r="V321" i="1"/>
  <c r="W321" i="1"/>
  <c r="X321" i="1"/>
  <c r="Y321" i="1"/>
  <c r="Z321" i="1"/>
  <c r="AA321" i="1"/>
  <c r="AB321" i="1"/>
  <c r="A322" i="1"/>
  <c r="B322" i="1"/>
  <c r="C322" i="1"/>
  <c r="D322" i="1"/>
  <c r="E322" i="1"/>
  <c r="F322" i="1"/>
  <c r="G322" i="1"/>
  <c r="H322" i="1"/>
  <c r="I322" i="1"/>
  <c r="J322" i="1"/>
  <c r="K322" i="1"/>
  <c r="L322" i="1"/>
  <c r="M322" i="1"/>
  <c r="N322" i="1"/>
  <c r="O322" i="1"/>
  <c r="P322" i="1"/>
  <c r="Q322" i="1"/>
  <c r="R322" i="1"/>
  <c r="S322" i="1"/>
  <c r="T322" i="1"/>
  <c r="U322" i="1"/>
  <c r="V322" i="1"/>
  <c r="W322" i="1"/>
  <c r="X322" i="1"/>
  <c r="Y322" i="1"/>
  <c r="Z322" i="1"/>
  <c r="AA322" i="1"/>
  <c r="AB322" i="1"/>
  <c r="A323" i="1"/>
  <c r="B323" i="1"/>
  <c r="C323" i="1"/>
  <c r="D323" i="1"/>
  <c r="E323" i="1"/>
  <c r="F323" i="1"/>
  <c r="G323" i="1"/>
  <c r="H323" i="1"/>
  <c r="I323" i="1"/>
  <c r="J323" i="1"/>
  <c r="K323" i="1"/>
  <c r="L323" i="1"/>
  <c r="M323" i="1"/>
  <c r="N323" i="1"/>
  <c r="O323" i="1"/>
  <c r="P323" i="1"/>
  <c r="Q323" i="1"/>
  <c r="R323" i="1"/>
  <c r="S323" i="1"/>
  <c r="T323" i="1"/>
  <c r="U323" i="1"/>
  <c r="V323" i="1"/>
  <c r="W323" i="1"/>
  <c r="X323" i="1"/>
  <c r="Y323" i="1"/>
  <c r="Z323" i="1"/>
  <c r="AA323" i="1"/>
  <c r="AB323" i="1"/>
  <c r="A324" i="1"/>
  <c r="B324" i="1"/>
  <c r="C324" i="1"/>
  <c r="D324" i="1"/>
  <c r="E324" i="1"/>
  <c r="F324" i="1"/>
  <c r="G324" i="1"/>
  <c r="H324" i="1"/>
  <c r="I324" i="1"/>
  <c r="J324" i="1"/>
  <c r="K324" i="1"/>
  <c r="L324" i="1"/>
  <c r="M324" i="1"/>
  <c r="N324" i="1"/>
  <c r="O324" i="1"/>
  <c r="P324" i="1"/>
  <c r="Q324" i="1"/>
  <c r="R324" i="1"/>
  <c r="S324" i="1"/>
  <c r="T324" i="1"/>
  <c r="U324" i="1"/>
  <c r="V324" i="1"/>
  <c r="W324" i="1"/>
  <c r="X324" i="1"/>
  <c r="Y324" i="1"/>
  <c r="Z324" i="1"/>
  <c r="AA324" i="1"/>
  <c r="AB324" i="1"/>
  <c r="A325" i="1"/>
  <c r="B325" i="1"/>
  <c r="C325" i="1"/>
  <c r="D325" i="1"/>
  <c r="E325" i="1"/>
  <c r="F325" i="1"/>
  <c r="G325" i="1"/>
  <c r="H325" i="1"/>
  <c r="I325" i="1"/>
  <c r="J325" i="1"/>
  <c r="K325" i="1"/>
  <c r="L325" i="1"/>
  <c r="M325" i="1"/>
  <c r="N325" i="1"/>
  <c r="O325" i="1"/>
  <c r="P325" i="1"/>
  <c r="Q325" i="1"/>
  <c r="R325" i="1"/>
  <c r="S325" i="1"/>
  <c r="T325" i="1"/>
  <c r="U325" i="1"/>
  <c r="V325" i="1"/>
  <c r="W325" i="1"/>
  <c r="X325" i="1"/>
  <c r="Y325" i="1"/>
  <c r="Z325" i="1"/>
  <c r="AA325" i="1"/>
  <c r="AB325" i="1"/>
  <c r="A326" i="1"/>
  <c r="B326" i="1"/>
  <c r="C326" i="1"/>
  <c r="D326" i="1"/>
  <c r="E326" i="1"/>
  <c r="F326" i="1"/>
  <c r="G326" i="1"/>
  <c r="H326" i="1"/>
  <c r="I326" i="1"/>
  <c r="J326" i="1"/>
  <c r="K326" i="1"/>
  <c r="L326" i="1"/>
  <c r="M326" i="1"/>
  <c r="N326" i="1"/>
  <c r="O326" i="1"/>
  <c r="P326" i="1"/>
  <c r="Q326" i="1"/>
  <c r="R326" i="1"/>
  <c r="S326" i="1"/>
  <c r="T326" i="1"/>
  <c r="U326" i="1"/>
  <c r="V326" i="1"/>
  <c r="W326" i="1"/>
  <c r="X326" i="1"/>
  <c r="Y326" i="1"/>
  <c r="Z326" i="1"/>
  <c r="AA326" i="1"/>
  <c r="AB326" i="1"/>
  <c r="A327" i="1"/>
  <c r="B327" i="1"/>
  <c r="C327" i="1"/>
  <c r="D327" i="1"/>
  <c r="E327" i="1"/>
  <c r="F327" i="1"/>
  <c r="G327" i="1"/>
  <c r="H327" i="1"/>
  <c r="I327" i="1"/>
  <c r="J327" i="1"/>
  <c r="K327" i="1"/>
  <c r="L327" i="1"/>
  <c r="M327" i="1"/>
  <c r="N327" i="1"/>
  <c r="O327" i="1"/>
  <c r="P327" i="1"/>
  <c r="Q327" i="1"/>
  <c r="R327" i="1"/>
  <c r="S327" i="1"/>
  <c r="T327" i="1"/>
  <c r="U327" i="1"/>
  <c r="V327" i="1"/>
  <c r="W327" i="1"/>
  <c r="X327" i="1"/>
  <c r="Y327" i="1"/>
  <c r="Z327" i="1"/>
  <c r="AA327" i="1"/>
  <c r="AB327" i="1"/>
  <c r="A328" i="1"/>
  <c r="B328" i="1"/>
  <c r="C328" i="1"/>
  <c r="D328" i="1"/>
  <c r="E328" i="1"/>
  <c r="F328" i="1"/>
  <c r="G328" i="1"/>
  <c r="H328" i="1"/>
  <c r="I328" i="1"/>
  <c r="J328" i="1"/>
  <c r="K328" i="1"/>
  <c r="L328" i="1"/>
  <c r="M328" i="1"/>
  <c r="N328" i="1"/>
  <c r="O328" i="1"/>
  <c r="P328" i="1"/>
  <c r="Q328" i="1"/>
  <c r="R328" i="1"/>
  <c r="S328" i="1"/>
  <c r="T328" i="1"/>
  <c r="U328" i="1"/>
  <c r="V328" i="1"/>
  <c r="W328" i="1"/>
  <c r="X328" i="1"/>
  <c r="Y328" i="1"/>
  <c r="Z328" i="1"/>
  <c r="AA328" i="1"/>
  <c r="AB328" i="1"/>
  <c r="A329" i="1"/>
  <c r="B329" i="1"/>
  <c r="C329" i="1"/>
  <c r="D329" i="1"/>
  <c r="E329" i="1"/>
  <c r="F329" i="1"/>
  <c r="G329" i="1"/>
  <c r="H329" i="1"/>
  <c r="I329" i="1"/>
  <c r="J329" i="1"/>
  <c r="K329" i="1"/>
  <c r="L329" i="1"/>
  <c r="M329" i="1"/>
  <c r="N329" i="1"/>
  <c r="O329" i="1"/>
  <c r="P329" i="1"/>
  <c r="Q329" i="1"/>
  <c r="R329" i="1"/>
  <c r="S329" i="1"/>
  <c r="T329" i="1"/>
  <c r="U329" i="1"/>
  <c r="V329" i="1"/>
  <c r="W329" i="1"/>
  <c r="X329" i="1"/>
  <c r="Y329" i="1"/>
  <c r="Z329" i="1"/>
  <c r="AA329" i="1"/>
  <c r="AB329" i="1"/>
  <c r="A330" i="1"/>
  <c r="B330" i="1"/>
  <c r="C330" i="1"/>
  <c r="D330" i="1"/>
  <c r="E330" i="1"/>
  <c r="F330" i="1"/>
  <c r="G330" i="1"/>
  <c r="H330" i="1"/>
  <c r="I330" i="1"/>
  <c r="J330" i="1"/>
  <c r="K330" i="1"/>
  <c r="L330" i="1"/>
  <c r="M330" i="1"/>
  <c r="N330" i="1"/>
  <c r="O330" i="1"/>
  <c r="P330" i="1"/>
  <c r="Q330" i="1"/>
  <c r="R330" i="1"/>
  <c r="S330" i="1"/>
  <c r="T330" i="1"/>
  <c r="U330" i="1"/>
  <c r="V330" i="1"/>
  <c r="W330" i="1"/>
  <c r="X330" i="1"/>
  <c r="Y330" i="1"/>
  <c r="Z330" i="1"/>
  <c r="AA330" i="1"/>
  <c r="AB330" i="1"/>
  <c r="A331" i="1"/>
  <c r="B331" i="1"/>
  <c r="C331" i="1"/>
  <c r="D331" i="1"/>
  <c r="E331" i="1"/>
  <c r="F331" i="1"/>
  <c r="G331" i="1"/>
  <c r="H331" i="1"/>
  <c r="I331" i="1"/>
  <c r="J331" i="1"/>
  <c r="K331" i="1"/>
  <c r="L331" i="1"/>
  <c r="M331" i="1"/>
  <c r="N331" i="1"/>
  <c r="O331" i="1"/>
  <c r="P331" i="1"/>
  <c r="Q331" i="1"/>
  <c r="R331" i="1"/>
  <c r="S331" i="1"/>
  <c r="T331" i="1"/>
  <c r="U331" i="1"/>
  <c r="V331" i="1"/>
  <c r="W331" i="1"/>
  <c r="X331" i="1"/>
  <c r="Y331" i="1"/>
  <c r="Z331" i="1"/>
  <c r="AA331" i="1"/>
  <c r="AB331" i="1"/>
  <c r="A332" i="1"/>
  <c r="B332" i="1"/>
  <c r="C332" i="1"/>
  <c r="D332" i="1"/>
  <c r="E332" i="1"/>
  <c r="F332" i="1"/>
  <c r="G332" i="1"/>
  <c r="H332" i="1"/>
  <c r="I332" i="1"/>
  <c r="J332" i="1"/>
  <c r="K332" i="1"/>
  <c r="L332" i="1"/>
  <c r="M332" i="1"/>
  <c r="N332" i="1"/>
  <c r="O332" i="1"/>
  <c r="P332" i="1"/>
  <c r="Q332" i="1"/>
  <c r="R332" i="1"/>
  <c r="S332" i="1"/>
  <c r="T332" i="1"/>
  <c r="U332" i="1"/>
  <c r="V332" i="1"/>
  <c r="W332" i="1"/>
  <c r="X332" i="1"/>
  <c r="Y332" i="1"/>
  <c r="Z332" i="1"/>
  <c r="AA332" i="1"/>
  <c r="AB332" i="1"/>
  <c r="A333" i="1"/>
  <c r="B333" i="1"/>
  <c r="C333" i="1"/>
  <c r="D333" i="1"/>
  <c r="E333" i="1"/>
  <c r="F333" i="1"/>
  <c r="G333" i="1"/>
  <c r="H333" i="1"/>
  <c r="I333" i="1"/>
  <c r="J333" i="1"/>
  <c r="K333" i="1"/>
  <c r="L333" i="1"/>
  <c r="M333" i="1"/>
  <c r="N333" i="1"/>
  <c r="O333" i="1"/>
  <c r="P333" i="1"/>
  <c r="Q333" i="1"/>
  <c r="R333" i="1"/>
  <c r="S333" i="1"/>
  <c r="T333" i="1"/>
  <c r="U333" i="1"/>
  <c r="V333" i="1"/>
  <c r="W333" i="1"/>
  <c r="X333" i="1"/>
  <c r="Y333" i="1"/>
  <c r="Z333" i="1"/>
  <c r="AA333" i="1"/>
  <c r="AB333" i="1"/>
  <c r="A334" i="1"/>
  <c r="B334" i="1"/>
  <c r="C334" i="1"/>
  <c r="D334" i="1"/>
  <c r="E334" i="1"/>
  <c r="F334" i="1"/>
  <c r="G334" i="1"/>
  <c r="H334" i="1"/>
  <c r="I334" i="1"/>
  <c r="J334" i="1"/>
  <c r="K334" i="1"/>
  <c r="L334" i="1"/>
  <c r="M334" i="1"/>
  <c r="N334" i="1"/>
  <c r="O334" i="1"/>
  <c r="P334" i="1"/>
  <c r="Q334" i="1"/>
  <c r="R334" i="1"/>
  <c r="S334" i="1"/>
  <c r="T334" i="1"/>
  <c r="U334" i="1"/>
  <c r="V334" i="1"/>
  <c r="W334" i="1"/>
  <c r="X334" i="1"/>
  <c r="Y334" i="1"/>
  <c r="Z334" i="1"/>
  <c r="AA334" i="1"/>
  <c r="AB334" i="1"/>
  <c r="A335" i="1"/>
  <c r="B335" i="1"/>
  <c r="C335" i="1"/>
  <c r="D335" i="1"/>
  <c r="E335" i="1"/>
  <c r="F335" i="1"/>
  <c r="G335" i="1"/>
  <c r="H335" i="1"/>
  <c r="I335" i="1"/>
  <c r="J335" i="1"/>
  <c r="K335" i="1"/>
  <c r="L335" i="1"/>
  <c r="M335" i="1"/>
  <c r="N335" i="1"/>
  <c r="O335" i="1"/>
  <c r="P335" i="1"/>
  <c r="Q335" i="1"/>
  <c r="R335" i="1"/>
  <c r="S335" i="1"/>
  <c r="T335" i="1"/>
  <c r="U335" i="1"/>
  <c r="V335" i="1"/>
  <c r="W335" i="1"/>
  <c r="X335" i="1"/>
  <c r="Y335" i="1"/>
  <c r="Z335" i="1"/>
  <c r="AA335" i="1"/>
  <c r="AB335" i="1"/>
  <c r="A336" i="1"/>
  <c r="B336" i="1"/>
  <c r="C336" i="1"/>
  <c r="D336" i="1"/>
  <c r="E336" i="1"/>
  <c r="F336" i="1"/>
  <c r="G336" i="1"/>
  <c r="H336" i="1"/>
  <c r="I336" i="1"/>
  <c r="J336" i="1"/>
  <c r="K336" i="1"/>
  <c r="L336" i="1"/>
  <c r="M336" i="1"/>
  <c r="N336" i="1"/>
  <c r="O336" i="1"/>
  <c r="P336" i="1"/>
  <c r="Q336" i="1"/>
  <c r="R336" i="1"/>
  <c r="S336" i="1"/>
  <c r="T336" i="1"/>
  <c r="U336" i="1"/>
  <c r="V336" i="1"/>
  <c r="W336" i="1"/>
  <c r="X336" i="1"/>
  <c r="Y336" i="1"/>
  <c r="Z336" i="1"/>
  <c r="AA336" i="1"/>
  <c r="AB336" i="1"/>
  <c r="A337" i="1"/>
  <c r="B337" i="1"/>
  <c r="C337" i="1"/>
  <c r="D337" i="1"/>
  <c r="E337" i="1"/>
  <c r="F337" i="1"/>
  <c r="G337" i="1"/>
  <c r="H337" i="1"/>
  <c r="I337" i="1"/>
  <c r="J337" i="1"/>
  <c r="K337" i="1"/>
  <c r="L337" i="1"/>
  <c r="M337" i="1"/>
  <c r="N337" i="1"/>
  <c r="O337" i="1"/>
  <c r="P337" i="1"/>
  <c r="Q337" i="1"/>
  <c r="R337" i="1"/>
  <c r="S337" i="1"/>
  <c r="T337" i="1"/>
  <c r="U337" i="1"/>
  <c r="V337" i="1"/>
  <c r="W337" i="1"/>
  <c r="X337" i="1"/>
  <c r="Y337" i="1"/>
  <c r="Z337" i="1"/>
  <c r="AA337" i="1"/>
  <c r="AB337" i="1"/>
  <c r="A338" i="1"/>
  <c r="B338" i="1"/>
  <c r="C338" i="1"/>
  <c r="D338" i="1"/>
  <c r="E338" i="1"/>
  <c r="F338" i="1"/>
  <c r="G338" i="1"/>
  <c r="H338" i="1"/>
  <c r="I338" i="1"/>
  <c r="J338" i="1"/>
  <c r="K338" i="1"/>
  <c r="L338" i="1"/>
  <c r="M338" i="1"/>
  <c r="N338" i="1"/>
  <c r="O338" i="1"/>
  <c r="P338" i="1"/>
  <c r="Q338" i="1"/>
  <c r="R338" i="1"/>
  <c r="S338" i="1"/>
  <c r="T338" i="1"/>
  <c r="U338" i="1"/>
  <c r="V338" i="1"/>
  <c r="W338" i="1"/>
  <c r="X338" i="1"/>
  <c r="Y338" i="1"/>
  <c r="Z338" i="1"/>
  <c r="AA338" i="1"/>
  <c r="AB338" i="1"/>
  <c r="A339" i="1"/>
  <c r="B339" i="1"/>
  <c r="C339" i="1"/>
  <c r="D339" i="1"/>
  <c r="E339" i="1"/>
  <c r="F339" i="1"/>
  <c r="G339" i="1"/>
  <c r="H339" i="1"/>
  <c r="I339" i="1"/>
  <c r="J339" i="1"/>
  <c r="K339" i="1"/>
  <c r="L339" i="1"/>
  <c r="M339" i="1"/>
  <c r="N339" i="1"/>
  <c r="O339" i="1"/>
  <c r="P339" i="1"/>
  <c r="Q339" i="1"/>
  <c r="R339" i="1"/>
  <c r="S339" i="1"/>
  <c r="T339" i="1"/>
  <c r="U339" i="1"/>
  <c r="V339" i="1"/>
  <c r="W339" i="1"/>
  <c r="X339" i="1"/>
  <c r="Y339" i="1"/>
  <c r="Z339" i="1"/>
  <c r="AA339" i="1"/>
  <c r="AB339" i="1"/>
  <c r="A340" i="1"/>
  <c r="B340" i="1"/>
  <c r="C340" i="1"/>
  <c r="D340" i="1"/>
  <c r="E340" i="1"/>
  <c r="F340" i="1"/>
  <c r="G340" i="1"/>
  <c r="H340" i="1"/>
  <c r="I340" i="1"/>
  <c r="J340" i="1"/>
  <c r="K340" i="1"/>
  <c r="L340" i="1"/>
  <c r="M340" i="1"/>
  <c r="N340" i="1"/>
  <c r="O340" i="1"/>
  <c r="P340" i="1"/>
  <c r="Q340" i="1"/>
  <c r="R340" i="1"/>
  <c r="S340" i="1"/>
  <c r="T340" i="1"/>
  <c r="U340" i="1"/>
  <c r="V340" i="1"/>
  <c r="W340" i="1"/>
  <c r="X340" i="1"/>
  <c r="Y340" i="1"/>
  <c r="Z340" i="1"/>
  <c r="AA340" i="1"/>
  <c r="AB340" i="1"/>
  <c r="A341" i="1"/>
  <c r="B341" i="1"/>
  <c r="C341" i="1"/>
  <c r="D341" i="1"/>
  <c r="E341" i="1"/>
  <c r="F341" i="1"/>
  <c r="G341" i="1"/>
  <c r="H341" i="1"/>
  <c r="I341" i="1"/>
  <c r="J341" i="1"/>
  <c r="K341" i="1"/>
  <c r="L341" i="1"/>
  <c r="M341" i="1"/>
  <c r="N341" i="1"/>
  <c r="O341" i="1"/>
  <c r="P341" i="1"/>
  <c r="Q341" i="1"/>
  <c r="R341" i="1"/>
  <c r="S341" i="1"/>
  <c r="T341" i="1"/>
  <c r="U341" i="1"/>
  <c r="V341" i="1"/>
  <c r="W341" i="1"/>
  <c r="X341" i="1"/>
  <c r="Y341" i="1"/>
  <c r="Z341" i="1"/>
  <c r="AA341" i="1"/>
  <c r="AB341" i="1"/>
  <c r="A342" i="1"/>
  <c r="B342" i="1"/>
  <c r="C342" i="1"/>
  <c r="D342" i="1"/>
  <c r="E342" i="1"/>
  <c r="F342" i="1"/>
  <c r="G342" i="1"/>
  <c r="H342" i="1"/>
  <c r="I342" i="1"/>
  <c r="J342" i="1"/>
  <c r="K342" i="1"/>
  <c r="L342" i="1"/>
  <c r="M342" i="1"/>
  <c r="N342" i="1"/>
  <c r="O342" i="1"/>
  <c r="P342" i="1"/>
  <c r="Q342" i="1"/>
  <c r="R342" i="1"/>
  <c r="S342" i="1"/>
  <c r="T342" i="1"/>
  <c r="U342" i="1"/>
  <c r="V342" i="1"/>
  <c r="W342" i="1"/>
  <c r="X342" i="1"/>
  <c r="Y342" i="1"/>
  <c r="Z342" i="1"/>
  <c r="AA342" i="1"/>
  <c r="AB342" i="1"/>
  <c r="A343" i="1"/>
  <c r="B343" i="1"/>
  <c r="C343" i="1"/>
  <c r="D343" i="1"/>
  <c r="E343" i="1"/>
  <c r="F343" i="1"/>
  <c r="G343" i="1"/>
  <c r="H343" i="1"/>
  <c r="I343" i="1"/>
  <c r="J343" i="1"/>
  <c r="K343" i="1"/>
  <c r="L343" i="1"/>
  <c r="M343" i="1"/>
  <c r="N343" i="1"/>
  <c r="O343" i="1"/>
  <c r="P343" i="1"/>
  <c r="Q343" i="1"/>
  <c r="R343" i="1"/>
  <c r="S343" i="1"/>
  <c r="T343" i="1"/>
  <c r="U343" i="1"/>
  <c r="V343" i="1"/>
  <c r="W343" i="1"/>
  <c r="X343" i="1"/>
  <c r="Y343" i="1"/>
  <c r="Z343" i="1"/>
  <c r="AA343" i="1"/>
  <c r="AB343" i="1"/>
  <c r="A344" i="1"/>
  <c r="B344" i="1"/>
  <c r="C344" i="1"/>
  <c r="D344" i="1"/>
  <c r="E344" i="1"/>
  <c r="F344" i="1"/>
  <c r="G344" i="1"/>
  <c r="H344" i="1"/>
  <c r="I344" i="1"/>
  <c r="J344" i="1"/>
  <c r="K344" i="1"/>
  <c r="L344" i="1"/>
  <c r="M344" i="1"/>
  <c r="N344" i="1"/>
  <c r="O344" i="1"/>
  <c r="P344" i="1"/>
  <c r="Q344" i="1"/>
  <c r="R344" i="1"/>
  <c r="S344" i="1"/>
  <c r="T344" i="1"/>
  <c r="U344" i="1"/>
  <c r="V344" i="1"/>
  <c r="W344" i="1"/>
  <c r="X344" i="1"/>
  <c r="Y344" i="1"/>
  <c r="Z344" i="1"/>
  <c r="AA344" i="1"/>
  <c r="AB344" i="1"/>
  <c r="A345" i="1"/>
  <c r="B345" i="1"/>
  <c r="C345" i="1"/>
  <c r="D345" i="1"/>
  <c r="E345" i="1"/>
  <c r="F345" i="1"/>
  <c r="G345" i="1"/>
  <c r="H345" i="1"/>
  <c r="I345" i="1"/>
  <c r="J345" i="1"/>
  <c r="K345" i="1"/>
  <c r="L345" i="1"/>
  <c r="M345" i="1"/>
  <c r="N345" i="1"/>
  <c r="O345" i="1"/>
  <c r="P345" i="1"/>
  <c r="Q345" i="1"/>
  <c r="R345" i="1"/>
  <c r="S345" i="1"/>
  <c r="T345" i="1"/>
  <c r="U345" i="1"/>
  <c r="V345" i="1"/>
  <c r="W345" i="1"/>
  <c r="X345" i="1"/>
  <c r="Y345" i="1"/>
  <c r="Z345" i="1"/>
  <c r="AA345" i="1"/>
  <c r="AB345" i="1"/>
  <c r="A346" i="1"/>
  <c r="B346" i="1"/>
  <c r="C346" i="1"/>
  <c r="D346" i="1"/>
  <c r="E346" i="1"/>
  <c r="F346" i="1"/>
  <c r="G346" i="1"/>
  <c r="H346" i="1"/>
  <c r="I346" i="1"/>
  <c r="J346" i="1"/>
  <c r="K346" i="1"/>
  <c r="L346" i="1"/>
  <c r="M346" i="1"/>
  <c r="N346" i="1"/>
  <c r="O346" i="1"/>
  <c r="P346" i="1"/>
  <c r="Q346" i="1"/>
  <c r="R346" i="1"/>
  <c r="S346" i="1"/>
  <c r="T346" i="1"/>
  <c r="U346" i="1"/>
  <c r="V346" i="1"/>
  <c r="W346" i="1"/>
  <c r="X346" i="1"/>
  <c r="Y346" i="1"/>
  <c r="Z346" i="1"/>
  <c r="AA346" i="1"/>
  <c r="AB346" i="1"/>
  <c r="A347" i="1"/>
  <c r="B347" i="1"/>
  <c r="C347" i="1"/>
  <c r="D347" i="1"/>
  <c r="E347" i="1"/>
  <c r="F347" i="1"/>
  <c r="G347" i="1"/>
  <c r="H347" i="1"/>
  <c r="I347" i="1"/>
  <c r="J347" i="1"/>
  <c r="K347" i="1"/>
  <c r="L347" i="1"/>
  <c r="M347" i="1"/>
  <c r="N347" i="1"/>
  <c r="O347" i="1"/>
  <c r="P347" i="1"/>
  <c r="Q347" i="1"/>
  <c r="R347" i="1"/>
  <c r="S347" i="1"/>
  <c r="T347" i="1"/>
  <c r="U347" i="1"/>
  <c r="V347" i="1"/>
  <c r="W347" i="1"/>
  <c r="X347" i="1"/>
  <c r="Y347" i="1"/>
  <c r="Z347" i="1"/>
  <c r="AA347" i="1"/>
  <c r="AB347" i="1"/>
  <c r="A348" i="1"/>
  <c r="B348" i="1"/>
  <c r="C348" i="1"/>
  <c r="D348" i="1"/>
  <c r="E348" i="1"/>
  <c r="F348" i="1"/>
  <c r="G348" i="1"/>
  <c r="H348" i="1"/>
  <c r="I348" i="1"/>
  <c r="J348" i="1"/>
  <c r="K348" i="1"/>
  <c r="L348" i="1"/>
  <c r="M348" i="1"/>
  <c r="N348" i="1"/>
  <c r="O348" i="1"/>
  <c r="P348" i="1"/>
  <c r="Q348" i="1"/>
  <c r="R348" i="1"/>
  <c r="S348" i="1"/>
  <c r="T348" i="1"/>
  <c r="U348" i="1"/>
  <c r="V348" i="1"/>
  <c r="W348" i="1"/>
  <c r="X348" i="1"/>
  <c r="Y348" i="1"/>
  <c r="Z348" i="1"/>
  <c r="AA348" i="1"/>
  <c r="AB348" i="1"/>
  <c r="A349" i="1"/>
  <c r="B349" i="1"/>
  <c r="C349" i="1"/>
  <c r="D349" i="1"/>
  <c r="E349" i="1"/>
  <c r="F349" i="1"/>
  <c r="G349" i="1"/>
  <c r="H349" i="1"/>
  <c r="I349" i="1"/>
  <c r="J349" i="1"/>
  <c r="K349" i="1"/>
  <c r="L349" i="1"/>
  <c r="M349" i="1"/>
  <c r="N349" i="1"/>
  <c r="O349" i="1"/>
  <c r="P349" i="1"/>
  <c r="Q349" i="1"/>
  <c r="R349" i="1"/>
  <c r="S349" i="1"/>
  <c r="T349" i="1"/>
  <c r="U349" i="1"/>
  <c r="V349" i="1"/>
  <c r="W349" i="1"/>
  <c r="X349" i="1"/>
  <c r="Y349" i="1"/>
  <c r="Z349" i="1"/>
  <c r="AA349" i="1"/>
  <c r="AB349" i="1"/>
  <c r="A350" i="1"/>
  <c r="B350" i="1"/>
  <c r="C350" i="1"/>
  <c r="D350" i="1"/>
  <c r="E350" i="1"/>
  <c r="F350" i="1"/>
  <c r="G350" i="1"/>
  <c r="H350" i="1"/>
  <c r="I350" i="1"/>
  <c r="J350" i="1"/>
  <c r="K350" i="1"/>
  <c r="L350" i="1"/>
  <c r="M350" i="1"/>
  <c r="N350" i="1"/>
  <c r="O350" i="1"/>
  <c r="P350" i="1"/>
  <c r="Q350" i="1"/>
  <c r="R350" i="1"/>
  <c r="S350" i="1"/>
  <c r="T350" i="1"/>
  <c r="U350" i="1"/>
  <c r="V350" i="1"/>
  <c r="W350" i="1"/>
  <c r="X350" i="1"/>
  <c r="Y350" i="1"/>
  <c r="Z350" i="1"/>
  <c r="AA350" i="1"/>
  <c r="AB350" i="1"/>
  <c r="A351" i="1"/>
  <c r="B351" i="1"/>
  <c r="C351" i="1"/>
  <c r="D351" i="1"/>
  <c r="E351" i="1"/>
  <c r="F351" i="1"/>
  <c r="G351" i="1"/>
  <c r="H351" i="1"/>
  <c r="I351" i="1"/>
  <c r="J351" i="1"/>
  <c r="K351" i="1"/>
  <c r="L351" i="1"/>
  <c r="M351" i="1"/>
  <c r="N351" i="1"/>
  <c r="O351" i="1"/>
  <c r="P351" i="1"/>
  <c r="Q351" i="1"/>
  <c r="R351" i="1"/>
  <c r="S351" i="1"/>
  <c r="T351" i="1"/>
  <c r="U351" i="1"/>
  <c r="V351" i="1"/>
  <c r="W351" i="1"/>
  <c r="X351" i="1"/>
  <c r="Y351" i="1"/>
  <c r="Z351" i="1"/>
  <c r="AA351" i="1"/>
  <c r="AB351" i="1"/>
  <c r="A352" i="1"/>
  <c r="B352" i="1"/>
  <c r="C352" i="1"/>
  <c r="D352" i="1"/>
  <c r="E352" i="1"/>
  <c r="F352" i="1"/>
  <c r="G352" i="1"/>
  <c r="H352" i="1"/>
  <c r="I352" i="1"/>
  <c r="J352" i="1"/>
  <c r="K352" i="1"/>
  <c r="L352" i="1"/>
  <c r="M352" i="1"/>
  <c r="N352" i="1"/>
  <c r="O352" i="1"/>
  <c r="P352" i="1"/>
  <c r="Q352" i="1"/>
  <c r="R352" i="1"/>
  <c r="S352" i="1"/>
  <c r="T352" i="1"/>
  <c r="U352" i="1"/>
  <c r="V352" i="1"/>
  <c r="W352" i="1"/>
  <c r="X352" i="1"/>
  <c r="Y352" i="1"/>
  <c r="Z352" i="1"/>
  <c r="AA352" i="1"/>
  <c r="AB352" i="1"/>
  <c r="A353" i="1"/>
  <c r="B353" i="1"/>
  <c r="C353" i="1"/>
  <c r="D353" i="1"/>
  <c r="E353" i="1"/>
  <c r="F353" i="1"/>
  <c r="G353" i="1"/>
  <c r="H353" i="1"/>
  <c r="I353" i="1"/>
  <c r="J353" i="1"/>
  <c r="K353" i="1"/>
  <c r="L353" i="1"/>
  <c r="M353" i="1"/>
  <c r="N353" i="1"/>
  <c r="O353" i="1"/>
  <c r="P353" i="1"/>
  <c r="Q353" i="1"/>
  <c r="R353" i="1"/>
  <c r="S353" i="1"/>
  <c r="T353" i="1"/>
  <c r="U353" i="1"/>
  <c r="V353" i="1"/>
  <c r="W353" i="1"/>
  <c r="X353" i="1"/>
  <c r="Y353" i="1"/>
  <c r="Z353" i="1"/>
  <c r="AA353" i="1"/>
  <c r="AB353" i="1"/>
  <c r="A354" i="1"/>
  <c r="B354" i="1"/>
  <c r="C354" i="1"/>
  <c r="D354" i="1"/>
  <c r="E354" i="1"/>
  <c r="F354" i="1"/>
  <c r="G354" i="1"/>
  <c r="H354" i="1"/>
  <c r="I354" i="1"/>
  <c r="J354" i="1"/>
  <c r="K354" i="1"/>
  <c r="L354" i="1"/>
  <c r="M354" i="1"/>
  <c r="N354" i="1"/>
  <c r="O354" i="1"/>
  <c r="P354" i="1"/>
  <c r="Q354" i="1"/>
  <c r="R354" i="1"/>
  <c r="S354" i="1"/>
  <c r="T354" i="1"/>
  <c r="U354" i="1"/>
  <c r="V354" i="1"/>
  <c r="W354" i="1"/>
  <c r="X354" i="1"/>
  <c r="Y354" i="1"/>
  <c r="Z354" i="1"/>
  <c r="AA354" i="1"/>
  <c r="AB354" i="1"/>
  <c r="A355" i="1"/>
  <c r="B355" i="1"/>
  <c r="C355" i="1"/>
  <c r="D355" i="1"/>
  <c r="E355" i="1"/>
  <c r="F355" i="1"/>
  <c r="G355" i="1"/>
  <c r="H355" i="1"/>
  <c r="I355" i="1"/>
  <c r="J355" i="1"/>
  <c r="K355" i="1"/>
  <c r="L355" i="1"/>
  <c r="M355" i="1"/>
  <c r="N355" i="1"/>
  <c r="O355" i="1"/>
  <c r="P355" i="1"/>
  <c r="Q355" i="1"/>
  <c r="R355" i="1"/>
  <c r="S355" i="1"/>
  <c r="T355" i="1"/>
  <c r="U355" i="1"/>
  <c r="V355" i="1"/>
  <c r="W355" i="1"/>
  <c r="X355" i="1"/>
  <c r="Y355" i="1"/>
  <c r="Z355" i="1"/>
  <c r="AA355" i="1"/>
  <c r="AB355" i="1"/>
  <c r="A356" i="1"/>
  <c r="B356" i="1"/>
  <c r="C356" i="1"/>
  <c r="D356" i="1"/>
  <c r="E356" i="1"/>
  <c r="F356" i="1"/>
  <c r="G356" i="1"/>
  <c r="H356" i="1"/>
  <c r="I356" i="1"/>
  <c r="J356" i="1"/>
  <c r="K356" i="1"/>
  <c r="L356" i="1"/>
  <c r="M356" i="1"/>
  <c r="N356" i="1"/>
  <c r="O356" i="1"/>
  <c r="P356" i="1"/>
  <c r="Q356" i="1"/>
  <c r="R356" i="1"/>
  <c r="S356" i="1"/>
  <c r="T356" i="1"/>
  <c r="U356" i="1"/>
  <c r="V356" i="1"/>
  <c r="W356" i="1"/>
  <c r="X356" i="1"/>
  <c r="Y356" i="1"/>
  <c r="Z356" i="1"/>
  <c r="AA356" i="1"/>
  <c r="AB356" i="1"/>
  <c r="A357" i="1"/>
  <c r="B357" i="1"/>
  <c r="C357" i="1"/>
  <c r="D357" i="1"/>
  <c r="E357" i="1"/>
  <c r="F357" i="1"/>
  <c r="G357" i="1"/>
  <c r="H357" i="1"/>
  <c r="I357" i="1"/>
  <c r="J357" i="1"/>
  <c r="K357" i="1"/>
  <c r="L357" i="1"/>
  <c r="M357" i="1"/>
  <c r="N357" i="1"/>
  <c r="O357" i="1"/>
  <c r="P357" i="1"/>
  <c r="Q357" i="1"/>
  <c r="R357" i="1"/>
  <c r="S357" i="1"/>
  <c r="T357" i="1"/>
  <c r="U357" i="1"/>
  <c r="V357" i="1"/>
  <c r="W357" i="1"/>
  <c r="X357" i="1"/>
  <c r="Y357" i="1"/>
  <c r="Z357" i="1"/>
  <c r="AA357" i="1"/>
  <c r="AB357" i="1"/>
  <c r="A358" i="1"/>
  <c r="B358" i="1"/>
  <c r="C358" i="1"/>
  <c r="D358" i="1"/>
  <c r="E358" i="1"/>
  <c r="F358" i="1"/>
  <c r="G358" i="1"/>
  <c r="H358" i="1"/>
  <c r="I358" i="1"/>
  <c r="J358" i="1"/>
  <c r="K358" i="1"/>
  <c r="L358" i="1"/>
  <c r="M358" i="1"/>
  <c r="N358" i="1"/>
  <c r="O358" i="1"/>
  <c r="P358" i="1"/>
  <c r="Q358" i="1"/>
  <c r="R358" i="1"/>
  <c r="S358" i="1"/>
  <c r="T358" i="1"/>
  <c r="U358" i="1"/>
  <c r="V358" i="1"/>
  <c r="W358" i="1"/>
  <c r="X358" i="1"/>
  <c r="Y358" i="1"/>
  <c r="Z358" i="1"/>
  <c r="AA358" i="1"/>
  <c r="AB358" i="1"/>
  <c r="A359" i="1"/>
  <c r="B359" i="1"/>
  <c r="C359" i="1"/>
  <c r="D359" i="1"/>
  <c r="E359" i="1"/>
  <c r="F359" i="1"/>
  <c r="G359" i="1"/>
  <c r="H359" i="1"/>
  <c r="I359" i="1"/>
  <c r="J359" i="1"/>
  <c r="K359" i="1"/>
  <c r="L359" i="1"/>
  <c r="M359" i="1"/>
  <c r="N359" i="1"/>
  <c r="O359" i="1"/>
  <c r="P359" i="1"/>
  <c r="Q359" i="1"/>
  <c r="R359" i="1"/>
  <c r="S359" i="1"/>
  <c r="T359" i="1"/>
  <c r="U359" i="1"/>
  <c r="V359" i="1"/>
  <c r="W359" i="1"/>
  <c r="X359" i="1"/>
  <c r="Y359" i="1"/>
  <c r="Z359" i="1"/>
  <c r="AA359" i="1"/>
  <c r="AB359" i="1"/>
  <c r="A360" i="1"/>
  <c r="B360" i="1"/>
  <c r="C360" i="1"/>
  <c r="D360" i="1"/>
  <c r="E360" i="1"/>
  <c r="F360" i="1"/>
  <c r="G360" i="1"/>
  <c r="H360" i="1"/>
  <c r="I360" i="1"/>
  <c r="J360" i="1"/>
  <c r="K360" i="1"/>
  <c r="L360" i="1"/>
  <c r="M360" i="1"/>
  <c r="N360" i="1"/>
  <c r="O360" i="1"/>
  <c r="P360" i="1"/>
  <c r="Q360" i="1"/>
  <c r="R360" i="1"/>
  <c r="S360" i="1"/>
  <c r="T360" i="1"/>
  <c r="U360" i="1"/>
  <c r="V360" i="1"/>
  <c r="W360" i="1"/>
  <c r="X360" i="1"/>
  <c r="Y360" i="1"/>
  <c r="Z360" i="1"/>
  <c r="AA360" i="1"/>
  <c r="AB360" i="1"/>
  <c r="A361" i="1"/>
  <c r="B361" i="1"/>
  <c r="C361" i="1"/>
  <c r="D361" i="1"/>
  <c r="E361" i="1"/>
  <c r="F361" i="1"/>
  <c r="G361" i="1"/>
  <c r="H361" i="1"/>
  <c r="I361" i="1"/>
  <c r="J361" i="1"/>
  <c r="K361" i="1"/>
  <c r="L361" i="1"/>
  <c r="M361" i="1"/>
  <c r="N361" i="1"/>
  <c r="O361" i="1"/>
  <c r="P361" i="1"/>
  <c r="Q361" i="1"/>
  <c r="R361" i="1"/>
  <c r="S361" i="1"/>
  <c r="T361" i="1"/>
  <c r="U361" i="1"/>
  <c r="V361" i="1"/>
  <c r="W361" i="1"/>
  <c r="X361" i="1"/>
  <c r="Y361" i="1"/>
  <c r="Z361" i="1"/>
  <c r="AA361" i="1"/>
  <c r="AB361" i="1"/>
  <c r="A362" i="1"/>
  <c r="B362" i="1"/>
  <c r="C362" i="1"/>
  <c r="D362" i="1"/>
  <c r="E362" i="1"/>
  <c r="F362" i="1"/>
  <c r="G362" i="1"/>
  <c r="H362" i="1"/>
  <c r="I362" i="1"/>
  <c r="J362" i="1"/>
  <c r="K362" i="1"/>
  <c r="L362" i="1"/>
  <c r="M362" i="1"/>
  <c r="N362" i="1"/>
  <c r="O362" i="1"/>
  <c r="P362" i="1"/>
  <c r="Q362" i="1"/>
  <c r="R362" i="1"/>
  <c r="S362" i="1"/>
  <c r="T362" i="1"/>
  <c r="U362" i="1"/>
  <c r="V362" i="1"/>
  <c r="W362" i="1"/>
  <c r="X362" i="1"/>
  <c r="Y362" i="1"/>
  <c r="Z362" i="1"/>
  <c r="AA362" i="1"/>
  <c r="AB362" i="1"/>
  <c r="A363" i="1"/>
  <c r="B363" i="1"/>
  <c r="C363" i="1"/>
  <c r="D363" i="1"/>
  <c r="E363" i="1"/>
  <c r="F363" i="1"/>
  <c r="G363" i="1"/>
  <c r="H363" i="1"/>
  <c r="I363" i="1"/>
  <c r="J363" i="1"/>
  <c r="K363" i="1"/>
  <c r="L363" i="1"/>
  <c r="M363" i="1"/>
  <c r="N363" i="1"/>
  <c r="O363" i="1"/>
  <c r="P363" i="1"/>
  <c r="Q363" i="1"/>
  <c r="R363" i="1"/>
  <c r="S363" i="1"/>
  <c r="T363" i="1"/>
  <c r="U363" i="1"/>
  <c r="V363" i="1"/>
  <c r="W363" i="1"/>
  <c r="X363" i="1"/>
  <c r="Y363" i="1"/>
  <c r="Z363" i="1"/>
  <c r="AA363" i="1"/>
  <c r="AB363" i="1"/>
  <c r="A364" i="1"/>
  <c r="B364" i="1"/>
  <c r="C364" i="1"/>
  <c r="D364" i="1"/>
  <c r="E364" i="1"/>
  <c r="F364" i="1"/>
  <c r="G364" i="1"/>
  <c r="H364" i="1"/>
  <c r="I364" i="1"/>
  <c r="J364" i="1"/>
  <c r="K364" i="1"/>
  <c r="L364" i="1"/>
  <c r="M364" i="1"/>
  <c r="N364" i="1"/>
  <c r="O364" i="1"/>
  <c r="P364" i="1"/>
  <c r="Q364" i="1"/>
  <c r="R364" i="1"/>
  <c r="S364" i="1"/>
  <c r="T364" i="1"/>
  <c r="U364" i="1"/>
  <c r="V364" i="1"/>
  <c r="W364" i="1"/>
  <c r="X364" i="1"/>
  <c r="Y364" i="1"/>
  <c r="Z364" i="1"/>
  <c r="AA364" i="1"/>
  <c r="AB364" i="1"/>
  <c r="A365" i="1"/>
  <c r="B365" i="1"/>
  <c r="C365" i="1"/>
  <c r="D365" i="1"/>
  <c r="E365" i="1"/>
  <c r="F365" i="1"/>
  <c r="G365" i="1"/>
  <c r="H365" i="1"/>
  <c r="I365" i="1"/>
  <c r="J365" i="1"/>
  <c r="K365" i="1"/>
  <c r="L365" i="1"/>
  <c r="M365" i="1"/>
  <c r="N365" i="1"/>
  <c r="O365" i="1"/>
  <c r="P365" i="1"/>
  <c r="Q365" i="1"/>
  <c r="R365" i="1"/>
  <c r="S365" i="1"/>
  <c r="T365" i="1"/>
  <c r="U365" i="1"/>
  <c r="V365" i="1"/>
  <c r="W365" i="1"/>
  <c r="X365" i="1"/>
  <c r="Y365" i="1"/>
  <c r="Z365" i="1"/>
  <c r="AA365" i="1"/>
  <c r="AB365" i="1"/>
  <c r="A366" i="1"/>
  <c r="B366" i="1"/>
  <c r="C366" i="1"/>
  <c r="D366" i="1"/>
  <c r="E366" i="1"/>
  <c r="F366" i="1"/>
  <c r="G366" i="1"/>
  <c r="H366" i="1"/>
  <c r="I366" i="1"/>
  <c r="J366" i="1"/>
  <c r="K366" i="1"/>
  <c r="L366" i="1"/>
  <c r="M366" i="1"/>
  <c r="N366" i="1"/>
  <c r="O366" i="1"/>
  <c r="P366" i="1"/>
  <c r="Q366" i="1"/>
  <c r="R366" i="1"/>
  <c r="S366" i="1"/>
  <c r="T366" i="1"/>
  <c r="U366" i="1"/>
  <c r="V366" i="1"/>
  <c r="W366" i="1"/>
  <c r="X366" i="1"/>
  <c r="Y366" i="1"/>
  <c r="Z366" i="1"/>
  <c r="AA366" i="1"/>
  <c r="AB366" i="1"/>
  <c r="A367" i="1"/>
  <c r="B367" i="1"/>
  <c r="C367" i="1"/>
  <c r="D367" i="1"/>
  <c r="E367" i="1"/>
  <c r="F367" i="1"/>
  <c r="G367" i="1"/>
  <c r="H367" i="1"/>
  <c r="I367" i="1"/>
  <c r="J367" i="1"/>
  <c r="K367" i="1"/>
  <c r="L367" i="1"/>
  <c r="M367" i="1"/>
  <c r="N367" i="1"/>
  <c r="O367" i="1"/>
  <c r="P367" i="1"/>
  <c r="Q367" i="1"/>
  <c r="R367" i="1"/>
  <c r="S367" i="1"/>
  <c r="T367" i="1"/>
  <c r="U367" i="1"/>
  <c r="V367" i="1"/>
  <c r="W367" i="1"/>
  <c r="X367" i="1"/>
  <c r="Y367" i="1"/>
  <c r="Z367" i="1"/>
  <c r="AA367" i="1"/>
  <c r="AB367" i="1"/>
  <c r="A368" i="1"/>
  <c r="B368" i="1"/>
  <c r="C368" i="1"/>
  <c r="D368" i="1"/>
  <c r="E368" i="1"/>
  <c r="F368" i="1"/>
  <c r="G368" i="1"/>
  <c r="H368" i="1"/>
  <c r="I368" i="1"/>
  <c r="J368" i="1"/>
  <c r="K368" i="1"/>
  <c r="L368" i="1"/>
  <c r="M368" i="1"/>
  <c r="N368" i="1"/>
  <c r="O368" i="1"/>
  <c r="P368" i="1"/>
  <c r="Q368" i="1"/>
  <c r="R368" i="1"/>
  <c r="S368" i="1"/>
  <c r="T368" i="1"/>
  <c r="U368" i="1"/>
  <c r="V368" i="1"/>
  <c r="W368" i="1"/>
  <c r="X368" i="1"/>
  <c r="Y368" i="1"/>
  <c r="Z368" i="1"/>
  <c r="AA368" i="1"/>
  <c r="AB368" i="1"/>
  <c r="A369" i="1"/>
  <c r="B369" i="1"/>
  <c r="C369" i="1"/>
  <c r="D369" i="1"/>
  <c r="E369" i="1"/>
  <c r="F369" i="1"/>
  <c r="G369" i="1"/>
  <c r="H369" i="1"/>
  <c r="I369" i="1"/>
  <c r="J369" i="1"/>
  <c r="K369" i="1"/>
  <c r="L369" i="1"/>
  <c r="M369" i="1"/>
  <c r="N369" i="1"/>
  <c r="O369" i="1"/>
  <c r="P369" i="1"/>
  <c r="Q369" i="1"/>
  <c r="R369" i="1"/>
  <c r="S369" i="1"/>
  <c r="T369" i="1"/>
  <c r="U369" i="1"/>
  <c r="V369" i="1"/>
  <c r="W369" i="1"/>
  <c r="X369" i="1"/>
  <c r="Y369" i="1"/>
  <c r="Z369" i="1"/>
  <c r="AA369" i="1"/>
  <c r="AB369" i="1"/>
  <c r="A370" i="1"/>
  <c r="B370" i="1"/>
  <c r="C370" i="1"/>
  <c r="D370" i="1"/>
  <c r="E370" i="1"/>
  <c r="F370" i="1"/>
  <c r="G370" i="1"/>
  <c r="H370" i="1"/>
  <c r="I370" i="1"/>
  <c r="J370" i="1"/>
  <c r="K370" i="1"/>
  <c r="L370" i="1"/>
  <c r="M370" i="1"/>
  <c r="N370" i="1"/>
  <c r="O370" i="1"/>
  <c r="P370" i="1"/>
  <c r="Q370" i="1"/>
  <c r="R370" i="1"/>
  <c r="S370" i="1"/>
  <c r="T370" i="1"/>
  <c r="U370" i="1"/>
  <c r="V370" i="1"/>
  <c r="W370" i="1"/>
  <c r="X370" i="1"/>
  <c r="Y370" i="1"/>
  <c r="Z370" i="1"/>
  <c r="AA370" i="1"/>
  <c r="AB370" i="1"/>
  <c r="A371" i="1"/>
  <c r="B371" i="1"/>
  <c r="C371" i="1"/>
  <c r="D371" i="1"/>
  <c r="E371" i="1"/>
  <c r="F371" i="1"/>
  <c r="G371" i="1"/>
  <c r="H371" i="1"/>
  <c r="I371" i="1"/>
  <c r="J371" i="1"/>
  <c r="K371" i="1"/>
  <c r="L371" i="1"/>
  <c r="M371" i="1"/>
  <c r="N371" i="1"/>
  <c r="O371" i="1"/>
  <c r="P371" i="1"/>
  <c r="Q371" i="1"/>
  <c r="R371" i="1"/>
  <c r="S371" i="1"/>
  <c r="T371" i="1"/>
  <c r="U371" i="1"/>
  <c r="V371" i="1"/>
  <c r="W371" i="1"/>
  <c r="X371" i="1"/>
  <c r="Y371" i="1"/>
  <c r="Z371" i="1"/>
  <c r="AA371" i="1"/>
  <c r="AB371" i="1"/>
  <c r="A372" i="1"/>
  <c r="B372" i="1"/>
  <c r="C372" i="1"/>
  <c r="D372" i="1"/>
  <c r="E372" i="1"/>
  <c r="F372" i="1"/>
  <c r="G372" i="1"/>
  <c r="H372" i="1"/>
  <c r="I372" i="1"/>
  <c r="J372" i="1"/>
  <c r="K372" i="1"/>
  <c r="L372" i="1"/>
  <c r="M372" i="1"/>
  <c r="N372" i="1"/>
  <c r="O372" i="1"/>
  <c r="P372" i="1"/>
  <c r="Q372" i="1"/>
  <c r="R372" i="1"/>
  <c r="S372" i="1"/>
  <c r="T372" i="1"/>
  <c r="U372" i="1"/>
  <c r="V372" i="1"/>
  <c r="W372" i="1"/>
  <c r="X372" i="1"/>
  <c r="Y372" i="1"/>
  <c r="Z372" i="1"/>
  <c r="AA372" i="1"/>
  <c r="AB372" i="1"/>
  <c r="A373" i="1"/>
  <c r="B373" i="1"/>
  <c r="C373" i="1"/>
  <c r="D373" i="1"/>
  <c r="E373" i="1"/>
  <c r="F373" i="1"/>
  <c r="G373" i="1"/>
  <c r="H373" i="1"/>
  <c r="I373" i="1"/>
  <c r="J373" i="1"/>
  <c r="K373" i="1"/>
  <c r="L373" i="1"/>
  <c r="M373" i="1"/>
  <c r="N373" i="1"/>
  <c r="O373" i="1"/>
  <c r="P373" i="1"/>
  <c r="Q373" i="1"/>
  <c r="R373" i="1"/>
  <c r="S373" i="1"/>
  <c r="T373" i="1"/>
  <c r="U373" i="1"/>
  <c r="V373" i="1"/>
  <c r="W373" i="1"/>
  <c r="X373" i="1"/>
  <c r="Y373" i="1"/>
  <c r="Z373" i="1"/>
  <c r="AA373" i="1"/>
  <c r="AB373" i="1"/>
  <c r="A374" i="1"/>
  <c r="B374" i="1"/>
  <c r="C374" i="1"/>
  <c r="D374" i="1"/>
  <c r="E374" i="1"/>
  <c r="F374" i="1"/>
  <c r="G374" i="1"/>
  <c r="H374" i="1"/>
  <c r="I374" i="1"/>
  <c r="J374" i="1"/>
  <c r="K374" i="1"/>
  <c r="L374" i="1"/>
  <c r="M374" i="1"/>
  <c r="N374" i="1"/>
  <c r="O374" i="1"/>
  <c r="P374" i="1"/>
  <c r="Q374" i="1"/>
  <c r="R374" i="1"/>
  <c r="S374" i="1"/>
  <c r="T374" i="1"/>
  <c r="U374" i="1"/>
  <c r="V374" i="1"/>
  <c r="W374" i="1"/>
  <c r="X374" i="1"/>
  <c r="Y374" i="1"/>
  <c r="Z374" i="1"/>
  <c r="AA374" i="1"/>
  <c r="AB374" i="1"/>
  <c r="A375" i="1"/>
  <c r="B375" i="1"/>
  <c r="C375" i="1"/>
  <c r="D375" i="1"/>
  <c r="E375" i="1"/>
  <c r="F375" i="1"/>
  <c r="G375" i="1"/>
  <c r="H375" i="1"/>
  <c r="I375" i="1"/>
  <c r="J375" i="1"/>
  <c r="K375" i="1"/>
  <c r="L375" i="1"/>
  <c r="M375" i="1"/>
  <c r="N375" i="1"/>
  <c r="O375" i="1"/>
  <c r="P375" i="1"/>
  <c r="Q375" i="1"/>
  <c r="R375" i="1"/>
  <c r="S375" i="1"/>
  <c r="T375" i="1"/>
  <c r="U375" i="1"/>
  <c r="V375" i="1"/>
  <c r="W375" i="1"/>
  <c r="X375" i="1"/>
  <c r="Y375" i="1"/>
  <c r="Z375" i="1"/>
  <c r="AA375" i="1"/>
  <c r="AB375" i="1"/>
  <c r="A376" i="1"/>
  <c r="B376" i="1"/>
  <c r="C376" i="1"/>
  <c r="D376" i="1"/>
  <c r="E376" i="1"/>
  <c r="F376" i="1"/>
  <c r="G376" i="1"/>
  <c r="H376" i="1"/>
  <c r="I376" i="1"/>
  <c r="J376" i="1"/>
  <c r="K376" i="1"/>
  <c r="L376" i="1"/>
  <c r="M376" i="1"/>
  <c r="N376" i="1"/>
  <c r="O376" i="1"/>
  <c r="P376" i="1"/>
  <c r="Q376" i="1"/>
  <c r="R376" i="1"/>
  <c r="S376" i="1"/>
  <c r="T376" i="1"/>
  <c r="U376" i="1"/>
  <c r="V376" i="1"/>
  <c r="W376" i="1"/>
  <c r="X376" i="1"/>
  <c r="Y376" i="1"/>
  <c r="Z376" i="1"/>
  <c r="AA376" i="1"/>
  <c r="AB376" i="1"/>
  <c r="A377" i="1"/>
  <c r="B377" i="1"/>
  <c r="C377" i="1"/>
  <c r="D377" i="1"/>
  <c r="E377" i="1"/>
  <c r="F377" i="1"/>
  <c r="G377" i="1"/>
  <c r="H377" i="1"/>
  <c r="I377" i="1"/>
  <c r="J377" i="1"/>
  <c r="K377" i="1"/>
  <c r="L377" i="1"/>
  <c r="M377" i="1"/>
  <c r="N377" i="1"/>
  <c r="O377" i="1"/>
  <c r="P377" i="1"/>
  <c r="Q377" i="1"/>
  <c r="R377" i="1"/>
  <c r="S377" i="1"/>
  <c r="T377" i="1"/>
  <c r="U377" i="1"/>
  <c r="V377" i="1"/>
  <c r="W377" i="1"/>
  <c r="X377" i="1"/>
  <c r="Y377" i="1"/>
  <c r="Z377" i="1"/>
  <c r="AA377" i="1"/>
  <c r="AB377" i="1"/>
  <c r="A378" i="1"/>
  <c r="B378" i="1"/>
  <c r="C378" i="1"/>
  <c r="D378" i="1"/>
  <c r="E378" i="1"/>
  <c r="F378" i="1"/>
  <c r="G378" i="1"/>
  <c r="H378" i="1"/>
  <c r="I378" i="1"/>
  <c r="J378" i="1"/>
  <c r="K378" i="1"/>
  <c r="L378" i="1"/>
  <c r="M378" i="1"/>
  <c r="N378" i="1"/>
  <c r="O378" i="1"/>
  <c r="P378" i="1"/>
  <c r="Q378" i="1"/>
  <c r="R378" i="1"/>
  <c r="S378" i="1"/>
  <c r="T378" i="1"/>
  <c r="U378" i="1"/>
  <c r="V378" i="1"/>
  <c r="W378" i="1"/>
  <c r="X378" i="1"/>
  <c r="Y378" i="1"/>
  <c r="Z378" i="1"/>
  <c r="AA378" i="1"/>
  <c r="AB378" i="1"/>
  <c r="A379" i="1"/>
  <c r="B379" i="1"/>
  <c r="C379" i="1"/>
  <c r="D379" i="1"/>
  <c r="E379" i="1"/>
  <c r="F379" i="1"/>
  <c r="G379" i="1"/>
  <c r="H379" i="1"/>
  <c r="I379" i="1"/>
  <c r="J379" i="1"/>
  <c r="K379" i="1"/>
  <c r="L379" i="1"/>
  <c r="M379" i="1"/>
  <c r="N379" i="1"/>
  <c r="O379" i="1"/>
  <c r="P379" i="1"/>
  <c r="Q379" i="1"/>
  <c r="R379" i="1"/>
  <c r="S379" i="1"/>
  <c r="T379" i="1"/>
  <c r="U379" i="1"/>
  <c r="V379" i="1"/>
  <c r="W379" i="1"/>
  <c r="X379" i="1"/>
  <c r="Y379" i="1"/>
  <c r="Z379" i="1"/>
  <c r="AA379" i="1"/>
  <c r="AB379" i="1"/>
  <c r="A380" i="1"/>
  <c r="B380" i="1"/>
  <c r="C380" i="1"/>
  <c r="D380" i="1"/>
  <c r="E380" i="1"/>
  <c r="F380" i="1"/>
  <c r="G380" i="1"/>
  <c r="H380" i="1"/>
  <c r="I380" i="1"/>
  <c r="J380" i="1"/>
  <c r="K380" i="1"/>
  <c r="L380" i="1"/>
  <c r="M380" i="1"/>
  <c r="N380" i="1"/>
  <c r="O380" i="1"/>
  <c r="P380" i="1"/>
  <c r="Q380" i="1"/>
  <c r="R380" i="1"/>
  <c r="S380" i="1"/>
  <c r="T380" i="1"/>
  <c r="U380" i="1"/>
  <c r="V380" i="1"/>
  <c r="W380" i="1"/>
  <c r="X380" i="1"/>
  <c r="Y380" i="1"/>
  <c r="Z380" i="1"/>
  <c r="AA380" i="1"/>
  <c r="AB380" i="1"/>
  <c r="A381" i="1"/>
  <c r="B381" i="1"/>
  <c r="C381" i="1"/>
  <c r="D381" i="1"/>
  <c r="E381" i="1"/>
  <c r="F381" i="1"/>
  <c r="G381" i="1"/>
  <c r="H381" i="1"/>
  <c r="I381" i="1"/>
  <c r="J381" i="1"/>
  <c r="K381" i="1"/>
  <c r="L381" i="1"/>
  <c r="M381" i="1"/>
  <c r="N381" i="1"/>
  <c r="O381" i="1"/>
  <c r="P381" i="1"/>
  <c r="Q381" i="1"/>
  <c r="R381" i="1"/>
  <c r="S381" i="1"/>
  <c r="T381" i="1"/>
  <c r="U381" i="1"/>
  <c r="V381" i="1"/>
  <c r="W381" i="1"/>
  <c r="X381" i="1"/>
  <c r="Y381" i="1"/>
  <c r="Z381" i="1"/>
  <c r="AA381" i="1"/>
  <c r="AB381" i="1"/>
  <c r="A382" i="1"/>
  <c r="B382" i="1"/>
  <c r="C382" i="1"/>
  <c r="D382" i="1"/>
  <c r="E382" i="1"/>
  <c r="F382" i="1"/>
  <c r="G382" i="1"/>
  <c r="H382" i="1"/>
  <c r="I382" i="1"/>
  <c r="J382" i="1"/>
  <c r="K382" i="1"/>
  <c r="L382" i="1"/>
  <c r="M382" i="1"/>
  <c r="N382" i="1"/>
  <c r="O382" i="1"/>
  <c r="P382" i="1"/>
  <c r="Q382" i="1"/>
  <c r="R382" i="1"/>
  <c r="S382" i="1"/>
  <c r="T382" i="1"/>
  <c r="U382" i="1"/>
  <c r="V382" i="1"/>
  <c r="W382" i="1"/>
  <c r="X382" i="1"/>
  <c r="Y382" i="1"/>
  <c r="Z382" i="1"/>
  <c r="AA382" i="1"/>
  <c r="AB382" i="1"/>
  <c r="A383" i="1"/>
  <c r="B383" i="1"/>
  <c r="C383" i="1"/>
  <c r="D383" i="1"/>
  <c r="E383" i="1"/>
  <c r="F383" i="1"/>
  <c r="G383" i="1"/>
  <c r="H383" i="1"/>
  <c r="I383" i="1"/>
  <c r="J383" i="1"/>
  <c r="K383" i="1"/>
  <c r="L383" i="1"/>
  <c r="M383" i="1"/>
  <c r="N383" i="1"/>
  <c r="O383" i="1"/>
  <c r="P383" i="1"/>
  <c r="Q383" i="1"/>
  <c r="R383" i="1"/>
  <c r="S383" i="1"/>
  <c r="T383" i="1"/>
  <c r="U383" i="1"/>
  <c r="V383" i="1"/>
  <c r="W383" i="1"/>
  <c r="X383" i="1"/>
  <c r="Y383" i="1"/>
  <c r="Z383" i="1"/>
  <c r="AA383" i="1"/>
  <c r="AB383" i="1"/>
  <c r="A384" i="1"/>
  <c r="B384" i="1"/>
  <c r="C384" i="1"/>
  <c r="D384" i="1"/>
  <c r="E384" i="1"/>
  <c r="F384" i="1"/>
  <c r="G384" i="1"/>
  <c r="H384" i="1"/>
  <c r="I384" i="1"/>
  <c r="J384" i="1"/>
  <c r="K384" i="1"/>
  <c r="L384" i="1"/>
  <c r="M384" i="1"/>
  <c r="N384" i="1"/>
  <c r="O384" i="1"/>
  <c r="P384" i="1"/>
  <c r="Q384" i="1"/>
  <c r="R384" i="1"/>
  <c r="S384" i="1"/>
  <c r="T384" i="1"/>
  <c r="U384" i="1"/>
  <c r="V384" i="1"/>
  <c r="W384" i="1"/>
  <c r="X384" i="1"/>
  <c r="Y384" i="1"/>
  <c r="Z384" i="1"/>
  <c r="AA384" i="1"/>
  <c r="AB384" i="1"/>
  <c r="A385" i="1"/>
  <c r="B385" i="1"/>
  <c r="C385" i="1"/>
  <c r="D385" i="1"/>
  <c r="E385" i="1"/>
  <c r="F385" i="1"/>
  <c r="G385" i="1"/>
  <c r="H385" i="1"/>
  <c r="I385" i="1"/>
  <c r="J385" i="1"/>
  <c r="K385" i="1"/>
  <c r="L385" i="1"/>
  <c r="M385" i="1"/>
  <c r="N385" i="1"/>
  <c r="O385" i="1"/>
  <c r="P385" i="1"/>
  <c r="Q385" i="1"/>
  <c r="R385" i="1"/>
  <c r="S385" i="1"/>
  <c r="T385" i="1"/>
  <c r="U385" i="1"/>
  <c r="V385" i="1"/>
  <c r="W385" i="1"/>
  <c r="X385" i="1"/>
  <c r="Y385" i="1"/>
  <c r="Z385" i="1"/>
  <c r="AA385" i="1"/>
  <c r="AB385" i="1"/>
  <c r="A386" i="1"/>
  <c r="B386" i="1"/>
  <c r="C386" i="1"/>
  <c r="D386" i="1"/>
  <c r="E386" i="1"/>
  <c r="F386" i="1"/>
  <c r="G386" i="1"/>
  <c r="H386" i="1"/>
  <c r="I386" i="1"/>
  <c r="J386" i="1"/>
  <c r="K386" i="1"/>
  <c r="L386" i="1"/>
  <c r="M386" i="1"/>
  <c r="N386" i="1"/>
  <c r="O386" i="1"/>
  <c r="P386" i="1"/>
  <c r="Q386" i="1"/>
  <c r="R386" i="1"/>
  <c r="S386" i="1"/>
  <c r="T386" i="1"/>
  <c r="U386" i="1"/>
  <c r="V386" i="1"/>
  <c r="W386" i="1"/>
  <c r="X386" i="1"/>
  <c r="Y386" i="1"/>
  <c r="Z386" i="1"/>
  <c r="AA386" i="1"/>
  <c r="AB386" i="1"/>
  <c r="A387" i="1"/>
  <c r="B387" i="1"/>
  <c r="C387" i="1"/>
  <c r="D387" i="1"/>
  <c r="E387" i="1"/>
  <c r="F387" i="1"/>
  <c r="G387" i="1"/>
  <c r="H387" i="1"/>
  <c r="I387" i="1"/>
  <c r="J387" i="1"/>
  <c r="K387" i="1"/>
  <c r="L387" i="1"/>
  <c r="M387" i="1"/>
  <c r="N387" i="1"/>
  <c r="O387" i="1"/>
  <c r="P387" i="1"/>
  <c r="Q387" i="1"/>
  <c r="R387" i="1"/>
  <c r="S387" i="1"/>
  <c r="T387" i="1"/>
  <c r="U387" i="1"/>
  <c r="V387" i="1"/>
  <c r="W387" i="1"/>
  <c r="X387" i="1"/>
  <c r="Y387" i="1"/>
  <c r="Z387" i="1"/>
  <c r="AA387" i="1"/>
  <c r="AB387" i="1"/>
  <c r="A388" i="1"/>
  <c r="B388" i="1"/>
  <c r="C388" i="1"/>
  <c r="D388" i="1"/>
  <c r="E388" i="1"/>
  <c r="F388" i="1"/>
  <c r="G388" i="1"/>
  <c r="H388" i="1"/>
  <c r="I388" i="1"/>
  <c r="J388" i="1"/>
  <c r="K388" i="1"/>
  <c r="L388" i="1"/>
  <c r="M388" i="1"/>
  <c r="N388" i="1"/>
  <c r="O388" i="1"/>
  <c r="P388" i="1"/>
  <c r="Q388" i="1"/>
  <c r="R388" i="1"/>
  <c r="S388" i="1"/>
  <c r="T388" i="1"/>
  <c r="U388" i="1"/>
  <c r="V388" i="1"/>
  <c r="W388" i="1"/>
  <c r="X388" i="1"/>
  <c r="Y388" i="1"/>
  <c r="Z388" i="1"/>
  <c r="AA388" i="1"/>
  <c r="AB388" i="1"/>
  <c r="A389" i="1"/>
  <c r="B389" i="1"/>
  <c r="C389" i="1"/>
  <c r="D389" i="1"/>
  <c r="E389" i="1"/>
  <c r="F389" i="1"/>
  <c r="G389" i="1"/>
  <c r="H389" i="1"/>
  <c r="I389" i="1"/>
  <c r="J389" i="1"/>
  <c r="K389" i="1"/>
  <c r="L389" i="1"/>
  <c r="M389" i="1"/>
  <c r="N389" i="1"/>
  <c r="O389" i="1"/>
  <c r="P389" i="1"/>
  <c r="Q389" i="1"/>
  <c r="R389" i="1"/>
  <c r="S389" i="1"/>
  <c r="T389" i="1"/>
  <c r="U389" i="1"/>
  <c r="V389" i="1"/>
  <c r="W389" i="1"/>
  <c r="X389" i="1"/>
  <c r="Y389" i="1"/>
  <c r="Z389" i="1"/>
  <c r="AA389" i="1"/>
  <c r="AB389" i="1"/>
  <c r="A390" i="1"/>
  <c r="B390" i="1"/>
  <c r="C390" i="1"/>
  <c r="D390" i="1"/>
  <c r="E390" i="1"/>
  <c r="F390" i="1"/>
  <c r="G390" i="1"/>
  <c r="H390" i="1"/>
  <c r="I390" i="1"/>
  <c r="J390" i="1"/>
  <c r="K390" i="1"/>
  <c r="L390" i="1"/>
  <c r="M390" i="1"/>
  <c r="N390" i="1"/>
  <c r="O390" i="1"/>
  <c r="P390" i="1"/>
  <c r="Q390" i="1"/>
  <c r="R390" i="1"/>
  <c r="S390" i="1"/>
  <c r="T390" i="1"/>
  <c r="U390" i="1"/>
  <c r="V390" i="1"/>
  <c r="W390" i="1"/>
  <c r="X390" i="1"/>
  <c r="Y390" i="1"/>
  <c r="Z390" i="1"/>
  <c r="AA390" i="1"/>
  <c r="AB390" i="1"/>
  <c r="A391" i="1"/>
  <c r="B391" i="1"/>
  <c r="C391" i="1"/>
  <c r="D391" i="1"/>
  <c r="E391" i="1"/>
  <c r="F391" i="1"/>
  <c r="G391" i="1"/>
  <c r="H391" i="1"/>
  <c r="I391" i="1"/>
  <c r="J391" i="1"/>
  <c r="K391" i="1"/>
  <c r="L391" i="1"/>
  <c r="M391" i="1"/>
  <c r="N391" i="1"/>
  <c r="O391" i="1"/>
  <c r="P391" i="1"/>
  <c r="Q391" i="1"/>
  <c r="R391" i="1"/>
  <c r="S391" i="1"/>
  <c r="T391" i="1"/>
  <c r="U391" i="1"/>
  <c r="V391" i="1"/>
  <c r="W391" i="1"/>
  <c r="X391" i="1"/>
  <c r="Y391" i="1"/>
  <c r="Z391" i="1"/>
  <c r="AA391" i="1"/>
  <c r="AB391" i="1"/>
  <c r="A392" i="1"/>
  <c r="B392" i="1"/>
  <c r="C392" i="1"/>
  <c r="D392" i="1"/>
  <c r="E392" i="1"/>
  <c r="F392" i="1"/>
  <c r="G392" i="1"/>
  <c r="H392" i="1"/>
  <c r="I392" i="1"/>
  <c r="J392" i="1"/>
  <c r="K392" i="1"/>
  <c r="L392" i="1"/>
  <c r="M392" i="1"/>
  <c r="N392" i="1"/>
  <c r="O392" i="1"/>
  <c r="P392" i="1"/>
  <c r="Q392" i="1"/>
  <c r="R392" i="1"/>
  <c r="S392" i="1"/>
  <c r="T392" i="1"/>
  <c r="U392" i="1"/>
  <c r="V392" i="1"/>
  <c r="W392" i="1"/>
  <c r="X392" i="1"/>
  <c r="Y392" i="1"/>
  <c r="Z392" i="1"/>
  <c r="AA392" i="1"/>
  <c r="AB392" i="1"/>
  <c r="A393" i="1"/>
  <c r="B393" i="1"/>
  <c r="C393" i="1"/>
  <c r="D393" i="1"/>
  <c r="E393" i="1"/>
  <c r="F393" i="1"/>
  <c r="G393" i="1"/>
  <c r="H393" i="1"/>
  <c r="I393" i="1"/>
  <c r="J393" i="1"/>
  <c r="K393" i="1"/>
  <c r="L393" i="1"/>
  <c r="M393" i="1"/>
  <c r="N393" i="1"/>
  <c r="O393" i="1"/>
  <c r="P393" i="1"/>
  <c r="Q393" i="1"/>
  <c r="R393" i="1"/>
  <c r="S393" i="1"/>
  <c r="T393" i="1"/>
  <c r="U393" i="1"/>
  <c r="V393" i="1"/>
  <c r="W393" i="1"/>
  <c r="X393" i="1"/>
  <c r="Y393" i="1"/>
  <c r="Z393" i="1"/>
  <c r="AA393" i="1"/>
  <c r="AB393" i="1"/>
  <c r="A394" i="1"/>
  <c r="B394" i="1"/>
  <c r="C394" i="1"/>
  <c r="D394" i="1"/>
  <c r="E394" i="1"/>
  <c r="F394" i="1"/>
  <c r="G394" i="1"/>
  <c r="H394" i="1"/>
  <c r="I394" i="1"/>
  <c r="J394" i="1"/>
  <c r="K394" i="1"/>
  <c r="L394" i="1"/>
  <c r="M394" i="1"/>
  <c r="N394" i="1"/>
  <c r="O394" i="1"/>
  <c r="P394" i="1"/>
  <c r="Q394" i="1"/>
  <c r="R394" i="1"/>
  <c r="S394" i="1"/>
  <c r="T394" i="1"/>
  <c r="U394" i="1"/>
  <c r="V394" i="1"/>
  <c r="W394" i="1"/>
  <c r="X394" i="1"/>
  <c r="Y394" i="1"/>
  <c r="Z394" i="1"/>
  <c r="AA394" i="1"/>
  <c r="AB394" i="1"/>
  <c r="A395" i="1"/>
  <c r="B395" i="1"/>
  <c r="C395" i="1"/>
  <c r="D395" i="1"/>
  <c r="E395" i="1"/>
  <c r="F395" i="1"/>
  <c r="G395" i="1"/>
  <c r="H395" i="1"/>
  <c r="I395" i="1"/>
  <c r="J395" i="1"/>
  <c r="K395" i="1"/>
  <c r="L395" i="1"/>
  <c r="M395" i="1"/>
  <c r="N395" i="1"/>
  <c r="O395" i="1"/>
  <c r="P395" i="1"/>
  <c r="Q395" i="1"/>
  <c r="R395" i="1"/>
  <c r="S395" i="1"/>
  <c r="T395" i="1"/>
  <c r="U395" i="1"/>
  <c r="V395" i="1"/>
  <c r="W395" i="1"/>
  <c r="X395" i="1"/>
  <c r="Y395" i="1"/>
  <c r="Z395" i="1"/>
  <c r="AA395" i="1"/>
  <c r="AB395" i="1"/>
  <c r="A396" i="1"/>
  <c r="B396" i="1"/>
  <c r="C396" i="1"/>
  <c r="D396" i="1"/>
  <c r="E396" i="1"/>
  <c r="F396" i="1"/>
  <c r="G396" i="1"/>
  <c r="H396" i="1"/>
  <c r="I396" i="1"/>
  <c r="J396" i="1"/>
  <c r="K396" i="1"/>
  <c r="L396" i="1"/>
  <c r="M396" i="1"/>
  <c r="N396" i="1"/>
  <c r="O396" i="1"/>
  <c r="P396" i="1"/>
  <c r="Q396" i="1"/>
  <c r="R396" i="1"/>
  <c r="S396" i="1"/>
  <c r="T396" i="1"/>
  <c r="U396" i="1"/>
  <c r="V396" i="1"/>
  <c r="W396" i="1"/>
  <c r="X396" i="1"/>
  <c r="Y396" i="1"/>
  <c r="Z396" i="1"/>
  <c r="AA396" i="1"/>
  <c r="AB396" i="1"/>
  <c r="A397" i="1"/>
  <c r="B397" i="1"/>
  <c r="C397" i="1"/>
  <c r="D397" i="1"/>
  <c r="E397" i="1"/>
  <c r="F397" i="1"/>
  <c r="G397" i="1"/>
  <c r="H397" i="1"/>
  <c r="I397" i="1"/>
  <c r="J397" i="1"/>
  <c r="K397" i="1"/>
  <c r="L397" i="1"/>
  <c r="M397" i="1"/>
  <c r="N397" i="1"/>
  <c r="O397" i="1"/>
  <c r="P397" i="1"/>
  <c r="Q397" i="1"/>
  <c r="R397" i="1"/>
  <c r="S397" i="1"/>
  <c r="T397" i="1"/>
  <c r="U397" i="1"/>
  <c r="V397" i="1"/>
  <c r="W397" i="1"/>
  <c r="X397" i="1"/>
  <c r="Y397" i="1"/>
  <c r="Z397" i="1"/>
  <c r="AA397" i="1"/>
  <c r="AB397" i="1"/>
  <c r="A398" i="1"/>
  <c r="B398" i="1"/>
  <c r="C398" i="1"/>
  <c r="D398" i="1"/>
  <c r="E398" i="1"/>
  <c r="F398" i="1"/>
  <c r="G398" i="1"/>
  <c r="H398" i="1"/>
  <c r="I398" i="1"/>
  <c r="J398" i="1"/>
  <c r="K398" i="1"/>
  <c r="L398" i="1"/>
  <c r="M398" i="1"/>
  <c r="N398" i="1"/>
  <c r="O398" i="1"/>
  <c r="P398" i="1"/>
  <c r="Q398" i="1"/>
  <c r="R398" i="1"/>
  <c r="S398" i="1"/>
  <c r="T398" i="1"/>
  <c r="U398" i="1"/>
  <c r="V398" i="1"/>
  <c r="W398" i="1"/>
  <c r="X398" i="1"/>
  <c r="Y398" i="1"/>
  <c r="Z398" i="1"/>
  <c r="AA398" i="1"/>
  <c r="AB398" i="1"/>
  <c r="A399" i="1"/>
  <c r="B399" i="1"/>
  <c r="C399" i="1"/>
  <c r="D399" i="1"/>
  <c r="E399" i="1"/>
  <c r="F399" i="1"/>
  <c r="G399" i="1"/>
  <c r="H399" i="1"/>
  <c r="I399" i="1"/>
  <c r="J399" i="1"/>
  <c r="K399" i="1"/>
  <c r="L399" i="1"/>
  <c r="M399" i="1"/>
  <c r="N399" i="1"/>
  <c r="O399" i="1"/>
  <c r="P399" i="1"/>
  <c r="Q399" i="1"/>
  <c r="R399" i="1"/>
  <c r="S399" i="1"/>
  <c r="T399" i="1"/>
  <c r="U399" i="1"/>
  <c r="V399" i="1"/>
  <c r="W399" i="1"/>
  <c r="X399" i="1"/>
  <c r="Y399" i="1"/>
  <c r="Z399" i="1"/>
  <c r="AA399" i="1"/>
  <c r="AB399" i="1"/>
  <c r="A400" i="1"/>
  <c r="B400" i="1"/>
  <c r="C400" i="1"/>
  <c r="D400" i="1"/>
  <c r="E400" i="1"/>
  <c r="F400" i="1"/>
  <c r="G400" i="1"/>
  <c r="H400" i="1"/>
  <c r="I400" i="1"/>
  <c r="J400" i="1"/>
  <c r="K400" i="1"/>
  <c r="L400" i="1"/>
  <c r="M400" i="1"/>
  <c r="N400" i="1"/>
  <c r="O400" i="1"/>
  <c r="P400" i="1"/>
  <c r="Q400" i="1"/>
  <c r="R400" i="1"/>
  <c r="S400" i="1"/>
  <c r="T400" i="1"/>
  <c r="U400" i="1"/>
  <c r="V400" i="1"/>
  <c r="W400" i="1"/>
  <c r="X400" i="1"/>
  <c r="Y400" i="1"/>
  <c r="Z400" i="1"/>
  <c r="AA400" i="1"/>
  <c r="AB400" i="1"/>
  <c r="A401" i="1"/>
  <c r="B401" i="1"/>
  <c r="C401" i="1"/>
  <c r="D401" i="1"/>
  <c r="E401" i="1"/>
  <c r="F401" i="1"/>
  <c r="G401" i="1"/>
  <c r="H401" i="1"/>
  <c r="I401" i="1"/>
  <c r="J401" i="1"/>
  <c r="K401" i="1"/>
  <c r="L401" i="1"/>
  <c r="M401" i="1"/>
  <c r="N401" i="1"/>
  <c r="O401" i="1"/>
  <c r="P401" i="1"/>
  <c r="Q401" i="1"/>
  <c r="R401" i="1"/>
  <c r="S401" i="1"/>
  <c r="T401" i="1"/>
  <c r="U401" i="1"/>
  <c r="V401" i="1"/>
  <c r="W401" i="1"/>
  <c r="X401" i="1"/>
  <c r="Y401" i="1"/>
  <c r="Z401" i="1"/>
  <c r="AA401" i="1"/>
  <c r="AB401" i="1"/>
  <c r="A402" i="1"/>
  <c r="B402" i="1"/>
  <c r="C402" i="1"/>
  <c r="D402" i="1"/>
  <c r="E402" i="1"/>
  <c r="F402" i="1"/>
  <c r="G402" i="1"/>
  <c r="H402" i="1"/>
  <c r="I402" i="1"/>
  <c r="J402" i="1"/>
  <c r="K402" i="1"/>
  <c r="L402" i="1"/>
  <c r="M402" i="1"/>
  <c r="N402" i="1"/>
  <c r="O402" i="1"/>
  <c r="P402" i="1"/>
  <c r="Q402" i="1"/>
  <c r="R402" i="1"/>
  <c r="S402" i="1"/>
  <c r="T402" i="1"/>
  <c r="U402" i="1"/>
  <c r="V402" i="1"/>
  <c r="W402" i="1"/>
  <c r="X402" i="1"/>
  <c r="Y402" i="1"/>
  <c r="Z402" i="1"/>
  <c r="AA402" i="1"/>
  <c r="AB402" i="1"/>
  <c r="A403" i="1"/>
  <c r="B403" i="1"/>
  <c r="C403" i="1"/>
  <c r="D403" i="1"/>
  <c r="E403" i="1"/>
  <c r="F403" i="1"/>
  <c r="G403" i="1"/>
  <c r="H403" i="1"/>
  <c r="I403" i="1"/>
  <c r="J403" i="1"/>
  <c r="K403" i="1"/>
  <c r="L403" i="1"/>
  <c r="M403" i="1"/>
  <c r="N403" i="1"/>
  <c r="O403" i="1"/>
  <c r="P403" i="1"/>
  <c r="Q403" i="1"/>
  <c r="R403" i="1"/>
  <c r="S403" i="1"/>
  <c r="T403" i="1"/>
  <c r="U403" i="1"/>
  <c r="V403" i="1"/>
  <c r="W403" i="1"/>
  <c r="X403" i="1"/>
  <c r="Y403" i="1"/>
  <c r="Z403" i="1"/>
  <c r="AA403" i="1"/>
  <c r="AB403" i="1"/>
  <c r="A404" i="1"/>
  <c r="B404" i="1"/>
  <c r="C404" i="1"/>
  <c r="D404" i="1"/>
  <c r="E404" i="1"/>
  <c r="F404" i="1"/>
  <c r="G404" i="1"/>
  <c r="H404" i="1"/>
  <c r="I404" i="1"/>
  <c r="J404" i="1"/>
  <c r="K404" i="1"/>
  <c r="L404" i="1"/>
  <c r="M404" i="1"/>
  <c r="N404" i="1"/>
  <c r="O404" i="1"/>
  <c r="P404" i="1"/>
  <c r="Q404" i="1"/>
  <c r="R404" i="1"/>
  <c r="S404" i="1"/>
  <c r="T404" i="1"/>
  <c r="U404" i="1"/>
  <c r="V404" i="1"/>
  <c r="W404" i="1"/>
  <c r="X404" i="1"/>
  <c r="Y404" i="1"/>
  <c r="Z404" i="1"/>
  <c r="AA404" i="1"/>
  <c r="AB404" i="1"/>
  <c r="A405" i="1"/>
  <c r="B405" i="1"/>
  <c r="C405" i="1"/>
  <c r="D405" i="1"/>
  <c r="E405" i="1"/>
  <c r="F405" i="1"/>
  <c r="G405" i="1"/>
  <c r="H405" i="1"/>
  <c r="I405" i="1"/>
  <c r="J405" i="1"/>
  <c r="K405" i="1"/>
  <c r="L405" i="1"/>
  <c r="M405" i="1"/>
  <c r="N405" i="1"/>
  <c r="O405" i="1"/>
  <c r="P405" i="1"/>
  <c r="Q405" i="1"/>
  <c r="R405" i="1"/>
  <c r="S405" i="1"/>
  <c r="T405" i="1"/>
  <c r="U405" i="1"/>
  <c r="V405" i="1"/>
  <c r="W405" i="1"/>
  <c r="X405" i="1"/>
  <c r="Y405" i="1"/>
  <c r="Z405" i="1"/>
  <c r="AA405" i="1"/>
  <c r="AB405" i="1"/>
  <c r="A406" i="1"/>
  <c r="B406" i="1"/>
  <c r="C406" i="1"/>
  <c r="D406" i="1"/>
  <c r="E406" i="1"/>
  <c r="F406" i="1"/>
  <c r="G406" i="1"/>
  <c r="H406" i="1"/>
  <c r="I406" i="1"/>
  <c r="J406" i="1"/>
  <c r="K406" i="1"/>
  <c r="L406" i="1"/>
  <c r="M406" i="1"/>
  <c r="N406" i="1"/>
  <c r="O406" i="1"/>
  <c r="P406" i="1"/>
  <c r="Q406" i="1"/>
  <c r="R406" i="1"/>
  <c r="S406" i="1"/>
  <c r="T406" i="1"/>
  <c r="U406" i="1"/>
  <c r="V406" i="1"/>
  <c r="W406" i="1"/>
  <c r="X406" i="1"/>
  <c r="Y406" i="1"/>
  <c r="Z406" i="1"/>
  <c r="AA406" i="1"/>
  <c r="AB406" i="1"/>
  <c r="A407" i="1"/>
  <c r="B407" i="1"/>
  <c r="C407" i="1"/>
  <c r="D407" i="1"/>
  <c r="E407" i="1"/>
  <c r="F407" i="1"/>
  <c r="G407" i="1"/>
  <c r="H407" i="1"/>
  <c r="I407" i="1"/>
  <c r="J407" i="1"/>
  <c r="K407" i="1"/>
  <c r="L407" i="1"/>
  <c r="M407" i="1"/>
  <c r="N407" i="1"/>
  <c r="O407" i="1"/>
  <c r="P407" i="1"/>
  <c r="Q407" i="1"/>
  <c r="R407" i="1"/>
  <c r="S407" i="1"/>
  <c r="T407" i="1"/>
  <c r="U407" i="1"/>
  <c r="V407" i="1"/>
  <c r="W407" i="1"/>
  <c r="X407" i="1"/>
  <c r="Y407" i="1"/>
  <c r="Z407" i="1"/>
  <c r="AA407" i="1"/>
  <c r="AB407" i="1"/>
  <c r="A408" i="1"/>
  <c r="B408" i="1"/>
  <c r="C408" i="1"/>
  <c r="D408" i="1"/>
  <c r="E408" i="1"/>
  <c r="F408" i="1"/>
  <c r="G408" i="1"/>
  <c r="H408" i="1"/>
  <c r="I408" i="1"/>
  <c r="J408" i="1"/>
  <c r="K408" i="1"/>
  <c r="L408" i="1"/>
  <c r="M408" i="1"/>
  <c r="N408" i="1"/>
  <c r="O408" i="1"/>
  <c r="P408" i="1"/>
  <c r="Q408" i="1"/>
  <c r="R408" i="1"/>
  <c r="S408" i="1"/>
  <c r="T408" i="1"/>
  <c r="U408" i="1"/>
  <c r="V408" i="1"/>
  <c r="W408" i="1"/>
  <c r="X408" i="1"/>
  <c r="Y408" i="1"/>
  <c r="Z408" i="1"/>
  <c r="AA408" i="1"/>
  <c r="AB408" i="1"/>
  <c r="A409" i="1"/>
  <c r="B409" i="1"/>
  <c r="C409" i="1"/>
  <c r="D409" i="1"/>
  <c r="E409" i="1"/>
  <c r="F409" i="1"/>
  <c r="G409" i="1"/>
  <c r="H409" i="1"/>
  <c r="I409" i="1"/>
  <c r="J409" i="1"/>
  <c r="K409" i="1"/>
  <c r="L409" i="1"/>
  <c r="M409" i="1"/>
  <c r="N409" i="1"/>
  <c r="O409" i="1"/>
  <c r="P409" i="1"/>
  <c r="Q409" i="1"/>
  <c r="R409" i="1"/>
  <c r="S409" i="1"/>
  <c r="T409" i="1"/>
  <c r="U409" i="1"/>
  <c r="V409" i="1"/>
  <c r="W409" i="1"/>
  <c r="X409" i="1"/>
  <c r="Y409" i="1"/>
  <c r="Z409" i="1"/>
  <c r="AA409" i="1"/>
  <c r="AB409" i="1"/>
  <c r="A410" i="1"/>
  <c r="B410" i="1"/>
  <c r="C410" i="1"/>
  <c r="D410" i="1"/>
  <c r="E410" i="1"/>
  <c r="F410" i="1"/>
  <c r="G410" i="1"/>
  <c r="H410" i="1"/>
  <c r="I410" i="1"/>
  <c r="J410" i="1"/>
  <c r="K410" i="1"/>
  <c r="L410" i="1"/>
  <c r="M410" i="1"/>
  <c r="N410" i="1"/>
  <c r="O410" i="1"/>
  <c r="P410" i="1"/>
  <c r="Q410" i="1"/>
  <c r="R410" i="1"/>
  <c r="S410" i="1"/>
  <c r="T410" i="1"/>
  <c r="U410" i="1"/>
  <c r="V410" i="1"/>
  <c r="W410" i="1"/>
  <c r="X410" i="1"/>
  <c r="Y410" i="1"/>
  <c r="Z410" i="1"/>
  <c r="AA410" i="1"/>
  <c r="AB410" i="1"/>
  <c r="A411" i="1"/>
  <c r="B411" i="1"/>
  <c r="C411" i="1"/>
  <c r="D411" i="1"/>
  <c r="E411" i="1"/>
  <c r="F411" i="1"/>
  <c r="G411" i="1"/>
  <c r="H411" i="1"/>
  <c r="I411" i="1"/>
  <c r="J411" i="1"/>
  <c r="K411" i="1"/>
  <c r="L411" i="1"/>
  <c r="M411" i="1"/>
  <c r="N411" i="1"/>
  <c r="O411" i="1"/>
  <c r="P411" i="1"/>
  <c r="Q411" i="1"/>
  <c r="R411" i="1"/>
  <c r="S411" i="1"/>
  <c r="T411" i="1"/>
  <c r="U411" i="1"/>
  <c r="V411" i="1"/>
  <c r="W411" i="1"/>
  <c r="X411" i="1"/>
  <c r="Y411" i="1"/>
  <c r="Z411" i="1"/>
  <c r="AA411" i="1"/>
  <c r="AB411" i="1"/>
  <c r="A412" i="1"/>
  <c r="B412" i="1"/>
  <c r="C412" i="1"/>
  <c r="D412" i="1"/>
  <c r="E412" i="1"/>
  <c r="F412" i="1"/>
  <c r="G412" i="1"/>
  <c r="H412" i="1"/>
  <c r="I412" i="1"/>
  <c r="J412" i="1"/>
  <c r="K412" i="1"/>
  <c r="L412" i="1"/>
  <c r="M412" i="1"/>
  <c r="N412" i="1"/>
  <c r="O412" i="1"/>
  <c r="P412" i="1"/>
  <c r="Q412" i="1"/>
  <c r="R412" i="1"/>
  <c r="S412" i="1"/>
  <c r="T412" i="1"/>
  <c r="U412" i="1"/>
  <c r="V412" i="1"/>
  <c r="W412" i="1"/>
  <c r="X412" i="1"/>
  <c r="Y412" i="1"/>
  <c r="Z412" i="1"/>
  <c r="AA412" i="1"/>
  <c r="AB412" i="1"/>
  <c r="A413" i="1"/>
  <c r="B413" i="1"/>
  <c r="C413" i="1"/>
  <c r="D413" i="1"/>
  <c r="E413" i="1"/>
  <c r="F413" i="1"/>
  <c r="G413" i="1"/>
  <c r="H413" i="1"/>
  <c r="I413" i="1"/>
  <c r="J413" i="1"/>
  <c r="K413" i="1"/>
  <c r="L413" i="1"/>
  <c r="M413" i="1"/>
  <c r="N413" i="1"/>
  <c r="O413" i="1"/>
  <c r="P413" i="1"/>
  <c r="Q413" i="1"/>
  <c r="R413" i="1"/>
  <c r="S413" i="1"/>
  <c r="T413" i="1"/>
  <c r="U413" i="1"/>
  <c r="V413" i="1"/>
  <c r="W413" i="1"/>
  <c r="X413" i="1"/>
  <c r="Y413" i="1"/>
  <c r="Z413" i="1"/>
  <c r="AA413" i="1"/>
  <c r="AB413" i="1"/>
  <c r="A414" i="1"/>
  <c r="B414" i="1"/>
  <c r="C414" i="1"/>
  <c r="D414" i="1"/>
  <c r="E414" i="1"/>
  <c r="F414" i="1"/>
  <c r="G414" i="1"/>
  <c r="H414" i="1"/>
  <c r="I414" i="1"/>
  <c r="J414" i="1"/>
  <c r="K414" i="1"/>
  <c r="L414" i="1"/>
  <c r="M414" i="1"/>
  <c r="N414" i="1"/>
  <c r="O414" i="1"/>
  <c r="P414" i="1"/>
  <c r="Q414" i="1"/>
  <c r="R414" i="1"/>
  <c r="S414" i="1"/>
  <c r="T414" i="1"/>
  <c r="U414" i="1"/>
  <c r="V414" i="1"/>
  <c r="W414" i="1"/>
  <c r="X414" i="1"/>
  <c r="Y414" i="1"/>
  <c r="Z414" i="1"/>
  <c r="AA414" i="1"/>
  <c r="AB414" i="1"/>
  <c r="A415" i="1"/>
  <c r="B415" i="1"/>
  <c r="C415" i="1"/>
  <c r="D415" i="1"/>
  <c r="E415" i="1"/>
  <c r="F415" i="1"/>
  <c r="G415" i="1"/>
  <c r="H415" i="1"/>
  <c r="I415" i="1"/>
  <c r="J415" i="1"/>
  <c r="K415" i="1"/>
  <c r="L415" i="1"/>
  <c r="M415" i="1"/>
  <c r="N415" i="1"/>
  <c r="O415" i="1"/>
  <c r="P415" i="1"/>
  <c r="Q415" i="1"/>
  <c r="R415" i="1"/>
  <c r="S415" i="1"/>
  <c r="T415" i="1"/>
  <c r="U415" i="1"/>
  <c r="V415" i="1"/>
  <c r="W415" i="1"/>
  <c r="X415" i="1"/>
  <c r="Y415" i="1"/>
  <c r="Z415" i="1"/>
  <c r="AA415" i="1"/>
  <c r="AB415" i="1"/>
  <c r="A416" i="1"/>
  <c r="B416" i="1"/>
  <c r="C416" i="1"/>
  <c r="D416" i="1"/>
  <c r="E416" i="1"/>
  <c r="F416" i="1"/>
  <c r="G416" i="1"/>
  <c r="H416" i="1"/>
  <c r="I416" i="1"/>
  <c r="J416" i="1"/>
  <c r="K416" i="1"/>
  <c r="L416" i="1"/>
  <c r="M416" i="1"/>
  <c r="N416" i="1"/>
  <c r="O416" i="1"/>
  <c r="P416" i="1"/>
  <c r="Q416" i="1"/>
  <c r="R416" i="1"/>
  <c r="S416" i="1"/>
  <c r="T416" i="1"/>
  <c r="U416" i="1"/>
  <c r="V416" i="1"/>
  <c r="W416" i="1"/>
  <c r="X416" i="1"/>
  <c r="Y416" i="1"/>
  <c r="Z416" i="1"/>
  <c r="AA416" i="1"/>
  <c r="AB416" i="1"/>
  <c r="A417" i="1"/>
  <c r="B417" i="1"/>
  <c r="C417" i="1"/>
  <c r="D417" i="1"/>
  <c r="E417" i="1"/>
  <c r="F417" i="1"/>
  <c r="G417" i="1"/>
  <c r="H417" i="1"/>
  <c r="I417" i="1"/>
  <c r="J417" i="1"/>
  <c r="K417" i="1"/>
  <c r="L417" i="1"/>
  <c r="M417" i="1"/>
  <c r="N417" i="1"/>
  <c r="O417" i="1"/>
  <c r="P417" i="1"/>
  <c r="Q417" i="1"/>
  <c r="R417" i="1"/>
  <c r="S417" i="1"/>
  <c r="T417" i="1"/>
  <c r="U417" i="1"/>
  <c r="V417" i="1"/>
  <c r="W417" i="1"/>
  <c r="X417" i="1"/>
  <c r="Y417" i="1"/>
  <c r="Z417" i="1"/>
  <c r="AA417" i="1"/>
  <c r="AB417" i="1"/>
  <c r="A418" i="1"/>
  <c r="B418" i="1"/>
  <c r="C418" i="1"/>
  <c r="D418" i="1"/>
  <c r="E418" i="1"/>
  <c r="F418" i="1"/>
  <c r="G418" i="1"/>
  <c r="H418" i="1"/>
  <c r="I418" i="1"/>
  <c r="J418" i="1"/>
  <c r="K418" i="1"/>
  <c r="L418" i="1"/>
  <c r="M418" i="1"/>
  <c r="N418" i="1"/>
  <c r="O418" i="1"/>
  <c r="P418" i="1"/>
  <c r="Q418" i="1"/>
  <c r="R418" i="1"/>
  <c r="S418" i="1"/>
  <c r="T418" i="1"/>
  <c r="U418" i="1"/>
  <c r="V418" i="1"/>
  <c r="W418" i="1"/>
  <c r="X418" i="1"/>
  <c r="Y418" i="1"/>
  <c r="Z418" i="1"/>
  <c r="AA418" i="1"/>
  <c r="AB418" i="1"/>
  <c r="A419" i="1"/>
  <c r="B419" i="1"/>
  <c r="C419" i="1"/>
  <c r="D419" i="1"/>
  <c r="E419" i="1"/>
  <c r="F419" i="1"/>
  <c r="G419" i="1"/>
  <c r="H419" i="1"/>
  <c r="I419" i="1"/>
  <c r="J419" i="1"/>
  <c r="K419" i="1"/>
  <c r="L419" i="1"/>
  <c r="M419" i="1"/>
  <c r="N419" i="1"/>
  <c r="O419" i="1"/>
  <c r="P419" i="1"/>
  <c r="Q419" i="1"/>
  <c r="R419" i="1"/>
  <c r="S419" i="1"/>
  <c r="T419" i="1"/>
  <c r="U419" i="1"/>
  <c r="V419" i="1"/>
  <c r="W419" i="1"/>
  <c r="X419" i="1"/>
  <c r="Y419" i="1"/>
  <c r="Z419" i="1"/>
  <c r="AA419" i="1"/>
  <c r="AB419" i="1"/>
  <c r="A420" i="1"/>
  <c r="B420" i="1"/>
  <c r="C420" i="1"/>
  <c r="D420" i="1"/>
  <c r="E420" i="1"/>
  <c r="F420" i="1"/>
  <c r="G420" i="1"/>
  <c r="H420" i="1"/>
  <c r="I420" i="1"/>
  <c r="J420" i="1"/>
  <c r="K420" i="1"/>
  <c r="L420" i="1"/>
  <c r="M420" i="1"/>
  <c r="N420" i="1"/>
  <c r="O420" i="1"/>
  <c r="P420" i="1"/>
  <c r="Q420" i="1"/>
  <c r="R420" i="1"/>
  <c r="S420" i="1"/>
  <c r="T420" i="1"/>
  <c r="U420" i="1"/>
  <c r="V420" i="1"/>
  <c r="W420" i="1"/>
  <c r="X420" i="1"/>
  <c r="Y420" i="1"/>
  <c r="Z420" i="1"/>
  <c r="AA420" i="1"/>
  <c r="AB420" i="1"/>
  <c r="A421" i="1"/>
  <c r="B421" i="1"/>
  <c r="C421" i="1"/>
  <c r="D421" i="1"/>
  <c r="E421" i="1"/>
  <c r="F421" i="1"/>
  <c r="G421" i="1"/>
  <c r="H421" i="1"/>
  <c r="I421" i="1"/>
  <c r="J421" i="1"/>
  <c r="K421" i="1"/>
  <c r="L421" i="1"/>
  <c r="M421" i="1"/>
  <c r="N421" i="1"/>
  <c r="O421" i="1"/>
  <c r="P421" i="1"/>
  <c r="Q421" i="1"/>
  <c r="R421" i="1"/>
  <c r="S421" i="1"/>
  <c r="T421" i="1"/>
  <c r="U421" i="1"/>
  <c r="V421" i="1"/>
  <c r="W421" i="1"/>
  <c r="X421" i="1"/>
  <c r="Y421" i="1"/>
  <c r="Z421" i="1"/>
  <c r="AA421" i="1"/>
  <c r="AB421" i="1"/>
  <c r="A422" i="1"/>
  <c r="B422" i="1"/>
  <c r="C422" i="1"/>
  <c r="D422" i="1"/>
  <c r="E422" i="1"/>
  <c r="F422" i="1"/>
  <c r="G422" i="1"/>
  <c r="H422" i="1"/>
  <c r="I422" i="1"/>
  <c r="J422" i="1"/>
  <c r="K422" i="1"/>
  <c r="L422" i="1"/>
  <c r="M422" i="1"/>
  <c r="N422" i="1"/>
  <c r="O422" i="1"/>
  <c r="P422" i="1"/>
  <c r="Q422" i="1"/>
  <c r="R422" i="1"/>
  <c r="S422" i="1"/>
  <c r="T422" i="1"/>
  <c r="U422" i="1"/>
  <c r="V422" i="1"/>
  <c r="W422" i="1"/>
  <c r="X422" i="1"/>
  <c r="Y422" i="1"/>
  <c r="Z422" i="1"/>
  <c r="AA422" i="1"/>
  <c r="AB422" i="1"/>
  <c r="A423" i="1"/>
  <c r="B423" i="1"/>
  <c r="C423" i="1"/>
  <c r="D423" i="1"/>
  <c r="E423" i="1"/>
  <c r="F423" i="1"/>
  <c r="G423" i="1"/>
  <c r="H423" i="1"/>
  <c r="I423" i="1"/>
  <c r="J423" i="1"/>
  <c r="K423" i="1"/>
  <c r="L423" i="1"/>
  <c r="M423" i="1"/>
  <c r="N423" i="1"/>
  <c r="O423" i="1"/>
  <c r="P423" i="1"/>
  <c r="Q423" i="1"/>
  <c r="R423" i="1"/>
  <c r="S423" i="1"/>
  <c r="T423" i="1"/>
  <c r="U423" i="1"/>
  <c r="V423" i="1"/>
  <c r="W423" i="1"/>
  <c r="X423" i="1"/>
  <c r="Y423" i="1"/>
  <c r="Z423" i="1"/>
  <c r="AA423" i="1"/>
  <c r="AB423" i="1"/>
  <c r="A424" i="1"/>
  <c r="B424" i="1"/>
  <c r="C424" i="1"/>
  <c r="D424" i="1"/>
  <c r="E424" i="1"/>
  <c r="F424" i="1"/>
  <c r="G424" i="1"/>
  <c r="H424" i="1"/>
  <c r="I424" i="1"/>
  <c r="J424" i="1"/>
  <c r="K424" i="1"/>
  <c r="L424" i="1"/>
  <c r="M424" i="1"/>
  <c r="N424" i="1"/>
  <c r="O424" i="1"/>
  <c r="P424" i="1"/>
  <c r="Q424" i="1"/>
  <c r="R424" i="1"/>
  <c r="S424" i="1"/>
  <c r="T424" i="1"/>
  <c r="U424" i="1"/>
  <c r="V424" i="1"/>
  <c r="W424" i="1"/>
  <c r="X424" i="1"/>
  <c r="Y424" i="1"/>
  <c r="Z424" i="1"/>
  <c r="AA424" i="1"/>
  <c r="AB424" i="1"/>
  <c r="A425" i="1"/>
  <c r="B425" i="1"/>
  <c r="C425" i="1"/>
  <c r="D425" i="1"/>
  <c r="E425" i="1"/>
  <c r="F425" i="1"/>
  <c r="G425" i="1"/>
  <c r="H425" i="1"/>
  <c r="I425" i="1"/>
  <c r="J425" i="1"/>
  <c r="K425" i="1"/>
  <c r="L425" i="1"/>
  <c r="M425" i="1"/>
  <c r="N425" i="1"/>
  <c r="O425" i="1"/>
  <c r="P425" i="1"/>
  <c r="Q425" i="1"/>
  <c r="R425" i="1"/>
  <c r="S425" i="1"/>
  <c r="T425" i="1"/>
  <c r="U425" i="1"/>
  <c r="V425" i="1"/>
  <c r="W425" i="1"/>
  <c r="X425" i="1"/>
  <c r="Y425" i="1"/>
  <c r="Z425" i="1"/>
  <c r="AA425" i="1"/>
  <c r="AB425" i="1"/>
  <c r="A426" i="1"/>
  <c r="B426" i="1"/>
  <c r="C426" i="1"/>
  <c r="D426" i="1"/>
  <c r="E426" i="1"/>
  <c r="F426" i="1"/>
  <c r="G426" i="1"/>
  <c r="H426" i="1"/>
  <c r="I426" i="1"/>
  <c r="J426" i="1"/>
  <c r="K426" i="1"/>
  <c r="L426" i="1"/>
  <c r="M426" i="1"/>
  <c r="N426" i="1"/>
  <c r="O426" i="1"/>
  <c r="P426" i="1"/>
  <c r="Q426" i="1"/>
  <c r="R426" i="1"/>
  <c r="S426" i="1"/>
  <c r="T426" i="1"/>
  <c r="U426" i="1"/>
  <c r="V426" i="1"/>
  <c r="W426" i="1"/>
  <c r="X426" i="1"/>
  <c r="Y426" i="1"/>
  <c r="Z426" i="1"/>
  <c r="AA426" i="1"/>
  <c r="AB426" i="1"/>
  <c r="A427" i="1"/>
  <c r="B427" i="1"/>
  <c r="C427" i="1"/>
  <c r="D427" i="1"/>
  <c r="E427" i="1"/>
  <c r="F427" i="1"/>
  <c r="G427" i="1"/>
  <c r="H427" i="1"/>
  <c r="I427" i="1"/>
  <c r="J427" i="1"/>
  <c r="K427" i="1"/>
  <c r="L427" i="1"/>
  <c r="M427" i="1"/>
  <c r="N427" i="1"/>
  <c r="O427" i="1"/>
  <c r="P427" i="1"/>
  <c r="Q427" i="1"/>
  <c r="R427" i="1"/>
  <c r="S427" i="1"/>
  <c r="T427" i="1"/>
  <c r="U427" i="1"/>
  <c r="V427" i="1"/>
  <c r="W427" i="1"/>
  <c r="X427" i="1"/>
  <c r="Y427" i="1"/>
  <c r="Z427" i="1"/>
  <c r="AA427" i="1"/>
  <c r="AB427" i="1"/>
  <c r="A428" i="1"/>
  <c r="B428" i="1"/>
  <c r="C428" i="1"/>
  <c r="D428" i="1"/>
  <c r="E428" i="1"/>
  <c r="F428" i="1"/>
  <c r="G428" i="1"/>
  <c r="H428" i="1"/>
  <c r="I428" i="1"/>
  <c r="J428" i="1"/>
  <c r="K428" i="1"/>
  <c r="L428" i="1"/>
  <c r="M428" i="1"/>
  <c r="N428" i="1"/>
  <c r="O428" i="1"/>
  <c r="P428" i="1"/>
  <c r="Q428" i="1"/>
  <c r="R428" i="1"/>
  <c r="S428" i="1"/>
  <c r="T428" i="1"/>
  <c r="U428" i="1"/>
  <c r="V428" i="1"/>
  <c r="W428" i="1"/>
  <c r="X428" i="1"/>
  <c r="Y428" i="1"/>
  <c r="Z428" i="1"/>
  <c r="AA428" i="1"/>
  <c r="AB428" i="1"/>
  <c r="A429" i="1"/>
  <c r="B429" i="1"/>
  <c r="C429" i="1"/>
  <c r="D429" i="1"/>
  <c r="E429" i="1"/>
  <c r="F429" i="1"/>
  <c r="G429" i="1"/>
  <c r="H429" i="1"/>
  <c r="I429" i="1"/>
  <c r="J429" i="1"/>
  <c r="K429" i="1"/>
  <c r="L429" i="1"/>
  <c r="M429" i="1"/>
  <c r="N429" i="1"/>
  <c r="O429" i="1"/>
  <c r="P429" i="1"/>
  <c r="Q429" i="1"/>
  <c r="R429" i="1"/>
  <c r="S429" i="1"/>
  <c r="T429" i="1"/>
  <c r="U429" i="1"/>
  <c r="V429" i="1"/>
  <c r="W429" i="1"/>
  <c r="X429" i="1"/>
  <c r="Y429" i="1"/>
  <c r="Z429" i="1"/>
  <c r="AA429" i="1"/>
  <c r="AB429" i="1"/>
  <c r="A430" i="1"/>
  <c r="B430" i="1"/>
  <c r="C430" i="1"/>
  <c r="D430" i="1"/>
  <c r="E430" i="1"/>
  <c r="F430" i="1"/>
  <c r="G430" i="1"/>
  <c r="H430" i="1"/>
  <c r="I430" i="1"/>
  <c r="J430" i="1"/>
  <c r="K430" i="1"/>
  <c r="L430" i="1"/>
  <c r="M430" i="1"/>
  <c r="N430" i="1"/>
  <c r="O430" i="1"/>
  <c r="P430" i="1"/>
  <c r="Q430" i="1"/>
  <c r="R430" i="1"/>
  <c r="S430" i="1"/>
  <c r="T430" i="1"/>
  <c r="U430" i="1"/>
  <c r="V430" i="1"/>
  <c r="W430" i="1"/>
  <c r="X430" i="1"/>
  <c r="Y430" i="1"/>
  <c r="Z430" i="1"/>
  <c r="AA430" i="1"/>
  <c r="AB430" i="1"/>
  <c r="A431" i="1"/>
  <c r="B431" i="1"/>
  <c r="C431" i="1"/>
  <c r="D431" i="1"/>
  <c r="E431" i="1"/>
  <c r="F431" i="1"/>
  <c r="G431" i="1"/>
  <c r="H431" i="1"/>
  <c r="I431" i="1"/>
  <c r="J431" i="1"/>
  <c r="K431" i="1"/>
  <c r="L431" i="1"/>
  <c r="M431" i="1"/>
  <c r="N431" i="1"/>
  <c r="O431" i="1"/>
  <c r="P431" i="1"/>
  <c r="Q431" i="1"/>
  <c r="R431" i="1"/>
  <c r="S431" i="1"/>
  <c r="T431" i="1"/>
  <c r="U431" i="1"/>
  <c r="V431" i="1"/>
  <c r="W431" i="1"/>
  <c r="X431" i="1"/>
  <c r="Y431" i="1"/>
  <c r="Z431" i="1"/>
  <c r="AA431" i="1"/>
  <c r="AB431" i="1"/>
  <c r="A432" i="1"/>
  <c r="B432" i="1"/>
  <c r="C432" i="1"/>
  <c r="D432" i="1"/>
  <c r="E432" i="1"/>
  <c r="F432" i="1"/>
  <c r="G432" i="1"/>
  <c r="H432" i="1"/>
  <c r="I432" i="1"/>
  <c r="J432" i="1"/>
  <c r="K432" i="1"/>
  <c r="L432" i="1"/>
  <c r="M432" i="1"/>
  <c r="N432" i="1"/>
  <c r="O432" i="1"/>
  <c r="P432" i="1"/>
  <c r="Q432" i="1"/>
  <c r="R432" i="1"/>
  <c r="S432" i="1"/>
  <c r="T432" i="1"/>
  <c r="U432" i="1"/>
  <c r="V432" i="1"/>
  <c r="W432" i="1"/>
  <c r="X432" i="1"/>
  <c r="Y432" i="1"/>
  <c r="Z432" i="1"/>
  <c r="AA432" i="1"/>
  <c r="AB432" i="1"/>
  <c r="A433" i="1"/>
  <c r="B433" i="1"/>
  <c r="C433" i="1"/>
  <c r="D433" i="1"/>
  <c r="E433" i="1"/>
  <c r="F433" i="1"/>
  <c r="G433" i="1"/>
  <c r="H433" i="1"/>
  <c r="I433" i="1"/>
  <c r="J433" i="1"/>
  <c r="K433" i="1"/>
  <c r="L433" i="1"/>
  <c r="M433" i="1"/>
  <c r="N433" i="1"/>
  <c r="O433" i="1"/>
  <c r="P433" i="1"/>
  <c r="Q433" i="1"/>
  <c r="R433" i="1"/>
  <c r="S433" i="1"/>
  <c r="T433" i="1"/>
  <c r="U433" i="1"/>
  <c r="V433" i="1"/>
  <c r="W433" i="1"/>
  <c r="X433" i="1"/>
  <c r="Y433" i="1"/>
  <c r="Z433" i="1"/>
  <c r="AA433" i="1"/>
  <c r="AB433" i="1"/>
  <c r="A434" i="1"/>
  <c r="B434" i="1"/>
  <c r="C434" i="1"/>
  <c r="D434" i="1"/>
  <c r="E434" i="1"/>
  <c r="F434" i="1"/>
  <c r="G434" i="1"/>
  <c r="H434" i="1"/>
  <c r="I434" i="1"/>
  <c r="J434" i="1"/>
  <c r="K434" i="1"/>
  <c r="L434" i="1"/>
  <c r="M434" i="1"/>
  <c r="N434" i="1"/>
  <c r="O434" i="1"/>
  <c r="P434" i="1"/>
  <c r="Q434" i="1"/>
  <c r="R434" i="1"/>
  <c r="S434" i="1"/>
  <c r="T434" i="1"/>
  <c r="U434" i="1"/>
  <c r="V434" i="1"/>
  <c r="W434" i="1"/>
  <c r="X434" i="1"/>
  <c r="Y434" i="1"/>
  <c r="Z434" i="1"/>
  <c r="AA434" i="1"/>
  <c r="AB434" i="1"/>
  <c r="A435" i="1"/>
  <c r="B435" i="1"/>
  <c r="C435" i="1"/>
  <c r="D435" i="1"/>
  <c r="E435" i="1"/>
  <c r="F435" i="1"/>
  <c r="G435" i="1"/>
  <c r="H435" i="1"/>
  <c r="I435" i="1"/>
  <c r="J435" i="1"/>
  <c r="K435" i="1"/>
  <c r="L435" i="1"/>
  <c r="M435" i="1"/>
  <c r="N435" i="1"/>
  <c r="O435" i="1"/>
  <c r="P435" i="1"/>
  <c r="Q435" i="1"/>
  <c r="R435" i="1"/>
  <c r="S435" i="1"/>
  <c r="T435" i="1"/>
  <c r="U435" i="1"/>
  <c r="V435" i="1"/>
  <c r="W435" i="1"/>
  <c r="X435" i="1"/>
  <c r="Y435" i="1"/>
  <c r="Z435" i="1"/>
  <c r="AA435" i="1"/>
  <c r="AB435" i="1"/>
  <c r="A436" i="1"/>
  <c r="B436" i="1"/>
  <c r="C436" i="1"/>
  <c r="D436" i="1"/>
  <c r="E436" i="1"/>
  <c r="F436" i="1"/>
  <c r="G436" i="1"/>
  <c r="H436" i="1"/>
  <c r="I436" i="1"/>
  <c r="J436" i="1"/>
  <c r="K436" i="1"/>
  <c r="L436" i="1"/>
  <c r="M436" i="1"/>
  <c r="N436" i="1"/>
  <c r="O436" i="1"/>
  <c r="P436" i="1"/>
  <c r="Q436" i="1"/>
  <c r="R436" i="1"/>
  <c r="S436" i="1"/>
  <c r="T436" i="1"/>
  <c r="U436" i="1"/>
  <c r="V436" i="1"/>
  <c r="W436" i="1"/>
  <c r="X436" i="1"/>
  <c r="Y436" i="1"/>
  <c r="Z436" i="1"/>
  <c r="AA436" i="1"/>
  <c r="AB436" i="1"/>
  <c r="A437" i="1"/>
  <c r="B437" i="1"/>
  <c r="C437" i="1"/>
  <c r="D437" i="1"/>
  <c r="E437" i="1"/>
  <c r="F437" i="1"/>
  <c r="G437" i="1"/>
  <c r="H437" i="1"/>
  <c r="I437" i="1"/>
  <c r="J437" i="1"/>
  <c r="K437" i="1"/>
  <c r="L437" i="1"/>
  <c r="M437" i="1"/>
  <c r="N437" i="1"/>
  <c r="O437" i="1"/>
  <c r="P437" i="1"/>
  <c r="Q437" i="1"/>
  <c r="R437" i="1"/>
  <c r="S437" i="1"/>
  <c r="T437" i="1"/>
  <c r="U437" i="1"/>
  <c r="V437" i="1"/>
  <c r="W437" i="1"/>
  <c r="X437" i="1"/>
  <c r="Y437" i="1"/>
  <c r="Z437" i="1"/>
  <c r="AA437" i="1"/>
  <c r="AB437" i="1"/>
  <c r="A438" i="1"/>
  <c r="B438" i="1"/>
  <c r="C438" i="1"/>
  <c r="D438" i="1"/>
  <c r="E438" i="1"/>
  <c r="F438" i="1"/>
  <c r="G438" i="1"/>
  <c r="H438" i="1"/>
  <c r="I438" i="1"/>
  <c r="J438" i="1"/>
  <c r="K438" i="1"/>
  <c r="L438" i="1"/>
  <c r="M438" i="1"/>
  <c r="N438" i="1"/>
  <c r="O438" i="1"/>
  <c r="P438" i="1"/>
  <c r="Q438" i="1"/>
  <c r="R438" i="1"/>
  <c r="S438" i="1"/>
  <c r="T438" i="1"/>
  <c r="U438" i="1"/>
  <c r="V438" i="1"/>
  <c r="W438" i="1"/>
  <c r="X438" i="1"/>
  <c r="Y438" i="1"/>
  <c r="Z438" i="1"/>
  <c r="AA438" i="1"/>
  <c r="AB438" i="1"/>
  <c r="A439" i="1"/>
  <c r="B439" i="1"/>
  <c r="C439" i="1"/>
  <c r="D439" i="1"/>
  <c r="E439" i="1"/>
  <c r="F439" i="1"/>
  <c r="G439" i="1"/>
  <c r="H439" i="1"/>
  <c r="I439" i="1"/>
  <c r="J439" i="1"/>
  <c r="K439" i="1"/>
  <c r="L439" i="1"/>
  <c r="M439" i="1"/>
  <c r="N439" i="1"/>
  <c r="O439" i="1"/>
  <c r="P439" i="1"/>
  <c r="Q439" i="1"/>
  <c r="R439" i="1"/>
  <c r="S439" i="1"/>
  <c r="T439" i="1"/>
  <c r="U439" i="1"/>
  <c r="V439" i="1"/>
  <c r="W439" i="1"/>
  <c r="X439" i="1"/>
  <c r="Y439" i="1"/>
  <c r="Z439" i="1"/>
  <c r="AA439" i="1"/>
  <c r="AB439" i="1"/>
  <c r="A440" i="1"/>
  <c r="B440" i="1"/>
  <c r="C440" i="1"/>
  <c r="D440" i="1"/>
  <c r="E440" i="1"/>
  <c r="F440" i="1"/>
  <c r="G440" i="1"/>
  <c r="H440" i="1"/>
  <c r="I440" i="1"/>
  <c r="J440" i="1"/>
  <c r="K440" i="1"/>
  <c r="L440" i="1"/>
  <c r="M440" i="1"/>
  <c r="N440" i="1"/>
  <c r="O440" i="1"/>
  <c r="P440" i="1"/>
  <c r="Q440" i="1"/>
  <c r="R440" i="1"/>
  <c r="S440" i="1"/>
  <c r="T440" i="1"/>
  <c r="U440" i="1"/>
  <c r="V440" i="1"/>
  <c r="W440" i="1"/>
  <c r="X440" i="1"/>
  <c r="Y440" i="1"/>
  <c r="Z440" i="1"/>
  <c r="AA440" i="1"/>
  <c r="AB440" i="1"/>
  <c r="A441" i="1"/>
  <c r="B441" i="1"/>
  <c r="C441" i="1"/>
  <c r="D441" i="1"/>
  <c r="E441" i="1"/>
  <c r="F441" i="1"/>
  <c r="G441" i="1"/>
  <c r="H441" i="1"/>
  <c r="I441" i="1"/>
  <c r="J441" i="1"/>
  <c r="K441" i="1"/>
  <c r="L441" i="1"/>
  <c r="M441" i="1"/>
  <c r="N441" i="1"/>
  <c r="O441" i="1"/>
  <c r="P441" i="1"/>
  <c r="Q441" i="1"/>
  <c r="R441" i="1"/>
  <c r="S441" i="1"/>
  <c r="T441" i="1"/>
  <c r="U441" i="1"/>
  <c r="V441" i="1"/>
  <c r="W441" i="1"/>
  <c r="X441" i="1"/>
  <c r="Y441" i="1"/>
  <c r="Z441" i="1"/>
  <c r="AA441" i="1"/>
  <c r="AB441" i="1"/>
  <c r="A442" i="1"/>
  <c r="B442" i="1"/>
  <c r="C442" i="1"/>
  <c r="D442" i="1"/>
  <c r="E442" i="1"/>
  <c r="F442" i="1"/>
  <c r="G442" i="1"/>
  <c r="H442" i="1"/>
  <c r="I442" i="1"/>
  <c r="J442" i="1"/>
  <c r="K442" i="1"/>
  <c r="L442" i="1"/>
  <c r="M442" i="1"/>
  <c r="N442" i="1"/>
  <c r="O442" i="1"/>
  <c r="P442" i="1"/>
  <c r="Q442" i="1"/>
  <c r="R442" i="1"/>
  <c r="S442" i="1"/>
  <c r="T442" i="1"/>
  <c r="U442" i="1"/>
  <c r="V442" i="1"/>
  <c r="W442" i="1"/>
  <c r="X442" i="1"/>
  <c r="Y442" i="1"/>
  <c r="Z442" i="1"/>
  <c r="AA442" i="1"/>
  <c r="AB442" i="1"/>
  <c r="A443" i="1"/>
  <c r="B443" i="1"/>
  <c r="C443" i="1"/>
  <c r="D443" i="1"/>
  <c r="E443" i="1"/>
  <c r="F443" i="1"/>
  <c r="G443" i="1"/>
  <c r="H443" i="1"/>
  <c r="I443" i="1"/>
  <c r="J443" i="1"/>
  <c r="K443" i="1"/>
  <c r="L443" i="1"/>
  <c r="M443" i="1"/>
  <c r="N443" i="1"/>
  <c r="O443" i="1"/>
  <c r="P443" i="1"/>
  <c r="Q443" i="1"/>
  <c r="R443" i="1"/>
  <c r="S443" i="1"/>
  <c r="T443" i="1"/>
  <c r="U443" i="1"/>
  <c r="V443" i="1"/>
  <c r="W443" i="1"/>
  <c r="X443" i="1"/>
  <c r="Y443" i="1"/>
  <c r="Z443" i="1"/>
  <c r="AA443" i="1"/>
  <c r="AB443" i="1"/>
  <c r="A444" i="1"/>
  <c r="B444" i="1"/>
  <c r="C444" i="1"/>
  <c r="D444" i="1"/>
  <c r="E444" i="1"/>
  <c r="F444" i="1"/>
  <c r="G444" i="1"/>
  <c r="H444" i="1"/>
  <c r="I444" i="1"/>
  <c r="J444" i="1"/>
  <c r="K444" i="1"/>
  <c r="L444" i="1"/>
  <c r="M444" i="1"/>
  <c r="N444" i="1"/>
  <c r="O444" i="1"/>
  <c r="P444" i="1"/>
  <c r="Q444" i="1"/>
  <c r="R444" i="1"/>
  <c r="S444" i="1"/>
  <c r="T444" i="1"/>
  <c r="U444" i="1"/>
  <c r="V444" i="1"/>
  <c r="W444" i="1"/>
  <c r="X444" i="1"/>
  <c r="Y444" i="1"/>
  <c r="Z444" i="1"/>
  <c r="AA444" i="1"/>
  <c r="AB444" i="1"/>
  <c r="A445" i="1"/>
  <c r="B445" i="1"/>
  <c r="C445" i="1"/>
  <c r="D445" i="1"/>
  <c r="E445" i="1"/>
  <c r="F445" i="1"/>
  <c r="G445" i="1"/>
  <c r="H445" i="1"/>
  <c r="I445" i="1"/>
  <c r="J445" i="1"/>
  <c r="K445" i="1"/>
  <c r="L445" i="1"/>
  <c r="M445" i="1"/>
  <c r="N445" i="1"/>
  <c r="O445" i="1"/>
  <c r="P445" i="1"/>
  <c r="Q445" i="1"/>
  <c r="R445" i="1"/>
  <c r="S445" i="1"/>
  <c r="T445" i="1"/>
  <c r="U445" i="1"/>
  <c r="V445" i="1"/>
  <c r="W445" i="1"/>
  <c r="X445" i="1"/>
  <c r="Y445" i="1"/>
  <c r="Z445" i="1"/>
  <c r="AA445" i="1"/>
  <c r="AB445" i="1"/>
  <c r="A446" i="1"/>
  <c r="B446" i="1"/>
  <c r="C446" i="1"/>
  <c r="D446" i="1"/>
  <c r="E446" i="1"/>
  <c r="F446" i="1"/>
  <c r="G446" i="1"/>
  <c r="H446" i="1"/>
  <c r="I446" i="1"/>
  <c r="J446" i="1"/>
  <c r="K446" i="1"/>
  <c r="L446" i="1"/>
  <c r="M446" i="1"/>
  <c r="N446" i="1"/>
  <c r="O446" i="1"/>
  <c r="P446" i="1"/>
  <c r="Q446" i="1"/>
  <c r="R446" i="1"/>
  <c r="S446" i="1"/>
  <c r="T446" i="1"/>
  <c r="U446" i="1"/>
  <c r="V446" i="1"/>
  <c r="W446" i="1"/>
  <c r="X446" i="1"/>
  <c r="Y446" i="1"/>
  <c r="Z446" i="1"/>
  <c r="AA446" i="1"/>
  <c r="AB446" i="1"/>
  <c r="A447" i="1"/>
  <c r="B447" i="1"/>
  <c r="C447" i="1"/>
  <c r="D447" i="1"/>
  <c r="E447" i="1"/>
  <c r="F447" i="1"/>
  <c r="G447" i="1"/>
  <c r="H447" i="1"/>
  <c r="I447" i="1"/>
  <c r="J447" i="1"/>
  <c r="K447" i="1"/>
  <c r="L447" i="1"/>
  <c r="M447" i="1"/>
  <c r="N447" i="1"/>
  <c r="O447" i="1"/>
  <c r="P447" i="1"/>
  <c r="Q447" i="1"/>
  <c r="R447" i="1"/>
  <c r="S447" i="1"/>
  <c r="T447" i="1"/>
  <c r="U447" i="1"/>
  <c r="V447" i="1"/>
  <c r="W447" i="1"/>
  <c r="X447" i="1"/>
  <c r="Y447" i="1"/>
  <c r="Z447" i="1"/>
  <c r="AA447" i="1"/>
  <c r="AB447" i="1"/>
  <c r="A448" i="1"/>
  <c r="B448" i="1"/>
  <c r="C448" i="1"/>
  <c r="D448" i="1"/>
  <c r="E448" i="1"/>
  <c r="F448" i="1"/>
  <c r="G448" i="1"/>
  <c r="H448" i="1"/>
  <c r="I448" i="1"/>
  <c r="J448" i="1"/>
  <c r="K448" i="1"/>
  <c r="L448" i="1"/>
  <c r="M448" i="1"/>
  <c r="N448" i="1"/>
  <c r="O448" i="1"/>
  <c r="P448" i="1"/>
  <c r="Q448" i="1"/>
  <c r="R448" i="1"/>
  <c r="S448" i="1"/>
  <c r="T448" i="1"/>
  <c r="U448" i="1"/>
  <c r="V448" i="1"/>
  <c r="W448" i="1"/>
  <c r="X448" i="1"/>
  <c r="Y448" i="1"/>
  <c r="Z448" i="1"/>
  <c r="AA448" i="1"/>
  <c r="AB448" i="1"/>
  <c r="A449" i="1"/>
  <c r="B449" i="1"/>
  <c r="C449" i="1"/>
  <c r="D449" i="1"/>
  <c r="E449" i="1"/>
  <c r="F449" i="1"/>
  <c r="G449" i="1"/>
  <c r="H449" i="1"/>
  <c r="I449" i="1"/>
  <c r="J449" i="1"/>
  <c r="K449" i="1"/>
  <c r="L449" i="1"/>
  <c r="M449" i="1"/>
  <c r="N449" i="1"/>
  <c r="O449" i="1"/>
  <c r="P449" i="1"/>
  <c r="Q449" i="1"/>
  <c r="R449" i="1"/>
  <c r="S449" i="1"/>
  <c r="T449" i="1"/>
  <c r="U449" i="1"/>
  <c r="V449" i="1"/>
  <c r="W449" i="1"/>
  <c r="X449" i="1"/>
  <c r="Y449" i="1"/>
  <c r="Z449" i="1"/>
  <c r="AA449" i="1"/>
  <c r="AB449" i="1"/>
  <c r="A450" i="1"/>
  <c r="B450" i="1"/>
  <c r="C450" i="1"/>
  <c r="D450" i="1"/>
  <c r="E450" i="1"/>
  <c r="F450" i="1"/>
  <c r="G450" i="1"/>
  <c r="H450" i="1"/>
  <c r="I450" i="1"/>
  <c r="J450" i="1"/>
  <c r="K450" i="1"/>
  <c r="L450" i="1"/>
  <c r="M450" i="1"/>
  <c r="N450" i="1"/>
  <c r="O450" i="1"/>
  <c r="P450" i="1"/>
  <c r="Q450" i="1"/>
  <c r="R450" i="1"/>
  <c r="S450" i="1"/>
  <c r="T450" i="1"/>
  <c r="U450" i="1"/>
  <c r="V450" i="1"/>
  <c r="W450" i="1"/>
  <c r="X450" i="1"/>
  <c r="Y450" i="1"/>
  <c r="Z450" i="1"/>
  <c r="AA450" i="1"/>
  <c r="AB450" i="1"/>
  <c r="A451" i="1"/>
  <c r="B451" i="1"/>
  <c r="C451" i="1"/>
  <c r="D451" i="1"/>
  <c r="E451" i="1"/>
  <c r="F451" i="1"/>
  <c r="G451" i="1"/>
  <c r="H451" i="1"/>
  <c r="I451" i="1"/>
  <c r="J451" i="1"/>
  <c r="K451" i="1"/>
  <c r="L451" i="1"/>
  <c r="M451" i="1"/>
  <c r="N451" i="1"/>
  <c r="O451" i="1"/>
  <c r="P451" i="1"/>
  <c r="Q451" i="1"/>
  <c r="R451" i="1"/>
  <c r="S451" i="1"/>
  <c r="T451" i="1"/>
  <c r="U451" i="1"/>
  <c r="V451" i="1"/>
  <c r="W451" i="1"/>
  <c r="X451" i="1"/>
  <c r="Y451" i="1"/>
  <c r="Z451" i="1"/>
  <c r="AA451" i="1"/>
  <c r="AB451" i="1"/>
  <c r="A452" i="1"/>
  <c r="B452" i="1"/>
  <c r="C452" i="1"/>
  <c r="D452" i="1"/>
  <c r="E452" i="1"/>
  <c r="F452" i="1"/>
  <c r="G452" i="1"/>
  <c r="H452" i="1"/>
  <c r="I452" i="1"/>
  <c r="J452" i="1"/>
  <c r="K452" i="1"/>
  <c r="L452" i="1"/>
  <c r="M452" i="1"/>
  <c r="N452" i="1"/>
  <c r="O452" i="1"/>
  <c r="P452" i="1"/>
  <c r="Q452" i="1"/>
  <c r="R452" i="1"/>
  <c r="S452" i="1"/>
  <c r="T452" i="1"/>
  <c r="U452" i="1"/>
  <c r="V452" i="1"/>
  <c r="W452" i="1"/>
  <c r="X452" i="1"/>
  <c r="Y452" i="1"/>
  <c r="Z452" i="1"/>
  <c r="AA452" i="1"/>
  <c r="AB452" i="1"/>
  <c r="A453" i="1"/>
  <c r="B453" i="1"/>
  <c r="C453" i="1"/>
  <c r="D453" i="1"/>
  <c r="E453" i="1"/>
  <c r="F453" i="1"/>
  <c r="G453" i="1"/>
  <c r="H453" i="1"/>
  <c r="I453" i="1"/>
  <c r="J453" i="1"/>
  <c r="K453" i="1"/>
  <c r="L453" i="1"/>
  <c r="M453" i="1"/>
  <c r="N453" i="1"/>
  <c r="O453" i="1"/>
  <c r="P453" i="1"/>
  <c r="Q453" i="1"/>
  <c r="R453" i="1"/>
  <c r="S453" i="1"/>
  <c r="T453" i="1"/>
  <c r="U453" i="1"/>
  <c r="V453" i="1"/>
  <c r="W453" i="1"/>
  <c r="X453" i="1"/>
  <c r="Y453" i="1"/>
  <c r="Z453" i="1"/>
  <c r="AA453" i="1"/>
  <c r="AB453" i="1"/>
  <c r="A454" i="1"/>
  <c r="B454" i="1"/>
  <c r="C454" i="1"/>
  <c r="D454" i="1"/>
  <c r="E454" i="1"/>
  <c r="F454" i="1"/>
  <c r="G454" i="1"/>
  <c r="H454" i="1"/>
  <c r="I454" i="1"/>
  <c r="J454" i="1"/>
  <c r="K454" i="1"/>
  <c r="L454" i="1"/>
  <c r="M454" i="1"/>
  <c r="N454" i="1"/>
  <c r="O454" i="1"/>
  <c r="P454" i="1"/>
  <c r="Q454" i="1"/>
  <c r="R454" i="1"/>
  <c r="S454" i="1"/>
  <c r="T454" i="1"/>
  <c r="U454" i="1"/>
  <c r="V454" i="1"/>
  <c r="W454" i="1"/>
  <c r="X454" i="1"/>
  <c r="Y454" i="1"/>
  <c r="Z454" i="1"/>
  <c r="AA454" i="1"/>
  <c r="AB454" i="1"/>
  <c r="A455" i="1"/>
  <c r="B455" i="1"/>
  <c r="C455" i="1"/>
  <c r="D455" i="1"/>
  <c r="E455" i="1"/>
  <c r="F455" i="1"/>
  <c r="G455" i="1"/>
  <c r="H455" i="1"/>
  <c r="I455" i="1"/>
  <c r="J455" i="1"/>
  <c r="K455" i="1"/>
  <c r="L455" i="1"/>
  <c r="M455" i="1"/>
  <c r="N455" i="1"/>
  <c r="O455" i="1"/>
  <c r="P455" i="1"/>
  <c r="Q455" i="1"/>
  <c r="R455" i="1"/>
  <c r="S455" i="1"/>
  <c r="T455" i="1"/>
  <c r="U455" i="1"/>
  <c r="V455" i="1"/>
  <c r="W455" i="1"/>
  <c r="X455" i="1"/>
  <c r="Y455" i="1"/>
  <c r="Z455" i="1"/>
  <c r="AA455" i="1"/>
  <c r="AB455" i="1"/>
  <c r="A456" i="1"/>
  <c r="B456" i="1"/>
  <c r="C456" i="1"/>
  <c r="D456" i="1"/>
  <c r="E456" i="1"/>
  <c r="F456" i="1"/>
  <c r="G456" i="1"/>
  <c r="H456" i="1"/>
  <c r="I456" i="1"/>
  <c r="J456" i="1"/>
  <c r="K456" i="1"/>
  <c r="L456" i="1"/>
  <c r="M456" i="1"/>
  <c r="N456" i="1"/>
  <c r="O456" i="1"/>
  <c r="P456" i="1"/>
  <c r="Q456" i="1"/>
  <c r="R456" i="1"/>
  <c r="S456" i="1"/>
  <c r="T456" i="1"/>
  <c r="U456" i="1"/>
  <c r="V456" i="1"/>
  <c r="W456" i="1"/>
  <c r="X456" i="1"/>
  <c r="Y456" i="1"/>
  <c r="Z456" i="1"/>
  <c r="AA456" i="1"/>
  <c r="AB456" i="1"/>
  <c r="A457" i="1"/>
  <c r="B457" i="1"/>
  <c r="C457" i="1"/>
  <c r="D457" i="1"/>
  <c r="E457" i="1"/>
  <c r="F457" i="1"/>
  <c r="G457" i="1"/>
  <c r="H457" i="1"/>
  <c r="I457" i="1"/>
  <c r="J457" i="1"/>
  <c r="K457" i="1"/>
  <c r="L457" i="1"/>
  <c r="M457" i="1"/>
  <c r="N457" i="1"/>
  <c r="O457" i="1"/>
  <c r="P457" i="1"/>
  <c r="Q457" i="1"/>
  <c r="R457" i="1"/>
  <c r="S457" i="1"/>
  <c r="T457" i="1"/>
  <c r="U457" i="1"/>
  <c r="V457" i="1"/>
  <c r="W457" i="1"/>
  <c r="X457" i="1"/>
  <c r="Y457" i="1"/>
  <c r="Z457" i="1"/>
  <c r="AA457" i="1"/>
  <c r="AB457" i="1"/>
  <c r="A458" i="1"/>
  <c r="B458" i="1"/>
  <c r="C458" i="1"/>
  <c r="D458" i="1"/>
  <c r="E458" i="1"/>
  <c r="F458" i="1"/>
  <c r="G458" i="1"/>
  <c r="H458" i="1"/>
  <c r="I458" i="1"/>
  <c r="J458" i="1"/>
  <c r="K458" i="1"/>
  <c r="L458" i="1"/>
  <c r="M458" i="1"/>
  <c r="N458" i="1"/>
  <c r="O458" i="1"/>
  <c r="P458" i="1"/>
  <c r="Q458" i="1"/>
  <c r="R458" i="1"/>
  <c r="S458" i="1"/>
  <c r="T458" i="1"/>
  <c r="U458" i="1"/>
  <c r="V458" i="1"/>
  <c r="W458" i="1"/>
  <c r="X458" i="1"/>
  <c r="Y458" i="1"/>
  <c r="Z458" i="1"/>
  <c r="AA458" i="1"/>
  <c r="AB458" i="1"/>
  <c r="A459" i="1"/>
  <c r="B459" i="1"/>
  <c r="C459" i="1"/>
  <c r="D459" i="1"/>
  <c r="E459" i="1"/>
  <c r="F459" i="1"/>
  <c r="G459" i="1"/>
  <c r="H459" i="1"/>
  <c r="I459" i="1"/>
  <c r="J459" i="1"/>
  <c r="K459" i="1"/>
  <c r="L459" i="1"/>
  <c r="M459" i="1"/>
  <c r="N459" i="1"/>
  <c r="O459" i="1"/>
  <c r="P459" i="1"/>
  <c r="Q459" i="1"/>
  <c r="R459" i="1"/>
  <c r="S459" i="1"/>
  <c r="T459" i="1"/>
  <c r="U459" i="1"/>
  <c r="V459" i="1"/>
  <c r="W459" i="1"/>
  <c r="X459" i="1"/>
  <c r="Y459" i="1"/>
  <c r="Z459" i="1"/>
  <c r="AA459" i="1"/>
  <c r="AB459" i="1"/>
  <c r="A460" i="1"/>
  <c r="B460" i="1"/>
  <c r="C460" i="1"/>
  <c r="D460" i="1"/>
  <c r="E460" i="1"/>
  <c r="F460" i="1"/>
  <c r="G460" i="1"/>
  <c r="H460" i="1"/>
  <c r="I460" i="1"/>
  <c r="J460" i="1"/>
  <c r="K460" i="1"/>
  <c r="L460" i="1"/>
  <c r="M460" i="1"/>
  <c r="N460" i="1"/>
  <c r="O460" i="1"/>
  <c r="P460" i="1"/>
  <c r="Q460" i="1"/>
  <c r="R460" i="1"/>
  <c r="S460" i="1"/>
  <c r="T460" i="1"/>
  <c r="U460" i="1"/>
  <c r="V460" i="1"/>
  <c r="W460" i="1"/>
  <c r="X460" i="1"/>
  <c r="Y460" i="1"/>
  <c r="Z460" i="1"/>
  <c r="AA460" i="1"/>
  <c r="AB460" i="1"/>
  <c r="A461" i="1"/>
  <c r="B461" i="1"/>
  <c r="C461" i="1"/>
  <c r="D461" i="1"/>
  <c r="E461" i="1"/>
  <c r="F461" i="1"/>
  <c r="G461" i="1"/>
  <c r="H461" i="1"/>
  <c r="I461" i="1"/>
  <c r="J461" i="1"/>
  <c r="K461" i="1"/>
  <c r="L461" i="1"/>
  <c r="M461" i="1"/>
  <c r="N461" i="1"/>
  <c r="O461" i="1"/>
  <c r="P461" i="1"/>
  <c r="Q461" i="1"/>
  <c r="R461" i="1"/>
  <c r="S461" i="1"/>
  <c r="T461" i="1"/>
  <c r="U461" i="1"/>
  <c r="V461" i="1"/>
  <c r="W461" i="1"/>
  <c r="X461" i="1"/>
  <c r="Y461" i="1"/>
  <c r="Z461" i="1"/>
  <c r="AA461" i="1"/>
  <c r="AB461" i="1"/>
  <c r="A462" i="1"/>
  <c r="B462" i="1"/>
  <c r="C462" i="1"/>
  <c r="D462" i="1"/>
  <c r="E462" i="1"/>
  <c r="F462" i="1"/>
  <c r="G462" i="1"/>
  <c r="H462" i="1"/>
  <c r="I462" i="1"/>
  <c r="J462" i="1"/>
  <c r="K462" i="1"/>
  <c r="L462" i="1"/>
  <c r="M462" i="1"/>
  <c r="N462" i="1"/>
  <c r="O462" i="1"/>
  <c r="P462" i="1"/>
  <c r="Q462" i="1"/>
  <c r="R462" i="1"/>
  <c r="S462" i="1"/>
  <c r="T462" i="1"/>
  <c r="U462" i="1"/>
  <c r="V462" i="1"/>
  <c r="W462" i="1"/>
  <c r="X462" i="1"/>
  <c r="Y462" i="1"/>
  <c r="Z462" i="1"/>
  <c r="AA462" i="1"/>
  <c r="AB462" i="1"/>
  <c r="A463" i="1"/>
  <c r="B463" i="1"/>
  <c r="C463" i="1"/>
  <c r="D463" i="1"/>
  <c r="E463" i="1"/>
  <c r="F463" i="1"/>
  <c r="G463" i="1"/>
  <c r="H463" i="1"/>
  <c r="I463" i="1"/>
  <c r="J463" i="1"/>
  <c r="K463" i="1"/>
  <c r="L463" i="1"/>
  <c r="M463" i="1"/>
  <c r="N463" i="1"/>
  <c r="O463" i="1"/>
  <c r="P463" i="1"/>
  <c r="Q463" i="1"/>
  <c r="R463" i="1"/>
  <c r="S463" i="1"/>
  <c r="T463" i="1"/>
  <c r="U463" i="1"/>
  <c r="V463" i="1"/>
  <c r="W463" i="1"/>
  <c r="X463" i="1"/>
  <c r="Y463" i="1"/>
  <c r="Z463" i="1"/>
  <c r="AA463" i="1"/>
  <c r="AB463" i="1"/>
  <c r="A464" i="1"/>
  <c r="B464" i="1"/>
  <c r="C464" i="1"/>
  <c r="D464" i="1"/>
  <c r="E464" i="1"/>
  <c r="F464" i="1"/>
  <c r="G464" i="1"/>
  <c r="H464" i="1"/>
  <c r="I464" i="1"/>
  <c r="J464" i="1"/>
  <c r="K464" i="1"/>
  <c r="L464" i="1"/>
  <c r="M464" i="1"/>
  <c r="N464" i="1"/>
  <c r="O464" i="1"/>
  <c r="P464" i="1"/>
  <c r="Q464" i="1"/>
  <c r="R464" i="1"/>
  <c r="S464" i="1"/>
  <c r="T464" i="1"/>
  <c r="U464" i="1"/>
  <c r="V464" i="1"/>
  <c r="W464" i="1"/>
  <c r="X464" i="1"/>
  <c r="Y464" i="1"/>
  <c r="Z464" i="1"/>
  <c r="AA464" i="1"/>
  <c r="AB464" i="1"/>
  <c r="A465" i="1"/>
  <c r="B465" i="1"/>
  <c r="C465" i="1"/>
  <c r="D465" i="1"/>
  <c r="E465" i="1"/>
  <c r="F465" i="1"/>
  <c r="G465" i="1"/>
  <c r="H465" i="1"/>
  <c r="I465" i="1"/>
  <c r="J465" i="1"/>
  <c r="K465" i="1"/>
  <c r="L465" i="1"/>
  <c r="M465" i="1"/>
  <c r="N465" i="1"/>
  <c r="O465" i="1"/>
  <c r="P465" i="1"/>
  <c r="Q465" i="1"/>
  <c r="R465" i="1"/>
  <c r="S465" i="1"/>
  <c r="T465" i="1"/>
  <c r="U465" i="1"/>
  <c r="V465" i="1"/>
  <c r="W465" i="1"/>
  <c r="X465" i="1"/>
  <c r="Y465" i="1"/>
  <c r="Z465" i="1"/>
  <c r="AA465" i="1"/>
  <c r="AB465" i="1"/>
  <c r="A466" i="1"/>
  <c r="B466" i="1"/>
  <c r="C466" i="1"/>
  <c r="D466" i="1"/>
  <c r="E466" i="1"/>
  <c r="F466" i="1"/>
  <c r="G466" i="1"/>
  <c r="H466" i="1"/>
  <c r="I466" i="1"/>
  <c r="J466" i="1"/>
  <c r="K466" i="1"/>
  <c r="L466" i="1"/>
  <c r="M466" i="1"/>
  <c r="N466" i="1"/>
  <c r="O466" i="1"/>
  <c r="P466" i="1"/>
  <c r="Q466" i="1"/>
  <c r="R466" i="1"/>
  <c r="S466" i="1"/>
  <c r="T466" i="1"/>
  <c r="U466" i="1"/>
  <c r="V466" i="1"/>
  <c r="W466" i="1"/>
  <c r="X466" i="1"/>
  <c r="Y466" i="1"/>
  <c r="Z466" i="1"/>
  <c r="AA466" i="1"/>
  <c r="AB466" i="1"/>
  <c r="A467" i="1"/>
  <c r="B467" i="1"/>
  <c r="C467" i="1"/>
  <c r="D467" i="1"/>
  <c r="E467" i="1"/>
  <c r="F467" i="1"/>
  <c r="G467" i="1"/>
  <c r="H467" i="1"/>
  <c r="I467" i="1"/>
  <c r="J467" i="1"/>
  <c r="K467" i="1"/>
  <c r="L467" i="1"/>
  <c r="M467" i="1"/>
  <c r="N467" i="1"/>
  <c r="O467" i="1"/>
  <c r="P467" i="1"/>
  <c r="Q467" i="1"/>
  <c r="R467" i="1"/>
  <c r="S467" i="1"/>
  <c r="T467" i="1"/>
  <c r="U467" i="1"/>
  <c r="V467" i="1"/>
  <c r="W467" i="1"/>
  <c r="X467" i="1"/>
  <c r="Y467" i="1"/>
  <c r="Z467" i="1"/>
  <c r="AA467" i="1"/>
  <c r="AB467" i="1"/>
  <c r="A468" i="1"/>
  <c r="B468" i="1"/>
  <c r="C468" i="1"/>
  <c r="D468" i="1"/>
  <c r="E468" i="1"/>
  <c r="F468" i="1"/>
  <c r="G468" i="1"/>
  <c r="H468" i="1"/>
  <c r="I468" i="1"/>
  <c r="J468" i="1"/>
  <c r="K468" i="1"/>
  <c r="L468" i="1"/>
  <c r="M468" i="1"/>
  <c r="N468" i="1"/>
  <c r="O468" i="1"/>
  <c r="P468" i="1"/>
  <c r="Q468" i="1"/>
  <c r="R468" i="1"/>
  <c r="S468" i="1"/>
  <c r="T468" i="1"/>
  <c r="U468" i="1"/>
  <c r="V468" i="1"/>
  <c r="W468" i="1"/>
  <c r="X468" i="1"/>
  <c r="Y468" i="1"/>
  <c r="Z468" i="1"/>
  <c r="AA468" i="1"/>
  <c r="AB468" i="1"/>
  <c r="A469" i="1"/>
  <c r="B469" i="1"/>
  <c r="C469" i="1"/>
  <c r="D469" i="1"/>
  <c r="E469" i="1"/>
  <c r="F469" i="1"/>
  <c r="G469" i="1"/>
  <c r="H469" i="1"/>
  <c r="I469" i="1"/>
  <c r="J469" i="1"/>
  <c r="K469" i="1"/>
  <c r="L469" i="1"/>
  <c r="M469" i="1"/>
  <c r="N469" i="1"/>
  <c r="O469" i="1"/>
  <c r="P469" i="1"/>
  <c r="Q469" i="1"/>
  <c r="R469" i="1"/>
  <c r="S469" i="1"/>
  <c r="T469" i="1"/>
  <c r="U469" i="1"/>
  <c r="V469" i="1"/>
  <c r="W469" i="1"/>
  <c r="X469" i="1"/>
  <c r="Y469" i="1"/>
  <c r="Z469" i="1"/>
  <c r="AA469" i="1"/>
  <c r="AB469" i="1"/>
  <c r="A470" i="1"/>
  <c r="B470" i="1"/>
  <c r="C470" i="1"/>
  <c r="D470" i="1"/>
  <c r="E470" i="1"/>
  <c r="F470" i="1"/>
  <c r="G470" i="1"/>
  <c r="H470" i="1"/>
  <c r="I470" i="1"/>
  <c r="J470" i="1"/>
  <c r="K470" i="1"/>
  <c r="L470" i="1"/>
  <c r="M470" i="1"/>
  <c r="N470" i="1"/>
  <c r="O470" i="1"/>
  <c r="P470" i="1"/>
  <c r="Q470" i="1"/>
  <c r="R470" i="1"/>
  <c r="S470" i="1"/>
  <c r="T470" i="1"/>
  <c r="U470" i="1"/>
  <c r="V470" i="1"/>
  <c r="W470" i="1"/>
  <c r="X470" i="1"/>
  <c r="Y470" i="1"/>
  <c r="Z470" i="1"/>
  <c r="AA470" i="1"/>
  <c r="AB470" i="1"/>
  <c r="A471" i="1"/>
  <c r="B471" i="1"/>
  <c r="C471" i="1"/>
  <c r="D471" i="1"/>
  <c r="E471" i="1"/>
  <c r="F471" i="1"/>
  <c r="G471" i="1"/>
  <c r="H471" i="1"/>
  <c r="I471" i="1"/>
  <c r="J471" i="1"/>
  <c r="K471" i="1"/>
  <c r="L471" i="1"/>
  <c r="M471" i="1"/>
  <c r="N471" i="1"/>
  <c r="O471" i="1"/>
  <c r="P471" i="1"/>
  <c r="Q471" i="1"/>
  <c r="R471" i="1"/>
  <c r="S471" i="1"/>
  <c r="T471" i="1"/>
  <c r="U471" i="1"/>
  <c r="V471" i="1"/>
  <c r="W471" i="1"/>
  <c r="X471" i="1"/>
  <c r="Y471" i="1"/>
  <c r="Z471" i="1"/>
  <c r="AA471" i="1"/>
  <c r="AB471" i="1"/>
  <c r="A472" i="1"/>
  <c r="B472" i="1"/>
  <c r="C472" i="1"/>
  <c r="D472" i="1"/>
  <c r="E472" i="1"/>
  <c r="F472" i="1"/>
  <c r="G472" i="1"/>
  <c r="H472" i="1"/>
  <c r="I472" i="1"/>
  <c r="J472" i="1"/>
  <c r="K472" i="1"/>
  <c r="L472" i="1"/>
  <c r="M472" i="1"/>
  <c r="N472" i="1"/>
  <c r="O472" i="1"/>
  <c r="P472" i="1"/>
  <c r="Q472" i="1"/>
  <c r="R472" i="1"/>
  <c r="S472" i="1"/>
  <c r="T472" i="1"/>
  <c r="U472" i="1"/>
  <c r="V472" i="1"/>
  <c r="W472" i="1"/>
  <c r="X472" i="1"/>
  <c r="Y472" i="1"/>
  <c r="Z472" i="1"/>
  <c r="AA472" i="1"/>
  <c r="AB472" i="1"/>
  <c r="A473" i="1"/>
  <c r="B473" i="1"/>
  <c r="C473" i="1"/>
  <c r="D473" i="1"/>
  <c r="E473" i="1"/>
  <c r="F473" i="1"/>
  <c r="G473" i="1"/>
  <c r="H473" i="1"/>
  <c r="I473" i="1"/>
  <c r="J473" i="1"/>
  <c r="K473" i="1"/>
  <c r="L473" i="1"/>
  <c r="M473" i="1"/>
  <c r="N473" i="1"/>
  <c r="O473" i="1"/>
  <c r="P473" i="1"/>
  <c r="Q473" i="1"/>
  <c r="R473" i="1"/>
  <c r="S473" i="1"/>
  <c r="T473" i="1"/>
  <c r="U473" i="1"/>
  <c r="V473" i="1"/>
  <c r="W473" i="1"/>
  <c r="X473" i="1"/>
  <c r="Y473" i="1"/>
  <c r="Z473" i="1"/>
  <c r="AA473" i="1"/>
  <c r="AB473" i="1"/>
  <c r="A474" i="1"/>
  <c r="B474" i="1"/>
  <c r="C474" i="1"/>
  <c r="D474" i="1"/>
  <c r="E474" i="1"/>
  <c r="F474" i="1"/>
  <c r="G474" i="1"/>
  <c r="H474" i="1"/>
  <c r="I474" i="1"/>
  <c r="J474" i="1"/>
  <c r="K474" i="1"/>
  <c r="L474" i="1"/>
  <c r="M474" i="1"/>
  <c r="N474" i="1"/>
  <c r="O474" i="1"/>
  <c r="P474" i="1"/>
  <c r="Q474" i="1"/>
  <c r="R474" i="1"/>
  <c r="S474" i="1"/>
  <c r="T474" i="1"/>
  <c r="U474" i="1"/>
  <c r="V474" i="1"/>
  <c r="W474" i="1"/>
  <c r="X474" i="1"/>
  <c r="Y474" i="1"/>
  <c r="Z474" i="1"/>
  <c r="AA474" i="1"/>
  <c r="AB474" i="1"/>
  <c r="A475" i="1"/>
  <c r="B475" i="1"/>
  <c r="C475" i="1"/>
  <c r="D475" i="1"/>
  <c r="E475" i="1"/>
  <c r="F475" i="1"/>
  <c r="G475" i="1"/>
  <c r="H475" i="1"/>
  <c r="I475" i="1"/>
  <c r="J475" i="1"/>
  <c r="K475" i="1"/>
  <c r="L475" i="1"/>
  <c r="M475" i="1"/>
  <c r="N475" i="1"/>
  <c r="O475" i="1"/>
  <c r="P475" i="1"/>
  <c r="Q475" i="1"/>
  <c r="R475" i="1"/>
  <c r="S475" i="1"/>
  <c r="T475" i="1"/>
  <c r="U475" i="1"/>
  <c r="V475" i="1"/>
  <c r="W475" i="1"/>
  <c r="X475" i="1"/>
  <c r="Y475" i="1"/>
  <c r="Z475" i="1"/>
  <c r="AA475" i="1"/>
  <c r="AB475" i="1"/>
  <c r="A476" i="1"/>
  <c r="B476" i="1"/>
  <c r="C476" i="1"/>
  <c r="D476" i="1"/>
  <c r="E476" i="1"/>
  <c r="F476" i="1"/>
  <c r="G476" i="1"/>
  <c r="H476" i="1"/>
  <c r="I476" i="1"/>
  <c r="J476" i="1"/>
  <c r="K476" i="1"/>
  <c r="L476" i="1"/>
  <c r="M476" i="1"/>
  <c r="N476" i="1"/>
  <c r="O476" i="1"/>
  <c r="P476" i="1"/>
  <c r="Q476" i="1"/>
  <c r="R476" i="1"/>
  <c r="S476" i="1"/>
  <c r="T476" i="1"/>
  <c r="U476" i="1"/>
  <c r="V476" i="1"/>
  <c r="W476" i="1"/>
  <c r="X476" i="1"/>
  <c r="Y476" i="1"/>
  <c r="Z476" i="1"/>
  <c r="AA476" i="1"/>
  <c r="AB476" i="1"/>
  <c r="A477" i="1"/>
  <c r="B477" i="1"/>
  <c r="C477" i="1"/>
  <c r="D477" i="1"/>
  <c r="E477" i="1"/>
  <c r="F477" i="1"/>
  <c r="G477" i="1"/>
  <c r="H477" i="1"/>
  <c r="I477" i="1"/>
  <c r="J477" i="1"/>
  <c r="K477" i="1"/>
  <c r="L477" i="1"/>
  <c r="M477" i="1"/>
  <c r="N477" i="1"/>
  <c r="O477" i="1"/>
  <c r="P477" i="1"/>
  <c r="Q477" i="1"/>
  <c r="R477" i="1"/>
  <c r="S477" i="1"/>
  <c r="T477" i="1"/>
  <c r="U477" i="1"/>
  <c r="V477" i="1"/>
  <c r="W477" i="1"/>
  <c r="X477" i="1"/>
  <c r="Y477" i="1"/>
  <c r="Z477" i="1"/>
  <c r="AA477" i="1"/>
  <c r="AB477" i="1"/>
  <c r="A478" i="1"/>
  <c r="B478" i="1"/>
  <c r="C478" i="1"/>
  <c r="D478" i="1"/>
  <c r="E478" i="1"/>
  <c r="F478" i="1"/>
  <c r="G478" i="1"/>
  <c r="H478" i="1"/>
  <c r="I478" i="1"/>
  <c r="J478" i="1"/>
  <c r="K478" i="1"/>
  <c r="L478" i="1"/>
  <c r="M478" i="1"/>
  <c r="N478" i="1"/>
  <c r="O478" i="1"/>
  <c r="P478" i="1"/>
  <c r="Q478" i="1"/>
  <c r="R478" i="1"/>
  <c r="S478" i="1"/>
  <c r="T478" i="1"/>
  <c r="U478" i="1"/>
  <c r="V478" i="1"/>
  <c r="W478" i="1"/>
  <c r="X478" i="1"/>
  <c r="Y478" i="1"/>
  <c r="Z478" i="1"/>
  <c r="AA478" i="1"/>
  <c r="AB478" i="1"/>
  <c r="A479" i="1"/>
  <c r="B479" i="1"/>
  <c r="C479" i="1"/>
  <c r="D479" i="1"/>
  <c r="E479" i="1"/>
  <c r="F479" i="1"/>
  <c r="G479" i="1"/>
  <c r="H479" i="1"/>
  <c r="I479" i="1"/>
  <c r="J479" i="1"/>
  <c r="K479" i="1"/>
  <c r="L479" i="1"/>
  <c r="M479" i="1"/>
  <c r="N479" i="1"/>
  <c r="O479" i="1"/>
  <c r="P479" i="1"/>
  <c r="Q479" i="1"/>
  <c r="R479" i="1"/>
  <c r="S479" i="1"/>
  <c r="T479" i="1"/>
  <c r="U479" i="1"/>
  <c r="V479" i="1"/>
  <c r="W479" i="1"/>
  <c r="X479" i="1"/>
  <c r="Y479" i="1"/>
  <c r="Z479" i="1"/>
  <c r="AA479" i="1"/>
  <c r="AB479" i="1"/>
  <c r="A480" i="1"/>
  <c r="B480" i="1"/>
  <c r="C480" i="1"/>
  <c r="D480" i="1"/>
  <c r="E480" i="1"/>
  <c r="F480" i="1"/>
  <c r="G480" i="1"/>
  <c r="H480" i="1"/>
  <c r="I480" i="1"/>
  <c r="J480" i="1"/>
  <c r="K480" i="1"/>
  <c r="L480" i="1"/>
  <c r="M480" i="1"/>
  <c r="N480" i="1"/>
  <c r="O480" i="1"/>
  <c r="P480" i="1"/>
  <c r="Q480" i="1"/>
  <c r="R480" i="1"/>
  <c r="S480" i="1"/>
  <c r="T480" i="1"/>
  <c r="U480" i="1"/>
  <c r="V480" i="1"/>
  <c r="W480" i="1"/>
  <c r="X480" i="1"/>
  <c r="Y480" i="1"/>
  <c r="Z480" i="1"/>
  <c r="AA480" i="1"/>
  <c r="AB480" i="1"/>
  <c r="A481" i="1"/>
  <c r="B481" i="1"/>
  <c r="C481" i="1"/>
  <c r="D481" i="1"/>
  <c r="E481" i="1"/>
  <c r="F481" i="1"/>
  <c r="G481" i="1"/>
  <c r="H481" i="1"/>
  <c r="I481" i="1"/>
  <c r="J481" i="1"/>
  <c r="K481" i="1"/>
  <c r="L481" i="1"/>
  <c r="M481" i="1"/>
  <c r="N481" i="1"/>
  <c r="O481" i="1"/>
  <c r="P481" i="1"/>
  <c r="Q481" i="1"/>
  <c r="R481" i="1"/>
  <c r="S481" i="1"/>
  <c r="T481" i="1"/>
  <c r="U481" i="1"/>
  <c r="V481" i="1"/>
  <c r="W481" i="1"/>
  <c r="X481" i="1"/>
  <c r="Y481" i="1"/>
  <c r="Z481" i="1"/>
  <c r="AA481" i="1"/>
  <c r="AB481" i="1"/>
  <c r="A482" i="1"/>
  <c r="B482" i="1"/>
  <c r="C482" i="1"/>
  <c r="D482" i="1"/>
  <c r="E482" i="1"/>
  <c r="F482" i="1"/>
  <c r="G482" i="1"/>
  <c r="H482" i="1"/>
  <c r="I482" i="1"/>
  <c r="J482" i="1"/>
  <c r="K482" i="1"/>
  <c r="L482" i="1"/>
  <c r="M482" i="1"/>
  <c r="N482" i="1"/>
  <c r="O482" i="1"/>
  <c r="P482" i="1"/>
  <c r="Q482" i="1"/>
  <c r="R482" i="1"/>
  <c r="S482" i="1"/>
  <c r="T482" i="1"/>
  <c r="U482" i="1"/>
  <c r="V482" i="1"/>
  <c r="W482" i="1"/>
  <c r="X482" i="1"/>
  <c r="Y482" i="1"/>
  <c r="Z482" i="1"/>
  <c r="AA482" i="1"/>
  <c r="AB482" i="1"/>
  <c r="A483" i="1"/>
  <c r="B483" i="1"/>
  <c r="C483" i="1"/>
  <c r="D483" i="1"/>
  <c r="E483" i="1"/>
  <c r="F483" i="1"/>
  <c r="G483" i="1"/>
  <c r="H483" i="1"/>
  <c r="I483" i="1"/>
  <c r="J483" i="1"/>
  <c r="K483" i="1"/>
  <c r="L483" i="1"/>
  <c r="M483" i="1"/>
  <c r="N483" i="1"/>
  <c r="O483" i="1"/>
  <c r="P483" i="1"/>
  <c r="Q483" i="1"/>
  <c r="R483" i="1"/>
  <c r="S483" i="1"/>
  <c r="T483" i="1"/>
  <c r="U483" i="1"/>
  <c r="V483" i="1"/>
  <c r="W483" i="1"/>
  <c r="X483" i="1"/>
  <c r="Y483" i="1"/>
  <c r="Z483" i="1"/>
  <c r="AA483" i="1"/>
  <c r="AB483" i="1"/>
  <c r="A484" i="1"/>
  <c r="B484" i="1"/>
  <c r="C484" i="1"/>
  <c r="D484" i="1"/>
  <c r="E484" i="1"/>
  <c r="F484" i="1"/>
  <c r="G484" i="1"/>
  <c r="H484" i="1"/>
  <c r="I484" i="1"/>
  <c r="J484" i="1"/>
  <c r="K484" i="1"/>
  <c r="L484" i="1"/>
  <c r="M484" i="1"/>
  <c r="N484" i="1"/>
  <c r="O484" i="1"/>
  <c r="P484" i="1"/>
  <c r="Q484" i="1"/>
  <c r="R484" i="1"/>
  <c r="S484" i="1"/>
  <c r="T484" i="1"/>
  <c r="U484" i="1"/>
  <c r="V484" i="1"/>
  <c r="W484" i="1"/>
  <c r="X484" i="1"/>
  <c r="Y484" i="1"/>
  <c r="Z484" i="1"/>
  <c r="AA484" i="1"/>
  <c r="AB484" i="1"/>
  <c r="A485" i="1"/>
  <c r="B485" i="1"/>
  <c r="C485" i="1"/>
  <c r="D485" i="1"/>
  <c r="E485" i="1"/>
  <c r="F485" i="1"/>
  <c r="G485" i="1"/>
  <c r="H485" i="1"/>
  <c r="I485" i="1"/>
  <c r="J485" i="1"/>
  <c r="K485" i="1"/>
  <c r="L485" i="1"/>
  <c r="M485" i="1"/>
  <c r="N485" i="1"/>
  <c r="O485" i="1"/>
  <c r="P485" i="1"/>
  <c r="Q485" i="1"/>
  <c r="R485" i="1"/>
  <c r="S485" i="1"/>
  <c r="T485" i="1"/>
  <c r="U485" i="1"/>
  <c r="V485" i="1"/>
  <c r="W485" i="1"/>
  <c r="X485" i="1"/>
  <c r="Y485" i="1"/>
  <c r="Z485" i="1"/>
  <c r="AA485" i="1"/>
  <c r="AB485" i="1"/>
  <c r="A486" i="1"/>
  <c r="B486" i="1"/>
  <c r="C486" i="1"/>
  <c r="D486" i="1"/>
  <c r="E486" i="1"/>
  <c r="F486" i="1"/>
  <c r="G486" i="1"/>
  <c r="H486" i="1"/>
  <c r="I486" i="1"/>
  <c r="J486" i="1"/>
  <c r="K486" i="1"/>
  <c r="L486" i="1"/>
  <c r="M486" i="1"/>
  <c r="N486" i="1"/>
  <c r="O486" i="1"/>
  <c r="P486" i="1"/>
  <c r="Q486" i="1"/>
  <c r="R486" i="1"/>
  <c r="S486" i="1"/>
  <c r="T486" i="1"/>
  <c r="U486" i="1"/>
  <c r="V486" i="1"/>
  <c r="W486" i="1"/>
  <c r="X486" i="1"/>
  <c r="Y486" i="1"/>
  <c r="Z486" i="1"/>
  <c r="AA486" i="1"/>
  <c r="AB486" i="1"/>
  <c r="A487" i="1"/>
  <c r="B487" i="1"/>
  <c r="C487" i="1"/>
  <c r="D487" i="1"/>
  <c r="E487" i="1"/>
  <c r="F487" i="1"/>
  <c r="G487" i="1"/>
  <c r="H487" i="1"/>
  <c r="I487" i="1"/>
  <c r="J487" i="1"/>
  <c r="K487" i="1"/>
  <c r="L487" i="1"/>
  <c r="M487" i="1"/>
  <c r="N487" i="1"/>
  <c r="O487" i="1"/>
  <c r="P487" i="1"/>
  <c r="Q487" i="1"/>
  <c r="R487" i="1"/>
  <c r="S487" i="1"/>
  <c r="T487" i="1"/>
  <c r="U487" i="1"/>
  <c r="V487" i="1"/>
  <c r="W487" i="1"/>
  <c r="X487" i="1"/>
  <c r="Y487" i="1"/>
  <c r="Z487" i="1"/>
  <c r="AA487" i="1"/>
  <c r="AB487" i="1"/>
  <c r="A488" i="1"/>
  <c r="B488" i="1"/>
  <c r="C488" i="1"/>
  <c r="D488" i="1"/>
  <c r="E488" i="1"/>
  <c r="F488" i="1"/>
  <c r="G488" i="1"/>
  <c r="H488" i="1"/>
  <c r="I488" i="1"/>
  <c r="J488" i="1"/>
  <c r="K488" i="1"/>
  <c r="L488" i="1"/>
  <c r="M488" i="1"/>
  <c r="N488" i="1"/>
  <c r="O488" i="1"/>
  <c r="P488" i="1"/>
  <c r="Q488" i="1"/>
  <c r="R488" i="1"/>
  <c r="S488" i="1"/>
  <c r="T488" i="1"/>
  <c r="U488" i="1"/>
  <c r="V488" i="1"/>
  <c r="W488" i="1"/>
  <c r="X488" i="1"/>
  <c r="Y488" i="1"/>
  <c r="Z488" i="1"/>
  <c r="AA488" i="1"/>
  <c r="AB488" i="1"/>
  <c r="A489" i="1"/>
  <c r="B489" i="1"/>
  <c r="C489" i="1"/>
  <c r="D489" i="1"/>
  <c r="E489" i="1"/>
  <c r="F489" i="1"/>
  <c r="G489" i="1"/>
  <c r="H489" i="1"/>
  <c r="I489" i="1"/>
  <c r="J489" i="1"/>
  <c r="K489" i="1"/>
  <c r="L489" i="1"/>
  <c r="M489" i="1"/>
  <c r="N489" i="1"/>
  <c r="O489" i="1"/>
  <c r="P489" i="1"/>
  <c r="Q489" i="1"/>
  <c r="R489" i="1"/>
  <c r="S489" i="1"/>
  <c r="T489" i="1"/>
  <c r="U489" i="1"/>
  <c r="V489" i="1"/>
  <c r="W489" i="1"/>
  <c r="X489" i="1"/>
  <c r="Y489" i="1"/>
  <c r="Z489" i="1"/>
  <c r="AA489" i="1"/>
  <c r="AB489" i="1"/>
  <c r="A490" i="1"/>
  <c r="B490" i="1"/>
  <c r="C490" i="1"/>
  <c r="D490" i="1"/>
  <c r="E490" i="1"/>
  <c r="F490" i="1"/>
  <c r="G490" i="1"/>
  <c r="H490" i="1"/>
  <c r="I490" i="1"/>
  <c r="J490" i="1"/>
  <c r="K490" i="1"/>
  <c r="L490" i="1"/>
  <c r="M490" i="1"/>
  <c r="N490" i="1"/>
  <c r="O490" i="1"/>
  <c r="P490" i="1"/>
  <c r="Q490" i="1"/>
  <c r="R490" i="1"/>
  <c r="S490" i="1"/>
  <c r="T490" i="1"/>
  <c r="U490" i="1"/>
  <c r="V490" i="1"/>
  <c r="W490" i="1"/>
  <c r="X490" i="1"/>
  <c r="Y490" i="1"/>
  <c r="Z490" i="1"/>
  <c r="AA490" i="1"/>
  <c r="AB490" i="1"/>
  <c r="A491" i="1"/>
  <c r="B491" i="1"/>
  <c r="C491" i="1"/>
  <c r="D491" i="1"/>
  <c r="E491" i="1"/>
  <c r="F491" i="1"/>
  <c r="G491" i="1"/>
  <c r="H491" i="1"/>
  <c r="I491" i="1"/>
  <c r="J491" i="1"/>
  <c r="K491" i="1"/>
  <c r="L491" i="1"/>
  <c r="M491" i="1"/>
  <c r="N491" i="1"/>
  <c r="O491" i="1"/>
  <c r="P491" i="1"/>
  <c r="Q491" i="1"/>
  <c r="R491" i="1"/>
  <c r="S491" i="1"/>
  <c r="T491" i="1"/>
  <c r="U491" i="1"/>
  <c r="V491" i="1"/>
  <c r="W491" i="1"/>
  <c r="X491" i="1"/>
  <c r="Y491" i="1"/>
  <c r="Z491" i="1"/>
  <c r="AA491" i="1"/>
  <c r="AB491" i="1"/>
  <c r="A492" i="1"/>
  <c r="B492" i="1"/>
  <c r="C492" i="1"/>
  <c r="D492" i="1"/>
  <c r="E492" i="1"/>
  <c r="F492" i="1"/>
  <c r="G492" i="1"/>
  <c r="H492" i="1"/>
  <c r="I492" i="1"/>
  <c r="J492" i="1"/>
  <c r="K492" i="1"/>
  <c r="L492" i="1"/>
  <c r="M492" i="1"/>
  <c r="N492" i="1"/>
  <c r="O492" i="1"/>
  <c r="P492" i="1"/>
  <c r="Q492" i="1"/>
  <c r="R492" i="1"/>
  <c r="S492" i="1"/>
  <c r="T492" i="1"/>
  <c r="U492" i="1"/>
  <c r="V492" i="1"/>
  <c r="W492" i="1"/>
  <c r="X492" i="1"/>
  <c r="Y492" i="1"/>
  <c r="Z492" i="1"/>
  <c r="AA492" i="1"/>
  <c r="AB492" i="1"/>
  <c r="A493" i="1"/>
  <c r="B493" i="1"/>
  <c r="C493" i="1"/>
  <c r="D493" i="1"/>
  <c r="E493" i="1"/>
  <c r="F493" i="1"/>
  <c r="G493" i="1"/>
  <c r="H493" i="1"/>
  <c r="I493" i="1"/>
  <c r="J493" i="1"/>
  <c r="K493" i="1"/>
  <c r="L493" i="1"/>
  <c r="M493" i="1"/>
  <c r="N493" i="1"/>
  <c r="O493" i="1"/>
  <c r="P493" i="1"/>
  <c r="Q493" i="1"/>
  <c r="R493" i="1"/>
  <c r="S493" i="1"/>
  <c r="T493" i="1"/>
  <c r="U493" i="1"/>
  <c r="V493" i="1"/>
  <c r="W493" i="1"/>
  <c r="X493" i="1"/>
  <c r="Y493" i="1"/>
  <c r="Z493" i="1"/>
  <c r="AA493" i="1"/>
  <c r="AB493" i="1"/>
  <c r="A494" i="1"/>
  <c r="B494" i="1"/>
  <c r="C494" i="1"/>
  <c r="D494" i="1"/>
  <c r="E494" i="1"/>
  <c r="F494" i="1"/>
  <c r="G494" i="1"/>
  <c r="H494" i="1"/>
  <c r="I494" i="1"/>
  <c r="J494" i="1"/>
  <c r="K494" i="1"/>
  <c r="L494" i="1"/>
  <c r="M494" i="1"/>
  <c r="N494" i="1"/>
  <c r="O494" i="1"/>
  <c r="P494" i="1"/>
  <c r="Q494" i="1"/>
  <c r="R494" i="1"/>
  <c r="S494" i="1"/>
  <c r="T494" i="1"/>
  <c r="U494" i="1"/>
  <c r="V494" i="1"/>
  <c r="W494" i="1"/>
  <c r="X494" i="1"/>
  <c r="Y494" i="1"/>
  <c r="Z494" i="1"/>
  <c r="AA494" i="1"/>
  <c r="AB494" i="1"/>
  <c r="A495" i="1"/>
  <c r="B495" i="1"/>
  <c r="C495" i="1"/>
  <c r="D495" i="1"/>
  <c r="E495" i="1"/>
  <c r="F495" i="1"/>
  <c r="G495" i="1"/>
  <c r="H495" i="1"/>
  <c r="I495" i="1"/>
  <c r="J495" i="1"/>
  <c r="K495" i="1"/>
  <c r="L495" i="1"/>
  <c r="M495" i="1"/>
  <c r="N495" i="1"/>
  <c r="O495" i="1"/>
  <c r="P495" i="1"/>
  <c r="Q495" i="1"/>
  <c r="R495" i="1"/>
  <c r="S495" i="1"/>
  <c r="T495" i="1"/>
  <c r="U495" i="1"/>
  <c r="V495" i="1"/>
  <c r="W495" i="1"/>
  <c r="X495" i="1"/>
  <c r="Y495" i="1"/>
  <c r="Z495" i="1"/>
  <c r="AA495" i="1"/>
  <c r="AB495" i="1"/>
  <c r="A496" i="1"/>
  <c r="B496" i="1"/>
  <c r="C496" i="1"/>
  <c r="D496" i="1"/>
  <c r="E496" i="1"/>
  <c r="F496" i="1"/>
  <c r="G496" i="1"/>
  <c r="H496" i="1"/>
  <c r="I496" i="1"/>
  <c r="J496" i="1"/>
  <c r="K496" i="1"/>
  <c r="L496" i="1"/>
  <c r="M496" i="1"/>
  <c r="N496" i="1"/>
  <c r="O496" i="1"/>
  <c r="P496" i="1"/>
  <c r="Q496" i="1"/>
  <c r="R496" i="1"/>
  <c r="S496" i="1"/>
  <c r="T496" i="1"/>
  <c r="U496" i="1"/>
  <c r="V496" i="1"/>
  <c r="W496" i="1"/>
  <c r="X496" i="1"/>
  <c r="Y496" i="1"/>
  <c r="Z496" i="1"/>
  <c r="AA496" i="1"/>
  <c r="AB496" i="1"/>
  <c r="A497" i="1"/>
  <c r="B497" i="1"/>
  <c r="C497" i="1"/>
  <c r="D497" i="1"/>
  <c r="E497" i="1"/>
  <c r="F497" i="1"/>
  <c r="G497" i="1"/>
  <c r="H497" i="1"/>
  <c r="I497" i="1"/>
  <c r="J497" i="1"/>
  <c r="K497" i="1"/>
  <c r="L497" i="1"/>
  <c r="M497" i="1"/>
  <c r="N497" i="1"/>
  <c r="O497" i="1"/>
  <c r="P497" i="1"/>
  <c r="Q497" i="1"/>
  <c r="R497" i="1"/>
  <c r="S497" i="1"/>
  <c r="T497" i="1"/>
  <c r="U497" i="1"/>
  <c r="V497" i="1"/>
  <c r="W497" i="1"/>
  <c r="X497" i="1"/>
  <c r="Y497" i="1"/>
  <c r="Z497" i="1"/>
  <c r="AA497" i="1"/>
  <c r="AB497" i="1"/>
  <c r="A498" i="1"/>
  <c r="B498" i="1"/>
  <c r="C498" i="1"/>
  <c r="D498" i="1"/>
  <c r="E498" i="1"/>
  <c r="F498" i="1"/>
  <c r="G498" i="1"/>
  <c r="H498" i="1"/>
  <c r="I498" i="1"/>
  <c r="J498" i="1"/>
  <c r="K498" i="1"/>
  <c r="L498" i="1"/>
  <c r="M498" i="1"/>
  <c r="N498" i="1"/>
  <c r="O498" i="1"/>
  <c r="P498" i="1"/>
  <c r="Q498" i="1"/>
  <c r="R498" i="1"/>
  <c r="S498" i="1"/>
  <c r="T498" i="1"/>
  <c r="U498" i="1"/>
  <c r="V498" i="1"/>
  <c r="W498" i="1"/>
  <c r="X498" i="1"/>
  <c r="Y498" i="1"/>
  <c r="Z498" i="1"/>
  <c r="AA498" i="1"/>
  <c r="AB498" i="1"/>
  <c r="A499" i="1"/>
  <c r="B499" i="1"/>
  <c r="C499" i="1"/>
  <c r="D499" i="1"/>
  <c r="E499" i="1"/>
  <c r="F499" i="1"/>
  <c r="G499" i="1"/>
  <c r="H499" i="1"/>
  <c r="I499" i="1"/>
  <c r="J499" i="1"/>
  <c r="K499" i="1"/>
  <c r="L499" i="1"/>
  <c r="M499" i="1"/>
  <c r="N499" i="1"/>
  <c r="O499" i="1"/>
  <c r="P499" i="1"/>
  <c r="Q499" i="1"/>
  <c r="R499" i="1"/>
  <c r="S499" i="1"/>
  <c r="T499" i="1"/>
  <c r="U499" i="1"/>
  <c r="V499" i="1"/>
  <c r="W499" i="1"/>
  <c r="X499" i="1"/>
  <c r="Y499" i="1"/>
  <c r="Z499" i="1"/>
  <c r="AA499" i="1"/>
  <c r="AB499" i="1"/>
  <c r="A500" i="1"/>
  <c r="B500" i="1"/>
  <c r="C500" i="1"/>
  <c r="D500" i="1"/>
  <c r="E500" i="1"/>
  <c r="F500" i="1"/>
  <c r="G500" i="1"/>
  <c r="H500" i="1"/>
  <c r="I500" i="1"/>
  <c r="J500" i="1"/>
  <c r="K500" i="1"/>
  <c r="L500" i="1"/>
  <c r="M500" i="1"/>
  <c r="N500" i="1"/>
  <c r="O500" i="1"/>
  <c r="P500" i="1"/>
  <c r="Q500" i="1"/>
  <c r="R500" i="1"/>
  <c r="S500" i="1"/>
  <c r="T500" i="1"/>
  <c r="U500" i="1"/>
  <c r="V500" i="1"/>
  <c r="W500" i="1"/>
  <c r="X500" i="1"/>
  <c r="Y500" i="1"/>
  <c r="Z500" i="1"/>
  <c r="AA500" i="1"/>
  <c r="AB500" i="1"/>
  <c r="A501" i="1"/>
  <c r="B501" i="1"/>
  <c r="C501" i="1"/>
  <c r="D501" i="1"/>
  <c r="E501" i="1"/>
  <c r="F501" i="1"/>
  <c r="G501" i="1"/>
  <c r="H501" i="1"/>
  <c r="I501" i="1"/>
  <c r="J501" i="1"/>
  <c r="K501" i="1"/>
  <c r="L501" i="1"/>
  <c r="M501" i="1"/>
  <c r="N501" i="1"/>
  <c r="O501" i="1"/>
  <c r="P501" i="1"/>
  <c r="Q501" i="1"/>
  <c r="R501" i="1"/>
  <c r="S501" i="1"/>
  <c r="T501" i="1"/>
  <c r="U501" i="1"/>
  <c r="V501" i="1"/>
  <c r="W501" i="1"/>
  <c r="X501" i="1"/>
  <c r="Y501" i="1"/>
  <c r="Z501" i="1"/>
  <c r="AA501" i="1"/>
  <c r="AB501" i="1"/>
  <c r="A502" i="1"/>
  <c r="B502" i="1"/>
  <c r="C502" i="1"/>
  <c r="D502" i="1"/>
  <c r="E502" i="1"/>
  <c r="F502" i="1"/>
  <c r="G502" i="1"/>
  <c r="H502" i="1"/>
  <c r="I502" i="1"/>
  <c r="J502" i="1"/>
  <c r="K502" i="1"/>
  <c r="L502" i="1"/>
  <c r="M502" i="1"/>
  <c r="N502" i="1"/>
  <c r="O502" i="1"/>
  <c r="P502" i="1"/>
  <c r="Q502" i="1"/>
  <c r="R502" i="1"/>
  <c r="S502" i="1"/>
  <c r="T502" i="1"/>
  <c r="U502" i="1"/>
  <c r="V502" i="1"/>
  <c r="W502" i="1"/>
  <c r="X502" i="1"/>
  <c r="Y502" i="1"/>
  <c r="Z502" i="1"/>
  <c r="AA502" i="1"/>
  <c r="AB502" i="1"/>
  <c r="A503" i="1"/>
  <c r="B503" i="1"/>
  <c r="C503" i="1"/>
  <c r="D503" i="1"/>
  <c r="E503" i="1"/>
  <c r="F503" i="1"/>
  <c r="G503" i="1"/>
  <c r="H503" i="1"/>
  <c r="I503" i="1"/>
  <c r="J503" i="1"/>
  <c r="K503" i="1"/>
  <c r="L503" i="1"/>
  <c r="M503" i="1"/>
  <c r="N503" i="1"/>
  <c r="O503" i="1"/>
  <c r="P503" i="1"/>
  <c r="Q503" i="1"/>
  <c r="R503" i="1"/>
  <c r="S503" i="1"/>
  <c r="T503" i="1"/>
  <c r="U503" i="1"/>
  <c r="V503" i="1"/>
  <c r="W503" i="1"/>
  <c r="X503" i="1"/>
  <c r="Y503" i="1"/>
  <c r="Z503" i="1"/>
  <c r="AA503" i="1"/>
  <c r="AB503" i="1"/>
  <c r="A504" i="1"/>
  <c r="B504" i="1"/>
  <c r="C504" i="1"/>
  <c r="D504" i="1"/>
  <c r="E504" i="1"/>
  <c r="F504" i="1"/>
  <c r="G504" i="1"/>
  <c r="H504" i="1"/>
  <c r="I504" i="1"/>
  <c r="J504" i="1"/>
  <c r="K504" i="1"/>
  <c r="L504" i="1"/>
  <c r="M504" i="1"/>
  <c r="N504" i="1"/>
  <c r="O504" i="1"/>
  <c r="P504" i="1"/>
  <c r="Q504" i="1"/>
  <c r="R504" i="1"/>
  <c r="S504" i="1"/>
  <c r="T504" i="1"/>
  <c r="U504" i="1"/>
  <c r="V504" i="1"/>
  <c r="W504" i="1"/>
  <c r="X504" i="1"/>
  <c r="Y504" i="1"/>
  <c r="Z504" i="1"/>
  <c r="AA504" i="1"/>
  <c r="AB504" i="1"/>
  <c r="A505" i="1"/>
  <c r="B505" i="1"/>
  <c r="C505" i="1"/>
  <c r="D505" i="1"/>
  <c r="E505" i="1"/>
  <c r="F505" i="1"/>
  <c r="G505" i="1"/>
  <c r="H505" i="1"/>
  <c r="I505" i="1"/>
  <c r="J505" i="1"/>
  <c r="K505" i="1"/>
  <c r="L505" i="1"/>
  <c r="M505" i="1"/>
  <c r="N505" i="1"/>
  <c r="O505" i="1"/>
  <c r="P505" i="1"/>
  <c r="Q505" i="1"/>
  <c r="R505" i="1"/>
  <c r="S505" i="1"/>
  <c r="T505" i="1"/>
  <c r="U505" i="1"/>
  <c r="V505" i="1"/>
  <c r="W505" i="1"/>
  <c r="X505" i="1"/>
  <c r="Y505" i="1"/>
  <c r="Z505" i="1"/>
  <c r="AA505" i="1"/>
  <c r="AB505" i="1"/>
  <c r="A506" i="1"/>
  <c r="B506" i="1"/>
  <c r="C506" i="1"/>
  <c r="D506" i="1"/>
  <c r="E506" i="1"/>
  <c r="F506" i="1"/>
  <c r="G506" i="1"/>
  <c r="H506" i="1"/>
  <c r="I506" i="1"/>
  <c r="J506" i="1"/>
  <c r="K506" i="1"/>
  <c r="L506" i="1"/>
  <c r="M506" i="1"/>
  <c r="N506" i="1"/>
  <c r="O506" i="1"/>
  <c r="P506" i="1"/>
  <c r="Q506" i="1"/>
  <c r="R506" i="1"/>
  <c r="S506" i="1"/>
  <c r="T506" i="1"/>
  <c r="U506" i="1"/>
  <c r="V506" i="1"/>
  <c r="W506" i="1"/>
  <c r="X506" i="1"/>
  <c r="Y506" i="1"/>
  <c r="Z506" i="1"/>
  <c r="AA506" i="1"/>
  <c r="AB506" i="1"/>
  <c r="A507" i="1"/>
  <c r="B507" i="1"/>
  <c r="C507" i="1"/>
  <c r="D507" i="1"/>
  <c r="E507" i="1"/>
  <c r="F507" i="1"/>
  <c r="G507" i="1"/>
  <c r="H507" i="1"/>
  <c r="I507" i="1"/>
  <c r="J507" i="1"/>
  <c r="K507" i="1"/>
  <c r="L507" i="1"/>
  <c r="M507" i="1"/>
  <c r="N507" i="1"/>
  <c r="O507" i="1"/>
  <c r="P507" i="1"/>
  <c r="Q507" i="1"/>
  <c r="R507" i="1"/>
  <c r="S507" i="1"/>
  <c r="T507" i="1"/>
  <c r="U507" i="1"/>
  <c r="V507" i="1"/>
  <c r="W507" i="1"/>
  <c r="X507" i="1"/>
  <c r="Y507" i="1"/>
  <c r="Z507" i="1"/>
  <c r="AA507" i="1"/>
  <c r="AB507" i="1"/>
  <c r="A508" i="1"/>
  <c r="B508" i="1"/>
  <c r="C508" i="1"/>
  <c r="D508" i="1"/>
  <c r="E508" i="1"/>
  <c r="F508" i="1"/>
  <c r="G508" i="1"/>
  <c r="H508" i="1"/>
  <c r="I508" i="1"/>
  <c r="J508" i="1"/>
  <c r="K508" i="1"/>
  <c r="L508" i="1"/>
  <c r="M508" i="1"/>
  <c r="N508" i="1"/>
  <c r="O508" i="1"/>
  <c r="P508" i="1"/>
  <c r="Q508" i="1"/>
  <c r="R508" i="1"/>
  <c r="S508" i="1"/>
  <c r="T508" i="1"/>
  <c r="U508" i="1"/>
  <c r="V508" i="1"/>
  <c r="W508" i="1"/>
  <c r="X508" i="1"/>
  <c r="Y508" i="1"/>
  <c r="Z508" i="1"/>
  <c r="AA508" i="1"/>
  <c r="AB508" i="1"/>
  <c r="A509" i="1"/>
  <c r="B509" i="1"/>
  <c r="C509" i="1"/>
  <c r="D509" i="1"/>
  <c r="E509" i="1"/>
  <c r="F509" i="1"/>
  <c r="G509" i="1"/>
  <c r="H509" i="1"/>
  <c r="I509" i="1"/>
  <c r="J509" i="1"/>
  <c r="K509" i="1"/>
  <c r="L509" i="1"/>
  <c r="M509" i="1"/>
  <c r="N509" i="1"/>
  <c r="O509" i="1"/>
  <c r="P509" i="1"/>
  <c r="Q509" i="1"/>
  <c r="R509" i="1"/>
  <c r="S509" i="1"/>
  <c r="T509" i="1"/>
  <c r="U509" i="1"/>
  <c r="V509" i="1"/>
  <c r="W509" i="1"/>
  <c r="X509" i="1"/>
  <c r="Y509" i="1"/>
  <c r="Z509" i="1"/>
  <c r="AA509" i="1"/>
  <c r="AB509" i="1"/>
  <c r="A510" i="1"/>
  <c r="B510" i="1"/>
  <c r="C510" i="1"/>
  <c r="D510" i="1"/>
  <c r="E510" i="1"/>
  <c r="F510" i="1"/>
  <c r="G510" i="1"/>
  <c r="H510" i="1"/>
  <c r="I510" i="1"/>
  <c r="J510" i="1"/>
  <c r="K510" i="1"/>
  <c r="L510" i="1"/>
  <c r="M510" i="1"/>
  <c r="N510" i="1"/>
  <c r="O510" i="1"/>
  <c r="P510" i="1"/>
  <c r="Q510" i="1"/>
  <c r="R510" i="1"/>
  <c r="S510" i="1"/>
  <c r="T510" i="1"/>
  <c r="U510" i="1"/>
  <c r="V510" i="1"/>
  <c r="W510" i="1"/>
  <c r="X510" i="1"/>
  <c r="Y510" i="1"/>
  <c r="Z510" i="1"/>
  <c r="AA510" i="1"/>
  <c r="AB510" i="1"/>
  <c r="A511" i="1"/>
  <c r="B511" i="1"/>
  <c r="C511" i="1"/>
  <c r="D511" i="1"/>
  <c r="E511" i="1"/>
  <c r="F511" i="1"/>
  <c r="G511" i="1"/>
  <c r="H511" i="1"/>
  <c r="I511" i="1"/>
  <c r="J511" i="1"/>
  <c r="K511" i="1"/>
  <c r="L511" i="1"/>
  <c r="M511" i="1"/>
  <c r="N511" i="1"/>
  <c r="O511" i="1"/>
  <c r="P511" i="1"/>
  <c r="Q511" i="1"/>
  <c r="R511" i="1"/>
  <c r="S511" i="1"/>
  <c r="T511" i="1"/>
  <c r="U511" i="1"/>
  <c r="V511" i="1"/>
  <c r="W511" i="1"/>
  <c r="X511" i="1"/>
  <c r="Y511" i="1"/>
  <c r="Z511" i="1"/>
  <c r="AA511" i="1"/>
  <c r="AB511" i="1"/>
  <c r="A512" i="1"/>
  <c r="B512" i="1"/>
  <c r="C512" i="1"/>
  <c r="D512" i="1"/>
  <c r="E512" i="1"/>
  <c r="F512" i="1"/>
  <c r="G512" i="1"/>
  <c r="H512" i="1"/>
  <c r="I512" i="1"/>
  <c r="J512" i="1"/>
  <c r="K512" i="1"/>
  <c r="L512" i="1"/>
  <c r="M512" i="1"/>
  <c r="N512" i="1"/>
  <c r="O512" i="1"/>
  <c r="P512" i="1"/>
  <c r="Q512" i="1"/>
  <c r="R512" i="1"/>
  <c r="S512" i="1"/>
  <c r="T512" i="1"/>
  <c r="U512" i="1"/>
  <c r="V512" i="1"/>
  <c r="W512" i="1"/>
  <c r="X512" i="1"/>
  <c r="Y512" i="1"/>
  <c r="Z512" i="1"/>
  <c r="AA512" i="1"/>
  <c r="AB512" i="1"/>
  <c r="A513" i="1"/>
  <c r="B513" i="1"/>
  <c r="C513" i="1"/>
  <c r="D513" i="1"/>
  <c r="E513" i="1"/>
  <c r="F513" i="1"/>
  <c r="G513" i="1"/>
  <c r="H513" i="1"/>
  <c r="I513" i="1"/>
  <c r="J513" i="1"/>
  <c r="K513" i="1"/>
  <c r="L513" i="1"/>
  <c r="M513" i="1"/>
  <c r="N513" i="1"/>
  <c r="O513" i="1"/>
  <c r="P513" i="1"/>
  <c r="Q513" i="1"/>
  <c r="R513" i="1"/>
  <c r="S513" i="1"/>
  <c r="T513" i="1"/>
  <c r="U513" i="1"/>
  <c r="V513" i="1"/>
  <c r="W513" i="1"/>
  <c r="X513" i="1"/>
  <c r="Y513" i="1"/>
  <c r="Z513" i="1"/>
  <c r="AA513" i="1"/>
  <c r="AB513" i="1"/>
  <c r="A514" i="1"/>
  <c r="B514" i="1"/>
  <c r="C514" i="1"/>
  <c r="D514" i="1"/>
  <c r="E514" i="1"/>
  <c r="F514" i="1"/>
  <c r="G514" i="1"/>
  <c r="H514" i="1"/>
  <c r="I514" i="1"/>
  <c r="J514" i="1"/>
  <c r="K514" i="1"/>
  <c r="L514" i="1"/>
  <c r="M514" i="1"/>
  <c r="N514" i="1"/>
  <c r="O514" i="1"/>
  <c r="P514" i="1"/>
  <c r="Q514" i="1"/>
  <c r="R514" i="1"/>
  <c r="S514" i="1"/>
  <c r="T514" i="1"/>
  <c r="U514" i="1"/>
  <c r="V514" i="1"/>
  <c r="W514" i="1"/>
  <c r="X514" i="1"/>
  <c r="Y514" i="1"/>
  <c r="Z514" i="1"/>
  <c r="AA514" i="1"/>
  <c r="AB514" i="1"/>
  <c r="A515" i="1"/>
  <c r="B515" i="1"/>
  <c r="C515" i="1"/>
  <c r="D515" i="1"/>
  <c r="E515" i="1"/>
  <c r="F515" i="1"/>
  <c r="G515" i="1"/>
  <c r="H515" i="1"/>
  <c r="I515" i="1"/>
  <c r="J515" i="1"/>
  <c r="K515" i="1"/>
  <c r="L515" i="1"/>
  <c r="M515" i="1"/>
  <c r="N515" i="1"/>
  <c r="O515" i="1"/>
  <c r="P515" i="1"/>
  <c r="Q515" i="1"/>
  <c r="R515" i="1"/>
  <c r="S515" i="1"/>
  <c r="T515" i="1"/>
  <c r="U515" i="1"/>
  <c r="V515" i="1"/>
  <c r="W515" i="1"/>
  <c r="X515" i="1"/>
  <c r="Y515" i="1"/>
  <c r="Z515" i="1"/>
  <c r="AA515" i="1"/>
  <c r="AB515" i="1"/>
  <c r="A516" i="1"/>
  <c r="B516" i="1"/>
  <c r="C516" i="1"/>
  <c r="D516" i="1"/>
  <c r="E516" i="1"/>
  <c r="F516" i="1"/>
  <c r="G516" i="1"/>
  <c r="H516" i="1"/>
  <c r="I516" i="1"/>
  <c r="J516" i="1"/>
  <c r="K516" i="1"/>
  <c r="L516" i="1"/>
  <c r="M516" i="1"/>
  <c r="N516" i="1"/>
  <c r="O516" i="1"/>
  <c r="P516" i="1"/>
  <c r="Q516" i="1"/>
  <c r="R516" i="1"/>
  <c r="S516" i="1"/>
  <c r="T516" i="1"/>
  <c r="U516" i="1"/>
  <c r="V516" i="1"/>
  <c r="W516" i="1"/>
  <c r="X516" i="1"/>
  <c r="Y516" i="1"/>
  <c r="Z516" i="1"/>
  <c r="AA516" i="1"/>
  <c r="AB516" i="1"/>
  <c r="A517" i="1"/>
  <c r="B517" i="1"/>
  <c r="C517" i="1"/>
  <c r="D517" i="1"/>
  <c r="E517" i="1"/>
  <c r="F517" i="1"/>
  <c r="G517" i="1"/>
  <c r="H517" i="1"/>
  <c r="I517" i="1"/>
  <c r="J517" i="1"/>
  <c r="K517" i="1"/>
  <c r="L517" i="1"/>
  <c r="M517" i="1"/>
  <c r="N517" i="1"/>
  <c r="O517" i="1"/>
  <c r="P517" i="1"/>
  <c r="Q517" i="1"/>
  <c r="R517" i="1"/>
  <c r="S517" i="1"/>
  <c r="T517" i="1"/>
  <c r="U517" i="1"/>
  <c r="V517" i="1"/>
  <c r="W517" i="1"/>
  <c r="X517" i="1"/>
  <c r="Y517" i="1"/>
  <c r="Z517" i="1"/>
  <c r="AA517" i="1"/>
  <c r="AB517" i="1"/>
  <c r="A518" i="1"/>
  <c r="B518" i="1"/>
  <c r="C518" i="1"/>
  <c r="D518" i="1"/>
  <c r="E518" i="1"/>
  <c r="F518" i="1"/>
  <c r="G518" i="1"/>
  <c r="H518" i="1"/>
  <c r="I518" i="1"/>
  <c r="J518" i="1"/>
  <c r="K518" i="1"/>
  <c r="L518" i="1"/>
  <c r="M518" i="1"/>
  <c r="N518" i="1"/>
  <c r="O518" i="1"/>
  <c r="P518" i="1"/>
  <c r="Q518" i="1"/>
  <c r="R518" i="1"/>
  <c r="S518" i="1"/>
  <c r="T518" i="1"/>
  <c r="U518" i="1"/>
  <c r="V518" i="1"/>
  <c r="W518" i="1"/>
  <c r="X518" i="1"/>
  <c r="Y518" i="1"/>
  <c r="Z518" i="1"/>
  <c r="AA518" i="1"/>
  <c r="AB518" i="1"/>
  <c r="A519" i="1"/>
  <c r="B519" i="1"/>
  <c r="C519" i="1"/>
  <c r="D519" i="1"/>
  <c r="E519" i="1"/>
  <c r="F519" i="1"/>
  <c r="G519" i="1"/>
  <c r="H519" i="1"/>
  <c r="I519" i="1"/>
  <c r="J519" i="1"/>
  <c r="K519" i="1"/>
  <c r="L519" i="1"/>
  <c r="M519" i="1"/>
  <c r="N519" i="1"/>
  <c r="O519" i="1"/>
  <c r="P519" i="1"/>
  <c r="Q519" i="1"/>
  <c r="R519" i="1"/>
  <c r="S519" i="1"/>
  <c r="T519" i="1"/>
  <c r="U519" i="1"/>
  <c r="V519" i="1"/>
  <c r="W519" i="1"/>
  <c r="X519" i="1"/>
  <c r="Y519" i="1"/>
  <c r="Z519" i="1"/>
  <c r="AA519" i="1"/>
  <c r="AB519" i="1"/>
  <c r="A520" i="1"/>
  <c r="B520" i="1"/>
  <c r="C520" i="1"/>
  <c r="D520" i="1"/>
  <c r="E520" i="1"/>
  <c r="F520" i="1"/>
  <c r="G520" i="1"/>
  <c r="H520" i="1"/>
  <c r="I520" i="1"/>
  <c r="J520" i="1"/>
  <c r="K520" i="1"/>
  <c r="L520" i="1"/>
  <c r="M520" i="1"/>
  <c r="N520" i="1"/>
  <c r="O520" i="1"/>
  <c r="P520" i="1"/>
  <c r="Q520" i="1"/>
  <c r="R520" i="1"/>
  <c r="S520" i="1"/>
  <c r="T520" i="1"/>
  <c r="U520" i="1"/>
  <c r="V520" i="1"/>
  <c r="W520" i="1"/>
  <c r="X520" i="1"/>
  <c r="Y520" i="1"/>
  <c r="Z520" i="1"/>
  <c r="AA520" i="1"/>
  <c r="AB520" i="1"/>
  <c r="A521" i="1"/>
  <c r="B521" i="1"/>
  <c r="C521" i="1"/>
  <c r="D521" i="1"/>
  <c r="E521" i="1"/>
  <c r="F521" i="1"/>
  <c r="G521" i="1"/>
  <c r="H521" i="1"/>
  <c r="I521" i="1"/>
  <c r="J521" i="1"/>
  <c r="K521" i="1"/>
  <c r="L521" i="1"/>
  <c r="M521" i="1"/>
  <c r="N521" i="1"/>
  <c r="O521" i="1"/>
  <c r="P521" i="1"/>
  <c r="Q521" i="1"/>
  <c r="R521" i="1"/>
  <c r="S521" i="1"/>
  <c r="T521" i="1"/>
  <c r="U521" i="1"/>
  <c r="V521" i="1"/>
  <c r="W521" i="1"/>
  <c r="X521" i="1"/>
  <c r="Y521" i="1"/>
  <c r="Z521" i="1"/>
  <c r="AA521" i="1"/>
  <c r="AB521" i="1"/>
  <c r="A522" i="1"/>
  <c r="B522" i="1"/>
  <c r="C522" i="1"/>
  <c r="D522" i="1"/>
  <c r="E522" i="1"/>
  <c r="F522" i="1"/>
  <c r="G522" i="1"/>
  <c r="H522" i="1"/>
  <c r="I522" i="1"/>
  <c r="J522" i="1"/>
  <c r="K522" i="1"/>
  <c r="L522" i="1"/>
  <c r="M522" i="1"/>
  <c r="N522" i="1"/>
  <c r="O522" i="1"/>
  <c r="P522" i="1"/>
  <c r="Q522" i="1"/>
  <c r="R522" i="1"/>
  <c r="S522" i="1"/>
  <c r="T522" i="1"/>
  <c r="U522" i="1"/>
  <c r="V522" i="1"/>
  <c r="W522" i="1"/>
  <c r="X522" i="1"/>
  <c r="Y522" i="1"/>
  <c r="Z522" i="1"/>
  <c r="AA522" i="1"/>
  <c r="AB522" i="1"/>
  <c r="A523" i="1"/>
  <c r="B523" i="1"/>
  <c r="C523" i="1"/>
  <c r="D523" i="1"/>
  <c r="E523" i="1"/>
  <c r="F523" i="1"/>
  <c r="G523" i="1"/>
  <c r="H523" i="1"/>
  <c r="I523" i="1"/>
  <c r="J523" i="1"/>
  <c r="K523" i="1"/>
  <c r="L523" i="1"/>
  <c r="M523" i="1"/>
  <c r="N523" i="1"/>
  <c r="O523" i="1"/>
  <c r="P523" i="1"/>
  <c r="Q523" i="1"/>
  <c r="R523" i="1"/>
  <c r="S523" i="1"/>
  <c r="T523" i="1"/>
  <c r="U523" i="1"/>
  <c r="V523" i="1"/>
  <c r="W523" i="1"/>
  <c r="X523" i="1"/>
  <c r="Y523" i="1"/>
  <c r="Z523" i="1"/>
  <c r="AA523" i="1"/>
  <c r="AB523" i="1"/>
  <c r="A524" i="1"/>
  <c r="B524" i="1"/>
  <c r="C524" i="1"/>
  <c r="D524" i="1"/>
  <c r="E524" i="1"/>
  <c r="F524" i="1"/>
  <c r="G524" i="1"/>
  <c r="H524" i="1"/>
  <c r="I524" i="1"/>
  <c r="J524" i="1"/>
  <c r="K524" i="1"/>
  <c r="L524" i="1"/>
  <c r="M524" i="1"/>
  <c r="N524" i="1"/>
  <c r="O524" i="1"/>
  <c r="P524" i="1"/>
  <c r="Q524" i="1"/>
  <c r="R524" i="1"/>
  <c r="S524" i="1"/>
  <c r="T524" i="1"/>
  <c r="U524" i="1"/>
  <c r="V524" i="1"/>
  <c r="W524" i="1"/>
  <c r="X524" i="1"/>
  <c r="Y524" i="1"/>
  <c r="Z524" i="1"/>
  <c r="AA524" i="1"/>
  <c r="AB524" i="1"/>
  <c r="A525" i="1"/>
  <c r="B525" i="1"/>
  <c r="C525" i="1"/>
  <c r="D525" i="1"/>
  <c r="E525" i="1"/>
  <c r="F525" i="1"/>
  <c r="G525" i="1"/>
  <c r="H525" i="1"/>
  <c r="I525" i="1"/>
  <c r="J525" i="1"/>
  <c r="K525" i="1"/>
  <c r="L525" i="1"/>
  <c r="M525" i="1"/>
  <c r="N525" i="1"/>
  <c r="O525" i="1"/>
  <c r="P525" i="1"/>
  <c r="Q525" i="1"/>
  <c r="R525" i="1"/>
  <c r="S525" i="1"/>
  <c r="T525" i="1"/>
  <c r="U525" i="1"/>
  <c r="V525" i="1"/>
  <c r="W525" i="1"/>
  <c r="X525" i="1"/>
  <c r="Y525" i="1"/>
  <c r="Z525" i="1"/>
  <c r="AA525" i="1"/>
  <c r="AB525" i="1"/>
  <c r="A526" i="1"/>
  <c r="B526" i="1"/>
  <c r="C526" i="1"/>
  <c r="D526" i="1"/>
  <c r="E526" i="1"/>
  <c r="F526" i="1"/>
  <c r="G526" i="1"/>
  <c r="H526" i="1"/>
  <c r="I526" i="1"/>
  <c r="J526" i="1"/>
  <c r="K526" i="1"/>
  <c r="L526" i="1"/>
  <c r="M526" i="1"/>
  <c r="N526" i="1"/>
  <c r="O526" i="1"/>
  <c r="P526" i="1"/>
  <c r="Q526" i="1"/>
  <c r="R526" i="1"/>
  <c r="S526" i="1"/>
  <c r="T526" i="1"/>
  <c r="U526" i="1"/>
  <c r="V526" i="1"/>
  <c r="W526" i="1"/>
  <c r="X526" i="1"/>
  <c r="Y526" i="1"/>
  <c r="Z526" i="1"/>
  <c r="AA526" i="1"/>
  <c r="AB526" i="1"/>
  <c r="A527" i="1"/>
  <c r="B527" i="1"/>
  <c r="C527" i="1"/>
  <c r="D527" i="1"/>
  <c r="E527" i="1"/>
  <c r="F527" i="1"/>
  <c r="G527" i="1"/>
  <c r="H527" i="1"/>
  <c r="I527" i="1"/>
  <c r="J527" i="1"/>
  <c r="K527" i="1"/>
  <c r="L527" i="1"/>
  <c r="M527" i="1"/>
  <c r="N527" i="1"/>
  <c r="O527" i="1"/>
  <c r="P527" i="1"/>
  <c r="Q527" i="1"/>
  <c r="R527" i="1"/>
  <c r="S527" i="1"/>
  <c r="T527" i="1"/>
  <c r="U527" i="1"/>
  <c r="V527" i="1"/>
  <c r="W527" i="1"/>
  <c r="X527" i="1"/>
  <c r="Y527" i="1"/>
  <c r="Z527" i="1"/>
  <c r="AA527" i="1"/>
  <c r="AB527" i="1"/>
  <c r="A528" i="1"/>
  <c r="B528" i="1"/>
  <c r="C528" i="1"/>
  <c r="D528" i="1"/>
  <c r="E528" i="1"/>
  <c r="F528" i="1"/>
  <c r="G528" i="1"/>
  <c r="H528" i="1"/>
  <c r="I528" i="1"/>
  <c r="J528" i="1"/>
  <c r="K528" i="1"/>
  <c r="L528" i="1"/>
  <c r="M528" i="1"/>
  <c r="N528" i="1"/>
  <c r="O528" i="1"/>
  <c r="P528" i="1"/>
  <c r="Q528" i="1"/>
  <c r="R528" i="1"/>
  <c r="S528" i="1"/>
  <c r="T528" i="1"/>
  <c r="U528" i="1"/>
  <c r="V528" i="1"/>
  <c r="W528" i="1"/>
  <c r="X528" i="1"/>
  <c r="Y528" i="1"/>
  <c r="Z528" i="1"/>
  <c r="AA528" i="1"/>
  <c r="AB528" i="1"/>
  <c r="A529" i="1"/>
  <c r="B529" i="1"/>
  <c r="C529" i="1"/>
  <c r="D529" i="1"/>
  <c r="E529" i="1"/>
  <c r="F529" i="1"/>
  <c r="G529" i="1"/>
  <c r="H529" i="1"/>
  <c r="I529" i="1"/>
  <c r="J529" i="1"/>
  <c r="K529" i="1"/>
  <c r="L529" i="1"/>
  <c r="M529" i="1"/>
  <c r="N529" i="1"/>
  <c r="O529" i="1"/>
  <c r="P529" i="1"/>
  <c r="Q529" i="1"/>
  <c r="R529" i="1"/>
  <c r="S529" i="1"/>
  <c r="T529" i="1"/>
  <c r="U529" i="1"/>
  <c r="V529" i="1"/>
  <c r="W529" i="1"/>
  <c r="X529" i="1"/>
  <c r="Y529" i="1"/>
  <c r="Z529" i="1"/>
  <c r="AA529" i="1"/>
  <c r="AB529" i="1"/>
  <c r="A530" i="1"/>
  <c r="B530" i="1"/>
  <c r="C530" i="1"/>
  <c r="D530" i="1"/>
  <c r="E530" i="1"/>
  <c r="F530" i="1"/>
  <c r="G530" i="1"/>
  <c r="H530" i="1"/>
  <c r="I530" i="1"/>
  <c r="J530" i="1"/>
  <c r="K530" i="1"/>
  <c r="L530" i="1"/>
  <c r="M530" i="1"/>
  <c r="N530" i="1"/>
  <c r="O530" i="1"/>
  <c r="P530" i="1"/>
  <c r="Q530" i="1"/>
  <c r="R530" i="1"/>
  <c r="S530" i="1"/>
  <c r="T530" i="1"/>
  <c r="U530" i="1"/>
  <c r="V530" i="1"/>
  <c r="W530" i="1"/>
  <c r="X530" i="1"/>
  <c r="Y530" i="1"/>
  <c r="Z530" i="1"/>
  <c r="AA530" i="1"/>
  <c r="AB530" i="1"/>
  <c r="A531" i="1"/>
  <c r="B531" i="1"/>
  <c r="C531" i="1"/>
  <c r="D531" i="1"/>
  <c r="E531" i="1"/>
  <c r="F531" i="1"/>
  <c r="G531" i="1"/>
  <c r="H531" i="1"/>
  <c r="I531" i="1"/>
  <c r="J531" i="1"/>
  <c r="K531" i="1"/>
  <c r="L531" i="1"/>
  <c r="M531" i="1"/>
  <c r="N531" i="1"/>
  <c r="O531" i="1"/>
  <c r="P531" i="1"/>
  <c r="Q531" i="1"/>
  <c r="R531" i="1"/>
  <c r="S531" i="1"/>
  <c r="T531" i="1"/>
  <c r="U531" i="1"/>
  <c r="V531" i="1"/>
  <c r="W531" i="1"/>
  <c r="X531" i="1"/>
  <c r="Y531" i="1"/>
  <c r="Z531" i="1"/>
  <c r="AA531" i="1"/>
  <c r="AB531" i="1"/>
  <c r="A532" i="1"/>
  <c r="B532" i="1"/>
  <c r="C532" i="1"/>
  <c r="D532" i="1"/>
  <c r="E532" i="1"/>
  <c r="F532" i="1"/>
  <c r="G532" i="1"/>
  <c r="H532" i="1"/>
  <c r="I532" i="1"/>
  <c r="J532" i="1"/>
  <c r="K532" i="1"/>
  <c r="L532" i="1"/>
  <c r="M532" i="1"/>
  <c r="N532" i="1"/>
  <c r="O532" i="1"/>
  <c r="P532" i="1"/>
  <c r="Q532" i="1"/>
  <c r="R532" i="1"/>
  <c r="S532" i="1"/>
  <c r="T532" i="1"/>
  <c r="U532" i="1"/>
  <c r="V532" i="1"/>
  <c r="W532" i="1"/>
  <c r="X532" i="1"/>
  <c r="Y532" i="1"/>
  <c r="Z532" i="1"/>
  <c r="AA532" i="1"/>
  <c r="AB532" i="1"/>
  <c r="A533" i="1"/>
  <c r="B533" i="1"/>
  <c r="C533" i="1"/>
  <c r="D533" i="1"/>
  <c r="E533" i="1"/>
  <c r="F533" i="1"/>
  <c r="G533" i="1"/>
  <c r="H533" i="1"/>
  <c r="I533" i="1"/>
  <c r="J533" i="1"/>
  <c r="K533" i="1"/>
  <c r="L533" i="1"/>
  <c r="M533" i="1"/>
  <c r="N533" i="1"/>
  <c r="O533" i="1"/>
  <c r="P533" i="1"/>
  <c r="Q533" i="1"/>
  <c r="R533" i="1"/>
  <c r="S533" i="1"/>
  <c r="T533" i="1"/>
  <c r="U533" i="1"/>
  <c r="V533" i="1"/>
  <c r="W533" i="1"/>
  <c r="X533" i="1"/>
  <c r="Y533" i="1"/>
  <c r="Z533" i="1"/>
  <c r="AA533" i="1"/>
  <c r="AB533" i="1"/>
  <c r="A534" i="1"/>
  <c r="B534" i="1"/>
  <c r="C534" i="1"/>
  <c r="D534" i="1"/>
  <c r="E534" i="1"/>
  <c r="F534" i="1"/>
  <c r="G534" i="1"/>
  <c r="H534" i="1"/>
  <c r="I534" i="1"/>
  <c r="J534" i="1"/>
  <c r="K534" i="1"/>
  <c r="L534" i="1"/>
  <c r="M534" i="1"/>
  <c r="N534" i="1"/>
  <c r="O534" i="1"/>
  <c r="P534" i="1"/>
  <c r="Q534" i="1"/>
  <c r="R534" i="1"/>
  <c r="S534" i="1"/>
  <c r="T534" i="1"/>
  <c r="U534" i="1"/>
  <c r="V534" i="1"/>
  <c r="W534" i="1"/>
  <c r="X534" i="1"/>
  <c r="Y534" i="1"/>
  <c r="Z534" i="1"/>
  <c r="AA534" i="1"/>
  <c r="AB534" i="1"/>
  <c r="A535" i="1"/>
  <c r="B535" i="1"/>
  <c r="C535" i="1"/>
  <c r="D535" i="1"/>
  <c r="E535" i="1"/>
  <c r="F535" i="1"/>
  <c r="G535" i="1"/>
  <c r="H535" i="1"/>
  <c r="I535" i="1"/>
  <c r="J535" i="1"/>
  <c r="K535" i="1"/>
  <c r="L535" i="1"/>
  <c r="M535" i="1"/>
  <c r="N535" i="1"/>
  <c r="O535" i="1"/>
  <c r="P535" i="1"/>
  <c r="Q535" i="1"/>
  <c r="R535" i="1"/>
  <c r="S535" i="1"/>
  <c r="T535" i="1"/>
  <c r="U535" i="1"/>
  <c r="V535" i="1"/>
  <c r="W535" i="1"/>
  <c r="X535" i="1"/>
  <c r="Y535" i="1"/>
  <c r="Z535" i="1"/>
  <c r="AA535" i="1"/>
  <c r="AB535" i="1"/>
  <c r="A536" i="1"/>
  <c r="B536" i="1"/>
  <c r="C536" i="1"/>
  <c r="D536" i="1"/>
  <c r="E536" i="1"/>
  <c r="F536" i="1"/>
  <c r="G536" i="1"/>
  <c r="H536" i="1"/>
  <c r="I536" i="1"/>
  <c r="J536" i="1"/>
  <c r="K536" i="1"/>
  <c r="L536" i="1"/>
  <c r="M536" i="1"/>
  <c r="N536" i="1"/>
  <c r="O536" i="1"/>
  <c r="P536" i="1"/>
  <c r="Q536" i="1"/>
  <c r="R536" i="1"/>
  <c r="S536" i="1"/>
  <c r="T536" i="1"/>
  <c r="U536" i="1"/>
  <c r="V536" i="1"/>
  <c r="W536" i="1"/>
  <c r="X536" i="1"/>
  <c r="Y536" i="1"/>
  <c r="Z536" i="1"/>
  <c r="AA536" i="1"/>
  <c r="AB536" i="1"/>
  <c r="A537" i="1"/>
  <c r="B537" i="1"/>
  <c r="C537" i="1"/>
  <c r="D537" i="1"/>
  <c r="E537" i="1"/>
  <c r="F537" i="1"/>
  <c r="G537" i="1"/>
  <c r="H537" i="1"/>
  <c r="I537" i="1"/>
  <c r="J537" i="1"/>
  <c r="K537" i="1"/>
  <c r="L537" i="1"/>
  <c r="M537" i="1"/>
  <c r="N537" i="1"/>
  <c r="O537" i="1"/>
  <c r="P537" i="1"/>
  <c r="Q537" i="1"/>
  <c r="R537" i="1"/>
  <c r="S537" i="1"/>
  <c r="T537" i="1"/>
  <c r="U537" i="1"/>
  <c r="V537" i="1"/>
  <c r="W537" i="1"/>
  <c r="X537" i="1"/>
  <c r="Y537" i="1"/>
  <c r="Z537" i="1"/>
  <c r="AA537" i="1"/>
  <c r="AB537" i="1"/>
  <c r="A538" i="1"/>
  <c r="B538" i="1"/>
  <c r="C538" i="1"/>
  <c r="D538" i="1"/>
  <c r="E538" i="1"/>
  <c r="F538" i="1"/>
  <c r="G538" i="1"/>
  <c r="H538" i="1"/>
  <c r="I538" i="1"/>
  <c r="J538" i="1"/>
  <c r="K538" i="1"/>
  <c r="L538" i="1"/>
  <c r="M538" i="1"/>
  <c r="N538" i="1"/>
  <c r="O538" i="1"/>
  <c r="P538" i="1"/>
  <c r="Q538" i="1"/>
  <c r="R538" i="1"/>
  <c r="S538" i="1"/>
  <c r="T538" i="1"/>
  <c r="U538" i="1"/>
  <c r="V538" i="1"/>
  <c r="W538" i="1"/>
  <c r="X538" i="1"/>
  <c r="Y538" i="1"/>
  <c r="Z538" i="1"/>
  <c r="AA538" i="1"/>
  <c r="AB538" i="1"/>
  <c r="A539" i="1"/>
  <c r="B539" i="1"/>
  <c r="C539" i="1"/>
  <c r="D539" i="1"/>
  <c r="E539" i="1"/>
  <c r="F539" i="1"/>
  <c r="G539" i="1"/>
  <c r="H539" i="1"/>
  <c r="I539" i="1"/>
  <c r="J539" i="1"/>
  <c r="K539" i="1"/>
  <c r="L539" i="1"/>
  <c r="M539" i="1"/>
  <c r="N539" i="1"/>
  <c r="O539" i="1"/>
  <c r="P539" i="1"/>
  <c r="Q539" i="1"/>
  <c r="R539" i="1"/>
  <c r="S539" i="1"/>
  <c r="T539" i="1"/>
  <c r="U539" i="1"/>
  <c r="V539" i="1"/>
  <c r="W539" i="1"/>
  <c r="X539" i="1"/>
  <c r="Y539" i="1"/>
  <c r="Z539" i="1"/>
  <c r="AA539" i="1"/>
  <c r="AB539" i="1"/>
  <c r="A540" i="1"/>
  <c r="B540" i="1"/>
  <c r="C540" i="1"/>
  <c r="D540" i="1"/>
  <c r="E540" i="1"/>
  <c r="F540" i="1"/>
  <c r="G540" i="1"/>
  <c r="H540" i="1"/>
  <c r="I540" i="1"/>
  <c r="J540" i="1"/>
  <c r="K540" i="1"/>
  <c r="L540" i="1"/>
  <c r="M540" i="1"/>
  <c r="N540" i="1"/>
  <c r="O540" i="1"/>
  <c r="P540" i="1"/>
  <c r="Q540" i="1"/>
  <c r="R540" i="1"/>
  <c r="S540" i="1"/>
  <c r="T540" i="1"/>
  <c r="U540" i="1"/>
  <c r="V540" i="1"/>
  <c r="W540" i="1"/>
  <c r="X540" i="1"/>
  <c r="Y540" i="1"/>
  <c r="Z540" i="1"/>
  <c r="AA540" i="1"/>
  <c r="AB540" i="1"/>
  <c r="A541" i="1"/>
  <c r="B541" i="1"/>
  <c r="C541" i="1"/>
  <c r="D541" i="1"/>
  <c r="E541" i="1"/>
  <c r="F541" i="1"/>
  <c r="G541" i="1"/>
  <c r="H541" i="1"/>
  <c r="I541" i="1"/>
  <c r="J541" i="1"/>
  <c r="K541" i="1"/>
  <c r="L541" i="1"/>
  <c r="M541" i="1"/>
  <c r="N541" i="1"/>
  <c r="O541" i="1"/>
  <c r="P541" i="1"/>
  <c r="Q541" i="1"/>
  <c r="R541" i="1"/>
  <c r="S541" i="1"/>
  <c r="T541" i="1"/>
  <c r="U541" i="1"/>
  <c r="V541" i="1"/>
  <c r="W541" i="1"/>
  <c r="X541" i="1"/>
  <c r="Y541" i="1"/>
  <c r="Z541" i="1"/>
  <c r="AA541" i="1"/>
  <c r="AB541" i="1"/>
  <c r="A542" i="1"/>
  <c r="B542" i="1"/>
  <c r="C542" i="1"/>
  <c r="D542" i="1"/>
  <c r="E542" i="1"/>
  <c r="F542" i="1"/>
  <c r="G542" i="1"/>
  <c r="H542" i="1"/>
  <c r="I542" i="1"/>
  <c r="J542" i="1"/>
  <c r="K542" i="1"/>
  <c r="L542" i="1"/>
  <c r="M542" i="1"/>
  <c r="N542" i="1"/>
  <c r="O542" i="1"/>
  <c r="P542" i="1"/>
  <c r="Q542" i="1"/>
  <c r="R542" i="1"/>
  <c r="S542" i="1"/>
  <c r="T542" i="1"/>
  <c r="U542" i="1"/>
  <c r="V542" i="1"/>
  <c r="W542" i="1"/>
  <c r="X542" i="1"/>
  <c r="Y542" i="1"/>
  <c r="Z542" i="1"/>
  <c r="AA542" i="1"/>
  <c r="AB542" i="1"/>
  <c r="A543" i="1"/>
  <c r="B543" i="1"/>
  <c r="C543" i="1"/>
  <c r="D543" i="1"/>
  <c r="E543" i="1"/>
  <c r="F543" i="1"/>
  <c r="G543" i="1"/>
  <c r="H543" i="1"/>
  <c r="I543" i="1"/>
  <c r="J543" i="1"/>
  <c r="K543" i="1"/>
  <c r="L543" i="1"/>
  <c r="M543" i="1"/>
  <c r="N543" i="1"/>
  <c r="O543" i="1"/>
  <c r="P543" i="1"/>
  <c r="Q543" i="1"/>
  <c r="R543" i="1"/>
  <c r="S543" i="1"/>
  <c r="T543" i="1"/>
  <c r="U543" i="1"/>
  <c r="V543" i="1"/>
  <c r="W543" i="1"/>
  <c r="X543" i="1"/>
  <c r="Y543" i="1"/>
  <c r="Z543" i="1"/>
  <c r="AA543" i="1"/>
  <c r="AB543" i="1"/>
  <c r="A544" i="1"/>
  <c r="B544" i="1"/>
  <c r="C544" i="1"/>
  <c r="D544" i="1"/>
  <c r="E544" i="1"/>
  <c r="F544" i="1"/>
  <c r="G544" i="1"/>
  <c r="H544" i="1"/>
  <c r="I544" i="1"/>
  <c r="J544" i="1"/>
  <c r="K544" i="1"/>
  <c r="L544" i="1"/>
  <c r="M544" i="1"/>
  <c r="N544" i="1"/>
  <c r="O544" i="1"/>
  <c r="P544" i="1"/>
  <c r="Q544" i="1"/>
  <c r="R544" i="1"/>
  <c r="S544" i="1"/>
  <c r="T544" i="1"/>
  <c r="U544" i="1"/>
  <c r="V544" i="1"/>
  <c r="W544" i="1"/>
  <c r="X544" i="1"/>
  <c r="Y544" i="1"/>
  <c r="Z544" i="1"/>
  <c r="AA544" i="1"/>
  <c r="AB544" i="1"/>
  <c r="A545" i="1"/>
  <c r="B545" i="1"/>
  <c r="C545" i="1"/>
  <c r="D545" i="1"/>
  <c r="E545" i="1"/>
  <c r="F545" i="1"/>
  <c r="G545" i="1"/>
  <c r="H545" i="1"/>
  <c r="I545" i="1"/>
  <c r="J545" i="1"/>
  <c r="K545" i="1"/>
  <c r="L545" i="1"/>
  <c r="M545" i="1"/>
  <c r="N545" i="1"/>
  <c r="O545" i="1"/>
  <c r="P545" i="1"/>
  <c r="Q545" i="1"/>
  <c r="R545" i="1"/>
  <c r="S545" i="1"/>
  <c r="T545" i="1"/>
  <c r="U545" i="1"/>
  <c r="V545" i="1"/>
  <c r="W545" i="1"/>
  <c r="X545" i="1"/>
  <c r="Y545" i="1"/>
  <c r="Z545" i="1"/>
  <c r="AA545" i="1"/>
  <c r="AB545" i="1"/>
  <c r="A546" i="1"/>
  <c r="B546" i="1"/>
  <c r="C546" i="1"/>
  <c r="D546" i="1"/>
  <c r="E546" i="1"/>
  <c r="F546" i="1"/>
  <c r="G546" i="1"/>
  <c r="H546" i="1"/>
  <c r="I546" i="1"/>
  <c r="J546" i="1"/>
  <c r="K546" i="1"/>
  <c r="L546" i="1"/>
  <c r="M546" i="1"/>
  <c r="N546" i="1"/>
  <c r="O546" i="1"/>
  <c r="P546" i="1"/>
  <c r="Q546" i="1"/>
  <c r="R546" i="1"/>
  <c r="S546" i="1"/>
  <c r="T546" i="1"/>
  <c r="U546" i="1"/>
  <c r="V546" i="1"/>
  <c r="W546" i="1"/>
  <c r="X546" i="1"/>
  <c r="Y546" i="1"/>
  <c r="Z546" i="1"/>
  <c r="AA546" i="1"/>
  <c r="AB546" i="1"/>
  <c r="A547" i="1"/>
  <c r="B547" i="1"/>
  <c r="C547" i="1"/>
  <c r="D547" i="1"/>
  <c r="E547" i="1"/>
  <c r="F547" i="1"/>
  <c r="G547" i="1"/>
  <c r="H547" i="1"/>
  <c r="I547" i="1"/>
  <c r="J547" i="1"/>
  <c r="K547" i="1"/>
  <c r="L547" i="1"/>
  <c r="M547" i="1"/>
  <c r="N547" i="1"/>
  <c r="O547" i="1"/>
  <c r="P547" i="1"/>
  <c r="Q547" i="1"/>
  <c r="R547" i="1"/>
  <c r="S547" i="1"/>
  <c r="T547" i="1"/>
  <c r="U547" i="1"/>
  <c r="V547" i="1"/>
  <c r="W547" i="1"/>
  <c r="X547" i="1"/>
  <c r="Y547" i="1"/>
  <c r="Z547" i="1"/>
  <c r="AA547" i="1"/>
  <c r="AB547" i="1"/>
  <c r="A548" i="1"/>
  <c r="B548" i="1"/>
  <c r="C548" i="1"/>
  <c r="D548" i="1"/>
  <c r="E548" i="1"/>
  <c r="F548" i="1"/>
  <c r="G548" i="1"/>
  <c r="H548" i="1"/>
  <c r="I548" i="1"/>
  <c r="J548" i="1"/>
  <c r="K548" i="1"/>
  <c r="L548" i="1"/>
  <c r="M548" i="1"/>
  <c r="N548" i="1"/>
  <c r="O548" i="1"/>
  <c r="P548" i="1"/>
  <c r="Q548" i="1"/>
  <c r="R548" i="1"/>
  <c r="S548" i="1"/>
  <c r="T548" i="1"/>
  <c r="U548" i="1"/>
  <c r="V548" i="1"/>
  <c r="W548" i="1"/>
  <c r="X548" i="1"/>
  <c r="Y548" i="1"/>
  <c r="Z548" i="1"/>
  <c r="AA548" i="1"/>
  <c r="AB548" i="1"/>
  <c r="A549" i="1"/>
  <c r="B549" i="1"/>
  <c r="C549" i="1"/>
  <c r="D549" i="1"/>
  <c r="E549" i="1"/>
  <c r="F549" i="1"/>
  <c r="G549" i="1"/>
  <c r="H549" i="1"/>
  <c r="I549" i="1"/>
  <c r="J549" i="1"/>
  <c r="K549" i="1"/>
  <c r="L549" i="1"/>
  <c r="M549" i="1"/>
  <c r="N549" i="1"/>
  <c r="O549" i="1"/>
  <c r="P549" i="1"/>
  <c r="Q549" i="1"/>
  <c r="R549" i="1"/>
  <c r="S549" i="1"/>
  <c r="T549" i="1"/>
  <c r="U549" i="1"/>
  <c r="V549" i="1"/>
  <c r="W549" i="1"/>
  <c r="X549" i="1"/>
  <c r="Y549" i="1"/>
  <c r="Z549" i="1"/>
  <c r="AA549" i="1"/>
  <c r="AB549" i="1"/>
  <c r="A550" i="1"/>
  <c r="B550" i="1"/>
  <c r="C550" i="1"/>
  <c r="D550" i="1"/>
  <c r="E550" i="1"/>
  <c r="F550" i="1"/>
  <c r="G550" i="1"/>
  <c r="H550" i="1"/>
  <c r="I550" i="1"/>
  <c r="J550" i="1"/>
  <c r="K550" i="1"/>
  <c r="L550" i="1"/>
  <c r="M550" i="1"/>
  <c r="N550" i="1"/>
  <c r="O550" i="1"/>
  <c r="P550" i="1"/>
  <c r="Q550" i="1"/>
  <c r="R550" i="1"/>
  <c r="S550" i="1"/>
  <c r="T550" i="1"/>
  <c r="U550" i="1"/>
  <c r="V550" i="1"/>
  <c r="W550" i="1"/>
  <c r="X550" i="1"/>
  <c r="Y550" i="1"/>
  <c r="Z550" i="1"/>
  <c r="AA550" i="1"/>
  <c r="AB550" i="1"/>
  <c r="A551" i="1"/>
  <c r="B551" i="1"/>
  <c r="C551" i="1"/>
  <c r="D551" i="1"/>
  <c r="E551" i="1"/>
  <c r="F551" i="1"/>
  <c r="G551" i="1"/>
  <c r="H551" i="1"/>
  <c r="I551" i="1"/>
  <c r="J551" i="1"/>
  <c r="K551" i="1"/>
  <c r="L551" i="1"/>
  <c r="M551" i="1"/>
  <c r="N551" i="1"/>
  <c r="O551" i="1"/>
  <c r="P551" i="1"/>
  <c r="Q551" i="1"/>
  <c r="R551" i="1"/>
  <c r="S551" i="1"/>
  <c r="T551" i="1"/>
  <c r="U551" i="1"/>
  <c r="V551" i="1"/>
  <c r="W551" i="1"/>
  <c r="X551" i="1"/>
  <c r="Y551" i="1"/>
  <c r="Z551" i="1"/>
  <c r="AA551" i="1"/>
  <c r="AB551" i="1"/>
  <c r="A552" i="1"/>
  <c r="B552" i="1"/>
  <c r="C552" i="1"/>
  <c r="D552" i="1"/>
  <c r="E552" i="1"/>
  <c r="F552" i="1"/>
  <c r="G552" i="1"/>
  <c r="H552" i="1"/>
  <c r="I552" i="1"/>
  <c r="J552" i="1"/>
  <c r="K552" i="1"/>
  <c r="L552" i="1"/>
  <c r="M552" i="1"/>
  <c r="N552" i="1"/>
  <c r="O552" i="1"/>
  <c r="P552" i="1"/>
  <c r="Q552" i="1"/>
  <c r="R552" i="1"/>
  <c r="S552" i="1"/>
  <c r="T552" i="1"/>
  <c r="U552" i="1"/>
  <c r="V552" i="1"/>
  <c r="W552" i="1"/>
  <c r="X552" i="1"/>
  <c r="Y552" i="1"/>
  <c r="Z552" i="1"/>
  <c r="AA552" i="1"/>
  <c r="AB552" i="1"/>
  <c r="A553" i="1"/>
  <c r="B553" i="1"/>
  <c r="C553" i="1"/>
  <c r="D553" i="1"/>
  <c r="E553" i="1"/>
  <c r="F553" i="1"/>
  <c r="G553" i="1"/>
  <c r="H553" i="1"/>
  <c r="I553" i="1"/>
  <c r="J553" i="1"/>
  <c r="K553" i="1"/>
  <c r="L553" i="1"/>
  <c r="M553" i="1"/>
  <c r="N553" i="1"/>
  <c r="O553" i="1"/>
  <c r="P553" i="1"/>
  <c r="Q553" i="1"/>
  <c r="R553" i="1"/>
  <c r="S553" i="1"/>
  <c r="T553" i="1"/>
  <c r="U553" i="1"/>
  <c r="V553" i="1"/>
  <c r="W553" i="1"/>
  <c r="X553" i="1"/>
  <c r="Y553" i="1"/>
  <c r="Z553" i="1"/>
  <c r="AA553" i="1"/>
  <c r="AB553" i="1"/>
  <c r="A554" i="1"/>
  <c r="B554" i="1"/>
  <c r="C554" i="1"/>
  <c r="D554" i="1"/>
  <c r="E554" i="1"/>
  <c r="F554" i="1"/>
  <c r="G554" i="1"/>
  <c r="H554" i="1"/>
  <c r="I554" i="1"/>
  <c r="J554" i="1"/>
  <c r="K554" i="1"/>
  <c r="L554" i="1"/>
  <c r="M554" i="1"/>
  <c r="N554" i="1"/>
  <c r="O554" i="1"/>
  <c r="P554" i="1"/>
  <c r="Q554" i="1"/>
  <c r="R554" i="1"/>
  <c r="S554" i="1"/>
  <c r="T554" i="1"/>
  <c r="U554" i="1"/>
  <c r="V554" i="1"/>
  <c r="W554" i="1"/>
  <c r="X554" i="1"/>
  <c r="Y554" i="1"/>
  <c r="Z554" i="1"/>
  <c r="AA554" i="1"/>
  <c r="AB554" i="1"/>
  <c r="A555" i="1"/>
  <c r="B555" i="1"/>
  <c r="C555" i="1"/>
  <c r="D555" i="1"/>
  <c r="E555" i="1"/>
  <c r="F555" i="1"/>
  <c r="G555" i="1"/>
  <c r="H555" i="1"/>
  <c r="I555" i="1"/>
  <c r="J555" i="1"/>
  <c r="K555" i="1"/>
  <c r="L555" i="1"/>
  <c r="M555" i="1"/>
  <c r="N555" i="1"/>
  <c r="O555" i="1"/>
  <c r="P555" i="1"/>
  <c r="Q555" i="1"/>
  <c r="R555" i="1"/>
  <c r="S555" i="1"/>
  <c r="T555" i="1"/>
  <c r="U555" i="1"/>
  <c r="V555" i="1"/>
  <c r="W555" i="1"/>
  <c r="X555" i="1"/>
  <c r="Y555" i="1"/>
  <c r="Z555" i="1"/>
  <c r="AA555" i="1"/>
  <c r="AB555" i="1"/>
  <c r="A556" i="1"/>
  <c r="B556" i="1"/>
  <c r="C556" i="1"/>
  <c r="D556" i="1"/>
  <c r="E556" i="1"/>
  <c r="F556" i="1"/>
  <c r="G556" i="1"/>
  <c r="H556" i="1"/>
  <c r="I556" i="1"/>
  <c r="J556" i="1"/>
  <c r="K556" i="1"/>
  <c r="L556" i="1"/>
  <c r="M556" i="1"/>
  <c r="N556" i="1"/>
  <c r="O556" i="1"/>
  <c r="P556" i="1"/>
  <c r="Q556" i="1"/>
  <c r="R556" i="1"/>
  <c r="S556" i="1"/>
  <c r="T556" i="1"/>
  <c r="U556" i="1"/>
  <c r="V556" i="1"/>
  <c r="W556" i="1"/>
  <c r="X556" i="1"/>
  <c r="Y556" i="1"/>
  <c r="Z556" i="1"/>
  <c r="AA556" i="1"/>
  <c r="AB556" i="1"/>
  <c r="A557" i="1"/>
  <c r="B557" i="1"/>
  <c r="C557" i="1"/>
  <c r="D557" i="1"/>
  <c r="E557" i="1"/>
  <c r="F557" i="1"/>
  <c r="G557" i="1"/>
  <c r="H557" i="1"/>
  <c r="I557" i="1"/>
  <c r="J557" i="1"/>
  <c r="K557" i="1"/>
  <c r="L557" i="1"/>
  <c r="M557" i="1"/>
  <c r="N557" i="1"/>
  <c r="O557" i="1"/>
  <c r="P557" i="1"/>
  <c r="Q557" i="1"/>
  <c r="R557" i="1"/>
  <c r="S557" i="1"/>
  <c r="T557" i="1"/>
  <c r="U557" i="1"/>
  <c r="V557" i="1"/>
  <c r="W557" i="1"/>
  <c r="X557" i="1"/>
  <c r="Y557" i="1"/>
  <c r="Z557" i="1"/>
  <c r="AA557" i="1"/>
  <c r="AB557" i="1"/>
  <c r="A558" i="1"/>
  <c r="B558" i="1"/>
  <c r="C558" i="1"/>
  <c r="D558" i="1"/>
  <c r="E558" i="1"/>
  <c r="F558" i="1"/>
  <c r="G558" i="1"/>
  <c r="H558" i="1"/>
  <c r="I558" i="1"/>
  <c r="J558" i="1"/>
  <c r="K558" i="1"/>
  <c r="L558" i="1"/>
  <c r="M558" i="1"/>
  <c r="N558" i="1"/>
  <c r="O558" i="1"/>
  <c r="P558" i="1"/>
  <c r="Q558" i="1"/>
  <c r="R558" i="1"/>
  <c r="S558" i="1"/>
  <c r="T558" i="1"/>
  <c r="U558" i="1"/>
  <c r="V558" i="1"/>
  <c r="W558" i="1"/>
  <c r="X558" i="1"/>
  <c r="Y558" i="1"/>
  <c r="Z558" i="1"/>
  <c r="AA558" i="1"/>
  <c r="AB558" i="1"/>
  <c r="A559" i="1"/>
  <c r="B559" i="1"/>
  <c r="C559" i="1"/>
  <c r="D559" i="1"/>
  <c r="E559" i="1"/>
  <c r="F559" i="1"/>
  <c r="G559" i="1"/>
  <c r="H559" i="1"/>
  <c r="I559" i="1"/>
  <c r="J559" i="1"/>
  <c r="K559" i="1"/>
  <c r="L559" i="1"/>
  <c r="M559" i="1"/>
  <c r="N559" i="1"/>
  <c r="O559" i="1"/>
  <c r="P559" i="1"/>
  <c r="Q559" i="1"/>
  <c r="R559" i="1"/>
  <c r="S559" i="1"/>
  <c r="T559" i="1"/>
  <c r="U559" i="1"/>
  <c r="V559" i="1"/>
  <c r="W559" i="1"/>
  <c r="X559" i="1"/>
  <c r="Y559" i="1"/>
  <c r="Z559" i="1"/>
  <c r="AA559" i="1"/>
  <c r="AB559" i="1"/>
  <c r="A560" i="1"/>
  <c r="B560" i="1"/>
  <c r="C560" i="1"/>
  <c r="D560" i="1"/>
  <c r="E560" i="1"/>
  <c r="F560" i="1"/>
  <c r="G560" i="1"/>
  <c r="H560" i="1"/>
  <c r="I560" i="1"/>
  <c r="J560" i="1"/>
  <c r="K560" i="1"/>
  <c r="L560" i="1"/>
  <c r="M560" i="1"/>
  <c r="N560" i="1"/>
  <c r="O560" i="1"/>
  <c r="P560" i="1"/>
  <c r="Q560" i="1"/>
  <c r="R560" i="1"/>
  <c r="S560" i="1"/>
  <c r="T560" i="1"/>
  <c r="U560" i="1"/>
  <c r="V560" i="1"/>
  <c r="W560" i="1"/>
  <c r="X560" i="1"/>
  <c r="Y560" i="1"/>
  <c r="Z560" i="1"/>
  <c r="AA560" i="1"/>
  <c r="AB560" i="1"/>
  <c r="A561" i="1"/>
  <c r="B561" i="1"/>
  <c r="C561" i="1"/>
  <c r="D561" i="1"/>
  <c r="E561" i="1"/>
  <c r="F561" i="1"/>
  <c r="G561" i="1"/>
  <c r="H561" i="1"/>
  <c r="I561" i="1"/>
  <c r="J561" i="1"/>
  <c r="K561" i="1"/>
  <c r="L561" i="1"/>
  <c r="M561" i="1"/>
  <c r="N561" i="1"/>
  <c r="O561" i="1"/>
  <c r="P561" i="1"/>
  <c r="Q561" i="1"/>
  <c r="R561" i="1"/>
  <c r="S561" i="1"/>
  <c r="T561" i="1"/>
  <c r="U561" i="1"/>
  <c r="V561" i="1"/>
  <c r="W561" i="1"/>
  <c r="X561" i="1"/>
  <c r="Y561" i="1"/>
  <c r="Z561" i="1"/>
  <c r="AA561" i="1"/>
  <c r="AB561" i="1"/>
  <c r="A562" i="1"/>
  <c r="B562" i="1"/>
  <c r="C562" i="1"/>
  <c r="D562" i="1"/>
  <c r="E562" i="1"/>
  <c r="F562" i="1"/>
  <c r="G562" i="1"/>
  <c r="H562" i="1"/>
  <c r="I562" i="1"/>
  <c r="J562" i="1"/>
  <c r="K562" i="1"/>
  <c r="L562" i="1"/>
  <c r="M562" i="1"/>
  <c r="N562" i="1"/>
  <c r="O562" i="1"/>
  <c r="P562" i="1"/>
  <c r="Q562" i="1"/>
  <c r="R562" i="1"/>
  <c r="S562" i="1"/>
  <c r="T562" i="1"/>
  <c r="U562" i="1"/>
  <c r="V562" i="1"/>
  <c r="W562" i="1"/>
  <c r="X562" i="1"/>
  <c r="Y562" i="1"/>
  <c r="Z562" i="1"/>
  <c r="AA562" i="1"/>
  <c r="AB562" i="1"/>
  <c r="A563" i="1"/>
  <c r="B563" i="1"/>
  <c r="C563" i="1"/>
  <c r="D563" i="1"/>
  <c r="E563" i="1"/>
  <c r="F563" i="1"/>
  <c r="G563" i="1"/>
  <c r="H563" i="1"/>
  <c r="I563" i="1"/>
  <c r="J563" i="1"/>
  <c r="K563" i="1"/>
  <c r="L563" i="1"/>
  <c r="M563" i="1"/>
  <c r="N563" i="1"/>
  <c r="O563" i="1"/>
  <c r="P563" i="1"/>
  <c r="Q563" i="1"/>
  <c r="R563" i="1"/>
  <c r="S563" i="1"/>
  <c r="T563" i="1"/>
  <c r="U563" i="1"/>
  <c r="V563" i="1"/>
  <c r="W563" i="1"/>
  <c r="X563" i="1"/>
  <c r="Y563" i="1"/>
  <c r="Z563" i="1"/>
  <c r="AA563" i="1"/>
  <c r="AB563" i="1"/>
  <c r="A564" i="1"/>
  <c r="B564" i="1"/>
  <c r="C564" i="1"/>
  <c r="D564" i="1"/>
  <c r="E564" i="1"/>
  <c r="F564" i="1"/>
  <c r="G564" i="1"/>
  <c r="H564" i="1"/>
  <c r="I564" i="1"/>
  <c r="J564" i="1"/>
  <c r="K564" i="1"/>
  <c r="L564" i="1"/>
  <c r="M564" i="1"/>
  <c r="N564" i="1"/>
  <c r="O564" i="1"/>
  <c r="P564" i="1"/>
  <c r="Q564" i="1"/>
  <c r="R564" i="1"/>
  <c r="S564" i="1"/>
  <c r="T564" i="1"/>
  <c r="U564" i="1"/>
  <c r="V564" i="1"/>
  <c r="W564" i="1"/>
  <c r="X564" i="1"/>
  <c r="Y564" i="1"/>
  <c r="Z564" i="1"/>
  <c r="AA564" i="1"/>
  <c r="AB564" i="1"/>
  <c r="A565" i="1"/>
  <c r="B565" i="1"/>
  <c r="C565" i="1"/>
  <c r="D565" i="1"/>
  <c r="E565" i="1"/>
  <c r="F565" i="1"/>
  <c r="G565" i="1"/>
  <c r="H565" i="1"/>
  <c r="I565" i="1"/>
  <c r="J565" i="1"/>
  <c r="K565" i="1"/>
  <c r="L565" i="1"/>
  <c r="M565" i="1"/>
  <c r="N565" i="1"/>
  <c r="O565" i="1"/>
  <c r="P565" i="1"/>
  <c r="Q565" i="1"/>
  <c r="R565" i="1"/>
  <c r="S565" i="1"/>
  <c r="T565" i="1"/>
  <c r="U565" i="1"/>
  <c r="V565" i="1"/>
  <c r="W565" i="1"/>
  <c r="X565" i="1"/>
  <c r="Y565" i="1"/>
  <c r="Z565" i="1"/>
  <c r="AA565" i="1"/>
  <c r="AB565" i="1"/>
  <c r="A566" i="1"/>
  <c r="B566" i="1"/>
  <c r="C566" i="1"/>
  <c r="D566" i="1"/>
  <c r="E566" i="1"/>
  <c r="F566" i="1"/>
  <c r="G566" i="1"/>
  <c r="H566" i="1"/>
  <c r="I566" i="1"/>
  <c r="J566" i="1"/>
  <c r="K566" i="1"/>
  <c r="L566" i="1"/>
  <c r="M566" i="1"/>
  <c r="N566" i="1"/>
  <c r="O566" i="1"/>
  <c r="P566" i="1"/>
  <c r="Q566" i="1"/>
  <c r="R566" i="1"/>
  <c r="S566" i="1"/>
  <c r="T566" i="1"/>
  <c r="U566" i="1"/>
  <c r="V566" i="1"/>
  <c r="W566" i="1"/>
  <c r="X566" i="1"/>
  <c r="Y566" i="1"/>
  <c r="Z566" i="1"/>
  <c r="AA566" i="1"/>
  <c r="AB566" i="1"/>
  <c r="A567" i="1"/>
  <c r="B567" i="1"/>
  <c r="C567" i="1"/>
  <c r="D567" i="1"/>
  <c r="E567" i="1"/>
  <c r="F567" i="1"/>
  <c r="G567" i="1"/>
  <c r="H567" i="1"/>
  <c r="I567" i="1"/>
  <c r="J567" i="1"/>
  <c r="K567" i="1"/>
  <c r="L567" i="1"/>
  <c r="M567" i="1"/>
  <c r="N567" i="1"/>
  <c r="O567" i="1"/>
  <c r="P567" i="1"/>
  <c r="Q567" i="1"/>
  <c r="R567" i="1"/>
  <c r="S567" i="1"/>
  <c r="T567" i="1"/>
  <c r="U567" i="1"/>
  <c r="V567" i="1"/>
  <c r="W567" i="1"/>
  <c r="X567" i="1"/>
  <c r="Y567" i="1"/>
  <c r="Z567" i="1"/>
  <c r="AA567" i="1"/>
  <c r="AB567" i="1"/>
  <c r="A568" i="1"/>
  <c r="B568" i="1"/>
  <c r="C568" i="1"/>
  <c r="D568" i="1"/>
  <c r="E568" i="1"/>
  <c r="F568" i="1"/>
  <c r="G568" i="1"/>
  <c r="H568" i="1"/>
  <c r="I568" i="1"/>
  <c r="J568" i="1"/>
  <c r="K568" i="1"/>
  <c r="L568" i="1"/>
  <c r="M568" i="1"/>
  <c r="N568" i="1"/>
  <c r="O568" i="1"/>
  <c r="P568" i="1"/>
  <c r="Q568" i="1"/>
  <c r="R568" i="1"/>
  <c r="S568" i="1"/>
  <c r="T568" i="1"/>
  <c r="U568" i="1"/>
  <c r="V568" i="1"/>
  <c r="W568" i="1"/>
  <c r="X568" i="1"/>
  <c r="Y568" i="1"/>
  <c r="Z568" i="1"/>
  <c r="AA568" i="1"/>
  <c r="AB568" i="1"/>
  <c r="A569" i="1"/>
  <c r="B569" i="1"/>
  <c r="C569" i="1"/>
  <c r="D569" i="1"/>
  <c r="E569" i="1"/>
  <c r="F569" i="1"/>
  <c r="G569" i="1"/>
  <c r="H569" i="1"/>
  <c r="I569" i="1"/>
  <c r="J569" i="1"/>
  <c r="K569" i="1"/>
  <c r="L569" i="1"/>
  <c r="M569" i="1"/>
  <c r="N569" i="1"/>
  <c r="O569" i="1"/>
  <c r="P569" i="1"/>
  <c r="Q569" i="1"/>
  <c r="R569" i="1"/>
  <c r="S569" i="1"/>
  <c r="T569" i="1"/>
  <c r="U569" i="1"/>
  <c r="V569" i="1"/>
  <c r="W569" i="1"/>
  <c r="X569" i="1"/>
  <c r="Y569" i="1"/>
  <c r="Z569" i="1"/>
  <c r="AA569" i="1"/>
  <c r="AB569" i="1"/>
  <c r="A570" i="1"/>
  <c r="B570" i="1"/>
  <c r="C570" i="1"/>
  <c r="D570" i="1"/>
  <c r="E570" i="1"/>
  <c r="F570" i="1"/>
  <c r="G570" i="1"/>
  <c r="H570" i="1"/>
  <c r="I570" i="1"/>
  <c r="J570" i="1"/>
  <c r="K570" i="1"/>
  <c r="L570" i="1"/>
  <c r="M570" i="1"/>
  <c r="N570" i="1"/>
  <c r="O570" i="1"/>
  <c r="P570" i="1"/>
  <c r="Q570" i="1"/>
  <c r="R570" i="1"/>
  <c r="S570" i="1"/>
  <c r="T570" i="1"/>
  <c r="U570" i="1"/>
  <c r="V570" i="1"/>
  <c r="W570" i="1"/>
  <c r="X570" i="1"/>
  <c r="Y570" i="1"/>
  <c r="Z570" i="1"/>
  <c r="AA570" i="1"/>
  <c r="AB570" i="1"/>
  <c r="A571" i="1"/>
  <c r="B571" i="1"/>
  <c r="C571" i="1"/>
  <c r="D571" i="1"/>
  <c r="E571" i="1"/>
  <c r="F571" i="1"/>
  <c r="G571" i="1"/>
  <c r="H571" i="1"/>
  <c r="I571" i="1"/>
  <c r="J571" i="1"/>
  <c r="K571" i="1"/>
  <c r="L571" i="1"/>
  <c r="M571" i="1"/>
  <c r="N571" i="1"/>
  <c r="O571" i="1"/>
  <c r="P571" i="1"/>
  <c r="Q571" i="1"/>
  <c r="R571" i="1"/>
  <c r="S571" i="1"/>
  <c r="T571" i="1"/>
  <c r="U571" i="1"/>
  <c r="V571" i="1"/>
  <c r="W571" i="1"/>
  <c r="X571" i="1"/>
  <c r="Y571" i="1"/>
  <c r="Z571" i="1"/>
  <c r="AA571" i="1"/>
  <c r="AB571" i="1"/>
  <c r="A572" i="1"/>
  <c r="B572" i="1"/>
  <c r="C572" i="1"/>
  <c r="D572" i="1"/>
  <c r="E572" i="1"/>
  <c r="F572" i="1"/>
  <c r="G572" i="1"/>
  <c r="H572" i="1"/>
  <c r="I572" i="1"/>
  <c r="J572" i="1"/>
  <c r="K572" i="1"/>
  <c r="L572" i="1"/>
  <c r="M572" i="1"/>
  <c r="N572" i="1"/>
  <c r="O572" i="1"/>
  <c r="P572" i="1"/>
  <c r="Q572" i="1"/>
  <c r="R572" i="1"/>
  <c r="S572" i="1"/>
  <c r="T572" i="1"/>
  <c r="U572" i="1"/>
  <c r="V572" i="1"/>
  <c r="W572" i="1"/>
  <c r="X572" i="1"/>
  <c r="Y572" i="1"/>
  <c r="Z572" i="1"/>
  <c r="AA572" i="1"/>
  <c r="AB572" i="1"/>
  <c r="A573" i="1"/>
  <c r="B573" i="1"/>
  <c r="C573" i="1"/>
  <c r="D573" i="1"/>
  <c r="E573" i="1"/>
  <c r="F573" i="1"/>
  <c r="G573" i="1"/>
  <c r="H573" i="1"/>
  <c r="I573" i="1"/>
  <c r="J573" i="1"/>
  <c r="K573" i="1"/>
  <c r="L573" i="1"/>
  <c r="M573" i="1"/>
  <c r="N573" i="1"/>
  <c r="O573" i="1"/>
  <c r="P573" i="1"/>
  <c r="Q573" i="1"/>
  <c r="R573" i="1"/>
  <c r="S573" i="1"/>
  <c r="T573" i="1"/>
  <c r="U573" i="1"/>
  <c r="V573" i="1"/>
  <c r="W573" i="1"/>
  <c r="X573" i="1"/>
  <c r="Y573" i="1"/>
  <c r="Z573" i="1"/>
  <c r="AA573" i="1"/>
  <c r="AB573" i="1"/>
  <c r="A574" i="1"/>
  <c r="B574" i="1"/>
  <c r="C574" i="1"/>
  <c r="D574" i="1"/>
  <c r="E574" i="1"/>
  <c r="F574" i="1"/>
  <c r="G574" i="1"/>
  <c r="H574" i="1"/>
  <c r="I574" i="1"/>
  <c r="J574" i="1"/>
  <c r="K574" i="1"/>
  <c r="L574" i="1"/>
  <c r="M574" i="1"/>
  <c r="N574" i="1"/>
  <c r="O574" i="1"/>
  <c r="P574" i="1"/>
  <c r="Q574" i="1"/>
  <c r="R574" i="1"/>
  <c r="S574" i="1"/>
  <c r="T574" i="1"/>
  <c r="U574" i="1"/>
  <c r="V574" i="1"/>
  <c r="W574" i="1"/>
  <c r="X574" i="1"/>
  <c r="Y574" i="1"/>
  <c r="Z574" i="1"/>
  <c r="AA574" i="1"/>
  <c r="AB574" i="1"/>
  <c r="A575" i="1"/>
  <c r="B575" i="1"/>
  <c r="C575" i="1"/>
  <c r="D575" i="1"/>
  <c r="E575" i="1"/>
  <c r="F575" i="1"/>
  <c r="G575" i="1"/>
  <c r="H575" i="1"/>
  <c r="I575" i="1"/>
  <c r="J575" i="1"/>
  <c r="K575" i="1"/>
  <c r="L575" i="1"/>
  <c r="M575" i="1"/>
  <c r="N575" i="1"/>
  <c r="O575" i="1"/>
  <c r="P575" i="1"/>
  <c r="Q575" i="1"/>
  <c r="R575" i="1"/>
  <c r="S575" i="1"/>
  <c r="T575" i="1"/>
  <c r="U575" i="1"/>
  <c r="V575" i="1"/>
  <c r="W575" i="1"/>
  <c r="X575" i="1"/>
  <c r="Y575" i="1"/>
  <c r="Z575" i="1"/>
  <c r="AA575" i="1"/>
  <c r="AB575" i="1"/>
  <c r="A576" i="1"/>
  <c r="B576" i="1"/>
  <c r="C576" i="1"/>
  <c r="D576" i="1"/>
  <c r="E576" i="1"/>
  <c r="F576" i="1"/>
  <c r="G576" i="1"/>
  <c r="H576" i="1"/>
  <c r="I576" i="1"/>
  <c r="J576" i="1"/>
  <c r="K576" i="1"/>
  <c r="L576" i="1"/>
  <c r="M576" i="1"/>
  <c r="N576" i="1"/>
  <c r="O576" i="1"/>
  <c r="P576" i="1"/>
  <c r="Q576" i="1"/>
  <c r="R576" i="1"/>
  <c r="S576" i="1"/>
  <c r="T576" i="1"/>
  <c r="U576" i="1"/>
  <c r="V576" i="1"/>
  <c r="W576" i="1"/>
  <c r="X576" i="1"/>
  <c r="Y576" i="1"/>
  <c r="Z576" i="1"/>
  <c r="AA576" i="1"/>
  <c r="AB576" i="1"/>
  <c r="A577" i="1"/>
  <c r="B577" i="1"/>
  <c r="C577" i="1"/>
  <c r="D577" i="1"/>
  <c r="E577" i="1"/>
  <c r="F577" i="1"/>
  <c r="G577" i="1"/>
  <c r="H577" i="1"/>
  <c r="I577" i="1"/>
  <c r="J577" i="1"/>
  <c r="K577" i="1"/>
  <c r="L577" i="1"/>
  <c r="M577" i="1"/>
  <c r="N577" i="1"/>
  <c r="O577" i="1"/>
  <c r="P577" i="1"/>
  <c r="Q577" i="1"/>
  <c r="R577" i="1"/>
  <c r="S577" i="1"/>
  <c r="T577" i="1"/>
  <c r="U577" i="1"/>
  <c r="V577" i="1"/>
  <c r="W577" i="1"/>
  <c r="X577" i="1"/>
  <c r="Y577" i="1"/>
  <c r="Z577" i="1"/>
  <c r="AA577" i="1"/>
  <c r="AB577" i="1"/>
  <c r="A578" i="1"/>
  <c r="B578" i="1"/>
  <c r="C578" i="1"/>
  <c r="D578" i="1"/>
  <c r="E578" i="1"/>
  <c r="F578" i="1"/>
  <c r="G578" i="1"/>
  <c r="H578" i="1"/>
  <c r="I578" i="1"/>
  <c r="J578" i="1"/>
  <c r="K578" i="1"/>
  <c r="L578" i="1"/>
  <c r="M578" i="1"/>
  <c r="N578" i="1"/>
  <c r="O578" i="1"/>
  <c r="P578" i="1"/>
  <c r="Q578" i="1"/>
  <c r="R578" i="1"/>
  <c r="S578" i="1"/>
  <c r="T578" i="1"/>
  <c r="U578" i="1"/>
  <c r="V578" i="1"/>
  <c r="W578" i="1"/>
  <c r="X578" i="1"/>
  <c r="Y578" i="1"/>
  <c r="Z578" i="1"/>
  <c r="AA578" i="1"/>
  <c r="AB578" i="1"/>
  <c r="A579" i="1"/>
  <c r="B579" i="1"/>
  <c r="C579" i="1"/>
  <c r="D579" i="1"/>
  <c r="E579" i="1"/>
  <c r="F579" i="1"/>
  <c r="G579" i="1"/>
  <c r="H579" i="1"/>
  <c r="I579" i="1"/>
  <c r="J579" i="1"/>
  <c r="K579" i="1"/>
  <c r="L579" i="1"/>
  <c r="M579" i="1"/>
  <c r="N579" i="1"/>
  <c r="O579" i="1"/>
  <c r="P579" i="1"/>
  <c r="Q579" i="1"/>
  <c r="R579" i="1"/>
  <c r="S579" i="1"/>
  <c r="T579" i="1"/>
  <c r="U579" i="1"/>
  <c r="V579" i="1"/>
  <c r="W579" i="1"/>
  <c r="X579" i="1"/>
  <c r="Y579" i="1"/>
  <c r="Z579" i="1"/>
  <c r="AA579" i="1"/>
  <c r="AB579" i="1"/>
  <c r="A580" i="1"/>
  <c r="B580" i="1"/>
  <c r="C580" i="1"/>
  <c r="D580" i="1"/>
  <c r="E580" i="1"/>
  <c r="F580" i="1"/>
  <c r="G580" i="1"/>
  <c r="H580" i="1"/>
  <c r="I580" i="1"/>
  <c r="J580" i="1"/>
  <c r="K580" i="1"/>
  <c r="L580" i="1"/>
  <c r="M580" i="1"/>
  <c r="N580" i="1"/>
  <c r="O580" i="1"/>
  <c r="P580" i="1"/>
  <c r="Q580" i="1"/>
  <c r="R580" i="1"/>
  <c r="S580" i="1"/>
  <c r="T580" i="1"/>
  <c r="U580" i="1"/>
  <c r="V580" i="1"/>
  <c r="W580" i="1"/>
  <c r="X580" i="1"/>
  <c r="Y580" i="1"/>
  <c r="Z580" i="1"/>
  <c r="AA580" i="1"/>
  <c r="AB580" i="1"/>
  <c r="A581" i="1"/>
  <c r="B581" i="1"/>
  <c r="C581" i="1"/>
  <c r="D581" i="1"/>
  <c r="E581" i="1"/>
  <c r="F581" i="1"/>
  <c r="G581" i="1"/>
  <c r="H581" i="1"/>
  <c r="I581" i="1"/>
  <c r="J581" i="1"/>
  <c r="K581" i="1"/>
  <c r="L581" i="1"/>
  <c r="M581" i="1"/>
  <c r="N581" i="1"/>
  <c r="O581" i="1"/>
  <c r="P581" i="1"/>
  <c r="Q581" i="1"/>
  <c r="R581" i="1"/>
  <c r="S581" i="1"/>
  <c r="T581" i="1"/>
  <c r="U581" i="1"/>
  <c r="V581" i="1"/>
  <c r="W581" i="1"/>
  <c r="X581" i="1"/>
  <c r="Y581" i="1"/>
  <c r="Z581" i="1"/>
  <c r="AA581" i="1"/>
  <c r="AB581" i="1"/>
  <c r="A582" i="1"/>
  <c r="B582" i="1"/>
  <c r="C582" i="1"/>
  <c r="D582" i="1"/>
  <c r="E582" i="1"/>
  <c r="F582" i="1"/>
  <c r="G582" i="1"/>
  <c r="H582" i="1"/>
  <c r="I582" i="1"/>
  <c r="J582" i="1"/>
  <c r="K582" i="1"/>
  <c r="L582" i="1"/>
  <c r="M582" i="1"/>
  <c r="N582" i="1"/>
  <c r="O582" i="1"/>
  <c r="P582" i="1"/>
  <c r="Q582" i="1"/>
  <c r="R582" i="1"/>
  <c r="S582" i="1"/>
  <c r="T582" i="1"/>
  <c r="U582" i="1"/>
  <c r="V582" i="1"/>
  <c r="W582" i="1"/>
  <c r="X582" i="1"/>
  <c r="Y582" i="1"/>
  <c r="Z582" i="1"/>
  <c r="AA582" i="1"/>
  <c r="AB582" i="1"/>
  <c r="A583" i="1"/>
  <c r="B583" i="1"/>
  <c r="C583" i="1"/>
  <c r="D583" i="1"/>
  <c r="E583" i="1"/>
  <c r="F583" i="1"/>
  <c r="G583" i="1"/>
  <c r="H583" i="1"/>
  <c r="I583" i="1"/>
  <c r="J583" i="1"/>
  <c r="K583" i="1"/>
  <c r="L583" i="1"/>
  <c r="M583" i="1"/>
  <c r="N583" i="1"/>
  <c r="O583" i="1"/>
  <c r="P583" i="1"/>
  <c r="Q583" i="1"/>
  <c r="R583" i="1"/>
  <c r="S583" i="1"/>
  <c r="T583" i="1"/>
  <c r="U583" i="1"/>
  <c r="V583" i="1"/>
  <c r="W583" i="1"/>
  <c r="X583" i="1"/>
  <c r="Y583" i="1"/>
  <c r="Z583" i="1"/>
  <c r="AA583" i="1"/>
  <c r="AB583" i="1"/>
  <c r="A584" i="1"/>
  <c r="B584" i="1"/>
  <c r="C584" i="1"/>
  <c r="D584" i="1"/>
  <c r="E584" i="1"/>
  <c r="F584" i="1"/>
  <c r="G584" i="1"/>
  <c r="H584" i="1"/>
  <c r="I584" i="1"/>
  <c r="J584" i="1"/>
  <c r="K584" i="1"/>
  <c r="L584" i="1"/>
  <c r="M584" i="1"/>
  <c r="N584" i="1"/>
  <c r="O584" i="1"/>
  <c r="P584" i="1"/>
  <c r="Q584" i="1"/>
  <c r="R584" i="1"/>
  <c r="S584" i="1"/>
  <c r="T584" i="1"/>
  <c r="U584" i="1"/>
  <c r="V584" i="1"/>
  <c r="W584" i="1"/>
  <c r="X584" i="1"/>
  <c r="Y584" i="1"/>
  <c r="Z584" i="1"/>
  <c r="AA584" i="1"/>
  <c r="AB584" i="1"/>
  <c r="A585" i="1"/>
  <c r="B585" i="1"/>
  <c r="C585" i="1"/>
  <c r="D585" i="1"/>
  <c r="E585" i="1"/>
  <c r="F585" i="1"/>
  <c r="G585" i="1"/>
  <c r="H585" i="1"/>
  <c r="I585" i="1"/>
  <c r="J585" i="1"/>
  <c r="K585" i="1"/>
  <c r="L585" i="1"/>
  <c r="M585" i="1"/>
  <c r="N585" i="1"/>
  <c r="O585" i="1"/>
  <c r="P585" i="1"/>
  <c r="Q585" i="1"/>
  <c r="R585" i="1"/>
  <c r="S585" i="1"/>
  <c r="T585" i="1"/>
  <c r="U585" i="1"/>
  <c r="V585" i="1"/>
  <c r="W585" i="1"/>
  <c r="X585" i="1"/>
  <c r="Y585" i="1"/>
  <c r="Z585" i="1"/>
  <c r="AA585" i="1"/>
  <c r="AB585" i="1"/>
  <c r="A586" i="1"/>
  <c r="B586" i="1"/>
  <c r="C586" i="1"/>
  <c r="D586" i="1"/>
  <c r="E586" i="1"/>
  <c r="F586" i="1"/>
  <c r="G586" i="1"/>
  <c r="H586" i="1"/>
  <c r="I586" i="1"/>
  <c r="J586" i="1"/>
  <c r="K586" i="1"/>
  <c r="L586" i="1"/>
  <c r="M586" i="1"/>
  <c r="N586" i="1"/>
  <c r="O586" i="1"/>
  <c r="P586" i="1"/>
  <c r="Q586" i="1"/>
  <c r="R586" i="1"/>
  <c r="S586" i="1"/>
  <c r="T586" i="1"/>
  <c r="U586" i="1"/>
  <c r="V586" i="1"/>
  <c r="W586" i="1"/>
  <c r="X586" i="1"/>
  <c r="Y586" i="1"/>
  <c r="Z586" i="1"/>
  <c r="AA586" i="1"/>
  <c r="AB586" i="1"/>
  <c r="A587" i="1"/>
  <c r="B587" i="1"/>
  <c r="C587" i="1"/>
  <c r="D587" i="1"/>
  <c r="E587" i="1"/>
  <c r="F587" i="1"/>
  <c r="G587" i="1"/>
  <c r="H587" i="1"/>
  <c r="I587" i="1"/>
  <c r="J587" i="1"/>
  <c r="K587" i="1"/>
  <c r="L587" i="1"/>
  <c r="M587" i="1"/>
  <c r="N587" i="1"/>
  <c r="O587" i="1"/>
  <c r="P587" i="1"/>
  <c r="Q587" i="1"/>
  <c r="R587" i="1"/>
  <c r="S587" i="1"/>
  <c r="T587" i="1"/>
  <c r="U587" i="1"/>
  <c r="V587" i="1"/>
  <c r="W587" i="1"/>
  <c r="X587" i="1"/>
  <c r="Y587" i="1"/>
  <c r="Z587" i="1"/>
  <c r="AA587" i="1"/>
  <c r="AB587" i="1"/>
  <c r="A588" i="1"/>
  <c r="B588" i="1"/>
  <c r="C588" i="1"/>
  <c r="D588" i="1"/>
  <c r="E588" i="1"/>
  <c r="F588" i="1"/>
  <c r="G588" i="1"/>
  <c r="H588" i="1"/>
  <c r="I588" i="1"/>
  <c r="J588" i="1"/>
  <c r="K588" i="1"/>
  <c r="L588" i="1"/>
  <c r="M588" i="1"/>
  <c r="N588" i="1"/>
  <c r="O588" i="1"/>
  <c r="P588" i="1"/>
  <c r="Q588" i="1"/>
  <c r="R588" i="1"/>
  <c r="S588" i="1"/>
  <c r="T588" i="1"/>
  <c r="U588" i="1"/>
  <c r="V588" i="1"/>
  <c r="W588" i="1"/>
  <c r="X588" i="1"/>
  <c r="Y588" i="1"/>
  <c r="Z588" i="1"/>
  <c r="AA588" i="1"/>
  <c r="AB588" i="1"/>
  <c r="A589" i="1"/>
  <c r="B589" i="1"/>
  <c r="C589" i="1"/>
  <c r="D589" i="1"/>
  <c r="E589" i="1"/>
  <c r="F589" i="1"/>
  <c r="G589" i="1"/>
  <c r="H589" i="1"/>
  <c r="I589" i="1"/>
  <c r="J589" i="1"/>
  <c r="K589" i="1"/>
  <c r="L589" i="1"/>
  <c r="M589" i="1"/>
  <c r="N589" i="1"/>
  <c r="O589" i="1"/>
  <c r="P589" i="1"/>
  <c r="Q589" i="1"/>
  <c r="R589" i="1"/>
  <c r="S589" i="1"/>
  <c r="T589" i="1"/>
  <c r="U589" i="1"/>
  <c r="V589" i="1"/>
  <c r="W589" i="1"/>
  <c r="X589" i="1"/>
  <c r="Y589" i="1"/>
  <c r="Z589" i="1"/>
  <c r="AA589" i="1"/>
  <c r="AB589" i="1"/>
  <c r="A590" i="1"/>
  <c r="B590" i="1"/>
  <c r="C590" i="1"/>
  <c r="D590" i="1"/>
  <c r="E590" i="1"/>
  <c r="F590" i="1"/>
  <c r="G590" i="1"/>
  <c r="H590" i="1"/>
  <c r="I590" i="1"/>
  <c r="J590" i="1"/>
  <c r="K590" i="1"/>
  <c r="L590" i="1"/>
  <c r="M590" i="1"/>
  <c r="N590" i="1"/>
  <c r="O590" i="1"/>
  <c r="P590" i="1"/>
  <c r="Q590" i="1"/>
  <c r="R590" i="1"/>
  <c r="S590" i="1"/>
  <c r="T590" i="1"/>
  <c r="U590" i="1"/>
  <c r="V590" i="1"/>
  <c r="W590" i="1"/>
  <c r="X590" i="1"/>
  <c r="Y590" i="1"/>
  <c r="Z590" i="1"/>
  <c r="AA590" i="1"/>
  <c r="AB590" i="1"/>
  <c r="A591" i="1"/>
  <c r="B591" i="1"/>
  <c r="C591" i="1"/>
  <c r="D591" i="1"/>
  <c r="E591" i="1"/>
  <c r="F591" i="1"/>
  <c r="G591" i="1"/>
  <c r="H591" i="1"/>
  <c r="I591" i="1"/>
  <c r="J591" i="1"/>
  <c r="K591" i="1"/>
  <c r="L591" i="1"/>
  <c r="M591" i="1"/>
  <c r="N591" i="1"/>
  <c r="O591" i="1"/>
  <c r="P591" i="1"/>
  <c r="Q591" i="1"/>
  <c r="R591" i="1"/>
  <c r="S591" i="1"/>
  <c r="T591" i="1"/>
  <c r="U591" i="1"/>
  <c r="V591" i="1"/>
  <c r="W591" i="1"/>
  <c r="X591" i="1"/>
  <c r="Y591" i="1"/>
  <c r="Z591" i="1"/>
  <c r="AA591" i="1"/>
  <c r="AB591" i="1"/>
  <c r="A592" i="1"/>
  <c r="B592" i="1"/>
  <c r="C592" i="1"/>
  <c r="D592" i="1"/>
  <c r="E592" i="1"/>
  <c r="F592" i="1"/>
  <c r="G592" i="1"/>
  <c r="H592" i="1"/>
  <c r="I592" i="1"/>
  <c r="J592" i="1"/>
  <c r="K592" i="1"/>
  <c r="L592" i="1"/>
  <c r="M592" i="1"/>
  <c r="N592" i="1"/>
  <c r="O592" i="1"/>
  <c r="P592" i="1"/>
  <c r="Q592" i="1"/>
  <c r="R592" i="1"/>
  <c r="S592" i="1"/>
  <c r="T592" i="1"/>
  <c r="U592" i="1"/>
  <c r="V592" i="1"/>
  <c r="W592" i="1"/>
  <c r="X592" i="1"/>
  <c r="Y592" i="1"/>
  <c r="Z592" i="1"/>
  <c r="AA592" i="1"/>
  <c r="AB592" i="1"/>
  <c r="A593" i="1"/>
  <c r="B593" i="1"/>
  <c r="C593" i="1"/>
  <c r="D593" i="1"/>
  <c r="E593" i="1"/>
  <c r="F593" i="1"/>
  <c r="G593" i="1"/>
  <c r="H593" i="1"/>
  <c r="I593" i="1"/>
  <c r="J593" i="1"/>
  <c r="K593" i="1"/>
  <c r="L593" i="1"/>
  <c r="M593" i="1"/>
  <c r="N593" i="1"/>
  <c r="O593" i="1"/>
  <c r="P593" i="1"/>
  <c r="Q593" i="1"/>
  <c r="R593" i="1"/>
  <c r="S593" i="1"/>
  <c r="T593" i="1"/>
  <c r="U593" i="1"/>
  <c r="V593" i="1"/>
  <c r="W593" i="1"/>
  <c r="X593" i="1"/>
  <c r="Y593" i="1"/>
  <c r="Z593" i="1"/>
  <c r="AA593" i="1"/>
  <c r="AB593" i="1"/>
  <c r="A594" i="1"/>
  <c r="B594" i="1"/>
  <c r="C594" i="1"/>
  <c r="D594" i="1"/>
  <c r="E594" i="1"/>
  <c r="F594" i="1"/>
  <c r="G594" i="1"/>
  <c r="H594" i="1"/>
  <c r="I594" i="1"/>
  <c r="J594" i="1"/>
  <c r="K594" i="1"/>
  <c r="L594" i="1"/>
  <c r="M594" i="1"/>
  <c r="N594" i="1"/>
  <c r="O594" i="1"/>
  <c r="P594" i="1"/>
  <c r="Q594" i="1"/>
  <c r="R594" i="1"/>
  <c r="S594" i="1"/>
  <c r="T594" i="1"/>
  <c r="U594" i="1"/>
  <c r="V594" i="1"/>
  <c r="W594" i="1"/>
  <c r="X594" i="1"/>
  <c r="Y594" i="1"/>
  <c r="Z594" i="1"/>
  <c r="AA594" i="1"/>
  <c r="AB594" i="1"/>
  <c r="A595" i="1"/>
  <c r="B595" i="1"/>
  <c r="C595" i="1"/>
  <c r="D595" i="1"/>
  <c r="E595" i="1"/>
  <c r="F595" i="1"/>
  <c r="G595" i="1"/>
  <c r="H595" i="1"/>
  <c r="I595" i="1"/>
  <c r="J595" i="1"/>
  <c r="K595" i="1"/>
  <c r="L595" i="1"/>
  <c r="M595" i="1"/>
  <c r="N595" i="1"/>
  <c r="O595" i="1"/>
  <c r="P595" i="1"/>
  <c r="Q595" i="1"/>
  <c r="R595" i="1"/>
  <c r="S595" i="1"/>
  <c r="T595" i="1"/>
  <c r="U595" i="1"/>
  <c r="V595" i="1"/>
  <c r="W595" i="1"/>
  <c r="X595" i="1"/>
  <c r="Y595" i="1"/>
  <c r="Z595" i="1"/>
  <c r="AA595" i="1"/>
  <c r="AB595" i="1"/>
  <c r="A596" i="1"/>
  <c r="B596" i="1"/>
  <c r="C596" i="1"/>
  <c r="D596" i="1"/>
  <c r="E596" i="1"/>
  <c r="F596" i="1"/>
  <c r="G596" i="1"/>
  <c r="H596" i="1"/>
  <c r="I596" i="1"/>
  <c r="J596" i="1"/>
  <c r="K596" i="1"/>
  <c r="L596" i="1"/>
  <c r="M596" i="1"/>
  <c r="N596" i="1"/>
  <c r="O596" i="1"/>
  <c r="P596" i="1"/>
  <c r="Q596" i="1"/>
  <c r="R596" i="1"/>
  <c r="S596" i="1"/>
  <c r="T596" i="1"/>
  <c r="U596" i="1"/>
  <c r="V596" i="1"/>
  <c r="W596" i="1"/>
  <c r="X596" i="1"/>
  <c r="Y596" i="1"/>
  <c r="Z596" i="1"/>
  <c r="AA596" i="1"/>
  <c r="AB596" i="1"/>
  <c r="A597" i="1"/>
  <c r="B597" i="1"/>
  <c r="C597" i="1"/>
  <c r="D597" i="1"/>
  <c r="E597" i="1"/>
  <c r="F597" i="1"/>
  <c r="G597" i="1"/>
  <c r="H597" i="1"/>
  <c r="I597" i="1"/>
  <c r="J597" i="1"/>
  <c r="K597" i="1"/>
  <c r="L597" i="1"/>
  <c r="M597" i="1"/>
  <c r="N597" i="1"/>
  <c r="O597" i="1"/>
  <c r="P597" i="1"/>
  <c r="Q597" i="1"/>
  <c r="R597" i="1"/>
  <c r="S597" i="1"/>
  <c r="T597" i="1"/>
  <c r="U597" i="1"/>
  <c r="V597" i="1"/>
  <c r="W597" i="1"/>
  <c r="X597" i="1"/>
  <c r="Y597" i="1"/>
  <c r="Z597" i="1"/>
  <c r="AA597" i="1"/>
  <c r="AB597" i="1"/>
  <c r="A598" i="1"/>
  <c r="B598" i="1"/>
  <c r="C598" i="1"/>
  <c r="D598" i="1"/>
  <c r="E598" i="1"/>
  <c r="F598" i="1"/>
  <c r="G598" i="1"/>
  <c r="H598" i="1"/>
  <c r="I598" i="1"/>
  <c r="J598" i="1"/>
  <c r="K598" i="1"/>
  <c r="L598" i="1"/>
  <c r="M598" i="1"/>
  <c r="N598" i="1"/>
  <c r="O598" i="1"/>
  <c r="P598" i="1"/>
  <c r="Q598" i="1"/>
  <c r="R598" i="1"/>
  <c r="S598" i="1"/>
  <c r="T598" i="1"/>
  <c r="U598" i="1"/>
  <c r="V598" i="1"/>
  <c r="W598" i="1"/>
  <c r="X598" i="1"/>
  <c r="Y598" i="1"/>
  <c r="Z598" i="1"/>
  <c r="AA598" i="1"/>
  <c r="AB598" i="1"/>
  <c r="A599" i="1"/>
  <c r="B599" i="1"/>
  <c r="C599" i="1"/>
  <c r="D599" i="1"/>
  <c r="E599" i="1"/>
  <c r="F599" i="1"/>
  <c r="G599" i="1"/>
  <c r="H599" i="1"/>
  <c r="I599" i="1"/>
  <c r="J599" i="1"/>
  <c r="K599" i="1"/>
  <c r="L599" i="1"/>
  <c r="M599" i="1"/>
  <c r="N599" i="1"/>
  <c r="O599" i="1"/>
  <c r="P599" i="1"/>
  <c r="Q599" i="1"/>
  <c r="R599" i="1"/>
  <c r="S599" i="1"/>
  <c r="T599" i="1"/>
  <c r="U599" i="1"/>
  <c r="V599" i="1"/>
  <c r="W599" i="1"/>
  <c r="X599" i="1"/>
  <c r="Y599" i="1"/>
  <c r="Z599" i="1"/>
  <c r="AA599" i="1"/>
  <c r="AB599" i="1"/>
  <c r="A600" i="1"/>
  <c r="B600" i="1"/>
  <c r="C600" i="1"/>
  <c r="D600" i="1"/>
  <c r="E600" i="1"/>
  <c r="F600" i="1"/>
  <c r="G600" i="1"/>
  <c r="H600" i="1"/>
  <c r="I600" i="1"/>
  <c r="J600" i="1"/>
  <c r="K600" i="1"/>
  <c r="L600" i="1"/>
  <c r="M600" i="1"/>
  <c r="N600" i="1"/>
  <c r="O600" i="1"/>
  <c r="P600" i="1"/>
  <c r="Q600" i="1"/>
  <c r="R600" i="1"/>
  <c r="S600" i="1"/>
  <c r="T600" i="1"/>
  <c r="U600" i="1"/>
  <c r="V600" i="1"/>
  <c r="W600" i="1"/>
  <c r="X600" i="1"/>
  <c r="Y600" i="1"/>
  <c r="Z600" i="1"/>
  <c r="AA600" i="1"/>
  <c r="AB600" i="1"/>
  <c r="A601" i="1"/>
  <c r="B601" i="1"/>
  <c r="C601" i="1"/>
  <c r="D601" i="1"/>
  <c r="E601" i="1"/>
  <c r="F601" i="1"/>
  <c r="G601" i="1"/>
  <c r="H601" i="1"/>
  <c r="I601" i="1"/>
  <c r="J601" i="1"/>
  <c r="K601" i="1"/>
  <c r="L601" i="1"/>
  <c r="M601" i="1"/>
  <c r="N601" i="1"/>
  <c r="O601" i="1"/>
  <c r="P601" i="1"/>
  <c r="Q601" i="1"/>
  <c r="R601" i="1"/>
  <c r="S601" i="1"/>
  <c r="T601" i="1"/>
  <c r="U601" i="1"/>
  <c r="V601" i="1"/>
  <c r="W601" i="1"/>
  <c r="X601" i="1"/>
  <c r="Y601" i="1"/>
  <c r="Z601" i="1"/>
  <c r="AA601" i="1"/>
  <c r="AB601" i="1"/>
  <c r="A602" i="1"/>
  <c r="B602" i="1"/>
  <c r="C602" i="1"/>
  <c r="D602" i="1"/>
  <c r="E602" i="1"/>
  <c r="F602" i="1"/>
  <c r="G602" i="1"/>
  <c r="H602" i="1"/>
  <c r="I602" i="1"/>
  <c r="J602" i="1"/>
  <c r="K602" i="1"/>
  <c r="L602" i="1"/>
  <c r="M602" i="1"/>
  <c r="N602" i="1"/>
  <c r="O602" i="1"/>
  <c r="P602" i="1"/>
  <c r="Q602" i="1"/>
  <c r="R602" i="1"/>
  <c r="S602" i="1"/>
  <c r="T602" i="1"/>
  <c r="U602" i="1"/>
  <c r="V602" i="1"/>
  <c r="W602" i="1"/>
  <c r="X602" i="1"/>
  <c r="Y602" i="1"/>
  <c r="Z602" i="1"/>
  <c r="AA602" i="1"/>
  <c r="AB602" i="1"/>
  <c r="A603" i="1"/>
  <c r="B603" i="1"/>
  <c r="C603" i="1"/>
  <c r="D603" i="1"/>
  <c r="E603" i="1"/>
  <c r="F603" i="1"/>
  <c r="G603" i="1"/>
  <c r="H603" i="1"/>
  <c r="I603" i="1"/>
  <c r="J603" i="1"/>
  <c r="K603" i="1"/>
  <c r="L603" i="1"/>
  <c r="M603" i="1"/>
  <c r="N603" i="1"/>
  <c r="O603" i="1"/>
  <c r="P603" i="1"/>
  <c r="Q603" i="1"/>
  <c r="R603" i="1"/>
  <c r="S603" i="1"/>
  <c r="T603" i="1"/>
  <c r="U603" i="1"/>
  <c r="V603" i="1"/>
  <c r="W603" i="1"/>
  <c r="X603" i="1"/>
  <c r="Y603" i="1"/>
  <c r="Z603" i="1"/>
  <c r="AA603" i="1"/>
  <c r="AB603" i="1"/>
  <c r="A604" i="1"/>
  <c r="B604" i="1"/>
  <c r="C604" i="1"/>
  <c r="D604" i="1"/>
  <c r="E604" i="1"/>
  <c r="F604" i="1"/>
  <c r="G604" i="1"/>
  <c r="H604" i="1"/>
  <c r="I604" i="1"/>
  <c r="J604" i="1"/>
  <c r="K604" i="1"/>
  <c r="L604" i="1"/>
  <c r="M604" i="1"/>
  <c r="N604" i="1"/>
  <c r="O604" i="1"/>
  <c r="P604" i="1"/>
  <c r="Q604" i="1"/>
  <c r="R604" i="1"/>
  <c r="S604" i="1"/>
  <c r="T604" i="1"/>
  <c r="U604" i="1"/>
  <c r="V604" i="1"/>
  <c r="W604" i="1"/>
  <c r="X604" i="1"/>
  <c r="Y604" i="1"/>
  <c r="Z604" i="1"/>
  <c r="AA604" i="1"/>
  <c r="AB604" i="1"/>
  <c r="A605" i="1"/>
  <c r="B605" i="1"/>
  <c r="C605" i="1"/>
  <c r="D605" i="1"/>
  <c r="E605" i="1"/>
  <c r="F605" i="1"/>
  <c r="G605" i="1"/>
  <c r="H605" i="1"/>
  <c r="I605" i="1"/>
  <c r="J605" i="1"/>
  <c r="K605" i="1"/>
  <c r="L605" i="1"/>
  <c r="M605" i="1"/>
  <c r="N605" i="1"/>
  <c r="O605" i="1"/>
  <c r="P605" i="1"/>
  <c r="Q605" i="1"/>
  <c r="R605" i="1"/>
  <c r="S605" i="1"/>
  <c r="T605" i="1"/>
  <c r="U605" i="1"/>
  <c r="V605" i="1"/>
  <c r="W605" i="1"/>
  <c r="X605" i="1"/>
  <c r="Y605" i="1"/>
  <c r="Z605" i="1"/>
  <c r="AA605" i="1"/>
  <c r="AB605" i="1"/>
  <c r="A606" i="1"/>
  <c r="B606" i="1"/>
  <c r="C606" i="1"/>
  <c r="D606" i="1"/>
  <c r="E606" i="1"/>
  <c r="F606" i="1"/>
  <c r="G606" i="1"/>
  <c r="H606" i="1"/>
  <c r="I606" i="1"/>
  <c r="J606" i="1"/>
  <c r="K606" i="1"/>
  <c r="L606" i="1"/>
  <c r="M606" i="1"/>
  <c r="N606" i="1"/>
  <c r="O606" i="1"/>
  <c r="P606" i="1"/>
  <c r="Q606" i="1"/>
  <c r="R606" i="1"/>
  <c r="S606" i="1"/>
  <c r="T606" i="1"/>
  <c r="U606" i="1"/>
  <c r="V606" i="1"/>
  <c r="W606" i="1"/>
  <c r="X606" i="1"/>
  <c r="Y606" i="1"/>
  <c r="Z606" i="1"/>
  <c r="AA606" i="1"/>
  <c r="AB606" i="1"/>
  <c r="A607" i="1"/>
  <c r="B607" i="1"/>
  <c r="C607" i="1"/>
  <c r="D607" i="1"/>
  <c r="E607" i="1"/>
  <c r="F607" i="1"/>
  <c r="G607" i="1"/>
  <c r="H607" i="1"/>
  <c r="I607" i="1"/>
  <c r="J607" i="1"/>
  <c r="K607" i="1"/>
  <c r="L607" i="1"/>
  <c r="M607" i="1"/>
  <c r="N607" i="1"/>
  <c r="O607" i="1"/>
  <c r="P607" i="1"/>
  <c r="Q607" i="1"/>
  <c r="R607" i="1"/>
  <c r="S607" i="1"/>
  <c r="T607" i="1"/>
  <c r="U607" i="1"/>
  <c r="V607" i="1"/>
  <c r="W607" i="1"/>
  <c r="X607" i="1"/>
  <c r="Y607" i="1"/>
  <c r="Z607" i="1"/>
  <c r="AA607" i="1"/>
  <c r="AB607" i="1"/>
  <c r="A608" i="1"/>
  <c r="B608" i="1"/>
  <c r="C608" i="1"/>
  <c r="D608" i="1"/>
  <c r="E608" i="1"/>
  <c r="F608" i="1"/>
  <c r="G608" i="1"/>
  <c r="H608" i="1"/>
  <c r="I608" i="1"/>
  <c r="J608" i="1"/>
  <c r="K608" i="1"/>
  <c r="L608" i="1"/>
  <c r="M608" i="1"/>
  <c r="N608" i="1"/>
  <c r="O608" i="1"/>
  <c r="P608" i="1"/>
  <c r="Q608" i="1"/>
  <c r="R608" i="1"/>
  <c r="S608" i="1"/>
  <c r="T608" i="1"/>
  <c r="U608" i="1"/>
  <c r="V608" i="1"/>
  <c r="W608" i="1"/>
  <c r="X608" i="1"/>
  <c r="Y608" i="1"/>
  <c r="Z608" i="1"/>
  <c r="AA608" i="1"/>
  <c r="AB608" i="1"/>
  <c r="A609" i="1"/>
  <c r="B609" i="1"/>
  <c r="C609" i="1"/>
  <c r="D609" i="1"/>
  <c r="E609" i="1"/>
  <c r="F609" i="1"/>
  <c r="G609" i="1"/>
  <c r="H609" i="1"/>
  <c r="I609" i="1"/>
  <c r="J609" i="1"/>
  <c r="K609" i="1"/>
  <c r="L609" i="1"/>
  <c r="M609" i="1"/>
  <c r="N609" i="1"/>
  <c r="O609" i="1"/>
  <c r="P609" i="1"/>
  <c r="Q609" i="1"/>
  <c r="R609" i="1"/>
  <c r="S609" i="1"/>
  <c r="T609" i="1"/>
  <c r="U609" i="1"/>
  <c r="V609" i="1"/>
  <c r="W609" i="1"/>
  <c r="X609" i="1"/>
  <c r="Y609" i="1"/>
  <c r="Z609" i="1"/>
  <c r="AA609" i="1"/>
  <c r="AB609" i="1"/>
  <c r="A610" i="1"/>
  <c r="B610" i="1"/>
  <c r="C610" i="1"/>
  <c r="D610" i="1"/>
  <c r="E610" i="1"/>
  <c r="F610" i="1"/>
  <c r="G610" i="1"/>
  <c r="H610" i="1"/>
  <c r="I610" i="1"/>
  <c r="J610" i="1"/>
  <c r="K610" i="1"/>
  <c r="L610" i="1"/>
  <c r="M610" i="1"/>
  <c r="N610" i="1"/>
  <c r="O610" i="1"/>
  <c r="P610" i="1"/>
  <c r="Q610" i="1"/>
  <c r="R610" i="1"/>
  <c r="S610" i="1"/>
  <c r="T610" i="1"/>
  <c r="U610" i="1"/>
  <c r="V610" i="1"/>
  <c r="W610" i="1"/>
  <c r="X610" i="1"/>
  <c r="Y610" i="1"/>
  <c r="Z610" i="1"/>
  <c r="AA610" i="1"/>
  <c r="AB610" i="1"/>
  <c r="A611" i="1"/>
  <c r="B611" i="1"/>
  <c r="C611" i="1"/>
  <c r="D611" i="1"/>
  <c r="E611" i="1"/>
  <c r="F611" i="1"/>
  <c r="G611" i="1"/>
  <c r="H611" i="1"/>
  <c r="I611" i="1"/>
  <c r="J611" i="1"/>
  <c r="K611" i="1"/>
  <c r="L611" i="1"/>
  <c r="M611" i="1"/>
  <c r="N611" i="1"/>
  <c r="O611" i="1"/>
  <c r="P611" i="1"/>
  <c r="Q611" i="1"/>
  <c r="R611" i="1"/>
  <c r="S611" i="1"/>
  <c r="T611" i="1"/>
  <c r="U611" i="1"/>
  <c r="V611" i="1"/>
  <c r="W611" i="1"/>
  <c r="X611" i="1"/>
  <c r="Y611" i="1"/>
  <c r="Z611" i="1"/>
  <c r="AA611" i="1"/>
  <c r="AB611" i="1"/>
  <c r="A612" i="1"/>
  <c r="B612" i="1"/>
  <c r="C612" i="1"/>
  <c r="D612" i="1"/>
  <c r="E612" i="1"/>
  <c r="F612" i="1"/>
  <c r="G612" i="1"/>
  <c r="H612" i="1"/>
  <c r="I612" i="1"/>
  <c r="J612" i="1"/>
  <c r="K612" i="1"/>
  <c r="L612" i="1"/>
  <c r="M612" i="1"/>
  <c r="N612" i="1"/>
  <c r="O612" i="1"/>
  <c r="P612" i="1"/>
  <c r="Q612" i="1"/>
  <c r="R612" i="1"/>
  <c r="S612" i="1"/>
  <c r="T612" i="1"/>
  <c r="U612" i="1"/>
  <c r="V612" i="1"/>
  <c r="W612" i="1"/>
  <c r="X612" i="1"/>
  <c r="Y612" i="1"/>
  <c r="Z612" i="1"/>
  <c r="AA612" i="1"/>
  <c r="AB612" i="1"/>
  <c r="A613" i="1"/>
  <c r="B613" i="1"/>
  <c r="C613" i="1"/>
  <c r="D613" i="1"/>
  <c r="E613" i="1"/>
  <c r="F613" i="1"/>
  <c r="G613" i="1"/>
  <c r="H613" i="1"/>
  <c r="I613" i="1"/>
  <c r="J613" i="1"/>
  <c r="K613" i="1"/>
  <c r="L613" i="1"/>
  <c r="M613" i="1"/>
  <c r="N613" i="1"/>
  <c r="O613" i="1"/>
  <c r="P613" i="1"/>
  <c r="Q613" i="1"/>
  <c r="R613" i="1"/>
  <c r="S613" i="1"/>
  <c r="T613" i="1"/>
  <c r="U613" i="1"/>
  <c r="V613" i="1"/>
  <c r="W613" i="1"/>
  <c r="X613" i="1"/>
  <c r="Y613" i="1"/>
  <c r="Z613" i="1"/>
  <c r="AA613" i="1"/>
  <c r="AB613" i="1"/>
  <c r="A614" i="1"/>
  <c r="B614" i="1"/>
  <c r="C614" i="1"/>
  <c r="D614" i="1"/>
  <c r="E614" i="1"/>
  <c r="F614" i="1"/>
  <c r="G614" i="1"/>
  <c r="H614" i="1"/>
  <c r="I614" i="1"/>
  <c r="J614" i="1"/>
  <c r="K614" i="1"/>
  <c r="L614" i="1"/>
  <c r="M614" i="1"/>
  <c r="N614" i="1"/>
  <c r="O614" i="1"/>
  <c r="P614" i="1"/>
  <c r="Q614" i="1"/>
  <c r="R614" i="1"/>
  <c r="S614" i="1"/>
  <c r="T614" i="1"/>
  <c r="U614" i="1"/>
  <c r="V614" i="1"/>
  <c r="W614" i="1"/>
  <c r="X614" i="1"/>
  <c r="Y614" i="1"/>
  <c r="Z614" i="1"/>
  <c r="AA614" i="1"/>
  <c r="AB614" i="1"/>
  <c r="A615" i="1"/>
  <c r="B615" i="1"/>
  <c r="C615" i="1"/>
  <c r="D615" i="1"/>
  <c r="E615" i="1"/>
  <c r="F615" i="1"/>
  <c r="G615" i="1"/>
  <c r="H615" i="1"/>
  <c r="I615" i="1"/>
  <c r="J615" i="1"/>
  <c r="K615" i="1"/>
  <c r="L615" i="1"/>
  <c r="M615" i="1"/>
  <c r="N615" i="1"/>
  <c r="O615" i="1"/>
  <c r="P615" i="1"/>
  <c r="Q615" i="1"/>
  <c r="R615" i="1"/>
  <c r="S615" i="1"/>
  <c r="T615" i="1"/>
  <c r="U615" i="1"/>
  <c r="V615" i="1"/>
  <c r="W615" i="1"/>
  <c r="X615" i="1"/>
  <c r="Y615" i="1"/>
  <c r="Z615" i="1"/>
  <c r="AA615" i="1"/>
  <c r="AB615" i="1"/>
  <c r="A616" i="1"/>
  <c r="B616" i="1"/>
  <c r="C616" i="1"/>
  <c r="D616" i="1"/>
  <c r="E616" i="1"/>
  <c r="F616" i="1"/>
  <c r="G616" i="1"/>
  <c r="H616" i="1"/>
  <c r="I616" i="1"/>
  <c r="J616" i="1"/>
  <c r="K616" i="1"/>
  <c r="L616" i="1"/>
  <c r="M616" i="1"/>
  <c r="N616" i="1"/>
  <c r="O616" i="1"/>
  <c r="P616" i="1"/>
  <c r="Q616" i="1"/>
  <c r="R616" i="1"/>
  <c r="S616" i="1"/>
  <c r="T616" i="1"/>
  <c r="U616" i="1"/>
  <c r="V616" i="1"/>
  <c r="W616" i="1"/>
  <c r="X616" i="1"/>
  <c r="Y616" i="1"/>
  <c r="Z616" i="1"/>
  <c r="AA616" i="1"/>
  <c r="AB616" i="1"/>
  <c r="A617" i="1"/>
  <c r="B617" i="1"/>
  <c r="C617" i="1"/>
  <c r="D617" i="1"/>
  <c r="E617" i="1"/>
  <c r="F617" i="1"/>
  <c r="G617" i="1"/>
  <c r="H617" i="1"/>
  <c r="I617" i="1"/>
  <c r="J617" i="1"/>
  <c r="K617" i="1"/>
  <c r="L617" i="1"/>
  <c r="M617" i="1"/>
  <c r="N617" i="1"/>
  <c r="O617" i="1"/>
  <c r="P617" i="1"/>
  <c r="Q617" i="1"/>
  <c r="R617" i="1"/>
  <c r="S617" i="1"/>
  <c r="T617" i="1"/>
  <c r="U617" i="1"/>
  <c r="V617" i="1"/>
  <c r="W617" i="1"/>
  <c r="X617" i="1"/>
  <c r="Y617" i="1"/>
  <c r="Z617" i="1"/>
  <c r="AA617" i="1"/>
  <c r="AB617" i="1"/>
  <c r="A618" i="1"/>
  <c r="B618" i="1"/>
  <c r="C618" i="1"/>
  <c r="D618" i="1"/>
  <c r="E618" i="1"/>
  <c r="F618" i="1"/>
  <c r="G618" i="1"/>
  <c r="H618" i="1"/>
  <c r="I618" i="1"/>
  <c r="J618" i="1"/>
  <c r="K618" i="1"/>
  <c r="L618" i="1"/>
  <c r="M618" i="1"/>
  <c r="N618" i="1"/>
  <c r="O618" i="1"/>
  <c r="P618" i="1"/>
  <c r="Q618" i="1"/>
  <c r="R618" i="1"/>
  <c r="S618" i="1"/>
  <c r="T618" i="1"/>
  <c r="U618" i="1"/>
  <c r="V618" i="1"/>
  <c r="W618" i="1"/>
  <c r="X618" i="1"/>
  <c r="Y618" i="1"/>
  <c r="Z618" i="1"/>
  <c r="AA618" i="1"/>
  <c r="AB618" i="1"/>
  <c r="A619" i="1"/>
  <c r="B619" i="1"/>
  <c r="C619" i="1"/>
  <c r="D619" i="1"/>
  <c r="E619" i="1"/>
  <c r="F619" i="1"/>
  <c r="G619" i="1"/>
  <c r="H619" i="1"/>
  <c r="I619" i="1"/>
  <c r="J619" i="1"/>
  <c r="K619" i="1"/>
  <c r="L619" i="1"/>
  <c r="M619" i="1"/>
  <c r="N619" i="1"/>
  <c r="O619" i="1"/>
  <c r="P619" i="1"/>
  <c r="Q619" i="1"/>
  <c r="R619" i="1"/>
  <c r="S619" i="1"/>
  <c r="T619" i="1"/>
  <c r="U619" i="1"/>
  <c r="V619" i="1"/>
  <c r="W619" i="1"/>
  <c r="X619" i="1"/>
  <c r="Y619" i="1"/>
  <c r="Z619" i="1"/>
  <c r="AA619" i="1"/>
  <c r="AB619" i="1"/>
  <c r="A620" i="1"/>
  <c r="B620" i="1"/>
  <c r="C620" i="1"/>
  <c r="D620" i="1"/>
  <c r="E620" i="1"/>
  <c r="F620" i="1"/>
  <c r="G620" i="1"/>
  <c r="H620" i="1"/>
  <c r="I620" i="1"/>
  <c r="J620" i="1"/>
  <c r="K620" i="1"/>
  <c r="L620" i="1"/>
  <c r="M620" i="1"/>
  <c r="N620" i="1"/>
  <c r="O620" i="1"/>
  <c r="P620" i="1"/>
  <c r="Q620" i="1"/>
  <c r="R620" i="1"/>
  <c r="S620" i="1"/>
  <c r="T620" i="1"/>
  <c r="U620" i="1"/>
  <c r="V620" i="1"/>
  <c r="W620" i="1"/>
  <c r="X620" i="1"/>
  <c r="Y620" i="1"/>
  <c r="Z620" i="1"/>
  <c r="AA620" i="1"/>
  <c r="AB620" i="1"/>
  <c r="A621" i="1"/>
  <c r="B621" i="1"/>
  <c r="C621" i="1"/>
  <c r="D621" i="1"/>
  <c r="E621" i="1"/>
  <c r="F621" i="1"/>
  <c r="G621" i="1"/>
  <c r="H621" i="1"/>
  <c r="I621" i="1"/>
  <c r="J621" i="1"/>
  <c r="K621" i="1"/>
  <c r="L621" i="1"/>
  <c r="M621" i="1"/>
  <c r="N621" i="1"/>
  <c r="O621" i="1"/>
  <c r="P621" i="1"/>
  <c r="Q621" i="1"/>
  <c r="R621" i="1"/>
  <c r="S621" i="1"/>
  <c r="T621" i="1"/>
  <c r="U621" i="1"/>
  <c r="V621" i="1"/>
  <c r="W621" i="1"/>
  <c r="X621" i="1"/>
  <c r="Y621" i="1"/>
  <c r="Z621" i="1"/>
  <c r="AA621" i="1"/>
  <c r="AB621" i="1"/>
  <c r="A622" i="1"/>
  <c r="B622" i="1"/>
  <c r="C622" i="1"/>
  <c r="D622" i="1"/>
  <c r="E622" i="1"/>
  <c r="F622" i="1"/>
  <c r="G622" i="1"/>
  <c r="H622" i="1"/>
  <c r="I622" i="1"/>
  <c r="J622" i="1"/>
  <c r="K622" i="1"/>
  <c r="L622" i="1"/>
  <c r="M622" i="1"/>
  <c r="N622" i="1"/>
  <c r="O622" i="1"/>
  <c r="P622" i="1"/>
  <c r="Q622" i="1"/>
  <c r="R622" i="1"/>
  <c r="S622" i="1"/>
  <c r="T622" i="1"/>
  <c r="U622" i="1"/>
  <c r="V622" i="1"/>
  <c r="W622" i="1"/>
  <c r="X622" i="1"/>
  <c r="Y622" i="1"/>
  <c r="Z622" i="1"/>
  <c r="AA622" i="1"/>
  <c r="AB622" i="1"/>
  <c r="A623" i="1"/>
  <c r="B623" i="1"/>
  <c r="C623" i="1"/>
  <c r="D623" i="1"/>
  <c r="E623" i="1"/>
  <c r="F623" i="1"/>
  <c r="G623" i="1"/>
  <c r="H623" i="1"/>
  <c r="I623" i="1"/>
  <c r="J623" i="1"/>
  <c r="K623" i="1"/>
  <c r="L623" i="1"/>
  <c r="M623" i="1"/>
  <c r="N623" i="1"/>
  <c r="O623" i="1"/>
  <c r="P623" i="1"/>
  <c r="Q623" i="1"/>
  <c r="R623" i="1"/>
  <c r="S623" i="1"/>
  <c r="T623" i="1"/>
  <c r="U623" i="1"/>
  <c r="V623" i="1"/>
  <c r="W623" i="1"/>
  <c r="X623" i="1"/>
  <c r="Y623" i="1"/>
  <c r="Z623" i="1"/>
  <c r="AA623" i="1"/>
  <c r="AB623" i="1"/>
  <c r="A624" i="1"/>
  <c r="B624" i="1"/>
  <c r="C624" i="1"/>
  <c r="D624" i="1"/>
  <c r="E624" i="1"/>
  <c r="F624" i="1"/>
  <c r="G624" i="1"/>
  <c r="H624" i="1"/>
  <c r="I624" i="1"/>
  <c r="J624" i="1"/>
  <c r="K624" i="1"/>
  <c r="L624" i="1"/>
  <c r="M624" i="1"/>
  <c r="N624" i="1"/>
  <c r="O624" i="1"/>
  <c r="P624" i="1"/>
  <c r="Q624" i="1"/>
  <c r="R624" i="1"/>
  <c r="S624" i="1"/>
  <c r="T624" i="1"/>
  <c r="U624" i="1"/>
  <c r="V624" i="1"/>
  <c r="W624" i="1"/>
  <c r="X624" i="1"/>
  <c r="Y624" i="1"/>
  <c r="Z624" i="1"/>
  <c r="AA624" i="1"/>
  <c r="AB624" i="1"/>
  <c r="A625" i="1"/>
  <c r="B625" i="1"/>
  <c r="C625" i="1"/>
  <c r="D625" i="1"/>
  <c r="E625" i="1"/>
  <c r="F625" i="1"/>
  <c r="G625" i="1"/>
  <c r="H625" i="1"/>
  <c r="I625" i="1"/>
  <c r="J625" i="1"/>
  <c r="K625" i="1"/>
  <c r="L625" i="1"/>
  <c r="M625" i="1"/>
  <c r="N625" i="1"/>
  <c r="O625" i="1"/>
  <c r="P625" i="1"/>
  <c r="Q625" i="1"/>
  <c r="R625" i="1"/>
  <c r="S625" i="1"/>
  <c r="T625" i="1"/>
  <c r="U625" i="1"/>
  <c r="V625" i="1"/>
  <c r="W625" i="1"/>
  <c r="X625" i="1"/>
  <c r="Y625" i="1"/>
  <c r="Z625" i="1"/>
  <c r="AA625" i="1"/>
  <c r="AB625" i="1"/>
  <c r="A626" i="1"/>
  <c r="B626" i="1"/>
  <c r="C626" i="1"/>
  <c r="D626" i="1"/>
  <c r="E626" i="1"/>
  <c r="F626" i="1"/>
  <c r="G626" i="1"/>
  <c r="H626" i="1"/>
  <c r="I626" i="1"/>
  <c r="J626" i="1"/>
  <c r="K626" i="1"/>
  <c r="L626" i="1"/>
  <c r="M626" i="1"/>
  <c r="N626" i="1"/>
  <c r="O626" i="1"/>
  <c r="P626" i="1"/>
  <c r="Q626" i="1"/>
  <c r="R626" i="1"/>
  <c r="S626" i="1"/>
  <c r="T626" i="1"/>
  <c r="U626" i="1"/>
  <c r="V626" i="1"/>
  <c r="W626" i="1"/>
  <c r="X626" i="1"/>
  <c r="Y626" i="1"/>
  <c r="Z626" i="1"/>
  <c r="AA626" i="1"/>
  <c r="AB626" i="1"/>
  <c r="A627" i="1"/>
  <c r="B627" i="1"/>
  <c r="C627" i="1"/>
  <c r="D627" i="1"/>
  <c r="E627" i="1"/>
  <c r="F627" i="1"/>
  <c r="G627" i="1"/>
  <c r="H627" i="1"/>
  <c r="I627" i="1"/>
  <c r="J627" i="1"/>
  <c r="K627" i="1"/>
  <c r="L627" i="1"/>
  <c r="M627" i="1"/>
  <c r="N627" i="1"/>
  <c r="O627" i="1"/>
  <c r="P627" i="1"/>
  <c r="Q627" i="1"/>
  <c r="R627" i="1"/>
  <c r="S627" i="1"/>
  <c r="T627" i="1"/>
  <c r="U627" i="1"/>
  <c r="V627" i="1"/>
  <c r="W627" i="1"/>
  <c r="X627" i="1"/>
  <c r="Y627" i="1"/>
  <c r="Z627" i="1"/>
  <c r="AA627" i="1"/>
  <c r="AB627" i="1"/>
  <c r="A628" i="1"/>
  <c r="B628" i="1"/>
  <c r="C628" i="1"/>
  <c r="D628" i="1"/>
  <c r="E628" i="1"/>
  <c r="F628" i="1"/>
  <c r="G628" i="1"/>
  <c r="H628" i="1"/>
  <c r="I628" i="1"/>
  <c r="J628" i="1"/>
  <c r="K628" i="1"/>
  <c r="L628" i="1"/>
  <c r="M628" i="1"/>
  <c r="N628" i="1"/>
  <c r="O628" i="1"/>
  <c r="P628" i="1"/>
  <c r="Q628" i="1"/>
  <c r="R628" i="1"/>
  <c r="S628" i="1"/>
  <c r="T628" i="1"/>
  <c r="U628" i="1"/>
  <c r="V628" i="1"/>
  <c r="W628" i="1"/>
  <c r="X628" i="1"/>
  <c r="Y628" i="1"/>
  <c r="Z628" i="1"/>
  <c r="AA628" i="1"/>
  <c r="AB628" i="1"/>
  <c r="A629" i="1"/>
  <c r="B629" i="1"/>
  <c r="C629" i="1"/>
  <c r="D629" i="1"/>
  <c r="E629" i="1"/>
  <c r="F629" i="1"/>
  <c r="G629" i="1"/>
  <c r="H629" i="1"/>
  <c r="I629" i="1"/>
  <c r="J629" i="1"/>
  <c r="K629" i="1"/>
  <c r="L629" i="1"/>
  <c r="M629" i="1"/>
  <c r="N629" i="1"/>
  <c r="O629" i="1"/>
  <c r="P629" i="1"/>
  <c r="Q629" i="1"/>
  <c r="R629" i="1"/>
  <c r="S629" i="1"/>
  <c r="T629" i="1"/>
  <c r="U629" i="1"/>
  <c r="V629" i="1"/>
  <c r="W629" i="1"/>
  <c r="X629" i="1"/>
  <c r="Y629" i="1"/>
  <c r="Z629" i="1"/>
  <c r="AA629" i="1"/>
  <c r="AB629" i="1"/>
  <c r="A630" i="1"/>
  <c r="B630" i="1"/>
  <c r="C630" i="1"/>
  <c r="D630" i="1"/>
  <c r="E630" i="1"/>
  <c r="F630" i="1"/>
  <c r="G630" i="1"/>
  <c r="H630" i="1"/>
  <c r="I630" i="1"/>
  <c r="J630" i="1"/>
  <c r="K630" i="1"/>
  <c r="L630" i="1"/>
  <c r="M630" i="1"/>
  <c r="N630" i="1"/>
  <c r="O630" i="1"/>
  <c r="P630" i="1"/>
  <c r="Q630" i="1"/>
  <c r="R630" i="1"/>
  <c r="S630" i="1"/>
  <c r="T630" i="1"/>
  <c r="U630" i="1"/>
  <c r="V630" i="1"/>
  <c r="W630" i="1"/>
  <c r="X630" i="1"/>
  <c r="Y630" i="1"/>
  <c r="Z630" i="1"/>
  <c r="AA630" i="1"/>
  <c r="AB630" i="1"/>
  <c r="A631" i="1"/>
  <c r="B631" i="1"/>
  <c r="C631" i="1"/>
  <c r="D631" i="1"/>
  <c r="E631" i="1"/>
  <c r="F631" i="1"/>
  <c r="G631" i="1"/>
  <c r="H631" i="1"/>
  <c r="I631" i="1"/>
  <c r="J631" i="1"/>
  <c r="K631" i="1"/>
  <c r="L631" i="1"/>
  <c r="M631" i="1"/>
  <c r="N631" i="1"/>
  <c r="O631" i="1"/>
  <c r="P631" i="1"/>
  <c r="Q631" i="1"/>
  <c r="R631" i="1"/>
  <c r="S631" i="1"/>
  <c r="T631" i="1"/>
  <c r="U631" i="1"/>
  <c r="V631" i="1"/>
  <c r="W631" i="1"/>
  <c r="X631" i="1"/>
  <c r="Y631" i="1"/>
  <c r="Z631" i="1"/>
  <c r="AA631" i="1"/>
  <c r="AB631" i="1"/>
  <c r="A632" i="1"/>
  <c r="B632" i="1"/>
  <c r="C632" i="1"/>
  <c r="D632" i="1"/>
  <c r="E632" i="1"/>
  <c r="F632" i="1"/>
  <c r="G632" i="1"/>
  <c r="H632" i="1"/>
  <c r="I632" i="1"/>
  <c r="J632" i="1"/>
  <c r="K632" i="1"/>
  <c r="L632" i="1"/>
  <c r="M632" i="1"/>
  <c r="N632" i="1"/>
  <c r="O632" i="1"/>
  <c r="P632" i="1"/>
  <c r="Q632" i="1"/>
  <c r="R632" i="1"/>
  <c r="S632" i="1"/>
  <c r="T632" i="1"/>
  <c r="U632" i="1"/>
  <c r="V632" i="1"/>
  <c r="W632" i="1"/>
  <c r="X632" i="1"/>
  <c r="Y632" i="1"/>
  <c r="Z632" i="1"/>
  <c r="AA632" i="1"/>
  <c r="AB632" i="1"/>
  <c r="A633" i="1"/>
  <c r="B633" i="1"/>
  <c r="C633" i="1"/>
  <c r="D633" i="1"/>
  <c r="E633" i="1"/>
  <c r="F633" i="1"/>
  <c r="G633" i="1"/>
  <c r="H633" i="1"/>
  <c r="I633" i="1"/>
  <c r="J633" i="1"/>
  <c r="K633" i="1"/>
  <c r="L633" i="1"/>
  <c r="M633" i="1"/>
  <c r="N633" i="1"/>
  <c r="O633" i="1"/>
  <c r="P633" i="1"/>
  <c r="Q633" i="1"/>
  <c r="R633" i="1"/>
  <c r="S633" i="1"/>
  <c r="T633" i="1"/>
  <c r="U633" i="1"/>
  <c r="V633" i="1"/>
  <c r="W633" i="1"/>
  <c r="X633" i="1"/>
  <c r="Y633" i="1"/>
  <c r="Z633" i="1"/>
  <c r="AA633" i="1"/>
  <c r="AB633" i="1"/>
  <c r="A634" i="1"/>
  <c r="B634" i="1"/>
  <c r="C634" i="1"/>
  <c r="D634" i="1"/>
  <c r="E634" i="1"/>
  <c r="F634" i="1"/>
  <c r="G634" i="1"/>
  <c r="H634" i="1"/>
  <c r="I634" i="1"/>
  <c r="J634" i="1"/>
  <c r="K634" i="1"/>
  <c r="L634" i="1"/>
  <c r="M634" i="1"/>
  <c r="N634" i="1"/>
  <c r="O634" i="1"/>
  <c r="P634" i="1"/>
  <c r="Q634" i="1"/>
  <c r="R634" i="1"/>
  <c r="S634" i="1"/>
  <c r="T634" i="1"/>
  <c r="U634" i="1"/>
  <c r="V634" i="1"/>
  <c r="W634" i="1"/>
  <c r="X634" i="1"/>
  <c r="Y634" i="1"/>
  <c r="Z634" i="1"/>
  <c r="AA634" i="1"/>
  <c r="AB634" i="1"/>
  <c r="A635" i="1"/>
  <c r="B635" i="1"/>
  <c r="C635" i="1"/>
  <c r="D635" i="1"/>
  <c r="E635" i="1"/>
  <c r="F635" i="1"/>
  <c r="G635" i="1"/>
  <c r="H635" i="1"/>
  <c r="I635" i="1"/>
  <c r="J635" i="1"/>
  <c r="K635" i="1"/>
  <c r="L635" i="1"/>
  <c r="M635" i="1"/>
  <c r="N635" i="1"/>
  <c r="O635" i="1"/>
  <c r="P635" i="1"/>
  <c r="Q635" i="1"/>
  <c r="R635" i="1"/>
  <c r="S635" i="1"/>
  <c r="T635" i="1"/>
  <c r="U635" i="1"/>
  <c r="V635" i="1"/>
  <c r="W635" i="1"/>
  <c r="X635" i="1"/>
  <c r="Y635" i="1"/>
  <c r="Z635" i="1"/>
  <c r="AA635" i="1"/>
  <c r="AB635" i="1"/>
  <c r="A636" i="1"/>
  <c r="B636" i="1"/>
  <c r="C636" i="1"/>
  <c r="D636" i="1"/>
  <c r="E636" i="1"/>
  <c r="F636" i="1"/>
  <c r="G636" i="1"/>
  <c r="H636" i="1"/>
  <c r="I636" i="1"/>
  <c r="J636" i="1"/>
  <c r="K636" i="1"/>
  <c r="L636" i="1"/>
  <c r="M636" i="1"/>
  <c r="N636" i="1"/>
  <c r="O636" i="1"/>
  <c r="P636" i="1"/>
  <c r="Q636" i="1"/>
  <c r="R636" i="1"/>
  <c r="S636" i="1"/>
  <c r="T636" i="1"/>
  <c r="U636" i="1"/>
  <c r="V636" i="1"/>
  <c r="W636" i="1"/>
  <c r="X636" i="1"/>
  <c r="Y636" i="1"/>
  <c r="Z636" i="1"/>
  <c r="AA636" i="1"/>
  <c r="AB636" i="1"/>
  <c r="A637" i="1"/>
  <c r="B637" i="1"/>
  <c r="C637" i="1"/>
  <c r="D637" i="1"/>
  <c r="E637" i="1"/>
  <c r="F637" i="1"/>
  <c r="G637" i="1"/>
  <c r="H637" i="1"/>
  <c r="I637" i="1"/>
  <c r="J637" i="1"/>
  <c r="K637" i="1"/>
  <c r="L637" i="1"/>
  <c r="M637" i="1"/>
  <c r="N637" i="1"/>
  <c r="O637" i="1"/>
  <c r="P637" i="1"/>
  <c r="Q637" i="1"/>
  <c r="R637" i="1"/>
  <c r="S637" i="1"/>
  <c r="T637" i="1"/>
  <c r="U637" i="1"/>
  <c r="V637" i="1"/>
  <c r="W637" i="1"/>
  <c r="X637" i="1"/>
  <c r="Y637" i="1"/>
  <c r="Z637" i="1"/>
  <c r="AA637" i="1"/>
  <c r="AB637" i="1"/>
  <c r="A638" i="1"/>
  <c r="B638" i="1"/>
  <c r="C638" i="1"/>
  <c r="D638" i="1"/>
  <c r="E638" i="1"/>
  <c r="F638" i="1"/>
  <c r="G638" i="1"/>
  <c r="H638" i="1"/>
  <c r="I638" i="1"/>
  <c r="J638" i="1"/>
  <c r="K638" i="1"/>
  <c r="L638" i="1"/>
  <c r="M638" i="1"/>
  <c r="N638" i="1"/>
  <c r="O638" i="1"/>
  <c r="P638" i="1"/>
  <c r="Q638" i="1"/>
  <c r="R638" i="1"/>
  <c r="S638" i="1"/>
  <c r="T638" i="1"/>
  <c r="U638" i="1"/>
  <c r="V638" i="1"/>
  <c r="W638" i="1"/>
  <c r="X638" i="1"/>
  <c r="Y638" i="1"/>
  <c r="Z638" i="1"/>
  <c r="AA638" i="1"/>
  <c r="AB638" i="1"/>
  <c r="A639" i="1"/>
  <c r="B639" i="1"/>
  <c r="C639" i="1"/>
  <c r="D639" i="1"/>
  <c r="E639" i="1"/>
  <c r="F639" i="1"/>
  <c r="G639" i="1"/>
  <c r="H639" i="1"/>
  <c r="I639" i="1"/>
  <c r="J639" i="1"/>
  <c r="K639" i="1"/>
  <c r="L639" i="1"/>
  <c r="M639" i="1"/>
  <c r="N639" i="1"/>
  <c r="O639" i="1"/>
  <c r="P639" i="1"/>
  <c r="Q639" i="1"/>
  <c r="R639" i="1"/>
  <c r="S639" i="1"/>
  <c r="T639" i="1"/>
  <c r="U639" i="1"/>
  <c r="V639" i="1"/>
  <c r="W639" i="1"/>
  <c r="X639" i="1"/>
  <c r="Y639" i="1"/>
  <c r="Z639" i="1"/>
  <c r="AA639" i="1"/>
  <c r="AB639" i="1"/>
  <c r="A640" i="1"/>
  <c r="B640" i="1"/>
  <c r="C640" i="1"/>
  <c r="D640" i="1"/>
  <c r="E640" i="1"/>
  <c r="F640" i="1"/>
  <c r="G640" i="1"/>
  <c r="H640" i="1"/>
  <c r="I640" i="1"/>
  <c r="J640" i="1"/>
  <c r="K640" i="1"/>
  <c r="L640" i="1"/>
  <c r="M640" i="1"/>
  <c r="N640" i="1"/>
  <c r="O640" i="1"/>
  <c r="P640" i="1"/>
  <c r="Q640" i="1"/>
  <c r="R640" i="1"/>
  <c r="S640" i="1"/>
  <c r="T640" i="1"/>
  <c r="U640" i="1"/>
  <c r="V640" i="1"/>
  <c r="W640" i="1"/>
  <c r="X640" i="1"/>
  <c r="Y640" i="1"/>
  <c r="Z640" i="1"/>
  <c r="AA640" i="1"/>
  <c r="AB640" i="1"/>
  <c r="A641" i="1"/>
  <c r="B641" i="1"/>
  <c r="C641" i="1"/>
  <c r="D641" i="1"/>
  <c r="E641" i="1"/>
  <c r="F641" i="1"/>
  <c r="G641" i="1"/>
  <c r="H641" i="1"/>
  <c r="I641" i="1"/>
  <c r="J641" i="1"/>
  <c r="K641" i="1"/>
  <c r="L641" i="1"/>
  <c r="M641" i="1"/>
  <c r="N641" i="1"/>
  <c r="O641" i="1"/>
  <c r="P641" i="1"/>
  <c r="Q641" i="1"/>
  <c r="R641" i="1"/>
  <c r="S641" i="1"/>
  <c r="T641" i="1"/>
  <c r="U641" i="1"/>
  <c r="V641" i="1"/>
  <c r="W641" i="1"/>
  <c r="X641" i="1"/>
  <c r="Y641" i="1"/>
  <c r="Z641" i="1"/>
  <c r="AA641" i="1"/>
  <c r="AB641" i="1"/>
  <c r="A642" i="1"/>
  <c r="B642" i="1"/>
  <c r="C642" i="1"/>
  <c r="D642" i="1"/>
  <c r="E642" i="1"/>
  <c r="F642" i="1"/>
  <c r="G642" i="1"/>
  <c r="H642" i="1"/>
  <c r="I642" i="1"/>
  <c r="J642" i="1"/>
  <c r="K642" i="1"/>
  <c r="L642" i="1"/>
  <c r="M642" i="1"/>
  <c r="N642" i="1"/>
  <c r="O642" i="1"/>
  <c r="P642" i="1"/>
  <c r="Q642" i="1"/>
  <c r="R642" i="1"/>
  <c r="S642" i="1"/>
  <c r="T642" i="1"/>
  <c r="U642" i="1"/>
  <c r="V642" i="1"/>
  <c r="W642" i="1"/>
  <c r="X642" i="1"/>
  <c r="Y642" i="1"/>
  <c r="Z642" i="1"/>
  <c r="AA642" i="1"/>
  <c r="AB642" i="1"/>
  <c r="A643" i="1"/>
  <c r="B643" i="1"/>
  <c r="C643" i="1"/>
  <c r="D643" i="1"/>
  <c r="E643" i="1"/>
  <c r="F643" i="1"/>
  <c r="G643" i="1"/>
  <c r="H643" i="1"/>
  <c r="I643" i="1"/>
  <c r="J643" i="1"/>
  <c r="K643" i="1"/>
  <c r="L643" i="1"/>
  <c r="M643" i="1"/>
  <c r="N643" i="1"/>
  <c r="O643" i="1"/>
  <c r="P643" i="1"/>
  <c r="Q643" i="1"/>
  <c r="R643" i="1"/>
  <c r="S643" i="1"/>
  <c r="T643" i="1"/>
  <c r="U643" i="1"/>
  <c r="V643" i="1"/>
  <c r="W643" i="1"/>
  <c r="X643" i="1"/>
  <c r="Y643" i="1"/>
  <c r="Z643" i="1"/>
  <c r="AA643" i="1"/>
  <c r="AB643" i="1"/>
  <c r="A644" i="1"/>
  <c r="B644" i="1"/>
  <c r="C644" i="1"/>
  <c r="D644" i="1"/>
  <c r="E644" i="1"/>
  <c r="F644" i="1"/>
  <c r="G644" i="1"/>
  <c r="H644" i="1"/>
  <c r="I644" i="1"/>
  <c r="J644" i="1"/>
  <c r="K644" i="1"/>
  <c r="L644" i="1"/>
  <c r="M644" i="1"/>
  <c r="N644" i="1"/>
  <c r="O644" i="1"/>
  <c r="P644" i="1"/>
  <c r="Q644" i="1"/>
  <c r="R644" i="1"/>
  <c r="S644" i="1"/>
  <c r="T644" i="1"/>
  <c r="U644" i="1"/>
  <c r="V644" i="1"/>
  <c r="W644" i="1"/>
  <c r="X644" i="1"/>
  <c r="Y644" i="1"/>
  <c r="Z644" i="1"/>
  <c r="AA644" i="1"/>
  <c r="AB644" i="1"/>
  <c r="A645" i="1"/>
  <c r="B645" i="1"/>
  <c r="C645" i="1"/>
  <c r="D645" i="1"/>
  <c r="E645" i="1"/>
  <c r="F645" i="1"/>
  <c r="G645" i="1"/>
  <c r="H645" i="1"/>
  <c r="I645" i="1"/>
  <c r="J645" i="1"/>
  <c r="K645" i="1"/>
  <c r="L645" i="1"/>
  <c r="M645" i="1"/>
  <c r="N645" i="1"/>
  <c r="O645" i="1"/>
  <c r="P645" i="1"/>
  <c r="Q645" i="1"/>
  <c r="R645" i="1"/>
  <c r="S645" i="1"/>
  <c r="T645" i="1"/>
  <c r="U645" i="1"/>
  <c r="V645" i="1"/>
  <c r="W645" i="1"/>
  <c r="X645" i="1"/>
  <c r="Y645" i="1"/>
  <c r="Z645" i="1"/>
  <c r="AA645" i="1"/>
  <c r="AB645" i="1"/>
  <c r="A646" i="1"/>
  <c r="B646" i="1"/>
  <c r="C646" i="1"/>
  <c r="D646" i="1"/>
  <c r="E646" i="1"/>
  <c r="F646" i="1"/>
  <c r="G646" i="1"/>
  <c r="H646" i="1"/>
  <c r="I646" i="1"/>
  <c r="J646" i="1"/>
  <c r="K646" i="1"/>
  <c r="L646" i="1"/>
  <c r="M646" i="1"/>
  <c r="N646" i="1"/>
  <c r="O646" i="1"/>
  <c r="P646" i="1"/>
  <c r="Q646" i="1"/>
  <c r="R646" i="1"/>
  <c r="S646" i="1"/>
  <c r="T646" i="1"/>
  <c r="U646" i="1"/>
  <c r="V646" i="1"/>
  <c r="W646" i="1"/>
  <c r="X646" i="1"/>
  <c r="Y646" i="1"/>
  <c r="Z646" i="1"/>
  <c r="AA646" i="1"/>
  <c r="AB646" i="1"/>
  <c r="A647" i="1"/>
  <c r="B647" i="1"/>
  <c r="C647" i="1"/>
  <c r="D647" i="1"/>
  <c r="E647" i="1"/>
  <c r="F647" i="1"/>
  <c r="G647" i="1"/>
  <c r="H647" i="1"/>
  <c r="I647" i="1"/>
  <c r="J647" i="1"/>
  <c r="K647" i="1"/>
  <c r="L647" i="1"/>
  <c r="M647" i="1"/>
  <c r="N647" i="1"/>
  <c r="O647" i="1"/>
  <c r="P647" i="1"/>
  <c r="Q647" i="1"/>
  <c r="R647" i="1"/>
  <c r="S647" i="1"/>
  <c r="T647" i="1"/>
  <c r="U647" i="1"/>
  <c r="V647" i="1"/>
  <c r="W647" i="1"/>
  <c r="X647" i="1"/>
  <c r="Y647" i="1"/>
  <c r="Z647" i="1"/>
  <c r="AA647" i="1"/>
  <c r="AB647" i="1"/>
  <c r="A648" i="1"/>
  <c r="B648" i="1"/>
  <c r="C648" i="1"/>
  <c r="D648" i="1"/>
  <c r="E648" i="1"/>
  <c r="F648" i="1"/>
  <c r="G648" i="1"/>
  <c r="H648" i="1"/>
  <c r="I648" i="1"/>
  <c r="J648" i="1"/>
  <c r="K648" i="1"/>
  <c r="L648" i="1"/>
  <c r="M648" i="1"/>
  <c r="N648" i="1"/>
  <c r="O648" i="1"/>
  <c r="P648" i="1"/>
  <c r="Q648" i="1"/>
  <c r="R648" i="1"/>
  <c r="S648" i="1"/>
  <c r="T648" i="1"/>
  <c r="U648" i="1"/>
  <c r="V648" i="1"/>
  <c r="W648" i="1"/>
  <c r="X648" i="1"/>
  <c r="Y648" i="1"/>
  <c r="Z648" i="1"/>
  <c r="AA648" i="1"/>
  <c r="AB648" i="1"/>
  <c r="A649" i="1"/>
  <c r="B649" i="1"/>
  <c r="C649" i="1"/>
  <c r="D649" i="1"/>
  <c r="E649" i="1"/>
  <c r="F649" i="1"/>
  <c r="G649" i="1"/>
  <c r="H649" i="1"/>
  <c r="I649" i="1"/>
  <c r="J649" i="1"/>
  <c r="K649" i="1"/>
  <c r="L649" i="1"/>
  <c r="M649" i="1"/>
  <c r="N649" i="1"/>
  <c r="O649" i="1"/>
  <c r="P649" i="1"/>
  <c r="Q649" i="1"/>
  <c r="R649" i="1"/>
  <c r="S649" i="1"/>
  <c r="T649" i="1"/>
  <c r="U649" i="1"/>
  <c r="V649" i="1"/>
  <c r="W649" i="1"/>
  <c r="X649" i="1"/>
  <c r="Y649" i="1"/>
  <c r="Z649" i="1"/>
  <c r="AA649" i="1"/>
  <c r="AB649" i="1"/>
  <c r="A650" i="1"/>
  <c r="B650" i="1"/>
  <c r="C650" i="1"/>
  <c r="D650" i="1"/>
  <c r="E650" i="1"/>
  <c r="F650" i="1"/>
  <c r="G650" i="1"/>
  <c r="H650" i="1"/>
  <c r="I650" i="1"/>
  <c r="J650" i="1"/>
  <c r="K650" i="1"/>
  <c r="L650" i="1"/>
  <c r="M650" i="1"/>
  <c r="N650" i="1"/>
  <c r="O650" i="1"/>
  <c r="P650" i="1"/>
  <c r="Q650" i="1"/>
  <c r="R650" i="1"/>
  <c r="S650" i="1"/>
  <c r="T650" i="1"/>
  <c r="U650" i="1"/>
  <c r="V650" i="1"/>
  <c r="W650" i="1"/>
  <c r="X650" i="1"/>
  <c r="Y650" i="1"/>
  <c r="Z650" i="1"/>
  <c r="AA650" i="1"/>
  <c r="AB650" i="1"/>
  <c r="A651" i="1"/>
  <c r="B651" i="1"/>
  <c r="C651" i="1"/>
  <c r="D651" i="1"/>
  <c r="E651" i="1"/>
  <c r="F651" i="1"/>
  <c r="G651" i="1"/>
  <c r="H651" i="1"/>
  <c r="I651" i="1"/>
  <c r="J651" i="1"/>
  <c r="K651" i="1"/>
  <c r="L651" i="1"/>
  <c r="M651" i="1"/>
  <c r="N651" i="1"/>
  <c r="O651" i="1"/>
  <c r="P651" i="1"/>
  <c r="Q651" i="1"/>
  <c r="R651" i="1"/>
  <c r="S651" i="1"/>
  <c r="T651" i="1"/>
  <c r="U651" i="1"/>
  <c r="V651" i="1"/>
  <c r="W651" i="1"/>
  <c r="X651" i="1"/>
  <c r="Y651" i="1"/>
  <c r="Z651" i="1"/>
  <c r="AA651" i="1"/>
  <c r="AB651" i="1"/>
  <c r="A652" i="1"/>
  <c r="B652" i="1"/>
  <c r="C652" i="1"/>
  <c r="D652" i="1"/>
  <c r="E652" i="1"/>
  <c r="F652" i="1"/>
  <c r="G652" i="1"/>
  <c r="H652" i="1"/>
  <c r="I652" i="1"/>
  <c r="J652" i="1"/>
  <c r="K652" i="1"/>
  <c r="L652" i="1"/>
  <c r="M652" i="1"/>
  <c r="N652" i="1"/>
  <c r="O652" i="1"/>
  <c r="P652" i="1"/>
  <c r="Q652" i="1"/>
  <c r="R652" i="1"/>
  <c r="S652" i="1"/>
  <c r="T652" i="1"/>
  <c r="U652" i="1"/>
  <c r="V652" i="1"/>
  <c r="W652" i="1"/>
  <c r="X652" i="1"/>
  <c r="Y652" i="1"/>
  <c r="Z652" i="1"/>
  <c r="AA652" i="1"/>
  <c r="AB652" i="1"/>
  <c r="A653" i="1"/>
  <c r="B653" i="1"/>
  <c r="C653" i="1"/>
  <c r="D653" i="1"/>
  <c r="E653" i="1"/>
  <c r="F653" i="1"/>
  <c r="G653" i="1"/>
  <c r="H653" i="1"/>
  <c r="I653" i="1"/>
  <c r="J653" i="1"/>
  <c r="K653" i="1"/>
  <c r="L653" i="1"/>
  <c r="M653" i="1"/>
  <c r="N653" i="1"/>
  <c r="O653" i="1"/>
  <c r="P653" i="1"/>
  <c r="Q653" i="1"/>
  <c r="R653" i="1"/>
  <c r="S653" i="1"/>
  <c r="T653" i="1"/>
  <c r="U653" i="1"/>
  <c r="V653" i="1"/>
  <c r="W653" i="1"/>
  <c r="X653" i="1"/>
  <c r="Y653" i="1"/>
  <c r="Z653" i="1"/>
  <c r="AA653" i="1"/>
  <c r="AB653" i="1"/>
  <c r="A654" i="1"/>
  <c r="B654" i="1"/>
  <c r="C654" i="1"/>
  <c r="D654" i="1"/>
  <c r="E654" i="1"/>
  <c r="F654" i="1"/>
  <c r="G654" i="1"/>
  <c r="H654" i="1"/>
  <c r="I654" i="1"/>
  <c r="J654" i="1"/>
  <c r="K654" i="1"/>
  <c r="L654" i="1"/>
  <c r="M654" i="1"/>
  <c r="N654" i="1"/>
  <c r="O654" i="1"/>
  <c r="P654" i="1"/>
  <c r="Q654" i="1"/>
  <c r="R654" i="1"/>
  <c r="S654" i="1"/>
  <c r="T654" i="1"/>
  <c r="U654" i="1"/>
  <c r="V654" i="1"/>
  <c r="W654" i="1"/>
  <c r="X654" i="1"/>
  <c r="Y654" i="1"/>
  <c r="Z654" i="1"/>
  <c r="AA654" i="1"/>
  <c r="AB654" i="1"/>
  <c r="A655" i="1"/>
  <c r="B655" i="1"/>
  <c r="C655" i="1"/>
  <c r="D655" i="1"/>
  <c r="E655" i="1"/>
  <c r="F655" i="1"/>
  <c r="G655" i="1"/>
  <c r="H655" i="1"/>
  <c r="I655" i="1"/>
  <c r="J655" i="1"/>
  <c r="K655" i="1"/>
  <c r="L655" i="1"/>
  <c r="M655" i="1"/>
  <c r="N655" i="1"/>
  <c r="O655" i="1"/>
  <c r="P655" i="1"/>
  <c r="Q655" i="1"/>
  <c r="R655" i="1"/>
  <c r="S655" i="1"/>
  <c r="T655" i="1"/>
  <c r="U655" i="1"/>
  <c r="V655" i="1"/>
  <c r="W655" i="1"/>
  <c r="X655" i="1"/>
  <c r="Y655" i="1"/>
  <c r="Z655" i="1"/>
  <c r="AA655" i="1"/>
  <c r="AB655" i="1"/>
  <c r="A656" i="1"/>
  <c r="B656" i="1"/>
  <c r="C656" i="1"/>
  <c r="D656" i="1"/>
  <c r="E656" i="1"/>
  <c r="F656" i="1"/>
  <c r="G656" i="1"/>
  <c r="H656" i="1"/>
  <c r="I656" i="1"/>
  <c r="J656" i="1"/>
  <c r="K656" i="1"/>
  <c r="L656" i="1"/>
  <c r="M656" i="1"/>
  <c r="N656" i="1"/>
  <c r="O656" i="1"/>
  <c r="P656" i="1"/>
  <c r="Q656" i="1"/>
  <c r="R656" i="1"/>
  <c r="S656" i="1"/>
  <c r="T656" i="1"/>
  <c r="U656" i="1"/>
  <c r="V656" i="1"/>
  <c r="W656" i="1"/>
  <c r="X656" i="1"/>
  <c r="Y656" i="1"/>
  <c r="Z656" i="1"/>
  <c r="AA656" i="1"/>
  <c r="AB656" i="1"/>
  <c r="A657" i="1"/>
  <c r="B657" i="1"/>
  <c r="C657" i="1"/>
  <c r="D657" i="1"/>
  <c r="E657" i="1"/>
  <c r="F657" i="1"/>
  <c r="G657" i="1"/>
  <c r="H657" i="1"/>
  <c r="I657" i="1"/>
  <c r="J657" i="1"/>
  <c r="K657" i="1"/>
  <c r="L657" i="1"/>
  <c r="M657" i="1"/>
  <c r="N657" i="1"/>
  <c r="O657" i="1"/>
  <c r="P657" i="1"/>
  <c r="Q657" i="1"/>
  <c r="R657" i="1"/>
  <c r="S657" i="1"/>
  <c r="T657" i="1"/>
  <c r="U657" i="1"/>
  <c r="V657" i="1"/>
  <c r="W657" i="1"/>
  <c r="X657" i="1"/>
  <c r="Y657" i="1"/>
  <c r="Z657" i="1"/>
  <c r="AA657" i="1"/>
  <c r="AB657" i="1"/>
  <c r="A658" i="1"/>
  <c r="B658" i="1"/>
  <c r="C658" i="1"/>
  <c r="D658" i="1"/>
  <c r="E658" i="1"/>
  <c r="F658" i="1"/>
  <c r="G658" i="1"/>
  <c r="H658" i="1"/>
  <c r="I658" i="1"/>
  <c r="J658" i="1"/>
  <c r="K658" i="1"/>
  <c r="L658" i="1"/>
  <c r="M658" i="1"/>
  <c r="N658" i="1"/>
  <c r="O658" i="1"/>
  <c r="P658" i="1"/>
  <c r="Q658" i="1"/>
  <c r="R658" i="1"/>
  <c r="S658" i="1"/>
  <c r="T658" i="1"/>
  <c r="U658" i="1"/>
  <c r="V658" i="1"/>
  <c r="W658" i="1"/>
  <c r="X658" i="1"/>
  <c r="Y658" i="1"/>
  <c r="Z658" i="1"/>
  <c r="AA658" i="1"/>
  <c r="AB658" i="1"/>
  <c r="A659" i="1"/>
  <c r="B659" i="1"/>
  <c r="C659" i="1"/>
  <c r="D659" i="1"/>
  <c r="E659" i="1"/>
  <c r="F659" i="1"/>
  <c r="G659" i="1"/>
  <c r="H659" i="1"/>
  <c r="I659" i="1"/>
  <c r="J659" i="1"/>
  <c r="K659" i="1"/>
  <c r="L659" i="1"/>
  <c r="M659" i="1"/>
  <c r="N659" i="1"/>
  <c r="O659" i="1"/>
  <c r="P659" i="1"/>
  <c r="Q659" i="1"/>
  <c r="R659" i="1"/>
  <c r="S659" i="1"/>
  <c r="T659" i="1"/>
  <c r="U659" i="1"/>
  <c r="V659" i="1"/>
  <c r="W659" i="1"/>
  <c r="X659" i="1"/>
  <c r="Y659" i="1"/>
  <c r="Z659" i="1"/>
  <c r="AA659" i="1"/>
  <c r="AB659" i="1"/>
  <c r="A660" i="1"/>
  <c r="B660" i="1"/>
  <c r="C660" i="1"/>
  <c r="D660" i="1"/>
  <c r="E660" i="1"/>
  <c r="F660" i="1"/>
  <c r="G660" i="1"/>
  <c r="H660" i="1"/>
  <c r="I660" i="1"/>
  <c r="J660" i="1"/>
  <c r="K660" i="1"/>
  <c r="L660" i="1"/>
  <c r="M660" i="1"/>
  <c r="N660" i="1"/>
  <c r="O660" i="1"/>
  <c r="P660" i="1"/>
  <c r="Q660" i="1"/>
  <c r="R660" i="1"/>
  <c r="S660" i="1"/>
  <c r="T660" i="1"/>
  <c r="U660" i="1"/>
  <c r="V660" i="1"/>
  <c r="W660" i="1"/>
  <c r="X660" i="1"/>
  <c r="Y660" i="1"/>
  <c r="Z660" i="1"/>
  <c r="AA660" i="1"/>
  <c r="AB660" i="1"/>
  <c r="A661" i="1"/>
  <c r="B661" i="1"/>
  <c r="C661" i="1"/>
  <c r="D661" i="1"/>
  <c r="E661" i="1"/>
  <c r="F661" i="1"/>
  <c r="G661" i="1"/>
  <c r="H661" i="1"/>
  <c r="I661" i="1"/>
  <c r="J661" i="1"/>
  <c r="K661" i="1"/>
  <c r="L661" i="1"/>
  <c r="M661" i="1"/>
  <c r="N661" i="1"/>
  <c r="O661" i="1"/>
  <c r="P661" i="1"/>
  <c r="Q661" i="1"/>
  <c r="R661" i="1"/>
  <c r="S661" i="1"/>
  <c r="T661" i="1"/>
  <c r="U661" i="1"/>
  <c r="V661" i="1"/>
  <c r="W661" i="1"/>
  <c r="X661" i="1"/>
  <c r="Y661" i="1"/>
  <c r="Z661" i="1"/>
  <c r="AA661" i="1"/>
  <c r="AB661" i="1"/>
  <c r="A662" i="1"/>
  <c r="B662" i="1"/>
  <c r="C662" i="1"/>
  <c r="D662" i="1"/>
  <c r="E662" i="1"/>
  <c r="F662" i="1"/>
  <c r="G662" i="1"/>
  <c r="H662" i="1"/>
  <c r="I662" i="1"/>
  <c r="J662" i="1"/>
  <c r="K662" i="1"/>
  <c r="L662" i="1"/>
  <c r="M662" i="1"/>
  <c r="N662" i="1"/>
  <c r="O662" i="1"/>
  <c r="P662" i="1"/>
  <c r="Q662" i="1"/>
  <c r="R662" i="1"/>
  <c r="S662" i="1"/>
  <c r="T662" i="1"/>
  <c r="U662" i="1"/>
  <c r="V662" i="1"/>
  <c r="W662" i="1"/>
  <c r="X662" i="1"/>
  <c r="Y662" i="1"/>
  <c r="Z662" i="1"/>
  <c r="AA662" i="1"/>
  <c r="AB662" i="1"/>
  <c r="A663" i="1"/>
  <c r="B663" i="1"/>
  <c r="C663" i="1"/>
  <c r="D663" i="1"/>
  <c r="E663" i="1"/>
  <c r="F663" i="1"/>
  <c r="G663" i="1"/>
  <c r="H663" i="1"/>
  <c r="I663" i="1"/>
  <c r="J663" i="1"/>
  <c r="K663" i="1"/>
  <c r="L663" i="1"/>
  <c r="M663" i="1"/>
  <c r="N663" i="1"/>
  <c r="O663" i="1"/>
  <c r="P663" i="1"/>
  <c r="Q663" i="1"/>
  <c r="R663" i="1"/>
  <c r="S663" i="1"/>
  <c r="T663" i="1"/>
  <c r="U663" i="1"/>
  <c r="V663" i="1"/>
  <c r="W663" i="1"/>
  <c r="X663" i="1"/>
  <c r="Y663" i="1"/>
  <c r="Z663" i="1"/>
  <c r="AA663" i="1"/>
  <c r="AB663" i="1"/>
  <c r="A664" i="1"/>
  <c r="B664" i="1"/>
  <c r="C664" i="1"/>
  <c r="D664" i="1"/>
  <c r="E664" i="1"/>
  <c r="F664" i="1"/>
  <c r="G664" i="1"/>
  <c r="H664" i="1"/>
  <c r="I664" i="1"/>
  <c r="J664" i="1"/>
  <c r="K664" i="1"/>
  <c r="L664" i="1"/>
  <c r="M664" i="1"/>
  <c r="N664" i="1"/>
  <c r="O664" i="1"/>
  <c r="P664" i="1"/>
  <c r="Q664" i="1"/>
  <c r="R664" i="1"/>
  <c r="S664" i="1"/>
  <c r="T664" i="1"/>
  <c r="U664" i="1"/>
  <c r="V664" i="1"/>
  <c r="W664" i="1"/>
  <c r="X664" i="1"/>
  <c r="Y664" i="1"/>
  <c r="Z664" i="1"/>
  <c r="AA664" i="1"/>
  <c r="AB664" i="1"/>
  <c r="A665" i="1"/>
  <c r="B665" i="1"/>
  <c r="C665" i="1"/>
  <c r="D665" i="1"/>
  <c r="E665" i="1"/>
  <c r="F665" i="1"/>
  <c r="G665" i="1"/>
  <c r="H665" i="1"/>
  <c r="I665" i="1"/>
  <c r="J665" i="1"/>
  <c r="K665" i="1"/>
  <c r="L665" i="1"/>
  <c r="M665" i="1"/>
  <c r="N665" i="1"/>
  <c r="O665" i="1"/>
  <c r="P665" i="1"/>
  <c r="Q665" i="1"/>
  <c r="R665" i="1"/>
  <c r="S665" i="1"/>
  <c r="T665" i="1"/>
  <c r="U665" i="1"/>
  <c r="V665" i="1"/>
  <c r="W665" i="1"/>
  <c r="X665" i="1"/>
  <c r="Y665" i="1"/>
  <c r="Z665" i="1"/>
  <c r="AA665" i="1"/>
  <c r="AB665" i="1"/>
  <c r="A666" i="1"/>
  <c r="B666" i="1"/>
  <c r="C666" i="1"/>
  <c r="D666" i="1"/>
  <c r="E666" i="1"/>
  <c r="F666" i="1"/>
  <c r="G666" i="1"/>
  <c r="H666" i="1"/>
  <c r="I666" i="1"/>
  <c r="J666" i="1"/>
  <c r="K666" i="1"/>
  <c r="L666" i="1"/>
  <c r="M666" i="1"/>
  <c r="N666" i="1"/>
  <c r="O666" i="1"/>
  <c r="P666" i="1"/>
  <c r="Q666" i="1"/>
  <c r="R666" i="1"/>
  <c r="S666" i="1"/>
  <c r="T666" i="1"/>
  <c r="U666" i="1"/>
  <c r="V666" i="1"/>
  <c r="W666" i="1"/>
  <c r="X666" i="1"/>
  <c r="Y666" i="1"/>
  <c r="Z666" i="1"/>
  <c r="AA666" i="1"/>
  <c r="AB666" i="1"/>
  <c r="A667" i="1"/>
  <c r="B667" i="1"/>
  <c r="C667" i="1"/>
  <c r="D667" i="1"/>
  <c r="E667" i="1"/>
  <c r="F667" i="1"/>
  <c r="G667" i="1"/>
  <c r="H667" i="1"/>
  <c r="I667" i="1"/>
  <c r="J667" i="1"/>
  <c r="K667" i="1"/>
  <c r="L667" i="1"/>
  <c r="M667" i="1"/>
  <c r="N667" i="1"/>
  <c r="O667" i="1"/>
  <c r="P667" i="1"/>
  <c r="Q667" i="1"/>
  <c r="R667" i="1"/>
  <c r="S667" i="1"/>
  <c r="T667" i="1"/>
  <c r="U667" i="1"/>
  <c r="V667" i="1"/>
  <c r="W667" i="1"/>
  <c r="X667" i="1"/>
  <c r="Y667" i="1"/>
  <c r="Z667" i="1"/>
  <c r="AA667" i="1"/>
  <c r="AB667" i="1"/>
  <c r="A668" i="1"/>
  <c r="B668" i="1"/>
  <c r="C668" i="1"/>
  <c r="D668" i="1"/>
  <c r="E668" i="1"/>
  <c r="F668" i="1"/>
  <c r="G668" i="1"/>
  <c r="H668" i="1"/>
  <c r="I668" i="1"/>
  <c r="J668" i="1"/>
  <c r="K668" i="1"/>
  <c r="L668" i="1"/>
  <c r="M668" i="1"/>
  <c r="N668" i="1"/>
  <c r="O668" i="1"/>
  <c r="P668" i="1"/>
  <c r="Q668" i="1"/>
  <c r="R668" i="1"/>
  <c r="S668" i="1"/>
  <c r="T668" i="1"/>
  <c r="U668" i="1"/>
  <c r="V668" i="1"/>
  <c r="W668" i="1"/>
  <c r="X668" i="1"/>
  <c r="Y668" i="1"/>
  <c r="Z668" i="1"/>
  <c r="AA668" i="1"/>
  <c r="AB668" i="1"/>
  <c r="A669" i="1"/>
  <c r="B669" i="1"/>
  <c r="C669" i="1"/>
  <c r="D669" i="1"/>
  <c r="E669" i="1"/>
  <c r="F669" i="1"/>
  <c r="G669" i="1"/>
  <c r="H669" i="1"/>
  <c r="I669" i="1"/>
  <c r="J669" i="1"/>
  <c r="K669" i="1"/>
  <c r="L669" i="1"/>
  <c r="M669" i="1"/>
  <c r="N669" i="1"/>
  <c r="O669" i="1"/>
  <c r="P669" i="1"/>
  <c r="Q669" i="1"/>
  <c r="R669" i="1"/>
  <c r="S669" i="1"/>
  <c r="T669" i="1"/>
  <c r="U669" i="1"/>
  <c r="V669" i="1"/>
  <c r="W669" i="1"/>
  <c r="X669" i="1"/>
  <c r="Y669" i="1"/>
  <c r="Z669" i="1"/>
  <c r="AA669" i="1"/>
  <c r="AB669" i="1"/>
  <c r="A670" i="1"/>
  <c r="B670" i="1"/>
  <c r="C670" i="1"/>
  <c r="D670" i="1"/>
  <c r="E670" i="1"/>
  <c r="F670" i="1"/>
  <c r="G670" i="1"/>
  <c r="H670" i="1"/>
  <c r="I670" i="1"/>
  <c r="J670" i="1"/>
  <c r="K670" i="1"/>
  <c r="L670" i="1"/>
  <c r="M670" i="1"/>
  <c r="N670" i="1"/>
  <c r="O670" i="1"/>
  <c r="P670" i="1"/>
  <c r="Q670" i="1"/>
  <c r="R670" i="1"/>
  <c r="S670" i="1"/>
  <c r="T670" i="1"/>
  <c r="U670" i="1"/>
  <c r="V670" i="1"/>
  <c r="W670" i="1"/>
  <c r="X670" i="1"/>
  <c r="Y670" i="1"/>
  <c r="Z670" i="1"/>
  <c r="AA670" i="1"/>
  <c r="AB670" i="1"/>
  <c r="A671" i="1"/>
  <c r="B671" i="1"/>
  <c r="C671" i="1"/>
  <c r="D671" i="1"/>
  <c r="E671" i="1"/>
  <c r="F671" i="1"/>
  <c r="G671" i="1"/>
  <c r="H671" i="1"/>
  <c r="I671" i="1"/>
  <c r="J671" i="1"/>
  <c r="K671" i="1"/>
  <c r="L671" i="1"/>
  <c r="M671" i="1"/>
  <c r="N671" i="1"/>
  <c r="O671" i="1"/>
  <c r="P671" i="1"/>
  <c r="Q671" i="1"/>
  <c r="R671" i="1"/>
  <c r="S671" i="1"/>
  <c r="T671" i="1"/>
  <c r="U671" i="1"/>
  <c r="V671" i="1"/>
  <c r="W671" i="1"/>
  <c r="X671" i="1"/>
  <c r="Y671" i="1"/>
  <c r="Z671" i="1"/>
  <c r="AA671" i="1"/>
  <c r="AB671" i="1"/>
  <c r="A672" i="1"/>
  <c r="B672" i="1"/>
  <c r="C672" i="1"/>
  <c r="D672" i="1"/>
  <c r="E672" i="1"/>
  <c r="F672" i="1"/>
  <c r="G672" i="1"/>
  <c r="H672" i="1"/>
  <c r="I672" i="1"/>
  <c r="J672" i="1"/>
  <c r="K672" i="1"/>
  <c r="L672" i="1"/>
  <c r="M672" i="1"/>
  <c r="N672" i="1"/>
  <c r="O672" i="1"/>
  <c r="P672" i="1"/>
  <c r="Q672" i="1"/>
  <c r="R672" i="1"/>
  <c r="S672" i="1"/>
  <c r="T672" i="1"/>
  <c r="U672" i="1"/>
  <c r="V672" i="1"/>
  <c r="W672" i="1"/>
  <c r="X672" i="1"/>
  <c r="Y672" i="1"/>
  <c r="Z672" i="1"/>
  <c r="AA672" i="1"/>
  <c r="AB672" i="1"/>
  <c r="A673" i="1"/>
  <c r="B673" i="1"/>
  <c r="C673" i="1"/>
  <c r="D673" i="1"/>
  <c r="E673" i="1"/>
  <c r="F673" i="1"/>
  <c r="G673" i="1"/>
  <c r="H673" i="1"/>
  <c r="I673" i="1"/>
  <c r="J673" i="1"/>
  <c r="K673" i="1"/>
  <c r="L673" i="1"/>
  <c r="M673" i="1"/>
  <c r="N673" i="1"/>
  <c r="O673" i="1"/>
  <c r="P673" i="1"/>
  <c r="Q673" i="1"/>
  <c r="R673" i="1"/>
  <c r="S673" i="1"/>
  <c r="T673" i="1"/>
  <c r="U673" i="1"/>
  <c r="V673" i="1"/>
  <c r="W673" i="1"/>
  <c r="X673" i="1"/>
  <c r="Y673" i="1"/>
  <c r="Z673" i="1"/>
  <c r="AA673" i="1"/>
  <c r="AB673" i="1"/>
  <c r="A674" i="1"/>
  <c r="B674" i="1"/>
  <c r="C674" i="1"/>
  <c r="D674" i="1"/>
  <c r="E674" i="1"/>
  <c r="F674" i="1"/>
  <c r="G674" i="1"/>
  <c r="H674" i="1"/>
  <c r="I674" i="1"/>
  <c r="J674" i="1"/>
  <c r="K674" i="1"/>
  <c r="L674" i="1"/>
  <c r="M674" i="1"/>
  <c r="N674" i="1"/>
  <c r="O674" i="1"/>
  <c r="P674" i="1"/>
  <c r="Q674" i="1"/>
  <c r="R674" i="1"/>
  <c r="S674" i="1"/>
  <c r="T674" i="1"/>
  <c r="U674" i="1"/>
  <c r="V674" i="1"/>
  <c r="W674" i="1"/>
  <c r="X674" i="1"/>
  <c r="Y674" i="1"/>
  <c r="Z674" i="1"/>
  <c r="AA674" i="1"/>
  <c r="AB674" i="1"/>
  <c r="A675" i="1"/>
  <c r="B675" i="1"/>
  <c r="C675" i="1"/>
  <c r="D675" i="1"/>
  <c r="E675" i="1"/>
  <c r="F675" i="1"/>
  <c r="G675" i="1"/>
  <c r="H675" i="1"/>
  <c r="I675" i="1"/>
  <c r="J675" i="1"/>
  <c r="K675" i="1"/>
  <c r="L675" i="1"/>
  <c r="M675" i="1"/>
  <c r="N675" i="1"/>
  <c r="O675" i="1"/>
  <c r="P675" i="1"/>
  <c r="Q675" i="1"/>
  <c r="R675" i="1"/>
  <c r="S675" i="1"/>
  <c r="T675" i="1"/>
  <c r="U675" i="1"/>
  <c r="V675" i="1"/>
  <c r="W675" i="1"/>
  <c r="X675" i="1"/>
  <c r="Y675" i="1"/>
  <c r="Z675" i="1"/>
  <c r="AA675" i="1"/>
  <c r="AB675" i="1"/>
  <c r="A676" i="1"/>
  <c r="B676" i="1"/>
  <c r="C676" i="1"/>
  <c r="D676" i="1"/>
  <c r="E676" i="1"/>
  <c r="F676" i="1"/>
  <c r="G676" i="1"/>
  <c r="H676" i="1"/>
  <c r="I676" i="1"/>
  <c r="J676" i="1"/>
  <c r="K676" i="1"/>
  <c r="L676" i="1"/>
  <c r="M676" i="1"/>
  <c r="N676" i="1"/>
  <c r="O676" i="1"/>
  <c r="P676" i="1"/>
  <c r="Q676" i="1"/>
  <c r="R676" i="1"/>
  <c r="S676" i="1"/>
  <c r="T676" i="1"/>
  <c r="U676" i="1"/>
  <c r="V676" i="1"/>
  <c r="W676" i="1"/>
  <c r="X676" i="1"/>
  <c r="Y676" i="1"/>
  <c r="Z676" i="1"/>
  <c r="AA676" i="1"/>
  <c r="AB676" i="1"/>
  <c r="A677" i="1"/>
  <c r="B677" i="1"/>
  <c r="C677" i="1"/>
  <c r="D677" i="1"/>
  <c r="E677" i="1"/>
  <c r="F677" i="1"/>
  <c r="G677" i="1"/>
  <c r="H677" i="1"/>
  <c r="I677" i="1"/>
  <c r="J677" i="1"/>
  <c r="K677" i="1"/>
  <c r="L677" i="1"/>
  <c r="M677" i="1"/>
  <c r="N677" i="1"/>
  <c r="O677" i="1"/>
  <c r="P677" i="1"/>
  <c r="Q677" i="1"/>
  <c r="R677" i="1"/>
  <c r="S677" i="1"/>
  <c r="T677" i="1"/>
  <c r="U677" i="1"/>
  <c r="V677" i="1"/>
  <c r="W677" i="1"/>
  <c r="X677" i="1"/>
  <c r="Y677" i="1"/>
  <c r="Z677" i="1"/>
  <c r="AA677" i="1"/>
  <c r="AB677" i="1"/>
  <c r="A678" i="1"/>
  <c r="B678" i="1"/>
  <c r="C678" i="1"/>
  <c r="D678" i="1"/>
  <c r="E678" i="1"/>
  <c r="F678" i="1"/>
  <c r="G678" i="1"/>
  <c r="H678" i="1"/>
  <c r="I678" i="1"/>
  <c r="J678" i="1"/>
  <c r="K678" i="1"/>
  <c r="L678" i="1"/>
  <c r="M678" i="1"/>
  <c r="N678" i="1"/>
  <c r="O678" i="1"/>
  <c r="P678" i="1"/>
  <c r="Q678" i="1"/>
  <c r="R678" i="1"/>
  <c r="S678" i="1"/>
  <c r="T678" i="1"/>
  <c r="U678" i="1"/>
  <c r="V678" i="1"/>
  <c r="W678" i="1"/>
  <c r="X678" i="1"/>
  <c r="Y678" i="1"/>
  <c r="Z678" i="1"/>
  <c r="AA678" i="1"/>
  <c r="AB678" i="1"/>
  <c r="A679" i="1"/>
  <c r="B679" i="1"/>
  <c r="C679" i="1"/>
  <c r="D679" i="1"/>
  <c r="E679" i="1"/>
  <c r="F679" i="1"/>
  <c r="G679" i="1"/>
  <c r="H679" i="1"/>
  <c r="I679" i="1"/>
  <c r="J679" i="1"/>
  <c r="K679" i="1"/>
  <c r="L679" i="1"/>
  <c r="M679" i="1"/>
  <c r="N679" i="1"/>
  <c r="O679" i="1"/>
  <c r="P679" i="1"/>
  <c r="Q679" i="1"/>
  <c r="R679" i="1"/>
  <c r="S679" i="1"/>
  <c r="T679" i="1"/>
  <c r="U679" i="1"/>
  <c r="V679" i="1"/>
  <c r="W679" i="1"/>
  <c r="X679" i="1"/>
  <c r="Y679" i="1"/>
  <c r="Z679" i="1"/>
  <c r="AA679" i="1"/>
  <c r="AB679" i="1"/>
  <c r="A680" i="1"/>
  <c r="B680" i="1"/>
  <c r="C680" i="1"/>
  <c r="D680" i="1"/>
  <c r="E680" i="1"/>
  <c r="F680" i="1"/>
  <c r="G680" i="1"/>
  <c r="H680" i="1"/>
  <c r="I680" i="1"/>
  <c r="J680" i="1"/>
  <c r="K680" i="1"/>
  <c r="L680" i="1"/>
  <c r="M680" i="1"/>
  <c r="N680" i="1"/>
  <c r="O680" i="1"/>
  <c r="P680" i="1"/>
  <c r="Q680" i="1"/>
  <c r="R680" i="1"/>
  <c r="S680" i="1"/>
  <c r="T680" i="1"/>
  <c r="U680" i="1"/>
  <c r="V680" i="1"/>
  <c r="W680" i="1"/>
  <c r="X680" i="1"/>
  <c r="Y680" i="1"/>
  <c r="Z680" i="1"/>
  <c r="AA680" i="1"/>
  <c r="AB680" i="1"/>
  <c r="A681" i="1"/>
  <c r="B681" i="1"/>
  <c r="C681" i="1"/>
  <c r="D681" i="1"/>
  <c r="E681" i="1"/>
  <c r="F681" i="1"/>
  <c r="G681" i="1"/>
  <c r="H681" i="1"/>
  <c r="I681" i="1"/>
  <c r="J681" i="1"/>
  <c r="K681" i="1"/>
  <c r="L681" i="1"/>
  <c r="M681" i="1"/>
  <c r="N681" i="1"/>
  <c r="O681" i="1"/>
  <c r="P681" i="1"/>
  <c r="Q681" i="1"/>
  <c r="R681" i="1"/>
  <c r="S681" i="1"/>
  <c r="T681" i="1"/>
  <c r="U681" i="1"/>
  <c r="V681" i="1"/>
  <c r="W681" i="1"/>
  <c r="X681" i="1"/>
  <c r="Y681" i="1"/>
  <c r="Z681" i="1"/>
  <c r="AA681" i="1"/>
  <c r="AB681" i="1"/>
  <c r="A682" i="1"/>
  <c r="B682" i="1"/>
  <c r="C682" i="1"/>
  <c r="D682" i="1"/>
  <c r="E682" i="1"/>
  <c r="F682" i="1"/>
  <c r="G682" i="1"/>
  <c r="H682" i="1"/>
  <c r="I682" i="1"/>
  <c r="J682" i="1"/>
  <c r="K682" i="1"/>
  <c r="L682" i="1"/>
  <c r="M682" i="1"/>
  <c r="N682" i="1"/>
  <c r="O682" i="1"/>
  <c r="P682" i="1"/>
  <c r="Q682" i="1"/>
  <c r="R682" i="1"/>
  <c r="S682" i="1"/>
  <c r="T682" i="1"/>
  <c r="U682" i="1"/>
  <c r="V682" i="1"/>
  <c r="W682" i="1"/>
  <c r="X682" i="1"/>
  <c r="Y682" i="1"/>
  <c r="Z682" i="1"/>
  <c r="AA682" i="1"/>
  <c r="AB682" i="1"/>
  <c r="A683" i="1"/>
  <c r="B683" i="1"/>
  <c r="C683" i="1"/>
  <c r="D683" i="1"/>
  <c r="E683" i="1"/>
  <c r="F683" i="1"/>
  <c r="G683" i="1"/>
  <c r="H683" i="1"/>
  <c r="I683" i="1"/>
  <c r="J683" i="1"/>
  <c r="K683" i="1"/>
  <c r="L683" i="1"/>
  <c r="M683" i="1"/>
  <c r="N683" i="1"/>
  <c r="O683" i="1"/>
  <c r="P683" i="1"/>
  <c r="Q683" i="1"/>
  <c r="R683" i="1"/>
  <c r="S683" i="1"/>
  <c r="T683" i="1"/>
  <c r="U683" i="1"/>
  <c r="V683" i="1"/>
  <c r="W683" i="1"/>
  <c r="X683" i="1"/>
  <c r="Y683" i="1"/>
  <c r="Z683" i="1"/>
  <c r="AA683" i="1"/>
  <c r="AB683" i="1"/>
  <c r="A684" i="1"/>
  <c r="B684" i="1"/>
  <c r="C684" i="1"/>
  <c r="D684" i="1"/>
  <c r="E684" i="1"/>
  <c r="F684" i="1"/>
  <c r="G684" i="1"/>
  <c r="H684" i="1"/>
  <c r="I684" i="1"/>
  <c r="J684" i="1"/>
  <c r="K684" i="1"/>
  <c r="L684" i="1"/>
  <c r="M684" i="1"/>
  <c r="N684" i="1"/>
  <c r="O684" i="1"/>
  <c r="P684" i="1"/>
  <c r="Q684" i="1"/>
  <c r="R684" i="1"/>
  <c r="S684" i="1"/>
  <c r="T684" i="1"/>
  <c r="U684" i="1"/>
  <c r="V684" i="1"/>
  <c r="W684" i="1"/>
  <c r="X684" i="1"/>
  <c r="Y684" i="1"/>
  <c r="Z684" i="1"/>
  <c r="AA684" i="1"/>
  <c r="AB684" i="1"/>
  <c r="A685" i="1"/>
  <c r="B685" i="1"/>
  <c r="C685" i="1"/>
  <c r="D685" i="1"/>
  <c r="E685" i="1"/>
  <c r="F685" i="1"/>
  <c r="G685" i="1"/>
  <c r="H685" i="1"/>
  <c r="I685" i="1"/>
  <c r="J685" i="1"/>
  <c r="K685" i="1"/>
  <c r="L685" i="1"/>
  <c r="M685" i="1"/>
  <c r="N685" i="1"/>
  <c r="O685" i="1"/>
  <c r="P685" i="1"/>
  <c r="Q685" i="1"/>
  <c r="R685" i="1"/>
  <c r="S685" i="1"/>
  <c r="T685" i="1"/>
  <c r="U685" i="1"/>
  <c r="V685" i="1"/>
  <c r="W685" i="1"/>
  <c r="X685" i="1"/>
  <c r="Y685" i="1"/>
  <c r="Z685" i="1"/>
  <c r="AA685" i="1"/>
  <c r="AB685" i="1"/>
  <c r="A686" i="1"/>
  <c r="B686" i="1"/>
  <c r="C686" i="1"/>
  <c r="D686" i="1"/>
  <c r="E686" i="1"/>
  <c r="F686" i="1"/>
  <c r="G686" i="1"/>
  <c r="H686" i="1"/>
  <c r="I686" i="1"/>
  <c r="J686" i="1"/>
  <c r="K686" i="1"/>
  <c r="L686" i="1"/>
  <c r="M686" i="1"/>
  <c r="N686" i="1"/>
  <c r="O686" i="1"/>
  <c r="P686" i="1"/>
  <c r="Q686" i="1"/>
  <c r="R686" i="1"/>
  <c r="S686" i="1"/>
  <c r="T686" i="1"/>
  <c r="U686" i="1"/>
  <c r="V686" i="1"/>
  <c r="W686" i="1"/>
  <c r="X686" i="1"/>
  <c r="Y686" i="1"/>
  <c r="Z686" i="1"/>
  <c r="AA686" i="1"/>
  <c r="AB686" i="1"/>
  <c r="A687" i="1"/>
  <c r="B687" i="1"/>
  <c r="C687" i="1"/>
  <c r="D687" i="1"/>
  <c r="E687" i="1"/>
  <c r="F687" i="1"/>
  <c r="G687" i="1"/>
  <c r="H687" i="1"/>
  <c r="I687" i="1"/>
  <c r="J687" i="1"/>
  <c r="K687" i="1"/>
  <c r="L687" i="1"/>
  <c r="M687" i="1"/>
  <c r="N687" i="1"/>
  <c r="O687" i="1"/>
  <c r="P687" i="1"/>
  <c r="Q687" i="1"/>
  <c r="R687" i="1"/>
  <c r="S687" i="1"/>
  <c r="T687" i="1"/>
  <c r="U687" i="1"/>
  <c r="V687" i="1"/>
  <c r="W687" i="1"/>
  <c r="X687" i="1"/>
  <c r="Y687" i="1"/>
  <c r="Z687" i="1"/>
  <c r="AA687" i="1"/>
  <c r="AB687" i="1"/>
  <c r="A688" i="1"/>
  <c r="B688" i="1"/>
  <c r="C688" i="1"/>
  <c r="D688" i="1"/>
  <c r="E688" i="1"/>
  <c r="F688" i="1"/>
  <c r="G688" i="1"/>
  <c r="H688" i="1"/>
  <c r="I688" i="1"/>
  <c r="J688" i="1"/>
  <c r="K688" i="1"/>
  <c r="L688" i="1"/>
  <c r="M688" i="1"/>
  <c r="N688" i="1"/>
  <c r="O688" i="1"/>
  <c r="P688" i="1"/>
  <c r="Q688" i="1"/>
  <c r="R688" i="1"/>
  <c r="S688" i="1"/>
  <c r="T688" i="1"/>
  <c r="U688" i="1"/>
  <c r="V688" i="1"/>
  <c r="W688" i="1"/>
  <c r="X688" i="1"/>
  <c r="Y688" i="1"/>
  <c r="Z688" i="1"/>
  <c r="AA688" i="1"/>
  <c r="AB688" i="1"/>
  <c r="A689" i="1"/>
  <c r="B689" i="1"/>
  <c r="C689" i="1"/>
  <c r="D689" i="1"/>
  <c r="E689" i="1"/>
  <c r="F689" i="1"/>
  <c r="G689" i="1"/>
  <c r="H689" i="1"/>
  <c r="I689" i="1"/>
  <c r="J689" i="1"/>
  <c r="K689" i="1"/>
  <c r="L689" i="1"/>
  <c r="M689" i="1"/>
  <c r="N689" i="1"/>
  <c r="O689" i="1"/>
  <c r="P689" i="1"/>
  <c r="Q689" i="1"/>
  <c r="R689" i="1"/>
  <c r="S689" i="1"/>
  <c r="T689" i="1"/>
  <c r="U689" i="1"/>
  <c r="V689" i="1"/>
  <c r="W689" i="1"/>
  <c r="X689" i="1"/>
  <c r="Y689" i="1"/>
  <c r="Z689" i="1"/>
  <c r="AA689" i="1"/>
  <c r="AB689" i="1"/>
  <c r="A690" i="1"/>
  <c r="B690" i="1"/>
  <c r="C690" i="1"/>
  <c r="D690" i="1"/>
  <c r="E690" i="1"/>
  <c r="F690" i="1"/>
  <c r="G690" i="1"/>
  <c r="H690" i="1"/>
  <c r="I690" i="1"/>
  <c r="J690" i="1"/>
  <c r="K690" i="1"/>
  <c r="L690" i="1"/>
  <c r="M690" i="1"/>
  <c r="N690" i="1"/>
  <c r="O690" i="1"/>
  <c r="P690" i="1"/>
  <c r="Q690" i="1"/>
  <c r="R690" i="1"/>
  <c r="S690" i="1"/>
  <c r="T690" i="1"/>
  <c r="U690" i="1"/>
  <c r="V690" i="1"/>
  <c r="W690" i="1"/>
  <c r="X690" i="1"/>
  <c r="Y690" i="1"/>
  <c r="Z690" i="1"/>
  <c r="AA690" i="1"/>
  <c r="AB690" i="1"/>
  <c r="A691" i="1"/>
  <c r="B691" i="1"/>
  <c r="C691" i="1"/>
  <c r="D691" i="1"/>
  <c r="E691" i="1"/>
  <c r="F691" i="1"/>
  <c r="G691" i="1"/>
  <c r="H691" i="1"/>
  <c r="I691" i="1"/>
  <c r="J691" i="1"/>
  <c r="K691" i="1"/>
  <c r="L691" i="1"/>
  <c r="M691" i="1"/>
  <c r="N691" i="1"/>
  <c r="O691" i="1"/>
  <c r="P691" i="1"/>
  <c r="Q691" i="1"/>
  <c r="R691" i="1"/>
  <c r="S691" i="1"/>
  <c r="T691" i="1"/>
  <c r="U691" i="1"/>
  <c r="V691" i="1"/>
  <c r="W691" i="1"/>
  <c r="X691" i="1"/>
  <c r="Y691" i="1"/>
  <c r="Z691" i="1"/>
  <c r="AA691" i="1"/>
  <c r="AB691" i="1"/>
  <c r="A692" i="1"/>
  <c r="B692" i="1"/>
  <c r="C692" i="1"/>
  <c r="D692" i="1"/>
  <c r="E692" i="1"/>
  <c r="F692" i="1"/>
  <c r="G692" i="1"/>
  <c r="H692" i="1"/>
  <c r="I692" i="1"/>
  <c r="J692" i="1"/>
  <c r="K692" i="1"/>
  <c r="L692" i="1"/>
  <c r="M692" i="1"/>
  <c r="N692" i="1"/>
  <c r="O692" i="1"/>
  <c r="P692" i="1"/>
  <c r="Q692" i="1"/>
  <c r="R692" i="1"/>
  <c r="S692" i="1"/>
  <c r="T692" i="1"/>
  <c r="U692" i="1"/>
  <c r="V692" i="1"/>
  <c r="W692" i="1"/>
  <c r="X692" i="1"/>
  <c r="Y692" i="1"/>
  <c r="Z692" i="1"/>
  <c r="AA692" i="1"/>
  <c r="AB692" i="1"/>
  <c r="A693" i="1"/>
  <c r="B693" i="1"/>
  <c r="C693" i="1"/>
  <c r="D693" i="1"/>
  <c r="E693" i="1"/>
  <c r="F693" i="1"/>
  <c r="G693" i="1"/>
  <c r="H693" i="1"/>
  <c r="I693" i="1"/>
  <c r="J693" i="1"/>
  <c r="K693" i="1"/>
  <c r="L693" i="1"/>
  <c r="M693" i="1"/>
  <c r="N693" i="1"/>
  <c r="O693" i="1"/>
  <c r="P693" i="1"/>
  <c r="Q693" i="1"/>
  <c r="R693" i="1"/>
  <c r="S693" i="1"/>
  <c r="T693" i="1"/>
  <c r="U693" i="1"/>
  <c r="V693" i="1"/>
  <c r="W693" i="1"/>
  <c r="X693" i="1"/>
  <c r="Y693" i="1"/>
  <c r="Z693" i="1"/>
  <c r="AA693" i="1"/>
  <c r="AB693" i="1"/>
  <c r="A694" i="1"/>
  <c r="B694" i="1"/>
  <c r="C694" i="1"/>
  <c r="D694" i="1"/>
  <c r="E694" i="1"/>
  <c r="F694" i="1"/>
  <c r="G694" i="1"/>
  <c r="H694" i="1"/>
  <c r="I694" i="1"/>
  <c r="J694" i="1"/>
  <c r="K694" i="1"/>
  <c r="L694" i="1"/>
  <c r="M694" i="1"/>
  <c r="N694" i="1"/>
  <c r="O694" i="1"/>
  <c r="P694" i="1"/>
  <c r="Q694" i="1"/>
  <c r="R694" i="1"/>
  <c r="S694" i="1"/>
  <c r="T694" i="1"/>
  <c r="U694" i="1"/>
  <c r="V694" i="1"/>
  <c r="W694" i="1"/>
  <c r="X694" i="1"/>
  <c r="Y694" i="1"/>
  <c r="Z694" i="1"/>
  <c r="AA694" i="1"/>
  <c r="AB694" i="1"/>
  <c r="A695" i="1"/>
  <c r="B695" i="1"/>
  <c r="C695" i="1"/>
  <c r="D695" i="1"/>
  <c r="E695" i="1"/>
  <c r="F695" i="1"/>
  <c r="G695" i="1"/>
  <c r="H695" i="1"/>
  <c r="I695" i="1"/>
  <c r="J695" i="1"/>
  <c r="K695" i="1"/>
  <c r="L695" i="1"/>
  <c r="M695" i="1"/>
  <c r="N695" i="1"/>
  <c r="O695" i="1"/>
  <c r="P695" i="1"/>
  <c r="Q695" i="1"/>
  <c r="R695" i="1"/>
  <c r="S695" i="1"/>
  <c r="T695" i="1"/>
  <c r="U695" i="1"/>
  <c r="V695" i="1"/>
  <c r="W695" i="1"/>
  <c r="X695" i="1"/>
  <c r="Y695" i="1"/>
  <c r="Z695" i="1"/>
  <c r="AA695" i="1"/>
  <c r="AB695" i="1"/>
  <c r="A696" i="1"/>
  <c r="B696" i="1"/>
  <c r="C696" i="1"/>
  <c r="D696" i="1"/>
  <c r="E696" i="1"/>
  <c r="F696" i="1"/>
  <c r="G696" i="1"/>
  <c r="H696" i="1"/>
  <c r="I696" i="1"/>
  <c r="J696" i="1"/>
  <c r="K696" i="1"/>
  <c r="L696" i="1"/>
  <c r="M696" i="1"/>
  <c r="N696" i="1"/>
  <c r="O696" i="1"/>
  <c r="P696" i="1"/>
  <c r="Q696" i="1"/>
  <c r="R696" i="1"/>
  <c r="S696" i="1"/>
  <c r="T696" i="1"/>
  <c r="U696" i="1"/>
  <c r="V696" i="1"/>
  <c r="W696" i="1"/>
  <c r="X696" i="1"/>
  <c r="Y696" i="1"/>
  <c r="Z696" i="1"/>
  <c r="AA696" i="1"/>
  <c r="AB696" i="1"/>
  <c r="A697" i="1"/>
  <c r="B697" i="1"/>
  <c r="C697" i="1"/>
  <c r="D697" i="1"/>
  <c r="E697" i="1"/>
  <c r="F697" i="1"/>
  <c r="G697" i="1"/>
  <c r="H697" i="1"/>
  <c r="I697" i="1"/>
  <c r="J697" i="1"/>
  <c r="K697" i="1"/>
  <c r="L697" i="1"/>
  <c r="M697" i="1"/>
  <c r="N697" i="1"/>
  <c r="O697" i="1"/>
  <c r="P697" i="1"/>
  <c r="Q697" i="1"/>
  <c r="R697" i="1"/>
  <c r="S697" i="1"/>
  <c r="T697" i="1"/>
  <c r="U697" i="1"/>
  <c r="V697" i="1"/>
  <c r="W697" i="1"/>
  <c r="X697" i="1"/>
  <c r="Y697" i="1"/>
  <c r="Z697" i="1"/>
  <c r="AA697" i="1"/>
  <c r="AB697" i="1"/>
  <c r="A698" i="1"/>
  <c r="B698" i="1"/>
  <c r="C698" i="1"/>
  <c r="D698" i="1"/>
  <c r="E698" i="1"/>
  <c r="F698" i="1"/>
  <c r="G698" i="1"/>
  <c r="H698" i="1"/>
  <c r="I698" i="1"/>
  <c r="J698" i="1"/>
  <c r="K698" i="1"/>
  <c r="L698" i="1"/>
  <c r="M698" i="1"/>
  <c r="N698" i="1"/>
  <c r="O698" i="1"/>
  <c r="P698" i="1"/>
  <c r="Q698" i="1"/>
  <c r="R698" i="1"/>
  <c r="S698" i="1"/>
  <c r="T698" i="1"/>
  <c r="U698" i="1"/>
  <c r="V698" i="1"/>
  <c r="W698" i="1"/>
  <c r="X698" i="1"/>
  <c r="Y698" i="1"/>
  <c r="Z698" i="1"/>
  <c r="AA698" i="1"/>
  <c r="AB698" i="1"/>
  <c r="A699" i="1"/>
  <c r="B699" i="1"/>
  <c r="C699" i="1"/>
  <c r="D699" i="1"/>
  <c r="E699" i="1"/>
  <c r="F699" i="1"/>
  <c r="G699" i="1"/>
  <c r="H699" i="1"/>
  <c r="I699" i="1"/>
  <c r="J699" i="1"/>
  <c r="K699" i="1"/>
  <c r="L699" i="1"/>
  <c r="M699" i="1"/>
  <c r="N699" i="1"/>
  <c r="O699" i="1"/>
  <c r="P699" i="1"/>
  <c r="Q699" i="1"/>
  <c r="R699" i="1"/>
  <c r="S699" i="1"/>
  <c r="T699" i="1"/>
  <c r="U699" i="1"/>
  <c r="V699" i="1"/>
  <c r="W699" i="1"/>
  <c r="X699" i="1"/>
  <c r="Y699" i="1"/>
  <c r="Z699" i="1"/>
  <c r="AA699" i="1"/>
  <c r="AB699" i="1"/>
  <c r="A700" i="1"/>
  <c r="B700" i="1"/>
  <c r="C700" i="1"/>
  <c r="D700" i="1"/>
  <c r="E700" i="1"/>
  <c r="F700" i="1"/>
  <c r="G700" i="1"/>
  <c r="H700" i="1"/>
  <c r="I700" i="1"/>
  <c r="J700" i="1"/>
  <c r="K700" i="1"/>
  <c r="L700" i="1"/>
  <c r="M700" i="1"/>
  <c r="N700" i="1"/>
  <c r="O700" i="1"/>
  <c r="P700" i="1"/>
  <c r="Q700" i="1"/>
  <c r="R700" i="1"/>
  <c r="S700" i="1"/>
  <c r="T700" i="1"/>
  <c r="U700" i="1"/>
  <c r="V700" i="1"/>
  <c r="W700" i="1"/>
  <c r="X700" i="1"/>
  <c r="Y700" i="1"/>
  <c r="Z700" i="1"/>
  <c r="AA700" i="1"/>
  <c r="AB700" i="1"/>
  <c r="A701" i="1"/>
  <c r="B701" i="1"/>
  <c r="C701" i="1"/>
  <c r="D701" i="1"/>
  <c r="E701" i="1"/>
  <c r="F701" i="1"/>
  <c r="G701" i="1"/>
  <c r="H701" i="1"/>
  <c r="I701" i="1"/>
  <c r="J701" i="1"/>
  <c r="K701" i="1"/>
  <c r="L701" i="1"/>
  <c r="M701" i="1"/>
  <c r="N701" i="1"/>
  <c r="O701" i="1"/>
  <c r="P701" i="1"/>
  <c r="Q701" i="1"/>
  <c r="R701" i="1"/>
  <c r="S701" i="1"/>
  <c r="T701" i="1"/>
  <c r="U701" i="1"/>
  <c r="V701" i="1"/>
  <c r="W701" i="1"/>
  <c r="X701" i="1"/>
  <c r="Y701" i="1"/>
  <c r="Z701" i="1"/>
  <c r="AA701" i="1"/>
  <c r="AB701" i="1"/>
  <c r="A702" i="1"/>
  <c r="B702" i="1"/>
  <c r="C702" i="1"/>
  <c r="D702" i="1"/>
  <c r="E702" i="1"/>
  <c r="F702" i="1"/>
  <c r="G702" i="1"/>
  <c r="H702" i="1"/>
  <c r="I702" i="1"/>
  <c r="J702" i="1"/>
  <c r="K702" i="1"/>
  <c r="L702" i="1"/>
  <c r="M702" i="1"/>
  <c r="N702" i="1"/>
  <c r="O702" i="1"/>
  <c r="P702" i="1"/>
  <c r="Q702" i="1"/>
  <c r="R702" i="1"/>
  <c r="S702" i="1"/>
  <c r="T702" i="1"/>
  <c r="U702" i="1"/>
  <c r="V702" i="1"/>
  <c r="W702" i="1"/>
  <c r="X702" i="1"/>
  <c r="Y702" i="1"/>
  <c r="Z702" i="1"/>
  <c r="AA702" i="1"/>
  <c r="AB702" i="1"/>
  <c r="A703" i="1"/>
  <c r="B703" i="1"/>
  <c r="C703" i="1"/>
  <c r="D703" i="1"/>
  <c r="E703" i="1"/>
  <c r="F703" i="1"/>
  <c r="G703" i="1"/>
  <c r="H703" i="1"/>
  <c r="I703" i="1"/>
  <c r="J703" i="1"/>
  <c r="K703" i="1"/>
  <c r="L703" i="1"/>
  <c r="M703" i="1"/>
  <c r="N703" i="1"/>
  <c r="O703" i="1"/>
  <c r="P703" i="1"/>
  <c r="Q703" i="1"/>
  <c r="R703" i="1"/>
  <c r="S703" i="1"/>
  <c r="T703" i="1"/>
  <c r="U703" i="1"/>
  <c r="V703" i="1"/>
  <c r="W703" i="1"/>
  <c r="X703" i="1"/>
  <c r="Y703" i="1"/>
  <c r="Z703" i="1"/>
  <c r="AA703" i="1"/>
  <c r="AB703" i="1"/>
  <c r="A704" i="1"/>
  <c r="B704" i="1"/>
  <c r="C704" i="1"/>
  <c r="D704" i="1"/>
  <c r="E704" i="1"/>
  <c r="F704" i="1"/>
  <c r="G704" i="1"/>
  <c r="H704" i="1"/>
  <c r="I704" i="1"/>
  <c r="J704" i="1"/>
  <c r="K704" i="1"/>
  <c r="L704" i="1"/>
  <c r="M704" i="1"/>
  <c r="N704" i="1"/>
  <c r="O704" i="1"/>
  <c r="P704" i="1"/>
  <c r="Q704" i="1"/>
  <c r="R704" i="1"/>
  <c r="S704" i="1"/>
  <c r="T704" i="1"/>
  <c r="U704" i="1"/>
  <c r="V704" i="1"/>
  <c r="W704" i="1"/>
  <c r="X704" i="1"/>
  <c r="Y704" i="1"/>
  <c r="Z704" i="1"/>
  <c r="AA704" i="1"/>
  <c r="AB704" i="1"/>
  <c r="A705" i="1"/>
  <c r="B705" i="1"/>
  <c r="C705" i="1"/>
  <c r="D705" i="1"/>
  <c r="E705" i="1"/>
  <c r="F705" i="1"/>
  <c r="G705" i="1"/>
  <c r="H705" i="1"/>
  <c r="I705" i="1"/>
  <c r="J705" i="1"/>
  <c r="K705" i="1"/>
  <c r="L705" i="1"/>
  <c r="M705" i="1"/>
  <c r="N705" i="1"/>
  <c r="O705" i="1"/>
  <c r="P705" i="1"/>
  <c r="Q705" i="1"/>
  <c r="R705" i="1"/>
  <c r="S705" i="1"/>
  <c r="T705" i="1"/>
  <c r="U705" i="1"/>
  <c r="V705" i="1"/>
  <c r="W705" i="1"/>
  <c r="X705" i="1"/>
  <c r="Y705" i="1"/>
  <c r="Z705" i="1"/>
  <c r="AA705" i="1"/>
  <c r="AB705" i="1"/>
  <c r="A706" i="1"/>
  <c r="B706" i="1"/>
  <c r="C706" i="1"/>
  <c r="D706" i="1"/>
  <c r="E706" i="1"/>
  <c r="F706" i="1"/>
  <c r="G706" i="1"/>
  <c r="H706" i="1"/>
  <c r="I706" i="1"/>
  <c r="J706" i="1"/>
  <c r="K706" i="1"/>
  <c r="L706" i="1"/>
  <c r="M706" i="1"/>
  <c r="N706" i="1"/>
  <c r="O706" i="1"/>
  <c r="P706" i="1"/>
  <c r="Q706" i="1"/>
  <c r="R706" i="1"/>
  <c r="S706" i="1"/>
  <c r="T706" i="1"/>
  <c r="U706" i="1"/>
  <c r="V706" i="1"/>
  <c r="W706" i="1"/>
  <c r="X706" i="1"/>
  <c r="Y706" i="1"/>
  <c r="Z706" i="1"/>
  <c r="AA706" i="1"/>
  <c r="AB706" i="1"/>
  <c r="A707" i="1"/>
  <c r="B707" i="1"/>
  <c r="C707" i="1"/>
  <c r="D707" i="1"/>
  <c r="E707" i="1"/>
  <c r="F707" i="1"/>
  <c r="G707" i="1"/>
  <c r="H707" i="1"/>
  <c r="I707" i="1"/>
  <c r="J707" i="1"/>
  <c r="K707" i="1"/>
  <c r="L707" i="1"/>
  <c r="M707" i="1"/>
  <c r="N707" i="1"/>
  <c r="O707" i="1"/>
  <c r="P707" i="1"/>
  <c r="Q707" i="1"/>
  <c r="R707" i="1"/>
  <c r="S707" i="1"/>
  <c r="T707" i="1"/>
  <c r="U707" i="1"/>
  <c r="V707" i="1"/>
  <c r="W707" i="1"/>
  <c r="X707" i="1"/>
  <c r="Y707" i="1"/>
  <c r="Z707" i="1"/>
  <c r="AA707" i="1"/>
  <c r="AB707" i="1"/>
  <c r="A708" i="1"/>
  <c r="B708" i="1"/>
  <c r="C708" i="1"/>
  <c r="D708" i="1"/>
  <c r="E708" i="1"/>
  <c r="F708" i="1"/>
  <c r="G708" i="1"/>
  <c r="H708" i="1"/>
  <c r="I708" i="1"/>
  <c r="J708" i="1"/>
  <c r="K708" i="1"/>
  <c r="L708" i="1"/>
  <c r="M708" i="1"/>
  <c r="N708" i="1"/>
  <c r="O708" i="1"/>
  <c r="P708" i="1"/>
  <c r="Q708" i="1"/>
  <c r="R708" i="1"/>
  <c r="S708" i="1"/>
  <c r="T708" i="1"/>
  <c r="U708" i="1"/>
  <c r="V708" i="1"/>
  <c r="W708" i="1"/>
  <c r="X708" i="1"/>
  <c r="Y708" i="1"/>
  <c r="Z708" i="1"/>
  <c r="AA708" i="1"/>
  <c r="AB708" i="1"/>
  <c r="A709" i="1"/>
  <c r="B709" i="1"/>
  <c r="C709" i="1"/>
  <c r="D709" i="1"/>
  <c r="E709" i="1"/>
  <c r="F709" i="1"/>
  <c r="G709" i="1"/>
  <c r="H709" i="1"/>
  <c r="I709" i="1"/>
  <c r="J709" i="1"/>
  <c r="K709" i="1"/>
  <c r="L709" i="1"/>
  <c r="M709" i="1"/>
  <c r="N709" i="1"/>
  <c r="O709" i="1"/>
  <c r="P709" i="1"/>
  <c r="Q709" i="1"/>
  <c r="R709" i="1"/>
  <c r="S709" i="1"/>
  <c r="T709" i="1"/>
  <c r="U709" i="1"/>
  <c r="V709" i="1"/>
  <c r="W709" i="1"/>
  <c r="X709" i="1"/>
  <c r="Y709" i="1"/>
  <c r="Z709" i="1"/>
  <c r="AA709" i="1"/>
  <c r="AB709" i="1"/>
  <c r="A710" i="1"/>
  <c r="B710" i="1"/>
  <c r="C710" i="1"/>
  <c r="D710" i="1"/>
  <c r="E710" i="1"/>
  <c r="F710" i="1"/>
  <c r="G710" i="1"/>
  <c r="H710" i="1"/>
  <c r="I710" i="1"/>
  <c r="J710" i="1"/>
  <c r="K710" i="1"/>
  <c r="L710" i="1"/>
  <c r="M710" i="1"/>
  <c r="N710" i="1"/>
  <c r="O710" i="1"/>
  <c r="P710" i="1"/>
  <c r="Q710" i="1"/>
  <c r="R710" i="1"/>
  <c r="S710" i="1"/>
  <c r="T710" i="1"/>
  <c r="U710" i="1"/>
  <c r="V710" i="1"/>
  <c r="W710" i="1"/>
  <c r="X710" i="1"/>
  <c r="Y710" i="1"/>
  <c r="Z710" i="1"/>
  <c r="AA710" i="1"/>
  <c r="AB710" i="1"/>
  <c r="A711" i="1"/>
  <c r="B711" i="1"/>
  <c r="C711" i="1"/>
  <c r="D711" i="1"/>
  <c r="E711" i="1"/>
  <c r="F711" i="1"/>
  <c r="G711" i="1"/>
  <c r="H711" i="1"/>
  <c r="I711" i="1"/>
  <c r="J711" i="1"/>
  <c r="K711" i="1"/>
  <c r="L711" i="1"/>
  <c r="M711" i="1"/>
  <c r="N711" i="1"/>
  <c r="O711" i="1"/>
  <c r="P711" i="1"/>
  <c r="Q711" i="1"/>
  <c r="R711" i="1"/>
  <c r="S711" i="1"/>
  <c r="T711" i="1"/>
  <c r="U711" i="1"/>
  <c r="V711" i="1"/>
  <c r="W711" i="1"/>
  <c r="X711" i="1"/>
  <c r="Y711" i="1"/>
  <c r="Z711" i="1"/>
  <c r="AA711" i="1"/>
  <c r="AB711" i="1"/>
  <c r="A712" i="1"/>
  <c r="B712" i="1"/>
  <c r="C712" i="1"/>
  <c r="D712" i="1"/>
  <c r="E712" i="1"/>
  <c r="F712" i="1"/>
  <c r="G712" i="1"/>
  <c r="H712" i="1"/>
  <c r="I712" i="1"/>
  <c r="J712" i="1"/>
  <c r="K712" i="1"/>
  <c r="L712" i="1"/>
  <c r="M712" i="1"/>
  <c r="N712" i="1"/>
  <c r="O712" i="1"/>
  <c r="P712" i="1"/>
  <c r="Q712" i="1"/>
  <c r="R712" i="1"/>
  <c r="S712" i="1"/>
  <c r="T712" i="1"/>
  <c r="U712" i="1"/>
  <c r="V712" i="1"/>
  <c r="W712" i="1"/>
  <c r="X712" i="1"/>
  <c r="Y712" i="1"/>
  <c r="Z712" i="1"/>
  <c r="AA712" i="1"/>
  <c r="AB712" i="1"/>
  <c r="A713" i="1"/>
  <c r="B713" i="1"/>
  <c r="C713" i="1"/>
  <c r="D713" i="1"/>
  <c r="E713" i="1"/>
  <c r="F713" i="1"/>
  <c r="G713" i="1"/>
  <c r="H713" i="1"/>
  <c r="I713" i="1"/>
  <c r="J713" i="1"/>
  <c r="K713" i="1"/>
  <c r="L713" i="1"/>
  <c r="M713" i="1"/>
  <c r="N713" i="1"/>
  <c r="O713" i="1"/>
  <c r="P713" i="1"/>
  <c r="Q713" i="1"/>
  <c r="R713" i="1"/>
  <c r="S713" i="1"/>
  <c r="T713" i="1"/>
  <c r="U713" i="1"/>
  <c r="V713" i="1"/>
  <c r="W713" i="1"/>
  <c r="X713" i="1"/>
  <c r="Y713" i="1"/>
  <c r="Z713" i="1"/>
  <c r="AA713" i="1"/>
  <c r="AB713" i="1"/>
  <c r="A714" i="1"/>
  <c r="B714" i="1"/>
  <c r="C714" i="1"/>
  <c r="D714" i="1"/>
  <c r="E714" i="1"/>
  <c r="F714" i="1"/>
  <c r="G714" i="1"/>
  <c r="H714" i="1"/>
  <c r="I714" i="1"/>
  <c r="J714" i="1"/>
  <c r="K714" i="1"/>
  <c r="L714" i="1"/>
  <c r="M714" i="1"/>
  <c r="N714" i="1"/>
  <c r="O714" i="1"/>
  <c r="P714" i="1"/>
  <c r="Q714" i="1"/>
  <c r="R714" i="1"/>
  <c r="S714" i="1"/>
  <c r="T714" i="1"/>
  <c r="U714" i="1"/>
  <c r="V714" i="1"/>
  <c r="W714" i="1"/>
  <c r="X714" i="1"/>
  <c r="Y714" i="1"/>
  <c r="Z714" i="1"/>
  <c r="AA714" i="1"/>
  <c r="AB714" i="1"/>
  <c r="A715" i="1"/>
  <c r="B715" i="1"/>
  <c r="C715" i="1"/>
  <c r="D715" i="1"/>
  <c r="E715" i="1"/>
  <c r="F715" i="1"/>
  <c r="G715" i="1"/>
  <c r="H715" i="1"/>
  <c r="I715" i="1"/>
  <c r="J715" i="1"/>
  <c r="K715" i="1"/>
  <c r="L715" i="1"/>
  <c r="M715" i="1"/>
  <c r="N715" i="1"/>
  <c r="O715" i="1"/>
  <c r="P715" i="1"/>
  <c r="Q715" i="1"/>
  <c r="R715" i="1"/>
  <c r="S715" i="1"/>
  <c r="T715" i="1"/>
  <c r="U715" i="1"/>
  <c r="V715" i="1"/>
  <c r="W715" i="1"/>
  <c r="X715" i="1"/>
  <c r="Y715" i="1"/>
  <c r="Z715" i="1"/>
  <c r="AA715" i="1"/>
  <c r="AB715" i="1"/>
  <c r="A716" i="1"/>
  <c r="B716" i="1"/>
  <c r="C716" i="1"/>
  <c r="D716" i="1"/>
  <c r="E716" i="1"/>
  <c r="F716" i="1"/>
  <c r="G716" i="1"/>
  <c r="H716" i="1"/>
  <c r="I716" i="1"/>
  <c r="J716" i="1"/>
  <c r="K716" i="1"/>
  <c r="L716" i="1"/>
  <c r="M716" i="1"/>
  <c r="N716" i="1"/>
  <c r="O716" i="1"/>
  <c r="P716" i="1"/>
  <c r="Q716" i="1"/>
  <c r="R716" i="1"/>
  <c r="S716" i="1"/>
  <c r="T716" i="1"/>
  <c r="U716" i="1"/>
  <c r="V716" i="1"/>
  <c r="W716" i="1"/>
  <c r="X716" i="1"/>
  <c r="Y716" i="1"/>
  <c r="Z716" i="1"/>
  <c r="AA716" i="1"/>
  <c r="AB716" i="1"/>
  <c r="A717" i="1"/>
  <c r="B717" i="1"/>
  <c r="C717" i="1"/>
  <c r="D717" i="1"/>
  <c r="E717" i="1"/>
  <c r="F717" i="1"/>
  <c r="G717" i="1"/>
  <c r="H717" i="1"/>
  <c r="I717" i="1"/>
  <c r="J717" i="1"/>
  <c r="K717" i="1"/>
  <c r="L717" i="1"/>
  <c r="M717" i="1"/>
  <c r="N717" i="1"/>
  <c r="O717" i="1"/>
  <c r="P717" i="1"/>
  <c r="Q717" i="1"/>
  <c r="R717" i="1"/>
  <c r="S717" i="1"/>
  <c r="T717" i="1"/>
  <c r="U717" i="1"/>
  <c r="V717" i="1"/>
  <c r="W717" i="1"/>
  <c r="X717" i="1"/>
  <c r="Y717" i="1"/>
  <c r="Z717" i="1"/>
  <c r="AA717" i="1"/>
  <c r="AB717" i="1"/>
  <c r="A718" i="1"/>
  <c r="B718" i="1"/>
  <c r="C718" i="1"/>
  <c r="D718" i="1"/>
  <c r="E718" i="1"/>
  <c r="F718" i="1"/>
  <c r="G718" i="1"/>
  <c r="H718" i="1"/>
  <c r="I718" i="1"/>
  <c r="J718" i="1"/>
  <c r="K718" i="1"/>
  <c r="L718" i="1"/>
  <c r="M718" i="1"/>
  <c r="N718" i="1"/>
  <c r="O718" i="1"/>
  <c r="P718" i="1"/>
  <c r="Q718" i="1"/>
  <c r="R718" i="1"/>
  <c r="S718" i="1"/>
  <c r="T718" i="1"/>
  <c r="U718" i="1"/>
  <c r="V718" i="1"/>
  <c r="W718" i="1"/>
  <c r="X718" i="1"/>
  <c r="Y718" i="1"/>
  <c r="Z718" i="1"/>
  <c r="AA718" i="1"/>
  <c r="AB718" i="1"/>
  <c r="A719" i="1"/>
  <c r="B719" i="1"/>
  <c r="C719" i="1"/>
  <c r="D719" i="1"/>
  <c r="E719" i="1"/>
  <c r="F719" i="1"/>
  <c r="G719" i="1"/>
  <c r="H719" i="1"/>
  <c r="I719" i="1"/>
  <c r="J719" i="1"/>
  <c r="K719" i="1"/>
  <c r="L719" i="1"/>
  <c r="M719" i="1"/>
  <c r="N719" i="1"/>
  <c r="O719" i="1"/>
  <c r="P719" i="1"/>
  <c r="Q719" i="1"/>
  <c r="R719" i="1"/>
  <c r="S719" i="1"/>
  <c r="T719" i="1"/>
  <c r="U719" i="1"/>
  <c r="V719" i="1"/>
  <c r="W719" i="1"/>
  <c r="X719" i="1"/>
  <c r="Y719" i="1"/>
  <c r="Z719" i="1"/>
  <c r="AA719" i="1"/>
  <c r="AB719" i="1"/>
  <c r="A720" i="1"/>
  <c r="B720" i="1"/>
  <c r="C720" i="1"/>
  <c r="D720" i="1"/>
  <c r="E720" i="1"/>
  <c r="F720" i="1"/>
  <c r="G720" i="1"/>
  <c r="H720" i="1"/>
  <c r="I720" i="1"/>
  <c r="J720" i="1"/>
  <c r="K720" i="1"/>
  <c r="L720" i="1"/>
  <c r="M720" i="1"/>
  <c r="N720" i="1"/>
  <c r="O720" i="1"/>
  <c r="P720" i="1"/>
  <c r="Q720" i="1"/>
  <c r="R720" i="1"/>
  <c r="S720" i="1"/>
  <c r="T720" i="1"/>
  <c r="U720" i="1"/>
  <c r="V720" i="1"/>
  <c r="W720" i="1"/>
  <c r="X720" i="1"/>
  <c r="Y720" i="1"/>
  <c r="Z720" i="1"/>
  <c r="AA720" i="1"/>
  <c r="AB720" i="1"/>
  <c r="A721" i="1"/>
  <c r="B721" i="1"/>
  <c r="C721" i="1"/>
  <c r="D721" i="1"/>
  <c r="E721" i="1"/>
  <c r="F721" i="1"/>
  <c r="G721" i="1"/>
  <c r="H721" i="1"/>
  <c r="I721" i="1"/>
  <c r="J721" i="1"/>
  <c r="K721" i="1"/>
  <c r="L721" i="1"/>
  <c r="M721" i="1"/>
  <c r="N721" i="1"/>
  <c r="O721" i="1"/>
  <c r="P721" i="1"/>
  <c r="Q721" i="1"/>
  <c r="R721" i="1"/>
  <c r="S721" i="1"/>
  <c r="T721" i="1"/>
  <c r="U721" i="1"/>
  <c r="V721" i="1"/>
  <c r="W721" i="1"/>
  <c r="X721" i="1"/>
  <c r="Y721" i="1"/>
  <c r="Z721" i="1"/>
  <c r="AA721" i="1"/>
  <c r="AB721" i="1"/>
  <c r="A722" i="1"/>
  <c r="B722" i="1"/>
  <c r="C722" i="1"/>
  <c r="D722" i="1"/>
  <c r="E722" i="1"/>
  <c r="F722" i="1"/>
  <c r="G722" i="1"/>
  <c r="H722" i="1"/>
  <c r="I722" i="1"/>
  <c r="J722" i="1"/>
  <c r="K722" i="1"/>
  <c r="L722" i="1"/>
  <c r="M722" i="1"/>
  <c r="N722" i="1"/>
  <c r="O722" i="1"/>
  <c r="P722" i="1"/>
  <c r="Q722" i="1"/>
  <c r="R722" i="1"/>
  <c r="S722" i="1"/>
  <c r="T722" i="1"/>
  <c r="U722" i="1"/>
  <c r="V722" i="1"/>
  <c r="W722" i="1"/>
  <c r="X722" i="1"/>
  <c r="Y722" i="1"/>
  <c r="Z722" i="1"/>
  <c r="AA722" i="1"/>
  <c r="AB722" i="1"/>
  <c r="A723" i="1"/>
  <c r="B723" i="1"/>
  <c r="C723" i="1"/>
  <c r="D723" i="1"/>
  <c r="E723" i="1"/>
  <c r="F723" i="1"/>
  <c r="G723" i="1"/>
  <c r="H723" i="1"/>
  <c r="I723" i="1"/>
  <c r="J723" i="1"/>
  <c r="K723" i="1"/>
  <c r="L723" i="1"/>
  <c r="M723" i="1"/>
  <c r="N723" i="1"/>
  <c r="O723" i="1"/>
  <c r="P723" i="1"/>
  <c r="Q723" i="1"/>
  <c r="R723" i="1"/>
  <c r="S723" i="1"/>
  <c r="T723" i="1"/>
  <c r="U723" i="1"/>
  <c r="V723" i="1"/>
  <c r="W723" i="1"/>
  <c r="X723" i="1"/>
  <c r="Y723" i="1"/>
  <c r="Z723" i="1"/>
  <c r="AA723" i="1"/>
  <c r="AB723" i="1"/>
  <c r="A724" i="1"/>
  <c r="B724" i="1"/>
  <c r="C724" i="1"/>
  <c r="D724" i="1"/>
  <c r="E724" i="1"/>
  <c r="F724" i="1"/>
  <c r="G724" i="1"/>
  <c r="H724" i="1"/>
  <c r="I724" i="1"/>
  <c r="J724" i="1"/>
  <c r="K724" i="1"/>
  <c r="L724" i="1"/>
  <c r="M724" i="1"/>
  <c r="N724" i="1"/>
  <c r="O724" i="1"/>
  <c r="P724" i="1"/>
  <c r="Q724" i="1"/>
  <c r="R724" i="1"/>
  <c r="S724" i="1"/>
  <c r="T724" i="1"/>
  <c r="U724" i="1"/>
  <c r="V724" i="1"/>
  <c r="W724" i="1"/>
  <c r="X724" i="1"/>
  <c r="Y724" i="1"/>
  <c r="Z724" i="1"/>
  <c r="AA724" i="1"/>
  <c r="AB724" i="1"/>
  <c r="A725" i="1"/>
  <c r="B725" i="1"/>
  <c r="C725" i="1"/>
  <c r="D725" i="1"/>
  <c r="E725" i="1"/>
  <c r="F725" i="1"/>
  <c r="G725" i="1"/>
  <c r="H725" i="1"/>
  <c r="I725" i="1"/>
  <c r="J725" i="1"/>
  <c r="K725" i="1"/>
  <c r="L725" i="1"/>
  <c r="M725" i="1"/>
  <c r="N725" i="1"/>
  <c r="O725" i="1"/>
  <c r="P725" i="1"/>
  <c r="Q725" i="1"/>
  <c r="R725" i="1"/>
  <c r="S725" i="1"/>
  <c r="T725" i="1"/>
  <c r="U725" i="1"/>
  <c r="V725" i="1"/>
  <c r="W725" i="1"/>
  <c r="X725" i="1"/>
  <c r="Y725" i="1"/>
  <c r="Z725" i="1"/>
  <c r="AA725" i="1"/>
  <c r="AB725" i="1"/>
  <c r="A726" i="1"/>
  <c r="B726" i="1"/>
  <c r="C726" i="1"/>
  <c r="D726" i="1"/>
  <c r="E726" i="1"/>
  <c r="F726" i="1"/>
  <c r="G726" i="1"/>
  <c r="H726" i="1"/>
  <c r="I726" i="1"/>
  <c r="J726" i="1"/>
  <c r="K726" i="1"/>
  <c r="L726" i="1"/>
  <c r="M726" i="1"/>
  <c r="N726" i="1"/>
  <c r="O726" i="1"/>
  <c r="P726" i="1"/>
  <c r="Q726" i="1"/>
  <c r="R726" i="1"/>
  <c r="S726" i="1"/>
  <c r="T726" i="1"/>
  <c r="U726" i="1"/>
  <c r="V726" i="1"/>
  <c r="W726" i="1"/>
  <c r="X726" i="1"/>
  <c r="Y726" i="1"/>
  <c r="Z726" i="1"/>
  <c r="AA726" i="1"/>
  <c r="AB726" i="1"/>
  <c r="A727" i="1"/>
  <c r="B727" i="1"/>
  <c r="C727" i="1"/>
  <c r="D727" i="1"/>
  <c r="E727" i="1"/>
  <c r="F727" i="1"/>
  <c r="G727" i="1"/>
  <c r="H727" i="1"/>
  <c r="I727" i="1"/>
  <c r="J727" i="1"/>
  <c r="K727" i="1"/>
  <c r="L727" i="1"/>
  <c r="M727" i="1"/>
  <c r="N727" i="1"/>
  <c r="O727" i="1"/>
  <c r="P727" i="1"/>
  <c r="Q727" i="1"/>
  <c r="R727" i="1"/>
  <c r="S727" i="1"/>
  <c r="T727" i="1"/>
  <c r="U727" i="1"/>
  <c r="V727" i="1"/>
  <c r="W727" i="1"/>
  <c r="X727" i="1"/>
  <c r="Y727" i="1"/>
  <c r="Z727" i="1"/>
  <c r="AA727" i="1"/>
  <c r="AB727" i="1"/>
  <c r="A728" i="1"/>
  <c r="B728" i="1"/>
  <c r="C728" i="1"/>
  <c r="D728" i="1"/>
  <c r="E728" i="1"/>
  <c r="F728" i="1"/>
  <c r="G728" i="1"/>
  <c r="H728" i="1"/>
  <c r="I728" i="1"/>
  <c r="J728" i="1"/>
  <c r="K728" i="1"/>
  <c r="L728" i="1"/>
  <c r="M728" i="1"/>
  <c r="N728" i="1"/>
  <c r="O728" i="1"/>
  <c r="P728" i="1"/>
  <c r="Q728" i="1"/>
  <c r="R728" i="1"/>
  <c r="S728" i="1"/>
  <c r="T728" i="1"/>
  <c r="U728" i="1"/>
  <c r="V728" i="1"/>
  <c r="W728" i="1"/>
  <c r="X728" i="1"/>
  <c r="Y728" i="1"/>
  <c r="Z728" i="1"/>
  <c r="AA728" i="1"/>
  <c r="AB728" i="1"/>
  <c r="A729" i="1"/>
  <c r="B729" i="1"/>
  <c r="C729" i="1"/>
  <c r="D729" i="1"/>
  <c r="E729" i="1"/>
  <c r="F729" i="1"/>
  <c r="G729" i="1"/>
  <c r="H729" i="1"/>
  <c r="I729" i="1"/>
  <c r="J729" i="1"/>
  <c r="K729" i="1"/>
  <c r="L729" i="1"/>
  <c r="M729" i="1"/>
  <c r="N729" i="1"/>
  <c r="O729" i="1"/>
  <c r="P729" i="1"/>
  <c r="Q729" i="1"/>
  <c r="R729" i="1"/>
  <c r="S729" i="1"/>
  <c r="T729" i="1"/>
  <c r="U729" i="1"/>
  <c r="V729" i="1"/>
  <c r="W729" i="1"/>
  <c r="X729" i="1"/>
  <c r="Y729" i="1"/>
  <c r="Z729" i="1"/>
  <c r="AA729" i="1"/>
  <c r="AB729" i="1"/>
  <c r="A730" i="1"/>
  <c r="B730" i="1"/>
  <c r="C730" i="1"/>
  <c r="D730" i="1"/>
  <c r="E730" i="1"/>
  <c r="F730" i="1"/>
  <c r="G730" i="1"/>
  <c r="H730" i="1"/>
  <c r="I730" i="1"/>
  <c r="J730" i="1"/>
  <c r="K730" i="1"/>
  <c r="L730" i="1"/>
  <c r="M730" i="1"/>
  <c r="N730" i="1"/>
  <c r="O730" i="1"/>
  <c r="P730" i="1"/>
  <c r="Q730" i="1"/>
  <c r="R730" i="1"/>
  <c r="S730" i="1"/>
  <c r="T730" i="1"/>
  <c r="U730" i="1"/>
  <c r="V730" i="1"/>
  <c r="W730" i="1"/>
  <c r="X730" i="1"/>
  <c r="Y730" i="1"/>
  <c r="Z730" i="1"/>
  <c r="AA730" i="1"/>
  <c r="AB730" i="1"/>
  <c r="A731" i="1"/>
  <c r="B731" i="1"/>
  <c r="C731" i="1"/>
  <c r="D731" i="1"/>
  <c r="E731" i="1"/>
  <c r="F731" i="1"/>
  <c r="G731" i="1"/>
  <c r="H731" i="1"/>
  <c r="I731" i="1"/>
  <c r="J731" i="1"/>
  <c r="K731" i="1"/>
  <c r="L731" i="1"/>
  <c r="M731" i="1"/>
  <c r="N731" i="1"/>
  <c r="O731" i="1"/>
  <c r="P731" i="1"/>
  <c r="Q731" i="1"/>
  <c r="R731" i="1"/>
  <c r="S731" i="1"/>
  <c r="T731" i="1"/>
  <c r="U731" i="1"/>
  <c r="V731" i="1"/>
  <c r="W731" i="1"/>
  <c r="X731" i="1"/>
  <c r="Y731" i="1"/>
  <c r="Z731" i="1"/>
  <c r="AA731" i="1"/>
  <c r="AB731" i="1"/>
  <c r="A732" i="1"/>
  <c r="B732" i="1"/>
  <c r="C732" i="1"/>
  <c r="D732" i="1"/>
  <c r="E732" i="1"/>
  <c r="F732" i="1"/>
  <c r="G732" i="1"/>
  <c r="H732" i="1"/>
  <c r="I732" i="1"/>
  <c r="J732" i="1"/>
  <c r="K732" i="1"/>
  <c r="L732" i="1"/>
  <c r="M732" i="1"/>
  <c r="N732" i="1"/>
  <c r="O732" i="1"/>
  <c r="P732" i="1"/>
  <c r="Q732" i="1"/>
  <c r="R732" i="1"/>
  <c r="S732" i="1"/>
  <c r="T732" i="1"/>
  <c r="U732" i="1"/>
  <c r="V732" i="1"/>
  <c r="W732" i="1"/>
  <c r="X732" i="1"/>
  <c r="Y732" i="1"/>
  <c r="Z732" i="1"/>
  <c r="AA732" i="1"/>
  <c r="AB732" i="1"/>
  <c r="A733" i="1"/>
  <c r="B733" i="1"/>
  <c r="C733" i="1"/>
  <c r="D733" i="1"/>
  <c r="E733" i="1"/>
  <c r="F733" i="1"/>
  <c r="G733" i="1"/>
  <c r="H733" i="1"/>
  <c r="I733" i="1"/>
  <c r="J733" i="1"/>
  <c r="K733" i="1"/>
  <c r="L733" i="1"/>
  <c r="M733" i="1"/>
  <c r="N733" i="1"/>
  <c r="O733" i="1"/>
  <c r="P733" i="1"/>
  <c r="Q733" i="1"/>
  <c r="R733" i="1"/>
  <c r="S733" i="1"/>
  <c r="T733" i="1"/>
  <c r="U733" i="1"/>
  <c r="V733" i="1"/>
  <c r="W733" i="1"/>
  <c r="X733" i="1"/>
  <c r="Y733" i="1"/>
  <c r="Z733" i="1"/>
  <c r="AA733" i="1"/>
  <c r="AB733" i="1"/>
  <c r="A734" i="1"/>
  <c r="B734" i="1"/>
  <c r="C734" i="1"/>
  <c r="D734" i="1"/>
  <c r="E734" i="1"/>
  <c r="F734" i="1"/>
  <c r="G734" i="1"/>
  <c r="H734" i="1"/>
  <c r="I734" i="1"/>
  <c r="J734" i="1"/>
  <c r="K734" i="1"/>
  <c r="L734" i="1"/>
  <c r="M734" i="1"/>
  <c r="N734" i="1"/>
  <c r="O734" i="1"/>
  <c r="P734" i="1"/>
  <c r="Q734" i="1"/>
  <c r="R734" i="1"/>
  <c r="S734" i="1"/>
  <c r="T734" i="1"/>
  <c r="U734" i="1"/>
  <c r="V734" i="1"/>
  <c r="W734" i="1"/>
  <c r="X734" i="1"/>
  <c r="Y734" i="1"/>
  <c r="Z734" i="1"/>
  <c r="AA734" i="1"/>
  <c r="AB734" i="1"/>
  <c r="A735" i="1"/>
  <c r="B735" i="1"/>
  <c r="C735" i="1"/>
  <c r="D735" i="1"/>
  <c r="E735" i="1"/>
  <c r="F735" i="1"/>
  <c r="G735" i="1"/>
  <c r="H735" i="1"/>
  <c r="I735" i="1"/>
  <c r="J735" i="1"/>
  <c r="K735" i="1"/>
  <c r="L735" i="1"/>
  <c r="M735" i="1"/>
  <c r="N735" i="1"/>
  <c r="O735" i="1"/>
  <c r="P735" i="1"/>
  <c r="Q735" i="1"/>
  <c r="R735" i="1"/>
  <c r="S735" i="1"/>
  <c r="T735" i="1"/>
  <c r="U735" i="1"/>
  <c r="V735" i="1"/>
  <c r="W735" i="1"/>
  <c r="X735" i="1"/>
  <c r="Y735" i="1"/>
  <c r="Z735" i="1"/>
  <c r="AA735" i="1"/>
  <c r="AB735" i="1"/>
  <c r="A736" i="1"/>
  <c r="B736" i="1"/>
  <c r="C736" i="1"/>
  <c r="D736" i="1"/>
  <c r="E736" i="1"/>
  <c r="F736" i="1"/>
  <c r="G736" i="1"/>
  <c r="H736" i="1"/>
  <c r="I736" i="1"/>
  <c r="J736" i="1"/>
  <c r="K736" i="1"/>
  <c r="L736" i="1"/>
  <c r="M736" i="1"/>
  <c r="N736" i="1"/>
  <c r="O736" i="1"/>
  <c r="P736" i="1"/>
  <c r="Q736" i="1"/>
  <c r="R736" i="1"/>
  <c r="S736" i="1"/>
  <c r="T736" i="1"/>
  <c r="U736" i="1"/>
  <c r="V736" i="1"/>
  <c r="W736" i="1"/>
  <c r="X736" i="1"/>
  <c r="Y736" i="1"/>
  <c r="Z736" i="1"/>
  <c r="AA736" i="1"/>
  <c r="AB736" i="1"/>
  <c r="A737" i="1"/>
  <c r="B737" i="1"/>
  <c r="C737" i="1"/>
  <c r="D737" i="1"/>
  <c r="E737" i="1"/>
  <c r="F737" i="1"/>
  <c r="G737" i="1"/>
  <c r="H737" i="1"/>
  <c r="I737" i="1"/>
  <c r="J737" i="1"/>
  <c r="K737" i="1"/>
  <c r="L737" i="1"/>
  <c r="M737" i="1"/>
  <c r="N737" i="1"/>
  <c r="O737" i="1"/>
  <c r="P737" i="1"/>
  <c r="Q737" i="1"/>
  <c r="R737" i="1"/>
  <c r="S737" i="1"/>
  <c r="T737" i="1"/>
  <c r="U737" i="1"/>
  <c r="V737" i="1"/>
  <c r="W737" i="1"/>
  <c r="X737" i="1"/>
  <c r="Y737" i="1"/>
  <c r="Z737" i="1"/>
  <c r="AA737" i="1"/>
  <c r="AB737" i="1"/>
  <c r="A738" i="1"/>
  <c r="B738" i="1"/>
  <c r="C738" i="1"/>
  <c r="D738" i="1"/>
  <c r="E738" i="1"/>
  <c r="F738" i="1"/>
  <c r="G738" i="1"/>
  <c r="H738" i="1"/>
  <c r="I738" i="1"/>
  <c r="J738" i="1"/>
  <c r="K738" i="1"/>
  <c r="L738" i="1"/>
  <c r="M738" i="1"/>
  <c r="N738" i="1"/>
  <c r="O738" i="1"/>
  <c r="P738" i="1"/>
  <c r="Q738" i="1"/>
  <c r="R738" i="1"/>
  <c r="S738" i="1"/>
  <c r="T738" i="1"/>
  <c r="U738" i="1"/>
  <c r="V738" i="1"/>
  <c r="W738" i="1"/>
  <c r="X738" i="1"/>
  <c r="Y738" i="1"/>
  <c r="Z738" i="1"/>
  <c r="AA738" i="1"/>
  <c r="AB738" i="1"/>
  <c r="A739" i="1"/>
  <c r="B739" i="1"/>
  <c r="C739" i="1"/>
  <c r="D739" i="1"/>
  <c r="E739" i="1"/>
  <c r="F739" i="1"/>
  <c r="G739" i="1"/>
  <c r="H739" i="1"/>
  <c r="I739" i="1"/>
  <c r="J739" i="1"/>
  <c r="K739" i="1"/>
  <c r="L739" i="1"/>
  <c r="M739" i="1"/>
  <c r="N739" i="1"/>
  <c r="O739" i="1"/>
  <c r="P739" i="1"/>
  <c r="Q739" i="1"/>
  <c r="R739" i="1"/>
  <c r="S739" i="1"/>
  <c r="T739" i="1"/>
  <c r="U739" i="1"/>
  <c r="V739" i="1"/>
  <c r="W739" i="1"/>
  <c r="X739" i="1"/>
  <c r="Y739" i="1"/>
  <c r="Z739" i="1"/>
  <c r="AA739" i="1"/>
  <c r="AB739" i="1"/>
  <c r="A740" i="1"/>
  <c r="B740" i="1"/>
  <c r="C740" i="1"/>
  <c r="D740" i="1"/>
  <c r="E740" i="1"/>
  <c r="F740" i="1"/>
  <c r="G740" i="1"/>
  <c r="H740" i="1"/>
  <c r="I740" i="1"/>
  <c r="J740" i="1"/>
  <c r="K740" i="1"/>
  <c r="L740" i="1"/>
  <c r="M740" i="1"/>
  <c r="N740" i="1"/>
  <c r="O740" i="1"/>
  <c r="P740" i="1"/>
  <c r="Q740" i="1"/>
  <c r="R740" i="1"/>
  <c r="S740" i="1"/>
  <c r="T740" i="1"/>
  <c r="U740" i="1"/>
  <c r="V740" i="1"/>
  <c r="W740" i="1"/>
  <c r="X740" i="1"/>
  <c r="Y740" i="1"/>
  <c r="Z740" i="1"/>
  <c r="AA740" i="1"/>
  <c r="AB740" i="1"/>
  <c r="A741" i="1"/>
  <c r="B741" i="1"/>
  <c r="C741" i="1"/>
  <c r="D741" i="1"/>
  <c r="E741" i="1"/>
  <c r="F741" i="1"/>
  <c r="G741" i="1"/>
  <c r="H741" i="1"/>
  <c r="I741" i="1"/>
  <c r="J741" i="1"/>
  <c r="K741" i="1"/>
  <c r="L741" i="1"/>
  <c r="M741" i="1"/>
  <c r="N741" i="1"/>
  <c r="O741" i="1"/>
  <c r="P741" i="1"/>
  <c r="Q741" i="1"/>
  <c r="R741" i="1"/>
  <c r="S741" i="1"/>
  <c r="T741" i="1"/>
  <c r="U741" i="1"/>
  <c r="V741" i="1"/>
  <c r="W741" i="1"/>
  <c r="X741" i="1"/>
  <c r="Y741" i="1"/>
  <c r="Z741" i="1"/>
  <c r="AA741" i="1"/>
  <c r="AB741" i="1"/>
  <c r="A742" i="1"/>
  <c r="B742" i="1"/>
  <c r="C742" i="1"/>
  <c r="D742" i="1"/>
  <c r="E742" i="1"/>
  <c r="F742" i="1"/>
  <c r="G742" i="1"/>
  <c r="H742" i="1"/>
  <c r="I742" i="1"/>
  <c r="J742" i="1"/>
  <c r="K742" i="1"/>
  <c r="L742" i="1"/>
  <c r="M742" i="1"/>
  <c r="N742" i="1"/>
  <c r="O742" i="1"/>
  <c r="P742" i="1"/>
  <c r="Q742" i="1"/>
  <c r="R742" i="1"/>
  <c r="S742" i="1"/>
  <c r="T742" i="1"/>
  <c r="U742" i="1"/>
  <c r="V742" i="1"/>
  <c r="W742" i="1"/>
  <c r="X742" i="1"/>
  <c r="Y742" i="1"/>
  <c r="Z742" i="1"/>
  <c r="AA742" i="1"/>
  <c r="AB742" i="1"/>
  <c r="A743" i="1"/>
  <c r="B743" i="1"/>
  <c r="C743" i="1"/>
  <c r="D743" i="1"/>
  <c r="E743" i="1"/>
  <c r="F743" i="1"/>
  <c r="G743" i="1"/>
  <c r="H743" i="1"/>
  <c r="I743" i="1"/>
  <c r="J743" i="1"/>
  <c r="K743" i="1"/>
  <c r="L743" i="1"/>
  <c r="M743" i="1"/>
  <c r="N743" i="1"/>
  <c r="O743" i="1"/>
  <c r="P743" i="1"/>
  <c r="Q743" i="1"/>
  <c r="R743" i="1"/>
  <c r="S743" i="1"/>
  <c r="T743" i="1"/>
  <c r="U743" i="1"/>
  <c r="V743" i="1"/>
  <c r="W743" i="1"/>
  <c r="X743" i="1"/>
  <c r="Y743" i="1"/>
  <c r="Z743" i="1"/>
  <c r="AA743" i="1"/>
  <c r="AB743" i="1"/>
  <c r="A744" i="1"/>
  <c r="B744" i="1"/>
  <c r="C744" i="1"/>
  <c r="D744" i="1"/>
  <c r="E744" i="1"/>
  <c r="F744" i="1"/>
  <c r="G744" i="1"/>
  <c r="H744" i="1"/>
  <c r="I744" i="1"/>
  <c r="J744" i="1"/>
  <c r="K744" i="1"/>
  <c r="L744" i="1"/>
  <c r="M744" i="1"/>
  <c r="N744" i="1"/>
  <c r="O744" i="1"/>
  <c r="P744" i="1"/>
  <c r="Q744" i="1"/>
  <c r="R744" i="1"/>
  <c r="S744" i="1"/>
  <c r="T744" i="1"/>
  <c r="U744" i="1"/>
  <c r="V744" i="1"/>
  <c r="W744" i="1"/>
  <c r="X744" i="1"/>
  <c r="Y744" i="1"/>
  <c r="Z744" i="1"/>
  <c r="AA744" i="1"/>
  <c r="AB744" i="1"/>
  <c r="A745" i="1"/>
  <c r="B745" i="1"/>
  <c r="C745" i="1"/>
  <c r="D745" i="1"/>
  <c r="E745" i="1"/>
  <c r="F745" i="1"/>
  <c r="G745" i="1"/>
  <c r="H745" i="1"/>
  <c r="I745" i="1"/>
  <c r="J745" i="1"/>
  <c r="K745" i="1"/>
  <c r="L745" i="1"/>
  <c r="M745" i="1"/>
  <c r="N745" i="1"/>
  <c r="O745" i="1"/>
  <c r="P745" i="1"/>
  <c r="Q745" i="1"/>
  <c r="R745" i="1"/>
  <c r="S745" i="1"/>
  <c r="T745" i="1"/>
  <c r="U745" i="1"/>
  <c r="V745" i="1"/>
  <c r="W745" i="1"/>
  <c r="X745" i="1"/>
  <c r="Y745" i="1"/>
  <c r="Z745" i="1"/>
  <c r="AA745" i="1"/>
  <c r="AB745" i="1"/>
  <c r="A746" i="1"/>
  <c r="B746" i="1"/>
  <c r="C746" i="1"/>
  <c r="D746" i="1"/>
  <c r="E746" i="1"/>
  <c r="F746" i="1"/>
  <c r="G746" i="1"/>
  <c r="H746" i="1"/>
  <c r="I746" i="1"/>
  <c r="J746" i="1"/>
  <c r="K746" i="1"/>
  <c r="L746" i="1"/>
  <c r="M746" i="1"/>
  <c r="N746" i="1"/>
  <c r="O746" i="1"/>
  <c r="P746" i="1"/>
  <c r="Q746" i="1"/>
  <c r="R746" i="1"/>
  <c r="S746" i="1"/>
  <c r="T746" i="1"/>
  <c r="U746" i="1"/>
  <c r="V746" i="1"/>
  <c r="W746" i="1"/>
  <c r="X746" i="1"/>
  <c r="Y746" i="1"/>
  <c r="Z746" i="1"/>
  <c r="AA746" i="1"/>
  <c r="AB746" i="1"/>
  <c r="A747" i="1"/>
  <c r="B747" i="1"/>
  <c r="C747" i="1"/>
  <c r="D747" i="1"/>
  <c r="E747" i="1"/>
  <c r="F747" i="1"/>
  <c r="G747" i="1"/>
  <c r="H747" i="1"/>
  <c r="I747" i="1"/>
  <c r="J747" i="1"/>
  <c r="K747" i="1"/>
  <c r="L747" i="1"/>
  <c r="M747" i="1"/>
  <c r="N747" i="1"/>
  <c r="O747" i="1"/>
  <c r="P747" i="1"/>
  <c r="Q747" i="1"/>
  <c r="R747" i="1"/>
  <c r="S747" i="1"/>
  <c r="T747" i="1"/>
  <c r="U747" i="1"/>
  <c r="V747" i="1"/>
  <c r="W747" i="1"/>
  <c r="X747" i="1"/>
  <c r="Y747" i="1"/>
  <c r="Z747" i="1"/>
  <c r="AA747" i="1"/>
  <c r="AB747" i="1"/>
  <c r="A748" i="1"/>
  <c r="B748" i="1"/>
  <c r="C748" i="1"/>
  <c r="D748" i="1"/>
  <c r="E748" i="1"/>
  <c r="F748" i="1"/>
  <c r="G748" i="1"/>
  <c r="H748" i="1"/>
  <c r="I748" i="1"/>
  <c r="J748" i="1"/>
  <c r="K748" i="1"/>
  <c r="L748" i="1"/>
  <c r="M748" i="1"/>
  <c r="N748" i="1"/>
  <c r="O748" i="1"/>
  <c r="P748" i="1"/>
  <c r="Q748" i="1"/>
  <c r="R748" i="1"/>
  <c r="S748" i="1"/>
  <c r="T748" i="1"/>
  <c r="U748" i="1"/>
  <c r="V748" i="1"/>
  <c r="W748" i="1"/>
  <c r="X748" i="1"/>
  <c r="Y748" i="1"/>
  <c r="Z748" i="1"/>
  <c r="AA748" i="1"/>
  <c r="AB748" i="1"/>
  <c r="A749" i="1"/>
  <c r="B749" i="1"/>
  <c r="C749" i="1"/>
  <c r="D749" i="1"/>
  <c r="E749" i="1"/>
  <c r="F749" i="1"/>
  <c r="G749" i="1"/>
  <c r="H749" i="1"/>
  <c r="I749" i="1"/>
  <c r="J749" i="1"/>
  <c r="K749" i="1"/>
  <c r="L749" i="1"/>
  <c r="M749" i="1"/>
  <c r="N749" i="1"/>
  <c r="O749" i="1"/>
  <c r="P749" i="1"/>
  <c r="Q749" i="1"/>
  <c r="R749" i="1"/>
  <c r="S749" i="1"/>
  <c r="T749" i="1"/>
  <c r="U749" i="1"/>
  <c r="V749" i="1"/>
  <c r="W749" i="1"/>
  <c r="X749" i="1"/>
  <c r="Y749" i="1"/>
  <c r="Z749" i="1"/>
  <c r="AA749" i="1"/>
  <c r="AB749" i="1"/>
  <c r="A750" i="1"/>
  <c r="B750" i="1"/>
  <c r="C750" i="1"/>
  <c r="D750" i="1"/>
  <c r="E750" i="1"/>
  <c r="F750" i="1"/>
  <c r="G750" i="1"/>
  <c r="H750" i="1"/>
  <c r="I750" i="1"/>
  <c r="J750" i="1"/>
  <c r="K750" i="1"/>
  <c r="L750" i="1"/>
  <c r="M750" i="1"/>
  <c r="N750" i="1"/>
  <c r="O750" i="1"/>
  <c r="P750" i="1"/>
  <c r="Q750" i="1"/>
  <c r="R750" i="1"/>
  <c r="S750" i="1"/>
  <c r="T750" i="1"/>
  <c r="U750" i="1"/>
  <c r="V750" i="1"/>
  <c r="W750" i="1"/>
  <c r="X750" i="1"/>
  <c r="Y750" i="1"/>
  <c r="Z750" i="1"/>
  <c r="AA750" i="1"/>
  <c r="AB750" i="1"/>
  <c r="A751" i="1"/>
  <c r="B751" i="1"/>
  <c r="C751" i="1"/>
  <c r="D751" i="1"/>
  <c r="E751" i="1"/>
  <c r="F751" i="1"/>
  <c r="G751" i="1"/>
  <c r="H751" i="1"/>
  <c r="I751" i="1"/>
  <c r="J751" i="1"/>
  <c r="K751" i="1"/>
  <c r="L751" i="1"/>
  <c r="M751" i="1"/>
  <c r="N751" i="1"/>
  <c r="O751" i="1"/>
  <c r="P751" i="1"/>
  <c r="Q751" i="1"/>
  <c r="R751" i="1"/>
  <c r="S751" i="1"/>
  <c r="T751" i="1"/>
  <c r="U751" i="1"/>
  <c r="V751" i="1"/>
  <c r="W751" i="1"/>
  <c r="X751" i="1"/>
  <c r="Y751" i="1"/>
  <c r="Z751" i="1"/>
  <c r="AA751" i="1"/>
  <c r="AB751" i="1"/>
  <c r="A752" i="1"/>
  <c r="B752" i="1"/>
  <c r="C752" i="1"/>
  <c r="D752" i="1"/>
  <c r="E752" i="1"/>
  <c r="F752" i="1"/>
  <c r="G752" i="1"/>
  <c r="H752" i="1"/>
  <c r="I752" i="1"/>
  <c r="J752" i="1"/>
  <c r="K752" i="1"/>
  <c r="L752" i="1"/>
  <c r="M752" i="1"/>
  <c r="N752" i="1"/>
  <c r="O752" i="1"/>
  <c r="P752" i="1"/>
  <c r="Q752" i="1"/>
  <c r="R752" i="1"/>
  <c r="S752" i="1"/>
  <c r="T752" i="1"/>
  <c r="U752" i="1"/>
  <c r="V752" i="1"/>
  <c r="W752" i="1"/>
  <c r="X752" i="1"/>
  <c r="Y752" i="1"/>
  <c r="Z752" i="1"/>
  <c r="AA752" i="1"/>
  <c r="AB752" i="1"/>
  <c r="A753" i="1"/>
  <c r="B753" i="1"/>
  <c r="C753" i="1"/>
  <c r="D753" i="1"/>
  <c r="E753" i="1"/>
  <c r="F753" i="1"/>
  <c r="G753" i="1"/>
  <c r="H753" i="1"/>
  <c r="I753" i="1"/>
  <c r="J753" i="1"/>
  <c r="K753" i="1"/>
  <c r="L753" i="1"/>
  <c r="M753" i="1"/>
  <c r="N753" i="1"/>
  <c r="O753" i="1"/>
  <c r="P753" i="1"/>
  <c r="Q753" i="1"/>
  <c r="R753" i="1"/>
  <c r="S753" i="1"/>
  <c r="T753" i="1"/>
  <c r="U753" i="1"/>
  <c r="V753" i="1"/>
  <c r="W753" i="1"/>
  <c r="X753" i="1"/>
  <c r="Y753" i="1"/>
  <c r="Z753" i="1"/>
  <c r="AA753" i="1"/>
  <c r="AB753" i="1"/>
  <c r="A754" i="1"/>
  <c r="B754" i="1"/>
  <c r="C754" i="1"/>
  <c r="D754" i="1"/>
  <c r="E754" i="1"/>
  <c r="F754" i="1"/>
  <c r="G754" i="1"/>
  <c r="H754" i="1"/>
  <c r="I754" i="1"/>
  <c r="J754" i="1"/>
  <c r="K754" i="1"/>
  <c r="L754" i="1"/>
  <c r="M754" i="1"/>
  <c r="N754" i="1"/>
  <c r="O754" i="1"/>
  <c r="P754" i="1"/>
  <c r="Q754" i="1"/>
  <c r="R754" i="1"/>
  <c r="S754" i="1"/>
  <c r="T754" i="1"/>
  <c r="U754" i="1"/>
  <c r="V754" i="1"/>
  <c r="W754" i="1"/>
  <c r="X754" i="1"/>
  <c r="Y754" i="1"/>
  <c r="Z754" i="1"/>
  <c r="AA754" i="1"/>
  <c r="AB754" i="1"/>
  <c r="A755" i="1"/>
  <c r="B755" i="1"/>
  <c r="C755" i="1"/>
  <c r="D755" i="1"/>
  <c r="E755" i="1"/>
  <c r="F755" i="1"/>
  <c r="G755" i="1"/>
  <c r="H755" i="1"/>
  <c r="I755" i="1"/>
  <c r="J755" i="1"/>
  <c r="K755" i="1"/>
  <c r="L755" i="1"/>
  <c r="M755" i="1"/>
  <c r="N755" i="1"/>
  <c r="O755" i="1"/>
  <c r="P755" i="1"/>
  <c r="Q755" i="1"/>
  <c r="R755" i="1"/>
  <c r="S755" i="1"/>
  <c r="T755" i="1"/>
  <c r="U755" i="1"/>
  <c r="V755" i="1"/>
  <c r="W755" i="1"/>
  <c r="X755" i="1"/>
  <c r="Y755" i="1"/>
  <c r="Z755" i="1"/>
  <c r="AA755" i="1"/>
  <c r="AB755" i="1"/>
  <c r="A756" i="1"/>
  <c r="B756" i="1"/>
  <c r="C756" i="1"/>
  <c r="D756" i="1"/>
  <c r="E756" i="1"/>
  <c r="F756" i="1"/>
  <c r="G756" i="1"/>
  <c r="H756" i="1"/>
  <c r="I756" i="1"/>
  <c r="J756" i="1"/>
  <c r="K756" i="1"/>
  <c r="L756" i="1"/>
  <c r="M756" i="1"/>
  <c r="N756" i="1"/>
  <c r="O756" i="1"/>
  <c r="P756" i="1"/>
  <c r="Q756" i="1"/>
  <c r="R756" i="1"/>
  <c r="S756" i="1"/>
  <c r="T756" i="1"/>
  <c r="U756" i="1"/>
  <c r="V756" i="1"/>
  <c r="W756" i="1"/>
  <c r="X756" i="1"/>
  <c r="Y756" i="1"/>
  <c r="Z756" i="1"/>
  <c r="AA756" i="1"/>
  <c r="AB756" i="1"/>
  <c r="A757" i="1"/>
  <c r="B757" i="1"/>
  <c r="C757" i="1"/>
  <c r="D757" i="1"/>
  <c r="E757" i="1"/>
  <c r="F757" i="1"/>
  <c r="G757" i="1"/>
  <c r="H757" i="1"/>
  <c r="I757" i="1"/>
  <c r="J757" i="1"/>
  <c r="K757" i="1"/>
  <c r="L757" i="1"/>
  <c r="M757" i="1"/>
  <c r="N757" i="1"/>
  <c r="O757" i="1"/>
  <c r="P757" i="1"/>
  <c r="Q757" i="1"/>
  <c r="R757" i="1"/>
  <c r="S757" i="1"/>
  <c r="T757" i="1"/>
  <c r="U757" i="1"/>
  <c r="V757" i="1"/>
  <c r="W757" i="1"/>
  <c r="X757" i="1"/>
  <c r="Y757" i="1"/>
  <c r="Z757" i="1"/>
  <c r="AA757" i="1"/>
  <c r="AB757" i="1"/>
  <c r="A758" i="1"/>
  <c r="B758" i="1"/>
  <c r="C758" i="1"/>
  <c r="D758" i="1"/>
  <c r="E758" i="1"/>
  <c r="F758" i="1"/>
  <c r="G758" i="1"/>
  <c r="H758" i="1"/>
  <c r="I758" i="1"/>
  <c r="J758" i="1"/>
  <c r="K758" i="1"/>
  <c r="L758" i="1"/>
  <c r="M758" i="1"/>
  <c r="N758" i="1"/>
  <c r="O758" i="1"/>
  <c r="P758" i="1"/>
  <c r="Q758" i="1"/>
  <c r="R758" i="1"/>
  <c r="S758" i="1"/>
  <c r="T758" i="1"/>
  <c r="U758" i="1"/>
  <c r="V758" i="1"/>
  <c r="W758" i="1"/>
  <c r="X758" i="1"/>
  <c r="Y758" i="1"/>
  <c r="Z758" i="1"/>
  <c r="AA758" i="1"/>
  <c r="AB758" i="1"/>
  <c r="A759" i="1"/>
  <c r="B759" i="1"/>
  <c r="C759" i="1"/>
  <c r="D759" i="1"/>
  <c r="E759" i="1"/>
  <c r="F759" i="1"/>
  <c r="G759" i="1"/>
  <c r="H759" i="1"/>
  <c r="I759" i="1"/>
  <c r="J759" i="1"/>
  <c r="K759" i="1"/>
  <c r="L759" i="1"/>
  <c r="M759" i="1"/>
  <c r="N759" i="1"/>
  <c r="O759" i="1"/>
  <c r="P759" i="1"/>
  <c r="Q759" i="1"/>
  <c r="R759" i="1"/>
  <c r="S759" i="1"/>
  <c r="T759" i="1"/>
  <c r="U759" i="1"/>
  <c r="V759" i="1"/>
  <c r="W759" i="1"/>
  <c r="X759" i="1"/>
  <c r="Y759" i="1"/>
  <c r="Z759" i="1"/>
  <c r="AA759" i="1"/>
  <c r="AB759" i="1"/>
  <c r="A760" i="1"/>
  <c r="B760" i="1"/>
  <c r="C760" i="1"/>
  <c r="D760" i="1"/>
  <c r="E760" i="1"/>
  <c r="F760" i="1"/>
  <c r="G760" i="1"/>
  <c r="H760" i="1"/>
  <c r="I760" i="1"/>
  <c r="J760" i="1"/>
  <c r="K760" i="1"/>
  <c r="L760" i="1"/>
  <c r="M760" i="1"/>
  <c r="N760" i="1"/>
  <c r="O760" i="1"/>
  <c r="P760" i="1"/>
  <c r="Q760" i="1"/>
  <c r="R760" i="1"/>
  <c r="S760" i="1"/>
  <c r="T760" i="1"/>
  <c r="U760" i="1"/>
  <c r="V760" i="1"/>
  <c r="W760" i="1"/>
  <c r="X760" i="1"/>
  <c r="Y760" i="1"/>
  <c r="Z760" i="1"/>
  <c r="AA760" i="1"/>
  <c r="AB760" i="1"/>
  <c r="A761" i="1"/>
  <c r="B761" i="1"/>
  <c r="C761" i="1"/>
  <c r="D761" i="1"/>
  <c r="E761" i="1"/>
  <c r="F761" i="1"/>
  <c r="G761" i="1"/>
  <c r="H761" i="1"/>
  <c r="I761" i="1"/>
  <c r="J761" i="1"/>
  <c r="K761" i="1"/>
  <c r="L761" i="1"/>
  <c r="M761" i="1"/>
  <c r="N761" i="1"/>
  <c r="O761" i="1"/>
  <c r="P761" i="1"/>
  <c r="Q761" i="1"/>
  <c r="R761" i="1"/>
  <c r="S761" i="1"/>
  <c r="T761" i="1"/>
  <c r="U761" i="1"/>
  <c r="V761" i="1"/>
  <c r="W761" i="1"/>
  <c r="X761" i="1"/>
  <c r="Y761" i="1"/>
  <c r="Z761" i="1"/>
  <c r="AA761" i="1"/>
  <c r="AB761" i="1"/>
  <c r="A762" i="1"/>
  <c r="B762" i="1"/>
  <c r="C762" i="1"/>
  <c r="D762" i="1"/>
  <c r="E762" i="1"/>
  <c r="F762" i="1"/>
  <c r="G762" i="1"/>
  <c r="H762" i="1"/>
  <c r="I762" i="1"/>
  <c r="J762" i="1"/>
  <c r="K762" i="1"/>
  <c r="L762" i="1"/>
  <c r="M762" i="1"/>
  <c r="N762" i="1"/>
  <c r="O762" i="1"/>
  <c r="P762" i="1"/>
  <c r="Q762" i="1"/>
  <c r="R762" i="1"/>
  <c r="S762" i="1"/>
  <c r="T762" i="1"/>
  <c r="U762" i="1"/>
  <c r="V762" i="1"/>
  <c r="W762" i="1"/>
  <c r="X762" i="1"/>
  <c r="Y762" i="1"/>
  <c r="Z762" i="1"/>
  <c r="AA762" i="1"/>
  <c r="AB762" i="1"/>
  <c r="A763" i="1"/>
  <c r="B763" i="1"/>
  <c r="C763" i="1"/>
  <c r="D763" i="1"/>
  <c r="E763" i="1"/>
  <c r="F763" i="1"/>
  <c r="G763" i="1"/>
  <c r="H763" i="1"/>
  <c r="I763" i="1"/>
  <c r="J763" i="1"/>
  <c r="K763" i="1"/>
  <c r="L763" i="1"/>
  <c r="M763" i="1"/>
  <c r="N763" i="1"/>
  <c r="O763" i="1"/>
  <c r="P763" i="1"/>
  <c r="Q763" i="1"/>
  <c r="R763" i="1"/>
  <c r="S763" i="1"/>
  <c r="T763" i="1"/>
  <c r="U763" i="1"/>
  <c r="V763" i="1"/>
  <c r="W763" i="1"/>
  <c r="X763" i="1"/>
  <c r="Y763" i="1"/>
  <c r="Z763" i="1"/>
  <c r="AA763" i="1"/>
  <c r="AB763" i="1"/>
  <c r="A764" i="1"/>
  <c r="B764" i="1"/>
  <c r="C764" i="1"/>
  <c r="D764" i="1"/>
  <c r="E764" i="1"/>
  <c r="F764" i="1"/>
  <c r="G764" i="1"/>
  <c r="H764" i="1"/>
  <c r="I764" i="1"/>
  <c r="J764" i="1"/>
  <c r="K764" i="1"/>
  <c r="L764" i="1"/>
  <c r="M764" i="1"/>
  <c r="N764" i="1"/>
  <c r="O764" i="1"/>
  <c r="P764" i="1"/>
  <c r="Q764" i="1"/>
  <c r="R764" i="1"/>
  <c r="S764" i="1"/>
  <c r="T764" i="1"/>
  <c r="U764" i="1"/>
  <c r="V764" i="1"/>
  <c r="W764" i="1"/>
  <c r="X764" i="1"/>
  <c r="Y764" i="1"/>
  <c r="Z764" i="1"/>
  <c r="AA764" i="1"/>
  <c r="AB764" i="1"/>
  <c r="A765" i="1"/>
  <c r="B765" i="1"/>
  <c r="C765" i="1"/>
  <c r="D765" i="1"/>
  <c r="E765" i="1"/>
  <c r="F765" i="1"/>
  <c r="G765" i="1"/>
  <c r="H765" i="1"/>
  <c r="I765" i="1"/>
  <c r="J765" i="1"/>
  <c r="K765" i="1"/>
  <c r="L765" i="1"/>
  <c r="M765" i="1"/>
  <c r="N765" i="1"/>
  <c r="O765" i="1"/>
  <c r="P765" i="1"/>
  <c r="Q765" i="1"/>
  <c r="R765" i="1"/>
  <c r="S765" i="1"/>
  <c r="T765" i="1"/>
  <c r="U765" i="1"/>
  <c r="V765" i="1"/>
  <c r="W765" i="1"/>
  <c r="X765" i="1"/>
  <c r="Y765" i="1"/>
  <c r="Z765" i="1"/>
  <c r="AA765" i="1"/>
  <c r="AB765" i="1"/>
  <c r="A766" i="1"/>
  <c r="B766" i="1"/>
  <c r="C766" i="1"/>
  <c r="D766" i="1"/>
  <c r="E766" i="1"/>
  <c r="F766" i="1"/>
  <c r="G766" i="1"/>
  <c r="H766" i="1"/>
  <c r="I766" i="1"/>
  <c r="J766" i="1"/>
  <c r="K766" i="1"/>
  <c r="L766" i="1"/>
  <c r="M766" i="1"/>
  <c r="N766" i="1"/>
  <c r="O766" i="1"/>
  <c r="P766" i="1"/>
  <c r="Q766" i="1"/>
  <c r="R766" i="1"/>
  <c r="S766" i="1"/>
  <c r="T766" i="1"/>
  <c r="U766" i="1"/>
  <c r="V766" i="1"/>
  <c r="W766" i="1"/>
  <c r="X766" i="1"/>
  <c r="Y766" i="1"/>
  <c r="Z766" i="1"/>
  <c r="AA766" i="1"/>
  <c r="AB766" i="1"/>
  <c r="A767" i="1"/>
  <c r="B767" i="1"/>
  <c r="C767" i="1"/>
  <c r="D767" i="1"/>
  <c r="E767" i="1"/>
  <c r="F767" i="1"/>
  <c r="G767" i="1"/>
  <c r="H767" i="1"/>
  <c r="I767" i="1"/>
  <c r="J767" i="1"/>
  <c r="K767" i="1"/>
  <c r="L767" i="1"/>
  <c r="M767" i="1"/>
  <c r="N767" i="1"/>
  <c r="O767" i="1"/>
  <c r="P767" i="1"/>
  <c r="Q767" i="1"/>
  <c r="R767" i="1"/>
  <c r="S767" i="1"/>
  <c r="T767" i="1"/>
  <c r="U767" i="1"/>
  <c r="V767" i="1"/>
  <c r="W767" i="1"/>
  <c r="X767" i="1"/>
  <c r="Y767" i="1"/>
  <c r="Z767" i="1"/>
  <c r="AA767" i="1"/>
  <c r="AB767" i="1"/>
  <c r="A768" i="1"/>
  <c r="B768" i="1"/>
  <c r="C768" i="1"/>
  <c r="D768" i="1"/>
  <c r="E768" i="1"/>
  <c r="F768" i="1"/>
  <c r="G768" i="1"/>
  <c r="H768" i="1"/>
  <c r="I768" i="1"/>
  <c r="J768" i="1"/>
  <c r="K768" i="1"/>
  <c r="L768" i="1"/>
  <c r="M768" i="1"/>
  <c r="N768" i="1"/>
  <c r="O768" i="1"/>
  <c r="P768" i="1"/>
  <c r="Q768" i="1"/>
  <c r="R768" i="1"/>
  <c r="S768" i="1"/>
  <c r="T768" i="1"/>
  <c r="U768" i="1"/>
  <c r="V768" i="1"/>
  <c r="W768" i="1"/>
  <c r="X768" i="1"/>
  <c r="Y768" i="1"/>
  <c r="Z768" i="1"/>
  <c r="AA768" i="1"/>
  <c r="AB768" i="1"/>
  <c r="A769" i="1"/>
  <c r="B769" i="1"/>
  <c r="C769" i="1"/>
  <c r="D769" i="1"/>
  <c r="E769" i="1"/>
  <c r="F769" i="1"/>
  <c r="G769" i="1"/>
  <c r="H769" i="1"/>
  <c r="I769" i="1"/>
  <c r="J769" i="1"/>
  <c r="K769" i="1"/>
  <c r="L769" i="1"/>
  <c r="M769" i="1"/>
  <c r="N769" i="1"/>
  <c r="O769" i="1"/>
  <c r="P769" i="1"/>
  <c r="Q769" i="1"/>
  <c r="R769" i="1"/>
  <c r="S769" i="1"/>
  <c r="T769" i="1"/>
  <c r="U769" i="1"/>
  <c r="V769" i="1"/>
  <c r="W769" i="1"/>
  <c r="X769" i="1"/>
  <c r="Y769" i="1"/>
  <c r="Z769" i="1"/>
  <c r="AA769" i="1"/>
  <c r="AB769" i="1"/>
  <c r="A770" i="1"/>
  <c r="B770" i="1"/>
  <c r="C770" i="1"/>
  <c r="D770" i="1"/>
  <c r="E770" i="1"/>
  <c r="F770" i="1"/>
  <c r="G770" i="1"/>
  <c r="H770" i="1"/>
  <c r="I770" i="1"/>
  <c r="J770" i="1"/>
  <c r="K770" i="1"/>
  <c r="L770" i="1"/>
  <c r="M770" i="1"/>
  <c r="N770" i="1"/>
  <c r="O770" i="1"/>
  <c r="P770" i="1"/>
  <c r="Q770" i="1"/>
  <c r="R770" i="1"/>
  <c r="S770" i="1"/>
  <c r="T770" i="1"/>
  <c r="U770" i="1"/>
  <c r="V770" i="1"/>
  <c r="W770" i="1"/>
  <c r="X770" i="1"/>
  <c r="Y770" i="1"/>
  <c r="Z770" i="1"/>
  <c r="AA770" i="1"/>
  <c r="AB770" i="1"/>
  <c r="A771" i="1"/>
  <c r="B771" i="1"/>
  <c r="C771" i="1"/>
  <c r="D771" i="1"/>
  <c r="E771" i="1"/>
  <c r="F771" i="1"/>
  <c r="G771" i="1"/>
  <c r="H771" i="1"/>
  <c r="I771" i="1"/>
  <c r="J771" i="1"/>
  <c r="K771" i="1"/>
  <c r="L771" i="1"/>
  <c r="M771" i="1"/>
  <c r="N771" i="1"/>
  <c r="O771" i="1"/>
  <c r="P771" i="1"/>
  <c r="Q771" i="1"/>
  <c r="R771" i="1"/>
  <c r="S771" i="1"/>
  <c r="T771" i="1"/>
  <c r="U771" i="1"/>
  <c r="V771" i="1"/>
  <c r="W771" i="1"/>
  <c r="X771" i="1"/>
  <c r="Y771" i="1"/>
  <c r="Z771" i="1"/>
  <c r="AA771" i="1"/>
  <c r="AB771" i="1"/>
  <c r="A772" i="1"/>
  <c r="B772" i="1"/>
  <c r="C772" i="1"/>
  <c r="D772" i="1"/>
  <c r="E772" i="1"/>
  <c r="F772" i="1"/>
  <c r="G772" i="1"/>
  <c r="H772" i="1"/>
  <c r="I772" i="1"/>
  <c r="J772" i="1"/>
  <c r="K772" i="1"/>
  <c r="L772" i="1"/>
  <c r="M772" i="1"/>
  <c r="N772" i="1"/>
  <c r="O772" i="1"/>
  <c r="P772" i="1"/>
  <c r="Q772" i="1"/>
  <c r="R772" i="1"/>
  <c r="S772" i="1"/>
  <c r="T772" i="1"/>
  <c r="U772" i="1"/>
  <c r="V772" i="1"/>
  <c r="W772" i="1"/>
  <c r="X772" i="1"/>
  <c r="Y772" i="1"/>
  <c r="Z772" i="1"/>
  <c r="AA772" i="1"/>
  <c r="AB772" i="1"/>
  <c r="A773" i="1"/>
  <c r="B773" i="1"/>
  <c r="C773" i="1"/>
  <c r="D773" i="1"/>
  <c r="E773" i="1"/>
  <c r="F773" i="1"/>
  <c r="G773" i="1"/>
  <c r="H773" i="1"/>
  <c r="I773" i="1"/>
  <c r="J773" i="1"/>
  <c r="K773" i="1"/>
  <c r="L773" i="1"/>
  <c r="M773" i="1"/>
  <c r="N773" i="1"/>
  <c r="O773" i="1"/>
  <c r="P773" i="1"/>
  <c r="Q773" i="1"/>
  <c r="R773" i="1"/>
  <c r="S773" i="1"/>
  <c r="T773" i="1"/>
  <c r="U773" i="1"/>
  <c r="V773" i="1"/>
  <c r="W773" i="1"/>
  <c r="X773" i="1"/>
  <c r="Y773" i="1"/>
  <c r="Z773" i="1"/>
  <c r="AA773" i="1"/>
  <c r="AB773" i="1"/>
  <c r="A774" i="1"/>
  <c r="B774" i="1"/>
  <c r="C774" i="1"/>
  <c r="D774" i="1"/>
  <c r="E774" i="1"/>
  <c r="F774" i="1"/>
  <c r="G774" i="1"/>
  <c r="H774" i="1"/>
  <c r="I774" i="1"/>
  <c r="J774" i="1"/>
  <c r="K774" i="1"/>
  <c r="L774" i="1"/>
  <c r="M774" i="1"/>
  <c r="N774" i="1"/>
  <c r="O774" i="1"/>
  <c r="P774" i="1"/>
  <c r="Q774" i="1"/>
  <c r="R774" i="1"/>
  <c r="S774" i="1"/>
  <c r="T774" i="1"/>
  <c r="U774" i="1"/>
  <c r="V774" i="1"/>
  <c r="W774" i="1"/>
  <c r="X774" i="1"/>
  <c r="Y774" i="1"/>
  <c r="Z774" i="1"/>
  <c r="AA774" i="1"/>
  <c r="AB774" i="1"/>
  <c r="A775" i="1"/>
  <c r="B775" i="1"/>
  <c r="C775" i="1"/>
  <c r="D775" i="1"/>
  <c r="E775" i="1"/>
  <c r="F775" i="1"/>
  <c r="G775" i="1"/>
  <c r="H775" i="1"/>
  <c r="I775" i="1"/>
  <c r="J775" i="1"/>
  <c r="K775" i="1"/>
  <c r="L775" i="1"/>
  <c r="M775" i="1"/>
  <c r="N775" i="1"/>
  <c r="O775" i="1"/>
  <c r="P775" i="1"/>
  <c r="Q775" i="1"/>
  <c r="R775" i="1"/>
  <c r="S775" i="1"/>
  <c r="T775" i="1"/>
  <c r="U775" i="1"/>
  <c r="V775" i="1"/>
  <c r="W775" i="1"/>
  <c r="X775" i="1"/>
  <c r="Y775" i="1"/>
  <c r="Z775" i="1"/>
  <c r="AA775" i="1"/>
  <c r="AB775" i="1"/>
  <c r="A776" i="1"/>
  <c r="B776" i="1"/>
  <c r="C776" i="1"/>
  <c r="D776" i="1"/>
  <c r="E776" i="1"/>
  <c r="F776" i="1"/>
  <c r="G776" i="1"/>
  <c r="H776" i="1"/>
  <c r="I776" i="1"/>
  <c r="J776" i="1"/>
  <c r="K776" i="1"/>
  <c r="L776" i="1"/>
  <c r="M776" i="1"/>
  <c r="N776" i="1"/>
  <c r="O776" i="1"/>
  <c r="P776" i="1"/>
  <c r="Q776" i="1"/>
  <c r="R776" i="1"/>
  <c r="S776" i="1"/>
  <c r="T776" i="1"/>
  <c r="U776" i="1"/>
  <c r="V776" i="1"/>
  <c r="W776" i="1"/>
  <c r="X776" i="1"/>
  <c r="Y776" i="1"/>
  <c r="Z776" i="1"/>
  <c r="AA776" i="1"/>
  <c r="AB776" i="1"/>
  <c r="A777" i="1"/>
  <c r="B777" i="1"/>
  <c r="C777" i="1"/>
  <c r="D777" i="1"/>
  <c r="E777" i="1"/>
  <c r="F777" i="1"/>
  <c r="G777" i="1"/>
  <c r="H777" i="1"/>
  <c r="I777" i="1"/>
  <c r="J777" i="1"/>
  <c r="K777" i="1"/>
  <c r="L777" i="1"/>
  <c r="M777" i="1"/>
  <c r="N777" i="1"/>
  <c r="O777" i="1"/>
  <c r="P777" i="1"/>
  <c r="Q777" i="1"/>
  <c r="R777" i="1"/>
  <c r="S777" i="1"/>
  <c r="T777" i="1"/>
  <c r="U777" i="1"/>
  <c r="V777" i="1"/>
  <c r="W777" i="1"/>
  <c r="X777" i="1"/>
  <c r="Y777" i="1"/>
  <c r="Z777" i="1"/>
  <c r="AA777" i="1"/>
  <c r="AB777" i="1"/>
  <c r="A778" i="1"/>
  <c r="B778" i="1"/>
  <c r="C778" i="1"/>
  <c r="D778" i="1"/>
  <c r="E778" i="1"/>
  <c r="F778" i="1"/>
  <c r="G778" i="1"/>
  <c r="H778" i="1"/>
  <c r="I778" i="1"/>
  <c r="J778" i="1"/>
  <c r="K778" i="1"/>
  <c r="L778" i="1"/>
  <c r="M778" i="1"/>
  <c r="N778" i="1"/>
  <c r="O778" i="1"/>
  <c r="P778" i="1"/>
  <c r="Q778" i="1"/>
  <c r="R778" i="1"/>
  <c r="S778" i="1"/>
  <c r="T778" i="1"/>
  <c r="U778" i="1"/>
  <c r="V778" i="1"/>
  <c r="W778" i="1"/>
  <c r="X778" i="1"/>
  <c r="Y778" i="1"/>
  <c r="Z778" i="1"/>
  <c r="AA778" i="1"/>
  <c r="AB778" i="1"/>
  <c r="A779" i="1"/>
  <c r="B779" i="1"/>
  <c r="C779" i="1"/>
  <c r="D779" i="1"/>
  <c r="E779" i="1"/>
  <c r="F779" i="1"/>
  <c r="G779" i="1"/>
  <c r="H779" i="1"/>
  <c r="I779" i="1"/>
  <c r="J779" i="1"/>
  <c r="K779" i="1"/>
  <c r="L779" i="1"/>
  <c r="M779" i="1"/>
  <c r="N779" i="1"/>
  <c r="O779" i="1"/>
  <c r="P779" i="1"/>
  <c r="Q779" i="1"/>
  <c r="R779" i="1"/>
  <c r="S779" i="1"/>
  <c r="T779" i="1"/>
  <c r="U779" i="1"/>
  <c r="V779" i="1"/>
  <c r="W779" i="1"/>
  <c r="X779" i="1"/>
  <c r="Y779" i="1"/>
  <c r="Z779" i="1"/>
  <c r="AA779" i="1"/>
  <c r="AB779" i="1"/>
  <c r="A780" i="1"/>
  <c r="B780" i="1"/>
  <c r="C780" i="1"/>
  <c r="D780" i="1"/>
  <c r="E780" i="1"/>
  <c r="F780" i="1"/>
  <c r="G780" i="1"/>
  <c r="H780" i="1"/>
  <c r="I780" i="1"/>
  <c r="J780" i="1"/>
  <c r="K780" i="1"/>
  <c r="L780" i="1"/>
  <c r="M780" i="1"/>
  <c r="N780" i="1"/>
  <c r="O780" i="1"/>
  <c r="P780" i="1"/>
  <c r="Q780" i="1"/>
  <c r="R780" i="1"/>
  <c r="S780" i="1"/>
  <c r="T780" i="1"/>
  <c r="U780" i="1"/>
  <c r="V780" i="1"/>
  <c r="W780" i="1"/>
  <c r="X780" i="1"/>
  <c r="Y780" i="1"/>
  <c r="Z780" i="1"/>
  <c r="AA780" i="1"/>
  <c r="AB780" i="1"/>
  <c r="A781" i="1"/>
  <c r="B781" i="1"/>
  <c r="C781" i="1"/>
  <c r="D781" i="1"/>
  <c r="E781" i="1"/>
  <c r="F781" i="1"/>
  <c r="G781" i="1"/>
  <c r="H781" i="1"/>
  <c r="I781" i="1"/>
  <c r="J781" i="1"/>
  <c r="K781" i="1"/>
  <c r="L781" i="1"/>
  <c r="M781" i="1"/>
  <c r="N781" i="1"/>
  <c r="O781" i="1"/>
  <c r="P781" i="1"/>
  <c r="Q781" i="1"/>
  <c r="R781" i="1"/>
  <c r="S781" i="1"/>
  <c r="T781" i="1"/>
  <c r="U781" i="1"/>
  <c r="V781" i="1"/>
  <c r="W781" i="1"/>
  <c r="X781" i="1"/>
  <c r="Y781" i="1"/>
  <c r="Z781" i="1"/>
  <c r="AA781" i="1"/>
  <c r="AB781" i="1"/>
  <c r="A782" i="1"/>
  <c r="B782" i="1"/>
  <c r="C782" i="1"/>
  <c r="D782" i="1"/>
  <c r="E782" i="1"/>
  <c r="F782" i="1"/>
  <c r="G782" i="1"/>
  <c r="H782" i="1"/>
  <c r="I782" i="1"/>
  <c r="J782" i="1"/>
  <c r="K782" i="1"/>
  <c r="L782" i="1"/>
  <c r="M782" i="1"/>
  <c r="N782" i="1"/>
  <c r="O782" i="1"/>
  <c r="P782" i="1"/>
  <c r="Q782" i="1"/>
  <c r="R782" i="1"/>
  <c r="S782" i="1"/>
  <c r="T782" i="1"/>
  <c r="U782" i="1"/>
  <c r="V782" i="1"/>
  <c r="W782" i="1"/>
  <c r="X782" i="1"/>
  <c r="Y782" i="1"/>
  <c r="Z782" i="1"/>
  <c r="AA782" i="1"/>
  <c r="AB782" i="1"/>
  <c r="A783" i="1"/>
  <c r="B783" i="1"/>
  <c r="C783" i="1"/>
  <c r="D783" i="1"/>
  <c r="E783" i="1"/>
  <c r="F783" i="1"/>
  <c r="G783" i="1"/>
  <c r="H783" i="1"/>
  <c r="I783" i="1"/>
  <c r="J783" i="1"/>
  <c r="K783" i="1"/>
  <c r="L783" i="1"/>
  <c r="M783" i="1"/>
  <c r="N783" i="1"/>
  <c r="O783" i="1"/>
  <c r="P783" i="1"/>
  <c r="Q783" i="1"/>
  <c r="R783" i="1"/>
  <c r="S783" i="1"/>
  <c r="T783" i="1"/>
  <c r="U783" i="1"/>
  <c r="V783" i="1"/>
  <c r="W783" i="1"/>
  <c r="X783" i="1"/>
  <c r="Y783" i="1"/>
  <c r="Z783" i="1"/>
  <c r="AA783" i="1"/>
  <c r="AB783" i="1"/>
  <c r="A784" i="1"/>
  <c r="B784" i="1"/>
  <c r="C784" i="1"/>
  <c r="D784" i="1"/>
  <c r="E784" i="1"/>
  <c r="F784" i="1"/>
  <c r="G784" i="1"/>
  <c r="H784" i="1"/>
  <c r="I784" i="1"/>
  <c r="J784" i="1"/>
  <c r="K784" i="1"/>
  <c r="L784" i="1"/>
  <c r="M784" i="1"/>
  <c r="N784" i="1"/>
  <c r="O784" i="1"/>
  <c r="P784" i="1"/>
  <c r="Q784" i="1"/>
  <c r="R784" i="1"/>
  <c r="S784" i="1"/>
  <c r="T784" i="1"/>
  <c r="U784" i="1"/>
  <c r="V784" i="1"/>
  <c r="W784" i="1"/>
  <c r="X784" i="1"/>
  <c r="Y784" i="1"/>
  <c r="Z784" i="1"/>
  <c r="AA784" i="1"/>
  <c r="AB784" i="1"/>
  <c r="A785" i="1"/>
  <c r="B785" i="1"/>
  <c r="C785" i="1"/>
  <c r="D785" i="1"/>
  <c r="E785" i="1"/>
  <c r="F785" i="1"/>
  <c r="G785" i="1"/>
  <c r="H785" i="1"/>
  <c r="I785" i="1"/>
  <c r="J785" i="1"/>
  <c r="K785" i="1"/>
  <c r="L785" i="1"/>
  <c r="M785" i="1"/>
  <c r="N785" i="1"/>
  <c r="O785" i="1"/>
  <c r="P785" i="1"/>
  <c r="Q785" i="1"/>
  <c r="R785" i="1"/>
  <c r="S785" i="1"/>
  <c r="T785" i="1"/>
  <c r="U785" i="1"/>
  <c r="V785" i="1"/>
  <c r="W785" i="1"/>
  <c r="X785" i="1"/>
  <c r="Y785" i="1"/>
  <c r="Z785" i="1"/>
  <c r="AA785" i="1"/>
  <c r="AB785" i="1"/>
  <c r="A786" i="1"/>
  <c r="B786" i="1"/>
  <c r="C786" i="1"/>
  <c r="D786" i="1"/>
  <c r="E786" i="1"/>
  <c r="F786" i="1"/>
  <c r="G786" i="1"/>
  <c r="H786" i="1"/>
  <c r="I786" i="1"/>
  <c r="J786" i="1"/>
  <c r="K786" i="1"/>
  <c r="L786" i="1"/>
  <c r="M786" i="1"/>
  <c r="N786" i="1"/>
  <c r="O786" i="1"/>
  <c r="P786" i="1"/>
  <c r="Q786" i="1"/>
  <c r="R786" i="1"/>
  <c r="S786" i="1"/>
  <c r="T786" i="1"/>
  <c r="U786" i="1"/>
  <c r="V786" i="1"/>
  <c r="W786" i="1"/>
  <c r="X786" i="1"/>
  <c r="Y786" i="1"/>
  <c r="Z786" i="1"/>
  <c r="AA786" i="1"/>
  <c r="AB786" i="1"/>
  <c r="A787" i="1"/>
  <c r="B787" i="1"/>
  <c r="C787" i="1"/>
  <c r="D787" i="1"/>
  <c r="E787" i="1"/>
  <c r="F787" i="1"/>
  <c r="G787" i="1"/>
  <c r="H787" i="1"/>
  <c r="I787" i="1"/>
  <c r="J787" i="1"/>
  <c r="K787" i="1"/>
  <c r="L787" i="1"/>
  <c r="M787" i="1"/>
  <c r="N787" i="1"/>
  <c r="O787" i="1"/>
  <c r="P787" i="1"/>
  <c r="Q787" i="1"/>
  <c r="R787" i="1"/>
  <c r="S787" i="1"/>
  <c r="T787" i="1"/>
  <c r="U787" i="1"/>
  <c r="V787" i="1"/>
  <c r="W787" i="1"/>
  <c r="X787" i="1"/>
  <c r="Y787" i="1"/>
  <c r="Z787" i="1"/>
  <c r="AA787" i="1"/>
  <c r="AB787" i="1"/>
  <c r="A788" i="1"/>
  <c r="B788" i="1"/>
  <c r="C788" i="1"/>
  <c r="D788" i="1"/>
  <c r="E788" i="1"/>
  <c r="F788" i="1"/>
  <c r="G788" i="1"/>
  <c r="H788" i="1"/>
  <c r="I788" i="1"/>
  <c r="J788" i="1"/>
  <c r="K788" i="1"/>
  <c r="L788" i="1"/>
  <c r="M788" i="1"/>
  <c r="N788" i="1"/>
  <c r="O788" i="1"/>
  <c r="P788" i="1"/>
  <c r="Q788" i="1"/>
  <c r="R788" i="1"/>
  <c r="S788" i="1"/>
  <c r="T788" i="1"/>
  <c r="U788" i="1"/>
  <c r="V788" i="1"/>
  <c r="W788" i="1"/>
  <c r="X788" i="1"/>
  <c r="Y788" i="1"/>
  <c r="Z788" i="1"/>
  <c r="AA788" i="1"/>
  <c r="AB788" i="1"/>
  <c r="A789" i="1"/>
  <c r="B789" i="1"/>
  <c r="C789" i="1"/>
  <c r="D789" i="1"/>
  <c r="E789" i="1"/>
  <c r="F789" i="1"/>
  <c r="G789" i="1"/>
  <c r="H789" i="1"/>
  <c r="I789" i="1"/>
  <c r="J789" i="1"/>
  <c r="K789" i="1"/>
  <c r="L789" i="1"/>
  <c r="M789" i="1"/>
  <c r="N789" i="1"/>
  <c r="O789" i="1"/>
  <c r="P789" i="1"/>
  <c r="Q789" i="1"/>
  <c r="R789" i="1"/>
  <c r="S789" i="1"/>
  <c r="T789" i="1"/>
  <c r="U789" i="1"/>
  <c r="V789" i="1"/>
  <c r="W789" i="1"/>
  <c r="X789" i="1"/>
  <c r="Y789" i="1"/>
  <c r="Z789" i="1"/>
  <c r="AA789" i="1"/>
  <c r="AB789" i="1"/>
  <c r="A790" i="1"/>
  <c r="B790" i="1"/>
  <c r="C790" i="1"/>
  <c r="D790" i="1"/>
  <c r="E790" i="1"/>
  <c r="F790" i="1"/>
  <c r="G790" i="1"/>
  <c r="H790" i="1"/>
  <c r="I790" i="1"/>
  <c r="J790" i="1"/>
  <c r="K790" i="1"/>
  <c r="L790" i="1"/>
  <c r="M790" i="1"/>
  <c r="N790" i="1"/>
  <c r="O790" i="1"/>
  <c r="P790" i="1"/>
  <c r="Q790" i="1"/>
  <c r="R790" i="1"/>
  <c r="S790" i="1"/>
  <c r="T790" i="1"/>
  <c r="U790" i="1"/>
  <c r="V790" i="1"/>
  <c r="W790" i="1"/>
  <c r="X790" i="1"/>
  <c r="Y790" i="1"/>
  <c r="Z790" i="1"/>
  <c r="AA790" i="1"/>
  <c r="AB790" i="1"/>
  <c r="A791" i="1"/>
  <c r="B791" i="1"/>
  <c r="C791" i="1"/>
  <c r="D791" i="1"/>
  <c r="E791" i="1"/>
  <c r="F791" i="1"/>
  <c r="G791" i="1"/>
  <c r="H791" i="1"/>
  <c r="I791" i="1"/>
  <c r="J791" i="1"/>
  <c r="K791" i="1"/>
  <c r="L791" i="1"/>
  <c r="M791" i="1"/>
  <c r="N791" i="1"/>
  <c r="O791" i="1"/>
  <c r="P791" i="1"/>
  <c r="Q791" i="1"/>
  <c r="R791" i="1"/>
  <c r="S791" i="1"/>
  <c r="T791" i="1"/>
  <c r="U791" i="1"/>
  <c r="V791" i="1"/>
  <c r="W791" i="1"/>
  <c r="X791" i="1"/>
  <c r="Y791" i="1"/>
  <c r="Z791" i="1"/>
  <c r="AA791" i="1"/>
  <c r="AB791" i="1"/>
  <c r="A792" i="1"/>
  <c r="B792" i="1"/>
  <c r="C792" i="1"/>
  <c r="D792" i="1"/>
  <c r="E792" i="1"/>
  <c r="F792" i="1"/>
  <c r="G792" i="1"/>
  <c r="H792" i="1"/>
  <c r="I792" i="1"/>
  <c r="J792" i="1"/>
  <c r="K792" i="1"/>
  <c r="L792" i="1"/>
  <c r="M792" i="1"/>
  <c r="N792" i="1"/>
  <c r="O792" i="1"/>
  <c r="P792" i="1"/>
  <c r="Q792" i="1"/>
  <c r="R792" i="1"/>
  <c r="S792" i="1"/>
  <c r="T792" i="1"/>
  <c r="U792" i="1"/>
  <c r="V792" i="1"/>
  <c r="W792" i="1"/>
  <c r="X792" i="1"/>
  <c r="Y792" i="1"/>
  <c r="Z792" i="1"/>
  <c r="AA792" i="1"/>
  <c r="AB792" i="1"/>
  <c r="A793" i="1"/>
  <c r="B793" i="1"/>
  <c r="C793" i="1"/>
  <c r="D793" i="1"/>
  <c r="E793" i="1"/>
  <c r="F793" i="1"/>
  <c r="G793" i="1"/>
  <c r="H793" i="1"/>
  <c r="I793" i="1"/>
  <c r="J793" i="1"/>
  <c r="K793" i="1"/>
  <c r="L793" i="1"/>
  <c r="M793" i="1"/>
  <c r="N793" i="1"/>
  <c r="O793" i="1"/>
  <c r="P793" i="1"/>
  <c r="Q793" i="1"/>
  <c r="R793" i="1"/>
  <c r="S793" i="1"/>
  <c r="T793" i="1"/>
  <c r="U793" i="1"/>
  <c r="V793" i="1"/>
  <c r="W793" i="1"/>
  <c r="X793" i="1"/>
  <c r="Y793" i="1"/>
  <c r="Z793" i="1"/>
  <c r="AA793" i="1"/>
  <c r="AB793" i="1"/>
  <c r="A794" i="1"/>
  <c r="B794" i="1"/>
  <c r="C794" i="1"/>
  <c r="D794" i="1"/>
  <c r="E794" i="1"/>
  <c r="F794" i="1"/>
  <c r="G794" i="1"/>
  <c r="H794" i="1"/>
  <c r="I794" i="1"/>
  <c r="J794" i="1"/>
  <c r="K794" i="1"/>
  <c r="L794" i="1"/>
  <c r="M794" i="1"/>
  <c r="N794" i="1"/>
  <c r="O794" i="1"/>
  <c r="P794" i="1"/>
  <c r="Q794" i="1"/>
  <c r="R794" i="1"/>
  <c r="S794" i="1"/>
  <c r="T794" i="1"/>
  <c r="U794" i="1"/>
  <c r="V794" i="1"/>
  <c r="W794" i="1"/>
  <c r="X794" i="1"/>
  <c r="Y794" i="1"/>
  <c r="Z794" i="1"/>
  <c r="AA794" i="1"/>
  <c r="AB794" i="1"/>
  <c r="A795" i="1"/>
  <c r="B795" i="1"/>
  <c r="C795" i="1"/>
  <c r="D795" i="1"/>
  <c r="E795" i="1"/>
  <c r="F795" i="1"/>
  <c r="G795" i="1"/>
  <c r="H795" i="1"/>
  <c r="I795" i="1"/>
  <c r="J795" i="1"/>
  <c r="K795" i="1"/>
  <c r="L795" i="1"/>
  <c r="M795" i="1"/>
  <c r="N795" i="1"/>
  <c r="O795" i="1"/>
  <c r="P795" i="1"/>
  <c r="Q795" i="1"/>
  <c r="R795" i="1"/>
  <c r="S795" i="1"/>
  <c r="T795" i="1"/>
  <c r="U795" i="1"/>
  <c r="V795" i="1"/>
  <c r="W795" i="1"/>
  <c r="X795" i="1"/>
  <c r="Y795" i="1"/>
  <c r="Z795" i="1"/>
  <c r="AA795" i="1"/>
  <c r="AB795" i="1"/>
  <c r="A796" i="1"/>
  <c r="B796" i="1"/>
  <c r="C796" i="1"/>
  <c r="D796" i="1"/>
  <c r="E796" i="1"/>
  <c r="F796" i="1"/>
  <c r="G796" i="1"/>
  <c r="H796" i="1"/>
  <c r="I796" i="1"/>
  <c r="J796" i="1"/>
  <c r="K796" i="1"/>
  <c r="L796" i="1"/>
  <c r="M796" i="1"/>
  <c r="N796" i="1"/>
  <c r="O796" i="1"/>
  <c r="P796" i="1"/>
  <c r="Q796" i="1"/>
  <c r="R796" i="1"/>
  <c r="S796" i="1"/>
  <c r="T796" i="1"/>
  <c r="U796" i="1"/>
  <c r="V796" i="1"/>
  <c r="W796" i="1"/>
  <c r="X796" i="1"/>
  <c r="Y796" i="1"/>
  <c r="Z796" i="1"/>
  <c r="AA796" i="1"/>
  <c r="AB796" i="1"/>
  <c r="A797" i="1"/>
  <c r="B797" i="1"/>
  <c r="C797" i="1"/>
  <c r="D797" i="1"/>
  <c r="E797" i="1"/>
  <c r="F797" i="1"/>
  <c r="G797" i="1"/>
  <c r="H797" i="1"/>
  <c r="I797" i="1"/>
  <c r="J797" i="1"/>
  <c r="K797" i="1"/>
  <c r="L797" i="1"/>
  <c r="M797" i="1"/>
  <c r="N797" i="1"/>
  <c r="O797" i="1"/>
  <c r="P797" i="1"/>
  <c r="Q797" i="1"/>
  <c r="R797" i="1"/>
  <c r="S797" i="1"/>
  <c r="T797" i="1"/>
  <c r="U797" i="1"/>
  <c r="V797" i="1"/>
  <c r="W797" i="1"/>
  <c r="X797" i="1"/>
  <c r="Y797" i="1"/>
  <c r="Z797" i="1"/>
  <c r="AA797" i="1"/>
  <c r="AB797" i="1"/>
  <c r="A798" i="1"/>
  <c r="B798" i="1"/>
  <c r="C798" i="1"/>
  <c r="D798" i="1"/>
  <c r="E798" i="1"/>
  <c r="F798" i="1"/>
  <c r="G798" i="1"/>
  <c r="H798" i="1"/>
  <c r="I798" i="1"/>
  <c r="J798" i="1"/>
  <c r="K798" i="1"/>
  <c r="L798" i="1"/>
  <c r="M798" i="1"/>
  <c r="N798" i="1"/>
  <c r="O798" i="1"/>
  <c r="P798" i="1"/>
  <c r="Q798" i="1"/>
  <c r="R798" i="1"/>
  <c r="S798" i="1"/>
  <c r="T798" i="1"/>
  <c r="U798" i="1"/>
  <c r="V798" i="1"/>
  <c r="W798" i="1"/>
  <c r="X798" i="1"/>
  <c r="Y798" i="1"/>
  <c r="Z798" i="1"/>
  <c r="AA798" i="1"/>
  <c r="AB798" i="1"/>
  <c r="A799" i="1"/>
  <c r="B799" i="1"/>
  <c r="C799" i="1"/>
  <c r="D799" i="1"/>
  <c r="E799" i="1"/>
  <c r="F799" i="1"/>
  <c r="G799" i="1"/>
  <c r="H799" i="1"/>
  <c r="I799" i="1"/>
  <c r="J799" i="1"/>
  <c r="K799" i="1"/>
  <c r="L799" i="1"/>
  <c r="M799" i="1"/>
  <c r="N799" i="1"/>
  <c r="O799" i="1"/>
  <c r="P799" i="1"/>
  <c r="Q799" i="1"/>
  <c r="R799" i="1"/>
  <c r="S799" i="1"/>
  <c r="T799" i="1"/>
  <c r="U799" i="1"/>
  <c r="V799" i="1"/>
  <c r="W799" i="1"/>
  <c r="X799" i="1"/>
  <c r="Y799" i="1"/>
  <c r="Z799" i="1"/>
  <c r="AA799" i="1"/>
  <c r="AB799" i="1"/>
  <c r="A800" i="1"/>
  <c r="B800" i="1"/>
  <c r="C800" i="1"/>
  <c r="D800" i="1"/>
  <c r="E800" i="1"/>
  <c r="F800" i="1"/>
  <c r="G800" i="1"/>
  <c r="H800" i="1"/>
  <c r="I800" i="1"/>
  <c r="J800" i="1"/>
  <c r="K800" i="1"/>
  <c r="L800" i="1"/>
  <c r="M800" i="1"/>
  <c r="N800" i="1"/>
  <c r="O800" i="1"/>
  <c r="P800" i="1"/>
  <c r="Q800" i="1"/>
  <c r="R800" i="1"/>
  <c r="S800" i="1"/>
  <c r="T800" i="1"/>
  <c r="U800" i="1"/>
  <c r="V800" i="1"/>
  <c r="W800" i="1"/>
  <c r="X800" i="1"/>
  <c r="Y800" i="1"/>
  <c r="Z800" i="1"/>
  <c r="AA800" i="1"/>
  <c r="AB800" i="1"/>
  <c r="A801" i="1"/>
  <c r="B801" i="1"/>
  <c r="C801" i="1"/>
  <c r="D801" i="1"/>
  <c r="E801" i="1"/>
  <c r="F801" i="1"/>
  <c r="G801" i="1"/>
  <c r="H801" i="1"/>
  <c r="I801" i="1"/>
  <c r="J801" i="1"/>
  <c r="K801" i="1"/>
  <c r="L801" i="1"/>
  <c r="M801" i="1"/>
  <c r="N801" i="1"/>
  <c r="O801" i="1"/>
  <c r="P801" i="1"/>
  <c r="Q801" i="1"/>
  <c r="R801" i="1"/>
  <c r="S801" i="1"/>
  <c r="T801" i="1"/>
  <c r="U801" i="1"/>
  <c r="V801" i="1"/>
  <c r="W801" i="1"/>
  <c r="X801" i="1"/>
  <c r="Y801" i="1"/>
  <c r="Z801" i="1"/>
  <c r="AA801" i="1"/>
  <c r="AB801" i="1"/>
  <c r="A802" i="1"/>
  <c r="B802" i="1"/>
  <c r="C802" i="1"/>
  <c r="D802" i="1"/>
  <c r="E802" i="1"/>
  <c r="F802" i="1"/>
  <c r="G802" i="1"/>
  <c r="H802" i="1"/>
  <c r="I802" i="1"/>
  <c r="J802" i="1"/>
  <c r="K802" i="1"/>
  <c r="L802" i="1"/>
  <c r="M802" i="1"/>
  <c r="N802" i="1"/>
  <c r="O802" i="1"/>
  <c r="P802" i="1"/>
  <c r="Q802" i="1"/>
  <c r="R802" i="1"/>
  <c r="S802" i="1"/>
  <c r="T802" i="1"/>
  <c r="U802" i="1"/>
  <c r="V802" i="1"/>
  <c r="W802" i="1"/>
  <c r="X802" i="1"/>
  <c r="Y802" i="1"/>
  <c r="Z802" i="1"/>
  <c r="AA802" i="1"/>
  <c r="AB802" i="1"/>
  <c r="A803" i="1"/>
  <c r="B803" i="1"/>
  <c r="C803" i="1"/>
  <c r="D803" i="1"/>
  <c r="E803" i="1"/>
  <c r="F803" i="1"/>
  <c r="G803" i="1"/>
  <c r="H803" i="1"/>
  <c r="I803" i="1"/>
  <c r="J803" i="1"/>
  <c r="K803" i="1"/>
  <c r="L803" i="1"/>
  <c r="M803" i="1"/>
  <c r="N803" i="1"/>
  <c r="O803" i="1"/>
  <c r="P803" i="1"/>
  <c r="Q803" i="1"/>
  <c r="R803" i="1"/>
  <c r="S803" i="1"/>
  <c r="T803" i="1"/>
  <c r="U803" i="1"/>
  <c r="V803" i="1"/>
  <c r="W803" i="1"/>
  <c r="X803" i="1"/>
  <c r="Y803" i="1"/>
  <c r="Z803" i="1"/>
  <c r="AA803" i="1"/>
  <c r="AB803" i="1"/>
  <c r="A804" i="1"/>
  <c r="B804" i="1"/>
  <c r="C804" i="1"/>
  <c r="D804" i="1"/>
  <c r="E804" i="1"/>
  <c r="F804" i="1"/>
  <c r="G804" i="1"/>
  <c r="H804" i="1"/>
  <c r="I804" i="1"/>
  <c r="J804" i="1"/>
  <c r="K804" i="1"/>
  <c r="L804" i="1"/>
  <c r="M804" i="1"/>
  <c r="N804" i="1"/>
  <c r="O804" i="1"/>
  <c r="P804" i="1"/>
  <c r="Q804" i="1"/>
  <c r="R804" i="1"/>
  <c r="S804" i="1"/>
  <c r="T804" i="1"/>
  <c r="U804" i="1"/>
  <c r="V804" i="1"/>
  <c r="W804" i="1"/>
  <c r="X804" i="1"/>
  <c r="Y804" i="1"/>
  <c r="Z804" i="1"/>
  <c r="AA804" i="1"/>
  <c r="AB804" i="1"/>
  <c r="A805" i="1"/>
  <c r="B805" i="1"/>
  <c r="C805" i="1"/>
  <c r="D805" i="1"/>
  <c r="E805" i="1"/>
  <c r="F805" i="1"/>
  <c r="G805" i="1"/>
  <c r="H805" i="1"/>
  <c r="I805" i="1"/>
  <c r="J805" i="1"/>
  <c r="K805" i="1"/>
  <c r="L805" i="1"/>
  <c r="M805" i="1"/>
  <c r="N805" i="1"/>
  <c r="O805" i="1"/>
  <c r="P805" i="1"/>
  <c r="Q805" i="1"/>
  <c r="R805" i="1"/>
  <c r="S805" i="1"/>
  <c r="T805" i="1"/>
  <c r="U805" i="1"/>
  <c r="V805" i="1"/>
  <c r="W805" i="1"/>
  <c r="X805" i="1"/>
  <c r="Y805" i="1"/>
  <c r="Z805" i="1"/>
  <c r="AA805" i="1"/>
  <c r="AB805" i="1"/>
  <c r="A806" i="1"/>
  <c r="B806" i="1"/>
  <c r="C806" i="1"/>
  <c r="D806" i="1"/>
  <c r="E806" i="1"/>
  <c r="F806" i="1"/>
  <c r="G806" i="1"/>
  <c r="H806" i="1"/>
  <c r="I806" i="1"/>
  <c r="J806" i="1"/>
  <c r="K806" i="1"/>
  <c r="L806" i="1"/>
  <c r="M806" i="1"/>
  <c r="N806" i="1"/>
  <c r="O806" i="1"/>
  <c r="P806" i="1"/>
  <c r="Q806" i="1"/>
  <c r="R806" i="1"/>
  <c r="S806" i="1"/>
  <c r="T806" i="1"/>
  <c r="U806" i="1"/>
  <c r="V806" i="1"/>
  <c r="W806" i="1"/>
  <c r="X806" i="1"/>
  <c r="Y806" i="1"/>
  <c r="Z806" i="1"/>
  <c r="AA806" i="1"/>
  <c r="AB806" i="1"/>
  <c r="A807" i="1"/>
  <c r="B807" i="1"/>
  <c r="C807" i="1"/>
  <c r="D807" i="1"/>
  <c r="E807" i="1"/>
  <c r="F807" i="1"/>
  <c r="G807" i="1"/>
  <c r="H807" i="1"/>
  <c r="I807" i="1"/>
  <c r="J807" i="1"/>
  <c r="K807" i="1"/>
  <c r="L807" i="1"/>
  <c r="M807" i="1"/>
  <c r="N807" i="1"/>
  <c r="O807" i="1"/>
  <c r="P807" i="1"/>
  <c r="Q807" i="1"/>
  <c r="R807" i="1"/>
  <c r="S807" i="1"/>
  <c r="T807" i="1"/>
  <c r="U807" i="1"/>
  <c r="V807" i="1"/>
  <c r="W807" i="1"/>
  <c r="X807" i="1"/>
  <c r="Y807" i="1"/>
  <c r="Z807" i="1"/>
  <c r="AA807" i="1"/>
  <c r="AB807" i="1"/>
  <c r="A808" i="1"/>
  <c r="B808" i="1"/>
  <c r="C808" i="1"/>
  <c r="D808" i="1"/>
  <c r="E808" i="1"/>
  <c r="F808" i="1"/>
  <c r="G808" i="1"/>
  <c r="H808" i="1"/>
  <c r="I808" i="1"/>
  <c r="J808" i="1"/>
  <c r="K808" i="1"/>
  <c r="L808" i="1"/>
  <c r="M808" i="1"/>
  <c r="N808" i="1"/>
  <c r="O808" i="1"/>
  <c r="P808" i="1"/>
  <c r="Q808" i="1"/>
  <c r="R808" i="1"/>
  <c r="S808" i="1"/>
  <c r="T808" i="1"/>
  <c r="U808" i="1"/>
  <c r="V808" i="1"/>
  <c r="W808" i="1"/>
  <c r="X808" i="1"/>
  <c r="Y808" i="1"/>
  <c r="Z808" i="1"/>
  <c r="AA808" i="1"/>
  <c r="AB808" i="1"/>
  <c r="A809" i="1"/>
  <c r="B809" i="1"/>
  <c r="C809" i="1"/>
  <c r="D809" i="1"/>
  <c r="E809" i="1"/>
  <c r="F809" i="1"/>
  <c r="G809" i="1"/>
  <c r="H809" i="1"/>
  <c r="I809" i="1"/>
  <c r="J809" i="1"/>
  <c r="K809" i="1"/>
  <c r="L809" i="1"/>
  <c r="M809" i="1"/>
  <c r="N809" i="1"/>
  <c r="O809" i="1"/>
  <c r="P809" i="1"/>
  <c r="Q809" i="1"/>
  <c r="R809" i="1"/>
  <c r="S809" i="1"/>
  <c r="T809" i="1"/>
  <c r="U809" i="1"/>
  <c r="V809" i="1"/>
  <c r="W809" i="1"/>
  <c r="X809" i="1"/>
  <c r="Y809" i="1"/>
  <c r="Z809" i="1"/>
  <c r="AA809" i="1"/>
  <c r="AB809" i="1"/>
  <c r="A810" i="1"/>
  <c r="B810" i="1"/>
  <c r="C810" i="1"/>
  <c r="D810" i="1"/>
  <c r="E810" i="1"/>
  <c r="F810" i="1"/>
  <c r="G810" i="1"/>
  <c r="H810" i="1"/>
  <c r="I810" i="1"/>
  <c r="J810" i="1"/>
  <c r="K810" i="1"/>
  <c r="L810" i="1"/>
  <c r="M810" i="1"/>
  <c r="N810" i="1"/>
  <c r="O810" i="1"/>
  <c r="P810" i="1"/>
  <c r="Q810" i="1"/>
  <c r="R810" i="1"/>
  <c r="S810" i="1"/>
  <c r="T810" i="1"/>
  <c r="U810" i="1"/>
  <c r="V810" i="1"/>
  <c r="W810" i="1"/>
  <c r="X810" i="1"/>
  <c r="Y810" i="1"/>
  <c r="Z810" i="1"/>
  <c r="AA810" i="1"/>
  <c r="AB810" i="1"/>
  <c r="A811" i="1"/>
  <c r="B811" i="1"/>
  <c r="C811" i="1"/>
  <c r="D811" i="1"/>
  <c r="E811" i="1"/>
  <c r="F811" i="1"/>
  <c r="G811" i="1"/>
  <c r="H811" i="1"/>
  <c r="I811" i="1"/>
  <c r="J811" i="1"/>
  <c r="K811" i="1"/>
  <c r="L811" i="1"/>
  <c r="M811" i="1"/>
  <c r="N811" i="1"/>
  <c r="O811" i="1"/>
  <c r="P811" i="1"/>
  <c r="Q811" i="1"/>
  <c r="R811" i="1"/>
  <c r="S811" i="1"/>
  <c r="T811" i="1"/>
  <c r="U811" i="1"/>
  <c r="V811" i="1"/>
  <c r="W811" i="1"/>
  <c r="X811" i="1"/>
  <c r="Y811" i="1"/>
  <c r="Z811" i="1"/>
  <c r="AA811" i="1"/>
  <c r="AB811" i="1"/>
  <c r="A812" i="1"/>
  <c r="B812" i="1"/>
  <c r="C812" i="1"/>
  <c r="D812" i="1"/>
  <c r="E812" i="1"/>
  <c r="F812" i="1"/>
  <c r="G812" i="1"/>
  <c r="H812" i="1"/>
  <c r="I812" i="1"/>
  <c r="J812" i="1"/>
  <c r="K812" i="1"/>
  <c r="L812" i="1"/>
  <c r="M812" i="1"/>
  <c r="N812" i="1"/>
  <c r="O812" i="1"/>
  <c r="P812" i="1"/>
  <c r="Q812" i="1"/>
  <c r="R812" i="1"/>
  <c r="S812" i="1"/>
  <c r="T812" i="1"/>
  <c r="U812" i="1"/>
  <c r="V812" i="1"/>
  <c r="W812" i="1"/>
  <c r="X812" i="1"/>
  <c r="Y812" i="1"/>
  <c r="Z812" i="1"/>
  <c r="AA812" i="1"/>
  <c r="AB812" i="1"/>
  <c r="A813" i="1"/>
  <c r="B813" i="1"/>
  <c r="C813" i="1"/>
  <c r="D813" i="1"/>
  <c r="E813" i="1"/>
  <c r="F813" i="1"/>
  <c r="G813" i="1"/>
  <c r="H813" i="1"/>
  <c r="I813" i="1"/>
  <c r="J813" i="1"/>
  <c r="K813" i="1"/>
  <c r="L813" i="1"/>
  <c r="M813" i="1"/>
  <c r="N813" i="1"/>
  <c r="O813" i="1"/>
  <c r="P813" i="1"/>
  <c r="Q813" i="1"/>
  <c r="R813" i="1"/>
  <c r="S813" i="1"/>
  <c r="T813" i="1"/>
  <c r="U813" i="1"/>
  <c r="V813" i="1"/>
  <c r="W813" i="1"/>
  <c r="X813" i="1"/>
  <c r="Y813" i="1"/>
  <c r="Z813" i="1"/>
  <c r="AA813" i="1"/>
  <c r="AB813" i="1"/>
  <c r="A814" i="1"/>
  <c r="B814" i="1"/>
  <c r="C814" i="1"/>
  <c r="D814" i="1"/>
  <c r="E814" i="1"/>
  <c r="F814" i="1"/>
  <c r="G814" i="1"/>
  <c r="H814" i="1"/>
  <c r="I814" i="1"/>
  <c r="J814" i="1"/>
  <c r="K814" i="1"/>
  <c r="L814" i="1"/>
  <c r="M814" i="1"/>
  <c r="N814" i="1"/>
  <c r="O814" i="1"/>
  <c r="P814" i="1"/>
  <c r="Q814" i="1"/>
  <c r="R814" i="1"/>
  <c r="S814" i="1"/>
  <c r="T814" i="1"/>
  <c r="U814" i="1"/>
  <c r="V814" i="1"/>
  <c r="W814" i="1"/>
  <c r="X814" i="1"/>
  <c r="Y814" i="1"/>
  <c r="Z814" i="1"/>
  <c r="AA814" i="1"/>
  <c r="AB814" i="1"/>
  <c r="A815" i="1"/>
  <c r="B815" i="1"/>
  <c r="C815" i="1"/>
  <c r="D815" i="1"/>
  <c r="E815" i="1"/>
  <c r="F815" i="1"/>
  <c r="G815" i="1"/>
  <c r="H815" i="1"/>
  <c r="I815" i="1"/>
  <c r="J815" i="1"/>
  <c r="K815" i="1"/>
  <c r="L815" i="1"/>
  <c r="M815" i="1"/>
  <c r="N815" i="1"/>
  <c r="O815" i="1"/>
  <c r="P815" i="1"/>
  <c r="Q815" i="1"/>
  <c r="R815" i="1"/>
  <c r="S815" i="1"/>
  <c r="T815" i="1"/>
  <c r="U815" i="1"/>
  <c r="V815" i="1"/>
  <c r="W815" i="1"/>
  <c r="X815" i="1"/>
  <c r="Y815" i="1"/>
  <c r="Z815" i="1"/>
  <c r="AA815" i="1"/>
  <c r="AB815" i="1"/>
  <c r="A816" i="1"/>
  <c r="B816" i="1"/>
  <c r="C816" i="1"/>
  <c r="D816" i="1"/>
  <c r="E816" i="1"/>
  <c r="F816" i="1"/>
  <c r="G816" i="1"/>
  <c r="H816" i="1"/>
  <c r="I816" i="1"/>
  <c r="J816" i="1"/>
  <c r="K816" i="1"/>
  <c r="L816" i="1"/>
  <c r="M816" i="1"/>
  <c r="N816" i="1"/>
  <c r="O816" i="1"/>
  <c r="P816" i="1"/>
  <c r="Q816" i="1"/>
  <c r="R816" i="1"/>
  <c r="S816" i="1"/>
  <c r="T816" i="1"/>
  <c r="U816" i="1"/>
  <c r="V816" i="1"/>
  <c r="W816" i="1"/>
  <c r="X816" i="1"/>
  <c r="Y816" i="1"/>
  <c r="Z816" i="1"/>
  <c r="AA816" i="1"/>
  <c r="AB816" i="1"/>
  <c r="A817" i="1"/>
  <c r="B817" i="1"/>
  <c r="C817" i="1"/>
  <c r="D817" i="1"/>
  <c r="E817" i="1"/>
  <c r="F817" i="1"/>
  <c r="G817" i="1"/>
  <c r="H817" i="1"/>
  <c r="I817" i="1"/>
  <c r="J817" i="1"/>
  <c r="K817" i="1"/>
  <c r="L817" i="1"/>
  <c r="M817" i="1"/>
  <c r="N817" i="1"/>
  <c r="O817" i="1"/>
  <c r="P817" i="1"/>
  <c r="Q817" i="1"/>
  <c r="R817" i="1"/>
  <c r="S817" i="1"/>
  <c r="T817" i="1"/>
  <c r="U817" i="1"/>
  <c r="V817" i="1"/>
  <c r="W817" i="1"/>
  <c r="X817" i="1"/>
  <c r="Y817" i="1"/>
  <c r="Z817" i="1"/>
  <c r="AA817" i="1"/>
  <c r="AB817" i="1"/>
  <c r="A818" i="1"/>
  <c r="B818" i="1"/>
  <c r="C818" i="1"/>
  <c r="D818" i="1"/>
  <c r="E818" i="1"/>
  <c r="F818" i="1"/>
  <c r="G818" i="1"/>
  <c r="H818" i="1"/>
  <c r="I818" i="1"/>
  <c r="J818" i="1"/>
  <c r="K818" i="1"/>
  <c r="L818" i="1"/>
  <c r="M818" i="1"/>
  <c r="N818" i="1"/>
  <c r="O818" i="1"/>
  <c r="P818" i="1"/>
  <c r="Q818" i="1"/>
  <c r="R818" i="1"/>
  <c r="S818" i="1"/>
  <c r="T818" i="1"/>
  <c r="U818" i="1"/>
  <c r="V818" i="1"/>
  <c r="W818" i="1"/>
  <c r="X818" i="1"/>
  <c r="Y818" i="1"/>
  <c r="Z818" i="1"/>
  <c r="AA818" i="1"/>
  <c r="AB818" i="1"/>
  <c r="A819" i="1"/>
  <c r="B819" i="1"/>
  <c r="C819" i="1"/>
  <c r="D819" i="1"/>
  <c r="E819" i="1"/>
  <c r="F819" i="1"/>
  <c r="G819" i="1"/>
  <c r="H819" i="1"/>
  <c r="I819" i="1"/>
  <c r="J819" i="1"/>
  <c r="K819" i="1"/>
  <c r="L819" i="1"/>
  <c r="M819" i="1"/>
  <c r="N819" i="1"/>
  <c r="O819" i="1"/>
  <c r="P819" i="1"/>
  <c r="Q819" i="1"/>
  <c r="R819" i="1"/>
  <c r="S819" i="1"/>
  <c r="T819" i="1"/>
  <c r="U819" i="1"/>
  <c r="V819" i="1"/>
  <c r="W819" i="1"/>
  <c r="X819" i="1"/>
  <c r="Y819" i="1"/>
  <c r="Z819" i="1"/>
  <c r="AA819" i="1"/>
  <c r="AB819" i="1"/>
  <c r="A820" i="1"/>
  <c r="B820" i="1"/>
  <c r="C820" i="1"/>
  <c r="D820" i="1"/>
  <c r="E820" i="1"/>
  <c r="F820" i="1"/>
  <c r="G820" i="1"/>
  <c r="H820" i="1"/>
  <c r="I820" i="1"/>
  <c r="J820" i="1"/>
  <c r="K820" i="1"/>
  <c r="L820" i="1"/>
  <c r="M820" i="1"/>
  <c r="N820" i="1"/>
  <c r="O820" i="1"/>
  <c r="P820" i="1"/>
  <c r="Q820" i="1"/>
  <c r="R820" i="1"/>
  <c r="S820" i="1"/>
  <c r="T820" i="1"/>
  <c r="U820" i="1"/>
  <c r="V820" i="1"/>
  <c r="W820" i="1"/>
  <c r="X820" i="1"/>
  <c r="Y820" i="1"/>
  <c r="Z820" i="1"/>
  <c r="AA820" i="1"/>
  <c r="AB820" i="1"/>
  <c r="A821" i="1"/>
  <c r="B821" i="1"/>
  <c r="C821" i="1"/>
  <c r="D821" i="1"/>
  <c r="E821" i="1"/>
  <c r="F821" i="1"/>
  <c r="G821" i="1"/>
  <c r="H821" i="1"/>
  <c r="I821" i="1"/>
  <c r="J821" i="1"/>
  <c r="K821" i="1"/>
  <c r="L821" i="1"/>
  <c r="M821" i="1"/>
  <c r="N821" i="1"/>
  <c r="O821" i="1"/>
  <c r="P821" i="1"/>
  <c r="Q821" i="1"/>
  <c r="R821" i="1"/>
  <c r="S821" i="1"/>
  <c r="T821" i="1"/>
  <c r="U821" i="1"/>
  <c r="V821" i="1"/>
  <c r="W821" i="1"/>
  <c r="X821" i="1"/>
  <c r="Y821" i="1"/>
  <c r="Z821" i="1"/>
  <c r="AA821" i="1"/>
  <c r="AB821" i="1"/>
  <c r="A822" i="1"/>
  <c r="B822" i="1"/>
  <c r="C822" i="1"/>
  <c r="D822" i="1"/>
  <c r="E822" i="1"/>
  <c r="F822" i="1"/>
  <c r="G822" i="1"/>
  <c r="H822" i="1"/>
  <c r="I822" i="1"/>
  <c r="J822" i="1"/>
  <c r="K822" i="1"/>
  <c r="L822" i="1"/>
  <c r="M822" i="1"/>
  <c r="N822" i="1"/>
  <c r="O822" i="1"/>
  <c r="P822" i="1"/>
  <c r="Q822" i="1"/>
  <c r="R822" i="1"/>
  <c r="S822" i="1"/>
  <c r="T822" i="1"/>
  <c r="U822" i="1"/>
  <c r="V822" i="1"/>
  <c r="W822" i="1"/>
  <c r="X822" i="1"/>
  <c r="Y822" i="1"/>
  <c r="Z822" i="1"/>
  <c r="AA822" i="1"/>
  <c r="AB822" i="1"/>
  <c r="A823" i="1"/>
  <c r="B823" i="1"/>
  <c r="C823" i="1"/>
  <c r="D823" i="1"/>
  <c r="E823" i="1"/>
  <c r="F823" i="1"/>
  <c r="G823" i="1"/>
  <c r="H823" i="1"/>
  <c r="I823" i="1"/>
  <c r="J823" i="1"/>
  <c r="K823" i="1"/>
  <c r="L823" i="1"/>
  <c r="M823" i="1"/>
  <c r="N823" i="1"/>
  <c r="O823" i="1"/>
  <c r="P823" i="1"/>
  <c r="Q823" i="1"/>
  <c r="R823" i="1"/>
  <c r="S823" i="1"/>
  <c r="T823" i="1"/>
  <c r="U823" i="1"/>
  <c r="V823" i="1"/>
  <c r="W823" i="1"/>
  <c r="X823" i="1"/>
  <c r="Y823" i="1"/>
  <c r="Z823" i="1"/>
  <c r="AA823" i="1"/>
  <c r="AB823" i="1"/>
  <c r="A824" i="1"/>
  <c r="B824" i="1"/>
  <c r="C824" i="1"/>
  <c r="D824" i="1"/>
  <c r="E824" i="1"/>
  <c r="F824" i="1"/>
  <c r="G824" i="1"/>
  <c r="H824" i="1"/>
  <c r="I824" i="1"/>
  <c r="J824" i="1"/>
  <c r="K824" i="1"/>
  <c r="L824" i="1"/>
  <c r="M824" i="1"/>
  <c r="N824" i="1"/>
  <c r="O824" i="1"/>
  <c r="P824" i="1"/>
  <c r="Q824" i="1"/>
  <c r="R824" i="1"/>
  <c r="S824" i="1"/>
  <c r="T824" i="1"/>
  <c r="U824" i="1"/>
  <c r="V824" i="1"/>
  <c r="W824" i="1"/>
  <c r="X824" i="1"/>
  <c r="Y824" i="1"/>
  <c r="Z824" i="1"/>
  <c r="AA824" i="1"/>
  <c r="AB824" i="1"/>
  <c r="A825" i="1"/>
  <c r="B825" i="1"/>
  <c r="C825" i="1"/>
  <c r="D825" i="1"/>
  <c r="E825" i="1"/>
  <c r="F825" i="1"/>
  <c r="G825" i="1"/>
  <c r="H825" i="1"/>
  <c r="I825" i="1"/>
  <c r="J825" i="1"/>
  <c r="K825" i="1"/>
  <c r="L825" i="1"/>
  <c r="M825" i="1"/>
  <c r="N825" i="1"/>
  <c r="O825" i="1"/>
  <c r="P825" i="1"/>
  <c r="Q825" i="1"/>
  <c r="R825" i="1"/>
  <c r="S825" i="1"/>
  <c r="T825" i="1"/>
  <c r="U825" i="1"/>
  <c r="V825" i="1"/>
  <c r="W825" i="1"/>
  <c r="X825" i="1"/>
  <c r="Y825" i="1"/>
  <c r="Z825" i="1"/>
  <c r="AA825" i="1"/>
  <c r="AB825" i="1"/>
  <c r="A826" i="1"/>
  <c r="B826" i="1"/>
  <c r="C826" i="1"/>
  <c r="D826" i="1"/>
  <c r="E826" i="1"/>
  <c r="F826" i="1"/>
  <c r="G826" i="1"/>
  <c r="H826" i="1"/>
  <c r="I826" i="1"/>
  <c r="J826" i="1"/>
  <c r="K826" i="1"/>
  <c r="L826" i="1"/>
  <c r="M826" i="1"/>
  <c r="N826" i="1"/>
  <c r="O826" i="1"/>
  <c r="P826" i="1"/>
  <c r="Q826" i="1"/>
  <c r="R826" i="1"/>
  <c r="S826" i="1"/>
  <c r="T826" i="1"/>
  <c r="U826" i="1"/>
  <c r="V826" i="1"/>
  <c r="W826" i="1"/>
  <c r="X826" i="1"/>
  <c r="Y826" i="1"/>
  <c r="Z826" i="1"/>
  <c r="AA826" i="1"/>
  <c r="AB826" i="1"/>
  <c r="A827" i="1"/>
  <c r="B827" i="1"/>
  <c r="C827" i="1"/>
  <c r="D827" i="1"/>
  <c r="E827" i="1"/>
  <c r="F827" i="1"/>
  <c r="G827" i="1"/>
  <c r="H827" i="1"/>
  <c r="I827" i="1"/>
  <c r="J827" i="1"/>
  <c r="K827" i="1"/>
  <c r="L827" i="1"/>
  <c r="M827" i="1"/>
  <c r="N827" i="1"/>
  <c r="O827" i="1"/>
  <c r="P827" i="1"/>
  <c r="Q827" i="1"/>
  <c r="R827" i="1"/>
  <c r="S827" i="1"/>
  <c r="T827" i="1"/>
  <c r="U827" i="1"/>
  <c r="V827" i="1"/>
  <c r="W827" i="1"/>
  <c r="X827" i="1"/>
  <c r="Y827" i="1"/>
  <c r="Z827" i="1"/>
  <c r="AA827" i="1"/>
  <c r="AB827" i="1"/>
  <c r="A828" i="1"/>
  <c r="B828" i="1"/>
  <c r="C828" i="1"/>
  <c r="D828" i="1"/>
  <c r="E828" i="1"/>
  <c r="F828" i="1"/>
  <c r="G828" i="1"/>
  <c r="H828" i="1"/>
  <c r="I828" i="1"/>
  <c r="J828" i="1"/>
  <c r="K828" i="1"/>
  <c r="L828" i="1"/>
  <c r="M828" i="1"/>
  <c r="N828" i="1"/>
  <c r="O828" i="1"/>
  <c r="P828" i="1"/>
  <c r="Q828" i="1"/>
  <c r="R828" i="1"/>
  <c r="S828" i="1"/>
  <c r="T828" i="1"/>
  <c r="U828" i="1"/>
  <c r="V828" i="1"/>
  <c r="W828" i="1"/>
  <c r="X828" i="1"/>
  <c r="Y828" i="1"/>
  <c r="Z828" i="1"/>
  <c r="AA828" i="1"/>
  <c r="AB828" i="1"/>
  <c r="A829" i="1"/>
  <c r="B829" i="1"/>
  <c r="C829" i="1"/>
  <c r="D829" i="1"/>
  <c r="E829" i="1"/>
  <c r="F829" i="1"/>
  <c r="G829" i="1"/>
  <c r="H829" i="1"/>
  <c r="I829" i="1"/>
  <c r="J829" i="1"/>
  <c r="K829" i="1"/>
  <c r="L829" i="1"/>
  <c r="M829" i="1"/>
  <c r="N829" i="1"/>
  <c r="O829" i="1"/>
  <c r="P829" i="1"/>
  <c r="Q829" i="1"/>
  <c r="R829" i="1"/>
  <c r="S829" i="1"/>
  <c r="T829" i="1"/>
  <c r="U829" i="1"/>
  <c r="V829" i="1"/>
  <c r="W829" i="1"/>
  <c r="X829" i="1"/>
  <c r="Y829" i="1"/>
  <c r="Z829" i="1"/>
  <c r="AA829" i="1"/>
  <c r="AB829" i="1"/>
  <c r="A830" i="1"/>
  <c r="B830" i="1"/>
  <c r="C830" i="1"/>
  <c r="D830" i="1"/>
  <c r="E830" i="1"/>
  <c r="F830" i="1"/>
  <c r="G830" i="1"/>
  <c r="H830" i="1"/>
  <c r="I830" i="1"/>
  <c r="J830" i="1"/>
  <c r="K830" i="1"/>
  <c r="L830" i="1"/>
  <c r="M830" i="1"/>
  <c r="N830" i="1"/>
  <c r="O830" i="1"/>
  <c r="P830" i="1"/>
  <c r="Q830" i="1"/>
  <c r="R830" i="1"/>
  <c r="S830" i="1"/>
  <c r="T830" i="1"/>
  <c r="U830" i="1"/>
  <c r="V830" i="1"/>
  <c r="W830" i="1"/>
  <c r="X830" i="1"/>
  <c r="Y830" i="1"/>
  <c r="Z830" i="1"/>
  <c r="AA830" i="1"/>
  <c r="AB830" i="1"/>
  <c r="A831" i="1"/>
  <c r="B831" i="1"/>
  <c r="C831" i="1"/>
  <c r="D831" i="1"/>
  <c r="E831" i="1"/>
  <c r="F831" i="1"/>
  <c r="G831" i="1"/>
  <c r="H831" i="1"/>
  <c r="I831" i="1"/>
  <c r="J831" i="1"/>
  <c r="K831" i="1"/>
  <c r="L831" i="1"/>
  <c r="M831" i="1"/>
  <c r="N831" i="1"/>
  <c r="O831" i="1"/>
  <c r="P831" i="1"/>
  <c r="Q831" i="1"/>
  <c r="R831" i="1"/>
  <c r="S831" i="1"/>
  <c r="T831" i="1"/>
  <c r="U831" i="1"/>
  <c r="V831" i="1"/>
  <c r="W831" i="1"/>
  <c r="X831" i="1"/>
  <c r="Y831" i="1"/>
  <c r="Z831" i="1"/>
  <c r="AA831" i="1"/>
  <c r="AB831" i="1"/>
  <c r="A832" i="1"/>
  <c r="B832" i="1"/>
  <c r="C832" i="1"/>
  <c r="D832" i="1"/>
  <c r="E832" i="1"/>
  <c r="F832" i="1"/>
  <c r="G832" i="1"/>
  <c r="H832" i="1"/>
  <c r="I832" i="1"/>
  <c r="J832" i="1"/>
  <c r="K832" i="1"/>
  <c r="L832" i="1"/>
  <c r="M832" i="1"/>
  <c r="N832" i="1"/>
  <c r="O832" i="1"/>
  <c r="P832" i="1"/>
  <c r="Q832" i="1"/>
  <c r="R832" i="1"/>
  <c r="S832" i="1"/>
  <c r="T832" i="1"/>
  <c r="U832" i="1"/>
  <c r="V832" i="1"/>
  <c r="W832" i="1"/>
  <c r="X832" i="1"/>
  <c r="Y832" i="1"/>
  <c r="Z832" i="1"/>
  <c r="AA832" i="1"/>
  <c r="AB832" i="1"/>
  <c r="A833" i="1"/>
  <c r="B833" i="1"/>
  <c r="C833" i="1"/>
  <c r="D833" i="1"/>
  <c r="E833" i="1"/>
  <c r="F833" i="1"/>
  <c r="G833" i="1"/>
  <c r="H833" i="1"/>
  <c r="I833" i="1"/>
  <c r="J833" i="1"/>
  <c r="K833" i="1"/>
  <c r="L833" i="1"/>
  <c r="M833" i="1"/>
  <c r="N833" i="1"/>
  <c r="O833" i="1"/>
  <c r="P833" i="1"/>
  <c r="Q833" i="1"/>
  <c r="R833" i="1"/>
  <c r="S833" i="1"/>
  <c r="T833" i="1"/>
  <c r="U833" i="1"/>
  <c r="V833" i="1"/>
  <c r="W833" i="1"/>
  <c r="X833" i="1"/>
  <c r="Y833" i="1"/>
  <c r="Z833" i="1"/>
  <c r="AA833" i="1"/>
  <c r="AB833" i="1"/>
  <c r="A834" i="1"/>
  <c r="B834" i="1"/>
  <c r="C834" i="1"/>
  <c r="D834" i="1"/>
  <c r="E834" i="1"/>
  <c r="F834" i="1"/>
  <c r="G834" i="1"/>
  <c r="H834" i="1"/>
  <c r="I834" i="1"/>
  <c r="J834" i="1"/>
  <c r="K834" i="1"/>
  <c r="L834" i="1"/>
  <c r="M834" i="1"/>
  <c r="N834" i="1"/>
  <c r="O834" i="1"/>
  <c r="P834" i="1"/>
  <c r="Q834" i="1"/>
  <c r="R834" i="1"/>
  <c r="S834" i="1"/>
  <c r="T834" i="1"/>
  <c r="U834" i="1"/>
  <c r="V834" i="1"/>
  <c r="W834" i="1"/>
  <c r="X834" i="1"/>
  <c r="Y834" i="1"/>
  <c r="Z834" i="1"/>
  <c r="AA834" i="1"/>
  <c r="AB834" i="1"/>
  <c r="A835" i="1"/>
  <c r="B835" i="1"/>
  <c r="C835" i="1"/>
  <c r="D835" i="1"/>
  <c r="E835" i="1"/>
  <c r="F835" i="1"/>
  <c r="G835" i="1"/>
  <c r="H835" i="1"/>
  <c r="I835" i="1"/>
  <c r="J835" i="1"/>
  <c r="K835" i="1"/>
  <c r="L835" i="1"/>
  <c r="M835" i="1"/>
  <c r="N835" i="1"/>
  <c r="O835" i="1"/>
  <c r="P835" i="1"/>
  <c r="Q835" i="1"/>
  <c r="R835" i="1"/>
  <c r="S835" i="1"/>
  <c r="T835" i="1"/>
  <c r="U835" i="1"/>
  <c r="V835" i="1"/>
  <c r="W835" i="1"/>
  <c r="X835" i="1"/>
  <c r="Y835" i="1"/>
  <c r="Z835" i="1"/>
  <c r="AA835" i="1"/>
  <c r="AB835" i="1"/>
  <c r="A836" i="1"/>
  <c r="B836" i="1"/>
  <c r="C836" i="1"/>
  <c r="D836" i="1"/>
  <c r="E836" i="1"/>
  <c r="F836" i="1"/>
  <c r="G836" i="1"/>
  <c r="H836" i="1"/>
  <c r="I836" i="1"/>
  <c r="J836" i="1"/>
  <c r="K836" i="1"/>
  <c r="L836" i="1"/>
  <c r="M836" i="1"/>
  <c r="N836" i="1"/>
  <c r="O836" i="1"/>
  <c r="P836" i="1"/>
  <c r="Q836" i="1"/>
  <c r="R836" i="1"/>
  <c r="S836" i="1"/>
  <c r="T836" i="1"/>
  <c r="U836" i="1"/>
  <c r="V836" i="1"/>
  <c r="W836" i="1"/>
  <c r="X836" i="1"/>
  <c r="Y836" i="1"/>
  <c r="Z836" i="1"/>
  <c r="AA836" i="1"/>
  <c r="AB836" i="1"/>
  <c r="A837" i="1"/>
  <c r="B837" i="1"/>
  <c r="C837" i="1"/>
  <c r="D837" i="1"/>
  <c r="E837" i="1"/>
  <c r="F837" i="1"/>
  <c r="G837" i="1"/>
  <c r="H837" i="1"/>
  <c r="I837" i="1"/>
  <c r="J837" i="1"/>
  <c r="K837" i="1"/>
  <c r="L837" i="1"/>
  <c r="M837" i="1"/>
  <c r="N837" i="1"/>
  <c r="O837" i="1"/>
  <c r="P837" i="1"/>
  <c r="Q837" i="1"/>
  <c r="R837" i="1"/>
  <c r="S837" i="1"/>
  <c r="T837" i="1"/>
  <c r="U837" i="1"/>
  <c r="V837" i="1"/>
  <c r="W837" i="1"/>
  <c r="X837" i="1"/>
  <c r="Y837" i="1"/>
  <c r="Z837" i="1"/>
  <c r="AA837" i="1"/>
  <c r="AB837" i="1"/>
  <c r="A838" i="1"/>
  <c r="B838" i="1"/>
  <c r="C838" i="1"/>
  <c r="D838" i="1"/>
  <c r="E838" i="1"/>
  <c r="F838" i="1"/>
  <c r="G838" i="1"/>
  <c r="H838" i="1"/>
  <c r="I838" i="1"/>
  <c r="J838" i="1"/>
  <c r="K838" i="1"/>
  <c r="L838" i="1"/>
  <c r="M838" i="1"/>
  <c r="N838" i="1"/>
  <c r="O838" i="1"/>
  <c r="P838" i="1"/>
  <c r="Q838" i="1"/>
  <c r="R838" i="1"/>
  <c r="S838" i="1"/>
  <c r="T838" i="1"/>
  <c r="U838" i="1"/>
  <c r="V838" i="1"/>
  <c r="W838" i="1"/>
  <c r="X838" i="1"/>
  <c r="Y838" i="1"/>
  <c r="Z838" i="1"/>
  <c r="AA838" i="1"/>
  <c r="AB838" i="1"/>
  <c r="A839" i="1"/>
  <c r="B839" i="1"/>
  <c r="C839" i="1"/>
  <c r="D839" i="1"/>
  <c r="E839" i="1"/>
  <c r="F839" i="1"/>
  <c r="G839" i="1"/>
  <c r="H839" i="1"/>
  <c r="I839" i="1"/>
  <c r="J839" i="1"/>
  <c r="K839" i="1"/>
  <c r="L839" i="1"/>
  <c r="M839" i="1"/>
  <c r="N839" i="1"/>
  <c r="O839" i="1"/>
  <c r="P839" i="1"/>
  <c r="Q839" i="1"/>
  <c r="R839" i="1"/>
  <c r="S839" i="1"/>
  <c r="T839" i="1"/>
  <c r="U839" i="1"/>
  <c r="V839" i="1"/>
  <c r="W839" i="1"/>
  <c r="X839" i="1"/>
  <c r="Y839" i="1"/>
  <c r="Z839" i="1"/>
  <c r="AA839" i="1"/>
  <c r="AB839" i="1"/>
  <c r="A840" i="1"/>
  <c r="B840" i="1"/>
  <c r="C840" i="1"/>
  <c r="D840" i="1"/>
  <c r="E840" i="1"/>
  <c r="F840" i="1"/>
  <c r="G840" i="1"/>
  <c r="H840" i="1"/>
  <c r="I840" i="1"/>
  <c r="J840" i="1"/>
  <c r="K840" i="1"/>
  <c r="L840" i="1"/>
  <c r="M840" i="1"/>
  <c r="N840" i="1"/>
  <c r="O840" i="1"/>
  <c r="P840" i="1"/>
  <c r="Q840" i="1"/>
  <c r="R840" i="1"/>
  <c r="S840" i="1"/>
  <c r="T840" i="1"/>
  <c r="U840" i="1"/>
  <c r="V840" i="1"/>
  <c r="W840" i="1"/>
  <c r="X840" i="1"/>
  <c r="Y840" i="1"/>
  <c r="Z840" i="1"/>
  <c r="AA840" i="1"/>
  <c r="AB840" i="1"/>
  <c r="A841" i="1"/>
  <c r="B841" i="1"/>
  <c r="C841" i="1"/>
  <c r="D841" i="1"/>
  <c r="E841" i="1"/>
  <c r="F841" i="1"/>
  <c r="G841" i="1"/>
  <c r="H841" i="1"/>
  <c r="I841" i="1"/>
  <c r="J841" i="1"/>
  <c r="K841" i="1"/>
  <c r="L841" i="1"/>
  <c r="M841" i="1"/>
  <c r="N841" i="1"/>
  <c r="O841" i="1"/>
  <c r="P841" i="1"/>
  <c r="Q841" i="1"/>
  <c r="R841" i="1"/>
  <c r="S841" i="1"/>
  <c r="T841" i="1"/>
  <c r="U841" i="1"/>
  <c r="V841" i="1"/>
  <c r="W841" i="1"/>
  <c r="X841" i="1"/>
  <c r="Y841" i="1"/>
  <c r="Z841" i="1"/>
  <c r="AA841" i="1"/>
  <c r="AB841" i="1"/>
  <c r="A842" i="1"/>
  <c r="B842" i="1"/>
  <c r="C842" i="1"/>
  <c r="D842" i="1"/>
  <c r="E842" i="1"/>
  <c r="F842" i="1"/>
  <c r="G842" i="1"/>
  <c r="H842" i="1"/>
  <c r="I842" i="1"/>
  <c r="J842" i="1"/>
  <c r="K842" i="1"/>
  <c r="L842" i="1"/>
  <c r="M842" i="1"/>
  <c r="N842" i="1"/>
  <c r="O842" i="1"/>
  <c r="P842" i="1"/>
  <c r="Q842" i="1"/>
  <c r="R842" i="1"/>
  <c r="S842" i="1"/>
  <c r="T842" i="1"/>
  <c r="U842" i="1"/>
  <c r="V842" i="1"/>
  <c r="W842" i="1"/>
  <c r="X842" i="1"/>
  <c r="Y842" i="1"/>
  <c r="Z842" i="1"/>
  <c r="AA842" i="1"/>
  <c r="AB842" i="1"/>
  <c r="A843" i="1"/>
  <c r="B843" i="1"/>
  <c r="C843" i="1"/>
  <c r="D843" i="1"/>
  <c r="E843" i="1"/>
  <c r="F843" i="1"/>
  <c r="G843" i="1"/>
  <c r="H843" i="1"/>
  <c r="I843" i="1"/>
  <c r="J843" i="1"/>
  <c r="K843" i="1"/>
  <c r="L843" i="1"/>
  <c r="M843" i="1"/>
  <c r="N843" i="1"/>
  <c r="O843" i="1"/>
  <c r="P843" i="1"/>
  <c r="Q843" i="1"/>
  <c r="R843" i="1"/>
  <c r="S843" i="1"/>
  <c r="T843" i="1"/>
  <c r="U843" i="1"/>
  <c r="V843" i="1"/>
  <c r="W843" i="1"/>
  <c r="X843" i="1"/>
  <c r="Y843" i="1"/>
  <c r="Z843" i="1"/>
  <c r="AA843" i="1"/>
  <c r="AB843" i="1"/>
  <c r="A844" i="1"/>
  <c r="B844" i="1"/>
  <c r="C844" i="1"/>
  <c r="D844" i="1"/>
  <c r="E844" i="1"/>
  <c r="F844" i="1"/>
  <c r="G844" i="1"/>
  <c r="H844" i="1"/>
  <c r="I844" i="1"/>
  <c r="J844" i="1"/>
  <c r="K844" i="1"/>
  <c r="L844" i="1"/>
  <c r="M844" i="1"/>
  <c r="N844" i="1"/>
  <c r="O844" i="1"/>
  <c r="P844" i="1"/>
  <c r="Q844" i="1"/>
  <c r="R844" i="1"/>
  <c r="S844" i="1"/>
  <c r="T844" i="1"/>
  <c r="U844" i="1"/>
  <c r="V844" i="1"/>
  <c r="W844" i="1"/>
  <c r="X844" i="1"/>
  <c r="Y844" i="1"/>
  <c r="Z844" i="1"/>
  <c r="AA844" i="1"/>
  <c r="AB844" i="1"/>
  <c r="A845" i="1"/>
  <c r="B845" i="1"/>
  <c r="C845" i="1"/>
  <c r="D845" i="1"/>
  <c r="E845" i="1"/>
  <c r="F845" i="1"/>
  <c r="G845" i="1"/>
  <c r="H845" i="1"/>
  <c r="I845" i="1"/>
  <c r="J845" i="1"/>
  <c r="K845" i="1"/>
  <c r="L845" i="1"/>
  <c r="M845" i="1"/>
  <c r="N845" i="1"/>
  <c r="O845" i="1"/>
  <c r="P845" i="1"/>
  <c r="Q845" i="1"/>
  <c r="R845" i="1"/>
  <c r="S845" i="1"/>
  <c r="T845" i="1"/>
  <c r="U845" i="1"/>
  <c r="V845" i="1"/>
  <c r="W845" i="1"/>
  <c r="X845" i="1"/>
  <c r="Y845" i="1"/>
  <c r="Z845" i="1"/>
  <c r="AA845" i="1"/>
  <c r="AB845" i="1"/>
  <c r="A846" i="1"/>
  <c r="B846" i="1"/>
  <c r="C846" i="1"/>
  <c r="D846" i="1"/>
  <c r="E846" i="1"/>
  <c r="F846" i="1"/>
  <c r="G846" i="1"/>
  <c r="H846" i="1"/>
  <c r="I846" i="1"/>
  <c r="J846" i="1"/>
  <c r="K846" i="1"/>
  <c r="L846" i="1"/>
  <c r="M846" i="1"/>
  <c r="N846" i="1"/>
  <c r="O846" i="1"/>
  <c r="P846" i="1"/>
  <c r="Q846" i="1"/>
  <c r="R846" i="1"/>
  <c r="S846" i="1"/>
  <c r="T846" i="1"/>
  <c r="U846" i="1"/>
  <c r="V846" i="1"/>
  <c r="W846" i="1"/>
  <c r="X846" i="1"/>
  <c r="Y846" i="1"/>
  <c r="Z846" i="1"/>
  <c r="AA846" i="1"/>
  <c r="AB846" i="1"/>
  <c r="A847" i="1"/>
  <c r="B847" i="1"/>
  <c r="C847" i="1"/>
  <c r="D847" i="1"/>
  <c r="E847" i="1"/>
  <c r="F847" i="1"/>
  <c r="G847" i="1"/>
  <c r="H847" i="1"/>
  <c r="I847" i="1"/>
  <c r="J847" i="1"/>
  <c r="K847" i="1"/>
  <c r="L847" i="1"/>
  <c r="M847" i="1"/>
  <c r="N847" i="1"/>
  <c r="O847" i="1"/>
  <c r="P847" i="1"/>
  <c r="Q847" i="1"/>
  <c r="R847" i="1"/>
  <c r="S847" i="1"/>
  <c r="T847" i="1"/>
  <c r="U847" i="1"/>
  <c r="V847" i="1"/>
  <c r="W847" i="1"/>
  <c r="X847" i="1"/>
  <c r="Y847" i="1"/>
  <c r="Z847" i="1"/>
  <c r="AA847" i="1"/>
  <c r="AB847" i="1"/>
  <c r="A848" i="1"/>
  <c r="B848" i="1"/>
  <c r="C848" i="1"/>
  <c r="D848" i="1"/>
  <c r="E848" i="1"/>
  <c r="F848" i="1"/>
  <c r="G848" i="1"/>
  <c r="H848" i="1"/>
  <c r="I848" i="1"/>
  <c r="J848" i="1"/>
  <c r="K848" i="1"/>
  <c r="L848" i="1"/>
  <c r="M848" i="1"/>
  <c r="N848" i="1"/>
  <c r="O848" i="1"/>
  <c r="P848" i="1"/>
  <c r="Q848" i="1"/>
  <c r="R848" i="1"/>
  <c r="S848" i="1"/>
  <c r="T848" i="1"/>
  <c r="U848" i="1"/>
  <c r="V848" i="1"/>
  <c r="W848" i="1"/>
  <c r="X848" i="1"/>
  <c r="Y848" i="1"/>
  <c r="Z848" i="1"/>
  <c r="AA848" i="1"/>
  <c r="AB848" i="1"/>
  <c r="A849" i="1"/>
  <c r="B849" i="1"/>
  <c r="C849" i="1"/>
  <c r="D849" i="1"/>
  <c r="E849" i="1"/>
  <c r="F849" i="1"/>
  <c r="G849" i="1"/>
  <c r="H849" i="1"/>
  <c r="I849" i="1"/>
  <c r="J849" i="1"/>
  <c r="K849" i="1"/>
  <c r="L849" i="1"/>
  <c r="M849" i="1"/>
  <c r="N849" i="1"/>
  <c r="O849" i="1"/>
  <c r="P849" i="1"/>
  <c r="Q849" i="1"/>
  <c r="R849" i="1"/>
  <c r="S849" i="1"/>
  <c r="T849" i="1"/>
  <c r="U849" i="1"/>
  <c r="V849" i="1"/>
  <c r="W849" i="1"/>
  <c r="X849" i="1"/>
  <c r="Y849" i="1"/>
  <c r="Z849" i="1"/>
  <c r="AA849" i="1"/>
  <c r="AB849" i="1"/>
  <c r="A850" i="1"/>
  <c r="B850" i="1"/>
  <c r="C850" i="1"/>
  <c r="D850" i="1"/>
  <c r="E850" i="1"/>
  <c r="F850" i="1"/>
  <c r="G850" i="1"/>
  <c r="H850" i="1"/>
  <c r="I850" i="1"/>
  <c r="J850" i="1"/>
  <c r="K850" i="1"/>
  <c r="L850" i="1"/>
  <c r="M850" i="1"/>
  <c r="N850" i="1"/>
  <c r="O850" i="1"/>
  <c r="P850" i="1"/>
  <c r="Q850" i="1"/>
  <c r="R850" i="1"/>
  <c r="S850" i="1"/>
  <c r="T850" i="1"/>
  <c r="U850" i="1"/>
  <c r="V850" i="1"/>
  <c r="W850" i="1"/>
  <c r="X850" i="1"/>
  <c r="Y850" i="1"/>
  <c r="Z850" i="1"/>
  <c r="AA850" i="1"/>
  <c r="AB850" i="1"/>
  <c r="A851" i="1"/>
  <c r="B851" i="1"/>
  <c r="C851" i="1"/>
  <c r="D851" i="1"/>
  <c r="E851" i="1"/>
  <c r="F851" i="1"/>
  <c r="G851" i="1"/>
  <c r="H851" i="1"/>
  <c r="I851" i="1"/>
  <c r="J851" i="1"/>
  <c r="K851" i="1"/>
  <c r="L851" i="1"/>
  <c r="M851" i="1"/>
  <c r="N851" i="1"/>
  <c r="O851" i="1"/>
  <c r="P851" i="1"/>
  <c r="Q851" i="1"/>
  <c r="R851" i="1"/>
  <c r="S851" i="1"/>
  <c r="T851" i="1"/>
  <c r="U851" i="1"/>
  <c r="V851" i="1"/>
  <c r="W851" i="1"/>
  <c r="X851" i="1"/>
  <c r="Y851" i="1"/>
  <c r="Z851" i="1"/>
  <c r="AA851" i="1"/>
  <c r="AB851" i="1"/>
  <c r="A852" i="1"/>
  <c r="B852" i="1"/>
  <c r="C852" i="1"/>
  <c r="D852" i="1"/>
  <c r="E852" i="1"/>
  <c r="F852" i="1"/>
  <c r="G852" i="1"/>
  <c r="H852" i="1"/>
  <c r="I852" i="1"/>
  <c r="J852" i="1"/>
  <c r="K852" i="1"/>
  <c r="L852" i="1"/>
  <c r="M852" i="1"/>
  <c r="N852" i="1"/>
  <c r="O852" i="1"/>
  <c r="P852" i="1"/>
  <c r="Q852" i="1"/>
  <c r="R852" i="1"/>
  <c r="S852" i="1"/>
  <c r="T852" i="1"/>
  <c r="U852" i="1"/>
  <c r="V852" i="1"/>
  <c r="W852" i="1"/>
  <c r="X852" i="1"/>
  <c r="Y852" i="1"/>
  <c r="Z852" i="1"/>
  <c r="AA852" i="1"/>
  <c r="AB852" i="1"/>
  <c r="A853" i="1"/>
  <c r="B853" i="1"/>
  <c r="C853" i="1"/>
  <c r="D853" i="1"/>
  <c r="E853" i="1"/>
  <c r="F853" i="1"/>
  <c r="G853" i="1"/>
  <c r="H853" i="1"/>
  <c r="I853" i="1"/>
  <c r="J853" i="1"/>
  <c r="K853" i="1"/>
  <c r="L853" i="1"/>
  <c r="M853" i="1"/>
  <c r="N853" i="1"/>
  <c r="O853" i="1"/>
  <c r="P853" i="1"/>
  <c r="Q853" i="1"/>
  <c r="R853" i="1"/>
  <c r="S853" i="1"/>
  <c r="T853" i="1"/>
  <c r="U853" i="1"/>
  <c r="V853" i="1"/>
  <c r="W853" i="1"/>
  <c r="X853" i="1"/>
  <c r="Y853" i="1"/>
  <c r="Z853" i="1"/>
  <c r="AA853" i="1"/>
  <c r="AB853" i="1"/>
  <c r="A854" i="1"/>
  <c r="B854" i="1"/>
  <c r="C854" i="1"/>
  <c r="D854" i="1"/>
  <c r="E854" i="1"/>
  <c r="F854" i="1"/>
  <c r="G854" i="1"/>
  <c r="H854" i="1"/>
  <c r="I854" i="1"/>
  <c r="J854" i="1"/>
  <c r="K854" i="1"/>
  <c r="L854" i="1"/>
  <c r="M854" i="1"/>
  <c r="N854" i="1"/>
  <c r="O854" i="1"/>
  <c r="P854" i="1"/>
  <c r="Q854" i="1"/>
  <c r="R854" i="1"/>
  <c r="S854" i="1"/>
  <c r="T854" i="1"/>
  <c r="U854" i="1"/>
  <c r="V854" i="1"/>
  <c r="W854" i="1"/>
  <c r="X854" i="1"/>
  <c r="Y854" i="1"/>
  <c r="Z854" i="1"/>
  <c r="AA854" i="1"/>
  <c r="AB854" i="1"/>
  <c r="A855" i="1"/>
  <c r="B855" i="1"/>
  <c r="C855" i="1"/>
  <c r="D855" i="1"/>
  <c r="E855" i="1"/>
  <c r="F855" i="1"/>
  <c r="G855" i="1"/>
  <c r="H855" i="1"/>
  <c r="I855" i="1"/>
  <c r="J855" i="1"/>
  <c r="K855" i="1"/>
  <c r="L855" i="1"/>
  <c r="M855" i="1"/>
  <c r="N855" i="1"/>
  <c r="O855" i="1"/>
  <c r="P855" i="1"/>
  <c r="Q855" i="1"/>
  <c r="R855" i="1"/>
  <c r="S855" i="1"/>
  <c r="T855" i="1"/>
  <c r="U855" i="1"/>
  <c r="V855" i="1"/>
  <c r="W855" i="1"/>
  <c r="X855" i="1"/>
  <c r="Y855" i="1"/>
  <c r="Z855" i="1"/>
  <c r="AA855" i="1"/>
  <c r="AB855" i="1"/>
  <c r="A856" i="1"/>
  <c r="B856" i="1"/>
  <c r="C856" i="1"/>
  <c r="D856" i="1"/>
  <c r="E856" i="1"/>
  <c r="F856" i="1"/>
  <c r="G856" i="1"/>
  <c r="H856" i="1"/>
  <c r="I856" i="1"/>
  <c r="J856" i="1"/>
  <c r="K856" i="1"/>
  <c r="L856" i="1"/>
  <c r="M856" i="1"/>
  <c r="N856" i="1"/>
  <c r="O856" i="1"/>
  <c r="P856" i="1"/>
  <c r="Q856" i="1"/>
  <c r="R856" i="1"/>
  <c r="S856" i="1"/>
  <c r="T856" i="1"/>
  <c r="U856" i="1"/>
  <c r="V856" i="1"/>
  <c r="W856" i="1"/>
  <c r="X856" i="1"/>
  <c r="Y856" i="1"/>
  <c r="Z856" i="1"/>
  <c r="AA856" i="1"/>
  <c r="AB856" i="1"/>
  <c r="A857" i="1"/>
  <c r="B857" i="1"/>
  <c r="C857" i="1"/>
  <c r="D857" i="1"/>
  <c r="E857" i="1"/>
  <c r="F857" i="1"/>
  <c r="G857" i="1"/>
  <c r="H857" i="1"/>
  <c r="I857" i="1"/>
  <c r="J857" i="1"/>
  <c r="K857" i="1"/>
  <c r="L857" i="1"/>
  <c r="M857" i="1"/>
  <c r="N857" i="1"/>
  <c r="O857" i="1"/>
  <c r="P857" i="1"/>
  <c r="Q857" i="1"/>
  <c r="R857" i="1"/>
  <c r="S857" i="1"/>
  <c r="T857" i="1"/>
  <c r="U857" i="1"/>
  <c r="V857" i="1"/>
  <c r="W857" i="1"/>
  <c r="X857" i="1"/>
  <c r="Y857" i="1"/>
  <c r="Z857" i="1"/>
  <c r="AA857" i="1"/>
  <c r="AB857" i="1"/>
  <c r="A858" i="1"/>
  <c r="B858" i="1"/>
  <c r="C858" i="1"/>
  <c r="D858" i="1"/>
  <c r="E858" i="1"/>
  <c r="F858" i="1"/>
  <c r="G858" i="1"/>
  <c r="H858" i="1"/>
  <c r="I858" i="1"/>
  <c r="J858" i="1"/>
  <c r="K858" i="1"/>
  <c r="L858" i="1"/>
  <c r="M858" i="1"/>
  <c r="N858" i="1"/>
  <c r="O858" i="1"/>
  <c r="P858" i="1"/>
  <c r="Q858" i="1"/>
  <c r="R858" i="1"/>
  <c r="S858" i="1"/>
  <c r="T858" i="1"/>
  <c r="U858" i="1"/>
  <c r="V858" i="1"/>
  <c r="W858" i="1"/>
  <c r="X858" i="1"/>
  <c r="Y858" i="1"/>
  <c r="Z858" i="1"/>
  <c r="AA858" i="1"/>
  <c r="AB858" i="1"/>
  <c r="A859" i="1"/>
  <c r="B859" i="1"/>
  <c r="C859" i="1"/>
  <c r="D859" i="1"/>
  <c r="E859" i="1"/>
  <c r="F859" i="1"/>
  <c r="G859" i="1"/>
  <c r="H859" i="1"/>
  <c r="I859" i="1"/>
  <c r="J859" i="1"/>
  <c r="K859" i="1"/>
  <c r="L859" i="1"/>
  <c r="M859" i="1"/>
  <c r="N859" i="1"/>
  <c r="O859" i="1"/>
  <c r="P859" i="1"/>
  <c r="Q859" i="1"/>
  <c r="R859" i="1"/>
  <c r="S859" i="1"/>
  <c r="T859" i="1"/>
  <c r="U859" i="1"/>
  <c r="V859" i="1"/>
  <c r="W859" i="1"/>
  <c r="X859" i="1"/>
  <c r="Y859" i="1"/>
  <c r="Z859" i="1"/>
  <c r="AA859" i="1"/>
  <c r="AB859" i="1"/>
  <c r="A860" i="1"/>
  <c r="B860" i="1"/>
  <c r="C860" i="1"/>
  <c r="D860" i="1"/>
  <c r="E860" i="1"/>
  <c r="F860" i="1"/>
  <c r="G860" i="1"/>
  <c r="H860" i="1"/>
  <c r="I860" i="1"/>
  <c r="J860" i="1"/>
  <c r="K860" i="1"/>
  <c r="L860" i="1"/>
  <c r="M860" i="1"/>
  <c r="N860" i="1"/>
  <c r="O860" i="1"/>
  <c r="P860" i="1"/>
  <c r="Q860" i="1"/>
  <c r="R860" i="1"/>
  <c r="S860" i="1"/>
  <c r="T860" i="1"/>
  <c r="U860" i="1"/>
  <c r="V860" i="1"/>
  <c r="W860" i="1"/>
  <c r="X860" i="1"/>
  <c r="Y860" i="1"/>
  <c r="Z860" i="1"/>
  <c r="AA860" i="1"/>
  <c r="AB860" i="1"/>
  <c r="A861" i="1"/>
  <c r="B861" i="1"/>
  <c r="C861" i="1"/>
  <c r="D861" i="1"/>
  <c r="E861" i="1"/>
  <c r="F861" i="1"/>
  <c r="G861" i="1"/>
  <c r="H861" i="1"/>
  <c r="I861" i="1"/>
  <c r="J861" i="1"/>
  <c r="K861" i="1"/>
  <c r="L861" i="1"/>
  <c r="M861" i="1"/>
  <c r="N861" i="1"/>
  <c r="O861" i="1"/>
  <c r="P861" i="1"/>
  <c r="Q861" i="1"/>
  <c r="R861" i="1"/>
  <c r="S861" i="1"/>
  <c r="T861" i="1"/>
  <c r="U861" i="1"/>
  <c r="V861" i="1"/>
  <c r="W861" i="1"/>
  <c r="X861" i="1"/>
  <c r="Y861" i="1"/>
  <c r="Z861" i="1"/>
  <c r="AA861" i="1"/>
  <c r="AB861" i="1"/>
  <c r="A862" i="1"/>
  <c r="B862" i="1"/>
  <c r="C862" i="1"/>
  <c r="D862" i="1"/>
  <c r="E862" i="1"/>
  <c r="F862" i="1"/>
  <c r="G862" i="1"/>
  <c r="H862" i="1"/>
  <c r="I862" i="1"/>
  <c r="J862" i="1"/>
  <c r="K862" i="1"/>
  <c r="L862" i="1"/>
  <c r="M862" i="1"/>
  <c r="N862" i="1"/>
  <c r="O862" i="1"/>
  <c r="P862" i="1"/>
  <c r="Q862" i="1"/>
  <c r="R862" i="1"/>
  <c r="S862" i="1"/>
  <c r="T862" i="1"/>
  <c r="U862" i="1"/>
  <c r="V862" i="1"/>
  <c r="W862" i="1"/>
  <c r="X862" i="1"/>
  <c r="Y862" i="1"/>
  <c r="Z862" i="1"/>
  <c r="AA862" i="1"/>
  <c r="AB862" i="1"/>
  <c r="A863" i="1"/>
  <c r="B863" i="1"/>
  <c r="C863" i="1"/>
  <c r="D863" i="1"/>
  <c r="E863" i="1"/>
  <c r="F863" i="1"/>
  <c r="G863" i="1"/>
  <c r="H863" i="1"/>
  <c r="I863" i="1"/>
  <c r="J863" i="1"/>
  <c r="K863" i="1"/>
  <c r="L863" i="1"/>
  <c r="M863" i="1"/>
  <c r="N863" i="1"/>
  <c r="O863" i="1"/>
  <c r="P863" i="1"/>
  <c r="Q863" i="1"/>
  <c r="R863" i="1"/>
  <c r="S863" i="1"/>
  <c r="T863" i="1"/>
  <c r="U863" i="1"/>
  <c r="V863" i="1"/>
  <c r="W863" i="1"/>
  <c r="X863" i="1"/>
  <c r="Y863" i="1"/>
  <c r="Z863" i="1"/>
  <c r="AA863" i="1"/>
  <c r="AB863" i="1"/>
  <c r="A864" i="1"/>
  <c r="B864" i="1"/>
  <c r="C864" i="1"/>
  <c r="D864" i="1"/>
  <c r="E864" i="1"/>
  <c r="F864" i="1"/>
  <c r="G864" i="1"/>
  <c r="H864" i="1"/>
  <c r="I864" i="1"/>
  <c r="J864" i="1"/>
  <c r="K864" i="1"/>
  <c r="L864" i="1"/>
  <c r="M864" i="1"/>
  <c r="N864" i="1"/>
  <c r="O864" i="1"/>
  <c r="P864" i="1"/>
  <c r="Q864" i="1"/>
  <c r="R864" i="1"/>
  <c r="S864" i="1"/>
  <c r="T864" i="1"/>
  <c r="U864" i="1"/>
  <c r="V864" i="1"/>
  <c r="W864" i="1"/>
  <c r="X864" i="1"/>
  <c r="Y864" i="1"/>
  <c r="Z864" i="1"/>
  <c r="AA864" i="1"/>
  <c r="AB864" i="1"/>
  <c r="A865" i="1"/>
  <c r="B865" i="1"/>
  <c r="C865" i="1"/>
  <c r="D865" i="1"/>
  <c r="E865" i="1"/>
  <c r="F865" i="1"/>
  <c r="G865" i="1"/>
  <c r="H865" i="1"/>
  <c r="I865" i="1"/>
  <c r="J865" i="1"/>
  <c r="K865" i="1"/>
  <c r="L865" i="1"/>
  <c r="M865" i="1"/>
  <c r="N865" i="1"/>
  <c r="O865" i="1"/>
  <c r="P865" i="1"/>
  <c r="Q865" i="1"/>
  <c r="R865" i="1"/>
  <c r="S865" i="1"/>
  <c r="T865" i="1"/>
  <c r="U865" i="1"/>
  <c r="V865" i="1"/>
  <c r="W865" i="1"/>
  <c r="X865" i="1"/>
  <c r="Y865" i="1"/>
  <c r="Z865" i="1"/>
  <c r="AA865" i="1"/>
  <c r="AB865" i="1"/>
  <c r="A866" i="1"/>
  <c r="B866" i="1"/>
  <c r="C866" i="1"/>
  <c r="D866" i="1"/>
  <c r="E866" i="1"/>
  <c r="F866" i="1"/>
  <c r="G866" i="1"/>
  <c r="H866" i="1"/>
  <c r="I866" i="1"/>
  <c r="J866" i="1"/>
  <c r="K866" i="1"/>
  <c r="L866" i="1"/>
  <c r="M866" i="1"/>
  <c r="N866" i="1"/>
  <c r="O866" i="1"/>
  <c r="P866" i="1"/>
  <c r="Q866" i="1"/>
  <c r="R866" i="1"/>
  <c r="S866" i="1"/>
  <c r="T866" i="1"/>
  <c r="U866" i="1"/>
  <c r="V866" i="1"/>
  <c r="W866" i="1"/>
  <c r="X866" i="1"/>
  <c r="Y866" i="1"/>
  <c r="Z866" i="1"/>
  <c r="AA866" i="1"/>
  <c r="AB866" i="1"/>
  <c r="A867" i="1"/>
  <c r="B867" i="1"/>
  <c r="C867" i="1"/>
  <c r="D867" i="1"/>
  <c r="E867" i="1"/>
  <c r="F867" i="1"/>
  <c r="G867" i="1"/>
  <c r="H867" i="1"/>
  <c r="I867" i="1"/>
  <c r="J867" i="1"/>
  <c r="K867" i="1"/>
  <c r="L867" i="1"/>
  <c r="M867" i="1"/>
  <c r="N867" i="1"/>
  <c r="O867" i="1"/>
  <c r="P867" i="1"/>
  <c r="Q867" i="1"/>
  <c r="R867" i="1"/>
  <c r="S867" i="1"/>
  <c r="T867" i="1"/>
  <c r="U867" i="1"/>
  <c r="V867" i="1"/>
  <c r="W867" i="1"/>
  <c r="X867" i="1"/>
  <c r="Y867" i="1"/>
  <c r="Z867" i="1"/>
  <c r="AA867" i="1"/>
  <c r="AB867" i="1"/>
  <c r="A868" i="1"/>
  <c r="B868" i="1"/>
  <c r="C868" i="1"/>
  <c r="D868" i="1"/>
  <c r="E868" i="1"/>
  <c r="F868" i="1"/>
  <c r="G868" i="1"/>
  <c r="H868" i="1"/>
  <c r="I868" i="1"/>
  <c r="J868" i="1"/>
  <c r="K868" i="1"/>
  <c r="L868" i="1"/>
  <c r="M868" i="1"/>
  <c r="N868" i="1"/>
  <c r="O868" i="1"/>
  <c r="P868" i="1"/>
  <c r="Q868" i="1"/>
  <c r="R868" i="1"/>
  <c r="S868" i="1"/>
  <c r="T868" i="1"/>
  <c r="U868" i="1"/>
  <c r="V868" i="1"/>
  <c r="W868" i="1"/>
  <c r="X868" i="1"/>
  <c r="Y868" i="1"/>
  <c r="Z868" i="1"/>
  <c r="AA868" i="1"/>
  <c r="AB868" i="1"/>
  <c r="A869" i="1"/>
  <c r="B869" i="1"/>
  <c r="C869" i="1"/>
  <c r="D869" i="1"/>
  <c r="E869" i="1"/>
  <c r="F869" i="1"/>
  <c r="G869" i="1"/>
  <c r="H869" i="1"/>
  <c r="I869" i="1"/>
  <c r="J869" i="1"/>
  <c r="K869" i="1"/>
  <c r="L869" i="1"/>
  <c r="M869" i="1"/>
  <c r="N869" i="1"/>
  <c r="O869" i="1"/>
  <c r="P869" i="1"/>
  <c r="Q869" i="1"/>
  <c r="R869" i="1"/>
  <c r="S869" i="1"/>
  <c r="T869" i="1"/>
  <c r="U869" i="1"/>
  <c r="V869" i="1"/>
  <c r="W869" i="1"/>
  <c r="X869" i="1"/>
  <c r="Y869" i="1"/>
  <c r="Z869" i="1"/>
  <c r="AA869" i="1"/>
  <c r="AB869" i="1"/>
  <c r="A870" i="1"/>
  <c r="B870" i="1"/>
  <c r="C870" i="1"/>
  <c r="D870" i="1"/>
  <c r="E870" i="1"/>
  <c r="F870" i="1"/>
  <c r="G870" i="1"/>
  <c r="H870" i="1"/>
  <c r="I870" i="1"/>
  <c r="J870" i="1"/>
  <c r="K870" i="1"/>
  <c r="L870" i="1"/>
  <c r="M870" i="1"/>
  <c r="N870" i="1"/>
  <c r="O870" i="1"/>
  <c r="P870" i="1"/>
  <c r="Q870" i="1"/>
  <c r="R870" i="1"/>
  <c r="S870" i="1"/>
  <c r="T870" i="1"/>
  <c r="U870" i="1"/>
  <c r="V870" i="1"/>
  <c r="W870" i="1"/>
  <c r="X870" i="1"/>
  <c r="Y870" i="1"/>
  <c r="Z870" i="1"/>
  <c r="AA870" i="1"/>
  <c r="AB870" i="1"/>
  <c r="A871" i="1"/>
  <c r="B871" i="1"/>
  <c r="C871" i="1"/>
  <c r="D871" i="1"/>
  <c r="E871" i="1"/>
  <c r="F871" i="1"/>
  <c r="G871" i="1"/>
  <c r="H871" i="1"/>
  <c r="I871" i="1"/>
  <c r="J871" i="1"/>
  <c r="K871" i="1"/>
  <c r="L871" i="1"/>
  <c r="M871" i="1"/>
  <c r="N871" i="1"/>
  <c r="O871" i="1"/>
  <c r="P871" i="1"/>
  <c r="Q871" i="1"/>
  <c r="R871" i="1"/>
  <c r="S871" i="1"/>
  <c r="T871" i="1"/>
  <c r="U871" i="1"/>
  <c r="V871" i="1"/>
  <c r="W871" i="1"/>
  <c r="X871" i="1"/>
  <c r="Y871" i="1"/>
  <c r="Z871" i="1"/>
  <c r="AA871" i="1"/>
  <c r="AB871" i="1"/>
  <c r="A872" i="1"/>
  <c r="B872" i="1"/>
  <c r="C872" i="1"/>
  <c r="D872" i="1"/>
  <c r="E872" i="1"/>
  <c r="F872" i="1"/>
  <c r="G872" i="1"/>
  <c r="H872" i="1"/>
  <c r="I872" i="1"/>
  <c r="J872" i="1"/>
  <c r="K872" i="1"/>
  <c r="L872" i="1"/>
  <c r="M872" i="1"/>
  <c r="N872" i="1"/>
  <c r="O872" i="1"/>
  <c r="P872" i="1"/>
  <c r="Q872" i="1"/>
  <c r="R872" i="1"/>
  <c r="S872" i="1"/>
  <c r="T872" i="1"/>
  <c r="U872" i="1"/>
  <c r="V872" i="1"/>
  <c r="W872" i="1"/>
  <c r="X872" i="1"/>
  <c r="Y872" i="1"/>
  <c r="Z872" i="1"/>
  <c r="AA872" i="1"/>
  <c r="AB872" i="1"/>
  <c r="A873" i="1"/>
  <c r="B873" i="1"/>
  <c r="C873" i="1"/>
  <c r="D873" i="1"/>
  <c r="E873" i="1"/>
  <c r="F873" i="1"/>
  <c r="G873" i="1"/>
  <c r="H873" i="1"/>
  <c r="I873" i="1"/>
  <c r="J873" i="1"/>
  <c r="K873" i="1"/>
  <c r="L873" i="1"/>
  <c r="M873" i="1"/>
  <c r="N873" i="1"/>
  <c r="O873" i="1"/>
  <c r="P873" i="1"/>
  <c r="Q873" i="1"/>
  <c r="R873" i="1"/>
  <c r="S873" i="1"/>
  <c r="T873" i="1"/>
  <c r="U873" i="1"/>
  <c r="V873" i="1"/>
  <c r="W873" i="1"/>
  <c r="X873" i="1"/>
  <c r="Y873" i="1"/>
  <c r="Z873" i="1"/>
  <c r="AA873" i="1"/>
  <c r="AB873" i="1"/>
  <c r="A874" i="1"/>
  <c r="B874" i="1"/>
  <c r="C874" i="1"/>
  <c r="D874" i="1"/>
  <c r="E874" i="1"/>
  <c r="F874" i="1"/>
  <c r="G874" i="1"/>
  <c r="H874" i="1"/>
  <c r="I874" i="1"/>
  <c r="J874" i="1"/>
  <c r="K874" i="1"/>
  <c r="L874" i="1"/>
  <c r="M874" i="1"/>
  <c r="N874" i="1"/>
  <c r="O874" i="1"/>
  <c r="P874" i="1"/>
  <c r="Q874" i="1"/>
  <c r="R874" i="1"/>
  <c r="S874" i="1"/>
  <c r="T874" i="1"/>
  <c r="U874" i="1"/>
  <c r="V874" i="1"/>
  <c r="W874" i="1"/>
  <c r="X874" i="1"/>
  <c r="Y874" i="1"/>
  <c r="Z874" i="1"/>
  <c r="AA874" i="1"/>
  <c r="AB874" i="1"/>
  <c r="A875" i="1"/>
  <c r="B875" i="1"/>
  <c r="C875" i="1"/>
  <c r="D875" i="1"/>
  <c r="E875" i="1"/>
  <c r="F875" i="1"/>
  <c r="G875" i="1"/>
  <c r="H875" i="1"/>
  <c r="I875" i="1"/>
  <c r="J875" i="1"/>
  <c r="K875" i="1"/>
  <c r="L875" i="1"/>
  <c r="M875" i="1"/>
  <c r="N875" i="1"/>
  <c r="O875" i="1"/>
  <c r="P875" i="1"/>
  <c r="Q875" i="1"/>
  <c r="R875" i="1"/>
  <c r="S875" i="1"/>
  <c r="T875" i="1"/>
  <c r="U875" i="1"/>
  <c r="V875" i="1"/>
  <c r="W875" i="1"/>
  <c r="X875" i="1"/>
  <c r="Y875" i="1"/>
  <c r="Z875" i="1"/>
  <c r="AA875" i="1"/>
  <c r="AB875" i="1"/>
  <c r="A876" i="1"/>
  <c r="B876" i="1"/>
  <c r="C876" i="1"/>
  <c r="D876" i="1"/>
  <c r="E876" i="1"/>
  <c r="F876" i="1"/>
  <c r="G876" i="1"/>
  <c r="H876" i="1"/>
  <c r="I876" i="1"/>
  <c r="J876" i="1"/>
  <c r="K876" i="1"/>
  <c r="L876" i="1"/>
  <c r="M876" i="1"/>
  <c r="N876" i="1"/>
  <c r="O876" i="1"/>
  <c r="P876" i="1"/>
  <c r="Q876" i="1"/>
  <c r="R876" i="1"/>
  <c r="S876" i="1"/>
  <c r="T876" i="1"/>
  <c r="U876" i="1"/>
  <c r="V876" i="1"/>
  <c r="W876" i="1"/>
  <c r="X876" i="1"/>
  <c r="Y876" i="1"/>
  <c r="Z876" i="1"/>
  <c r="AA876" i="1"/>
  <c r="AB876" i="1"/>
  <c r="A877" i="1"/>
  <c r="B877" i="1"/>
  <c r="C877" i="1"/>
  <c r="D877" i="1"/>
  <c r="E877" i="1"/>
  <c r="F877" i="1"/>
  <c r="G877" i="1"/>
  <c r="H877" i="1"/>
  <c r="I877" i="1"/>
  <c r="J877" i="1"/>
  <c r="K877" i="1"/>
  <c r="L877" i="1"/>
  <c r="M877" i="1"/>
  <c r="N877" i="1"/>
  <c r="O877" i="1"/>
  <c r="P877" i="1"/>
  <c r="Q877" i="1"/>
  <c r="R877" i="1"/>
  <c r="S877" i="1"/>
  <c r="T877" i="1"/>
  <c r="U877" i="1"/>
  <c r="V877" i="1"/>
  <c r="W877" i="1"/>
  <c r="X877" i="1"/>
  <c r="Y877" i="1"/>
  <c r="Z877" i="1"/>
  <c r="AA877" i="1"/>
  <c r="AB877" i="1"/>
  <c r="A878" i="1"/>
  <c r="B878" i="1"/>
  <c r="C878" i="1"/>
  <c r="D878" i="1"/>
  <c r="E878" i="1"/>
  <c r="F878" i="1"/>
  <c r="G878" i="1"/>
  <c r="H878" i="1"/>
  <c r="I878" i="1"/>
  <c r="J878" i="1"/>
  <c r="K878" i="1"/>
  <c r="L878" i="1"/>
  <c r="M878" i="1"/>
  <c r="N878" i="1"/>
  <c r="O878" i="1"/>
  <c r="P878" i="1"/>
  <c r="Q878" i="1"/>
  <c r="R878" i="1"/>
  <c r="S878" i="1"/>
  <c r="T878" i="1"/>
  <c r="U878" i="1"/>
  <c r="V878" i="1"/>
  <c r="W878" i="1"/>
  <c r="X878" i="1"/>
  <c r="Y878" i="1"/>
  <c r="Z878" i="1"/>
  <c r="AA878" i="1"/>
  <c r="AB878" i="1"/>
  <c r="A879" i="1"/>
  <c r="B879" i="1"/>
  <c r="C879" i="1"/>
  <c r="D879" i="1"/>
  <c r="E879" i="1"/>
  <c r="F879" i="1"/>
  <c r="G879" i="1"/>
  <c r="H879" i="1"/>
  <c r="I879" i="1"/>
  <c r="J879" i="1"/>
  <c r="K879" i="1"/>
  <c r="L879" i="1"/>
  <c r="M879" i="1"/>
  <c r="N879" i="1"/>
  <c r="O879" i="1"/>
  <c r="P879" i="1"/>
  <c r="Q879" i="1"/>
  <c r="R879" i="1"/>
  <c r="S879" i="1"/>
  <c r="T879" i="1"/>
  <c r="U879" i="1"/>
  <c r="V879" i="1"/>
  <c r="W879" i="1"/>
  <c r="X879" i="1"/>
  <c r="Y879" i="1"/>
  <c r="Z879" i="1"/>
  <c r="AA879" i="1"/>
  <c r="AB879" i="1"/>
  <c r="A880" i="1"/>
  <c r="B880" i="1"/>
  <c r="C880" i="1"/>
  <c r="D880" i="1"/>
  <c r="E880" i="1"/>
  <c r="F880" i="1"/>
  <c r="G880" i="1"/>
  <c r="H880" i="1"/>
  <c r="I880" i="1"/>
  <c r="J880" i="1"/>
  <c r="K880" i="1"/>
  <c r="L880" i="1"/>
  <c r="M880" i="1"/>
  <c r="N880" i="1"/>
  <c r="O880" i="1"/>
  <c r="P880" i="1"/>
  <c r="Q880" i="1"/>
  <c r="R880" i="1"/>
  <c r="S880" i="1"/>
  <c r="T880" i="1"/>
  <c r="U880" i="1"/>
  <c r="V880" i="1"/>
  <c r="W880" i="1"/>
  <c r="X880" i="1"/>
  <c r="Y880" i="1"/>
  <c r="Z880" i="1"/>
  <c r="AA880" i="1"/>
  <c r="AB880" i="1"/>
  <c r="A881" i="1"/>
  <c r="B881" i="1"/>
  <c r="C881" i="1"/>
  <c r="D881" i="1"/>
  <c r="E881" i="1"/>
  <c r="F881" i="1"/>
  <c r="G881" i="1"/>
  <c r="H881" i="1"/>
  <c r="I881" i="1"/>
  <c r="J881" i="1"/>
  <c r="K881" i="1"/>
  <c r="L881" i="1"/>
  <c r="M881" i="1"/>
  <c r="N881" i="1"/>
  <c r="O881" i="1"/>
  <c r="P881" i="1"/>
  <c r="Q881" i="1"/>
  <c r="R881" i="1"/>
  <c r="S881" i="1"/>
  <c r="T881" i="1"/>
  <c r="U881" i="1"/>
  <c r="V881" i="1"/>
  <c r="W881" i="1"/>
  <c r="X881" i="1"/>
  <c r="Y881" i="1"/>
  <c r="Z881" i="1"/>
  <c r="AA881" i="1"/>
  <c r="AB881" i="1"/>
  <c r="A882" i="1"/>
  <c r="B882" i="1"/>
  <c r="C882" i="1"/>
  <c r="D882" i="1"/>
  <c r="E882" i="1"/>
  <c r="F882" i="1"/>
  <c r="G882" i="1"/>
  <c r="H882" i="1"/>
  <c r="I882" i="1"/>
  <c r="J882" i="1"/>
  <c r="K882" i="1"/>
  <c r="L882" i="1"/>
  <c r="M882" i="1"/>
  <c r="N882" i="1"/>
  <c r="O882" i="1"/>
  <c r="P882" i="1"/>
  <c r="Q882" i="1"/>
  <c r="R882" i="1"/>
  <c r="S882" i="1"/>
  <c r="T882" i="1"/>
  <c r="U882" i="1"/>
  <c r="V882" i="1"/>
  <c r="W882" i="1"/>
  <c r="X882" i="1"/>
  <c r="Y882" i="1"/>
  <c r="Z882" i="1"/>
  <c r="AA882" i="1"/>
  <c r="AB882" i="1"/>
  <c r="A883" i="1"/>
  <c r="B883" i="1"/>
  <c r="C883" i="1"/>
  <c r="D883" i="1"/>
  <c r="E883" i="1"/>
  <c r="F883" i="1"/>
  <c r="G883" i="1"/>
  <c r="H883" i="1"/>
  <c r="I883" i="1"/>
  <c r="J883" i="1"/>
  <c r="K883" i="1"/>
  <c r="L883" i="1"/>
  <c r="M883" i="1"/>
  <c r="N883" i="1"/>
  <c r="O883" i="1"/>
  <c r="P883" i="1"/>
  <c r="Q883" i="1"/>
  <c r="R883" i="1"/>
  <c r="S883" i="1"/>
  <c r="T883" i="1"/>
  <c r="U883" i="1"/>
  <c r="V883" i="1"/>
  <c r="W883" i="1"/>
  <c r="X883" i="1"/>
  <c r="Y883" i="1"/>
  <c r="Z883" i="1"/>
  <c r="AA883" i="1"/>
  <c r="AB883" i="1"/>
  <c r="A884" i="1"/>
  <c r="B884" i="1"/>
  <c r="C884" i="1"/>
  <c r="D884" i="1"/>
  <c r="E884" i="1"/>
  <c r="F884" i="1"/>
  <c r="G884" i="1"/>
  <c r="H884" i="1"/>
  <c r="I884" i="1"/>
  <c r="J884" i="1"/>
  <c r="K884" i="1"/>
  <c r="L884" i="1"/>
  <c r="M884" i="1"/>
  <c r="N884" i="1"/>
  <c r="O884" i="1"/>
  <c r="P884" i="1"/>
  <c r="Q884" i="1"/>
  <c r="R884" i="1"/>
  <c r="S884" i="1"/>
  <c r="T884" i="1"/>
  <c r="U884" i="1"/>
  <c r="V884" i="1"/>
  <c r="W884" i="1"/>
  <c r="X884" i="1"/>
  <c r="Y884" i="1"/>
  <c r="Z884" i="1"/>
  <c r="AA884" i="1"/>
  <c r="AB884" i="1"/>
  <c r="A885" i="1"/>
  <c r="B885" i="1"/>
  <c r="C885" i="1"/>
  <c r="D885" i="1"/>
  <c r="E885" i="1"/>
  <c r="F885" i="1"/>
  <c r="G885" i="1"/>
  <c r="H885" i="1"/>
  <c r="I885" i="1"/>
  <c r="J885" i="1"/>
  <c r="K885" i="1"/>
  <c r="L885" i="1"/>
  <c r="M885" i="1"/>
  <c r="N885" i="1"/>
  <c r="O885" i="1"/>
  <c r="P885" i="1"/>
  <c r="Q885" i="1"/>
  <c r="R885" i="1"/>
  <c r="S885" i="1"/>
  <c r="T885" i="1"/>
  <c r="U885" i="1"/>
  <c r="V885" i="1"/>
  <c r="W885" i="1"/>
  <c r="X885" i="1"/>
  <c r="Y885" i="1"/>
  <c r="Z885" i="1"/>
  <c r="AA885" i="1"/>
  <c r="AB885" i="1"/>
  <c r="A886" i="1"/>
  <c r="B886" i="1"/>
  <c r="C886" i="1"/>
  <c r="D886" i="1"/>
  <c r="E886" i="1"/>
  <c r="F886" i="1"/>
  <c r="G886" i="1"/>
  <c r="H886" i="1"/>
  <c r="I886" i="1"/>
  <c r="J886" i="1"/>
  <c r="K886" i="1"/>
  <c r="L886" i="1"/>
  <c r="M886" i="1"/>
  <c r="N886" i="1"/>
  <c r="O886" i="1"/>
  <c r="P886" i="1"/>
  <c r="Q886" i="1"/>
  <c r="R886" i="1"/>
  <c r="S886" i="1"/>
  <c r="T886" i="1"/>
  <c r="U886" i="1"/>
  <c r="V886" i="1"/>
  <c r="W886" i="1"/>
  <c r="X886" i="1"/>
  <c r="Y886" i="1"/>
  <c r="Z886" i="1"/>
  <c r="AA886" i="1"/>
  <c r="AB886" i="1"/>
  <c r="A887" i="1"/>
  <c r="B887" i="1"/>
  <c r="C887" i="1"/>
  <c r="D887" i="1"/>
  <c r="E887" i="1"/>
  <c r="F887" i="1"/>
  <c r="G887" i="1"/>
  <c r="H887" i="1"/>
  <c r="I887" i="1"/>
  <c r="J887" i="1"/>
  <c r="K887" i="1"/>
  <c r="L887" i="1"/>
  <c r="M887" i="1"/>
  <c r="N887" i="1"/>
  <c r="O887" i="1"/>
  <c r="P887" i="1"/>
  <c r="Q887" i="1"/>
  <c r="R887" i="1"/>
  <c r="S887" i="1"/>
  <c r="T887" i="1"/>
  <c r="U887" i="1"/>
  <c r="V887" i="1"/>
  <c r="W887" i="1"/>
  <c r="X887" i="1"/>
  <c r="Y887" i="1"/>
  <c r="Z887" i="1"/>
  <c r="AA887" i="1"/>
  <c r="AB887" i="1"/>
  <c r="A888" i="1"/>
  <c r="B888" i="1"/>
  <c r="C888" i="1"/>
  <c r="D888" i="1"/>
  <c r="E888" i="1"/>
  <c r="F888" i="1"/>
  <c r="G888" i="1"/>
  <c r="H888" i="1"/>
  <c r="I888" i="1"/>
  <c r="J888" i="1"/>
  <c r="K888" i="1"/>
  <c r="L888" i="1"/>
  <c r="M888" i="1"/>
  <c r="N888" i="1"/>
  <c r="O888" i="1"/>
  <c r="P888" i="1"/>
  <c r="Q888" i="1"/>
  <c r="R888" i="1"/>
  <c r="S888" i="1"/>
  <c r="T888" i="1"/>
  <c r="U888" i="1"/>
  <c r="V888" i="1"/>
  <c r="W888" i="1"/>
  <c r="X888" i="1"/>
  <c r="Y888" i="1"/>
  <c r="Z888" i="1"/>
  <c r="AA888" i="1"/>
  <c r="AB888" i="1"/>
  <c r="A889" i="1"/>
  <c r="B889" i="1"/>
  <c r="C889" i="1"/>
  <c r="D889" i="1"/>
  <c r="E889" i="1"/>
  <c r="F889" i="1"/>
  <c r="G889" i="1"/>
  <c r="H889" i="1"/>
  <c r="I889" i="1"/>
  <c r="J889" i="1"/>
  <c r="K889" i="1"/>
  <c r="L889" i="1"/>
  <c r="M889" i="1"/>
  <c r="N889" i="1"/>
  <c r="O889" i="1"/>
  <c r="P889" i="1"/>
  <c r="Q889" i="1"/>
  <c r="R889" i="1"/>
  <c r="S889" i="1"/>
  <c r="T889" i="1"/>
  <c r="U889" i="1"/>
  <c r="V889" i="1"/>
  <c r="W889" i="1"/>
  <c r="X889" i="1"/>
  <c r="Y889" i="1"/>
  <c r="Z889" i="1"/>
  <c r="AA889" i="1"/>
  <c r="AB889" i="1"/>
  <c r="A890" i="1"/>
  <c r="B890" i="1"/>
  <c r="C890" i="1"/>
  <c r="D890" i="1"/>
  <c r="E890" i="1"/>
  <c r="F890" i="1"/>
  <c r="G890" i="1"/>
  <c r="H890" i="1"/>
  <c r="I890" i="1"/>
  <c r="J890" i="1"/>
  <c r="K890" i="1"/>
  <c r="L890" i="1"/>
  <c r="M890" i="1"/>
  <c r="N890" i="1"/>
  <c r="O890" i="1"/>
  <c r="P890" i="1"/>
  <c r="Q890" i="1"/>
  <c r="R890" i="1"/>
  <c r="S890" i="1"/>
  <c r="T890" i="1"/>
  <c r="U890" i="1"/>
  <c r="V890" i="1"/>
  <c r="W890" i="1"/>
  <c r="X890" i="1"/>
  <c r="Y890" i="1"/>
  <c r="Z890" i="1"/>
  <c r="AA890" i="1"/>
  <c r="AB890" i="1"/>
  <c r="A891" i="1"/>
  <c r="B891" i="1"/>
  <c r="C891" i="1"/>
  <c r="D891" i="1"/>
  <c r="E891" i="1"/>
  <c r="F891" i="1"/>
  <c r="G891" i="1"/>
  <c r="H891" i="1"/>
  <c r="I891" i="1"/>
  <c r="J891" i="1"/>
  <c r="K891" i="1"/>
  <c r="L891" i="1"/>
  <c r="M891" i="1"/>
  <c r="N891" i="1"/>
  <c r="O891" i="1"/>
  <c r="P891" i="1"/>
  <c r="Q891" i="1"/>
  <c r="R891" i="1"/>
  <c r="S891" i="1"/>
  <c r="T891" i="1"/>
  <c r="U891" i="1"/>
  <c r="V891" i="1"/>
  <c r="W891" i="1"/>
  <c r="X891" i="1"/>
  <c r="Y891" i="1"/>
  <c r="Z891" i="1"/>
  <c r="AA891" i="1"/>
  <c r="AB891" i="1"/>
  <c r="A892" i="1"/>
  <c r="B892" i="1"/>
  <c r="C892" i="1"/>
  <c r="D892" i="1"/>
  <c r="E892" i="1"/>
  <c r="F892" i="1"/>
  <c r="G892" i="1"/>
  <c r="H892" i="1"/>
  <c r="I892" i="1"/>
  <c r="J892" i="1"/>
  <c r="K892" i="1"/>
  <c r="L892" i="1"/>
  <c r="M892" i="1"/>
  <c r="N892" i="1"/>
  <c r="O892" i="1"/>
  <c r="P892" i="1"/>
  <c r="Q892" i="1"/>
  <c r="R892" i="1"/>
  <c r="S892" i="1"/>
  <c r="T892" i="1"/>
  <c r="U892" i="1"/>
  <c r="V892" i="1"/>
  <c r="W892" i="1"/>
  <c r="X892" i="1"/>
  <c r="Y892" i="1"/>
  <c r="Z892" i="1"/>
  <c r="AA892" i="1"/>
  <c r="AB892" i="1"/>
  <c r="A893" i="1"/>
  <c r="B893" i="1"/>
  <c r="C893" i="1"/>
  <c r="D893" i="1"/>
  <c r="E893" i="1"/>
  <c r="F893" i="1"/>
  <c r="G893" i="1"/>
  <c r="H893" i="1"/>
  <c r="I893" i="1"/>
  <c r="J893" i="1"/>
  <c r="K893" i="1"/>
  <c r="L893" i="1"/>
  <c r="M893" i="1"/>
  <c r="N893" i="1"/>
  <c r="O893" i="1"/>
  <c r="P893" i="1"/>
  <c r="Q893" i="1"/>
  <c r="R893" i="1"/>
  <c r="S893" i="1"/>
  <c r="T893" i="1"/>
  <c r="U893" i="1"/>
  <c r="V893" i="1"/>
  <c r="W893" i="1"/>
  <c r="X893" i="1"/>
  <c r="Y893" i="1"/>
  <c r="Z893" i="1"/>
  <c r="AA893" i="1"/>
  <c r="AB893" i="1"/>
  <c r="A894" i="1"/>
  <c r="B894" i="1"/>
  <c r="C894" i="1"/>
  <c r="D894" i="1"/>
  <c r="E894" i="1"/>
  <c r="F894" i="1"/>
  <c r="G894" i="1"/>
  <c r="H894" i="1"/>
  <c r="I894" i="1"/>
  <c r="J894" i="1"/>
  <c r="K894" i="1"/>
  <c r="L894" i="1"/>
  <c r="M894" i="1"/>
  <c r="N894" i="1"/>
  <c r="O894" i="1"/>
  <c r="P894" i="1"/>
  <c r="Q894" i="1"/>
  <c r="R894" i="1"/>
  <c r="S894" i="1"/>
  <c r="T894" i="1"/>
  <c r="U894" i="1"/>
  <c r="V894" i="1"/>
  <c r="W894" i="1"/>
  <c r="X894" i="1"/>
  <c r="Y894" i="1"/>
  <c r="Z894" i="1"/>
  <c r="AA894" i="1"/>
  <c r="AB894" i="1"/>
  <c r="A895" i="1"/>
  <c r="B895" i="1"/>
  <c r="C895" i="1"/>
  <c r="D895" i="1"/>
  <c r="E895" i="1"/>
  <c r="F895" i="1"/>
  <c r="G895" i="1"/>
  <c r="H895" i="1"/>
  <c r="I895" i="1"/>
  <c r="J895" i="1"/>
  <c r="K895" i="1"/>
  <c r="L895" i="1"/>
  <c r="M895" i="1"/>
  <c r="N895" i="1"/>
  <c r="O895" i="1"/>
  <c r="P895" i="1"/>
  <c r="Q895" i="1"/>
  <c r="R895" i="1"/>
  <c r="S895" i="1"/>
  <c r="T895" i="1"/>
  <c r="U895" i="1"/>
  <c r="V895" i="1"/>
  <c r="W895" i="1"/>
  <c r="X895" i="1"/>
  <c r="Y895" i="1"/>
  <c r="Z895" i="1"/>
  <c r="AA895" i="1"/>
  <c r="AB895" i="1"/>
  <c r="A896" i="1"/>
  <c r="B896" i="1"/>
  <c r="C896" i="1"/>
  <c r="D896" i="1"/>
  <c r="E896" i="1"/>
  <c r="F896" i="1"/>
  <c r="G896" i="1"/>
  <c r="H896" i="1"/>
  <c r="I896" i="1"/>
  <c r="J896" i="1"/>
  <c r="K896" i="1"/>
  <c r="L896" i="1"/>
  <c r="M896" i="1"/>
  <c r="N896" i="1"/>
  <c r="O896" i="1"/>
  <c r="P896" i="1"/>
  <c r="Q896" i="1"/>
  <c r="R896" i="1"/>
  <c r="S896" i="1"/>
  <c r="T896" i="1"/>
  <c r="U896" i="1"/>
  <c r="V896" i="1"/>
  <c r="W896" i="1"/>
  <c r="X896" i="1"/>
  <c r="Y896" i="1"/>
  <c r="Z896" i="1"/>
  <c r="AA896" i="1"/>
  <c r="AB896" i="1"/>
  <c r="A897" i="1"/>
  <c r="B897" i="1"/>
  <c r="C897" i="1"/>
  <c r="D897" i="1"/>
  <c r="E897" i="1"/>
  <c r="F897" i="1"/>
  <c r="G897" i="1"/>
  <c r="H897" i="1"/>
  <c r="I897" i="1"/>
  <c r="J897" i="1"/>
  <c r="K897" i="1"/>
  <c r="L897" i="1"/>
  <c r="M897" i="1"/>
  <c r="N897" i="1"/>
  <c r="O897" i="1"/>
  <c r="P897" i="1"/>
  <c r="Q897" i="1"/>
  <c r="R897" i="1"/>
  <c r="S897" i="1"/>
  <c r="T897" i="1"/>
  <c r="U897" i="1"/>
  <c r="V897" i="1"/>
  <c r="W897" i="1"/>
  <c r="X897" i="1"/>
  <c r="Y897" i="1"/>
  <c r="Z897" i="1"/>
  <c r="AA897" i="1"/>
  <c r="AB897" i="1"/>
  <c r="A898" i="1"/>
  <c r="B898" i="1"/>
  <c r="C898" i="1"/>
  <c r="D898" i="1"/>
  <c r="E898" i="1"/>
  <c r="F898" i="1"/>
  <c r="G898" i="1"/>
  <c r="H898" i="1"/>
  <c r="I898" i="1"/>
  <c r="J898" i="1"/>
  <c r="K898" i="1"/>
  <c r="L898" i="1"/>
  <c r="M898" i="1"/>
  <c r="N898" i="1"/>
  <c r="O898" i="1"/>
  <c r="P898" i="1"/>
  <c r="Q898" i="1"/>
  <c r="R898" i="1"/>
  <c r="S898" i="1"/>
  <c r="T898" i="1"/>
  <c r="U898" i="1"/>
  <c r="V898" i="1"/>
  <c r="W898" i="1"/>
  <c r="X898" i="1"/>
  <c r="Y898" i="1"/>
  <c r="Z898" i="1"/>
  <c r="AA898" i="1"/>
  <c r="AB898" i="1"/>
  <c r="A899" i="1"/>
  <c r="B899" i="1"/>
  <c r="C899" i="1"/>
  <c r="D899" i="1"/>
  <c r="E899" i="1"/>
  <c r="F899" i="1"/>
  <c r="G899" i="1"/>
  <c r="H899" i="1"/>
  <c r="I899" i="1"/>
  <c r="J899" i="1"/>
  <c r="K899" i="1"/>
  <c r="L899" i="1"/>
  <c r="M899" i="1"/>
  <c r="N899" i="1"/>
  <c r="O899" i="1"/>
  <c r="P899" i="1"/>
  <c r="Q899" i="1"/>
  <c r="R899" i="1"/>
  <c r="S899" i="1"/>
  <c r="T899" i="1"/>
  <c r="U899" i="1"/>
  <c r="V899" i="1"/>
  <c r="W899" i="1"/>
  <c r="X899" i="1"/>
  <c r="Y899" i="1"/>
  <c r="Z899" i="1"/>
  <c r="AA899" i="1"/>
  <c r="AB899" i="1"/>
  <c r="A900" i="1"/>
  <c r="B900" i="1"/>
  <c r="C900" i="1"/>
  <c r="D900" i="1"/>
  <c r="E900" i="1"/>
  <c r="F900" i="1"/>
  <c r="G900" i="1"/>
  <c r="H900" i="1"/>
  <c r="I900" i="1"/>
  <c r="J900" i="1"/>
  <c r="K900" i="1"/>
  <c r="L900" i="1"/>
  <c r="M900" i="1"/>
  <c r="N900" i="1"/>
  <c r="O900" i="1"/>
  <c r="P900" i="1"/>
  <c r="Q900" i="1"/>
  <c r="R900" i="1"/>
  <c r="S900" i="1"/>
  <c r="T900" i="1"/>
  <c r="U900" i="1"/>
  <c r="V900" i="1"/>
  <c r="W900" i="1"/>
  <c r="X900" i="1"/>
  <c r="Y900" i="1"/>
  <c r="Z900" i="1"/>
  <c r="AA900" i="1"/>
  <c r="AB900" i="1"/>
  <c r="A901" i="1"/>
  <c r="B901" i="1"/>
  <c r="C901" i="1"/>
  <c r="D901" i="1"/>
  <c r="E901" i="1"/>
  <c r="F901" i="1"/>
  <c r="G901" i="1"/>
  <c r="H901" i="1"/>
  <c r="I901" i="1"/>
  <c r="J901" i="1"/>
  <c r="K901" i="1"/>
  <c r="L901" i="1"/>
  <c r="M901" i="1"/>
  <c r="N901" i="1"/>
  <c r="O901" i="1"/>
  <c r="P901" i="1"/>
  <c r="Q901" i="1"/>
  <c r="R901" i="1"/>
  <c r="S901" i="1"/>
  <c r="T901" i="1"/>
  <c r="U901" i="1"/>
  <c r="V901" i="1"/>
  <c r="W901" i="1"/>
  <c r="X901" i="1"/>
  <c r="Y901" i="1"/>
  <c r="Z901" i="1"/>
  <c r="AA901" i="1"/>
  <c r="AB901" i="1"/>
  <c r="A902" i="1"/>
  <c r="B902" i="1"/>
  <c r="C902" i="1"/>
  <c r="D902" i="1"/>
  <c r="E902" i="1"/>
  <c r="F902" i="1"/>
  <c r="G902" i="1"/>
  <c r="H902" i="1"/>
  <c r="I902" i="1"/>
  <c r="J902" i="1"/>
  <c r="K902" i="1"/>
  <c r="L902" i="1"/>
  <c r="M902" i="1"/>
  <c r="N902" i="1"/>
  <c r="O902" i="1"/>
  <c r="P902" i="1"/>
  <c r="Q902" i="1"/>
  <c r="R902" i="1"/>
  <c r="S902" i="1"/>
  <c r="T902" i="1"/>
  <c r="U902" i="1"/>
  <c r="V902" i="1"/>
  <c r="W902" i="1"/>
  <c r="X902" i="1"/>
  <c r="Y902" i="1"/>
  <c r="Z902" i="1"/>
  <c r="AA902" i="1"/>
  <c r="AB902" i="1"/>
  <c r="A903" i="1"/>
  <c r="B903" i="1"/>
  <c r="C903" i="1"/>
  <c r="D903" i="1"/>
  <c r="E903" i="1"/>
  <c r="F903" i="1"/>
  <c r="G903" i="1"/>
  <c r="H903" i="1"/>
  <c r="I903" i="1"/>
  <c r="J903" i="1"/>
  <c r="K903" i="1"/>
  <c r="L903" i="1"/>
  <c r="M903" i="1"/>
  <c r="N903" i="1"/>
  <c r="O903" i="1"/>
  <c r="P903" i="1"/>
  <c r="Q903" i="1"/>
  <c r="R903" i="1"/>
  <c r="S903" i="1"/>
  <c r="T903" i="1"/>
  <c r="U903" i="1"/>
  <c r="V903" i="1"/>
  <c r="W903" i="1"/>
  <c r="X903" i="1"/>
  <c r="Y903" i="1"/>
  <c r="Z903" i="1"/>
  <c r="AA903" i="1"/>
  <c r="AB903" i="1"/>
  <c r="A904" i="1"/>
  <c r="B904" i="1"/>
  <c r="C904" i="1"/>
  <c r="D904" i="1"/>
  <c r="E904" i="1"/>
  <c r="F904" i="1"/>
  <c r="G904" i="1"/>
  <c r="H904" i="1"/>
  <c r="I904" i="1"/>
  <c r="J904" i="1"/>
  <c r="K904" i="1"/>
  <c r="L904" i="1"/>
  <c r="M904" i="1"/>
  <c r="N904" i="1"/>
  <c r="O904" i="1"/>
  <c r="P904" i="1"/>
  <c r="Q904" i="1"/>
  <c r="R904" i="1"/>
  <c r="S904" i="1"/>
  <c r="T904" i="1"/>
  <c r="U904" i="1"/>
  <c r="V904" i="1"/>
  <c r="W904" i="1"/>
  <c r="X904" i="1"/>
  <c r="Y904" i="1"/>
  <c r="Z904" i="1"/>
  <c r="AA904" i="1"/>
  <c r="AB904" i="1"/>
  <c r="A905" i="1"/>
  <c r="B905" i="1"/>
  <c r="C905" i="1"/>
  <c r="D905" i="1"/>
  <c r="E905" i="1"/>
  <c r="F905" i="1"/>
  <c r="G905" i="1"/>
  <c r="H905" i="1"/>
  <c r="I905" i="1"/>
  <c r="J905" i="1"/>
  <c r="K905" i="1"/>
  <c r="L905" i="1"/>
  <c r="M905" i="1"/>
  <c r="N905" i="1"/>
  <c r="O905" i="1"/>
  <c r="P905" i="1"/>
  <c r="Q905" i="1"/>
  <c r="R905" i="1"/>
  <c r="S905" i="1"/>
  <c r="T905" i="1"/>
  <c r="U905" i="1"/>
  <c r="V905" i="1"/>
  <c r="W905" i="1"/>
  <c r="X905" i="1"/>
  <c r="Y905" i="1"/>
  <c r="Z905" i="1"/>
  <c r="AA905" i="1"/>
  <c r="AB905" i="1"/>
  <c r="A906" i="1"/>
  <c r="B906" i="1"/>
  <c r="C906" i="1"/>
  <c r="D906" i="1"/>
  <c r="E906" i="1"/>
  <c r="F906" i="1"/>
  <c r="G906" i="1"/>
  <c r="H906" i="1"/>
  <c r="I906" i="1"/>
  <c r="J906" i="1"/>
  <c r="K906" i="1"/>
  <c r="L906" i="1"/>
  <c r="M906" i="1"/>
  <c r="N906" i="1"/>
  <c r="O906" i="1"/>
  <c r="P906" i="1"/>
  <c r="Q906" i="1"/>
  <c r="R906" i="1"/>
  <c r="S906" i="1"/>
  <c r="T906" i="1"/>
  <c r="U906" i="1"/>
  <c r="V906" i="1"/>
  <c r="W906" i="1"/>
  <c r="X906" i="1"/>
  <c r="Y906" i="1"/>
  <c r="Z906" i="1"/>
  <c r="AA906" i="1"/>
  <c r="AB906" i="1"/>
  <c r="A907" i="1"/>
  <c r="B907" i="1"/>
  <c r="C907" i="1"/>
  <c r="D907" i="1"/>
  <c r="E907" i="1"/>
  <c r="F907" i="1"/>
  <c r="G907" i="1"/>
  <c r="H907" i="1"/>
  <c r="I907" i="1"/>
  <c r="J907" i="1"/>
  <c r="K907" i="1"/>
  <c r="L907" i="1"/>
  <c r="M907" i="1"/>
  <c r="N907" i="1"/>
  <c r="O907" i="1"/>
  <c r="P907" i="1"/>
  <c r="Q907" i="1"/>
  <c r="R907" i="1"/>
  <c r="S907" i="1"/>
  <c r="T907" i="1"/>
  <c r="U907" i="1"/>
  <c r="V907" i="1"/>
  <c r="W907" i="1"/>
  <c r="X907" i="1"/>
  <c r="Y907" i="1"/>
  <c r="Z907" i="1"/>
  <c r="AA907" i="1"/>
  <c r="AB907" i="1"/>
  <c r="A908" i="1"/>
  <c r="B908" i="1"/>
  <c r="C908" i="1"/>
  <c r="D908" i="1"/>
  <c r="E908" i="1"/>
  <c r="F908" i="1"/>
  <c r="G908" i="1"/>
  <c r="H908" i="1"/>
  <c r="I908" i="1"/>
  <c r="J908" i="1"/>
  <c r="K908" i="1"/>
  <c r="L908" i="1"/>
  <c r="M908" i="1"/>
  <c r="N908" i="1"/>
  <c r="O908" i="1"/>
  <c r="P908" i="1"/>
  <c r="Q908" i="1"/>
  <c r="R908" i="1"/>
  <c r="S908" i="1"/>
  <c r="T908" i="1"/>
  <c r="U908" i="1"/>
  <c r="V908" i="1"/>
  <c r="W908" i="1"/>
  <c r="X908" i="1"/>
  <c r="Y908" i="1"/>
  <c r="Z908" i="1"/>
  <c r="AA908" i="1"/>
  <c r="AB908" i="1"/>
  <c r="A909" i="1"/>
  <c r="B909" i="1"/>
  <c r="C909" i="1"/>
  <c r="D909" i="1"/>
  <c r="E909" i="1"/>
  <c r="F909" i="1"/>
  <c r="G909" i="1"/>
  <c r="H909" i="1"/>
  <c r="I909" i="1"/>
  <c r="J909" i="1"/>
  <c r="K909" i="1"/>
  <c r="L909" i="1"/>
  <c r="M909" i="1"/>
  <c r="N909" i="1"/>
  <c r="O909" i="1"/>
  <c r="P909" i="1"/>
  <c r="Q909" i="1"/>
  <c r="R909" i="1"/>
  <c r="S909" i="1"/>
  <c r="T909" i="1"/>
  <c r="U909" i="1"/>
  <c r="V909" i="1"/>
  <c r="W909" i="1"/>
  <c r="X909" i="1"/>
  <c r="Y909" i="1"/>
  <c r="Z909" i="1"/>
  <c r="AA909" i="1"/>
  <c r="AB909" i="1"/>
  <c r="A910" i="1"/>
  <c r="B910" i="1"/>
  <c r="C910" i="1"/>
  <c r="D910" i="1"/>
  <c r="E910" i="1"/>
  <c r="F910" i="1"/>
  <c r="G910" i="1"/>
  <c r="H910" i="1"/>
  <c r="I910" i="1"/>
  <c r="J910" i="1"/>
  <c r="K910" i="1"/>
  <c r="L910" i="1"/>
  <c r="M910" i="1"/>
  <c r="N910" i="1"/>
  <c r="O910" i="1"/>
  <c r="P910" i="1"/>
  <c r="Q910" i="1"/>
  <c r="R910" i="1"/>
  <c r="S910" i="1"/>
  <c r="T910" i="1"/>
  <c r="U910" i="1"/>
  <c r="V910" i="1"/>
  <c r="W910" i="1"/>
  <c r="X910" i="1"/>
  <c r="Y910" i="1"/>
  <c r="Z910" i="1"/>
  <c r="AA910" i="1"/>
  <c r="AB910" i="1"/>
  <c r="A911" i="1"/>
  <c r="B911" i="1"/>
  <c r="C911" i="1"/>
  <c r="D911" i="1"/>
  <c r="E911" i="1"/>
  <c r="F911" i="1"/>
  <c r="G911" i="1"/>
  <c r="H911" i="1"/>
  <c r="I911" i="1"/>
  <c r="J911" i="1"/>
  <c r="K911" i="1"/>
  <c r="L911" i="1"/>
  <c r="M911" i="1"/>
  <c r="N911" i="1"/>
  <c r="O911" i="1"/>
  <c r="P911" i="1"/>
  <c r="Q911" i="1"/>
  <c r="R911" i="1"/>
  <c r="S911" i="1"/>
  <c r="T911" i="1"/>
  <c r="U911" i="1"/>
  <c r="V911" i="1"/>
  <c r="W911" i="1"/>
  <c r="X911" i="1"/>
  <c r="Y911" i="1"/>
  <c r="Z911" i="1"/>
  <c r="AA911" i="1"/>
  <c r="AB911" i="1"/>
  <c r="A912" i="1"/>
  <c r="B912" i="1"/>
  <c r="C912" i="1"/>
  <c r="D912" i="1"/>
  <c r="E912" i="1"/>
  <c r="F912" i="1"/>
  <c r="G912" i="1"/>
  <c r="H912" i="1"/>
  <c r="I912" i="1"/>
  <c r="J912" i="1"/>
  <c r="K912" i="1"/>
  <c r="L912" i="1"/>
  <c r="M912" i="1"/>
  <c r="N912" i="1"/>
  <c r="O912" i="1"/>
  <c r="P912" i="1"/>
  <c r="Q912" i="1"/>
  <c r="R912" i="1"/>
  <c r="S912" i="1"/>
  <c r="T912" i="1"/>
  <c r="U912" i="1"/>
  <c r="V912" i="1"/>
  <c r="W912" i="1"/>
  <c r="X912" i="1"/>
  <c r="Y912" i="1"/>
  <c r="Z912" i="1"/>
  <c r="AA912" i="1"/>
  <c r="AB912" i="1"/>
  <c r="A913" i="1"/>
  <c r="B913" i="1"/>
  <c r="C913" i="1"/>
  <c r="D913" i="1"/>
  <c r="E913" i="1"/>
  <c r="F913" i="1"/>
  <c r="G913" i="1"/>
  <c r="H913" i="1"/>
  <c r="I913" i="1"/>
  <c r="J913" i="1"/>
  <c r="K913" i="1"/>
  <c r="L913" i="1"/>
  <c r="M913" i="1"/>
  <c r="N913" i="1"/>
  <c r="O913" i="1"/>
  <c r="P913" i="1"/>
  <c r="Q913" i="1"/>
  <c r="R913" i="1"/>
  <c r="S913" i="1"/>
  <c r="T913" i="1"/>
  <c r="U913" i="1"/>
  <c r="V913" i="1"/>
  <c r="W913" i="1"/>
  <c r="X913" i="1"/>
  <c r="Y913" i="1"/>
  <c r="Z913" i="1"/>
  <c r="AA913" i="1"/>
  <c r="AB913" i="1"/>
  <c r="A914" i="1"/>
  <c r="B914" i="1"/>
  <c r="C914" i="1"/>
  <c r="D914" i="1"/>
  <c r="E914" i="1"/>
  <c r="F914" i="1"/>
  <c r="G914" i="1"/>
  <c r="H914" i="1"/>
  <c r="I914" i="1"/>
  <c r="J914" i="1"/>
  <c r="K914" i="1"/>
  <c r="L914" i="1"/>
  <c r="M914" i="1"/>
  <c r="N914" i="1"/>
  <c r="O914" i="1"/>
  <c r="P914" i="1"/>
  <c r="Q914" i="1"/>
  <c r="R914" i="1"/>
  <c r="S914" i="1"/>
  <c r="T914" i="1"/>
  <c r="U914" i="1"/>
  <c r="V914" i="1"/>
  <c r="W914" i="1"/>
  <c r="X914" i="1"/>
  <c r="Y914" i="1"/>
  <c r="Z914" i="1"/>
  <c r="AA914" i="1"/>
  <c r="AB914" i="1"/>
  <c r="A915" i="1"/>
  <c r="B915" i="1"/>
  <c r="C915" i="1"/>
  <c r="D915" i="1"/>
  <c r="E915" i="1"/>
  <c r="F915" i="1"/>
  <c r="G915" i="1"/>
  <c r="H915" i="1"/>
  <c r="I915" i="1"/>
  <c r="J915" i="1"/>
  <c r="K915" i="1"/>
  <c r="L915" i="1"/>
  <c r="M915" i="1"/>
  <c r="N915" i="1"/>
  <c r="O915" i="1"/>
  <c r="P915" i="1"/>
  <c r="Q915" i="1"/>
  <c r="R915" i="1"/>
  <c r="S915" i="1"/>
  <c r="T915" i="1"/>
  <c r="U915" i="1"/>
  <c r="V915" i="1"/>
  <c r="W915" i="1"/>
  <c r="X915" i="1"/>
  <c r="Y915" i="1"/>
  <c r="Z915" i="1"/>
  <c r="AA915" i="1"/>
  <c r="AB915" i="1"/>
  <c r="A916" i="1"/>
  <c r="B916" i="1"/>
  <c r="C916" i="1"/>
  <c r="D916" i="1"/>
  <c r="E916" i="1"/>
  <c r="F916" i="1"/>
  <c r="G916" i="1"/>
  <c r="H916" i="1"/>
  <c r="I916" i="1"/>
  <c r="J916" i="1"/>
  <c r="K916" i="1"/>
  <c r="L916" i="1"/>
  <c r="M916" i="1"/>
  <c r="N916" i="1"/>
  <c r="O916" i="1"/>
  <c r="P916" i="1"/>
  <c r="Q916" i="1"/>
  <c r="R916" i="1"/>
  <c r="S916" i="1"/>
  <c r="T916" i="1"/>
  <c r="U916" i="1"/>
  <c r="V916" i="1"/>
  <c r="W916" i="1"/>
  <c r="X916" i="1"/>
  <c r="Y916" i="1"/>
  <c r="Z916" i="1"/>
  <c r="AA916" i="1"/>
  <c r="AB916" i="1"/>
  <c r="A917" i="1"/>
  <c r="B917" i="1"/>
  <c r="C917" i="1"/>
  <c r="D917" i="1"/>
  <c r="E917" i="1"/>
  <c r="F917" i="1"/>
  <c r="G917" i="1"/>
  <c r="H917" i="1"/>
  <c r="I917" i="1"/>
  <c r="J917" i="1"/>
  <c r="K917" i="1"/>
  <c r="L917" i="1"/>
  <c r="M917" i="1"/>
  <c r="N917" i="1"/>
  <c r="O917" i="1"/>
  <c r="P917" i="1"/>
  <c r="Q917" i="1"/>
  <c r="R917" i="1"/>
  <c r="S917" i="1"/>
  <c r="T917" i="1"/>
  <c r="U917" i="1"/>
  <c r="V917" i="1"/>
  <c r="W917" i="1"/>
  <c r="X917" i="1"/>
  <c r="Y917" i="1"/>
  <c r="Z917" i="1"/>
  <c r="AA917" i="1"/>
  <c r="AB917" i="1"/>
  <c r="A918" i="1"/>
  <c r="B918" i="1"/>
  <c r="C918" i="1"/>
  <c r="D918" i="1"/>
  <c r="E918" i="1"/>
  <c r="F918" i="1"/>
  <c r="G918" i="1"/>
  <c r="H918" i="1"/>
  <c r="I918" i="1"/>
  <c r="J918" i="1"/>
  <c r="K918" i="1"/>
  <c r="L918" i="1"/>
  <c r="M918" i="1"/>
  <c r="N918" i="1"/>
  <c r="O918" i="1"/>
  <c r="P918" i="1"/>
  <c r="Q918" i="1"/>
  <c r="R918" i="1"/>
  <c r="S918" i="1"/>
  <c r="T918" i="1"/>
  <c r="U918" i="1"/>
  <c r="V918" i="1"/>
  <c r="W918" i="1"/>
  <c r="X918" i="1"/>
  <c r="Y918" i="1"/>
  <c r="Z918" i="1"/>
  <c r="AA918" i="1"/>
  <c r="AB918" i="1"/>
  <c r="A919" i="1"/>
  <c r="B919" i="1"/>
  <c r="C919" i="1"/>
  <c r="D919" i="1"/>
  <c r="E919" i="1"/>
  <c r="F919" i="1"/>
  <c r="G919" i="1"/>
  <c r="H919" i="1"/>
  <c r="I919" i="1"/>
  <c r="J919" i="1"/>
  <c r="K919" i="1"/>
  <c r="L919" i="1"/>
  <c r="M919" i="1"/>
  <c r="N919" i="1"/>
  <c r="O919" i="1"/>
  <c r="P919" i="1"/>
  <c r="Q919" i="1"/>
  <c r="R919" i="1"/>
  <c r="S919" i="1"/>
  <c r="T919" i="1"/>
  <c r="U919" i="1"/>
  <c r="V919" i="1"/>
  <c r="W919" i="1"/>
  <c r="X919" i="1"/>
  <c r="Y919" i="1"/>
  <c r="Z919" i="1"/>
  <c r="AA919" i="1"/>
  <c r="AB919" i="1"/>
  <c r="A920" i="1"/>
  <c r="B920" i="1"/>
  <c r="C920" i="1"/>
  <c r="D920" i="1"/>
  <c r="E920" i="1"/>
  <c r="F920" i="1"/>
  <c r="G920" i="1"/>
  <c r="H920" i="1"/>
  <c r="I920" i="1"/>
  <c r="J920" i="1"/>
  <c r="K920" i="1"/>
  <c r="L920" i="1"/>
  <c r="M920" i="1"/>
  <c r="N920" i="1"/>
  <c r="O920" i="1"/>
  <c r="P920" i="1"/>
  <c r="Q920" i="1"/>
  <c r="R920" i="1"/>
  <c r="S920" i="1"/>
  <c r="T920" i="1"/>
  <c r="U920" i="1"/>
  <c r="V920" i="1"/>
  <c r="W920" i="1"/>
  <c r="X920" i="1"/>
  <c r="Y920" i="1"/>
  <c r="Z920" i="1"/>
  <c r="AA920" i="1"/>
  <c r="AB920" i="1"/>
  <c r="A921" i="1"/>
  <c r="B921" i="1"/>
  <c r="C921" i="1"/>
  <c r="D921" i="1"/>
  <c r="E921" i="1"/>
  <c r="F921" i="1"/>
  <c r="G921" i="1"/>
  <c r="H921" i="1"/>
  <c r="I921" i="1"/>
  <c r="J921" i="1"/>
  <c r="K921" i="1"/>
  <c r="L921" i="1"/>
  <c r="M921" i="1"/>
  <c r="N921" i="1"/>
  <c r="O921" i="1"/>
  <c r="P921" i="1"/>
  <c r="Q921" i="1"/>
  <c r="R921" i="1"/>
  <c r="S921" i="1"/>
  <c r="T921" i="1"/>
  <c r="U921" i="1"/>
  <c r="V921" i="1"/>
  <c r="W921" i="1"/>
  <c r="X921" i="1"/>
  <c r="Y921" i="1"/>
  <c r="Z921" i="1"/>
  <c r="AA921" i="1"/>
  <c r="AB921" i="1"/>
  <c r="A922" i="1"/>
  <c r="B922" i="1"/>
  <c r="C922" i="1"/>
  <c r="D922" i="1"/>
  <c r="E922" i="1"/>
  <c r="F922" i="1"/>
  <c r="G922" i="1"/>
  <c r="H922" i="1"/>
  <c r="I922" i="1"/>
  <c r="J922" i="1"/>
  <c r="K922" i="1"/>
  <c r="L922" i="1"/>
  <c r="M922" i="1"/>
  <c r="N922" i="1"/>
  <c r="O922" i="1"/>
  <c r="P922" i="1"/>
  <c r="Q922" i="1"/>
  <c r="R922" i="1"/>
  <c r="S922" i="1"/>
  <c r="T922" i="1"/>
  <c r="U922" i="1"/>
  <c r="V922" i="1"/>
  <c r="W922" i="1"/>
  <c r="X922" i="1"/>
  <c r="Y922" i="1"/>
  <c r="Z922" i="1"/>
  <c r="AA922" i="1"/>
  <c r="AB922" i="1"/>
  <c r="A923" i="1"/>
  <c r="B923" i="1"/>
  <c r="C923" i="1"/>
  <c r="D923" i="1"/>
  <c r="E923" i="1"/>
  <c r="F923" i="1"/>
  <c r="G923" i="1"/>
  <c r="H923" i="1"/>
  <c r="I923" i="1"/>
  <c r="J923" i="1"/>
  <c r="K923" i="1"/>
  <c r="L923" i="1"/>
  <c r="M923" i="1"/>
  <c r="N923" i="1"/>
  <c r="O923" i="1"/>
  <c r="P923" i="1"/>
  <c r="Q923" i="1"/>
  <c r="R923" i="1"/>
  <c r="S923" i="1"/>
  <c r="T923" i="1"/>
  <c r="U923" i="1"/>
  <c r="V923" i="1"/>
  <c r="W923" i="1"/>
  <c r="X923" i="1"/>
  <c r="Y923" i="1"/>
  <c r="Z923" i="1"/>
  <c r="AA923" i="1"/>
  <c r="AB923" i="1"/>
  <c r="A924" i="1"/>
  <c r="B924" i="1"/>
  <c r="C924" i="1"/>
  <c r="D924" i="1"/>
  <c r="E924" i="1"/>
  <c r="F924" i="1"/>
  <c r="G924" i="1"/>
  <c r="H924" i="1"/>
  <c r="I924" i="1"/>
  <c r="J924" i="1"/>
  <c r="K924" i="1"/>
  <c r="L924" i="1"/>
  <c r="M924" i="1"/>
  <c r="N924" i="1"/>
  <c r="O924" i="1"/>
  <c r="P924" i="1"/>
  <c r="Q924" i="1"/>
  <c r="R924" i="1"/>
  <c r="S924" i="1"/>
  <c r="T924" i="1"/>
  <c r="U924" i="1"/>
  <c r="V924" i="1"/>
  <c r="W924" i="1"/>
  <c r="X924" i="1"/>
  <c r="Y924" i="1"/>
  <c r="Z924" i="1"/>
  <c r="AA924" i="1"/>
  <c r="AB924" i="1"/>
  <c r="A925" i="1"/>
  <c r="B925" i="1"/>
  <c r="C925" i="1"/>
  <c r="D925" i="1"/>
  <c r="E925" i="1"/>
  <c r="F925" i="1"/>
  <c r="G925" i="1"/>
  <c r="H925" i="1"/>
  <c r="I925" i="1"/>
  <c r="J925" i="1"/>
  <c r="K925" i="1"/>
  <c r="L925" i="1"/>
  <c r="M925" i="1"/>
  <c r="N925" i="1"/>
  <c r="O925" i="1"/>
  <c r="P925" i="1"/>
  <c r="Q925" i="1"/>
  <c r="R925" i="1"/>
  <c r="S925" i="1"/>
  <c r="T925" i="1"/>
  <c r="U925" i="1"/>
  <c r="V925" i="1"/>
  <c r="W925" i="1"/>
  <c r="X925" i="1"/>
  <c r="Y925" i="1"/>
  <c r="Z925" i="1"/>
  <c r="AA925" i="1"/>
  <c r="AB925" i="1"/>
  <c r="A926" i="1"/>
  <c r="B926" i="1"/>
  <c r="C926" i="1"/>
  <c r="D926" i="1"/>
  <c r="E926" i="1"/>
  <c r="F926" i="1"/>
  <c r="G926" i="1"/>
  <c r="H926" i="1"/>
  <c r="I926" i="1"/>
  <c r="J926" i="1"/>
  <c r="K926" i="1"/>
  <c r="L926" i="1"/>
  <c r="M926" i="1"/>
  <c r="N926" i="1"/>
  <c r="O926" i="1"/>
  <c r="P926" i="1"/>
  <c r="Q926" i="1"/>
  <c r="R926" i="1"/>
  <c r="S926" i="1"/>
  <c r="T926" i="1"/>
  <c r="U926" i="1"/>
  <c r="V926" i="1"/>
  <c r="W926" i="1"/>
  <c r="X926" i="1"/>
  <c r="Y926" i="1"/>
  <c r="Z926" i="1"/>
  <c r="AA926" i="1"/>
  <c r="AB926" i="1"/>
  <c r="A927" i="1"/>
  <c r="B927" i="1"/>
  <c r="C927" i="1"/>
  <c r="D927" i="1"/>
  <c r="E927" i="1"/>
  <c r="F927" i="1"/>
  <c r="G927" i="1"/>
  <c r="H927" i="1"/>
  <c r="I927" i="1"/>
  <c r="J927" i="1"/>
  <c r="K927" i="1"/>
  <c r="L927" i="1"/>
  <c r="M927" i="1"/>
  <c r="N927" i="1"/>
  <c r="O927" i="1"/>
  <c r="P927" i="1"/>
  <c r="Q927" i="1"/>
  <c r="R927" i="1"/>
  <c r="S927" i="1"/>
  <c r="T927" i="1"/>
  <c r="U927" i="1"/>
  <c r="V927" i="1"/>
  <c r="W927" i="1"/>
  <c r="X927" i="1"/>
  <c r="Y927" i="1"/>
  <c r="Z927" i="1"/>
  <c r="AA927" i="1"/>
  <c r="AB927" i="1"/>
  <c r="A928" i="1"/>
  <c r="B928" i="1"/>
  <c r="C928" i="1"/>
  <c r="D928" i="1"/>
  <c r="E928" i="1"/>
  <c r="F928" i="1"/>
  <c r="G928" i="1"/>
  <c r="H928" i="1"/>
  <c r="I928" i="1"/>
  <c r="J928" i="1"/>
  <c r="K928" i="1"/>
  <c r="L928" i="1"/>
  <c r="M928" i="1"/>
  <c r="N928" i="1"/>
  <c r="O928" i="1"/>
  <c r="P928" i="1"/>
  <c r="Q928" i="1"/>
  <c r="R928" i="1"/>
  <c r="S928" i="1"/>
  <c r="T928" i="1"/>
  <c r="U928" i="1"/>
  <c r="V928" i="1"/>
  <c r="W928" i="1"/>
  <c r="X928" i="1"/>
  <c r="Y928" i="1"/>
  <c r="Z928" i="1"/>
  <c r="AA928" i="1"/>
  <c r="AB928" i="1"/>
  <c r="A929" i="1"/>
  <c r="B929" i="1"/>
  <c r="C929" i="1"/>
  <c r="D929" i="1"/>
  <c r="E929" i="1"/>
  <c r="F929" i="1"/>
  <c r="G929" i="1"/>
  <c r="H929" i="1"/>
  <c r="I929" i="1"/>
  <c r="J929" i="1"/>
  <c r="K929" i="1"/>
  <c r="L929" i="1"/>
  <c r="M929" i="1"/>
  <c r="N929" i="1"/>
  <c r="O929" i="1"/>
  <c r="P929" i="1"/>
  <c r="Q929" i="1"/>
  <c r="R929" i="1"/>
  <c r="S929" i="1"/>
  <c r="T929" i="1"/>
  <c r="U929" i="1"/>
  <c r="V929" i="1"/>
  <c r="W929" i="1"/>
  <c r="X929" i="1"/>
  <c r="Y929" i="1"/>
  <c r="Z929" i="1"/>
  <c r="AA929" i="1"/>
  <c r="AB929" i="1"/>
  <c r="A930" i="1"/>
  <c r="B930" i="1"/>
  <c r="C930" i="1"/>
  <c r="D930" i="1"/>
  <c r="E930" i="1"/>
  <c r="F930" i="1"/>
  <c r="G930" i="1"/>
  <c r="H930" i="1"/>
  <c r="I930" i="1"/>
  <c r="J930" i="1"/>
  <c r="K930" i="1"/>
  <c r="L930" i="1"/>
  <c r="M930" i="1"/>
  <c r="N930" i="1"/>
  <c r="O930" i="1"/>
  <c r="P930" i="1"/>
  <c r="Q930" i="1"/>
  <c r="R930" i="1"/>
  <c r="S930" i="1"/>
  <c r="T930" i="1"/>
  <c r="U930" i="1"/>
  <c r="V930" i="1"/>
  <c r="W930" i="1"/>
  <c r="X930" i="1"/>
  <c r="Y930" i="1"/>
  <c r="Z930" i="1"/>
  <c r="AA930" i="1"/>
  <c r="AB930" i="1"/>
  <c r="A931" i="1"/>
  <c r="B931" i="1"/>
  <c r="C931" i="1"/>
  <c r="D931" i="1"/>
  <c r="E931" i="1"/>
  <c r="F931" i="1"/>
  <c r="G931" i="1"/>
  <c r="H931" i="1"/>
  <c r="I931" i="1"/>
  <c r="J931" i="1"/>
  <c r="K931" i="1"/>
  <c r="L931" i="1"/>
  <c r="M931" i="1"/>
  <c r="N931" i="1"/>
  <c r="O931" i="1"/>
  <c r="P931" i="1"/>
  <c r="Q931" i="1"/>
  <c r="R931" i="1"/>
  <c r="S931" i="1"/>
  <c r="T931" i="1"/>
  <c r="U931" i="1"/>
  <c r="V931" i="1"/>
  <c r="W931" i="1"/>
  <c r="X931" i="1"/>
  <c r="Y931" i="1"/>
  <c r="Z931" i="1"/>
  <c r="AA931" i="1"/>
  <c r="AB931" i="1"/>
  <c r="A932" i="1"/>
  <c r="B932" i="1"/>
  <c r="C932" i="1"/>
  <c r="D932" i="1"/>
  <c r="E932" i="1"/>
  <c r="F932" i="1"/>
  <c r="G932" i="1"/>
  <c r="H932" i="1"/>
  <c r="I932" i="1"/>
  <c r="J932" i="1"/>
  <c r="K932" i="1"/>
  <c r="L932" i="1"/>
  <c r="M932" i="1"/>
  <c r="N932" i="1"/>
  <c r="O932" i="1"/>
  <c r="P932" i="1"/>
  <c r="Q932" i="1"/>
  <c r="R932" i="1"/>
  <c r="S932" i="1"/>
  <c r="T932" i="1"/>
  <c r="U932" i="1"/>
  <c r="V932" i="1"/>
  <c r="W932" i="1"/>
  <c r="X932" i="1"/>
  <c r="Y932" i="1"/>
  <c r="Z932" i="1"/>
  <c r="AA932" i="1"/>
  <c r="AB932" i="1"/>
  <c r="A933" i="1"/>
  <c r="B933" i="1"/>
  <c r="C933" i="1"/>
  <c r="D933" i="1"/>
  <c r="E933" i="1"/>
  <c r="F933" i="1"/>
  <c r="G933" i="1"/>
  <c r="H933" i="1"/>
  <c r="I933" i="1"/>
  <c r="J933" i="1"/>
  <c r="K933" i="1"/>
  <c r="L933" i="1"/>
  <c r="M933" i="1"/>
  <c r="N933" i="1"/>
  <c r="O933" i="1"/>
  <c r="P933" i="1"/>
  <c r="Q933" i="1"/>
  <c r="R933" i="1"/>
  <c r="S933" i="1"/>
  <c r="T933" i="1"/>
  <c r="U933" i="1"/>
  <c r="V933" i="1"/>
  <c r="W933" i="1"/>
  <c r="X933" i="1"/>
  <c r="Y933" i="1"/>
  <c r="Z933" i="1"/>
  <c r="AA933" i="1"/>
  <c r="AB933" i="1"/>
  <c r="A934" i="1"/>
  <c r="B934" i="1"/>
  <c r="C934" i="1"/>
  <c r="D934" i="1"/>
  <c r="E934" i="1"/>
  <c r="F934" i="1"/>
  <c r="G934" i="1"/>
  <c r="H934" i="1"/>
  <c r="I934" i="1"/>
  <c r="J934" i="1"/>
  <c r="K934" i="1"/>
  <c r="L934" i="1"/>
  <c r="M934" i="1"/>
  <c r="N934" i="1"/>
  <c r="O934" i="1"/>
  <c r="P934" i="1"/>
  <c r="Q934" i="1"/>
  <c r="R934" i="1"/>
  <c r="S934" i="1"/>
  <c r="T934" i="1"/>
  <c r="U934" i="1"/>
  <c r="V934" i="1"/>
  <c r="W934" i="1"/>
  <c r="X934" i="1"/>
  <c r="Y934" i="1"/>
  <c r="Z934" i="1"/>
  <c r="AA934" i="1"/>
  <c r="AB934" i="1"/>
  <c r="A935" i="1"/>
  <c r="B935" i="1"/>
  <c r="C935" i="1"/>
  <c r="D935" i="1"/>
  <c r="E935" i="1"/>
  <c r="F935" i="1"/>
  <c r="G935" i="1"/>
  <c r="H935" i="1"/>
  <c r="I935" i="1"/>
  <c r="J935" i="1"/>
  <c r="K935" i="1"/>
  <c r="L935" i="1"/>
  <c r="M935" i="1"/>
  <c r="N935" i="1"/>
  <c r="O935" i="1"/>
  <c r="P935" i="1"/>
  <c r="Q935" i="1"/>
  <c r="R935" i="1"/>
  <c r="S935" i="1"/>
  <c r="T935" i="1"/>
  <c r="U935" i="1"/>
  <c r="V935" i="1"/>
  <c r="W935" i="1"/>
  <c r="X935" i="1"/>
  <c r="Y935" i="1"/>
  <c r="Z935" i="1"/>
  <c r="AA935" i="1"/>
  <c r="AB935" i="1"/>
  <c r="A936" i="1"/>
  <c r="B936" i="1"/>
  <c r="C936" i="1"/>
  <c r="D936" i="1"/>
  <c r="E936" i="1"/>
  <c r="F936" i="1"/>
  <c r="G936" i="1"/>
  <c r="H936" i="1"/>
  <c r="I936" i="1"/>
  <c r="J936" i="1"/>
  <c r="K936" i="1"/>
  <c r="L936" i="1"/>
  <c r="M936" i="1"/>
  <c r="N936" i="1"/>
  <c r="O936" i="1"/>
  <c r="P936" i="1"/>
  <c r="Q936" i="1"/>
  <c r="R936" i="1"/>
  <c r="S936" i="1"/>
  <c r="T936" i="1"/>
  <c r="U936" i="1"/>
  <c r="V936" i="1"/>
  <c r="W936" i="1"/>
  <c r="X936" i="1"/>
  <c r="Y936" i="1"/>
  <c r="Z936" i="1"/>
  <c r="AA936" i="1"/>
  <c r="AB936" i="1"/>
  <c r="A937" i="1"/>
  <c r="B937" i="1"/>
  <c r="C937" i="1"/>
  <c r="D937" i="1"/>
  <c r="E937" i="1"/>
  <c r="F937" i="1"/>
  <c r="G937" i="1"/>
  <c r="H937" i="1"/>
  <c r="I937" i="1"/>
  <c r="J937" i="1"/>
  <c r="K937" i="1"/>
  <c r="L937" i="1"/>
  <c r="M937" i="1"/>
  <c r="N937" i="1"/>
  <c r="O937" i="1"/>
  <c r="P937" i="1"/>
  <c r="Q937" i="1"/>
  <c r="R937" i="1"/>
  <c r="S937" i="1"/>
  <c r="T937" i="1"/>
  <c r="U937" i="1"/>
  <c r="V937" i="1"/>
  <c r="W937" i="1"/>
  <c r="X937" i="1"/>
  <c r="Y937" i="1"/>
  <c r="Z937" i="1"/>
  <c r="AA937" i="1"/>
  <c r="AB937" i="1"/>
  <c r="A938" i="1"/>
  <c r="B938" i="1"/>
  <c r="C938" i="1"/>
  <c r="D938" i="1"/>
  <c r="E938" i="1"/>
  <c r="F938" i="1"/>
  <c r="G938" i="1"/>
  <c r="H938" i="1"/>
  <c r="I938" i="1"/>
  <c r="J938" i="1"/>
  <c r="K938" i="1"/>
  <c r="L938" i="1"/>
  <c r="M938" i="1"/>
  <c r="N938" i="1"/>
  <c r="O938" i="1"/>
  <c r="P938" i="1"/>
  <c r="Q938" i="1"/>
  <c r="R938" i="1"/>
  <c r="S938" i="1"/>
  <c r="T938" i="1"/>
  <c r="U938" i="1"/>
  <c r="V938" i="1"/>
  <c r="W938" i="1"/>
  <c r="X938" i="1"/>
  <c r="Y938" i="1"/>
  <c r="Z938" i="1"/>
  <c r="AA938" i="1"/>
  <c r="AB938" i="1"/>
  <c r="A939" i="1"/>
  <c r="B939" i="1"/>
  <c r="C939" i="1"/>
  <c r="D939" i="1"/>
  <c r="E939" i="1"/>
  <c r="F939" i="1"/>
  <c r="G939" i="1"/>
  <c r="H939" i="1"/>
  <c r="I939" i="1"/>
  <c r="J939" i="1"/>
  <c r="K939" i="1"/>
  <c r="L939" i="1"/>
  <c r="M939" i="1"/>
  <c r="N939" i="1"/>
  <c r="O939" i="1"/>
  <c r="P939" i="1"/>
  <c r="Q939" i="1"/>
  <c r="R939" i="1"/>
  <c r="S939" i="1"/>
  <c r="T939" i="1"/>
  <c r="U939" i="1"/>
  <c r="V939" i="1"/>
  <c r="W939" i="1"/>
  <c r="X939" i="1"/>
  <c r="Y939" i="1"/>
  <c r="Z939" i="1"/>
  <c r="AA939" i="1"/>
  <c r="AB939" i="1"/>
  <c r="A940" i="1"/>
  <c r="B940" i="1"/>
  <c r="C940" i="1"/>
  <c r="D940" i="1"/>
  <c r="E940" i="1"/>
  <c r="F940" i="1"/>
  <c r="G940" i="1"/>
  <c r="H940" i="1"/>
  <c r="I940" i="1"/>
  <c r="J940" i="1"/>
  <c r="K940" i="1"/>
  <c r="L940" i="1"/>
  <c r="M940" i="1"/>
  <c r="N940" i="1"/>
  <c r="O940" i="1"/>
  <c r="P940" i="1"/>
  <c r="Q940" i="1"/>
  <c r="R940" i="1"/>
  <c r="S940" i="1"/>
  <c r="T940" i="1"/>
  <c r="U940" i="1"/>
  <c r="V940" i="1"/>
  <c r="W940" i="1"/>
  <c r="X940" i="1"/>
  <c r="Y940" i="1"/>
  <c r="Z940" i="1"/>
  <c r="AA940" i="1"/>
  <c r="AB940" i="1"/>
  <c r="A941" i="1"/>
  <c r="B941" i="1"/>
  <c r="C941" i="1"/>
  <c r="D941" i="1"/>
  <c r="E941" i="1"/>
  <c r="F941" i="1"/>
  <c r="G941" i="1"/>
  <c r="H941" i="1"/>
  <c r="I941" i="1"/>
  <c r="J941" i="1"/>
  <c r="K941" i="1"/>
  <c r="L941" i="1"/>
  <c r="M941" i="1"/>
  <c r="N941" i="1"/>
  <c r="O941" i="1"/>
  <c r="P941" i="1"/>
  <c r="Q941" i="1"/>
  <c r="R941" i="1"/>
  <c r="S941" i="1"/>
  <c r="T941" i="1"/>
  <c r="U941" i="1"/>
  <c r="V941" i="1"/>
  <c r="W941" i="1"/>
  <c r="X941" i="1"/>
  <c r="Y941" i="1"/>
  <c r="Z941" i="1"/>
  <c r="AA941" i="1"/>
  <c r="AB941" i="1"/>
  <c r="A942" i="1"/>
  <c r="B942" i="1"/>
  <c r="C942" i="1"/>
  <c r="D942" i="1"/>
  <c r="E942" i="1"/>
  <c r="F942" i="1"/>
  <c r="G942" i="1"/>
  <c r="H942" i="1"/>
  <c r="I942" i="1"/>
  <c r="J942" i="1"/>
  <c r="K942" i="1"/>
  <c r="L942" i="1"/>
  <c r="M942" i="1"/>
  <c r="N942" i="1"/>
  <c r="O942" i="1"/>
  <c r="P942" i="1"/>
  <c r="Q942" i="1"/>
  <c r="R942" i="1"/>
  <c r="S942" i="1"/>
  <c r="T942" i="1"/>
  <c r="U942" i="1"/>
  <c r="V942" i="1"/>
  <c r="W942" i="1"/>
  <c r="X942" i="1"/>
  <c r="Y942" i="1"/>
  <c r="Z942" i="1"/>
  <c r="AA942" i="1"/>
  <c r="AB942" i="1"/>
  <c r="A943" i="1"/>
  <c r="B943" i="1"/>
  <c r="C943" i="1"/>
  <c r="D943" i="1"/>
  <c r="E943" i="1"/>
  <c r="F943" i="1"/>
  <c r="G943" i="1"/>
  <c r="H943" i="1"/>
  <c r="I943" i="1"/>
  <c r="J943" i="1"/>
  <c r="K943" i="1"/>
  <c r="L943" i="1"/>
  <c r="M943" i="1"/>
  <c r="N943" i="1"/>
  <c r="O943" i="1"/>
  <c r="P943" i="1"/>
  <c r="Q943" i="1"/>
  <c r="R943" i="1"/>
  <c r="S943" i="1"/>
  <c r="T943" i="1"/>
  <c r="U943" i="1"/>
  <c r="V943" i="1"/>
  <c r="W943" i="1"/>
  <c r="X943" i="1"/>
  <c r="Y943" i="1"/>
  <c r="Z943" i="1"/>
  <c r="AA943" i="1"/>
  <c r="AB943" i="1"/>
  <c r="A944" i="1"/>
  <c r="B944" i="1"/>
  <c r="C944" i="1"/>
  <c r="D944" i="1"/>
  <c r="E944" i="1"/>
  <c r="F944" i="1"/>
  <c r="G944" i="1"/>
  <c r="H944" i="1"/>
  <c r="I944" i="1"/>
  <c r="J944" i="1"/>
  <c r="K944" i="1"/>
  <c r="L944" i="1"/>
  <c r="M944" i="1"/>
  <c r="N944" i="1"/>
  <c r="O944" i="1"/>
  <c r="P944" i="1"/>
  <c r="Q944" i="1"/>
  <c r="R944" i="1"/>
  <c r="S944" i="1"/>
  <c r="T944" i="1"/>
  <c r="U944" i="1"/>
  <c r="V944" i="1"/>
  <c r="W944" i="1"/>
  <c r="X944" i="1"/>
  <c r="Y944" i="1"/>
  <c r="Z944" i="1"/>
  <c r="AA944" i="1"/>
  <c r="AB944" i="1"/>
  <c r="A945" i="1"/>
  <c r="B945" i="1"/>
  <c r="C945" i="1"/>
  <c r="D945" i="1"/>
  <c r="E945" i="1"/>
  <c r="F945" i="1"/>
  <c r="G945" i="1"/>
  <c r="H945" i="1"/>
  <c r="I945" i="1"/>
  <c r="J945" i="1"/>
  <c r="K945" i="1"/>
  <c r="L945" i="1"/>
  <c r="M945" i="1"/>
  <c r="N945" i="1"/>
  <c r="O945" i="1"/>
  <c r="P945" i="1"/>
  <c r="Q945" i="1"/>
  <c r="R945" i="1"/>
  <c r="S945" i="1"/>
  <c r="T945" i="1"/>
  <c r="U945" i="1"/>
  <c r="V945" i="1"/>
  <c r="W945" i="1"/>
  <c r="X945" i="1"/>
  <c r="Y945" i="1"/>
  <c r="Z945" i="1"/>
  <c r="AA945" i="1"/>
  <c r="AB945" i="1"/>
  <c r="A946" i="1"/>
  <c r="B946" i="1"/>
  <c r="C946" i="1"/>
  <c r="D946" i="1"/>
  <c r="E946" i="1"/>
  <c r="F946" i="1"/>
  <c r="G946" i="1"/>
  <c r="H946" i="1"/>
  <c r="I946" i="1"/>
  <c r="J946" i="1"/>
  <c r="K946" i="1"/>
  <c r="L946" i="1"/>
  <c r="M946" i="1"/>
  <c r="N946" i="1"/>
  <c r="O946" i="1"/>
  <c r="P946" i="1"/>
  <c r="Q946" i="1"/>
  <c r="R946" i="1"/>
  <c r="S946" i="1"/>
  <c r="T946" i="1"/>
  <c r="U946" i="1"/>
  <c r="V946" i="1"/>
  <c r="W946" i="1"/>
  <c r="X946" i="1"/>
  <c r="Y946" i="1"/>
  <c r="Z946" i="1"/>
  <c r="AA946" i="1"/>
  <c r="AB946" i="1"/>
  <c r="A947" i="1"/>
  <c r="B947" i="1"/>
  <c r="C947" i="1"/>
  <c r="D947" i="1"/>
  <c r="E947" i="1"/>
  <c r="F947" i="1"/>
  <c r="G947" i="1"/>
  <c r="H947" i="1"/>
  <c r="I947" i="1"/>
  <c r="J947" i="1"/>
  <c r="K947" i="1"/>
  <c r="L947" i="1"/>
  <c r="M947" i="1"/>
  <c r="N947" i="1"/>
  <c r="O947" i="1"/>
  <c r="P947" i="1"/>
  <c r="Q947" i="1"/>
  <c r="R947" i="1"/>
  <c r="S947" i="1"/>
  <c r="T947" i="1"/>
  <c r="U947" i="1"/>
  <c r="V947" i="1"/>
  <c r="W947" i="1"/>
  <c r="X947" i="1"/>
  <c r="Y947" i="1"/>
  <c r="Z947" i="1"/>
  <c r="AA947" i="1"/>
  <c r="AB947" i="1"/>
  <c r="A948" i="1"/>
  <c r="B948" i="1"/>
  <c r="C948" i="1"/>
  <c r="D948" i="1"/>
  <c r="E948" i="1"/>
  <c r="F948" i="1"/>
  <c r="G948" i="1"/>
  <c r="H948" i="1"/>
  <c r="I948" i="1"/>
  <c r="J948" i="1"/>
  <c r="K948" i="1"/>
  <c r="L948" i="1"/>
  <c r="M948" i="1"/>
  <c r="N948" i="1"/>
  <c r="O948" i="1"/>
  <c r="P948" i="1"/>
  <c r="Q948" i="1"/>
  <c r="R948" i="1"/>
  <c r="S948" i="1"/>
  <c r="T948" i="1"/>
  <c r="U948" i="1"/>
  <c r="V948" i="1"/>
  <c r="W948" i="1"/>
  <c r="X948" i="1"/>
  <c r="Y948" i="1"/>
  <c r="Z948" i="1"/>
  <c r="AA948" i="1"/>
  <c r="AB948" i="1"/>
  <c r="A949" i="1"/>
  <c r="B949" i="1"/>
  <c r="C949" i="1"/>
  <c r="D949" i="1"/>
  <c r="E949" i="1"/>
  <c r="F949" i="1"/>
  <c r="G949" i="1"/>
  <c r="H949" i="1"/>
  <c r="I949" i="1"/>
  <c r="J949" i="1"/>
  <c r="K949" i="1"/>
  <c r="L949" i="1"/>
  <c r="M949" i="1"/>
  <c r="N949" i="1"/>
  <c r="O949" i="1"/>
  <c r="P949" i="1"/>
  <c r="Q949" i="1"/>
  <c r="R949" i="1"/>
  <c r="S949" i="1"/>
  <c r="T949" i="1"/>
  <c r="U949" i="1"/>
  <c r="V949" i="1"/>
  <c r="W949" i="1"/>
  <c r="X949" i="1"/>
  <c r="Y949" i="1"/>
  <c r="Z949" i="1"/>
  <c r="AA949" i="1"/>
  <c r="AB949" i="1"/>
  <c r="A950" i="1"/>
  <c r="B950" i="1"/>
  <c r="C950" i="1"/>
  <c r="D950" i="1"/>
  <c r="E950" i="1"/>
  <c r="F950" i="1"/>
  <c r="G950" i="1"/>
  <c r="H950" i="1"/>
  <c r="I950" i="1"/>
  <c r="J950" i="1"/>
  <c r="K950" i="1"/>
  <c r="L950" i="1"/>
  <c r="M950" i="1"/>
  <c r="N950" i="1"/>
  <c r="O950" i="1"/>
  <c r="P950" i="1"/>
  <c r="Q950" i="1"/>
  <c r="R950" i="1"/>
  <c r="S950" i="1"/>
  <c r="T950" i="1"/>
  <c r="U950" i="1"/>
  <c r="V950" i="1"/>
  <c r="W950" i="1"/>
  <c r="X950" i="1"/>
  <c r="Y950" i="1"/>
  <c r="Z950" i="1"/>
  <c r="AA950" i="1"/>
  <c r="AB950" i="1"/>
  <c r="A951" i="1"/>
  <c r="B951" i="1"/>
  <c r="C951" i="1"/>
  <c r="D951" i="1"/>
  <c r="E951" i="1"/>
  <c r="F951" i="1"/>
  <c r="G951" i="1"/>
  <c r="H951" i="1"/>
  <c r="I951" i="1"/>
  <c r="J951" i="1"/>
  <c r="K951" i="1"/>
  <c r="L951" i="1"/>
  <c r="M951" i="1"/>
  <c r="N951" i="1"/>
  <c r="O951" i="1"/>
  <c r="P951" i="1"/>
  <c r="Q951" i="1"/>
  <c r="R951" i="1"/>
  <c r="S951" i="1"/>
  <c r="T951" i="1"/>
  <c r="U951" i="1"/>
  <c r="V951" i="1"/>
  <c r="W951" i="1"/>
  <c r="X951" i="1"/>
  <c r="Y951" i="1"/>
  <c r="Z951" i="1"/>
  <c r="AA951" i="1"/>
  <c r="AB951" i="1"/>
  <c r="A952" i="1"/>
  <c r="B952" i="1"/>
  <c r="C952" i="1"/>
  <c r="D952" i="1"/>
  <c r="E952" i="1"/>
  <c r="F952" i="1"/>
  <c r="G952" i="1"/>
  <c r="H952" i="1"/>
  <c r="I952" i="1"/>
  <c r="J952" i="1"/>
  <c r="K952" i="1"/>
  <c r="L952" i="1"/>
  <c r="M952" i="1"/>
  <c r="N952" i="1"/>
  <c r="O952" i="1"/>
  <c r="P952" i="1"/>
  <c r="Q952" i="1"/>
  <c r="R952" i="1"/>
  <c r="S952" i="1"/>
  <c r="T952" i="1"/>
  <c r="U952" i="1"/>
  <c r="V952" i="1"/>
  <c r="W952" i="1"/>
  <c r="X952" i="1"/>
  <c r="Y952" i="1"/>
  <c r="Z952" i="1"/>
  <c r="AA952" i="1"/>
  <c r="AB952" i="1"/>
  <c r="A953" i="1"/>
  <c r="B953" i="1"/>
  <c r="C953" i="1"/>
  <c r="D953" i="1"/>
  <c r="E953" i="1"/>
  <c r="F953" i="1"/>
  <c r="G953" i="1"/>
  <c r="H953" i="1"/>
  <c r="I953" i="1"/>
  <c r="J953" i="1"/>
  <c r="K953" i="1"/>
  <c r="L953" i="1"/>
  <c r="M953" i="1"/>
  <c r="N953" i="1"/>
  <c r="O953" i="1"/>
  <c r="P953" i="1"/>
  <c r="Q953" i="1"/>
  <c r="R953" i="1"/>
  <c r="S953" i="1"/>
  <c r="T953" i="1"/>
  <c r="U953" i="1"/>
  <c r="V953" i="1"/>
  <c r="W953" i="1"/>
  <c r="X953" i="1"/>
  <c r="Y953" i="1"/>
  <c r="Z953" i="1"/>
  <c r="AA953" i="1"/>
  <c r="AB953" i="1"/>
  <c r="A954" i="1"/>
  <c r="B954" i="1"/>
  <c r="C954" i="1"/>
  <c r="D954" i="1"/>
  <c r="E954" i="1"/>
  <c r="F954" i="1"/>
  <c r="G954" i="1"/>
  <c r="H954" i="1"/>
  <c r="I954" i="1"/>
  <c r="J954" i="1"/>
  <c r="K954" i="1"/>
  <c r="L954" i="1"/>
  <c r="M954" i="1"/>
  <c r="N954" i="1"/>
  <c r="O954" i="1"/>
  <c r="P954" i="1"/>
  <c r="Q954" i="1"/>
  <c r="R954" i="1"/>
  <c r="S954" i="1"/>
  <c r="T954" i="1"/>
  <c r="U954" i="1"/>
  <c r="V954" i="1"/>
  <c r="W954" i="1"/>
  <c r="X954" i="1"/>
  <c r="Y954" i="1"/>
  <c r="Z954" i="1"/>
  <c r="AA954" i="1"/>
  <c r="AB954" i="1"/>
  <c r="A955" i="1"/>
  <c r="B955" i="1"/>
  <c r="C955" i="1"/>
  <c r="D955" i="1"/>
  <c r="E955" i="1"/>
  <c r="F955" i="1"/>
  <c r="G955" i="1"/>
  <c r="H955" i="1"/>
  <c r="I955" i="1"/>
  <c r="J955" i="1"/>
  <c r="K955" i="1"/>
  <c r="L955" i="1"/>
  <c r="M955" i="1"/>
  <c r="N955" i="1"/>
  <c r="O955" i="1"/>
  <c r="P955" i="1"/>
  <c r="Q955" i="1"/>
  <c r="R955" i="1"/>
  <c r="S955" i="1"/>
  <c r="T955" i="1"/>
  <c r="U955" i="1"/>
  <c r="V955" i="1"/>
  <c r="W955" i="1"/>
  <c r="X955" i="1"/>
  <c r="Y955" i="1"/>
  <c r="Z955" i="1"/>
  <c r="AA955" i="1"/>
  <c r="AB955" i="1"/>
  <c r="A956" i="1"/>
  <c r="B956" i="1"/>
  <c r="C956" i="1"/>
  <c r="D956" i="1"/>
  <c r="E956" i="1"/>
  <c r="F956" i="1"/>
  <c r="G956" i="1"/>
  <c r="H956" i="1"/>
  <c r="I956" i="1"/>
  <c r="J956" i="1"/>
  <c r="K956" i="1"/>
  <c r="L956" i="1"/>
  <c r="M956" i="1"/>
  <c r="N956" i="1"/>
  <c r="O956" i="1"/>
  <c r="P956" i="1"/>
  <c r="Q956" i="1"/>
  <c r="R956" i="1"/>
  <c r="S956" i="1"/>
  <c r="T956" i="1"/>
  <c r="U956" i="1"/>
  <c r="V956" i="1"/>
  <c r="W956" i="1"/>
  <c r="X956" i="1"/>
  <c r="Y956" i="1"/>
  <c r="Z956" i="1"/>
  <c r="AA956" i="1"/>
  <c r="AB956" i="1"/>
  <c r="A957" i="1"/>
  <c r="B957" i="1"/>
  <c r="C957" i="1"/>
  <c r="D957" i="1"/>
  <c r="E957" i="1"/>
  <c r="F957" i="1"/>
  <c r="G957" i="1"/>
  <c r="H957" i="1"/>
  <c r="I957" i="1"/>
  <c r="J957" i="1"/>
  <c r="K957" i="1"/>
  <c r="L957" i="1"/>
  <c r="M957" i="1"/>
  <c r="N957" i="1"/>
  <c r="O957" i="1"/>
  <c r="P957" i="1"/>
  <c r="Q957" i="1"/>
  <c r="R957" i="1"/>
  <c r="S957" i="1"/>
  <c r="T957" i="1"/>
  <c r="U957" i="1"/>
  <c r="V957" i="1"/>
  <c r="W957" i="1"/>
  <c r="X957" i="1"/>
  <c r="Y957" i="1"/>
  <c r="Z957" i="1"/>
  <c r="AA957" i="1"/>
  <c r="AB957" i="1"/>
  <c r="A958" i="1"/>
  <c r="B958" i="1"/>
  <c r="C958" i="1"/>
  <c r="D958" i="1"/>
  <c r="E958" i="1"/>
  <c r="F958" i="1"/>
  <c r="G958" i="1"/>
  <c r="H958" i="1"/>
  <c r="I958" i="1"/>
  <c r="J958" i="1"/>
  <c r="K958" i="1"/>
  <c r="L958" i="1"/>
  <c r="M958" i="1"/>
  <c r="N958" i="1"/>
  <c r="O958" i="1"/>
  <c r="P958" i="1"/>
  <c r="Q958" i="1"/>
  <c r="R958" i="1"/>
  <c r="S958" i="1"/>
  <c r="T958" i="1"/>
  <c r="U958" i="1"/>
  <c r="V958" i="1"/>
  <c r="W958" i="1"/>
  <c r="X958" i="1"/>
  <c r="Y958" i="1"/>
  <c r="Z958" i="1"/>
  <c r="AA958" i="1"/>
  <c r="AB958" i="1"/>
  <c r="A959" i="1"/>
  <c r="B959" i="1"/>
  <c r="C959" i="1"/>
  <c r="D959" i="1"/>
  <c r="E959" i="1"/>
  <c r="F959" i="1"/>
  <c r="G959" i="1"/>
  <c r="H959" i="1"/>
  <c r="I959" i="1"/>
  <c r="J959" i="1"/>
  <c r="K959" i="1"/>
  <c r="L959" i="1"/>
  <c r="M959" i="1"/>
  <c r="N959" i="1"/>
  <c r="O959" i="1"/>
  <c r="P959" i="1"/>
  <c r="Q959" i="1"/>
  <c r="R959" i="1"/>
  <c r="S959" i="1"/>
  <c r="T959" i="1"/>
  <c r="U959" i="1"/>
  <c r="V959" i="1"/>
  <c r="W959" i="1"/>
  <c r="X959" i="1"/>
  <c r="Y959" i="1"/>
  <c r="Z959" i="1"/>
  <c r="AA959" i="1"/>
  <c r="AB959" i="1"/>
  <c r="A960" i="1"/>
  <c r="B960" i="1"/>
  <c r="C960" i="1"/>
  <c r="D960" i="1"/>
  <c r="E960" i="1"/>
  <c r="F960" i="1"/>
  <c r="G960" i="1"/>
  <c r="H960" i="1"/>
  <c r="I960" i="1"/>
  <c r="J960" i="1"/>
  <c r="K960" i="1"/>
  <c r="L960" i="1"/>
  <c r="M960" i="1"/>
  <c r="N960" i="1"/>
  <c r="O960" i="1"/>
  <c r="P960" i="1"/>
  <c r="Q960" i="1"/>
  <c r="R960" i="1"/>
  <c r="S960" i="1"/>
  <c r="T960" i="1"/>
  <c r="U960" i="1"/>
  <c r="V960" i="1"/>
  <c r="W960" i="1"/>
  <c r="X960" i="1"/>
  <c r="Y960" i="1"/>
  <c r="Z960" i="1"/>
  <c r="AA960" i="1"/>
  <c r="AB960" i="1"/>
  <c r="A961" i="1"/>
  <c r="B961" i="1"/>
  <c r="C961" i="1"/>
  <c r="D961" i="1"/>
  <c r="E961" i="1"/>
  <c r="F961" i="1"/>
  <c r="G961" i="1"/>
  <c r="H961" i="1"/>
  <c r="I961" i="1"/>
  <c r="J961" i="1"/>
  <c r="K961" i="1"/>
  <c r="L961" i="1"/>
  <c r="M961" i="1"/>
  <c r="N961" i="1"/>
  <c r="O961" i="1"/>
  <c r="P961" i="1"/>
  <c r="Q961" i="1"/>
  <c r="R961" i="1"/>
  <c r="S961" i="1"/>
  <c r="T961" i="1"/>
  <c r="U961" i="1"/>
  <c r="V961" i="1"/>
  <c r="W961" i="1"/>
  <c r="X961" i="1"/>
  <c r="Y961" i="1"/>
  <c r="Z961" i="1"/>
  <c r="AA961" i="1"/>
  <c r="AB961" i="1"/>
  <c r="A962" i="1"/>
  <c r="B962" i="1"/>
  <c r="C962" i="1"/>
  <c r="D962" i="1"/>
  <c r="E962" i="1"/>
  <c r="F962" i="1"/>
  <c r="G962" i="1"/>
  <c r="H962" i="1"/>
  <c r="I962" i="1"/>
  <c r="J962" i="1"/>
  <c r="K962" i="1"/>
  <c r="L962" i="1"/>
  <c r="M962" i="1"/>
  <c r="N962" i="1"/>
  <c r="O962" i="1"/>
  <c r="P962" i="1"/>
  <c r="Q962" i="1"/>
  <c r="R962" i="1"/>
  <c r="S962" i="1"/>
  <c r="T962" i="1"/>
  <c r="U962" i="1"/>
  <c r="V962" i="1"/>
  <c r="W962" i="1"/>
  <c r="X962" i="1"/>
  <c r="Y962" i="1"/>
  <c r="Z962" i="1"/>
  <c r="AA962" i="1"/>
  <c r="AB962" i="1"/>
  <c r="A963" i="1"/>
  <c r="B963" i="1"/>
  <c r="C963" i="1"/>
  <c r="D963" i="1"/>
  <c r="E963" i="1"/>
  <c r="F963" i="1"/>
  <c r="G963" i="1"/>
  <c r="H963" i="1"/>
  <c r="I963" i="1"/>
  <c r="J963" i="1"/>
  <c r="K963" i="1"/>
  <c r="L963" i="1"/>
  <c r="M963" i="1"/>
  <c r="N963" i="1"/>
  <c r="O963" i="1"/>
  <c r="P963" i="1"/>
  <c r="Q963" i="1"/>
  <c r="R963" i="1"/>
  <c r="S963" i="1"/>
  <c r="T963" i="1"/>
  <c r="U963" i="1"/>
  <c r="V963" i="1"/>
  <c r="W963" i="1"/>
  <c r="X963" i="1"/>
  <c r="Y963" i="1"/>
  <c r="Z963" i="1"/>
  <c r="AA963" i="1"/>
  <c r="AB963" i="1"/>
  <c r="A964" i="1"/>
  <c r="B964" i="1"/>
  <c r="C964" i="1"/>
  <c r="D964" i="1"/>
  <c r="E964" i="1"/>
  <c r="F964" i="1"/>
  <c r="G964" i="1"/>
  <c r="H964" i="1"/>
  <c r="I964" i="1"/>
  <c r="J964" i="1"/>
  <c r="K964" i="1"/>
  <c r="L964" i="1"/>
  <c r="M964" i="1"/>
  <c r="N964" i="1"/>
  <c r="O964" i="1"/>
  <c r="P964" i="1"/>
  <c r="Q964" i="1"/>
  <c r="R964" i="1"/>
  <c r="S964" i="1"/>
  <c r="T964" i="1"/>
  <c r="U964" i="1"/>
  <c r="V964" i="1"/>
  <c r="W964" i="1"/>
  <c r="X964" i="1"/>
  <c r="Y964" i="1"/>
  <c r="Z964" i="1"/>
  <c r="AA964" i="1"/>
  <c r="AB964" i="1"/>
  <c r="A965" i="1"/>
  <c r="B965" i="1"/>
  <c r="C965" i="1"/>
  <c r="D965" i="1"/>
  <c r="E965" i="1"/>
  <c r="F965" i="1"/>
  <c r="G965" i="1"/>
  <c r="H965" i="1"/>
  <c r="I965" i="1"/>
  <c r="J965" i="1"/>
  <c r="K965" i="1"/>
  <c r="L965" i="1"/>
  <c r="M965" i="1"/>
  <c r="N965" i="1"/>
  <c r="O965" i="1"/>
  <c r="P965" i="1"/>
  <c r="Q965" i="1"/>
  <c r="R965" i="1"/>
  <c r="S965" i="1"/>
  <c r="T965" i="1"/>
  <c r="U965" i="1"/>
  <c r="V965" i="1"/>
  <c r="W965" i="1"/>
  <c r="X965" i="1"/>
  <c r="Y965" i="1"/>
  <c r="Z965" i="1"/>
  <c r="AA965" i="1"/>
  <c r="AB965" i="1"/>
  <c r="A966" i="1"/>
  <c r="B966" i="1"/>
  <c r="C966" i="1"/>
  <c r="D966" i="1"/>
  <c r="E966" i="1"/>
  <c r="F966" i="1"/>
  <c r="G966" i="1"/>
  <c r="H966" i="1"/>
  <c r="I966" i="1"/>
  <c r="J966" i="1"/>
  <c r="K966" i="1"/>
  <c r="L966" i="1"/>
  <c r="M966" i="1"/>
  <c r="N966" i="1"/>
  <c r="O966" i="1"/>
  <c r="P966" i="1"/>
  <c r="Q966" i="1"/>
  <c r="R966" i="1"/>
  <c r="S966" i="1"/>
  <c r="T966" i="1"/>
  <c r="U966" i="1"/>
  <c r="V966" i="1"/>
  <c r="W966" i="1"/>
  <c r="X966" i="1"/>
  <c r="Y966" i="1"/>
  <c r="Z966" i="1"/>
  <c r="AA966" i="1"/>
  <c r="AB966" i="1"/>
  <c r="A967" i="1"/>
  <c r="B967" i="1"/>
  <c r="C967" i="1"/>
  <c r="D967" i="1"/>
  <c r="E967" i="1"/>
  <c r="F967" i="1"/>
  <c r="G967" i="1"/>
  <c r="H967" i="1"/>
  <c r="I967" i="1"/>
  <c r="J967" i="1"/>
  <c r="K967" i="1"/>
  <c r="L967" i="1"/>
  <c r="M967" i="1"/>
  <c r="N967" i="1"/>
  <c r="O967" i="1"/>
  <c r="P967" i="1"/>
  <c r="Q967" i="1"/>
  <c r="R967" i="1"/>
  <c r="S967" i="1"/>
  <c r="T967" i="1"/>
  <c r="U967" i="1"/>
  <c r="V967" i="1"/>
  <c r="W967" i="1"/>
  <c r="X967" i="1"/>
  <c r="Y967" i="1"/>
  <c r="Z967" i="1"/>
  <c r="AA967" i="1"/>
  <c r="AB967" i="1"/>
  <c r="A968" i="1"/>
  <c r="B968" i="1"/>
  <c r="C968" i="1"/>
  <c r="D968" i="1"/>
  <c r="E968" i="1"/>
  <c r="F968" i="1"/>
  <c r="G968" i="1"/>
  <c r="H968" i="1"/>
  <c r="I968" i="1"/>
  <c r="J968" i="1"/>
  <c r="K968" i="1"/>
  <c r="L968" i="1"/>
  <c r="M968" i="1"/>
  <c r="N968" i="1"/>
  <c r="O968" i="1"/>
  <c r="P968" i="1"/>
  <c r="Q968" i="1"/>
  <c r="R968" i="1"/>
  <c r="S968" i="1"/>
  <c r="T968" i="1"/>
  <c r="U968" i="1"/>
  <c r="V968" i="1"/>
  <c r="W968" i="1"/>
  <c r="X968" i="1"/>
  <c r="Y968" i="1"/>
  <c r="Z968" i="1"/>
  <c r="AA968" i="1"/>
  <c r="AB968" i="1"/>
  <c r="A969" i="1"/>
  <c r="B969" i="1"/>
  <c r="C969" i="1"/>
  <c r="D969" i="1"/>
  <c r="E969" i="1"/>
  <c r="F969" i="1"/>
  <c r="G969" i="1"/>
  <c r="H969" i="1"/>
  <c r="I969" i="1"/>
  <c r="J969" i="1"/>
  <c r="K969" i="1"/>
  <c r="L969" i="1"/>
  <c r="M969" i="1"/>
  <c r="N969" i="1"/>
  <c r="O969" i="1"/>
  <c r="P969" i="1"/>
  <c r="Q969" i="1"/>
  <c r="R969" i="1"/>
  <c r="S969" i="1"/>
  <c r="T969" i="1"/>
  <c r="U969" i="1"/>
  <c r="V969" i="1"/>
  <c r="W969" i="1"/>
  <c r="X969" i="1"/>
  <c r="Y969" i="1"/>
  <c r="Z969" i="1"/>
  <c r="AA969" i="1"/>
  <c r="AB969" i="1"/>
  <c r="A970" i="1"/>
  <c r="B970" i="1"/>
  <c r="C970" i="1"/>
  <c r="D970" i="1"/>
  <c r="E970" i="1"/>
  <c r="F970" i="1"/>
  <c r="G970" i="1"/>
  <c r="H970" i="1"/>
  <c r="I970" i="1"/>
  <c r="J970" i="1"/>
  <c r="K970" i="1"/>
  <c r="L970" i="1"/>
  <c r="M970" i="1"/>
  <c r="N970" i="1"/>
  <c r="O970" i="1"/>
  <c r="P970" i="1"/>
  <c r="Q970" i="1"/>
  <c r="R970" i="1"/>
  <c r="S970" i="1"/>
  <c r="T970" i="1"/>
  <c r="U970" i="1"/>
  <c r="V970" i="1"/>
  <c r="W970" i="1"/>
  <c r="X970" i="1"/>
  <c r="Y970" i="1"/>
  <c r="Z970" i="1"/>
  <c r="AA970" i="1"/>
  <c r="AB970" i="1"/>
  <c r="A971" i="1"/>
  <c r="B971" i="1"/>
  <c r="C971" i="1"/>
  <c r="D971" i="1"/>
  <c r="E971" i="1"/>
  <c r="F971" i="1"/>
  <c r="G971" i="1"/>
  <c r="H971" i="1"/>
  <c r="I971" i="1"/>
  <c r="J971" i="1"/>
  <c r="K971" i="1"/>
  <c r="L971" i="1"/>
  <c r="M971" i="1"/>
  <c r="N971" i="1"/>
  <c r="O971" i="1"/>
  <c r="P971" i="1"/>
  <c r="Q971" i="1"/>
  <c r="R971" i="1"/>
  <c r="S971" i="1"/>
  <c r="T971" i="1"/>
  <c r="U971" i="1"/>
  <c r="V971" i="1"/>
  <c r="W971" i="1"/>
  <c r="X971" i="1"/>
  <c r="Y971" i="1"/>
  <c r="Z971" i="1"/>
  <c r="AA971" i="1"/>
  <c r="AB971" i="1"/>
  <c r="A972" i="1"/>
  <c r="B972" i="1"/>
  <c r="C972" i="1"/>
  <c r="D972" i="1"/>
  <c r="E972" i="1"/>
  <c r="F972" i="1"/>
  <c r="G972" i="1"/>
  <c r="H972" i="1"/>
  <c r="I972" i="1"/>
  <c r="J972" i="1"/>
  <c r="K972" i="1"/>
  <c r="L972" i="1"/>
  <c r="M972" i="1"/>
  <c r="N972" i="1"/>
  <c r="O972" i="1"/>
  <c r="P972" i="1"/>
  <c r="Q972" i="1"/>
  <c r="R972" i="1"/>
  <c r="S972" i="1"/>
  <c r="T972" i="1"/>
  <c r="U972" i="1"/>
  <c r="V972" i="1"/>
  <c r="W972" i="1"/>
  <c r="X972" i="1"/>
  <c r="Y972" i="1"/>
  <c r="Z972" i="1"/>
  <c r="AA972" i="1"/>
  <c r="AB972" i="1"/>
  <c r="A973" i="1"/>
  <c r="B973" i="1"/>
  <c r="C973" i="1"/>
  <c r="D973" i="1"/>
  <c r="E973" i="1"/>
  <c r="F973" i="1"/>
  <c r="G973" i="1"/>
  <c r="H973" i="1"/>
  <c r="I973" i="1"/>
  <c r="J973" i="1"/>
  <c r="K973" i="1"/>
  <c r="L973" i="1"/>
  <c r="M973" i="1"/>
  <c r="N973" i="1"/>
  <c r="O973" i="1"/>
  <c r="P973" i="1"/>
  <c r="Q973" i="1"/>
  <c r="R973" i="1"/>
  <c r="S973" i="1"/>
  <c r="T973" i="1"/>
  <c r="U973" i="1"/>
  <c r="V973" i="1"/>
  <c r="W973" i="1"/>
  <c r="X973" i="1"/>
  <c r="Y973" i="1"/>
  <c r="Z973" i="1"/>
  <c r="AA973" i="1"/>
  <c r="AB973" i="1"/>
  <c r="A974" i="1"/>
  <c r="B974" i="1"/>
  <c r="C974" i="1"/>
  <c r="D974" i="1"/>
  <c r="E974" i="1"/>
  <c r="F974" i="1"/>
  <c r="G974" i="1"/>
  <c r="H974" i="1"/>
  <c r="I974" i="1"/>
  <c r="J974" i="1"/>
  <c r="K974" i="1"/>
  <c r="L974" i="1"/>
  <c r="M974" i="1"/>
  <c r="N974" i="1"/>
  <c r="O974" i="1"/>
  <c r="P974" i="1"/>
  <c r="Q974" i="1"/>
  <c r="R974" i="1"/>
  <c r="S974" i="1"/>
  <c r="T974" i="1"/>
  <c r="U974" i="1"/>
  <c r="V974" i="1"/>
  <c r="W974" i="1"/>
  <c r="X974" i="1"/>
  <c r="Y974" i="1"/>
  <c r="Z974" i="1"/>
  <c r="AA974" i="1"/>
  <c r="AB974" i="1"/>
  <c r="A975" i="1"/>
  <c r="B975" i="1"/>
  <c r="C975" i="1"/>
  <c r="D975" i="1"/>
  <c r="E975" i="1"/>
  <c r="F975" i="1"/>
  <c r="G975" i="1"/>
  <c r="H975" i="1"/>
  <c r="I975" i="1"/>
  <c r="J975" i="1"/>
  <c r="K975" i="1"/>
  <c r="L975" i="1"/>
  <c r="M975" i="1"/>
  <c r="N975" i="1"/>
  <c r="O975" i="1"/>
  <c r="P975" i="1"/>
  <c r="Q975" i="1"/>
  <c r="R975" i="1"/>
  <c r="S975" i="1"/>
  <c r="T975" i="1"/>
  <c r="U975" i="1"/>
  <c r="V975" i="1"/>
  <c r="W975" i="1"/>
  <c r="X975" i="1"/>
  <c r="Y975" i="1"/>
  <c r="Z975" i="1"/>
  <c r="AA975" i="1"/>
  <c r="AB975" i="1"/>
  <c r="A976" i="1"/>
  <c r="B976" i="1"/>
  <c r="C976" i="1"/>
  <c r="D976" i="1"/>
  <c r="E976" i="1"/>
  <c r="F976" i="1"/>
  <c r="G976" i="1"/>
  <c r="H976" i="1"/>
  <c r="I976" i="1"/>
  <c r="J976" i="1"/>
  <c r="K976" i="1"/>
  <c r="L976" i="1"/>
  <c r="M976" i="1"/>
  <c r="N976" i="1"/>
  <c r="O976" i="1"/>
  <c r="P976" i="1"/>
  <c r="Q976" i="1"/>
  <c r="R976" i="1"/>
  <c r="S976" i="1"/>
  <c r="T976" i="1"/>
  <c r="U976" i="1"/>
  <c r="V976" i="1"/>
  <c r="W976" i="1"/>
  <c r="X976" i="1"/>
  <c r="Y976" i="1"/>
  <c r="Z976" i="1"/>
  <c r="AA976" i="1"/>
  <c r="AB976" i="1"/>
  <c r="A977" i="1"/>
  <c r="B977" i="1"/>
  <c r="C977" i="1"/>
  <c r="D977" i="1"/>
  <c r="E977" i="1"/>
  <c r="F977" i="1"/>
  <c r="G977" i="1"/>
  <c r="H977" i="1"/>
  <c r="I977" i="1"/>
  <c r="J977" i="1"/>
  <c r="K977" i="1"/>
  <c r="L977" i="1"/>
  <c r="M977" i="1"/>
  <c r="N977" i="1"/>
  <c r="O977" i="1"/>
  <c r="P977" i="1"/>
  <c r="Q977" i="1"/>
  <c r="R977" i="1"/>
  <c r="S977" i="1"/>
  <c r="T977" i="1"/>
  <c r="U977" i="1"/>
  <c r="V977" i="1"/>
  <c r="W977" i="1"/>
  <c r="X977" i="1"/>
  <c r="Y977" i="1"/>
  <c r="Z977" i="1"/>
  <c r="AA977" i="1"/>
  <c r="AB977" i="1"/>
  <c r="A978" i="1"/>
  <c r="B978" i="1"/>
  <c r="C978" i="1"/>
  <c r="D978" i="1"/>
  <c r="E978" i="1"/>
  <c r="F978" i="1"/>
  <c r="G978" i="1"/>
  <c r="H978" i="1"/>
  <c r="I978" i="1"/>
  <c r="J978" i="1"/>
  <c r="K978" i="1"/>
  <c r="L978" i="1"/>
  <c r="M978" i="1"/>
  <c r="N978" i="1"/>
  <c r="O978" i="1"/>
  <c r="P978" i="1"/>
  <c r="Q978" i="1"/>
  <c r="R978" i="1"/>
  <c r="S978" i="1"/>
  <c r="T978" i="1"/>
  <c r="U978" i="1"/>
  <c r="V978" i="1"/>
  <c r="W978" i="1"/>
  <c r="X978" i="1"/>
  <c r="Y978" i="1"/>
  <c r="Z978" i="1"/>
  <c r="AA978" i="1"/>
  <c r="AB978" i="1"/>
  <c r="A979" i="1"/>
  <c r="B979" i="1"/>
  <c r="C979" i="1"/>
  <c r="D979" i="1"/>
  <c r="E979" i="1"/>
  <c r="F979" i="1"/>
  <c r="G979" i="1"/>
  <c r="H979" i="1"/>
  <c r="I979" i="1"/>
  <c r="J979" i="1"/>
  <c r="K979" i="1"/>
  <c r="L979" i="1"/>
  <c r="M979" i="1"/>
  <c r="N979" i="1"/>
  <c r="O979" i="1"/>
  <c r="P979" i="1"/>
  <c r="Q979" i="1"/>
  <c r="R979" i="1"/>
  <c r="S979" i="1"/>
  <c r="T979" i="1"/>
  <c r="U979" i="1"/>
  <c r="V979" i="1"/>
  <c r="W979" i="1"/>
  <c r="X979" i="1"/>
  <c r="Y979" i="1"/>
  <c r="Z979" i="1"/>
  <c r="AA979" i="1"/>
  <c r="AB979" i="1"/>
  <c r="A980" i="1"/>
  <c r="B980" i="1"/>
  <c r="C980" i="1"/>
  <c r="D980" i="1"/>
  <c r="E980" i="1"/>
  <c r="F980" i="1"/>
  <c r="G980" i="1"/>
  <c r="H980" i="1"/>
  <c r="I980" i="1"/>
  <c r="J980" i="1"/>
  <c r="K980" i="1"/>
  <c r="L980" i="1"/>
  <c r="M980" i="1"/>
  <c r="N980" i="1"/>
  <c r="O980" i="1"/>
  <c r="P980" i="1"/>
  <c r="Q980" i="1"/>
  <c r="R980" i="1"/>
  <c r="S980" i="1"/>
  <c r="T980" i="1"/>
  <c r="U980" i="1"/>
  <c r="V980" i="1"/>
  <c r="W980" i="1"/>
  <c r="X980" i="1"/>
  <c r="Y980" i="1"/>
  <c r="Z980" i="1"/>
  <c r="AA980" i="1"/>
  <c r="AB980" i="1"/>
  <c r="A981" i="1"/>
  <c r="B981" i="1"/>
  <c r="C981" i="1"/>
  <c r="D981" i="1"/>
  <c r="E981" i="1"/>
  <c r="F981" i="1"/>
  <c r="G981" i="1"/>
  <c r="H981" i="1"/>
  <c r="I981" i="1"/>
  <c r="J981" i="1"/>
  <c r="K981" i="1"/>
  <c r="L981" i="1"/>
  <c r="M981" i="1"/>
  <c r="N981" i="1"/>
  <c r="O981" i="1"/>
  <c r="P981" i="1"/>
  <c r="Q981" i="1"/>
  <c r="R981" i="1"/>
  <c r="S981" i="1"/>
  <c r="T981" i="1"/>
  <c r="U981" i="1"/>
  <c r="V981" i="1"/>
  <c r="W981" i="1"/>
  <c r="X981" i="1"/>
  <c r="Y981" i="1"/>
  <c r="Z981" i="1"/>
  <c r="AA981" i="1"/>
  <c r="AB981" i="1"/>
  <c r="A982" i="1"/>
  <c r="B982" i="1"/>
  <c r="C982" i="1"/>
  <c r="D982" i="1"/>
  <c r="E982" i="1"/>
  <c r="F982" i="1"/>
  <c r="G982" i="1"/>
  <c r="H982" i="1"/>
  <c r="I982" i="1"/>
  <c r="J982" i="1"/>
  <c r="K982" i="1"/>
  <c r="L982" i="1"/>
  <c r="M982" i="1"/>
  <c r="N982" i="1"/>
  <c r="O982" i="1"/>
  <c r="P982" i="1"/>
  <c r="Q982" i="1"/>
  <c r="R982" i="1"/>
  <c r="S982" i="1"/>
  <c r="T982" i="1"/>
  <c r="U982" i="1"/>
  <c r="V982" i="1"/>
  <c r="W982" i="1"/>
  <c r="X982" i="1"/>
  <c r="Y982" i="1"/>
  <c r="Z982" i="1"/>
  <c r="AA982" i="1"/>
  <c r="AB982" i="1"/>
  <c r="A983" i="1"/>
  <c r="B983" i="1"/>
  <c r="C983" i="1"/>
  <c r="D983" i="1"/>
  <c r="E983" i="1"/>
  <c r="F983" i="1"/>
  <c r="G983" i="1"/>
  <c r="H983" i="1"/>
  <c r="I983" i="1"/>
  <c r="J983" i="1"/>
  <c r="K983" i="1"/>
  <c r="L983" i="1"/>
  <c r="M983" i="1"/>
  <c r="N983" i="1"/>
  <c r="O983" i="1"/>
  <c r="P983" i="1"/>
  <c r="Q983" i="1"/>
  <c r="R983" i="1"/>
  <c r="S983" i="1"/>
  <c r="T983" i="1"/>
  <c r="U983" i="1"/>
  <c r="V983" i="1"/>
  <c r="W983" i="1"/>
  <c r="X983" i="1"/>
  <c r="Y983" i="1"/>
  <c r="Z983" i="1"/>
  <c r="AA983" i="1"/>
  <c r="AB983" i="1"/>
  <c r="A984" i="1"/>
  <c r="B984" i="1"/>
  <c r="C984" i="1"/>
  <c r="D984" i="1"/>
  <c r="E984" i="1"/>
  <c r="F984" i="1"/>
  <c r="G984" i="1"/>
  <c r="H984" i="1"/>
  <c r="I984" i="1"/>
  <c r="J984" i="1"/>
  <c r="K984" i="1"/>
  <c r="L984" i="1"/>
  <c r="M984" i="1"/>
  <c r="N984" i="1"/>
  <c r="O984" i="1"/>
  <c r="P984" i="1"/>
  <c r="Q984" i="1"/>
  <c r="R984" i="1"/>
  <c r="S984" i="1"/>
  <c r="T984" i="1"/>
  <c r="U984" i="1"/>
  <c r="V984" i="1"/>
  <c r="W984" i="1"/>
  <c r="X984" i="1"/>
  <c r="Y984" i="1"/>
  <c r="Z984" i="1"/>
  <c r="AA984" i="1"/>
  <c r="AB984" i="1"/>
  <c r="A985" i="1"/>
  <c r="B985" i="1"/>
  <c r="C985" i="1"/>
  <c r="D985" i="1"/>
  <c r="E985" i="1"/>
  <c r="F985" i="1"/>
  <c r="G985" i="1"/>
  <c r="H985" i="1"/>
  <c r="I985" i="1"/>
  <c r="J985" i="1"/>
  <c r="K985" i="1"/>
  <c r="L985" i="1"/>
  <c r="M985" i="1"/>
  <c r="N985" i="1"/>
  <c r="O985" i="1"/>
  <c r="P985" i="1"/>
  <c r="Q985" i="1"/>
  <c r="R985" i="1"/>
  <c r="S985" i="1"/>
  <c r="T985" i="1"/>
  <c r="U985" i="1"/>
  <c r="V985" i="1"/>
  <c r="W985" i="1"/>
  <c r="X985" i="1"/>
  <c r="Y985" i="1"/>
  <c r="Z985" i="1"/>
  <c r="AA985" i="1"/>
  <c r="AB985" i="1"/>
  <c r="A986" i="1"/>
  <c r="B986" i="1"/>
  <c r="C986" i="1"/>
  <c r="D986" i="1"/>
  <c r="E986" i="1"/>
  <c r="F986" i="1"/>
  <c r="G986" i="1"/>
  <c r="H986" i="1"/>
  <c r="I986" i="1"/>
  <c r="J986" i="1"/>
  <c r="K986" i="1"/>
  <c r="L986" i="1"/>
  <c r="M986" i="1"/>
  <c r="N986" i="1"/>
  <c r="O986" i="1"/>
  <c r="P986" i="1"/>
  <c r="Q986" i="1"/>
  <c r="R986" i="1"/>
  <c r="S986" i="1"/>
  <c r="T986" i="1"/>
  <c r="U986" i="1"/>
  <c r="V986" i="1"/>
  <c r="W986" i="1"/>
  <c r="X986" i="1"/>
  <c r="Y986" i="1"/>
  <c r="Z986" i="1"/>
  <c r="AA986" i="1"/>
  <c r="AB986" i="1"/>
  <c r="A987" i="1"/>
  <c r="B987" i="1"/>
  <c r="C987" i="1"/>
  <c r="D987" i="1"/>
  <c r="E987" i="1"/>
  <c r="F987" i="1"/>
  <c r="G987" i="1"/>
  <c r="H987" i="1"/>
  <c r="I987" i="1"/>
  <c r="J987" i="1"/>
  <c r="K987" i="1"/>
  <c r="L987" i="1"/>
  <c r="M987" i="1"/>
  <c r="N987" i="1"/>
  <c r="O987" i="1"/>
  <c r="P987" i="1"/>
  <c r="Q987" i="1"/>
  <c r="R987" i="1"/>
  <c r="S987" i="1"/>
  <c r="T987" i="1"/>
  <c r="U987" i="1"/>
  <c r="V987" i="1"/>
  <c r="W987" i="1"/>
  <c r="X987" i="1"/>
  <c r="Y987" i="1"/>
  <c r="Z987" i="1"/>
  <c r="AA987" i="1"/>
  <c r="AB987" i="1"/>
  <c r="A988" i="1"/>
  <c r="B988" i="1"/>
  <c r="C988" i="1"/>
  <c r="D988" i="1"/>
  <c r="E988" i="1"/>
  <c r="F988" i="1"/>
  <c r="G988" i="1"/>
  <c r="H988" i="1"/>
  <c r="I988" i="1"/>
  <c r="J988" i="1"/>
  <c r="K988" i="1"/>
  <c r="L988" i="1"/>
  <c r="M988" i="1"/>
  <c r="N988" i="1"/>
  <c r="O988" i="1"/>
  <c r="P988" i="1"/>
  <c r="Q988" i="1"/>
  <c r="R988" i="1"/>
  <c r="S988" i="1"/>
  <c r="T988" i="1"/>
  <c r="U988" i="1"/>
  <c r="V988" i="1"/>
  <c r="W988" i="1"/>
  <c r="X988" i="1"/>
  <c r="Y988" i="1"/>
  <c r="Z988" i="1"/>
  <c r="AA988" i="1"/>
  <c r="AB988" i="1"/>
  <c r="A989" i="1"/>
  <c r="B989" i="1"/>
  <c r="C989" i="1"/>
  <c r="D989" i="1"/>
  <c r="E989" i="1"/>
  <c r="F989" i="1"/>
  <c r="G989" i="1"/>
  <c r="H989" i="1"/>
  <c r="I989" i="1"/>
  <c r="J989" i="1"/>
  <c r="K989" i="1"/>
  <c r="L989" i="1"/>
  <c r="M989" i="1"/>
  <c r="N989" i="1"/>
  <c r="O989" i="1"/>
  <c r="P989" i="1"/>
  <c r="Q989" i="1"/>
  <c r="R989" i="1"/>
  <c r="S989" i="1"/>
  <c r="T989" i="1"/>
  <c r="U989" i="1"/>
  <c r="V989" i="1"/>
  <c r="W989" i="1"/>
  <c r="X989" i="1"/>
  <c r="Y989" i="1"/>
  <c r="Z989" i="1"/>
  <c r="AA989" i="1"/>
  <c r="AB989" i="1"/>
  <c r="A990" i="1"/>
  <c r="B990" i="1"/>
  <c r="C990" i="1"/>
  <c r="D990" i="1"/>
  <c r="E990" i="1"/>
  <c r="F990" i="1"/>
  <c r="G990" i="1"/>
  <c r="H990" i="1"/>
  <c r="I990" i="1"/>
  <c r="J990" i="1"/>
  <c r="K990" i="1"/>
  <c r="L990" i="1"/>
  <c r="M990" i="1"/>
  <c r="N990" i="1"/>
  <c r="O990" i="1"/>
  <c r="P990" i="1"/>
  <c r="Q990" i="1"/>
  <c r="R990" i="1"/>
  <c r="S990" i="1"/>
  <c r="T990" i="1"/>
  <c r="U990" i="1"/>
  <c r="V990" i="1"/>
  <c r="W990" i="1"/>
  <c r="X990" i="1"/>
  <c r="Y990" i="1"/>
  <c r="Z990" i="1"/>
  <c r="AA990" i="1"/>
  <c r="AB990" i="1"/>
  <c r="A991" i="1"/>
  <c r="B991" i="1"/>
  <c r="C991" i="1"/>
  <c r="D991" i="1"/>
  <c r="E991" i="1"/>
  <c r="F991" i="1"/>
  <c r="G991" i="1"/>
  <c r="H991" i="1"/>
  <c r="I991" i="1"/>
  <c r="J991" i="1"/>
  <c r="K991" i="1"/>
  <c r="L991" i="1"/>
  <c r="M991" i="1"/>
  <c r="N991" i="1"/>
  <c r="O991" i="1"/>
  <c r="P991" i="1"/>
  <c r="Q991" i="1"/>
  <c r="R991" i="1"/>
  <c r="S991" i="1"/>
  <c r="T991" i="1"/>
  <c r="U991" i="1"/>
  <c r="V991" i="1"/>
  <c r="W991" i="1"/>
  <c r="X991" i="1"/>
  <c r="Y991" i="1"/>
  <c r="Z991" i="1"/>
  <c r="AA991" i="1"/>
  <c r="AB991" i="1"/>
  <c r="A992" i="1"/>
  <c r="B992" i="1"/>
  <c r="C992" i="1"/>
  <c r="D992" i="1"/>
  <c r="E992" i="1"/>
  <c r="F992" i="1"/>
  <c r="G992" i="1"/>
  <c r="H992" i="1"/>
  <c r="I992" i="1"/>
  <c r="J992" i="1"/>
  <c r="K992" i="1"/>
  <c r="L992" i="1"/>
  <c r="M992" i="1"/>
  <c r="N992" i="1"/>
  <c r="O992" i="1"/>
  <c r="P992" i="1"/>
  <c r="Q992" i="1"/>
  <c r="R992" i="1"/>
  <c r="S992" i="1"/>
  <c r="T992" i="1"/>
  <c r="U992" i="1"/>
  <c r="V992" i="1"/>
  <c r="W992" i="1"/>
  <c r="X992" i="1"/>
  <c r="Y992" i="1"/>
  <c r="Z992" i="1"/>
  <c r="AA992" i="1"/>
  <c r="AB992" i="1"/>
  <c r="A993" i="1"/>
  <c r="B993" i="1"/>
  <c r="C993" i="1"/>
  <c r="D993" i="1"/>
  <c r="E993" i="1"/>
  <c r="F993" i="1"/>
  <c r="G993" i="1"/>
  <c r="H993" i="1"/>
  <c r="I993" i="1"/>
  <c r="J993" i="1"/>
  <c r="K993" i="1"/>
  <c r="L993" i="1"/>
  <c r="M993" i="1"/>
  <c r="N993" i="1"/>
  <c r="O993" i="1"/>
  <c r="P993" i="1"/>
  <c r="Q993" i="1"/>
  <c r="R993" i="1"/>
  <c r="S993" i="1"/>
  <c r="T993" i="1"/>
  <c r="U993" i="1"/>
  <c r="V993" i="1"/>
  <c r="W993" i="1"/>
  <c r="X993" i="1"/>
  <c r="Y993" i="1"/>
  <c r="Z993" i="1"/>
  <c r="AA993" i="1"/>
  <c r="AB993" i="1"/>
  <c r="A994" i="1"/>
  <c r="B994" i="1"/>
  <c r="C994" i="1"/>
  <c r="D994" i="1"/>
  <c r="E994" i="1"/>
  <c r="F994" i="1"/>
  <c r="G994" i="1"/>
  <c r="H994" i="1"/>
  <c r="I994" i="1"/>
  <c r="J994" i="1"/>
  <c r="K994" i="1"/>
  <c r="L994" i="1"/>
  <c r="M994" i="1"/>
  <c r="N994" i="1"/>
  <c r="O994" i="1"/>
  <c r="P994" i="1"/>
  <c r="Q994" i="1"/>
  <c r="R994" i="1"/>
  <c r="S994" i="1"/>
  <c r="T994" i="1"/>
  <c r="U994" i="1"/>
  <c r="V994" i="1"/>
  <c r="W994" i="1"/>
  <c r="X994" i="1"/>
  <c r="Y994" i="1"/>
  <c r="Z994" i="1"/>
  <c r="AA994" i="1"/>
  <c r="AB994" i="1"/>
  <c r="A995" i="1"/>
  <c r="B995" i="1"/>
  <c r="C995" i="1"/>
  <c r="D995" i="1"/>
  <c r="E995" i="1"/>
  <c r="F995" i="1"/>
  <c r="G995" i="1"/>
  <c r="H995" i="1"/>
  <c r="I995" i="1"/>
  <c r="J995" i="1"/>
  <c r="K995" i="1"/>
  <c r="L995" i="1"/>
  <c r="M995" i="1"/>
  <c r="N995" i="1"/>
  <c r="O995" i="1"/>
  <c r="P995" i="1"/>
  <c r="Q995" i="1"/>
  <c r="R995" i="1"/>
  <c r="S995" i="1"/>
  <c r="T995" i="1"/>
  <c r="U995" i="1"/>
  <c r="V995" i="1"/>
  <c r="W995" i="1"/>
  <c r="X995" i="1"/>
  <c r="Y995" i="1"/>
  <c r="Z995" i="1"/>
  <c r="AA995" i="1"/>
  <c r="AB995" i="1"/>
  <c r="A996" i="1"/>
  <c r="B996" i="1"/>
  <c r="C996" i="1"/>
  <c r="D996" i="1"/>
  <c r="E996" i="1"/>
  <c r="F996" i="1"/>
  <c r="G996" i="1"/>
  <c r="H996" i="1"/>
  <c r="I996" i="1"/>
  <c r="J996" i="1"/>
  <c r="K996" i="1"/>
  <c r="L996" i="1"/>
  <c r="M996" i="1"/>
  <c r="N996" i="1"/>
  <c r="O996" i="1"/>
  <c r="P996" i="1"/>
  <c r="Q996" i="1"/>
  <c r="R996" i="1"/>
  <c r="S996" i="1"/>
  <c r="T996" i="1"/>
  <c r="U996" i="1"/>
  <c r="V996" i="1"/>
  <c r="W996" i="1"/>
  <c r="X996" i="1"/>
  <c r="Y996" i="1"/>
  <c r="Z996" i="1"/>
  <c r="AA996" i="1"/>
  <c r="AB996" i="1"/>
  <c r="A997" i="1"/>
  <c r="B997" i="1"/>
  <c r="C997" i="1"/>
  <c r="D997" i="1"/>
  <c r="E997" i="1"/>
  <c r="F997" i="1"/>
  <c r="G997" i="1"/>
  <c r="H997" i="1"/>
  <c r="I997" i="1"/>
  <c r="J997" i="1"/>
  <c r="K997" i="1"/>
  <c r="L997" i="1"/>
  <c r="M997" i="1"/>
  <c r="N997" i="1"/>
  <c r="O997" i="1"/>
  <c r="P997" i="1"/>
  <c r="Q997" i="1"/>
  <c r="R997" i="1"/>
  <c r="S997" i="1"/>
  <c r="T997" i="1"/>
  <c r="U997" i="1"/>
  <c r="V997" i="1"/>
  <c r="W997" i="1"/>
  <c r="X997" i="1"/>
  <c r="Y997" i="1"/>
  <c r="Z997" i="1"/>
  <c r="AA997" i="1"/>
  <c r="AB997" i="1"/>
  <c r="A998" i="1"/>
  <c r="B998" i="1"/>
  <c r="C998" i="1"/>
  <c r="D998" i="1"/>
  <c r="E998" i="1"/>
  <c r="F998" i="1"/>
  <c r="G998" i="1"/>
  <c r="H998" i="1"/>
  <c r="I998" i="1"/>
  <c r="J998" i="1"/>
  <c r="K998" i="1"/>
  <c r="L998" i="1"/>
  <c r="M998" i="1"/>
  <c r="N998" i="1"/>
  <c r="O998" i="1"/>
  <c r="P998" i="1"/>
  <c r="Q998" i="1"/>
  <c r="R998" i="1"/>
  <c r="S998" i="1"/>
  <c r="T998" i="1"/>
  <c r="U998" i="1"/>
  <c r="V998" i="1"/>
  <c r="W998" i="1"/>
  <c r="X998" i="1"/>
  <c r="Y998" i="1"/>
  <c r="Z998" i="1"/>
  <c r="AA998" i="1"/>
  <c r="AB998" i="1"/>
  <c r="A999" i="1"/>
  <c r="B999" i="1"/>
  <c r="C999" i="1"/>
  <c r="D999" i="1"/>
  <c r="E999" i="1"/>
  <c r="F999" i="1"/>
  <c r="G999" i="1"/>
  <c r="H999" i="1"/>
  <c r="I999" i="1"/>
  <c r="J999" i="1"/>
  <c r="K999" i="1"/>
  <c r="L999" i="1"/>
  <c r="M999" i="1"/>
  <c r="N999" i="1"/>
  <c r="O999" i="1"/>
  <c r="P999" i="1"/>
  <c r="Q999" i="1"/>
  <c r="R999" i="1"/>
  <c r="S999" i="1"/>
  <c r="T999" i="1"/>
  <c r="U999" i="1"/>
  <c r="V999" i="1"/>
  <c r="W999" i="1"/>
  <c r="X999" i="1"/>
  <c r="Y999" i="1"/>
  <c r="Z999" i="1"/>
  <c r="AA999" i="1"/>
  <c r="AB999" i="1"/>
  <c r="A1000" i="1"/>
  <c r="B1000" i="1"/>
  <c r="C1000" i="1"/>
  <c r="D1000" i="1"/>
  <c r="E1000" i="1"/>
  <c r="F1000" i="1"/>
  <c r="G1000" i="1"/>
  <c r="H1000" i="1"/>
  <c r="I1000" i="1"/>
  <c r="J1000" i="1"/>
  <c r="K1000" i="1"/>
  <c r="L1000" i="1"/>
  <c r="M1000" i="1"/>
  <c r="N1000" i="1"/>
  <c r="O1000" i="1"/>
  <c r="P1000" i="1"/>
  <c r="Q1000" i="1"/>
  <c r="R1000" i="1"/>
  <c r="S1000" i="1"/>
  <c r="T1000" i="1"/>
  <c r="U1000" i="1"/>
  <c r="V1000" i="1"/>
  <c r="W1000" i="1"/>
  <c r="X1000" i="1"/>
  <c r="Y1000" i="1"/>
  <c r="Z1000" i="1"/>
  <c r="AA1000" i="1"/>
  <c r="AB1000" i="1"/>
  <c r="A1001" i="1"/>
  <c r="B1001" i="1"/>
  <c r="C1001" i="1"/>
  <c r="D1001" i="1"/>
  <c r="E1001" i="1"/>
  <c r="F1001" i="1"/>
  <c r="G1001" i="1"/>
  <c r="H1001" i="1"/>
  <c r="I1001" i="1"/>
  <c r="J1001" i="1"/>
  <c r="K1001" i="1"/>
  <c r="L1001" i="1"/>
  <c r="M1001" i="1"/>
  <c r="N1001" i="1"/>
  <c r="O1001" i="1"/>
  <c r="P1001" i="1"/>
  <c r="Q1001" i="1"/>
  <c r="R1001" i="1"/>
  <c r="S1001" i="1"/>
  <c r="T1001" i="1"/>
  <c r="U1001" i="1"/>
  <c r="V1001" i="1"/>
  <c r="W1001" i="1"/>
  <c r="X1001" i="1"/>
  <c r="Y1001" i="1"/>
  <c r="Z1001" i="1"/>
  <c r="AA1001" i="1"/>
  <c r="AB1001" i="1"/>
  <c r="A1002" i="1"/>
  <c r="B1002" i="1"/>
  <c r="C1002" i="1"/>
  <c r="D1002" i="1"/>
  <c r="E1002" i="1"/>
  <c r="F1002" i="1"/>
  <c r="G1002" i="1"/>
  <c r="H1002" i="1"/>
  <c r="I1002" i="1"/>
  <c r="J1002" i="1"/>
  <c r="K1002" i="1"/>
  <c r="L1002" i="1"/>
  <c r="M1002" i="1"/>
  <c r="N1002" i="1"/>
  <c r="O1002" i="1"/>
  <c r="P1002" i="1"/>
  <c r="Q1002" i="1"/>
  <c r="R1002" i="1"/>
  <c r="S1002" i="1"/>
  <c r="T1002" i="1"/>
  <c r="U1002" i="1"/>
  <c r="V1002" i="1"/>
  <c r="W1002" i="1"/>
  <c r="X1002" i="1"/>
  <c r="Y1002" i="1"/>
  <c r="Z1002" i="1"/>
  <c r="AA1002" i="1"/>
  <c r="AB1002" i="1"/>
  <c r="A1003" i="1"/>
  <c r="B1003" i="1"/>
  <c r="C1003" i="1"/>
  <c r="D1003" i="1"/>
  <c r="E1003" i="1"/>
  <c r="F1003" i="1"/>
  <c r="G1003" i="1"/>
  <c r="H1003" i="1"/>
  <c r="I1003" i="1"/>
  <c r="J1003" i="1"/>
  <c r="K1003" i="1"/>
  <c r="L1003" i="1"/>
  <c r="M1003" i="1"/>
  <c r="N1003" i="1"/>
  <c r="O1003" i="1"/>
  <c r="P1003" i="1"/>
  <c r="Q1003" i="1"/>
  <c r="R1003" i="1"/>
  <c r="S1003" i="1"/>
  <c r="T1003" i="1"/>
  <c r="U1003" i="1"/>
  <c r="V1003" i="1"/>
  <c r="W1003" i="1"/>
  <c r="X1003" i="1"/>
  <c r="Y1003" i="1"/>
  <c r="Z1003" i="1"/>
  <c r="AA1003" i="1"/>
  <c r="AB1003" i="1"/>
  <c r="A1004" i="1"/>
  <c r="B1004" i="1"/>
  <c r="C1004" i="1"/>
  <c r="D1004" i="1"/>
  <c r="E1004" i="1"/>
  <c r="F1004" i="1"/>
  <c r="G1004" i="1"/>
  <c r="H1004" i="1"/>
  <c r="I1004" i="1"/>
  <c r="J1004" i="1"/>
  <c r="K1004" i="1"/>
  <c r="L1004" i="1"/>
  <c r="M1004" i="1"/>
  <c r="N1004" i="1"/>
  <c r="O1004" i="1"/>
  <c r="P1004" i="1"/>
  <c r="Q1004" i="1"/>
  <c r="R1004" i="1"/>
  <c r="S1004" i="1"/>
  <c r="T1004" i="1"/>
  <c r="U1004" i="1"/>
  <c r="V1004" i="1"/>
  <c r="W1004" i="1"/>
  <c r="X1004" i="1"/>
  <c r="Y1004" i="1"/>
  <c r="Z1004" i="1"/>
  <c r="AA1004" i="1"/>
  <c r="AB1004" i="1"/>
  <c r="A1005" i="1"/>
  <c r="B1005" i="1"/>
  <c r="C1005" i="1"/>
  <c r="D1005" i="1"/>
  <c r="E1005" i="1"/>
  <c r="F1005" i="1"/>
  <c r="G1005" i="1"/>
  <c r="H1005" i="1"/>
  <c r="I1005" i="1"/>
  <c r="J1005" i="1"/>
  <c r="K1005" i="1"/>
  <c r="L1005" i="1"/>
  <c r="M1005" i="1"/>
  <c r="N1005" i="1"/>
  <c r="O1005" i="1"/>
  <c r="P1005" i="1"/>
  <c r="Q1005" i="1"/>
  <c r="R1005" i="1"/>
  <c r="S1005" i="1"/>
  <c r="T1005" i="1"/>
  <c r="U1005" i="1"/>
  <c r="V1005" i="1"/>
  <c r="W1005" i="1"/>
  <c r="X1005" i="1"/>
  <c r="Y1005" i="1"/>
  <c r="Z1005" i="1"/>
  <c r="AA1005" i="1"/>
  <c r="AB1005" i="1"/>
  <c r="A1006" i="1"/>
  <c r="B1006" i="1"/>
  <c r="C1006" i="1"/>
  <c r="D1006" i="1"/>
  <c r="E1006" i="1"/>
  <c r="F1006" i="1"/>
  <c r="G1006" i="1"/>
  <c r="H1006" i="1"/>
  <c r="I1006" i="1"/>
  <c r="J1006" i="1"/>
  <c r="K1006" i="1"/>
  <c r="L1006" i="1"/>
  <c r="M1006" i="1"/>
  <c r="N1006" i="1"/>
  <c r="O1006" i="1"/>
  <c r="P1006" i="1"/>
  <c r="Q1006" i="1"/>
  <c r="R1006" i="1"/>
  <c r="S1006" i="1"/>
  <c r="T1006" i="1"/>
  <c r="U1006" i="1"/>
  <c r="V1006" i="1"/>
  <c r="W1006" i="1"/>
  <c r="X1006" i="1"/>
  <c r="Y1006" i="1"/>
  <c r="Z1006" i="1"/>
  <c r="AA1006" i="1"/>
  <c r="AB1006" i="1"/>
  <c r="A1007" i="1"/>
  <c r="B1007" i="1"/>
  <c r="C1007" i="1"/>
  <c r="D1007" i="1"/>
  <c r="E1007" i="1"/>
  <c r="F1007" i="1"/>
  <c r="G1007" i="1"/>
  <c r="H1007" i="1"/>
  <c r="I1007" i="1"/>
  <c r="J1007" i="1"/>
  <c r="K1007" i="1"/>
  <c r="L1007" i="1"/>
  <c r="M1007" i="1"/>
  <c r="N1007" i="1"/>
  <c r="O1007" i="1"/>
  <c r="P1007" i="1"/>
  <c r="Q1007" i="1"/>
  <c r="R1007" i="1"/>
  <c r="S1007" i="1"/>
  <c r="T1007" i="1"/>
  <c r="U1007" i="1"/>
  <c r="V1007" i="1"/>
  <c r="W1007" i="1"/>
  <c r="X1007" i="1"/>
  <c r="Y1007" i="1"/>
  <c r="Z1007" i="1"/>
  <c r="AA1007" i="1"/>
  <c r="AB1007" i="1"/>
  <c r="A1008" i="1"/>
  <c r="B1008" i="1"/>
  <c r="C1008" i="1"/>
  <c r="D1008" i="1"/>
  <c r="E1008" i="1"/>
  <c r="F1008" i="1"/>
  <c r="G1008" i="1"/>
  <c r="H1008" i="1"/>
  <c r="I1008" i="1"/>
  <c r="J1008" i="1"/>
  <c r="K1008" i="1"/>
  <c r="L1008" i="1"/>
  <c r="M1008" i="1"/>
  <c r="N1008" i="1"/>
  <c r="O1008" i="1"/>
  <c r="P1008" i="1"/>
  <c r="Q1008" i="1"/>
  <c r="R1008" i="1"/>
  <c r="S1008" i="1"/>
  <c r="T1008" i="1"/>
  <c r="U1008" i="1"/>
  <c r="V1008" i="1"/>
  <c r="W1008" i="1"/>
  <c r="X1008" i="1"/>
  <c r="Y1008" i="1"/>
  <c r="Z1008" i="1"/>
  <c r="AA1008" i="1"/>
  <c r="AB1008" i="1"/>
  <c r="A1009" i="1"/>
  <c r="B1009" i="1"/>
  <c r="C1009" i="1"/>
  <c r="D1009" i="1"/>
  <c r="E1009" i="1"/>
  <c r="F1009" i="1"/>
  <c r="G1009" i="1"/>
  <c r="H1009" i="1"/>
  <c r="I1009" i="1"/>
  <c r="J1009" i="1"/>
  <c r="K1009" i="1"/>
  <c r="L1009" i="1"/>
  <c r="M1009" i="1"/>
  <c r="N1009" i="1"/>
  <c r="O1009" i="1"/>
  <c r="P1009" i="1"/>
  <c r="Q1009" i="1"/>
  <c r="R1009" i="1"/>
  <c r="S1009" i="1"/>
  <c r="T1009" i="1"/>
  <c r="U1009" i="1"/>
  <c r="V1009" i="1"/>
  <c r="W1009" i="1"/>
  <c r="X1009" i="1"/>
  <c r="Y1009" i="1"/>
  <c r="Z1009" i="1"/>
  <c r="AA1009" i="1"/>
  <c r="AB1009" i="1"/>
  <c r="A1010" i="1"/>
  <c r="B1010" i="1"/>
  <c r="C1010" i="1"/>
  <c r="D1010" i="1"/>
  <c r="E1010" i="1"/>
  <c r="F1010" i="1"/>
  <c r="G1010" i="1"/>
  <c r="H1010" i="1"/>
  <c r="I1010" i="1"/>
  <c r="J1010" i="1"/>
  <c r="K1010" i="1"/>
  <c r="L1010" i="1"/>
  <c r="M1010" i="1"/>
  <c r="N1010" i="1"/>
  <c r="O1010" i="1"/>
  <c r="P1010" i="1"/>
  <c r="Q1010" i="1"/>
  <c r="R1010" i="1"/>
  <c r="S1010" i="1"/>
  <c r="T1010" i="1"/>
  <c r="U1010" i="1"/>
  <c r="V1010" i="1"/>
  <c r="W1010" i="1"/>
  <c r="X1010" i="1"/>
  <c r="Y1010" i="1"/>
  <c r="Z1010" i="1"/>
  <c r="AA1010" i="1"/>
  <c r="AB1010" i="1"/>
  <c r="A1011" i="1"/>
  <c r="B1011" i="1"/>
  <c r="C1011" i="1"/>
  <c r="D1011" i="1"/>
  <c r="E1011" i="1"/>
  <c r="F1011" i="1"/>
  <c r="G1011" i="1"/>
  <c r="H1011" i="1"/>
  <c r="I1011" i="1"/>
  <c r="J1011" i="1"/>
  <c r="K1011" i="1"/>
  <c r="L1011" i="1"/>
  <c r="M1011" i="1"/>
  <c r="N1011" i="1"/>
  <c r="O1011" i="1"/>
  <c r="P1011" i="1"/>
  <c r="Q1011" i="1"/>
  <c r="R1011" i="1"/>
  <c r="S1011" i="1"/>
  <c r="T1011" i="1"/>
  <c r="U1011" i="1"/>
  <c r="V1011" i="1"/>
  <c r="W1011" i="1"/>
  <c r="X1011" i="1"/>
  <c r="Y1011" i="1"/>
  <c r="Z1011" i="1"/>
  <c r="AA1011" i="1"/>
  <c r="AB1011" i="1"/>
  <c r="A1012" i="1"/>
  <c r="B1012" i="1"/>
  <c r="C1012" i="1"/>
  <c r="D1012" i="1"/>
  <c r="E1012" i="1"/>
  <c r="F1012" i="1"/>
  <c r="G1012" i="1"/>
  <c r="H1012" i="1"/>
  <c r="I1012" i="1"/>
  <c r="J1012" i="1"/>
  <c r="K1012" i="1"/>
  <c r="L1012" i="1"/>
  <c r="M1012" i="1"/>
  <c r="N1012" i="1"/>
  <c r="O1012" i="1"/>
  <c r="P1012" i="1"/>
  <c r="Q1012" i="1"/>
  <c r="R1012" i="1"/>
  <c r="S1012" i="1"/>
  <c r="T1012" i="1"/>
  <c r="U1012" i="1"/>
  <c r="V1012" i="1"/>
  <c r="W1012" i="1"/>
  <c r="X1012" i="1"/>
  <c r="Y1012" i="1"/>
  <c r="Z1012" i="1"/>
  <c r="AA1012" i="1"/>
  <c r="AB1012" i="1"/>
  <c r="A1013" i="1"/>
  <c r="B1013" i="1"/>
  <c r="C1013" i="1"/>
  <c r="D1013" i="1"/>
  <c r="E1013" i="1"/>
  <c r="F1013" i="1"/>
  <c r="G1013" i="1"/>
  <c r="H1013" i="1"/>
  <c r="I1013" i="1"/>
  <c r="J1013" i="1"/>
  <c r="K1013" i="1"/>
  <c r="L1013" i="1"/>
  <c r="M1013" i="1"/>
  <c r="N1013" i="1"/>
  <c r="O1013" i="1"/>
  <c r="P1013" i="1"/>
  <c r="Q1013" i="1"/>
  <c r="R1013" i="1"/>
  <c r="S1013" i="1"/>
  <c r="T1013" i="1"/>
  <c r="U1013" i="1"/>
  <c r="V1013" i="1"/>
  <c r="W1013" i="1"/>
  <c r="X1013" i="1"/>
  <c r="Y1013" i="1"/>
  <c r="Z1013" i="1"/>
  <c r="AA1013" i="1"/>
  <c r="AB1013" i="1"/>
  <c r="A1014" i="1"/>
  <c r="B1014" i="1"/>
  <c r="C1014" i="1"/>
  <c r="D1014" i="1"/>
  <c r="E1014" i="1"/>
  <c r="F1014" i="1"/>
  <c r="G1014" i="1"/>
  <c r="H1014" i="1"/>
  <c r="I1014" i="1"/>
  <c r="J1014" i="1"/>
  <c r="K1014" i="1"/>
  <c r="L1014" i="1"/>
  <c r="M1014" i="1"/>
  <c r="N1014" i="1"/>
  <c r="O1014" i="1"/>
  <c r="P1014" i="1"/>
  <c r="Q1014" i="1"/>
  <c r="R1014" i="1"/>
  <c r="S1014" i="1"/>
  <c r="T1014" i="1"/>
  <c r="U1014" i="1"/>
  <c r="V1014" i="1"/>
  <c r="W1014" i="1"/>
  <c r="X1014" i="1"/>
  <c r="Y1014" i="1"/>
  <c r="Z1014" i="1"/>
  <c r="AA1014" i="1"/>
  <c r="AB1014" i="1"/>
  <c r="A1015" i="1"/>
  <c r="B1015" i="1"/>
  <c r="C1015" i="1"/>
  <c r="D1015" i="1"/>
  <c r="E1015" i="1"/>
  <c r="F1015" i="1"/>
  <c r="G1015" i="1"/>
  <c r="H1015" i="1"/>
  <c r="I1015" i="1"/>
  <c r="J1015" i="1"/>
  <c r="K1015" i="1"/>
  <c r="L1015" i="1"/>
  <c r="M1015" i="1"/>
  <c r="N1015" i="1"/>
  <c r="O1015" i="1"/>
  <c r="P1015" i="1"/>
  <c r="Q1015" i="1"/>
  <c r="R1015" i="1"/>
  <c r="S1015" i="1"/>
  <c r="T1015" i="1"/>
  <c r="U1015" i="1"/>
  <c r="V1015" i="1"/>
  <c r="W1015" i="1"/>
  <c r="X1015" i="1"/>
  <c r="Y1015" i="1"/>
  <c r="Z1015" i="1"/>
  <c r="AA1015" i="1"/>
  <c r="AB1015" i="1"/>
  <c r="A1016" i="1"/>
  <c r="B1016" i="1"/>
  <c r="C1016" i="1"/>
  <c r="D1016" i="1"/>
  <c r="E1016" i="1"/>
  <c r="F1016" i="1"/>
  <c r="G1016" i="1"/>
  <c r="H1016" i="1"/>
  <c r="I1016" i="1"/>
  <c r="J1016" i="1"/>
  <c r="K1016" i="1"/>
  <c r="L1016" i="1"/>
  <c r="M1016" i="1"/>
  <c r="N1016" i="1"/>
  <c r="O1016" i="1"/>
  <c r="P1016" i="1"/>
  <c r="Q1016" i="1"/>
  <c r="R1016" i="1"/>
  <c r="S1016" i="1"/>
  <c r="T1016" i="1"/>
  <c r="U1016" i="1"/>
  <c r="V1016" i="1"/>
  <c r="W1016" i="1"/>
  <c r="X1016" i="1"/>
  <c r="Y1016" i="1"/>
  <c r="Z1016" i="1"/>
  <c r="AA1016" i="1"/>
  <c r="AB1016" i="1"/>
  <c r="A1017" i="1"/>
  <c r="B1017" i="1"/>
  <c r="C1017" i="1"/>
  <c r="D1017" i="1"/>
  <c r="E1017" i="1"/>
  <c r="F1017" i="1"/>
  <c r="G1017" i="1"/>
  <c r="H1017" i="1"/>
  <c r="I1017" i="1"/>
  <c r="J1017" i="1"/>
  <c r="K1017" i="1"/>
  <c r="L1017" i="1"/>
  <c r="M1017" i="1"/>
  <c r="N1017" i="1"/>
  <c r="O1017" i="1"/>
  <c r="P1017" i="1"/>
  <c r="Q1017" i="1"/>
  <c r="R1017" i="1"/>
  <c r="S1017" i="1"/>
  <c r="T1017" i="1"/>
  <c r="U1017" i="1"/>
  <c r="V1017" i="1"/>
  <c r="W1017" i="1"/>
  <c r="X1017" i="1"/>
  <c r="Y1017" i="1"/>
  <c r="Z1017" i="1"/>
  <c r="AA1017" i="1"/>
  <c r="AB1017" i="1"/>
  <c r="A1018" i="1"/>
  <c r="B1018" i="1"/>
  <c r="C1018" i="1"/>
  <c r="D1018" i="1"/>
  <c r="E1018" i="1"/>
  <c r="F1018" i="1"/>
  <c r="G1018" i="1"/>
  <c r="H1018" i="1"/>
  <c r="I1018" i="1"/>
  <c r="J1018" i="1"/>
  <c r="K1018" i="1"/>
  <c r="L1018" i="1"/>
  <c r="M1018" i="1"/>
  <c r="N1018" i="1"/>
  <c r="O1018" i="1"/>
  <c r="P1018" i="1"/>
  <c r="Q1018" i="1"/>
  <c r="R1018" i="1"/>
  <c r="S1018" i="1"/>
  <c r="T1018" i="1"/>
  <c r="U1018" i="1"/>
  <c r="V1018" i="1"/>
  <c r="W1018" i="1"/>
  <c r="X1018" i="1"/>
  <c r="Y1018" i="1"/>
  <c r="Z1018" i="1"/>
  <c r="AA1018" i="1"/>
  <c r="AB1018" i="1"/>
  <c r="A1019" i="1"/>
  <c r="B1019" i="1"/>
  <c r="C1019" i="1"/>
  <c r="D1019" i="1"/>
  <c r="E1019" i="1"/>
  <c r="F1019" i="1"/>
  <c r="G1019" i="1"/>
  <c r="H1019" i="1"/>
  <c r="I1019" i="1"/>
  <c r="J1019" i="1"/>
  <c r="K1019" i="1"/>
  <c r="L1019" i="1"/>
  <c r="M1019" i="1"/>
  <c r="N1019" i="1"/>
  <c r="O1019" i="1"/>
  <c r="P1019" i="1"/>
  <c r="Q1019" i="1"/>
  <c r="R1019" i="1"/>
  <c r="S1019" i="1"/>
  <c r="T1019" i="1"/>
  <c r="U1019" i="1"/>
  <c r="V1019" i="1"/>
  <c r="W1019" i="1"/>
  <c r="X1019" i="1"/>
  <c r="Y1019" i="1"/>
  <c r="Z1019" i="1"/>
  <c r="AA1019" i="1"/>
  <c r="AB1019" i="1"/>
  <c r="A1020" i="1"/>
  <c r="B1020" i="1"/>
  <c r="C1020" i="1"/>
  <c r="D1020" i="1"/>
  <c r="E1020" i="1"/>
  <c r="F1020" i="1"/>
  <c r="G1020" i="1"/>
  <c r="H1020" i="1"/>
  <c r="I1020" i="1"/>
  <c r="J1020" i="1"/>
  <c r="K1020" i="1"/>
  <c r="L1020" i="1"/>
  <c r="M1020" i="1"/>
  <c r="N1020" i="1"/>
  <c r="O1020" i="1"/>
  <c r="P1020" i="1"/>
  <c r="Q1020" i="1"/>
  <c r="R1020" i="1"/>
  <c r="S1020" i="1"/>
  <c r="T1020" i="1"/>
  <c r="U1020" i="1"/>
  <c r="V1020" i="1"/>
  <c r="W1020" i="1"/>
  <c r="X1020" i="1"/>
  <c r="Y1020" i="1"/>
  <c r="Z1020" i="1"/>
  <c r="AA1020" i="1"/>
  <c r="AB1020" i="1"/>
  <c r="A1021" i="1"/>
  <c r="B1021" i="1"/>
  <c r="C1021" i="1"/>
  <c r="D1021" i="1"/>
  <c r="E1021" i="1"/>
  <c r="F1021" i="1"/>
  <c r="G1021" i="1"/>
  <c r="H1021" i="1"/>
  <c r="I1021" i="1"/>
  <c r="J1021" i="1"/>
  <c r="K1021" i="1"/>
  <c r="L1021" i="1"/>
  <c r="M1021" i="1"/>
  <c r="N1021" i="1"/>
  <c r="O1021" i="1"/>
  <c r="P1021" i="1"/>
  <c r="Q1021" i="1"/>
  <c r="R1021" i="1"/>
  <c r="S1021" i="1"/>
  <c r="T1021" i="1"/>
  <c r="U1021" i="1"/>
  <c r="V1021" i="1"/>
  <c r="W1021" i="1"/>
  <c r="X1021" i="1"/>
  <c r="Y1021" i="1"/>
  <c r="Z1021" i="1"/>
  <c r="AA1021" i="1"/>
  <c r="AB1021" i="1"/>
  <c r="A1022" i="1"/>
  <c r="B1022" i="1"/>
  <c r="C1022" i="1"/>
  <c r="D1022" i="1"/>
  <c r="E1022" i="1"/>
  <c r="F1022" i="1"/>
  <c r="G1022" i="1"/>
  <c r="H1022" i="1"/>
  <c r="I1022" i="1"/>
  <c r="J1022" i="1"/>
  <c r="K1022" i="1"/>
  <c r="L1022" i="1"/>
  <c r="M1022" i="1"/>
  <c r="N1022" i="1"/>
  <c r="O1022" i="1"/>
  <c r="P1022" i="1"/>
  <c r="Q1022" i="1"/>
  <c r="R1022" i="1"/>
  <c r="S1022" i="1"/>
  <c r="T1022" i="1"/>
  <c r="U1022" i="1"/>
  <c r="V1022" i="1"/>
  <c r="W1022" i="1"/>
  <c r="X1022" i="1"/>
  <c r="Y1022" i="1"/>
  <c r="Z1022" i="1"/>
  <c r="AA1022" i="1"/>
  <c r="AB1022" i="1"/>
  <c r="A1023" i="1"/>
  <c r="B1023" i="1"/>
  <c r="C1023" i="1"/>
  <c r="D1023" i="1"/>
  <c r="E1023" i="1"/>
  <c r="F1023" i="1"/>
  <c r="G1023" i="1"/>
  <c r="H1023" i="1"/>
  <c r="I1023" i="1"/>
  <c r="J1023" i="1"/>
  <c r="K1023" i="1"/>
  <c r="L1023" i="1"/>
  <c r="M1023" i="1"/>
  <c r="N1023" i="1"/>
  <c r="O1023" i="1"/>
  <c r="P1023" i="1"/>
  <c r="Q1023" i="1"/>
  <c r="R1023" i="1"/>
  <c r="S1023" i="1"/>
  <c r="T1023" i="1"/>
  <c r="U1023" i="1"/>
  <c r="V1023" i="1"/>
  <c r="W1023" i="1"/>
  <c r="X1023" i="1"/>
  <c r="Y1023" i="1"/>
  <c r="Z1023" i="1"/>
  <c r="AA1023" i="1"/>
  <c r="AB1023" i="1"/>
  <c r="A1024" i="1"/>
  <c r="B1024" i="1"/>
  <c r="C1024" i="1"/>
  <c r="D1024" i="1"/>
  <c r="E1024" i="1"/>
  <c r="F1024" i="1"/>
  <c r="G1024" i="1"/>
  <c r="H1024" i="1"/>
  <c r="I1024" i="1"/>
  <c r="J1024" i="1"/>
  <c r="K1024" i="1"/>
  <c r="L1024" i="1"/>
  <c r="M1024" i="1"/>
  <c r="N1024" i="1"/>
  <c r="O1024" i="1"/>
  <c r="P1024" i="1"/>
  <c r="Q1024" i="1"/>
  <c r="R1024" i="1"/>
  <c r="S1024" i="1"/>
  <c r="T1024" i="1"/>
  <c r="U1024" i="1"/>
  <c r="V1024" i="1"/>
  <c r="W1024" i="1"/>
  <c r="X1024" i="1"/>
  <c r="Y1024" i="1"/>
  <c r="Z1024" i="1"/>
  <c r="AA1024" i="1"/>
  <c r="AB1024" i="1"/>
  <c r="A1025" i="1"/>
  <c r="B1025" i="1"/>
  <c r="C1025" i="1"/>
  <c r="D1025" i="1"/>
  <c r="E1025" i="1"/>
  <c r="F1025" i="1"/>
  <c r="G1025" i="1"/>
  <c r="H1025" i="1"/>
  <c r="I1025" i="1"/>
  <c r="J1025" i="1"/>
  <c r="K1025" i="1"/>
  <c r="L1025" i="1"/>
  <c r="M1025" i="1"/>
  <c r="N1025" i="1"/>
  <c r="O1025" i="1"/>
  <c r="P1025" i="1"/>
  <c r="Q1025" i="1"/>
  <c r="R1025" i="1"/>
  <c r="S1025" i="1"/>
  <c r="T1025" i="1"/>
  <c r="U1025" i="1"/>
  <c r="V1025" i="1"/>
  <c r="W1025" i="1"/>
  <c r="X1025" i="1"/>
  <c r="Y1025" i="1"/>
  <c r="Z1025" i="1"/>
  <c r="AA1025" i="1"/>
  <c r="AB1025" i="1"/>
  <c r="A1026" i="1"/>
  <c r="B1026" i="1"/>
  <c r="C1026" i="1"/>
  <c r="D1026" i="1"/>
  <c r="E1026" i="1"/>
  <c r="F1026" i="1"/>
  <c r="G1026" i="1"/>
  <c r="H1026" i="1"/>
  <c r="I1026" i="1"/>
  <c r="J1026" i="1"/>
  <c r="K1026" i="1"/>
  <c r="L1026" i="1"/>
  <c r="M1026" i="1"/>
  <c r="N1026" i="1"/>
  <c r="O1026" i="1"/>
  <c r="P1026" i="1"/>
  <c r="Q1026" i="1"/>
  <c r="R1026" i="1"/>
  <c r="S1026" i="1"/>
  <c r="T1026" i="1"/>
  <c r="U1026" i="1"/>
  <c r="V1026" i="1"/>
  <c r="W1026" i="1"/>
  <c r="X1026" i="1"/>
  <c r="Y1026" i="1"/>
  <c r="Z1026" i="1"/>
  <c r="AA1026" i="1"/>
  <c r="AB1026" i="1"/>
  <c r="A1027" i="1"/>
  <c r="B1027" i="1"/>
  <c r="C1027" i="1"/>
  <c r="D1027" i="1"/>
  <c r="E1027" i="1"/>
  <c r="F1027" i="1"/>
  <c r="G1027" i="1"/>
  <c r="H1027" i="1"/>
  <c r="I1027" i="1"/>
  <c r="J1027" i="1"/>
  <c r="K1027" i="1"/>
  <c r="L1027" i="1"/>
  <c r="M1027" i="1"/>
  <c r="N1027" i="1"/>
  <c r="O1027" i="1"/>
  <c r="P1027" i="1"/>
  <c r="Q1027" i="1"/>
  <c r="R1027" i="1"/>
  <c r="S1027" i="1"/>
  <c r="T1027" i="1"/>
  <c r="U1027" i="1"/>
  <c r="V1027" i="1"/>
  <c r="W1027" i="1"/>
  <c r="X1027" i="1"/>
  <c r="Y1027" i="1"/>
  <c r="Z1027" i="1"/>
  <c r="AA1027" i="1"/>
  <c r="AB1027" i="1"/>
  <c r="A1028" i="1"/>
  <c r="B1028" i="1"/>
  <c r="C1028" i="1"/>
  <c r="D1028" i="1"/>
  <c r="E1028" i="1"/>
  <c r="F1028" i="1"/>
  <c r="G1028" i="1"/>
  <c r="H1028" i="1"/>
  <c r="I1028" i="1"/>
  <c r="J1028" i="1"/>
  <c r="K1028" i="1"/>
  <c r="L1028" i="1"/>
  <c r="M1028" i="1"/>
  <c r="N1028" i="1"/>
  <c r="O1028" i="1"/>
  <c r="P1028" i="1"/>
  <c r="Q1028" i="1"/>
  <c r="R1028" i="1"/>
  <c r="S1028" i="1"/>
  <c r="T1028" i="1"/>
  <c r="U1028" i="1"/>
  <c r="V1028" i="1"/>
  <c r="W1028" i="1"/>
  <c r="X1028" i="1"/>
  <c r="Y1028" i="1"/>
  <c r="Z1028" i="1"/>
  <c r="AA1028" i="1"/>
  <c r="AB1028" i="1"/>
  <c r="A1029" i="1"/>
  <c r="B1029" i="1"/>
  <c r="C1029" i="1"/>
  <c r="D1029" i="1"/>
  <c r="E1029" i="1"/>
  <c r="F1029" i="1"/>
  <c r="G1029" i="1"/>
  <c r="H1029" i="1"/>
  <c r="I1029" i="1"/>
  <c r="J1029" i="1"/>
  <c r="K1029" i="1"/>
  <c r="L1029" i="1"/>
  <c r="M1029" i="1"/>
  <c r="N1029" i="1"/>
  <c r="O1029" i="1"/>
  <c r="P1029" i="1"/>
  <c r="Q1029" i="1"/>
  <c r="R1029" i="1"/>
  <c r="S1029" i="1"/>
  <c r="T1029" i="1"/>
  <c r="U1029" i="1"/>
  <c r="V1029" i="1"/>
  <c r="W1029" i="1"/>
  <c r="X1029" i="1"/>
  <c r="Y1029" i="1"/>
  <c r="Z1029" i="1"/>
  <c r="AA1029" i="1"/>
  <c r="AB1029" i="1"/>
  <c r="A1030" i="1"/>
  <c r="B1030" i="1"/>
  <c r="C1030" i="1"/>
  <c r="D1030" i="1"/>
  <c r="E1030" i="1"/>
  <c r="F1030" i="1"/>
  <c r="G1030" i="1"/>
  <c r="H1030" i="1"/>
  <c r="I1030" i="1"/>
  <c r="J1030" i="1"/>
  <c r="K1030" i="1"/>
  <c r="L1030" i="1"/>
  <c r="M1030" i="1"/>
  <c r="N1030" i="1"/>
  <c r="O1030" i="1"/>
  <c r="P1030" i="1"/>
  <c r="Q1030" i="1"/>
  <c r="R1030" i="1"/>
  <c r="S1030" i="1"/>
  <c r="T1030" i="1"/>
  <c r="U1030" i="1"/>
  <c r="V1030" i="1"/>
  <c r="W1030" i="1"/>
  <c r="X1030" i="1"/>
  <c r="Y1030" i="1"/>
  <c r="Z1030" i="1"/>
  <c r="AA1030" i="1"/>
  <c r="AB1030" i="1"/>
  <c r="A1031" i="1"/>
  <c r="B1031" i="1"/>
  <c r="C1031" i="1"/>
  <c r="D1031" i="1"/>
  <c r="E1031" i="1"/>
  <c r="F1031" i="1"/>
  <c r="G1031" i="1"/>
  <c r="H1031" i="1"/>
  <c r="I1031" i="1"/>
  <c r="J1031" i="1"/>
  <c r="K1031" i="1"/>
  <c r="L1031" i="1"/>
  <c r="M1031" i="1"/>
  <c r="N1031" i="1"/>
  <c r="O1031" i="1"/>
  <c r="P1031" i="1"/>
  <c r="Q1031" i="1"/>
  <c r="R1031" i="1"/>
  <c r="S1031" i="1"/>
  <c r="T1031" i="1"/>
  <c r="U1031" i="1"/>
  <c r="V1031" i="1"/>
  <c r="W1031" i="1"/>
  <c r="X1031" i="1"/>
  <c r="Y1031" i="1"/>
  <c r="Z1031" i="1"/>
  <c r="AA1031" i="1"/>
  <c r="AB1031" i="1"/>
  <c r="A1032" i="1"/>
  <c r="B1032" i="1"/>
  <c r="C1032" i="1"/>
  <c r="D1032" i="1"/>
  <c r="E1032" i="1"/>
  <c r="F1032" i="1"/>
  <c r="G1032" i="1"/>
  <c r="H1032" i="1"/>
  <c r="I1032" i="1"/>
  <c r="J1032" i="1"/>
  <c r="K1032" i="1"/>
  <c r="L1032" i="1"/>
  <c r="M1032" i="1"/>
  <c r="N1032" i="1"/>
  <c r="O1032" i="1"/>
  <c r="P1032" i="1"/>
  <c r="Q1032" i="1"/>
  <c r="R1032" i="1"/>
  <c r="S1032" i="1"/>
  <c r="T1032" i="1"/>
  <c r="U1032" i="1"/>
  <c r="V1032" i="1"/>
  <c r="W1032" i="1"/>
  <c r="X1032" i="1"/>
  <c r="Y1032" i="1"/>
  <c r="Z1032" i="1"/>
  <c r="AA1032" i="1"/>
  <c r="AB1032" i="1"/>
  <c r="A1033" i="1"/>
  <c r="B1033" i="1"/>
  <c r="C1033" i="1"/>
  <c r="D1033" i="1"/>
  <c r="E1033" i="1"/>
  <c r="F1033" i="1"/>
  <c r="G1033" i="1"/>
  <c r="H1033" i="1"/>
  <c r="I1033" i="1"/>
  <c r="J1033" i="1"/>
  <c r="K1033" i="1"/>
  <c r="L1033" i="1"/>
  <c r="M1033" i="1"/>
  <c r="N1033" i="1"/>
  <c r="O1033" i="1"/>
  <c r="P1033" i="1"/>
  <c r="Q1033" i="1"/>
  <c r="R1033" i="1"/>
  <c r="S1033" i="1"/>
  <c r="T1033" i="1"/>
  <c r="U1033" i="1"/>
  <c r="V1033" i="1"/>
  <c r="W1033" i="1"/>
  <c r="X1033" i="1"/>
  <c r="Y1033" i="1"/>
  <c r="Z1033" i="1"/>
  <c r="AA1033" i="1"/>
  <c r="AB1033" i="1"/>
  <c r="A1034" i="1"/>
  <c r="B1034" i="1"/>
  <c r="C1034" i="1"/>
  <c r="D1034" i="1"/>
  <c r="E1034" i="1"/>
  <c r="F1034" i="1"/>
  <c r="G1034" i="1"/>
  <c r="H1034" i="1"/>
  <c r="I1034" i="1"/>
  <c r="J1034" i="1"/>
  <c r="K1034" i="1"/>
  <c r="L1034" i="1"/>
  <c r="M1034" i="1"/>
  <c r="N1034" i="1"/>
  <c r="O1034" i="1"/>
  <c r="P1034" i="1"/>
  <c r="Q1034" i="1"/>
  <c r="R1034" i="1"/>
  <c r="S1034" i="1"/>
  <c r="T1034" i="1"/>
  <c r="U1034" i="1"/>
  <c r="V1034" i="1"/>
  <c r="W1034" i="1"/>
  <c r="X1034" i="1"/>
  <c r="Y1034" i="1"/>
  <c r="Z1034" i="1"/>
  <c r="AA1034" i="1"/>
  <c r="AB1034" i="1"/>
  <c r="A1035" i="1"/>
  <c r="B1035" i="1"/>
  <c r="C1035" i="1"/>
  <c r="D1035" i="1"/>
  <c r="E1035" i="1"/>
  <c r="F1035" i="1"/>
  <c r="G1035" i="1"/>
  <c r="H1035" i="1"/>
  <c r="I1035" i="1"/>
  <c r="J1035" i="1"/>
  <c r="K1035" i="1"/>
  <c r="L1035" i="1"/>
  <c r="M1035" i="1"/>
  <c r="N1035" i="1"/>
  <c r="O1035" i="1"/>
  <c r="P1035" i="1"/>
  <c r="Q1035" i="1"/>
  <c r="R1035" i="1"/>
  <c r="S1035" i="1"/>
  <c r="T1035" i="1"/>
  <c r="U1035" i="1"/>
  <c r="V1035" i="1"/>
  <c r="W1035" i="1"/>
  <c r="X1035" i="1"/>
  <c r="Y1035" i="1"/>
  <c r="Z1035" i="1"/>
  <c r="AA1035" i="1"/>
  <c r="AB1035" i="1"/>
  <c r="A1036" i="1"/>
  <c r="B1036" i="1"/>
  <c r="C1036" i="1"/>
  <c r="D1036" i="1"/>
  <c r="E1036" i="1"/>
  <c r="F1036" i="1"/>
  <c r="G1036" i="1"/>
  <c r="H1036" i="1"/>
  <c r="I1036" i="1"/>
  <c r="J1036" i="1"/>
  <c r="K1036" i="1"/>
  <c r="L1036" i="1"/>
  <c r="M1036" i="1"/>
  <c r="N1036" i="1"/>
  <c r="O1036" i="1"/>
  <c r="P1036" i="1"/>
  <c r="Q1036" i="1"/>
  <c r="R1036" i="1"/>
  <c r="S1036" i="1"/>
  <c r="T1036" i="1"/>
  <c r="U1036" i="1"/>
  <c r="V1036" i="1"/>
  <c r="W1036" i="1"/>
  <c r="X1036" i="1"/>
  <c r="Y1036" i="1"/>
  <c r="Z1036" i="1"/>
  <c r="AA1036" i="1"/>
  <c r="AB1036" i="1"/>
  <c r="A1037" i="1"/>
  <c r="B1037" i="1"/>
  <c r="C1037" i="1"/>
  <c r="D1037" i="1"/>
  <c r="E1037" i="1"/>
  <c r="F1037" i="1"/>
  <c r="G1037" i="1"/>
  <c r="H1037" i="1"/>
  <c r="I1037" i="1"/>
  <c r="J1037" i="1"/>
  <c r="K1037" i="1"/>
  <c r="L1037" i="1"/>
  <c r="M1037" i="1"/>
  <c r="N1037" i="1"/>
  <c r="O1037" i="1"/>
  <c r="P1037" i="1"/>
  <c r="Q1037" i="1"/>
  <c r="R1037" i="1"/>
  <c r="S1037" i="1"/>
  <c r="T1037" i="1"/>
  <c r="U1037" i="1"/>
  <c r="V1037" i="1"/>
  <c r="W1037" i="1"/>
  <c r="X1037" i="1"/>
  <c r="Y1037" i="1"/>
  <c r="Z1037" i="1"/>
  <c r="AA1037" i="1"/>
  <c r="AB1037" i="1"/>
  <c r="A1038" i="1"/>
  <c r="B1038" i="1"/>
  <c r="C1038" i="1"/>
  <c r="D1038" i="1"/>
  <c r="E1038" i="1"/>
  <c r="F1038" i="1"/>
  <c r="G1038" i="1"/>
  <c r="H1038" i="1"/>
  <c r="I1038" i="1"/>
  <c r="J1038" i="1"/>
  <c r="K1038" i="1"/>
  <c r="L1038" i="1"/>
  <c r="M1038" i="1"/>
  <c r="N1038" i="1"/>
  <c r="O1038" i="1"/>
  <c r="P1038" i="1"/>
  <c r="Q1038" i="1"/>
  <c r="R1038" i="1"/>
  <c r="S1038" i="1"/>
  <c r="T1038" i="1"/>
  <c r="U1038" i="1"/>
  <c r="V1038" i="1"/>
  <c r="W1038" i="1"/>
  <c r="X1038" i="1"/>
  <c r="Y1038" i="1"/>
  <c r="Z1038" i="1"/>
  <c r="AA1038" i="1"/>
  <c r="AB1038" i="1"/>
  <c r="A1039" i="1"/>
  <c r="B1039" i="1"/>
  <c r="C1039" i="1"/>
  <c r="D1039" i="1"/>
  <c r="E1039" i="1"/>
  <c r="F1039" i="1"/>
  <c r="G1039" i="1"/>
  <c r="H1039" i="1"/>
  <c r="I1039" i="1"/>
  <c r="J1039" i="1"/>
  <c r="K1039" i="1"/>
  <c r="L1039" i="1"/>
  <c r="M1039" i="1"/>
  <c r="N1039" i="1"/>
  <c r="O1039" i="1"/>
  <c r="P1039" i="1"/>
  <c r="Q1039" i="1"/>
  <c r="R1039" i="1"/>
  <c r="S1039" i="1"/>
  <c r="T1039" i="1"/>
  <c r="U1039" i="1"/>
  <c r="V1039" i="1"/>
  <c r="W1039" i="1"/>
  <c r="X1039" i="1"/>
  <c r="Y1039" i="1"/>
  <c r="Z1039" i="1"/>
  <c r="AA1039" i="1"/>
  <c r="AB1039" i="1"/>
  <c r="A1040" i="1"/>
  <c r="B1040" i="1"/>
  <c r="C1040" i="1"/>
  <c r="D1040" i="1"/>
  <c r="E1040" i="1"/>
  <c r="F1040" i="1"/>
  <c r="G1040" i="1"/>
  <c r="H1040" i="1"/>
  <c r="I1040" i="1"/>
  <c r="J1040" i="1"/>
  <c r="K1040" i="1"/>
  <c r="L1040" i="1"/>
  <c r="M1040" i="1"/>
  <c r="N1040" i="1"/>
  <c r="O1040" i="1"/>
  <c r="P1040" i="1"/>
  <c r="Q1040" i="1"/>
  <c r="R1040" i="1"/>
  <c r="S1040" i="1"/>
  <c r="T1040" i="1"/>
  <c r="U1040" i="1"/>
  <c r="V1040" i="1"/>
  <c r="W1040" i="1"/>
  <c r="X1040" i="1"/>
  <c r="Y1040" i="1"/>
  <c r="Z1040" i="1"/>
  <c r="AA1040" i="1"/>
  <c r="AB1040" i="1"/>
  <c r="A1041" i="1"/>
  <c r="B1041" i="1"/>
  <c r="C1041" i="1"/>
  <c r="D1041" i="1"/>
  <c r="E1041" i="1"/>
  <c r="F1041" i="1"/>
  <c r="G1041" i="1"/>
  <c r="H1041" i="1"/>
  <c r="I1041" i="1"/>
  <c r="J1041" i="1"/>
  <c r="K1041" i="1"/>
  <c r="L1041" i="1"/>
  <c r="M1041" i="1"/>
  <c r="N1041" i="1"/>
  <c r="O1041" i="1"/>
  <c r="P1041" i="1"/>
  <c r="Q1041" i="1"/>
  <c r="R1041" i="1"/>
  <c r="S1041" i="1"/>
  <c r="T1041" i="1"/>
  <c r="U1041" i="1"/>
  <c r="V1041" i="1"/>
  <c r="W1041" i="1"/>
  <c r="X1041" i="1"/>
  <c r="Y1041" i="1"/>
  <c r="Z1041" i="1"/>
  <c r="AA1041" i="1"/>
  <c r="AB1041" i="1"/>
  <c r="A1042" i="1"/>
  <c r="B1042" i="1"/>
  <c r="C1042" i="1"/>
  <c r="D1042" i="1"/>
  <c r="E1042" i="1"/>
  <c r="F1042" i="1"/>
  <c r="G1042" i="1"/>
  <c r="H1042" i="1"/>
  <c r="I1042" i="1"/>
  <c r="J1042" i="1"/>
  <c r="K1042" i="1"/>
  <c r="L1042" i="1"/>
  <c r="M1042" i="1"/>
  <c r="N1042" i="1"/>
  <c r="O1042" i="1"/>
  <c r="P1042" i="1"/>
  <c r="Q1042" i="1"/>
  <c r="R1042" i="1"/>
  <c r="S1042" i="1"/>
  <c r="T1042" i="1"/>
  <c r="U1042" i="1"/>
  <c r="V1042" i="1"/>
  <c r="W1042" i="1"/>
  <c r="X1042" i="1"/>
  <c r="Y1042" i="1"/>
  <c r="Z1042" i="1"/>
  <c r="AA1042" i="1"/>
  <c r="AB1042" i="1"/>
  <c r="A1043" i="1"/>
  <c r="B1043" i="1"/>
  <c r="C1043" i="1"/>
  <c r="D1043" i="1"/>
  <c r="E1043" i="1"/>
  <c r="F1043" i="1"/>
  <c r="G1043" i="1"/>
  <c r="H1043" i="1"/>
  <c r="I1043" i="1"/>
  <c r="J1043" i="1"/>
  <c r="K1043" i="1"/>
  <c r="L1043" i="1"/>
  <c r="M1043" i="1"/>
  <c r="N1043" i="1"/>
  <c r="O1043" i="1"/>
  <c r="P1043" i="1"/>
  <c r="Q1043" i="1"/>
  <c r="R1043" i="1"/>
  <c r="S1043" i="1"/>
  <c r="T1043" i="1"/>
  <c r="U1043" i="1"/>
  <c r="V1043" i="1"/>
  <c r="W1043" i="1"/>
  <c r="X1043" i="1"/>
  <c r="Y1043" i="1"/>
  <c r="Z1043" i="1"/>
  <c r="AA1043" i="1"/>
  <c r="AB1043" i="1"/>
  <c r="A1044" i="1"/>
  <c r="B1044" i="1"/>
  <c r="C1044" i="1"/>
  <c r="D1044" i="1"/>
  <c r="E1044" i="1"/>
  <c r="F1044" i="1"/>
  <c r="G1044" i="1"/>
  <c r="H1044" i="1"/>
  <c r="I1044" i="1"/>
  <c r="J1044" i="1"/>
  <c r="K1044" i="1"/>
  <c r="L1044" i="1"/>
  <c r="M1044" i="1"/>
  <c r="N1044" i="1"/>
  <c r="O1044" i="1"/>
  <c r="P1044" i="1"/>
  <c r="Q1044" i="1"/>
  <c r="R1044" i="1"/>
  <c r="S1044" i="1"/>
  <c r="T1044" i="1"/>
  <c r="U1044" i="1"/>
  <c r="V1044" i="1"/>
  <c r="W1044" i="1"/>
  <c r="X1044" i="1"/>
  <c r="Y1044" i="1"/>
  <c r="Z1044" i="1"/>
  <c r="AA1044" i="1"/>
  <c r="AB1044" i="1"/>
  <c r="A1045" i="1"/>
  <c r="B1045" i="1"/>
  <c r="C1045" i="1"/>
  <c r="D1045" i="1"/>
  <c r="E1045" i="1"/>
  <c r="F1045" i="1"/>
  <c r="G1045" i="1"/>
  <c r="H1045" i="1"/>
  <c r="I1045" i="1"/>
  <c r="J1045" i="1"/>
  <c r="K1045" i="1"/>
  <c r="L1045" i="1"/>
  <c r="M1045" i="1"/>
  <c r="N1045" i="1"/>
  <c r="O1045" i="1"/>
  <c r="P1045" i="1"/>
  <c r="Q1045" i="1"/>
  <c r="R1045" i="1"/>
  <c r="S1045" i="1"/>
  <c r="T1045" i="1"/>
  <c r="U1045" i="1"/>
  <c r="V1045" i="1"/>
  <c r="W1045" i="1"/>
  <c r="X1045" i="1"/>
  <c r="Y1045" i="1"/>
  <c r="Z1045" i="1"/>
  <c r="AA1045" i="1"/>
  <c r="AB1045" i="1"/>
  <c r="A1046" i="1"/>
  <c r="B1046" i="1"/>
  <c r="C1046" i="1"/>
  <c r="D1046" i="1"/>
  <c r="E1046" i="1"/>
  <c r="F1046" i="1"/>
  <c r="G1046" i="1"/>
  <c r="H1046" i="1"/>
  <c r="I1046" i="1"/>
  <c r="J1046" i="1"/>
  <c r="K1046" i="1"/>
  <c r="L1046" i="1"/>
  <c r="M1046" i="1"/>
  <c r="N1046" i="1"/>
  <c r="O1046" i="1"/>
  <c r="P1046" i="1"/>
  <c r="Q1046" i="1"/>
  <c r="R1046" i="1"/>
  <c r="S1046" i="1"/>
  <c r="T1046" i="1"/>
  <c r="U1046" i="1"/>
  <c r="V1046" i="1"/>
  <c r="W1046" i="1"/>
  <c r="X1046" i="1"/>
  <c r="Y1046" i="1"/>
  <c r="Z1046" i="1"/>
  <c r="AA1046" i="1"/>
  <c r="AB1046" i="1"/>
  <c r="A1047" i="1"/>
  <c r="B1047" i="1"/>
  <c r="C1047" i="1"/>
  <c r="D1047" i="1"/>
  <c r="E1047" i="1"/>
  <c r="F1047" i="1"/>
  <c r="G1047" i="1"/>
  <c r="H1047" i="1"/>
  <c r="I1047" i="1"/>
  <c r="J1047" i="1"/>
  <c r="K1047" i="1"/>
  <c r="L1047" i="1"/>
  <c r="M1047" i="1"/>
  <c r="N1047" i="1"/>
  <c r="O1047" i="1"/>
  <c r="P1047" i="1"/>
  <c r="Q1047" i="1"/>
  <c r="R1047" i="1"/>
  <c r="S1047" i="1"/>
  <c r="T1047" i="1"/>
  <c r="U1047" i="1"/>
  <c r="V1047" i="1"/>
  <c r="W1047" i="1"/>
  <c r="X1047" i="1"/>
  <c r="Y1047" i="1"/>
  <c r="Z1047" i="1"/>
  <c r="AA1047" i="1"/>
  <c r="AB1047" i="1"/>
  <c r="A1048" i="1"/>
  <c r="B1048" i="1"/>
  <c r="C1048" i="1"/>
  <c r="D1048" i="1"/>
  <c r="E1048" i="1"/>
  <c r="F1048" i="1"/>
  <c r="G1048" i="1"/>
  <c r="H1048" i="1"/>
  <c r="I1048" i="1"/>
  <c r="J1048" i="1"/>
  <c r="K1048" i="1"/>
  <c r="L1048" i="1"/>
  <c r="M1048" i="1"/>
  <c r="N1048" i="1"/>
  <c r="O1048" i="1"/>
  <c r="P1048" i="1"/>
  <c r="Q1048" i="1"/>
  <c r="R1048" i="1"/>
  <c r="S1048" i="1"/>
  <c r="T1048" i="1"/>
  <c r="U1048" i="1"/>
  <c r="V1048" i="1"/>
  <c r="W1048" i="1"/>
  <c r="X1048" i="1"/>
  <c r="Y1048" i="1"/>
  <c r="Z1048" i="1"/>
  <c r="AA1048" i="1"/>
  <c r="AB1048" i="1"/>
  <c r="A1049" i="1"/>
  <c r="B1049" i="1"/>
  <c r="C1049" i="1"/>
  <c r="D1049" i="1"/>
  <c r="E1049" i="1"/>
  <c r="F1049" i="1"/>
  <c r="G1049" i="1"/>
  <c r="H1049" i="1"/>
  <c r="I1049" i="1"/>
  <c r="J1049" i="1"/>
  <c r="K1049" i="1"/>
  <c r="L1049" i="1"/>
  <c r="M1049" i="1"/>
  <c r="N1049" i="1"/>
  <c r="O1049" i="1"/>
  <c r="P1049" i="1"/>
  <c r="Q1049" i="1"/>
  <c r="R1049" i="1"/>
  <c r="S1049" i="1"/>
  <c r="T1049" i="1"/>
  <c r="U1049" i="1"/>
  <c r="V1049" i="1"/>
  <c r="W1049" i="1"/>
  <c r="X1049" i="1"/>
  <c r="Y1049" i="1"/>
  <c r="Z1049" i="1"/>
  <c r="AA1049" i="1"/>
  <c r="AB1049" i="1"/>
  <c r="A1050" i="1"/>
  <c r="B1050" i="1"/>
  <c r="C1050" i="1"/>
  <c r="D1050" i="1"/>
  <c r="E1050" i="1"/>
  <c r="F1050" i="1"/>
  <c r="G1050" i="1"/>
  <c r="H1050" i="1"/>
  <c r="I1050" i="1"/>
  <c r="J1050" i="1"/>
  <c r="K1050" i="1"/>
  <c r="L1050" i="1"/>
  <c r="M1050" i="1"/>
  <c r="N1050" i="1"/>
  <c r="O1050" i="1"/>
  <c r="P1050" i="1"/>
  <c r="Q1050" i="1"/>
  <c r="R1050" i="1"/>
  <c r="S1050" i="1"/>
  <c r="T1050" i="1"/>
  <c r="U1050" i="1"/>
  <c r="V1050" i="1"/>
  <c r="W1050" i="1"/>
  <c r="X1050" i="1"/>
  <c r="Y1050" i="1"/>
  <c r="Z1050" i="1"/>
  <c r="AA1050" i="1"/>
  <c r="AB1050" i="1"/>
  <c r="A1051" i="1"/>
  <c r="B1051" i="1"/>
  <c r="C1051" i="1"/>
  <c r="D1051" i="1"/>
  <c r="E1051" i="1"/>
  <c r="F1051" i="1"/>
  <c r="G1051" i="1"/>
  <c r="H1051" i="1"/>
  <c r="I1051" i="1"/>
  <c r="J1051" i="1"/>
  <c r="K1051" i="1"/>
  <c r="L1051" i="1"/>
  <c r="M1051" i="1"/>
  <c r="N1051" i="1"/>
  <c r="O1051" i="1"/>
  <c r="P1051" i="1"/>
  <c r="Q1051" i="1"/>
  <c r="R1051" i="1"/>
  <c r="S1051" i="1"/>
  <c r="T1051" i="1"/>
  <c r="U1051" i="1"/>
  <c r="V1051" i="1"/>
  <c r="W1051" i="1"/>
  <c r="X1051" i="1"/>
  <c r="Y1051" i="1"/>
  <c r="Z1051" i="1"/>
  <c r="AA1051" i="1"/>
  <c r="AB1051" i="1"/>
  <c r="A1052" i="1"/>
  <c r="B1052" i="1"/>
  <c r="C1052" i="1"/>
  <c r="D1052" i="1"/>
  <c r="E1052" i="1"/>
  <c r="F1052" i="1"/>
  <c r="G1052" i="1"/>
  <c r="H1052" i="1"/>
  <c r="I1052" i="1"/>
  <c r="J1052" i="1"/>
  <c r="K1052" i="1"/>
  <c r="L1052" i="1"/>
  <c r="M1052" i="1"/>
  <c r="N1052" i="1"/>
  <c r="O1052" i="1"/>
  <c r="P1052" i="1"/>
  <c r="Q1052" i="1"/>
  <c r="R1052" i="1"/>
  <c r="S1052" i="1"/>
  <c r="T1052" i="1"/>
  <c r="U1052" i="1"/>
  <c r="V1052" i="1"/>
  <c r="W1052" i="1"/>
  <c r="X1052" i="1"/>
  <c r="Y1052" i="1"/>
  <c r="Z1052" i="1"/>
  <c r="AA1052" i="1"/>
  <c r="AB1052" i="1"/>
  <c r="A1053" i="1"/>
  <c r="B1053" i="1"/>
  <c r="C1053" i="1"/>
  <c r="D1053" i="1"/>
  <c r="E1053" i="1"/>
  <c r="F1053" i="1"/>
  <c r="G1053" i="1"/>
  <c r="H1053" i="1"/>
  <c r="I1053" i="1"/>
  <c r="J1053" i="1"/>
  <c r="K1053" i="1"/>
  <c r="L1053" i="1"/>
  <c r="M1053" i="1"/>
  <c r="N1053" i="1"/>
  <c r="O1053" i="1"/>
  <c r="P1053" i="1"/>
  <c r="Q1053" i="1"/>
  <c r="R1053" i="1"/>
  <c r="S1053" i="1"/>
  <c r="T1053" i="1"/>
  <c r="U1053" i="1"/>
  <c r="V1053" i="1"/>
  <c r="W1053" i="1"/>
  <c r="X1053" i="1"/>
  <c r="Y1053" i="1"/>
  <c r="Z1053" i="1"/>
  <c r="AA1053" i="1"/>
  <c r="AB1053" i="1"/>
  <c r="A1054" i="1"/>
  <c r="B1054" i="1"/>
  <c r="C1054" i="1"/>
  <c r="D1054" i="1"/>
  <c r="E1054" i="1"/>
  <c r="F1054" i="1"/>
  <c r="G1054" i="1"/>
  <c r="H1054" i="1"/>
  <c r="I1054" i="1"/>
  <c r="J1054" i="1"/>
  <c r="K1054" i="1"/>
  <c r="L1054" i="1"/>
  <c r="M1054" i="1"/>
  <c r="N1054" i="1"/>
  <c r="O1054" i="1"/>
  <c r="P1054" i="1"/>
  <c r="Q1054" i="1"/>
  <c r="R1054" i="1"/>
  <c r="S1054" i="1"/>
  <c r="T1054" i="1"/>
  <c r="U1054" i="1"/>
  <c r="V1054" i="1"/>
  <c r="W1054" i="1"/>
  <c r="X1054" i="1"/>
  <c r="Y1054" i="1"/>
  <c r="Z1054" i="1"/>
  <c r="AA1054" i="1"/>
  <c r="AB1054" i="1"/>
  <c r="A1055" i="1"/>
  <c r="B1055" i="1"/>
  <c r="C1055" i="1"/>
  <c r="D1055" i="1"/>
  <c r="E1055" i="1"/>
  <c r="F1055" i="1"/>
  <c r="G1055" i="1"/>
  <c r="H1055" i="1"/>
  <c r="I1055" i="1"/>
  <c r="J1055" i="1"/>
  <c r="K1055" i="1"/>
  <c r="L1055" i="1"/>
  <c r="M1055" i="1"/>
  <c r="N1055" i="1"/>
  <c r="O1055" i="1"/>
  <c r="P1055" i="1"/>
  <c r="Q1055" i="1"/>
  <c r="R1055" i="1"/>
  <c r="S1055" i="1"/>
  <c r="T1055" i="1"/>
  <c r="U1055" i="1"/>
  <c r="V1055" i="1"/>
  <c r="W1055" i="1"/>
  <c r="X1055" i="1"/>
  <c r="Y1055" i="1"/>
  <c r="Z1055" i="1"/>
  <c r="AA1055" i="1"/>
  <c r="AB1055" i="1"/>
  <c r="A1056" i="1"/>
  <c r="B1056" i="1"/>
  <c r="C1056" i="1"/>
  <c r="D1056" i="1"/>
  <c r="E1056" i="1"/>
  <c r="F1056" i="1"/>
  <c r="G1056" i="1"/>
  <c r="H1056" i="1"/>
  <c r="I1056" i="1"/>
  <c r="J1056" i="1"/>
  <c r="K1056" i="1"/>
  <c r="L1056" i="1"/>
  <c r="M1056" i="1"/>
  <c r="N1056" i="1"/>
  <c r="O1056" i="1"/>
  <c r="P1056" i="1"/>
  <c r="Q1056" i="1"/>
  <c r="R1056" i="1"/>
  <c r="S1056" i="1"/>
  <c r="T1056" i="1"/>
  <c r="U1056" i="1"/>
  <c r="V1056" i="1"/>
  <c r="W1056" i="1"/>
  <c r="X1056" i="1"/>
  <c r="Y1056" i="1"/>
  <c r="Z1056" i="1"/>
  <c r="AA1056" i="1"/>
  <c r="AB1056" i="1"/>
  <c r="A1057" i="1"/>
  <c r="B1057" i="1"/>
  <c r="C1057" i="1"/>
  <c r="D1057" i="1"/>
  <c r="E1057" i="1"/>
  <c r="F1057" i="1"/>
  <c r="G1057" i="1"/>
  <c r="H1057" i="1"/>
  <c r="I1057" i="1"/>
  <c r="J1057" i="1"/>
  <c r="K1057" i="1"/>
  <c r="L1057" i="1"/>
  <c r="M1057" i="1"/>
  <c r="N1057" i="1"/>
  <c r="O1057" i="1"/>
  <c r="P1057" i="1"/>
  <c r="Q1057" i="1"/>
  <c r="R1057" i="1"/>
  <c r="S1057" i="1"/>
  <c r="T1057" i="1"/>
  <c r="U1057" i="1"/>
  <c r="V1057" i="1"/>
  <c r="W1057" i="1"/>
  <c r="X1057" i="1"/>
  <c r="Y1057" i="1"/>
  <c r="Z1057" i="1"/>
  <c r="AA1057" i="1"/>
  <c r="AB1057" i="1"/>
  <c r="A1058" i="1"/>
  <c r="B1058" i="1"/>
  <c r="C1058" i="1"/>
  <c r="D1058" i="1"/>
  <c r="E1058" i="1"/>
  <c r="F1058" i="1"/>
  <c r="G1058" i="1"/>
  <c r="H1058" i="1"/>
  <c r="I1058" i="1"/>
  <c r="J1058" i="1"/>
  <c r="K1058" i="1"/>
  <c r="L1058" i="1"/>
  <c r="M1058" i="1"/>
  <c r="N1058" i="1"/>
  <c r="O1058" i="1"/>
  <c r="P1058" i="1"/>
  <c r="Q1058" i="1"/>
  <c r="R1058" i="1"/>
  <c r="S1058" i="1"/>
  <c r="T1058" i="1"/>
  <c r="U1058" i="1"/>
  <c r="V1058" i="1"/>
  <c r="W1058" i="1"/>
  <c r="X1058" i="1"/>
  <c r="Y1058" i="1"/>
  <c r="Z1058" i="1"/>
  <c r="AA1058" i="1"/>
  <c r="AB1058" i="1"/>
  <c r="A1059" i="1"/>
  <c r="B1059" i="1"/>
  <c r="C1059" i="1"/>
  <c r="D1059" i="1"/>
  <c r="E1059" i="1"/>
  <c r="F1059" i="1"/>
  <c r="G1059" i="1"/>
  <c r="H1059" i="1"/>
  <c r="I1059" i="1"/>
  <c r="J1059" i="1"/>
  <c r="K1059" i="1"/>
  <c r="L1059" i="1"/>
  <c r="M1059" i="1"/>
  <c r="N1059" i="1"/>
  <c r="O1059" i="1"/>
  <c r="P1059" i="1"/>
  <c r="Q1059" i="1"/>
  <c r="R1059" i="1"/>
  <c r="S1059" i="1"/>
  <c r="T1059" i="1"/>
  <c r="U1059" i="1"/>
  <c r="V1059" i="1"/>
  <c r="W1059" i="1"/>
  <c r="X1059" i="1"/>
  <c r="Y1059" i="1"/>
  <c r="Z1059" i="1"/>
  <c r="AA1059" i="1"/>
  <c r="AB1059" i="1"/>
  <c r="A1060" i="1"/>
  <c r="B1060" i="1"/>
  <c r="C1060" i="1"/>
  <c r="D1060" i="1"/>
  <c r="E1060" i="1"/>
  <c r="F1060" i="1"/>
  <c r="G1060" i="1"/>
  <c r="H1060" i="1"/>
  <c r="I1060" i="1"/>
  <c r="J1060" i="1"/>
  <c r="K1060" i="1"/>
  <c r="L1060" i="1"/>
  <c r="M1060" i="1"/>
  <c r="N1060" i="1"/>
  <c r="O1060" i="1"/>
  <c r="P1060" i="1"/>
  <c r="Q1060" i="1"/>
  <c r="R1060" i="1"/>
  <c r="S1060" i="1"/>
  <c r="T1060" i="1"/>
  <c r="U1060" i="1"/>
  <c r="V1060" i="1"/>
  <c r="W1060" i="1"/>
  <c r="X1060" i="1"/>
  <c r="Y1060" i="1"/>
  <c r="Z1060" i="1"/>
  <c r="AA1060" i="1"/>
  <c r="AB1060" i="1"/>
  <c r="A1061" i="1"/>
  <c r="B1061" i="1"/>
  <c r="C1061" i="1"/>
  <c r="D1061" i="1"/>
  <c r="E1061" i="1"/>
  <c r="F1061" i="1"/>
  <c r="G1061" i="1"/>
  <c r="H1061" i="1"/>
  <c r="I1061" i="1"/>
  <c r="J1061" i="1"/>
  <c r="K1061" i="1"/>
  <c r="L1061" i="1"/>
  <c r="M1061" i="1"/>
  <c r="N1061" i="1"/>
  <c r="O1061" i="1"/>
  <c r="P1061" i="1"/>
  <c r="Q1061" i="1"/>
  <c r="R1061" i="1"/>
  <c r="S1061" i="1"/>
  <c r="T1061" i="1"/>
  <c r="U1061" i="1"/>
  <c r="V1061" i="1"/>
  <c r="W1061" i="1"/>
  <c r="X1061" i="1"/>
  <c r="Y1061" i="1"/>
  <c r="Z1061" i="1"/>
  <c r="AA1061" i="1"/>
  <c r="AB1061" i="1"/>
  <c r="A1062" i="1"/>
  <c r="B1062" i="1"/>
  <c r="C1062" i="1"/>
  <c r="D1062" i="1"/>
  <c r="E1062" i="1"/>
  <c r="F1062" i="1"/>
  <c r="G1062" i="1"/>
  <c r="H1062" i="1"/>
  <c r="I1062" i="1"/>
  <c r="J1062" i="1"/>
  <c r="K1062" i="1"/>
  <c r="L1062" i="1"/>
  <c r="M1062" i="1"/>
  <c r="N1062" i="1"/>
  <c r="O1062" i="1"/>
  <c r="P1062" i="1"/>
  <c r="Q1062" i="1"/>
  <c r="R1062" i="1"/>
  <c r="S1062" i="1"/>
  <c r="T1062" i="1"/>
  <c r="U1062" i="1"/>
  <c r="V1062" i="1"/>
  <c r="W1062" i="1"/>
  <c r="X1062" i="1"/>
  <c r="Y1062" i="1"/>
  <c r="Z1062" i="1"/>
  <c r="AA1062" i="1"/>
  <c r="AB1062" i="1"/>
  <c r="A1063" i="1"/>
  <c r="B1063" i="1"/>
  <c r="C1063" i="1"/>
  <c r="D1063" i="1"/>
  <c r="E1063" i="1"/>
  <c r="F1063" i="1"/>
  <c r="G1063" i="1"/>
  <c r="H1063" i="1"/>
  <c r="I1063" i="1"/>
  <c r="J1063" i="1"/>
  <c r="K1063" i="1"/>
  <c r="L1063" i="1"/>
  <c r="M1063" i="1"/>
  <c r="N1063" i="1"/>
  <c r="O1063" i="1"/>
  <c r="P1063" i="1"/>
  <c r="Q1063" i="1"/>
  <c r="R1063" i="1"/>
  <c r="S1063" i="1"/>
  <c r="T1063" i="1"/>
  <c r="U1063" i="1"/>
  <c r="V1063" i="1"/>
  <c r="W1063" i="1"/>
  <c r="X1063" i="1"/>
  <c r="Y1063" i="1"/>
  <c r="Z1063" i="1"/>
  <c r="AA1063" i="1"/>
  <c r="AB1063" i="1"/>
  <c r="A1064" i="1"/>
  <c r="B1064" i="1"/>
  <c r="C1064" i="1"/>
  <c r="D1064" i="1"/>
  <c r="E1064" i="1"/>
  <c r="F1064" i="1"/>
  <c r="G1064" i="1"/>
  <c r="H1064" i="1"/>
  <c r="I1064" i="1"/>
  <c r="J1064" i="1"/>
  <c r="K1064" i="1"/>
  <c r="L1064" i="1"/>
  <c r="M1064" i="1"/>
  <c r="N1064" i="1"/>
  <c r="O1064" i="1"/>
  <c r="P1064" i="1"/>
  <c r="Q1064" i="1"/>
  <c r="R1064" i="1"/>
  <c r="S1064" i="1"/>
  <c r="T1064" i="1"/>
  <c r="U1064" i="1"/>
  <c r="V1064" i="1"/>
  <c r="W1064" i="1"/>
  <c r="X1064" i="1"/>
  <c r="Y1064" i="1"/>
  <c r="Z1064" i="1"/>
  <c r="AA1064" i="1"/>
  <c r="AB1064" i="1"/>
  <c r="A1065" i="1"/>
  <c r="B1065" i="1"/>
  <c r="C1065" i="1"/>
  <c r="D1065" i="1"/>
  <c r="E1065" i="1"/>
  <c r="F1065" i="1"/>
  <c r="G1065" i="1"/>
  <c r="H1065" i="1"/>
  <c r="I1065" i="1"/>
  <c r="J1065" i="1"/>
  <c r="K1065" i="1"/>
  <c r="L1065" i="1"/>
  <c r="M1065" i="1"/>
  <c r="N1065" i="1"/>
  <c r="O1065" i="1"/>
  <c r="P1065" i="1"/>
  <c r="Q1065" i="1"/>
  <c r="R1065" i="1"/>
  <c r="S1065" i="1"/>
  <c r="T1065" i="1"/>
  <c r="U1065" i="1"/>
  <c r="V1065" i="1"/>
  <c r="W1065" i="1"/>
  <c r="X1065" i="1"/>
  <c r="Y1065" i="1"/>
  <c r="Z1065" i="1"/>
  <c r="AA1065" i="1"/>
  <c r="AB1065" i="1"/>
  <c r="A1066" i="1"/>
  <c r="B1066" i="1"/>
  <c r="C1066" i="1"/>
  <c r="D1066" i="1"/>
  <c r="E1066" i="1"/>
  <c r="F1066" i="1"/>
  <c r="G1066" i="1"/>
  <c r="H1066" i="1"/>
  <c r="I1066" i="1"/>
  <c r="J1066" i="1"/>
  <c r="K1066" i="1"/>
  <c r="L1066" i="1"/>
  <c r="M1066" i="1"/>
  <c r="N1066" i="1"/>
  <c r="O1066" i="1"/>
  <c r="P1066" i="1"/>
  <c r="Q1066" i="1"/>
  <c r="R1066" i="1"/>
  <c r="S1066" i="1"/>
  <c r="T1066" i="1"/>
  <c r="U1066" i="1"/>
  <c r="V1066" i="1"/>
  <c r="W1066" i="1"/>
  <c r="X1066" i="1"/>
  <c r="Y1066" i="1"/>
  <c r="Z1066" i="1"/>
  <c r="AA1066" i="1"/>
  <c r="AB1066" i="1"/>
  <c r="A1067" i="1"/>
  <c r="B1067" i="1"/>
  <c r="C1067" i="1"/>
  <c r="D1067" i="1"/>
  <c r="E1067" i="1"/>
  <c r="F1067" i="1"/>
  <c r="G1067" i="1"/>
  <c r="H1067" i="1"/>
  <c r="I1067" i="1"/>
  <c r="J1067" i="1"/>
  <c r="K1067" i="1"/>
  <c r="L1067" i="1"/>
  <c r="M1067" i="1"/>
  <c r="N1067" i="1"/>
  <c r="O1067" i="1"/>
  <c r="P1067" i="1"/>
  <c r="Q1067" i="1"/>
  <c r="R1067" i="1"/>
  <c r="S1067" i="1"/>
  <c r="T1067" i="1"/>
  <c r="U1067" i="1"/>
  <c r="V1067" i="1"/>
  <c r="W1067" i="1"/>
  <c r="X1067" i="1"/>
  <c r="Y1067" i="1"/>
  <c r="Z1067" i="1"/>
  <c r="AA1067" i="1"/>
  <c r="AB1067" i="1"/>
  <c r="A1068" i="1"/>
  <c r="B1068" i="1"/>
  <c r="C1068" i="1"/>
  <c r="D1068" i="1"/>
  <c r="E1068" i="1"/>
  <c r="F1068" i="1"/>
  <c r="G1068" i="1"/>
  <c r="H1068" i="1"/>
  <c r="I1068" i="1"/>
  <c r="J1068" i="1"/>
  <c r="K1068" i="1"/>
  <c r="L1068" i="1"/>
  <c r="M1068" i="1"/>
  <c r="N1068" i="1"/>
  <c r="O1068" i="1"/>
  <c r="P1068" i="1"/>
  <c r="Q1068" i="1"/>
  <c r="R1068" i="1"/>
  <c r="S1068" i="1"/>
  <c r="T1068" i="1"/>
  <c r="U1068" i="1"/>
  <c r="V1068" i="1"/>
  <c r="W1068" i="1"/>
  <c r="X1068" i="1"/>
  <c r="Y1068" i="1"/>
  <c r="Z1068" i="1"/>
  <c r="AA1068" i="1"/>
  <c r="AB1068" i="1"/>
  <c r="A1069" i="1"/>
  <c r="B1069" i="1"/>
  <c r="C1069" i="1"/>
  <c r="D1069" i="1"/>
  <c r="E1069" i="1"/>
  <c r="F1069" i="1"/>
  <c r="G1069" i="1"/>
  <c r="H1069" i="1"/>
  <c r="I1069" i="1"/>
  <c r="J1069" i="1"/>
  <c r="K1069" i="1"/>
  <c r="L1069" i="1"/>
  <c r="M1069" i="1"/>
  <c r="N1069" i="1"/>
  <c r="O1069" i="1"/>
  <c r="P1069" i="1"/>
  <c r="Q1069" i="1"/>
  <c r="R1069" i="1"/>
  <c r="S1069" i="1"/>
  <c r="T1069" i="1"/>
  <c r="U1069" i="1"/>
  <c r="V1069" i="1"/>
  <c r="W1069" i="1"/>
  <c r="X1069" i="1"/>
  <c r="Y1069" i="1"/>
  <c r="Z1069" i="1"/>
  <c r="AA1069" i="1"/>
  <c r="AB1069" i="1"/>
  <c r="A1070" i="1"/>
  <c r="B1070" i="1"/>
  <c r="C1070" i="1"/>
  <c r="D1070" i="1"/>
  <c r="E1070" i="1"/>
  <c r="F1070" i="1"/>
  <c r="G1070" i="1"/>
  <c r="H1070" i="1"/>
  <c r="I1070" i="1"/>
  <c r="J1070" i="1"/>
  <c r="K1070" i="1"/>
  <c r="L1070" i="1"/>
  <c r="M1070" i="1"/>
  <c r="N1070" i="1"/>
  <c r="O1070" i="1"/>
  <c r="P1070" i="1"/>
  <c r="Q1070" i="1"/>
  <c r="R1070" i="1"/>
  <c r="S1070" i="1"/>
  <c r="T1070" i="1"/>
  <c r="U1070" i="1"/>
  <c r="V1070" i="1"/>
  <c r="W1070" i="1"/>
  <c r="X1070" i="1"/>
  <c r="Y1070" i="1"/>
  <c r="Z1070" i="1"/>
  <c r="AA1070" i="1"/>
  <c r="AB1070" i="1"/>
  <c r="A1071" i="1"/>
  <c r="B1071" i="1"/>
  <c r="C1071" i="1"/>
  <c r="D1071" i="1"/>
  <c r="E1071" i="1"/>
  <c r="F1071" i="1"/>
  <c r="G1071" i="1"/>
  <c r="H1071" i="1"/>
  <c r="I1071" i="1"/>
  <c r="J1071" i="1"/>
  <c r="K1071" i="1"/>
  <c r="L1071" i="1"/>
  <c r="M1071" i="1"/>
  <c r="N1071" i="1"/>
  <c r="O1071" i="1"/>
  <c r="P1071" i="1"/>
  <c r="Q1071" i="1"/>
  <c r="R1071" i="1"/>
  <c r="S1071" i="1"/>
  <c r="T1071" i="1"/>
  <c r="U1071" i="1"/>
  <c r="V1071" i="1"/>
  <c r="W1071" i="1"/>
  <c r="X1071" i="1"/>
  <c r="Y1071" i="1"/>
  <c r="Z1071" i="1"/>
  <c r="AA1071" i="1"/>
  <c r="AB1071" i="1"/>
  <c r="A1072" i="1"/>
  <c r="B1072" i="1"/>
  <c r="C1072" i="1"/>
  <c r="D1072" i="1"/>
  <c r="E1072" i="1"/>
  <c r="F1072" i="1"/>
  <c r="G1072" i="1"/>
  <c r="H1072" i="1"/>
  <c r="I1072" i="1"/>
  <c r="J1072" i="1"/>
  <c r="K1072" i="1"/>
  <c r="L1072" i="1"/>
  <c r="M1072" i="1"/>
  <c r="N1072" i="1"/>
  <c r="O1072" i="1"/>
  <c r="P1072" i="1"/>
  <c r="Q1072" i="1"/>
  <c r="R1072" i="1"/>
  <c r="S1072" i="1"/>
  <c r="T1072" i="1"/>
  <c r="U1072" i="1"/>
  <c r="V1072" i="1"/>
  <c r="W1072" i="1"/>
  <c r="X1072" i="1"/>
  <c r="Y1072" i="1"/>
  <c r="Z1072" i="1"/>
  <c r="AA1072" i="1"/>
  <c r="AB1072" i="1"/>
  <c r="A1073" i="1"/>
  <c r="B1073" i="1"/>
  <c r="C1073" i="1"/>
  <c r="D1073" i="1"/>
  <c r="E1073" i="1"/>
  <c r="F1073" i="1"/>
  <c r="G1073" i="1"/>
  <c r="H1073" i="1"/>
  <c r="I1073" i="1"/>
  <c r="J1073" i="1"/>
  <c r="K1073" i="1"/>
  <c r="L1073" i="1"/>
  <c r="M1073" i="1"/>
  <c r="N1073" i="1"/>
  <c r="O1073" i="1"/>
  <c r="P1073" i="1"/>
  <c r="Q1073" i="1"/>
  <c r="R1073" i="1"/>
  <c r="S1073" i="1"/>
  <c r="T1073" i="1"/>
  <c r="U1073" i="1"/>
  <c r="V1073" i="1"/>
  <c r="W1073" i="1"/>
  <c r="X1073" i="1"/>
  <c r="Y1073" i="1"/>
  <c r="Z1073" i="1"/>
  <c r="AA1073" i="1"/>
  <c r="AB1073" i="1"/>
  <c r="A1074" i="1"/>
  <c r="B1074" i="1"/>
  <c r="C1074" i="1"/>
  <c r="D1074" i="1"/>
  <c r="E1074" i="1"/>
  <c r="F1074" i="1"/>
  <c r="G1074" i="1"/>
  <c r="H1074" i="1"/>
  <c r="I1074" i="1"/>
  <c r="J1074" i="1"/>
  <c r="K1074" i="1"/>
  <c r="L1074" i="1"/>
  <c r="M1074" i="1"/>
  <c r="N1074" i="1"/>
  <c r="O1074" i="1"/>
  <c r="P1074" i="1"/>
  <c r="Q1074" i="1"/>
  <c r="R1074" i="1"/>
  <c r="S1074" i="1"/>
  <c r="T1074" i="1"/>
  <c r="U1074" i="1"/>
  <c r="V1074" i="1"/>
  <c r="W1074" i="1"/>
  <c r="X1074" i="1"/>
  <c r="Y1074" i="1"/>
  <c r="Z1074" i="1"/>
  <c r="AA1074" i="1"/>
  <c r="AB1074" i="1"/>
  <c r="A1075" i="1"/>
  <c r="B1075" i="1"/>
  <c r="C1075" i="1"/>
  <c r="D1075" i="1"/>
  <c r="E1075" i="1"/>
  <c r="F1075" i="1"/>
  <c r="G1075" i="1"/>
  <c r="H1075" i="1"/>
  <c r="I1075" i="1"/>
  <c r="J1075" i="1"/>
  <c r="K1075" i="1"/>
  <c r="L1075" i="1"/>
  <c r="M1075" i="1"/>
  <c r="N1075" i="1"/>
  <c r="O1075" i="1"/>
  <c r="P1075" i="1"/>
  <c r="Q1075" i="1"/>
  <c r="R1075" i="1"/>
  <c r="S1075" i="1"/>
  <c r="T1075" i="1"/>
  <c r="U1075" i="1"/>
  <c r="V1075" i="1"/>
  <c r="W1075" i="1"/>
  <c r="X1075" i="1"/>
  <c r="Y1075" i="1"/>
  <c r="Z1075" i="1"/>
  <c r="AA1075" i="1"/>
  <c r="AB1075" i="1"/>
  <c r="A1076" i="1"/>
  <c r="B1076" i="1"/>
  <c r="C1076" i="1"/>
  <c r="D1076" i="1"/>
  <c r="E1076" i="1"/>
  <c r="F1076" i="1"/>
  <c r="G1076" i="1"/>
  <c r="H1076" i="1"/>
  <c r="I1076" i="1"/>
  <c r="J1076" i="1"/>
  <c r="K1076" i="1"/>
  <c r="L1076" i="1"/>
  <c r="M1076" i="1"/>
  <c r="N1076" i="1"/>
  <c r="O1076" i="1"/>
  <c r="P1076" i="1"/>
  <c r="Q1076" i="1"/>
  <c r="R1076" i="1"/>
  <c r="S1076" i="1"/>
  <c r="T1076" i="1"/>
  <c r="U1076" i="1"/>
  <c r="V1076" i="1"/>
  <c r="W1076" i="1"/>
  <c r="X1076" i="1"/>
  <c r="Y1076" i="1"/>
  <c r="Z1076" i="1"/>
  <c r="AA1076" i="1"/>
  <c r="AB1076" i="1"/>
  <c r="A1077" i="1"/>
  <c r="B1077" i="1"/>
  <c r="C1077" i="1"/>
  <c r="D1077" i="1"/>
  <c r="E1077" i="1"/>
  <c r="F1077" i="1"/>
  <c r="G1077" i="1"/>
  <c r="H1077" i="1"/>
  <c r="I1077" i="1"/>
  <c r="J1077" i="1"/>
  <c r="K1077" i="1"/>
  <c r="L1077" i="1"/>
  <c r="M1077" i="1"/>
  <c r="N1077" i="1"/>
  <c r="O1077" i="1"/>
  <c r="P1077" i="1"/>
  <c r="Q1077" i="1"/>
  <c r="R1077" i="1"/>
  <c r="S1077" i="1"/>
  <c r="T1077" i="1"/>
  <c r="U1077" i="1"/>
  <c r="V1077" i="1"/>
  <c r="W1077" i="1"/>
  <c r="X1077" i="1"/>
  <c r="Y1077" i="1"/>
  <c r="Z1077" i="1"/>
  <c r="AA1077" i="1"/>
  <c r="AB1077" i="1"/>
  <c r="A1078" i="1"/>
  <c r="B1078" i="1"/>
  <c r="C1078" i="1"/>
  <c r="D1078" i="1"/>
  <c r="E1078" i="1"/>
  <c r="F1078" i="1"/>
  <c r="G1078" i="1"/>
  <c r="H1078" i="1"/>
  <c r="I1078" i="1"/>
  <c r="J1078" i="1"/>
  <c r="K1078" i="1"/>
  <c r="L1078" i="1"/>
  <c r="M1078" i="1"/>
  <c r="N1078" i="1"/>
  <c r="O1078" i="1"/>
  <c r="P1078" i="1"/>
  <c r="Q1078" i="1"/>
  <c r="R1078" i="1"/>
  <c r="S1078" i="1"/>
  <c r="T1078" i="1"/>
  <c r="U1078" i="1"/>
  <c r="V1078" i="1"/>
  <c r="W1078" i="1"/>
  <c r="X1078" i="1"/>
  <c r="Y1078" i="1"/>
  <c r="Z1078" i="1"/>
  <c r="AA1078" i="1"/>
  <c r="AB1078" i="1"/>
  <c r="A1079" i="1"/>
  <c r="B1079" i="1"/>
  <c r="C1079" i="1"/>
  <c r="D1079" i="1"/>
  <c r="E1079" i="1"/>
  <c r="F1079" i="1"/>
  <c r="G1079" i="1"/>
  <c r="H1079" i="1"/>
  <c r="I1079" i="1"/>
  <c r="J1079" i="1"/>
  <c r="K1079" i="1"/>
  <c r="L1079" i="1"/>
  <c r="M1079" i="1"/>
  <c r="N1079" i="1"/>
  <c r="O1079" i="1"/>
  <c r="P1079" i="1"/>
  <c r="Q1079" i="1"/>
  <c r="R1079" i="1"/>
  <c r="S1079" i="1"/>
  <c r="T1079" i="1"/>
  <c r="U1079" i="1"/>
  <c r="V1079" i="1"/>
  <c r="W1079" i="1"/>
  <c r="X1079" i="1"/>
  <c r="Y1079" i="1"/>
  <c r="Z1079" i="1"/>
  <c r="AA1079" i="1"/>
  <c r="AB1079" i="1"/>
  <c r="A1080" i="1"/>
  <c r="B1080" i="1"/>
  <c r="C1080" i="1"/>
  <c r="D1080" i="1"/>
  <c r="E1080" i="1"/>
  <c r="F1080" i="1"/>
  <c r="G1080" i="1"/>
  <c r="H1080" i="1"/>
  <c r="I1080" i="1"/>
  <c r="J1080" i="1"/>
  <c r="K1080" i="1"/>
  <c r="L1080" i="1"/>
  <c r="M1080" i="1"/>
  <c r="N1080" i="1"/>
  <c r="O1080" i="1"/>
  <c r="P1080" i="1"/>
  <c r="Q1080" i="1"/>
  <c r="R1080" i="1"/>
  <c r="S1080" i="1"/>
  <c r="T1080" i="1"/>
  <c r="U1080" i="1"/>
  <c r="V1080" i="1"/>
  <c r="W1080" i="1"/>
  <c r="X1080" i="1"/>
  <c r="Y1080" i="1"/>
  <c r="Z1080" i="1"/>
  <c r="AA1080" i="1"/>
  <c r="AB1080" i="1"/>
  <c r="A1081" i="1"/>
  <c r="B1081" i="1"/>
  <c r="C1081" i="1"/>
  <c r="D1081" i="1"/>
  <c r="E1081" i="1"/>
  <c r="F1081" i="1"/>
  <c r="G1081" i="1"/>
  <c r="H1081" i="1"/>
  <c r="I1081" i="1"/>
  <c r="J1081" i="1"/>
  <c r="K1081" i="1"/>
  <c r="L1081" i="1"/>
  <c r="M1081" i="1"/>
  <c r="N1081" i="1"/>
  <c r="O1081" i="1"/>
  <c r="P1081" i="1"/>
  <c r="Q1081" i="1"/>
  <c r="R1081" i="1"/>
  <c r="S1081" i="1"/>
  <c r="T1081" i="1"/>
  <c r="U1081" i="1"/>
  <c r="V1081" i="1"/>
  <c r="W1081" i="1"/>
  <c r="X1081" i="1"/>
  <c r="Y1081" i="1"/>
  <c r="Z1081" i="1"/>
  <c r="AA1081" i="1"/>
  <c r="AB1081" i="1"/>
  <c r="A1082" i="1"/>
  <c r="B1082" i="1"/>
  <c r="C1082" i="1"/>
  <c r="D1082" i="1"/>
  <c r="E1082" i="1"/>
  <c r="F1082" i="1"/>
  <c r="G1082" i="1"/>
  <c r="H1082" i="1"/>
  <c r="I1082" i="1"/>
  <c r="J1082" i="1"/>
  <c r="K1082" i="1"/>
  <c r="L1082" i="1"/>
  <c r="M1082" i="1"/>
  <c r="N1082" i="1"/>
  <c r="O1082" i="1"/>
  <c r="P1082" i="1"/>
  <c r="Q1082" i="1"/>
  <c r="R1082" i="1"/>
  <c r="S1082" i="1"/>
  <c r="T1082" i="1"/>
  <c r="U1082" i="1"/>
  <c r="V1082" i="1"/>
  <c r="W1082" i="1"/>
  <c r="X1082" i="1"/>
  <c r="Y1082" i="1"/>
  <c r="Z1082" i="1"/>
  <c r="AA1082" i="1"/>
  <c r="AB1082" i="1"/>
  <c r="A1083" i="1"/>
  <c r="B1083" i="1"/>
  <c r="C1083" i="1"/>
  <c r="D1083" i="1"/>
  <c r="E1083" i="1"/>
  <c r="F1083" i="1"/>
  <c r="G1083" i="1"/>
  <c r="H1083" i="1"/>
  <c r="I1083" i="1"/>
  <c r="J1083" i="1"/>
  <c r="K1083" i="1"/>
  <c r="L1083" i="1"/>
  <c r="M1083" i="1"/>
  <c r="N1083" i="1"/>
  <c r="O1083" i="1"/>
  <c r="P1083" i="1"/>
  <c r="Q1083" i="1"/>
  <c r="R1083" i="1"/>
  <c r="S1083" i="1"/>
  <c r="T1083" i="1"/>
  <c r="U1083" i="1"/>
  <c r="V1083" i="1"/>
  <c r="W1083" i="1"/>
  <c r="X1083" i="1"/>
  <c r="Y1083" i="1"/>
  <c r="Z1083" i="1"/>
  <c r="AA1083" i="1"/>
  <c r="AB1083" i="1"/>
  <c r="A1084" i="1"/>
  <c r="B1084" i="1"/>
  <c r="C1084" i="1"/>
  <c r="D1084" i="1"/>
  <c r="E1084" i="1"/>
  <c r="F1084" i="1"/>
  <c r="G1084" i="1"/>
  <c r="H1084" i="1"/>
  <c r="I1084" i="1"/>
  <c r="J1084" i="1"/>
  <c r="K1084" i="1"/>
  <c r="L1084" i="1"/>
  <c r="M1084" i="1"/>
  <c r="N1084" i="1"/>
  <c r="O1084" i="1"/>
  <c r="P1084" i="1"/>
  <c r="Q1084" i="1"/>
  <c r="R1084" i="1"/>
  <c r="S1084" i="1"/>
  <c r="T1084" i="1"/>
  <c r="U1084" i="1"/>
  <c r="V1084" i="1"/>
  <c r="W1084" i="1"/>
  <c r="X1084" i="1"/>
  <c r="Y1084" i="1"/>
  <c r="Z1084" i="1"/>
  <c r="AA1084" i="1"/>
  <c r="AB1084" i="1"/>
  <c r="A1085" i="1"/>
  <c r="B1085" i="1"/>
  <c r="C1085" i="1"/>
  <c r="D1085" i="1"/>
  <c r="E1085" i="1"/>
  <c r="F1085" i="1"/>
  <c r="G1085" i="1"/>
  <c r="H1085" i="1"/>
  <c r="I1085" i="1"/>
  <c r="J1085" i="1"/>
  <c r="K1085" i="1"/>
  <c r="L1085" i="1"/>
  <c r="M1085" i="1"/>
  <c r="N1085" i="1"/>
  <c r="O1085" i="1"/>
  <c r="P1085" i="1"/>
  <c r="Q1085" i="1"/>
  <c r="R1085" i="1"/>
  <c r="S1085" i="1"/>
  <c r="T1085" i="1"/>
  <c r="U1085" i="1"/>
  <c r="V1085" i="1"/>
  <c r="W1085" i="1"/>
  <c r="X1085" i="1"/>
  <c r="Y1085" i="1"/>
  <c r="Z1085" i="1"/>
  <c r="AA1085" i="1"/>
  <c r="AB1085" i="1"/>
  <c r="A1086" i="1"/>
  <c r="B1086" i="1"/>
  <c r="C1086" i="1"/>
  <c r="D1086" i="1"/>
  <c r="E1086" i="1"/>
  <c r="F1086" i="1"/>
  <c r="G1086" i="1"/>
  <c r="H1086" i="1"/>
  <c r="I1086" i="1"/>
  <c r="J1086" i="1"/>
  <c r="K1086" i="1"/>
  <c r="L1086" i="1"/>
  <c r="M1086" i="1"/>
  <c r="N1086" i="1"/>
  <c r="O1086" i="1"/>
  <c r="P1086" i="1"/>
  <c r="Q1086" i="1"/>
  <c r="R1086" i="1"/>
  <c r="S1086" i="1"/>
  <c r="T1086" i="1"/>
  <c r="U1086" i="1"/>
  <c r="V1086" i="1"/>
  <c r="W1086" i="1"/>
  <c r="X1086" i="1"/>
  <c r="Y1086" i="1"/>
  <c r="Z1086" i="1"/>
  <c r="AA1086" i="1"/>
  <c r="AB1086" i="1"/>
  <c r="A1087" i="1"/>
  <c r="B1087" i="1"/>
  <c r="C1087" i="1"/>
  <c r="D1087" i="1"/>
  <c r="E1087" i="1"/>
  <c r="F1087" i="1"/>
  <c r="G1087" i="1"/>
  <c r="H1087" i="1"/>
  <c r="I1087" i="1"/>
  <c r="J1087" i="1"/>
  <c r="K1087" i="1"/>
  <c r="L1087" i="1"/>
  <c r="M1087" i="1"/>
  <c r="N1087" i="1"/>
  <c r="O1087" i="1"/>
  <c r="P1087" i="1"/>
  <c r="Q1087" i="1"/>
  <c r="R1087" i="1"/>
  <c r="S1087" i="1"/>
  <c r="T1087" i="1"/>
  <c r="U1087" i="1"/>
  <c r="V1087" i="1"/>
  <c r="W1087" i="1"/>
  <c r="X1087" i="1"/>
  <c r="Y1087" i="1"/>
  <c r="Z1087" i="1"/>
  <c r="AA1087" i="1"/>
  <c r="AB1087" i="1"/>
  <c r="A1088" i="1"/>
  <c r="B1088" i="1"/>
  <c r="C1088" i="1"/>
  <c r="D1088" i="1"/>
  <c r="E1088" i="1"/>
  <c r="F1088" i="1"/>
  <c r="G1088" i="1"/>
  <c r="H1088" i="1"/>
  <c r="I1088" i="1"/>
  <c r="J1088" i="1"/>
  <c r="K1088" i="1"/>
  <c r="L1088" i="1"/>
  <c r="M1088" i="1"/>
  <c r="N1088" i="1"/>
  <c r="O1088" i="1"/>
  <c r="P1088" i="1"/>
  <c r="Q1088" i="1"/>
  <c r="R1088" i="1"/>
  <c r="S1088" i="1"/>
  <c r="T1088" i="1"/>
  <c r="U1088" i="1"/>
  <c r="V1088" i="1"/>
  <c r="W1088" i="1"/>
  <c r="X1088" i="1"/>
  <c r="Y1088" i="1"/>
  <c r="Z1088" i="1"/>
  <c r="AA1088" i="1"/>
  <c r="AB1088" i="1"/>
  <c r="A1089" i="1"/>
  <c r="B1089" i="1"/>
  <c r="C1089" i="1"/>
  <c r="D1089" i="1"/>
  <c r="E1089" i="1"/>
  <c r="F1089" i="1"/>
  <c r="G1089" i="1"/>
  <c r="H1089" i="1"/>
  <c r="I1089" i="1"/>
  <c r="J1089" i="1"/>
  <c r="K1089" i="1"/>
  <c r="L1089" i="1"/>
  <c r="M1089" i="1"/>
  <c r="N1089" i="1"/>
  <c r="O1089" i="1"/>
  <c r="P1089" i="1"/>
  <c r="Q1089" i="1"/>
  <c r="R1089" i="1"/>
  <c r="S1089" i="1"/>
  <c r="T1089" i="1"/>
  <c r="U1089" i="1"/>
  <c r="V1089" i="1"/>
  <c r="W1089" i="1"/>
  <c r="X1089" i="1"/>
  <c r="Y1089" i="1"/>
  <c r="Z1089" i="1"/>
  <c r="AA1089" i="1"/>
  <c r="AB1089" i="1"/>
  <c r="A1090" i="1"/>
  <c r="B1090" i="1"/>
  <c r="C1090" i="1"/>
  <c r="D1090" i="1"/>
  <c r="E1090" i="1"/>
  <c r="F1090" i="1"/>
  <c r="G1090" i="1"/>
  <c r="H1090" i="1"/>
  <c r="I1090" i="1"/>
  <c r="J1090" i="1"/>
  <c r="K1090" i="1"/>
  <c r="L1090" i="1"/>
  <c r="M1090" i="1"/>
  <c r="N1090" i="1"/>
  <c r="O1090" i="1"/>
  <c r="P1090" i="1"/>
  <c r="Q1090" i="1"/>
  <c r="R1090" i="1"/>
  <c r="S1090" i="1"/>
  <c r="T1090" i="1"/>
  <c r="U1090" i="1"/>
  <c r="V1090" i="1"/>
  <c r="W1090" i="1"/>
  <c r="X1090" i="1"/>
  <c r="Y1090" i="1"/>
  <c r="Z1090" i="1"/>
  <c r="AA1090" i="1"/>
  <c r="AB1090" i="1"/>
  <c r="A1091" i="1"/>
  <c r="B1091" i="1"/>
  <c r="C1091" i="1"/>
  <c r="D1091" i="1"/>
  <c r="E1091" i="1"/>
  <c r="F1091" i="1"/>
  <c r="G1091" i="1"/>
  <c r="H1091" i="1"/>
  <c r="I1091" i="1"/>
  <c r="J1091" i="1"/>
  <c r="K1091" i="1"/>
  <c r="L1091" i="1"/>
  <c r="M1091" i="1"/>
  <c r="N1091" i="1"/>
  <c r="O1091" i="1"/>
  <c r="P1091" i="1"/>
  <c r="Q1091" i="1"/>
  <c r="R1091" i="1"/>
  <c r="S1091" i="1"/>
  <c r="T1091" i="1"/>
  <c r="U1091" i="1"/>
  <c r="V1091" i="1"/>
  <c r="W1091" i="1"/>
  <c r="X1091" i="1"/>
  <c r="Y1091" i="1"/>
  <c r="Z1091" i="1"/>
  <c r="AA1091" i="1"/>
  <c r="AB1091" i="1"/>
  <c r="A1092" i="1"/>
  <c r="B1092" i="1"/>
  <c r="C1092" i="1"/>
  <c r="D1092" i="1"/>
  <c r="E1092" i="1"/>
  <c r="F1092" i="1"/>
  <c r="G1092" i="1"/>
  <c r="H1092" i="1"/>
  <c r="I1092" i="1"/>
  <c r="J1092" i="1"/>
  <c r="K1092" i="1"/>
  <c r="L1092" i="1"/>
  <c r="M1092" i="1"/>
  <c r="N1092" i="1"/>
  <c r="O1092" i="1"/>
  <c r="P1092" i="1"/>
  <c r="Q1092" i="1"/>
  <c r="R1092" i="1"/>
  <c r="S1092" i="1"/>
  <c r="T1092" i="1"/>
  <c r="U1092" i="1"/>
  <c r="V1092" i="1"/>
  <c r="W1092" i="1"/>
  <c r="X1092" i="1"/>
  <c r="Y1092" i="1"/>
  <c r="Z1092" i="1"/>
  <c r="AA1092" i="1"/>
  <c r="AB1092" i="1"/>
  <c r="A1093" i="1"/>
  <c r="B1093" i="1"/>
  <c r="C1093" i="1"/>
  <c r="D1093" i="1"/>
  <c r="E1093" i="1"/>
  <c r="F1093" i="1"/>
  <c r="G1093" i="1"/>
  <c r="H1093" i="1"/>
  <c r="I1093" i="1"/>
  <c r="J1093" i="1"/>
  <c r="K1093" i="1"/>
  <c r="L1093" i="1"/>
  <c r="M1093" i="1"/>
  <c r="N1093" i="1"/>
  <c r="O1093" i="1"/>
  <c r="P1093" i="1"/>
  <c r="Q1093" i="1"/>
  <c r="R1093" i="1"/>
  <c r="S1093" i="1"/>
  <c r="T1093" i="1"/>
  <c r="U1093" i="1"/>
  <c r="V1093" i="1"/>
  <c r="W1093" i="1"/>
  <c r="X1093" i="1"/>
  <c r="Y1093" i="1"/>
  <c r="Z1093" i="1"/>
  <c r="AA1093" i="1"/>
  <c r="AB1093" i="1"/>
  <c r="A1094" i="1"/>
  <c r="B1094" i="1"/>
  <c r="C1094" i="1"/>
  <c r="D1094" i="1"/>
  <c r="E1094" i="1"/>
  <c r="F1094" i="1"/>
  <c r="G1094" i="1"/>
  <c r="H1094" i="1"/>
  <c r="I1094" i="1"/>
  <c r="J1094" i="1"/>
  <c r="K1094" i="1"/>
  <c r="L1094" i="1"/>
  <c r="M1094" i="1"/>
  <c r="N1094" i="1"/>
  <c r="O1094" i="1"/>
  <c r="P1094" i="1"/>
  <c r="Q1094" i="1"/>
  <c r="R1094" i="1"/>
  <c r="S1094" i="1"/>
  <c r="T1094" i="1"/>
  <c r="U1094" i="1"/>
  <c r="V1094" i="1"/>
  <c r="W1094" i="1"/>
  <c r="X1094" i="1"/>
  <c r="Y1094" i="1"/>
  <c r="Z1094" i="1"/>
  <c r="AA1094" i="1"/>
  <c r="AB1094" i="1"/>
  <c r="A1095" i="1"/>
  <c r="B1095" i="1"/>
  <c r="C1095" i="1"/>
  <c r="D1095" i="1"/>
  <c r="E1095" i="1"/>
  <c r="F1095" i="1"/>
  <c r="G1095" i="1"/>
  <c r="H1095" i="1"/>
  <c r="I1095" i="1"/>
  <c r="J1095" i="1"/>
  <c r="K1095" i="1"/>
  <c r="L1095" i="1"/>
  <c r="M1095" i="1"/>
  <c r="N1095" i="1"/>
  <c r="O1095" i="1"/>
  <c r="P1095" i="1"/>
  <c r="Q1095" i="1"/>
  <c r="R1095" i="1"/>
  <c r="S1095" i="1"/>
  <c r="T1095" i="1"/>
  <c r="U1095" i="1"/>
  <c r="V1095" i="1"/>
  <c r="W1095" i="1"/>
  <c r="X1095" i="1"/>
  <c r="Y1095" i="1"/>
  <c r="Z1095" i="1"/>
  <c r="AA1095" i="1"/>
  <c r="AB1095" i="1"/>
  <c r="A1096" i="1"/>
  <c r="B1096" i="1"/>
  <c r="C1096" i="1"/>
  <c r="D1096" i="1"/>
  <c r="E1096" i="1"/>
  <c r="F1096" i="1"/>
  <c r="G1096" i="1"/>
  <c r="H1096" i="1"/>
  <c r="I1096" i="1"/>
  <c r="J1096" i="1"/>
  <c r="K1096" i="1"/>
  <c r="L1096" i="1"/>
  <c r="M1096" i="1"/>
  <c r="N1096" i="1"/>
  <c r="O1096" i="1"/>
  <c r="P1096" i="1"/>
  <c r="Q1096" i="1"/>
  <c r="R1096" i="1"/>
  <c r="S1096" i="1"/>
  <c r="T1096" i="1"/>
  <c r="U1096" i="1"/>
  <c r="V1096" i="1"/>
  <c r="W1096" i="1"/>
  <c r="X1096" i="1"/>
  <c r="Y1096" i="1"/>
  <c r="Z1096" i="1"/>
  <c r="AA1096" i="1"/>
  <c r="AB1096" i="1"/>
  <c r="A1097" i="1"/>
  <c r="B1097" i="1"/>
  <c r="C1097" i="1"/>
  <c r="D1097" i="1"/>
  <c r="E1097" i="1"/>
  <c r="F1097" i="1"/>
  <c r="G1097" i="1"/>
  <c r="H1097" i="1"/>
  <c r="I1097" i="1"/>
  <c r="J1097" i="1"/>
  <c r="K1097" i="1"/>
  <c r="L1097" i="1"/>
  <c r="M1097" i="1"/>
  <c r="N1097" i="1"/>
  <c r="O1097" i="1"/>
  <c r="P1097" i="1"/>
  <c r="Q1097" i="1"/>
  <c r="R1097" i="1"/>
  <c r="S1097" i="1"/>
  <c r="T1097" i="1"/>
  <c r="U1097" i="1"/>
  <c r="V1097" i="1"/>
  <c r="W1097" i="1"/>
  <c r="X1097" i="1"/>
  <c r="Y1097" i="1"/>
  <c r="Z1097" i="1"/>
  <c r="AA1097" i="1"/>
  <c r="AB1097" i="1"/>
  <c r="A1098" i="1"/>
  <c r="B1098" i="1"/>
  <c r="C1098" i="1"/>
  <c r="D1098" i="1"/>
  <c r="E1098" i="1"/>
  <c r="F1098" i="1"/>
  <c r="G1098" i="1"/>
  <c r="H1098" i="1"/>
  <c r="I1098" i="1"/>
  <c r="J1098" i="1"/>
  <c r="K1098" i="1"/>
  <c r="L1098" i="1"/>
  <c r="M1098" i="1"/>
  <c r="N1098" i="1"/>
  <c r="O1098" i="1"/>
  <c r="P1098" i="1"/>
  <c r="Q1098" i="1"/>
  <c r="R1098" i="1"/>
  <c r="S1098" i="1"/>
  <c r="T1098" i="1"/>
  <c r="U1098" i="1"/>
  <c r="V1098" i="1"/>
  <c r="W1098" i="1"/>
  <c r="X1098" i="1"/>
  <c r="Y1098" i="1"/>
  <c r="Z1098" i="1"/>
  <c r="AA1098" i="1"/>
  <c r="AB1098" i="1"/>
  <c r="A1099" i="1"/>
  <c r="B1099" i="1"/>
  <c r="C1099" i="1"/>
  <c r="D1099" i="1"/>
  <c r="E1099" i="1"/>
  <c r="F1099" i="1"/>
  <c r="G1099" i="1"/>
  <c r="H1099" i="1"/>
  <c r="I1099" i="1"/>
  <c r="J1099" i="1"/>
  <c r="K1099" i="1"/>
  <c r="L1099" i="1"/>
  <c r="M1099" i="1"/>
  <c r="N1099" i="1"/>
  <c r="O1099" i="1"/>
  <c r="P1099" i="1"/>
  <c r="Q1099" i="1"/>
  <c r="R1099" i="1"/>
  <c r="S1099" i="1"/>
  <c r="T1099" i="1"/>
  <c r="U1099" i="1"/>
  <c r="V1099" i="1"/>
  <c r="W1099" i="1"/>
  <c r="X1099" i="1"/>
  <c r="Y1099" i="1"/>
  <c r="Z1099" i="1"/>
  <c r="AA1099" i="1"/>
  <c r="AB1099" i="1"/>
  <c r="A1100" i="1"/>
  <c r="B1100" i="1"/>
  <c r="C1100" i="1"/>
  <c r="D1100" i="1"/>
  <c r="E1100" i="1"/>
  <c r="F1100" i="1"/>
  <c r="G1100" i="1"/>
  <c r="H1100" i="1"/>
  <c r="I1100" i="1"/>
  <c r="J1100" i="1"/>
  <c r="K1100" i="1"/>
  <c r="L1100" i="1"/>
  <c r="M1100" i="1"/>
  <c r="N1100" i="1"/>
  <c r="O1100" i="1"/>
  <c r="P1100" i="1"/>
  <c r="Q1100" i="1"/>
  <c r="R1100" i="1"/>
  <c r="S1100" i="1"/>
  <c r="T1100" i="1"/>
  <c r="U1100" i="1"/>
  <c r="V1100" i="1"/>
  <c r="W1100" i="1"/>
  <c r="X1100" i="1"/>
  <c r="Y1100" i="1"/>
  <c r="Z1100" i="1"/>
  <c r="AA1100" i="1"/>
  <c r="AB1100" i="1"/>
  <c r="A1101" i="1"/>
  <c r="B1101" i="1"/>
  <c r="C1101" i="1"/>
  <c r="D1101" i="1"/>
  <c r="E1101" i="1"/>
  <c r="F1101" i="1"/>
  <c r="G1101" i="1"/>
  <c r="H1101" i="1"/>
  <c r="I1101" i="1"/>
  <c r="J1101" i="1"/>
  <c r="K1101" i="1"/>
  <c r="L1101" i="1"/>
  <c r="M1101" i="1"/>
  <c r="N1101" i="1"/>
  <c r="O1101" i="1"/>
  <c r="P1101" i="1"/>
  <c r="Q1101" i="1"/>
  <c r="R1101" i="1"/>
  <c r="S1101" i="1"/>
  <c r="T1101" i="1"/>
  <c r="U1101" i="1"/>
  <c r="V1101" i="1"/>
  <c r="W1101" i="1"/>
  <c r="X1101" i="1"/>
  <c r="Y1101" i="1"/>
  <c r="Z1101" i="1"/>
  <c r="AA1101" i="1"/>
  <c r="AB1101" i="1"/>
  <c r="A1102" i="1"/>
  <c r="B1102" i="1"/>
  <c r="C1102" i="1"/>
  <c r="D1102" i="1"/>
  <c r="E1102" i="1"/>
  <c r="F1102" i="1"/>
  <c r="G1102" i="1"/>
  <c r="H1102" i="1"/>
  <c r="I1102" i="1"/>
  <c r="J1102" i="1"/>
  <c r="K1102" i="1"/>
  <c r="L1102" i="1"/>
  <c r="M1102" i="1"/>
  <c r="N1102" i="1"/>
  <c r="O1102" i="1"/>
  <c r="P1102" i="1"/>
  <c r="Q1102" i="1"/>
  <c r="R1102" i="1"/>
  <c r="S1102" i="1"/>
  <c r="T1102" i="1"/>
  <c r="U1102" i="1"/>
  <c r="V1102" i="1"/>
  <c r="W1102" i="1"/>
  <c r="X1102" i="1"/>
  <c r="Y1102" i="1"/>
  <c r="Z1102" i="1"/>
  <c r="AA1102" i="1"/>
  <c r="AB1102" i="1"/>
  <c r="A1103" i="1"/>
  <c r="B1103" i="1"/>
  <c r="C1103" i="1"/>
  <c r="D1103" i="1"/>
  <c r="E1103" i="1"/>
  <c r="F1103" i="1"/>
  <c r="G1103" i="1"/>
  <c r="H1103" i="1"/>
  <c r="I1103" i="1"/>
  <c r="J1103" i="1"/>
  <c r="K1103" i="1"/>
  <c r="L1103" i="1"/>
  <c r="M1103" i="1"/>
  <c r="N1103" i="1"/>
  <c r="O1103" i="1"/>
  <c r="P1103" i="1"/>
  <c r="Q1103" i="1"/>
  <c r="R1103" i="1"/>
  <c r="S1103" i="1"/>
  <c r="T1103" i="1"/>
  <c r="U1103" i="1"/>
  <c r="V1103" i="1"/>
  <c r="W1103" i="1"/>
  <c r="X1103" i="1"/>
  <c r="Y1103" i="1"/>
  <c r="Z1103" i="1"/>
  <c r="AA1103" i="1"/>
  <c r="AB1103" i="1"/>
  <c r="A1104" i="1"/>
  <c r="B1104" i="1"/>
  <c r="C1104" i="1"/>
  <c r="D1104" i="1"/>
  <c r="E1104" i="1"/>
  <c r="F1104" i="1"/>
  <c r="G1104" i="1"/>
  <c r="H1104" i="1"/>
  <c r="I1104" i="1"/>
  <c r="J1104" i="1"/>
  <c r="K1104" i="1"/>
  <c r="L1104" i="1"/>
  <c r="M1104" i="1"/>
  <c r="N1104" i="1"/>
  <c r="O1104" i="1"/>
  <c r="P1104" i="1"/>
  <c r="Q1104" i="1"/>
  <c r="R1104" i="1"/>
  <c r="S1104" i="1"/>
  <c r="T1104" i="1"/>
  <c r="U1104" i="1"/>
  <c r="V1104" i="1"/>
  <c r="W1104" i="1"/>
  <c r="X1104" i="1"/>
  <c r="Y1104" i="1"/>
  <c r="Z1104" i="1"/>
  <c r="AA1104" i="1"/>
  <c r="AB1104" i="1"/>
  <c r="A1105" i="1"/>
  <c r="B1105" i="1"/>
  <c r="C1105" i="1"/>
  <c r="D1105" i="1"/>
  <c r="E1105" i="1"/>
  <c r="F1105" i="1"/>
  <c r="G1105" i="1"/>
  <c r="H1105" i="1"/>
  <c r="I1105" i="1"/>
  <c r="J1105" i="1"/>
  <c r="K1105" i="1"/>
  <c r="L1105" i="1"/>
  <c r="M1105" i="1"/>
  <c r="N1105" i="1"/>
  <c r="O1105" i="1"/>
  <c r="P1105" i="1"/>
  <c r="Q1105" i="1"/>
  <c r="R1105" i="1"/>
  <c r="S1105" i="1"/>
  <c r="T1105" i="1"/>
  <c r="U1105" i="1"/>
  <c r="V1105" i="1"/>
  <c r="W1105" i="1"/>
  <c r="X1105" i="1"/>
  <c r="Y1105" i="1"/>
  <c r="Z1105" i="1"/>
  <c r="AA1105" i="1"/>
  <c r="AB1105" i="1"/>
  <c r="A1106" i="1"/>
  <c r="B1106" i="1"/>
  <c r="C1106" i="1"/>
  <c r="D1106" i="1"/>
  <c r="E1106" i="1"/>
  <c r="F1106" i="1"/>
  <c r="G1106" i="1"/>
  <c r="H1106" i="1"/>
  <c r="I1106" i="1"/>
  <c r="J1106" i="1"/>
  <c r="K1106" i="1"/>
  <c r="L1106" i="1"/>
  <c r="M1106" i="1"/>
  <c r="N1106" i="1"/>
  <c r="O1106" i="1"/>
  <c r="P1106" i="1"/>
  <c r="Q1106" i="1"/>
  <c r="R1106" i="1"/>
  <c r="S1106" i="1"/>
  <c r="T1106" i="1"/>
  <c r="U1106" i="1"/>
  <c r="V1106" i="1"/>
  <c r="W1106" i="1"/>
  <c r="X1106" i="1"/>
  <c r="Y1106" i="1"/>
  <c r="Z1106" i="1"/>
  <c r="AA1106" i="1"/>
  <c r="AB1106" i="1"/>
  <c r="A1107" i="1"/>
  <c r="B1107" i="1"/>
  <c r="C1107" i="1"/>
  <c r="D1107" i="1"/>
  <c r="E1107" i="1"/>
  <c r="F1107" i="1"/>
  <c r="G1107" i="1"/>
  <c r="H1107" i="1"/>
  <c r="I1107" i="1"/>
  <c r="J1107" i="1"/>
  <c r="K1107" i="1"/>
  <c r="L1107" i="1"/>
  <c r="M1107" i="1"/>
  <c r="N1107" i="1"/>
  <c r="O1107" i="1"/>
  <c r="P1107" i="1"/>
  <c r="Q1107" i="1"/>
  <c r="R1107" i="1"/>
  <c r="S1107" i="1"/>
  <c r="T1107" i="1"/>
  <c r="U1107" i="1"/>
  <c r="V1107" i="1"/>
  <c r="W1107" i="1"/>
  <c r="X1107" i="1"/>
  <c r="Y1107" i="1"/>
  <c r="Z1107" i="1"/>
  <c r="AA1107" i="1"/>
  <c r="AB1107" i="1"/>
  <c r="A1108" i="1"/>
  <c r="B1108" i="1"/>
  <c r="C1108" i="1"/>
  <c r="D1108" i="1"/>
  <c r="E1108" i="1"/>
  <c r="F1108" i="1"/>
  <c r="G1108" i="1"/>
  <c r="H1108" i="1"/>
  <c r="I1108" i="1"/>
  <c r="J1108" i="1"/>
  <c r="K1108" i="1"/>
  <c r="L1108" i="1"/>
  <c r="M1108" i="1"/>
  <c r="N1108" i="1"/>
  <c r="O1108" i="1"/>
  <c r="P1108" i="1"/>
  <c r="Q1108" i="1"/>
  <c r="R1108" i="1"/>
  <c r="S1108" i="1"/>
  <c r="T1108" i="1"/>
  <c r="U1108" i="1"/>
  <c r="V1108" i="1"/>
  <c r="W1108" i="1"/>
  <c r="X1108" i="1"/>
  <c r="Y1108" i="1"/>
  <c r="Z1108" i="1"/>
  <c r="AA1108" i="1"/>
  <c r="AB1108" i="1"/>
  <c r="A1109" i="1"/>
  <c r="B1109" i="1"/>
  <c r="C1109" i="1"/>
  <c r="D1109" i="1"/>
  <c r="E1109" i="1"/>
  <c r="F1109" i="1"/>
  <c r="G1109" i="1"/>
  <c r="H1109" i="1"/>
  <c r="I1109" i="1"/>
  <c r="J1109" i="1"/>
  <c r="K1109" i="1"/>
  <c r="L1109" i="1"/>
  <c r="M1109" i="1"/>
  <c r="N1109" i="1"/>
  <c r="O1109" i="1"/>
  <c r="P1109" i="1"/>
  <c r="Q1109" i="1"/>
  <c r="R1109" i="1"/>
  <c r="S1109" i="1"/>
  <c r="T1109" i="1"/>
  <c r="U1109" i="1"/>
  <c r="V1109" i="1"/>
  <c r="W1109" i="1"/>
  <c r="X1109" i="1"/>
  <c r="Y1109" i="1"/>
  <c r="Z1109" i="1"/>
  <c r="AA1109" i="1"/>
  <c r="AB1109" i="1"/>
  <c r="A1110" i="1"/>
  <c r="B1110" i="1"/>
  <c r="C1110" i="1"/>
  <c r="D1110" i="1"/>
  <c r="E1110" i="1"/>
  <c r="F1110" i="1"/>
  <c r="G1110" i="1"/>
  <c r="H1110" i="1"/>
  <c r="I1110" i="1"/>
  <c r="J1110" i="1"/>
  <c r="K1110" i="1"/>
  <c r="L1110" i="1"/>
  <c r="M1110" i="1"/>
  <c r="N1110" i="1"/>
  <c r="O1110" i="1"/>
  <c r="P1110" i="1"/>
  <c r="Q1110" i="1"/>
  <c r="R1110" i="1"/>
  <c r="S1110" i="1"/>
  <c r="T1110" i="1"/>
  <c r="U1110" i="1"/>
  <c r="V1110" i="1"/>
  <c r="W1110" i="1"/>
  <c r="X1110" i="1"/>
  <c r="Y1110" i="1"/>
  <c r="Z1110" i="1"/>
  <c r="AA1110" i="1"/>
  <c r="AB1110" i="1"/>
  <c r="A1111" i="1"/>
  <c r="B1111" i="1"/>
  <c r="C1111" i="1"/>
  <c r="D1111" i="1"/>
  <c r="E1111" i="1"/>
  <c r="F1111" i="1"/>
  <c r="G1111" i="1"/>
  <c r="H1111" i="1"/>
  <c r="I1111" i="1"/>
  <c r="J1111" i="1"/>
  <c r="K1111" i="1"/>
  <c r="L1111" i="1"/>
  <c r="M1111" i="1"/>
  <c r="N1111" i="1"/>
  <c r="O1111" i="1"/>
  <c r="P1111" i="1"/>
  <c r="Q1111" i="1"/>
  <c r="R1111" i="1"/>
  <c r="S1111" i="1"/>
  <c r="T1111" i="1"/>
  <c r="U1111" i="1"/>
  <c r="V1111" i="1"/>
  <c r="W1111" i="1"/>
  <c r="X1111" i="1"/>
  <c r="Y1111" i="1"/>
  <c r="Z1111" i="1"/>
  <c r="AA1111" i="1"/>
  <c r="AB1111" i="1"/>
  <c r="A1112" i="1"/>
  <c r="B1112" i="1"/>
  <c r="C1112" i="1"/>
  <c r="D1112" i="1"/>
  <c r="E1112" i="1"/>
  <c r="F1112" i="1"/>
  <c r="G1112" i="1"/>
  <c r="H1112" i="1"/>
  <c r="I1112" i="1"/>
  <c r="J1112" i="1"/>
  <c r="K1112" i="1"/>
  <c r="L1112" i="1"/>
  <c r="M1112" i="1"/>
  <c r="N1112" i="1"/>
  <c r="O1112" i="1"/>
  <c r="P1112" i="1"/>
  <c r="Q1112" i="1"/>
  <c r="R1112" i="1"/>
  <c r="S1112" i="1"/>
  <c r="T1112" i="1"/>
  <c r="U1112" i="1"/>
  <c r="V1112" i="1"/>
  <c r="W1112" i="1"/>
  <c r="X1112" i="1"/>
  <c r="Y1112" i="1"/>
  <c r="Z1112" i="1"/>
  <c r="AA1112" i="1"/>
  <c r="AB1112" i="1"/>
  <c r="A1113" i="1"/>
  <c r="B1113" i="1"/>
  <c r="C1113" i="1"/>
  <c r="D1113" i="1"/>
  <c r="E1113" i="1"/>
  <c r="F1113" i="1"/>
  <c r="G1113" i="1"/>
  <c r="H1113" i="1"/>
  <c r="I1113" i="1"/>
  <c r="J1113" i="1"/>
  <c r="K1113" i="1"/>
  <c r="L1113" i="1"/>
  <c r="M1113" i="1"/>
  <c r="N1113" i="1"/>
  <c r="O1113" i="1"/>
  <c r="P1113" i="1"/>
  <c r="Q1113" i="1"/>
  <c r="R1113" i="1"/>
  <c r="S1113" i="1"/>
  <c r="T1113" i="1"/>
  <c r="U1113" i="1"/>
  <c r="V1113" i="1"/>
  <c r="W1113" i="1"/>
  <c r="X1113" i="1"/>
  <c r="Y1113" i="1"/>
  <c r="Z1113" i="1"/>
  <c r="AA1113" i="1"/>
  <c r="AB1113" i="1"/>
  <c r="A1114" i="1"/>
  <c r="B1114" i="1"/>
  <c r="C1114" i="1"/>
  <c r="D1114" i="1"/>
  <c r="E1114" i="1"/>
  <c r="F1114" i="1"/>
  <c r="G1114" i="1"/>
  <c r="H1114" i="1"/>
  <c r="I1114" i="1"/>
  <c r="J1114" i="1"/>
  <c r="K1114" i="1"/>
  <c r="L1114" i="1"/>
  <c r="M1114" i="1"/>
  <c r="N1114" i="1"/>
  <c r="O1114" i="1"/>
  <c r="P1114" i="1"/>
  <c r="Q1114" i="1"/>
  <c r="R1114" i="1"/>
  <c r="S1114" i="1"/>
  <c r="T1114" i="1"/>
  <c r="U1114" i="1"/>
  <c r="V1114" i="1"/>
  <c r="W1114" i="1"/>
  <c r="X1114" i="1"/>
  <c r="Y1114" i="1"/>
  <c r="Z1114" i="1"/>
  <c r="AA1114" i="1"/>
  <c r="AB1114" i="1"/>
  <c r="A1115" i="1"/>
  <c r="B1115" i="1"/>
  <c r="C1115" i="1"/>
  <c r="D1115" i="1"/>
  <c r="E1115" i="1"/>
  <c r="F1115" i="1"/>
  <c r="G1115" i="1"/>
  <c r="H1115" i="1"/>
  <c r="I1115" i="1"/>
  <c r="J1115" i="1"/>
  <c r="K1115" i="1"/>
  <c r="L1115" i="1"/>
  <c r="M1115" i="1"/>
  <c r="N1115" i="1"/>
  <c r="O1115" i="1"/>
  <c r="P1115" i="1"/>
  <c r="Q1115" i="1"/>
  <c r="R1115" i="1"/>
  <c r="S1115" i="1"/>
  <c r="T1115" i="1"/>
  <c r="U1115" i="1"/>
  <c r="V1115" i="1"/>
  <c r="W1115" i="1"/>
  <c r="X1115" i="1"/>
  <c r="Y1115" i="1"/>
  <c r="Z1115" i="1"/>
  <c r="AA1115" i="1"/>
  <c r="AB1115" i="1"/>
  <c r="A1116" i="1"/>
  <c r="B1116" i="1"/>
  <c r="C1116" i="1"/>
  <c r="D1116" i="1"/>
  <c r="E1116" i="1"/>
  <c r="F1116" i="1"/>
  <c r="G1116" i="1"/>
  <c r="H1116" i="1"/>
  <c r="I1116" i="1"/>
  <c r="J1116" i="1"/>
  <c r="K1116" i="1"/>
  <c r="L1116" i="1"/>
  <c r="M1116" i="1"/>
  <c r="N1116" i="1"/>
  <c r="O1116" i="1"/>
  <c r="P1116" i="1"/>
  <c r="Q1116" i="1"/>
  <c r="R1116" i="1"/>
  <c r="S1116" i="1"/>
  <c r="T1116" i="1"/>
  <c r="U1116" i="1"/>
  <c r="V1116" i="1"/>
  <c r="W1116" i="1"/>
  <c r="X1116" i="1"/>
  <c r="Y1116" i="1"/>
  <c r="Z1116" i="1"/>
  <c r="AA1116" i="1"/>
  <c r="AB1116" i="1"/>
  <c r="A1117" i="1"/>
  <c r="B1117" i="1"/>
  <c r="C1117" i="1"/>
  <c r="D1117" i="1"/>
  <c r="E1117" i="1"/>
  <c r="F1117" i="1"/>
  <c r="G1117" i="1"/>
  <c r="H1117" i="1"/>
  <c r="I1117" i="1"/>
  <c r="J1117" i="1"/>
  <c r="K1117" i="1"/>
  <c r="L1117" i="1"/>
  <c r="M1117" i="1"/>
  <c r="N1117" i="1"/>
  <c r="O1117" i="1"/>
  <c r="P1117" i="1"/>
  <c r="Q1117" i="1"/>
  <c r="R1117" i="1"/>
  <c r="S1117" i="1"/>
  <c r="T1117" i="1"/>
  <c r="U1117" i="1"/>
  <c r="V1117" i="1"/>
  <c r="W1117" i="1"/>
  <c r="X1117" i="1"/>
  <c r="Y1117" i="1"/>
  <c r="Z1117" i="1"/>
  <c r="AA1117" i="1"/>
  <c r="AB1117" i="1"/>
  <c r="A1118" i="1"/>
  <c r="B1118" i="1"/>
  <c r="C1118" i="1"/>
  <c r="D1118" i="1"/>
  <c r="E1118" i="1"/>
  <c r="F1118" i="1"/>
  <c r="G1118" i="1"/>
  <c r="H1118" i="1"/>
  <c r="I1118" i="1"/>
  <c r="J1118" i="1"/>
  <c r="K1118" i="1"/>
  <c r="L1118" i="1"/>
  <c r="M1118" i="1"/>
  <c r="N1118" i="1"/>
  <c r="O1118" i="1"/>
  <c r="P1118" i="1"/>
  <c r="Q1118" i="1"/>
  <c r="R1118" i="1"/>
  <c r="S1118" i="1"/>
  <c r="T1118" i="1"/>
  <c r="U1118" i="1"/>
  <c r="V1118" i="1"/>
  <c r="W1118" i="1"/>
  <c r="X1118" i="1"/>
  <c r="Y1118" i="1"/>
  <c r="Z1118" i="1"/>
  <c r="AA1118" i="1"/>
  <c r="AB1118" i="1"/>
  <c r="A1119" i="1"/>
  <c r="B1119" i="1"/>
  <c r="C1119" i="1"/>
  <c r="D1119" i="1"/>
  <c r="E1119" i="1"/>
  <c r="F1119" i="1"/>
  <c r="G1119" i="1"/>
  <c r="H1119" i="1"/>
  <c r="I1119" i="1"/>
  <c r="J1119" i="1"/>
  <c r="K1119" i="1"/>
  <c r="L1119" i="1"/>
  <c r="M1119" i="1"/>
  <c r="N1119" i="1"/>
  <c r="O1119" i="1"/>
  <c r="P1119" i="1"/>
  <c r="Q1119" i="1"/>
  <c r="R1119" i="1"/>
  <c r="S1119" i="1"/>
  <c r="T1119" i="1"/>
  <c r="U1119" i="1"/>
  <c r="V1119" i="1"/>
  <c r="W1119" i="1"/>
  <c r="X1119" i="1"/>
  <c r="Y1119" i="1"/>
  <c r="Z1119" i="1"/>
  <c r="AA1119" i="1"/>
  <c r="AB1119" i="1"/>
  <c r="A1120" i="1"/>
  <c r="B1120" i="1"/>
  <c r="C1120" i="1"/>
  <c r="D1120" i="1"/>
  <c r="E1120" i="1"/>
  <c r="F1120" i="1"/>
  <c r="G1120" i="1"/>
  <c r="H1120" i="1"/>
  <c r="I1120" i="1"/>
  <c r="J1120" i="1"/>
  <c r="K1120" i="1"/>
  <c r="L1120" i="1"/>
  <c r="M1120" i="1"/>
  <c r="N1120" i="1"/>
  <c r="O1120" i="1"/>
  <c r="P1120" i="1"/>
  <c r="Q1120" i="1"/>
  <c r="R1120" i="1"/>
  <c r="S1120" i="1"/>
  <c r="T1120" i="1"/>
  <c r="U1120" i="1"/>
  <c r="V1120" i="1"/>
  <c r="W1120" i="1"/>
  <c r="X1120" i="1"/>
  <c r="Y1120" i="1"/>
  <c r="Z1120" i="1"/>
  <c r="AA1120" i="1"/>
  <c r="AB1120" i="1"/>
  <c r="A1121" i="1"/>
  <c r="B1121" i="1"/>
  <c r="C1121" i="1"/>
  <c r="D1121" i="1"/>
  <c r="E1121" i="1"/>
  <c r="F1121" i="1"/>
  <c r="G1121" i="1"/>
  <c r="H1121" i="1"/>
  <c r="I1121" i="1"/>
  <c r="J1121" i="1"/>
  <c r="K1121" i="1"/>
  <c r="L1121" i="1"/>
  <c r="M1121" i="1"/>
  <c r="N1121" i="1"/>
  <c r="O1121" i="1"/>
  <c r="P1121" i="1"/>
  <c r="Q1121" i="1"/>
  <c r="R1121" i="1"/>
  <c r="S1121" i="1"/>
  <c r="T1121" i="1"/>
  <c r="U1121" i="1"/>
  <c r="V1121" i="1"/>
  <c r="W1121" i="1"/>
  <c r="X1121" i="1"/>
  <c r="Y1121" i="1"/>
  <c r="Z1121" i="1"/>
  <c r="AA1121" i="1"/>
  <c r="AB1121" i="1"/>
  <c r="A1122" i="1"/>
  <c r="B1122" i="1"/>
  <c r="C1122" i="1"/>
  <c r="D1122" i="1"/>
  <c r="E1122" i="1"/>
  <c r="F1122" i="1"/>
  <c r="G1122" i="1"/>
  <c r="H1122" i="1"/>
  <c r="I1122" i="1"/>
  <c r="J1122" i="1"/>
  <c r="K1122" i="1"/>
  <c r="L1122" i="1"/>
  <c r="M1122" i="1"/>
  <c r="N1122" i="1"/>
  <c r="O1122" i="1"/>
  <c r="P1122" i="1"/>
  <c r="Q1122" i="1"/>
  <c r="R1122" i="1"/>
  <c r="S1122" i="1"/>
  <c r="T1122" i="1"/>
  <c r="U1122" i="1"/>
  <c r="V1122" i="1"/>
  <c r="W1122" i="1"/>
  <c r="X1122" i="1"/>
  <c r="Y1122" i="1"/>
  <c r="Z1122" i="1"/>
  <c r="AA1122" i="1"/>
  <c r="AB1122" i="1"/>
  <c r="A1123" i="1"/>
  <c r="B1123" i="1"/>
  <c r="C1123" i="1"/>
  <c r="D1123" i="1"/>
  <c r="E1123" i="1"/>
  <c r="F1123" i="1"/>
  <c r="G1123" i="1"/>
  <c r="H1123" i="1"/>
  <c r="I1123" i="1"/>
  <c r="J1123" i="1"/>
  <c r="K1123" i="1"/>
  <c r="L1123" i="1"/>
  <c r="M1123" i="1"/>
  <c r="N1123" i="1"/>
  <c r="O1123" i="1"/>
  <c r="P1123" i="1"/>
  <c r="Q1123" i="1"/>
  <c r="R1123" i="1"/>
  <c r="S1123" i="1"/>
  <c r="T1123" i="1"/>
  <c r="U1123" i="1"/>
  <c r="V1123" i="1"/>
  <c r="W1123" i="1"/>
  <c r="X1123" i="1"/>
  <c r="Y1123" i="1"/>
  <c r="Z1123" i="1"/>
  <c r="AA1123" i="1"/>
  <c r="AB1123" i="1"/>
  <c r="A1124" i="1"/>
  <c r="B1124" i="1"/>
  <c r="C1124" i="1"/>
  <c r="D1124" i="1"/>
  <c r="E1124" i="1"/>
  <c r="F1124" i="1"/>
  <c r="G1124" i="1"/>
  <c r="H1124" i="1"/>
  <c r="I1124" i="1"/>
  <c r="J1124" i="1"/>
  <c r="K1124" i="1"/>
  <c r="L1124" i="1"/>
  <c r="M1124" i="1"/>
  <c r="N1124" i="1"/>
  <c r="O1124" i="1"/>
  <c r="P1124" i="1"/>
  <c r="Q1124" i="1"/>
  <c r="R1124" i="1"/>
  <c r="S1124" i="1"/>
  <c r="T1124" i="1"/>
  <c r="U1124" i="1"/>
  <c r="V1124" i="1"/>
  <c r="W1124" i="1"/>
  <c r="X1124" i="1"/>
  <c r="Y1124" i="1"/>
  <c r="Z1124" i="1"/>
  <c r="AA1124" i="1"/>
  <c r="AB1124" i="1"/>
  <c r="A1125" i="1"/>
  <c r="B1125" i="1"/>
  <c r="C1125" i="1"/>
  <c r="D1125" i="1"/>
  <c r="E1125" i="1"/>
  <c r="F1125" i="1"/>
  <c r="G1125" i="1"/>
  <c r="H1125" i="1"/>
  <c r="I1125" i="1"/>
  <c r="J1125" i="1"/>
  <c r="K1125" i="1"/>
  <c r="L1125" i="1"/>
  <c r="M1125" i="1"/>
  <c r="N1125" i="1"/>
  <c r="O1125" i="1"/>
  <c r="P1125" i="1"/>
  <c r="Q1125" i="1"/>
  <c r="R1125" i="1"/>
  <c r="S1125" i="1"/>
  <c r="T1125" i="1"/>
  <c r="U1125" i="1"/>
  <c r="V1125" i="1"/>
  <c r="W1125" i="1"/>
  <c r="X1125" i="1"/>
  <c r="Y1125" i="1"/>
  <c r="Z1125" i="1"/>
  <c r="AA1125" i="1"/>
  <c r="AB1125" i="1"/>
  <c r="A1126" i="1"/>
  <c r="B1126" i="1"/>
  <c r="C1126" i="1"/>
  <c r="D1126" i="1"/>
  <c r="E1126" i="1"/>
  <c r="F1126" i="1"/>
  <c r="G1126" i="1"/>
  <c r="H1126" i="1"/>
  <c r="I1126" i="1"/>
  <c r="J1126" i="1"/>
  <c r="K1126" i="1"/>
  <c r="L1126" i="1"/>
  <c r="M1126" i="1"/>
  <c r="N1126" i="1"/>
  <c r="O1126" i="1"/>
  <c r="P1126" i="1"/>
  <c r="Q1126" i="1"/>
  <c r="R1126" i="1"/>
  <c r="S1126" i="1"/>
  <c r="T1126" i="1"/>
  <c r="U1126" i="1"/>
  <c r="V1126" i="1"/>
  <c r="W1126" i="1"/>
  <c r="X1126" i="1"/>
  <c r="Y1126" i="1"/>
  <c r="Z1126" i="1"/>
  <c r="AA1126" i="1"/>
  <c r="AB1126" i="1"/>
  <c r="A1127" i="1"/>
  <c r="B1127" i="1"/>
  <c r="C1127" i="1"/>
  <c r="D1127" i="1"/>
  <c r="E1127" i="1"/>
  <c r="F1127" i="1"/>
  <c r="G1127" i="1"/>
  <c r="H1127" i="1"/>
  <c r="I1127" i="1"/>
  <c r="J1127" i="1"/>
  <c r="K1127" i="1"/>
  <c r="L1127" i="1"/>
  <c r="M1127" i="1"/>
  <c r="N1127" i="1"/>
  <c r="O1127" i="1"/>
  <c r="P1127" i="1"/>
  <c r="Q1127" i="1"/>
  <c r="R1127" i="1"/>
  <c r="S1127" i="1"/>
  <c r="T1127" i="1"/>
  <c r="U1127" i="1"/>
  <c r="V1127" i="1"/>
  <c r="W1127" i="1"/>
  <c r="X1127" i="1"/>
  <c r="Y1127" i="1"/>
  <c r="Z1127" i="1"/>
  <c r="AA1127" i="1"/>
  <c r="AB1127" i="1"/>
  <c r="A1128" i="1"/>
  <c r="B1128" i="1"/>
  <c r="C1128" i="1"/>
  <c r="D1128" i="1"/>
  <c r="E1128" i="1"/>
  <c r="F1128" i="1"/>
  <c r="G1128" i="1"/>
  <c r="H1128" i="1"/>
  <c r="I1128" i="1"/>
  <c r="J1128" i="1"/>
  <c r="K1128" i="1"/>
  <c r="L1128" i="1"/>
  <c r="M1128" i="1"/>
  <c r="N1128" i="1"/>
  <c r="O1128" i="1"/>
  <c r="P1128" i="1"/>
  <c r="Q1128" i="1"/>
  <c r="R1128" i="1"/>
  <c r="S1128" i="1"/>
  <c r="T1128" i="1"/>
  <c r="U1128" i="1"/>
  <c r="V1128" i="1"/>
  <c r="W1128" i="1"/>
  <c r="X1128" i="1"/>
  <c r="Y1128" i="1"/>
  <c r="Z1128" i="1"/>
  <c r="AA1128" i="1"/>
  <c r="AB1128" i="1"/>
  <c r="A1129" i="1"/>
  <c r="B1129" i="1"/>
  <c r="C1129" i="1"/>
  <c r="D1129" i="1"/>
  <c r="E1129" i="1"/>
  <c r="F1129" i="1"/>
  <c r="G1129" i="1"/>
  <c r="H1129" i="1"/>
  <c r="I1129" i="1"/>
  <c r="J1129" i="1"/>
  <c r="K1129" i="1"/>
  <c r="L1129" i="1"/>
  <c r="M1129" i="1"/>
  <c r="N1129" i="1"/>
  <c r="O1129" i="1"/>
  <c r="P1129" i="1"/>
  <c r="Q1129" i="1"/>
  <c r="R1129" i="1"/>
  <c r="S1129" i="1"/>
  <c r="T1129" i="1"/>
  <c r="U1129" i="1"/>
  <c r="V1129" i="1"/>
  <c r="W1129" i="1"/>
  <c r="X1129" i="1"/>
  <c r="Y1129" i="1"/>
  <c r="Z1129" i="1"/>
  <c r="AA1129" i="1"/>
  <c r="AB1129" i="1"/>
  <c r="A1130" i="1"/>
  <c r="B1130" i="1"/>
  <c r="C1130" i="1"/>
  <c r="D1130" i="1"/>
  <c r="E1130" i="1"/>
  <c r="F1130" i="1"/>
  <c r="G1130" i="1"/>
  <c r="H1130" i="1"/>
  <c r="I1130" i="1"/>
  <c r="J1130" i="1"/>
  <c r="K1130" i="1"/>
  <c r="L1130" i="1"/>
  <c r="M1130" i="1"/>
  <c r="N1130" i="1"/>
  <c r="O1130" i="1"/>
  <c r="P1130" i="1"/>
  <c r="Q1130" i="1"/>
  <c r="R1130" i="1"/>
  <c r="S1130" i="1"/>
  <c r="T1130" i="1"/>
  <c r="U1130" i="1"/>
  <c r="V1130" i="1"/>
  <c r="W1130" i="1"/>
  <c r="X1130" i="1"/>
  <c r="Y1130" i="1"/>
  <c r="Z1130" i="1"/>
  <c r="AA1130" i="1"/>
  <c r="AB1130" i="1"/>
  <c r="A1131" i="1"/>
  <c r="B1131" i="1"/>
  <c r="C1131" i="1"/>
  <c r="D1131" i="1"/>
  <c r="E1131" i="1"/>
  <c r="F1131" i="1"/>
  <c r="G1131" i="1"/>
  <c r="H1131" i="1"/>
  <c r="I1131" i="1"/>
  <c r="J1131" i="1"/>
  <c r="K1131" i="1"/>
  <c r="L1131" i="1"/>
  <c r="M1131" i="1"/>
  <c r="N1131" i="1"/>
  <c r="O1131" i="1"/>
  <c r="P1131" i="1"/>
  <c r="Q1131" i="1"/>
  <c r="R1131" i="1"/>
  <c r="S1131" i="1"/>
  <c r="T1131" i="1"/>
  <c r="U1131" i="1"/>
  <c r="V1131" i="1"/>
  <c r="W1131" i="1"/>
  <c r="X1131" i="1"/>
  <c r="Y1131" i="1"/>
  <c r="Z1131" i="1"/>
  <c r="AA1131" i="1"/>
  <c r="AB1131" i="1"/>
  <c r="A1132" i="1"/>
  <c r="B1132" i="1"/>
  <c r="C1132" i="1"/>
  <c r="D1132" i="1"/>
  <c r="E1132" i="1"/>
  <c r="F1132" i="1"/>
  <c r="G1132" i="1"/>
  <c r="H1132" i="1"/>
  <c r="I1132" i="1"/>
  <c r="J1132" i="1"/>
  <c r="K1132" i="1"/>
  <c r="L1132" i="1"/>
  <c r="M1132" i="1"/>
  <c r="N1132" i="1"/>
  <c r="O1132" i="1"/>
  <c r="P1132" i="1"/>
  <c r="Q1132" i="1"/>
  <c r="R1132" i="1"/>
  <c r="S1132" i="1"/>
  <c r="T1132" i="1"/>
  <c r="U1132" i="1"/>
  <c r="V1132" i="1"/>
  <c r="W1132" i="1"/>
  <c r="X1132" i="1"/>
  <c r="Y1132" i="1"/>
  <c r="Z1132" i="1"/>
  <c r="AA1132" i="1"/>
  <c r="AB1132" i="1"/>
  <c r="A1133" i="1"/>
  <c r="B1133" i="1"/>
  <c r="C1133" i="1"/>
  <c r="D1133" i="1"/>
  <c r="E1133" i="1"/>
  <c r="F1133" i="1"/>
  <c r="G1133" i="1"/>
  <c r="H1133" i="1"/>
  <c r="I1133" i="1"/>
  <c r="J1133" i="1"/>
  <c r="K1133" i="1"/>
  <c r="L1133" i="1"/>
  <c r="M1133" i="1"/>
  <c r="N1133" i="1"/>
  <c r="O1133" i="1"/>
  <c r="P1133" i="1"/>
  <c r="Q1133" i="1"/>
  <c r="R1133" i="1"/>
  <c r="S1133" i="1"/>
  <c r="T1133" i="1"/>
  <c r="U1133" i="1"/>
  <c r="V1133" i="1"/>
  <c r="W1133" i="1"/>
  <c r="X1133" i="1"/>
  <c r="Y1133" i="1"/>
  <c r="Z1133" i="1"/>
  <c r="AA1133" i="1"/>
  <c r="AB1133" i="1"/>
  <c r="A1134" i="1"/>
  <c r="B1134" i="1"/>
  <c r="C1134" i="1"/>
  <c r="D1134" i="1"/>
  <c r="E1134" i="1"/>
  <c r="F1134" i="1"/>
  <c r="G1134" i="1"/>
  <c r="H1134" i="1"/>
  <c r="I1134" i="1"/>
  <c r="J1134" i="1"/>
  <c r="K1134" i="1"/>
  <c r="L1134" i="1"/>
  <c r="M1134" i="1"/>
  <c r="N1134" i="1"/>
  <c r="O1134" i="1"/>
  <c r="P1134" i="1"/>
  <c r="Q1134" i="1"/>
  <c r="R1134" i="1"/>
  <c r="S1134" i="1"/>
  <c r="T1134" i="1"/>
  <c r="U1134" i="1"/>
  <c r="V1134" i="1"/>
  <c r="W1134" i="1"/>
  <c r="X1134" i="1"/>
  <c r="Y1134" i="1"/>
  <c r="Z1134" i="1"/>
  <c r="AA1134" i="1"/>
  <c r="AB1134" i="1"/>
  <c r="A1135" i="1"/>
  <c r="B1135" i="1"/>
  <c r="C1135" i="1"/>
  <c r="D1135" i="1"/>
  <c r="E1135" i="1"/>
  <c r="F1135" i="1"/>
  <c r="G1135" i="1"/>
  <c r="H1135" i="1"/>
  <c r="I1135" i="1"/>
  <c r="J1135" i="1"/>
  <c r="K1135" i="1"/>
  <c r="L1135" i="1"/>
  <c r="M1135" i="1"/>
  <c r="N1135" i="1"/>
  <c r="O1135" i="1"/>
  <c r="P1135" i="1"/>
  <c r="Q1135" i="1"/>
  <c r="R1135" i="1"/>
  <c r="S1135" i="1"/>
  <c r="T1135" i="1"/>
  <c r="U1135" i="1"/>
  <c r="V1135" i="1"/>
  <c r="W1135" i="1"/>
  <c r="X1135" i="1"/>
  <c r="Y1135" i="1"/>
  <c r="Z1135" i="1"/>
  <c r="AA1135" i="1"/>
  <c r="AB1135" i="1"/>
  <c r="A1136" i="1"/>
  <c r="B1136" i="1"/>
  <c r="C1136" i="1"/>
  <c r="D1136" i="1"/>
  <c r="E1136" i="1"/>
  <c r="F1136" i="1"/>
  <c r="G1136" i="1"/>
  <c r="H1136" i="1"/>
  <c r="I1136" i="1"/>
  <c r="J1136" i="1"/>
  <c r="K1136" i="1"/>
  <c r="L1136" i="1"/>
  <c r="M1136" i="1"/>
  <c r="N1136" i="1"/>
  <c r="O1136" i="1"/>
  <c r="P1136" i="1"/>
  <c r="Q1136" i="1"/>
  <c r="R1136" i="1"/>
  <c r="S1136" i="1"/>
  <c r="T1136" i="1"/>
  <c r="U1136" i="1"/>
  <c r="V1136" i="1"/>
  <c r="W1136" i="1"/>
  <c r="X1136" i="1"/>
  <c r="Y1136" i="1"/>
  <c r="Z1136" i="1"/>
  <c r="AA1136" i="1"/>
  <c r="AB1136" i="1"/>
  <c r="A1137" i="1"/>
  <c r="B1137" i="1"/>
  <c r="C1137" i="1"/>
  <c r="D1137" i="1"/>
  <c r="E1137" i="1"/>
  <c r="F1137" i="1"/>
  <c r="G1137" i="1"/>
  <c r="H1137" i="1"/>
  <c r="I1137" i="1"/>
  <c r="J1137" i="1"/>
  <c r="K1137" i="1"/>
  <c r="L1137" i="1"/>
  <c r="M1137" i="1"/>
  <c r="N1137" i="1"/>
  <c r="O1137" i="1"/>
  <c r="P1137" i="1"/>
  <c r="Q1137" i="1"/>
  <c r="R1137" i="1"/>
  <c r="S1137" i="1"/>
  <c r="T1137" i="1"/>
  <c r="U1137" i="1"/>
  <c r="V1137" i="1"/>
  <c r="W1137" i="1"/>
  <c r="X1137" i="1"/>
  <c r="Y1137" i="1"/>
  <c r="Z1137" i="1"/>
  <c r="AA1137" i="1"/>
  <c r="AB1137" i="1"/>
  <c r="A1138" i="1"/>
  <c r="B1138" i="1"/>
  <c r="C1138" i="1"/>
  <c r="D1138" i="1"/>
  <c r="E1138" i="1"/>
  <c r="F1138" i="1"/>
  <c r="G1138" i="1"/>
  <c r="H1138" i="1"/>
  <c r="I1138" i="1"/>
  <c r="J1138" i="1"/>
  <c r="K1138" i="1"/>
  <c r="L1138" i="1"/>
  <c r="M1138" i="1"/>
  <c r="N1138" i="1"/>
  <c r="O1138" i="1"/>
  <c r="P1138" i="1"/>
  <c r="Q1138" i="1"/>
  <c r="R1138" i="1"/>
  <c r="S1138" i="1"/>
  <c r="T1138" i="1"/>
  <c r="U1138" i="1"/>
  <c r="V1138" i="1"/>
  <c r="W1138" i="1"/>
  <c r="X1138" i="1"/>
  <c r="Y1138" i="1"/>
  <c r="Z1138" i="1"/>
  <c r="AA1138" i="1"/>
  <c r="AB1138" i="1"/>
  <c r="A1139" i="1"/>
  <c r="B1139" i="1"/>
  <c r="C1139" i="1"/>
  <c r="D1139" i="1"/>
  <c r="E1139" i="1"/>
  <c r="F1139" i="1"/>
  <c r="G1139" i="1"/>
  <c r="H1139" i="1"/>
  <c r="I1139" i="1"/>
  <c r="J1139" i="1"/>
  <c r="K1139" i="1"/>
  <c r="L1139" i="1"/>
  <c r="M1139" i="1"/>
  <c r="N1139" i="1"/>
  <c r="O1139" i="1"/>
  <c r="P1139" i="1"/>
  <c r="Q1139" i="1"/>
  <c r="R1139" i="1"/>
  <c r="S1139" i="1"/>
  <c r="T1139" i="1"/>
  <c r="U1139" i="1"/>
  <c r="V1139" i="1"/>
  <c r="W1139" i="1"/>
  <c r="X1139" i="1"/>
  <c r="Y1139" i="1"/>
  <c r="Z1139" i="1"/>
  <c r="AA1139" i="1"/>
  <c r="AB1139" i="1"/>
  <c r="A1140" i="1"/>
  <c r="B1140" i="1"/>
  <c r="C1140" i="1"/>
  <c r="D1140" i="1"/>
  <c r="E1140" i="1"/>
  <c r="F1140" i="1"/>
  <c r="G1140" i="1"/>
  <c r="H1140" i="1"/>
  <c r="I1140" i="1"/>
  <c r="J1140" i="1"/>
  <c r="K1140" i="1"/>
  <c r="L1140" i="1"/>
  <c r="M1140" i="1"/>
  <c r="N1140" i="1"/>
  <c r="O1140" i="1"/>
  <c r="P1140" i="1"/>
  <c r="Q1140" i="1"/>
  <c r="R1140" i="1"/>
  <c r="S1140" i="1"/>
  <c r="T1140" i="1"/>
  <c r="U1140" i="1"/>
  <c r="V1140" i="1"/>
  <c r="W1140" i="1"/>
  <c r="X1140" i="1"/>
  <c r="Y1140" i="1"/>
  <c r="Z1140" i="1"/>
  <c r="AA1140" i="1"/>
  <c r="AB1140" i="1"/>
  <c r="A1141" i="1"/>
  <c r="B1141" i="1"/>
  <c r="C1141" i="1"/>
  <c r="D1141" i="1"/>
  <c r="E1141" i="1"/>
  <c r="F1141" i="1"/>
  <c r="G1141" i="1"/>
  <c r="H1141" i="1"/>
  <c r="I1141" i="1"/>
  <c r="J1141" i="1"/>
  <c r="K1141" i="1"/>
  <c r="L1141" i="1"/>
  <c r="M1141" i="1"/>
  <c r="N1141" i="1"/>
  <c r="O1141" i="1"/>
  <c r="P1141" i="1"/>
  <c r="Q1141" i="1"/>
  <c r="R1141" i="1"/>
  <c r="S1141" i="1"/>
  <c r="T1141" i="1"/>
  <c r="U1141" i="1"/>
  <c r="V1141" i="1"/>
  <c r="W1141" i="1"/>
  <c r="X1141" i="1"/>
  <c r="Y1141" i="1"/>
  <c r="Z1141" i="1"/>
  <c r="AA1141" i="1"/>
  <c r="AB1141" i="1"/>
  <c r="A1142" i="1"/>
  <c r="B1142" i="1"/>
  <c r="C1142" i="1"/>
  <c r="D1142" i="1"/>
  <c r="E1142" i="1"/>
  <c r="F1142" i="1"/>
  <c r="G1142" i="1"/>
  <c r="H1142" i="1"/>
  <c r="I1142" i="1"/>
  <c r="J1142" i="1"/>
  <c r="K1142" i="1"/>
  <c r="L1142" i="1"/>
  <c r="M1142" i="1"/>
  <c r="N1142" i="1"/>
  <c r="O1142" i="1"/>
  <c r="P1142" i="1"/>
  <c r="Q1142" i="1"/>
  <c r="R1142" i="1"/>
  <c r="S1142" i="1"/>
  <c r="T1142" i="1"/>
  <c r="U1142" i="1"/>
  <c r="V1142" i="1"/>
  <c r="W1142" i="1"/>
  <c r="X1142" i="1"/>
  <c r="Y1142" i="1"/>
  <c r="Z1142" i="1"/>
  <c r="AA1142" i="1"/>
  <c r="AB1142" i="1"/>
  <c r="A1143" i="1"/>
  <c r="B1143" i="1"/>
  <c r="C1143" i="1"/>
  <c r="D1143" i="1"/>
  <c r="E1143" i="1"/>
  <c r="F1143" i="1"/>
  <c r="G1143" i="1"/>
  <c r="H1143" i="1"/>
  <c r="I1143" i="1"/>
  <c r="J1143" i="1"/>
  <c r="K1143" i="1"/>
  <c r="L1143" i="1"/>
  <c r="M1143" i="1"/>
  <c r="N1143" i="1"/>
  <c r="O1143" i="1"/>
  <c r="P1143" i="1"/>
  <c r="Q1143" i="1"/>
  <c r="R1143" i="1"/>
  <c r="S1143" i="1"/>
  <c r="T1143" i="1"/>
  <c r="U1143" i="1"/>
  <c r="V1143" i="1"/>
  <c r="W1143" i="1"/>
  <c r="X1143" i="1"/>
  <c r="Y1143" i="1"/>
  <c r="Z1143" i="1"/>
  <c r="AA1143" i="1"/>
  <c r="AB1143" i="1"/>
  <c r="A1144" i="1"/>
  <c r="B1144" i="1"/>
  <c r="C1144" i="1"/>
  <c r="D1144" i="1"/>
  <c r="E1144" i="1"/>
  <c r="F1144" i="1"/>
  <c r="G1144" i="1"/>
  <c r="H1144" i="1"/>
  <c r="I1144" i="1"/>
  <c r="J1144" i="1"/>
  <c r="K1144" i="1"/>
  <c r="L1144" i="1"/>
  <c r="M1144" i="1"/>
  <c r="N1144" i="1"/>
  <c r="O1144" i="1"/>
  <c r="P1144" i="1"/>
  <c r="Q1144" i="1"/>
  <c r="R1144" i="1"/>
  <c r="S1144" i="1"/>
  <c r="T1144" i="1"/>
  <c r="U1144" i="1"/>
  <c r="V1144" i="1"/>
  <c r="W1144" i="1"/>
  <c r="X1144" i="1"/>
  <c r="Y1144" i="1"/>
  <c r="Z1144" i="1"/>
  <c r="AA1144" i="1"/>
  <c r="AB1144" i="1"/>
  <c r="A1145" i="1"/>
  <c r="B1145" i="1"/>
  <c r="C1145" i="1"/>
  <c r="D1145" i="1"/>
  <c r="E1145" i="1"/>
  <c r="F1145" i="1"/>
  <c r="G1145" i="1"/>
  <c r="H1145" i="1"/>
  <c r="I1145" i="1"/>
  <c r="J1145" i="1"/>
  <c r="K1145" i="1"/>
  <c r="L1145" i="1"/>
  <c r="M1145" i="1"/>
  <c r="N1145" i="1"/>
  <c r="O1145" i="1"/>
  <c r="P1145" i="1"/>
  <c r="Q1145" i="1"/>
  <c r="R1145" i="1"/>
  <c r="S1145" i="1"/>
  <c r="T1145" i="1"/>
  <c r="U1145" i="1"/>
  <c r="V1145" i="1"/>
  <c r="W1145" i="1"/>
  <c r="X1145" i="1"/>
  <c r="Y1145" i="1"/>
  <c r="Z1145" i="1"/>
  <c r="AA1145" i="1"/>
  <c r="AB1145" i="1"/>
  <c r="A1146" i="1"/>
  <c r="B1146" i="1"/>
  <c r="C1146" i="1"/>
  <c r="D1146" i="1"/>
  <c r="E1146" i="1"/>
  <c r="F1146" i="1"/>
  <c r="G1146" i="1"/>
  <c r="H1146" i="1"/>
  <c r="I1146" i="1"/>
  <c r="J1146" i="1"/>
  <c r="K1146" i="1"/>
  <c r="L1146" i="1"/>
  <c r="M1146" i="1"/>
  <c r="N1146" i="1"/>
  <c r="O1146" i="1"/>
  <c r="P1146" i="1"/>
  <c r="Q1146" i="1"/>
  <c r="R1146" i="1"/>
  <c r="S1146" i="1"/>
  <c r="T1146" i="1"/>
  <c r="U1146" i="1"/>
  <c r="V1146" i="1"/>
  <c r="W1146" i="1"/>
  <c r="X1146" i="1"/>
  <c r="Y1146" i="1"/>
  <c r="Z1146" i="1"/>
  <c r="AA1146" i="1"/>
  <c r="AB1146" i="1"/>
  <c r="A1147" i="1"/>
  <c r="B1147" i="1"/>
  <c r="C1147" i="1"/>
  <c r="D1147" i="1"/>
  <c r="E1147" i="1"/>
  <c r="F1147" i="1"/>
  <c r="G1147" i="1"/>
  <c r="H1147" i="1"/>
  <c r="I1147" i="1"/>
  <c r="J1147" i="1"/>
  <c r="K1147" i="1"/>
  <c r="L1147" i="1"/>
  <c r="M1147" i="1"/>
  <c r="N1147" i="1"/>
  <c r="O1147" i="1"/>
  <c r="P1147" i="1"/>
  <c r="Q1147" i="1"/>
  <c r="R1147" i="1"/>
  <c r="S1147" i="1"/>
  <c r="T1147" i="1"/>
  <c r="U1147" i="1"/>
  <c r="V1147" i="1"/>
  <c r="W1147" i="1"/>
  <c r="X1147" i="1"/>
  <c r="Y1147" i="1"/>
  <c r="Z1147" i="1"/>
  <c r="AA1147" i="1"/>
  <c r="AB1147" i="1"/>
  <c r="A1148" i="1"/>
  <c r="B1148" i="1"/>
  <c r="C1148" i="1"/>
  <c r="D1148" i="1"/>
  <c r="E1148" i="1"/>
  <c r="F1148" i="1"/>
  <c r="G1148" i="1"/>
  <c r="H1148" i="1"/>
  <c r="I1148" i="1"/>
  <c r="J1148" i="1"/>
  <c r="K1148" i="1"/>
  <c r="L1148" i="1"/>
  <c r="M1148" i="1"/>
  <c r="N1148" i="1"/>
  <c r="O1148" i="1"/>
  <c r="P1148" i="1"/>
  <c r="Q1148" i="1"/>
  <c r="R1148" i="1"/>
  <c r="S1148" i="1"/>
  <c r="T1148" i="1"/>
  <c r="U1148" i="1"/>
  <c r="V1148" i="1"/>
  <c r="W1148" i="1"/>
  <c r="X1148" i="1"/>
  <c r="Y1148" i="1"/>
  <c r="Z1148" i="1"/>
  <c r="AA1148" i="1"/>
  <c r="AB1148" i="1"/>
  <c r="A1149" i="1"/>
  <c r="B1149" i="1"/>
  <c r="C1149" i="1"/>
  <c r="D1149" i="1"/>
  <c r="E1149" i="1"/>
  <c r="F1149" i="1"/>
  <c r="G1149" i="1"/>
  <c r="H1149" i="1"/>
  <c r="I1149" i="1"/>
  <c r="J1149" i="1"/>
  <c r="K1149" i="1"/>
  <c r="L1149" i="1"/>
  <c r="M1149" i="1"/>
  <c r="N1149" i="1"/>
  <c r="O1149" i="1"/>
  <c r="P1149" i="1"/>
  <c r="Q1149" i="1"/>
  <c r="R1149" i="1"/>
  <c r="S1149" i="1"/>
  <c r="T1149" i="1"/>
  <c r="U1149" i="1"/>
  <c r="V1149" i="1"/>
  <c r="W1149" i="1"/>
  <c r="X1149" i="1"/>
  <c r="Y1149" i="1"/>
  <c r="Z1149" i="1"/>
  <c r="AA1149" i="1"/>
  <c r="AB1149" i="1"/>
  <c r="A1150" i="1"/>
  <c r="B1150" i="1"/>
  <c r="C1150" i="1"/>
  <c r="D1150" i="1"/>
  <c r="E1150" i="1"/>
  <c r="F1150" i="1"/>
  <c r="G1150" i="1"/>
  <c r="H1150" i="1"/>
  <c r="I1150" i="1"/>
  <c r="J1150" i="1"/>
  <c r="K1150" i="1"/>
  <c r="L1150" i="1"/>
  <c r="M1150" i="1"/>
  <c r="N1150" i="1"/>
  <c r="O1150" i="1"/>
  <c r="P1150" i="1"/>
  <c r="Q1150" i="1"/>
  <c r="R1150" i="1"/>
  <c r="S1150" i="1"/>
  <c r="T1150" i="1"/>
  <c r="U1150" i="1"/>
  <c r="V1150" i="1"/>
  <c r="W1150" i="1"/>
  <c r="X1150" i="1"/>
  <c r="Y1150" i="1"/>
  <c r="Z1150" i="1"/>
  <c r="AA1150" i="1"/>
  <c r="AB1150" i="1"/>
  <c r="A1151" i="1"/>
  <c r="B1151" i="1"/>
  <c r="C1151" i="1"/>
  <c r="D1151" i="1"/>
  <c r="E1151" i="1"/>
  <c r="F1151" i="1"/>
  <c r="G1151" i="1"/>
  <c r="H1151" i="1"/>
  <c r="I1151" i="1"/>
  <c r="J1151" i="1"/>
  <c r="K1151" i="1"/>
  <c r="L1151" i="1"/>
  <c r="M1151" i="1"/>
  <c r="N1151" i="1"/>
  <c r="O1151" i="1"/>
  <c r="P1151" i="1"/>
  <c r="Q1151" i="1"/>
  <c r="R1151" i="1"/>
  <c r="S1151" i="1"/>
  <c r="T1151" i="1"/>
  <c r="U1151" i="1"/>
  <c r="V1151" i="1"/>
  <c r="W1151" i="1"/>
  <c r="X1151" i="1"/>
  <c r="Y1151" i="1"/>
  <c r="Z1151" i="1"/>
  <c r="AA1151" i="1"/>
  <c r="AB1151" i="1"/>
  <c r="A1152" i="1"/>
  <c r="B1152" i="1"/>
  <c r="C1152" i="1"/>
  <c r="D1152" i="1"/>
  <c r="E1152" i="1"/>
  <c r="F1152" i="1"/>
  <c r="G1152" i="1"/>
  <c r="H1152" i="1"/>
  <c r="I1152" i="1"/>
  <c r="J1152" i="1"/>
  <c r="K1152" i="1"/>
  <c r="L1152" i="1"/>
  <c r="M1152" i="1"/>
  <c r="N1152" i="1"/>
  <c r="O1152" i="1"/>
  <c r="P1152" i="1"/>
  <c r="Q1152" i="1"/>
  <c r="R1152" i="1"/>
  <c r="S1152" i="1"/>
  <c r="T1152" i="1"/>
  <c r="U1152" i="1"/>
  <c r="V1152" i="1"/>
  <c r="W1152" i="1"/>
  <c r="X1152" i="1"/>
  <c r="Y1152" i="1"/>
  <c r="Z1152" i="1"/>
  <c r="AA1152" i="1"/>
  <c r="AB1152" i="1"/>
  <c r="A1153" i="1"/>
  <c r="B1153" i="1"/>
  <c r="C1153" i="1"/>
  <c r="D1153" i="1"/>
  <c r="E1153" i="1"/>
  <c r="F1153" i="1"/>
  <c r="G1153" i="1"/>
  <c r="H1153" i="1"/>
  <c r="I1153" i="1"/>
  <c r="J1153" i="1"/>
  <c r="K1153" i="1"/>
  <c r="L1153" i="1"/>
  <c r="M1153" i="1"/>
  <c r="N1153" i="1"/>
  <c r="O1153" i="1"/>
  <c r="P1153" i="1"/>
  <c r="Q1153" i="1"/>
  <c r="R1153" i="1"/>
  <c r="S1153" i="1"/>
  <c r="T1153" i="1"/>
  <c r="U1153" i="1"/>
  <c r="V1153" i="1"/>
  <c r="W1153" i="1"/>
  <c r="X1153" i="1"/>
  <c r="Y1153" i="1"/>
  <c r="Z1153" i="1"/>
  <c r="AA1153" i="1"/>
  <c r="AB1153" i="1"/>
  <c r="A1154" i="1"/>
  <c r="B1154" i="1"/>
  <c r="C1154" i="1"/>
  <c r="D1154" i="1"/>
  <c r="E1154" i="1"/>
  <c r="F1154" i="1"/>
  <c r="G1154" i="1"/>
  <c r="H1154" i="1"/>
  <c r="I1154" i="1"/>
  <c r="J1154" i="1"/>
  <c r="K1154" i="1"/>
  <c r="L1154" i="1"/>
  <c r="M1154" i="1"/>
  <c r="N1154" i="1"/>
  <c r="O1154" i="1"/>
  <c r="P1154" i="1"/>
  <c r="Q1154" i="1"/>
  <c r="R1154" i="1"/>
  <c r="S1154" i="1"/>
  <c r="T1154" i="1"/>
  <c r="U1154" i="1"/>
  <c r="V1154" i="1"/>
  <c r="W1154" i="1"/>
  <c r="X1154" i="1"/>
  <c r="Y1154" i="1"/>
  <c r="Z1154" i="1"/>
  <c r="AA1154" i="1"/>
  <c r="AB1154" i="1"/>
  <c r="A1155" i="1"/>
  <c r="B1155" i="1"/>
  <c r="C1155" i="1"/>
  <c r="D1155" i="1"/>
  <c r="E1155" i="1"/>
  <c r="F1155" i="1"/>
  <c r="G1155" i="1"/>
  <c r="H1155" i="1"/>
  <c r="I1155" i="1"/>
  <c r="J1155" i="1"/>
  <c r="K1155" i="1"/>
  <c r="L1155" i="1"/>
  <c r="M1155" i="1"/>
  <c r="N1155" i="1"/>
  <c r="O1155" i="1"/>
  <c r="P1155" i="1"/>
  <c r="Q1155" i="1"/>
  <c r="R1155" i="1"/>
  <c r="S1155" i="1"/>
  <c r="T1155" i="1"/>
  <c r="U1155" i="1"/>
  <c r="V1155" i="1"/>
  <c r="W1155" i="1"/>
  <c r="X1155" i="1"/>
  <c r="Y1155" i="1"/>
  <c r="Z1155" i="1"/>
  <c r="AA1155" i="1"/>
  <c r="AB1155" i="1"/>
  <c r="AB5" i="1"/>
  <c r="AA5" i="1"/>
  <c r="Z5" i="1"/>
  <c r="Y5" i="1"/>
  <c r="X5" i="1"/>
  <c r="W5" i="1"/>
  <c r="V5" i="1"/>
  <c r="U5" i="1"/>
  <c r="S5" i="1"/>
  <c r="R5" i="1"/>
  <c r="Q5" i="1"/>
  <c r="P5" i="1"/>
  <c r="O5" i="1"/>
  <c r="N5" i="1"/>
  <c r="M5" i="1"/>
  <c r="L5" i="1"/>
  <c r="K5" i="1"/>
  <c r="J5" i="1"/>
  <c r="I5" i="1"/>
  <c r="H5" i="1"/>
  <c r="G5" i="1"/>
  <c r="F5" i="1"/>
  <c r="E5" i="1"/>
  <c r="D5" i="1"/>
  <c r="C5" i="1"/>
  <c r="B5" i="1"/>
  <c r="A5" i="1"/>
  <c r="T5" i="1"/>
  <c r="W74" i="2" l="1"/>
  <c r="O74" i="2" l="1"/>
  <c r="P34" i="2" l="1"/>
  <c r="G34" i="2" l="1"/>
  <c r="G15" i="2" l="1"/>
  <c r="G24" i="2"/>
  <c r="P15" i="2"/>
  <c r="D2" i="2" l="1"/>
  <c r="P14" i="2" l="1"/>
  <c r="P32" i="2"/>
  <c r="P69" i="2"/>
  <c r="P13" i="2"/>
  <c r="P25" i="2"/>
  <c r="P33" i="2"/>
  <c r="P22" i="2"/>
  <c r="P65" i="2" l="1"/>
  <c r="X74" i="2"/>
  <c r="D4" i="2"/>
  <c r="D1" i="1"/>
  <c r="B1" i="1"/>
  <c r="G33" i="2" l="1"/>
  <c r="G25" i="2"/>
  <c r="G32" i="2"/>
  <c r="G22" i="2"/>
  <c r="G69" i="2"/>
  <c r="G14" i="2"/>
  <c r="G13" i="2"/>
  <c r="G65" i="2"/>
  <c r="G64" i="2"/>
  <c r="P59" i="2"/>
  <c r="P64" i="2"/>
  <c r="P37" i="2"/>
  <c r="P52" i="2"/>
  <c r="P67" i="2"/>
  <c r="P17" i="2"/>
  <c r="P8" i="2"/>
  <c r="P19" i="2"/>
  <c r="P31" i="2"/>
  <c r="P45" i="2"/>
  <c r="P60" i="2"/>
  <c r="P9" i="2"/>
  <c r="P46" i="2"/>
  <c r="P61" i="2"/>
  <c r="P10" i="2"/>
  <c r="P20" i="2"/>
  <c r="P28" i="2"/>
  <c r="P47" i="2"/>
  <c r="P62" i="2"/>
  <c r="P30" i="2"/>
  <c r="P48" i="2"/>
  <c r="P71" i="2"/>
  <c r="P68" i="2"/>
  <c r="P49" i="2"/>
  <c r="P70" i="2"/>
  <c r="P21" i="2"/>
  <c r="P24" i="2"/>
  <c r="P66" i="2"/>
  <c r="P23" i="2"/>
  <c r="P35" i="2"/>
  <c r="P50" i="2"/>
  <c r="P63" i="2"/>
  <c r="P29" i="2"/>
  <c r="P36" i="2"/>
  <c r="P51" i="2"/>
  <c r="P11" i="2"/>
  <c r="P38" i="2"/>
  <c r="P53" i="2"/>
  <c r="P12" i="2"/>
  <c r="P73" i="2"/>
  <c r="P39" i="2"/>
  <c r="P54" i="2"/>
  <c r="P16" i="2"/>
  <c r="P40" i="2"/>
  <c r="P55" i="2"/>
  <c r="P26" i="2"/>
  <c r="P41" i="2"/>
  <c r="P56" i="2"/>
  <c r="P18" i="2"/>
  <c r="P42" i="2"/>
  <c r="P57" i="2"/>
  <c r="P72" i="2"/>
  <c r="P27" i="2"/>
  <c r="P43" i="2"/>
  <c r="P58" i="2"/>
  <c r="P44" i="2"/>
  <c r="G62" i="2"/>
  <c r="G29" i="2"/>
  <c r="G72" i="2"/>
  <c r="G28" i="2"/>
  <c r="G40" i="2"/>
  <c r="G48" i="2"/>
  <c r="G55" i="2"/>
  <c r="G66" i="2"/>
  <c r="G17" i="2"/>
  <c r="G70" i="2"/>
  <c r="G41" i="2"/>
  <c r="G49" i="2"/>
  <c r="G56" i="2"/>
  <c r="G19" i="2"/>
  <c r="G68" i="2"/>
  <c r="G67" i="2"/>
  <c r="G73" i="2"/>
  <c r="G42" i="2"/>
  <c r="G57" i="2"/>
  <c r="G63" i="2"/>
  <c r="G8" i="2"/>
  <c r="G11" i="2"/>
  <c r="G20" i="2"/>
  <c r="G35" i="2"/>
  <c r="G43" i="2"/>
  <c r="G50" i="2"/>
  <c r="G58" i="2"/>
  <c r="G26" i="2"/>
  <c r="G9" i="2"/>
  <c r="G12" i="2"/>
  <c r="G36" i="2"/>
  <c r="G44" i="2"/>
  <c r="G51" i="2"/>
  <c r="G59" i="2"/>
  <c r="G71" i="2"/>
  <c r="G10" i="2"/>
  <c r="G16" i="2"/>
  <c r="G27" i="2"/>
  <c r="G37" i="2"/>
  <c r="G45" i="2"/>
  <c r="G52" i="2"/>
  <c r="G60" i="2"/>
  <c r="G21" i="2"/>
  <c r="G30" i="2"/>
  <c r="G38" i="2"/>
  <c r="G46" i="2"/>
  <c r="G53" i="2"/>
  <c r="G61" i="2"/>
  <c r="G23" i="2"/>
  <c r="G31" i="2"/>
  <c r="G18" i="2"/>
  <c r="G39" i="2"/>
  <c r="G47" i="2"/>
  <c r="G54" i="2"/>
  <c r="D3" i="2"/>
  <c r="L7" i="2" s="1"/>
  <c r="AB8" i="2" l="1"/>
  <c r="G74" i="2"/>
  <c r="H34" i="2" s="1"/>
  <c r="P74" i="2"/>
  <c r="L15" i="2"/>
  <c r="L34" i="2"/>
  <c r="L22" i="2"/>
  <c r="L25" i="2"/>
  <c r="L13" i="2"/>
  <c r="L14" i="2"/>
  <c r="L69" i="2"/>
  <c r="L32" i="2"/>
  <c r="L33" i="2"/>
  <c r="L64" i="2"/>
  <c r="L65" i="2"/>
  <c r="L71" i="2"/>
  <c r="L66" i="2"/>
  <c r="L59" i="2"/>
  <c r="L51" i="2"/>
  <c r="L44" i="2"/>
  <c r="L36" i="2"/>
  <c r="L67" i="2"/>
  <c r="L21" i="2"/>
  <c r="L60" i="2"/>
  <c r="L52" i="2"/>
  <c r="L45" i="2"/>
  <c r="L37" i="2"/>
  <c r="L11" i="2"/>
  <c r="I7" i="2"/>
  <c r="L23" i="2"/>
  <c r="L61" i="2"/>
  <c r="L53" i="2"/>
  <c r="L46" i="2"/>
  <c r="L38" i="2"/>
  <c r="L12" i="2"/>
  <c r="L9" i="2"/>
  <c r="L8" i="2"/>
  <c r="L29" i="2"/>
  <c r="L62" i="2"/>
  <c r="L54" i="2"/>
  <c r="L47" i="2"/>
  <c r="L39" i="2"/>
  <c r="L16" i="2"/>
  <c r="L10" i="2"/>
  <c r="L70" i="2"/>
  <c r="L17" i="2"/>
  <c r="L63" i="2"/>
  <c r="L55" i="2"/>
  <c r="L48" i="2"/>
  <c r="L40" i="2"/>
  <c r="L73" i="2"/>
  <c r="L30" i="2"/>
  <c r="L26" i="2"/>
  <c r="L56" i="2"/>
  <c r="L49" i="2"/>
  <c r="L41" i="2"/>
  <c r="L27" i="2"/>
  <c r="L18" i="2"/>
  <c r="L31" i="2"/>
  <c r="L57" i="2"/>
  <c r="L24" i="2"/>
  <c r="L42" i="2"/>
  <c r="L28" i="2"/>
  <c r="L72" i="2"/>
  <c r="L68" i="2"/>
  <c r="L19" i="2"/>
  <c r="L58" i="2"/>
  <c r="L50" i="2"/>
  <c r="L43" i="2"/>
  <c r="L35" i="2"/>
  <c r="L20" i="2"/>
  <c r="M7" i="2"/>
  <c r="L74" i="2" l="1"/>
  <c r="I15" i="2"/>
  <c r="I34" i="2"/>
  <c r="M15" i="2"/>
  <c r="M34" i="2"/>
  <c r="Q15" i="2"/>
  <c r="F15" i="2" s="1"/>
  <c r="A15" i="2" s="1"/>
  <c r="Q34" i="2"/>
  <c r="H65" i="2"/>
  <c r="H15" i="2"/>
  <c r="I22" i="2"/>
  <c r="I33" i="2"/>
  <c r="I25" i="2"/>
  <c r="I14" i="2"/>
  <c r="I32" i="2"/>
  <c r="I13" i="2"/>
  <c r="I69" i="2"/>
  <c r="H69" i="2"/>
  <c r="H14" i="2"/>
  <c r="Q65" i="2"/>
  <c r="R65" i="2" s="1"/>
  <c r="B65" i="2" s="1"/>
  <c r="Q14" i="2"/>
  <c r="Q32" i="2"/>
  <c r="Q13" i="2"/>
  <c r="Q69" i="2"/>
  <c r="Q33" i="2"/>
  <c r="Q22" i="2"/>
  <c r="Q25" i="2"/>
  <c r="M25" i="2"/>
  <c r="M69" i="2"/>
  <c r="M13" i="2"/>
  <c r="M14" i="2"/>
  <c r="M22" i="2"/>
  <c r="M32" i="2"/>
  <c r="M33" i="2"/>
  <c r="H33" i="2"/>
  <c r="H13" i="2"/>
  <c r="H25" i="2"/>
  <c r="H32" i="2"/>
  <c r="H22" i="2"/>
  <c r="M64" i="2"/>
  <c r="M65" i="2"/>
  <c r="I64" i="2"/>
  <c r="I65" i="2"/>
  <c r="H40" i="2"/>
  <c r="H64" i="2"/>
  <c r="Q43" i="2"/>
  <c r="R43" i="2" s="1"/>
  <c r="B43" i="2" s="1"/>
  <c r="Q64" i="2"/>
  <c r="H57" i="2"/>
  <c r="H18" i="2"/>
  <c r="H68" i="2"/>
  <c r="H66" i="2"/>
  <c r="Q38" i="2"/>
  <c r="F38" i="2" s="1"/>
  <c r="A38" i="2" s="1"/>
  <c r="Q73" i="2"/>
  <c r="R73" i="2" s="1"/>
  <c r="B73" i="2" s="1"/>
  <c r="Q45" i="2"/>
  <c r="R45" i="2" s="1"/>
  <c r="B45" i="2" s="1"/>
  <c r="H47" i="2"/>
  <c r="H44" i="2"/>
  <c r="H43" i="2"/>
  <c r="H73" i="2"/>
  <c r="H9" i="2"/>
  <c r="Q40" i="2"/>
  <c r="R40" i="2" s="1"/>
  <c r="B40" i="2" s="1"/>
  <c r="Q27" i="2"/>
  <c r="R27" i="2" s="1"/>
  <c r="B27" i="2" s="1"/>
  <c r="Q47" i="2"/>
  <c r="R47" i="2" s="1"/>
  <c r="B47" i="2" s="1"/>
  <c r="H49" i="2"/>
  <c r="H24" i="2"/>
  <c r="H62" i="2"/>
  <c r="H19" i="2"/>
  <c r="Q42" i="2"/>
  <c r="F42" i="2" s="1"/>
  <c r="A42" i="2" s="1"/>
  <c r="Q66" i="2"/>
  <c r="R66" i="2" s="1"/>
  <c r="B66" i="2" s="1"/>
  <c r="Q49" i="2"/>
  <c r="R49" i="2" s="1"/>
  <c r="B49" i="2" s="1"/>
  <c r="H52" i="2"/>
  <c r="H54" i="2"/>
  <c r="H30" i="2"/>
  <c r="H17" i="2"/>
  <c r="Q44" i="2"/>
  <c r="R44" i="2" s="1"/>
  <c r="B44" i="2" s="1"/>
  <c r="Q11" i="2"/>
  <c r="R11" i="2" s="1"/>
  <c r="B11" i="2" s="1"/>
  <c r="Q50" i="2"/>
  <c r="F50" i="2" s="1"/>
  <c r="A50" i="2" s="1"/>
  <c r="H8" i="2"/>
  <c r="H51" i="2"/>
  <c r="H35" i="2"/>
  <c r="Q63" i="2"/>
  <c r="F63" i="2" s="1"/>
  <c r="A63" i="2" s="1"/>
  <c r="Q46" i="2"/>
  <c r="R46" i="2" s="1"/>
  <c r="B46" i="2" s="1"/>
  <c r="Q16" i="2"/>
  <c r="F16" i="2" s="1"/>
  <c r="A16" i="2" s="1"/>
  <c r="Q52" i="2"/>
  <c r="R52" i="2" s="1"/>
  <c r="B52" i="2" s="1"/>
  <c r="H11" i="2"/>
  <c r="H36" i="2"/>
  <c r="H12" i="2"/>
  <c r="Q26" i="2"/>
  <c r="R26" i="2" s="1"/>
  <c r="B26" i="2" s="1"/>
  <c r="Q48" i="2"/>
  <c r="R48" i="2" s="1"/>
  <c r="B48" i="2" s="1"/>
  <c r="Q28" i="2"/>
  <c r="R28" i="2" s="1"/>
  <c r="B28" i="2" s="1"/>
  <c r="Q54" i="2"/>
  <c r="F54" i="2" s="1"/>
  <c r="A54" i="2" s="1"/>
  <c r="H45" i="2"/>
  <c r="H38" i="2"/>
  <c r="H59" i="2"/>
  <c r="Q31" i="2"/>
  <c r="F31" i="2" s="1"/>
  <c r="A31" i="2" s="1"/>
  <c r="Q24" i="2"/>
  <c r="R24" i="2" s="1"/>
  <c r="B24" i="2" s="1"/>
  <c r="Q18" i="2"/>
  <c r="R18" i="2" s="1"/>
  <c r="B18" i="2" s="1"/>
  <c r="Q56" i="2"/>
  <c r="R56" i="2" s="1"/>
  <c r="B56" i="2" s="1"/>
  <c r="H46" i="2"/>
  <c r="H71" i="2"/>
  <c r="H10" i="2"/>
  <c r="Q8" i="2"/>
  <c r="Q51" i="2"/>
  <c r="F51" i="2" s="1"/>
  <c r="A51" i="2" s="1"/>
  <c r="Q58" i="2"/>
  <c r="R58" i="2" s="1"/>
  <c r="B58" i="2" s="1"/>
  <c r="H50" i="2"/>
  <c r="H55" i="2"/>
  <c r="H20" i="2"/>
  <c r="Q67" i="2"/>
  <c r="F67" i="2" s="1"/>
  <c r="A67" i="2" s="1"/>
  <c r="Q53" i="2"/>
  <c r="R53" i="2" s="1"/>
  <c r="B53" i="2" s="1"/>
  <c r="Q19" i="2"/>
  <c r="R19" i="2" s="1"/>
  <c r="B19" i="2" s="1"/>
  <c r="Q60" i="2"/>
  <c r="F60" i="2" s="1"/>
  <c r="A60" i="2" s="1"/>
  <c r="H31" i="2"/>
  <c r="H16" i="2"/>
  <c r="H28" i="2"/>
  <c r="Q12" i="2"/>
  <c r="R12" i="2" s="1"/>
  <c r="B12" i="2" s="1"/>
  <c r="Q55" i="2"/>
  <c r="R55" i="2" s="1"/>
  <c r="B55" i="2" s="1"/>
  <c r="Q9" i="2"/>
  <c r="R9" i="2" s="1"/>
  <c r="Q62" i="2"/>
  <c r="R62" i="2" s="1"/>
  <c r="B62" i="2" s="1"/>
  <c r="H48" i="2"/>
  <c r="H60" i="2"/>
  <c r="H27" i="2"/>
  <c r="Q57" i="2"/>
  <c r="R57" i="2" s="1"/>
  <c r="B57" i="2" s="1"/>
  <c r="Q30" i="2"/>
  <c r="R30" i="2" s="1"/>
  <c r="B30" i="2" s="1"/>
  <c r="Q71" i="2"/>
  <c r="R71" i="2" s="1"/>
  <c r="B71" i="2" s="1"/>
  <c r="H56" i="2"/>
  <c r="H21" i="2"/>
  <c r="Q72" i="2"/>
  <c r="F72" i="2" s="1"/>
  <c r="A72" i="2" s="1"/>
  <c r="Q59" i="2"/>
  <c r="F59" i="2" s="1"/>
  <c r="A59" i="2" s="1"/>
  <c r="Q35" i="2"/>
  <c r="F35" i="2" s="1"/>
  <c r="A35" i="2" s="1"/>
  <c r="Q23" i="2"/>
  <c r="F23" i="2" s="1"/>
  <c r="A23" i="2" s="1"/>
  <c r="H23" i="2"/>
  <c r="H37" i="2"/>
  <c r="H72" i="2"/>
  <c r="Q68" i="2"/>
  <c r="F68" i="2" s="1"/>
  <c r="A68" i="2" s="1"/>
  <c r="Q61" i="2"/>
  <c r="F61" i="2" s="1"/>
  <c r="A61" i="2" s="1"/>
  <c r="Q37" i="2"/>
  <c r="F37" i="2" s="1"/>
  <c r="A37" i="2" s="1"/>
  <c r="Q17" i="2"/>
  <c r="F17" i="2" s="1"/>
  <c r="A17" i="2" s="1"/>
  <c r="H53" i="2"/>
  <c r="H29" i="2"/>
  <c r="H63" i="2"/>
  <c r="H61" i="2"/>
  <c r="Q10" i="2"/>
  <c r="F10" i="2" s="1"/>
  <c r="A10" i="2" s="1"/>
  <c r="Q21" i="2"/>
  <c r="F21" i="2" s="1"/>
  <c r="A21" i="2" s="1"/>
  <c r="Q39" i="2"/>
  <c r="R39" i="2" s="1"/>
  <c r="B39" i="2" s="1"/>
  <c r="H26" i="2"/>
  <c r="H58" i="2"/>
  <c r="H39" i="2"/>
  <c r="H67" i="2"/>
  <c r="AA8" i="2"/>
  <c r="Q20" i="2"/>
  <c r="R20" i="2" s="1"/>
  <c r="B20" i="2" s="1"/>
  <c r="Q29" i="2"/>
  <c r="F29" i="2" s="1"/>
  <c r="A29" i="2" s="1"/>
  <c r="Q41" i="2"/>
  <c r="F41" i="2" s="1"/>
  <c r="A41" i="2" s="1"/>
  <c r="H42" i="2"/>
  <c r="H41" i="2"/>
  <c r="H70" i="2"/>
  <c r="Q36" i="2"/>
  <c r="R36" i="2" s="1"/>
  <c r="B36" i="2" s="1"/>
  <c r="Q70" i="2"/>
  <c r="R70" i="2" s="1"/>
  <c r="B70" i="2" s="1"/>
  <c r="I57" i="2"/>
  <c r="I24" i="2"/>
  <c r="I42" i="2"/>
  <c r="I28" i="2"/>
  <c r="I72" i="2"/>
  <c r="I68" i="2"/>
  <c r="I19" i="2"/>
  <c r="I58" i="2"/>
  <c r="I50" i="2"/>
  <c r="I43" i="2"/>
  <c r="I35" i="2"/>
  <c r="I20" i="2"/>
  <c r="I71" i="2"/>
  <c r="I66" i="2"/>
  <c r="I59" i="2"/>
  <c r="I51" i="2"/>
  <c r="I44" i="2"/>
  <c r="I36" i="2"/>
  <c r="I67" i="2"/>
  <c r="I21" i="2"/>
  <c r="I60" i="2"/>
  <c r="I52" i="2"/>
  <c r="I45" i="2"/>
  <c r="I37" i="2"/>
  <c r="I11" i="2"/>
  <c r="I23" i="2"/>
  <c r="I61" i="2"/>
  <c r="I53" i="2"/>
  <c r="I46" i="2"/>
  <c r="I38" i="2"/>
  <c r="I12" i="2"/>
  <c r="I9" i="2"/>
  <c r="I8" i="2"/>
  <c r="I29" i="2"/>
  <c r="I62" i="2"/>
  <c r="I54" i="2"/>
  <c r="I47" i="2"/>
  <c r="I39" i="2"/>
  <c r="I16" i="2"/>
  <c r="I10" i="2"/>
  <c r="I70" i="2"/>
  <c r="I17" i="2"/>
  <c r="I63" i="2"/>
  <c r="I55" i="2"/>
  <c r="I48" i="2"/>
  <c r="I40" i="2"/>
  <c r="I73" i="2"/>
  <c r="I30" i="2"/>
  <c r="I26" i="2"/>
  <c r="I56" i="2"/>
  <c r="I49" i="2"/>
  <c r="I41" i="2"/>
  <c r="I27" i="2"/>
  <c r="I18" i="2"/>
  <c r="I31" i="2"/>
  <c r="M59" i="2"/>
  <c r="M51" i="2"/>
  <c r="M44" i="2"/>
  <c r="M36" i="2"/>
  <c r="M67" i="2"/>
  <c r="M21" i="2"/>
  <c r="M60" i="2"/>
  <c r="M52" i="2"/>
  <c r="M45" i="2"/>
  <c r="M37" i="2"/>
  <c r="M11" i="2"/>
  <c r="J7" i="2"/>
  <c r="M23" i="2"/>
  <c r="M61" i="2"/>
  <c r="M53" i="2"/>
  <c r="M46" i="2"/>
  <c r="M38" i="2"/>
  <c r="M12" i="2"/>
  <c r="M9" i="2"/>
  <c r="M8" i="2"/>
  <c r="M29" i="2"/>
  <c r="M62" i="2"/>
  <c r="M54" i="2"/>
  <c r="M47" i="2"/>
  <c r="M39" i="2"/>
  <c r="M16" i="2"/>
  <c r="M10" i="2"/>
  <c r="M70" i="2"/>
  <c r="M17" i="2"/>
  <c r="M63" i="2"/>
  <c r="M55" i="2"/>
  <c r="M48" i="2"/>
  <c r="M40" i="2"/>
  <c r="M73" i="2"/>
  <c r="M30" i="2"/>
  <c r="M26" i="2"/>
  <c r="M56" i="2"/>
  <c r="M49" i="2"/>
  <c r="M41" i="2"/>
  <c r="M27" i="2"/>
  <c r="M18" i="2"/>
  <c r="M31" i="2"/>
  <c r="M57" i="2"/>
  <c r="M24" i="2"/>
  <c r="M42" i="2"/>
  <c r="M28" i="2"/>
  <c r="M72" i="2"/>
  <c r="M68" i="2"/>
  <c r="M19" i="2"/>
  <c r="M58" i="2"/>
  <c r="M50" i="2"/>
  <c r="M43" i="2"/>
  <c r="M35" i="2"/>
  <c r="M20" i="2"/>
  <c r="N7" i="2"/>
  <c r="M71" i="2"/>
  <c r="M66" i="2"/>
  <c r="I74" i="2" l="1"/>
  <c r="H74" i="2"/>
  <c r="M74" i="2"/>
  <c r="Q74" i="2"/>
  <c r="F74" i="2" s="1"/>
  <c r="R15" i="2"/>
  <c r="B15" i="2" s="1"/>
  <c r="J15" i="2"/>
  <c r="J34" i="2"/>
  <c r="N15" i="2"/>
  <c r="N34" i="2"/>
  <c r="F34" i="2"/>
  <c r="A34" i="2" s="1"/>
  <c r="R34" i="2"/>
  <c r="B34" i="2" s="1"/>
  <c r="F65" i="2"/>
  <c r="A65" i="2" s="1"/>
  <c r="F22" i="2"/>
  <c r="A22" i="2" s="1"/>
  <c r="R22" i="2"/>
  <c r="B22" i="2" s="1"/>
  <c r="F33" i="2"/>
  <c r="A33" i="2" s="1"/>
  <c r="R33" i="2"/>
  <c r="B33" i="2" s="1"/>
  <c r="F69" i="2"/>
  <c r="A69" i="2" s="1"/>
  <c r="R69" i="2"/>
  <c r="B69" i="2" s="1"/>
  <c r="N25" i="2"/>
  <c r="N14" i="2"/>
  <c r="N69" i="2"/>
  <c r="N13" i="2"/>
  <c r="N32" i="2"/>
  <c r="N33" i="2"/>
  <c r="N22" i="2"/>
  <c r="R13" i="2"/>
  <c r="B13" i="2" s="1"/>
  <c r="F13" i="2"/>
  <c r="A13" i="2" s="1"/>
  <c r="F32" i="2"/>
  <c r="A32" i="2" s="1"/>
  <c r="R32" i="2"/>
  <c r="B32" i="2" s="1"/>
  <c r="R14" i="2"/>
  <c r="B14" i="2" s="1"/>
  <c r="F14" i="2"/>
  <c r="A14" i="2" s="1"/>
  <c r="J33" i="2"/>
  <c r="J22" i="2"/>
  <c r="J14" i="2"/>
  <c r="J25" i="2"/>
  <c r="J13" i="2"/>
  <c r="J69" i="2"/>
  <c r="J32" i="2"/>
  <c r="F25" i="2"/>
  <c r="A25" i="2" s="1"/>
  <c r="R25" i="2"/>
  <c r="B25" i="2" s="1"/>
  <c r="B9" i="2"/>
  <c r="R8" i="2"/>
  <c r="F43" i="2"/>
  <c r="A43" i="2" s="1"/>
  <c r="J64" i="2"/>
  <c r="J65" i="2"/>
  <c r="N64" i="2"/>
  <c r="N65" i="2"/>
  <c r="F64" i="2"/>
  <c r="A64" i="2" s="1"/>
  <c r="R64" i="2"/>
  <c r="B64" i="2" s="1"/>
  <c r="R60" i="2"/>
  <c r="B60" i="2" s="1"/>
  <c r="F26" i="2"/>
  <c r="A26" i="2" s="1"/>
  <c r="R63" i="2"/>
  <c r="B63" i="2" s="1"/>
  <c r="R10" i="2"/>
  <c r="B10" i="2" s="1"/>
  <c r="R38" i="2"/>
  <c r="B38" i="2" s="1"/>
  <c r="R54" i="2"/>
  <c r="B54" i="2" s="1"/>
  <c r="F28" i="2"/>
  <c r="A28" i="2" s="1"/>
  <c r="F44" i="2"/>
  <c r="A44" i="2" s="1"/>
  <c r="F49" i="2"/>
  <c r="A49" i="2" s="1"/>
  <c r="R31" i="2"/>
  <c r="B31" i="2" s="1"/>
  <c r="F47" i="2"/>
  <c r="A47" i="2" s="1"/>
  <c r="R17" i="2"/>
  <c r="B17" i="2" s="1"/>
  <c r="R68" i="2"/>
  <c r="B68" i="2" s="1"/>
  <c r="R23" i="2"/>
  <c r="B23" i="2" s="1"/>
  <c r="R41" i="2"/>
  <c r="B41" i="2" s="1"/>
  <c r="F57" i="2"/>
  <c r="A57" i="2" s="1"/>
  <c r="F9" i="2"/>
  <c r="R51" i="2"/>
  <c r="B51" i="2" s="1"/>
  <c r="F62" i="2"/>
  <c r="A62" i="2" s="1"/>
  <c r="R16" i="2"/>
  <c r="B16" i="2" s="1"/>
  <c r="F46" i="2"/>
  <c r="A46" i="2" s="1"/>
  <c r="F8" i="2"/>
  <c r="A8" i="2" s="1"/>
  <c r="R42" i="2"/>
  <c r="B42" i="2" s="1"/>
  <c r="F56" i="2"/>
  <c r="A56" i="2" s="1"/>
  <c r="R21" i="2"/>
  <c r="B21" i="2" s="1"/>
  <c r="F45" i="2"/>
  <c r="A45" i="2" s="1"/>
  <c r="R59" i="2"/>
  <c r="B59" i="2" s="1"/>
  <c r="F71" i="2"/>
  <c r="A71" i="2" s="1"/>
  <c r="F30" i="2"/>
  <c r="A30" i="2" s="1"/>
  <c r="F27" i="2"/>
  <c r="A27" i="2" s="1"/>
  <c r="R29" i="2"/>
  <c r="B29" i="2" s="1"/>
  <c r="F39" i="2"/>
  <c r="A39" i="2" s="1"/>
  <c r="F53" i="2"/>
  <c r="A53" i="2" s="1"/>
  <c r="F36" i="2"/>
  <c r="A36" i="2" s="1"/>
  <c r="R37" i="2"/>
  <c r="B37" i="2" s="1"/>
  <c r="F58" i="2"/>
  <c r="A58" i="2" s="1"/>
  <c r="R61" i="2"/>
  <c r="B61" i="2" s="1"/>
  <c r="R67" i="2"/>
  <c r="B67" i="2" s="1"/>
  <c r="F40" i="2"/>
  <c r="A40" i="2" s="1"/>
  <c r="R50" i="2"/>
  <c r="B50" i="2" s="1"/>
  <c r="F11" i="2"/>
  <c r="A11" i="2" s="1"/>
  <c r="F73" i="2"/>
  <c r="A73" i="2" s="1"/>
  <c r="F55" i="2"/>
  <c r="A55" i="2" s="1"/>
  <c r="R35" i="2"/>
  <c r="B35" i="2" s="1"/>
  <c r="F12" i="2"/>
  <c r="A12" i="2" s="1"/>
  <c r="F66" i="2"/>
  <c r="A66" i="2" s="1"/>
  <c r="F20" i="2"/>
  <c r="A20" i="2" s="1"/>
  <c r="R72" i="2"/>
  <c r="B72" i="2" s="1"/>
  <c r="F52" i="2"/>
  <c r="A52" i="2" s="1"/>
  <c r="F48" i="2"/>
  <c r="A48" i="2" s="1"/>
  <c r="F19" i="2"/>
  <c r="A19" i="2" s="1"/>
  <c r="F18" i="2"/>
  <c r="A18" i="2" s="1"/>
  <c r="F70" i="2"/>
  <c r="A70" i="2" s="1"/>
  <c r="F24" i="2"/>
  <c r="A24" i="2" s="1"/>
  <c r="J68" i="2"/>
  <c r="J19" i="2"/>
  <c r="J58" i="2"/>
  <c r="J50" i="2"/>
  <c r="J43" i="2"/>
  <c r="J35" i="2"/>
  <c r="J20" i="2"/>
  <c r="J71" i="2"/>
  <c r="J66" i="2"/>
  <c r="J59" i="2"/>
  <c r="J51" i="2"/>
  <c r="J44" i="2"/>
  <c r="J36" i="2"/>
  <c r="J67" i="2"/>
  <c r="J21" i="2"/>
  <c r="J60" i="2"/>
  <c r="J52" i="2"/>
  <c r="J45" i="2"/>
  <c r="J37" i="2"/>
  <c r="J11" i="2"/>
  <c r="J23" i="2"/>
  <c r="J61" i="2"/>
  <c r="J53" i="2"/>
  <c r="J46" i="2"/>
  <c r="J38" i="2"/>
  <c r="J12" i="2"/>
  <c r="J9" i="2"/>
  <c r="J8" i="2"/>
  <c r="J29" i="2"/>
  <c r="J62" i="2"/>
  <c r="J54" i="2"/>
  <c r="J47" i="2"/>
  <c r="J39" i="2"/>
  <c r="J16" i="2"/>
  <c r="J10" i="2"/>
  <c r="J70" i="2"/>
  <c r="J17" i="2"/>
  <c r="J63" i="2"/>
  <c r="J55" i="2"/>
  <c r="J48" i="2"/>
  <c r="J40" i="2"/>
  <c r="J73" i="2"/>
  <c r="J30" i="2"/>
  <c r="J26" i="2"/>
  <c r="J56" i="2"/>
  <c r="J49" i="2"/>
  <c r="J41" i="2"/>
  <c r="J27" i="2"/>
  <c r="J18" i="2"/>
  <c r="J31" i="2"/>
  <c r="J57" i="2"/>
  <c r="J24" i="2"/>
  <c r="J42" i="2"/>
  <c r="J28" i="2"/>
  <c r="J72" i="2"/>
  <c r="N21" i="2"/>
  <c r="N60" i="2"/>
  <c r="N52" i="2"/>
  <c r="N45" i="2"/>
  <c r="N37" i="2"/>
  <c r="N11" i="2"/>
  <c r="K7" i="2"/>
  <c r="N23" i="2"/>
  <c r="N61" i="2"/>
  <c r="N53" i="2"/>
  <c r="N46" i="2"/>
  <c r="N38" i="2"/>
  <c r="N12" i="2"/>
  <c r="N9" i="2"/>
  <c r="N8" i="2"/>
  <c r="N29" i="2"/>
  <c r="N62" i="2"/>
  <c r="N54" i="2"/>
  <c r="N47" i="2"/>
  <c r="N39" i="2"/>
  <c r="N16" i="2"/>
  <c r="N10" i="2"/>
  <c r="N70" i="2"/>
  <c r="N17" i="2"/>
  <c r="N63" i="2"/>
  <c r="N55" i="2"/>
  <c r="N48" i="2"/>
  <c r="N40" i="2"/>
  <c r="N73" i="2"/>
  <c r="N30" i="2"/>
  <c r="N26" i="2"/>
  <c r="N56" i="2"/>
  <c r="N49" i="2"/>
  <c r="N41" i="2"/>
  <c r="N27" i="2"/>
  <c r="N18" i="2"/>
  <c r="N31" i="2"/>
  <c r="N57" i="2"/>
  <c r="N24" i="2"/>
  <c r="N42" i="2"/>
  <c r="N28" i="2"/>
  <c r="N72" i="2"/>
  <c r="N68" i="2"/>
  <c r="N19" i="2"/>
  <c r="N58" i="2"/>
  <c r="N50" i="2"/>
  <c r="N43" i="2"/>
  <c r="N35" i="2"/>
  <c r="N20" i="2"/>
  <c r="N71" i="2"/>
  <c r="N66" i="2"/>
  <c r="N59" i="2"/>
  <c r="N51" i="2"/>
  <c r="N44" i="2"/>
  <c r="N36" i="2"/>
  <c r="N67" i="2"/>
  <c r="R74" i="2" l="1"/>
  <c r="N74" i="2"/>
  <c r="J74" i="2"/>
  <c r="A9" i="2"/>
  <c r="AA12" i="2"/>
  <c r="AB12" i="2"/>
  <c r="AB11" i="2" s="1"/>
  <c r="AC12" i="2"/>
  <c r="AC11" i="2" s="1"/>
  <c r="AD12" i="2"/>
  <c r="AD11" i="2" s="1"/>
  <c r="AE12" i="2"/>
  <c r="AE11" i="2" s="1"/>
  <c r="AF12" i="2"/>
  <c r="AF11" i="2" s="1"/>
  <c r="AG12" i="2"/>
  <c r="AG11" i="2" s="1"/>
  <c r="AH12" i="2"/>
  <c r="AH11" i="2" s="1"/>
  <c r="AI12" i="2"/>
  <c r="AI11" i="2" s="1"/>
  <c r="AJ12" i="2"/>
  <c r="AJ11" i="2" s="1"/>
  <c r="AK12" i="2"/>
  <c r="AK11" i="2" s="1"/>
  <c r="AL12" i="2"/>
  <c r="AL11" i="2" s="1"/>
  <c r="K15" i="2"/>
  <c r="K34" i="2"/>
  <c r="K25" i="2"/>
  <c r="K22" i="2"/>
  <c r="K13" i="2"/>
  <c r="K14" i="2"/>
  <c r="K33" i="2"/>
  <c r="K69" i="2"/>
  <c r="K32" i="2"/>
  <c r="B8" i="2"/>
  <c r="K64" i="2"/>
  <c r="K65" i="2"/>
  <c r="K58" i="2"/>
  <c r="K50" i="2"/>
  <c r="K43" i="2"/>
  <c r="K35" i="2"/>
  <c r="K20" i="2"/>
  <c r="K71" i="2"/>
  <c r="K66" i="2"/>
  <c r="K59" i="2"/>
  <c r="K51" i="2"/>
  <c r="K44" i="2"/>
  <c r="K36" i="2"/>
  <c r="K67" i="2"/>
  <c r="K21" i="2"/>
  <c r="K60" i="2"/>
  <c r="K52" i="2"/>
  <c r="K45" i="2"/>
  <c r="K37" i="2"/>
  <c r="K11" i="2"/>
  <c r="K23" i="2"/>
  <c r="K61" i="2"/>
  <c r="K53" i="2"/>
  <c r="K46" i="2"/>
  <c r="K38" i="2"/>
  <c r="K12" i="2"/>
  <c r="K9" i="2"/>
  <c r="K8" i="2"/>
  <c r="K29" i="2"/>
  <c r="K62" i="2"/>
  <c r="K54" i="2"/>
  <c r="K47" i="2"/>
  <c r="K39" i="2"/>
  <c r="K16" i="2"/>
  <c r="K10" i="2"/>
  <c r="K70" i="2"/>
  <c r="K17" i="2"/>
  <c r="K63" i="2"/>
  <c r="K55" i="2"/>
  <c r="K48" i="2"/>
  <c r="K40" i="2"/>
  <c r="K73" i="2"/>
  <c r="K30" i="2"/>
  <c r="K26" i="2"/>
  <c r="K56" i="2"/>
  <c r="K49" i="2"/>
  <c r="K41" i="2"/>
  <c r="K27" i="2"/>
  <c r="K18" i="2"/>
  <c r="K31" i="2"/>
  <c r="K57" i="2"/>
  <c r="K24" i="2"/>
  <c r="K42" i="2"/>
  <c r="K28" i="2"/>
  <c r="K72" i="2"/>
  <c r="K68" i="2"/>
  <c r="K19" i="2"/>
  <c r="K74" i="2" l="1"/>
  <c r="AA11" i="2"/>
</calcChain>
</file>

<file path=xl/sharedStrings.xml><?xml version="1.0" encoding="utf-8"?>
<sst xmlns="http://schemas.openxmlformats.org/spreadsheetml/2006/main" count="38821" uniqueCount="6864">
  <si>
    <t>평가값제공일</t>
  </si>
  <si>
    <t>W000592</t>
  </si>
  <si>
    <t>-</t>
  </si>
  <si>
    <t>W000388</t>
  </si>
  <si>
    <t>SK</t>
  </si>
  <si>
    <t>Y000382</t>
  </si>
  <si>
    <t>대동</t>
  </si>
  <si>
    <t>W000419</t>
  </si>
  <si>
    <t>IBK투자증권(IPO1팀)</t>
  </si>
  <si>
    <t>쿼드자산운용(상장)</t>
  </si>
  <si>
    <t>LIFE008</t>
  </si>
  <si>
    <t>라이나생명보험</t>
  </si>
  <si>
    <t>Y000046</t>
  </si>
  <si>
    <t>김영규</t>
  </si>
  <si>
    <t>MG손해보험</t>
  </si>
  <si>
    <t>김영하</t>
  </si>
  <si>
    <t>Y000210</t>
  </si>
  <si>
    <t>이앤에프프라이빗에쿼티</t>
  </si>
  <si>
    <t>Y000347</t>
  </si>
  <si>
    <t>디에스자산운용</t>
  </si>
  <si>
    <t>T000074</t>
  </si>
  <si>
    <t>김기욱</t>
  </si>
  <si>
    <t>T000027</t>
  </si>
  <si>
    <t>KB손해보험</t>
  </si>
  <si>
    <t>W000237</t>
  </si>
  <si>
    <t>기관코드</t>
    <phoneticPr fontId="3" type="noConversion"/>
  </si>
  <si>
    <t>기관명</t>
    <phoneticPr fontId="3" type="noConversion"/>
  </si>
  <si>
    <t>종목명</t>
    <phoneticPr fontId="3" type="noConversion"/>
  </si>
  <si>
    <t>회차</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</si>
  <si>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</si>
  <si>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</si>
  <si>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</si>
  <si>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</si>
  <si>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</si>
  <si>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t>은행비고</t>
    <phoneticPr fontId="3" type="noConversion"/>
  </si>
  <si>
    <t>평가보고서제공일</t>
    <phoneticPr fontId="3" type="noConversion"/>
  </si>
  <si>
    <t>민감도제공일</t>
    <phoneticPr fontId="3" type="noConversion"/>
  </si>
  <si>
    <t>계약번호</t>
    <phoneticPr fontId="3" type="noConversion"/>
  </si>
  <si>
    <t>NMP등록월</t>
    <phoneticPr fontId="3" type="noConversion"/>
  </si>
  <si>
    <t>종목등록일</t>
    <phoneticPr fontId="3" type="noConversion"/>
  </si>
  <si>
    <t>가중치</t>
    <phoneticPr fontId="3" type="noConversion"/>
  </si>
  <si>
    <t>개별/기초</t>
    <phoneticPr fontId="3" type="noConversion"/>
  </si>
  <si>
    <t>종목등록일</t>
  </si>
  <si>
    <t>작성일</t>
    <phoneticPr fontId="3" type="noConversion"/>
  </si>
  <si>
    <t>No.</t>
    <phoneticPr fontId="3" type="noConversion"/>
  </si>
  <si>
    <t>구분</t>
    <phoneticPr fontId="3" type="noConversion"/>
  </si>
  <si>
    <t>개별/기초</t>
    <phoneticPr fontId="3" type="noConversion"/>
  </si>
  <si>
    <t>평가의뢰일</t>
    <phoneticPr fontId="3" type="noConversion"/>
  </si>
  <si>
    <t>평가의뢰기관</t>
    <phoneticPr fontId="3" type="noConversion"/>
  </si>
  <si>
    <t>재평가/신규</t>
    <phoneticPr fontId="3" type="noConversion"/>
  </si>
  <si>
    <t>평가의뢰종목</t>
    <phoneticPr fontId="3" type="noConversion"/>
  </si>
  <si>
    <t>법인번호</t>
    <phoneticPr fontId="3" type="noConversion"/>
  </si>
  <si>
    <t>평가종류</t>
    <phoneticPr fontId="3" type="noConversion"/>
  </si>
  <si>
    <t>회차</t>
    <phoneticPr fontId="3" type="noConversion"/>
  </si>
  <si>
    <t>민감도</t>
    <phoneticPr fontId="3" type="noConversion"/>
  </si>
  <si>
    <t>주기</t>
    <phoneticPr fontId="3" type="noConversion"/>
  </si>
  <si>
    <t>기준일</t>
    <phoneticPr fontId="3" type="noConversion"/>
  </si>
  <si>
    <t>평가값송부일</t>
    <phoneticPr fontId="3" type="noConversion"/>
  </si>
  <si>
    <t>보고서송부일</t>
    <phoneticPr fontId="3" type="noConversion"/>
  </si>
  <si>
    <t>전기평가</t>
    <phoneticPr fontId="3" type="noConversion"/>
  </si>
  <si>
    <t>RM</t>
    <phoneticPr fontId="3" type="noConversion"/>
  </si>
  <si>
    <t>결과보고서송부</t>
    <phoneticPr fontId="3" type="noConversion"/>
  </si>
  <si>
    <t>등록월</t>
    <phoneticPr fontId="3" type="noConversion"/>
  </si>
  <si>
    <t>등록그룹</t>
    <phoneticPr fontId="3" type="noConversion"/>
  </si>
  <si>
    <t>담당자</t>
    <phoneticPr fontId="3" type="noConversion"/>
  </si>
  <si>
    <t>연락처</t>
    <phoneticPr fontId="3" type="noConversion"/>
  </si>
  <si>
    <t>E-mail</t>
    <phoneticPr fontId="3" type="noConversion"/>
  </si>
  <si>
    <t>평가목적</t>
    <phoneticPr fontId="3" type="noConversion"/>
  </si>
  <si>
    <t>달성률</t>
  </si>
  <si>
    <t>추가분배</t>
  </si>
  <si>
    <t>팀장/과장</t>
    <phoneticPr fontId="3" type="noConversion"/>
  </si>
  <si>
    <t>박솔민</t>
  </si>
  <si>
    <t>김민희</t>
  </si>
  <si>
    <t>안정훈</t>
  </si>
  <si>
    <t>신현상</t>
  </si>
  <si>
    <t>신용화</t>
  </si>
  <si>
    <t>2022년12월1일 입사</t>
    <phoneticPr fontId="3" type="noConversion"/>
  </si>
  <si>
    <t xml:space="preserve">인턴(입사후 1~3개월) </t>
    <phoneticPr fontId="3" type="noConversion"/>
  </si>
  <si>
    <t>팀장</t>
    <phoneticPr fontId="3" type="noConversion"/>
  </si>
  <si>
    <t>부팀장</t>
    <phoneticPr fontId="3" type="noConversion"/>
  </si>
  <si>
    <t>기준일</t>
    <phoneticPr fontId="3" type="noConversion"/>
  </si>
  <si>
    <t>파라미터 공수관리</t>
    <phoneticPr fontId="3" type="noConversion"/>
  </si>
  <si>
    <t>분기(월 1회)</t>
    <phoneticPr fontId="3" type="noConversion"/>
  </si>
  <si>
    <t>국내상장기업 베타, 차입금/시총</t>
    <phoneticPr fontId="3" type="noConversion"/>
  </si>
  <si>
    <t>MTP 수정주가, 주식수, FS자료</t>
    <phoneticPr fontId="3" type="noConversion"/>
  </si>
  <si>
    <t>분기</t>
    <phoneticPr fontId="3" type="noConversion"/>
  </si>
  <si>
    <t>조현우</t>
    <phoneticPr fontId="3" type="noConversion"/>
  </si>
  <si>
    <t>FCFE 파라미터 템플릿</t>
    <phoneticPr fontId="3" type="noConversion"/>
  </si>
  <si>
    <t>NAV 템플릿</t>
    <phoneticPr fontId="3" type="noConversion"/>
  </si>
  <si>
    <t>리츠 베타, 차입금/시총</t>
    <phoneticPr fontId="3" type="noConversion"/>
  </si>
  <si>
    <t>펀드</t>
    <phoneticPr fontId="3" type="noConversion"/>
  </si>
  <si>
    <t>기초자산</t>
    <phoneticPr fontId="3" type="noConversion"/>
  </si>
  <si>
    <t>현재일*)</t>
    <phoneticPr fontId="3" type="noConversion"/>
  </si>
  <si>
    <t>당월말일</t>
    <phoneticPr fontId="3" type="noConversion"/>
  </si>
  <si>
    <t>전월말일</t>
    <phoneticPr fontId="3" type="noConversion"/>
  </si>
  <si>
    <t>*)현재일 변경 시 월별 누적변경 가능</t>
    <phoneticPr fontId="3" type="noConversion"/>
  </si>
  <si>
    <t>*평가종목 개수</t>
    <phoneticPr fontId="3" type="noConversion"/>
  </si>
  <si>
    <t>**공수기준 합계</t>
    <phoneticPr fontId="3" type="noConversion"/>
  </si>
  <si>
    <t>본부명/팀명</t>
    <phoneticPr fontId="3" type="noConversion"/>
  </si>
  <si>
    <t>사원명</t>
    <phoneticPr fontId="3" type="noConversion"/>
  </si>
  <si>
    <t>직책/직급</t>
    <phoneticPr fontId="3" type="noConversion"/>
  </si>
  <si>
    <t>달성율</t>
    <phoneticPr fontId="3" type="noConversion"/>
  </si>
  <si>
    <t>평가
공수</t>
    <phoneticPr fontId="3" type="noConversion"/>
  </si>
  <si>
    <t>분배비율</t>
    <phoneticPr fontId="3" type="noConversion"/>
  </si>
  <si>
    <t>목표비율</t>
    <phoneticPr fontId="3" type="noConversion"/>
  </si>
  <si>
    <t>목표종목</t>
    <phoneticPr fontId="3" type="noConversion"/>
  </si>
  <si>
    <t>추가분배</t>
    <phoneticPr fontId="3" type="noConversion"/>
  </si>
  <si>
    <t>분배비율 변경내역</t>
    <phoneticPr fontId="3" type="noConversion"/>
  </si>
  <si>
    <t>참고사항</t>
    <phoneticPr fontId="3" type="noConversion"/>
  </si>
  <si>
    <t>제외</t>
    <phoneticPr fontId="3" type="noConversion"/>
  </si>
  <si>
    <t>파라미터
관리공수</t>
    <phoneticPr fontId="3" type="noConversion"/>
  </si>
  <si>
    <t>미분배종목</t>
    <phoneticPr fontId="3" type="noConversion"/>
  </si>
  <si>
    <t>전체종목</t>
    <phoneticPr fontId="3" type="noConversion"/>
  </si>
  <si>
    <t>대체평가2사업본부</t>
    <phoneticPr fontId="3" type="noConversion"/>
  </si>
  <si>
    <t>본부장/부장</t>
    <phoneticPr fontId="3" type="noConversion"/>
  </si>
  <si>
    <t>대체평가2사업본부/
대체평가2팀</t>
    <phoneticPr fontId="3" type="noConversion"/>
  </si>
  <si>
    <t>유재호</t>
    <phoneticPr fontId="3" type="noConversion"/>
  </si>
  <si>
    <t>팀장/과장</t>
    <phoneticPr fontId="3" type="noConversion"/>
  </si>
  <si>
    <t>※ 추가분배 순서</t>
    <phoneticPr fontId="3" type="noConversion"/>
  </si>
  <si>
    <t>서동현</t>
    <phoneticPr fontId="3" type="noConversion"/>
  </si>
  <si>
    <t>부팀장/대리</t>
    <phoneticPr fontId="3" type="noConversion"/>
  </si>
  <si>
    <t>달성률 기준</t>
    <phoneticPr fontId="3" type="noConversion"/>
  </si>
  <si>
    <t>종목 기준</t>
    <phoneticPr fontId="3" type="noConversion"/>
  </si>
  <si>
    <t>정병열</t>
    <phoneticPr fontId="3" type="noConversion"/>
  </si>
  <si>
    <t>대리</t>
    <phoneticPr fontId="3" type="noConversion"/>
  </si>
  <si>
    <t>김수현</t>
    <phoneticPr fontId="3" type="noConversion"/>
  </si>
  <si>
    <t>김지현</t>
    <phoneticPr fontId="3" type="noConversion"/>
  </si>
  <si>
    <t>사원</t>
    <phoneticPr fontId="3" type="noConversion"/>
  </si>
  <si>
    <t>김혜지</t>
    <phoneticPr fontId="3" type="noConversion"/>
  </si>
  <si>
    <t>사원</t>
    <phoneticPr fontId="3" type="noConversion"/>
  </si>
  <si>
    <t>* 평가종목개수 비고사항</t>
    <phoneticPr fontId="3" type="noConversion"/>
  </si>
  <si>
    <t>윤현빈</t>
    <phoneticPr fontId="3" type="noConversion"/>
  </si>
  <si>
    <t>사원</t>
    <phoneticPr fontId="3" type="noConversion"/>
  </si>
  <si>
    <t>2022년09월01일 입사</t>
    <phoneticPr fontId="3" type="noConversion"/>
  </si>
  <si>
    <t># 메자닌, 평가불가종목 포함한 총개수</t>
    <phoneticPr fontId="3" type="noConversion"/>
  </si>
  <si>
    <t>오수현</t>
    <phoneticPr fontId="3" type="noConversion"/>
  </si>
  <si>
    <t>2022년11월21일 입사</t>
    <phoneticPr fontId="3" type="noConversion"/>
  </si>
  <si>
    <t># 평가철회 종목도 포함되어 있음</t>
    <phoneticPr fontId="3" type="noConversion"/>
  </si>
  <si>
    <t>원철</t>
    <phoneticPr fontId="3" type="noConversion"/>
  </si>
  <si>
    <t>인턴</t>
    <phoneticPr fontId="3" type="noConversion"/>
  </si>
  <si>
    <t>→ 평가철회 시, 평가자 이름 삭제해야 제외할 수 있음</t>
    <phoneticPr fontId="3" type="noConversion"/>
  </si>
  <si>
    <t>대체평가2사업본부/
대체평가3팀</t>
    <phoneticPr fontId="3" type="noConversion"/>
  </si>
  <si>
    <t>김영하</t>
    <phoneticPr fontId="3" type="noConversion"/>
  </si>
  <si>
    <t># 평가일정에 글자가 들어간 경우, 제외되어 있음</t>
    <phoneticPr fontId="3" type="noConversion"/>
  </si>
  <si>
    <t>부팀장/대리</t>
    <phoneticPr fontId="3" type="noConversion"/>
  </si>
  <si>
    <t>→ 평가값송부 등엔 글자만 입력해야 해당문제 해결</t>
    <phoneticPr fontId="3" type="noConversion"/>
  </si>
  <si>
    <t>정은지</t>
    <phoneticPr fontId="3" type="noConversion"/>
  </si>
  <si>
    <t>대리</t>
    <phoneticPr fontId="3" type="noConversion"/>
  </si>
  <si>
    <t>조영재</t>
    <phoneticPr fontId="3" type="noConversion"/>
  </si>
  <si>
    <t>대리</t>
    <phoneticPr fontId="3" type="noConversion"/>
  </si>
  <si>
    <t>** 공수기준합계 비고사항</t>
    <phoneticPr fontId="3" type="noConversion"/>
  </si>
  <si>
    <t>박예진</t>
    <phoneticPr fontId="3" type="noConversion"/>
  </si>
  <si>
    <t>사원</t>
    <phoneticPr fontId="3" type="noConversion"/>
  </si>
  <si>
    <t># 값 송부일을 기준으로 공수 정리함</t>
    <phoneticPr fontId="3" type="noConversion"/>
  </si>
  <si>
    <t>이문수</t>
    <phoneticPr fontId="3" type="noConversion"/>
  </si>
  <si>
    <t>2022년07월01일 입사</t>
    <phoneticPr fontId="3" type="noConversion"/>
  </si>
  <si>
    <t># 평가값 송부 미정 / 추후송부는 입력되지 않음 (한계)</t>
    <phoneticPr fontId="3" type="noConversion"/>
  </si>
  <si>
    <t>이찬희</t>
    <phoneticPr fontId="3" type="noConversion"/>
  </si>
  <si>
    <t>고명주</t>
    <phoneticPr fontId="3" type="noConversion"/>
  </si>
  <si>
    <t>이현승</t>
    <phoneticPr fontId="3" type="noConversion"/>
  </si>
  <si>
    <t># 2020-08-19 의뢰 ~ 2020-08-30 이전 값 송부는 월별 공수에서 제외됨</t>
    <phoneticPr fontId="3" type="noConversion"/>
  </si>
  <si>
    <t>김예림</t>
    <phoneticPr fontId="3" type="noConversion"/>
  </si>
  <si>
    <t>문주현</t>
    <phoneticPr fontId="3" type="noConversion"/>
  </si>
  <si>
    <t>2022년06월02일 입사</t>
    <phoneticPr fontId="3" type="noConversion"/>
  </si>
  <si>
    <t>김범준</t>
    <phoneticPr fontId="3" type="noConversion"/>
  </si>
  <si>
    <t>강성은</t>
    <phoneticPr fontId="3" type="noConversion"/>
  </si>
  <si>
    <t>사원</t>
    <phoneticPr fontId="3" type="noConversion"/>
  </si>
  <si>
    <t>변혜진</t>
    <phoneticPr fontId="3" type="noConversion"/>
  </si>
  <si>
    <t>김상준</t>
    <phoneticPr fontId="3" type="noConversion"/>
  </si>
  <si>
    <t>2022년11월21일 입사</t>
    <phoneticPr fontId="3" type="noConversion"/>
  </si>
  <si>
    <t>이주영</t>
    <phoneticPr fontId="3" type="noConversion"/>
  </si>
  <si>
    <t>팀장/대리</t>
    <phoneticPr fontId="3" type="noConversion"/>
  </si>
  <si>
    <t>민아영</t>
    <phoneticPr fontId="3" type="noConversion"/>
  </si>
  <si>
    <t>대리</t>
    <phoneticPr fontId="3" type="noConversion"/>
  </si>
  <si>
    <t>여재현</t>
    <phoneticPr fontId="3" type="noConversion"/>
  </si>
  <si>
    <t>최지혜</t>
    <phoneticPr fontId="3" type="noConversion"/>
  </si>
  <si>
    <t>이가영</t>
    <phoneticPr fontId="3" type="noConversion"/>
  </si>
  <si>
    <t>박동규</t>
    <phoneticPr fontId="3" type="noConversion"/>
  </si>
  <si>
    <t>대리</t>
    <phoneticPr fontId="3" type="noConversion"/>
  </si>
  <si>
    <t>염유경</t>
    <phoneticPr fontId="3" type="noConversion"/>
  </si>
  <si>
    <t>김경석</t>
    <phoneticPr fontId="3" type="noConversion"/>
  </si>
  <si>
    <t>이준혁</t>
    <phoneticPr fontId="3" type="noConversion"/>
  </si>
  <si>
    <t>본부장/수석부장</t>
    <phoneticPr fontId="3" type="noConversion"/>
  </si>
  <si>
    <t>박재민</t>
    <phoneticPr fontId="3" type="noConversion"/>
  </si>
  <si>
    <t>10.00% → 60.00%(2021-09-07변경예정)</t>
    <phoneticPr fontId="3" type="noConversion"/>
  </si>
  <si>
    <t>2021년06월07일 입사</t>
    <phoneticPr fontId="3" type="noConversion"/>
  </si>
  <si>
    <t>이석중</t>
    <phoneticPr fontId="3" type="noConversion"/>
  </si>
  <si>
    <t>팀장/차장</t>
    <phoneticPr fontId="3" type="noConversion"/>
  </si>
  <si>
    <t>서경덕</t>
    <phoneticPr fontId="3" type="noConversion"/>
  </si>
  <si>
    <t>최정배</t>
    <phoneticPr fontId="3" type="noConversion"/>
  </si>
  <si>
    <t>김민지</t>
    <phoneticPr fontId="3" type="noConversion"/>
  </si>
  <si>
    <t>신승철</t>
    <phoneticPr fontId="3" type="noConversion"/>
  </si>
  <si>
    <t>김현준</t>
    <phoneticPr fontId="3" type="noConversion"/>
  </si>
  <si>
    <t>※ 분배비율 설정</t>
    <phoneticPr fontId="3" type="noConversion"/>
  </si>
  <si>
    <t>직급</t>
    <phoneticPr fontId="3" type="noConversion"/>
  </si>
  <si>
    <t>분배비율</t>
    <phoneticPr fontId="3" type="noConversion"/>
  </si>
  <si>
    <t xml:space="preserve">인턴(입사후 1개월) </t>
    <phoneticPr fontId="3" type="noConversion"/>
  </si>
  <si>
    <t xml:space="preserve">사원(입사후 3개월 이후) </t>
    <phoneticPr fontId="3" type="noConversion"/>
  </si>
  <si>
    <t xml:space="preserve">사원(입사후 6개월 이후) </t>
    <phoneticPr fontId="3" type="noConversion"/>
  </si>
  <si>
    <t>과장</t>
    <phoneticPr fontId="3" type="noConversion"/>
  </si>
  <si>
    <t>차장</t>
    <phoneticPr fontId="3" type="noConversion"/>
  </si>
  <si>
    <t>*인턴사원의 경우 소속 본부장 협의하에 분배비율 변경가능</t>
    <phoneticPr fontId="3" type="noConversion"/>
  </si>
  <si>
    <t>※ 기준일별 가중치</t>
    <phoneticPr fontId="3" type="noConversion"/>
  </si>
  <si>
    <t>카운팅</t>
    <phoneticPr fontId="3" type="noConversion"/>
  </si>
  <si>
    <t>※ 업무별 가중치</t>
    <phoneticPr fontId="3" type="noConversion"/>
  </si>
  <si>
    <t>평가종류</t>
    <phoneticPr fontId="3" type="noConversion"/>
  </si>
  <si>
    <t>PPA</t>
    <phoneticPr fontId="3" type="noConversion"/>
  </si>
  <si>
    <t>사업타당성검토</t>
    <phoneticPr fontId="3" type="noConversion"/>
  </si>
  <si>
    <t>상증세</t>
    <phoneticPr fontId="3" type="noConversion"/>
  </si>
  <si>
    <t>※ 평가 파라미터 관리</t>
    <phoneticPr fontId="3" type="noConversion"/>
  </si>
  <si>
    <t>공수</t>
    <phoneticPr fontId="3" type="noConversion"/>
  </si>
  <si>
    <t>주기</t>
    <phoneticPr fontId="3" type="noConversion"/>
  </si>
  <si>
    <t>담당자</t>
    <phoneticPr fontId="3" type="noConversion"/>
  </si>
  <si>
    <t>CPI, PPI, 사무실임대료</t>
    <phoneticPr fontId="3" type="noConversion"/>
  </si>
  <si>
    <t>무위험이자율, 시장위험프리미엄</t>
    <phoneticPr fontId="3" type="noConversion"/>
  </si>
  <si>
    <t>MTP · DCF 템플릿</t>
    <phoneticPr fontId="3" type="noConversion"/>
  </si>
  <si>
    <t>평가판 검증</t>
    <phoneticPr fontId="3" type="noConversion"/>
  </si>
  <si>
    <t>RM</t>
  </si>
  <si>
    <t>W000509</t>
  </si>
  <si>
    <t>AJ네트웍스</t>
  </si>
  <si>
    <t>메자닌평가팀</t>
  </si>
  <si>
    <t>W000408</t>
  </si>
  <si>
    <t>DGB금융지주</t>
  </si>
  <si>
    <t>B000024</t>
  </si>
  <si>
    <t>삼성증권(Corporate Finance1 Team)</t>
  </si>
  <si>
    <t>W000052</t>
  </si>
  <si>
    <t>ES큐브(구,라이브플렉스)</t>
  </si>
  <si>
    <t>W000328</t>
  </si>
  <si>
    <t>FSN ASIA</t>
  </si>
  <si>
    <t>W000253</t>
  </si>
  <si>
    <t>IBK투자증권</t>
  </si>
  <si>
    <t>W000530</t>
  </si>
  <si>
    <t>IBK투자증권(IPO2팀)(상장)</t>
  </si>
  <si>
    <t>W000567</t>
  </si>
  <si>
    <t>IBK투자증권(신기술금융부)</t>
  </si>
  <si>
    <t>T000016</t>
  </si>
  <si>
    <t>하나손해보험(구,더케이손해보험)</t>
  </si>
  <si>
    <t>T000020</t>
  </si>
  <si>
    <t>농협생명</t>
  </si>
  <si>
    <t>정창수</t>
  </si>
  <si>
    <t>W000295</t>
  </si>
  <si>
    <t>JW홀딩스(상장)</t>
  </si>
  <si>
    <t>W000572</t>
  </si>
  <si>
    <t>KB자산운용</t>
  </si>
  <si>
    <t>허정욱</t>
  </si>
  <si>
    <t>L000001</t>
  </si>
  <si>
    <t>한국증권금융</t>
  </si>
  <si>
    <t>김도형</t>
  </si>
  <si>
    <t>LIFE003</t>
  </si>
  <si>
    <t>에이비엘생명보험(구,알리안츠생명보험)</t>
  </si>
  <si>
    <t>W000327</t>
  </si>
  <si>
    <t>KR모터스</t>
  </si>
  <si>
    <t>P000001</t>
  </si>
  <si>
    <t>X000013</t>
  </si>
  <si>
    <t>CJ제일제당</t>
  </si>
  <si>
    <t>W000082</t>
  </si>
  <si>
    <t>LG화학</t>
  </si>
  <si>
    <t>S000001</t>
  </si>
  <si>
    <t>한국캐피탈</t>
  </si>
  <si>
    <t>Y000245</t>
  </si>
  <si>
    <t>BNK벤처투자(구,유큐아이파트너스)</t>
  </si>
  <si>
    <t>W000379</t>
  </si>
  <si>
    <t>SKC</t>
  </si>
  <si>
    <t>W000517</t>
  </si>
  <si>
    <t>SK네트웍스</t>
  </si>
  <si>
    <t>W000366</t>
  </si>
  <si>
    <t>SK이노베이션</t>
  </si>
  <si>
    <t>W000361</t>
  </si>
  <si>
    <t>SK텔레콤</t>
  </si>
  <si>
    <t>A000037</t>
  </si>
  <si>
    <t>롯데마트</t>
  </si>
  <si>
    <t>Y000195</t>
  </si>
  <si>
    <t>BNK투자증권</t>
  </si>
  <si>
    <t>이준혁</t>
  </si>
  <si>
    <t>A000005</t>
  </si>
  <si>
    <t>롯데쇼핑</t>
  </si>
  <si>
    <t>X001203</t>
  </si>
  <si>
    <t>X000147</t>
  </si>
  <si>
    <t>GS건설</t>
  </si>
  <si>
    <t>Y000238</t>
  </si>
  <si>
    <t>DB금융투자</t>
  </si>
  <si>
    <t>Y000372</t>
  </si>
  <si>
    <t>DGB금융지주(비상장)</t>
  </si>
  <si>
    <t>W000222</t>
  </si>
  <si>
    <t>Wing Yip Food (China) Holdings Group Limited</t>
  </si>
  <si>
    <t>W000553</t>
  </si>
  <si>
    <t>가온미디어</t>
  </si>
  <si>
    <t>W000429</t>
  </si>
  <si>
    <t>경남제약</t>
  </si>
  <si>
    <t>W000273</t>
  </si>
  <si>
    <t>경인양행</t>
  </si>
  <si>
    <t>W000439</t>
  </si>
  <si>
    <t>골든센츄리</t>
  </si>
  <si>
    <t>T000007</t>
  </si>
  <si>
    <t>삼성생명(수익증권)</t>
  </si>
  <si>
    <t>B000001</t>
  </si>
  <si>
    <t>삼성생명</t>
  </si>
  <si>
    <t>Y000180</t>
  </si>
  <si>
    <t>DGB캐피탈</t>
  </si>
  <si>
    <t>Y000194</t>
  </si>
  <si>
    <t>IBK연금보험</t>
  </si>
  <si>
    <t>X000483</t>
  </si>
  <si>
    <t>GS리테일</t>
  </si>
  <si>
    <t>T000032</t>
  </si>
  <si>
    <t>한국투자증권(수익증권)</t>
  </si>
  <si>
    <t>유수연</t>
  </si>
  <si>
    <t>W000514</t>
  </si>
  <si>
    <t>골프존뉴딘홀딩스</t>
  </si>
  <si>
    <t>W000460</t>
  </si>
  <si>
    <t>교보증권(ECM본부)</t>
  </si>
  <si>
    <t>W000162</t>
  </si>
  <si>
    <t>교보증권(상장)</t>
  </si>
  <si>
    <t>W000249</t>
  </si>
  <si>
    <t>국동</t>
  </si>
  <si>
    <t>W000223</t>
  </si>
  <si>
    <t>국일제지</t>
  </si>
  <si>
    <t>W000432</t>
  </si>
  <si>
    <t>그린플러스(상장)</t>
  </si>
  <si>
    <t>W000047</t>
  </si>
  <si>
    <t>글로벌텍스프리(상장)</t>
  </si>
  <si>
    <t>W000521</t>
  </si>
  <si>
    <t>금강공업(상장)</t>
  </si>
  <si>
    <t>W000061</t>
  </si>
  <si>
    <t>금빛</t>
  </si>
  <si>
    <t>W000198</t>
  </si>
  <si>
    <t>금호에이치티</t>
  </si>
  <si>
    <t>W000415</t>
  </si>
  <si>
    <t>금호전기</t>
  </si>
  <si>
    <t>W000404</t>
  </si>
  <si>
    <t>기가레인</t>
  </si>
  <si>
    <t>W000560</t>
  </si>
  <si>
    <t>까스텔바작</t>
  </si>
  <si>
    <t>W000113</t>
  </si>
  <si>
    <t>나노</t>
  </si>
  <si>
    <t>X000956</t>
  </si>
  <si>
    <t>HDC현대EP</t>
  </si>
  <si>
    <t>김민지</t>
  </si>
  <si>
    <t>T000022</t>
  </si>
  <si>
    <t>현대해상</t>
  </si>
  <si>
    <t>정민지</t>
  </si>
  <si>
    <t>W000527</t>
  </si>
  <si>
    <t>나노브릭(상장)</t>
  </si>
  <si>
    <t>W000304</t>
  </si>
  <si>
    <t>나무가</t>
  </si>
  <si>
    <t>W000095</t>
  </si>
  <si>
    <t>나무기술</t>
  </si>
  <si>
    <t>W000085</t>
  </si>
  <si>
    <t>나스미디어</t>
  </si>
  <si>
    <t>W000398</t>
  </si>
  <si>
    <t>나이벡</t>
  </si>
  <si>
    <t>W000048</t>
  </si>
  <si>
    <t>나인컴플렉스(구,삼우엠스)</t>
  </si>
  <si>
    <t>W000326</t>
  </si>
  <si>
    <t>남부기업</t>
  </si>
  <si>
    <t>W000467</t>
  </si>
  <si>
    <t>내츄럴엔도텍(상장)</t>
  </si>
  <si>
    <t>W000463</t>
  </si>
  <si>
    <t>네스엠</t>
  </si>
  <si>
    <t>W000548</t>
  </si>
  <si>
    <t>네오셈</t>
  </si>
  <si>
    <t>T000025</t>
  </si>
  <si>
    <t>메리츠화재해상보험</t>
  </si>
  <si>
    <t>조용원</t>
  </si>
  <si>
    <t>W000522</t>
  </si>
  <si>
    <t>네오이뮨텍(상장)</t>
  </si>
  <si>
    <t>T000001</t>
  </si>
  <si>
    <t>한화생명보험(수익증권)</t>
  </si>
  <si>
    <t>Y000266</t>
  </si>
  <si>
    <t>IBK저축은행</t>
  </si>
  <si>
    <t>Y000348</t>
  </si>
  <si>
    <t>IBK투자증권(IPO1팀)(비상장)</t>
  </si>
  <si>
    <t>Y000349</t>
  </si>
  <si>
    <t>IBK투자증권(IPO2팀)</t>
  </si>
  <si>
    <t>T000037</t>
  </si>
  <si>
    <t>IBK연금보험(수익증권)</t>
  </si>
  <si>
    <t>W000252</t>
  </si>
  <si>
    <t>네이버</t>
  </si>
  <si>
    <t>W000159</t>
  </si>
  <si>
    <t>넥스트비티</t>
  </si>
  <si>
    <t>W000214</t>
  </si>
  <si>
    <t>노브메타파마</t>
  </si>
  <si>
    <t>W000339</t>
  </si>
  <si>
    <t>노터스</t>
  </si>
  <si>
    <t>W000141</t>
  </si>
  <si>
    <t>누리텔레콤</t>
  </si>
  <si>
    <t>LIFE002</t>
  </si>
  <si>
    <t>한화생명보험</t>
  </si>
  <si>
    <t>W000180</t>
  </si>
  <si>
    <t>뉴로스</t>
  </si>
  <si>
    <t>W000076</t>
  </si>
  <si>
    <t>뉴지랩</t>
  </si>
  <si>
    <t>W000022</t>
  </si>
  <si>
    <t>뉴프렉스</t>
  </si>
  <si>
    <t>A000044</t>
  </si>
  <si>
    <t>롯데손해보험(자산기획관리팀)</t>
  </si>
  <si>
    <t>W000323</t>
  </si>
  <si>
    <t>다날</t>
  </si>
  <si>
    <t>LIFE010</t>
  </si>
  <si>
    <t>KDB생명보험</t>
  </si>
  <si>
    <t>LIFE005</t>
  </si>
  <si>
    <t>푸본현대생명보험(구,현대라이프생명보험)</t>
  </si>
  <si>
    <t>미정</t>
    <phoneticPr fontId="3" type="noConversion"/>
  </si>
  <si>
    <t>W000196</t>
  </si>
  <si>
    <t>다믈멀티미디어</t>
  </si>
  <si>
    <t>W000352</t>
  </si>
  <si>
    <t>대교홀딩스</t>
  </si>
  <si>
    <t>W000536</t>
  </si>
  <si>
    <t>W000280</t>
  </si>
  <si>
    <t>대동금속</t>
  </si>
  <si>
    <t>W000444</t>
  </si>
  <si>
    <t>대명소노시즌</t>
  </si>
  <si>
    <t>W000303</t>
  </si>
  <si>
    <t>대명스테이션</t>
  </si>
  <si>
    <t>W000479</t>
  </si>
  <si>
    <t>W000342</t>
  </si>
  <si>
    <t>대명화학</t>
  </si>
  <si>
    <t>T000035</t>
  </si>
  <si>
    <t>롯데손해보험(재구조화)</t>
  </si>
  <si>
    <t>Y000384</t>
  </si>
  <si>
    <t>IBK투자증권(신기술금융팀)</t>
  </si>
  <si>
    <t>W000344</t>
  </si>
  <si>
    <t>대보마그네틱</t>
  </si>
  <si>
    <t>W000406</t>
  </si>
  <si>
    <t>대신증권</t>
  </si>
  <si>
    <t>T000042</t>
  </si>
  <si>
    <t>국민은행(수익증권)</t>
  </si>
  <si>
    <t>김유진</t>
  </si>
  <si>
    <t>W000426</t>
  </si>
  <si>
    <t>대양금속</t>
  </si>
  <si>
    <t>IBK투자증권(투자금융팀)</t>
  </si>
  <si>
    <t>Y000390</t>
  </si>
  <si>
    <t>IBK투자증권(프로젝트금융1팀)</t>
  </si>
  <si>
    <t>Y000219</t>
  </si>
  <si>
    <t>IBK투자증권(프로젝트금융2팀)</t>
  </si>
  <si>
    <t>X001238</t>
  </si>
  <si>
    <t>Iritech, Inc.</t>
  </si>
  <si>
    <t>정은지</t>
  </si>
  <si>
    <t>LIFE001</t>
  </si>
  <si>
    <t>B000017</t>
  </si>
  <si>
    <t>삼성증권(IPO2팀)</t>
  </si>
  <si>
    <t>Y000369</t>
  </si>
  <si>
    <t>KB12-1벤처조합</t>
  </si>
  <si>
    <t>Y000025</t>
  </si>
  <si>
    <t>KB인베스트먼트</t>
  </si>
  <si>
    <t>W000331</t>
  </si>
  <si>
    <t>대우조선해양건설</t>
  </si>
  <si>
    <t>W000209</t>
  </si>
  <si>
    <t>대원전선</t>
  </si>
  <si>
    <t>W000155</t>
  </si>
  <si>
    <t>대유에이텍</t>
  </si>
  <si>
    <t>W000468</t>
  </si>
  <si>
    <t>대유플러스</t>
  </si>
  <si>
    <t>W000321</t>
  </si>
  <si>
    <t>대주회계법인</t>
  </si>
  <si>
    <t>W000332</t>
  </si>
  <si>
    <t>대호피앤씨</t>
  </si>
  <si>
    <t>W000270</t>
  </si>
  <si>
    <t>더블유아이</t>
  </si>
  <si>
    <t>W000011</t>
  </si>
  <si>
    <t>더블유에프엠</t>
  </si>
  <si>
    <t>Y000008</t>
  </si>
  <si>
    <t>Y000055</t>
  </si>
  <si>
    <t>NH투자증권</t>
  </si>
  <si>
    <t>신승철</t>
  </si>
  <si>
    <t>Y000203</t>
  </si>
  <si>
    <t>W000087</t>
  </si>
  <si>
    <t>더블유홀딩컴퍼니</t>
  </si>
  <si>
    <t>W000586</t>
  </si>
  <si>
    <t>T000029</t>
  </si>
  <si>
    <t>키움증권(수익증권)</t>
  </si>
  <si>
    <t>W000015</t>
  </si>
  <si>
    <t>더이앤엠</t>
  </si>
  <si>
    <t>W000485</t>
  </si>
  <si>
    <t>덕우전자</t>
  </si>
  <si>
    <t>W000585</t>
  </si>
  <si>
    <t>연말</t>
    <phoneticPr fontId="3" type="noConversion"/>
  </si>
  <si>
    <t>W000297</t>
  </si>
  <si>
    <t>데이터스트림즈</t>
  </si>
  <si>
    <t>Y000128</t>
  </si>
  <si>
    <t>교보생명보험</t>
  </si>
  <si>
    <t>Y000370</t>
  </si>
  <si>
    <t>교보자산신탁</t>
  </si>
  <si>
    <t>Y000424</t>
  </si>
  <si>
    <t>Y000402</t>
  </si>
  <si>
    <t>W000055</t>
  </si>
  <si>
    <t>덱스터스튜디오</t>
  </si>
  <si>
    <t>W000387</t>
  </si>
  <si>
    <t>동국제약</t>
  </si>
  <si>
    <t>X001108</t>
  </si>
  <si>
    <t>JW생활건강</t>
  </si>
  <si>
    <t>Y000065</t>
  </si>
  <si>
    <t>교보증권(IB그룹)</t>
  </si>
  <si>
    <t>조현우</t>
  </si>
  <si>
    <t>Y000353</t>
  </si>
  <si>
    <t>교보증권(기업금융2부)</t>
  </si>
  <si>
    <t>최정배</t>
  </si>
  <si>
    <t>Y000357</t>
  </si>
  <si>
    <t>교보증권(투자금융3부)</t>
  </si>
  <si>
    <t>정병열</t>
  </si>
  <si>
    <t>W000001</t>
  </si>
  <si>
    <t>동성제약</t>
  </si>
  <si>
    <t>W000487</t>
  </si>
  <si>
    <t>동성코퍼레이션</t>
  </si>
  <si>
    <t>W000104</t>
  </si>
  <si>
    <t>동운아나텍</t>
  </si>
  <si>
    <t>W000473</t>
  </si>
  <si>
    <t>드래곤플라이</t>
  </si>
  <si>
    <t>W000248</t>
  </si>
  <si>
    <t>드림텍</t>
  </si>
  <si>
    <t>W000122</t>
  </si>
  <si>
    <t>디딤</t>
  </si>
  <si>
    <t>W000208</t>
  </si>
  <si>
    <t>디아이티</t>
  </si>
  <si>
    <t>W000072</t>
  </si>
  <si>
    <t>디알텍</t>
  </si>
  <si>
    <t>W000200</t>
  </si>
  <si>
    <t>디에스케이</t>
  </si>
  <si>
    <t>W000412</t>
  </si>
  <si>
    <t>디에스티</t>
  </si>
  <si>
    <t>C000014</t>
  </si>
  <si>
    <t>현대캐피탈</t>
  </si>
  <si>
    <t>김도환</t>
  </si>
  <si>
    <t>Y000134</t>
  </si>
  <si>
    <t>국민연금직접투자</t>
  </si>
  <si>
    <t>Y000079</t>
  </si>
  <si>
    <t>농심캐피탈</t>
  </si>
  <si>
    <t>W000160</t>
  </si>
  <si>
    <t>디오</t>
  </si>
  <si>
    <t>W000461</t>
  </si>
  <si>
    <t>디이엔티</t>
  </si>
  <si>
    <t>W000418</t>
  </si>
  <si>
    <t>디지탈옵틱</t>
  </si>
  <si>
    <t>W000390</t>
  </si>
  <si>
    <t>디지털대성</t>
  </si>
  <si>
    <t>Y000166</t>
  </si>
  <si>
    <t>뉴레이크얼라이언스매니지먼트</t>
  </si>
  <si>
    <t>Y000413</t>
  </si>
  <si>
    <t>W000382</t>
  </si>
  <si>
    <t>디케이락</t>
  </si>
  <si>
    <t>W000188</t>
  </si>
  <si>
    <t>딜라이브</t>
  </si>
  <si>
    <t>X000145</t>
  </si>
  <si>
    <t>JW홀딩스</t>
  </si>
  <si>
    <t>X001362</t>
  </si>
  <si>
    <t>W000294</t>
  </si>
  <si>
    <t>라닉스</t>
  </si>
  <si>
    <t>W000244</t>
  </si>
  <si>
    <t>라온시큐어</t>
  </si>
  <si>
    <t>W000400</t>
  </si>
  <si>
    <t>라온피플</t>
  </si>
  <si>
    <t>W000341</t>
  </si>
  <si>
    <t>라인엔터테인먼트</t>
  </si>
  <si>
    <t>W000210</t>
  </si>
  <si>
    <t>래몽래인</t>
  </si>
  <si>
    <t>X000356</t>
  </si>
  <si>
    <t>LS</t>
  </si>
  <si>
    <t>서경덕</t>
  </si>
  <si>
    <t>W000312</t>
  </si>
  <si>
    <t>램테크놀러지</t>
  </si>
  <si>
    <t>W000023</t>
  </si>
  <si>
    <t>럭슬</t>
  </si>
  <si>
    <t>W000577</t>
  </si>
  <si>
    <t>Y000075</t>
  </si>
  <si>
    <t>W000503</t>
  </si>
  <si>
    <t>레드엔비아</t>
  </si>
  <si>
    <t>W000385</t>
  </si>
  <si>
    <t>레이</t>
  </si>
  <si>
    <t>Y000127</t>
  </si>
  <si>
    <t>도이치파이낸셜</t>
  </si>
  <si>
    <t>X000744</t>
  </si>
  <si>
    <t>X000716</t>
  </si>
  <si>
    <t>SK하이닉스</t>
  </si>
  <si>
    <t>W000513</t>
  </si>
  <si>
    <t>렌딩머신(구,옐로페이)</t>
  </si>
  <si>
    <t>W000480</t>
  </si>
  <si>
    <t>로보티즈(상장)</t>
  </si>
  <si>
    <t>W000261</t>
  </si>
  <si>
    <t>롯데관광개발</t>
  </si>
  <si>
    <t>W000462</t>
  </si>
  <si>
    <t>롯데손해보험(상장)</t>
  </si>
  <si>
    <t>W000231</t>
  </si>
  <si>
    <t>T000010</t>
  </si>
  <si>
    <t>한화생명보험(수익증권형대출)</t>
  </si>
  <si>
    <t>김은지</t>
  </si>
  <si>
    <t>X001054</t>
  </si>
  <si>
    <t>SM그룹</t>
  </si>
  <si>
    <t>W000067</t>
  </si>
  <si>
    <t>루미마이크로</t>
  </si>
  <si>
    <t>W000195</t>
  </si>
  <si>
    <t>룽투코리아</t>
  </si>
  <si>
    <t>X001032</t>
  </si>
  <si>
    <t>SNK</t>
  </si>
  <si>
    <t>허지범</t>
  </si>
  <si>
    <t>Y000028</t>
  </si>
  <si>
    <t>Y000374</t>
  </si>
  <si>
    <t>디비자산운용</t>
  </si>
  <si>
    <t>W000589</t>
  </si>
  <si>
    <t>W000108</t>
  </si>
  <si>
    <t>리더스코스메틱</t>
  </si>
  <si>
    <t>W000091</t>
  </si>
  <si>
    <t>리드</t>
  </si>
  <si>
    <t>W000254</t>
  </si>
  <si>
    <t>리딩투자증권</t>
  </si>
  <si>
    <t>X000293</t>
  </si>
  <si>
    <t>STX</t>
  </si>
  <si>
    <t>W000183</t>
  </si>
  <si>
    <t>리퓨어유니맥스</t>
  </si>
  <si>
    <t>W000163</t>
  </si>
  <si>
    <t>마이크로텍</t>
  </si>
  <si>
    <t>W000381</t>
  </si>
  <si>
    <t>마크로젠</t>
  </si>
  <si>
    <t>Y000240</t>
  </si>
  <si>
    <t>디비저축은행</t>
  </si>
  <si>
    <t>X000774</t>
  </si>
  <si>
    <t>TS대한제당</t>
  </si>
  <si>
    <t>W000250</t>
  </si>
  <si>
    <t>매직마이크로</t>
  </si>
  <si>
    <t>W000110</t>
  </si>
  <si>
    <t>맥스로텍</t>
  </si>
  <si>
    <t>X000976</t>
  </si>
  <si>
    <t>가이아코퍼레이션</t>
  </si>
  <si>
    <t>X000735</t>
  </si>
  <si>
    <t>건설공제조합</t>
  </si>
  <si>
    <t>W000423</t>
  </si>
  <si>
    <t>메디프론디비티</t>
  </si>
  <si>
    <t>T000023</t>
  </si>
  <si>
    <t>KDB생명보험(수익증권)</t>
  </si>
  <si>
    <t>X000988</t>
  </si>
  <si>
    <t>경남기업</t>
  </si>
  <si>
    <t>Y000275</t>
  </si>
  <si>
    <t>디셈버앤컴퍼니자산운용</t>
  </si>
  <si>
    <t>X000835</t>
  </si>
  <si>
    <t>고려산업</t>
  </si>
  <si>
    <t>X000686</t>
  </si>
  <si>
    <t>공간그룹(공간건축)</t>
  </si>
  <si>
    <t>정윤화</t>
  </si>
  <si>
    <t>X001344</t>
  </si>
  <si>
    <t>공팔리터</t>
  </si>
  <si>
    <t>X001284</t>
  </si>
  <si>
    <t>교보문고</t>
  </si>
  <si>
    <t>서동현</t>
  </si>
  <si>
    <t>X000896</t>
  </si>
  <si>
    <t>국순당</t>
  </si>
  <si>
    <t>평가담당자</t>
  </si>
  <si>
    <t>Y000323</t>
  </si>
  <si>
    <t>디에스파트너스</t>
  </si>
  <si>
    <t>X000719</t>
  </si>
  <si>
    <t>국제약품</t>
  </si>
  <si>
    <t>X000713</t>
  </si>
  <si>
    <t>그린광학</t>
  </si>
  <si>
    <t>X000848</t>
  </si>
  <si>
    <t>그린플러스</t>
  </si>
  <si>
    <t>X001064</t>
  </si>
  <si>
    <t>극동제연공업</t>
  </si>
  <si>
    <t>Y000244</t>
  </si>
  <si>
    <t>디에이밸류인베스트먼트</t>
  </si>
  <si>
    <t>이가영</t>
  </si>
  <si>
    <t>X001412</t>
  </si>
  <si>
    <t>Y000313</t>
  </si>
  <si>
    <t>Y000379</t>
  </si>
  <si>
    <t>라이트하우스컴바인인베스트</t>
  </si>
  <si>
    <t>X001382</t>
  </si>
  <si>
    <t>Z000005</t>
  </si>
  <si>
    <t>우정사업본부</t>
  </si>
  <si>
    <t>X000889</t>
  </si>
  <si>
    <t>글로벌텍스프리</t>
  </si>
  <si>
    <t>X001056</t>
  </si>
  <si>
    <t>글로비텍(구,제일테크)</t>
  </si>
  <si>
    <t>T000006</t>
  </si>
  <si>
    <t>롯데손해보험</t>
  </si>
  <si>
    <t>X001393</t>
  </si>
  <si>
    <t>A000001</t>
  </si>
  <si>
    <t>롯데건설</t>
  </si>
  <si>
    <t>A000003</t>
  </si>
  <si>
    <t>호텔롯데</t>
  </si>
  <si>
    <t>A000002</t>
  </si>
  <si>
    <t>롯데칠성음료(음료BG)</t>
  </si>
  <si>
    <t>X000389</t>
  </si>
  <si>
    <t>글로텍</t>
  </si>
  <si>
    <t>A000000</t>
  </si>
  <si>
    <t>롯데렌탈</t>
  </si>
  <si>
    <t>X000834</t>
  </si>
  <si>
    <t>금강공업</t>
  </si>
  <si>
    <t>X001390</t>
  </si>
  <si>
    <t>A000004</t>
  </si>
  <si>
    <t>롯데제과</t>
  </si>
  <si>
    <t>A000006</t>
  </si>
  <si>
    <t>롯데미도파</t>
  </si>
  <si>
    <t>A000007</t>
  </si>
  <si>
    <t>롯데리아</t>
  </si>
  <si>
    <t>A000008</t>
  </si>
  <si>
    <t>부산롯데호텔</t>
  </si>
  <si>
    <t>A000009</t>
  </si>
  <si>
    <t>대홍기획</t>
  </si>
  <si>
    <t>이현승</t>
  </si>
  <si>
    <t>A000010</t>
  </si>
  <si>
    <t>케이피케미칼</t>
  </si>
  <si>
    <t>A000011</t>
  </si>
  <si>
    <t>롯데푸드</t>
  </si>
  <si>
    <t>A000012</t>
  </si>
  <si>
    <t>롯데로지스틱스</t>
  </si>
  <si>
    <t>A000013</t>
  </si>
  <si>
    <t>한국후지필름</t>
  </si>
  <si>
    <t>A000014</t>
  </si>
  <si>
    <t>롯데스카이힐(롯데상사)</t>
  </si>
  <si>
    <t>A000015</t>
  </si>
  <si>
    <t>우리홈쇼핑</t>
  </si>
  <si>
    <t>A000016</t>
  </si>
  <si>
    <t>롯데알미늄</t>
  </si>
  <si>
    <t>A000017</t>
  </si>
  <si>
    <t>롯데카드</t>
  </si>
  <si>
    <t>A000018</t>
  </si>
  <si>
    <t>롯데햄</t>
  </si>
  <si>
    <t>A000019</t>
  </si>
  <si>
    <t>롯데주류비지</t>
  </si>
  <si>
    <t>A000020</t>
  </si>
  <si>
    <t>롯데역사</t>
  </si>
  <si>
    <t>A000021</t>
  </si>
  <si>
    <t>롯데캐피탈</t>
  </si>
  <si>
    <t>A000022</t>
  </si>
  <si>
    <t>롯데아이티테크(구,롯데정보통신)</t>
  </si>
  <si>
    <t>A000023</t>
  </si>
  <si>
    <t>롯데케미칼</t>
  </si>
  <si>
    <t>A000024</t>
  </si>
  <si>
    <t>바이더웨이</t>
  </si>
  <si>
    <t>A000025</t>
  </si>
  <si>
    <t>롯데자산개발</t>
  </si>
  <si>
    <t>A000026</t>
  </si>
  <si>
    <t>롯데브랑제리</t>
  </si>
  <si>
    <t>A000027</t>
  </si>
  <si>
    <t>롯데후레쉬델리카</t>
  </si>
  <si>
    <t>A000028</t>
  </si>
  <si>
    <t>현대정보기술</t>
  </si>
  <si>
    <t>A000029</t>
  </si>
  <si>
    <t>롯데닷컴</t>
  </si>
  <si>
    <t>A000030</t>
  </si>
  <si>
    <t>코리아세븐</t>
  </si>
  <si>
    <t>A000031</t>
  </si>
  <si>
    <t>이비카드</t>
  </si>
  <si>
    <t>A000032</t>
  </si>
  <si>
    <t>마이비</t>
  </si>
  <si>
    <t>A000033</t>
  </si>
  <si>
    <t>롯데디에프글로벌</t>
  </si>
  <si>
    <t>A000034</t>
  </si>
  <si>
    <t>롯데인천개발</t>
  </si>
  <si>
    <t>A000035</t>
  </si>
  <si>
    <t>롯데칠성음료(주류BG)</t>
  </si>
  <si>
    <t>A000036</t>
  </si>
  <si>
    <t>롯데백화점마산</t>
  </si>
  <si>
    <t>A000038</t>
  </si>
  <si>
    <t>하이마트</t>
  </si>
  <si>
    <t>A000039</t>
  </si>
  <si>
    <t>롯데지주</t>
  </si>
  <si>
    <t>A000040</t>
  </si>
  <si>
    <t>A000041</t>
  </si>
  <si>
    <t>그린카</t>
  </si>
  <si>
    <t>A000042</t>
  </si>
  <si>
    <t>롯데</t>
  </si>
  <si>
    <t>B000002</t>
  </si>
  <si>
    <t>삼성카드</t>
  </si>
  <si>
    <t>이준혁/조현우</t>
  </si>
  <si>
    <t>B000003</t>
  </si>
  <si>
    <t>삼성물산</t>
  </si>
  <si>
    <t>B000004</t>
  </si>
  <si>
    <t>삼성물산(건설부문)</t>
  </si>
  <si>
    <t>B000006</t>
  </si>
  <si>
    <t>삼성SDI</t>
  </si>
  <si>
    <t>B000007</t>
  </si>
  <si>
    <t>삼성중공업</t>
  </si>
  <si>
    <t>B000010</t>
  </si>
  <si>
    <t>이마트</t>
  </si>
  <si>
    <t>B000011</t>
  </si>
  <si>
    <t>삼성전기</t>
  </si>
  <si>
    <t>B000012</t>
  </si>
  <si>
    <t>삼성전자</t>
  </si>
  <si>
    <t>B000014</t>
  </si>
  <si>
    <t>제일기획</t>
  </si>
  <si>
    <t>B000016</t>
  </si>
  <si>
    <t>삼성엔지니어링</t>
  </si>
  <si>
    <t>B000022</t>
  </si>
  <si>
    <t>삼성자산운용</t>
  </si>
  <si>
    <t>B000023</t>
  </si>
  <si>
    <t>삼성벤처투자</t>
  </si>
  <si>
    <t>C000007</t>
  </si>
  <si>
    <t>에이치디씨(구,현대산업개발)</t>
  </si>
  <si>
    <t>C000008</t>
  </si>
  <si>
    <t>에이치엠엠(구,현대상선)</t>
  </si>
  <si>
    <t>C000009</t>
  </si>
  <si>
    <t>현대로템</t>
  </si>
  <si>
    <t>C000012</t>
  </si>
  <si>
    <t>현대건설</t>
  </si>
  <si>
    <t>C000018</t>
  </si>
  <si>
    <t>현대오토에버</t>
  </si>
  <si>
    <t>D000004</t>
  </si>
  <si>
    <t>D000005</t>
  </si>
  <si>
    <t>D000008</t>
  </si>
  <si>
    <t>KoFC-KTBNPioneerChamp2011-5호투자조합</t>
  </si>
  <si>
    <t>D000009</t>
  </si>
  <si>
    <t>KoFC-KTBNPioneerChamp2010-15호투자조합</t>
  </si>
  <si>
    <t>D000010</t>
  </si>
  <si>
    <t>IBK-KTB문화콘텐츠저작재산권투자조합</t>
  </si>
  <si>
    <t>D000011</t>
  </si>
  <si>
    <t>KTB해외진출Platform펀드</t>
  </si>
  <si>
    <t>D000012</t>
  </si>
  <si>
    <t>KTB-KORUS펀드</t>
  </si>
  <si>
    <t>D000013</t>
  </si>
  <si>
    <t>KTBN7호벤처투자조합</t>
  </si>
  <si>
    <t>D000014</t>
  </si>
  <si>
    <t>KTBN8호투자조합</t>
  </si>
  <si>
    <t>D000015</t>
  </si>
  <si>
    <t>KTBN9호디지털콘텐츠코리아투자조합</t>
  </si>
  <si>
    <t>D000016</t>
  </si>
  <si>
    <t>KTBN방송영상콘텐츠전문투자조합</t>
  </si>
  <si>
    <t>D000017</t>
  </si>
  <si>
    <t>KTBN11호한중시너지펀드</t>
  </si>
  <si>
    <t>D000018</t>
  </si>
  <si>
    <t>KTBN13호벤처투자조합</t>
  </si>
  <si>
    <t>D000020</t>
  </si>
  <si>
    <t>NAVER-KTB오디오콘텐츠전문투자조합</t>
  </si>
  <si>
    <t>D000021</t>
  </si>
  <si>
    <t>KTB/NHNChinaVenturesILimited</t>
  </si>
  <si>
    <t>D000022</t>
  </si>
  <si>
    <t>KTBN미래콘텐츠일자리창출투자조합</t>
  </si>
  <si>
    <t>E000001</t>
  </si>
  <si>
    <t>동양생명</t>
  </si>
  <si>
    <t>E000002</t>
  </si>
  <si>
    <t>유안타증권</t>
  </si>
  <si>
    <t>LIFE004</t>
  </si>
  <si>
    <t>AIA생명보험</t>
  </si>
  <si>
    <t>LIFE006</t>
  </si>
  <si>
    <t>동부생명보험</t>
  </si>
  <si>
    <t>LIFE007</t>
  </si>
  <si>
    <t>하나생명보험</t>
  </si>
  <si>
    <t>LIFE009</t>
  </si>
  <si>
    <t>오렌지라이프</t>
  </si>
  <si>
    <t>LIFE011</t>
  </si>
  <si>
    <t>DGB생명보험</t>
  </si>
  <si>
    <t>LIFE012</t>
  </si>
  <si>
    <t>미래에셋생명보험</t>
  </si>
  <si>
    <t>LIFE013</t>
  </si>
  <si>
    <t>농협생명보험</t>
  </si>
  <si>
    <t>LIFE014</t>
  </si>
  <si>
    <t>흥국생명보험</t>
  </si>
  <si>
    <t>Q000001</t>
  </si>
  <si>
    <t>T000002</t>
  </si>
  <si>
    <t>한화손해보험</t>
  </si>
  <si>
    <t>T000004</t>
  </si>
  <si>
    <t>서울보증보험(수익증권)</t>
  </si>
  <si>
    <t>T000005</t>
  </si>
  <si>
    <t>메트라이프생명</t>
  </si>
  <si>
    <t>T000008</t>
  </si>
  <si>
    <t>교보생명(투자자산관리팀)</t>
  </si>
  <si>
    <t>T000011</t>
  </si>
  <si>
    <t>DB생명</t>
  </si>
  <si>
    <t>T000012</t>
  </si>
  <si>
    <t>T000013</t>
  </si>
  <si>
    <t>T000014</t>
  </si>
  <si>
    <t>메리츠캐피탈</t>
  </si>
  <si>
    <t>T000015</t>
  </si>
  <si>
    <t>삼성화재</t>
  </si>
  <si>
    <t>T000017</t>
  </si>
  <si>
    <t>T000018</t>
  </si>
  <si>
    <t>미래에셋생명보험(수익증권)</t>
  </si>
  <si>
    <t>T000019</t>
  </si>
  <si>
    <t>DGB생명보험(수익증권)</t>
  </si>
  <si>
    <t>T000021</t>
  </si>
  <si>
    <t>한국자산캐피탈</t>
  </si>
  <si>
    <t>T000024</t>
  </si>
  <si>
    <t>코레이트자산운용</t>
  </si>
  <si>
    <t>T000026</t>
  </si>
  <si>
    <t>동양(수익증권)</t>
  </si>
  <si>
    <t>T000028</t>
  </si>
  <si>
    <t>네오위즈게임즈(수익증권)</t>
  </si>
  <si>
    <t>T000030</t>
  </si>
  <si>
    <t>필옵틱스</t>
  </si>
  <si>
    <t>T000031</t>
  </si>
  <si>
    <t>동양생명보험(수익증권)</t>
  </si>
  <si>
    <t>T000033</t>
  </si>
  <si>
    <t>파인트리자산운용</t>
  </si>
  <si>
    <t>T000034</t>
  </si>
  <si>
    <t>코리안리재보험</t>
  </si>
  <si>
    <t>T000036</t>
  </si>
  <si>
    <t>키움투자자산운용</t>
  </si>
  <si>
    <t>T000038</t>
  </si>
  <si>
    <t>바이오솔루션(수익증권)</t>
  </si>
  <si>
    <t>T000039</t>
  </si>
  <si>
    <t>NH투자증권(수익증권)</t>
  </si>
  <si>
    <t>T000040</t>
  </si>
  <si>
    <t>멀티에셋자산운용</t>
  </si>
  <si>
    <t>T000041</t>
  </si>
  <si>
    <t>노바텍</t>
  </si>
  <si>
    <t>W000166</t>
  </si>
  <si>
    <t>메리츠금융지주</t>
  </si>
  <si>
    <t>W000374</t>
  </si>
  <si>
    <t>메리츠종금증권(AI팀)</t>
  </si>
  <si>
    <t>W000205</t>
  </si>
  <si>
    <t>메리츠종금증권(EPT팀)</t>
  </si>
  <si>
    <t>메리츠종금증권(구조화투자팀)</t>
  </si>
  <si>
    <t>W000171</t>
  </si>
  <si>
    <t>메리츠종금증권(기획총괄팀)</t>
  </si>
  <si>
    <t>W000284</t>
  </si>
  <si>
    <t>메리츠종금증권(멀티운용팀)</t>
  </si>
  <si>
    <t>W000241</t>
  </si>
  <si>
    <t>메리츠종금증권(복합금융팀)</t>
  </si>
  <si>
    <t>W000564</t>
  </si>
  <si>
    <t>메리츠증권(구조화상품1팀)</t>
  </si>
  <si>
    <t>W000549</t>
  </si>
  <si>
    <t>메리츠증권(기획총괄팀)</t>
  </si>
  <si>
    <t>W000167</t>
  </si>
  <si>
    <t>W000257</t>
  </si>
  <si>
    <t>메리츠화재</t>
  </si>
  <si>
    <t>W000079</t>
  </si>
  <si>
    <t>메이슨캐피탈</t>
  </si>
  <si>
    <t>W000583</t>
  </si>
  <si>
    <t>W000144</t>
  </si>
  <si>
    <t>멜파스</t>
  </si>
  <si>
    <t>W000173</t>
  </si>
  <si>
    <t>명문제약</t>
  </si>
  <si>
    <t>W000464</t>
  </si>
  <si>
    <t>명성티엔에스</t>
  </si>
  <si>
    <t>W000364</t>
  </si>
  <si>
    <t>모놀리스자산운용</t>
  </si>
  <si>
    <t>W000298</t>
  </si>
  <si>
    <t>모루자산운용</t>
  </si>
  <si>
    <t>W000495</t>
  </si>
  <si>
    <t>모바일어플라이언스(상장)</t>
  </si>
  <si>
    <t>W000449</t>
  </si>
  <si>
    <t>모베이스</t>
  </si>
  <si>
    <t>W000362</t>
  </si>
  <si>
    <t>모베이스전자</t>
  </si>
  <si>
    <t>W000184</t>
  </si>
  <si>
    <t>모트렉스</t>
  </si>
  <si>
    <t>W000459</t>
  </si>
  <si>
    <t>미래산업</t>
  </si>
  <si>
    <t>W000153</t>
  </si>
  <si>
    <t>미래아이앤지</t>
  </si>
  <si>
    <t>W000389</t>
  </si>
  <si>
    <t>미래에셋대우(상장)</t>
  </si>
  <si>
    <t>W000414</t>
  </si>
  <si>
    <t>미래에셋자산운용</t>
  </si>
  <si>
    <t>W000161</t>
  </si>
  <si>
    <t>미스터블루</t>
  </si>
  <si>
    <t>W000057</t>
  </si>
  <si>
    <t>바디텍메드</t>
  </si>
  <si>
    <t>W000043</t>
  </si>
  <si>
    <t>바로저축은행</t>
  </si>
  <si>
    <t>W000556</t>
  </si>
  <si>
    <t>바른전자</t>
  </si>
  <si>
    <t>W000020</t>
  </si>
  <si>
    <t>바른테크놀로지</t>
  </si>
  <si>
    <t>W000535</t>
  </si>
  <si>
    <t>바이오다인</t>
  </si>
  <si>
    <t>W000529</t>
  </si>
  <si>
    <t>바이오리더스</t>
  </si>
  <si>
    <t>W000443</t>
  </si>
  <si>
    <t>바이오솔루션</t>
  </si>
  <si>
    <t>W000140</t>
  </si>
  <si>
    <t>바이오스마트</t>
  </si>
  <si>
    <t>W000544</t>
  </si>
  <si>
    <t>배럴</t>
  </si>
  <si>
    <t>W000169</t>
  </si>
  <si>
    <t>백광산업</t>
  </si>
  <si>
    <t>W000042</t>
  </si>
  <si>
    <t>버킷스튜디오</t>
  </si>
  <si>
    <t>W000007</t>
  </si>
  <si>
    <t>베노홀딩스(구,엔터메이트)</t>
  </si>
  <si>
    <t>W000193</t>
  </si>
  <si>
    <t>베스파</t>
  </si>
  <si>
    <t>W000322</t>
  </si>
  <si>
    <t>벡터기술투자(구,엠씨인베스트먼트)</t>
  </si>
  <si>
    <t>W000021</t>
  </si>
  <si>
    <t>보광산업</t>
  </si>
  <si>
    <t>W000558</t>
  </si>
  <si>
    <t>보령홀딩스</t>
  </si>
  <si>
    <t>W000413</t>
  </si>
  <si>
    <t>브레인콘텐츠</t>
  </si>
  <si>
    <t>W000571</t>
  </si>
  <si>
    <t>브릿지바이오테라퓨틱스</t>
  </si>
  <si>
    <t>W000369</t>
  </si>
  <si>
    <t>브이원텍</t>
  </si>
  <si>
    <t>W000305</t>
  </si>
  <si>
    <t>블러썸엠앤씨</t>
  </si>
  <si>
    <t>W000115</t>
  </si>
  <si>
    <t>블루베리엔에프티(구,경남바이오파마(구,바이오제네틱스))</t>
  </si>
  <si>
    <t>W000590</t>
  </si>
  <si>
    <t>W000213</t>
  </si>
  <si>
    <t>비나텍</t>
  </si>
  <si>
    <t>W000038</t>
  </si>
  <si>
    <t>비덴트</t>
  </si>
  <si>
    <t>W000029</t>
  </si>
  <si>
    <t>비디아이</t>
  </si>
  <si>
    <t>W000315</t>
  </si>
  <si>
    <t>비에이치아이</t>
  </si>
  <si>
    <t>W000265</t>
  </si>
  <si>
    <t>비즈니스온커뮤니케이션</t>
  </si>
  <si>
    <t>W000582</t>
  </si>
  <si>
    <t>W000050</t>
  </si>
  <si>
    <t>비츠로시스</t>
  </si>
  <si>
    <t>W000191</t>
  </si>
  <si>
    <t>비츠로테크</t>
  </si>
  <si>
    <t>W000062</t>
  </si>
  <si>
    <t>비케이탑스(구,동양네트웍스)</t>
  </si>
  <si>
    <t>W000300</t>
  </si>
  <si>
    <t>비트컴퓨터</t>
  </si>
  <si>
    <t>W000345</t>
  </si>
  <si>
    <t>빗썸코리아</t>
  </si>
  <si>
    <t>W000121</t>
  </si>
  <si>
    <t>삼보모터스</t>
  </si>
  <si>
    <t>W000207</t>
  </si>
  <si>
    <t>삼성제약(상장)</t>
  </si>
  <si>
    <t>W000499</t>
  </si>
  <si>
    <t>삼성증권(IPO팀)(상장)</t>
  </si>
  <si>
    <t>W000580</t>
  </si>
  <si>
    <t>W000559</t>
  </si>
  <si>
    <t>삼영엠텍</t>
  </si>
  <si>
    <t>W000263</t>
  </si>
  <si>
    <t>삼원테크</t>
  </si>
  <si>
    <t>W000546</t>
  </si>
  <si>
    <t>삼일제약</t>
  </si>
  <si>
    <t>W000275</t>
  </si>
  <si>
    <t>삼지전자(상장)</t>
  </si>
  <si>
    <t>W000311</t>
  </si>
  <si>
    <t>삼진엘앤디</t>
  </si>
  <si>
    <t>W000132</t>
  </si>
  <si>
    <t>삼화페인트공업</t>
  </si>
  <si>
    <t>W000288</t>
  </si>
  <si>
    <t>상상인증권</t>
  </si>
  <si>
    <t>W000309</t>
  </si>
  <si>
    <t>상신이디피</t>
  </si>
  <si>
    <t>W000603</t>
  </si>
  <si>
    <t>W000133</t>
  </si>
  <si>
    <t>서희건설</t>
  </si>
  <si>
    <t>W000268</t>
  </si>
  <si>
    <t>선익시스템</t>
  </si>
  <si>
    <t>W000417</t>
  </si>
  <si>
    <t>선일회계법인</t>
  </si>
  <si>
    <t>W000178</t>
  </si>
  <si>
    <t>성호전자</t>
  </si>
  <si>
    <t>W000403</t>
  </si>
  <si>
    <t>세동(상장)</t>
  </si>
  <si>
    <t>W000150</t>
  </si>
  <si>
    <t>세미콘라이트</t>
  </si>
  <si>
    <t>W000199</t>
  </si>
  <si>
    <t>세원</t>
  </si>
  <si>
    <t>W000302</t>
  </si>
  <si>
    <t>세원셀론텍</t>
  </si>
  <si>
    <t>W000190</t>
  </si>
  <si>
    <t>세종메디칼</t>
  </si>
  <si>
    <t>W000437</t>
  </si>
  <si>
    <t>세화아이엠씨</t>
  </si>
  <si>
    <t>W000019</t>
  </si>
  <si>
    <t>센트럴바이오</t>
  </si>
  <si>
    <t>W000593</t>
  </si>
  <si>
    <t>W000357</t>
  </si>
  <si>
    <t>셀리버리</t>
  </si>
  <si>
    <t>W000483</t>
  </si>
  <si>
    <t>셀젠텍</t>
  </si>
  <si>
    <t>W000370</t>
  </si>
  <si>
    <t>셀트리온</t>
  </si>
  <si>
    <t>W000395</t>
  </si>
  <si>
    <t>셀트리온제약</t>
  </si>
  <si>
    <t>W000320</t>
  </si>
  <si>
    <t>소리바다</t>
  </si>
  <si>
    <t>W000542</t>
  </si>
  <si>
    <t>솔루에타</t>
  </si>
  <si>
    <t>W000258</t>
  </si>
  <si>
    <t>솔트웍스</t>
  </si>
  <si>
    <t>W000235</t>
  </si>
  <si>
    <t>송암사</t>
  </si>
  <si>
    <t>W000531</t>
  </si>
  <si>
    <t>슈프리마</t>
  </si>
  <si>
    <t>W000537</t>
  </si>
  <si>
    <t>슈프리마아이디</t>
  </si>
  <si>
    <t>W000255</t>
  </si>
  <si>
    <t>스맥</t>
  </si>
  <si>
    <t>W000584</t>
  </si>
  <si>
    <t>W000120</t>
  </si>
  <si>
    <t>스카이이앤엠(구,알이피)</t>
  </si>
  <si>
    <t>W000266</t>
  </si>
  <si>
    <t>스킨앤스킨</t>
  </si>
  <si>
    <t>W000004</t>
  </si>
  <si>
    <t>스타플렉스</t>
  </si>
  <si>
    <t>W000373</t>
  </si>
  <si>
    <t>W000131</t>
  </si>
  <si>
    <t>시너지이노베이션</t>
  </si>
  <si>
    <t>W000411</t>
  </si>
  <si>
    <t>시너지투자자문</t>
  </si>
  <si>
    <t>W000125</t>
  </si>
  <si>
    <t>시노펙스</t>
  </si>
  <si>
    <t>W000607</t>
  </si>
  <si>
    <t>W000063</t>
  </si>
  <si>
    <t>신라젠</t>
  </si>
  <si>
    <t>W000040</t>
  </si>
  <si>
    <t>신성이엔지</t>
  </si>
  <si>
    <t>W000452</t>
  </si>
  <si>
    <t>신영증권(상장)</t>
  </si>
  <si>
    <t>W000490</t>
  </si>
  <si>
    <t>신원</t>
  </si>
  <si>
    <t>W000185</t>
  </si>
  <si>
    <t>신원종합개발</t>
  </si>
  <si>
    <t>W000356</t>
  </si>
  <si>
    <t>신테카바이오</t>
  </si>
  <si>
    <t>W000156</t>
  </si>
  <si>
    <t>신흥에스이씨</t>
  </si>
  <si>
    <t>W000573</t>
  </si>
  <si>
    <t>W000247</t>
  </si>
  <si>
    <t>썸에이지(상장)</t>
  </si>
  <si>
    <t>W000017</t>
  </si>
  <si>
    <t>씨아이에스</t>
  </si>
  <si>
    <t>W000431</t>
  </si>
  <si>
    <t>씨앤지하이테크</t>
  </si>
  <si>
    <t>W000569</t>
  </si>
  <si>
    <t>씨앤투스성진</t>
  </si>
  <si>
    <t>W000550</t>
  </si>
  <si>
    <t>씨에스</t>
  </si>
  <si>
    <t>W000324</t>
  </si>
  <si>
    <t>씨에스베어링</t>
  </si>
  <si>
    <t>W000489</t>
  </si>
  <si>
    <t>씨에스에이코스믹(상장)</t>
  </si>
  <si>
    <t>W000296</t>
  </si>
  <si>
    <t>씨유메디칼시스템</t>
  </si>
  <si>
    <t>W000086</t>
  </si>
  <si>
    <t>씨티젠</t>
  </si>
  <si>
    <t>W000512</t>
  </si>
  <si>
    <t>씨티케이코스메틱스</t>
  </si>
  <si>
    <t>W000422</t>
  </si>
  <si>
    <t>아나패스</t>
  </si>
  <si>
    <t>W000123</t>
  </si>
  <si>
    <t>아난티</t>
  </si>
  <si>
    <t>W000016</t>
  </si>
  <si>
    <t>아리온테크놀로지</t>
  </si>
  <si>
    <t>W000453</t>
  </si>
  <si>
    <t>아모텍</t>
  </si>
  <si>
    <t>W000554</t>
  </si>
  <si>
    <t>아바텍</t>
  </si>
  <si>
    <t>W000391</t>
  </si>
  <si>
    <t>아스타</t>
  </si>
  <si>
    <t>W000477</t>
  </si>
  <si>
    <t>아시아경제</t>
  </si>
  <si>
    <t>W000435</t>
  </si>
  <si>
    <t>아우딘퓨쳐스</t>
  </si>
  <si>
    <t>W000600</t>
  </si>
  <si>
    <t>W000348</t>
  </si>
  <si>
    <t>아이씨케이</t>
  </si>
  <si>
    <t>W000368</t>
  </si>
  <si>
    <t>아이에스시(상장)</t>
  </si>
  <si>
    <t>W000383</t>
  </si>
  <si>
    <t>아이에스지주</t>
  </si>
  <si>
    <t>W000236</t>
  </si>
  <si>
    <t>아이에이</t>
  </si>
  <si>
    <t>W000242</t>
  </si>
  <si>
    <t>아이에이네트웍스</t>
  </si>
  <si>
    <t>W000187</t>
  </si>
  <si>
    <t>아이엠</t>
  </si>
  <si>
    <t>W000497</t>
  </si>
  <si>
    <t>아이엠엠프라이빗에쿼티(상장)</t>
  </si>
  <si>
    <t>W000224</t>
  </si>
  <si>
    <t>아이엠텍</t>
  </si>
  <si>
    <t>W000469</t>
  </si>
  <si>
    <t>아이오케이컴퍼니(상장)</t>
  </si>
  <si>
    <t>W000212</t>
  </si>
  <si>
    <t>아이온자산운용</t>
  </si>
  <si>
    <t>W000424</t>
  </si>
  <si>
    <t>아이원스</t>
  </si>
  <si>
    <t>W000126</t>
  </si>
  <si>
    <t>아이진</t>
  </si>
  <si>
    <t>W000608</t>
  </si>
  <si>
    <t>W000073</t>
  </si>
  <si>
    <t>아이큐어</t>
  </si>
  <si>
    <t>W000006</t>
  </si>
  <si>
    <t>아이텍</t>
  </si>
  <si>
    <t>W000351</t>
  </si>
  <si>
    <t>아이텍인베스트먼트</t>
  </si>
  <si>
    <t>W000350</t>
  </si>
  <si>
    <t>아즈텍더블유비이</t>
  </si>
  <si>
    <t>W000579</t>
  </si>
  <si>
    <t>W000430</t>
  </si>
  <si>
    <t>아퓨어스</t>
  </si>
  <si>
    <t>W000028</t>
  </si>
  <si>
    <t>안트로젠</t>
  </si>
  <si>
    <t>W000405</t>
  </si>
  <si>
    <t>알에스오토메이션</t>
  </si>
  <si>
    <t>W000367</t>
  </si>
  <si>
    <t>알에프머트리얼즈(구,메탈라이프)</t>
  </si>
  <si>
    <t>W000293</t>
  </si>
  <si>
    <t>알에프세미</t>
  </si>
  <si>
    <t>W000372</t>
  </si>
  <si>
    <t>알에프에이치아이씨</t>
  </si>
  <si>
    <t>W000070</t>
  </si>
  <si>
    <t>알에프텍</t>
  </si>
  <si>
    <t>W000384</t>
  </si>
  <si>
    <t>알엔투테크놀로지</t>
  </si>
  <si>
    <t>W000588</t>
  </si>
  <si>
    <t>W000172</t>
  </si>
  <si>
    <t>알테오젠</t>
  </si>
  <si>
    <t>W000604</t>
  </si>
  <si>
    <t>W000164</t>
  </si>
  <si>
    <t>애니젠</t>
  </si>
  <si>
    <t>W000179</t>
  </si>
  <si>
    <t>애니플러스</t>
  </si>
  <si>
    <t>W000465</t>
  </si>
  <si>
    <t>애드페이지</t>
  </si>
  <si>
    <t>W000451</t>
  </si>
  <si>
    <t>액트</t>
  </si>
  <si>
    <t>W000181</t>
  </si>
  <si>
    <t>앤디포스</t>
  </si>
  <si>
    <t>W000448</t>
  </si>
  <si>
    <t>앱클론(상장)</t>
  </si>
  <si>
    <t>X001115</t>
  </si>
  <si>
    <t>이가영/신현상</t>
  </si>
  <si>
    <t>W000246</t>
  </si>
  <si>
    <t>에스디시스템</t>
  </si>
  <si>
    <t>W000102</t>
  </si>
  <si>
    <t>에스디엔</t>
  </si>
  <si>
    <t>W000240</t>
  </si>
  <si>
    <t>에스마크</t>
  </si>
  <si>
    <t>W000165</t>
  </si>
  <si>
    <t>에스맥</t>
  </si>
  <si>
    <t>W000251</t>
  </si>
  <si>
    <t>에스모머티리얼즈</t>
  </si>
  <si>
    <t>W000484</t>
  </si>
  <si>
    <t>에스비아이인베스트먼트(상장)</t>
  </si>
  <si>
    <t>W000507</t>
  </si>
  <si>
    <t>에스앤에스텍</t>
  </si>
  <si>
    <t>W000053</t>
  </si>
  <si>
    <t>에스에프에이반도체</t>
  </si>
  <si>
    <t>W000137</t>
  </si>
  <si>
    <t>에스엔텍</t>
  </si>
  <si>
    <t>W000325</t>
  </si>
  <si>
    <t>에스엔텍비엠</t>
  </si>
  <si>
    <t>W000216</t>
  </si>
  <si>
    <t>에스엘에스바이오</t>
  </si>
  <si>
    <t>W000039</t>
  </si>
  <si>
    <t>에스제이케이</t>
  </si>
  <si>
    <t>W000032</t>
  </si>
  <si>
    <t>에스지에이</t>
  </si>
  <si>
    <t>W000329</t>
  </si>
  <si>
    <t>에스지에이솔루션즈</t>
  </si>
  <si>
    <t>W000392</t>
  </si>
  <si>
    <t>에스케이머티리얼즈</t>
  </si>
  <si>
    <t>W000492</t>
  </si>
  <si>
    <t>에스케이실트론</t>
  </si>
  <si>
    <t>W000287</t>
  </si>
  <si>
    <t>에스케이하이닉스</t>
  </si>
  <si>
    <t>W000279</t>
  </si>
  <si>
    <t>에스트래픽</t>
  </si>
  <si>
    <t>W000447</t>
  </si>
  <si>
    <t>에스티큐브</t>
  </si>
  <si>
    <t>W000491</t>
  </si>
  <si>
    <t>에스티팜</t>
  </si>
  <si>
    <t>W000359</t>
  </si>
  <si>
    <t>에스퓨얼셀</t>
  </si>
  <si>
    <t>W000145</t>
  </si>
  <si>
    <t>에스피지</t>
  </si>
  <si>
    <t>W000496</t>
  </si>
  <si>
    <t>에이디칩스(상장)</t>
  </si>
  <si>
    <t>W000234</t>
  </si>
  <si>
    <t>에이비엘바이오</t>
  </si>
  <si>
    <t>W000441</t>
  </si>
  <si>
    <t>에이스테크놀로지</t>
  </si>
  <si>
    <t>W000066</t>
  </si>
  <si>
    <t>에이아이비트</t>
  </si>
  <si>
    <t>W000545</t>
  </si>
  <si>
    <t>에이치엔에스하이텍</t>
  </si>
  <si>
    <t>W000026</t>
  </si>
  <si>
    <t>에이치엘비</t>
  </si>
  <si>
    <t>W000080</t>
  </si>
  <si>
    <t>에이치엘비생명과학</t>
  </si>
  <si>
    <t>W000502</t>
  </si>
  <si>
    <t>에이치엘비제약</t>
  </si>
  <si>
    <t>W000100</t>
  </si>
  <si>
    <t>에이치엠엠(구,현대상선)(상장)</t>
  </si>
  <si>
    <t>W000292</t>
  </si>
  <si>
    <t>에이티세미콘</t>
  </si>
  <si>
    <t>W000377</t>
  </si>
  <si>
    <t>에이피티씨</t>
  </si>
  <si>
    <t>W000336</t>
  </si>
  <si>
    <t>에프엔씨엔터테인먼트</t>
  </si>
  <si>
    <t>W000568</t>
  </si>
  <si>
    <t>에프엔에스테크</t>
  </si>
  <si>
    <t>W000605</t>
  </si>
  <si>
    <t>W000401</t>
  </si>
  <si>
    <t>엔바이오니아</t>
  </si>
  <si>
    <t>W000202</t>
  </si>
  <si>
    <t>엔시트론(상장)</t>
  </si>
  <si>
    <t>W000176</t>
  </si>
  <si>
    <t>엔지스테크널러지</t>
  </si>
  <si>
    <t>W000262</t>
  </si>
  <si>
    <t>엔지켐생명과학</t>
  </si>
  <si>
    <t>W000093</t>
  </si>
  <si>
    <t>엔케이맥스(구,에이티젠)</t>
  </si>
  <si>
    <t>W000151</t>
  </si>
  <si>
    <t>엘브이엠씨홀딩스</t>
  </si>
  <si>
    <t>W000097</t>
  </si>
  <si>
    <t>엘아이지넥스원</t>
  </si>
  <si>
    <t>W000233</t>
  </si>
  <si>
    <t>엘앤에프(상장)</t>
  </si>
  <si>
    <t>W000363</t>
  </si>
  <si>
    <t>엘에이티</t>
  </si>
  <si>
    <t>W000428</t>
  </si>
  <si>
    <t>엠벤처투자(상장)</t>
  </si>
  <si>
    <t>W000045</t>
  </si>
  <si>
    <t>엠씨넥스</t>
  </si>
  <si>
    <t>W000566</t>
  </si>
  <si>
    <t>엠케이전자</t>
  </si>
  <si>
    <t>W000114</t>
  </si>
  <si>
    <t>엠코르셋</t>
  </si>
  <si>
    <t>W000099</t>
  </si>
  <si>
    <t>엠플러스</t>
  </si>
  <si>
    <t>W000267</t>
  </si>
  <si>
    <t>엠피한강</t>
  </si>
  <si>
    <t>W000041</t>
  </si>
  <si>
    <t>예가람저축은행</t>
  </si>
  <si>
    <t>W000182</t>
  </si>
  <si>
    <t>예스티</t>
  </si>
  <si>
    <t>W000446</t>
  </si>
  <si>
    <t>오가닉티코스메틱스홀딩스컴퍼니리미티드</t>
  </si>
  <si>
    <t>W000547</t>
  </si>
  <si>
    <t>오르비텍</t>
  </si>
  <si>
    <t>W000128</t>
  </si>
  <si>
    <t>오리엔트바이오</t>
  </si>
  <si>
    <t>W000036</t>
  </si>
  <si>
    <t>오스코텍</t>
  </si>
  <si>
    <t>W000201</t>
  </si>
  <si>
    <t>오스테오닉</t>
  </si>
  <si>
    <t>W000143</t>
  </si>
  <si>
    <t>오킨스전자</t>
  </si>
  <si>
    <t>W000526</t>
  </si>
  <si>
    <t>오하임아이엔티(상장)</t>
  </si>
  <si>
    <t>W000238</t>
  </si>
  <si>
    <t>올릭스</t>
  </si>
  <si>
    <t>W000317</t>
  </si>
  <si>
    <t>올스테이</t>
  </si>
  <si>
    <t>W000027</t>
  </si>
  <si>
    <t>옴니시스템</t>
  </si>
  <si>
    <t>W000239</t>
  </si>
  <si>
    <t>옵트론텍</t>
  </si>
  <si>
    <t>W000562</t>
  </si>
  <si>
    <t>와이더플래닛</t>
  </si>
  <si>
    <t>W000119</t>
  </si>
  <si>
    <t>와이엠티</t>
  </si>
  <si>
    <t>W000010</t>
  </si>
  <si>
    <t>와이오엠</t>
  </si>
  <si>
    <t>W000494</t>
  </si>
  <si>
    <t>와이제이엠게임즈(상장)</t>
  </si>
  <si>
    <t>W000232</t>
  </si>
  <si>
    <t>우리넷</t>
  </si>
  <si>
    <t>W000168</t>
  </si>
  <si>
    <t>우리들제약</t>
  </si>
  <si>
    <t>W000096</t>
  </si>
  <si>
    <t>우리들휴브레인</t>
  </si>
  <si>
    <t>W000103</t>
  </si>
  <si>
    <t>우리바이오</t>
  </si>
  <si>
    <t>W000578</t>
  </si>
  <si>
    <t>W000587</t>
  </si>
  <si>
    <t>W000098</t>
  </si>
  <si>
    <t>우정바이오</t>
  </si>
  <si>
    <t>W000474</t>
  </si>
  <si>
    <t>원방테크</t>
  </si>
  <si>
    <t>W000127</t>
  </si>
  <si>
    <t>원익아이피에스</t>
  </si>
  <si>
    <t>W000337</t>
  </si>
  <si>
    <t>웰컴저축은행</t>
  </si>
  <si>
    <t>W000094</t>
  </si>
  <si>
    <t>웰크론</t>
  </si>
  <si>
    <t>W000092</t>
  </si>
  <si>
    <t>웰크론강원</t>
  </si>
  <si>
    <t>W000089</t>
  </si>
  <si>
    <t>웰크론한텍</t>
  </si>
  <si>
    <t>W000033</t>
  </si>
  <si>
    <t>웰투시인베스트먼트</t>
  </si>
  <si>
    <t>W000505</t>
  </si>
  <si>
    <t>웹젠</t>
  </si>
  <si>
    <t>W000433</t>
  </si>
  <si>
    <t>위메이드</t>
  </si>
  <si>
    <t>W000106</t>
  </si>
  <si>
    <t>위즈코프</t>
  </si>
  <si>
    <t>W000060</t>
  </si>
  <si>
    <t>위지윅스튜디오</t>
  </si>
  <si>
    <t>W000197</t>
  </si>
  <si>
    <t>위지트</t>
  </si>
  <si>
    <t>W000306</t>
  </si>
  <si>
    <t>윈팩</t>
  </si>
  <si>
    <t>W000116</t>
  </si>
  <si>
    <t>윌비스</t>
  </si>
  <si>
    <t>W000457</t>
  </si>
  <si>
    <t>유니슨</t>
  </si>
  <si>
    <t>박솔민/박재용</t>
  </si>
  <si>
    <t>W000394</t>
  </si>
  <si>
    <t>유니온저축은행</t>
  </si>
  <si>
    <t>W000493</t>
  </si>
  <si>
    <t>유니원커뮤니케이션즈</t>
  </si>
  <si>
    <t>W000101</t>
  </si>
  <si>
    <t>유니트론텍(상장)</t>
  </si>
  <si>
    <t>W000078</t>
  </si>
  <si>
    <t>유바이오로직스</t>
  </si>
  <si>
    <t>W000014</t>
  </si>
  <si>
    <t>유성티엔에스</t>
  </si>
  <si>
    <t>W000194</t>
  </si>
  <si>
    <t>유씨아이</t>
  </si>
  <si>
    <t>W000313</t>
  </si>
  <si>
    <t>유앤아이</t>
  </si>
  <si>
    <t>W000059</t>
  </si>
  <si>
    <t>유양디앤유</t>
  </si>
  <si>
    <t>W000561</t>
  </si>
  <si>
    <t>유엑스엔</t>
  </si>
  <si>
    <t>W000557</t>
  </si>
  <si>
    <t>유일에너테크</t>
  </si>
  <si>
    <t>X001159</t>
  </si>
  <si>
    <t>금영엔터테인먼트</t>
  </si>
  <si>
    <t>X000015</t>
  </si>
  <si>
    <t>금호석유화학</t>
  </si>
  <si>
    <t>X001175</t>
  </si>
  <si>
    <t>김종학프로덕션</t>
  </si>
  <si>
    <t>X001264</t>
  </si>
  <si>
    <t>나노바이오라이프</t>
  </si>
  <si>
    <t>X000731</t>
  </si>
  <si>
    <t>나노브릭</t>
  </si>
  <si>
    <t>X000542</t>
  </si>
  <si>
    <t>나노씨엠에스</t>
  </si>
  <si>
    <t>X000726</t>
  </si>
  <si>
    <t>나래나노텍</t>
  </si>
  <si>
    <t>X001162</t>
  </si>
  <si>
    <t>X000942</t>
  </si>
  <si>
    <t>네덱</t>
  </si>
  <si>
    <t>X000301</t>
  </si>
  <si>
    <t>네시삼십삼분</t>
  </si>
  <si>
    <t>X000924</t>
  </si>
  <si>
    <t>네오랩컨버전스</t>
  </si>
  <si>
    <t>X001130</t>
  </si>
  <si>
    <t>네오바이오텍</t>
  </si>
  <si>
    <t>이승희</t>
  </si>
  <si>
    <t>X000343</t>
  </si>
  <si>
    <t>네오위즈게임즈</t>
  </si>
  <si>
    <t>X001249</t>
  </si>
  <si>
    <t>네오위즈홀딩스</t>
  </si>
  <si>
    <t>X000865</t>
  </si>
  <si>
    <t>네오이뮨텍</t>
  </si>
  <si>
    <t>X001095</t>
  </si>
  <si>
    <t>네오트랜스</t>
  </si>
  <si>
    <t>X001250</t>
  </si>
  <si>
    <t>네오플라이</t>
  </si>
  <si>
    <t>X000859</t>
  </si>
  <si>
    <t>X001098</t>
  </si>
  <si>
    <t>네이버웹툰</t>
  </si>
  <si>
    <t>X000432</t>
  </si>
  <si>
    <t>네추럴에프앤피</t>
  </si>
  <si>
    <t>박성균</t>
  </si>
  <si>
    <t>X000001</t>
  </si>
  <si>
    <t>넥센</t>
  </si>
  <si>
    <t>X001401</t>
  </si>
  <si>
    <t>X000759</t>
  </si>
  <si>
    <t>넥스타테크놀로지</t>
  </si>
  <si>
    <t>X001008</t>
  </si>
  <si>
    <t>넥스트매치</t>
  </si>
  <si>
    <t>X001407</t>
  </si>
  <si>
    <t>X000826</t>
  </si>
  <si>
    <t>노보믹스</t>
  </si>
  <si>
    <t>X001070</t>
  </si>
  <si>
    <t>노브메타헬스</t>
  </si>
  <si>
    <t>X000543</t>
  </si>
  <si>
    <t>노스퀘스트</t>
  </si>
  <si>
    <t>박재용</t>
  </si>
  <si>
    <t>X001015</t>
  </si>
  <si>
    <t>X001010</t>
  </si>
  <si>
    <t>뉴라클사이언스</t>
  </si>
  <si>
    <t>X001047</t>
  </si>
  <si>
    <t>뉴로스정밀</t>
  </si>
  <si>
    <t>X001194</t>
  </si>
  <si>
    <t>뉴옵틱스</t>
  </si>
  <si>
    <t>X000492</t>
  </si>
  <si>
    <t>뉴파워프라즈마</t>
  </si>
  <si>
    <t>X000966</t>
  </si>
  <si>
    <t>다날에프엔비(구,달콤)</t>
  </si>
  <si>
    <t>X001237</t>
  </si>
  <si>
    <t>다날핀테크</t>
  </si>
  <si>
    <t>X001379</t>
  </si>
  <si>
    <t>X000128</t>
  </si>
  <si>
    <t>X001396</t>
  </si>
  <si>
    <t>X000383</t>
  </si>
  <si>
    <t>대교</t>
  </si>
  <si>
    <t>X001014</t>
  </si>
  <si>
    <t>대덕전자</t>
  </si>
  <si>
    <t>X001241</t>
  </si>
  <si>
    <t>대상홀딩스</t>
  </si>
  <si>
    <t>X000568</t>
  </si>
  <si>
    <t>대우건설</t>
  </si>
  <si>
    <t>X000751</t>
  </si>
  <si>
    <t>대한사료</t>
  </si>
  <si>
    <t>X001034</t>
  </si>
  <si>
    <t>X000886</t>
  </si>
  <si>
    <t>더스카이팜</t>
  </si>
  <si>
    <t>X000861</t>
  </si>
  <si>
    <t>데스틴파워</t>
  </si>
  <si>
    <t>X001140</t>
  </si>
  <si>
    <t>데이드림엔터테인먼트</t>
  </si>
  <si>
    <t>X001092</t>
  </si>
  <si>
    <t>데이세븐</t>
  </si>
  <si>
    <t>X001207</t>
  </si>
  <si>
    <t>도우인시스</t>
  </si>
  <si>
    <t>X001378</t>
  </si>
  <si>
    <t>X001148</t>
  </si>
  <si>
    <t>김민지/박재용/이가영/김민희/서경덕</t>
  </si>
  <si>
    <t>X001009</t>
  </si>
  <si>
    <t>동방메디컬</t>
  </si>
  <si>
    <t>X000424</t>
  </si>
  <si>
    <t>동부건설</t>
  </si>
  <si>
    <t>X000363</t>
  </si>
  <si>
    <t>동부제철</t>
  </si>
  <si>
    <t>X000184</t>
  </si>
  <si>
    <t>X000204</t>
  </si>
  <si>
    <t>X000181</t>
  </si>
  <si>
    <t>동아쏘시오홀딩스</t>
  </si>
  <si>
    <t>X000746</t>
  </si>
  <si>
    <t>동아에스티</t>
  </si>
  <si>
    <t>X001246</t>
  </si>
  <si>
    <t>동아제약</t>
  </si>
  <si>
    <t>X001213</t>
  </si>
  <si>
    <t>동아퓨얼셀</t>
  </si>
  <si>
    <t>X000883</t>
  </si>
  <si>
    <t>동양</t>
  </si>
  <si>
    <t>X001383</t>
  </si>
  <si>
    <t>X001192</t>
  </si>
  <si>
    <t>동원F&amp;B</t>
  </si>
  <si>
    <t>X001305</t>
  </si>
  <si>
    <t>동원엔터프라이즈</t>
  </si>
  <si>
    <t>X000950</t>
  </si>
  <si>
    <t>동일철강</t>
  </si>
  <si>
    <t>X001405</t>
  </si>
  <si>
    <t>X000003</t>
  </si>
  <si>
    <t>두산건설</t>
  </si>
  <si>
    <t>X000757</t>
  </si>
  <si>
    <t>듀켐바이오</t>
  </si>
  <si>
    <t>X000452</t>
  </si>
  <si>
    <t>드림메이커엔터테인먼트</t>
  </si>
  <si>
    <t>X001158</t>
  </si>
  <si>
    <t>드림스컴퍼니</t>
  </si>
  <si>
    <t>X001174</t>
  </si>
  <si>
    <t>드림스코리아</t>
  </si>
  <si>
    <t>X001027</t>
  </si>
  <si>
    <t>드림씨아이에스</t>
  </si>
  <si>
    <t>X000955</t>
  </si>
  <si>
    <t>드림어스컴퍼니(구,아이리버)</t>
  </si>
  <si>
    <t>X001360</t>
  </si>
  <si>
    <t>드림인사이트</t>
  </si>
  <si>
    <t>X001078</t>
  </si>
  <si>
    <t>디스플레이테크</t>
  </si>
  <si>
    <t>X001040</t>
  </si>
  <si>
    <t>디아이비</t>
  </si>
  <si>
    <t>X000590</t>
  </si>
  <si>
    <t>디에스글로벌</t>
  </si>
  <si>
    <t>최지혜</t>
  </si>
  <si>
    <t>X001211</t>
  </si>
  <si>
    <t>디에이테크놀로지</t>
  </si>
  <si>
    <t>X000369</t>
  </si>
  <si>
    <t>디엠케이</t>
  </si>
  <si>
    <t>X000640</t>
  </si>
  <si>
    <t>디오스텍(구,텔루스)</t>
  </si>
  <si>
    <t>X000514</t>
  </si>
  <si>
    <t>디지털옵틱스</t>
  </si>
  <si>
    <t>X000773</t>
  </si>
  <si>
    <t>디케이티</t>
  </si>
  <si>
    <t>X000892</t>
  </si>
  <si>
    <t>X001038</t>
  </si>
  <si>
    <t>라이즈에듀케이션코리아</t>
  </si>
  <si>
    <t>X001348</t>
  </si>
  <si>
    <t>라이트팜텍</t>
  </si>
  <si>
    <t>X001215</t>
  </si>
  <si>
    <t>라이프엠엠오</t>
  </si>
  <si>
    <t>X001303</t>
  </si>
  <si>
    <t>라트바이오</t>
  </si>
  <si>
    <t>X000566</t>
  </si>
  <si>
    <t>X001210</t>
  </si>
  <si>
    <t>러셀로보틱스</t>
  </si>
  <si>
    <t>X001046</t>
  </si>
  <si>
    <t>레몬</t>
  </si>
  <si>
    <t>X001356</t>
  </si>
  <si>
    <t>레진엔터테인먼트</t>
  </si>
  <si>
    <t>X000899</t>
  </si>
  <si>
    <t>렌딧</t>
  </si>
  <si>
    <t>X001359</t>
  </si>
  <si>
    <t>로얄크로우</t>
  </si>
  <si>
    <t>X001306</t>
  </si>
  <si>
    <t>로커스</t>
  </si>
  <si>
    <t>X001088</t>
  </si>
  <si>
    <t>루나</t>
  </si>
  <si>
    <t>X001173</t>
  </si>
  <si>
    <t>루닛</t>
  </si>
  <si>
    <t>X000107</t>
  </si>
  <si>
    <t>루멘스</t>
  </si>
  <si>
    <t>X001308</t>
  </si>
  <si>
    <t>루트락</t>
  </si>
  <si>
    <t>X001280</t>
  </si>
  <si>
    <t>리드코프</t>
  </si>
  <si>
    <t>X000666</t>
  </si>
  <si>
    <t>리드팜</t>
  </si>
  <si>
    <t>X000714</t>
  </si>
  <si>
    <t>리텍</t>
  </si>
  <si>
    <t>X001423</t>
  </si>
  <si>
    <t>린코스</t>
  </si>
  <si>
    <t>X001271</t>
  </si>
  <si>
    <t>마카온바이오테라퓨틱스</t>
  </si>
  <si>
    <t>X001281</t>
  </si>
  <si>
    <t>X000827</t>
  </si>
  <si>
    <t>만도</t>
  </si>
  <si>
    <t>X000756</t>
  </si>
  <si>
    <t>매커스</t>
  </si>
  <si>
    <t>X000427</t>
  </si>
  <si>
    <t>메디카코리아</t>
  </si>
  <si>
    <t>X000679</t>
  </si>
  <si>
    <t>메디톡스</t>
  </si>
  <si>
    <t>X001124</t>
  </si>
  <si>
    <t>메리크리스마스</t>
  </si>
  <si>
    <t>X001096</t>
  </si>
  <si>
    <t>메이크어스</t>
  </si>
  <si>
    <t>X001026</t>
  </si>
  <si>
    <t>메이플투자파트너스</t>
  </si>
  <si>
    <t>X001331</t>
  </si>
  <si>
    <t>메인라인</t>
  </si>
  <si>
    <t>이석중</t>
  </si>
  <si>
    <t>X000958</t>
  </si>
  <si>
    <t>메탈라이프</t>
  </si>
  <si>
    <t>X001060</t>
  </si>
  <si>
    <t>모림</t>
  </si>
  <si>
    <t>X000817</t>
  </si>
  <si>
    <t>모바일리더</t>
  </si>
  <si>
    <t>X001229</t>
  </si>
  <si>
    <t>모바일퉁</t>
  </si>
  <si>
    <t>X000793</t>
  </si>
  <si>
    <t>모비데이즈</t>
  </si>
  <si>
    <t>X001341</t>
  </si>
  <si>
    <t>모카시스템</t>
  </si>
  <si>
    <t>X001368</t>
  </si>
  <si>
    <t>모코엠시스</t>
  </si>
  <si>
    <t>X001068</t>
  </si>
  <si>
    <t>모토닉</t>
  </si>
  <si>
    <t>X001062</t>
  </si>
  <si>
    <t>무영종합건축사사무소</t>
  </si>
  <si>
    <t>X000583</t>
  </si>
  <si>
    <t>무학</t>
  </si>
  <si>
    <t>X000087</t>
  </si>
  <si>
    <t>미래나노텍</t>
  </si>
  <si>
    <t>X000663</t>
  </si>
  <si>
    <t>미래로시스템</t>
  </si>
  <si>
    <t>X001201</t>
  </si>
  <si>
    <t>미래셀바이오</t>
  </si>
  <si>
    <t>X001251</t>
  </si>
  <si>
    <t>미래컴퍼니</t>
  </si>
  <si>
    <t>X000990</t>
  </si>
  <si>
    <t>미르기술</t>
  </si>
  <si>
    <t>X001059</t>
  </si>
  <si>
    <t>미스틱스토리</t>
  </si>
  <si>
    <t>유재호</t>
  </si>
  <si>
    <t>X000935</t>
  </si>
  <si>
    <t>미원홀딩스</t>
  </si>
  <si>
    <t>X000717</t>
  </si>
  <si>
    <t>민앤지</t>
  </si>
  <si>
    <t>X001049</t>
  </si>
  <si>
    <t>바른네트웍스</t>
  </si>
  <si>
    <t>X001041</t>
  </si>
  <si>
    <t>바이오니아</t>
  </si>
  <si>
    <t>X000938</t>
  </si>
  <si>
    <t>X001349</t>
  </si>
  <si>
    <t>X001004</t>
  </si>
  <si>
    <t>X001269</t>
  </si>
  <si>
    <t>바이오에프디엔씨</t>
  </si>
  <si>
    <t>X001138</t>
  </si>
  <si>
    <t>바이오제닉스코리아</t>
  </si>
  <si>
    <t>X001350</t>
  </si>
  <si>
    <t>바이오포트코리아</t>
  </si>
  <si>
    <t>X000898</t>
  </si>
  <si>
    <t>바이온</t>
  </si>
  <si>
    <t>이가영/신현상/허정욱/신승철</t>
  </si>
  <si>
    <t>X001101</t>
  </si>
  <si>
    <t>X001358</t>
  </si>
  <si>
    <t>베셀에어로스페이스</t>
  </si>
  <si>
    <t>X001400</t>
  </si>
  <si>
    <t>X000795</t>
  </si>
  <si>
    <t>보로노이</t>
  </si>
  <si>
    <t>X001225</t>
  </si>
  <si>
    <t>보성파워텍</t>
  </si>
  <si>
    <t>김도환/신용화</t>
  </si>
  <si>
    <t>X001161</t>
  </si>
  <si>
    <t>봉봉</t>
  </si>
  <si>
    <t>X000911</t>
  </si>
  <si>
    <t>부광약품</t>
  </si>
  <si>
    <t>X000837</t>
  </si>
  <si>
    <t>부산청과</t>
  </si>
  <si>
    <t>X000657</t>
  </si>
  <si>
    <t>불스원</t>
  </si>
  <si>
    <t>X000980</t>
  </si>
  <si>
    <t>뷰노</t>
  </si>
  <si>
    <t>X000897</t>
  </si>
  <si>
    <t>X001328</t>
  </si>
  <si>
    <t>브리지텍</t>
  </si>
  <si>
    <t>X001259</t>
  </si>
  <si>
    <t>블리츠웨이</t>
  </si>
  <si>
    <t>X001428</t>
  </si>
  <si>
    <t>비브스튜디오스</t>
  </si>
  <si>
    <t>X001260</t>
  </si>
  <si>
    <t>비지에프리테일</t>
  </si>
  <si>
    <t>X001275</t>
  </si>
  <si>
    <t>비지에프에코바이오</t>
  </si>
  <si>
    <t>X001165</t>
  </si>
  <si>
    <t>비콘</t>
  </si>
  <si>
    <t>X001285</t>
  </si>
  <si>
    <t>비트코퍼레이션</t>
  </si>
  <si>
    <t>X001320</t>
  </si>
  <si>
    <t>비티엘첨단소재</t>
  </si>
  <si>
    <t>X001268</t>
  </si>
  <si>
    <t>빅씽크</t>
  </si>
  <si>
    <t>X001272</t>
  </si>
  <si>
    <t>사람인에이치알</t>
  </si>
  <si>
    <t>X000868</t>
  </si>
  <si>
    <t>사우스케이프</t>
  </si>
  <si>
    <t>김민지/신승철</t>
  </si>
  <si>
    <t>X000928</t>
  </si>
  <si>
    <t>삼성메디코스</t>
  </si>
  <si>
    <t>X000729</t>
  </si>
  <si>
    <t>삼성제약</t>
  </si>
  <si>
    <t>X001226</t>
  </si>
  <si>
    <t>삼양옵틱스</t>
  </si>
  <si>
    <t>X000820</t>
  </si>
  <si>
    <t>삼에스코리아</t>
  </si>
  <si>
    <t>X001257</t>
  </si>
  <si>
    <t>삼지전자</t>
  </si>
  <si>
    <t>X000097</t>
  </si>
  <si>
    <t>삼환기업</t>
  </si>
  <si>
    <t>조현우/신용화</t>
  </si>
  <si>
    <t>X001274</t>
  </si>
  <si>
    <t>새로닉스</t>
  </si>
  <si>
    <t>X001114</t>
  </si>
  <si>
    <t>샘표</t>
  </si>
  <si>
    <t>X000864</t>
  </si>
  <si>
    <t>서플러스브로벌</t>
  </si>
  <si>
    <t>X000959</t>
  </si>
  <si>
    <t>선앤엘인테리어(구,선창아이티에스)</t>
  </si>
  <si>
    <t>X000067</t>
  </si>
  <si>
    <t>선진</t>
  </si>
  <si>
    <t>X000894</t>
  </si>
  <si>
    <t>세동</t>
  </si>
  <si>
    <t>X000996</t>
  </si>
  <si>
    <t>세라젬</t>
  </si>
  <si>
    <t>X000617</t>
  </si>
  <si>
    <t>X000409</t>
  </si>
  <si>
    <t>세아베스틸</t>
  </si>
  <si>
    <t>X000622</t>
  </si>
  <si>
    <t>X000692</t>
  </si>
  <si>
    <t>X000913</t>
  </si>
  <si>
    <t>X001288</t>
  </si>
  <si>
    <t>센코</t>
  </si>
  <si>
    <t>X001189</t>
  </si>
  <si>
    <t>센코어테크</t>
  </si>
  <si>
    <t>X000915</t>
  </si>
  <si>
    <t>센트랄모텍</t>
  </si>
  <si>
    <t>X001295</t>
  </si>
  <si>
    <t>센트럴인사이트</t>
  </si>
  <si>
    <t>X001395</t>
  </si>
  <si>
    <t>X000772</t>
  </si>
  <si>
    <t>X001185</t>
  </si>
  <si>
    <t>소시어스</t>
  </si>
  <si>
    <t>X001128</t>
  </si>
  <si>
    <t>솔고바이오메디칼</t>
  </si>
  <si>
    <t>X001394</t>
  </si>
  <si>
    <t>X000201</t>
  </si>
  <si>
    <t>슈프리마에이치큐(구,슈프리마)</t>
  </si>
  <si>
    <t>X001133</t>
  </si>
  <si>
    <t>슈피겐코리아</t>
  </si>
  <si>
    <t>X001399</t>
  </si>
  <si>
    <t>X000951</t>
  </si>
  <si>
    <t>스노우</t>
  </si>
  <si>
    <t>X001087</t>
  </si>
  <si>
    <t>스마트로</t>
  </si>
  <si>
    <t>X001188</t>
  </si>
  <si>
    <t>스마트스터디</t>
  </si>
  <si>
    <t>X000481</t>
  </si>
  <si>
    <t>스몰랩</t>
  </si>
  <si>
    <t>X000511</t>
  </si>
  <si>
    <t>스킨앤스킨(구,엠비케이)</t>
  </si>
  <si>
    <t>X001053</t>
  </si>
  <si>
    <t>스튜디오썸머</t>
  </si>
  <si>
    <t>X001375</t>
  </si>
  <si>
    <t>X001190</t>
  </si>
  <si>
    <t>스틸에잇</t>
  </si>
  <si>
    <t>X001365</t>
  </si>
  <si>
    <t>스패로우</t>
  </si>
  <si>
    <t>X000944</t>
  </si>
  <si>
    <t>스프랏코리아</t>
  </si>
  <si>
    <t>X000952</t>
  </si>
  <si>
    <t>스프링캠프</t>
  </si>
  <si>
    <t>X001339</t>
  </si>
  <si>
    <t>시그넷이브이</t>
  </si>
  <si>
    <t>X001178</t>
  </si>
  <si>
    <t>시너지미디어</t>
  </si>
  <si>
    <t>X000888</t>
  </si>
  <si>
    <t>박재용/김민지</t>
  </si>
  <si>
    <t>X000954</t>
  </si>
  <si>
    <t>시너지파트너스</t>
  </si>
  <si>
    <t>X001403</t>
  </si>
  <si>
    <t>X000168</t>
  </si>
  <si>
    <t>신성에프에이</t>
  </si>
  <si>
    <t>X001136</t>
  </si>
  <si>
    <t>신세계아이앤씨</t>
  </si>
  <si>
    <t>X001045</t>
  </si>
  <si>
    <t>X001061</t>
  </si>
  <si>
    <t>써머스플랫폼</t>
  </si>
  <si>
    <t>X000435</t>
  </si>
  <si>
    <t>썸에이지</t>
  </si>
  <si>
    <t>X001266</t>
  </si>
  <si>
    <t>쓰리디메디비젼</t>
  </si>
  <si>
    <t>X001022</t>
  </si>
  <si>
    <t>쓰리디팩토리</t>
  </si>
  <si>
    <t>X001160</t>
  </si>
  <si>
    <t>쓰리에이로직스</t>
  </si>
  <si>
    <t>윤혜림</t>
  </si>
  <si>
    <t>X001079</t>
  </si>
  <si>
    <t>씨앤씨인터내셔널</t>
  </si>
  <si>
    <t>X001304</t>
  </si>
  <si>
    <t>씨어스테크놀로지</t>
  </si>
  <si>
    <t>X001067</t>
  </si>
  <si>
    <t>X000926</t>
  </si>
  <si>
    <t>X001369</t>
  </si>
  <si>
    <t>씨에스에너지</t>
  </si>
  <si>
    <t>X001221</t>
  </si>
  <si>
    <t>씨에스에이코스믹</t>
  </si>
  <si>
    <t>이정우</t>
  </si>
  <si>
    <t>X001113</t>
  </si>
  <si>
    <t>씨엔씨티에너지</t>
  </si>
  <si>
    <t>이준혁/서경덕</t>
  </si>
  <si>
    <t>X000699</t>
  </si>
  <si>
    <t>씨엔아이</t>
  </si>
  <si>
    <t>X001106</t>
  </si>
  <si>
    <t>X000987</t>
  </si>
  <si>
    <t>씨유박스</t>
  </si>
  <si>
    <t>X001212</t>
  </si>
  <si>
    <t>아르고</t>
  </si>
  <si>
    <t>X000633</t>
  </si>
  <si>
    <t>아모그린텍</t>
  </si>
  <si>
    <t>X000631</t>
  </si>
  <si>
    <t>아모센스</t>
  </si>
  <si>
    <t>X000105</t>
  </si>
  <si>
    <t>아미노로직스</t>
  </si>
  <si>
    <t>X000176</t>
  </si>
  <si>
    <t>X001402</t>
  </si>
  <si>
    <t>X000524</t>
  </si>
  <si>
    <t>아스트</t>
  </si>
  <si>
    <t>X000839</t>
  </si>
  <si>
    <t>아스플로</t>
  </si>
  <si>
    <t>X001181</t>
  </si>
  <si>
    <t>아이나비시스템즈</t>
  </si>
  <si>
    <t>X000139</t>
  </si>
  <si>
    <t>아이덴티티게임즈</t>
  </si>
  <si>
    <t>X001042</t>
  </si>
  <si>
    <t>아이브스</t>
  </si>
  <si>
    <t>안해균</t>
  </si>
  <si>
    <t>X001337</t>
  </si>
  <si>
    <t>아이빔테크놀로지</t>
  </si>
  <si>
    <t>X001244</t>
  </si>
  <si>
    <t>아이씨엠</t>
  </si>
  <si>
    <t>X000949</t>
  </si>
  <si>
    <t>아이아이컴바인드</t>
  </si>
  <si>
    <t>X001135</t>
  </si>
  <si>
    <t>아이에스동서</t>
  </si>
  <si>
    <t>X000211</t>
  </si>
  <si>
    <t>아이에스시</t>
  </si>
  <si>
    <t>X000998</t>
  </si>
  <si>
    <t>아이에스이커머스</t>
  </si>
  <si>
    <t>정윤화/이가영</t>
  </si>
  <si>
    <t>X001408</t>
  </si>
  <si>
    <t>X001105</t>
  </si>
  <si>
    <t>아이엠아이</t>
  </si>
  <si>
    <t>X001416</t>
  </si>
  <si>
    <t>X000421</t>
  </si>
  <si>
    <t>X000999</t>
  </si>
  <si>
    <t>아이오케이컴퍼니</t>
  </si>
  <si>
    <t>X001283</t>
  </si>
  <si>
    <t>아이원바이오</t>
  </si>
  <si>
    <t>X001166</t>
  </si>
  <si>
    <t>X001232</t>
  </si>
  <si>
    <t>아이투맥스</t>
  </si>
  <si>
    <t>X001235</t>
  </si>
  <si>
    <t>아주스틸</t>
  </si>
  <si>
    <t>박재용/김민희</t>
  </si>
  <si>
    <t>X001077</t>
  </si>
  <si>
    <t>아진피앤피</t>
  </si>
  <si>
    <t>X000994</t>
  </si>
  <si>
    <t>아퓨어스(구,메디키네틱스)</t>
  </si>
  <si>
    <t>X001388</t>
  </si>
  <si>
    <t>X000852</t>
  </si>
  <si>
    <t>안지오랩</t>
  </si>
  <si>
    <t>X001236</t>
  </si>
  <si>
    <t>알멕</t>
  </si>
  <si>
    <t>X001132</t>
  </si>
  <si>
    <t>알비더블유</t>
  </si>
  <si>
    <t>X001325</t>
  </si>
  <si>
    <t>알에프시스템즈(구,비앤씨테크)</t>
  </si>
  <si>
    <t>김범준</t>
  </si>
  <si>
    <t>X001199</t>
  </si>
  <si>
    <t>알엔에이홀딩스</t>
  </si>
  <si>
    <t>X001103</t>
  </si>
  <si>
    <t>알케이드코리아</t>
  </si>
  <si>
    <t>X001366</t>
  </si>
  <si>
    <t>X001230</t>
  </si>
  <si>
    <t>애드엑스</t>
  </si>
  <si>
    <t>허정욱/최지혜/최정배</t>
  </si>
  <si>
    <t>X001391</t>
  </si>
  <si>
    <t>X001183</t>
  </si>
  <si>
    <t>앤앤컴퍼니</t>
  </si>
  <si>
    <t>X001025</t>
  </si>
  <si>
    <t>앱코</t>
  </si>
  <si>
    <t>X000449</t>
  </si>
  <si>
    <t>얼라인드제네틱스(구,로고스바이오시스템스)</t>
  </si>
  <si>
    <t>X000902</t>
  </si>
  <si>
    <t>얼반웍스</t>
  </si>
  <si>
    <t>X000807</t>
  </si>
  <si>
    <t>에너전트(구,젬백스테크놀러지)</t>
  </si>
  <si>
    <t>X000142</t>
  </si>
  <si>
    <t>X000722</t>
  </si>
  <si>
    <t>에빅스젠</t>
  </si>
  <si>
    <t>X001312</t>
  </si>
  <si>
    <t>에스디에이</t>
  </si>
  <si>
    <t>X000808</t>
  </si>
  <si>
    <t>에스디옵틱스</t>
  </si>
  <si>
    <t>X000790</t>
  </si>
  <si>
    <t>X000877</t>
  </si>
  <si>
    <t>에스모</t>
  </si>
  <si>
    <t>X001217</t>
  </si>
  <si>
    <t>에스앤에스테크놀로지</t>
  </si>
  <si>
    <t>X001398</t>
  </si>
  <si>
    <t>X000316</t>
  </si>
  <si>
    <t>이준혁/서경덕/박재용/김민지</t>
  </si>
  <si>
    <t>X001048</t>
  </si>
  <si>
    <t>에스엘백시젠</t>
  </si>
  <si>
    <t>X001002</t>
  </si>
  <si>
    <t>에스엠비나</t>
  </si>
  <si>
    <t>X000502</t>
  </si>
  <si>
    <t>에스엠코어(구,신흥기계)</t>
  </si>
  <si>
    <t>X001234</t>
  </si>
  <si>
    <t>에스지에이비엘씨</t>
  </si>
  <si>
    <t>X001373</t>
  </si>
  <si>
    <t>X001090</t>
  </si>
  <si>
    <t>에스케이종합화학</t>
  </si>
  <si>
    <t>X001107</t>
  </si>
  <si>
    <t>에스케이트레이딩인터내셔널</t>
  </si>
  <si>
    <t>X000803</t>
  </si>
  <si>
    <t>X001254</t>
  </si>
  <si>
    <t>X001329</t>
  </si>
  <si>
    <t>에쓰푸드</t>
  </si>
  <si>
    <t>X001242</t>
  </si>
  <si>
    <t>에이디엠바이오사이언스</t>
  </si>
  <si>
    <t>X000769</t>
  </si>
  <si>
    <t>에이디칩스</t>
  </si>
  <si>
    <t>X000315</t>
  </si>
  <si>
    <t>에이디테크놀로지</t>
  </si>
  <si>
    <t>X000280</t>
  </si>
  <si>
    <t>에이비온</t>
  </si>
  <si>
    <t>X001137</t>
  </si>
  <si>
    <t>에이비프로바이오</t>
  </si>
  <si>
    <t>X001206</t>
  </si>
  <si>
    <t>에이앤피커뮤니케이션즈</t>
  </si>
  <si>
    <t>X001298</t>
  </si>
  <si>
    <t>에이엔비코리아</t>
  </si>
  <si>
    <t>X001069</t>
  </si>
  <si>
    <t>에이엘티</t>
  </si>
  <si>
    <t>X000591</t>
  </si>
  <si>
    <t>에이엠텔레콤</t>
  </si>
  <si>
    <t>X001413</t>
  </si>
  <si>
    <t>X001332</t>
  </si>
  <si>
    <t>에이치디씨아이서비스</t>
  </si>
  <si>
    <t>X000124</t>
  </si>
  <si>
    <t>에이치디씨아이앤콘스</t>
  </si>
  <si>
    <t>X000023</t>
  </si>
  <si>
    <t>에이치디씨아이콘트롤스(구,아이콘트롤스)</t>
  </si>
  <si>
    <t>X000932</t>
  </si>
  <si>
    <t>에이치비테크놀러지</t>
  </si>
  <si>
    <t>X001278</t>
  </si>
  <si>
    <t>박명진</t>
  </si>
  <si>
    <t>X001270</t>
  </si>
  <si>
    <t>최정배/정병열</t>
  </si>
  <si>
    <t>X001086</t>
  </si>
  <si>
    <t>에이테크오토모티브</t>
  </si>
  <si>
    <t>X000989</t>
  </si>
  <si>
    <t>에이텍티앤</t>
  </si>
  <si>
    <t>X001141</t>
  </si>
  <si>
    <t>에이투젠</t>
  </si>
  <si>
    <t>X000146</t>
  </si>
  <si>
    <t>X001340</t>
  </si>
  <si>
    <t>에이프로젠헬스케어앤게임즈</t>
  </si>
  <si>
    <t>X001387</t>
  </si>
  <si>
    <t>X001354</t>
  </si>
  <si>
    <t>에프앤씨엔터테인먼트</t>
  </si>
  <si>
    <t>X001100</t>
  </si>
  <si>
    <t>에프에스케이엘앤에스</t>
  </si>
  <si>
    <t>X001104</t>
  </si>
  <si>
    <t>에프에스티</t>
  </si>
  <si>
    <t>X001222</t>
  </si>
  <si>
    <t>엑소코바이오</t>
  </si>
  <si>
    <t>X001198</t>
  </si>
  <si>
    <t>엑스게이트</t>
  </si>
  <si>
    <t>X001050</t>
  </si>
  <si>
    <t>엑티브온</t>
  </si>
  <si>
    <t>X000857</t>
  </si>
  <si>
    <t>엔드림</t>
  </si>
  <si>
    <t>X000754</t>
  </si>
  <si>
    <t>X000890</t>
  </si>
  <si>
    <t>엔베스터</t>
  </si>
  <si>
    <t>X000778</t>
  </si>
  <si>
    <t>엔브이에이치코리아</t>
  </si>
  <si>
    <t>X000812</t>
  </si>
  <si>
    <t>엔비레즈</t>
  </si>
  <si>
    <t>X001017</t>
  </si>
  <si>
    <t>엔비지</t>
  </si>
  <si>
    <t>X000814</t>
  </si>
  <si>
    <t>엔시트론</t>
  </si>
  <si>
    <t>X000632</t>
  </si>
  <si>
    <t>엔쓰리엔</t>
  </si>
  <si>
    <t>X000371</t>
  </si>
  <si>
    <t>엔에스엠</t>
  </si>
  <si>
    <t>X001231</t>
  </si>
  <si>
    <t>엔에이치엔에듀</t>
  </si>
  <si>
    <t>X001075</t>
  </si>
  <si>
    <t>엔에프</t>
  </si>
  <si>
    <t>X000997</t>
  </si>
  <si>
    <t>엔젠바이오</t>
  </si>
  <si>
    <t>X001099</t>
  </si>
  <si>
    <t>김도형/조현우</t>
  </si>
  <si>
    <t>X001336</t>
  </si>
  <si>
    <t>엔지온</t>
  </si>
  <si>
    <t>X000286</t>
  </si>
  <si>
    <t>X000571</t>
  </si>
  <si>
    <t>엘앤씨바이오</t>
  </si>
  <si>
    <t>X000285</t>
  </si>
  <si>
    <t>엘앤에프</t>
  </si>
  <si>
    <t>X000984</t>
  </si>
  <si>
    <t>엘에프푸드</t>
  </si>
  <si>
    <t>X000025</t>
  </si>
  <si>
    <t>엘지디스플레이</t>
  </si>
  <si>
    <t>X001292</t>
  </si>
  <si>
    <t>엘피케이로보틱스</t>
  </si>
  <si>
    <t>X001143</t>
  </si>
  <si>
    <t>엠디헬스케어</t>
  </si>
  <si>
    <t>X001033</t>
  </si>
  <si>
    <t>엠아이텍</t>
  </si>
  <si>
    <t>X001083</t>
  </si>
  <si>
    <t>엠에이치에탄올</t>
  </si>
  <si>
    <t>X001327</t>
  </si>
  <si>
    <t>엠젠플러스</t>
  </si>
  <si>
    <t>X001352</t>
  </si>
  <si>
    <t>엠큐렉스</t>
  </si>
  <si>
    <t>X000300</t>
  </si>
  <si>
    <t>엠텍비젼</t>
  </si>
  <si>
    <t>X001066</t>
  </si>
  <si>
    <t>엠투아이코퍼레이션</t>
  </si>
  <si>
    <t>X000710</t>
  </si>
  <si>
    <t>엠플러스(비상장)</t>
  </si>
  <si>
    <t>X001276</t>
  </si>
  <si>
    <t>영림산업</t>
  </si>
  <si>
    <t>X000712</t>
  </si>
  <si>
    <t>영실업</t>
  </si>
  <si>
    <t>X001346</t>
  </si>
  <si>
    <t>영인기술</t>
  </si>
  <si>
    <t>X001144</t>
  </si>
  <si>
    <t>예스파워테크닉스</t>
  </si>
  <si>
    <t>X001043</t>
  </si>
  <si>
    <t>옐로디지털마케팅</t>
  </si>
  <si>
    <t>X001102</t>
  </si>
  <si>
    <t>오비고</t>
  </si>
  <si>
    <t>X001197</t>
  </si>
  <si>
    <t>오성연료전지</t>
  </si>
  <si>
    <t>X000884</t>
  </si>
  <si>
    <t>오스틴제약</t>
  </si>
  <si>
    <t>X000881</t>
  </si>
  <si>
    <t>오이지소프트</t>
  </si>
  <si>
    <t>X001058</t>
  </si>
  <si>
    <t>오하임아이엔티</t>
  </si>
  <si>
    <t>X001334</t>
  </si>
  <si>
    <t>온코닉테라퓨틱스</t>
  </si>
  <si>
    <t>X000908</t>
  </si>
  <si>
    <t>온코크로스</t>
  </si>
  <si>
    <t>X000760</t>
  </si>
  <si>
    <t>X001029</t>
  </si>
  <si>
    <t>X000186</t>
  </si>
  <si>
    <t>와이디생명과학</t>
  </si>
  <si>
    <t>X000065</t>
  </si>
  <si>
    <t>와이엠씨</t>
  </si>
  <si>
    <t>X000682</t>
  </si>
  <si>
    <t>와이제이엠게임즈</t>
  </si>
  <si>
    <t>X001314</t>
  </si>
  <si>
    <t>와이즈얼라이언스</t>
  </si>
  <si>
    <t>X001150</t>
  </si>
  <si>
    <t>와이팜</t>
  </si>
  <si>
    <t>X001233</t>
  </si>
  <si>
    <t>요즈마비엠텍</t>
  </si>
  <si>
    <t>X001253</t>
  </si>
  <si>
    <t>용마로지스</t>
  </si>
  <si>
    <t>X000929</t>
  </si>
  <si>
    <t>용산피에프브이</t>
  </si>
  <si>
    <t>Y000310</t>
  </si>
  <si>
    <t>레이크우드파트너스</t>
  </si>
  <si>
    <t>Y000257</t>
  </si>
  <si>
    <t>로드스톤프라이빗에쿼티</t>
  </si>
  <si>
    <t>Y000276</t>
  </si>
  <si>
    <t>루터프라이빗에쿼티(구,루터어소시에잇코리아)</t>
  </si>
  <si>
    <t>Y000298</t>
  </si>
  <si>
    <t>Y000218</t>
  </si>
  <si>
    <t>린드먼아시아인베스트먼트</t>
  </si>
  <si>
    <t>이현승(신승철1/6)</t>
  </si>
  <si>
    <t>Y000395</t>
  </si>
  <si>
    <t>링크자산운용</t>
  </si>
  <si>
    <t>Y000393</t>
  </si>
  <si>
    <t>마이다스에셋자산운용</t>
  </si>
  <si>
    <t>Y000256</t>
  </si>
  <si>
    <t>매커스인베스트먼트</t>
  </si>
  <si>
    <t>Y000326</t>
  </si>
  <si>
    <t>맥쿼리자산운용(구,맥쿼리코리아오퍼튜니티즈운용)</t>
  </si>
  <si>
    <t>Y000365</t>
  </si>
  <si>
    <t>메디톡스벤처투자</t>
  </si>
  <si>
    <t>Y000259</t>
  </si>
  <si>
    <t>메리츠종금증권</t>
  </si>
  <si>
    <t>Y000299</t>
  </si>
  <si>
    <t>Y000325</t>
  </si>
  <si>
    <t>Y000206</t>
  </si>
  <si>
    <t>Y000234</t>
  </si>
  <si>
    <t>메리츠종금증권(솔루션팀)(구,신탁팀)</t>
  </si>
  <si>
    <t>Y000026</t>
  </si>
  <si>
    <t>Y000377</t>
  </si>
  <si>
    <t>메리츠증권(AI팀)</t>
  </si>
  <si>
    <t>Y000236</t>
  </si>
  <si>
    <t>Y000409</t>
  </si>
  <si>
    <t>Y000207</t>
  </si>
  <si>
    <t>Y000381</t>
  </si>
  <si>
    <t>메리츠증권(신기술금융팀)</t>
  </si>
  <si>
    <t>이준혁/김민지/신용화</t>
  </si>
  <si>
    <t>Y000304</t>
  </si>
  <si>
    <t>메리츠증권(유동화금융1팀)</t>
  </si>
  <si>
    <t>Y000005</t>
  </si>
  <si>
    <t>Y000328</t>
  </si>
  <si>
    <t>Y000161</t>
  </si>
  <si>
    <t>모아저축은행</t>
  </si>
  <si>
    <t>Y000403</t>
  </si>
  <si>
    <t>모하비인베스트먼트</t>
  </si>
  <si>
    <t>Y000335</t>
  </si>
  <si>
    <t>무궁화신탁</t>
  </si>
  <si>
    <t>Y000414</t>
  </si>
  <si>
    <t>Y000050</t>
  </si>
  <si>
    <t>무림캐피탈</t>
  </si>
  <si>
    <t>Y000361</t>
  </si>
  <si>
    <t>미래에셋대우</t>
  </si>
  <si>
    <t>Y000015</t>
  </si>
  <si>
    <t>미래에셋대우(PE팀)</t>
  </si>
  <si>
    <t>Y000418</t>
  </si>
  <si>
    <t>Y000346</t>
  </si>
  <si>
    <t>Y000057</t>
  </si>
  <si>
    <t>Y000072</t>
  </si>
  <si>
    <t>미래에셋펀드서비스</t>
  </si>
  <si>
    <t>Y000105</t>
  </si>
  <si>
    <t>브이아이자산운용(구,하이자산운용)</t>
  </si>
  <si>
    <t>Y000011</t>
  </si>
  <si>
    <t>비씨카드</t>
  </si>
  <si>
    <t>Y000407</t>
  </si>
  <si>
    <t>Y000355</t>
  </si>
  <si>
    <t>비엔더블유파이오니어사모투자</t>
  </si>
  <si>
    <t>Y000398</t>
  </si>
  <si>
    <t>비전자산운용</t>
  </si>
  <si>
    <t>Y000307</t>
  </si>
  <si>
    <t>삼성생명보험</t>
  </si>
  <si>
    <t>Y000406</t>
  </si>
  <si>
    <t>삼천리자산운용</t>
  </si>
  <si>
    <t>Y000029</t>
  </si>
  <si>
    <t>상상인증권(구,골든브릿지투자증권)</t>
  </si>
  <si>
    <t>Y000140</t>
  </si>
  <si>
    <t>새마을금고복지회</t>
  </si>
  <si>
    <t>Y000031</t>
  </si>
  <si>
    <t>새마을금고중앙회</t>
  </si>
  <si>
    <t>Y000117</t>
  </si>
  <si>
    <t>서울보증보험</t>
  </si>
  <si>
    <t>서원희</t>
  </si>
  <si>
    <t>Y000296</t>
  </si>
  <si>
    <t>소프트뱅크벤처스</t>
  </si>
  <si>
    <t>Y000250</t>
  </si>
  <si>
    <t>솔본인베스트먼트</t>
  </si>
  <si>
    <t>Y000263</t>
  </si>
  <si>
    <t>수성자산운용</t>
  </si>
  <si>
    <t>Y000223</t>
  </si>
  <si>
    <t>스카이레이크인베스트먼트</t>
  </si>
  <si>
    <t>Y000315</t>
  </si>
  <si>
    <t>스텔라일레븐사모투자</t>
  </si>
  <si>
    <t>Y000197</t>
  </si>
  <si>
    <t>스톤브릿지캐피탈</t>
  </si>
  <si>
    <t>Y000268</t>
  </si>
  <si>
    <t>스틱인베스트먼트</t>
  </si>
  <si>
    <t>Y000318</t>
  </si>
  <si>
    <t>신영에스케이에스공동투자2017사모투자</t>
  </si>
  <si>
    <t>Y000081</t>
  </si>
  <si>
    <t>신영증권</t>
  </si>
  <si>
    <t>Y000366</t>
  </si>
  <si>
    <t>신영증권(PE팀)</t>
  </si>
  <si>
    <t>Y000033</t>
  </si>
  <si>
    <t>신한BNP파리바자산운용</t>
  </si>
  <si>
    <t>Y000133</t>
  </si>
  <si>
    <t>신한대체투자운용(구,신한프라이빗에쿼티)</t>
  </si>
  <si>
    <t>이준혁/유재호</t>
  </si>
  <si>
    <t>Y000137</t>
  </si>
  <si>
    <t>신한벤처투자(구,네오플럭스)</t>
  </si>
  <si>
    <t>Y000034</t>
  </si>
  <si>
    <t>신한제2호사모투자전문회사</t>
  </si>
  <si>
    <t>Y000039</t>
  </si>
  <si>
    <t>신한캐피탈</t>
  </si>
  <si>
    <t>Y000292</t>
  </si>
  <si>
    <t>신한회계법인</t>
  </si>
  <si>
    <t>Y000387</t>
  </si>
  <si>
    <t>씨스퀘어자산운용</t>
  </si>
  <si>
    <t>Y000285</t>
  </si>
  <si>
    <t>아르케인베스트먼트(구,브라만인베스트먼트)</t>
  </si>
  <si>
    <t>Y000159</t>
  </si>
  <si>
    <t>아샘자산운용(구,아샘투자자문)</t>
  </si>
  <si>
    <t>Y000330</t>
  </si>
  <si>
    <t>아이디지캐피탈파트너스코리아</t>
  </si>
  <si>
    <t>Y000317</t>
  </si>
  <si>
    <t>아이비케이에스케이에스중소중견글로벌투자파트너쉽사모투자전문회사</t>
  </si>
  <si>
    <t>조현우(김도형1/6)</t>
  </si>
  <si>
    <t>Y000170</t>
  </si>
  <si>
    <t>아이엠엠인베스트먼트</t>
  </si>
  <si>
    <t>Y000138</t>
  </si>
  <si>
    <t>아이엠엠프라이빗에쿼티</t>
  </si>
  <si>
    <t>Y000231</t>
  </si>
  <si>
    <t>Y000300</t>
  </si>
  <si>
    <t>아주아이비투자</t>
  </si>
  <si>
    <t>Y000396</t>
  </si>
  <si>
    <t>아주좋은사모투자</t>
  </si>
  <si>
    <t>Y000291</t>
  </si>
  <si>
    <t>알바트로스인베스트먼트</t>
  </si>
  <si>
    <t>Y000373</t>
  </si>
  <si>
    <t>Y000404</t>
  </si>
  <si>
    <t>Y000392</t>
  </si>
  <si>
    <t>액티스코리아파트너스</t>
  </si>
  <si>
    <t>Y000060</t>
  </si>
  <si>
    <t>어펄마캐피탈(구,스탠다드차타드프라이빗에쿼티)</t>
  </si>
  <si>
    <t>Y000253</t>
  </si>
  <si>
    <t>에너지인프라자산운용</t>
  </si>
  <si>
    <t>Y000386</t>
  </si>
  <si>
    <t>에버그린투자파트너스</t>
  </si>
  <si>
    <t>Y000295</t>
  </si>
  <si>
    <t>에스모인베스트먼트</t>
  </si>
  <si>
    <t>Y000092</t>
  </si>
  <si>
    <t>에스비아이인베스트먼트</t>
  </si>
  <si>
    <t>Y000423</t>
  </si>
  <si>
    <t>Y000334</t>
  </si>
  <si>
    <t>에스제이엘파트너스</t>
  </si>
  <si>
    <t>Y000405</t>
  </si>
  <si>
    <t>에스지프라이빗에쿼티</t>
  </si>
  <si>
    <t>Y000267</t>
  </si>
  <si>
    <t>에스케이에스프라이빗에쿼티(구,SK증권 PE사업부)</t>
  </si>
  <si>
    <t>Y000351</t>
  </si>
  <si>
    <t>에스피자산운용</t>
  </si>
  <si>
    <t>Y000270</t>
  </si>
  <si>
    <t>에이치앤큐코리아파트너스</t>
  </si>
  <si>
    <t>Y000278</t>
  </si>
  <si>
    <t>에이플러스에셋어드바이저</t>
  </si>
  <si>
    <t>Y000336</t>
  </si>
  <si>
    <t>에코바이오홀딩스</t>
  </si>
  <si>
    <t>최지혜/전영환</t>
  </si>
  <si>
    <t>Y000329</t>
  </si>
  <si>
    <t>에코캐피탈</t>
  </si>
  <si>
    <t>Y000303</t>
  </si>
  <si>
    <t>엔에스파트너스</t>
  </si>
  <si>
    <t>Y000397</t>
  </si>
  <si>
    <t>엔에이치아주아이비중소중견그로쓰2013사모투자전문회사</t>
  </si>
  <si>
    <t>Y000241</t>
  </si>
  <si>
    <t>엘비프라이빗에쿼티</t>
  </si>
  <si>
    <t>Y000385</t>
  </si>
  <si>
    <t>엘케이자산운용</t>
  </si>
  <si>
    <t>Y000301</t>
  </si>
  <si>
    <t>엠벤처투자</t>
  </si>
  <si>
    <t>Y000364</t>
  </si>
  <si>
    <t>엠엔씨혁신성장사모투자</t>
  </si>
  <si>
    <t>Y000279</t>
  </si>
  <si>
    <t>열림파트너스</t>
  </si>
  <si>
    <t>Y000331</t>
  </si>
  <si>
    <t>오라이언자산운용</t>
  </si>
  <si>
    <t>Y000324</t>
  </si>
  <si>
    <t>오비트파트너스</t>
  </si>
  <si>
    <t>Y000360</t>
  </si>
  <si>
    <t>오퍼스프라이빗에퀴티</t>
  </si>
  <si>
    <t>Y000400</t>
  </si>
  <si>
    <t>옵투스자산운용</t>
  </si>
  <si>
    <t>Y000415</t>
  </si>
  <si>
    <t>Y000230</t>
  </si>
  <si>
    <t>우리기술투자</t>
  </si>
  <si>
    <t>Y000024</t>
  </si>
  <si>
    <t>우리종합금융</t>
  </si>
  <si>
    <t>Y000327</t>
  </si>
  <si>
    <t>우리한화유레카사모투자</t>
  </si>
  <si>
    <t>Z000001</t>
  </si>
  <si>
    <t>공무원연금공단</t>
  </si>
  <si>
    <t>Z000012</t>
  </si>
  <si>
    <t>주택도시보증공사</t>
  </si>
  <si>
    <t>Z000013</t>
  </si>
  <si>
    <t>한국도로공사</t>
  </si>
  <si>
    <t>Z000014</t>
  </si>
  <si>
    <t>부산항만공사</t>
  </si>
  <si>
    <t>W000271</t>
  </si>
  <si>
    <t>유진저축은행</t>
  </si>
  <si>
    <t>W000211</t>
  </si>
  <si>
    <t>유투바이오</t>
  </si>
  <si>
    <t>W000396</t>
  </si>
  <si>
    <t>유틸렉스</t>
  </si>
  <si>
    <t>W000353</t>
  </si>
  <si>
    <t>이노벡스</t>
  </si>
  <si>
    <t>X001361</t>
  </si>
  <si>
    <t>우경정보기술</t>
  </si>
  <si>
    <t>X001142</t>
  </si>
  <si>
    <t>김도형/신승철</t>
  </si>
  <si>
    <t>X001003</t>
  </si>
  <si>
    <t>W000376</t>
  </si>
  <si>
    <t>이노테라피</t>
  </si>
  <si>
    <t>X001224</t>
  </si>
  <si>
    <t>우리들휴브레인(비상장)</t>
  </si>
  <si>
    <t>X000705</t>
  </si>
  <si>
    <t>우리로</t>
  </si>
  <si>
    <t>X001082</t>
  </si>
  <si>
    <t>우진</t>
  </si>
  <si>
    <t>X001216</t>
  </si>
  <si>
    <t>우진비앤지</t>
  </si>
  <si>
    <t>X000718</t>
  </si>
  <si>
    <t>X001057</t>
  </si>
  <si>
    <t>워너뮤직코리아</t>
  </si>
  <si>
    <t>W000111</t>
  </si>
  <si>
    <t>이더블유케이</t>
  </si>
  <si>
    <t>X001392</t>
  </si>
  <si>
    <t>X001110</t>
  </si>
  <si>
    <t>웰리브</t>
  </si>
  <si>
    <t>X000684</t>
  </si>
  <si>
    <t>위노바</t>
  </si>
  <si>
    <t>W000500</t>
  </si>
  <si>
    <t>이도헬스케어</t>
  </si>
  <si>
    <t>Y000135</t>
  </si>
  <si>
    <t>원익투자파트너스</t>
  </si>
  <si>
    <t>Y000308</t>
  </si>
  <si>
    <t>웨일인베스트먼트</t>
  </si>
  <si>
    <t>Y000293</t>
  </si>
  <si>
    <t>Y000164</t>
  </si>
  <si>
    <t>Y000356</t>
  </si>
  <si>
    <t>유레카자산운용</t>
  </si>
  <si>
    <t>전영환</t>
  </si>
  <si>
    <t>W000425</t>
  </si>
  <si>
    <t>이디티</t>
  </si>
  <si>
    <t>W000307</t>
  </si>
  <si>
    <t>이랜시스</t>
  </si>
  <si>
    <t>X001310</t>
  </si>
  <si>
    <t>X001432</t>
  </si>
  <si>
    <t>W000520</t>
  </si>
  <si>
    <t>이미지스테크놀로지</t>
  </si>
  <si>
    <t>Y000045</t>
  </si>
  <si>
    <t>유진자산운용</t>
  </si>
  <si>
    <t>W000598</t>
  </si>
  <si>
    <t>W000597</t>
  </si>
  <si>
    <t>W000174</t>
  </si>
  <si>
    <t>이수앱지스</t>
  </si>
  <si>
    <t>X001431</t>
  </si>
  <si>
    <t>W000434</t>
  </si>
  <si>
    <t>이에셋글로벌</t>
  </si>
  <si>
    <t>W000330</t>
  </si>
  <si>
    <t>이에스브이</t>
  </si>
  <si>
    <t>Y000297</t>
  </si>
  <si>
    <t>W000225</t>
  </si>
  <si>
    <t>이에스에이</t>
  </si>
  <si>
    <t>W000552</t>
  </si>
  <si>
    <t>이엔드디</t>
  </si>
  <si>
    <t>W000177</t>
  </si>
  <si>
    <t>이엔플러스(구,나노메딕스)</t>
  </si>
  <si>
    <t>W000189</t>
  </si>
  <si>
    <t>이엠따블유</t>
  </si>
  <si>
    <t>W000594</t>
  </si>
  <si>
    <t>X001430</t>
  </si>
  <si>
    <t>X001376</t>
  </si>
  <si>
    <t>X000856</t>
  </si>
  <si>
    <t>W000299</t>
  </si>
  <si>
    <t>이엠앤아이(구,케이제이프리텍)</t>
  </si>
  <si>
    <t>W000272</t>
  </si>
  <si>
    <t>이엠코리아</t>
  </si>
  <si>
    <t>Y000112</t>
  </si>
  <si>
    <t>유진투자증권</t>
  </si>
  <si>
    <t>X000971</t>
  </si>
  <si>
    <t>윈스</t>
  </si>
  <si>
    <t>X001065</t>
  </si>
  <si>
    <t>윈스파이어</t>
  </si>
  <si>
    <t>Y000226</t>
  </si>
  <si>
    <t>유진프라이빗에쿼티</t>
  </si>
  <si>
    <t>X001187</t>
  </si>
  <si>
    <t>윙스풋</t>
  </si>
  <si>
    <t>X001005</t>
  </si>
  <si>
    <t>유니테크노</t>
  </si>
  <si>
    <t>Y000425</t>
  </si>
  <si>
    <t>W000539</t>
  </si>
  <si>
    <t>이엠텍</t>
  </si>
  <si>
    <t>X001214</t>
  </si>
  <si>
    <t>유니트론텍</t>
  </si>
  <si>
    <t>T000043</t>
  </si>
  <si>
    <t>DGB캐피탈(수익증권)</t>
  </si>
  <si>
    <t>X001227</t>
  </si>
  <si>
    <t>유라클</t>
  </si>
  <si>
    <t>W000466</t>
  </si>
  <si>
    <t>이오플로우(상장)</t>
  </si>
  <si>
    <t>T000044</t>
  </si>
  <si>
    <t>푸본현대생명보험(수익증권)</t>
  </si>
  <si>
    <t>T000045</t>
  </si>
  <si>
    <t>에이비엘생명보험(수익증권)</t>
  </si>
  <si>
    <t>W000375</t>
  </si>
  <si>
    <t>이즈미디어</t>
  </si>
  <si>
    <t>W000340</t>
  </si>
  <si>
    <t>인산가</t>
  </si>
  <si>
    <t>Y000316</t>
  </si>
  <si>
    <t>이상파트너스</t>
  </si>
  <si>
    <t>W000551</t>
  </si>
  <si>
    <t>인아이앤벤처스</t>
  </si>
  <si>
    <t>T000046</t>
  </si>
  <si>
    <t>T000047</t>
  </si>
  <si>
    <t>흥국화재해상보험(수익증권)</t>
  </si>
  <si>
    <t>김기욱/정창수</t>
  </si>
  <si>
    <t>W000445</t>
  </si>
  <si>
    <t>인지컨트롤스</t>
  </si>
  <si>
    <t>W000227</t>
  </si>
  <si>
    <t>인콘</t>
  </si>
  <si>
    <t>W000157</t>
  </si>
  <si>
    <t>인터로조</t>
  </si>
  <si>
    <t>W000081</t>
  </si>
  <si>
    <t>인터불스</t>
  </si>
  <si>
    <t>W000035</t>
  </si>
  <si>
    <t>인텔리안테크놀로지스</t>
  </si>
  <si>
    <t>W000596</t>
  </si>
  <si>
    <t>X001091</t>
  </si>
  <si>
    <t>X000308</t>
  </si>
  <si>
    <t>유테크</t>
  </si>
  <si>
    <t>정윤화/신현상</t>
  </si>
  <si>
    <t>X001028</t>
  </si>
  <si>
    <t>유펙스메드</t>
  </si>
  <si>
    <t>W000378</t>
  </si>
  <si>
    <t>일동제약</t>
  </si>
  <si>
    <t>X001030</t>
  </si>
  <si>
    <t>유펙스켐</t>
  </si>
  <si>
    <t>X001080</t>
  </si>
  <si>
    <t>유한양행</t>
  </si>
  <si>
    <t>W000134</t>
  </si>
  <si>
    <t>잉크테크</t>
  </si>
  <si>
    <t>X000254</t>
  </si>
  <si>
    <t>이그잭스</t>
  </si>
  <si>
    <t>X000918</t>
  </si>
  <si>
    <t>이노룰스</t>
  </si>
  <si>
    <t>X001139</t>
  </si>
  <si>
    <t>이니바이오</t>
  </si>
  <si>
    <t>X001347</t>
  </si>
  <si>
    <t>이데일리</t>
  </si>
  <si>
    <t>X000103</t>
  </si>
  <si>
    <t>이랜드월드</t>
  </si>
  <si>
    <t>X000968</t>
  </si>
  <si>
    <t>이마트에브리데이</t>
  </si>
  <si>
    <t>W000518</t>
  </si>
  <si>
    <t>자비스</t>
  </si>
  <si>
    <t>W000555</t>
  </si>
  <si>
    <t>자안코스메틱</t>
  </si>
  <si>
    <t>자연과환경</t>
  </si>
  <si>
    <t>A000045</t>
  </si>
  <si>
    <t>롯데정보통신</t>
  </si>
  <si>
    <t>X000550</t>
  </si>
  <si>
    <t>이매진아시아(구,웰메이드예당)</t>
  </si>
  <si>
    <t>Y000158</t>
  </si>
  <si>
    <t>이스트브릿지파트너스</t>
  </si>
  <si>
    <t>Y000319</t>
  </si>
  <si>
    <t>이앤벤처파트너스</t>
  </si>
  <si>
    <t>W000338</t>
  </si>
  <si>
    <t>잘만테크</t>
  </si>
  <si>
    <t>W000314</t>
  </si>
  <si>
    <t>재영솔루텍</t>
  </si>
  <si>
    <t>W000570</t>
  </si>
  <si>
    <t>재영아이텍</t>
  </si>
  <si>
    <t>W000118</t>
  </si>
  <si>
    <t>전진바이오팜</t>
  </si>
  <si>
    <t>W000455</t>
  </si>
  <si>
    <t>정산컴퍼니</t>
  </si>
  <si>
    <t>X000818</t>
  </si>
  <si>
    <t>이비덴그라파이트코리아</t>
  </si>
  <si>
    <t>X000914</t>
  </si>
  <si>
    <t>이스타항공</t>
  </si>
  <si>
    <t>W000068</t>
  </si>
  <si>
    <t>제넥신(상장)</t>
  </si>
  <si>
    <t>W000037</t>
  </si>
  <si>
    <t>제넨바이오(상장)</t>
  </si>
  <si>
    <t>X001052</t>
  </si>
  <si>
    <t>이씨스</t>
  </si>
  <si>
    <t>W000290</t>
  </si>
  <si>
    <t>제노텍</t>
  </si>
  <si>
    <t>X001313</t>
  </si>
  <si>
    <t>이앤컴퍼니</t>
  </si>
  <si>
    <t>W000407</t>
  </si>
  <si>
    <t>제놀루션</t>
  </si>
  <si>
    <t>X001296</t>
  </si>
  <si>
    <t>W000105</t>
  </si>
  <si>
    <t>제닉</t>
  </si>
  <si>
    <t>W000420</t>
  </si>
  <si>
    <t>제브라투자자문</t>
  </si>
  <si>
    <t>W000084</t>
  </si>
  <si>
    <t>제이엘케이인스펙션</t>
  </si>
  <si>
    <t>W000283</t>
  </si>
  <si>
    <t>제이웨이</t>
  </si>
  <si>
    <t>X000636</t>
  </si>
  <si>
    <t>W000030</t>
  </si>
  <si>
    <t>제이준코스메틱</t>
  </si>
  <si>
    <t>W000576</t>
  </si>
  <si>
    <t>W000354</t>
  </si>
  <si>
    <t>젠큐릭스</t>
  </si>
  <si>
    <t>W000221</t>
  </si>
  <si>
    <t>젬백스앤카엘(상장)</t>
  </si>
  <si>
    <t>W000358</t>
  </si>
  <si>
    <t>젬백스지오</t>
  </si>
  <si>
    <t>W000308</t>
  </si>
  <si>
    <t>조광아이엘아이(상장)</t>
  </si>
  <si>
    <t>X001031</t>
  </si>
  <si>
    <t>X000833</t>
  </si>
  <si>
    <t>W000219</t>
  </si>
  <si>
    <t>조은저축은행(상장)</t>
  </si>
  <si>
    <t>X000901</t>
  </si>
  <si>
    <t>이오플로우</t>
  </si>
  <si>
    <t>X001219</t>
  </si>
  <si>
    <t>이종현유한회사</t>
  </si>
  <si>
    <t>X000850</t>
  </si>
  <si>
    <t>이지바이오</t>
  </si>
  <si>
    <t>W000243</t>
  </si>
  <si>
    <t>조이시티</t>
  </si>
  <si>
    <t>X001258</t>
  </si>
  <si>
    <t>이지홀딩스</t>
  </si>
  <si>
    <t>W000135</t>
  </si>
  <si>
    <t>줌인터넷</t>
  </si>
  <si>
    <t>T000049</t>
  </si>
  <si>
    <t>한국증권금융(수익증권)</t>
  </si>
  <si>
    <t>Y000272</t>
  </si>
  <si>
    <t>이앤인베스트먼트</t>
  </si>
  <si>
    <t>Y000345</t>
  </si>
  <si>
    <t>이후인베스트먼트</t>
  </si>
  <si>
    <t>박솔민/신승철/김민희</t>
  </si>
  <si>
    <t>X000665</t>
  </si>
  <si>
    <t>이츠웰</t>
  </si>
  <si>
    <t>W000064</t>
  </si>
  <si>
    <t>지에스건설</t>
  </si>
  <si>
    <t>X001172</t>
  </si>
  <si>
    <t>이큐셀(구,에스엔텍비엠)</t>
  </si>
  <si>
    <t>B000026</t>
  </si>
  <si>
    <t>삼성증권(Coverage2Team)</t>
  </si>
  <si>
    <t>X000132</t>
  </si>
  <si>
    <t>W000450</t>
  </si>
  <si>
    <t>지엔씨에너지</t>
  </si>
  <si>
    <t>X001204</t>
  </si>
  <si>
    <t>인바이츠헬스케어</t>
  </si>
  <si>
    <t>T000050</t>
  </si>
  <si>
    <t>제이티저축은행(수익증권)</t>
  </si>
  <si>
    <t>X000707</t>
  </si>
  <si>
    <t>인실리코</t>
  </si>
  <si>
    <t>W000112</t>
  </si>
  <si>
    <t>지엠알머티리얼즈</t>
  </si>
  <si>
    <t>X001406</t>
  </si>
  <si>
    <t>B000027</t>
  </si>
  <si>
    <t>X000981</t>
  </si>
  <si>
    <t>인터파크홀딩스</t>
  </si>
  <si>
    <t>W000402</t>
  </si>
  <si>
    <t>지와이커머스</t>
  </si>
  <si>
    <t>W000147</t>
  </si>
  <si>
    <t>진매트릭스</t>
  </si>
  <si>
    <t>X001126</t>
  </si>
  <si>
    <t>인텍플러스</t>
  </si>
  <si>
    <t>B000025</t>
  </si>
  <si>
    <t>삼성증권(부동산금융팀)</t>
  </si>
  <si>
    <t>W000397</t>
  </si>
  <si>
    <t>천랩</t>
  </si>
  <si>
    <t>X001397</t>
  </si>
  <si>
    <t>X000972</t>
  </si>
  <si>
    <t>인포바인</t>
  </si>
  <si>
    <t>X001318</t>
  </si>
  <si>
    <t>일동바이오사이언스</t>
  </si>
  <si>
    <t>W000511</t>
  </si>
  <si>
    <t>청담네트웍스(상장)</t>
  </si>
  <si>
    <t>D000024</t>
  </si>
  <si>
    <t>KTBN16호벤처투자조합</t>
  </si>
  <si>
    <t>D000023</t>
  </si>
  <si>
    <t>KTB GI Ventures Limited</t>
  </si>
  <si>
    <t>X000545</t>
  </si>
  <si>
    <t>Y000344</t>
  </si>
  <si>
    <t>이후인베스트먼트(A&amp;F미래성장투자조합)</t>
  </si>
  <si>
    <t>Y000341</t>
  </si>
  <si>
    <t>이후인베스트먼트(DS-KMCF이후투자조합)</t>
  </si>
  <si>
    <t>W000083</t>
  </si>
  <si>
    <t>초록뱀미디어</t>
  </si>
  <si>
    <t>X000510</t>
  </si>
  <si>
    <t>일신석재</t>
  </si>
  <si>
    <t>B000028</t>
  </si>
  <si>
    <t>에스원</t>
  </si>
  <si>
    <t>T000051</t>
  </si>
  <si>
    <t>대상홀딩스(수익증권)</t>
  </si>
  <si>
    <t>T000052</t>
  </si>
  <si>
    <t>GS리테일(수익증권)</t>
  </si>
  <si>
    <t>E000003</t>
  </si>
  <si>
    <t>유안타인베스트먼트</t>
  </si>
  <si>
    <t>T000053</t>
  </si>
  <si>
    <t>신한캐피탈(수익증권)</t>
  </si>
  <si>
    <t>X000704</t>
  </si>
  <si>
    <t>일신전자</t>
  </si>
  <si>
    <t>Y000342</t>
  </si>
  <si>
    <t>이후인베스트먼트(펀드덕유-이후투자조합2호)</t>
  </si>
  <si>
    <t>T000054</t>
  </si>
  <si>
    <t>칸서스자산운용(수익증권)</t>
  </si>
  <si>
    <t>T000055</t>
  </si>
  <si>
    <t>신한비엔피파리바자산운용(수익증권)</t>
  </si>
  <si>
    <t>X001261</t>
  </si>
  <si>
    <t>자이에스앤디</t>
  </si>
  <si>
    <t>B000029</t>
  </si>
  <si>
    <t>삼성증권</t>
  </si>
  <si>
    <t>Z000003</t>
  </si>
  <si>
    <t>사립학교교직원연금공단</t>
  </si>
  <si>
    <t>W000438</t>
  </si>
  <si>
    <t>카스</t>
  </si>
  <si>
    <t>X001294</t>
  </si>
  <si>
    <t>자화전자</t>
  </si>
  <si>
    <t>X001301</t>
  </si>
  <si>
    <t>X001409</t>
  </si>
  <si>
    <t>W000346</t>
  </si>
  <si>
    <t>카이노스메드</t>
  </si>
  <si>
    <t>T000057</t>
  </si>
  <si>
    <t>롯데오토리스(수익증권)</t>
  </si>
  <si>
    <t>X001205</t>
  </si>
  <si>
    <t>전문건설공제조합</t>
  </si>
  <si>
    <t>X001094</t>
  </si>
  <si>
    <t>전자신문사</t>
  </si>
  <si>
    <t>Y000343</t>
  </si>
  <si>
    <t>이후인베스트먼트(펀드설악-이후투자조합3호)</t>
  </si>
  <si>
    <t>T000058</t>
  </si>
  <si>
    <t>네오위즈홀딩스(수익증권)</t>
  </si>
  <si>
    <t>X001371</t>
  </si>
  <si>
    <t>정일산업</t>
  </si>
  <si>
    <t>X001131</t>
  </si>
  <si>
    <t>제너럴브랜즈</t>
  </si>
  <si>
    <t>X000224</t>
  </si>
  <si>
    <t>제넥신</t>
  </si>
  <si>
    <t>W000170</t>
  </si>
  <si>
    <t>카카오</t>
  </si>
  <si>
    <t>Y000273</t>
  </si>
  <si>
    <t>자비스자산운용</t>
  </si>
  <si>
    <t>X000993</t>
  </si>
  <si>
    <t>제넨바이오</t>
  </si>
  <si>
    <t>T000059</t>
  </si>
  <si>
    <t>키움YES저축은행(수익증권)</t>
  </si>
  <si>
    <t>X001051</t>
  </si>
  <si>
    <t>제노코</t>
  </si>
  <si>
    <t>W000410</t>
  </si>
  <si>
    <t>카카오게임즈</t>
  </si>
  <si>
    <t>W000051</t>
  </si>
  <si>
    <t>카카오엠</t>
  </si>
  <si>
    <t>T000056</t>
  </si>
  <si>
    <t>사립학교교직원연금공단(수익증권)</t>
  </si>
  <si>
    <t>T000060</t>
  </si>
  <si>
    <t>비지에프리테일(수익증권)</t>
  </si>
  <si>
    <t>Y000242</t>
  </si>
  <si>
    <t>전북은행</t>
  </si>
  <si>
    <t>X000289</t>
  </si>
  <si>
    <t>제노포커스</t>
  </si>
  <si>
    <t>X001111</t>
  </si>
  <si>
    <t>B000030</t>
  </si>
  <si>
    <t>삼성전자(SR부문)</t>
  </si>
  <si>
    <t>X001169</t>
  </si>
  <si>
    <t>제이시스메디칼</t>
  </si>
  <si>
    <t>T000061</t>
  </si>
  <si>
    <t>이지스자산운용(수익증권)</t>
  </si>
  <si>
    <t>X001055</t>
  </si>
  <si>
    <t>제이씨엔울산중앙방송</t>
  </si>
  <si>
    <t>X001196</t>
  </si>
  <si>
    <t>제이아이테크</t>
  </si>
  <si>
    <t>X000341</t>
  </si>
  <si>
    <t>제이에이치화학공업</t>
  </si>
  <si>
    <t>X000964</t>
  </si>
  <si>
    <t>제이엠씨</t>
  </si>
  <si>
    <t>X000843</t>
  </si>
  <si>
    <t>제이월드</t>
  </si>
  <si>
    <t>W000008</t>
  </si>
  <si>
    <t>컴퍼니케이파트너스</t>
  </si>
  <si>
    <t>X001311</t>
  </si>
  <si>
    <t>제일약품</t>
  </si>
  <si>
    <t>Y000416</t>
  </si>
  <si>
    <t>X001404</t>
  </si>
  <si>
    <t>X000470</t>
  </si>
  <si>
    <t>Y000221</t>
  </si>
  <si>
    <t>제이케이엘파트너스</t>
  </si>
  <si>
    <t>C000019</t>
  </si>
  <si>
    <t>현대엔지니어링</t>
  </si>
  <si>
    <t>조현우/서경덕</t>
  </si>
  <si>
    <t>T000062</t>
  </si>
  <si>
    <t>현대차투자증권(수익증권)</t>
  </si>
  <si>
    <t>W000533</t>
  </si>
  <si>
    <t>케이만금세기차륜집단유한공사</t>
  </si>
  <si>
    <t>W000335</t>
  </si>
  <si>
    <t>케이비증권(회계부)</t>
  </si>
  <si>
    <t>X000694</t>
  </si>
  <si>
    <t>젬백스앤카엘</t>
  </si>
  <si>
    <t>X001149</t>
  </si>
  <si>
    <t>X000963</t>
  </si>
  <si>
    <t>젬앤컴퍼니</t>
  </si>
  <si>
    <t>W000215</t>
  </si>
  <si>
    <t>케이씨산업</t>
  </si>
  <si>
    <t>X001223</t>
  </si>
  <si>
    <t>조광아이엘아이</t>
  </si>
  <si>
    <t>T000063</t>
  </si>
  <si>
    <t>아이에스동서(수익증권)</t>
  </si>
  <si>
    <t>Y000287</t>
  </si>
  <si>
    <t>제이티저축은행</t>
  </si>
  <si>
    <t>Y000422</t>
  </si>
  <si>
    <t>T000064</t>
  </si>
  <si>
    <t>한국거래소</t>
  </si>
  <si>
    <t>Y000021</t>
  </si>
  <si>
    <t>조은저축은행</t>
  </si>
  <si>
    <t>Y000312</t>
  </si>
  <si>
    <t>중동파이넨스</t>
  </si>
  <si>
    <t>X000723</t>
  </si>
  <si>
    <t>Y000309</t>
  </si>
  <si>
    <t>지마이티자산운용</t>
  </si>
  <si>
    <t>X001112</t>
  </si>
  <si>
    <t>W000541</t>
  </si>
  <si>
    <t>케이에이치글로벌조합</t>
  </si>
  <si>
    <t>Y000363</t>
  </si>
  <si>
    <t>지온인베스트먼트</t>
  </si>
  <si>
    <t>W000139</t>
  </si>
  <si>
    <t>케이에이치바텍</t>
  </si>
  <si>
    <t>W000409</t>
  </si>
  <si>
    <t>케이엔제이</t>
  </si>
  <si>
    <t>W000003</t>
  </si>
  <si>
    <t>케이엠더블유</t>
  </si>
  <si>
    <t>X000973</t>
  </si>
  <si>
    <t>주성엔지니어링</t>
  </si>
  <si>
    <t>W000476</t>
  </si>
  <si>
    <t>케이엠에이치</t>
  </si>
  <si>
    <t>W000478</t>
  </si>
  <si>
    <t>케이엠에이치하이텍</t>
  </si>
  <si>
    <t>X001220</t>
  </si>
  <si>
    <t>쥬비스다이어트</t>
  </si>
  <si>
    <t>X000816</t>
  </si>
  <si>
    <t>지디</t>
  </si>
  <si>
    <t>X001208</t>
  </si>
  <si>
    <t>지에프</t>
  </si>
  <si>
    <t>Y000168</t>
  </si>
  <si>
    <t>케이비증권</t>
  </si>
  <si>
    <t>W000488</t>
  </si>
  <si>
    <t>케이엠엑스</t>
  </si>
  <si>
    <t>W000506</t>
  </si>
  <si>
    <t>케이이씨</t>
  </si>
  <si>
    <t>X001074</t>
  </si>
  <si>
    <t>지엠홀딩스</t>
  </si>
  <si>
    <t>X000882</t>
  </si>
  <si>
    <t>지오엘리먼트</t>
  </si>
  <si>
    <t>W000440</t>
  </si>
  <si>
    <t>케이프투자증권</t>
  </si>
  <si>
    <t>X000249</t>
  </si>
  <si>
    <t>지투알</t>
  </si>
  <si>
    <t>X001195</t>
  </si>
  <si>
    <t>진양제약</t>
  </si>
  <si>
    <t>X001381</t>
  </si>
  <si>
    <t>X000606</t>
  </si>
  <si>
    <t>천일고속</t>
  </si>
  <si>
    <t>Y000175</t>
  </si>
  <si>
    <t>케이티인베스트먼트</t>
  </si>
  <si>
    <t>X000309</t>
  </si>
  <si>
    <t>청광건설(구,청광종합건설)</t>
  </si>
  <si>
    <t>X001116</t>
  </si>
  <si>
    <t>카이페리온</t>
  </si>
  <si>
    <t>X001084</t>
  </si>
  <si>
    <t>카카오모빌리티</t>
  </si>
  <si>
    <t>X001209</t>
  </si>
  <si>
    <t>카카오브레인</t>
  </si>
  <si>
    <t>Y000388</t>
  </si>
  <si>
    <t>케플러밸류파트너스</t>
  </si>
  <si>
    <t>W000436</t>
  </si>
  <si>
    <t>케이피에스</t>
  </si>
  <si>
    <t>W000056</t>
  </si>
  <si>
    <t>케이피에프</t>
  </si>
  <si>
    <t>X001202</t>
  </si>
  <si>
    <t>카카오엔터프라이즈</t>
  </si>
  <si>
    <t>X001129</t>
  </si>
  <si>
    <t>카카오페이지</t>
  </si>
  <si>
    <t>이가영/서경덕</t>
  </si>
  <si>
    <t>X001345</t>
  </si>
  <si>
    <t>카페24</t>
  </si>
  <si>
    <t>X001389</t>
  </si>
  <si>
    <t>W000228</t>
  </si>
  <si>
    <t>케이피엠테크</t>
  </si>
  <si>
    <t>X001309</t>
  </si>
  <si>
    <t>컴버스테크</t>
  </si>
  <si>
    <t>Y000383</t>
  </si>
  <si>
    <t>코나아이파트너스</t>
  </si>
  <si>
    <t>X001193</t>
  </si>
  <si>
    <t>컴투스</t>
  </si>
  <si>
    <t>W000482</t>
  </si>
  <si>
    <t>켄코아에어로스페이스</t>
  </si>
  <si>
    <t>W000046</t>
  </si>
  <si>
    <t>켐트로스</t>
  </si>
  <si>
    <t>W000532</t>
  </si>
  <si>
    <t>코나아이</t>
  </si>
  <si>
    <t>X001200</t>
  </si>
  <si>
    <t>케마스</t>
  </si>
  <si>
    <t>W000065</t>
  </si>
  <si>
    <t>코너스톤네트웍스</t>
  </si>
  <si>
    <t>X000187</t>
  </si>
  <si>
    <t>W000186</t>
  </si>
  <si>
    <t>코너스톤자산운용</t>
  </si>
  <si>
    <t>X001315</t>
  </si>
  <si>
    <t>케이씨넷</t>
  </si>
  <si>
    <t>X000162</t>
  </si>
  <si>
    <t>W000470</t>
  </si>
  <si>
    <t>코디엠(상장)</t>
  </si>
  <si>
    <t>X000010</t>
  </si>
  <si>
    <t>케이엔엔</t>
  </si>
  <si>
    <t>X000239</t>
  </si>
  <si>
    <t>X000198</t>
  </si>
  <si>
    <t>케이티</t>
  </si>
  <si>
    <t>T000067</t>
  </si>
  <si>
    <t>푸른저축은행</t>
  </si>
  <si>
    <t>X000586</t>
  </si>
  <si>
    <t>X000871</t>
  </si>
  <si>
    <t>X001228</t>
  </si>
  <si>
    <t>켐옵틱스</t>
  </si>
  <si>
    <t>X000781</t>
  </si>
  <si>
    <t>X000809</t>
  </si>
  <si>
    <t>코디엠</t>
  </si>
  <si>
    <t>W000276</t>
  </si>
  <si>
    <t>코리아로터리서비스</t>
  </si>
  <si>
    <t>T000068</t>
  </si>
  <si>
    <t>MG손해보험(수익증권)</t>
  </si>
  <si>
    <t>Y000391</t>
  </si>
  <si>
    <t>W000058</t>
  </si>
  <si>
    <t>코미팜</t>
  </si>
  <si>
    <t>Y000311</t>
  </si>
  <si>
    <t>코너스톤투자파트너스</t>
  </si>
  <si>
    <t>X000695</t>
  </si>
  <si>
    <t>코리아센터(구,코리아센터닷컴)</t>
  </si>
  <si>
    <t>W000146</t>
  </si>
  <si>
    <t>코센</t>
  </si>
  <si>
    <t>X001297</t>
  </si>
  <si>
    <t>코메론</t>
  </si>
  <si>
    <t>W000031</t>
  </si>
  <si>
    <t>코스메카코리아</t>
  </si>
  <si>
    <t>X001145</t>
  </si>
  <si>
    <t>코스메틱스탠다드</t>
  </si>
  <si>
    <t>Y000041</t>
  </si>
  <si>
    <t>코람코자산신탁</t>
  </si>
  <si>
    <t>W000018</t>
  </si>
  <si>
    <t>코아스템</t>
  </si>
  <si>
    <t>X000786</t>
  </si>
  <si>
    <t>코스모화학</t>
  </si>
  <si>
    <t>X000223</t>
  </si>
  <si>
    <t>코오롱베니트</t>
  </si>
  <si>
    <t>W000581</t>
  </si>
  <si>
    <t>W000523</t>
  </si>
  <si>
    <t>Y000401</t>
  </si>
  <si>
    <t>X001370</t>
  </si>
  <si>
    <t>코오롱생명과학</t>
  </si>
  <si>
    <t>W000044</t>
  </si>
  <si>
    <t>큐로</t>
  </si>
  <si>
    <t>X000038</t>
  </si>
  <si>
    <t>코오롱인더스트리</t>
  </si>
  <si>
    <t>Y000410</t>
  </si>
  <si>
    <t>W000456</t>
  </si>
  <si>
    <t>큐로컴</t>
  </si>
  <si>
    <t>X001164</t>
  </si>
  <si>
    <t>코오롱화이버</t>
  </si>
  <si>
    <t>W000260</t>
  </si>
  <si>
    <t>큐로홀딩스</t>
  </si>
  <si>
    <t>LIFE015</t>
  </si>
  <si>
    <t>생명보험협회</t>
  </si>
  <si>
    <t>X001151</t>
  </si>
  <si>
    <t>코윈테크</t>
  </si>
  <si>
    <t>X000321</t>
  </si>
  <si>
    <t>코이즈</t>
  </si>
  <si>
    <t>X000885</t>
  </si>
  <si>
    <t>코츠테크놀로지</t>
  </si>
  <si>
    <t>W000365</t>
  </si>
  <si>
    <t>큐리언트</t>
  </si>
  <si>
    <t>X001333</t>
  </si>
  <si>
    <t>쿠쿠홀딩스</t>
  </si>
  <si>
    <t>X001163</t>
  </si>
  <si>
    <t>쿠프마케팅</t>
  </si>
  <si>
    <t>T000069</t>
  </si>
  <si>
    <t>한국대체투자자산운용</t>
  </si>
  <si>
    <t>W000442</t>
  </si>
  <si>
    <t>큐에스아이</t>
  </si>
  <si>
    <t>W000481</t>
  </si>
  <si>
    <t>크리스에프앤씨</t>
  </si>
  <si>
    <t>X000715</t>
  </si>
  <si>
    <t>큐라티스</t>
  </si>
  <si>
    <t>W000136</t>
  </si>
  <si>
    <t>크리스탈지노믹스</t>
  </si>
  <si>
    <t>W000130</t>
  </si>
  <si>
    <t>클리오</t>
  </si>
  <si>
    <t>X001374</t>
  </si>
  <si>
    <t>W000259</t>
  </si>
  <si>
    <t>키다리스튜디오</t>
  </si>
  <si>
    <t>X001085</t>
  </si>
  <si>
    <t>큐버</t>
  </si>
  <si>
    <t>Y000375</t>
  </si>
  <si>
    <t>쿼드비스타사모투자</t>
  </si>
  <si>
    <t>X001248</t>
  </si>
  <si>
    <t>큐티젠래버러토리스</t>
  </si>
  <si>
    <t>X001063</t>
  </si>
  <si>
    <t>크루셜텍</t>
  </si>
  <si>
    <t>X000788</t>
  </si>
  <si>
    <t>크리스탈생명과학</t>
  </si>
  <si>
    <t>Y000420</t>
  </si>
  <si>
    <t>W000371</t>
  </si>
  <si>
    <t>키위미디어그룹</t>
  </si>
  <si>
    <t>X000156</t>
  </si>
  <si>
    <t>X001335</t>
  </si>
  <si>
    <t>X000805</t>
  </si>
  <si>
    <t>W000316</t>
  </si>
  <si>
    <t>키이스트</t>
  </si>
  <si>
    <t>W000510</t>
  </si>
  <si>
    <t>타메네트웍스(상장)</t>
  </si>
  <si>
    <t>X000925</t>
  </si>
  <si>
    <t>키위플러스</t>
  </si>
  <si>
    <t>W000528</t>
  </si>
  <si>
    <t>타이거자산운용투자일임</t>
  </si>
  <si>
    <t>W000334</t>
  </si>
  <si>
    <t>테라젠이텍스</t>
  </si>
  <si>
    <t>X001001</t>
  </si>
  <si>
    <t>타이드</t>
  </si>
  <si>
    <t>B000031</t>
  </si>
  <si>
    <t>삼성증권(리츠금융팀)</t>
  </si>
  <si>
    <t>W000245</t>
  </si>
  <si>
    <t>테크트랜스</t>
  </si>
  <si>
    <t>W000525</t>
  </si>
  <si>
    <t>텔레칩스(상장)</t>
  </si>
  <si>
    <t>W000475</t>
  </si>
  <si>
    <t>트루윈(상장)</t>
  </si>
  <si>
    <t>X001240</t>
  </si>
  <si>
    <t>탑머티리얼즈</t>
  </si>
  <si>
    <t>X000970</t>
  </si>
  <si>
    <t>탑엔지니어링</t>
  </si>
  <si>
    <t>W000109</t>
  </si>
  <si>
    <t>특수건설</t>
  </si>
  <si>
    <t>W000012</t>
  </si>
  <si>
    <t>티로보틱스</t>
  </si>
  <si>
    <t>W000277</t>
  </si>
  <si>
    <t>티씨엠생명과학</t>
  </si>
  <si>
    <t>X001384</t>
  </si>
  <si>
    <t>W000393</t>
  </si>
  <si>
    <t>티에스넥스젠(구,에이치엘비파워)</t>
  </si>
  <si>
    <t>W000301</t>
  </si>
  <si>
    <t>티에스인베스트먼트(상장)</t>
  </si>
  <si>
    <t>X001353</t>
  </si>
  <si>
    <t>태웅</t>
  </si>
  <si>
    <t>W000090</t>
  </si>
  <si>
    <t>티피씨메카트로닉스</t>
  </si>
  <si>
    <t>W000256</t>
  </si>
  <si>
    <t>파마리서치프로덕트</t>
  </si>
  <si>
    <t>W000310</t>
  </si>
  <si>
    <t>파수닷컴</t>
  </si>
  <si>
    <t>W000226</t>
  </si>
  <si>
    <t>파워넷(상장)</t>
  </si>
  <si>
    <t>W000071</t>
  </si>
  <si>
    <t>파인텍</t>
  </si>
  <si>
    <t>W000416</t>
  </si>
  <si>
    <t>파크시스템스</t>
  </si>
  <si>
    <t>W000220</t>
  </si>
  <si>
    <t>팍스넷</t>
  </si>
  <si>
    <t>W000142</t>
  </si>
  <si>
    <t>팜스웰바이오</t>
  </si>
  <si>
    <t>X000272</t>
  </si>
  <si>
    <t>X001363</t>
  </si>
  <si>
    <t>테라온</t>
  </si>
  <si>
    <t>W000075</t>
  </si>
  <si>
    <t>팬젠</t>
  </si>
  <si>
    <t>W000289</t>
  </si>
  <si>
    <t>퍼스텍</t>
  </si>
  <si>
    <t>X000841</t>
  </si>
  <si>
    <t>테라핀테크</t>
  </si>
  <si>
    <t>W000148</t>
  </si>
  <si>
    <t>펩트론</t>
  </si>
  <si>
    <t>W000347</t>
  </si>
  <si>
    <t>포레스팅블록체인</t>
  </si>
  <si>
    <t>X001184</t>
  </si>
  <si>
    <t>텔레스퀘어</t>
  </si>
  <si>
    <t>X000730</t>
  </si>
  <si>
    <t>텔레칩스</t>
  </si>
  <si>
    <t>X001218</t>
  </si>
  <si>
    <t>토이트론</t>
  </si>
  <si>
    <t>Y000089</t>
  </si>
  <si>
    <t>큐캐피탈파트너스</t>
  </si>
  <si>
    <t>X000134</t>
  </si>
  <si>
    <t>톱텍</t>
  </si>
  <si>
    <t>X000553</t>
  </si>
  <si>
    <t>투비소프트</t>
  </si>
  <si>
    <t>X001265</t>
  </si>
  <si>
    <t>투썸플레이스</t>
  </si>
  <si>
    <t>W000192</t>
  </si>
  <si>
    <t>포시에스</t>
  </si>
  <si>
    <t>X000092</t>
  </si>
  <si>
    <t>트루윈</t>
  </si>
  <si>
    <t>X001338</t>
  </si>
  <si>
    <t>트리스</t>
  </si>
  <si>
    <t>Y000225</t>
  </si>
  <si>
    <t>크레센도에쿼티파트너스</t>
  </si>
  <si>
    <t>W000054</t>
  </si>
  <si>
    <t>포인트엔지니어링</t>
  </si>
  <si>
    <t>X000939</t>
  </si>
  <si>
    <t>티라유텍</t>
  </si>
  <si>
    <t>W000074</t>
  </si>
  <si>
    <t>폴라리스쉬핑</t>
  </si>
  <si>
    <t>W000386</t>
  </si>
  <si>
    <t>퓨전</t>
  </si>
  <si>
    <t>W000002</t>
  </si>
  <si>
    <t>퓨쳐스트림네트웍스</t>
  </si>
  <si>
    <t>Y000204</t>
  </si>
  <si>
    <t>키스톤프라이빗에쿼티</t>
  </si>
  <si>
    <t>Y000376</t>
  </si>
  <si>
    <t>키움인베스트먼트</t>
  </si>
  <si>
    <t>W000291</t>
  </si>
  <si>
    <t>프리미어파트너스</t>
  </si>
  <si>
    <t>W000534</t>
  </si>
  <si>
    <t>프리시젼바이오</t>
  </si>
  <si>
    <t>Y000321</t>
  </si>
  <si>
    <t>키움증권</t>
  </si>
  <si>
    <t>W000498</t>
  </si>
  <si>
    <t>플레노투자조합</t>
  </si>
  <si>
    <t>W000274</t>
  </si>
  <si>
    <t>플리토</t>
  </si>
  <si>
    <t>X001179</t>
  </si>
  <si>
    <t>티비씨</t>
  </si>
  <si>
    <t>Y000380</t>
  </si>
  <si>
    <t>Y000408</t>
  </si>
  <si>
    <t>X001035</t>
  </si>
  <si>
    <t>티비티</t>
  </si>
  <si>
    <t>X001247</t>
  </si>
  <si>
    <t>티스템</t>
  </si>
  <si>
    <t>W000124</t>
  </si>
  <si>
    <t>피노텍</t>
  </si>
  <si>
    <t>T000071</t>
  </si>
  <si>
    <t>W000049</t>
  </si>
  <si>
    <t>피씨엘</t>
  </si>
  <si>
    <t>X001377</t>
  </si>
  <si>
    <t>Y000172</t>
  </si>
  <si>
    <t>W000264</t>
  </si>
  <si>
    <t>피앤이솔루션</t>
  </si>
  <si>
    <t>Y000264</t>
  </si>
  <si>
    <t>키웨스트글로벌자산운용</t>
  </si>
  <si>
    <t>X001168</t>
  </si>
  <si>
    <t>W000349</t>
  </si>
  <si>
    <t>피엔에이치테크</t>
  </si>
  <si>
    <t>W000516</t>
  </si>
  <si>
    <t>피엔케이피부임상연구센타</t>
  </si>
  <si>
    <t>X001180</t>
  </si>
  <si>
    <t>티앤에프글로벌</t>
  </si>
  <si>
    <t>X000900</t>
  </si>
  <si>
    <t>티에스이</t>
  </si>
  <si>
    <t>Y000284</t>
  </si>
  <si>
    <t>T000070</t>
  </si>
  <si>
    <t>케이에스자산운용</t>
  </si>
  <si>
    <t>이지영</t>
  </si>
  <si>
    <t>#000001</t>
  </si>
  <si>
    <t>한국투자증권(기업금융1부)</t>
  </si>
  <si>
    <t>#000002</t>
  </si>
  <si>
    <t>한국투자증권(기업금융2부)</t>
  </si>
  <si>
    <t>#000003</t>
  </si>
  <si>
    <t>한국투자증권(기업금융3부)</t>
  </si>
  <si>
    <t>Y000399</t>
  </si>
  <si>
    <t>타임폴리오자산운용</t>
  </si>
  <si>
    <t>X001326</t>
  </si>
  <si>
    <t>티엘홀딩스</t>
  </si>
  <si>
    <t>T000072</t>
  </si>
  <si>
    <t>롯데물산(수익증권)</t>
  </si>
  <si>
    <t>W000138</t>
  </si>
  <si>
    <t>피엔티</t>
  </si>
  <si>
    <t>W000427</t>
  </si>
  <si>
    <t>픽셀플러스</t>
  </si>
  <si>
    <t>X001342</t>
  </si>
  <si>
    <t>티지360테크놀로지스</t>
  </si>
  <si>
    <t>W000319</t>
  </si>
  <si>
    <t>X000813</t>
  </si>
  <si>
    <t>팅크웨어</t>
  </si>
  <si>
    <t>W000508</t>
  </si>
  <si>
    <t>핑거(상장)</t>
  </si>
  <si>
    <t>W000154</t>
  </si>
  <si>
    <t>하나마이크론</t>
  </si>
  <si>
    <t>X001191</t>
  </si>
  <si>
    <t>파낙스</t>
  </si>
  <si>
    <t>X000873</t>
  </si>
  <si>
    <t>X001044</t>
  </si>
  <si>
    <t>파워넷</t>
  </si>
  <si>
    <t>X001319</t>
  </si>
  <si>
    <t>파워풀엑스</t>
  </si>
  <si>
    <t>W000088</t>
  </si>
  <si>
    <t>하이셈</t>
  </si>
  <si>
    <t>X000799</t>
  </si>
  <si>
    <t>파츠몰</t>
  </si>
  <si>
    <t>W000149</t>
  </si>
  <si>
    <t>하이트론씨스템즈</t>
  </si>
  <si>
    <t>X001372</t>
  </si>
  <si>
    <t>X001117</t>
  </si>
  <si>
    <t>팜캐드</t>
  </si>
  <si>
    <t>W000203</t>
  </si>
  <si>
    <t>한국바이오젠</t>
  </si>
  <si>
    <t>X001322</t>
  </si>
  <si>
    <t>팡스카이</t>
  </si>
  <si>
    <t>X001182</t>
  </si>
  <si>
    <t>팸텍</t>
  </si>
  <si>
    <t>W000025</t>
  </si>
  <si>
    <t>한국스탠다드차타드은행</t>
  </si>
  <si>
    <t>W000152</t>
  </si>
  <si>
    <t>한국유나이티드제약</t>
  </si>
  <si>
    <t>X000572</t>
  </si>
  <si>
    <t>페이게이트</t>
  </si>
  <si>
    <t>W000540</t>
  </si>
  <si>
    <t>한국유니온제약</t>
  </si>
  <si>
    <t>W000619</t>
  </si>
  <si>
    <t>W000013</t>
  </si>
  <si>
    <t>한국전자홀딩스</t>
  </si>
  <si>
    <t>Y000320</t>
  </si>
  <si>
    <t>티그리스인베스트먼트</t>
  </si>
  <si>
    <t>X001146</t>
  </si>
  <si>
    <t>페이레터</t>
  </si>
  <si>
    <t>Y000190</t>
  </si>
  <si>
    <t>티에스인베스트먼트</t>
  </si>
  <si>
    <t>X001171</t>
  </si>
  <si>
    <t>페이퍼코리아</t>
  </si>
  <si>
    <t>W000204</t>
  </si>
  <si>
    <t>한국전파기지국</t>
  </si>
  <si>
    <t>X000986</t>
  </si>
  <si>
    <t>펨트론</t>
  </si>
  <si>
    <t>W000107</t>
  </si>
  <si>
    <t>한국코퍼레이션</t>
  </si>
  <si>
    <t>Y000412</t>
  </si>
  <si>
    <t>Y000277</t>
  </si>
  <si>
    <t>파인밸류자산운용</t>
  </si>
  <si>
    <t>X001321</t>
  </si>
  <si>
    <t>포티투마루</t>
  </si>
  <si>
    <t>W000269</t>
  </si>
  <si>
    <t>한국콜마홀딩스</t>
  </si>
  <si>
    <t>W000024</t>
  </si>
  <si>
    <t>한국테크놀로지</t>
  </si>
  <si>
    <t>W000206</t>
  </si>
  <si>
    <t>한국투자증권</t>
  </si>
  <si>
    <t>X001351</t>
  </si>
  <si>
    <t>폭스디스플레이</t>
  </si>
  <si>
    <t>X000231</t>
  </si>
  <si>
    <t>폭스브레인(구,솔브레인이엔지)</t>
  </si>
  <si>
    <t>X000822</t>
  </si>
  <si>
    <t>폴루스</t>
  </si>
  <si>
    <t>T000075</t>
  </si>
  <si>
    <t>W000458</t>
  </si>
  <si>
    <t>한국투자증권(기획조정실)(상장)</t>
  </si>
  <si>
    <t>X000965</t>
  </si>
  <si>
    <t>풍산</t>
  </si>
  <si>
    <t>Y000169</t>
  </si>
  <si>
    <t>파인아시아자산운용</t>
  </si>
  <si>
    <t>W000472</t>
  </si>
  <si>
    <t>한국투자캐피탈</t>
  </si>
  <si>
    <t>X001147</t>
  </si>
  <si>
    <t>풍산홀딩스</t>
  </si>
  <si>
    <t>W000471</t>
  </si>
  <si>
    <t>한국팩키지</t>
  </si>
  <si>
    <t>W000421</t>
  </si>
  <si>
    <t>한글과컴퓨터(상장)</t>
  </si>
  <si>
    <t>W000574</t>
  </si>
  <si>
    <t>X001343</t>
  </si>
  <si>
    <t>퓨어만</t>
  </si>
  <si>
    <t>X000324</t>
  </si>
  <si>
    <t>W000563</t>
  </si>
  <si>
    <t>한독크린텍</t>
  </si>
  <si>
    <t>X001385</t>
  </si>
  <si>
    <t>W000504</t>
  </si>
  <si>
    <t>한솔인티큐브</t>
  </si>
  <si>
    <t>W000538</t>
  </si>
  <si>
    <t>한솔피엔에스</t>
  </si>
  <si>
    <t>X001072</t>
  </si>
  <si>
    <t>프로라젠</t>
  </si>
  <si>
    <t>X001118</t>
  </si>
  <si>
    <t>프로바이오닉</t>
  </si>
  <si>
    <t>X001386</t>
  </si>
  <si>
    <t>Y000358</t>
  </si>
  <si>
    <t>파인트리1호창업벤처전문사모투자</t>
  </si>
  <si>
    <t>김도환/서경덕</t>
  </si>
  <si>
    <t>X000680</t>
  </si>
  <si>
    <t>프로톡스</t>
  </si>
  <si>
    <t>W000515</t>
  </si>
  <si>
    <t>한솔홀딩스</t>
  </si>
  <si>
    <t>Y000130</t>
  </si>
  <si>
    <t>파트너스인베스트먼트</t>
  </si>
  <si>
    <t>X000979</t>
  </si>
  <si>
    <t>플랜티넷</t>
  </si>
  <si>
    <t>X000768</t>
  </si>
  <si>
    <t>플레로게임즈</t>
  </si>
  <si>
    <t>X001089</t>
  </si>
  <si>
    <t>플레이리스트</t>
  </si>
  <si>
    <t>X001316</t>
  </si>
  <si>
    <t>플레이타임그룹</t>
  </si>
  <si>
    <t>X001300</t>
  </si>
  <si>
    <t>플렉스페이</t>
  </si>
  <si>
    <t>Y000222</t>
  </si>
  <si>
    <t>W000077</t>
  </si>
  <si>
    <t>한송네오텍</t>
  </si>
  <si>
    <t>X000546</t>
  </si>
  <si>
    <t>W000486</t>
  </si>
  <si>
    <t>한스바이오메드</t>
  </si>
  <si>
    <t>C000020</t>
  </si>
  <si>
    <t>Y000367</t>
  </si>
  <si>
    <t>플랜에이치벤처스</t>
  </si>
  <si>
    <t>X000042</t>
  </si>
  <si>
    <t>피에이치씨</t>
  </si>
  <si>
    <t>Y000178</t>
  </si>
  <si>
    <t>김도형/허정욱</t>
  </si>
  <si>
    <t>T000078</t>
  </si>
  <si>
    <t>Y000333</t>
  </si>
  <si>
    <t>X000614</t>
  </si>
  <si>
    <t>피에이치파마</t>
  </si>
  <si>
    <t>X000703</t>
  </si>
  <si>
    <t>피엔피</t>
  </si>
  <si>
    <t>T000077</t>
  </si>
  <si>
    <t>T000080</t>
  </si>
  <si>
    <t>Y000340</t>
  </si>
  <si>
    <t>X001125</t>
  </si>
  <si>
    <t>피플라이프</t>
  </si>
  <si>
    <t>X001252</t>
  </si>
  <si>
    <t>피플펀드컴퍼니</t>
  </si>
  <si>
    <t>Y000179</t>
  </si>
  <si>
    <t>X001367</t>
  </si>
  <si>
    <t>X001364</t>
  </si>
  <si>
    <t>핀테크</t>
  </si>
  <si>
    <t>Y000417</t>
  </si>
  <si>
    <t>X001155</t>
  </si>
  <si>
    <t>필로시스</t>
  </si>
  <si>
    <t>Y000314</t>
  </si>
  <si>
    <t>하이즈에셋자산운용</t>
  </si>
  <si>
    <t>Y000269</t>
  </si>
  <si>
    <t>하일랜드에쿼티파트너스</t>
  </si>
  <si>
    <t>W000524</t>
  </si>
  <si>
    <t>한신기계공업</t>
  </si>
  <si>
    <t>W000399</t>
  </si>
  <si>
    <t>한온시스템</t>
  </si>
  <si>
    <t>W000286</t>
  </si>
  <si>
    <t>한일철강</t>
  </si>
  <si>
    <t>W000282</t>
  </si>
  <si>
    <t>한일홀딩스</t>
  </si>
  <si>
    <t>W000281</t>
  </si>
  <si>
    <t>한중엔시에스</t>
  </si>
  <si>
    <t>W000454</t>
  </si>
  <si>
    <t>한진칼</t>
  </si>
  <si>
    <t>W000595</t>
  </si>
  <si>
    <t>W000355</t>
  </si>
  <si>
    <t>한컴MDS</t>
  </si>
  <si>
    <t>T000076</t>
  </si>
  <si>
    <t>W000333</t>
  </si>
  <si>
    <t>한컴위드</t>
  </si>
  <si>
    <t>X001291</t>
  </si>
  <si>
    <t>필로시스헬스케어</t>
  </si>
  <si>
    <t>문상은</t>
  </si>
  <si>
    <t>W000285</t>
  </si>
  <si>
    <t>한탑</t>
  </si>
  <si>
    <t>X001307</t>
  </si>
  <si>
    <t>필웨이</t>
  </si>
  <si>
    <t>X001177</t>
  </si>
  <si>
    <t>핑거</t>
  </si>
  <si>
    <t>X000909</t>
  </si>
  <si>
    <t>하나기술</t>
  </si>
  <si>
    <t>X000413</t>
  </si>
  <si>
    <t>하이즈항공</t>
  </si>
  <si>
    <t>X000887</t>
  </si>
  <si>
    <t>한국석유공사</t>
  </si>
  <si>
    <t>W000230</t>
  </si>
  <si>
    <t>한화건설</t>
  </si>
  <si>
    <t>X000912</t>
  </si>
  <si>
    <t>한국선불카드</t>
  </si>
  <si>
    <t>Y000171</t>
  </si>
  <si>
    <t>한국바이오기술투자(풀무원글로벌투자파트너쉽PEF)</t>
  </si>
  <si>
    <t>Y000286</t>
  </si>
  <si>
    <t>한국성장금융투자운용</t>
  </si>
  <si>
    <t>W000005</t>
  </si>
  <si>
    <t>해마로푸드서비스</t>
  </si>
  <si>
    <t>X000668</t>
  </si>
  <si>
    <t>X000977</t>
  </si>
  <si>
    <t>한국전자인증</t>
  </si>
  <si>
    <t>Y000006</t>
  </si>
  <si>
    <t>W000034</t>
  </si>
  <si>
    <t>해성옵틱스</t>
  </si>
  <si>
    <t>W000519</t>
  </si>
  <si>
    <t>핸즈코퍼레이션(상장)</t>
  </si>
  <si>
    <t>X000821</t>
  </si>
  <si>
    <t>한국주철관공업</t>
  </si>
  <si>
    <t>X000305</t>
  </si>
  <si>
    <t>한국줄기세포뱅크</t>
  </si>
  <si>
    <t>W000117</t>
  </si>
  <si>
    <t>헬릭스미스</t>
  </si>
  <si>
    <t>W000343</t>
  </si>
  <si>
    <t>현대네트워크</t>
  </si>
  <si>
    <t>X000867</t>
  </si>
  <si>
    <t>X001317</t>
  </si>
  <si>
    <t>Y000411</t>
  </si>
  <si>
    <t>Y000426</t>
  </si>
  <si>
    <t>Y000339</t>
  </si>
  <si>
    <t>한국투자증권(기획조정실)</t>
  </si>
  <si>
    <t>X001186</t>
  </si>
  <si>
    <t>한국화장품</t>
  </si>
  <si>
    <t>최정배/정은지</t>
  </si>
  <si>
    <t>W000129</t>
  </si>
  <si>
    <t>현대바이오사이언스</t>
  </si>
  <si>
    <t>X000089</t>
  </si>
  <si>
    <t>한글과컴퓨터</t>
  </si>
  <si>
    <t>W000009</t>
  </si>
  <si>
    <t>현대엘리베이터</t>
  </si>
  <si>
    <t>T000079</t>
  </si>
  <si>
    <t>X000251</t>
  </si>
  <si>
    <t>한독</t>
  </si>
  <si>
    <t>W000175</t>
  </si>
  <si>
    <t>형지아이앤씨</t>
  </si>
  <si>
    <t>X001152</t>
  </si>
  <si>
    <t>한독칼로스메디칼</t>
  </si>
  <si>
    <t>X001286</t>
  </si>
  <si>
    <t>한라홀딩스</t>
  </si>
  <si>
    <t>X000049</t>
  </si>
  <si>
    <t>X001425</t>
  </si>
  <si>
    <t>한솔코에버</t>
  </si>
  <si>
    <t>X000702</t>
  </si>
  <si>
    <t>X001167</t>
  </si>
  <si>
    <t>X001256</t>
  </si>
  <si>
    <t>Y000338</t>
  </si>
  <si>
    <t>한국투자증권(부동산금융2부)</t>
  </si>
  <si>
    <t>X001263</t>
  </si>
  <si>
    <t>한화솔루션</t>
  </si>
  <si>
    <t>X001330</t>
  </si>
  <si>
    <t>한화종합화학</t>
  </si>
  <si>
    <t>W000543</t>
  </si>
  <si>
    <t>형지엘리트</t>
  </si>
  <si>
    <t>X000071</t>
  </si>
  <si>
    <t>한화케미칼</t>
  </si>
  <si>
    <t>X000455</t>
  </si>
  <si>
    <t>W000158</t>
  </si>
  <si>
    <t>화신테크</t>
  </si>
  <si>
    <t>X001262</t>
  </si>
  <si>
    <t>헬스커넥트</t>
  </si>
  <si>
    <t>T000087</t>
  </si>
  <si>
    <t>X001245</t>
  </si>
  <si>
    <t>헬스허브</t>
  </si>
  <si>
    <t>W000278</t>
  </si>
  <si>
    <t>화이브라더스코리아</t>
  </si>
  <si>
    <t>T000081</t>
  </si>
  <si>
    <t>T000091</t>
  </si>
  <si>
    <t>X001109</t>
  </si>
  <si>
    <t>현대공업</t>
  </si>
  <si>
    <t>X000946</t>
  </si>
  <si>
    <t>X001011</t>
  </si>
  <si>
    <t>홈플러스</t>
  </si>
  <si>
    <t>X001037</t>
  </si>
  <si>
    <t>화승엔터프라이즈</t>
  </si>
  <si>
    <t>Y000337</t>
  </si>
  <si>
    <t>한국투자증권(부동산투자부)</t>
  </si>
  <si>
    <t>X001255</t>
  </si>
  <si>
    <t>환경시설관리</t>
  </si>
  <si>
    <t>W000380</t>
  </si>
  <si>
    <t>화일약품</t>
  </si>
  <si>
    <t>X001287</t>
  </si>
  <si>
    <t>회계법인리안</t>
  </si>
  <si>
    <t>X000340</t>
  </si>
  <si>
    <t>효성</t>
  </si>
  <si>
    <t>X001127</t>
  </si>
  <si>
    <t>효성중공업</t>
  </si>
  <si>
    <t>X001023</t>
  </si>
  <si>
    <t>휴럼</t>
  </si>
  <si>
    <t>Y000394</t>
  </si>
  <si>
    <t>X001123</t>
  </si>
  <si>
    <t>휴온스그룹(휴메딕스)</t>
  </si>
  <si>
    <t>허정욱/박명진</t>
  </si>
  <si>
    <t>X000482</t>
  </si>
  <si>
    <t>휴온스그룹(휴온스)</t>
  </si>
  <si>
    <t>D000025</t>
  </si>
  <si>
    <t>Y000106</t>
  </si>
  <si>
    <t>한국투자프라이빗에쿼티(구,이큐파트너스)</t>
  </si>
  <si>
    <t>W000218</t>
  </si>
  <si>
    <t>회계법인(미정)</t>
  </si>
  <si>
    <t>Y000115</t>
  </si>
  <si>
    <t>한빛인베스트먼트</t>
  </si>
  <si>
    <t>W000501</t>
  </si>
  <si>
    <t>효광</t>
  </si>
  <si>
    <t>X001122</t>
  </si>
  <si>
    <t>휴온스그룹(휴온스글로벌)</t>
  </si>
  <si>
    <t>W000217</t>
  </si>
  <si>
    <t>W000318</t>
  </si>
  <si>
    <t>휴림로봇</t>
  </si>
  <si>
    <t>X001120</t>
  </si>
  <si>
    <t>휴온스그룹(휴온스내츄럴)</t>
  </si>
  <si>
    <t>Y000322</t>
  </si>
  <si>
    <t>한양증권</t>
  </si>
  <si>
    <t>W000069</t>
  </si>
  <si>
    <t>휴스틸</t>
  </si>
  <si>
    <t>B000032</t>
  </si>
  <si>
    <t>삼성증권(Multi Strategy팀)</t>
  </si>
  <si>
    <t>Y000118</t>
  </si>
  <si>
    <t>한화생명</t>
  </si>
  <si>
    <t>X001121</t>
  </si>
  <si>
    <t>휴온스그룹(휴온스네이처)</t>
  </si>
  <si>
    <t>X001119</t>
  </si>
  <si>
    <t>휴온스그룹(휴온스메디케어)</t>
  </si>
  <si>
    <t>Y000306</t>
  </si>
  <si>
    <t>Y000350</t>
  </si>
  <si>
    <t>헤이스팅스자산운용</t>
  </si>
  <si>
    <t>W000360</t>
  </si>
  <si>
    <t>휴젤</t>
  </si>
  <si>
    <t>X001239</t>
  </si>
  <si>
    <t>휴온스랩</t>
  </si>
  <si>
    <t>@000001</t>
  </si>
  <si>
    <t>삼성증권(MS팀)</t>
  </si>
  <si>
    <t>@000002</t>
  </si>
  <si>
    <t>삼성증권(부동산투자팀)</t>
  </si>
  <si>
    <t>@000003</t>
  </si>
  <si>
    <t>T000097</t>
  </si>
  <si>
    <t>삼성증권(PI본부)</t>
  </si>
  <si>
    <t>Y000262</t>
  </si>
  <si>
    <t>X000217</t>
  </si>
  <si>
    <t>X000248</t>
  </si>
  <si>
    <t>희성전자</t>
  </si>
  <si>
    <t>X001076</t>
  </si>
  <si>
    <t>힐세리온</t>
  </si>
  <si>
    <t>W000606</t>
  </si>
  <si>
    <t>T000094</t>
  </si>
  <si>
    <t>X000501</t>
  </si>
  <si>
    <t>Y000431</t>
  </si>
  <si>
    <t>교보증권(투자금융6부)</t>
  </si>
  <si>
    <t>W000628</t>
  </si>
  <si>
    <t>범한퓨얼셀</t>
  </si>
  <si>
    <t>W000575</t>
  </si>
  <si>
    <t>Y000427</t>
  </si>
  <si>
    <t>Y000428</t>
  </si>
  <si>
    <t>T000096</t>
  </si>
  <si>
    <t>Y000430</t>
  </si>
  <si>
    <t>W000616</t>
  </si>
  <si>
    <t>W000634</t>
  </si>
  <si>
    <t>Y000437</t>
  </si>
  <si>
    <t>케이엘앤파트너스</t>
  </si>
  <si>
    <t>X001421</t>
  </si>
  <si>
    <t>메타버스엔터테인먼트</t>
  </si>
  <si>
    <t>Y000439</t>
  </si>
  <si>
    <t>에이캐피탈</t>
  </si>
  <si>
    <t>Y000440</t>
  </si>
  <si>
    <t>유티씨인베스트먼트</t>
  </si>
  <si>
    <t>Y000438</t>
  </si>
  <si>
    <t>T000100</t>
  </si>
  <si>
    <t>X001444</t>
  </si>
  <si>
    <t>X001439</t>
  </si>
  <si>
    <t>Y000441</t>
  </si>
  <si>
    <t>Y000436</t>
  </si>
  <si>
    <t>W000613</t>
  </si>
  <si>
    <t>W000635</t>
  </si>
  <si>
    <t>W000627</t>
  </si>
  <si>
    <t>Y000442</t>
  </si>
  <si>
    <t>W000601</t>
  </si>
  <si>
    <t>X001419</t>
  </si>
  <si>
    <t>Y000443</t>
  </si>
  <si>
    <t>X001445</t>
  </si>
  <si>
    <t>X001446</t>
  </si>
  <si>
    <t>W000626</t>
  </si>
  <si>
    <t>X001448</t>
  </si>
  <si>
    <t>W000615</t>
  </si>
  <si>
    <t>X001450</t>
  </si>
  <si>
    <t>Y000432</t>
  </si>
  <si>
    <t>W000632</t>
  </si>
  <si>
    <t>D000026</t>
  </si>
  <si>
    <t>Y000447</t>
  </si>
  <si>
    <t>T000104</t>
  </si>
  <si>
    <t>X001464</t>
  </si>
  <si>
    <t>W000622</t>
  </si>
  <si>
    <t>법인번호</t>
    <phoneticPr fontId="3" type="noConversion"/>
  </si>
  <si>
    <t>평가종류코드</t>
    <phoneticPr fontId="3" type="noConversion"/>
  </si>
  <si>
    <t>민감도평가</t>
    <phoneticPr fontId="3" type="noConversion"/>
  </si>
  <si>
    <t>평가주기</t>
    <phoneticPr fontId="3" type="noConversion"/>
  </si>
  <si>
    <t>연락처</t>
    <phoneticPr fontId="3" type="noConversion"/>
  </si>
  <si>
    <t>KEY</t>
    <phoneticPr fontId="3" type="noConversion"/>
  </si>
  <si>
    <t>에러내역</t>
    <phoneticPr fontId="3" type="noConversion"/>
  </si>
  <si>
    <t>평가기준일</t>
    <phoneticPr fontId="3" type="noConversion"/>
  </si>
  <si>
    <t>의뢰메모</t>
    <phoneticPr fontId="3" type="noConversion"/>
  </si>
  <si>
    <t>NMP등록기관</t>
    <phoneticPr fontId="3" type="noConversion"/>
  </si>
  <si>
    <t>평가담당자
(분배)</t>
    <phoneticPr fontId="3" type="noConversion"/>
  </si>
  <si>
    <t>자료요청 RM</t>
    <phoneticPr fontId="3" type="noConversion"/>
  </si>
  <si>
    <t>결과보고서송부 RM</t>
    <phoneticPr fontId="3" type="noConversion"/>
  </si>
  <si>
    <t>구분</t>
    <phoneticPr fontId="3" type="noConversion"/>
  </si>
  <si>
    <t>평가목적</t>
    <phoneticPr fontId="3" type="noConversion"/>
  </si>
  <si>
    <t xml:space="preserve">사원(입사후 12개월 이후) </t>
    <phoneticPr fontId="3" type="noConversion"/>
  </si>
  <si>
    <t>※ 펀드 공수</t>
    <phoneticPr fontId="3" type="noConversion"/>
  </si>
  <si>
    <t>구분</t>
    <phoneticPr fontId="3" type="noConversion"/>
  </si>
  <si>
    <t>(변경후)공수</t>
    <phoneticPr fontId="3" type="noConversion"/>
  </si>
  <si>
    <t>비고</t>
    <phoneticPr fontId="3" type="noConversion"/>
  </si>
  <si>
    <t>펀드</t>
    <phoneticPr fontId="3" type="noConversion"/>
  </si>
  <si>
    <t>기초자산</t>
    <phoneticPr fontId="3" type="noConversion"/>
  </si>
  <si>
    <t>펀드내 SPC 5개이상</t>
    <phoneticPr fontId="3" type="noConversion"/>
  </si>
  <si>
    <t>펀드공수+0.5</t>
    <phoneticPr fontId="3" type="noConversion"/>
  </si>
  <si>
    <t>펀드내 SPC 10개이상</t>
    <phoneticPr fontId="3" type="noConversion"/>
  </si>
  <si>
    <t>펀드공수+1.0</t>
    <phoneticPr fontId="3" type="noConversion"/>
  </si>
  <si>
    <t>펀드내 기초자산 50개이상</t>
    <phoneticPr fontId="3" type="noConversion"/>
  </si>
  <si>
    <t>펀드공수+0.5</t>
    <phoneticPr fontId="3" type="noConversion"/>
  </si>
  <si>
    <t>W000644</t>
  </si>
  <si>
    <t>MRC 공수</t>
    <phoneticPr fontId="3" type="noConversion"/>
  </si>
  <si>
    <t>민감도송부일</t>
    <phoneticPr fontId="3" type="noConversion"/>
  </si>
  <si>
    <t>Y000371</t>
  </si>
  <si>
    <t>공수</t>
    <phoneticPr fontId="3" type="noConversion"/>
  </si>
  <si>
    <t>W000612</t>
  </si>
  <si>
    <t>W000648</t>
  </si>
  <si>
    <t>W000610</t>
  </si>
  <si>
    <t>W000641</t>
  </si>
  <si>
    <t>강승현</t>
    <phoneticPr fontId="3" type="noConversion"/>
  </si>
  <si>
    <t>2023년04년03일 입사</t>
    <phoneticPr fontId="3" type="noConversion"/>
  </si>
  <si>
    <t>김지영</t>
    <phoneticPr fontId="3" type="noConversion"/>
  </si>
  <si>
    <t>정재형</t>
    <phoneticPr fontId="3" type="noConversion"/>
  </si>
  <si>
    <t>X001490</t>
  </si>
  <si>
    <t>X</t>
    <phoneticPr fontId="3" type="noConversion"/>
  </si>
  <si>
    <t>정은채</t>
    <phoneticPr fontId="3" type="noConversion"/>
  </si>
  <si>
    <t>평가담당자</t>
    <phoneticPr fontId="3" type="noConversion"/>
  </si>
  <si>
    <t>2순위</t>
    <phoneticPr fontId="3" type="noConversion"/>
  </si>
  <si>
    <t>3순위</t>
    <phoneticPr fontId="3" type="noConversion"/>
  </si>
  <si>
    <t>4순위</t>
    <phoneticPr fontId="3" type="noConversion"/>
  </si>
  <si>
    <t>5순위</t>
    <phoneticPr fontId="3" type="noConversion"/>
  </si>
  <si>
    <t>추가공수</t>
    <phoneticPr fontId="3" type="noConversion"/>
  </si>
  <si>
    <t>W000649</t>
  </si>
  <si>
    <t>허정욱</t>
    <phoneticPr fontId="3" type="noConversion"/>
  </si>
  <si>
    <t>Y000458</t>
  </si>
  <si>
    <t>KBP2020030042</t>
  </si>
  <si>
    <t>변혜진</t>
    <phoneticPr fontId="3" type="noConversion"/>
  </si>
  <si>
    <t>강승현</t>
    <phoneticPr fontId="3" type="noConversion"/>
  </si>
  <si>
    <t>데브시스터즈</t>
    <phoneticPr fontId="3" type="noConversion"/>
  </si>
  <si>
    <t>유씨케이파트너스(구,유니슨캐피탈사모투자전문회사)</t>
  </si>
  <si>
    <t>-</t>
    <phoneticPr fontId="3" type="noConversion"/>
  </si>
  <si>
    <t>년</t>
    <phoneticPr fontId="3" type="noConversion"/>
  </si>
  <si>
    <t>대체평가2사업본부/
대체평가4팀</t>
    <phoneticPr fontId="3" type="noConversion"/>
  </si>
  <si>
    <t>T000111</t>
  </si>
  <si>
    <t>Y000459</t>
  </si>
  <si>
    <t>B000035</t>
  </si>
  <si>
    <t>X</t>
    <phoneticPr fontId="3" type="noConversion"/>
  </si>
  <si>
    <t>사원</t>
    <phoneticPr fontId="3" type="noConversion"/>
  </si>
  <si>
    <t>이문수</t>
    <phoneticPr fontId="3" type="noConversion"/>
  </si>
  <si>
    <t xml:space="preserve"> </t>
    <phoneticPr fontId="3" type="noConversion"/>
  </si>
  <si>
    <t>이문수</t>
    <phoneticPr fontId="3" type="noConversion"/>
  </si>
  <si>
    <t>강성은</t>
    <phoneticPr fontId="3" type="noConversion"/>
  </si>
  <si>
    <t>리츠 템플릿, 보고서</t>
    <phoneticPr fontId="3" type="noConversion"/>
  </si>
  <si>
    <t>분기</t>
    <phoneticPr fontId="3" type="noConversion"/>
  </si>
  <si>
    <t>IMF 경제성장률</t>
    <phoneticPr fontId="3" type="noConversion"/>
  </si>
  <si>
    <t>연 2회(4월, 10월)</t>
    <phoneticPr fontId="3" type="noConversion"/>
  </si>
  <si>
    <t>해외SOC 베타, 차입금/시총</t>
    <phoneticPr fontId="3" type="noConversion"/>
  </si>
  <si>
    <t>환율</t>
    <phoneticPr fontId="3" type="noConversion"/>
  </si>
  <si>
    <t>비중</t>
    <phoneticPr fontId="3" type="noConversion"/>
  </si>
  <si>
    <t>신윤서</t>
    <phoneticPr fontId="3" type="noConversion"/>
  </si>
  <si>
    <t>인턴</t>
    <phoneticPr fontId="3" type="noConversion"/>
  </si>
  <si>
    <t>백형진</t>
    <phoneticPr fontId="3" type="noConversion"/>
  </si>
  <si>
    <t>서수빈</t>
    <phoneticPr fontId="3" type="noConversion"/>
  </si>
  <si>
    <t>심태진</t>
    <phoneticPr fontId="3" type="noConversion"/>
  </si>
  <si>
    <t>정준엽</t>
    <phoneticPr fontId="3" type="noConversion"/>
  </si>
  <si>
    <t>채동우</t>
    <phoneticPr fontId="3" type="noConversion"/>
  </si>
  <si>
    <t>2023년09월04일 입사</t>
    <phoneticPr fontId="3" type="noConversion"/>
  </si>
  <si>
    <t>삼성증권(PM팀)(구,전략투자팀)</t>
  </si>
  <si>
    <t>삼성증권(ECM1팀)(구,IPO1팀)</t>
  </si>
  <si>
    <t>키움증권(기업성장금융팀)(구,중기특화총괄팀)</t>
  </si>
  <si>
    <t>김수현</t>
    <phoneticPr fontId="3" type="noConversion"/>
  </si>
  <si>
    <t>X</t>
    <phoneticPr fontId="3" type="noConversion"/>
  </si>
  <si>
    <t>지엔코</t>
    <phoneticPr fontId="3" type="noConversion"/>
  </si>
  <si>
    <t>X</t>
    <phoneticPr fontId="3" type="noConversion"/>
  </si>
  <si>
    <t>부실채권관리</t>
  </si>
  <si>
    <t>데일리</t>
    <phoneticPr fontId="3" type="noConversion"/>
  </si>
  <si>
    <t>변혜진</t>
    <phoneticPr fontId="3" type="noConversion"/>
  </si>
  <si>
    <t>평가제외공문</t>
    <phoneticPr fontId="3" type="noConversion"/>
  </si>
  <si>
    <t>X001474</t>
  </si>
  <si>
    <t>엘지</t>
  </si>
  <si>
    <t>C000021</t>
  </si>
  <si>
    <t>에이치디씨랩스</t>
  </si>
  <si>
    <t>오수현</t>
    <phoneticPr fontId="3" type="noConversion"/>
  </si>
  <si>
    <t>우리벤처파트너스(구,다올인베스트먼트)</t>
  </si>
  <si>
    <t>6순위</t>
    <phoneticPr fontId="3" type="noConversion"/>
  </si>
  <si>
    <t>7순위</t>
    <phoneticPr fontId="3" type="noConversion"/>
  </si>
  <si>
    <t>8순위</t>
    <phoneticPr fontId="3" type="noConversion"/>
  </si>
  <si>
    <t>9순위</t>
    <phoneticPr fontId="3" type="noConversion"/>
  </si>
  <si>
    <t>X001506</t>
  </si>
  <si>
    <t>Y000471</t>
  </si>
  <si>
    <t>X</t>
    <phoneticPr fontId="3" type="noConversion"/>
  </si>
  <si>
    <t>X001511</t>
  </si>
  <si>
    <t>해외펀드</t>
    <phoneticPr fontId="3" type="noConversion"/>
  </si>
  <si>
    <t>X001512</t>
  </si>
  <si>
    <t>10순위</t>
    <phoneticPr fontId="3" type="noConversion"/>
  </si>
  <si>
    <t>11순위</t>
    <phoneticPr fontId="3" type="noConversion"/>
  </si>
  <si>
    <t>원정우</t>
    <phoneticPr fontId="3" type="noConversion"/>
  </si>
  <si>
    <t>신원준</t>
    <phoneticPr fontId="3" type="noConversion"/>
  </si>
  <si>
    <t>박혜영</t>
    <phoneticPr fontId="3" type="noConversion"/>
  </si>
  <si>
    <t>김에스더</t>
    <phoneticPr fontId="3" type="noConversion"/>
  </si>
  <si>
    <t>이진주</t>
    <phoneticPr fontId="3" type="noConversion"/>
  </si>
  <si>
    <t>이상민</t>
    <phoneticPr fontId="3" type="noConversion"/>
  </si>
  <si>
    <t>최수민</t>
    <phoneticPr fontId="3" type="noConversion"/>
  </si>
  <si>
    <t>대리</t>
    <phoneticPr fontId="3" type="noConversion"/>
  </si>
  <si>
    <t>2023년12월04일 입사</t>
    <phoneticPr fontId="3" type="noConversion"/>
  </si>
  <si>
    <t>2023년12월11일 입사</t>
    <phoneticPr fontId="3" type="noConversion"/>
  </si>
  <si>
    <t>2023년12월04일 입사</t>
    <phoneticPr fontId="3" type="noConversion"/>
  </si>
  <si>
    <t>W000665</t>
  </si>
  <si>
    <t>사원</t>
    <phoneticPr fontId="3" type="noConversion"/>
  </si>
  <si>
    <t>Y000474</t>
  </si>
  <si>
    <t>Y000475</t>
  </si>
  <si>
    <t>Y000476</t>
  </si>
  <si>
    <t>2023년12월06일 입사</t>
    <phoneticPr fontId="3" type="noConversion"/>
  </si>
  <si>
    <t>W000639</t>
  </si>
  <si>
    <t>W000667</t>
  </si>
  <si>
    <t>W000668</t>
  </si>
  <si>
    <t>X001517</t>
  </si>
  <si>
    <t>X000151</t>
  </si>
  <si>
    <t>W000671</t>
  </si>
  <si>
    <t>X001486</t>
  </si>
  <si>
    <t>Y000453</t>
  </si>
  <si>
    <t>X001520</t>
  </si>
  <si>
    <t>Y000478</t>
  </si>
  <si>
    <t>W000672</t>
  </si>
  <si>
    <t>X001526</t>
  </si>
  <si>
    <t>X001527</t>
  </si>
  <si>
    <t>2022년01월17일 입사</t>
    <phoneticPr fontId="3" type="noConversion"/>
  </si>
  <si>
    <t>X001528</t>
  </si>
  <si>
    <t>W000636</t>
  </si>
  <si>
    <t>Y000434</t>
  </si>
  <si>
    <t>X001529</t>
  </si>
  <si>
    <t>Y000071</t>
  </si>
  <si>
    <t>PPT 제공</t>
    <phoneticPr fontId="3" type="noConversion"/>
  </si>
  <si>
    <t>영업권, CGU</t>
    <phoneticPr fontId="3" type="noConversion"/>
  </si>
  <si>
    <t>부팀장/과장</t>
    <phoneticPr fontId="3" type="noConversion"/>
  </si>
  <si>
    <t>W000673</t>
  </si>
  <si>
    <t>Y000455</t>
  </si>
  <si>
    <t>T000121</t>
  </si>
  <si>
    <t>메자닌평가팀</t>
    <phoneticPr fontId="3" type="noConversion"/>
  </si>
  <si>
    <t>시티랩스</t>
    <phoneticPr fontId="3" type="noConversion"/>
  </si>
  <si>
    <t>플레이스포</t>
    <phoneticPr fontId="3" type="noConversion"/>
  </si>
  <si>
    <t>W000643</t>
  </si>
  <si>
    <t>Y000201</t>
  </si>
  <si>
    <t>Y000481</t>
  </si>
  <si>
    <t>써니전자</t>
    <phoneticPr fontId="3" type="noConversion"/>
  </si>
  <si>
    <t>아이씨디</t>
    <phoneticPr fontId="3" type="noConversion"/>
  </si>
  <si>
    <t>삼성증권(ECM1팀)(상장)</t>
    <phoneticPr fontId="3" type="noConversion"/>
  </si>
  <si>
    <t>W000674</t>
  </si>
  <si>
    <t>W000675</t>
  </si>
  <si>
    <t>W000676</t>
  </si>
  <si>
    <t>W000677</t>
  </si>
  <si>
    <t>Y000480</t>
  </si>
  <si>
    <t>사원</t>
    <phoneticPr fontId="3" type="noConversion"/>
  </si>
  <si>
    <t>Y000433</t>
  </si>
  <si>
    <t>X</t>
    <phoneticPr fontId="3" type="noConversion"/>
  </si>
  <si>
    <t>W000679</t>
  </si>
  <si>
    <t>KBP2023030047</t>
  </si>
  <si>
    <t>이문수</t>
  </si>
  <si>
    <t>정재형</t>
  </si>
  <si>
    <t>심태진</t>
  </si>
  <si>
    <t>채동우</t>
  </si>
  <si>
    <t>사원</t>
    <phoneticPr fontId="3" type="noConversion"/>
  </si>
  <si>
    <t>입사 6개월 53.33% -&gt; 70%</t>
    <phoneticPr fontId="3" type="noConversion"/>
  </si>
  <si>
    <t>백형진</t>
  </si>
  <si>
    <t>2022년12월12일 입사</t>
    <phoneticPr fontId="3" type="noConversion"/>
  </si>
  <si>
    <t>2022년07월01일 입사</t>
    <phoneticPr fontId="3" type="noConversion"/>
  </si>
  <si>
    <t>2022년09월01일 입사</t>
    <phoneticPr fontId="3" type="noConversion"/>
  </si>
  <si>
    <t>2023년04년03일 입사</t>
    <phoneticPr fontId="3" type="noConversion"/>
  </si>
  <si>
    <t>2023년04년10일 입사</t>
    <phoneticPr fontId="3" type="noConversion"/>
  </si>
  <si>
    <t>2023년12월11일 입사</t>
    <phoneticPr fontId="3" type="noConversion"/>
  </si>
  <si>
    <t>2023년12월11일 입사</t>
    <phoneticPr fontId="3" type="noConversion"/>
  </si>
  <si>
    <t>2022년07월01일 입사</t>
    <phoneticPr fontId="3" type="noConversion"/>
  </si>
  <si>
    <t>2022년09월01일 입사</t>
    <phoneticPr fontId="3" type="noConversion"/>
  </si>
  <si>
    <t>2023년04년03일 입사</t>
    <phoneticPr fontId="3" type="noConversion"/>
  </si>
  <si>
    <t>유재호</t>
    <phoneticPr fontId="3" type="noConversion"/>
  </si>
  <si>
    <t>KBP2024030035</t>
  </si>
  <si>
    <t>변혜진</t>
  </si>
  <si>
    <t>T000009</t>
  </si>
  <si>
    <t>KBP2018120182</t>
  </si>
  <si>
    <t>KBP2018120183</t>
  </si>
  <si>
    <t>KBP2018120291</t>
  </si>
  <si>
    <t>KBP2018120326</t>
  </si>
  <si>
    <t>KBP2017090012</t>
  </si>
  <si>
    <t>KBP2018120299</t>
  </si>
  <si>
    <t>KBP2016060227</t>
  </si>
  <si>
    <t>KBP2016060031</t>
  </si>
  <si>
    <t>KBP2016120039</t>
  </si>
  <si>
    <t>KBP2019090155</t>
  </si>
  <si>
    <t>KBP2019090154</t>
  </si>
  <si>
    <t>KBP2019120194</t>
  </si>
  <si>
    <t>KBP2020120107</t>
  </si>
  <si>
    <t>KBP2023060026</t>
  </si>
  <si>
    <t>KBP2020060018</t>
  </si>
  <si>
    <t>기관코드</t>
    <phoneticPr fontId="3" type="noConversion"/>
  </si>
  <si>
    <t>재평가/신규</t>
    <phoneticPr fontId="3" type="noConversion"/>
  </si>
  <si>
    <t>종목명</t>
    <phoneticPr fontId="3" type="noConversion"/>
  </si>
  <si>
    <t>법인번호</t>
    <phoneticPr fontId="3" type="noConversion"/>
  </si>
  <si>
    <t>평가종류코드</t>
    <phoneticPr fontId="3" type="noConversion"/>
  </si>
  <si>
    <t>회차</t>
    <phoneticPr fontId="3" type="noConversion"/>
  </si>
  <si>
    <t>민감도평가</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</si>
  <si>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</si>
  <si>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</si>
  <si>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</si>
  <si>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</si>
  <si>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</si>
  <si>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r>
      <rPr>
        <sz val="10"/>
        <color theme="0"/>
        <rFont val="맑은 고딕"/>
        <family val="3"/>
        <charset val="129"/>
      </rPr>
      <t>평가주기</t>
    </r>
    <phoneticPr fontId="3" type="noConversion"/>
  </si>
  <si>
    <t>KBP2018030105</t>
  </si>
  <si>
    <t>NH-Amundi 에너지공동투자1호(미얀마)</t>
  </si>
  <si>
    <t>KBP2023120031</t>
  </si>
  <si>
    <t>KBP2023060032</t>
  </si>
  <si>
    <t>KBP2023060034</t>
  </si>
  <si>
    <t>KBP2023120030</t>
  </si>
  <si>
    <t>KBP2023060035</t>
  </si>
  <si>
    <t>KBP2023060033</t>
  </si>
  <si>
    <t>파인스트리트유럽인프라일반사모특별자산투자신탁2호</t>
  </si>
  <si>
    <t>KBP2023060030</t>
  </si>
  <si>
    <t>대체평가2사업본부/
MRC검증팀</t>
    <phoneticPr fontId="3" type="noConversion"/>
  </si>
  <si>
    <t>부팀장/대리</t>
    <phoneticPr fontId="3" type="noConversion"/>
  </si>
  <si>
    <t>팀장/과장</t>
    <phoneticPr fontId="3" type="noConversion"/>
  </si>
  <si>
    <t>부팀장/대리</t>
    <phoneticPr fontId="3" type="noConversion"/>
  </si>
  <si>
    <t>재평가</t>
    <phoneticPr fontId="3" type="noConversion"/>
  </si>
  <si>
    <t>개별종목</t>
    <phoneticPr fontId="3" type="noConversion"/>
  </si>
  <si>
    <t>신규</t>
    <phoneticPr fontId="3" type="noConversion"/>
  </si>
  <si>
    <t>김영규</t>
    <phoneticPr fontId="3" type="noConversion"/>
  </si>
  <si>
    <t>2024.09.30</t>
    <phoneticPr fontId="3" type="noConversion"/>
  </si>
  <si>
    <t>박재현</t>
    <phoneticPr fontId="3" type="noConversion"/>
  </si>
  <si>
    <t>신원준</t>
  </si>
  <si>
    <t>강승현</t>
  </si>
  <si>
    <t>김예림</t>
  </si>
  <si>
    <t>강성은</t>
  </si>
  <si>
    <t>KBP2023120060</t>
  </si>
  <si>
    <t>Y000074</t>
  </si>
  <si>
    <t>미래에셋캐피탈</t>
  </si>
  <si>
    <t>Y000488</t>
  </si>
  <si>
    <t>기관명</t>
    <phoneticPr fontId="3" type="noConversion"/>
  </si>
  <si>
    <t>담당자</t>
    <phoneticPr fontId="3" type="noConversion"/>
  </si>
  <si>
    <t>연락처</t>
    <phoneticPr fontId="3" type="noConversion"/>
  </si>
  <si>
    <t>에러내역</t>
    <phoneticPr fontId="3" type="noConversion"/>
  </si>
  <si>
    <t>윤광일</t>
    <phoneticPr fontId="3" type="noConversion"/>
  </si>
  <si>
    <t>사원</t>
    <phoneticPr fontId="3" type="noConversion"/>
  </si>
  <si>
    <t>W000683</t>
  </si>
  <si>
    <t>X001436</t>
  </si>
  <si>
    <t>K55223CH1271</t>
  </si>
  <si>
    <t>K55451CH1621</t>
  </si>
  <si>
    <t>K55301CX8206</t>
  </si>
  <si>
    <t>K553T7C90825</t>
  </si>
  <si>
    <t>K553T7C90833</t>
  </si>
  <si>
    <t>KR5451A16139</t>
  </si>
  <si>
    <t>K55451B96372</t>
  </si>
  <si>
    <t>K55223DB4973</t>
  </si>
  <si>
    <t>K55451BD2111</t>
  </si>
  <si>
    <t>K55105BG0963</t>
  </si>
  <si>
    <t>KR5101AE8080</t>
  </si>
  <si>
    <t>KR5451A35998</t>
  </si>
  <si>
    <t>K55105BA0092</t>
  </si>
  <si>
    <t>W000684</t>
  </si>
  <si>
    <t>W000685</t>
  </si>
  <si>
    <t>W000618</t>
  </si>
  <si>
    <t>W000686</t>
  </si>
  <si>
    <t>W000687</t>
  </si>
  <si>
    <t>W000688</t>
  </si>
  <si>
    <t>W000689</t>
  </si>
  <si>
    <t>W000690</t>
  </si>
  <si>
    <t>Y000157</t>
  </si>
  <si>
    <t>W000691</t>
  </si>
  <si>
    <t>X001545</t>
  </si>
  <si>
    <t>오영석</t>
    <phoneticPr fontId="3" type="noConversion"/>
  </si>
  <si>
    <t>2024년05월08일 입사</t>
    <phoneticPr fontId="3" type="noConversion"/>
  </si>
  <si>
    <t>Y2408D0007</t>
  </si>
  <si>
    <t>Y000491</t>
  </si>
  <si>
    <t>정은채</t>
  </si>
  <si>
    <t>형지엘리트</t>
    <phoneticPr fontId="3" type="noConversion"/>
  </si>
  <si>
    <t>Y2412J0002</t>
  </si>
  <si>
    <t>Y2404J0040</t>
  </si>
  <si>
    <t>Y2404J0041</t>
  </si>
  <si>
    <t>Y2404J0026</t>
  </si>
  <si>
    <t>상장</t>
    <phoneticPr fontId="3" type="noConversion"/>
  </si>
  <si>
    <t>Y2404J0027</t>
  </si>
  <si>
    <t>Y2404J0028</t>
  </si>
  <si>
    <t>Y2404J0029</t>
  </si>
  <si>
    <t>Y2404J0030</t>
  </si>
  <si>
    <t>IBK투자증권(PI부)(구,투자금융부)</t>
  </si>
  <si>
    <t>Y000456</t>
  </si>
  <si>
    <t>셀레니언자산운용</t>
  </si>
  <si>
    <t>bora.kim@celenian.com</t>
  </si>
  <si>
    <t>주식옵션팀</t>
  </si>
  <si>
    <t>KBP2024030006</t>
  </si>
  <si>
    <t>KBP2016060091</t>
  </si>
  <si>
    <t>K55223B49382</t>
  </si>
  <si>
    <t>KBP2016090002</t>
  </si>
  <si>
    <t>K55301BE8077</t>
  </si>
  <si>
    <t>KBP2018120079</t>
  </si>
  <si>
    <t>K55365B76863</t>
  </si>
  <si>
    <t>KBP2016060231</t>
  </si>
  <si>
    <t>K55365BB3694</t>
  </si>
  <si>
    <t>KBP2017060005</t>
  </si>
  <si>
    <t>K55223BR2740</t>
  </si>
  <si>
    <t>KBP2017090108</t>
  </si>
  <si>
    <t>K55224BV7379</t>
  </si>
  <si>
    <t>KBP2019090103</t>
  </si>
  <si>
    <t>K553T7CD4009</t>
  </si>
  <si>
    <t>KBP2019120172</t>
  </si>
  <si>
    <t>K55224CI5510</t>
  </si>
  <si>
    <t>KBP2021030012</t>
  </si>
  <si>
    <t>K55234CZ8305</t>
  </si>
  <si>
    <t>KBP2016120092</t>
  </si>
  <si>
    <t>K55223BF6323</t>
  </si>
  <si>
    <t>KBP2022120118</t>
  </si>
  <si>
    <t>KBP2023030010</t>
  </si>
  <si>
    <t>KBP2020060025</t>
  </si>
  <si>
    <t>K55241BK4931</t>
  </si>
  <si>
    <t>KBP2020090096</t>
  </si>
  <si>
    <t>K55223B93380</t>
  </si>
  <si>
    <t>KBP2020120218</t>
  </si>
  <si>
    <t>K55223CX7955</t>
  </si>
  <si>
    <t>KBP2017120018</t>
  </si>
  <si>
    <t>K55223BM0459</t>
  </si>
  <si>
    <t>KBP2016060133</t>
  </si>
  <si>
    <t>K55223B43914</t>
  </si>
  <si>
    <t>K55451BG1359</t>
  </si>
  <si>
    <t>KBP2020090016</t>
  </si>
  <si>
    <t>K55451CZ2973</t>
  </si>
  <si>
    <t>KBP2017120022</t>
  </si>
  <si>
    <t>K55451BM6368</t>
  </si>
  <si>
    <t>KBP2020090073</t>
  </si>
  <si>
    <t>KR5451AX1435</t>
  </si>
  <si>
    <t>KBP2018120336</t>
  </si>
  <si>
    <t>K55232C09732</t>
  </si>
  <si>
    <t>KBP2017090019</t>
  </si>
  <si>
    <t>K55453BO2629</t>
  </si>
  <si>
    <t>KBP2016060188</t>
  </si>
  <si>
    <t>K55301B97641</t>
  </si>
  <si>
    <t>KBP2017090030</t>
  </si>
  <si>
    <t>KR5105AU0190</t>
  </si>
  <si>
    <t>KBP2017090035</t>
  </si>
  <si>
    <t>KR5210AG4606</t>
  </si>
  <si>
    <t>KBP2017090036</t>
  </si>
  <si>
    <t>KR5210AJ6392</t>
  </si>
  <si>
    <t>KBP2020090092</t>
  </si>
  <si>
    <t>K55210CK2576</t>
  </si>
  <si>
    <t>KBP2018120003</t>
  </si>
  <si>
    <t>KR5210AV8228</t>
  </si>
  <si>
    <t>KBP2020060030</t>
  </si>
  <si>
    <t>K55210BA5127</t>
  </si>
  <si>
    <t>KBP2019090013</t>
  </si>
  <si>
    <t>K553L7CR5114</t>
  </si>
  <si>
    <t>KBP2020090076</t>
  </si>
  <si>
    <t>K55233BB4734</t>
  </si>
  <si>
    <t>KBP2016060022</t>
  </si>
  <si>
    <t>KR5233AX3972</t>
  </si>
  <si>
    <t>KBP2020090089</t>
  </si>
  <si>
    <t>K55233C17006</t>
  </si>
  <si>
    <t>KBP2018120230</t>
  </si>
  <si>
    <t>K55233CG5461</t>
  </si>
  <si>
    <t>KBP2014020070</t>
  </si>
  <si>
    <t>K55233BL7164</t>
  </si>
  <si>
    <t>KBP2019090032</t>
  </si>
  <si>
    <t>K55206BL7589</t>
  </si>
  <si>
    <t>KBP2020090015</t>
  </si>
  <si>
    <t>K55206CZ4514</t>
  </si>
  <si>
    <t>KBP2017030001</t>
  </si>
  <si>
    <t>K55206BL2903</t>
  </si>
  <si>
    <t>KBP2016060136</t>
  </si>
  <si>
    <t>K55206B94045</t>
  </si>
  <si>
    <t>KBP2020090094</t>
  </si>
  <si>
    <t>K553E7CX4551</t>
  </si>
  <si>
    <t>KBP2020060052</t>
  </si>
  <si>
    <t>K553G9BO5116</t>
  </si>
  <si>
    <t>KBP2019120255</t>
  </si>
  <si>
    <t>K55213C39556</t>
  </si>
  <si>
    <t>KBP2018090019</t>
  </si>
  <si>
    <t>K55213CA1759</t>
  </si>
  <si>
    <t>KBP2019120159</t>
  </si>
  <si>
    <t>K55213C53458</t>
  </si>
  <si>
    <t>KBP2019120119</t>
  </si>
  <si>
    <t>K55213CG2090</t>
  </si>
  <si>
    <t>KBP2017090088</t>
  </si>
  <si>
    <t>KR5213A76756</t>
  </si>
  <si>
    <t>KBP2020090072</t>
  </si>
  <si>
    <t>K55224DB3529</t>
  </si>
  <si>
    <t>KBP2020090080</t>
  </si>
  <si>
    <t>KR5224292544</t>
  </si>
  <si>
    <t>KBP2014020090</t>
  </si>
  <si>
    <t>KR5224AB6980</t>
  </si>
  <si>
    <t>KBP2020090088</t>
  </si>
  <si>
    <t>KR5305AS1505</t>
  </si>
  <si>
    <t>KBP2020090100</t>
  </si>
  <si>
    <t>KR5224AI2057</t>
  </si>
  <si>
    <t>KBP2020120106</t>
  </si>
  <si>
    <t>K55224DB5201</t>
  </si>
  <si>
    <t>KBP2021090017</t>
  </si>
  <si>
    <t>K55224DM3344</t>
  </si>
  <si>
    <t>KBP2022030009</t>
  </si>
  <si>
    <t>K55224DR7753</t>
  </si>
  <si>
    <t>KBP2023120102</t>
  </si>
  <si>
    <t>K55224E79449</t>
  </si>
  <si>
    <t>KBP2017090112</t>
  </si>
  <si>
    <t>K55345BW1771</t>
  </si>
  <si>
    <t>KBP2018030181</t>
  </si>
  <si>
    <t>K55206BW2504</t>
  </si>
  <si>
    <t>KBP2022030019</t>
  </si>
  <si>
    <t>K553S6DP9659</t>
  </si>
  <si>
    <t>K55105DZ5397</t>
  </si>
  <si>
    <t>KBP2019120024</t>
  </si>
  <si>
    <t>KBP2019090033</t>
  </si>
  <si>
    <t>K55213CE0237</t>
  </si>
  <si>
    <t>KBP2019120187</t>
  </si>
  <si>
    <t>K55345BE7093</t>
  </si>
  <si>
    <t>KBP2019120183</t>
  </si>
  <si>
    <t>K55363CJ1154</t>
  </si>
  <si>
    <t>KBP2018060030</t>
  </si>
  <si>
    <t>K55234C07146</t>
  </si>
  <si>
    <t>KBP2021060090</t>
  </si>
  <si>
    <t>K553T7CN9279</t>
  </si>
  <si>
    <t>KBP2019090129</t>
  </si>
  <si>
    <t>K553T7CL9487</t>
  </si>
  <si>
    <t>KBP2017120105</t>
  </si>
  <si>
    <t>KR5233AL4586</t>
  </si>
  <si>
    <t>KBP2017110001</t>
  </si>
  <si>
    <t>KBP2019120025</t>
  </si>
  <si>
    <t>K55212CC5387</t>
  </si>
  <si>
    <t>KBP2019090117</t>
  </si>
  <si>
    <t>K553T7CS5629</t>
  </si>
  <si>
    <t>최수민</t>
  </si>
  <si>
    <t>KBP2020060050</t>
  </si>
  <si>
    <t>K55453BK0452</t>
  </si>
  <si>
    <t>KBP2020060055</t>
  </si>
  <si>
    <t>KBP2020060056</t>
  </si>
  <si>
    <t>K55451BR2784</t>
  </si>
  <si>
    <t>KBP2018090021</t>
  </si>
  <si>
    <t>K55453CE7082</t>
  </si>
  <si>
    <t>KBP2022060002</t>
  </si>
  <si>
    <t>KBP2023090074</t>
  </si>
  <si>
    <t>KBP2018060019</t>
  </si>
  <si>
    <t>KBP2022120260</t>
  </si>
  <si>
    <t>KBP2020120172</t>
  </si>
  <si>
    <t>오수현</t>
  </si>
  <si>
    <t>KBP2019090116</t>
  </si>
  <si>
    <t>K55213CG3544</t>
  </si>
  <si>
    <t>KBP2020120037</t>
  </si>
  <si>
    <t>K553S6CC2668</t>
  </si>
  <si>
    <t>KBP2019090153</t>
  </si>
  <si>
    <t>K55210CO6110</t>
  </si>
  <si>
    <t>KBP2020030002</t>
  </si>
  <si>
    <t>K553S6CY0823</t>
  </si>
  <si>
    <t>KBP2021030014</t>
  </si>
  <si>
    <t>K553S6CY9428</t>
  </si>
  <si>
    <t>KBP2021030015</t>
  </si>
  <si>
    <t>K553S6CY9436</t>
  </si>
  <si>
    <t>KBP2019090115</t>
  </si>
  <si>
    <t>K55213CG3536</t>
  </si>
  <si>
    <t>KBP2023030026</t>
  </si>
  <si>
    <t>KBP2022090022</t>
  </si>
  <si>
    <t>KBP2021120122</t>
  </si>
  <si>
    <t>K55233C17014</t>
  </si>
  <si>
    <t>KBP2011120050</t>
  </si>
  <si>
    <t>김에스더</t>
  </si>
  <si>
    <t>KBP2022120001</t>
  </si>
  <si>
    <t>KBP2019090085</t>
  </si>
  <si>
    <t>K55451BW7489</t>
  </si>
  <si>
    <t>KBP2019090090</t>
  </si>
  <si>
    <t>K55241BO8987</t>
  </si>
  <si>
    <t>KBP2019120312</t>
  </si>
  <si>
    <t>K55223CY6808</t>
  </si>
  <si>
    <t>KBP2019120256</t>
  </si>
  <si>
    <t>K553T7CZ3047</t>
  </si>
  <si>
    <t>KBP2019090137</t>
  </si>
  <si>
    <t>K553L7BR6139</t>
  </si>
  <si>
    <t>KBP2019090144</t>
  </si>
  <si>
    <t>K55383CE7079</t>
  </si>
  <si>
    <t>KBP2020060046</t>
  </si>
  <si>
    <t>KR5205898871</t>
  </si>
  <si>
    <t>KBP2017090017</t>
  </si>
  <si>
    <t>K55207BM0632</t>
  </si>
  <si>
    <t>KBP2018120347</t>
  </si>
  <si>
    <t>K55207CJ0180</t>
  </si>
  <si>
    <t>KBP2018120237</t>
  </si>
  <si>
    <t>K55213CA1742</t>
  </si>
  <si>
    <t>KBP2019030011</t>
  </si>
  <si>
    <t>K55213CK0205</t>
  </si>
  <si>
    <t>KBP2019030021</t>
  </si>
  <si>
    <t>K55223CK7448</t>
  </si>
  <si>
    <t>KBP2017090053</t>
  </si>
  <si>
    <t>K55233BG0570</t>
  </si>
  <si>
    <t>KBP2018120210</t>
  </si>
  <si>
    <t>K55234CG3481</t>
  </si>
  <si>
    <t>KBP2017090129</t>
  </si>
  <si>
    <t>K553G9BV6347</t>
  </si>
  <si>
    <t>KBP2018120234</t>
  </si>
  <si>
    <t>K553G9C87400</t>
  </si>
  <si>
    <t>KBP2019060027</t>
  </si>
  <si>
    <t>K553G9CO7640</t>
  </si>
  <si>
    <t>KBP2020120054</t>
  </si>
  <si>
    <t>K553G9DC4079</t>
  </si>
  <si>
    <t>KBP2021030024</t>
  </si>
  <si>
    <t>KBP2019120319</t>
  </si>
  <si>
    <t>K553V6CJ8019</t>
  </si>
  <si>
    <t>KBP2022030043</t>
  </si>
  <si>
    <t>K553Y5DN4792</t>
  </si>
  <si>
    <t>KBP2022060137</t>
  </si>
  <si>
    <t>[Y]금융기관</t>
    <phoneticPr fontId="3" type="noConversion"/>
  </si>
  <si>
    <t>케이앤에스아이앤씨</t>
    <phoneticPr fontId="3" type="noConversion"/>
  </si>
  <si>
    <t>이예울대리</t>
    <phoneticPr fontId="3" type="noConversion"/>
  </si>
  <si>
    <t>A01</t>
    <phoneticPr fontId="3" type="noConversion"/>
  </si>
  <si>
    <t>KBP2019120117</t>
  </si>
  <si>
    <t>K55213CV0244</t>
  </si>
  <si>
    <t>KBP2021030030</t>
  </si>
  <si>
    <t>KBP2019120139</t>
  </si>
  <si>
    <t>K55301CS1455</t>
  </si>
  <si>
    <t>KBP2019090104</t>
  </si>
  <si>
    <t>K55451C90175</t>
  </si>
  <si>
    <t>KBP2019120090</t>
  </si>
  <si>
    <t>KR5225265838</t>
  </si>
  <si>
    <t>KBP2022030029</t>
  </si>
  <si>
    <t>K55383DO4941</t>
  </si>
  <si>
    <t>KBP2019120309</t>
  </si>
  <si>
    <t>KBP2020120164</t>
  </si>
  <si>
    <t>KBP2019120306</t>
  </si>
  <si>
    <t>KBP2020090018</t>
  </si>
  <si>
    <t>KBP2023060085</t>
  </si>
  <si>
    <t>KBP2022030098</t>
  </si>
  <si>
    <t>KBP2022120258</t>
  </si>
  <si>
    <t>KBP2023090020</t>
  </si>
  <si>
    <t>KBP2021120180</t>
  </si>
  <si>
    <t>KBP2023030032</t>
  </si>
  <si>
    <t>상장</t>
  </si>
  <si>
    <t>KBP2023060083</t>
  </si>
  <si>
    <t>KBP2019090169</t>
  </si>
  <si>
    <t>KBP2022110002</t>
  </si>
  <si>
    <t>KBP2021110001</t>
  </si>
  <si>
    <t>KBP2018120024</t>
  </si>
  <si>
    <t>K55224BX8797</t>
  </si>
  <si>
    <t>032-454-8410</t>
    <phoneticPr fontId="3" type="noConversion"/>
  </si>
  <si>
    <t>회계반영</t>
    <phoneticPr fontId="3" type="noConversion"/>
  </si>
  <si>
    <t>반기</t>
    <phoneticPr fontId="3" type="noConversion"/>
  </si>
  <si>
    <t>재평가</t>
    <phoneticPr fontId="3" type="noConversion"/>
  </si>
  <si>
    <t>보고서제공X</t>
    <phoneticPr fontId="3" type="noConversion"/>
  </si>
  <si>
    <t xml:space="preserve">choi@envioneer.com </t>
    <phoneticPr fontId="3" type="noConversion"/>
  </si>
  <si>
    <t>Y2406J0095</t>
    <phoneticPr fontId="3" type="noConversion"/>
  </si>
  <si>
    <t>02-6915-5337</t>
    <phoneticPr fontId="3" type="noConversion"/>
  </si>
  <si>
    <t>IBK투자증권(IPO1팀)</t>
    <phoneticPr fontId="3" type="noConversion"/>
  </si>
  <si>
    <t>메리츠증권(구조화투자팀)</t>
    <phoneticPr fontId="3" type="noConversion"/>
  </si>
  <si>
    <t>원정우</t>
    <phoneticPr fontId="3" type="noConversion"/>
  </si>
  <si>
    <t>심태진</t>
    <phoneticPr fontId="3" type="noConversion"/>
  </si>
  <si>
    <t>Y2408V0002</t>
  </si>
  <si>
    <t>LP제출</t>
    <phoneticPr fontId="3" type="noConversion"/>
  </si>
  <si>
    <t>이상민</t>
    <phoneticPr fontId="3" type="noConversion"/>
  </si>
  <si>
    <t>조현우</t>
    <phoneticPr fontId="3" type="noConversion"/>
  </si>
  <si>
    <t>KBP2019090163</t>
  </si>
  <si>
    <t>KBP2020120226</t>
  </si>
  <si>
    <t>[Y]금융기관</t>
  </si>
  <si>
    <t>KBP2018030148</t>
  </si>
  <si>
    <t>K55214C17303</t>
  </si>
  <si>
    <t>KBP2020120247</t>
  </si>
  <si>
    <t>K55105CF5798</t>
  </si>
  <si>
    <t>X001501</t>
  </si>
  <si>
    <t>메자닌평가팀</t>
    <phoneticPr fontId="3" type="noConversion"/>
  </si>
  <si>
    <t>서경덕</t>
    <phoneticPr fontId="3" type="noConversion"/>
  </si>
  <si>
    <t>정은지</t>
    <phoneticPr fontId="3" type="noConversion"/>
  </si>
  <si>
    <t>고려아연(수익증권)</t>
    <phoneticPr fontId="3" type="noConversion"/>
  </si>
  <si>
    <t>롯데멤버스</t>
    <phoneticPr fontId="3" type="noConversion"/>
  </si>
  <si>
    <t>대신프라이빗에쿼티</t>
    <phoneticPr fontId="3" type="noConversion"/>
  </si>
  <si>
    <t>코오롱인베스트먼트</t>
    <phoneticPr fontId="3" type="noConversion"/>
  </si>
  <si>
    <t>연말</t>
    <phoneticPr fontId="3" type="noConversion"/>
  </si>
  <si>
    <t>서경덕</t>
    <phoneticPr fontId="3" type="noConversion"/>
  </si>
  <si>
    <t>룩스루</t>
    <phoneticPr fontId="3" type="noConversion"/>
  </si>
  <si>
    <t>미의뢰</t>
    <phoneticPr fontId="3" type="noConversion"/>
  </si>
  <si>
    <t>-</t>
    <phoneticPr fontId="3" type="noConversion"/>
  </si>
  <si>
    <t>개별종목</t>
    <phoneticPr fontId="3" type="noConversion"/>
  </si>
  <si>
    <t>대체평가3사업본부</t>
    <phoneticPr fontId="3" type="noConversion"/>
  </si>
  <si>
    <t>[T]기타보험기관[1본부]</t>
    <phoneticPr fontId="3" type="noConversion"/>
  </si>
  <si>
    <t>2024.09.30</t>
    <phoneticPr fontId="3" type="noConversion"/>
  </si>
  <si>
    <t>분기</t>
    <phoneticPr fontId="3" type="noConversion"/>
  </si>
  <si>
    <t>B02</t>
    <phoneticPr fontId="3" type="noConversion"/>
  </si>
  <si>
    <t>재평가</t>
    <phoneticPr fontId="3" type="noConversion"/>
  </si>
  <si>
    <t>한화제3경인고속도로사모특별자산투자신탁1호</t>
    <phoneticPr fontId="3" type="noConversion"/>
  </si>
  <si>
    <t>한화글로벌인프라대출전문투자형사모특별자산투자신탁1호</t>
    <phoneticPr fontId="3" type="noConversion"/>
  </si>
  <si>
    <t>키움마일스톤USDEBT전문투자형사모부동산투자신탁제2호</t>
    <phoneticPr fontId="3" type="noConversion"/>
  </si>
  <si>
    <t>삼성선박사모특별자산투자신탁제1호</t>
    <phoneticPr fontId="3" type="noConversion"/>
  </si>
  <si>
    <t>KIAMCO아부다비캠퍼스사모특별자산투자신탁</t>
    <phoneticPr fontId="3" type="noConversion"/>
  </si>
  <si>
    <t>KIAMCO도로투자사모특별자산투자신탁제5호</t>
    <phoneticPr fontId="3" type="noConversion"/>
  </si>
  <si>
    <t>KIAMCO도로투자사모특별자산투자신탁제1호</t>
    <phoneticPr fontId="3" type="noConversion"/>
  </si>
  <si>
    <t>KIAMCO도로투자사모특별자산투자신탁제11호</t>
    <phoneticPr fontId="3" type="noConversion"/>
  </si>
  <si>
    <t>KB신안산선전문투자형사모특별자산투자신탁</t>
    <phoneticPr fontId="3" type="noConversion"/>
  </si>
  <si>
    <t>KB광명서울고속도로전문투자형사모특별자산투자신탁</t>
    <phoneticPr fontId="3" type="noConversion"/>
  </si>
  <si>
    <t>미정</t>
    <phoneticPr fontId="3" type="noConversion"/>
  </si>
  <si>
    <t>NH-AmundiNeptune일반사모특별자산투자신탁1호[대출채권]</t>
    <phoneticPr fontId="3" type="noConversion"/>
  </si>
  <si>
    <t xml:space="preserve">분기 </t>
    <phoneticPr fontId="3" type="noConversion"/>
  </si>
  <si>
    <t>보고Accell일반사모특별자산투자신탁1호</t>
    <phoneticPr fontId="3" type="noConversion"/>
  </si>
  <si>
    <t>KBP2022060145</t>
  </si>
  <si>
    <t>한국투자글로벌포모나X일반사모투자신탁</t>
    <phoneticPr fontId="3" type="noConversion"/>
  </si>
  <si>
    <t>흥국하이클래스전문투자형사모특별자산투자신탁제59호</t>
    <phoneticPr fontId="3" type="noConversion"/>
  </si>
  <si>
    <t>다비하나바이오에너지전문투자형사모투자신탁</t>
    <phoneticPr fontId="3" type="noConversion"/>
  </si>
  <si>
    <t>신한AIM크레딧전문투자형사모투자신탁제4-B호</t>
    <phoneticPr fontId="3" type="noConversion"/>
  </si>
  <si>
    <t>신한AIM부동산전문투자형사모투자신탁제3호B종</t>
    <phoneticPr fontId="3" type="noConversion"/>
  </si>
  <si>
    <t>신한AIM부동산전문투자형사모투자신탁제3호A종</t>
    <phoneticPr fontId="3" type="noConversion"/>
  </si>
  <si>
    <t>우리포천화도고속도로전문투자형사모특별자산투자신탁</t>
    <phoneticPr fontId="3" type="noConversion"/>
  </si>
  <si>
    <t>K55301CH5236</t>
  </si>
  <si>
    <t>KBP2019120084</t>
  </si>
  <si>
    <t>미래에셋EF전문투자형사모특별자산투자신탁2-1호(H)</t>
    <phoneticPr fontId="3" type="noConversion"/>
  </si>
  <si>
    <t>한화유럽PPP인프라전문투자형사모특별자산신탁2호</t>
    <phoneticPr fontId="3" type="noConversion"/>
  </si>
  <si>
    <t>한화영국규제자산인프라전문투자형사모특별자산투자신탁2호</t>
    <phoneticPr fontId="3" type="noConversion"/>
  </si>
  <si>
    <t>K55105B71310</t>
  </si>
  <si>
    <t>KBP2021120056</t>
  </si>
  <si>
    <t>삼성글로벌PRIVATEEQUITYMANAGER사모증권투자신탁제1호</t>
    <phoneticPr fontId="3" type="noConversion"/>
  </si>
  <si>
    <t>K55105CX4427</t>
  </si>
  <si>
    <t>KBP2021120072</t>
  </si>
  <si>
    <t>삼성PEMANAGER2019전문투자형사모투자신탁제1호</t>
    <phoneticPr fontId="3" type="noConversion"/>
  </si>
  <si>
    <t>K55105BF5161</t>
  </si>
  <si>
    <t>KBP2021120058</t>
  </si>
  <si>
    <t>삼성GOLDPOINTPARTNERS메자닌전문투자형사모증권투자신탁</t>
    <phoneticPr fontId="3" type="noConversion"/>
  </si>
  <si>
    <t>K55224CJ2623</t>
  </si>
  <si>
    <t>KBP2023090053</t>
  </si>
  <si>
    <t>흥국하이클래스일반사모특별자산투자신탁52호[대출]</t>
    <phoneticPr fontId="3" type="noConversion"/>
  </si>
  <si>
    <t>K55105BG0971</t>
  </si>
  <si>
    <t>KBP2023090044</t>
  </si>
  <si>
    <t>삼성AIRCRAFT일반사모투자신탁제4호</t>
    <phoneticPr fontId="3" type="noConversion"/>
  </si>
  <si>
    <t>KR5451AD1231</t>
  </si>
  <si>
    <t>KBP2016120095</t>
  </si>
  <si>
    <t>KIAMCO비티엘프로젝트사모특별자산투자신탁제3호</t>
    <phoneticPr fontId="3" type="noConversion"/>
  </si>
  <si>
    <t>KR5451977932</t>
  </si>
  <si>
    <t>KBP2016060018</t>
  </si>
  <si>
    <t>KIAMCO비티엘사모특별자산투자신탁제2호</t>
    <phoneticPr fontId="3" type="noConversion"/>
  </si>
  <si>
    <t>흥국하이클래스전문투자형사모특별자산투자신탁49호</t>
    <phoneticPr fontId="3" type="noConversion"/>
  </si>
  <si>
    <t>한화스페인태양열전문투자형사모특별자산투자신탁1호</t>
    <phoneticPr fontId="3" type="noConversion"/>
  </si>
  <si>
    <t>K55213CT2509</t>
  </si>
  <si>
    <t>KBP2021120071</t>
  </si>
  <si>
    <t>한화미국주차PPP사모특별자산투자신탁1-1호</t>
    <phoneticPr fontId="3" type="noConversion"/>
  </si>
  <si>
    <t>삼성Aircraft전문투자형사모투자신탁제3호</t>
    <phoneticPr fontId="3" type="noConversion"/>
  </si>
  <si>
    <t>KIAMCO도로투자사모특별자산투자신탁7호</t>
    <phoneticPr fontId="3" type="noConversion"/>
  </si>
  <si>
    <t>KIAMCO도로투자사모특별자산투자신탁제8호</t>
    <phoneticPr fontId="3" type="noConversion"/>
  </si>
  <si>
    <t>KB이천오산고속도로전문투자형사모특별자산투자신탁</t>
    <phoneticPr fontId="3" type="noConversion"/>
  </si>
  <si>
    <t>KB부산김해경전철전문투자형사모특별자산투자신탁제2호</t>
    <phoneticPr fontId="3" type="noConversion"/>
  </si>
  <si>
    <t>KB공항철도사모특별자산투자신탁</t>
    <phoneticPr fontId="3" type="noConversion"/>
  </si>
  <si>
    <t>흥국하이클래스전문투자형사모특별자산투자신탁58호</t>
    <phoneticPr fontId="3" type="noConversion"/>
  </si>
  <si>
    <t>파인스트리트US인프라전문투자형사모특별자산투자신탁1-1호</t>
    <phoneticPr fontId="3" type="noConversion"/>
  </si>
  <si>
    <t>신한AIM재간접전문투자형사모투자신탁제3호</t>
    <phoneticPr fontId="3" type="noConversion"/>
  </si>
  <si>
    <t>미래에셋신안산전문사모특별자산투자신탁1호</t>
    <phoneticPr fontId="3" type="noConversion"/>
  </si>
  <si>
    <t>KCGI-ETIHAD-B777F일반사모특별자산투자신탁</t>
    <phoneticPr fontId="3" type="noConversion"/>
  </si>
  <si>
    <t>KB팔용터널사모특별자산투자신탁</t>
    <phoneticPr fontId="3" type="noConversion"/>
  </si>
  <si>
    <t>KB생활인프라BTL전문투자형사모특별자산투자신탁</t>
    <phoneticPr fontId="3" type="noConversion"/>
  </si>
  <si>
    <t>개별종목</t>
  </si>
  <si>
    <t>MRC/백데이터자료제공 :  2024-07-11</t>
    <phoneticPr fontId="3" type="noConversion"/>
  </si>
  <si>
    <t>이소연</t>
    <phoneticPr fontId="3" type="noConversion"/>
  </si>
  <si>
    <t>이소연</t>
  </si>
  <si>
    <t>MRC/백데이터 : 2024-07-05</t>
    <phoneticPr fontId="3" type="noConversion"/>
  </si>
  <si>
    <t>hk5.kim@samsung.com</t>
    <phoneticPr fontId="3" type="noConversion"/>
  </si>
  <si>
    <t>02-2020-7563</t>
    <phoneticPr fontId="3" type="noConversion"/>
  </si>
  <si>
    <t>부동산투자팀김홍경주임</t>
    <phoneticPr fontId="3" type="noConversion"/>
  </si>
  <si>
    <t>KBP2023060037</t>
  </si>
  <si>
    <t xml:space="preserve">캡스톤일반사모투자신탁39호(전문)(1종) </t>
    <phoneticPr fontId="3" type="noConversion"/>
  </si>
  <si>
    <t>삼성증권(부동산투자팀)</t>
    <phoneticPr fontId="3" type="noConversion"/>
  </si>
  <si>
    <t>T000112</t>
  </si>
  <si>
    <t>KBP2022090049</t>
  </si>
  <si>
    <t>코람코USDEBTSTRATEGY일반사모부동산신탁제21호(재간접형)</t>
    <phoneticPr fontId="3" type="noConversion"/>
  </si>
  <si>
    <t>마스턴일반사모부동산투자신탁제150호(1종)</t>
    <phoneticPr fontId="3" type="noConversion"/>
  </si>
  <si>
    <t>KBP2022060064</t>
  </si>
  <si>
    <t>마스턴기회추구전문사모부동산투자4호제2종</t>
    <phoneticPr fontId="3" type="noConversion"/>
  </si>
  <si>
    <t>KBP2022060063</t>
  </si>
  <si>
    <t>마스턴전문투자형사모부동산투자신탁제121호</t>
    <phoneticPr fontId="3" type="noConversion"/>
  </si>
  <si>
    <t>마스턴핵심가치전문투자형사모부동산투자신탁제1호제1종</t>
    <phoneticPr fontId="3" type="noConversion"/>
  </si>
  <si>
    <t>KBP2022060061</t>
  </si>
  <si>
    <t>KB와이즈스타전문사모부동산14호(재간접형)</t>
    <phoneticPr fontId="3" type="noConversion"/>
  </si>
  <si>
    <t>유수연</t>
    <phoneticPr fontId="3" type="noConversion"/>
  </si>
  <si>
    <t>하나대체투자시니어공동투자일반사모특별자산투자신탁5-5호(BetaNXT 인수금융)</t>
    <phoneticPr fontId="3" type="noConversion"/>
  </si>
  <si>
    <t>매분기+3영업일평가값,+10영업일보고서제공용역</t>
  </si>
  <si>
    <t>seohyun.lee@koreainvestment.com</t>
    <phoneticPr fontId="3" type="noConversion"/>
  </si>
  <si>
    <t>02-3276-5083</t>
    <phoneticPr fontId="3" type="noConversion"/>
  </si>
  <si>
    <t>이서현주임</t>
    <phoneticPr fontId="3" type="noConversion"/>
  </si>
  <si>
    <t>하나대체투자시니어공동투자일반사모특별자산투자신탁5-5호</t>
    <phoneticPr fontId="3" type="noConversion"/>
  </si>
  <si>
    <t>한국투자증권(종합금융본부(구,기업금융투자부))(수익증권)</t>
    <phoneticPr fontId="3" type="noConversion"/>
  </si>
  <si>
    <t>파인스트리트유럽인프라일반사모특별자산투자신탁2호</t>
    <phoneticPr fontId="3" type="noConversion"/>
  </si>
  <si>
    <t>삼성 유럽 인프라 대출 사모투자신탁제1호(슈로더)</t>
    <phoneticPr fontId="3" type="noConversion"/>
  </si>
  <si>
    <t>삼성유럽인프라대출일반사모투자신탁제1호</t>
    <phoneticPr fontId="3" type="noConversion"/>
  </si>
  <si>
    <t>브이아이 NB 크레딧 일반 사모 특별자산투자신탁 1호</t>
    <phoneticPr fontId="3" type="noConversion"/>
  </si>
  <si>
    <t>브이아이NB크레딧일반사모특별자산투자신탁1호</t>
    <phoneticPr fontId="3" type="noConversion"/>
  </si>
  <si>
    <t>Pantheon 인프라 세컨더리 펀드(캡스톤AI일반사모투자신탁9호)</t>
    <phoneticPr fontId="3" type="noConversion"/>
  </si>
  <si>
    <t>KRZ502569520</t>
  </si>
  <si>
    <t>캡스톤AI일반사모투자신탁9호</t>
    <phoneticPr fontId="3" type="noConversion"/>
  </si>
  <si>
    <t>Nielsen 인수금융 선순위 대출 수익증권</t>
    <phoneticPr fontId="3" type="noConversion"/>
  </si>
  <si>
    <t>accell 인수금융 선순위 대출 수익증권(보고accell1호)</t>
    <phoneticPr fontId="3" type="noConversion"/>
  </si>
  <si>
    <t>서린컴퍼니 인수금융 선순위 대출</t>
    <phoneticPr fontId="3" type="noConversion"/>
  </si>
  <si>
    <t>E01</t>
    <phoneticPr fontId="3" type="noConversion"/>
  </si>
  <si>
    <t>서린컴퍼니인수금융선순위대출</t>
    <phoneticPr fontId="3" type="noConversion"/>
  </si>
  <si>
    <t>NH-Amundi에너지공동투자전문투자형사모특별자산투자신탁1호</t>
    <phoneticPr fontId="3" type="noConversion"/>
  </si>
  <si>
    <t>K55383DM5197</t>
  </si>
  <si>
    <t>KBP2022090129</t>
  </si>
  <si>
    <t>칸서스서부내륙고속도로전문투자형사모특별자산투자신탁1호2종</t>
    <phoneticPr fontId="3" type="noConversion"/>
  </si>
  <si>
    <t>KBRPSFOCUS전문투자형사모특별자산투자신탁2호</t>
    <phoneticPr fontId="3" type="noConversion"/>
  </si>
  <si>
    <t>칸서스서부내륙고속도로전문투자형사모특별자산투자신탁1호1종</t>
    <phoneticPr fontId="3" type="noConversion"/>
  </si>
  <si>
    <t>KIAMCO고흥태양광사모특별자산투자신탁</t>
    <phoneticPr fontId="3" type="noConversion"/>
  </si>
  <si>
    <t>채권시장안정전문투자형사모증권투자신탁</t>
    <phoneticPr fontId="3" type="noConversion"/>
  </si>
  <si>
    <t>신한좋은아침BTL전문투자형사모혼합자산투자신탁</t>
    <phoneticPr fontId="3" type="noConversion"/>
  </si>
  <si>
    <t>에이아이파트너스수송인프라전문투자형사모특별자산투자신탁2호</t>
    <phoneticPr fontId="3" type="noConversion"/>
  </si>
  <si>
    <t>트러스톤글로벌인프라전문투자형사모투자신탁4호</t>
    <phoneticPr fontId="3" type="noConversion"/>
  </si>
  <si>
    <t>한화글로벌메자닌전문투자형사모증권투자신탁1호</t>
    <phoneticPr fontId="3" type="noConversion"/>
  </si>
  <si>
    <t>신한에스지레일전문투자형사모특별자산투자신탁제1-1호</t>
    <phoneticPr fontId="3" type="noConversion"/>
  </si>
  <si>
    <t>우리부산신항2-1글로벌해양전문투자형사모특별자산투자신탁</t>
    <phoneticPr fontId="3" type="noConversion"/>
  </si>
  <si>
    <t>신한AIM크레딧전문투자형사모투자신탁제1호</t>
    <phoneticPr fontId="3" type="noConversion"/>
  </si>
  <si>
    <t>하나대체전문투자형사모부동산투자신탁53호</t>
    <phoneticPr fontId="3" type="noConversion"/>
  </si>
  <si>
    <t>신한부산신항만사모특별자산투자신탁</t>
    <phoneticPr fontId="3" type="noConversion"/>
  </si>
  <si>
    <t>미래에셋포항SRF전문투자형사모특별자산투자신탁1호</t>
    <phoneticPr fontId="3" type="noConversion"/>
  </si>
  <si>
    <t xml:space="preserve">juwon09.chun@samsung.com; ws777.seo@samsung.com </t>
    <phoneticPr fontId="3" type="noConversion"/>
  </si>
  <si>
    <t>02-2020-8225, 02-2020-7825</t>
    <phoneticPr fontId="3" type="noConversion"/>
  </si>
  <si>
    <t>전주원, 서우석</t>
    <phoneticPr fontId="3" type="noConversion"/>
  </si>
  <si>
    <t>KBP2022090023</t>
  </si>
  <si>
    <t>신한WPGG14일반사모투자신탁제1호(H)</t>
    <phoneticPr fontId="3" type="noConversion"/>
  </si>
  <si>
    <t>삼성증권(PI본부)</t>
    <phoneticPr fontId="3" type="noConversion"/>
  </si>
  <si>
    <t>KBP2023090025</t>
  </si>
  <si>
    <t>현대인베스트먼트WSPM일반사모1(재)(USD)</t>
    <phoneticPr fontId="3" type="noConversion"/>
  </si>
  <si>
    <t>현대인베스트먼트BSP세컨더리일반사모투자신탁26호</t>
    <phoneticPr fontId="3" type="noConversion"/>
  </si>
  <si>
    <t>KBP2022120140</t>
  </si>
  <si>
    <t>삼성솔루션GSWSPM2022일반사모투자신탁제1호(USD)</t>
    <phoneticPr fontId="3" type="noConversion"/>
  </si>
  <si>
    <t>KB누버거버먼글로벌세컨더리일반사모혼합자산투자신탁제1호</t>
    <phoneticPr fontId="3" type="noConversion"/>
  </si>
  <si>
    <t>KBP2022060177</t>
  </si>
  <si>
    <t>현대인베스트먼트CRESCENTCREDITSOLUTION일반사모투자신탁2호</t>
    <phoneticPr fontId="3" type="noConversion"/>
  </si>
  <si>
    <t>KBP2022060072</t>
  </si>
  <si>
    <t>신한AIM재간접전문투자형사모투자신탁제13-E호</t>
    <phoneticPr fontId="3" type="noConversion"/>
  </si>
  <si>
    <t>KBP2022060071</t>
  </si>
  <si>
    <t>신한AIM부동산전문투자형사모투자신탁제21호</t>
    <phoneticPr fontId="3" type="noConversion"/>
  </si>
  <si>
    <t>현대인베스트해밀턴레인세컨더리PE전문투자형투자신탁2호</t>
    <phoneticPr fontId="3" type="noConversion"/>
  </si>
  <si>
    <t>KBP2022060069</t>
  </si>
  <si>
    <t>우리GGSWSSS전문사모2호(USD)</t>
    <phoneticPr fontId="3" type="noConversion"/>
  </si>
  <si>
    <t>KBP2022060068</t>
  </si>
  <si>
    <t>신한DOVERX글로벌세컨더리전문사모5</t>
    <phoneticPr fontId="3" type="noConversion"/>
  </si>
  <si>
    <t>삼성바이아웃전문투자형사모투자신탁1호</t>
    <phoneticPr fontId="3" type="noConversion"/>
  </si>
  <si>
    <t>KBP2021110025</t>
  </si>
  <si>
    <t>현대인베스트포모나세컨더리전문투자형사모투자신탁12호</t>
    <phoneticPr fontId="3" type="noConversion"/>
  </si>
  <si>
    <t>KBP2022060067</t>
  </si>
  <si>
    <t>보고북미크레딧전문투자사모특별8(재간접)</t>
    <phoneticPr fontId="3" type="noConversion"/>
  </si>
  <si>
    <t>KBP2022060066</t>
  </si>
  <si>
    <t>키움불카누스전문투자사모증권(재간접형)</t>
    <phoneticPr fontId="3" type="noConversion"/>
  </si>
  <si>
    <t>KBIDF인프라일반사모특별자산투자신탁제3호(대출채권-재간접형)(전문)</t>
    <phoneticPr fontId="3" type="noConversion"/>
  </si>
  <si>
    <t>KBP2022060065</t>
  </si>
  <si>
    <t>키움라르고전문투자사모증권2호(재간접형)</t>
    <phoneticPr fontId="3" type="noConversion"/>
  </si>
  <si>
    <t>정창수</t>
    <phoneticPr fontId="3" type="noConversion"/>
  </si>
  <si>
    <t>하나대체투자전문투자형사모부동산투자신탁12호</t>
  </si>
  <si>
    <t>흥국화재해상보험(수익증권)</t>
    <phoneticPr fontId="3" type="noConversion"/>
  </si>
  <si>
    <t>타이거대체전문투자형사모부동산투자신탁51호</t>
  </si>
  <si>
    <t>키움마일스톤유럽전문투자형사모부동산투자신탁제4호</t>
  </si>
  <si>
    <t>이지스글로벌일반사모부동산투자신탁438호</t>
  </si>
  <si>
    <t>마스턴KB전문투자형사모부동산투자신탁제64호제1종</t>
  </si>
  <si>
    <t>마스턴유럽전문투자형사모부동산투자신탁7-2호</t>
  </si>
  <si>
    <t>마스턴유럽전문투자형사모부동산투자신탁7-1호</t>
  </si>
  <si>
    <t>마스턴유럽전문투자형사모부동산투자신탁2호</t>
  </si>
  <si>
    <t>K55224E79449</t>
    <phoneticPr fontId="3" type="noConversion"/>
  </si>
  <si>
    <t>흥국HK시니어론일반사모투자신탁제6호</t>
    <phoneticPr fontId="3" type="noConversion"/>
  </si>
  <si>
    <t>K55451BG1359</t>
    <phoneticPr fontId="3" type="noConversion"/>
  </si>
  <si>
    <t>KBP2019030040</t>
    <phoneticPr fontId="3" type="noConversion"/>
  </si>
  <si>
    <t>KRZ502499791</t>
    <phoneticPr fontId="3" type="noConversion"/>
  </si>
  <si>
    <t>K553G9DR4585</t>
  </si>
  <si>
    <t>KBP2023090109</t>
  </si>
  <si>
    <t>한강해운대블루라인파크투자사모신탁</t>
    <phoneticPr fontId="3" type="noConversion"/>
  </si>
  <si>
    <t>K55224DR7753</t>
    <phoneticPr fontId="3" type="noConversion"/>
  </si>
  <si>
    <r>
      <t>흥국</t>
    </r>
    <r>
      <rPr>
        <sz val="11"/>
        <rFont val="맑은 고딕"/>
        <family val="3"/>
        <charset val="129"/>
        <scheme val="major"/>
      </rPr>
      <t>HK시니어론일반사모투자신탁제5호</t>
    </r>
    <phoneticPr fontId="3" type="noConversion"/>
  </si>
  <si>
    <t>K55383DM5197</t>
    <phoneticPr fontId="3" type="noConversion"/>
  </si>
  <si>
    <r>
      <t>이지스전문투자형사모투자신탁</t>
    </r>
    <r>
      <rPr>
        <sz val="11"/>
        <rFont val="맑은 고딕"/>
        <family val="3"/>
        <charset val="129"/>
        <scheme val="major"/>
      </rPr>
      <t>435호</t>
    </r>
    <phoneticPr fontId="3" type="noConversion"/>
  </si>
  <si>
    <t>K55224DM3344</t>
    <phoneticPr fontId="3" type="noConversion"/>
  </si>
  <si>
    <t>K55451DC7820</t>
    <phoneticPr fontId="3" type="noConversion"/>
  </si>
  <si>
    <t>K55451DC7820</t>
  </si>
  <si>
    <t>KBP2017090007</t>
  </si>
  <si>
    <t>KIAMCO내포그린에너지사모특별자산투자신탁제1호</t>
    <phoneticPr fontId="3" type="noConversion"/>
  </si>
  <si>
    <t>K553G9DC4079</t>
    <phoneticPr fontId="3" type="noConversion"/>
  </si>
  <si>
    <t>한강태양광발전전문투자형사모특별자산투자신탁제6호</t>
    <phoneticPr fontId="3" type="noConversion"/>
  </si>
  <si>
    <t>K55224DB5201</t>
    <phoneticPr fontId="3" type="noConversion"/>
  </si>
  <si>
    <t>K55223DB4973</t>
    <phoneticPr fontId="3" type="noConversion"/>
  </si>
  <si>
    <t>K55224DB3529</t>
    <phoneticPr fontId="3" type="noConversion"/>
  </si>
  <si>
    <t>흥국시니어론전문투자형사모투자신탁제4호</t>
    <phoneticPr fontId="3" type="noConversion"/>
  </si>
  <si>
    <t>K55234CZ8305</t>
    <phoneticPr fontId="3" type="noConversion"/>
  </si>
  <si>
    <t>IBK동북선도시철도전문투자형사모특별자산투자신탁</t>
    <phoneticPr fontId="3" type="noConversion"/>
  </si>
  <si>
    <t>K55383D77571</t>
    <phoneticPr fontId="3" type="noConversion"/>
  </si>
  <si>
    <t>K55383D77571</t>
  </si>
  <si>
    <t>KBP2023090100</t>
    <phoneticPr fontId="3" type="noConversion"/>
  </si>
  <si>
    <t>이지스전문투자형사모투자신탁377호</t>
    <phoneticPr fontId="3" type="noConversion"/>
  </si>
  <si>
    <t>K55223CX7955</t>
    <phoneticPr fontId="3" type="noConversion"/>
  </si>
  <si>
    <t>K55451CZ2973</t>
    <phoneticPr fontId="3" type="noConversion"/>
  </si>
  <si>
    <t>KIAMCO도로투자사모특별자산투자신탁제12호</t>
    <phoneticPr fontId="3" type="noConversion"/>
  </si>
  <si>
    <t>K55206CZ4514</t>
    <phoneticPr fontId="3" type="noConversion"/>
  </si>
  <si>
    <t>키움부산동서고속화도로전문투자형사모투자신탁</t>
    <phoneticPr fontId="3" type="noConversion"/>
  </si>
  <si>
    <t>K55212CL0242</t>
    <phoneticPr fontId="3" type="noConversion"/>
  </si>
  <si>
    <t>K55212CI0242</t>
  </si>
  <si>
    <t>KBP2023090099</t>
    <phoneticPr fontId="3" type="noConversion"/>
  </si>
  <si>
    <t>맥쿼리글로벌인프라대출전문투자형사모특별자산투자신탁2호</t>
    <phoneticPr fontId="3" type="noConversion"/>
  </si>
  <si>
    <t>K55451CH1621</t>
    <phoneticPr fontId="3" type="noConversion"/>
  </si>
  <si>
    <t>KRZ502373150</t>
    <phoneticPr fontId="3" type="noConversion"/>
  </si>
  <si>
    <t>K55210CK2576</t>
    <phoneticPr fontId="3" type="noConversion"/>
  </si>
  <si>
    <t>신한의정부경전철전문투자형사모특별자산투자신탁</t>
    <phoneticPr fontId="3" type="noConversion"/>
  </si>
  <si>
    <t>K553V6CJ8019</t>
    <phoneticPr fontId="3" type="noConversion"/>
  </si>
  <si>
    <t>K55224CJ2623</t>
    <phoneticPr fontId="3" type="noConversion"/>
  </si>
  <si>
    <t>K55224CI5510</t>
    <phoneticPr fontId="3" type="noConversion"/>
  </si>
  <si>
    <t>흥국우리시니어론사모특별자산투자신탁제3호</t>
    <phoneticPr fontId="3" type="noConversion"/>
  </si>
  <si>
    <t>K55234CG3481</t>
    <phoneticPr fontId="3" type="noConversion"/>
  </si>
  <si>
    <t>IBK태양광발전전문투자형사모특별자산투자신탁제2호</t>
    <phoneticPr fontId="3" type="noConversion"/>
  </si>
  <si>
    <t>KRZ502275950</t>
    <phoneticPr fontId="3" type="noConversion"/>
  </si>
  <si>
    <t>칸서스신에너지전문투자형사모특별자산투자신탁6호</t>
    <phoneticPr fontId="3" type="noConversion"/>
  </si>
  <si>
    <t>K55241BO8987</t>
    <phoneticPr fontId="3" type="noConversion"/>
  </si>
  <si>
    <t>JB에어라인사모특별자산투자신탁7호</t>
    <phoneticPr fontId="3" type="noConversion"/>
  </si>
  <si>
    <t>K55451C90175</t>
    <phoneticPr fontId="3" type="noConversion"/>
  </si>
  <si>
    <t>K55453CE7082</t>
    <phoneticPr fontId="3" type="noConversion"/>
  </si>
  <si>
    <t>K55383CE7079</t>
    <phoneticPr fontId="3" type="noConversion"/>
  </si>
  <si>
    <t>이지스전문투자형사모투자신탁217호</t>
    <phoneticPr fontId="3" type="noConversion"/>
  </si>
  <si>
    <t>K55212CC5387</t>
    <phoneticPr fontId="3" type="noConversion"/>
  </si>
  <si>
    <t>맥쿼리글로벌인프라대출전문투자형사모특별자산투자신탁1호</t>
    <phoneticPr fontId="3" type="noConversion"/>
  </si>
  <si>
    <t>K55214C49538</t>
    <phoneticPr fontId="3" type="noConversion"/>
  </si>
  <si>
    <t>K55214C49538</t>
  </si>
  <si>
    <t>KBP2021060109</t>
  </si>
  <si>
    <r>
      <t>유진태양광전문투자형사모투자신탁</t>
    </r>
    <r>
      <rPr>
        <sz val="11"/>
        <rFont val="맑은 고딕"/>
        <family val="3"/>
        <charset val="129"/>
        <scheme val="major"/>
      </rPr>
      <t>3호</t>
    </r>
    <phoneticPr fontId="3" type="noConversion"/>
  </si>
  <si>
    <t>K553G9C87400</t>
    <phoneticPr fontId="3" type="noConversion"/>
  </si>
  <si>
    <t>한강태양광발전전문투자형사모특별자산투자신탁제3호</t>
    <phoneticPr fontId="3" type="noConversion"/>
  </si>
  <si>
    <t>K55233C17014</t>
    <phoneticPr fontId="3" type="noConversion"/>
  </si>
  <si>
    <t>K55233C17006</t>
    <phoneticPr fontId="3" type="noConversion"/>
  </si>
  <si>
    <t>K55234C07146</t>
    <phoneticPr fontId="3" type="noConversion"/>
  </si>
  <si>
    <t>IBK태양광발전전문투자형사모특별자산투자신탁제1호</t>
    <phoneticPr fontId="3" type="noConversion"/>
  </si>
  <si>
    <t>K55232C09732</t>
    <phoneticPr fontId="3" type="noConversion"/>
  </si>
  <si>
    <t>NH-AMUNDI유럽발전전문투자형사모특별자산투자신탁1호</t>
    <phoneticPr fontId="3" type="noConversion"/>
  </si>
  <si>
    <t>K55451BW7489</t>
    <phoneticPr fontId="3" type="noConversion"/>
  </si>
  <si>
    <t>KIAMCO영국HS1재간접사모특별자산투자신탁</t>
    <phoneticPr fontId="3" type="noConversion"/>
  </si>
  <si>
    <t>K553L7BR6139</t>
    <phoneticPr fontId="3" type="noConversion"/>
  </si>
  <si>
    <t>K55223BM0459</t>
    <phoneticPr fontId="3" type="noConversion"/>
  </si>
  <si>
    <t>K55451BM6368</t>
    <phoneticPr fontId="3" type="noConversion"/>
  </si>
  <si>
    <t>K55224BX8797</t>
    <phoneticPr fontId="3" type="noConversion"/>
  </si>
  <si>
    <t>K553G9BV6347</t>
    <phoneticPr fontId="3" type="noConversion"/>
  </si>
  <si>
    <t>한강태양광발전전문투자형사모특별자산투자신탁2호</t>
    <phoneticPr fontId="3" type="noConversion"/>
  </si>
  <si>
    <t>K55224BV7379</t>
    <phoneticPr fontId="3" type="noConversion"/>
  </si>
  <si>
    <t>흥국우리시니어론사모특별자산투자신탁제2호</t>
    <phoneticPr fontId="3" type="noConversion"/>
  </si>
  <si>
    <t>K55223BR2740</t>
    <phoneticPr fontId="3" type="noConversion"/>
  </si>
  <si>
    <t>KB신평택발전전문투자형사모특별자산투자신탁제2호</t>
    <phoneticPr fontId="3" type="noConversion"/>
  </si>
  <si>
    <t>K55105BN5799</t>
    <phoneticPr fontId="3" type="noConversion"/>
  </si>
  <si>
    <t>K55105BN5799</t>
  </si>
  <si>
    <t>KBP2023090094</t>
    <phoneticPr fontId="3" type="noConversion"/>
  </si>
  <si>
    <t>삼성UK가스인프라전문투자형사모투자신탁제2호</t>
    <phoneticPr fontId="3" type="noConversion"/>
  </si>
  <si>
    <t>K55451BR2784</t>
    <phoneticPr fontId="3" type="noConversion"/>
  </si>
  <si>
    <t>K553G9BO5116</t>
    <phoneticPr fontId="3" type="noConversion"/>
  </si>
  <si>
    <t>한강파주양주BTL전문투자형사모특별자산투자신탁</t>
    <phoneticPr fontId="3" type="noConversion"/>
  </si>
  <si>
    <t>K55453BO2629</t>
    <phoneticPr fontId="3" type="noConversion"/>
  </si>
  <si>
    <t>다비하나BTL전문투자형사모투자신탁제6호</t>
    <phoneticPr fontId="3" type="noConversion"/>
  </si>
  <si>
    <t>K55214BM4734</t>
    <phoneticPr fontId="3" type="noConversion"/>
  </si>
  <si>
    <t>K55214BM4734</t>
  </si>
  <si>
    <t>KBP2023090093</t>
    <phoneticPr fontId="3" type="noConversion"/>
  </si>
  <si>
    <t>유진태양광전문투자형사모투자신탁2호</t>
    <phoneticPr fontId="3" type="noConversion"/>
  </si>
  <si>
    <t>K55206BL2903</t>
    <phoneticPr fontId="3" type="noConversion"/>
  </si>
  <si>
    <t>키움푸른김포전문투자형사모투자신탁</t>
    <phoneticPr fontId="3" type="noConversion"/>
  </si>
  <si>
    <t>K55207BM0632</t>
    <phoneticPr fontId="3" type="noConversion"/>
  </si>
  <si>
    <t>교보악사우수한약재BTL전문투자형사모특별자산투자신탁</t>
    <phoneticPr fontId="3" type="noConversion"/>
  </si>
  <si>
    <t>KRZ502112490</t>
    <phoneticPr fontId="3" type="noConversion"/>
  </si>
  <si>
    <r>
      <t>JB</t>
    </r>
    <r>
      <rPr>
        <sz val="11"/>
        <rFont val="맑은 고딕"/>
        <family val="3"/>
        <charset val="129"/>
        <scheme val="major"/>
      </rPr>
      <t>파워전문투자형사모특별자산투자신탁3호</t>
    </r>
    <phoneticPr fontId="3" type="noConversion"/>
  </si>
  <si>
    <t>K55233BL7164</t>
    <phoneticPr fontId="3" type="noConversion"/>
  </si>
  <si>
    <r>
      <t>칸서스용인경량전철사모특별자산투자신탁</t>
    </r>
    <r>
      <rPr>
        <sz val="11"/>
        <rFont val="맑은 고딕"/>
        <family val="3"/>
        <charset val="129"/>
        <scheme val="major"/>
      </rPr>
      <t>1호</t>
    </r>
    <phoneticPr fontId="3" type="noConversion"/>
  </si>
  <si>
    <t>K553L7BK7993</t>
    <phoneticPr fontId="3" type="noConversion"/>
  </si>
  <si>
    <t>K553L7BK7993</t>
  </si>
  <si>
    <t>KBP2023090092</t>
    <phoneticPr fontId="3" type="noConversion"/>
  </si>
  <si>
    <r>
      <rPr>
        <sz val="11"/>
        <rFont val="맑은 고딕"/>
        <family val="3"/>
        <charset val="129"/>
        <scheme val="major"/>
      </rPr>
      <t>우리부산대기숙사BTL전문투자형사모특별자산투자신탁</t>
    </r>
    <phoneticPr fontId="3" type="noConversion"/>
  </si>
  <si>
    <t>K55453BK0452</t>
    <phoneticPr fontId="3" type="noConversion"/>
  </si>
  <si>
    <t>다비하나BTL사모특별자산투자신탁제5호</t>
    <phoneticPr fontId="3" type="noConversion"/>
  </si>
  <si>
    <t>K55301BE8077</t>
    <phoneticPr fontId="3" type="noConversion"/>
  </si>
  <si>
    <t>미래에셋서부간선지하도로전문투자형사모특별자산투자신탁1호</t>
    <phoneticPr fontId="3" type="noConversion"/>
  </si>
  <si>
    <t>K55105BG0971</t>
    <phoneticPr fontId="3" type="noConversion"/>
  </si>
  <si>
    <t>K55105BG0963</t>
    <phoneticPr fontId="3" type="noConversion"/>
  </si>
  <si>
    <t>K55233BG0570</t>
    <phoneticPr fontId="3" type="noConversion"/>
  </si>
  <si>
    <t>칸서스신에너지전문투자형사모특별자산투자신탁5호</t>
    <phoneticPr fontId="3" type="noConversion"/>
  </si>
  <si>
    <t>K55223BF6323</t>
    <phoneticPr fontId="3" type="noConversion"/>
  </si>
  <si>
    <t>KB솔라에너지전문투자형사모특별자산투자신탁제3호</t>
    <phoneticPr fontId="3" type="noConversion"/>
  </si>
  <si>
    <t>K55214BF2034</t>
    <phoneticPr fontId="3" type="noConversion"/>
  </si>
  <si>
    <t>K55214BF2034</t>
  </si>
  <si>
    <t>KBP2023090091</t>
    <phoneticPr fontId="3" type="noConversion"/>
  </si>
  <si>
    <t>유진태양광전문투자형사모투자신탁1호</t>
    <phoneticPr fontId="3" type="noConversion"/>
  </si>
  <si>
    <t>K55451BD2111</t>
    <phoneticPr fontId="3" type="noConversion"/>
  </si>
  <si>
    <t>KIAMCO대곡소사복선전철사모특별자산투자신탁제2호</t>
    <phoneticPr fontId="3" type="noConversion"/>
  </si>
  <si>
    <t>K55210BA5127</t>
    <phoneticPr fontId="3" type="noConversion"/>
  </si>
  <si>
    <t>K55451BC1874</t>
    <phoneticPr fontId="3" type="noConversion"/>
  </si>
  <si>
    <t>K55451BC1874</t>
  </si>
  <si>
    <t>KBP2016060391</t>
  </si>
  <si>
    <r>
      <t>KIAMCO</t>
    </r>
    <r>
      <rPr>
        <sz val="11"/>
        <rFont val="맑은 고딕"/>
        <family val="3"/>
        <charset val="129"/>
        <scheme val="major"/>
      </rPr>
      <t>비티엘프로젝트사모특별자산투자신탁제6호</t>
    </r>
    <phoneticPr fontId="3" type="noConversion"/>
  </si>
  <si>
    <t>K55365BB3694</t>
    <phoneticPr fontId="3" type="noConversion"/>
  </si>
  <si>
    <t>K55233BB4734</t>
    <phoneticPr fontId="3" type="noConversion"/>
  </si>
  <si>
    <r>
      <t>칸서스부산하수관로전문투자형사모특별자산투자신탁</t>
    </r>
    <r>
      <rPr>
        <sz val="11"/>
        <rFont val="맑은 고딕"/>
        <family val="3"/>
        <charset val="129"/>
        <scheme val="major"/>
      </rPr>
      <t>1호</t>
    </r>
    <phoneticPr fontId="3" type="noConversion"/>
  </si>
  <si>
    <t>K55233BA8777</t>
    <phoneticPr fontId="3" type="noConversion"/>
  </si>
  <si>
    <t>K55233BA8777</t>
  </si>
  <si>
    <t>KBP2023090090</t>
    <phoneticPr fontId="3" type="noConversion"/>
  </si>
  <si>
    <r>
      <rPr>
        <sz val="11"/>
        <rFont val="맑은 고딕"/>
        <family val="3"/>
        <charset val="129"/>
        <scheme val="major"/>
      </rPr>
      <t>칸서스교육사랑전문투자형사모특별자산투자신탁1호</t>
    </r>
    <phoneticPr fontId="3" type="noConversion"/>
  </si>
  <si>
    <t>K55105BA0092</t>
    <phoneticPr fontId="3" type="noConversion"/>
  </si>
  <si>
    <t>삼성UKSolar선순위대출채권사모특별자산투자신탁</t>
    <phoneticPr fontId="3" type="noConversion"/>
  </si>
  <si>
    <t>K55301B97641</t>
    <phoneticPr fontId="3" type="noConversion"/>
  </si>
  <si>
    <t>KR5451A16139</t>
    <phoneticPr fontId="3" type="noConversion"/>
  </si>
  <si>
    <t>K55451B96372</t>
    <phoneticPr fontId="3" type="noConversion"/>
  </si>
  <si>
    <t>K55223B93380</t>
    <phoneticPr fontId="3" type="noConversion"/>
  </si>
  <si>
    <t>K55206B93609</t>
    <phoneticPr fontId="3" type="noConversion"/>
  </si>
  <si>
    <t>K55206B93609</t>
  </si>
  <si>
    <t>KBP2016060228</t>
  </si>
  <si>
    <r>
      <t>키움에코자원화시설전문투자형사모투자신탁제</t>
    </r>
    <r>
      <rPr>
        <sz val="11"/>
        <rFont val="맑은 고딕"/>
        <family val="3"/>
        <charset val="129"/>
        <scheme val="major"/>
      </rPr>
      <t>4호</t>
    </r>
    <phoneticPr fontId="3" type="noConversion"/>
  </si>
  <si>
    <t>K55206B94045</t>
    <phoneticPr fontId="3" type="noConversion"/>
  </si>
  <si>
    <r>
      <t>키움푸른순천전문투자형사모투자신탁제</t>
    </r>
    <r>
      <rPr>
        <sz val="11"/>
        <rFont val="맑은 고딕"/>
        <family val="3"/>
        <charset val="129"/>
        <scheme val="major"/>
      </rPr>
      <t>1호</t>
    </r>
    <phoneticPr fontId="3" type="noConversion"/>
  </si>
  <si>
    <t>K55365B76863</t>
    <phoneticPr fontId="3" type="noConversion"/>
  </si>
  <si>
    <t>KCGI-EMIRATESA380사모특별자산투자신탁</t>
    <phoneticPr fontId="3" type="noConversion"/>
  </si>
  <si>
    <t>K55223B49382</t>
    <phoneticPr fontId="3" type="noConversion"/>
  </si>
  <si>
    <t>K55223B43914</t>
    <phoneticPr fontId="3" type="noConversion"/>
  </si>
  <si>
    <t>KR5233AX3972</t>
    <phoneticPr fontId="3" type="noConversion"/>
  </si>
  <si>
    <r>
      <t>칸서스부산항신항제이배후도로사모특별자산투자신탁</t>
    </r>
    <r>
      <rPr>
        <sz val="11"/>
        <rFont val="맑은 고딕"/>
        <family val="3"/>
        <charset val="129"/>
        <scheme val="major"/>
      </rPr>
      <t>1호</t>
    </r>
    <phoneticPr fontId="3" type="noConversion"/>
  </si>
  <si>
    <t>KR5451AX1435</t>
    <phoneticPr fontId="3" type="noConversion"/>
  </si>
  <si>
    <r>
      <t>KIAMCO</t>
    </r>
    <r>
      <rPr>
        <sz val="11"/>
        <rFont val="맑은 고딕"/>
        <family val="3"/>
        <charset val="129"/>
        <scheme val="major"/>
      </rPr>
      <t>비티엘사모특별자산투자신탁제5호</t>
    </r>
    <phoneticPr fontId="3" type="noConversion"/>
  </si>
  <si>
    <t>KR5210AV8228</t>
    <phoneticPr fontId="3" type="noConversion"/>
  </si>
  <si>
    <t>신한제이영동고속도로사모특별자산투자신탁제1호</t>
    <phoneticPr fontId="3" type="noConversion"/>
  </si>
  <si>
    <t>KR5105AU0190</t>
    <phoneticPr fontId="3" type="noConversion"/>
  </si>
  <si>
    <t>KR5305AS1505</t>
    <phoneticPr fontId="3" type="noConversion"/>
  </si>
  <si>
    <t>흥국인프라사모특별자산투자신탁5호</t>
    <phoneticPr fontId="3" type="noConversion"/>
  </si>
  <si>
    <t>KR5233AL4586</t>
    <phoneticPr fontId="3" type="noConversion"/>
  </si>
  <si>
    <t>칸서스사랑나눔사모특별자산투자신탁1호</t>
    <phoneticPr fontId="3" type="noConversion"/>
  </si>
  <si>
    <t>KR5210AJ6392</t>
    <phoneticPr fontId="3" type="noConversion"/>
  </si>
  <si>
    <t>KR5210AG4606</t>
    <phoneticPr fontId="3" type="noConversion"/>
  </si>
  <si>
    <t>신한배움터비티엘사모특별자산투자신탁1호</t>
    <phoneticPr fontId="3" type="noConversion"/>
  </si>
  <si>
    <t>KR5101AE8080</t>
    <phoneticPr fontId="3" type="noConversion"/>
  </si>
  <si>
    <t>한국투자사모BTL인프라특별자산투자신탁7호</t>
    <phoneticPr fontId="3" type="noConversion"/>
  </si>
  <si>
    <t>KR5101AE2448</t>
    <phoneticPr fontId="3" type="noConversion"/>
  </si>
  <si>
    <t>KR5101AE2448</t>
  </si>
  <si>
    <t>KBP2019120115</t>
  </si>
  <si>
    <r>
      <t>한국투자사모</t>
    </r>
    <r>
      <rPr>
        <sz val="11"/>
        <rFont val="맑은 고딕"/>
        <family val="3"/>
        <charset val="129"/>
        <scheme val="major"/>
      </rPr>
      <t>BTL인프라특별자산투자신탁6호</t>
    </r>
    <phoneticPr fontId="3" type="noConversion"/>
  </si>
  <si>
    <t>KR5213A76756</t>
    <phoneticPr fontId="3" type="noConversion"/>
  </si>
  <si>
    <t>KR5451AD1231</t>
    <phoneticPr fontId="3" type="noConversion"/>
  </si>
  <si>
    <t>KR5451A35998</t>
    <phoneticPr fontId="3" type="noConversion"/>
  </si>
  <si>
    <t>KIAMCO비티엘사모특별자산투자신탁제3호</t>
    <phoneticPr fontId="3" type="noConversion"/>
  </si>
  <si>
    <t>KR5224AI2057</t>
    <phoneticPr fontId="3" type="noConversion"/>
  </si>
  <si>
    <r>
      <t>흥국하이클래스사모특별자산투자신탁</t>
    </r>
    <r>
      <rPr>
        <sz val="11"/>
        <rFont val="맑은 고딕"/>
        <family val="3"/>
        <charset val="129"/>
        <scheme val="major"/>
      </rPr>
      <t>35호</t>
    </r>
    <phoneticPr fontId="3" type="noConversion"/>
  </si>
  <si>
    <t>KR5224AB6980</t>
    <phoneticPr fontId="3" type="noConversion"/>
  </si>
  <si>
    <r>
      <t>흥국인프라사모특별자산투자신탁</t>
    </r>
    <r>
      <rPr>
        <sz val="11"/>
        <rFont val="맑은 고딕"/>
        <family val="3"/>
        <charset val="129"/>
        <scheme val="major"/>
      </rPr>
      <t>2호</t>
    </r>
    <phoneticPr fontId="3" type="noConversion"/>
  </si>
  <si>
    <t>KR5451977932</t>
    <phoneticPr fontId="3" type="noConversion"/>
  </si>
  <si>
    <t>KR5224292544</t>
    <phoneticPr fontId="3" type="noConversion"/>
  </si>
  <si>
    <r>
      <t>흥국인프라사모특별자산투자신탁</t>
    </r>
    <r>
      <rPr>
        <sz val="11"/>
        <rFont val="맑은 고딕"/>
        <family val="3"/>
        <charset val="129"/>
        <scheme val="major"/>
      </rPr>
      <t>1호</t>
    </r>
    <phoneticPr fontId="3" type="noConversion"/>
  </si>
  <si>
    <t>K55224E29063</t>
    <phoneticPr fontId="3" type="noConversion"/>
  </si>
  <si>
    <t>K55224E35698</t>
  </si>
  <si>
    <t>KBP2023090088</t>
    <phoneticPr fontId="3" type="noConversion"/>
  </si>
  <si>
    <t>흥국다이나믹Hedge일반사모투자신탁C-F</t>
    <phoneticPr fontId="3" type="noConversion"/>
  </si>
  <si>
    <t>K55224E55803</t>
    <phoneticPr fontId="3" type="noConversion"/>
  </si>
  <si>
    <t>K55224E55803</t>
  </si>
  <si>
    <t>KBP2023090087</t>
    <phoneticPr fontId="3" type="noConversion"/>
  </si>
  <si>
    <r>
      <rPr>
        <sz val="11"/>
        <rFont val="맑은 고딕"/>
        <family val="3"/>
        <charset val="129"/>
        <scheme val="major"/>
      </rPr>
      <t>흥국그레이트스트레티지해외채권일반사모투자신탁1호</t>
    </r>
    <phoneticPr fontId="3" type="noConversion"/>
  </si>
  <si>
    <t>K55224E21995</t>
    <phoneticPr fontId="3" type="noConversion"/>
  </si>
  <si>
    <t>K55224E21995</t>
  </si>
  <si>
    <t>KBP2023090086</t>
    <phoneticPr fontId="3" type="noConversion"/>
  </si>
  <si>
    <r>
      <rPr>
        <sz val="11"/>
        <rFont val="맑은 고딕"/>
        <family val="3"/>
        <charset val="129"/>
        <scheme val="major"/>
      </rPr>
      <t>흥국엣지플러스일반사모증권투자신탁2호</t>
    </r>
    <phoneticPr fontId="3" type="noConversion"/>
  </si>
  <si>
    <t>KR5205898871</t>
    <phoneticPr fontId="3" type="noConversion"/>
  </si>
  <si>
    <t>K553M5PQ8175</t>
  </si>
  <si>
    <t>KBP2023090085</t>
  </si>
  <si>
    <r>
      <rPr>
        <sz val="11"/>
        <rFont val="맑은 고딕"/>
        <family val="3"/>
        <charset val="129"/>
        <scheme val="major"/>
      </rPr>
      <t>수성코스닥벤처T1일반사모투자신탁</t>
    </r>
    <phoneticPr fontId="3" type="noConversion"/>
  </si>
  <si>
    <t>K553Q7DP1253</t>
    <phoneticPr fontId="3" type="noConversion"/>
  </si>
  <si>
    <t>K553Q7DP1253</t>
  </si>
  <si>
    <r>
      <t>지브이에이코벤</t>
    </r>
    <r>
      <rPr>
        <sz val="11"/>
        <rFont val="맑은 고딕"/>
        <family val="3"/>
        <charset val="129"/>
        <scheme val="major"/>
      </rPr>
      <t>-i일반사모투자신탁(전문투자자)ClassCi</t>
    </r>
    <phoneticPr fontId="3" type="noConversion"/>
  </si>
  <si>
    <t>박재현</t>
    <phoneticPr fontId="3" type="noConversion"/>
  </si>
  <si>
    <t>박재현</t>
  </si>
  <si>
    <t>KRZ502508680</t>
    <phoneticPr fontId="3" type="noConversion"/>
  </si>
  <si>
    <t>K55345DT1477</t>
  </si>
  <si>
    <t xml:space="preserve"> </t>
    <phoneticPr fontId="3" type="noConversion"/>
  </si>
  <si>
    <t xml:space="preserve"> </t>
    <phoneticPr fontId="3" type="noConversion"/>
  </si>
  <si>
    <t>KBP2024030052</t>
  </si>
  <si>
    <t>하나대체투자일반사모부동산투자신탁180호</t>
    <phoneticPr fontId="3" type="noConversion"/>
  </si>
  <si>
    <t>하나손해보험</t>
    <phoneticPr fontId="3" type="noConversion"/>
  </si>
  <si>
    <t>KR5104A45372</t>
    <phoneticPr fontId="3" type="noConversion"/>
  </si>
  <si>
    <t>KR5104A45372</t>
  </si>
  <si>
    <t>KBP2024030051</t>
  </si>
  <si>
    <t>KOTAM마리타임전문투자형사모특별자산투자신탁제21호</t>
    <phoneticPr fontId="3" type="noConversion"/>
  </si>
  <si>
    <t>KR5101251795</t>
  </si>
  <si>
    <t>KBP2021120350</t>
  </si>
  <si>
    <t>한국투자사모BTL인프라특별자산투자신탁2호</t>
    <phoneticPr fontId="3" type="noConversion"/>
  </si>
  <si>
    <t>KBRPSFOCUS전문투자형사모특별자산투자신탁4호</t>
    <phoneticPr fontId="3" type="noConversion"/>
  </si>
  <si>
    <t>한강선진병영BTL전문투자형사모특별자산투자신탁</t>
    <phoneticPr fontId="3" type="noConversion"/>
  </si>
  <si>
    <t>교보악사신재생에너지멀티전문투자형사모특별자산투자신탁1호</t>
    <phoneticPr fontId="3" type="noConversion"/>
  </si>
  <si>
    <t>미래에셋맵스클린워터사모특별자산투자신탁5호</t>
    <phoneticPr fontId="3" type="noConversion"/>
  </si>
  <si>
    <t>KR5301AU1760</t>
    <phoneticPr fontId="3" type="noConversion"/>
  </si>
  <si>
    <t>KR5301AU1760</t>
  </si>
  <si>
    <t>KBP2022060203</t>
  </si>
  <si>
    <t>미래에셋맵스글로벌인프라사모특별자산투자신탁제1-1호</t>
    <phoneticPr fontId="3" type="noConversion"/>
  </si>
  <si>
    <t>K553T7CZ3047</t>
    <phoneticPr fontId="3" type="noConversion"/>
  </si>
  <si>
    <t>K553E7CX4551</t>
    <phoneticPr fontId="3" type="noConversion"/>
  </si>
  <si>
    <t>K553T7CL9487</t>
    <phoneticPr fontId="3" type="noConversion"/>
  </si>
  <si>
    <t>K55213CV0244</t>
    <phoneticPr fontId="3" type="noConversion"/>
  </si>
  <si>
    <t>K55213CT2509</t>
    <phoneticPr fontId="3" type="noConversion"/>
  </si>
  <si>
    <t>K55301CS1455</t>
    <phoneticPr fontId="3" type="noConversion"/>
  </si>
  <si>
    <t>미래에셋유럽인프라전문투자형사모투자신탁1호</t>
    <phoneticPr fontId="3" type="noConversion"/>
  </si>
  <si>
    <t>K553T7CS5629</t>
    <phoneticPr fontId="3" type="noConversion"/>
  </si>
  <si>
    <t>신한AIM크레딧일반사모투자신탁제3-A호</t>
    <phoneticPr fontId="3" type="noConversion"/>
  </si>
  <si>
    <t>K553T7CN9279</t>
    <phoneticPr fontId="3" type="noConversion"/>
  </si>
  <si>
    <t>신한AIM구조화전문투자형사모투자신탁제1호4종</t>
    <phoneticPr fontId="3" type="noConversion"/>
  </si>
  <si>
    <t>K55213CK0205</t>
    <phoneticPr fontId="3" type="noConversion"/>
  </si>
  <si>
    <t>한화GLOBALINFRASTRUCTURESTRATEGY전문투자형사모특별자산투자신탁3호</t>
    <phoneticPr fontId="3" type="noConversion"/>
  </si>
  <si>
    <t>K55301CH5236</t>
    <phoneticPr fontId="3" type="noConversion"/>
  </si>
  <si>
    <t>K55213CG2090</t>
    <phoneticPr fontId="3" type="noConversion"/>
  </si>
  <si>
    <t>K55363CJ1154</t>
    <phoneticPr fontId="3" type="noConversion"/>
  </si>
  <si>
    <t>K553T7CD4009</t>
    <phoneticPr fontId="3" type="noConversion"/>
  </si>
  <si>
    <t>K55213CH4525</t>
    <phoneticPr fontId="3" type="noConversion"/>
  </si>
  <si>
    <t>K55213CH4525</t>
  </si>
  <si>
    <t>KBP2019120253</t>
  </si>
  <si>
    <t>한화글로벌인프라전문투자형사모특별자산신탁12호</t>
    <phoneticPr fontId="3" type="noConversion"/>
  </si>
  <si>
    <t>K55213CG3544</t>
    <phoneticPr fontId="3" type="noConversion"/>
  </si>
  <si>
    <t>한화유럽PPP인프라전문투자형사모특별자산신탁1-2호</t>
    <phoneticPr fontId="3" type="noConversion"/>
  </si>
  <si>
    <t>K55213CG3536</t>
    <phoneticPr fontId="3" type="noConversion"/>
  </si>
  <si>
    <t>한화유럽PPP인프라전문투자형사모특별자산신탁1-1호</t>
    <phoneticPr fontId="3" type="noConversion"/>
  </si>
  <si>
    <t>K55213CE0237</t>
    <phoneticPr fontId="3" type="noConversion"/>
  </si>
  <si>
    <t>한화유럽크레딧전문투자형사모특별자산투자신탁5호</t>
    <phoneticPr fontId="3" type="noConversion"/>
  </si>
  <si>
    <t>K553T7C90833</t>
    <phoneticPr fontId="3" type="noConversion"/>
  </si>
  <si>
    <t>K553T7C90825</t>
    <phoneticPr fontId="3" type="noConversion"/>
  </si>
  <si>
    <t>K55213CA1742</t>
    <phoneticPr fontId="3" type="noConversion"/>
  </si>
  <si>
    <t>K55213CA1759</t>
    <phoneticPr fontId="3" type="noConversion"/>
  </si>
  <si>
    <t>K55213C39556</t>
    <phoneticPr fontId="3" type="noConversion"/>
  </si>
  <si>
    <t>한화영국PPP인프라전문투자형사모특별자산투자신탁1호</t>
    <phoneticPr fontId="3" type="noConversion"/>
  </si>
  <si>
    <t>K55213C53458</t>
    <phoneticPr fontId="3" type="noConversion"/>
  </si>
  <si>
    <t>KRZ501977050</t>
    <phoneticPr fontId="3" type="noConversion"/>
  </si>
  <si>
    <t>K55345B29153</t>
  </si>
  <si>
    <t>KBP2021120353</t>
  </si>
  <si>
    <t>하나대체투자항공기사모특별자산투자신탁제2호[항공기]</t>
    <phoneticPr fontId="3" type="noConversion"/>
  </si>
  <si>
    <t>K55213C00722</t>
    <phoneticPr fontId="3" type="noConversion"/>
  </si>
  <si>
    <t>K55213CO0722</t>
  </si>
  <si>
    <t>KBP2019120252</t>
  </si>
  <si>
    <t>한화DEBTSTRATEGY전문사모부동산투자신탁21-2호</t>
    <phoneticPr fontId="3" type="noConversion"/>
  </si>
  <si>
    <t>KRZ502286692</t>
    <phoneticPr fontId="3" type="noConversion"/>
  </si>
  <si>
    <t>K55369CI1399</t>
  </si>
  <si>
    <t>KBP2021120352</t>
  </si>
  <si>
    <t>엠플러스스카이전문투자형사모투자신탁4호제2종</t>
    <phoneticPr fontId="3" type="noConversion"/>
  </si>
  <si>
    <t>K51218051101</t>
    <phoneticPr fontId="3" type="noConversion"/>
  </si>
  <si>
    <t>유진AVIATION전문투자형사모투자신탁14호</t>
    <phoneticPr fontId="3" type="noConversion"/>
  </si>
  <si>
    <t>K55373BU0929</t>
    <phoneticPr fontId="3" type="noConversion"/>
  </si>
  <si>
    <t>K55373BU0929</t>
  </si>
  <si>
    <t>KBP2017120076</t>
  </si>
  <si>
    <t>현대STAR전문투자형사모부동산투자신탁9호</t>
    <phoneticPr fontId="3" type="noConversion"/>
  </si>
  <si>
    <t>K55345BW1771</t>
    <phoneticPr fontId="3" type="noConversion"/>
  </si>
  <si>
    <t>KRZ502117090</t>
    <phoneticPr fontId="3" type="noConversion"/>
  </si>
  <si>
    <t>K55232BM3163</t>
  </si>
  <si>
    <t>KBP2021120351</t>
  </si>
  <si>
    <t>NH-AMUNDI항공기일반사모특별자산투자신탁1호</t>
    <phoneticPr fontId="3" type="noConversion"/>
  </si>
  <si>
    <t>K55206BL7589</t>
    <phoneticPr fontId="3" type="noConversion"/>
  </si>
  <si>
    <t>K55383BK5209</t>
  </si>
  <si>
    <t>KBP2019120101</t>
  </si>
  <si>
    <t>이지스글로벌전문투자형사모부동산투자신탁109-1호</t>
    <phoneticPr fontId="3" type="noConversion"/>
  </si>
  <si>
    <t>KRZ501936570</t>
    <phoneticPr fontId="3" type="noConversion"/>
  </si>
  <si>
    <t>KR5373AW2991</t>
  </si>
  <si>
    <t>KBP2020060001</t>
  </si>
  <si>
    <t>현대미국대출채권전문투자형사모부동산투자신탁1호</t>
    <phoneticPr fontId="3" type="noConversion"/>
  </si>
  <si>
    <t>-</t>
    <phoneticPr fontId="3" type="noConversion"/>
  </si>
  <si>
    <t>미의뢰</t>
    <phoneticPr fontId="3" type="noConversion"/>
  </si>
  <si>
    <t>대체평가3사업본부</t>
    <phoneticPr fontId="3" type="noConversion"/>
  </si>
  <si>
    <t>-</t>
    <phoneticPr fontId="3" type="noConversion"/>
  </si>
  <si>
    <t xml:space="preserve"> </t>
    <phoneticPr fontId="3" type="noConversion"/>
  </si>
  <si>
    <t>대체평가3사업본부</t>
    <phoneticPr fontId="3" type="noConversion"/>
  </si>
  <si>
    <t>박재현</t>
    <phoneticPr fontId="3" type="noConversion"/>
  </si>
  <si>
    <t>K55383BK5209</t>
    <phoneticPr fontId="3" type="noConversion"/>
  </si>
  <si>
    <t>하나손해보험</t>
    <phoneticPr fontId="3" type="noConversion"/>
  </si>
  <si>
    <t>2024.09.30</t>
    <phoneticPr fontId="3" type="noConversion"/>
  </si>
  <si>
    <t>룩스루</t>
    <phoneticPr fontId="3" type="noConversion"/>
  </si>
  <si>
    <t xml:space="preserve"> </t>
    <phoneticPr fontId="3" type="noConversion"/>
  </si>
  <si>
    <t>한화영국코어인프라전문투자형사모특별자산투자신탁1호</t>
    <phoneticPr fontId="3" type="noConversion"/>
  </si>
  <si>
    <t>윤광일</t>
  </si>
  <si>
    <t>원정우</t>
  </si>
  <si>
    <t>오영석</t>
  </si>
  <si>
    <t>이주영</t>
  </si>
  <si>
    <t>김수현</t>
  </si>
  <si>
    <t>KBP2023120010</t>
  </si>
  <si>
    <t>이상민</t>
  </si>
  <si>
    <t>2023년09월04일 입사</t>
    <phoneticPr fontId="3" type="noConversion"/>
  </si>
  <si>
    <t>2023년09월04일 입사</t>
    <phoneticPr fontId="3" type="noConversion"/>
  </si>
  <si>
    <t>기초자산</t>
  </si>
  <si>
    <t>KBP2021120230</t>
  </si>
  <si>
    <t>X001546</t>
  </si>
  <si>
    <t>월</t>
    <phoneticPr fontId="3" type="noConversion"/>
  </si>
  <si>
    <t>2023년11월13일 입사(1월2일부터 공수부여)</t>
    <phoneticPr fontId="3" type="noConversion"/>
  </si>
  <si>
    <t>분기</t>
    <phoneticPr fontId="3" type="noConversion"/>
  </si>
  <si>
    <t>김영하</t>
    <phoneticPr fontId="3" type="noConversion"/>
  </si>
  <si>
    <t>파라미터 관리 총괄</t>
    <phoneticPr fontId="3" type="noConversion"/>
  </si>
  <si>
    <t>분기</t>
    <phoneticPr fontId="3" type="noConversion"/>
  </si>
  <si>
    <t>백형진</t>
    <phoneticPr fontId="3" type="noConversion"/>
  </si>
  <si>
    <t>평가값제공일</t>
    <phoneticPr fontId="3" type="noConversion"/>
  </si>
  <si>
    <t>2024.11.30</t>
    <phoneticPr fontId="3" type="noConversion"/>
  </si>
  <si>
    <t>Y2409D0007</t>
  </si>
  <si>
    <t>Y2409D0008</t>
  </si>
  <si>
    <t>윤현빈</t>
  </si>
  <si>
    <t>KBP2023120004</t>
  </si>
  <si>
    <t>KBP2023120005</t>
  </si>
  <si>
    <t>KBP2023120006</t>
  </si>
  <si>
    <t>KBP2023120007</t>
  </si>
  <si>
    <t>KBP2023120008</t>
  </si>
  <si>
    <t>KBP2023120009</t>
  </si>
  <si>
    <t>KBP2023120011</t>
  </si>
  <si>
    <t>KBP2023120012</t>
  </si>
  <si>
    <t>KBP2023120013</t>
  </si>
  <si>
    <t>T000122</t>
  </si>
  <si>
    <t>KBP2023120017</t>
  </si>
  <si>
    <t>KBP2023120018</t>
  </si>
  <si>
    <t>KBP2023120014</t>
  </si>
  <si>
    <t>KBP2023120015</t>
  </si>
  <si>
    <t>KBP2023120126</t>
  </si>
  <si>
    <t>KBP2023120134</t>
  </si>
  <si>
    <t>KBP2023120135</t>
  </si>
  <si>
    <t>KBP2020090056</t>
  </si>
  <si>
    <t>KBP2023120136</t>
  </si>
  <si>
    <t>KBP2016060408</t>
  </si>
  <si>
    <t>KBP2023120059</t>
  </si>
  <si>
    <t>티비티글로벌성장제3호투자조합</t>
  </si>
  <si>
    <t>평가의뢰일</t>
    <phoneticPr fontId="3" type="noConversion"/>
  </si>
  <si>
    <t>평가기준일</t>
    <phoneticPr fontId="3" type="noConversion"/>
  </si>
  <si>
    <t>평가보고서제공일</t>
    <phoneticPr fontId="3" type="noConversion"/>
  </si>
  <si>
    <t>민감도제공일</t>
    <phoneticPr fontId="3" type="noConversion"/>
  </si>
  <si>
    <t>서수빈</t>
  </si>
  <si>
    <t>Y2409J0016</t>
  </si>
  <si>
    <t>안예진사원</t>
    <phoneticPr fontId="3" type="noConversion"/>
  </si>
  <si>
    <t>02-560-9726</t>
    <phoneticPr fontId="3" type="noConversion"/>
  </si>
  <si>
    <t>yjan@shinhanvc.com</t>
  </si>
  <si>
    <t>Y2409V0002</t>
  </si>
  <si>
    <t>피투피시스템즈</t>
    <phoneticPr fontId="3" type="noConversion"/>
  </si>
  <si>
    <t>유씨케이파트너스(구,유니슨캐피탈사모투자전문회사)</t>
    <phoneticPr fontId="3" type="noConversion"/>
  </si>
  <si>
    <t>02-3011-7002</t>
    <phoneticPr fontId="3" type="noConversion"/>
  </si>
  <si>
    <t>hyk@uckpartners.com</t>
    <phoneticPr fontId="3" type="noConversion"/>
  </si>
  <si>
    <t>구하영차장</t>
    <phoneticPr fontId="3" type="noConversion"/>
  </si>
  <si>
    <t xml:space="preserve">02-3496-6616 </t>
    <phoneticPr fontId="3" type="noConversion"/>
  </si>
  <si>
    <t>재평가</t>
  </si>
  <si>
    <t xml:space="preserve">주소영과장 </t>
  </si>
  <si>
    <t xml:space="preserve">02-3496-6616 </t>
  </si>
  <si>
    <t xml:space="preserve">syju@stonebridge.co.kr </t>
  </si>
  <si>
    <t>KBP2020090057</t>
  </si>
  <si>
    <t>Y2409V0010</t>
  </si>
  <si>
    <t>메이븐그로쓰파트너스</t>
  </si>
  <si>
    <t>KBP2023120195</t>
  </si>
  <si>
    <t>kcho@mvngp.com</t>
  </si>
  <si>
    <t>Y2409V0012</t>
  </si>
  <si>
    <t>W000693</t>
  </si>
  <si>
    <t>사원</t>
    <phoneticPr fontId="3" type="noConversion"/>
  </si>
  <si>
    <t>국민연금제출</t>
    <phoneticPr fontId="3" type="noConversion"/>
  </si>
  <si>
    <t>KBP2022110001</t>
  </si>
  <si>
    <t>KBP2021110003</t>
  </si>
  <si>
    <t>Y2409V0014</t>
  </si>
  <si>
    <t>km.yoo@insurance.co.kr</t>
  </si>
  <si>
    <t>매매목적</t>
    <phoneticPr fontId="3" type="noConversion"/>
  </si>
  <si>
    <t>X001547</t>
  </si>
  <si>
    <t>경보제약</t>
  </si>
  <si>
    <t>Y2410J0001</t>
  </si>
  <si>
    <t>KBP2016120199</t>
  </si>
  <si>
    <t>KBP2016120195</t>
  </si>
  <si>
    <t>KBP2016120198</t>
  </si>
  <si>
    <t>조한재프로</t>
    <phoneticPr fontId="3" type="noConversion"/>
  </si>
  <si>
    <t>h2o.jo@samsung.com</t>
    <phoneticPr fontId="3" type="noConversion"/>
  </si>
  <si>
    <t>에이치앤큐에쿼티파트너스</t>
  </si>
  <si>
    <t>Y2410V0002</t>
  </si>
  <si>
    <t>Y2410V0004</t>
  </si>
  <si>
    <t>Y2410V0005</t>
  </si>
  <si>
    <t>byshin@jklpartners.co.kr</t>
  </si>
  <si>
    <t>Y2410V0006</t>
  </si>
  <si>
    <t>Y2409J0064</t>
  </si>
  <si>
    <t>KBP2023120055</t>
  </si>
  <si>
    <t>KBP2023120050</t>
  </si>
  <si>
    <t>KBP2023120051</t>
  </si>
  <si>
    <t>KBP2023120053</t>
  </si>
  <si>
    <t>KBP2023120052</t>
  </si>
  <si>
    <t>KBP2023120054</t>
  </si>
  <si>
    <t>Y2410V0011</t>
  </si>
  <si>
    <t>KBP2024110001</t>
  </si>
  <si>
    <t>X001548</t>
  </si>
  <si>
    <t>Y2410J0015</t>
  </si>
  <si>
    <t>shpark@imminvestment.com</t>
  </si>
  <si>
    <t>Y2410V0012</t>
  </si>
  <si>
    <t>Y2410V0013</t>
  </si>
  <si>
    <t>그린하버프라이빗에쿼티(구,스프랏코리아)</t>
  </si>
  <si>
    <t>Y2410J0016</t>
  </si>
  <si>
    <t>Y000472</t>
  </si>
  <si>
    <t>dhlim@mastern.co.kr</t>
  </si>
  <si>
    <t>조영재</t>
  </si>
  <si>
    <t>Y2409V0006</t>
  </si>
  <si>
    <t>Y2410V0009</t>
  </si>
  <si>
    <t>KBP2023120016</t>
  </si>
  <si>
    <t>KBP2023120081</t>
  </si>
  <si>
    <t>KBP2021120259</t>
  </si>
  <si>
    <t>KBP2023060092</t>
  </si>
  <si>
    <t>KBP2022030084</t>
  </si>
  <si>
    <t>페트라8호 SPC 개별보고서 추가공수 2.0</t>
    <phoneticPr fontId="3" type="noConversion"/>
  </si>
  <si>
    <t>KBP2024110003</t>
  </si>
  <si>
    <t>Y2410V0017</t>
  </si>
  <si>
    <t>KBP2024120001</t>
  </si>
  <si>
    <t>KBP2024110004</t>
  </si>
  <si>
    <t>X001447</t>
  </si>
  <si>
    <t>케이에스넷</t>
  </si>
  <si>
    <t>Y000489</t>
  </si>
  <si>
    <t>페트라7호사모투자</t>
  </si>
  <si>
    <t>KBP2020090118</t>
  </si>
  <si>
    <t>mhkim@koreainvestmentpe.com</t>
  </si>
  <si>
    <t>Y2410V0018</t>
  </si>
  <si>
    <t>02-3453-8645 / 010-2507-9428</t>
  </si>
  <si>
    <t>hyojoon.lee@klnpartnerslp.com</t>
  </si>
  <si>
    <t>hjkim@nauib.com</t>
  </si>
  <si>
    <t>Y2410K0001</t>
  </si>
  <si>
    <t>2024년01월02일 입사</t>
    <phoneticPr fontId="3" type="noConversion"/>
  </si>
  <si>
    <t>고명주</t>
  </si>
  <si>
    <t>KBP2023090029</t>
  </si>
  <si>
    <t>Y2410V0020</t>
  </si>
  <si>
    <t xml:space="preserve">02-3700-1314 </t>
  </si>
  <si>
    <t>KBP2016090011</t>
  </si>
  <si>
    <t>X001549</t>
  </si>
  <si>
    <t>케이넷투자파트너스</t>
  </si>
  <si>
    <t>KBP2023110002</t>
  </si>
  <si>
    <t>cherry880@naver.com</t>
  </si>
  <si>
    <t>Y2410V0023</t>
  </si>
  <si>
    <t>Y2410V0022</t>
  </si>
  <si>
    <t>KBP2024110005</t>
  </si>
  <si>
    <t>Y2410V0025</t>
  </si>
  <si>
    <t>Y000466</t>
  </si>
  <si>
    <t>스톤브릿지벤처스</t>
  </si>
  <si>
    <t>Y2410V0026</t>
  </si>
  <si>
    <t>X001550</t>
  </si>
  <si>
    <t>대창</t>
  </si>
  <si>
    <t>Y2410J0033</t>
  </si>
  <si>
    <t>Y2410A0015</t>
  </si>
  <si>
    <t>D01</t>
    <phoneticPr fontId="3" type="noConversion"/>
  </si>
  <si>
    <t>아이지넷</t>
    <phoneticPr fontId="3" type="noConversion"/>
  </si>
  <si>
    <t>SAMSUNG C&amp;T (KL) SDN BHD(말레이시아법인)</t>
    <phoneticPr fontId="3" type="noConversion"/>
  </si>
  <si>
    <t>SAMSUNG C&amp;T(SHANGHAI) CO LTD(중국법인)</t>
    <phoneticPr fontId="3" type="noConversion"/>
  </si>
  <si>
    <t>아이엠엠살루스벤처펀드</t>
    <phoneticPr fontId="3" type="noConversion"/>
  </si>
  <si>
    <t>Y2410J0036</t>
  </si>
  <si>
    <t>KBP2019110007</t>
  </si>
  <si>
    <t>KBP2019110006</t>
  </si>
  <si>
    <t xml:space="preserve">hjlim@yuantainvest.com </t>
  </si>
  <si>
    <t>KBP2021120262</t>
  </si>
  <si>
    <t>Y2410V0028</t>
  </si>
  <si>
    <t>Y000467</t>
  </si>
  <si>
    <t>대신프라이빗에쿼티</t>
  </si>
  <si>
    <t>KBP2019120021</t>
  </si>
  <si>
    <t>Y000253</t>
    <phoneticPr fontId="3" type="noConversion"/>
  </si>
  <si>
    <t>에너지인프라자산운용</t>
    <phoneticPr fontId="3" type="noConversion"/>
  </si>
  <si>
    <t>에너지인프라에너지신산업전문투자형사모투자신탁</t>
    <phoneticPr fontId="3" type="noConversion"/>
  </si>
  <si>
    <t>B02</t>
    <phoneticPr fontId="3" type="noConversion"/>
  </si>
  <si>
    <t>미정</t>
    <phoneticPr fontId="3" type="noConversion"/>
  </si>
  <si>
    <t>홍채린매니저</t>
    <phoneticPr fontId="3" type="noConversion"/>
  </si>
  <si>
    <t>02-3775-9515, 010-2896-5400</t>
    <phoneticPr fontId="3" type="noConversion"/>
  </si>
  <si>
    <t>chaerin@miraeasset.com</t>
    <phoneticPr fontId="3" type="noConversion"/>
  </si>
  <si>
    <t>2024.12.31</t>
    <phoneticPr fontId="3" type="noConversion"/>
  </si>
  <si>
    <t>[Y]금융기관</t>
    <phoneticPr fontId="3" type="noConversion"/>
  </si>
  <si>
    <t>대체평가3사업본부</t>
    <phoneticPr fontId="3" type="noConversion"/>
  </si>
  <si>
    <t>-</t>
    <phoneticPr fontId="3" type="noConversion"/>
  </si>
  <si>
    <t>★추후분배</t>
    <phoneticPr fontId="3" type="noConversion"/>
  </si>
  <si>
    <t>-</t>
    <phoneticPr fontId="3" type="noConversion"/>
  </si>
  <si>
    <t>회계반영</t>
    <phoneticPr fontId="3" type="noConversion"/>
  </si>
  <si>
    <t>KBP2022120235</t>
  </si>
  <si>
    <t>KBP2022120236</t>
  </si>
  <si>
    <t>KBP2022030107</t>
  </si>
  <si>
    <t>KBP2022120237</t>
  </si>
  <si>
    <t>KBP2021110034</t>
  </si>
  <si>
    <t>김현준</t>
  </si>
  <si>
    <t>김혜지</t>
  </si>
  <si>
    <t>X001551</t>
  </si>
  <si>
    <t>Y2410V0031</t>
  </si>
  <si>
    <t xml:space="preserve">반기 </t>
  </si>
  <si>
    <t>Y000465</t>
  </si>
  <si>
    <t>웰컴자산운용</t>
  </si>
  <si>
    <t>KBP2020120178</t>
  </si>
  <si>
    <t>KBP2020120181</t>
  </si>
  <si>
    <t>KBP2024120002</t>
  </si>
  <si>
    <t>KBP2024120003</t>
  </si>
  <si>
    <t>체크리스트 송부 : 2024-06-12, 보고서 연말 제공</t>
  </si>
  <si>
    <t>KBP2020060193</t>
  </si>
  <si>
    <t>KBP2020120117</t>
  </si>
  <si>
    <t>KBP2017100004</t>
  </si>
  <si>
    <t>KBP2019120343</t>
  </si>
  <si>
    <t>아틸라인프라제2호사모투자</t>
  </si>
  <si>
    <t>아이젠2022제일호사모투자</t>
  </si>
  <si>
    <t>제이앤솔라사모투자</t>
  </si>
  <si>
    <t>에이치디씨현대이피(구,에이치디씨현대산업개발)</t>
  </si>
  <si>
    <t>KBP2018120201</t>
  </si>
  <si>
    <t>최승오</t>
  </si>
  <si>
    <t>Y2410J0053</t>
  </si>
  <si>
    <t>유한양행</t>
    <phoneticPr fontId="3" type="noConversion"/>
  </si>
  <si>
    <t>A07</t>
    <phoneticPr fontId="3" type="noConversion"/>
  </si>
  <si>
    <t>KBP2024090079</t>
  </si>
  <si>
    <t>신규</t>
    <phoneticPr fontId="3" type="noConversion"/>
  </si>
  <si>
    <t>아이엔스틸인더스트리</t>
    <phoneticPr fontId="3" type="noConversion"/>
  </si>
  <si>
    <t>A01</t>
    <phoneticPr fontId="3" type="noConversion"/>
  </si>
  <si>
    <t>미정</t>
    <phoneticPr fontId="3" type="noConversion"/>
  </si>
  <si>
    <t>윤부일이사</t>
    <phoneticPr fontId="3" type="noConversion"/>
  </si>
  <si>
    <t>010-7733-9370</t>
    <phoneticPr fontId="3" type="noConversion"/>
  </si>
  <si>
    <t>ybi1007@brassone.com</t>
    <phoneticPr fontId="3" type="noConversion"/>
  </si>
  <si>
    <t>2024.09.30</t>
    <phoneticPr fontId="3" type="noConversion"/>
  </si>
  <si>
    <t>[X]일반기업</t>
    <phoneticPr fontId="3" type="noConversion"/>
  </si>
  <si>
    <t>백형진</t>
    <phoneticPr fontId="3" type="noConversion"/>
  </si>
  <si>
    <t>신규</t>
    <phoneticPr fontId="3" type="noConversion"/>
  </si>
  <si>
    <t>매매검토(퇴사임원 보유주식 거래 시 참조를 위함)</t>
    <phoneticPr fontId="3" type="noConversion"/>
  </si>
  <si>
    <t>형지엘리트</t>
    <phoneticPr fontId="3" type="noConversion"/>
  </si>
  <si>
    <t>재평가</t>
    <phoneticPr fontId="3" type="noConversion"/>
  </si>
  <si>
    <t>D02</t>
    <phoneticPr fontId="3" type="noConversion"/>
  </si>
  <si>
    <t>-</t>
    <phoneticPr fontId="3" type="noConversion"/>
  </si>
  <si>
    <t>반기</t>
    <phoneticPr fontId="3" type="noConversion"/>
  </si>
  <si>
    <t>유주희주임</t>
    <phoneticPr fontId="3" type="noConversion"/>
  </si>
  <si>
    <t>yjh@hyungji-elite.com</t>
    <phoneticPr fontId="3" type="noConversion"/>
  </si>
  <si>
    <t>-</t>
    <phoneticPr fontId="3" type="noConversion"/>
  </si>
  <si>
    <t>2024.12.31</t>
    <phoneticPr fontId="3" type="noConversion"/>
  </si>
  <si>
    <t>[W]상장기업</t>
    <phoneticPr fontId="3" type="noConversion"/>
  </si>
  <si>
    <t>상장</t>
    <phoneticPr fontId="3" type="noConversion"/>
  </si>
  <si>
    <t>메자닌평가팀</t>
    <phoneticPr fontId="3" type="noConversion"/>
  </si>
  <si>
    <t>회계반영</t>
    <phoneticPr fontId="3" type="noConversion"/>
  </si>
  <si>
    <t>개별종목</t>
    <phoneticPr fontId="3" type="noConversion"/>
  </si>
  <si>
    <t>재평가</t>
    <phoneticPr fontId="3" type="noConversion"/>
  </si>
  <si>
    <t>형지엘리트</t>
    <phoneticPr fontId="3" type="noConversion"/>
  </si>
  <si>
    <t>D02</t>
    <phoneticPr fontId="3" type="noConversion"/>
  </si>
  <si>
    <t>반기</t>
    <phoneticPr fontId="3" type="noConversion"/>
  </si>
  <si>
    <t>유주희주임</t>
    <phoneticPr fontId="3" type="noConversion"/>
  </si>
  <si>
    <t>032-454-8410</t>
    <phoneticPr fontId="3" type="noConversion"/>
  </si>
  <si>
    <t>yjh@hyungji-elite.com</t>
    <phoneticPr fontId="3" type="noConversion"/>
  </si>
  <si>
    <t>2025.06.30</t>
    <phoneticPr fontId="3" type="noConversion"/>
  </si>
  <si>
    <t>[W]상장기업</t>
    <phoneticPr fontId="3" type="noConversion"/>
  </si>
  <si>
    <t>메자닌평가팀</t>
    <phoneticPr fontId="3" type="noConversion"/>
  </si>
  <si>
    <t>2025.12.31</t>
    <phoneticPr fontId="3" type="noConversion"/>
  </si>
  <si>
    <t>2025.06.30</t>
    <phoneticPr fontId="3" type="noConversion"/>
  </si>
  <si>
    <t>2026.06.30</t>
    <phoneticPr fontId="3" type="noConversion"/>
  </si>
  <si>
    <t>NMP미등록</t>
    <phoneticPr fontId="3" type="noConversion"/>
  </si>
  <si>
    <t>2026.12.31</t>
    <phoneticPr fontId="3" type="noConversion"/>
  </si>
  <si>
    <t>노브메타파마</t>
    <phoneticPr fontId="3" type="noConversion"/>
  </si>
  <si>
    <t>A05</t>
    <phoneticPr fontId="3" type="noConversion"/>
  </si>
  <si>
    <t xml:space="preserve">분기 </t>
    <phoneticPr fontId="3" type="noConversion"/>
  </si>
  <si>
    <t>김보라대리</t>
    <phoneticPr fontId="3" type="noConversion"/>
  </si>
  <si>
    <t>070-4901-1934, 010-6424-5484</t>
    <phoneticPr fontId="3" type="noConversion"/>
  </si>
  <si>
    <t>2025.01.10</t>
    <phoneticPr fontId="3" type="noConversion"/>
  </si>
  <si>
    <t>Y2405A0028</t>
    <phoneticPr fontId="3" type="noConversion"/>
  </si>
  <si>
    <t>[Y]금융기관</t>
    <phoneticPr fontId="3" type="noConversion"/>
  </si>
  <si>
    <t>코넥스 상장 종가 활용</t>
    <phoneticPr fontId="3" type="noConversion"/>
  </si>
  <si>
    <t>회계반영</t>
    <phoneticPr fontId="3" type="noConversion"/>
  </si>
  <si>
    <t>개별종목</t>
    <phoneticPr fontId="3" type="noConversion"/>
  </si>
  <si>
    <t>엔바이오니아</t>
    <phoneticPr fontId="3" type="noConversion"/>
  </si>
  <si>
    <t>D03</t>
    <phoneticPr fontId="3" type="noConversion"/>
  </si>
  <si>
    <t>분기</t>
    <phoneticPr fontId="3" type="noConversion"/>
  </si>
  <si>
    <t>최미정부장</t>
    <phoneticPr fontId="3" type="noConversion"/>
  </si>
  <si>
    <t xml:space="preserve">070-7718-7543 </t>
    <phoneticPr fontId="3" type="noConversion"/>
  </si>
  <si>
    <t>Y2406J0095</t>
    <phoneticPr fontId="3" type="noConversion"/>
  </si>
  <si>
    <t>엔바이오니아</t>
    <phoneticPr fontId="3" type="noConversion"/>
  </si>
  <si>
    <t>분기</t>
    <phoneticPr fontId="3" type="noConversion"/>
  </si>
  <si>
    <t>최미정부장</t>
    <phoneticPr fontId="3" type="noConversion"/>
  </si>
  <si>
    <t>Y2406J0095</t>
    <phoneticPr fontId="3" type="noConversion"/>
  </si>
  <si>
    <t xml:space="preserve">choi@envioneer.com </t>
    <phoneticPr fontId="3" type="noConversion"/>
  </si>
  <si>
    <t>2024.12.31</t>
    <phoneticPr fontId="3" type="noConversion"/>
  </si>
  <si>
    <t>케이앤에스아이앤씨</t>
    <phoneticPr fontId="3" type="noConversion"/>
  </si>
  <si>
    <t>월</t>
    <phoneticPr fontId="3" type="noConversion"/>
  </si>
  <si>
    <t>이예울대리</t>
    <phoneticPr fontId="3" type="noConversion"/>
  </si>
  <si>
    <t>02-6915-5337</t>
    <phoneticPr fontId="3" type="noConversion"/>
  </si>
  <si>
    <t>9m.n-@ibks.com</t>
    <phoneticPr fontId="3" type="noConversion"/>
  </si>
  <si>
    <t>2024.10.31</t>
    <phoneticPr fontId="3" type="noConversion"/>
  </si>
  <si>
    <t>보고서제공X</t>
    <phoneticPr fontId="3" type="noConversion"/>
  </si>
  <si>
    <t>오영석</t>
    <phoneticPr fontId="3" type="noConversion"/>
  </si>
  <si>
    <t>오영석</t>
    <phoneticPr fontId="3" type="noConversion"/>
  </si>
  <si>
    <t>메리츠증권(구조화투자팀)</t>
    <phoneticPr fontId="3" type="noConversion"/>
  </si>
  <si>
    <t>Lanvin Group Holdings Limited</t>
    <phoneticPr fontId="3" type="noConversion"/>
  </si>
  <si>
    <t>Lanvin Group Holdings Limited</t>
    <phoneticPr fontId="3" type="noConversion"/>
  </si>
  <si>
    <t>D06</t>
    <phoneticPr fontId="3" type="noConversion"/>
  </si>
  <si>
    <t>Y</t>
    <phoneticPr fontId="3" type="noConversion"/>
  </si>
  <si>
    <t>박지우대리</t>
    <phoneticPr fontId="3" type="noConversion"/>
  </si>
  <si>
    <t>02-6454-4321</t>
    <phoneticPr fontId="3" type="noConversion"/>
  </si>
  <si>
    <t>jw.park@meritz.co.kr</t>
    <phoneticPr fontId="3" type="noConversion"/>
  </si>
  <si>
    <t>매월</t>
    <phoneticPr fontId="3" type="noConversion"/>
  </si>
  <si>
    <t>2024.10.31</t>
    <phoneticPr fontId="3" type="noConversion"/>
  </si>
  <si>
    <t>미정</t>
    <phoneticPr fontId="3" type="noConversion"/>
  </si>
  <si>
    <t>상장</t>
    <phoneticPr fontId="3" type="noConversion"/>
  </si>
  <si>
    <t>Y</t>
    <phoneticPr fontId="3" type="noConversion"/>
  </si>
  <si>
    <t>박지우대리</t>
    <phoneticPr fontId="3" type="noConversion"/>
  </si>
  <si>
    <t>원익투자파트너스</t>
    <phoneticPr fontId="3" type="noConversion"/>
  </si>
  <si>
    <t>칸</t>
    <phoneticPr fontId="3" type="noConversion"/>
  </si>
  <si>
    <t>A07</t>
    <phoneticPr fontId="3" type="noConversion"/>
  </si>
  <si>
    <t>심인숙부장</t>
    <phoneticPr fontId="3" type="noConversion"/>
  </si>
  <si>
    <t xml:space="preserve">02-6446-7128 </t>
    <phoneticPr fontId="3" type="noConversion"/>
  </si>
  <si>
    <t xml:space="preserve">issim@wonik.com </t>
    <phoneticPr fontId="3" type="noConversion"/>
  </si>
  <si>
    <t>강성은</t>
    <phoneticPr fontId="3" type="noConversion"/>
  </si>
  <si>
    <t>채동우</t>
    <phoneticPr fontId="3" type="noConversion"/>
  </si>
  <si>
    <t>LP제출</t>
    <phoneticPr fontId="3" type="noConversion"/>
  </si>
  <si>
    <t>원익투자파트너스</t>
    <phoneticPr fontId="3" type="noConversion"/>
  </si>
  <si>
    <t>이씨스</t>
    <phoneticPr fontId="3" type="noConversion"/>
  </si>
  <si>
    <t>A07</t>
    <phoneticPr fontId="3" type="noConversion"/>
  </si>
  <si>
    <t>심인숙부장</t>
    <phoneticPr fontId="3" type="noConversion"/>
  </si>
  <si>
    <t xml:space="preserve">02-6446-7128 </t>
    <phoneticPr fontId="3" type="noConversion"/>
  </si>
  <si>
    <t>미디어캔</t>
    <phoneticPr fontId="3" type="noConversion"/>
  </si>
  <si>
    <t>A01</t>
    <phoneticPr fontId="3" type="noConversion"/>
  </si>
  <si>
    <t>아진피앤피</t>
    <phoneticPr fontId="3" type="noConversion"/>
  </si>
  <si>
    <t>이진주</t>
    <phoneticPr fontId="3" type="noConversion"/>
  </si>
  <si>
    <t>녹색자원</t>
    <phoneticPr fontId="3" type="noConversion"/>
  </si>
  <si>
    <t>정은채</t>
    <phoneticPr fontId="3" type="noConversion"/>
  </si>
  <si>
    <t>유유리싸이클링</t>
    <phoneticPr fontId="3" type="noConversion"/>
  </si>
  <si>
    <t>강승현</t>
    <phoneticPr fontId="3" type="noConversion"/>
  </si>
  <si>
    <t>리브스메드</t>
    <phoneticPr fontId="3" type="noConversion"/>
  </si>
  <si>
    <t>서동현</t>
    <phoneticPr fontId="3" type="noConversion"/>
  </si>
  <si>
    <t>진에너텍</t>
    <phoneticPr fontId="3" type="noConversion"/>
  </si>
  <si>
    <t>변혜진</t>
    <phoneticPr fontId="3" type="noConversion"/>
  </si>
  <si>
    <t>바이오솔루션</t>
    <phoneticPr fontId="3" type="noConversion"/>
  </si>
  <si>
    <t>INFINITESIMA LIMITED</t>
    <phoneticPr fontId="3" type="noConversion"/>
  </si>
  <si>
    <t>영인에너지솔루션(구,영인기술)</t>
    <phoneticPr fontId="3" type="noConversion"/>
  </si>
  <si>
    <t>동방메디컬</t>
    <phoneticPr fontId="3" type="noConversion"/>
  </si>
  <si>
    <t>A01</t>
    <phoneticPr fontId="3" type="noConversion"/>
  </si>
  <si>
    <t xml:space="preserve">issim@wonik.com </t>
    <phoneticPr fontId="3" type="noConversion"/>
  </si>
  <si>
    <t>2024.09.30</t>
    <phoneticPr fontId="3" type="noConversion"/>
  </si>
  <si>
    <t>김범준</t>
    <phoneticPr fontId="3" type="noConversion"/>
  </si>
  <si>
    <t>채동우</t>
    <phoneticPr fontId="3" type="noConversion"/>
  </si>
  <si>
    <t>쎄크</t>
    <phoneticPr fontId="3" type="noConversion"/>
  </si>
  <si>
    <t>강성은</t>
    <phoneticPr fontId="3" type="noConversion"/>
  </si>
  <si>
    <t>2024.11.30</t>
    <phoneticPr fontId="3" type="noConversion"/>
  </si>
  <si>
    <t>보고서제공X</t>
    <phoneticPr fontId="3" type="noConversion"/>
  </si>
  <si>
    <t>[Y]금융기관</t>
    <phoneticPr fontId="3" type="noConversion"/>
  </si>
  <si>
    <t>유한양행</t>
    <phoneticPr fontId="3" type="noConversion"/>
  </si>
  <si>
    <t>에스엘바이젠</t>
    <phoneticPr fontId="3" type="noConversion"/>
  </si>
  <si>
    <t>년</t>
    <phoneticPr fontId="3" type="noConversion"/>
  </si>
  <si>
    <t>최영수담당자</t>
    <phoneticPr fontId="3" type="noConversion"/>
  </si>
  <si>
    <t>02-828-0649</t>
    <phoneticPr fontId="3" type="noConversion"/>
  </si>
  <si>
    <t>yschoi0531@yuhan.co.kr</t>
    <phoneticPr fontId="3" type="noConversion"/>
  </si>
  <si>
    <t>[X]일반기업</t>
    <phoneticPr fontId="3" type="noConversion"/>
  </si>
  <si>
    <t>서동현</t>
    <phoneticPr fontId="3" type="noConversion"/>
  </si>
  <si>
    <t>강승현</t>
    <phoneticPr fontId="3" type="noConversion"/>
  </si>
  <si>
    <t>유한양행</t>
    <phoneticPr fontId="3" type="noConversion"/>
  </si>
  <si>
    <t>굳티셀</t>
    <phoneticPr fontId="3" type="noConversion"/>
  </si>
  <si>
    <t>최영수담당자</t>
    <phoneticPr fontId="3" type="noConversion"/>
  </si>
  <si>
    <t>02-828-0649</t>
    <phoneticPr fontId="3" type="noConversion"/>
  </si>
  <si>
    <t>yschoi0531@yuhan.co.kr</t>
    <phoneticPr fontId="3" type="noConversion"/>
  </si>
  <si>
    <t>제이인츠바이오</t>
    <phoneticPr fontId="3" type="noConversion"/>
  </si>
  <si>
    <t>A05</t>
    <phoneticPr fontId="3" type="noConversion"/>
  </si>
  <si>
    <t>년</t>
    <phoneticPr fontId="3" type="noConversion"/>
  </si>
  <si>
    <t>메디라마</t>
    <phoneticPr fontId="3" type="noConversion"/>
  </si>
  <si>
    <t>김에스더</t>
    <phoneticPr fontId="3" type="noConversion"/>
  </si>
  <si>
    <t>신규</t>
    <phoneticPr fontId="3" type="noConversion"/>
  </si>
  <si>
    <t>에임드바이오</t>
    <phoneticPr fontId="3" type="noConversion"/>
  </si>
  <si>
    <t>정재형</t>
    <phoneticPr fontId="3" type="noConversion"/>
  </si>
  <si>
    <t>오티디코퍼레이션</t>
    <phoneticPr fontId="3" type="noConversion"/>
  </si>
  <si>
    <t>이현승</t>
    <phoneticPr fontId="3" type="noConversion"/>
  </si>
  <si>
    <t>안예진사원</t>
    <phoneticPr fontId="3" type="noConversion"/>
  </si>
  <si>
    <t>02-560-9726</t>
    <phoneticPr fontId="3" type="noConversion"/>
  </si>
  <si>
    <t>이현승</t>
    <phoneticPr fontId="3" type="noConversion"/>
  </si>
  <si>
    <t>록팰</t>
    <phoneticPr fontId="3" type="noConversion"/>
  </si>
  <si>
    <t>02-560-9726</t>
    <phoneticPr fontId="3" type="noConversion"/>
  </si>
  <si>
    <t>와디즈</t>
    <phoneticPr fontId="3" type="noConversion"/>
  </si>
  <si>
    <t>김영하</t>
    <phoneticPr fontId="3" type="noConversion"/>
  </si>
  <si>
    <t>아이엠에스원(구,비마이카)</t>
    <phoneticPr fontId="3" type="noConversion"/>
  </si>
  <si>
    <t>서경덕</t>
    <phoneticPr fontId="3" type="noConversion"/>
  </si>
  <si>
    <t>엠엔테크</t>
    <phoneticPr fontId="3" type="noConversion"/>
  </si>
  <si>
    <t>원더모빌리티</t>
    <phoneticPr fontId="3" type="noConversion"/>
  </si>
  <si>
    <t>먼슬리키친</t>
    <phoneticPr fontId="3" type="noConversion"/>
  </si>
  <si>
    <t>윤광일</t>
    <phoneticPr fontId="3" type="noConversion"/>
  </si>
  <si>
    <t>유씨케이파트너스(구,유니슨캐피탈사모투자전문회사)</t>
    <phoneticPr fontId="3" type="noConversion"/>
  </si>
  <si>
    <t>Y2409V0004</t>
    <phoneticPr fontId="3" type="noConversion"/>
  </si>
  <si>
    <t>조현우</t>
    <phoneticPr fontId="3" type="noConversion"/>
  </si>
  <si>
    <t>유씨케이파트너스(구,유니슨캐피탈사모투자전문회사)</t>
    <phoneticPr fontId="3" type="noConversion"/>
  </si>
  <si>
    <t>국민연금제출</t>
    <phoneticPr fontId="3" type="noConversion"/>
  </si>
  <si>
    <t>피투피시스템즈</t>
    <phoneticPr fontId="3" type="noConversion"/>
  </si>
  <si>
    <t>구하영차장</t>
    <phoneticPr fontId="3" type="noConversion"/>
  </si>
  <si>
    <t>hyk@uckpartners.com</t>
    <phoneticPr fontId="3" type="noConversion"/>
  </si>
  <si>
    <t>02-3011-7002</t>
    <phoneticPr fontId="3" type="noConversion"/>
  </si>
  <si>
    <t>Y2409V0004</t>
    <phoneticPr fontId="3" type="noConversion"/>
  </si>
  <si>
    <t>D03</t>
    <phoneticPr fontId="3" type="noConversion"/>
  </si>
  <si>
    <t>김예림</t>
    <phoneticPr fontId="3" type="noConversion"/>
  </si>
  <si>
    <t>에프앤디넷</t>
    <phoneticPr fontId="3" type="noConversion"/>
  </si>
  <si>
    <t>에프엔에스리테일</t>
    <phoneticPr fontId="3" type="noConversion"/>
  </si>
  <si>
    <t>A04</t>
    <phoneticPr fontId="3" type="noConversion"/>
  </si>
  <si>
    <t>에스씨비에이치</t>
    <phoneticPr fontId="3" type="noConversion"/>
  </si>
  <si>
    <t>토페스</t>
    <phoneticPr fontId="3" type="noConversion"/>
  </si>
  <si>
    <t>최수민</t>
    <phoneticPr fontId="3" type="noConversion"/>
  </si>
  <si>
    <t>학산</t>
    <phoneticPr fontId="3" type="noConversion"/>
  </si>
  <si>
    <t>심태진</t>
    <phoneticPr fontId="3" type="noConversion"/>
  </si>
  <si>
    <t>오아시스</t>
    <phoneticPr fontId="3" type="noConversion"/>
  </si>
  <si>
    <t>이문수</t>
    <phoneticPr fontId="3" type="noConversion"/>
  </si>
  <si>
    <t>엄지식품</t>
    <phoneticPr fontId="3" type="noConversion"/>
  </si>
  <si>
    <t>수지스퀴진</t>
    <phoneticPr fontId="3" type="noConversion"/>
  </si>
  <si>
    <t xml:space="preserve">분기 </t>
    <phoneticPr fontId="3" type="noConversion"/>
  </si>
  <si>
    <t>디홀릭커머스</t>
    <phoneticPr fontId="3" type="noConversion"/>
  </si>
  <si>
    <t>hyk@uckpartners.com</t>
    <phoneticPr fontId="3" type="noConversion"/>
  </si>
  <si>
    <t>오스템임플란트</t>
    <phoneticPr fontId="3" type="noConversion"/>
  </si>
  <si>
    <t>Hiossen, Inc</t>
    <phoneticPr fontId="3" type="noConversion"/>
  </si>
  <si>
    <t>신원준</t>
    <phoneticPr fontId="3" type="noConversion"/>
  </si>
  <si>
    <t>오스템글로벌</t>
    <phoneticPr fontId="3" type="noConversion"/>
  </si>
  <si>
    <t>이상민</t>
    <phoneticPr fontId="3" type="noConversion"/>
  </si>
  <si>
    <t>코잔</t>
    <phoneticPr fontId="3" type="noConversion"/>
  </si>
  <si>
    <t>오스템올소</t>
    <phoneticPr fontId="3" type="noConversion"/>
  </si>
  <si>
    <t>오스템파마</t>
    <phoneticPr fontId="3" type="noConversion"/>
  </si>
  <si>
    <t>Caris Life Sciences, Ltd.</t>
    <phoneticPr fontId="3" type="noConversion"/>
  </si>
  <si>
    <t xml:space="preserve">주소영과장 </t>
    <phoneticPr fontId="3" type="noConversion"/>
  </si>
  <si>
    <t>syju@stonebridge.co.kr</t>
    <phoneticPr fontId="3" type="noConversion"/>
  </si>
  <si>
    <t xml:space="preserve">주소영과장 </t>
    <phoneticPr fontId="3" type="noConversion"/>
  </si>
  <si>
    <t xml:space="preserve">02-3496-6616 </t>
    <phoneticPr fontId="3" type="noConversion"/>
  </si>
  <si>
    <t>백형진</t>
    <phoneticPr fontId="3" type="noConversion"/>
  </si>
  <si>
    <t>구구스</t>
    <phoneticPr fontId="3" type="noConversion"/>
  </si>
  <si>
    <t>리얼라이즈픽쳐스</t>
    <phoneticPr fontId="3" type="noConversion"/>
  </si>
  <si>
    <t>바디프랜드</t>
    <phoneticPr fontId="3" type="noConversion"/>
  </si>
  <si>
    <t>스톤브릿지캐피탈</t>
    <phoneticPr fontId="3" type="noConversion"/>
  </si>
  <si>
    <t>비에프하트투자목적회사</t>
    <phoneticPr fontId="3" type="noConversion"/>
  </si>
  <si>
    <t>정은채</t>
    <phoneticPr fontId="3" type="noConversion"/>
  </si>
  <si>
    <t>A06</t>
    <phoneticPr fontId="3" type="noConversion"/>
  </si>
  <si>
    <t>에이스냉장</t>
    <phoneticPr fontId="3" type="noConversion"/>
  </si>
  <si>
    <t>유진소닉</t>
    <phoneticPr fontId="3" type="noConversion"/>
  </si>
  <si>
    <t>카카오브이엑스</t>
    <phoneticPr fontId="3" type="noConversion"/>
  </si>
  <si>
    <t>케이에스넷</t>
    <phoneticPr fontId="3" type="noConversion"/>
  </si>
  <si>
    <t>클루커스</t>
    <phoneticPr fontId="3" type="noConversion"/>
  </si>
  <si>
    <t>하이픈코퍼레이션</t>
    <phoneticPr fontId="3" type="noConversion"/>
  </si>
  <si>
    <t>헬스밸런스</t>
    <phoneticPr fontId="3" type="noConversion"/>
  </si>
  <si>
    <t>Beatclub Inc.</t>
    <phoneticPr fontId="3" type="noConversion"/>
  </si>
  <si>
    <t>연말</t>
    <phoneticPr fontId="3" type="noConversion"/>
  </si>
  <si>
    <t>조건희이사</t>
    <phoneticPr fontId="3" type="noConversion"/>
  </si>
  <si>
    <t>02-3442-2353, 010-7205-7358</t>
    <phoneticPr fontId="3" type="noConversion"/>
  </si>
  <si>
    <t>MRC 최종본 : 2024-12-23</t>
    <phoneticPr fontId="3" type="noConversion"/>
  </si>
  <si>
    <t>회계반영/LP제출</t>
    <phoneticPr fontId="3" type="noConversion"/>
  </si>
  <si>
    <t>A00</t>
    <phoneticPr fontId="3" type="noConversion"/>
  </si>
  <si>
    <t>Spatial Systems, Inc.</t>
    <phoneticPr fontId="3" type="noConversion"/>
  </si>
  <si>
    <t>두나무</t>
    <phoneticPr fontId="3" type="noConversion"/>
  </si>
  <si>
    <t>김수현</t>
    <phoneticPr fontId="3" type="noConversion"/>
  </si>
  <si>
    <t>론픽</t>
    <phoneticPr fontId="3" type="noConversion"/>
  </si>
  <si>
    <t>오수현</t>
    <phoneticPr fontId="3" type="noConversion"/>
  </si>
  <si>
    <t>모꼬지</t>
    <phoneticPr fontId="3" type="noConversion"/>
  </si>
  <si>
    <t>블루바이블루</t>
    <phoneticPr fontId="3" type="noConversion"/>
  </si>
  <si>
    <t>스튜디오에이콘</t>
    <phoneticPr fontId="3" type="noConversion"/>
  </si>
  <si>
    <t>카펜스트리트</t>
    <phoneticPr fontId="3" type="noConversion"/>
  </si>
  <si>
    <t>원정우</t>
    <phoneticPr fontId="3" type="noConversion"/>
  </si>
  <si>
    <t>콘텐츠테크놀로지스</t>
    <phoneticPr fontId="3" type="noConversion"/>
  </si>
  <si>
    <t>클래스101</t>
    <phoneticPr fontId="3" type="noConversion"/>
  </si>
  <si>
    <t>서수빈</t>
    <phoneticPr fontId="3" type="noConversion"/>
  </si>
  <si>
    <t>퍼플랩스</t>
    <phoneticPr fontId="3" type="noConversion"/>
  </si>
  <si>
    <t>피치스그룹코리아</t>
    <phoneticPr fontId="3" type="noConversion"/>
  </si>
  <si>
    <t>코리아이플랫폼(구,아시아비투비벤처스)</t>
    <phoneticPr fontId="3" type="noConversion"/>
  </si>
  <si>
    <t>정영수매니저</t>
    <phoneticPr fontId="3" type="noConversion"/>
  </si>
  <si>
    <t>010-2972-1335</t>
    <phoneticPr fontId="3" type="noConversion"/>
  </si>
  <si>
    <t>ysjung@hdc-holdings.com</t>
    <phoneticPr fontId="3" type="noConversion"/>
  </si>
  <si>
    <t>Y2409J0034</t>
    <phoneticPr fontId="3" type="noConversion"/>
  </si>
  <si>
    <t>[C]현대</t>
    <phoneticPr fontId="3" type="noConversion"/>
  </si>
  <si>
    <t>윤현빈</t>
    <phoneticPr fontId="3" type="noConversion"/>
  </si>
  <si>
    <t>현대미래로</t>
    <phoneticPr fontId="3" type="noConversion"/>
  </si>
  <si>
    <t>김혜지</t>
    <phoneticPr fontId="3" type="noConversion"/>
  </si>
  <si>
    <t>현대엠파트너스</t>
    <phoneticPr fontId="3" type="noConversion"/>
  </si>
  <si>
    <t>현대오일뱅크</t>
    <phoneticPr fontId="3" type="noConversion"/>
  </si>
  <si>
    <t>아이엠엠인베스트먼트</t>
    <phoneticPr fontId="3" type="noConversion"/>
  </si>
  <si>
    <t>에끌레르</t>
    <phoneticPr fontId="3" type="noConversion"/>
  </si>
  <si>
    <t>김수민매니저</t>
    <phoneticPr fontId="3" type="noConversion"/>
  </si>
  <si>
    <t>02-2112-1717, 010-3109-5707</t>
    <phoneticPr fontId="3" type="noConversion"/>
  </si>
  <si>
    <r>
      <t>soomin.kim@imm.co.kr</t>
    </r>
    <r>
      <rPr>
        <sz val="11"/>
        <color theme="1"/>
        <rFont val="맑은 고딕"/>
        <family val="2"/>
        <charset val="129"/>
        <scheme val="minor"/>
      </rPr>
      <t xml:space="preserve"> </t>
    </r>
    <phoneticPr fontId="3" type="noConversion"/>
  </si>
  <si>
    <t>국민연금제출</t>
    <phoneticPr fontId="3" type="noConversion"/>
  </si>
  <si>
    <t>아이엠엠인베스트먼트</t>
    <phoneticPr fontId="3" type="noConversion"/>
  </si>
  <si>
    <t>미나미시마바라제일발전소</t>
    <phoneticPr fontId="3" type="noConversion"/>
  </si>
  <si>
    <t>김수민매니저</t>
    <phoneticPr fontId="3" type="noConversion"/>
  </si>
  <si>
    <r>
      <t>soomin.kim@imm.co.kr</t>
    </r>
    <r>
      <rPr>
        <sz val="11"/>
        <color theme="1"/>
        <rFont val="맑은 고딕"/>
        <family val="2"/>
        <charset val="129"/>
        <scheme val="minor"/>
      </rPr>
      <t xml:space="preserve"> </t>
    </r>
    <phoneticPr fontId="3" type="noConversion"/>
  </si>
  <si>
    <t>미나미시마바라제일발전소</t>
    <phoneticPr fontId="3" type="noConversion"/>
  </si>
  <si>
    <t>조반니</t>
    <phoneticPr fontId="3" type="noConversion"/>
  </si>
  <si>
    <t>이피에스솔루션투</t>
    <phoneticPr fontId="3" type="noConversion"/>
  </si>
  <si>
    <t>팜양주</t>
    <phoneticPr fontId="3" type="noConversion"/>
  </si>
  <si>
    <t>에끌레르투</t>
    <phoneticPr fontId="3" type="noConversion"/>
  </si>
  <si>
    <t>르솔레이</t>
    <phoneticPr fontId="3" type="noConversion"/>
  </si>
  <si>
    <t>루오마</t>
    <phoneticPr fontId="3" type="noConversion"/>
  </si>
  <si>
    <t>유재호</t>
    <phoneticPr fontId="3" type="noConversion"/>
  </si>
  <si>
    <t>United Water Corporation</t>
    <phoneticPr fontId="3" type="noConversion"/>
  </si>
  <si>
    <t>UW Asia Limited</t>
    <phoneticPr fontId="3" type="noConversion"/>
  </si>
  <si>
    <t>UW Holdings Limited</t>
    <phoneticPr fontId="3" type="noConversion"/>
  </si>
  <si>
    <t>Jiangsu UW Technology</t>
    <phoneticPr fontId="3" type="noConversion"/>
  </si>
  <si>
    <t>에스엘바이젠</t>
    <phoneticPr fontId="3" type="noConversion"/>
  </si>
  <si>
    <t>한주</t>
    <phoneticPr fontId="3" type="noConversion"/>
  </si>
  <si>
    <t xml:space="preserve">연말 </t>
    <phoneticPr fontId="3" type="noConversion"/>
  </si>
  <si>
    <t>김운섭과장</t>
    <phoneticPr fontId="3" type="noConversion"/>
  </si>
  <si>
    <t>010-5113-0213</t>
    <phoneticPr fontId="3" type="noConversion"/>
  </si>
  <si>
    <t>woonseob.kim@hanwha.com</t>
    <phoneticPr fontId="3" type="noConversion"/>
  </si>
  <si>
    <t>Y2409J0031</t>
    <phoneticPr fontId="3" type="noConversion"/>
  </si>
  <si>
    <t>김예림</t>
    <phoneticPr fontId="3" type="noConversion"/>
  </si>
  <si>
    <t>일송켐</t>
    <phoneticPr fontId="3" type="noConversion"/>
  </si>
  <si>
    <t>미정</t>
    <phoneticPr fontId="3" type="noConversion"/>
  </si>
  <si>
    <t>정재용팀장</t>
    <phoneticPr fontId="3" type="noConversion"/>
  </si>
  <si>
    <t>02-2175-2310</t>
    <phoneticPr fontId="3" type="noConversion"/>
  </si>
  <si>
    <t>jjydrama@kbpharma.co.kr</t>
    <phoneticPr fontId="3" type="noConversion"/>
  </si>
  <si>
    <t>조한재프로</t>
    <phoneticPr fontId="3" type="noConversion"/>
  </si>
  <si>
    <t>02-2145-5600</t>
    <phoneticPr fontId="3" type="noConversion"/>
  </si>
  <si>
    <t>02-2145-5600</t>
    <phoneticPr fontId="3" type="noConversion"/>
  </si>
  <si>
    <t>Y2409J0072</t>
    <phoneticPr fontId="3" type="noConversion"/>
  </si>
  <si>
    <t>Y2409J0072</t>
    <phoneticPr fontId="3" type="noConversion"/>
  </si>
  <si>
    <t>[B]삼성</t>
    <phoneticPr fontId="3" type="noConversion"/>
  </si>
  <si>
    <t>손상검토</t>
    <phoneticPr fontId="3" type="noConversion"/>
  </si>
  <si>
    <t>Qurayyah Investment Company</t>
    <phoneticPr fontId="3" type="noConversion"/>
  </si>
  <si>
    <t>D06</t>
    <phoneticPr fontId="3" type="noConversion"/>
  </si>
  <si>
    <t>h2o.jo@samsung.com</t>
    <phoneticPr fontId="3" type="noConversion"/>
  </si>
  <si>
    <t>변혜진</t>
    <phoneticPr fontId="3" type="noConversion"/>
  </si>
  <si>
    <t>02-2145-5600</t>
    <phoneticPr fontId="3" type="noConversion"/>
  </si>
  <si>
    <t>[B]삼성</t>
    <phoneticPr fontId="3" type="noConversion"/>
  </si>
  <si>
    <t>손상검토</t>
    <phoneticPr fontId="3" type="noConversion"/>
  </si>
  <si>
    <t>Qurayyah Investment Company</t>
    <phoneticPr fontId="3" type="noConversion"/>
  </si>
  <si>
    <t>연말</t>
    <phoneticPr fontId="3" type="noConversion"/>
  </si>
  <si>
    <t>h2o.jo@samsung.com</t>
    <phoneticPr fontId="3" type="noConversion"/>
  </si>
  <si>
    <t>현대홀딩스컴퍼니</t>
    <phoneticPr fontId="3" type="noConversion"/>
  </si>
  <si>
    <t>D01</t>
    <phoneticPr fontId="3" type="noConversion"/>
  </si>
  <si>
    <t>김자영이사</t>
    <phoneticPr fontId="3" type="noConversion"/>
  </si>
  <si>
    <t xml:space="preserve">02-741-0269 </t>
    <phoneticPr fontId="3" type="noConversion"/>
  </si>
  <si>
    <t xml:space="preserve">jykim@hqap.net </t>
    <phoneticPr fontId="3" type="noConversion"/>
  </si>
  <si>
    <t>원정우</t>
    <phoneticPr fontId="3" type="noConversion"/>
  </si>
  <si>
    <t>현대홀딩스컴퍼니</t>
    <phoneticPr fontId="3" type="noConversion"/>
  </si>
  <si>
    <t xml:space="preserve">02-741-0269 </t>
    <phoneticPr fontId="3" type="noConversion"/>
  </si>
  <si>
    <t xml:space="preserve">jykim@hqap.net </t>
    <phoneticPr fontId="3" type="noConversion"/>
  </si>
  <si>
    <t>십일번가</t>
    <phoneticPr fontId="3" type="noConversion"/>
  </si>
  <si>
    <t>이문수</t>
    <phoneticPr fontId="3" type="noConversion"/>
  </si>
  <si>
    <t>에이치앤홀딩스</t>
    <phoneticPr fontId="3" type="noConversion"/>
  </si>
  <si>
    <t>D01</t>
    <phoneticPr fontId="3" type="noConversion"/>
  </si>
  <si>
    <t>심태진</t>
    <phoneticPr fontId="3" type="noConversion"/>
  </si>
  <si>
    <t>김자영이사</t>
    <phoneticPr fontId="3" type="noConversion"/>
  </si>
  <si>
    <t>렌딧</t>
    <phoneticPr fontId="3" type="noConversion"/>
  </si>
  <si>
    <t>렌딧</t>
    <phoneticPr fontId="3" type="noConversion"/>
  </si>
  <si>
    <t>의식주컴퍼니</t>
    <phoneticPr fontId="3" type="noConversion"/>
  </si>
  <si>
    <t>아이엠엠프라이빗에쿼티</t>
    <phoneticPr fontId="3" type="noConversion"/>
  </si>
  <si>
    <t>교보생명보험</t>
    <phoneticPr fontId="3" type="noConversion"/>
  </si>
  <si>
    <t>윤현지차장</t>
    <phoneticPr fontId="3" type="noConversion"/>
  </si>
  <si>
    <t>02-2112-1831, 010-6270-9837</t>
    <phoneticPr fontId="3" type="noConversion"/>
  </si>
  <si>
    <t>hjyoon@immpe.com</t>
    <phoneticPr fontId="3" type="noConversion"/>
  </si>
  <si>
    <t>국민연금</t>
    <phoneticPr fontId="3" type="noConversion"/>
  </si>
  <si>
    <t>현대엘엔지해운</t>
    <phoneticPr fontId="3" type="noConversion"/>
  </si>
  <si>
    <t>현대엘엔지해운</t>
    <phoneticPr fontId="3" type="noConversion"/>
  </si>
  <si>
    <t>조현우</t>
    <phoneticPr fontId="3" type="noConversion"/>
  </si>
  <si>
    <t>국민연금</t>
    <phoneticPr fontId="3" type="noConversion"/>
  </si>
  <si>
    <t>Mars Entertainment</t>
    <phoneticPr fontId="3" type="noConversion"/>
  </si>
  <si>
    <t>Y2410V0007</t>
    <phoneticPr fontId="3" type="noConversion"/>
  </si>
  <si>
    <t>한국경제신문</t>
    <phoneticPr fontId="3" type="noConversion"/>
  </si>
  <si>
    <t>추인욱책임</t>
    <phoneticPr fontId="3" type="noConversion"/>
  </si>
  <si>
    <t>02-3773-2237, 010-3935-4867</t>
    <phoneticPr fontId="3" type="noConversion"/>
  </si>
  <si>
    <t>inuk.choo@lg.com</t>
    <phoneticPr fontId="3" type="noConversion"/>
  </si>
  <si>
    <t>Y2410J0008</t>
    <phoneticPr fontId="3" type="noConversion"/>
  </si>
  <si>
    <t>이앤에프프라이빗에퀴티</t>
    <phoneticPr fontId="3" type="noConversion"/>
  </si>
  <si>
    <t>Carsome Group Pte. Ltd</t>
    <phoneticPr fontId="3" type="noConversion"/>
  </si>
  <si>
    <t>이앤에프프라이빗에퀴티</t>
    <phoneticPr fontId="3" type="noConversion"/>
  </si>
  <si>
    <t>Carsome Group Pte. Ltd</t>
    <phoneticPr fontId="3" type="noConversion"/>
  </si>
  <si>
    <t>이상민</t>
    <phoneticPr fontId="3" type="noConversion"/>
  </si>
  <si>
    <t>원콜</t>
    <phoneticPr fontId="3" type="noConversion"/>
  </si>
  <si>
    <t>코어엔텍</t>
    <phoneticPr fontId="3" type="noConversion"/>
  </si>
  <si>
    <t>아데나소프트웨어</t>
    <phoneticPr fontId="3" type="noConversion"/>
  </si>
  <si>
    <t>네이버제트</t>
    <phoneticPr fontId="3" type="noConversion"/>
  </si>
  <si>
    <t>크린텍</t>
    <phoneticPr fontId="3" type="noConversion"/>
  </si>
  <si>
    <t>영실업</t>
    <phoneticPr fontId="3" type="noConversion"/>
  </si>
  <si>
    <t>한라엔컴</t>
    <phoneticPr fontId="3" type="noConversion"/>
  </si>
  <si>
    <t>제이케이엘파트너스</t>
    <phoneticPr fontId="3" type="noConversion"/>
  </si>
  <si>
    <t>거흥산업</t>
    <phoneticPr fontId="3" type="noConversion"/>
  </si>
  <si>
    <t>신보영이사</t>
    <phoneticPr fontId="3" type="noConversion"/>
  </si>
  <si>
    <t>02-2016-5927,010-5033-2241</t>
    <phoneticPr fontId="3" type="noConversion"/>
  </si>
  <si>
    <t>국민연금/교직원공제회제출</t>
    <phoneticPr fontId="3" type="noConversion"/>
  </si>
  <si>
    <t>지디케이화장품</t>
    <phoneticPr fontId="3" type="noConversion"/>
  </si>
  <si>
    <t>아레테원</t>
    <phoneticPr fontId="3" type="noConversion"/>
  </si>
  <si>
    <t>지에스아이티엠</t>
    <phoneticPr fontId="3" type="noConversion"/>
  </si>
  <si>
    <t>동해지주</t>
    <phoneticPr fontId="3" type="noConversion"/>
  </si>
  <si>
    <t>동해기계항공</t>
    <phoneticPr fontId="3" type="noConversion"/>
  </si>
  <si>
    <t>주피터2020</t>
    <phoneticPr fontId="3" type="noConversion"/>
  </si>
  <si>
    <t>정준엽</t>
    <phoneticPr fontId="3" type="noConversion"/>
  </si>
  <si>
    <t>국민연금/교직원공제회제출</t>
    <phoneticPr fontId="3" type="noConversion"/>
  </si>
  <si>
    <t>율곡</t>
    <phoneticPr fontId="3" type="noConversion"/>
  </si>
  <si>
    <t>신보영이사</t>
    <phoneticPr fontId="3" type="noConversion"/>
  </si>
  <si>
    <t>오수현</t>
    <phoneticPr fontId="3" type="noConversion"/>
  </si>
  <si>
    <t>메가존클라우드</t>
    <phoneticPr fontId="3" type="noConversion"/>
  </si>
  <si>
    <t>제이케이엘파트너스</t>
    <phoneticPr fontId="3" type="noConversion"/>
  </si>
  <si>
    <t>크린토피아</t>
    <phoneticPr fontId="3" type="noConversion"/>
  </si>
  <si>
    <t>페렌벨</t>
    <phoneticPr fontId="3" type="noConversion"/>
  </si>
  <si>
    <t>디밸류업</t>
    <phoneticPr fontId="3" type="noConversion"/>
  </si>
  <si>
    <t>디에스이브이</t>
    <phoneticPr fontId="3" type="noConversion"/>
  </si>
  <si>
    <t>경남기업</t>
    <phoneticPr fontId="3" type="noConversion"/>
  </si>
  <si>
    <t>와이티엔디엠비</t>
    <phoneticPr fontId="3" type="noConversion"/>
  </si>
  <si>
    <t>양성철차장</t>
    <phoneticPr fontId="3" type="noConversion"/>
  </si>
  <si>
    <t>02-6712-5362</t>
    <phoneticPr fontId="3" type="noConversion"/>
  </si>
  <si>
    <t>yangayo@kne.co.kr</t>
    <phoneticPr fontId="3" type="noConversion"/>
  </si>
  <si>
    <t>(주)YTN DMB</t>
    <phoneticPr fontId="3" type="noConversion"/>
  </si>
  <si>
    <t>원주기업도시</t>
    <phoneticPr fontId="3" type="noConversion"/>
  </si>
  <si>
    <t>(주)원주기업도시</t>
    <phoneticPr fontId="3" type="noConversion"/>
  </si>
  <si>
    <t>주택도시보증공사</t>
    <phoneticPr fontId="3" type="noConversion"/>
  </si>
  <si>
    <t>주택도시보증공사(주)</t>
    <phoneticPr fontId="3" type="noConversion"/>
  </si>
  <si>
    <t>충성타운</t>
    <phoneticPr fontId="3" type="noConversion"/>
  </si>
  <si>
    <t>충성타운(주)</t>
    <phoneticPr fontId="3" type="noConversion"/>
  </si>
  <si>
    <t>평택워터</t>
    <phoneticPr fontId="3" type="noConversion"/>
  </si>
  <si>
    <t>B05</t>
    <phoneticPr fontId="3" type="noConversion"/>
  </si>
  <si>
    <t>평택워터(주)</t>
    <phoneticPr fontId="3" type="noConversion"/>
  </si>
  <si>
    <t>포천화도고속도로(구,수도권외곽순환고속도로)</t>
    <phoneticPr fontId="3" type="noConversion"/>
  </si>
  <si>
    <t>수도권외곽순환고속도로(주)</t>
    <phoneticPr fontId="3" type="noConversion"/>
  </si>
  <si>
    <t>호국타운</t>
    <phoneticPr fontId="3" type="noConversion"/>
  </si>
  <si>
    <t>호국타운(주)</t>
    <phoneticPr fontId="3" type="noConversion"/>
  </si>
  <si>
    <t>고명주</t>
    <phoneticPr fontId="3" type="noConversion"/>
  </si>
  <si>
    <t>이니스트에스티</t>
    <phoneticPr fontId="3" type="noConversion"/>
  </si>
  <si>
    <t>관리본부임혁빈부장</t>
    <phoneticPr fontId="3" type="noConversion"/>
  </si>
  <si>
    <t>02-6250-5705,010-2247-5835</t>
    <phoneticPr fontId="3" type="noConversion"/>
  </si>
  <si>
    <t>imhb@tsinvestment.co.kr; jwlee@tsinvestment.co.kr; yj.kim@tsinvestment.co.kr</t>
    <phoneticPr fontId="3" type="noConversion"/>
  </si>
  <si>
    <t>교직원공제회/고용보험기금제출</t>
    <phoneticPr fontId="3" type="noConversion"/>
  </si>
  <si>
    <t>스테이지파이브(구,핀플레이)</t>
    <phoneticPr fontId="3" type="noConversion"/>
  </si>
  <si>
    <t>카인사이언스</t>
    <phoneticPr fontId="3" type="noConversion"/>
  </si>
  <si>
    <t>02-6250-5705,010-2247-5835</t>
    <phoneticPr fontId="3" type="noConversion"/>
  </si>
  <si>
    <t>유재호</t>
    <phoneticPr fontId="3" type="noConversion"/>
  </si>
  <si>
    <t>지투비</t>
    <phoneticPr fontId="3" type="noConversion"/>
  </si>
  <si>
    <t>imhb@tsinvestment.co.kr; jwlee@tsinvestment.co.kr; yj.kim@tsinvestment.co.kr</t>
    <phoneticPr fontId="3" type="noConversion"/>
  </si>
  <si>
    <t>신원준</t>
    <phoneticPr fontId="3" type="noConversion"/>
  </si>
  <si>
    <t>프렌트립</t>
    <phoneticPr fontId="3" type="noConversion"/>
  </si>
  <si>
    <t>아이디언스</t>
    <phoneticPr fontId="3" type="noConversion"/>
  </si>
  <si>
    <t>관리본부임혁빈부장</t>
    <phoneticPr fontId="3" type="noConversion"/>
  </si>
  <si>
    <t>비브로스</t>
    <phoneticPr fontId="3" type="noConversion"/>
  </si>
  <si>
    <t>교직원공제회/고용보험기금제출</t>
    <phoneticPr fontId="3" type="noConversion"/>
  </si>
  <si>
    <t>티에스인베스트먼트</t>
    <phoneticPr fontId="3" type="noConversion"/>
  </si>
  <si>
    <t>엠지알브이</t>
    <phoneticPr fontId="3" type="noConversion"/>
  </si>
  <si>
    <t>케이스마텍</t>
    <phoneticPr fontId="3" type="noConversion"/>
  </si>
  <si>
    <t>쿠캣</t>
    <phoneticPr fontId="3" type="noConversion"/>
  </si>
  <si>
    <t>인엘씨테크놀러지</t>
    <phoneticPr fontId="3" type="noConversion"/>
  </si>
  <si>
    <t>라우드코퍼레이션(구,라우드커뮤니케이션즈)</t>
    <phoneticPr fontId="3" type="noConversion"/>
  </si>
  <si>
    <t>Y2410V0010</t>
    <phoneticPr fontId="3" type="noConversion"/>
  </si>
  <si>
    <t>프리드라이프</t>
    <phoneticPr fontId="3" type="noConversion"/>
  </si>
  <si>
    <t>아밀로이드솔루션</t>
    <phoneticPr fontId="3" type="noConversion"/>
  </si>
  <si>
    <t>트립비토즈</t>
    <phoneticPr fontId="3" type="noConversion"/>
  </si>
  <si>
    <t>파라메타(구,아이콘루프)</t>
    <phoneticPr fontId="3" type="noConversion"/>
  </si>
  <si>
    <t>디어젠</t>
    <phoneticPr fontId="3" type="noConversion"/>
  </si>
  <si>
    <t>아토세이프</t>
    <phoneticPr fontId="3" type="noConversion"/>
  </si>
  <si>
    <t>어플라이언스챔피언</t>
    <phoneticPr fontId="3" type="noConversion"/>
  </si>
  <si>
    <t>삼진식품</t>
    <phoneticPr fontId="3" type="noConversion"/>
  </si>
  <si>
    <t>허니냅스</t>
    <phoneticPr fontId="3" type="noConversion"/>
  </si>
  <si>
    <t>에임메드</t>
    <phoneticPr fontId="3" type="noConversion"/>
  </si>
  <si>
    <t>셀랩메드</t>
    <phoneticPr fontId="3" type="noConversion"/>
  </si>
  <si>
    <t>오디텍</t>
    <phoneticPr fontId="3" type="noConversion"/>
  </si>
  <si>
    <t>해피문데이</t>
    <phoneticPr fontId="3" type="noConversion"/>
  </si>
  <si>
    <t>이파피루스</t>
    <phoneticPr fontId="3" type="noConversion"/>
  </si>
  <si>
    <t>List Biotherapeutics, Inc.</t>
    <phoneticPr fontId="3" type="noConversion"/>
  </si>
  <si>
    <t>볼빅</t>
    <phoneticPr fontId="3" type="noConversion"/>
  </si>
  <si>
    <t>온다</t>
    <phoneticPr fontId="3" type="noConversion"/>
  </si>
  <si>
    <t>그로비교육</t>
    <phoneticPr fontId="3" type="noConversion"/>
  </si>
  <si>
    <t>김상준</t>
    <phoneticPr fontId="3" type="noConversion"/>
  </si>
  <si>
    <t>에이지엘</t>
    <phoneticPr fontId="3" type="noConversion"/>
  </si>
  <si>
    <t>덴컴</t>
    <phoneticPr fontId="3" type="noConversion"/>
  </si>
  <si>
    <t>피유엠피</t>
    <phoneticPr fontId="3" type="noConversion"/>
  </si>
  <si>
    <t>쿼타랩</t>
    <phoneticPr fontId="3" type="noConversion"/>
  </si>
  <si>
    <t>이주영</t>
    <phoneticPr fontId="3" type="noConversion"/>
  </si>
  <si>
    <t>한국팬트라</t>
    <phoneticPr fontId="3" type="noConversion"/>
  </si>
  <si>
    <t>압타바이오</t>
    <phoneticPr fontId="3" type="noConversion"/>
  </si>
  <si>
    <t>지냄</t>
    <phoneticPr fontId="3" type="noConversion"/>
  </si>
  <si>
    <t>패스트파이브</t>
    <phoneticPr fontId="3" type="noConversion"/>
  </si>
  <si>
    <t>차봇모빌리티</t>
    <phoneticPr fontId="3" type="noConversion"/>
  </si>
  <si>
    <t>디티씨</t>
    <phoneticPr fontId="3" type="noConversion"/>
  </si>
  <si>
    <t>나우글로벌케이테크펀드</t>
    <phoneticPr fontId="3" type="noConversion"/>
  </si>
  <si>
    <t>B01</t>
    <phoneticPr fontId="3" type="noConversion"/>
  </si>
  <si>
    <t>김남헌대리</t>
    <phoneticPr fontId="3" type="noConversion"/>
  </si>
  <si>
    <t>031-776-7506</t>
    <phoneticPr fontId="3" type="noConversion"/>
  </si>
  <si>
    <t>nhkim@dtccorp.co.kr</t>
    <phoneticPr fontId="3" type="noConversion"/>
  </si>
  <si>
    <t>나우글로벌케이테크펀드</t>
    <phoneticPr fontId="3" type="noConversion"/>
  </si>
  <si>
    <t>쿼드마이너</t>
    <phoneticPr fontId="3" type="noConversion"/>
  </si>
  <si>
    <t>디티씨펀드(기초자산)</t>
    <phoneticPr fontId="3" type="noConversion"/>
  </si>
  <si>
    <t>[6]기타기관펀드(기초자산)</t>
    <phoneticPr fontId="3" type="noConversion"/>
  </si>
  <si>
    <t>기초자산</t>
    <phoneticPr fontId="3" type="noConversion"/>
  </si>
  <si>
    <t>엘디카본</t>
    <phoneticPr fontId="3" type="noConversion"/>
  </si>
  <si>
    <t>[6]기타기관펀드(기초자산)</t>
    <phoneticPr fontId="3" type="noConversion"/>
  </si>
  <si>
    <t>에스디티</t>
    <phoneticPr fontId="3" type="noConversion"/>
  </si>
  <si>
    <t>나무기술</t>
    <phoneticPr fontId="3" type="noConversion"/>
  </si>
  <si>
    <t>윌로그</t>
    <phoneticPr fontId="3" type="noConversion"/>
  </si>
  <si>
    <t>코클(COCHL,INC.)</t>
    <phoneticPr fontId="3" type="noConversion"/>
  </si>
  <si>
    <t>슬래시비슬래시</t>
    <phoneticPr fontId="3" type="noConversion"/>
  </si>
  <si>
    <t>이녹스리튬</t>
    <phoneticPr fontId="3" type="noConversion"/>
  </si>
  <si>
    <t>지엘커뮤니케이션즈</t>
    <phoneticPr fontId="3" type="noConversion"/>
  </si>
  <si>
    <t>디오네원</t>
    <phoneticPr fontId="3" type="noConversion"/>
  </si>
  <si>
    <t>박상현매니저</t>
    <phoneticPr fontId="3" type="noConversion"/>
  </si>
  <si>
    <t>02-2112-1729</t>
    <phoneticPr fontId="3" type="noConversion"/>
  </si>
  <si>
    <t>휴젤</t>
    <phoneticPr fontId="3" type="noConversion"/>
  </si>
  <si>
    <t>매니아원</t>
    <phoneticPr fontId="3" type="noConversion"/>
  </si>
  <si>
    <t>SPC</t>
    <phoneticPr fontId="3" type="noConversion"/>
  </si>
  <si>
    <t>무신사</t>
    <phoneticPr fontId="3" type="noConversion"/>
  </si>
  <si>
    <t>뮤즈원</t>
    <phoneticPr fontId="3" type="noConversion"/>
  </si>
  <si>
    <t>SPC</t>
    <phoneticPr fontId="3" type="noConversion"/>
  </si>
  <si>
    <t>Iyuno Sweden Holding I AB</t>
    <phoneticPr fontId="3" type="noConversion"/>
  </si>
  <si>
    <t>아이엠엠이에스지2호</t>
    <phoneticPr fontId="3" type="noConversion"/>
  </si>
  <si>
    <t>Pure Harvest Smart Farms Holdings</t>
    <phoneticPr fontId="3" type="noConversion"/>
  </si>
  <si>
    <t>아이엠엠이에스지4호</t>
    <phoneticPr fontId="3" type="noConversion"/>
  </si>
  <si>
    <t>에코프로비엠</t>
    <phoneticPr fontId="3" type="noConversion"/>
  </si>
  <si>
    <t>웨이브원</t>
    <phoneticPr fontId="3" type="noConversion"/>
  </si>
  <si>
    <t>디스트릭트코리아</t>
    <phoneticPr fontId="3" type="noConversion"/>
  </si>
  <si>
    <t>웨이브투</t>
    <phoneticPr fontId="3" type="noConversion"/>
  </si>
  <si>
    <t>D’strict Holdings Inc</t>
    <phoneticPr fontId="3" type="noConversion"/>
  </si>
  <si>
    <t>조디악원</t>
    <phoneticPr fontId="3" type="noConversion"/>
  </si>
  <si>
    <t>직방</t>
    <phoneticPr fontId="3" type="noConversion"/>
  </si>
  <si>
    <t>헬리오스원</t>
    <phoneticPr fontId="3" type="noConversion"/>
  </si>
  <si>
    <t>헬리녹스</t>
    <phoneticPr fontId="3" type="noConversion"/>
  </si>
  <si>
    <t>에코프로이노베이션</t>
    <phoneticPr fontId="3" type="noConversion"/>
  </si>
  <si>
    <t>한국전력우리스프랏글로벌사모투자전문회사</t>
    <phoneticPr fontId="3" type="noConversion"/>
  </si>
  <si>
    <t>정병권이사</t>
    <phoneticPr fontId="3" type="noConversion"/>
  </si>
  <si>
    <t>070-4324-9700</t>
    <phoneticPr fontId="3" type="noConversion"/>
  </si>
  <si>
    <t>bg.chung@sprottkorea.co.kr</t>
    <phoneticPr fontId="3" type="noConversion"/>
  </si>
  <si>
    <t>한국전력우리스프랏글로벌해외자원개발사모투자전문회사</t>
    <phoneticPr fontId="3" type="noConversion"/>
  </si>
  <si>
    <t>010-5545-0422</t>
    <phoneticPr fontId="3" type="noConversion"/>
  </si>
  <si>
    <t>bg.chung@sprottkorea.co.kr</t>
    <phoneticPr fontId="3" type="noConversion"/>
  </si>
  <si>
    <t>메디트</t>
    <phoneticPr fontId="3" type="noConversion"/>
  </si>
  <si>
    <t>Y2409V0004</t>
    <phoneticPr fontId="3" type="noConversion"/>
  </si>
  <si>
    <t>설빙</t>
    <phoneticPr fontId="3" type="noConversion"/>
  </si>
  <si>
    <t>02-3011-7002</t>
    <phoneticPr fontId="3" type="noConversion"/>
  </si>
  <si>
    <t>김에스더</t>
    <phoneticPr fontId="3" type="noConversion"/>
  </si>
  <si>
    <t>마스턴투자운용</t>
    <phoneticPr fontId="3" type="noConversion"/>
  </si>
  <si>
    <t>마스턴라이프파트너스사모투자</t>
    <phoneticPr fontId="3" type="noConversion"/>
  </si>
  <si>
    <t>B01</t>
    <phoneticPr fontId="3" type="noConversion"/>
  </si>
  <si>
    <t>임동환이사</t>
    <phoneticPr fontId="3" type="noConversion"/>
  </si>
  <si>
    <t>02-2176-3975</t>
    <phoneticPr fontId="3" type="noConversion"/>
  </si>
  <si>
    <t>Y2410A0004</t>
    <phoneticPr fontId="3" type="noConversion"/>
  </si>
  <si>
    <t>최종평가값 : 2025-01-08</t>
    <phoneticPr fontId="3" type="noConversion"/>
  </si>
  <si>
    <t>마스턴투자운용펀드(기초자산)</t>
    <phoneticPr fontId="3" type="noConversion"/>
  </si>
  <si>
    <t>기초자산</t>
    <phoneticPr fontId="3" type="noConversion"/>
  </si>
  <si>
    <t>syju@stonebridge.co.kr</t>
    <phoneticPr fontId="3" type="noConversion"/>
  </si>
  <si>
    <t>에이스엔지니어링</t>
    <phoneticPr fontId="3" type="noConversion"/>
  </si>
  <si>
    <t xml:space="preserve">02-3496-6616 </t>
    <phoneticPr fontId="3" type="noConversion"/>
  </si>
  <si>
    <t>코렌스이엠</t>
    <phoneticPr fontId="3" type="noConversion"/>
  </si>
  <si>
    <t>베이글코드</t>
    <phoneticPr fontId="3" type="noConversion"/>
  </si>
  <si>
    <t>AK홀딩스</t>
    <phoneticPr fontId="3" type="noConversion"/>
  </si>
  <si>
    <t>메가존클라우드</t>
    <phoneticPr fontId="3" type="noConversion"/>
  </si>
  <si>
    <t>디피씨</t>
    <phoneticPr fontId="3" type="noConversion"/>
  </si>
  <si>
    <t>아주아이비투자</t>
    <phoneticPr fontId="3" type="noConversion"/>
  </si>
  <si>
    <t>김캐디</t>
    <phoneticPr fontId="3" type="noConversion"/>
  </si>
  <si>
    <t>유수지매니저</t>
    <phoneticPr fontId="3" type="noConversion"/>
  </si>
  <si>
    <t>02-3451-9251</t>
    <phoneticPr fontId="3" type="noConversion"/>
  </si>
  <si>
    <t>sjyou@ajuib.co.kr</t>
    <phoneticPr fontId="3" type="noConversion"/>
  </si>
  <si>
    <t>재무보고목적</t>
    <phoneticPr fontId="3" type="noConversion"/>
  </si>
  <si>
    <t>다안바이오테라퓨틱스</t>
    <phoneticPr fontId="3" type="noConversion"/>
  </si>
  <si>
    <t>무무즈(구,씨엠아이파트너스)</t>
    <phoneticPr fontId="3" type="noConversion"/>
  </si>
  <si>
    <t>바잇미</t>
    <phoneticPr fontId="3" type="noConversion"/>
  </si>
  <si>
    <t>베이스</t>
    <phoneticPr fontId="3" type="noConversion"/>
  </si>
  <si>
    <t>보백씨엔에스</t>
    <phoneticPr fontId="3" type="noConversion"/>
  </si>
  <si>
    <t>부스트이뮨</t>
    <phoneticPr fontId="3" type="noConversion"/>
  </si>
  <si>
    <t>비햅틱스</t>
    <phoneticPr fontId="3" type="noConversion"/>
  </si>
  <si>
    <t>뽀득</t>
    <phoneticPr fontId="3" type="noConversion"/>
  </si>
  <si>
    <t>아주아이비투자</t>
    <phoneticPr fontId="3" type="noConversion"/>
  </si>
  <si>
    <t>삼가</t>
    <phoneticPr fontId="3" type="noConversion"/>
  </si>
  <si>
    <t>서경덕</t>
    <phoneticPr fontId="3" type="noConversion"/>
  </si>
  <si>
    <t>sjyou@ajuib.co.kr</t>
    <phoneticPr fontId="3" type="noConversion"/>
  </si>
  <si>
    <t>엔플로우</t>
    <phoneticPr fontId="3" type="noConversion"/>
  </si>
  <si>
    <t>엘박스</t>
    <phoneticPr fontId="3" type="noConversion"/>
  </si>
  <si>
    <t>엠트리센</t>
    <phoneticPr fontId="3" type="noConversion"/>
  </si>
  <si>
    <t>유수지매니저</t>
    <phoneticPr fontId="3" type="noConversion"/>
  </si>
  <si>
    <t>오토실리콘</t>
    <phoneticPr fontId="3" type="noConversion"/>
  </si>
  <si>
    <t>최수민</t>
    <phoneticPr fontId="3" type="noConversion"/>
  </si>
  <si>
    <t>원세미콘</t>
    <phoneticPr fontId="3" type="noConversion"/>
  </si>
  <si>
    <t>02-3451-9251</t>
    <phoneticPr fontId="3" type="noConversion"/>
  </si>
  <si>
    <t>이스트포토닉스</t>
    <phoneticPr fontId="3" type="noConversion"/>
  </si>
  <si>
    <t>이에이치엘바이오</t>
    <phoneticPr fontId="3" type="noConversion"/>
  </si>
  <si>
    <t>진코어</t>
    <phoneticPr fontId="3" type="noConversion"/>
  </si>
  <si>
    <t>창소프트아이앤아이</t>
    <phoneticPr fontId="3" type="noConversion"/>
  </si>
  <si>
    <t>컴투스로카</t>
    <phoneticPr fontId="3" type="noConversion"/>
  </si>
  <si>
    <t>케어메디</t>
    <phoneticPr fontId="3" type="noConversion"/>
  </si>
  <si>
    <t>코비스테크놀로지</t>
    <phoneticPr fontId="3" type="noConversion"/>
  </si>
  <si>
    <t>크리스틴컴퍼니</t>
    <phoneticPr fontId="3" type="noConversion"/>
  </si>
  <si>
    <t>탈로스</t>
    <phoneticPr fontId="3" type="noConversion"/>
  </si>
  <si>
    <t>테라시드바이오사이언스</t>
    <phoneticPr fontId="3" type="noConversion"/>
  </si>
  <si>
    <t>테라시스디앤씨(구,테라시스)</t>
    <phoneticPr fontId="3" type="noConversion"/>
  </si>
  <si>
    <t>팀프레시</t>
    <phoneticPr fontId="3" type="noConversion"/>
  </si>
  <si>
    <t>홈체크</t>
    <phoneticPr fontId="3" type="noConversion"/>
  </si>
  <si>
    <t>Boxhub, ApS</t>
    <phoneticPr fontId="3" type="noConversion"/>
  </si>
  <si>
    <t>Carbon Biosciences, Inc.</t>
    <phoneticPr fontId="3" type="noConversion"/>
  </si>
  <si>
    <t>Fama Technologies, Inc.</t>
    <phoneticPr fontId="3" type="noConversion"/>
  </si>
  <si>
    <t>Primemas Inc.</t>
    <phoneticPr fontId="3" type="noConversion"/>
  </si>
  <si>
    <t>ReCode Therapeutics, Inc.</t>
    <phoneticPr fontId="3" type="noConversion"/>
  </si>
  <si>
    <t>Terramino, Inc.</t>
    <phoneticPr fontId="3" type="noConversion"/>
  </si>
  <si>
    <t>밸런스히어로</t>
    <phoneticPr fontId="3" type="noConversion"/>
  </si>
  <si>
    <t>세이프소프트</t>
    <phoneticPr fontId="3" type="noConversion"/>
  </si>
  <si>
    <t>에코디엠랩</t>
    <phoneticPr fontId="3" type="noConversion"/>
  </si>
  <si>
    <t>오가노이드사이언스</t>
    <phoneticPr fontId="3" type="noConversion"/>
  </si>
  <si>
    <t>온코닉테라퓨틱스</t>
    <phoneticPr fontId="3" type="noConversion"/>
  </si>
  <si>
    <t>올릭스</t>
    <phoneticPr fontId="3" type="noConversion"/>
  </si>
  <si>
    <t>이뮤노바이옴</t>
    <phoneticPr fontId="3" type="noConversion"/>
  </si>
  <si>
    <t>일리미스테라퓨틱스</t>
    <phoneticPr fontId="3" type="noConversion"/>
  </si>
  <si>
    <t>페리지에어로스페이스(구,페리지항공우주)</t>
    <phoneticPr fontId="3" type="noConversion"/>
  </si>
  <si>
    <t>하나옵트로닉스</t>
    <phoneticPr fontId="3" type="noConversion"/>
  </si>
  <si>
    <t>아이엠엠이브이1호</t>
    <phoneticPr fontId="3" type="noConversion"/>
  </si>
  <si>
    <t>SPC, 에코프로이노베이션</t>
    <phoneticPr fontId="3" type="noConversion"/>
  </si>
  <si>
    <t>X000150</t>
    <phoneticPr fontId="3" type="noConversion"/>
  </si>
  <si>
    <t>고려아연</t>
    <phoneticPr fontId="3" type="noConversion"/>
  </si>
  <si>
    <t>디에스씨테크밸류업펀드2호</t>
    <phoneticPr fontId="3" type="noConversion"/>
  </si>
  <si>
    <t>KBP2023120002</t>
    <phoneticPr fontId="3" type="noConversion"/>
  </si>
  <si>
    <t>김영봉책임</t>
    <phoneticPr fontId="3" type="noConversion"/>
  </si>
  <si>
    <t>02-6947-2406</t>
    <phoneticPr fontId="3" type="noConversion"/>
  </si>
  <si>
    <t>ybkim@koreazinc.co.kr</t>
    <phoneticPr fontId="3" type="noConversion"/>
  </si>
  <si>
    <t>Y2410J0011</t>
    <phoneticPr fontId="3" type="noConversion"/>
  </si>
  <si>
    <t>1차평가(2분기말 재무자료) : 2024-11-15(값, Backdata 제공) / 2차평가(3분기말 재무자료) : 2024-12-16(최종평가값, Backdata 제공) / 보고서, MRC제공일 : 2024-12-23</t>
    <phoneticPr fontId="3" type="noConversion"/>
  </si>
  <si>
    <t xml:space="preserve">회계반영 </t>
    <phoneticPr fontId="3" type="noConversion"/>
  </si>
  <si>
    <t>티비티오픈이노베이션투자조합</t>
    <phoneticPr fontId="3" type="noConversion"/>
  </si>
  <si>
    <t xml:space="preserve">회계반영 </t>
    <phoneticPr fontId="3" type="noConversion"/>
  </si>
  <si>
    <t>인터베스트그로스세컨더리펀드</t>
    <phoneticPr fontId="3" type="noConversion"/>
  </si>
  <si>
    <t>김영봉책임</t>
    <phoneticPr fontId="3" type="noConversion"/>
  </si>
  <si>
    <t>MRC제공 / 1차평가(2분기말 재무자료) : 2024-11-15(값, Backdata 제공) / 2차평가(3분기말 재무자료) : 2024-12-16(최종평가값, Backdata 제공) / 보고서, MRC제공일 : 2024-12-23</t>
    <phoneticPr fontId="3" type="noConversion"/>
  </si>
  <si>
    <t>미래에셋글로벌유니콘사모투자</t>
    <phoneticPr fontId="3" type="noConversion"/>
  </si>
  <si>
    <t>아이엠엠살루스벤처펀드</t>
    <phoneticPr fontId="3" type="noConversion"/>
  </si>
  <si>
    <t>Primer Sazze Fund II</t>
    <phoneticPr fontId="3" type="noConversion"/>
  </si>
  <si>
    <t>파트너스글로벌헬스케어클로버펀드</t>
    <phoneticPr fontId="3" type="noConversion"/>
  </si>
  <si>
    <t>MRC제공 / 1차평가(2분기말 재무자료) : 2024-11-15(값, Backdata 제공) / 2차평가(3분기말 재무자료) : 2024-12-16(최종평가값, Backdata 제공) / 보고서, MRC제공일 : 2024-12-23</t>
    <phoneticPr fontId="3" type="noConversion"/>
  </si>
  <si>
    <r>
      <t>티비티글로벌성장제3호</t>
    </r>
    <r>
      <rPr>
        <sz val="11"/>
        <rFont val="Arial"/>
        <family val="2"/>
      </rPr>
      <t>투자조합</t>
    </r>
    <phoneticPr fontId="3" type="noConversion"/>
  </si>
  <si>
    <t>Y2410J0011</t>
    <phoneticPr fontId="3" type="noConversion"/>
  </si>
  <si>
    <t>키움뉴히어로6호창업초기펀드</t>
    <phoneticPr fontId="3" type="noConversion"/>
  </si>
  <si>
    <t>Spider Capital Partners III</t>
    <phoneticPr fontId="3" type="noConversion"/>
  </si>
  <si>
    <t>Argonautic Ventures Exit Plus Fund I SP</t>
    <phoneticPr fontId="3" type="noConversion"/>
  </si>
  <si>
    <t>Argonautic Ventures SPC</t>
    <phoneticPr fontId="3" type="noConversion"/>
  </si>
  <si>
    <t>포지티브세컨더리벤처투자조합제2호</t>
    <phoneticPr fontId="3" type="noConversion"/>
  </si>
  <si>
    <t>칸서스글로벌전문투자형사모증권투자신탁1호(재간접)</t>
    <phoneticPr fontId="3" type="noConversion"/>
  </si>
  <si>
    <t>B02</t>
    <phoneticPr fontId="3" type="noConversion"/>
  </si>
  <si>
    <t>멀티에셋CLO웨어하우스전문투자형사모투자신탁</t>
    <phoneticPr fontId="3" type="noConversion"/>
  </si>
  <si>
    <t>[T]기타보험기관[1본부]</t>
    <phoneticPr fontId="3" type="noConversion"/>
  </si>
  <si>
    <t>대체평가3사업본부</t>
    <phoneticPr fontId="3" type="noConversion"/>
  </si>
  <si>
    <t>미래에셋맵스코어전문투자사모부동산투자신탁</t>
    <phoneticPr fontId="3" type="noConversion"/>
  </si>
  <si>
    <t>고려아연</t>
    <phoneticPr fontId="3" type="noConversion"/>
  </si>
  <si>
    <t>대신TCK글로벌VCPEF전문투자형사모투자신탁</t>
    <phoneticPr fontId="3" type="noConversion"/>
  </si>
  <si>
    <t>타임폴리오바이오육성투자조합</t>
    <phoneticPr fontId="3" type="noConversion"/>
  </si>
  <si>
    <t>이그린글로벌</t>
    <phoneticPr fontId="3" type="noConversion"/>
  </si>
  <si>
    <t>AMOGY INC.</t>
    <phoneticPr fontId="3" type="noConversion"/>
  </si>
  <si>
    <t>에잇퍼센트</t>
    <phoneticPr fontId="3" type="noConversion"/>
  </si>
  <si>
    <t>ybkim@koreazinc.co.kr</t>
    <phoneticPr fontId="3" type="noConversion"/>
  </si>
  <si>
    <t>올박스</t>
    <phoneticPr fontId="3" type="noConversion"/>
  </si>
  <si>
    <t>백패커</t>
    <phoneticPr fontId="3" type="noConversion"/>
  </si>
  <si>
    <t>버킷플레이스</t>
    <phoneticPr fontId="3" type="noConversion"/>
  </si>
  <si>
    <t>Bolttech Holding Limited</t>
    <phoneticPr fontId="3" type="noConversion"/>
  </si>
  <si>
    <t>에코프로씨엔지</t>
    <phoneticPr fontId="3" type="noConversion"/>
  </si>
  <si>
    <t>팩트블록</t>
    <phoneticPr fontId="3" type="noConversion"/>
  </si>
  <si>
    <t>핏펫</t>
    <phoneticPr fontId="3" type="noConversion"/>
  </si>
  <si>
    <t>그린랩스</t>
    <phoneticPr fontId="3" type="noConversion"/>
  </si>
  <si>
    <t>아이피엑스</t>
    <phoneticPr fontId="3" type="noConversion"/>
  </si>
  <si>
    <t>LINE MAN</t>
    <phoneticPr fontId="3" type="noConversion"/>
  </si>
  <si>
    <t>Moto Investco Limited</t>
    <phoneticPr fontId="3" type="noConversion"/>
  </si>
  <si>
    <t>마이리얼트립</t>
    <phoneticPr fontId="3" type="noConversion"/>
  </si>
  <si>
    <t>마이리얼트립</t>
    <phoneticPr fontId="3" type="noConversion"/>
  </si>
  <si>
    <t>네오사피엔스</t>
    <phoneticPr fontId="3" type="noConversion"/>
  </si>
  <si>
    <t>넥스트챕터</t>
    <phoneticPr fontId="3" type="noConversion"/>
  </si>
  <si>
    <t>SILICON BOX Pte., Ltd.</t>
    <phoneticPr fontId="3" type="noConversion"/>
  </si>
  <si>
    <t>Project Edelweiss</t>
    <phoneticPr fontId="3" type="noConversion"/>
  </si>
  <si>
    <t>에스에스지닷컴</t>
    <phoneticPr fontId="3" type="noConversion"/>
  </si>
  <si>
    <t>Swiftly Systems, Inc.</t>
    <phoneticPr fontId="3" type="noConversion"/>
  </si>
  <si>
    <t>고려아연펀드(기초자산)</t>
    <phoneticPr fontId="3" type="noConversion"/>
  </si>
  <si>
    <t>GENOME INSIGHT, Inc.</t>
    <phoneticPr fontId="3" type="noConversion"/>
  </si>
  <si>
    <t>Cardiac Insight, Inc.</t>
    <phoneticPr fontId="3" type="noConversion"/>
  </si>
  <si>
    <t>Nucleix Ltd.</t>
    <phoneticPr fontId="3" type="noConversion"/>
  </si>
  <si>
    <t>하플사이언스</t>
    <phoneticPr fontId="3" type="noConversion"/>
  </si>
  <si>
    <t>메디스팬</t>
    <phoneticPr fontId="3" type="noConversion"/>
  </si>
  <si>
    <t>네오젠티씨</t>
    <phoneticPr fontId="3" type="noConversion"/>
  </si>
  <si>
    <t>퓨리오사에이아이</t>
    <phoneticPr fontId="3" type="noConversion"/>
  </si>
  <si>
    <t>고피자</t>
    <phoneticPr fontId="3" type="noConversion"/>
  </si>
  <si>
    <t>데이원컴퍼니(구,패스트캠퍼스)</t>
    <phoneticPr fontId="3" type="noConversion"/>
  </si>
  <si>
    <t>Kong Studios, INC</t>
    <phoneticPr fontId="3" type="noConversion"/>
  </si>
  <si>
    <t>엘베이스</t>
    <phoneticPr fontId="3" type="noConversion"/>
  </si>
  <si>
    <t>엔에이백신연구소</t>
    <phoneticPr fontId="3" type="noConversion"/>
  </si>
  <si>
    <t>엑소스템텍</t>
    <phoneticPr fontId="3" type="noConversion"/>
  </si>
  <si>
    <t>큐라미스</t>
    <phoneticPr fontId="3" type="noConversion"/>
  </si>
  <si>
    <t>모토브</t>
    <phoneticPr fontId="3" type="noConversion"/>
  </si>
  <si>
    <t>모노랩스</t>
    <phoneticPr fontId="3" type="noConversion"/>
  </si>
  <si>
    <t>펄핏</t>
    <phoneticPr fontId="3" type="noConversion"/>
  </si>
  <si>
    <t>엑스와이지(구,라운지랩)</t>
    <phoneticPr fontId="3" type="noConversion"/>
  </si>
  <si>
    <t>쉐어그라운드</t>
    <phoneticPr fontId="3" type="noConversion"/>
  </si>
  <si>
    <t>그렙</t>
    <phoneticPr fontId="3" type="noConversion"/>
  </si>
  <si>
    <t>수퍼빈</t>
    <phoneticPr fontId="3" type="noConversion"/>
  </si>
  <si>
    <t>콜라보그라운드</t>
    <phoneticPr fontId="3" type="noConversion"/>
  </si>
  <si>
    <t>에딧메이트</t>
    <phoneticPr fontId="3" type="noConversion"/>
  </si>
  <si>
    <t>릴리커버</t>
    <phoneticPr fontId="3" type="noConversion"/>
  </si>
  <si>
    <t>업스테이지</t>
    <phoneticPr fontId="3" type="noConversion"/>
  </si>
  <si>
    <t>레몬트리</t>
    <phoneticPr fontId="3" type="noConversion"/>
  </si>
  <si>
    <t>그립컴퍼니(구,그립)</t>
    <phoneticPr fontId="3" type="noConversion"/>
  </si>
  <si>
    <t>닷</t>
    <phoneticPr fontId="3" type="noConversion"/>
  </si>
  <si>
    <t>에스랩아시아</t>
    <phoneticPr fontId="3" type="noConversion"/>
  </si>
  <si>
    <t>넷스파</t>
    <phoneticPr fontId="3" type="noConversion"/>
  </si>
  <si>
    <t>코코지</t>
    <phoneticPr fontId="3" type="noConversion"/>
  </si>
  <si>
    <t>하이메디</t>
    <phoneticPr fontId="3" type="noConversion"/>
  </si>
  <si>
    <t>스와치온</t>
    <phoneticPr fontId="3" type="noConversion"/>
  </si>
  <si>
    <t>24년 1분기 평가예정</t>
    <phoneticPr fontId="3" type="noConversion"/>
  </si>
  <si>
    <t>코스코페이퍼</t>
    <phoneticPr fontId="3" type="noConversion"/>
  </si>
  <si>
    <t>24년 3분기 평가예정</t>
    <phoneticPr fontId="3" type="noConversion"/>
  </si>
  <si>
    <t>로플리</t>
    <phoneticPr fontId="3" type="noConversion"/>
  </si>
  <si>
    <t>스탠다임</t>
    <phoneticPr fontId="3" type="noConversion"/>
  </si>
  <si>
    <t>스튜디오플럼(구,스튜디오스카이)</t>
    <phoneticPr fontId="3" type="noConversion"/>
  </si>
  <si>
    <t>에이블리코퍼레이션</t>
    <phoneticPr fontId="3" type="noConversion"/>
  </si>
  <si>
    <t>엔씽</t>
    <phoneticPr fontId="3" type="noConversion"/>
  </si>
  <si>
    <t>핀다</t>
    <phoneticPr fontId="3" type="noConversion"/>
  </si>
  <si>
    <t>뤼이드</t>
    <phoneticPr fontId="3" type="noConversion"/>
  </si>
  <si>
    <t>노타</t>
    <phoneticPr fontId="3" type="noConversion"/>
  </si>
  <si>
    <t>PORTONE HOLDINGS PTE. LTD.(구,Chai Pay Holdings Company PTE. LTD)</t>
    <phoneticPr fontId="3" type="noConversion"/>
  </si>
  <si>
    <t>엠오피</t>
    <phoneticPr fontId="3" type="noConversion"/>
  </si>
  <si>
    <t>고려아연펀드(기초자산)</t>
    <phoneticPr fontId="3" type="noConversion"/>
  </si>
  <si>
    <t>인터베스트그로스세컨더리펀드</t>
    <phoneticPr fontId="3" type="noConversion"/>
  </si>
  <si>
    <t>앱포스터</t>
    <phoneticPr fontId="3" type="noConversion"/>
  </si>
  <si>
    <t>단꿈아이</t>
    <phoneticPr fontId="3" type="noConversion"/>
  </si>
  <si>
    <t>더핑크퐁컴퍼니(구,스마트스터디)</t>
    <phoneticPr fontId="3" type="noConversion"/>
  </si>
  <si>
    <t>크레이버코퍼레이션(구,비투링크)</t>
    <phoneticPr fontId="3" type="noConversion"/>
  </si>
  <si>
    <t>Moloco Inc.</t>
    <phoneticPr fontId="3" type="noConversion"/>
  </si>
  <si>
    <t>백두테크놀로지스</t>
    <phoneticPr fontId="3" type="noConversion"/>
  </si>
  <si>
    <t>OnboardIQ, Inc.</t>
    <phoneticPr fontId="3" type="noConversion"/>
  </si>
  <si>
    <t>The ON Platform Inc.</t>
    <phoneticPr fontId="3" type="noConversion"/>
  </si>
  <si>
    <t>MPN Marketplace Networks Gmbh</t>
    <phoneticPr fontId="3" type="noConversion"/>
  </si>
  <si>
    <t>Beijing TikinMedia Technology Co., Ltd</t>
    <phoneticPr fontId="3" type="noConversion"/>
  </si>
  <si>
    <t>레드그레이</t>
    <phoneticPr fontId="3" type="noConversion"/>
  </si>
  <si>
    <t>널리소프트</t>
    <phoneticPr fontId="3" type="noConversion"/>
  </si>
  <si>
    <t>아이엠바이오로직스</t>
    <phoneticPr fontId="3" type="noConversion"/>
  </si>
  <si>
    <t>이뮤니크</t>
    <phoneticPr fontId="3" type="noConversion"/>
  </si>
  <si>
    <t>터울</t>
    <phoneticPr fontId="3" type="noConversion"/>
  </si>
  <si>
    <t>큐티스바이오</t>
    <phoneticPr fontId="3" type="noConversion"/>
  </si>
  <si>
    <t>오름테라퓨틱</t>
    <phoneticPr fontId="3" type="noConversion"/>
  </si>
  <si>
    <t>에이럭스</t>
    <phoneticPr fontId="3" type="noConversion"/>
  </si>
  <si>
    <t>웰트</t>
    <phoneticPr fontId="3" type="noConversion"/>
  </si>
  <si>
    <t>패쓰</t>
    <phoneticPr fontId="3" type="noConversion"/>
  </si>
  <si>
    <t>휴톰</t>
    <phoneticPr fontId="3" type="noConversion"/>
  </si>
  <si>
    <t>스파크바이오파마</t>
    <phoneticPr fontId="3" type="noConversion"/>
  </si>
  <si>
    <t>트리오어</t>
    <phoneticPr fontId="3" type="noConversion"/>
  </si>
  <si>
    <t>루먼랩</t>
    <phoneticPr fontId="3" type="noConversion"/>
  </si>
  <si>
    <t>아이엠엠살루스벤처펀드</t>
    <phoneticPr fontId="3" type="noConversion"/>
  </si>
  <si>
    <t>이솔</t>
    <phoneticPr fontId="3" type="noConversion"/>
  </si>
  <si>
    <t>크로스앵글</t>
    <phoneticPr fontId="3" type="noConversion"/>
  </si>
  <si>
    <t>CROSSANGLE PTE. LTD. 평가자 일치.(종속기업)</t>
    <phoneticPr fontId="3" type="noConversion"/>
  </si>
  <si>
    <t>리벨리온</t>
    <phoneticPr fontId="3" type="noConversion"/>
  </si>
  <si>
    <t>Noom, Inc.</t>
    <phoneticPr fontId="3" type="noConversion"/>
  </si>
  <si>
    <t>GenEdit Inc</t>
    <phoneticPr fontId="3" type="noConversion"/>
  </si>
  <si>
    <t>메디르</t>
    <phoneticPr fontId="3" type="noConversion"/>
  </si>
  <si>
    <t>Neuroglee</t>
    <phoneticPr fontId="3" type="noConversion"/>
  </si>
  <si>
    <t>피노바이오(구,바이오네틱스)</t>
    <phoneticPr fontId="3" type="noConversion"/>
  </si>
  <si>
    <t>팀블랙버드</t>
    <phoneticPr fontId="3" type="noConversion"/>
  </si>
  <si>
    <t>루닛케어</t>
    <phoneticPr fontId="3" type="noConversion"/>
  </si>
  <si>
    <t>MangoBoost, Inc.</t>
    <phoneticPr fontId="3" type="noConversion"/>
  </si>
  <si>
    <t>브이투브이</t>
    <phoneticPr fontId="3" type="noConversion"/>
  </si>
  <si>
    <t>센트비</t>
    <phoneticPr fontId="3" type="noConversion"/>
  </si>
  <si>
    <t>디에스알브이랩스</t>
    <phoneticPr fontId="3" type="noConversion"/>
  </si>
  <si>
    <t>인티그레이션</t>
    <phoneticPr fontId="3" type="noConversion"/>
  </si>
  <si>
    <t>키햐</t>
    <phoneticPr fontId="3" type="noConversion"/>
  </si>
  <si>
    <t>에이치티비욘드</t>
    <phoneticPr fontId="3" type="noConversion"/>
  </si>
  <si>
    <t>에이치티비욘드</t>
    <phoneticPr fontId="3" type="noConversion"/>
  </si>
  <si>
    <t>언컷젬스컴퍼니</t>
    <phoneticPr fontId="3" type="noConversion"/>
  </si>
  <si>
    <t>투슬래시포</t>
    <phoneticPr fontId="3" type="noConversion"/>
  </si>
  <si>
    <t>베터리얼</t>
    <phoneticPr fontId="3" type="noConversion"/>
  </si>
  <si>
    <t>디폰</t>
    <phoneticPr fontId="3" type="noConversion"/>
  </si>
  <si>
    <t>에스알파테라퓨틱스</t>
    <phoneticPr fontId="3" type="noConversion"/>
  </si>
  <si>
    <t>티랩스</t>
    <phoneticPr fontId="3" type="noConversion"/>
  </si>
  <si>
    <t>디오리진</t>
    <phoneticPr fontId="3" type="noConversion"/>
  </si>
  <si>
    <t>지티아이바이오사이언스</t>
    <phoneticPr fontId="3" type="noConversion"/>
  </si>
  <si>
    <t>블럭나인</t>
    <phoneticPr fontId="3" type="noConversion"/>
  </si>
  <si>
    <t>러닝스푼즈</t>
    <phoneticPr fontId="3" type="noConversion"/>
  </si>
  <si>
    <t>바스플렉스</t>
    <phoneticPr fontId="3" type="noConversion"/>
  </si>
  <si>
    <t>세진식품</t>
    <phoneticPr fontId="3" type="noConversion"/>
  </si>
  <si>
    <t>마이크로트</t>
    <phoneticPr fontId="3" type="noConversion"/>
  </si>
  <si>
    <t>서지넥스</t>
    <phoneticPr fontId="3" type="noConversion"/>
  </si>
  <si>
    <t>매직불릿테라퓨틱스</t>
    <phoneticPr fontId="3" type="noConversion"/>
  </si>
  <si>
    <t>아이엠바이오로직스</t>
    <phoneticPr fontId="3" type="noConversion"/>
  </si>
  <si>
    <t>Medic Life Sciences</t>
    <phoneticPr fontId="3" type="noConversion"/>
  </si>
  <si>
    <t>Swit Technologies, Inc.</t>
    <phoneticPr fontId="3" type="noConversion"/>
  </si>
  <si>
    <t>Primer Sazze Fund II</t>
    <phoneticPr fontId="3" type="noConversion"/>
  </si>
  <si>
    <t>Tamade(Flowly)</t>
    <phoneticPr fontId="3" type="noConversion"/>
  </si>
  <si>
    <t>KBP2023120082</t>
    <phoneticPr fontId="3" type="noConversion"/>
  </si>
  <si>
    <t>클래스유</t>
    <phoneticPr fontId="3" type="noConversion"/>
  </si>
  <si>
    <t>Chartmetric</t>
    <phoneticPr fontId="3" type="noConversion"/>
  </si>
  <si>
    <t>KBP2023120083</t>
    <phoneticPr fontId="3" type="noConversion"/>
  </si>
  <si>
    <t>Glassdome, Inc</t>
    <phoneticPr fontId="3" type="noConversion"/>
  </si>
  <si>
    <t>Luckmon</t>
    <phoneticPr fontId="3" type="noConversion"/>
  </si>
  <si>
    <t>KBP2023120084</t>
    <phoneticPr fontId="3" type="noConversion"/>
  </si>
  <si>
    <t>OpenAxis</t>
    <phoneticPr fontId="3" type="noConversion"/>
  </si>
  <si>
    <t>KBP2023120085</t>
    <phoneticPr fontId="3" type="noConversion"/>
  </si>
  <si>
    <t>en-dolphin corp.</t>
    <phoneticPr fontId="3" type="noConversion"/>
  </si>
  <si>
    <t>Chequer Global, Inc.</t>
    <phoneticPr fontId="3" type="noConversion"/>
  </si>
  <si>
    <t>Nitra</t>
    <phoneticPr fontId="3" type="noConversion"/>
  </si>
  <si>
    <t>KBP2023120086</t>
    <phoneticPr fontId="3" type="noConversion"/>
  </si>
  <si>
    <t>지구인컴퍼니</t>
    <phoneticPr fontId="3" type="noConversion"/>
  </si>
  <si>
    <t>콘텐츠홀딩스</t>
    <phoneticPr fontId="3" type="noConversion"/>
  </si>
  <si>
    <t>Fliption</t>
    <phoneticPr fontId="3" type="noConversion"/>
  </si>
  <si>
    <t>KBP2023120087</t>
    <phoneticPr fontId="3" type="noConversion"/>
  </si>
  <si>
    <t>museLive</t>
    <phoneticPr fontId="3" type="noConversion"/>
  </si>
  <si>
    <t>KBP2023120088</t>
    <phoneticPr fontId="3" type="noConversion"/>
  </si>
  <si>
    <t>보딩패스</t>
    <phoneticPr fontId="3" type="noConversion"/>
  </si>
  <si>
    <t>그룹바이에이치알</t>
    <phoneticPr fontId="3" type="noConversion"/>
  </si>
  <si>
    <t>Center Stage Hobby</t>
    <phoneticPr fontId="3" type="noConversion"/>
  </si>
  <si>
    <t>KBP2023120089</t>
    <phoneticPr fontId="3" type="noConversion"/>
  </si>
  <si>
    <t>닥터나우</t>
    <phoneticPr fontId="3" type="noConversion"/>
  </si>
  <si>
    <t>Wooltari USA</t>
    <phoneticPr fontId="3" type="noConversion"/>
  </si>
  <si>
    <t>KBP2023120090</t>
    <phoneticPr fontId="3" type="noConversion"/>
  </si>
  <si>
    <t>어이사컴퍼니</t>
    <phoneticPr fontId="3" type="noConversion"/>
  </si>
  <si>
    <t>에피소든</t>
    <phoneticPr fontId="3" type="noConversion"/>
  </si>
  <si>
    <t>Build Block</t>
    <phoneticPr fontId="3" type="noConversion"/>
  </si>
  <si>
    <t>KBP2023120091</t>
    <phoneticPr fontId="3" type="noConversion"/>
  </si>
  <si>
    <t>미스테리코</t>
    <phoneticPr fontId="3" type="noConversion"/>
  </si>
  <si>
    <t>타인에이아이</t>
    <phoneticPr fontId="3" type="noConversion"/>
  </si>
  <si>
    <t>Fridays Lab</t>
    <phoneticPr fontId="3" type="noConversion"/>
  </si>
  <si>
    <t>KBP2023120092</t>
    <phoneticPr fontId="3" type="noConversion"/>
  </si>
  <si>
    <t>제트에이아이</t>
    <phoneticPr fontId="3" type="noConversion"/>
  </si>
  <si>
    <t>웨이커</t>
    <phoneticPr fontId="3" type="noConversion"/>
  </si>
  <si>
    <t>지로</t>
    <phoneticPr fontId="3" type="noConversion"/>
  </si>
  <si>
    <t>스텝페이</t>
    <phoneticPr fontId="3" type="noConversion"/>
  </si>
  <si>
    <t>아리아스튜디오</t>
    <phoneticPr fontId="3" type="noConversion"/>
  </si>
  <si>
    <t>엑소스피어랩스</t>
    <phoneticPr fontId="3" type="noConversion"/>
  </si>
  <si>
    <t>플레어랩스</t>
    <phoneticPr fontId="3" type="noConversion"/>
  </si>
  <si>
    <t>페이워크</t>
    <phoneticPr fontId="3" type="noConversion"/>
  </si>
  <si>
    <t>파일러니어</t>
    <phoneticPr fontId="3" type="noConversion"/>
  </si>
  <si>
    <t>프로젝트노아</t>
    <phoneticPr fontId="3" type="noConversion"/>
  </si>
  <si>
    <t>Paraform</t>
    <phoneticPr fontId="3" type="noConversion"/>
  </si>
  <si>
    <t>KBP2023120093</t>
    <phoneticPr fontId="3" type="noConversion"/>
  </si>
  <si>
    <t>이오스튜디오</t>
    <phoneticPr fontId="3" type="noConversion"/>
  </si>
  <si>
    <t>Kaigene</t>
    <phoneticPr fontId="3" type="noConversion"/>
  </si>
  <si>
    <t>KBP2023120094</t>
    <phoneticPr fontId="3" type="noConversion"/>
  </si>
  <si>
    <t>카본사우루스</t>
    <phoneticPr fontId="3" type="noConversion"/>
  </si>
  <si>
    <t>달파</t>
    <phoneticPr fontId="3" type="noConversion"/>
  </si>
  <si>
    <t>볼라</t>
    <phoneticPr fontId="3" type="noConversion"/>
  </si>
  <si>
    <t>Amber Technologies</t>
    <phoneticPr fontId="3" type="noConversion"/>
  </si>
  <si>
    <t>KBP2023120095</t>
    <phoneticPr fontId="3" type="noConversion"/>
  </si>
  <si>
    <t>더스윙</t>
    <phoneticPr fontId="3" type="noConversion"/>
  </si>
  <si>
    <t>나노내</t>
    <phoneticPr fontId="3" type="noConversion"/>
  </si>
  <si>
    <t>로브로스</t>
    <phoneticPr fontId="3" type="noConversion"/>
  </si>
  <si>
    <t>북아이피스</t>
    <phoneticPr fontId="3" type="noConversion"/>
  </si>
  <si>
    <t>피에로컴퍼니</t>
    <phoneticPr fontId="3" type="noConversion"/>
  </si>
  <si>
    <t>브이씨소프트</t>
    <phoneticPr fontId="3" type="noConversion"/>
  </si>
  <si>
    <t>카페노노</t>
    <phoneticPr fontId="3" type="noConversion"/>
  </si>
  <si>
    <t>에이피그린</t>
    <phoneticPr fontId="3" type="noConversion"/>
  </si>
  <si>
    <t>고레로보틱스</t>
    <phoneticPr fontId="3" type="noConversion"/>
  </si>
  <si>
    <t>트립소다</t>
    <phoneticPr fontId="3" type="noConversion"/>
  </si>
  <si>
    <t>넥서스에이아이</t>
    <phoneticPr fontId="3" type="noConversion"/>
  </si>
  <si>
    <t>에스지프라이빗에쿼티</t>
    <phoneticPr fontId="3" type="noConversion"/>
  </si>
  <si>
    <t>한국금거래소디지털에셋</t>
    <phoneticPr fontId="3" type="noConversion"/>
  </si>
  <si>
    <t xml:space="preserve">반기 </t>
    <phoneticPr fontId="3" type="noConversion"/>
  </si>
  <si>
    <t>김은정상무</t>
    <phoneticPr fontId="3" type="noConversion"/>
  </si>
  <si>
    <t>02-6090-1308, 010-9009-3544</t>
    <phoneticPr fontId="3" type="noConversion"/>
  </si>
  <si>
    <t xml:space="preserve">ejkim@sgpef.com </t>
    <phoneticPr fontId="3" type="noConversion"/>
  </si>
  <si>
    <t>Y2410V0016</t>
    <phoneticPr fontId="3" type="noConversion"/>
  </si>
  <si>
    <t>에스지프라이빗에쿼티</t>
    <phoneticPr fontId="3" type="noConversion"/>
  </si>
  <si>
    <t>윈큐브마케팅</t>
    <phoneticPr fontId="3" type="noConversion"/>
  </si>
  <si>
    <t>창원에너텍</t>
    <phoneticPr fontId="3" type="noConversion"/>
  </si>
  <si>
    <t>케이씨산업</t>
    <phoneticPr fontId="3" type="noConversion"/>
  </si>
  <si>
    <t>주식옵션팀</t>
    <phoneticPr fontId="3" type="noConversion"/>
  </si>
  <si>
    <t>테이크원컴퍼니</t>
    <phoneticPr fontId="3" type="noConversion"/>
  </si>
  <si>
    <t>엑심베이</t>
    <phoneticPr fontId="3" type="noConversion"/>
  </si>
  <si>
    <t>하이그라운드</t>
    <phoneticPr fontId="3" type="noConversion"/>
  </si>
  <si>
    <t>상우기업</t>
    <phoneticPr fontId="3" type="noConversion"/>
  </si>
  <si>
    <t>신흥에스이씨</t>
    <phoneticPr fontId="3" type="noConversion"/>
  </si>
  <si>
    <t>네패스라웨</t>
    <phoneticPr fontId="3" type="noConversion"/>
  </si>
  <si>
    <t>에이클라미디어그룹</t>
    <phoneticPr fontId="3" type="noConversion"/>
  </si>
  <si>
    <t>GCT Semiconductor, Inc.</t>
    <phoneticPr fontId="3" type="noConversion"/>
  </si>
  <si>
    <t>웨이비스</t>
    <phoneticPr fontId="3" type="noConversion"/>
  </si>
  <si>
    <t>한국금거래소쓰리엠</t>
    <phoneticPr fontId="3" type="noConversion"/>
  </si>
  <si>
    <t>마제스티골프코리아</t>
    <phoneticPr fontId="3" type="noConversion"/>
  </si>
  <si>
    <t>E01</t>
    <phoneticPr fontId="3" type="noConversion"/>
  </si>
  <si>
    <t>스마트스코어</t>
    <phoneticPr fontId="3" type="noConversion"/>
  </si>
  <si>
    <t>한국특수가스</t>
    <phoneticPr fontId="3" type="noConversion"/>
  </si>
  <si>
    <t>한국가스켐</t>
    <phoneticPr fontId="3" type="noConversion"/>
  </si>
  <si>
    <t>에스지코어</t>
    <phoneticPr fontId="3" type="noConversion"/>
  </si>
  <si>
    <t>마제스티홀딩스</t>
    <phoneticPr fontId="3" type="noConversion"/>
  </si>
  <si>
    <t xml:space="preserve">반기 </t>
    <phoneticPr fontId="3" type="noConversion"/>
  </si>
  <si>
    <t>02-6090-1308, 010-9009-3544</t>
    <phoneticPr fontId="3" type="noConversion"/>
  </si>
  <si>
    <t xml:space="preserve">ejkim@sgpef.com </t>
    <phoneticPr fontId="3" type="noConversion"/>
  </si>
  <si>
    <t>김범준</t>
    <phoneticPr fontId="3" type="noConversion"/>
  </si>
  <si>
    <t>LP제출</t>
    <phoneticPr fontId="3" type="noConversion"/>
  </si>
  <si>
    <t>김은정상무</t>
    <phoneticPr fontId="3" type="noConversion"/>
  </si>
  <si>
    <t>에스지데카</t>
    <phoneticPr fontId="3" type="noConversion"/>
  </si>
  <si>
    <t>에스지이터널홀딩스</t>
    <phoneticPr fontId="3" type="noConversion"/>
  </si>
  <si>
    <t>에이치티지</t>
    <phoneticPr fontId="3" type="noConversion"/>
  </si>
  <si>
    <t>진이어스</t>
    <phoneticPr fontId="3" type="noConversion"/>
  </si>
  <si>
    <t>코리아컴포지트</t>
    <phoneticPr fontId="3" type="noConversion"/>
  </si>
  <si>
    <t>이테크시스템</t>
    <phoneticPr fontId="3" type="noConversion"/>
  </si>
  <si>
    <t>포비즈코리아</t>
    <phoneticPr fontId="3" type="noConversion"/>
  </si>
  <si>
    <t>정건구담당자</t>
    <phoneticPr fontId="3" type="noConversion"/>
  </si>
  <si>
    <t>02-3420-6814</t>
    <phoneticPr fontId="3" type="noConversion"/>
  </si>
  <si>
    <t>jkk9911@ksnet.co.kr</t>
    <phoneticPr fontId="3" type="noConversion"/>
  </si>
  <si>
    <t>2024.06.30</t>
    <phoneticPr fontId="3" type="noConversion"/>
  </si>
  <si>
    <t>Y2410J0017</t>
    <phoneticPr fontId="3" type="noConversion"/>
  </si>
  <si>
    <t>김소영,이승민</t>
    <phoneticPr fontId="3" type="noConversion"/>
  </si>
  <si>
    <t>010-3153-1051, 010-2467-1403</t>
    <phoneticPr fontId="3" type="noConversion"/>
  </si>
  <si>
    <t>soyoung.k@snowcorp.com; seungminlee.kr@snowcorp.com;</t>
    <phoneticPr fontId="3" type="noConversion"/>
  </si>
  <si>
    <t>Y2410J0018</t>
    <phoneticPr fontId="3" type="noConversion"/>
  </si>
  <si>
    <t>메이크스타</t>
    <phoneticPr fontId="3" type="noConversion"/>
  </si>
  <si>
    <t>겟스마트</t>
    <phoneticPr fontId="3" type="noConversion"/>
  </si>
  <si>
    <t>제이케이엘파트너스펀드(기초자산)</t>
    <phoneticPr fontId="3" type="noConversion"/>
  </si>
  <si>
    <t>CBMM</t>
    <phoneticPr fontId="3" type="noConversion"/>
  </si>
  <si>
    <t>김민희차장</t>
    <phoneticPr fontId="3" type="noConversion"/>
  </si>
  <si>
    <t>02-6951-4419, 010-9217-7125</t>
    <phoneticPr fontId="3" type="noConversion"/>
  </si>
  <si>
    <t>맘스터치앤컴퍼니(구,해마로푸드서비스)</t>
    <phoneticPr fontId="3" type="noConversion"/>
  </si>
  <si>
    <t>이효준부장</t>
    <phoneticPr fontId="3" type="noConversion"/>
  </si>
  <si>
    <t>Y2410V0019</t>
    <phoneticPr fontId="3" type="noConversion"/>
  </si>
  <si>
    <t>Y000030</t>
    <phoneticPr fontId="3" type="noConversion"/>
  </si>
  <si>
    <t>나우아이비캐피탈</t>
    <phoneticPr fontId="3" type="noConversion"/>
  </si>
  <si>
    <t>하이게인안테나</t>
    <phoneticPr fontId="3" type="noConversion"/>
  </si>
  <si>
    <t>김혜진대리</t>
    <phoneticPr fontId="3" type="noConversion"/>
  </si>
  <si>
    <t>02-565-0739</t>
    <phoneticPr fontId="3" type="noConversion"/>
  </si>
  <si>
    <t>나이스엘엠에스</t>
    <phoneticPr fontId="3" type="noConversion"/>
  </si>
  <si>
    <t>Y000030</t>
    <phoneticPr fontId="3" type="noConversion"/>
  </si>
  <si>
    <t>대한조선</t>
    <phoneticPr fontId="3" type="noConversion"/>
  </si>
  <si>
    <t>카카오게임즈</t>
    <phoneticPr fontId="3" type="noConversion"/>
  </si>
  <si>
    <t>김혜진대리</t>
    <phoneticPr fontId="3" type="noConversion"/>
  </si>
  <si>
    <t>한투에스지제삼호</t>
    <phoneticPr fontId="3" type="noConversion"/>
  </si>
  <si>
    <t>센서텍</t>
    <phoneticPr fontId="3" type="noConversion"/>
  </si>
  <si>
    <t>비앤에이치코스메틱</t>
    <phoneticPr fontId="3" type="noConversion"/>
  </si>
  <si>
    <t>프리미어파트너스</t>
    <phoneticPr fontId="3" type="noConversion"/>
  </si>
  <si>
    <t>케이피티</t>
    <phoneticPr fontId="3" type="noConversion"/>
  </si>
  <si>
    <t xml:space="preserve">박은경이사 </t>
    <phoneticPr fontId="3" type="noConversion"/>
  </si>
  <si>
    <t xml:space="preserve">02-564-0131 </t>
    <phoneticPr fontId="3" type="noConversion"/>
  </si>
  <si>
    <t xml:space="preserve">ekpark@premierpartners.co.kr </t>
    <phoneticPr fontId="3" type="noConversion"/>
  </si>
  <si>
    <t>아이비엘홀딩스</t>
    <phoneticPr fontId="3" type="noConversion"/>
  </si>
  <si>
    <t>BCPE Centur Invesments, LP</t>
    <phoneticPr fontId="3" type="noConversion"/>
  </si>
  <si>
    <t>에코얼라이언스홀딩스</t>
    <phoneticPr fontId="3" type="noConversion"/>
  </si>
  <si>
    <t>라인스튜디오</t>
    <phoneticPr fontId="3" type="noConversion"/>
  </si>
  <si>
    <t>프라임모뉴먼트</t>
    <phoneticPr fontId="3" type="noConversion"/>
  </si>
  <si>
    <t>라디언트홀딩스</t>
    <phoneticPr fontId="3" type="noConversion"/>
  </si>
  <si>
    <t>토스뱅크</t>
    <phoneticPr fontId="3" type="noConversion"/>
  </si>
  <si>
    <t>성경식품</t>
    <phoneticPr fontId="3" type="noConversion"/>
  </si>
  <si>
    <t>정혜승이사</t>
    <phoneticPr fontId="3" type="noConversion"/>
  </si>
  <si>
    <t xml:space="preserve">Hyeseung.Jeong@affirmacapital.com </t>
    <phoneticPr fontId="3" type="noConversion"/>
  </si>
  <si>
    <t>Y2410V0021</t>
    <phoneticPr fontId="3" type="noConversion"/>
  </si>
  <si>
    <t>Fine Hygienic Holding</t>
    <phoneticPr fontId="3" type="noConversion"/>
  </si>
  <si>
    <t>에어퍼스트</t>
    <phoneticPr fontId="3" type="noConversion"/>
  </si>
  <si>
    <t>Y2410V0008</t>
    <phoneticPr fontId="3" type="noConversion"/>
  </si>
  <si>
    <t>유나이티드터미널코리아</t>
    <phoneticPr fontId="3" type="noConversion"/>
  </si>
  <si>
    <t>피알지에스앤텍</t>
    <phoneticPr fontId="3" type="noConversion"/>
  </si>
  <si>
    <t>지정희매니저</t>
    <phoneticPr fontId="3" type="noConversion"/>
  </si>
  <si>
    <t>02-3473-7117</t>
    <phoneticPr fontId="3" type="noConversion"/>
  </si>
  <si>
    <t>케이넷투자파트너스</t>
    <phoneticPr fontId="3" type="noConversion"/>
  </si>
  <si>
    <t>성지전자</t>
    <phoneticPr fontId="3" type="noConversion"/>
  </si>
  <si>
    <t>케이넷투자파트너스</t>
    <phoneticPr fontId="3" type="noConversion"/>
  </si>
  <si>
    <t>인투셀</t>
    <phoneticPr fontId="3" type="noConversion"/>
  </si>
  <si>
    <t>에프알디</t>
    <phoneticPr fontId="3" type="noConversion"/>
  </si>
  <si>
    <t>니오테스바이오</t>
    <phoneticPr fontId="3" type="noConversion"/>
  </si>
  <si>
    <t>씨케이리제온</t>
    <phoneticPr fontId="3" type="noConversion"/>
  </si>
  <si>
    <t>Harmonic Bionics, Inc.</t>
    <phoneticPr fontId="3" type="noConversion"/>
  </si>
  <si>
    <t>카텍에이치</t>
    <phoneticPr fontId="3" type="noConversion"/>
  </si>
  <si>
    <t>아이큐랩</t>
    <phoneticPr fontId="3" type="noConversion"/>
  </si>
  <si>
    <t>투디엠</t>
    <phoneticPr fontId="3" type="noConversion"/>
  </si>
  <si>
    <t>에이올코리아</t>
    <phoneticPr fontId="3" type="noConversion"/>
  </si>
  <si>
    <t>씰링크</t>
    <phoneticPr fontId="3" type="noConversion"/>
  </si>
  <si>
    <t>신스타프리젠츠</t>
    <phoneticPr fontId="3" type="noConversion"/>
  </si>
  <si>
    <t>패리티</t>
    <phoneticPr fontId="3" type="noConversion"/>
  </si>
  <si>
    <t>엔도로보틱스</t>
    <phoneticPr fontId="3" type="noConversion"/>
  </si>
  <si>
    <t>테라자인</t>
    <phoneticPr fontId="3" type="noConversion"/>
  </si>
  <si>
    <t>지엑스씨</t>
    <phoneticPr fontId="3" type="noConversion"/>
  </si>
  <si>
    <t>엔게인</t>
    <phoneticPr fontId="3" type="noConversion"/>
  </si>
  <si>
    <t>MG Innovation Lab, Inc</t>
    <phoneticPr fontId="3" type="noConversion"/>
  </si>
  <si>
    <t>KB인베스트먼트</t>
    <phoneticPr fontId="3" type="noConversion"/>
  </si>
  <si>
    <t>이새록수석팀장</t>
    <phoneticPr fontId="3" type="noConversion"/>
  </si>
  <si>
    <t>02-3015-4786</t>
    <phoneticPr fontId="3" type="noConversion"/>
  </si>
  <si>
    <t>saerock.lee@kbfg.com</t>
    <phoneticPr fontId="3" type="noConversion"/>
  </si>
  <si>
    <t>피알앤디컴퍼니</t>
    <phoneticPr fontId="3" type="noConversion"/>
  </si>
  <si>
    <t>Essential AI Labs, Inc.</t>
    <phoneticPr fontId="3" type="noConversion"/>
  </si>
  <si>
    <t>인벤티지랩</t>
    <phoneticPr fontId="3" type="noConversion"/>
  </si>
  <si>
    <t>에스케이에스프라이빗에쿼티</t>
    <phoneticPr fontId="3" type="noConversion"/>
  </si>
  <si>
    <t>팰</t>
    <phoneticPr fontId="3" type="noConversion"/>
  </si>
  <si>
    <t>임중훈본부장</t>
    <phoneticPr fontId="3" type="noConversion"/>
  </si>
  <si>
    <t>010-5446-6129</t>
    <phoneticPr fontId="3" type="noConversion"/>
  </si>
  <si>
    <t>jhlim@skspe.com;.pef@skspe.com</t>
    <phoneticPr fontId="3" type="noConversion"/>
  </si>
  <si>
    <t>이브이시스(구,중앙제어)</t>
    <phoneticPr fontId="3" type="noConversion"/>
  </si>
  <si>
    <t>동양시스템즈</t>
    <phoneticPr fontId="3" type="noConversion"/>
  </si>
  <si>
    <t>동화일렉트로라이트(구,파낙스이텍)</t>
    <phoneticPr fontId="3" type="noConversion"/>
  </si>
  <si>
    <t>NeuReality</t>
    <phoneticPr fontId="3" type="noConversion"/>
  </si>
  <si>
    <t>넛지헬스케어</t>
    <phoneticPr fontId="3" type="noConversion"/>
  </si>
  <si>
    <t>넥스아이</t>
    <phoneticPr fontId="3" type="noConversion"/>
  </si>
  <si>
    <t>다임리서치</t>
    <phoneticPr fontId="3" type="noConversion"/>
  </si>
  <si>
    <t>데이터라이즈</t>
    <phoneticPr fontId="3" type="noConversion"/>
  </si>
  <si>
    <t xml:space="preserve">드노보바이오테라퓨틱스 </t>
    <phoneticPr fontId="3" type="noConversion"/>
  </si>
  <si>
    <t>드라이브포스</t>
    <phoneticPr fontId="3" type="noConversion"/>
  </si>
  <si>
    <t>라이언로켓</t>
    <phoneticPr fontId="3" type="noConversion"/>
  </si>
  <si>
    <t>리치에일리언</t>
    <phoneticPr fontId="3" type="noConversion"/>
  </si>
  <si>
    <t>마이셀</t>
    <phoneticPr fontId="3" type="noConversion"/>
  </si>
  <si>
    <t>마인즈에이아이</t>
    <phoneticPr fontId="3" type="noConversion"/>
  </si>
  <si>
    <t>모빌테크</t>
    <phoneticPr fontId="3" type="noConversion"/>
  </si>
  <si>
    <t>보라스카이</t>
    <phoneticPr fontId="3" type="noConversion"/>
  </si>
  <si>
    <t>비이아이랩</t>
    <phoneticPr fontId="3" type="noConversion"/>
  </si>
  <si>
    <t>셀레메디</t>
    <phoneticPr fontId="3" type="noConversion"/>
  </si>
  <si>
    <t>셀렉신</t>
    <phoneticPr fontId="3" type="noConversion"/>
  </si>
  <si>
    <t>소울머티리얼</t>
    <phoneticPr fontId="3" type="noConversion"/>
  </si>
  <si>
    <t>슈파스</t>
    <phoneticPr fontId="3" type="noConversion"/>
  </si>
  <si>
    <t>실버라이닝메디컬</t>
    <phoneticPr fontId="3" type="noConversion"/>
  </si>
  <si>
    <t>아델</t>
    <phoneticPr fontId="3" type="noConversion"/>
  </si>
  <si>
    <t>아이디어허브</t>
    <phoneticPr fontId="3" type="noConversion"/>
  </si>
  <si>
    <t>아피셀테라퓨틱스</t>
    <phoneticPr fontId="3" type="noConversion"/>
  </si>
  <si>
    <t>에너에버배터리솔루션</t>
    <phoneticPr fontId="3" type="noConversion"/>
  </si>
  <si>
    <t>에스투더블유</t>
    <phoneticPr fontId="3" type="noConversion"/>
  </si>
  <si>
    <t>오토텔릭바이오</t>
    <phoneticPr fontId="3" type="noConversion"/>
  </si>
  <si>
    <t>오픈엣지스퀘어</t>
    <phoneticPr fontId="3" type="noConversion"/>
  </si>
  <si>
    <t>원프레딕트</t>
    <phoneticPr fontId="3" type="noConversion"/>
  </si>
  <si>
    <t>이모코그</t>
    <phoneticPr fontId="3" type="noConversion"/>
  </si>
  <si>
    <t>컨텐츠랩비보</t>
    <phoneticPr fontId="3" type="noConversion"/>
  </si>
  <si>
    <t>크립토랩</t>
    <phoneticPr fontId="3" type="noConversion"/>
  </si>
  <si>
    <t>피글</t>
    <phoneticPr fontId="3" type="noConversion"/>
  </si>
  <si>
    <t>에스케이에코플랜트(구,에스케이건설)</t>
    <phoneticPr fontId="3" type="noConversion"/>
  </si>
  <si>
    <t>김영규</t>
    <phoneticPr fontId="3" type="noConversion"/>
  </si>
  <si>
    <t>에코올라이언스홀딩스 기초자산</t>
    <phoneticPr fontId="3" type="noConversion"/>
  </si>
  <si>
    <t>미래에셋자산운용</t>
    <phoneticPr fontId="3" type="noConversion"/>
  </si>
  <si>
    <t>Londian Wason New Energy Tech INC.(구,Shenzhen Londian Electrics Co., Ltd.)</t>
    <phoneticPr fontId="3" type="noConversion"/>
  </si>
  <si>
    <t>박유민담당</t>
    <phoneticPr fontId="3" type="noConversion"/>
  </si>
  <si>
    <t>02-3774-8244, 010-3012-1474</t>
    <phoneticPr fontId="3" type="noConversion"/>
  </si>
  <si>
    <t>pefpm20@miraeasset.com;pefpm@miraeasset.com</t>
    <phoneticPr fontId="3" type="noConversion"/>
  </si>
  <si>
    <t>Impossible Foods</t>
    <phoneticPr fontId="3" type="noConversion"/>
  </si>
  <si>
    <t>서울공항리무진</t>
    <phoneticPr fontId="3" type="noConversion"/>
  </si>
  <si>
    <t>아이엠엠크레딧앤솔루션</t>
    <phoneticPr fontId="3" type="noConversion"/>
  </si>
  <si>
    <t>케이티클라우드</t>
    <phoneticPr fontId="3" type="noConversion"/>
  </si>
  <si>
    <t>김소정상무</t>
    <phoneticPr fontId="3" type="noConversion"/>
  </si>
  <si>
    <t>02-2112-1807</t>
    <phoneticPr fontId="3" type="noConversion"/>
  </si>
  <si>
    <t>sjkim@immcs.co.kr</t>
    <phoneticPr fontId="3" type="noConversion"/>
  </si>
  <si>
    <t>유레카미드스트림프로젝트</t>
    <phoneticPr fontId="3" type="noConversion"/>
  </si>
  <si>
    <t>B07</t>
    <phoneticPr fontId="3" type="noConversion"/>
  </si>
  <si>
    <t>한국전력우리스프랏글로벌사모투자전문회사 기초자산</t>
    <phoneticPr fontId="3" type="noConversion"/>
  </si>
  <si>
    <t>미캘리포니아태양광프로젝트</t>
    <phoneticPr fontId="3" type="noConversion"/>
  </si>
  <si>
    <t>임희진이사</t>
    <phoneticPr fontId="3" type="noConversion"/>
  </si>
  <si>
    <t>02-310-9108,010-3847-4177</t>
    <phoneticPr fontId="3" type="noConversion"/>
  </si>
  <si>
    <t>[E]동양그룹</t>
    <phoneticPr fontId="3" type="noConversion"/>
  </si>
  <si>
    <t>선보공업</t>
    <phoneticPr fontId="3" type="noConversion"/>
  </si>
  <si>
    <t>선보하이텍</t>
    <phoneticPr fontId="3" type="noConversion"/>
  </si>
  <si>
    <t>카닥(구,카닥코퍼레이션)</t>
    <phoneticPr fontId="3" type="noConversion"/>
  </si>
  <si>
    <t>2024.06.30</t>
    <phoneticPr fontId="3" type="noConversion"/>
  </si>
  <si>
    <t>Tiki Global Pte.Ltd</t>
    <phoneticPr fontId="3" type="noConversion"/>
  </si>
  <si>
    <t>02-310-9108,010-3847-4177</t>
    <phoneticPr fontId="3" type="noConversion"/>
  </si>
  <si>
    <t>파스토</t>
    <phoneticPr fontId="3" type="noConversion"/>
  </si>
  <si>
    <t>Y2410V0027</t>
    <phoneticPr fontId="3" type="noConversion"/>
  </si>
  <si>
    <t>선보하이텍</t>
    <phoneticPr fontId="3" type="noConversion"/>
  </si>
  <si>
    <t>김영하</t>
    <phoneticPr fontId="3" type="noConversion"/>
  </si>
  <si>
    <t>케어링</t>
    <phoneticPr fontId="3" type="noConversion"/>
  </si>
  <si>
    <t>에스케이엔무브(구,에스케이루브리컨츠)</t>
    <phoneticPr fontId="3" type="noConversion"/>
  </si>
  <si>
    <t>주노2021</t>
    <phoneticPr fontId="3" type="noConversion"/>
  </si>
  <si>
    <t>이동우책임</t>
    <phoneticPr fontId="3" type="noConversion"/>
  </si>
  <si>
    <t>010-2240-9024</t>
    <phoneticPr fontId="3" type="noConversion"/>
  </si>
  <si>
    <t>dongwoo2.lee@daishin.com</t>
    <phoneticPr fontId="3" type="noConversion"/>
  </si>
  <si>
    <t>Y2410V0029</t>
    <phoneticPr fontId="3" type="noConversion"/>
  </si>
  <si>
    <t>디에스엡실론제1호</t>
    <phoneticPr fontId="3" type="noConversion"/>
  </si>
  <si>
    <t>포세이돈2022</t>
    <phoneticPr fontId="3" type="noConversion"/>
  </si>
  <si>
    <t>KT ES Pte. Ltd.</t>
    <phoneticPr fontId="3" type="noConversion"/>
  </si>
  <si>
    <t>KBP2022030076</t>
    <phoneticPr fontId="3" type="noConversion"/>
  </si>
  <si>
    <t>사모사채콜옵션 / 1차평가(2분기말 재무자료) : 2024-11-15(값, Backdata 제공) / 2차평가(3분기말 재무자료) : 2024-12-16(최종평가값, Backdata 제공) / 보고서, MRC제공일 : 2024-12-23</t>
    <phoneticPr fontId="3" type="noConversion"/>
  </si>
  <si>
    <t>SalioGen Therapeutics</t>
    <phoneticPr fontId="3" type="noConversion"/>
  </si>
  <si>
    <t>알지노믹스</t>
    <phoneticPr fontId="3" type="noConversion"/>
  </si>
  <si>
    <t>Sonde Health, Inc.</t>
    <phoneticPr fontId="3" type="noConversion"/>
  </si>
  <si>
    <t>Sail Biomedicines, Inc.(구,Senda Biosciences)</t>
    <phoneticPr fontId="3" type="noConversion"/>
  </si>
  <si>
    <t>AltPep Corporation</t>
    <phoneticPr fontId="3" type="noConversion"/>
  </si>
  <si>
    <t>파트너스글로벌헬스케어클로버펀드</t>
    <phoneticPr fontId="3" type="noConversion"/>
  </si>
  <si>
    <t>진캐스트</t>
    <phoneticPr fontId="3" type="noConversion"/>
  </si>
  <si>
    <t>포스트바이오</t>
    <phoneticPr fontId="3" type="noConversion"/>
  </si>
  <si>
    <t>Ring Therapeutics</t>
    <phoneticPr fontId="3" type="noConversion"/>
  </si>
  <si>
    <t>리플라</t>
    <phoneticPr fontId="3" type="noConversion"/>
  </si>
  <si>
    <t>비바리퍼블리카</t>
    <phoneticPr fontId="3" type="noConversion"/>
  </si>
  <si>
    <t>스카이테라퓨틱스</t>
    <phoneticPr fontId="3" type="noConversion"/>
  </si>
  <si>
    <t>오아</t>
    <phoneticPr fontId="3" type="noConversion"/>
  </si>
  <si>
    <t>에이유브랜즈</t>
    <phoneticPr fontId="3" type="noConversion"/>
  </si>
  <si>
    <t>라미쿠스</t>
    <phoneticPr fontId="3" type="noConversion"/>
  </si>
  <si>
    <t>박서경부장</t>
    <phoneticPr fontId="3" type="noConversion"/>
  </si>
  <si>
    <t>070-7549-2892</t>
    <phoneticPr fontId="3" type="noConversion"/>
  </si>
  <si>
    <t>skpark963@gmail.com</t>
    <phoneticPr fontId="3" type="noConversion"/>
  </si>
  <si>
    <t>케이뱅크(구,케이뱅크은행)</t>
    <phoneticPr fontId="3" type="noConversion"/>
  </si>
  <si>
    <t>다산솔루에타(구,솔루에타)(상장)</t>
    <phoneticPr fontId="3" type="noConversion"/>
  </si>
  <si>
    <t>다산솔루에타(구,솔루에타)</t>
    <phoneticPr fontId="3" type="noConversion"/>
  </si>
  <si>
    <t>박혜령과장, 송호정부장</t>
    <phoneticPr fontId="3" type="noConversion"/>
  </si>
  <si>
    <t>010-2388-1545, 031-728-6464, 010-9135-1622</t>
    <phoneticPr fontId="3" type="noConversion"/>
  </si>
  <si>
    <t>hyeryeong.park@solueta.com; hojeong.song@solueta.com</t>
    <phoneticPr fontId="3" type="noConversion"/>
  </si>
  <si>
    <t>2024.10.23</t>
    <phoneticPr fontId="3" type="noConversion"/>
  </si>
  <si>
    <t>Y2410J0042</t>
    <phoneticPr fontId="3" type="noConversion"/>
  </si>
  <si>
    <t>케이앤에스아이앤씨</t>
    <phoneticPr fontId="3" type="noConversion"/>
  </si>
  <si>
    <t>월</t>
    <phoneticPr fontId="3" type="noConversion"/>
  </si>
  <si>
    <t>이예울대리</t>
    <phoneticPr fontId="3" type="noConversion"/>
  </si>
  <si>
    <t>02-6915-5337</t>
    <phoneticPr fontId="3" type="noConversion"/>
  </si>
  <si>
    <t>디디에스</t>
    <phoneticPr fontId="3" type="noConversion"/>
  </si>
  <si>
    <t>최은오과장</t>
    <phoneticPr fontId="3" type="noConversion"/>
  </si>
  <si>
    <t>02-6353-7332</t>
    <phoneticPr fontId="3" type="noConversion"/>
  </si>
  <si>
    <t>eo.choi@welcomefund.co.kr</t>
    <phoneticPr fontId="3" type="noConversion"/>
  </si>
  <si>
    <t>Y2410A0020</t>
    <phoneticPr fontId="3" type="noConversion"/>
  </si>
  <si>
    <t>아이씨엠</t>
    <phoneticPr fontId="3" type="noConversion"/>
  </si>
  <si>
    <t>일리아스바이오로직스(구,셀렉스라이프사이언스)</t>
    <phoneticPr fontId="3" type="noConversion"/>
  </si>
  <si>
    <t>eo.choi@welcomefund.co.kr</t>
    <phoneticPr fontId="3" type="noConversion"/>
  </si>
  <si>
    <t>트위니</t>
    <phoneticPr fontId="3" type="noConversion"/>
  </si>
  <si>
    <t>2025.01.31</t>
    <phoneticPr fontId="3" type="noConversion"/>
  </si>
  <si>
    <t>대동</t>
    <phoneticPr fontId="3" type="noConversion"/>
  </si>
  <si>
    <t>박태우선임</t>
    <phoneticPr fontId="3" type="noConversion"/>
  </si>
  <si>
    <t>02-6915-5390</t>
    <phoneticPr fontId="3" type="noConversion"/>
  </si>
  <si>
    <t>sliding_had@ibks.com;lee3357320@ibks.com</t>
    <phoneticPr fontId="3" type="noConversion"/>
  </si>
  <si>
    <t>서울전자통신</t>
    <phoneticPr fontId="3" type="noConversion"/>
  </si>
  <si>
    <t>스마트레이더시스템</t>
    <phoneticPr fontId="3" type="noConversion"/>
  </si>
  <si>
    <t>루닛</t>
    <phoneticPr fontId="3" type="noConversion"/>
  </si>
  <si>
    <t>CMG제약</t>
    <phoneticPr fontId="3" type="noConversion"/>
  </si>
  <si>
    <t>심텍</t>
    <phoneticPr fontId="3" type="noConversion"/>
  </si>
  <si>
    <t>한주라이트메탈(구,한주금속)</t>
    <phoneticPr fontId="3" type="noConversion"/>
  </si>
  <si>
    <t>호텔신라</t>
    <phoneticPr fontId="3" type="noConversion"/>
  </si>
  <si>
    <t>농심</t>
    <phoneticPr fontId="3" type="noConversion"/>
  </si>
  <si>
    <t>2024.11.30</t>
    <phoneticPr fontId="3" type="noConversion"/>
  </si>
  <si>
    <t>루닛</t>
    <phoneticPr fontId="3" type="noConversion"/>
  </si>
  <si>
    <t>Epsilon Global Communications Pte. Ltd</t>
    <phoneticPr fontId="3" type="noConversion"/>
  </si>
  <si>
    <t>KBP2021090063</t>
    <phoneticPr fontId="3" type="noConversion"/>
  </si>
  <si>
    <t>디에스엡실론제1호&gt;KT ES Pte. Ltd.&gt;Epsilon(최종투자자산)</t>
    <phoneticPr fontId="3" type="noConversion"/>
  </si>
  <si>
    <t>만다린홀딩스</t>
    <phoneticPr fontId="3" type="noConversion"/>
  </si>
  <si>
    <t>전윤정선임</t>
    <phoneticPr fontId="3" type="noConversion"/>
  </si>
  <si>
    <t>02-769-3136, 010-3366-0463</t>
    <phoneticPr fontId="3" type="noConversion"/>
  </si>
  <si>
    <t>yunjeong.jeon@daishin.com</t>
    <phoneticPr fontId="3" type="noConversion"/>
  </si>
  <si>
    <t>Y2410V0032</t>
    <phoneticPr fontId="3" type="noConversion"/>
  </si>
  <si>
    <t>우정사업본부제출목적</t>
    <phoneticPr fontId="3" type="noConversion"/>
  </si>
  <si>
    <t>한화첨단소재</t>
    <phoneticPr fontId="3" type="noConversion"/>
  </si>
  <si>
    <t>에이치에이엠홀딩스-&gt;한화첨단소재 흡수합병</t>
    <phoneticPr fontId="3" type="noConversion"/>
  </si>
  <si>
    <t>카이로스이브이</t>
    <phoneticPr fontId="3" type="noConversion"/>
  </si>
  <si>
    <t>콘텐트리중앙(구,제이콘텐트리)</t>
    <phoneticPr fontId="3" type="noConversion"/>
  </si>
  <si>
    <t>용원건설(구,용원씨에스)</t>
    <phoneticPr fontId="3" type="noConversion"/>
  </si>
  <si>
    <t>정용준대리</t>
    <phoneticPr fontId="3" type="noConversion"/>
  </si>
  <si>
    <t>055-231-0701(340#)</t>
    <phoneticPr fontId="3" type="noConversion"/>
  </si>
  <si>
    <t>yjjeong@mhethanol.com</t>
    <phoneticPr fontId="3" type="noConversion"/>
  </si>
  <si>
    <t>Y2410J0040</t>
    <phoneticPr fontId="3" type="noConversion"/>
  </si>
  <si>
    <t>지리산산청샘물</t>
    <phoneticPr fontId="3" type="noConversion"/>
  </si>
  <si>
    <t>흥국생명보험</t>
    <phoneticPr fontId="3" type="noConversion"/>
  </si>
  <si>
    <t>김재호과장</t>
    <phoneticPr fontId="3" type="noConversion"/>
  </si>
  <si>
    <t>02-2229-6579</t>
    <phoneticPr fontId="3" type="noConversion"/>
  </si>
  <si>
    <t>dbkjh7@nhqy.com</t>
    <phoneticPr fontId="3" type="noConversion"/>
  </si>
  <si>
    <t>Y2410D0011</t>
    <phoneticPr fontId="3" type="noConversion"/>
  </si>
  <si>
    <t>기타</t>
    <phoneticPr fontId="3" type="noConversion"/>
  </si>
  <si>
    <t>이지스사모부동산자투자신탁43-2호</t>
    <phoneticPr fontId="3" type="noConversion"/>
  </si>
  <si>
    <t>김기진</t>
    <phoneticPr fontId="3" type="noConversion"/>
  </si>
  <si>
    <t>051-662-2203</t>
    <phoneticPr fontId="3" type="noConversion"/>
  </si>
  <si>
    <t>kjinkim@krx.co.kr</t>
    <phoneticPr fontId="3" type="noConversion"/>
  </si>
  <si>
    <t>Y2410I0007</t>
    <phoneticPr fontId="3" type="noConversion"/>
  </si>
  <si>
    <t>박태호</t>
    <phoneticPr fontId="3" type="noConversion"/>
  </si>
  <si>
    <t>한국투자프랑스오피스전문투자형사모부동산투자신탁(재간접형)</t>
    <phoneticPr fontId="3" type="noConversion"/>
  </si>
  <si>
    <t>멀티에셋해외부동산전문투자형사모투자신탁제6호제1종</t>
    <phoneticPr fontId="3" type="noConversion"/>
  </si>
  <si>
    <t>제이알일반사모부동산투자신탁제28호</t>
    <phoneticPr fontId="3" type="noConversion"/>
  </si>
  <si>
    <t>케이비와이즈스타제11호기업구조조정부동산투자회사</t>
    <phoneticPr fontId="3" type="noConversion"/>
  </si>
  <si>
    <t>B06</t>
    <phoneticPr fontId="3" type="noConversion"/>
  </si>
  <si>
    <t>황윤채과장</t>
    <phoneticPr fontId="3" type="noConversion"/>
  </si>
  <si>
    <t>02-6446-7170</t>
    <phoneticPr fontId="3" type="noConversion"/>
  </si>
  <si>
    <t>hyoon@wonik.com</t>
    <phoneticPr fontId="3" type="noConversion"/>
  </si>
  <si>
    <t>Y2410V0033</t>
    <phoneticPr fontId="3" type="noConversion"/>
  </si>
  <si>
    <t>그래핀스퀘어케미칼(구,바이오그래핀)</t>
    <phoneticPr fontId="3" type="noConversion"/>
  </si>
  <si>
    <t>다원메닥스</t>
    <phoneticPr fontId="3" type="noConversion"/>
  </si>
  <si>
    <t>바이오앱</t>
    <phoneticPr fontId="3" type="noConversion"/>
  </si>
  <si>
    <t>브레인커머스</t>
    <phoneticPr fontId="3" type="noConversion"/>
  </si>
  <si>
    <t>블로코</t>
    <phoneticPr fontId="3" type="noConversion"/>
  </si>
  <si>
    <t>성림첨단산업</t>
    <phoneticPr fontId="3" type="noConversion"/>
  </si>
  <si>
    <t>플렉시고</t>
    <phoneticPr fontId="3" type="noConversion"/>
  </si>
  <si>
    <t>유티씨인베스트먼트</t>
    <phoneticPr fontId="3" type="noConversion"/>
  </si>
  <si>
    <t>더화이트커뮤니케이션</t>
    <phoneticPr fontId="3" type="noConversion"/>
  </si>
  <si>
    <t>배재은팀장</t>
    <phoneticPr fontId="3" type="noConversion"/>
  </si>
  <si>
    <t>02-783-7566</t>
    <phoneticPr fontId="3" type="noConversion"/>
  </si>
  <si>
    <t>jaeeun@utc.co.kr</t>
    <phoneticPr fontId="3" type="noConversion"/>
  </si>
  <si>
    <t>Y2410V0030</t>
    <phoneticPr fontId="3" type="noConversion"/>
  </si>
  <si>
    <t>인플루엔셜</t>
    <phoneticPr fontId="3" type="noConversion"/>
  </si>
  <si>
    <t>크리에이츠</t>
    <phoneticPr fontId="3" type="noConversion"/>
  </si>
  <si>
    <t>사이프러스트리</t>
    <phoneticPr fontId="3" type="noConversion"/>
  </si>
  <si>
    <t>Traffix Group Inc.</t>
    <phoneticPr fontId="3" type="noConversion"/>
  </si>
  <si>
    <t>사이프러스트리 하위자산</t>
    <phoneticPr fontId="3" type="noConversion"/>
  </si>
  <si>
    <t>플랜에이치벤처스</t>
    <phoneticPr fontId="3" type="noConversion"/>
  </si>
  <si>
    <t>쎄슬프라이머스</t>
    <phoneticPr fontId="3" type="noConversion"/>
  </si>
  <si>
    <t>황인국책임매니저</t>
    <phoneticPr fontId="3" type="noConversion"/>
  </si>
  <si>
    <t>010-9868-1142,02-6177-1514</t>
    <phoneticPr fontId="3" type="noConversion"/>
  </si>
  <si>
    <t>nate@planhventures.co.kr</t>
    <phoneticPr fontId="3" type="noConversion"/>
  </si>
  <si>
    <t>Y2410V0034</t>
    <phoneticPr fontId="3" type="noConversion"/>
  </si>
  <si>
    <t>텐일레븐</t>
    <phoneticPr fontId="3" type="noConversion"/>
  </si>
  <si>
    <t>씨브이티</t>
    <phoneticPr fontId="3" type="noConversion"/>
  </si>
  <si>
    <t>지인플러스</t>
    <phoneticPr fontId="3" type="noConversion"/>
  </si>
  <si>
    <t>소프트런치</t>
    <phoneticPr fontId="3" type="noConversion"/>
  </si>
  <si>
    <t>제너레잇</t>
    <phoneticPr fontId="3" type="noConversion"/>
  </si>
  <si>
    <t>에이디</t>
    <phoneticPr fontId="3" type="noConversion"/>
  </si>
  <si>
    <t>비바이노베이션</t>
    <phoneticPr fontId="3" type="noConversion"/>
  </si>
  <si>
    <t>카무르제이호사모투자전문회사</t>
    <phoneticPr fontId="3" type="noConversion"/>
  </si>
  <si>
    <t xml:space="preserve">이용석팀장,황혜진주임 </t>
    <phoneticPr fontId="3" type="noConversion"/>
  </si>
  <si>
    <t xml:space="preserve">02-3709-8860,010-5155-7551,02-3709-8811,010-5260-2103 </t>
    <phoneticPr fontId="3" type="noConversion"/>
  </si>
  <si>
    <t xml:space="preserve">leeys@moorimcapital.co.kr; hyejin.h@moorimcapital.co.kr </t>
    <phoneticPr fontId="3" type="noConversion"/>
  </si>
  <si>
    <t>체크리스트 송부 : 2024-06-12, 보고서 연말 제공</t>
    <phoneticPr fontId="3" type="noConversion"/>
  </si>
  <si>
    <t>에이치알파사모투자전문회사(구,메디치2015의1사모투자전문회사)</t>
    <phoneticPr fontId="3" type="noConversion"/>
  </si>
  <si>
    <t>아레스사모투자</t>
    <phoneticPr fontId="3" type="noConversion"/>
  </si>
  <si>
    <t>퀸테사헤임달제삼호사모투자(구,퀸테사제삼호사모투자)</t>
    <phoneticPr fontId="3" type="noConversion"/>
  </si>
  <si>
    <t>무림캐피탈</t>
    <phoneticPr fontId="3" type="noConversion"/>
  </si>
  <si>
    <t>신한프랙시스케이그로쓰글로벌사모투자전문회사</t>
    <phoneticPr fontId="3" type="noConversion"/>
  </si>
  <si>
    <t>케이엘한주창업벤처전문사모투자</t>
    <phoneticPr fontId="3" type="noConversion"/>
  </si>
  <si>
    <t>아틸라인프라제2호사모투자</t>
    <phoneticPr fontId="3" type="noConversion"/>
  </si>
  <si>
    <t>라이언사모투자</t>
    <phoneticPr fontId="3" type="noConversion"/>
  </si>
  <si>
    <t>오라이언코스메틱사모투자</t>
    <phoneticPr fontId="3" type="noConversion"/>
  </si>
  <si>
    <t>유암코파인우드기업재무안정사모투자</t>
    <phoneticPr fontId="3" type="noConversion"/>
  </si>
  <si>
    <t>시냅틱헬스케어제1호사모투자</t>
    <phoneticPr fontId="3" type="noConversion"/>
  </si>
  <si>
    <t>레버런트프론티어2호창업벤처전문사모투자</t>
    <phoneticPr fontId="3" type="noConversion"/>
  </si>
  <si>
    <t>유진스마트모빌리티사모투자</t>
    <phoneticPr fontId="3" type="noConversion"/>
  </si>
  <si>
    <t>스마트헬스케어제1호사모투자</t>
    <phoneticPr fontId="3" type="noConversion"/>
  </si>
  <si>
    <t>스톤브릿지페이먼츠사모투자</t>
    <phoneticPr fontId="3" type="noConversion"/>
  </si>
  <si>
    <t>브이엘네른스트사모투자</t>
    <phoneticPr fontId="3" type="noConversion"/>
  </si>
  <si>
    <t>이앤에프밸리사모투자</t>
    <phoneticPr fontId="3" type="noConversion"/>
  </si>
  <si>
    <t>에이투파트너스라이노스제1호사모투자</t>
    <phoneticPr fontId="3" type="noConversion"/>
  </si>
  <si>
    <t>아르게스에이원창업벤처전문사모투자</t>
    <phoneticPr fontId="3" type="noConversion"/>
  </si>
  <si>
    <t>골든루트제1호사모투자</t>
    <phoneticPr fontId="3" type="noConversion"/>
  </si>
  <si>
    <t>이음제칠호사모투자</t>
    <phoneticPr fontId="3" type="noConversion"/>
  </si>
  <si>
    <t>한투노틱반도체제1호사모투자</t>
    <phoneticPr fontId="3" type="noConversion"/>
  </si>
  <si>
    <t>엔피성장제9호사모투자</t>
    <phoneticPr fontId="3" type="noConversion"/>
  </si>
  <si>
    <t>케이엘노르마창업벤처전문사모투자</t>
    <phoneticPr fontId="3" type="noConversion"/>
  </si>
  <si>
    <t>신한노틱제1호사모투자</t>
    <phoneticPr fontId="3" type="noConversion"/>
  </si>
  <si>
    <t>파라투스우리소부장사모투자</t>
    <phoneticPr fontId="3" type="noConversion"/>
  </si>
  <si>
    <t>마일스톤마젠타사모투자</t>
    <phoneticPr fontId="3" type="noConversion"/>
  </si>
  <si>
    <t>메타티비이에스지제일호사모투자</t>
    <phoneticPr fontId="3" type="noConversion"/>
  </si>
  <si>
    <t>티제이더블유제삼호사모투자</t>
    <phoneticPr fontId="3" type="noConversion"/>
  </si>
  <si>
    <t>르네사모투자</t>
    <phoneticPr fontId="3" type="noConversion"/>
  </si>
  <si>
    <t>브이엘가임사모투자</t>
    <phoneticPr fontId="3" type="noConversion"/>
  </si>
  <si>
    <t>대신에코에너지제1호사모투자</t>
    <phoneticPr fontId="3" type="noConversion"/>
  </si>
  <si>
    <t>재분배:조현우과장님 / 체크리스트 송부 : 2024-06-12, 보고서 연말 제공</t>
    <phoneticPr fontId="3" type="noConversion"/>
  </si>
  <si>
    <t>시냅틱그린소부장제1호사모투자</t>
    <phoneticPr fontId="3" type="noConversion"/>
  </si>
  <si>
    <t>오티엄그래비티사모투자</t>
    <phoneticPr fontId="3" type="noConversion"/>
  </si>
  <si>
    <t>아이젠2022제일호사모투자</t>
    <phoneticPr fontId="3" type="noConversion"/>
  </si>
  <si>
    <t>화인그린뉴딜제2호사모투자</t>
    <phoneticPr fontId="3" type="noConversion"/>
  </si>
  <si>
    <t>제이더블유앤닷디톡스사모투자</t>
    <phoneticPr fontId="3" type="noConversion"/>
  </si>
  <si>
    <t>어드밴스사모투자</t>
    <phoneticPr fontId="3" type="noConversion"/>
  </si>
  <si>
    <t>엘리베이션제5호사모투자</t>
    <phoneticPr fontId="3" type="noConversion"/>
  </si>
  <si>
    <t>큐리어스크레테기업재무안정기관전용사모투자</t>
    <phoneticPr fontId="3" type="noConversion"/>
  </si>
  <si>
    <t>노틱엔피제11호사모투자</t>
    <phoneticPr fontId="3" type="noConversion"/>
  </si>
  <si>
    <t>딥블루제3호사모투자</t>
    <phoneticPr fontId="3" type="noConversion"/>
  </si>
  <si>
    <t>제이앤릴슨하운드사모투자</t>
    <phoneticPr fontId="3" type="noConversion"/>
  </si>
  <si>
    <t>큐리어스칸기관전용사모투자</t>
    <phoneticPr fontId="3" type="noConversion"/>
  </si>
  <si>
    <t>제이앤솔라사모투자</t>
    <phoneticPr fontId="3" type="noConversion"/>
  </si>
  <si>
    <t>체크리스트송부 : 2024-07-10</t>
    <phoneticPr fontId="3" type="noConversion"/>
  </si>
  <si>
    <t>브이엘지글러제4차사모투자</t>
    <phoneticPr fontId="3" type="noConversion"/>
  </si>
  <si>
    <t>시스템알앤디</t>
    <phoneticPr fontId="3" type="noConversion"/>
  </si>
  <si>
    <t>무림캐피탈펀드(기초자산)</t>
    <phoneticPr fontId="3" type="noConversion"/>
  </si>
  <si>
    <t>블루버드</t>
    <phoneticPr fontId="3" type="noConversion"/>
  </si>
  <si>
    <t>티앤더블유코리아(구,토다이코리아)</t>
    <phoneticPr fontId="3" type="noConversion"/>
  </si>
  <si>
    <t>천호엔케어(구,천호식품)</t>
    <phoneticPr fontId="3" type="noConversion"/>
  </si>
  <si>
    <t>시크릿다이렉트코리아</t>
    <phoneticPr fontId="3" type="noConversion"/>
  </si>
  <si>
    <t>Green Cross Hong Kong Holdings Limited</t>
    <phoneticPr fontId="3" type="noConversion"/>
  </si>
  <si>
    <t>평가 불가(자료불충분)였으나 자료를 수취받아 평가가능 여부 검토 필요</t>
    <phoneticPr fontId="3" type="noConversion"/>
  </si>
  <si>
    <t>한주하이텍(구,한주반도체)</t>
    <phoneticPr fontId="3" type="noConversion"/>
  </si>
  <si>
    <t>제이티</t>
    <phoneticPr fontId="3" type="noConversion"/>
  </si>
  <si>
    <t>오라이언제이티투자목적회사</t>
    <phoneticPr fontId="3" type="noConversion"/>
  </si>
  <si>
    <t>SOCAR MOBILITY MALAYSIA</t>
    <phoneticPr fontId="3" type="noConversion"/>
  </si>
  <si>
    <t>삼덕개발</t>
    <phoneticPr fontId="3" type="noConversion"/>
  </si>
  <si>
    <t>디앤에이모터스(구.대림오토바이)</t>
    <phoneticPr fontId="3" type="noConversion"/>
  </si>
  <si>
    <t>워터매니지먼트코리아</t>
    <phoneticPr fontId="3" type="noConversion"/>
  </si>
  <si>
    <t>케이제이아이(구,국제환경산업)</t>
    <phoneticPr fontId="3" type="noConversion"/>
  </si>
  <si>
    <t>와이에스워터(구,유성화학)</t>
    <phoneticPr fontId="3" type="noConversion"/>
  </si>
  <si>
    <t>워터매니지먼트(구,선일종합수처리)</t>
    <phoneticPr fontId="3" type="noConversion"/>
  </si>
  <si>
    <t>세인이앤티</t>
    <phoneticPr fontId="3" type="noConversion"/>
  </si>
  <si>
    <t>상우케미칼(구,보승퓨켐)</t>
    <phoneticPr fontId="3" type="noConversion"/>
  </si>
  <si>
    <t>센트럴워터</t>
    <phoneticPr fontId="3" type="noConversion"/>
  </si>
  <si>
    <t>쎄닉</t>
    <phoneticPr fontId="3" type="noConversion"/>
  </si>
  <si>
    <t>아이지에이웍스</t>
    <phoneticPr fontId="3" type="noConversion"/>
  </si>
  <si>
    <t>해농</t>
    <phoneticPr fontId="3" type="noConversion"/>
  </si>
  <si>
    <t>엔피씨이에스</t>
    <phoneticPr fontId="3" type="noConversion"/>
  </si>
  <si>
    <t>에이아이오(구,디에이아이오)</t>
    <phoneticPr fontId="3" type="noConversion"/>
  </si>
  <si>
    <t>에스엠테크</t>
    <phoneticPr fontId="3" type="noConversion"/>
  </si>
  <si>
    <t>루메나</t>
    <phoneticPr fontId="3" type="noConversion"/>
  </si>
  <si>
    <t>유니젯</t>
    <phoneticPr fontId="3" type="noConversion"/>
  </si>
  <si>
    <t>루맥스에어로스페이스</t>
    <phoneticPr fontId="3" type="noConversion"/>
  </si>
  <si>
    <t>리온</t>
    <phoneticPr fontId="3" type="noConversion"/>
  </si>
  <si>
    <t>케이크</t>
    <phoneticPr fontId="3" type="noConversion"/>
  </si>
  <si>
    <t>호산테크</t>
    <phoneticPr fontId="3" type="noConversion"/>
  </si>
  <si>
    <t>비지에프에코솔루션</t>
    <phoneticPr fontId="3" type="noConversion"/>
  </si>
  <si>
    <t>원에스티</t>
    <phoneticPr fontId="3" type="noConversion"/>
  </si>
  <si>
    <t>노르마</t>
    <phoneticPr fontId="3" type="noConversion"/>
  </si>
  <si>
    <t>아이스올리</t>
    <phoneticPr fontId="3" type="noConversion"/>
  </si>
  <si>
    <t>하나더블유엘에스</t>
    <phoneticPr fontId="3" type="noConversion"/>
  </si>
  <si>
    <t>두현이엔씨</t>
    <phoneticPr fontId="3" type="noConversion"/>
  </si>
  <si>
    <t>번영환경개발</t>
    <phoneticPr fontId="3" type="noConversion"/>
  </si>
  <si>
    <t>지씨케어(구,녹십자헬스케어)</t>
    <phoneticPr fontId="3" type="noConversion"/>
  </si>
  <si>
    <t>청주여객터미널</t>
    <phoneticPr fontId="3" type="noConversion"/>
  </si>
  <si>
    <t>디에이치일렉트로닉스</t>
    <phoneticPr fontId="3" type="noConversion"/>
  </si>
  <si>
    <t>엠티코리아</t>
    <phoneticPr fontId="3" type="noConversion"/>
  </si>
  <si>
    <t>다이나맥</t>
    <phoneticPr fontId="3" type="noConversion"/>
  </si>
  <si>
    <t>웸코천안</t>
    <phoneticPr fontId="3" type="noConversion"/>
  </si>
  <si>
    <t>성우</t>
    <phoneticPr fontId="3" type="noConversion"/>
  </si>
  <si>
    <t>만전식품</t>
    <phoneticPr fontId="3" type="noConversion"/>
  </si>
  <si>
    <t>발맥스기술</t>
    <phoneticPr fontId="3" type="noConversion"/>
  </si>
  <si>
    <t>디더블유대원</t>
    <phoneticPr fontId="3" type="noConversion"/>
  </si>
  <si>
    <t>대원칸타빌</t>
    <phoneticPr fontId="3" type="noConversion"/>
  </si>
  <si>
    <t>서부청과</t>
    <phoneticPr fontId="3" type="noConversion"/>
  </si>
  <si>
    <t>솔브레인네트워크</t>
    <phoneticPr fontId="3" type="noConversion"/>
  </si>
  <si>
    <t>26년도 2분기 평가예정</t>
    <phoneticPr fontId="3" type="noConversion"/>
  </si>
  <si>
    <t>에이치디씨현대이피(구,에이치디씨현대산업개발)</t>
    <phoneticPr fontId="3" type="noConversion"/>
  </si>
  <si>
    <t>한주</t>
    <phoneticPr fontId="3" type="noConversion"/>
  </si>
  <si>
    <t>이화준매니저</t>
    <phoneticPr fontId="3" type="noConversion"/>
  </si>
  <si>
    <t>031-785-2783</t>
    <phoneticPr fontId="3" type="noConversion"/>
  </si>
  <si>
    <t>leehj2305@hdc-hyundaiep.com</t>
    <phoneticPr fontId="3" type="noConversion"/>
  </si>
  <si>
    <t>Y2410J0048</t>
    <phoneticPr fontId="3" type="noConversion"/>
  </si>
  <si>
    <t>몽골스카이하이퍼마켓</t>
    <phoneticPr fontId="3" type="noConversion"/>
  </si>
  <si>
    <t>이다희파트너</t>
    <phoneticPr fontId="3" type="noConversion"/>
  </si>
  <si>
    <t>02-2045-6141</t>
    <phoneticPr fontId="3" type="noConversion"/>
  </si>
  <si>
    <t>joy_mylife@emart.com</t>
    <phoneticPr fontId="3" type="noConversion"/>
  </si>
  <si>
    <t>Y2410J0032</t>
    <phoneticPr fontId="3" type="noConversion"/>
  </si>
  <si>
    <t>프로큐라티오</t>
    <phoneticPr fontId="3" type="noConversion"/>
  </si>
  <si>
    <t>02-828-0225</t>
    <phoneticPr fontId="3" type="noConversion"/>
  </si>
  <si>
    <t>1tmddh@yuhan.co.kr</t>
    <phoneticPr fontId="3" type="noConversion"/>
  </si>
  <si>
    <t>공정가치평가</t>
    <phoneticPr fontId="3" type="noConversion"/>
  </si>
  <si>
    <t>휴이노에임</t>
    <phoneticPr fontId="3" type="noConversion"/>
  </si>
  <si>
    <t>지엔티파마</t>
    <phoneticPr fontId="3" type="noConversion"/>
  </si>
  <si>
    <t>온코마스터</t>
    <phoneticPr fontId="3" type="noConversion"/>
  </si>
  <si>
    <t>에이인비</t>
    <phoneticPr fontId="3" type="noConversion"/>
  </si>
  <si>
    <t>바임</t>
    <phoneticPr fontId="3" type="noConversion"/>
  </si>
  <si>
    <t>라디언트홀딩스 하위자산</t>
    <phoneticPr fontId="3" type="noConversion"/>
  </si>
  <si>
    <t>프라임모뉴먼트 하위자산</t>
    <phoneticPr fontId="3" type="noConversion"/>
  </si>
  <si>
    <t>아벨로스테라퓨틱스</t>
    <phoneticPr fontId="3" type="noConversion"/>
  </si>
  <si>
    <t>엑소퍼트</t>
    <phoneticPr fontId="3" type="noConversion"/>
  </si>
  <si>
    <t>Y000492</t>
    <phoneticPr fontId="3" type="noConversion"/>
  </si>
  <si>
    <t>흥국화재해상보험</t>
    <phoneticPr fontId="3" type="noConversion"/>
  </si>
  <si>
    <t>대구황금동주상복합PF</t>
    <phoneticPr fontId="3" type="noConversion"/>
  </si>
  <si>
    <t>H02</t>
    <phoneticPr fontId="3" type="noConversion"/>
  </si>
  <si>
    <t>유경민과장</t>
    <phoneticPr fontId="3" type="noConversion"/>
  </si>
  <si>
    <t>02-2002-6833</t>
    <phoneticPr fontId="3" type="noConversion"/>
  </si>
  <si>
    <t>작성여부협의</t>
    <phoneticPr fontId="3" type="noConversion"/>
  </si>
  <si>
    <t>자이에스앤디</t>
    <phoneticPr fontId="3" type="noConversion"/>
  </si>
  <si>
    <t>알링크</t>
    <phoneticPr fontId="3" type="noConversion"/>
  </si>
  <si>
    <t>송지훈전임</t>
    <phoneticPr fontId="3" type="noConversion"/>
  </si>
  <si>
    <t>02-6910-7028</t>
    <phoneticPr fontId="3" type="noConversion"/>
  </si>
  <si>
    <t>sjh6423@xisnd.com</t>
    <phoneticPr fontId="3" type="noConversion"/>
  </si>
  <si>
    <t>Y2410J0047</t>
    <phoneticPr fontId="3" type="noConversion"/>
  </si>
  <si>
    <t>현대아산태양광발전</t>
    <phoneticPr fontId="3" type="noConversion"/>
  </si>
  <si>
    <t>윤수영책임, 한민지책임</t>
    <phoneticPr fontId="3" type="noConversion"/>
  </si>
  <si>
    <t>010-6292-7163, 010-4250-5035</t>
    <phoneticPr fontId="3" type="noConversion"/>
  </si>
  <si>
    <t>sy.yun@hyundai-autoever.com;mjhan@hyundai-autoever.com</t>
    <phoneticPr fontId="3" type="noConversion"/>
  </si>
  <si>
    <t>Y2410J0049</t>
    <phoneticPr fontId="3" type="noConversion"/>
  </si>
  <si>
    <t>11월 말 재무제표로 평가 요청</t>
    <phoneticPr fontId="3" type="noConversion"/>
  </si>
  <si>
    <t>모토닉</t>
    <phoneticPr fontId="3" type="noConversion"/>
  </si>
  <si>
    <t>채널에이</t>
    <phoneticPr fontId="3" type="noConversion"/>
  </si>
  <si>
    <t>배슬기과장</t>
    <phoneticPr fontId="3" type="noConversion"/>
  </si>
  <si>
    <t>053-589-6210</t>
    <phoneticPr fontId="3" type="noConversion"/>
  </si>
  <si>
    <t>freesapi@motonic.com</t>
    <phoneticPr fontId="3" type="noConversion"/>
  </si>
  <si>
    <t>Y2410J0056</t>
    <phoneticPr fontId="3" type="noConversion"/>
  </si>
  <si>
    <t>오티디코퍼레이션</t>
    <phoneticPr fontId="3" type="noConversion"/>
  </si>
  <si>
    <t>박혜선차장</t>
    <phoneticPr fontId="3" type="noConversion"/>
  </si>
  <si>
    <t>02-560-9771</t>
    <phoneticPr fontId="3" type="noConversion"/>
  </si>
  <si>
    <t>hsp0418@shinhanvc.com;suhyung@shinhanvc.com;yeji.lee@shinhanvc.com</t>
    <phoneticPr fontId="3" type="noConversion"/>
  </si>
  <si>
    <t>박혜선차장</t>
    <phoneticPr fontId="3" type="noConversion"/>
  </si>
  <si>
    <t>네오스페스</t>
    <phoneticPr fontId="3" type="noConversion"/>
  </si>
  <si>
    <t>신한벤처투자(구,네오플럭스)</t>
    <phoneticPr fontId="3" type="noConversion"/>
  </si>
  <si>
    <t>케플러밸류파트너스</t>
    <phoneticPr fontId="3" type="noConversion"/>
  </si>
  <si>
    <t>삼성글로벌리서치(구,삼성경제연구소)</t>
    <phoneticPr fontId="3" type="noConversion"/>
  </si>
  <si>
    <t>박찬별프로</t>
    <phoneticPr fontId="3" type="noConversion"/>
  </si>
  <si>
    <t>031-5171-6147, 010-9020-5953</t>
    <phoneticPr fontId="3" type="noConversion"/>
  </si>
  <si>
    <t>byeol2.park@samsung.com</t>
  </si>
  <si>
    <t>Y2410J0060</t>
    <phoneticPr fontId="3" type="noConversion"/>
  </si>
  <si>
    <t>삼성벤처투자</t>
    <phoneticPr fontId="3" type="noConversion"/>
  </si>
  <si>
    <t>코리아세븐</t>
    <phoneticPr fontId="3" type="noConversion"/>
  </si>
  <si>
    <t>지에스네트웍스</t>
    <phoneticPr fontId="3" type="noConversion"/>
  </si>
  <si>
    <t>강동진팀장,정선화대리</t>
    <phoneticPr fontId="3" type="noConversion"/>
  </si>
  <si>
    <t>02-3284-8200, 02-3284-8205</t>
    <phoneticPr fontId="3" type="noConversion"/>
  </si>
  <si>
    <t>dongjin.kang@lotte.net; sunhwa.jung@lotte.net</t>
    <phoneticPr fontId="3" type="noConversion"/>
  </si>
  <si>
    <t>Y2410J0064</t>
    <phoneticPr fontId="3" type="noConversion"/>
  </si>
  <si>
    <t>[A롯데</t>
    <phoneticPr fontId="3" type="noConversion"/>
  </si>
  <si>
    <t>A000046</t>
  </si>
  <si>
    <t>롯데멤버스</t>
  </si>
  <si>
    <t>모비두</t>
    <phoneticPr fontId="3" type="noConversion"/>
  </si>
  <si>
    <t>박상현팀장, 송다훈매니저</t>
    <phoneticPr fontId="3" type="noConversion"/>
  </si>
  <si>
    <t>02-2030-9641, 02-2030-9642</t>
    <phoneticPr fontId="3" type="noConversion"/>
  </si>
  <si>
    <t>sanghyun-park70@lotte.net; dahun.song@lotte.net</t>
    <phoneticPr fontId="3" type="noConversion"/>
  </si>
  <si>
    <t>Y2410J0065</t>
    <phoneticPr fontId="3" type="noConversion"/>
  </si>
  <si>
    <t>롯데홈쇼핑(구,우리홈쇼핑)</t>
  </si>
  <si>
    <t>어댑트</t>
  </si>
  <si>
    <t>송승혁매니저, 이재영</t>
    <phoneticPr fontId="3" type="noConversion"/>
  </si>
  <si>
    <t>02-2168-5176, 02-2168-5150</t>
    <phoneticPr fontId="3" type="noConversion"/>
  </si>
  <si>
    <t>ssh810@lotte.net;j.y.lee@lotte.net</t>
    <phoneticPr fontId="3" type="noConversion"/>
  </si>
  <si>
    <t>최종보고서 : 2025-01-15</t>
    <phoneticPr fontId="3" type="noConversion"/>
  </si>
  <si>
    <t>IMMGrowth벤처펀드제1호</t>
  </si>
  <si>
    <t>KBP2021120155</t>
  </si>
  <si>
    <t>롯데사내벤처펀드1호</t>
  </si>
  <si>
    <t>KBP2024110006</t>
  </si>
  <si>
    <t>롯데홈쇼핑이노베이션펀드1호</t>
  </si>
  <si>
    <t>KBP2024110007</t>
  </si>
  <si>
    <t>케이씨-케이콘텐츠투자조합</t>
  </si>
  <si>
    <t>KBP2024110008</t>
  </si>
  <si>
    <t>롯데물산(수익증권)</t>
    <phoneticPr fontId="3" type="noConversion"/>
  </si>
  <si>
    <t>베스타스전문투자형사모부동산투자신탁제64호1종</t>
    <phoneticPr fontId="3" type="noConversion"/>
  </si>
  <si>
    <t>KBP2021120009</t>
  </si>
  <si>
    <t>임혁팀장, 정민화사원</t>
    <phoneticPr fontId="3" type="noConversion"/>
  </si>
  <si>
    <t>02-3213-5109, 02-3213-5302</t>
    <phoneticPr fontId="3" type="noConversion"/>
  </si>
  <si>
    <t>hyukyim@lotte.net;minhwachung@lotte.net</t>
    <phoneticPr fontId="3" type="noConversion"/>
  </si>
  <si>
    <t>Y2410J0062</t>
    <phoneticPr fontId="3" type="noConversion"/>
  </si>
  <si>
    <t>케이원제15호판교위탁관리부동산투자회사</t>
    <phoneticPr fontId="3" type="noConversion"/>
  </si>
  <si>
    <t>케이원제23호역삼위탁관리부동산투자회사</t>
    <phoneticPr fontId="3" type="noConversion"/>
  </si>
  <si>
    <t>케펠전문투자형사모부동산투자신탁제5호</t>
    <phoneticPr fontId="3" type="noConversion"/>
  </si>
  <si>
    <t>KBP2021060062</t>
  </si>
  <si>
    <t>코람코지속성장오피스제1의1호위탁관리자부동산투자회사</t>
    <phoneticPr fontId="3" type="noConversion"/>
  </si>
  <si>
    <t>코크렙제36호위탁관리부동산투자회사</t>
    <phoneticPr fontId="3" type="noConversion"/>
  </si>
  <si>
    <t>코크렙제47호위탁관리부동산투자회사</t>
    <phoneticPr fontId="3" type="noConversion"/>
  </si>
  <si>
    <t>코람코가치투자제4의6호위탁관리자부동산투자회사</t>
  </si>
  <si>
    <t>Y000040</t>
  </si>
  <si>
    <t>미래에셋벤처투자</t>
    <phoneticPr fontId="3" type="noConversion"/>
  </si>
  <si>
    <t>더굿시스템</t>
  </si>
  <si>
    <t>A04</t>
  </si>
  <si>
    <t>김주희매니저</t>
    <phoneticPr fontId="3" type="noConversion"/>
  </si>
  <si>
    <t>02-6205-2640</t>
    <phoneticPr fontId="3" type="noConversion"/>
  </si>
  <si>
    <t>juhee@miraeasset.com</t>
    <phoneticPr fontId="3" type="noConversion"/>
  </si>
  <si>
    <t>Y2410I0008</t>
    <phoneticPr fontId="3" type="noConversion"/>
  </si>
  <si>
    <t>포스크리에이티브파티</t>
  </si>
  <si>
    <t>네메시스</t>
  </si>
  <si>
    <t>최정배</t>
    <phoneticPr fontId="3" type="noConversion"/>
  </si>
  <si>
    <t>바로팜</t>
  </si>
  <si>
    <t>A01</t>
  </si>
  <si>
    <t>Cohere, Inc.</t>
  </si>
  <si>
    <t>KBP2024060048</t>
  </si>
  <si>
    <t>A05</t>
  </si>
  <si>
    <t>파트리지시스템즈</t>
  </si>
  <si>
    <t>레드랩게임즈</t>
  </si>
  <si>
    <t>언박서즈</t>
  </si>
  <si>
    <t>크리모</t>
  </si>
  <si>
    <t>Septerna, Inc.</t>
  </si>
  <si>
    <t>KBP2024030028</t>
  </si>
  <si>
    <t>이노레이</t>
  </si>
  <si>
    <t>피스피스스튜디오</t>
  </si>
  <si>
    <t>스카이칩스</t>
  </si>
  <si>
    <t>Aquabyte, Inc.</t>
  </si>
  <si>
    <t>KBP2024110009</t>
  </si>
  <si>
    <t>Contoro Inc.</t>
  </si>
  <si>
    <t>KBP2024110010</t>
    <phoneticPr fontId="3" type="noConversion"/>
  </si>
  <si>
    <t>Foundry Technologies, Inc.</t>
  </si>
  <si>
    <t>KBP2024110011</t>
    <phoneticPr fontId="3" type="noConversion"/>
  </si>
  <si>
    <t>Bria Artificial Intelligence</t>
  </si>
  <si>
    <t>KBP2023120161</t>
  </si>
  <si>
    <t>씨엠티엑스(구,코마테크놀로지)</t>
  </si>
  <si>
    <t>이진주</t>
  </si>
  <si>
    <t>이공이공</t>
  </si>
  <si>
    <t>큐심플러스</t>
  </si>
  <si>
    <t>오렌지스퀘어(구,벨소프트)</t>
  </si>
  <si>
    <t>Accent Therapeutics, Inc.</t>
  </si>
  <si>
    <t>KBP2024110012</t>
    <phoneticPr fontId="3" type="noConversion"/>
  </si>
  <si>
    <t>네오위즈</t>
  </si>
  <si>
    <t>신규</t>
    <phoneticPr fontId="3" type="noConversion"/>
  </si>
  <si>
    <t>제이앤존</t>
  </si>
  <si>
    <t>A07</t>
  </si>
  <si>
    <t>-</t>
    <phoneticPr fontId="3" type="noConversion"/>
  </si>
  <si>
    <t>연말</t>
    <phoneticPr fontId="3" type="noConversion"/>
  </si>
  <si>
    <t xml:space="preserve">네오위즈재무실회계2팀양민우팀장 </t>
  </si>
  <si>
    <t xml:space="preserve">031-8023-7545 </t>
  </si>
  <si>
    <t xml:space="preserve">mwyang@neowiz.com </t>
    <phoneticPr fontId="3" type="noConversion"/>
  </si>
  <si>
    <t>-</t>
    <phoneticPr fontId="3" type="noConversion"/>
  </si>
  <si>
    <t>2024.09.30</t>
    <phoneticPr fontId="3" type="noConversion"/>
  </si>
  <si>
    <t>Y2410J0058</t>
  </si>
  <si>
    <t>[X]일반기업</t>
    <phoneticPr fontId="3" type="noConversion"/>
  </si>
  <si>
    <t>최수민</t>
    <phoneticPr fontId="3" type="noConversion"/>
  </si>
  <si>
    <t>신규</t>
    <phoneticPr fontId="3" type="noConversion"/>
  </si>
  <si>
    <t>서동현</t>
    <phoneticPr fontId="3" type="noConversion"/>
  </si>
  <si>
    <t>개별종목</t>
    <phoneticPr fontId="3" type="noConversion"/>
  </si>
  <si>
    <t>T000102</t>
  </si>
  <si>
    <t>네오위즈(수익증권)</t>
  </si>
  <si>
    <t>재평가</t>
    <phoneticPr fontId="3" type="noConversion"/>
  </si>
  <si>
    <t>파인밸류PreIPO10호일반사모투자신탁</t>
    <phoneticPr fontId="3" type="noConversion"/>
  </si>
  <si>
    <t>KBP2022110017</t>
  </si>
  <si>
    <t>B02</t>
    <phoneticPr fontId="3" type="noConversion"/>
  </si>
  <si>
    <t>[T]기타보험기관[1본부]</t>
    <phoneticPr fontId="3" type="noConversion"/>
  </si>
  <si>
    <t>대체평가3사업본부</t>
    <phoneticPr fontId="3" type="noConversion"/>
  </si>
  <si>
    <t>대체평가3사업본부</t>
    <phoneticPr fontId="3" type="noConversion"/>
  </si>
  <si>
    <t>타임폴리오코스닥벤처THEUNIQUE대체투자2호(종류C-I)</t>
    <phoneticPr fontId="3" type="noConversion"/>
  </si>
  <si>
    <t>KBP2021110035</t>
  </si>
  <si>
    <t>스마트대한민국라구나비대면펀드제4호</t>
    <phoneticPr fontId="3" type="noConversion"/>
  </si>
  <si>
    <t>KBP2022110018</t>
  </si>
  <si>
    <t>B01</t>
    <phoneticPr fontId="3" type="noConversion"/>
  </si>
  <si>
    <t>조현우</t>
    <phoneticPr fontId="3" type="noConversion"/>
  </si>
  <si>
    <t>크레이지마인드</t>
    <phoneticPr fontId="3" type="noConversion"/>
  </si>
  <si>
    <t>KBP2024110013</t>
  </si>
  <si>
    <t>Hashed Emergent Fund VCC</t>
  </si>
  <si>
    <t>KBP2024110014</t>
    <phoneticPr fontId="3" type="noConversion"/>
  </si>
  <si>
    <t>REPUBLIC ASIA ECOSYSTEM FUND</t>
  </si>
  <si>
    <t>KBP2024110015</t>
    <phoneticPr fontId="3" type="noConversion"/>
  </si>
  <si>
    <t>1Up Ventures Fund II</t>
  </si>
  <si>
    <t>KBP2024110016</t>
    <phoneticPr fontId="3" type="noConversion"/>
  </si>
  <si>
    <t>GFT VENTURES I</t>
  </si>
  <si>
    <t>KBP2024110017</t>
    <phoneticPr fontId="3" type="noConversion"/>
  </si>
  <si>
    <t>케이제이앤오픈워터K-문화상생투자조합</t>
  </si>
  <si>
    <t>KBP2024110018</t>
    <phoneticPr fontId="3" type="noConversion"/>
  </si>
  <si>
    <t>X001552</t>
  </si>
  <si>
    <t>네오위즈파트너스</t>
  </si>
  <si>
    <t>오케스트라프라이빗에쿼티제4호사모투자</t>
  </si>
  <si>
    <t>김혜지</t>
    <phoneticPr fontId="3" type="noConversion"/>
  </si>
  <si>
    <t>스톤브릿지티케브릿징사모투자</t>
  </si>
  <si>
    <t>이찬희</t>
  </si>
  <si>
    <t>베이스메트로놈1호벤처투자조합</t>
  </si>
  <si>
    <t>KBP2024110019</t>
    <phoneticPr fontId="3" type="noConversion"/>
  </si>
  <si>
    <t>제이앤제1호사모투자</t>
    <phoneticPr fontId="3" type="noConversion"/>
  </si>
  <si>
    <t>윤광일</t>
    <phoneticPr fontId="3" type="noConversion"/>
  </si>
  <si>
    <t>비전프로젝트타임트리전문투자형사모투자신탁제1호S</t>
    <phoneticPr fontId="3" type="noConversion"/>
  </si>
  <si>
    <t>KBP2019110010</t>
  </si>
  <si>
    <t>마스턴KB전문투자형사모부동산투자신탁제64호제1종</t>
    <phoneticPr fontId="3" type="noConversion"/>
  </si>
  <si>
    <t>아이엠엠씨에스케이티씨펀드</t>
    <phoneticPr fontId="3" type="noConversion"/>
  </si>
  <si>
    <t>KBP2024110020</t>
    <phoneticPr fontId="3" type="noConversion"/>
  </si>
  <si>
    <t>브이엠베스트하이일드일반사모투자신탁</t>
  </si>
  <si>
    <t>KBP2024110021</t>
    <phoneticPr fontId="3" type="noConversion"/>
  </si>
  <si>
    <t>B06</t>
    <phoneticPr fontId="3" type="noConversion"/>
  </si>
  <si>
    <t>김수현</t>
    <phoneticPr fontId="3" type="noConversion"/>
  </si>
  <si>
    <t>엔에이치투자증권(DLS)</t>
    <phoneticPr fontId="3" type="noConversion"/>
  </si>
  <si>
    <t>D06</t>
    <phoneticPr fontId="3" type="noConversion"/>
  </si>
  <si>
    <t>데일리임파워링바이오헬스케어펀드3호</t>
  </si>
  <si>
    <t>KBP2019110014</t>
  </si>
  <si>
    <t>아이엠엠세컨더리펀드</t>
    <phoneticPr fontId="3" type="noConversion"/>
  </si>
  <si>
    <t>KBP2024110022</t>
    <phoneticPr fontId="3" type="noConversion"/>
  </si>
  <si>
    <t>소다크루</t>
  </si>
  <si>
    <t>서동현</t>
    <phoneticPr fontId="3" type="noConversion"/>
  </si>
  <si>
    <t>피치스그룹코리아</t>
  </si>
  <si>
    <t>A01</t>
    <phoneticPr fontId="3" type="noConversion"/>
  </si>
  <si>
    <t>이상민</t>
    <phoneticPr fontId="3" type="noConversion"/>
  </si>
  <si>
    <t>A07</t>
    <phoneticPr fontId="3" type="noConversion"/>
  </si>
  <si>
    <t>아이디아이디</t>
    <phoneticPr fontId="3" type="noConversion"/>
  </si>
  <si>
    <t>IBK투자증권(IPO2팀)</t>
    <phoneticPr fontId="3" type="noConversion"/>
  </si>
  <si>
    <t>타조엔터테인먼트</t>
    <phoneticPr fontId="3" type="noConversion"/>
  </si>
  <si>
    <t>표경림선임</t>
    <phoneticPr fontId="3" type="noConversion"/>
  </si>
  <si>
    <t>02-6915-5574</t>
    <phoneticPr fontId="3" type="noConversion"/>
  </si>
  <si>
    <t>lana9959@ibks.com</t>
    <phoneticPr fontId="3" type="noConversion"/>
  </si>
  <si>
    <t>Y2411D0001</t>
    <phoneticPr fontId="3" type="noConversion"/>
  </si>
  <si>
    <t>미래나노텍</t>
    <phoneticPr fontId="3" type="noConversion"/>
  </si>
  <si>
    <t>레드엔비아(구,티와이레드)</t>
    <phoneticPr fontId="3" type="noConversion"/>
  </si>
  <si>
    <t xml:space="preserve">경초현프로 </t>
    <phoneticPr fontId="3" type="noConversion"/>
  </si>
  <si>
    <t xml:space="preserve">043-710-1550, 010-8842-5265 </t>
    <phoneticPr fontId="3" type="noConversion"/>
  </si>
  <si>
    <t xml:space="preserve">chkyung@mntech.co.kr </t>
  </si>
  <si>
    <t>Y2411J0004</t>
  </si>
  <si>
    <t>애스톤사이언스</t>
    <phoneticPr fontId="3" type="noConversion"/>
  </si>
  <si>
    <t>에스테팜</t>
    <phoneticPr fontId="3" type="noConversion"/>
  </si>
  <si>
    <t>에이피트바이오</t>
    <phoneticPr fontId="3" type="noConversion"/>
  </si>
  <si>
    <t>여재현</t>
    <phoneticPr fontId="3" type="noConversion"/>
  </si>
  <si>
    <t>코아시아넥셀(구,넥셀)</t>
    <phoneticPr fontId="3" type="noConversion"/>
  </si>
  <si>
    <t>프로엔테라퓨틱스</t>
    <phoneticPr fontId="3" type="noConversion"/>
  </si>
  <si>
    <t>TCC스틸</t>
    <phoneticPr fontId="3" type="noConversion"/>
  </si>
  <si>
    <t>오제이씨(구,원정제관)</t>
    <phoneticPr fontId="3" type="noConversion"/>
  </si>
  <si>
    <t>최용준책임</t>
    <phoneticPr fontId="3" type="noConversion"/>
  </si>
  <si>
    <t>010-6761-3190</t>
    <phoneticPr fontId="3" type="noConversion"/>
  </si>
  <si>
    <t>emilio@tccsteel.com</t>
    <phoneticPr fontId="3" type="noConversion"/>
  </si>
  <si>
    <t>Y2411J0002</t>
  </si>
  <si>
    <t>조선방송</t>
    <phoneticPr fontId="3" type="noConversion"/>
  </si>
  <si>
    <t>오제이씨커머스</t>
    <phoneticPr fontId="3" type="noConversion"/>
  </si>
  <si>
    <t>원알로이</t>
    <phoneticPr fontId="3" type="noConversion"/>
  </si>
  <si>
    <t>우노메탈</t>
    <phoneticPr fontId="3" type="noConversion"/>
  </si>
  <si>
    <t>자료요청 RM</t>
    <phoneticPr fontId="3" type="noConversion"/>
  </si>
  <si>
    <t>결과보고서송부 RM</t>
    <phoneticPr fontId="3" type="noConversion"/>
  </si>
  <si>
    <t>서경덕</t>
    <phoneticPr fontId="3" type="noConversion"/>
  </si>
  <si>
    <t>DRAFT보고서 : 2024-11-20</t>
    <phoneticPr fontId="3" type="noConversion"/>
  </si>
  <si>
    <t>최수민</t>
    <phoneticPr fontId="3" type="noConversion"/>
  </si>
  <si>
    <t>이상민</t>
    <phoneticPr fontId="3" type="noConversion"/>
  </si>
  <si>
    <t>서경덕</t>
    <phoneticPr fontId="3" type="noConversion"/>
  </si>
  <si>
    <t>서경덕</t>
    <phoneticPr fontId="3" type="noConversion"/>
  </si>
  <si>
    <t>원정우</t>
    <phoneticPr fontId="3" type="noConversion"/>
  </si>
  <si>
    <t>연합뉴스 추가공수 3.0</t>
    <phoneticPr fontId="3" type="noConversion"/>
  </si>
  <si>
    <t>최수민</t>
    <phoneticPr fontId="3" type="noConversion"/>
  </si>
  <si>
    <t>정재형</t>
    <phoneticPr fontId="3" type="noConversion"/>
  </si>
  <si>
    <t>변혜진</t>
    <phoneticPr fontId="3" type="noConversion"/>
  </si>
  <si>
    <t>오영석</t>
    <phoneticPr fontId="3" type="noConversion"/>
  </si>
  <si>
    <t>기관코드</t>
    <phoneticPr fontId="3" type="noConversion"/>
  </si>
  <si>
    <t>평가의뢰기관</t>
    <phoneticPr fontId="3" type="noConversion"/>
  </si>
  <si>
    <t>주기</t>
    <phoneticPr fontId="3" type="noConversion"/>
  </si>
  <si>
    <t>결과보고서송부</t>
    <phoneticPr fontId="3" type="noConversion"/>
  </si>
  <si>
    <t>분기</t>
    <phoneticPr fontId="3" type="noConversion"/>
  </si>
  <si>
    <t>담당자</t>
    <phoneticPr fontId="3" type="noConversion"/>
  </si>
  <si>
    <t>전체 고객사</t>
    <phoneticPr fontId="3" type="noConversion"/>
  </si>
  <si>
    <t>당기 고객사</t>
    <phoneticPr fontId="3" type="noConversion"/>
  </si>
  <si>
    <t>종목수</t>
    <phoneticPr fontId="3" type="noConversion"/>
  </si>
  <si>
    <t>퇴사자</t>
    <phoneticPr fontId="3" type="noConversion"/>
  </si>
  <si>
    <t>김영규</t>
    <phoneticPr fontId="3" type="noConversion"/>
  </si>
  <si>
    <t>원철</t>
    <phoneticPr fontId="3" type="noConversion"/>
  </si>
  <si>
    <t>유재호</t>
    <phoneticPr fontId="3" type="noConversion"/>
  </si>
  <si>
    <t>조영재</t>
    <phoneticPr fontId="3" type="noConversion"/>
  </si>
  <si>
    <t>김범준</t>
    <phoneticPr fontId="3" type="noConversion"/>
  </si>
  <si>
    <t>서동현</t>
    <phoneticPr fontId="3" type="noConversion"/>
  </si>
  <si>
    <t>문주현</t>
    <phoneticPr fontId="3" type="noConversion"/>
  </si>
  <si>
    <t>미정</t>
    <phoneticPr fontId="3" type="noConversion"/>
  </si>
  <si>
    <t>오수현</t>
    <phoneticPr fontId="3" type="noConversion"/>
  </si>
  <si>
    <t>김상준</t>
    <phoneticPr fontId="3" type="noConversion"/>
  </si>
  <si>
    <t>백형진</t>
    <phoneticPr fontId="3" type="noConversion"/>
  </si>
  <si>
    <t>박솔민</t>
    <phoneticPr fontId="3" type="noConversion"/>
  </si>
  <si>
    <t>신원준</t>
    <phoneticPr fontId="3" type="noConversion"/>
  </si>
  <si>
    <t>박예진</t>
    <phoneticPr fontId="3" type="noConversion"/>
  </si>
  <si>
    <t>원정우</t>
    <phoneticPr fontId="3" type="noConversion"/>
  </si>
  <si>
    <t>이찬희</t>
    <phoneticPr fontId="3" type="noConversion"/>
  </si>
  <si>
    <t>메자닌평가팀</t>
    <phoneticPr fontId="3" type="noConversion"/>
  </si>
  <si>
    <t>윤광일</t>
    <phoneticPr fontId="3" type="noConversion"/>
  </si>
  <si>
    <t>정병열</t>
    <phoneticPr fontId="3" type="noConversion"/>
  </si>
  <si>
    <t>김영하</t>
    <phoneticPr fontId="3" type="noConversion"/>
  </si>
  <si>
    <t>김지영</t>
    <phoneticPr fontId="3" type="noConversion"/>
  </si>
  <si>
    <t>박재현</t>
    <phoneticPr fontId="3" type="noConversion"/>
  </si>
  <si>
    <t>이문수</t>
    <phoneticPr fontId="3" type="noConversion"/>
  </si>
  <si>
    <t>김지현</t>
    <phoneticPr fontId="3" type="noConversion"/>
  </si>
  <si>
    <t>정재형</t>
    <phoneticPr fontId="3" type="noConversion"/>
  </si>
  <si>
    <t>허정욱</t>
    <phoneticPr fontId="3" type="noConversion"/>
  </si>
  <si>
    <t>정은채</t>
    <phoneticPr fontId="3" type="noConversion"/>
  </si>
  <si>
    <t>김혜지</t>
    <phoneticPr fontId="3" type="noConversion"/>
  </si>
  <si>
    <t>연말</t>
    <phoneticPr fontId="3" type="noConversion"/>
  </si>
  <si>
    <t>채동우</t>
    <phoneticPr fontId="3" type="noConversion"/>
  </si>
  <si>
    <t>윤현빈</t>
    <phoneticPr fontId="3" type="noConversion"/>
  </si>
  <si>
    <t>이상민</t>
    <phoneticPr fontId="3" type="noConversion"/>
  </si>
  <si>
    <t>정준엽</t>
    <phoneticPr fontId="3" type="noConversion"/>
  </si>
  <si>
    <t>이문수</t>
    <phoneticPr fontId="3" type="noConversion"/>
  </si>
  <si>
    <t>이현승</t>
    <phoneticPr fontId="3" type="noConversion"/>
  </si>
  <si>
    <t>박혜영</t>
    <phoneticPr fontId="3" type="noConversion"/>
  </si>
  <si>
    <t>김예림</t>
    <phoneticPr fontId="3" type="noConversion"/>
  </si>
  <si>
    <t>서수빈</t>
    <phoneticPr fontId="3" type="noConversion"/>
  </si>
  <si>
    <t>강승현</t>
    <phoneticPr fontId="3" type="noConversion"/>
  </si>
  <si>
    <t>분기</t>
    <phoneticPr fontId="3" type="noConversion"/>
  </si>
  <si>
    <t>서경덕</t>
    <phoneticPr fontId="3" type="noConversion"/>
  </si>
  <si>
    <t>백형진</t>
    <phoneticPr fontId="3" type="noConversion"/>
  </si>
  <si>
    <t>최수민</t>
    <phoneticPr fontId="3" type="noConversion"/>
  </si>
  <si>
    <t>고명주</t>
    <phoneticPr fontId="3" type="noConversion"/>
  </si>
  <si>
    <t>강성은</t>
    <phoneticPr fontId="3" type="noConversion"/>
  </si>
  <si>
    <t>정은지</t>
    <phoneticPr fontId="3" type="noConversion"/>
  </si>
  <si>
    <t>변혜진</t>
    <phoneticPr fontId="3" type="noConversion"/>
  </si>
  <si>
    <t>심태진</t>
    <phoneticPr fontId="3" type="noConversion"/>
  </si>
  <si>
    <t>조현우</t>
    <phoneticPr fontId="3" type="noConversion"/>
  </si>
  <si>
    <t>김수현</t>
    <phoneticPr fontId="3" type="noConversion"/>
  </si>
  <si>
    <t>연말</t>
    <phoneticPr fontId="3" type="noConversion"/>
  </si>
  <si>
    <t>강승현</t>
    <phoneticPr fontId="3" type="noConversion"/>
  </si>
  <si>
    <t>김에스더</t>
    <phoneticPr fontId="3" type="noConversion"/>
  </si>
  <si>
    <t>이진주</t>
    <phoneticPr fontId="3" type="noConversion"/>
  </si>
  <si>
    <t>정은채/김태현</t>
    <phoneticPr fontId="3" type="noConversion"/>
  </si>
  <si>
    <t>분기</t>
    <phoneticPr fontId="3" type="noConversion"/>
  </si>
  <si>
    <t>오영석</t>
    <phoneticPr fontId="3" type="noConversion"/>
  </si>
  <si>
    <t>김영규</t>
    <phoneticPr fontId="3" type="noConversion"/>
  </si>
  <si>
    <t>김수현</t>
    <phoneticPr fontId="3" type="noConversion"/>
  </si>
  <si>
    <t>연말</t>
    <phoneticPr fontId="3" type="noConversion"/>
  </si>
  <si>
    <t>미정</t>
    <phoneticPr fontId="3" type="noConversion"/>
  </si>
  <si>
    <t>반기</t>
    <phoneticPr fontId="3" type="noConversion"/>
  </si>
  <si>
    <t>오윤지</t>
    <phoneticPr fontId="3" type="noConversion"/>
  </si>
  <si>
    <t>박재민</t>
    <phoneticPr fontId="3" type="noConversion"/>
  </si>
  <si>
    <t>강승현</t>
    <phoneticPr fontId="3" type="noConversion"/>
  </si>
  <si>
    <t>채동우</t>
    <phoneticPr fontId="3" type="noConversion"/>
  </si>
  <si>
    <t>반기</t>
    <phoneticPr fontId="3" type="noConversion"/>
  </si>
  <si>
    <t>A000043</t>
    <phoneticPr fontId="3" type="noConversion"/>
  </si>
  <si>
    <t>김본</t>
    <phoneticPr fontId="3" type="noConversion"/>
  </si>
  <si>
    <t>강성은</t>
    <phoneticPr fontId="3" type="noConversion"/>
  </si>
  <si>
    <t>이진주(분배필요)</t>
    <phoneticPr fontId="3" type="noConversion"/>
  </si>
  <si>
    <t>교보생명보험</t>
    <phoneticPr fontId="3" type="noConversion"/>
  </si>
  <si>
    <t>정재형</t>
    <phoneticPr fontId="3" type="noConversion"/>
  </si>
  <si>
    <t>과학기술인공제회</t>
    <phoneticPr fontId="3" type="noConversion"/>
  </si>
  <si>
    <t>더세이프티</t>
    <phoneticPr fontId="3" type="noConversion"/>
  </si>
  <si>
    <t>메자닌평가팀</t>
    <phoneticPr fontId="3" type="noConversion"/>
  </si>
  <si>
    <t>김본</t>
    <phoneticPr fontId="3" type="noConversion"/>
  </si>
  <si>
    <t>이지영</t>
    <phoneticPr fontId="3" type="noConversion"/>
  </si>
  <si>
    <t>교보증권(ECM2부)</t>
    <phoneticPr fontId="3" type="noConversion"/>
  </si>
  <si>
    <t>김예림</t>
    <phoneticPr fontId="3" type="noConversion"/>
  </si>
  <si>
    <t>뉴패러다임인베스트먼트</t>
    <phoneticPr fontId="3" type="noConversion"/>
  </si>
  <si>
    <t>박재민</t>
    <phoneticPr fontId="3" type="noConversion"/>
  </si>
  <si>
    <t>레고켐바이오사이언스</t>
    <phoneticPr fontId="3" type="noConversion"/>
  </si>
  <si>
    <t>최수민(분배필요)</t>
    <phoneticPr fontId="3" type="noConversion"/>
  </si>
  <si>
    <t>리노스</t>
    <phoneticPr fontId="3" type="noConversion"/>
  </si>
  <si>
    <t>이문수</t>
    <phoneticPr fontId="3" type="noConversion"/>
  </si>
  <si>
    <t>정민지</t>
    <phoneticPr fontId="3" type="noConversion"/>
  </si>
  <si>
    <t>정병열</t>
    <phoneticPr fontId="3" type="noConversion"/>
  </si>
  <si>
    <t>최수민</t>
    <phoneticPr fontId="3" type="noConversion"/>
  </si>
  <si>
    <t>글로벌로보틱스</t>
    <phoneticPr fontId="3" type="noConversion"/>
  </si>
  <si>
    <t>글로벌의학연구센터</t>
    <phoneticPr fontId="3" type="noConversion"/>
  </si>
  <si>
    <t>글로싸인</t>
    <phoneticPr fontId="3" type="noConversion"/>
  </si>
  <si>
    <t>최지혜</t>
    <phoneticPr fontId="3" type="noConversion"/>
  </si>
  <si>
    <t>여재현</t>
    <phoneticPr fontId="3" type="noConversion"/>
  </si>
  <si>
    <t>금강철강</t>
    <phoneticPr fontId="3" type="noConversion"/>
  </si>
  <si>
    <t>박재현</t>
    <phoneticPr fontId="3" type="noConversion"/>
  </si>
  <si>
    <t>정은채</t>
    <phoneticPr fontId="3" type="noConversion"/>
  </si>
  <si>
    <t>-</t>
    <phoneticPr fontId="3" type="noConversion"/>
  </si>
  <si>
    <t>원정우</t>
    <phoneticPr fontId="3" type="noConversion"/>
  </si>
  <si>
    <t>백형진</t>
    <phoneticPr fontId="3" type="noConversion"/>
  </si>
  <si>
    <t>롯데벤처스(구,롯데액셀러레이터)</t>
    <phoneticPr fontId="3" type="noConversion"/>
  </si>
  <si>
    <t>서동현</t>
    <phoneticPr fontId="3" type="noConversion"/>
  </si>
  <si>
    <t>연말</t>
    <phoneticPr fontId="3" type="noConversion"/>
  </si>
  <si>
    <t>강승현</t>
    <phoneticPr fontId="3" type="noConversion"/>
  </si>
  <si>
    <t>반기</t>
    <phoneticPr fontId="3" type="noConversion"/>
  </si>
  <si>
    <t>분기</t>
    <phoneticPr fontId="3" type="noConversion"/>
  </si>
  <si>
    <t>미정</t>
    <phoneticPr fontId="3" type="noConversion"/>
  </si>
  <si>
    <t>강성은</t>
    <phoneticPr fontId="3" type="noConversion"/>
  </si>
  <si>
    <t>서경덕</t>
    <phoneticPr fontId="3" type="noConversion"/>
  </si>
  <si>
    <t>김영하</t>
    <phoneticPr fontId="3" type="noConversion"/>
  </si>
  <si>
    <t>유재호</t>
    <phoneticPr fontId="3" type="noConversion"/>
  </si>
  <si>
    <t>다올투자증권(구,KTB투자증권)</t>
    <phoneticPr fontId="3" type="noConversion"/>
  </si>
  <si>
    <t>김수현</t>
    <phoneticPr fontId="3" type="noConversion"/>
  </si>
  <si>
    <t>오윤지</t>
    <phoneticPr fontId="3" type="noConversion"/>
  </si>
  <si>
    <t>김본</t>
    <phoneticPr fontId="3" type="noConversion"/>
  </si>
  <si>
    <t>김연수</t>
    <phoneticPr fontId="3" type="noConversion"/>
  </si>
  <si>
    <t>김수진</t>
    <phoneticPr fontId="3" type="noConversion"/>
  </si>
  <si>
    <t>지백연</t>
    <phoneticPr fontId="3" type="noConversion"/>
  </si>
  <si>
    <t>정창수</t>
    <phoneticPr fontId="3" type="noConversion"/>
  </si>
  <si>
    <t>박재현</t>
    <phoneticPr fontId="3" type="noConversion"/>
  </si>
  <si>
    <t>정민지</t>
    <phoneticPr fontId="3" type="noConversion"/>
  </si>
  <si>
    <t>이소연</t>
    <phoneticPr fontId="3" type="noConversion"/>
  </si>
  <si>
    <t>김기욱</t>
    <phoneticPr fontId="3" type="noConversion"/>
  </si>
  <si>
    <t>월</t>
    <phoneticPr fontId="3" type="noConversion"/>
  </si>
  <si>
    <t>메자닌평가팀</t>
    <phoneticPr fontId="3" type="noConversion"/>
  </si>
  <si>
    <t>멕아이씨에스</t>
    <phoneticPr fontId="3" type="noConversion"/>
  </si>
  <si>
    <t>블리츠웨이</t>
    <phoneticPr fontId="3" type="noConversion"/>
  </si>
  <si>
    <t>비지에프리테일</t>
    <phoneticPr fontId="3" type="noConversion"/>
  </si>
  <si>
    <t>삼에스코리아</t>
    <phoneticPr fontId="3" type="noConversion"/>
  </si>
  <si>
    <t>서린바이오사이언스</t>
    <phoneticPr fontId="3" type="noConversion"/>
  </si>
  <si>
    <t>셀론텍</t>
    <phoneticPr fontId="3" type="noConversion"/>
  </si>
  <si>
    <t>스와니코코</t>
    <phoneticPr fontId="3" type="noConversion"/>
  </si>
  <si>
    <t>에스케이시그넷(구,시그넷이브이)</t>
    <phoneticPr fontId="3" type="noConversion"/>
  </si>
  <si>
    <t>아이컴포넌트</t>
    <phoneticPr fontId="3" type="noConversion"/>
  </si>
  <si>
    <t>아톤</t>
    <phoneticPr fontId="3" type="noConversion"/>
  </si>
  <si>
    <t>알체라</t>
    <phoneticPr fontId="3" type="noConversion"/>
  </si>
  <si>
    <t>압타머사이언스</t>
    <phoneticPr fontId="3" type="noConversion"/>
  </si>
  <si>
    <t>에프앤가이드</t>
    <phoneticPr fontId="3" type="noConversion"/>
  </si>
  <si>
    <t>엔드림</t>
    <phoneticPr fontId="3" type="noConversion"/>
  </si>
  <si>
    <t>우리조명</t>
    <phoneticPr fontId="3" type="noConversion"/>
  </si>
  <si>
    <t>우림피티에스</t>
    <phoneticPr fontId="3" type="noConversion"/>
  </si>
  <si>
    <t>-</t>
    <phoneticPr fontId="3" type="noConversion"/>
  </si>
  <si>
    <t>조영재</t>
    <phoneticPr fontId="3" type="noConversion"/>
  </si>
  <si>
    <t>오수현</t>
    <phoneticPr fontId="3" type="noConversion"/>
  </si>
  <si>
    <t>넥스지</t>
    <phoneticPr fontId="3" type="noConversion"/>
  </si>
  <si>
    <t>넥스트비티</t>
    <phoneticPr fontId="3" type="noConversion"/>
  </si>
  <si>
    <t>김지현</t>
    <phoneticPr fontId="3" type="noConversion"/>
  </si>
  <si>
    <t>다산네트웍스</t>
    <phoneticPr fontId="3" type="noConversion"/>
  </si>
  <si>
    <t>다이나믹디자인(구,세화아이엠씨)</t>
    <phoneticPr fontId="3" type="noConversion"/>
  </si>
  <si>
    <t>닷밀</t>
    <phoneticPr fontId="3" type="noConversion"/>
  </si>
  <si>
    <t>신승철</t>
    <phoneticPr fontId="3" type="noConversion"/>
  </si>
  <si>
    <t>조현우</t>
    <phoneticPr fontId="3" type="noConversion"/>
  </si>
  <si>
    <t>동국알앤에스</t>
    <phoneticPr fontId="3" type="noConversion"/>
  </si>
  <si>
    <t>이현승</t>
    <phoneticPr fontId="3" type="noConversion"/>
  </si>
  <si>
    <t>동성케미컬(구,동성화학)</t>
    <phoneticPr fontId="3" type="noConversion"/>
  </si>
  <si>
    <t>이주영</t>
    <phoneticPr fontId="3" type="noConversion"/>
  </si>
  <si>
    <t>동우팜투테이블</t>
    <phoneticPr fontId="3" type="noConversion"/>
  </si>
  <si>
    <t>동화뉴텍</t>
    <phoneticPr fontId="3" type="noConversion"/>
  </si>
  <si>
    <t>최정배</t>
    <phoneticPr fontId="3" type="noConversion"/>
  </si>
  <si>
    <t>김지현</t>
    <phoneticPr fontId="3" type="noConversion"/>
  </si>
  <si>
    <t>신현상</t>
    <phoneticPr fontId="3" type="noConversion"/>
  </si>
  <si>
    <t>허정욱</t>
    <phoneticPr fontId="3" type="noConversion"/>
  </si>
  <si>
    <t>-</t>
    <phoneticPr fontId="3" type="noConversion"/>
  </si>
  <si>
    <t>오수현</t>
    <phoneticPr fontId="3" type="noConversion"/>
  </si>
  <si>
    <t>김예림</t>
    <phoneticPr fontId="3" type="noConversion"/>
  </si>
  <si>
    <t>김혜지</t>
    <phoneticPr fontId="3" type="noConversion"/>
  </si>
  <si>
    <t>박예진</t>
    <phoneticPr fontId="3" type="noConversion"/>
  </si>
  <si>
    <t>이현승</t>
    <phoneticPr fontId="3" type="noConversion"/>
  </si>
  <si>
    <t>고명주</t>
    <phoneticPr fontId="3" type="noConversion"/>
  </si>
  <si>
    <t>채동우</t>
    <phoneticPr fontId="3" type="noConversion"/>
  </si>
  <si>
    <t>조아혜</t>
    <phoneticPr fontId="3" type="noConversion"/>
  </si>
  <si>
    <t>김에스더(이로지스아시아)</t>
    <phoneticPr fontId="3" type="noConversion"/>
  </si>
  <si>
    <t>벨아이앤에스</t>
    <phoneticPr fontId="3" type="noConversion"/>
  </si>
  <si>
    <t>박솔민</t>
    <phoneticPr fontId="3" type="noConversion"/>
  </si>
  <si>
    <t>이찬희</t>
    <phoneticPr fontId="3" type="noConversion"/>
  </si>
  <si>
    <t>여재현</t>
    <phoneticPr fontId="3" type="noConversion"/>
  </si>
  <si>
    <t>이상민</t>
    <phoneticPr fontId="3" type="noConversion"/>
  </si>
  <si>
    <t>세틀뱅크</t>
    <phoneticPr fontId="3" type="noConversion"/>
  </si>
  <si>
    <t>최정배</t>
    <phoneticPr fontId="3" type="noConversion"/>
  </si>
  <si>
    <t>셀바스헬스케어</t>
    <phoneticPr fontId="3" type="noConversion"/>
  </si>
  <si>
    <t>송암사</t>
    <phoneticPr fontId="3" type="noConversion"/>
  </si>
  <si>
    <t>스냅스</t>
    <phoneticPr fontId="3" type="noConversion"/>
  </si>
  <si>
    <t>김민지</t>
    <phoneticPr fontId="3" type="noConversion"/>
  </si>
  <si>
    <t>스티커스코퍼레이션</t>
    <phoneticPr fontId="3" type="noConversion"/>
  </si>
  <si>
    <t>박재민</t>
    <phoneticPr fontId="3" type="noConversion"/>
  </si>
  <si>
    <t>윤광일</t>
    <phoneticPr fontId="3" type="noConversion"/>
  </si>
  <si>
    <t>시프티</t>
    <phoneticPr fontId="3" type="noConversion"/>
  </si>
  <si>
    <t>정병열</t>
    <phoneticPr fontId="3" type="noConversion"/>
  </si>
  <si>
    <t>이문수</t>
    <phoneticPr fontId="3" type="noConversion"/>
  </si>
  <si>
    <t>아바코</t>
    <phoneticPr fontId="3" type="noConversion"/>
  </si>
  <si>
    <t>아바텍</t>
    <phoneticPr fontId="3" type="noConversion"/>
  </si>
  <si>
    <t>정은지</t>
    <phoneticPr fontId="3" type="noConversion"/>
  </si>
  <si>
    <t>아이에스지주</t>
    <phoneticPr fontId="3" type="noConversion"/>
  </si>
  <si>
    <t>신승철</t>
    <phoneticPr fontId="3" type="noConversion"/>
  </si>
  <si>
    <t>아이엠엠크레딧앤솔루션</t>
    <phoneticPr fontId="3" type="noConversion"/>
  </si>
  <si>
    <t>조영재</t>
    <phoneticPr fontId="3" type="noConversion"/>
  </si>
  <si>
    <t>안국약품</t>
    <phoneticPr fontId="3" type="noConversion"/>
  </si>
  <si>
    <t>애경케미칼(구,애경유화)</t>
    <phoneticPr fontId="3" type="noConversion"/>
  </si>
  <si>
    <t>액티스코리아파트너스</t>
    <phoneticPr fontId="3" type="noConversion"/>
  </si>
  <si>
    <t>에너지엔</t>
    <phoneticPr fontId="3" type="noConversion"/>
  </si>
  <si>
    <t>에스에이엠티</t>
    <phoneticPr fontId="3" type="noConversion"/>
  </si>
  <si>
    <t>에스케이실트론</t>
    <phoneticPr fontId="3" type="noConversion"/>
  </si>
  <si>
    <t>여재현</t>
    <phoneticPr fontId="3" type="noConversion"/>
  </si>
  <si>
    <t>오수현</t>
    <phoneticPr fontId="3" type="noConversion"/>
  </si>
  <si>
    <t>전시몰닷컴(구,에이제이전시몰)</t>
    <phoneticPr fontId="3" type="noConversion"/>
  </si>
  <si>
    <t>신용화</t>
    <phoneticPr fontId="3" type="noConversion"/>
  </si>
  <si>
    <t>에코마케팅</t>
    <phoneticPr fontId="3" type="noConversion"/>
  </si>
  <si>
    <t>오영석</t>
    <phoneticPr fontId="3" type="noConversion"/>
  </si>
  <si>
    <t>최수민</t>
    <phoneticPr fontId="3" type="noConversion"/>
  </si>
  <si>
    <t>최지혜</t>
    <phoneticPr fontId="3" type="noConversion"/>
  </si>
  <si>
    <t>최수민(분배필요)</t>
    <phoneticPr fontId="3" type="noConversion"/>
  </si>
  <si>
    <t>심태진</t>
    <phoneticPr fontId="3" type="noConversion"/>
  </si>
  <si>
    <t>정재형</t>
    <phoneticPr fontId="3" type="noConversion"/>
  </si>
  <si>
    <t>변혜진</t>
    <phoneticPr fontId="3" type="noConversion"/>
  </si>
  <si>
    <t>메리츠증권(PI팀)(구,벤처투자팀)</t>
    <phoneticPr fontId="3" type="noConversion"/>
  </si>
  <si>
    <t>메리츠증권(구조화투자팀)</t>
    <phoneticPr fontId="3" type="noConversion"/>
  </si>
  <si>
    <t>메리츠증권(전략운용팀)</t>
    <phoneticPr fontId="3" type="noConversion"/>
  </si>
  <si>
    <t>메리츠증권(EPT팀)</t>
    <phoneticPr fontId="3" type="noConversion"/>
  </si>
  <si>
    <t>메리츠증권(IND부)</t>
    <phoneticPr fontId="3" type="noConversion"/>
  </si>
  <si>
    <t>메리츠증권(멀티운용팀)</t>
    <phoneticPr fontId="3" type="noConversion"/>
  </si>
  <si>
    <t>무궁화프라이빗에쿼티</t>
    <phoneticPr fontId="3" type="noConversion"/>
  </si>
  <si>
    <t>이석중</t>
    <phoneticPr fontId="3" type="noConversion"/>
  </si>
  <si>
    <t>김영규</t>
    <phoneticPr fontId="3" type="noConversion"/>
  </si>
  <si>
    <t>미래에셋매니지먼트</t>
    <phoneticPr fontId="3" type="noConversion"/>
  </si>
  <si>
    <t>정은채</t>
    <phoneticPr fontId="3" type="noConversion"/>
  </si>
  <si>
    <t>비에스지파트너스</t>
    <phoneticPr fontId="3" type="noConversion"/>
  </si>
  <si>
    <t>신한투자증권</t>
    <phoneticPr fontId="3" type="noConversion"/>
  </si>
  <si>
    <t>이진주</t>
    <phoneticPr fontId="3" type="noConversion"/>
  </si>
  <si>
    <t>알파비스타인베스트먼트</t>
    <phoneticPr fontId="3" type="noConversion"/>
  </si>
  <si>
    <t>윤현빈</t>
    <phoneticPr fontId="3" type="noConversion"/>
  </si>
  <si>
    <t>알파자산운용</t>
    <phoneticPr fontId="3" type="noConversion"/>
  </si>
  <si>
    <t>김범준</t>
    <phoneticPr fontId="3" type="noConversion"/>
  </si>
  <si>
    <t>에스엘인베스트먼트</t>
    <phoneticPr fontId="3" type="noConversion"/>
  </si>
  <si>
    <t>요즈마이베스트글로벌IPO투자신기술조합</t>
    <phoneticPr fontId="3" type="noConversion"/>
  </si>
  <si>
    <t>백형진(분배필요)</t>
    <phoneticPr fontId="3" type="noConversion"/>
  </si>
  <si>
    <t>우진아이엔에스</t>
    <phoneticPr fontId="3" type="noConversion"/>
  </si>
  <si>
    <t>원이멀스</t>
    <phoneticPr fontId="3" type="noConversion"/>
  </si>
  <si>
    <t>이준혁</t>
    <phoneticPr fontId="3" type="noConversion"/>
  </si>
  <si>
    <t>위메이드엑스알</t>
    <phoneticPr fontId="3" type="noConversion"/>
  </si>
  <si>
    <t>이베스트투자증권</t>
    <phoneticPr fontId="3" type="noConversion"/>
  </si>
  <si>
    <t>이석산업개발</t>
    <phoneticPr fontId="3" type="noConversion"/>
  </si>
  <si>
    <t>위메이드엠</t>
    <phoneticPr fontId="3" type="noConversion"/>
  </si>
  <si>
    <t>이엠비</t>
    <phoneticPr fontId="3" type="noConversion"/>
  </si>
  <si>
    <t>위메이드플러스</t>
    <phoneticPr fontId="3" type="noConversion"/>
  </si>
  <si>
    <t>위즈네트</t>
    <phoneticPr fontId="3" type="noConversion"/>
  </si>
  <si>
    <t>김영하/유승환</t>
    <phoneticPr fontId="3" type="noConversion"/>
  </si>
  <si>
    <t>김수현/김운영</t>
    <phoneticPr fontId="3" type="noConversion"/>
  </si>
  <si>
    <t>인트론바이오테크놀로지</t>
    <phoneticPr fontId="3" type="noConversion"/>
  </si>
  <si>
    <t>제주반도체</t>
    <phoneticPr fontId="3" type="noConversion"/>
  </si>
  <si>
    <t>이엠텍</t>
    <phoneticPr fontId="3" type="noConversion"/>
  </si>
  <si>
    <t>이화산업</t>
    <phoneticPr fontId="3" type="noConversion"/>
  </si>
  <si>
    <t>인지컨트롤스</t>
    <phoneticPr fontId="3" type="noConversion"/>
  </si>
  <si>
    <t>서동현/고명주</t>
    <phoneticPr fontId="3" type="noConversion"/>
  </si>
  <si>
    <t>박태호</t>
    <phoneticPr fontId="3" type="noConversion"/>
  </si>
  <si>
    <t>조영재/정창수</t>
    <phoneticPr fontId="3" type="noConversion"/>
  </si>
  <si>
    <t>조영재/정창수</t>
    <phoneticPr fontId="3" type="noConversion"/>
  </si>
  <si>
    <t>재영아이텍</t>
    <phoneticPr fontId="3" type="noConversion"/>
  </si>
  <si>
    <t>정준엽</t>
    <phoneticPr fontId="3" type="noConversion"/>
  </si>
  <si>
    <t>박솔민/정병열</t>
    <phoneticPr fontId="3" type="noConversion"/>
  </si>
  <si>
    <t>김은지</t>
    <phoneticPr fontId="3" type="noConversion"/>
  </si>
  <si>
    <t>서수빈</t>
    <phoneticPr fontId="3" type="noConversion"/>
  </si>
  <si>
    <t>김상준</t>
    <phoneticPr fontId="3" type="noConversion"/>
  </si>
  <si>
    <t>제이씨에셋자산운용</t>
    <phoneticPr fontId="3" type="noConversion"/>
  </si>
  <si>
    <t>제일파마홀딩스</t>
    <phoneticPr fontId="3" type="noConversion"/>
  </si>
  <si>
    <t>조민아</t>
    <phoneticPr fontId="3" type="noConversion"/>
  </si>
  <si>
    <t>젤코바인베스트먼트</t>
    <phoneticPr fontId="3" type="noConversion"/>
  </si>
  <si>
    <t>종근당</t>
    <phoneticPr fontId="3" type="noConversion"/>
  </si>
  <si>
    <t>진영엘디엠</t>
    <phoneticPr fontId="3" type="noConversion"/>
  </si>
  <si>
    <t>카페베네</t>
    <phoneticPr fontId="3" type="noConversion"/>
  </si>
  <si>
    <t>케이사인</t>
    <phoneticPr fontId="3" type="noConversion"/>
  </si>
  <si>
    <t>케이씨씨</t>
    <phoneticPr fontId="3" type="noConversion"/>
  </si>
  <si>
    <t>김에스더</t>
    <phoneticPr fontId="3" type="noConversion"/>
  </si>
  <si>
    <t>박태호</t>
    <phoneticPr fontId="3" type="noConversion"/>
  </si>
  <si>
    <t>코오롱</t>
    <phoneticPr fontId="3" type="noConversion"/>
  </si>
  <si>
    <t>코어자산운용</t>
    <phoneticPr fontId="3" type="noConversion"/>
  </si>
  <si>
    <t>이석중</t>
    <phoneticPr fontId="3" type="noConversion"/>
  </si>
  <si>
    <t>큐로드</t>
    <phoneticPr fontId="3" type="noConversion"/>
  </si>
  <si>
    <t>퀸테사헤임달제삼호사모투자</t>
    <phoneticPr fontId="3" type="noConversion"/>
  </si>
  <si>
    <t>김민희</t>
    <phoneticPr fontId="3" type="noConversion"/>
  </si>
  <si>
    <t>이가영</t>
    <phoneticPr fontId="3" type="noConversion"/>
  </si>
  <si>
    <t>태광</t>
    <phoneticPr fontId="3" type="noConversion"/>
  </si>
  <si>
    <t>테고사이언스</t>
    <phoneticPr fontId="3" type="noConversion"/>
  </si>
  <si>
    <t>심태진(분배필요)</t>
    <phoneticPr fontId="3" type="noConversion"/>
  </si>
  <si>
    <t>키움캐피탈</t>
    <phoneticPr fontId="3" type="noConversion"/>
  </si>
  <si>
    <t>TCC스틸</t>
    <phoneticPr fontId="3" type="noConversion"/>
  </si>
  <si>
    <t>씨제이인베스트먼트(구,타임와이즈인베스트먼트)</t>
    <phoneticPr fontId="3" type="noConversion"/>
  </si>
  <si>
    <t>판틸로고스</t>
    <phoneticPr fontId="3" type="noConversion"/>
  </si>
  <si>
    <t>한국이노베이션</t>
    <phoneticPr fontId="3" type="noConversion"/>
  </si>
  <si>
    <t>티인베스트먼트</t>
    <phoneticPr fontId="3" type="noConversion"/>
  </si>
  <si>
    <t>하나증권(PI실)</t>
    <phoneticPr fontId="3" type="noConversion"/>
  </si>
  <si>
    <t>한독</t>
    <phoneticPr fontId="3" type="noConversion"/>
  </si>
  <si>
    <t>프레스에이</t>
    <phoneticPr fontId="3" type="noConversion"/>
  </si>
  <si>
    <t>프로젠</t>
    <phoneticPr fontId="3" type="noConversion"/>
  </si>
  <si>
    <t>허정욱</t>
    <phoneticPr fontId="3" type="noConversion"/>
  </si>
  <si>
    <t>하나증권</t>
    <phoneticPr fontId="3" type="noConversion"/>
  </si>
  <si>
    <t>과학기술인공제회(수익증권)</t>
    <phoneticPr fontId="3" type="noConversion"/>
  </si>
  <si>
    <t>하나증권(PE실)</t>
    <phoneticPr fontId="3" type="noConversion"/>
  </si>
  <si>
    <t>유진투자증권(수익증권)</t>
    <phoneticPr fontId="3" type="noConversion"/>
  </si>
  <si>
    <t>지백연</t>
    <phoneticPr fontId="3" type="noConversion"/>
  </si>
  <si>
    <t>DB손해보험(수익증권)</t>
    <phoneticPr fontId="3" type="noConversion"/>
  </si>
  <si>
    <t>서동현/조용원</t>
    <phoneticPr fontId="3" type="noConversion"/>
  </si>
  <si>
    <t>한국투자캐피탈(수익증권)</t>
    <phoneticPr fontId="3" type="noConversion"/>
  </si>
  <si>
    <t>김영원</t>
    <phoneticPr fontId="3" type="noConversion"/>
  </si>
  <si>
    <t>하나증권(PI실)</t>
    <phoneticPr fontId="3" type="noConversion"/>
  </si>
  <si>
    <t>하이자산운용(구,디지비자산운용)</t>
    <phoneticPr fontId="3" type="noConversion"/>
  </si>
  <si>
    <t>이석중</t>
    <phoneticPr fontId="3" type="noConversion"/>
  </si>
  <si>
    <t>한창</t>
    <phoneticPr fontId="3" type="noConversion"/>
  </si>
  <si>
    <t>현대인베스트먼트자산운용(수익증권)</t>
    <phoneticPr fontId="3" type="noConversion"/>
  </si>
  <si>
    <t>이소연</t>
    <phoneticPr fontId="3" type="noConversion"/>
  </si>
  <si>
    <t>윤광일</t>
    <phoneticPr fontId="3" type="noConversion"/>
  </si>
  <si>
    <t>김범준</t>
    <phoneticPr fontId="3" type="noConversion"/>
  </si>
  <si>
    <t>한국투자증권(IB3본부)</t>
    <phoneticPr fontId="3" type="noConversion"/>
  </si>
  <si>
    <t>최지혜</t>
    <phoneticPr fontId="3" type="noConversion"/>
  </si>
  <si>
    <t>한국투자증권(M&amp;A/인수금융3부)</t>
    <phoneticPr fontId="3" type="noConversion"/>
  </si>
  <si>
    <t>변혜진</t>
    <phoneticPr fontId="3" type="noConversion"/>
  </si>
  <si>
    <t>조현우</t>
    <phoneticPr fontId="3" type="noConversion"/>
  </si>
  <si>
    <t>심태진(분배필요)</t>
    <phoneticPr fontId="3" type="noConversion"/>
  </si>
  <si>
    <t>마스턴투자운용(수익증권)</t>
    <phoneticPr fontId="3" type="noConversion"/>
  </si>
  <si>
    <t>한미반도체</t>
    <phoneticPr fontId="3" type="noConversion"/>
  </si>
  <si>
    <t>김민지</t>
    <phoneticPr fontId="3" type="noConversion"/>
  </si>
  <si>
    <t>엠디에스테크(구,한컴MDS)</t>
    <phoneticPr fontId="3" type="noConversion"/>
  </si>
  <si>
    <t>정재형</t>
    <phoneticPr fontId="3" type="noConversion"/>
  </si>
  <si>
    <t>금강철강(수익증권)</t>
    <phoneticPr fontId="3" type="noConversion"/>
  </si>
  <si>
    <t>삼성SRA자산운용(수익증권)</t>
    <phoneticPr fontId="3" type="noConversion"/>
  </si>
  <si>
    <t>엠플러스자산운용</t>
    <phoneticPr fontId="3" type="noConversion"/>
  </si>
  <si>
    <t>김은지</t>
    <phoneticPr fontId="3" type="noConversion"/>
  </si>
  <si>
    <t>유재호</t>
    <phoneticPr fontId="3" type="noConversion"/>
  </si>
  <si>
    <t>KTBN18호벤처투자조합</t>
    <phoneticPr fontId="3" type="noConversion"/>
  </si>
  <si>
    <t>이가영</t>
    <phoneticPr fontId="3" type="noConversion"/>
  </si>
  <si>
    <t>이소연</t>
    <phoneticPr fontId="3" type="noConversion"/>
  </si>
  <si>
    <t>현대차증권</t>
    <phoneticPr fontId="3" type="noConversion"/>
  </si>
  <si>
    <t>이진주</t>
    <phoneticPr fontId="3" type="noConversion"/>
  </si>
  <si>
    <t>교보와이지일구이무신기술투자조합</t>
    <phoneticPr fontId="3" type="noConversion"/>
  </si>
  <si>
    <t>이베스트투자증권</t>
    <phoneticPr fontId="3" type="noConversion"/>
  </si>
  <si>
    <t>김영원</t>
    <phoneticPr fontId="3" type="noConversion"/>
  </si>
  <si>
    <t>티앤알바이오팹</t>
    <phoneticPr fontId="3" type="noConversion"/>
  </si>
  <si>
    <t>서경덕</t>
    <phoneticPr fontId="3" type="noConversion"/>
  </si>
  <si>
    <t>DB손해보험(구,동부화재해상)</t>
    <phoneticPr fontId="3" type="noConversion"/>
  </si>
  <si>
    <t>서동현</t>
    <phoneticPr fontId="3" type="noConversion"/>
  </si>
  <si>
    <t>메리츠증권(금융공학팀)</t>
    <phoneticPr fontId="3" type="noConversion"/>
  </si>
  <si>
    <t>요즈마그룹코리아</t>
    <phoneticPr fontId="3" type="noConversion"/>
  </si>
  <si>
    <t>한국투자증권(M&amp;A/인수금융1부)</t>
    <phoneticPr fontId="3" type="noConversion"/>
  </si>
  <si>
    <t>서동현/김영하</t>
    <phoneticPr fontId="3" type="noConversion"/>
  </si>
  <si>
    <t>한국투자증권(M&amp;A/인수금융1부)</t>
    <phoneticPr fontId="3" type="noConversion"/>
  </si>
  <si>
    <t>신원준</t>
    <phoneticPr fontId="3" type="noConversion"/>
  </si>
  <si>
    <t>에스넷시스템</t>
    <phoneticPr fontId="3" type="noConversion"/>
  </si>
  <si>
    <t>김에스더</t>
    <phoneticPr fontId="3" type="noConversion"/>
  </si>
  <si>
    <t>케이넷투자파트너스</t>
    <phoneticPr fontId="3" type="noConversion"/>
  </si>
  <si>
    <t>신한라이프(수익증권)</t>
    <phoneticPr fontId="3" type="noConversion"/>
  </si>
  <si>
    <t>김영원</t>
    <phoneticPr fontId="3" type="noConversion"/>
  </si>
  <si>
    <t>카티스</t>
    <phoneticPr fontId="3" type="noConversion"/>
  </si>
  <si>
    <t>대동</t>
    <phoneticPr fontId="3" type="noConversion"/>
  </si>
  <si>
    <t>인탑스인베스트먼트</t>
    <phoneticPr fontId="3" type="noConversion"/>
  </si>
  <si>
    <t>에이치앤큐에쿼티파트너스</t>
    <phoneticPr fontId="3" type="noConversion"/>
  </si>
  <si>
    <t>오비고</t>
    <phoneticPr fontId="3" type="noConversion"/>
  </si>
  <si>
    <t>이노룰스</t>
    <phoneticPr fontId="3" type="noConversion"/>
  </si>
  <si>
    <t>골든센츄리코리아</t>
    <phoneticPr fontId="3" type="noConversion"/>
  </si>
  <si>
    <t>비에스케이인베스트먼트</t>
    <phoneticPr fontId="3" type="noConversion"/>
  </si>
  <si>
    <t>칩스앤미디어</t>
    <phoneticPr fontId="3" type="noConversion"/>
  </si>
  <si>
    <t>로드시스템</t>
    <phoneticPr fontId="3" type="noConversion"/>
  </si>
  <si>
    <t>한신회계법인</t>
    <phoneticPr fontId="3" type="noConversion"/>
  </si>
  <si>
    <t>케이티앤지</t>
    <phoneticPr fontId="3" type="noConversion"/>
  </si>
  <si>
    <t>한국알콜산업</t>
    <phoneticPr fontId="3" type="noConversion"/>
  </si>
  <si>
    <t>신화콘텍</t>
    <phoneticPr fontId="3" type="noConversion"/>
  </si>
  <si>
    <t>핑거스토리</t>
    <phoneticPr fontId="3" type="noConversion"/>
  </si>
  <si>
    <t>서수빈</t>
    <phoneticPr fontId="3" type="noConversion"/>
  </si>
  <si>
    <t>네오위즈</t>
    <phoneticPr fontId="3" type="noConversion"/>
  </si>
  <si>
    <t>한국투자증권(투자상품관리부(구,PB전략부))</t>
    <phoneticPr fontId="3" type="noConversion"/>
  </si>
  <si>
    <t>솔고바이오메디칼</t>
    <phoneticPr fontId="3" type="noConversion"/>
  </si>
  <si>
    <t>케이비-케이티비기술금융벤처투자조합</t>
    <phoneticPr fontId="3" type="noConversion"/>
  </si>
  <si>
    <t>에스케이증권</t>
    <phoneticPr fontId="3" type="noConversion"/>
  </si>
  <si>
    <t>에스케이증권(수익증권)</t>
    <phoneticPr fontId="3" type="noConversion"/>
  </si>
  <si>
    <t>유니퀘스트</t>
    <phoneticPr fontId="3" type="noConversion"/>
  </si>
  <si>
    <t>비엘팜텍(구,넥스트비티)</t>
    <phoneticPr fontId="3" type="noConversion"/>
  </si>
  <si>
    <t>B000033</t>
    <phoneticPr fontId="3" type="noConversion"/>
  </si>
  <si>
    <t>삼성증권(영업전략팀)</t>
    <phoneticPr fontId="3" type="noConversion"/>
  </si>
  <si>
    <t>Y000452</t>
    <phoneticPr fontId="3" type="noConversion"/>
  </si>
  <si>
    <t>한국투자저축은행</t>
    <phoneticPr fontId="3" type="noConversion"/>
  </si>
  <si>
    <t>T000109</t>
    <phoneticPr fontId="3" type="noConversion"/>
  </si>
  <si>
    <t>한국투자저축은행(수익증권)</t>
    <phoneticPr fontId="3" type="noConversion"/>
  </si>
  <si>
    <t>W000633</t>
    <phoneticPr fontId="3" type="noConversion"/>
  </si>
  <si>
    <t>오케이저축은행</t>
    <phoneticPr fontId="3" type="noConversion"/>
  </si>
  <si>
    <t>X001465</t>
    <phoneticPr fontId="3" type="noConversion"/>
  </si>
  <si>
    <t>에스앤에스텍</t>
    <phoneticPr fontId="3" type="noConversion"/>
  </si>
  <si>
    <t>B000034</t>
    <phoneticPr fontId="3" type="noConversion"/>
  </si>
  <si>
    <t>삼성증권(ECM팀)</t>
    <phoneticPr fontId="3" type="noConversion"/>
  </si>
  <si>
    <t>W000640</t>
    <phoneticPr fontId="3" type="noConversion"/>
  </si>
  <si>
    <t>다올인베스트먼트</t>
    <phoneticPr fontId="3" type="noConversion"/>
  </si>
  <si>
    <t>Y000444</t>
    <phoneticPr fontId="3" type="noConversion"/>
  </si>
  <si>
    <t>유비쿼스인베스트먼트</t>
    <phoneticPr fontId="3" type="noConversion"/>
  </si>
  <si>
    <t>Y000001</t>
    <phoneticPr fontId="3" type="noConversion"/>
  </si>
  <si>
    <t>MG손해보험</t>
    <phoneticPr fontId="3" type="noConversion"/>
  </si>
  <si>
    <t>X001442</t>
    <phoneticPr fontId="3" type="noConversion"/>
  </si>
  <si>
    <t>티라로보틱스</t>
    <phoneticPr fontId="3" type="noConversion"/>
  </si>
  <si>
    <t>X000297</t>
    <phoneticPr fontId="3" type="noConversion"/>
  </si>
  <si>
    <t>데브시스터즈</t>
    <phoneticPr fontId="3" type="noConversion"/>
  </si>
  <si>
    <t>W000621</t>
    <phoneticPr fontId="3" type="noConversion"/>
  </si>
  <si>
    <t>공구우먼</t>
    <phoneticPr fontId="3" type="noConversion"/>
  </si>
  <si>
    <t>X001438</t>
    <phoneticPr fontId="3" type="noConversion"/>
  </si>
  <si>
    <t>아이엠에스</t>
    <phoneticPr fontId="3" type="noConversion"/>
  </si>
  <si>
    <t>X001443</t>
    <phoneticPr fontId="3" type="noConversion"/>
  </si>
  <si>
    <t>범한산업</t>
    <phoneticPr fontId="3" type="noConversion"/>
  </si>
  <si>
    <t>서동현/김영하</t>
    <phoneticPr fontId="3" type="noConversion"/>
  </si>
  <si>
    <t>X001437</t>
    <phoneticPr fontId="3" type="noConversion"/>
  </si>
  <si>
    <t>초이스팜</t>
    <phoneticPr fontId="3" type="noConversion"/>
  </si>
  <si>
    <t>X001435</t>
    <phoneticPr fontId="3" type="noConversion"/>
  </si>
  <si>
    <t>장원테크</t>
    <phoneticPr fontId="3" type="noConversion"/>
  </si>
  <si>
    <t>X001440</t>
    <phoneticPr fontId="3" type="noConversion"/>
  </si>
  <si>
    <t>대동모빌리티</t>
    <phoneticPr fontId="3" type="noConversion"/>
  </si>
  <si>
    <t>X001420</t>
    <phoneticPr fontId="3" type="noConversion"/>
  </si>
  <si>
    <t>픤디</t>
    <phoneticPr fontId="3" type="noConversion"/>
  </si>
  <si>
    <t>수성샐바시온</t>
    <phoneticPr fontId="3" type="noConversion"/>
  </si>
  <si>
    <t>LINE Games-True-Kona Global Fund Limited Partnership</t>
    <phoneticPr fontId="3" type="noConversion"/>
  </si>
  <si>
    <t>정재형(분배필요)</t>
    <phoneticPr fontId="3" type="noConversion"/>
  </si>
  <si>
    <t>브이씨</t>
    <phoneticPr fontId="3" type="noConversion"/>
  </si>
  <si>
    <t>년</t>
    <phoneticPr fontId="3" type="noConversion"/>
  </si>
  <si>
    <t>아이비김영</t>
    <phoneticPr fontId="3" type="noConversion"/>
  </si>
  <si>
    <t>지니너스</t>
    <phoneticPr fontId="3" type="noConversion"/>
  </si>
  <si>
    <t>이스트소프트(상장)</t>
    <phoneticPr fontId="3" type="noConversion"/>
  </si>
  <si>
    <t>비아트론</t>
    <phoneticPr fontId="3" type="noConversion"/>
  </si>
  <si>
    <t>셀바이오휴먼텍</t>
    <phoneticPr fontId="3" type="noConversion"/>
  </si>
  <si>
    <t>교보증권(ECM본부)</t>
    <phoneticPr fontId="3" type="noConversion"/>
  </si>
  <si>
    <t>롯데손해보험(운용지원팀)</t>
    <phoneticPr fontId="3" type="noConversion"/>
  </si>
  <si>
    <t>한국투자증권(종합금융본부(구,기업금융투자부))(수익증권)</t>
    <phoneticPr fontId="3" type="noConversion"/>
  </si>
  <si>
    <t>유수연</t>
    <phoneticPr fontId="3" type="noConversion"/>
  </si>
  <si>
    <t>한국투자증권(종합금융본부(구,기업금융투자부))</t>
    <phoneticPr fontId="3" type="noConversion"/>
  </si>
  <si>
    <t>삼성증권(PE팀)</t>
    <phoneticPr fontId="3" type="noConversion"/>
  </si>
  <si>
    <t>Y000030</t>
    <phoneticPr fontId="3" type="noConversion"/>
  </si>
  <si>
    <t>나우아이비캐피탈</t>
    <phoneticPr fontId="3" type="noConversion"/>
  </si>
  <si>
    <t>W000650</t>
    <phoneticPr fontId="3" type="noConversion"/>
  </si>
  <si>
    <t>가온칩스</t>
    <phoneticPr fontId="3" type="noConversion"/>
  </si>
  <si>
    <t>T000107</t>
    <phoneticPr fontId="3" type="noConversion"/>
  </si>
  <si>
    <t>삼성자산운용(수익증권)</t>
    <phoneticPr fontId="3" type="noConversion"/>
  </si>
  <si>
    <t>T000108</t>
    <phoneticPr fontId="3" type="noConversion"/>
  </si>
  <si>
    <t>KB자산운용(수익증권)</t>
    <phoneticPr fontId="3" type="noConversion"/>
  </si>
  <si>
    <t>W000637</t>
    <phoneticPr fontId="3" type="noConversion"/>
  </si>
  <si>
    <t>티앤알바이오팹(상장)</t>
    <phoneticPr fontId="3" type="noConversion"/>
  </si>
  <si>
    <t>W000652</t>
    <phoneticPr fontId="3" type="noConversion"/>
  </si>
  <si>
    <t>경성투자자문(상장)</t>
    <phoneticPr fontId="3" type="noConversion"/>
  </si>
  <si>
    <t>W000653</t>
    <phoneticPr fontId="3" type="noConversion"/>
  </si>
  <si>
    <t>핑거스토리(상장)</t>
    <phoneticPr fontId="3" type="noConversion"/>
  </si>
  <si>
    <t>W000654</t>
    <phoneticPr fontId="3" type="noConversion"/>
  </si>
  <si>
    <t>에스케이스퀘어</t>
    <phoneticPr fontId="3" type="noConversion"/>
  </si>
  <si>
    <t>W000655</t>
    <phoneticPr fontId="3" type="noConversion"/>
  </si>
  <si>
    <t>큐캐피탈파트너스(상장)</t>
    <phoneticPr fontId="3" type="noConversion"/>
  </si>
  <si>
    <t>W000656</t>
    <phoneticPr fontId="3" type="noConversion"/>
  </si>
  <si>
    <t>에스비비테크</t>
    <phoneticPr fontId="3" type="noConversion"/>
  </si>
  <si>
    <t>X001498</t>
    <phoneticPr fontId="3" type="noConversion"/>
  </si>
  <si>
    <t>파워보이스</t>
    <phoneticPr fontId="3" type="noConversion"/>
  </si>
  <si>
    <t>W000657</t>
    <phoneticPr fontId="3" type="noConversion"/>
  </si>
  <si>
    <t>엘케이자산운용(상장)</t>
    <phoneticPr fontId="3" type="noConversion"/>
  </si>
  <si>
    <t>W000658</t>
    <phoneticPr fontId="3" type="noConversion"/>
  </si>
  <si>
    <t>나노신소재</t>
    <phoneticPr fontId="3" type="noConversion"/>
  </si>
  <si>
    <t>W000645</t>
    <phoneticPr fontId="3" type="noConversion"/>
  </si>
  <si>
    <t>동양철관</t>
    <phoneticPr fontId="3" type="noConversion"/>
  </si>
  <si>
    <t>W000659</t>
    <phoneticPr fontId="3" type="noConversion"/>
  </si>
  <si>
    <t>삼성증권(ECM2팀)(상장)</t>
    <phoneticPr fontId="3" type="noConversion"/>
  </si>
  <si>
    <t>X001441</t>
    <phoneticPr fontId="3" type="noConversion"/>
  </si>
  <si>
    <t>삼표</t>
    <phoneticPr fontId="3" type="noConversion"/>
  </si>
  <si>
    <t>W000617</t>
    <phoneticPr fontId="3" type="noConversion"/>
  </si>
  <si>
    <t>비트나인</t>
    <phoneticPr fontId="3" type="noConversion"/>
  </si>
  <si>
    <t>W000660</t>
    <phoneticPr fontId="3" type="noConversion"/>
  </si>
  <si>
    <t>오토앤</t>
    <phoneticPr fontId="3" type="noConversion"/>
  </si>
  <si>
    <t>X000079</t>
    <phoneticPr fontId="3" type="noConversion"/>
  </si>
  <si>
    <t>동방</t>
    <phoneticPr fontId="3" type="noConversion"/>
  </si>
  <si>
    <t>W000629</t>
    <phoneticPr fontId="3" type="noConversion"/>
  </si>
  <si>
    <t>포바이포</t>
    <phoneticPr fontId="3" type="noConversion"/>
  </si>
  <si>
    <t>T000114</t>
    <phoneticPr fontId="3" type="noConversion"/>
  </si>
  <si>
    <t>삼성증권(PM팀)(수익증권)</t>
    <phoneticPr fontId="3" type="noConversion"/>
  </si>
  <si>
    <t>Y000450</t>
    <phoneticPr fontId="3" type="noConversion"/>
  </si>
  <si>
    <t>한국투자증권(대체투자운용부)</t>
    <phoneticPr fontId="3" type="noConversion"/>
  </si>
  <si>
    <t>W000661</t>
    <phoneticPr fontId="3" type="noConversion"/>
  </si>
  <si>
    <t>소니드</t>
    <phoneticPr fontId="3" type="noConversion"/>
  </si>
  <si>
    <t>W000662</t>
    <phoneticPr fontId="3" type="noConversion"/>
  </si>
  <si>
    <t>Y000465</t>
    <phoneticPr fontId="3" type="noConversion"/>
  </si>
  <si>
    <t>웰컴자산운용</t>
    <phoneticPr fontId="3" type="noConversion"/>
  </si>
  <si>
    <t>X001502</t>
    <phoneticPr fontId="3" type="noConversion"/>
  </si>
  <si>
    <t>W000663</t>
    <phoneticPr fontId="3" type="noConversion"/>
  </si>
  <si>
    <t>다산네트웍스(상장)</t>
    <phoneticPr fontId="3" type="noConversion"/>
  </si>
  <si>
    <t>Y000466</t>
    <phoneticPr fontId="3" type="noConversion"/>
  </si>
  <si>
    <t>스톤브릿지벤처스</t>
    <phoneticPr fontId="3" type="noConversion"/>
  </si>
  <si>
    <t>W000664</t>
    <phoneticPr fontId="3" type="noConversion"/>
  </si>
  <si>
    <t>오비트파트너스(상장)</t>
    <phoneticPr fontId="3" type="noConversion"/>
  </si>
  <si>
    <t>T000122</t>
    <phoneticPr fontId="3" type="noConversion"/>
  </si>
  <si>
    <t>A000046</t>
    <phoneticPr fontId="3" type="noConversion"/>
  </si>
  <si>
    <t>X001504</t>
    <phoneticPr fontId="3" type="noConversion"/>
  </si>
  <si>
    <t>이미지스테크놀로지</t>
    <phoneticPr fontId="3" type="noConversion"/>
  </si>
  <si>
    <t>Y000467</t>
    <phoneticPr fontId="3" type="noConversion"/>
  </si>
  <si>
    <t>Y000468</t>
    <phoneticPr fontId="3" type="noConversion"/>
  </si>
  <si>
    <t>스틱벤처스</t>
    <phoneticPr fontId="3" type="noConversion"/>
  </si>
  <si>
    <t>오디텍</t>
    <phoneticPr fontId="3" type="noConversion"/>
  </si>
  <si>
    <t>솔브레인홀딩스</t>
    <phoneticPr fontId="3" type="noConversion"/>
  </si>
  <si>
    <t>한성크린텍</t>
    <phoneticPr fontId="3" type="noConversion"/>
  </si>
  <si>
    <t>씨케이디창업투자</t>
    <phoneticPr fontId="3" type="noConversion"/>
  </si>
  <si>
    <t>한국투자밸류자산운용</t>
    <phoneticPr fontId="3" type="noConversion"/>
  </si>
  <si>
    <t>프럼파스트</t>
    <phoneticPr fontId="3" type="noConversion"/>
  </si>
  <si>
    <t>삼성증권(ECM3팀)(상장)</t>
    <phoneticPr fontId="3" type="noConversion"/>
  </si>
  <si>
    <t>바디텍메드</t>
    <phoneticPr fontId="3" type="noConversion"/>
  </si>
  <si>
    <t>케이피엑스홀딩스</t>
    <phoneticPr fontId="3" type="noConversion"/>
  </si>
  <si>
    <t>씨앤투스</t>
    <phoneticPr fontId="3" type="noConversion"/>
  </si>
  <si>
    <t>조선선재</t>
    <phoneticPr fontId="3" type="noConversion"/>
  </si>
  <si>
    <t>테스</t>
    <phoneticPr fontId="3" type="noConversion"/>
  </si>
  <si>
    <t>메이븐그로쓰파트너스</t>
    <phoneticPr fontId="3" type="noConversion"/>
  </si>
  <si>
    <t>시냅틱인베스트먼트</t>
    <phoneticPr fontId="3" type="noConversion"/>
  </si>
  <si>
    <t>디엠에스</t>
    <phoneticPr fontId="3" type="noConversion"/>
  </si>
  <si>
    <t>제다이벤처스</t>
    <phoneticPr fontId="3" type="noConversion"/>
  </si>
  <si>
    <t>씨엘모빌리티</t>
    <phoneticPr fontId="3" type="noConversion"/>
  </si>
  <si>
    <t>지씨셀</t>
    <phoneticPr fontId="3" type="noConversion"/>
  </si>
  <si>
    <t>사세</t>
    <phoneticPr fontId="3" type="noConversion"/>
  </si>
  <si>
    <t>골든센츄리코리아</t>
    <phoneticPr fontId="3" type="noConversion"/>
  </si>
  <si>
    <t>미래에셋컨설팅</t>
    <phoneticPr fontId="3" type="noConversion"/>
  </si>
  <si>
    <t>케이에이아이-힉스IT1호</t>
    <phoneticPr fontId="3" type="noConversion"/>
  </si>
  <si>
    <t>나인테크</t>
    <phoneticPr fontId="3" type="noConversion"/>
  </si>
  <si>
    <t>전시몰닷컴(구,에이제이전시몰)</t>
    <phoneticPr fontId="3" type="noConversion"/>
  </si>
  <si>
    <t>아이엠엠크레딧앤솔루션</t>
    <phoneticPr fontId="3" type="noConversion"/>
  </si>
  <si>
    <t>한솔테크닉스</t>
    <phoneticPr fontId="3" type="noConversion"/>
  </si>
  <si>
    <t>KB손해보험</t>
    <phoneticPr fontId="3" type="noConversion"/>
  </si>
  <si>
    <t>한국투자증권(M&amp;A/인수금융2부)</t>
    <phoneticPr fontId="3" type="noConversion"/>
  </si>
  <si>
    <t>케이와이자산운용</t>
    <phoneticPr fontId="3" type="noConversion"/>
  </si>
  <si>
    <t>메리츠화재해상보험(LT)</t>
    <phoneticPr fontId="3" type="noConversion"/>
  </si>
  <si>
    <t>조용원</t>
    <phoneticPr fontId="3" type="noConversion"/>
  </si>
  <si>
    <t>메리츠증권(IND부)</t>
    <phoneticPr fontId="3" type="noConversion"/>
  </si>
  <si>
    <t>한솔아이원스</t>
    <phoneticPr fontId="3" type="noConversion"/>
  </si>
  <si>
    <t>스피어파워(상장)</t>
    <phoneticPr fontId="3" type="noConversion"/>
  </si>
  <si>
    <t>파로스아이바이오</t>
    <phoneticPr fontId="3" type="noConversion"/>
  </si>
  <si>
    <t>메리츠증권(대체투자상품팀)</t>
    <phoneticPr fontId="3" type="noConversion"/>
  </si>
  <si>
    <t>리딩에이스캐피탈</t>
    <phoneticPr fontId="3" type="noConversion"/>
  </si>
  <si>
    <t>엔젯</t>
    <phoneticPr fontId="3" type="noConversion"/>
  </si>
  <si>
    <t>Y000484</t>
    <phoneticPr fontId="3" type="noConversion"/>
  </si>
  <si>
    <t>교보증권(투자금융1부)</t>
    <phoneticPr fontId="3" type="noConversion"/>
  </si>
  <si>
    <t>X001538</t>
    <phoneticPr fontId="3" type="noConversion"/>
  </si>
  <si>
    <t>알엔투세라믹스</t>
    <phoneticPr fontId="3" type="noConversion"/>
  </si>
  <si>
    <t>X001539</t>
    <phoneticPr fontId="3" type="noConversion"/>
  </si>
  <si>
    <t>세프라텍</t>
    <phoneticPr fontId="3" type="noConversion"/>
  </si>
  <si>
    <t>X001542</t>
    <phoneticPr fontId="3" type="noConversion"/>
  </si>
  <si>
    <t>코레일유통</t>
    <phoneticPr fontId="3" type="noConversion"/>
  </si>
  <si>
    <t>W000680</t>
    <phoneticPr fontId="3" type="noConversion"/>
  </si>
  <si>
    <t>피코그램</t>
    <phoneticPr fontId="3" type="noConversion"/>
  </si>
  <si>
    <t>X001543</t>
    <phoneticPr fontId="3" type="noConversion"/>
  </si>
  <si>
    <t>한국바이오켐제약</t>
    <phoneticPr fontId="3" type="noConversion"/>
  </si>
  <si>
    <t>Y000486</t>
    <phoneticPr fontId="3" type="noConversion"/>
  </si>
  <si>
    <t>타이거자산운용</t>
    <phoneticPr fontId="3" type="noConversion"/>
  </si>
  <si>
    <t>T000123</t>
    <phoneticPr fontId="3" type="noConversion"/>
  </si>
  <si>
    <t>한국투자밸류자산운용(수익증권)</t>
    <phoneticPr fontId="3" type="noConversion"/>
  </si>
  <si>
    <t>김다현</t>
    <phoneticPr fontId="3" type="noConversion"/>
  </si>
  <si>
    <t>Y000487</t>
    <phoneticPr fontId="3" type="noConversion"/>
  </si>
  <si>
    <t>교보증권(VC사업부)</t>
    <phoneticPr fontId="3" type="noConversion"/>
  </si>
  <si>
    <t>오영석</t>
    <phoneticPr fontId="3" type="noConversion"/>
  </si>
  <si>
    <t>W000681</t>
    <phoneticPr fontId="3" type="noConversion"/>
  </si>
  <si>
    <t>IBK투자증권(부서명확인중)</t>
    <phoneticPr fontId="3" type="noConversion"/>
  </si>
  <si>
    <t>한국투자신탁운용</t>
    <phoneticPr fontId="3" type="noConversion"/>
  </si>
  <si>
    <t>씨큐브</t>
    <phoneticPr fontId="3" type="noConversion"/>
  </si>
  <si>
    <t>민테크(상장)</t>
    <phoneticPr fontId="3" type="noConversion"/>
  </si>
  <si>
    <t>티에스바이오</t>
    <phoneticPr fontId="3" type="noConversion"/>
  </si>
  <si>
    <t>에이디테크놀로지(상장)</t>
    <phoneticPr fontId="3" type="noConversion"/>
  </si>
  <si>
    <t>그린케미칼(상장)</t>
    <phoneticPr fontId="3" type="noConversion"/>
  </si>
  <si>
    <t>IBK투자증권(PI부)(구,투자금융부)</t>
    <phoneticPr fontId="3" type="noConversion"/>
  </si>
  <si>
    <t>시너지파트너스(상장)</t>
    <phoneticPr fontId="3" type="noConversion"/>
  </si>
  <si>
    <t>디알젬(상장)</t>
    <phoneticPr fontId="3" type="noConversion"/>
  </si>
  <si>
    <t>에이피위성(상장)</t>
    <phoneticPr fontId="3" type="noConversion"/>
  </si>
  <si>
    <t>하나증권(상장)</t>
    <phoneticPr fontId="3" type="noConversion"/>
  </si>
  <si>
    <t>코리아에셋투자증권</t>
    <phoneticPr fontId="3" type="noConversion"/>
  </si>
  <si>
    <t>엑스플러스(상장)</t>
    <phoneticPr fontId="3" type="noConversion"/>
  </si>
  <si>
    <t>나무아이씨티</t>
    <phoneticPr fontId="3" type="noConversion"/>
  </si>
  <si>
    <t>라이나생명</t>
    <phoneticPr fontId="3" type="noConversion"/>
  </si>
  <si>
    <t>리커버리자산운용</t>
    <phoneticPr fontId="3" type="noConversion"/>
  </si>
  <si>
    <t>경산제지</t>
    <phoneticPr fontId="3" type="noConversion"/>
  </si>
  <si>
    <t>년</t>
    <phoneticPr fontId="3" type="noConversion"/>
  </si>
  <si>
    <t>케이비에스</t>
    <phoneticPr fontId="3" type="noConversion"/>
  </si>
  <si>
    <t>월</t>
    <phoneticPr fontId="3" type="noConversion"/>
  </si>
  <si>
    <t>SK(사업부문)</t>
    <phoneticPr fontId="3" type="noConversion"/>
  </si>
  <si>
    <t>경보제약</t>
    <phoneticPr fontId="3" type="noConversion"/>
  </si>
  <si>
    <t>채동우</t>
    <phoneticPr fontId="3" type="noConversion"/>
  </si>
  <si>
    <t>미정</t>
    <phoneticPr fontId="3" type="noConversion"/>
  </si>
  <si>
    <t>디티씨</t>
    <phoneticPr fontId="3" type="noConversion"/>
  </si>
  <si>
    <t>변혜진</t>
    <phoneticPr fontId="3" type="noConversion"/>
  </si>
  <si>
    <t>원정우</t>
    <phoneticPr fontId="3" type="noConversion"/>
  </si>
  <si>
    <t>제이케이엔터프라이즈</t>
    <phoneticPr fontId="3" type="noConversion"/>
  </si>
  <si>
    <t>대창</t>
    <phoneticPr fontId="3" type="noConversion"/>
  </si>
  <si>
    <t>라미쿠스</t>
    <phoneticPr fontId="3" type="noConversion"/>
  </si>
  <si>
    <t>최수민</t>
    <phoneticPr fontId="3" type="noConversion"/>
  </si>
  <si>
    <t>미래에셋벤처투자</t>
    <phoneticPr fontId="3" type="noConversion"/>
  </si>
  <si>
    <t>오영석</t>
    <phoneticPr fontId="3" type="noConversion"/>
  </si>
  <si>
    <t>네오위즈파트너스</t>
    <phoneticPr fontId="3" type="noConversion"/>
  </si>
  <si>
    <t>서동현</t>
    <phoneticPr fontId="3" type="noConversion"/>
  </si>
  <si>
    <t>네오위즈(수익증권)</t>
    <phoneticPr fontId="3" type="noConversion"/>
  </si>
  <si>
    <t>이상민</t>
    <phoneticPr fontId="3" type="noConversion"/>
  </si>
  <si>
    <t>이상민</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</si>
</sst>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76" formatCode="0_);[Red]\(0\)"/>
    <numFmt numFmtId="177" formatCode="0.0_);[Red]\(0.0\)"/>
    <numFmt numFmtId="178" formatCode="_-* #,##0.0_-;\-* #,##0.0_-;_-* &quot;-&quot;_-;_-@_-"/>
    <numFmt numFmtId="179" formatCode="[$-F800]dddd\,\ mmmm\ dd\,\ yyyy"/>
    <numFmt numFmtId="180" formatCode="m&quot;월&quot;"/>
    <numFmt numFmtId="181" formatCode="_-* #,##0.00_-;\-* #,##0.00_-;_-* &quot;-&quot;_-;_-@_-"/>
    <numFmt numFmtId="182" formatCode="0.00_);[Red]\(0.00\)"/>
    <numFmt numFmtId="183" formatCode="0.0_ "/>
    <numFmt numFmtId="184" formatCode="mm&quot;월&quot;\ dd&quot;일&quot;"/>
  </numFmts>
  <fonts count="36" x14ac:knownFonts="1">
    <font>
      <sz val="11"/>
      <color theme="1"/>
      <name val="맑은 고딕"/>
      <family val="2"/>
      <charset val="129"/>
      <scheme val="minor"/>
    </font>
    <font>
      <sz val="11"/>
      <color theme="0"/>
      <name val="맑은 고딕"/>
      <family val="2"/>
      <charset val="129"/>
      <scheme val="minor"/>
    </font>
    <font>
      <b/>
      <sz val="11"/>
      <color theme="0"/>
      <name val="맑은 고딕"/>
      <family val="3"/>
      <charset val="129"/>
      <scheme val="minor"/>
    </font>
    <font>
      <sz val="8"/>
      <name val="맑은 고딕"/>
      <family val="2"/>
      <charset val="129"/>
      <scheme val="minor"/>
    </font>
    <font>
      <sz val="11"/>
      <name val="맑은 고딕"/>
      <family val="2"/>
      <charset val="129"/>
      <scheme val="minor"/>
    </font>
    <font>
      <sz val="11"/>
      <name val="맑은 고딕"/>
      <family val="3"/>
      <charset val="129"/>
      <scheme val="minor"/>
    </font>
    <font>
      <sz val="11"/>
      <color theme="1"/>
      <name val="맑은 고딕"/>
      <family val="3"/>
      <charset val="129"/>
      <scheme val="minor"/>
    </font>
    <font>
      <sz val="10"/>
      <color theme="1"/>
      <name val="맑은 고딕"/>
      <family val="2"/>
      <charset val="129"/>
      <scheme val="minor"/>
    </font>
    <font>
      <sz val="10"/>
      <name val="맑은 고딕"/>
      <family val="3"/>
      <charset val="129"/>
      <scheme val="minor"/>
    </font>
    <font>
      <b/>
      <sz val="10"/>
      <color theme="0"/>
      <name val="맑은 고딕"/>
      <family val="2"/>
      <charset val="129"/>
    </font>
    <font>
      <b/>
      <sz val="10"/>
      <name val="맑은 고딕"/>
      <family val="3"/>
      <charset val="129"/>
      <scheme val="minor"/>
    </font>
    <font>
      <b/>
      <sz val="11"/>
      <color theme="1"/>
      <name val="맑은 고딕"/>
      <family val="3"/>
      <charset val="129"/>
      <scheme val="minor"/>
    </font>
    <font>
      <b/>
      <sz val="11"/>
      <name val="맑은 고딕"/>
      <family val="2"/>
      <charset val="129"/>
      <scheme val="minor"/>
    </font>
    <font>
      <b/>
      <sz val="10"/>
      <name val="맑은 고딕"/>
      <family val="3"/>
      <charset val="129"/>
    </font>
    <font>
      <b/>
      <sz val="10"/>
      <color rgb="FFFFFFFF"/>
      <name val="맑은 고딕"/>
      <family val="3"/>
      <charset val="129"/>
    </font>
    <font>
      <sz val="10"/>
      <color theme="0"/>
      <name val="맑은 고딕"/>
      <family val="2"/>
      <charset val="129"/>
      <scheme val="minor"/>
    </font>
    <font>
      <sz val="10"/>
      <color theme="1"/>
      <name val="맑은 고딕"/>
      <family val="3"/>
      <charset val="129"/>
      <scheme val="minor"/>
    </font>
    <font>
      <b/>
      <sz val="10"/>
      <color theme="1"/>
      <name val="맑은 고딕"/>
      <family val="3"/>
      <charset val="129"/>
      <scheme val="minor"/>
    </font>
    <font>
      <b/>
      <u/>
      <sz val="10"/>
      <color theme="1"/>
      <name val="맑은 고딕"/>
      <family val="2"/>
      <charset val="129"/>
      <scheme val="minor"/>
    </font>
    <font>
      <b/>
      <u/>
      <sz val="10"/>
      <color theme="1"/>
      <name val="맑은 고딕"/>
      <family val="3"/>
      <charset val="129"/>
      <scheme val="minor"/>
    </font>
    <font>
      <sz val="10"/>
      <color rgb="FFFF0000"/>
      <name val="맑은 고딕"/>
      <family val="2"/>
      <charset val="129"/>
      <scheme val="minor"/>
    </font>
    <font>
      <b/>
      <sz val="10"/>
      <color theme="0"/>
      <name val="맑은 고딕"/>
      <family val="3"/>
      <charset val="129"/>
    </font>
    <font>
      <sz val="10"/>
      <color theme="0"/>
      <name val="맑은 고딕"/>
      <family val="3"/>
      <charset val="129"/>
      <scheme val="minor"/>
    </font>
    <font>
      <sz val="10"/>
      <name val="맑은 고딕"/>
      <family val="3"/>
      <charset val="129"/>
    </font>
    <font>
      <sz val="11"/>
      <color theme="1"/>
      <name val="맑은 고딕"/>
      <family val="2"/>
      <charset val="129"/>
      <scheme val="minor"/>
    </font>
    <font>
      <sz val="10"/>
      <color rgb="FFFF0000"/>
      <name val="맑은 고딕"/>
      <family val="3"/>
      <charset val="129"/>
      <scheme val="minor"/>
    </font>
    <font>
      <sz val="10"/>
      <name val="Arial"/>
      <family val="2"/>
    </font>
    <font>
      <sz val="10"/>
      <color theme="0" tint="-0.34998626667073579"/>
      <name val="맑은 고딕"/>
      <family val="3"/>
      <charset val="129"/>
      <scheme val="minor"/>
    </font>
    <font>
      <sz val="10"/>
      <color theme="0"/>
      <name val="맑은 고딕"/>
      <family val="3"/>
      <charset val="129"/>
    </font>
    <font>
      <sz val="11"/>
      <name val="Arial"/>
      <family val="2"/>
    </font>
    <font>
      <sz val="11"/>
      <name val="맑은 고딕"/>
      <family val="3"/>
      <charset val="129"/>
      <scheme val="major"/>
    </font>
    <font>
      <sz val="11"/>
      <color rgb="FF0070C0"/>
      <name val="맑은 고딕"/>
      <family val="3"/>
      <charset val="129"/>
      <scheme val="minor"/>
    </font>
    <font>
      <sz val="10"/>
      <color rgb="FF0070C0"/>
      <name val="맑은 고딕"/>
      <family val="3"/>
      <charset val="129"/>
      <scheme val="minor"/>
    </font>
    <font>
      <sz val="11"/>
      <color rgb="FFFF0000"/>
      <name val="맑은 고딕"/>
      <family val="2"/>
      <charset val="129"/>
      <scheme val="minor"/>
    </font>
    <font>
      <sz val="11"/>
      <color rgb="FF0070C0"/>
      <name val="맑은 고딕"/>
      <family val="2"/>
      <charset val="129"/>
      <scheme val="minor"/>
    </font>
    <font>
      <sz val="11"/>
      <color rgb="FFFF0000"/>
      <name val="맑은 고딕"/>
      <family val="3"/>
      <charset val="129"/>
      <scheme val="minor"/>
    </font>
  </fonts>
  <fills count="4">
    <fill>
      <patternFill patternType="none"/>
    </fill>
    <fill>
      <patternFill patternType="gray125"/>
    </fill>
    <fill>
      <patternFill patternType="solid">
        <fgColor theme="1"/>
        <bgColor indexed="64"/>
      </patternFill>
    </fill>
    <fill>
      <patternFill patternType="solid">
        <fgColor rgb="FFFFFF00"/>
        <bgColor indexed="64"/>
      </patternFill>
    </fill>
  </fills>
  <borders count="64">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thin">
        <color theme="0" tint="-0.24994659260841701"/>
      </right>
      <top style="medium">
        <color indexed="64"/>
      </top>
      <bottom style="thin">
        <color theme="0" tint="-0.24994659260841701"/>
      </bottom>
      <diagonal/>
    </border>
    <border>
      <left/>
      <right style="thin">
        <color theme="0" tint="-0.24994659260841701"/>
      </right>
      <top style="medium">
        <color indexed="64"/>
      </top>
      <bottom style="thin">
        <color theme="0" tint="-0.24994659260841701"/>
      </bottom>
      <diagonal/>
    </border>
    <border>
      <left style="thin">
        <color theme="0" tint="-0.24994659260841701"/>
      </left>
      <right style="thin">
        <color theme="0" tint="-0.24994659260841701"/>
      </right>
      <top style="medium">
        <color indexed="64"/>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1"/>
      </left>
      <right/>
      <top style="medium">
        <color theme="1"/>
      </top>
      <bottom style="medium">
        <color theme="1"/>
      </bottom>
      <diagonal/>
    </border>
    <border>
      <left style="thin">
        <color auto="1"/>
      </left>
      <right style="medium">
        <color theme="1"/>
      </right>
      <top style="medium">
        <color theme="1"/>
      </top>
      <bottom style="thin">
        <color theme="0" tint="-0.24994659260841701"/>
      </bottom>
      <diagonal/>
    </border>
    <border>
      <left style="thin">
        <color auto="1"/>
      </left>
      <right style="medium">
        <color theme="1"/>
      </right>
      <top style="thin">
        <color theme="0" tint="-0.24994659260841701"/>
      </top>
      <bottom style="thin">
        <color theme="0" tint="-0.24994659260841701"/>
      </bottom>
      <diagonal/>
    </border>
    <border>
      <left style="thin">
        <color auto="1"/>
      </left>
      <right style="medium">
        <color theme="1"/>
      </right>
      <top style="thin">
        <color theme="0" tint="-0.24994659260841701"/>
      </top>
      <bottom style="medium">
        <color theme="1"/>
      </bottom>
      <diagonal/>
    </border>
    <border>
      <left/>
      <right/>
      <top/>
      <bottom style="medium">
        <color theme="1"/>
      </bottom>
      <diagonal/>
    </border>
    <border>
      <left style="medium">
        <color theme="1"/>
      </left>
      <right style="medium">
        <color theme="1"/>
      </right>
      <top style="medium">
        <color theme="1"/>
      </top>
      <bottom style="medium">
        <color theme="1"/>
      </bottom>
      <diagonal/>
    </border>
    <border>
      <left style="medium">
        <color theme="1"/>
      </left>
      <right style="thin">
        <color theme="0" tint="-0.499984740745262"/>
      </right>
      <top style="medium">
        <color theme="1"/>
      </top>
      <bottom style="medium">
        <color theme="1"/>
      </bottom>
      <diagonal/>
    </border>
    <border>
      <left style="thin">
        <color theme="0" tint="-0.499984740745262"/>
      </left>
      <right style="thin">
        <color theme="0" tint="-0.499984740745262"/>
      </right>
      <top style="medium">
        <color theme="1"/>
      </top>
      <bottom style="medium">
        <color theme="1"/>
      </bottom>
      <diagonal/>
    </border>
    <border>
      <left style="thin">
        <color theme="0" tint="-0.499984740745262"/>
      </left>
      <right style="medium">
        <color auto="1"/>
      </right>
      <top style="medium">
        <color theme="1"/>
      </top>
      <bottom style="medium">
        <color theme="1"/>
      </bottom>
      <diagonal/>
    </border>
    <border>
      <left/>
      <right style="medium">
        <color theme="1"/>
      </right>
      <top style="medium">
        <color theme="1"/>
      </top>
      <bottom style="medium">
        <color theme="1"/>
      </bottom>
      <diagonal/>
    </border>
    <border>
      <left/>
      <right style="medium">
        <color theme="1"/>
      </right>
      <top style="medium">
        <color theme="1"/>
      </top>
      <bottom/>
      <diagonal/>
    </border>
    <border>
      <left style="medium">
        <color indexed="64"/>
      </left>
      <right style="medium">
        <color theme="1"/>
      </right>
      <top style="medium">
        <color indexed="64"/>
      </top>
      <bottom style="medium">
        <color theme="1"/>
      </bottom>
      <diagonal/>
    </border>
    <border>
      <left style="medium">
        <color theme="1"/>
      </left>
      <right style="medium">
        <color theme="1"/>
      </right>
      <top style="medium">
        <color indexed="64"/>
      </top>
      <bottom style="medium">
        <color theme="1"/>
      </bottom>
      <diagonal/>
    </border>
    <border>
      <left style="medium">
        <color theme="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theme="1"/>
      </left>
      <right style="thin">
        <color theme="0" tint="-0.499984740745262"/>
      </right>
      <top style="thin">
        <color theme="0" tint="-0.24994659260841701"/>
      </top>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medium">
        <color auto="1"/>
      </right>
      <top/>
      <bottom style="thin">
        <color theme="0" tint="-0.24994659260841701"/>
      </bottom>
      <diagonal/>
    </border>
    <border>
      <left style="thin">
        <color theme="0" tint="-0.24994659260841701"/>
      </left>
      <right style="medium">
        <color theme="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medium">
        <color indexed="64"/>
      </left>
      <right style="medium">
        <color theme="1"/>
      </right>
      <top style="medium">
        <color theme="1"/>
      </top>
      <bottom style="medium">
        <color indexed="64"/>
      </bottom>
      <diagonal/>
    </border>
    <border>
      <left style="medium">
        <color theme="1"/>
      </left>
      <right style="medium">
        <color theme="1"/>
      </right>
      <top style="medium">
        <color theme="1"/>
      </top>
      <bottom style="medium">
        <color indexed="64"/>
      </bottom>
      <diagonal/>
    </border>
    <border>
      <left style="thin">
        <color theme="0" tint="-0.499984740745262"/>
      </left>
      <right style="thin">
        <color theme="0" tint="-0.499984740745262"/>
      </right>
      <top style="thin">
        <color theme="1" tint="0.499984740745262"/>
      </top>
      <bottom/>
      <diagonal/>
    </border>
    <border>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diagonal/>
    </border>
    <border>
      <left style="medium">
        <color indexed="64"/>
      </left>
      <right/>
      <top style="medium">
        <color indexed="64"/>
      </top>
      <bottom style="medium">
        <color theme="1"/>
      </bottom>
      <diagonal/>
    </border>
    <border>
      <left style="medium">
        <color theme="1"/>
      </left>
      <right style="medium">
        <color indexed="64"/>
      </right>
      <top style="medium">
        <color indexed="64"/>
      </top>
      <bottom style="medium">
        <color theme="1"/>
      </bottom>
      <diagonal/>
    </border>
    <border>
      <left style="medium">
        <color indexed="64"/>
      </left>
      <right style="thin">
        <color theme="0" tint="-0.24994659260841701"/>
      </right>
      <top style="medium">
        <color theme="1"/>
      </top>
      <bottom style="thin">
        <color theme="0" tint="-0.24994659260841701"/>
      </bottom>
      <diagonal/>
    </border>
    <border>
      <left style="thin">
        <color theme="0" tint="-0.24994659260841701"/>
      </left>
      <right style="medium">
        <color indexed="64"/>
      </right>
      <top style="medium">
        <color theme="1"/>
      </top>
      <bottom style="thin">
        <color theme="0" tint="-0.24994659260841701"/>
      </bottom>
      <diagonal/>
    </border>
    <border>
      <left style="medium">
        <color indexed="64"/>
      </left>
      <right style="thin">
        <color theme="0" tint="-0.24994659260841701"/>
      </right>
      <top style="thin">
        <color theme="0" tint="-0.24994659260841701"/>
      </top>
      <bottom style="medium">
        <color indexed="64"/>
      </bottom>
      <diagonal/>
    </border>
    <border>
      <left style="thin">
        <color theme="0" tint="-0.24994659260841701"/>
      </left>
      <right style="medium">
        <color indexed="64"/>
      </right>
      <top style="thin">
        <color theme="0" tint="-0.24994659260841701"/>
      </top>
      <bottom style="medium">
        <color indexed="64"/>
      </bottom>
      <diagonal/>
    </border>
    <border>
      <left style="thin">
        <color theme="0" tint="-0.499984740745262"/>
      </left>
      <right style="thin">
        <color theme="0" tint="-0.499984740745262"/>
      </right>
      <top/>
      <bottom style="thin">
        <color theme="1" tint="0.499984740745262"/>
      </bottom>
      <diagonal/>
    </border>
    <border>
      <left/>
      <right style="thin">
        <color theme="0" tint="-0.24994659260841701"/>
      </right>
      <top/>
      <bottom style="thin">
        <color theme="0" tint="-0.24994659260841701"/>
      </bottom>
      <diagonal/>
    </border>
    <border>
      <left style="thin">
        <color theme="0" tint="-0.24994659260841701"/>
      </left>
      <right style="medium">
        <color theme="1"/>
      </right>
      <top/>
      <bottom style="thin">
        <color theme="0" tint="-0.24994659260841701"/>
      </bottom>
      <diagonal/>
    </border>
    <border>
      <left style="thin">
        <color theme="0" tint="-0.499984740745262"/>
      </left>
      <right style="thin">
        <color theme="0" tint="-0.499984740745262"/>
      </right>
      <top style="thin">
        <color theme="0" tint="-0.24994659260841701"/>
      </top>
      <bottom style="medium">
        <color theme="1"/>
      </bottom>
      <diagonal/>
    </border>
    <border>
      <left style="thin">
        <color theme="0" tint="-0.499984740745262"/>
      </left>
      <right style="thin">
        <color theme="0" tint="-0.499984740745262"/>
      </right>
      <top style="thin">
        <color theme="0" tint="-0.24994659260841701"/>
      </top>
      <bottom style="medium">
        <color auto="1"/>
      </bottom>
      <diagonal/>
    </border>
    <border>
      <left style="thin">
        <color theme="0" tint="-0.499984740745262"/>
      </left>
      <right style="medium">
        <color theme="1"/>
      </right>
      <top style="thin">
        <color theme="0" tint="-0.24994659260841701"/>
      </top>
      <bottom style="medium">
        <color theme="1"/>
      </bottom>
      <diagonal/>
    </border>
    <border>
      <left/>
      <right style="thin">
        <color theme="0" tint="-0.24994659260841701"/>
      </right>
      <top style="thin">
        <color theme="0" tint="-0.24994659260841701"/>
      </top>
      <bottom style="medium">
        <color auto="1"/>
      </bottom>
      <diagonal/>
    </border>
    <border>
      <left style="thin">
        <color theme="0" tint="-0.24994659260841701"/>
      </left>
      <right style="medium">
        <color theme="1"/>
      </right>
      <top style="thin">
        <color theme="0" tint="-0.24994659260841701"/>
      </top>
      <bottom style="medium">
        <color auto="1"/>
      </bottom>
      <diagonal/>
    </border>
    <border>
      <left style="medium">
        <color theme="1"/>
      </left>
      <right style="thin">
        <color theme="0" tint="-0.24994659260841701"/>
      </right>
      <top style="thin">
        <color theme="0" tint="-0.24994659260841701"/>
      </top>
      <bottom/>
      <diagonal/>
    </border>
    <border>
      <left style="thin">
        <color theme="0" tint="-0.24994659260841701"/>
      </left>
      <right style="medium">
        <color theme="1"/>
      </right>
      <top style="thin">
        <color theme="0" tint="-0.24994659260841701"/>
      </top>
      <bottom/>
      <diagonal/>
    </border>
    <border>
      <left style="medium">
        <color theme="1"/>
      </left>
      <right style="thin">
        <color theme="0" tint="-0.24994659260841701"/>
      </right>
      <top style="thin">
        <color theme="0" tint="-0.24994659260841701"/>
      </top>
      <bottom style="medium">
        <color theme="1"/>
      </bottom>
      <diagonal/>
    </border>
    <border>
      <left style="thin">
        <color theme="0" tint="-0.24994659260841701"/>
      </left>
      <right style="medium">
        <color theme="1"/>
      </right>
      <top style="thin">
        <color theme="0" tint="-0.24994659260841701"/>
      </top>
      <bottom style="medium">
        <color theme="1"/>
      </bottom>
      <diagonal/>
    </border>
    <border>
      <left style="medium">
        <color theme="1"/>
      </left>
      <right style="thin">
        <color theme="0" tint="-0.24994659260841701"/>
      </right>
      <top style="medium">
        <color theme="1"/>
      </top>
      <bottom style="thin">
        <color theme="0" tint="-0.24994659260841701"/>
      </bottom>
      <diagonal/>
    </border>
    <border>
      <left style="thin">
        <color theme="0" tint="-0.24994659260841701"/>
      </left>
      <right style="medium">
        <color theme="1"/>
      </right>
      <top style="medium">
        <color theme="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1"/>
      </bottom>
      <diagonal/>
    </border>
    <border>
      <left style="medium">
        <color theme="1"/>
      </left>
      <right style="medium">
        <color theme="1"/>
      </right>
      <top/>
      <bottom/>
      <diagonal/>
    </border>
    <border>
      <left style="thin">
        <color theme="0" tint="-0.24994659260841701"/>
      </left>
      <right style="thin">
        <color theme="0" tint="-0.24994659260841701"/>
      </right>
      <top style="medium">
        <color theme="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right style="thin">
        <color theme="0" tint="-0.499984740745262"/>
      </right>
      <top style="thin">
        <color theme="0" tint="-0.24994659260841701"/>
      </top>
      <bottom/>
      <diagonal/>
    </border>
    <border>
      <left style="medium">
        <color theme="1"/>
      </left>
      <right/>
      <top/>
      <bottom/>
      <diagonal/>
    </border>
    <border>
      <left style="thin">
        <color theme="0" tint="-0.24994659260841701"/>
      </left>
      <right style="thin">
        <color theme="0" tint="-0.24994659260841701"/>
      </right>
      <top style="thin">
        <color theme="0" tint="-0.24994659260841701"/>
      </top>
      <bottom/>
      <diagonal/>
    </border>
    <border>
      <left style="medium">
        <color theme="1"/>
      </left>
      <right style="thin">
        <color theme="0" tint="-0.24994659260841701"/>
      </right>
      <top/>
      <bottom style="thin">
        <color theme="0" tint="-0.24994659260841701"/>
      </bottom>
      <diagonal/>
    </border>
  </borders>
  <cellStyleXfs count="8">
    <xf numFmtId="0" fontId="0" fillId="0" borderId="0">
      <alignment vertical="center"/>
    </xf>
    <xf numFmtId="9" fontId="24" fillId="0" borderId="0" applyFont="0" applyFill="0" applyBorder="0" applyAlignment="0" applyProtection="0">
      <alignment vertical="center"/>
    </xf>
    <xf numFmtId="0" fontId="26" fillId="0" borderId="0"/>
    <xf numFmtId="0" fontId="26" fillId="0" borderId="0"/>
    <xf numFmtId="0" fontId="6" fillId="0" borderId="0">
      <alignment vertical="center"/>
    </xf>
    <xf numFmtId="0" fontId="24" fillId="0" borderId="0">
      <alignment vertical="center"/>
    </xf>
    <xf numFmtId="0" fontId="24" fillId="0" borderId="0">
      <alignment vertical="center"/>
    </xf>
    <xf numFmtId="0" fontId="24" fillId="0" borderId="0">
      <alignment vertical="center"/>
    </xf>
  </cellStyleXfs>
  <cellXfs count="279">
    <xf numFmtId="0" fontId="0" fillId="0" borderId="0" xfId="0">
      <alignment vertical="center"/>
    </xf>
    <xf numFmtId="49" fontId="2" fillId="2" borderId="0" xfId="0" applyNumberFormat="1" applyFont="1" applyFill="1" applyBorder="1" applyAlignment="1">
      <alignment horizontal="left" vertical="center"/>
    </xf>
    <xf numFmtId="176" fontId="2" fillId="2" borderId="0" xfId="0" applyNumberFormat="1" applyFont="1" applyFill="1" applyBorder="1" applyAlignment="1">
      <alignment horizontal="left" vertical="center"/>
    </xf>
    <xf numFmtId="49" fontId="2" fillId="2" borderId="0" xfId="0" applyNumberFormat="1" applyFont="1" applyFill="1" applyBorder="1" applyAlignment="1">
      <alignment vertical="center"/>
    </xf>
    <xf numFmtId="176" fontId="2" fillId="2" borderId="0" xfId="0" applyNumberFormat="1" applyFont="1" applyFill="1" applyBorder="1" applyAlignment="1">
      <alignment vertical="center"/>
    </xf>
    <xf numFmtId="14" fontId="2" fillId="2" borderId="0" xfId="0" applyNumberFormat="1" applyFont="1" applyFill="1" applyBorder="1" applyAlignment="1">
      <alignment horizontal="left" vertical="center"/>
    </xf>
    <xf numFmtId="0" fontId="2" fillId="2" borderId="0" xfId="0" applyFont="1" applyFill="1" applyBorder="1" applyAlignment="1">
      <alignment horizontal="left" vertical="center"/>
    </xf>
    <xf numFmtId="0" fontId="2" fillId="2" borderId="0" xfId="0" applyNumberFormat="1" applyFont="1" applyFill="1" applyBorder="1" applyAlignment="1">
      <alignment horizontal="left" vertical="center"/>
    </xf>
    <xf numFmtId="0" fontId="2" fillId="2" borderId="0" xfId="0" applyFont="1" applyFill="1" applyAlignment="1">
      <alignment horizontal="left" vertical="center"/>
    </xf>
    <xf numFmtId="0" fontId="5" fillId="0" borderId="0" xfId="0" applyNumberFormat="1" applyFont="1" applyFill="1" applyAlignment="1">
      <alignment horizontal="left" vertical="center"/>
    </xf>
    <xf numFmtId="176" fontId="5" fillId="0" borderId="0" xfId="0" applyNumberFormat="1" applyFont="1" applyFill="1" applyAlignment="1">
      <alignment horizontal="left" vertical="center"/>
    </xf>
    <xf numFmtId="0" fontId="5" fillId="0" borderId="0" xfId="0" applyFont="1">
      <alignment vertical="center"/>
    </xf>
    <xf numFmtId="0" fontId="0" fillId="0" borderId="0" xfId="0" applyFill="1" applyAlignment="1">
      <alignment horizontal="center" vertical="center"/>
    </xf>
    <xf numFmtId="14" fontId="1" fillId="0" borderId="0" xfId="0" applyNumberFormat="1" applyFont="1" applyFill="1" applyAlignment="1">
      <alignment horizontal="center" vertical="center"/>
    </xf>
    <xf numFmtId="0" fontId="0" fillId="0" borderId="0" xfId="0" applyFill="1" applyAlignment="1">
      <alignment horizontal="left" vertical="center"/>
    </xf>
    <xf numFmtId="14" fontId="1" fillId="0" borderId="0" xfId="0" applyNumberFormat="1" applyFont="1" applyFill="1" applyAlignment="1">
      <alignment horizontal="left" vertical="center"/>
    </xf>
    <xf numFmtId="176" fontId="8" fillId="0" borderId="0" xfId="0" applyNumberFormat="1" applyFont="1" applyFill="1" applyBorder="1" applyAlignment="1"/>
    <xf numFmtId="14" fontId="8" fillId="0" borderId="0" xfId="0" applyNumberFormat="1" applyFont="1" applyFill="1" applyAlignment="1">
      <alignment horizontal="left" vertical="center"/>
    </xf>
    <xf numFmtId="14" fontId="0" fillId="0" borderId="0" xfId="0" applyNumberFormat="1" applyFill="1" applyAlignment="1">
      <alignment horizontal="left" vertical="center"/>
    </xf>
    <xf numFmtId="0" fontId="4" fillId="0" borderId="0" xfId="0" applyFont="1" applyFill="1" applyAlignment="1">
      <alignment horizontal="left" vertical="center"/>
    </xf>
    <xf numFmtId="0" fontId="0" fillId="0" borderId="0" xfId="0" applyFill="1" applyAlignment="1">
      <alignment horizontal="right" vertical="center"/>
    </xf>
    <xf numFmtId="0" fontId="1" fillId="0" borderId="0" xfId="0" applyFont="1" applyFill="1" applyAlignment="1">
      <alignment horizontal="left" vertical="center"/>
    </xf>
    <xf numFmtId="0" fontId="1" fillId="0" borderId="0" xfId="0" applyNumberFormat="1" applyFont="1" applyFill="1" applyAlignment="1">
      <alignment horizontal="left" vertical="center"/>
    </xf>
    <xf numFmtId="0" fontId="9" fillId="2" borderId="1" xfId="0" applyFont="1" applyFill="1" applyBorder="1" applyAlignment="1">
      <alignment horizontal="center" vertical="center"/>
    </xf>
    <xf numFmtId="179" fontId="10" fillId="3" borderId="2" xfId="0" applyNumberFormat="1" applyFont="1" applyFill="1" applyBorder="1" applyAlignment="1">
      <alignment horizontal="center" vertical="center"/>
    </xf>
    <xf numFmtId="0" fontId="6" fillId="0" borderId="0" xfId="0" applyFont="1" applyFill="1" applyAlignment="1">
      <alignment horizontal="left" vertical="center"/>
    </xf>
    <xf numFmtId="0" fontId="8" fillId="0" borderId="0" xfId="0" applyFont="1" applyFill="1" applyBorder="1" applyAlignment="1"/>
    <xf numFmtId="0" fontId="0" fillId="0" borderId="0" xfId="0" applyAlignment="1">
      <alignment horizontal="left" vertical="center"/>
    </xf>
    <xf numFmtId="0" fontId="0" fillId="0" borderId="0" xfId="0" applyBorder="1" applyAlignment="1">
      <alignment horizontal="left" vertical="center"/>
    </xf>
    <xf numFmtId="0" fontId="11" fillId="0" borderId="0" xfId="0" applyFont="1" applyBorder="1" applyAlignment="1">
      <alignment horizontal="left"/>
    </xf>
    <xf numFmtId="3" fontId="11" fillId="0" borderId="0" xfId="0" applyNumberFormat="1" applyFont="1" applyBorder="1" applyAlignment="1">
      <alignment horizontal="left"/>
    </xf>
    <xf numFmtId="0" fontId="12" fillId="0" borderId="0" xfId="0" applyFont="1" applyBorder="1" applyAlignment="1">
      <alignment horizontal="left"/>
    </xf>
    <xf numFmtId="0" fontId="11" fillId="0" borderId="0" xfId="0" applyFont="1" applyBorder="1" applyAlignment="1">
      <alignment horizontal="right"/>
    </xf>
    <xf numFmtId="0" fontId="11" fillId="0" borderId="0" xfId="0" applyNumberFormat="1" applyFont="1" applyBorder="1" applyAlignment="1">
      <alignment horizontal="left"/>
    </xf>
    <xf numFmtId="0" fontId="1" fillId="0" borderId="0" xfId="0" applyFont="1" applyAlignment="1">
      <alignment horizontal="left" vertical="center"/>
    </xf>
    <xf numFmtId="0" fontId="1" fillId="0" borderId="0" xfId="0" applyNumberFormat="1" applyFont="1" applyAlignment="1">
      <alignment horizontal="left" vertical="center"/>
    </xf>
    <xf numFmtId="0" fontId="13" fillId="0" borderId="0" xfId="0" applyFont="1" applyFill="1" applyBorder="1" applyAlignment="1">
      <alignment vertical="center"/>
    </xf>
    <xf numFmtId="0" fontId="13" fillId="0" borderId="0" xfId="0" applyFont="1" applyFill="1" applyBorder="1" applyAlignment="1">
      <alignment horizontal="center" vertical="center"/>
    </xf>
    <xf numFmtId="179" fontId="10" fillId="0" borderId="0" xfId="0" applyNumberFormat="1" applyFont="1" applyFill="1" applyBorder="1" applyAlignment="1">
      <alignment horizontal="left" vertical="center"/>
    </xf>
    <xf numFmtId="176" fontId="8" fillId="0" borderId="3" xfId="0" applyNumberFormat="1" applyFont="1" applyFill="1" applyBorder="1" applyAlignment="1"/>
    <xf numFmtId="0" fontId="0" fillId="0" borderId="0" xfId="0" applyFill="1" applyBorder="1" applyAlignment="1">
      <alignment horizontal="left" vertical="center"/>
    </xf>
    <xf numFmtId="0" fontId="11" fillId="0" borderId="0" xfId="0" applyFont="1" applyFill="1" applyBorder="1" applyAlignment="1">
      <alignment horizontal="left"/>
    </xf>
    <xf numFmtId="14" fontId="11" fillId="0" borderId="0" xfId="0" applyNumberFormat="1" applyFont="1" applyFill="1" applyBorder="1" applyAlignment="1">
      <alignment horizontal="left"/>
    </xf>
    <xf numFmtId="0" fontId="12" fillId="0" borderId="0" xfId="0" applyFont="1" applyFill="1" applyBorder="1" applyAlignment="1">
      <alignment horizontal="left"/>
    </xf>
    <xf numFmtId="0" fontId="11" fillId="0" borderId="0" xfId="0" applyFont="1" applyFill="1" applyBorder="1" applyAlignment="1">
      <alignment horizontal="right"/>
    </xf>
    <xf numFmtId="0" fontId="11" fillId="0" borderId="0" xfId="0" applyNumberFormat="1" applyFont="1" applyFill="1" applyBorder="1" applyAlignment="1">
      <alignment horizontal="left"/>
    </xf>
    <xf numFmtId="0" fontId="14" fillId="2" borderId="4" xfId="0" applyFont="1" applyFill="1" applyBorder="1" applyAlignment="1">
      <alignment horizontal="center" vertical="center" shrinkToFit="1"/>
    </xf>
    <xf numFmtId="0" fontId="14" fillId="2" borderId="5" xfId="0" applyFont="1" applyFill="1" applyBorder="1" applyAlignment="1">
      <alignment horizontal="center" vertical="center" shrinkToFit="1"/>
    </xf>
    <xf numFmtId="0" fontId="14" fillId="2" borderId="6" xfId="0" applyFont="1" applyFill="1" applyBorder="1" applyAlignment="1">
      <alignment horizontal="center" vertical="center" shrinkToFit="1"/>
    </xf>
    <xf numFmtId="176" fontId="14" fillId="2" borderId="6" xfId="0" applyNumberFormat="1" applyFont="1" applyFill="1" applyBorder="1" applyAlignment="1">
      <alignment horizontal="center" vertical="center" shrinkToFit="1"/>
    </xf>
    <xf numFmtId="14" fontId="14" fillId="2" borderId="6" xfId="0" applyNumberFormat="1" applyFont="1" applyFill="1" applyBorder="1" applyAlignment="1">
      <alignment horizontal="center" vertical="center" wrapText="1" shrinkToFit="1"/>
    </xf>
    <xf numFmtId="0" fontId="14" fillId="2" borderId="6" xfId="0" applyFont="1" applyFill="1" applyBorder="1" applyAlignment="1">
      <alignment horizontal="center" vertical="center" wrapText="1" shrinkToFit="1"/>
    </xf>
    <xf numFmtId="0" fontId="14" fillId="2" borderId="6" xfId="0" applyNumberFormat="1" applyFont="1" applyFill="1" applyBorder="1" applyAlignment="1">
      <alignment horizontal="center" vertical="center" shrinkToFit="1"/>
    </xf>
    <xf numFmtId="0" fontId="0" fillId="0" borderId="0" xfId="0" applyAlignment="1">
      <alignment horizontal="center" vertical="center"/>
    </xf>
    <xf numFmtId="0" fontId="8" fillId="0" borderId="7" xfId="0" applyNumberFormat="1" applyFont="1" applyFill="1" applyBorder="1" applyAlignment="1">
      <alignment horizontal="center" vertical="center"/>
    </xf>
    <xf numFmtId="0" fontId="8" fillId="0" borderId="8" xfId="0" applyNumberFormat="1" applyFont="1" applyFill="1" applyBorder="1" applyAlignment="1">
      <alignment horizontal="center" vertical="center"/>
    </xf>
    <xf numFmtId="0" fontId="8" fillId="0" borderId="9" xfId="0" applyNumberFormat="1" applyFont="1" applyFill="1" applyBorder="1" applyAlignment="1">
      <alignment horizontal="left" vertical="center"/>
    </xf>
    <xf numFmtId="14" fontId="8" fillId="0" borderId="9" xfId="0" applyNumberFormat="1" applyFont="1" applyFill="1" applyBorder="1" applyAlignment="1">
      <alignment horizontal="left" vertical="center"/>
    </xf>
    <xf numFmtId="49" fontId="8" fillId="0" borderId="9" xfId="0" applyNumberFormat="1" applyFont="1" applyFill="1" applyBorder="1" applyAlignment="1">
      <alignment horizontal="left" vertical="center"/>
    </xf>
    <xf numFmtId="176" fontId="8" fillId="0" borderId="9" xfId="0" applyNumberFormat="1" applyFont="1" applyFill="1" applyBorder="1" applyAlignment="1">
      <alignment horizontal="left" vertical="center"/>
    </xf>
    <xf numFmtId="178" fontId="8" fillId="0" borderId="9" xfId="0" applyNumberFormat="1" applyFont="1" applyFill="1" applyBorder="1" applyAlignment="1">
      <alignment horizontal="right" vertical="center"/>
    </xf>
    <xf numFmtId="0" fontId="8" fillId="0" borderId="9" xfId="0" applyFont="1" applyFill="1" applyBorder="1" applyAlignment="1">
      <alignment horizontal="left" vertical="center"/>
    </xf>
    <xf numFmtId="0" fontId="15" fillId="0" borderId="0" xfId="0" applyFont="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center"/>
    </xf>
    <xf numFmtId="0" fontId="16" fillId="0" borderId="0" xfId="0" applyFont="1" applyAlignment="1">
      <alignment horizontal="left" vertical="center"/>
    </xf>
    <xf numFmtId="0" fontId="16" fillId="0" borderId="0" xfId="0" applyFont="1">
      <alignment vertical="center"/>
    </xf>
    <xf numFmtId="0" fontId="16" fillId="0" borderId="0" xfId="0" applyFont="1" applyAlignment="1">
      <alignment horizontal="center" vertical="center"/>
    </xf>
    <xf numFmtId="0" fontId="9" fillId="2" borderId="10" xfId="0" applyFont="1" applyFill="1" applyBorder="1" applyAlignment="1">
      <alignment horizontal="center" vertical="center"/>
    </xf>
    <xf numFmtId="14" fontId="17" fillId="3" borderId="11" xfId="0" applyNumberFormat="1" applyFont="1" applyFill="1" applyBorder="1" applyAlignment="1">
      <alignment horizontal="center" vertical="center"/>
    </xf>
    <xf numFmtId="0" fontId="7" fillId="0" borderId="0" xfId="0" applyFont="1">
      <alignment vertical="center"/>
    </xf>
    <xf numFmtId="0" fontId="7" fillId="0" borderId="0" xfId="0" applyFont="1" applyAlignment="1">
      <alignment horizontal="left" vertical="center"/>
    </xf>
    <xf numFmtId="14" fontId="16" fillId="0" borderId="12" xfId="0" applyNumberFormat="1" applyFont="1" applyBorder="1" applyAlignment="1">
      <alignment horizontal="center" vertical="center"/>
    </xf>
    <xf numFmtId="14" fontId="16" fillId="0" borderId="13" xfId="0" applyNumberFormat="1" applyFont="1" applyBorder="1" applyAlignment="1">
      <alignment horizontal="center" vertical="center"/>
    </xf>
    <xf numFmtId="0" fontId="18" fillId="0" borderId="0" xfId="0" applyFont="1" applyBorder="1" applyAlignment="1">
      <alignment horizontal="center" vertical="center"/>
    </xf>
    <xf numFmtId="0" fontId="17" fillId="0" borderId="0" xfId="0" applyFont="1" applyAlignment="1">
      <alignment horizontal="left" vertical="center"/>
    </xf>
    <xf numFmtId="0" fontId="19" fillId="0" borderId="0" xfId="0" applyFont="1" applyBorder="1" applyAlignment="1">
      <alignment horizontal="center" vertical="center"/>
    </xf>
    <xf numFmtId="0" fontId="17" fillId="0" borderId="0" xfId="0" applyFont="1" applyFill="1" applyBorder="1" applyAlignment="1">
      <alignment vertical="center"/>
    </xf>
    <xf numFmtId="0" fontId="9" fillId="2" borderId="15" xfId="0" applyFont="1" applyFill="1" applyBorder="1" applyAlignment="1">
      <alignment horizontal="center" vertical="center"/>
    </xf>
    <xf numFmtId="0" fontId="21" fillId="2" borderId="10" xfId="0" applyFont="1" applyFill="1" applyBorder="1" applyAlignment="1">
      <alignment horizontal="center" vertical="center"/>
    </xf>
    <xf numFmtId="0" fontId="9" fillId="2" borderId="16" xfId="0" applyFont="1" applyFill="1" applyBorder="1" applyAlignment="1">
      <alignment horizontal="center" vertical="center"/>
    </xf>
    <xf numFmtId="0" fontId="9" fillId="2" borderId="17" xfId="0" applyFont="1" applyFill="1" applyBorder="1" applyAlignment="1">
      <alignment horizontal="center" vertical="center"/>
    </xf>
    <xf numFmtId="0" fontId="9" fillId="2" borderId="17" xfId="0" applyFont="1" applyFill="1" applyBorder="1" applyAlignment="1">
      <alignment horizontal="center" vertical="center" wrapText="1"/>
    </xf>
    <xf numFmtId="180" fontId="21" fillId="2" borderId="17" xfId="0" applyNumberFormat="1" applyFont="1" applyFill="1" applyBorder="1" applyAlignment="1">
      <alignment horizontal="center" vertical="center"/>
    </xf>
    <xf numFmtId="0" fontId="9" fillId="2" borderId="18" xfId="0" applyFont="1" applyFill="1" applyBorder="1" applyAlignment="1">
      <alignment horizontal="center" vertical="center"/>
    </xf>
    <xf numFmtId="0" fontId="9" fillId="2" borderId="19"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20" xfId="0" applyFont="1" applyFill="1" applyBorder="1" applyAlignment="1">
      <alignment horizontal="center" vertical="center" wrapText="1"/>
    </xf>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10" fontId="22" fillId="0" borderId="23" xfId="0" applyNumberFormat="1" applyFont="1" applyBorder="1" applyAlignment="1">
      <alignment horizontal="center" vertical="center"/>
    </xf>
    <xf numFmtId="181" fontId="22" fillId="0" borderId="24" xfId="0" applyNumberFormat="1" applyFont="1" applyBorder="1" applyAlignment="1">
      <alignment horizontal="center" vertical="center"/>
    </xf>
    <xf numFmtId="0" fontId="23" fillId="0" borderId="25" xfId="0" applyFont="1" applyFill="1" applyBorder="1" applyAlignment="1">
      <alignment horizontal="center" vertical="center"/>
    </xf>
    <xf numFmtId="10" fontId="16" fillId="0" borderId="26" xfId="0" applyNumberFormat="1" applyFont="1" applyFill="1" applyBorder="1" applyAlignment="1">
      <alignment horizontal="center" vertical="center"/>
    </xf>
    <xf numFmtId="0" fontId="23" fillId="0" borderId="26" xfId="0" applyFont="1" applyFill="1" applyBorder="1" applyAlignment="1">
      <alignment horizontal="center" vertical="center"/>
    </xf>
    <xf numFmtId="10" fontId="16" fillId="0" borderId="27" xfId="0" applyNumberFormat="1" applyFont="1" applyFill="1" applyBorder="1" applyAlignment="1">
      <alignment horizontal="center" vertical="center"/>
    </xf>
    <xf numFmtId="177" fontId="16" fillId="0" borderId="27" xfId="0" applyNumberFormat="1" applyFont="1" applyFill="1" applyBorder="1" applyAlignment="1">
      <alignment horizontal="center" vertical="center"/>
    </xf>
    <xf numFmtId="0" fontId="16" fillId="0" borderId="26" xfId="0" applyFont="1" applyFill="1" applyBorder="1" applyAlignment="1">
      <alignment horizontal="center" vertical="center"/>
    </xf>
    <xf numFmtId="10" fontId="8" fillId="0" borderId="26" xfId="0" applyNumberFormat="1" applyFont="1" applyFill="1" applyBorder="1" applyAlignment="1">
      <alignment horizontal="center" vertical="center"/>
    </xf>
    <xf numFmtId="182" fontId="16" fillId="0" borderId="26" xfId="0" applyNumberFormat="1" applyFont="1" applyFill="1" applyBorder="1" applyAlignment="1">
      <alignment horizontal="center" vertical="center"/>
    </xf>
    <xf numFmtId="182" fontId="16" fillId="0" borderId="28" xfId="0" applyNumberFormat="1" applyFont="1" applyFill="1" applyBorder="1" applyAlignment="1">
      <alignment horizontal="center" vertical="center"/>
    </xf>
    <xf numFmtId="182" fontId="16" fillId="0" borderId="8" xfId="0" applyNumberFormat="1" applyFont="1" applyFill="1" applyBorder="1" applyAlignment="1">
      <alignment horizontal="left" vertical="center"/>
    </xf>
    <xf numFmtId="182" fontId="16" fillId="0" borderId="29" xfId="0" applyNumberFormat="1" applyFont="1" applyFill="1" applyBorder="1" applyAlignment="1">
      <alignment horizontal="left" vertical="center"/>
    </xf>
    <xf numFmtId="182" fontId="16" fillId="0" borderId="30" xfId="0" applyNumberFormat="1" applyFont="1" applyFill="1" applyBorder="1" applyAlignment="1">
      <alignment horizontal="center" vertical="center"/>
    </xf>
    <xf numFmtId="177" fontId="16" fillId="0" borderId="30" xfId="0" applyNumberFormat="1" applyFont="1" applyFill="1" applyBorder="1" applyAlignment="1">
      <alignment horizontal="center" vertical="center"/>
    </xf>
    <xf numFmtId="177" fontId="17" fillId="0" borderId="31" xfId="0" applyNumberFormat="1" applyFont="1" applyBorder="1" applyAlignment="1">
      <alignment horizontal="center" vertical="center"/>
    </xf>
    <xf numFmtId="177" fontId="17" fillId="0" borderId="32" xfId="0" applyNumberFormat="1" applyFont="1" applyBorder="1" applyAlignment="1">
      <alignment horizontal="center" vertical="center"/>
    </xf>
    <xf numFmtId="10" fontId="16" fillId="0" borderId="34" xfId="0" applyNumberFormat="1" applyFont="1" applyFill="1" applyBorder="1" applyAlignment="1">
      <alignment horizontal="center" vertical="center"/>
    </xf>
    <xf numFmtId="0" fontId="16" fillId="0" borderId="0" xfId="0" applyFont="1" applyFill="1">
      <alignment vertical="center"/>
    </xf>
    <xf numFmtId="0" fontId="10" fillId="0" borderId="0" xfId="0" applyFont="1" applyAlignment="1">
      <alignment horizontal="left" vertical="center"/>
    </xf>
    <xf numFmtId="10" fontId="16" fillId="0" borderId="29" xfId="0" applyNumberFormat="1" applyFont="1" applyFill="1" applyBorder="1" applyAlignment="1">
      <alignment horizontal="left" vertical="center"/>
    </xf>
    <xf numFmtId="0" fontId="9" fillId="2" borderId="36" xfId="0" applyFont="1" applyFill="1" applyBorder="1" applyAlignment="1">
      <alignment horizontal="center" vertical="center"/>
    </xf>
    <xf numFmtId="0" fontId="9" fillId="2" borderId="37" xfId="0" applyFont="1" applyFill="1" applyBorder="1" applyAlignment="1">
      <alignment horizontal="center" vertical="center"/>
    </xf>
    <xf numFmtId="0" fontId="17" fillId="0" borderId="38" xfId="0" applyFont="1" applyFill="1" applyBorder="1" applyAlignment="1">
      <alignment horizontal="center" vertical="center"/>
    </xf>
    <xf numFmtId="177" fontId="17" fillId="0" borderId="39" xfId="0" applyNumberFormat="1" applyFont="1" applyFill="1" applyBorder="1" applyAlignment="1">
      <alignment horizontal="center" vertical="center"/>
    </xf>
    <xf numFmtId="10" fontId="17" fillId="0" borderId="40" xfId="0" applyNumberFormat="1" applyFont="1" applyFill="1" applyBorder="1" applyAlignment="1">
      <alignment horizontal="center" vertical="center"/>
    </xf>
    <xf numFmtId="177" fontId="17" fillId="0" borderId="41" xfId="0" applyNumberFormat="1" applyFont="1" applyBorder="1" applyAlignment="1">
      <alignment horizontal="center" vertical="center"/>
    </xf>
    <xf numFmtId="0" fontId="16" fillId="0" borderId="0" xfId="0" applyFont="1" applyAlignment="1">
      <alignment horizontal="left" vertical="center" indent="1"/>
    </xf>
    <xf numFmtId="0" fontId="16" fillId="0" borderId="0" xfId="0" applyFont="1" applyFill="1" applyAlignment="1">
      <alignment horizontal="left" vertical="center"/>
    </xf>
    <xf numFmtId="0" fontId="22" fillId="0" borderId="0" xfId="0" applyFont="1">
      <alignment vertical="center"/>
    </xf>
    <xf numFmtId="0" fontId="8" fillId="0" borderId="0" xfId="0" applyFont="1">
      <alignment vertical="center"/>
    </xf>
    <xf numFmtId="14" fontId="16" fillId="0" borderId="29" xfId="0" applyNumberFormat="1" applyFont="1" applyFill="1" applyBorder="1" applyAlignment="1">
      <alignment horizontal="left" vertical="center"/>
    </xf>
    <xf numFmtId="182" fontId="22" fillId="0" borderId="8" xfId="0" applyNumberFormat="1" applyFont="1" applyFill="1" applyBorder="1" applyAlignment="1">
      <alignment horizontal="left" vertical="center"/>
    </xf>
    <xf numFmtId="182" fontId="22" fillId="0" borderId="29" xfId="0" applyNumberFormat="1" applyFont="1" applyFill="1" applyBorder="1" applyAlignment="1">
      <alignment horizontal="left" vertical="center"/>
    </xf>
    <xf numFmtId="0" fontId="8" fillId="0" borderId="27" xfId="0" applyFont="1" applyFill="1" applyBorder="1" applyAlignment="1">
      <alignment horizontal="center" vertical="center"/>
    </xf>
    <xf numFmtId="0" fontId="23" fillId="0" borderId="27" xfId="0" applyFont="1" applyFill="1" applyBorder="1" applyAlignment="1">
      <alignment horizontal="center" vertical="center"/>
    </xf>
    <xf numFmtId="10" fontId="8" fillId="0" borderId="27" xfId="0" applyNumberFormat="1" applyFont="1" applyFill="1" applyBorder="1" applyAlignment="1">
      <alignment horizontal="center" vertical="center"/>
    </xf>
    <xf numFmtId="10" fontId="22" fillId="0" borderId="29" xfId="0" applyNumberFormat="1" applyFont="1" applyFill="1" applyBorder="1" applyAlignment="1">
      <alignment horizontal="left" vertical="center"/>
    </xf>
    <xf numFmtId="182" fontId="16" fillId="0" borderId="43" xfId="0" applyNumberFormat="1" applyFont="1" applyFill="1" applyBorder="1" applyAlignment="1">
      <alignment horizontal="left" vertical="center"/>
    </xf>
    <xf numFmtId="182" fontId="16" fillId="0" borderId="44" xfId="0" applyNumberFormat="1" applyFont="1" applyFill="1" applyBorder="1" applyAlignment="1">
      <alignment horizontal="left" vertical="center"/>
    </xf>
    <xf numFmtId="0" fontId="23" fillId="0" borderId="45" xfId="0" applyFont="1" applyFill="1" applyBorder="1" applyAlignment="1">
      <alignment vertical="center"/>
    </xf>
    <xf numFmtId="10" fontId="16" fillId="0" borderId="45" xfId="0" applyNumberFormat="1" applyFont="1" applyFill="1" applyBorder="1" applyAlignment="1">
      <alignment horizontal="center" vertical="center"/>
    </xf>
    <xf numFmtId="177" fontId="16" fillId="0" borderId="45" xfId="0" applyNumberFormat="1" applyFont="1" applyBorder="1" applyAlignment="1">
      <alignment horizontal="center" vertical="center"/>
    </xf>
    <xf numFmtId="10" fontId="8" fillId="0" borderId="46" xfId="0" applyNumberFormat="1" applyFont="1" applyFill="1" applyBorder="1" applyAlignment="1">
      <alignment horizontal="center" vertical="center"/>
    </xf>
    <xf numFmtId="10" fontId="16" fillId="0" borderId="46" xfId="0" applyNumberFormat="1" applyFont="1" applyFill="1" applyBorder="1" applyAlignment="1">
      <alignment horizontal="center" vertical="center"/>
    </xf>
    <xf numFmtId="177" fontId="16" fillId="0" borderId="45" xfId="0" applyNumberFormat="1" applyFont="1" applyFill="1" applyBorder="1" applyAlignment="1">
      <alignment horizontal="center" vertical="center"/>
    </xf>
    <xf numFmtId="177" fontId="16" fillId="0" borderId="47" xfId="0" applyNumberFormat="1" applyFont="1" applyFill="1" applyBorder="1" applyAlignment="1">
      <alignment horizontal="center" vertical="center"/>
    </xf>
    <xf numFmtId="182" fontId="16" fillId="0" borderId="48" xfId="0" applyNumberFormat="1" applyFont="1" applyFill="1" applyBorder="1" applyAlignment="1">
      <alignment horizontal="left" vertical="center"/>
    </xf>
    <xf numFmtId="182" fontId="16" fillId="0" borderId="49" xfId="0" applyNumberFormat="1" applyFont="1" applyFill="1" applyBorder="1" applyAlignment="1">
      <alignment horizontal="left" vertical="center"/>
    </xf>
    <xf numFmtId="0" fontId="16" fillId="0" borderId="0" xfId="0" applyFont="1" applyBorder="1" applyAlignment="1">
      <alignment horizontal="center" vertical="center"/>
    </xf>
    <xf numFmtId="177" fontId="16" fillId="0" borderId="0" xfId="0" applyNumberFormat="1" applyFont="1" applyAlignment="1">
      <alignment horizontal="left" vertical="center"/>
    </xf>
    <xf numFmtId="14" fontId="7" fillId="0" borderId="0" xfId="0" applyNumberFormat="1" applyFont="1" applyAlignment="1">
      <alignment horizontal="center" vertical="center"/>
    </xf>
    <xf numFmtId="0" fontId="22" fillId="0" borderId="0" xfId="0" applyFont="1" applyAlignment="1">
      <alignment horizontal="center" vertical="center"/>
    </xf>
    <xf numFmtId="176" fontId="16" fillId="0" borderId="23" xfId="0" applyNumberFormat="1" applyFont="1" applyFill="1" applyBorder="1" applyAlignment="1">
      <alignment horizontal="center" vertical="center"/>
    </xf>
    <xf numFmtId="10" fontId="8" fillId="0" borderId="29" xfId="0" applyNumberFormat="1" applyFont="1" applyFill="1" applyBorder="1" applyAlignment="1">
      <alignment horizontal="center" vertical="center"/>
    </xf>
    <xf numFmtId="176" fontId="16" fillId="0" borderId="50" xfId="0" applyNumberFormat="1" applyFont="1" applyFill="1" applyBorder="1" applyAlignment="1">
      <alignment horizontal="center" vertical="center"/>
    </xf>
    <xf numFmtId="10" fontId="8" fillId="0" borderId="51" xfId="0" applyNumberFormat="1" applyFont="1" applyFill="1" applyBorder="1" applyAlignment="1">
      <alignment horizontal="center" vertical="center"/>
    </xf>
    <xf numFmtId="176" fontId="16" fillId="0" borderId="52" xfId="0" applyNumberFormat="1" applyFont="1" applyFill="1" applyBorder="1" applyAlignment="1">
      <alignment horizontal="center" vertical="center"/>
    </xf>
    <xf numFmtId="10" fontId="8" fillId="0" borderId="53" xfId="0" applyNumberFormat="1" applyFont="1" applyFill="1" applyBorder="1" applyAlignment="1">
      <alignment horizontal="center" vertical="center"/>
    </xf>
    <xf numFmtId="176" fontId="16" fillId="0" borderId="54" xfId="0" applyNumberFormat="1" applyFont="1" applyFill="1" applyBorder="1" applyAlignment="1">
      <alignment horizontal="center" vertical="center"/>
    </xf>
    <xf numFmtId="177" fontId="8" fillId="0" borderId="55" xfId="0" applyNumberFormat="1" applyFont="1" applyFill="1" applyBorder="1" applyAlignment="1">
      <alignment horizontal="center" vertical="center"/>
    </xf>
    <xf numFmtId="177" fontId="8" fillId="0" borderId="29" xfId="0" applyNumberFormat="1" applyFont="1" applyFill="1" applyBorder="1" applyAlignment="1">
      <alignment horizontal="center" vertical="center"/>
    </xf>
    <xf numFmtId="177" fontId="8" fillId="0" borderId="53" xfId="0" applyNumberFormat="1" applyFont="1" applyFill="1" applyBorder="1" applyAlignment="1">
      <alignment horizontal="center" vertical="center"/>
    </xf>
    <xf numFmtId="0" fontId="8" fillId="0" borderId="54" xfId="0" applyFont="1" applyFill="1" applyBorder="1" applyAlignment="1">
      <alignment horizontal="center" vertical="center"/>
    </xf>
    <xf numFmtId="0" fontId="8" fillId="0" borderId="23" xfId="0" applyFont="1" applyFill="1" applyBorder="1" applyAlignment="1">
      <alignment horizontal="center" vertical="center"/>
    </xf>
    <xf numFmtId="0" fontId="8" fillId="0" borderId="52" xfId="0" applyFont="1" applyFill="1" applyBorder="1" applyAlignment="1">
      <alignment horizontal="center" vertical="center"/>
    </xf>
    <xf numFmtId="183" fontId="8" fillId="0" borderId="9" xfId="0" applyNumberFormat="1" applyFont="1" applyBorder="1" applyAlignment="1">
      <alignment horizontal="center" vertical="center"/>
    </xf>
    <xf numFmtId="183" fontId="8" fillId="0" borderId="56" xfId="0" applyNumberFormat="1" applyFont="1" applyBorder="1" applyAlignment="1">
      <alignment horizontal="center" vertical="center"/>
    </xf>
    <xf numFmtId="0" fontId="0" fillId="0" borderId="0" xfId="0" applyNumberFormat="1" applyAlignment="1">
      <alignment horizontal="center" vertical="center"/>
    </xf>
    <xf numFmtId="0" fontId="0" fillId="0" borderId="0" xfId="0" applyNumberFormat="1">
      <alignment vertical="center"/>
    </xf>
    <xf numFmtId="0" fontId="9" fillId="2" borderId="15" xfId="0" applyNumberFormat="1" applyFont="1" applyFill="1" applyBorder="1" applyAlignment="1">
      <alignment horizontal="center" vertical="center"/>
    </xf>
    <xf numFmtId="0" fontId="9" fillId="2" borderId="57" xfId="0" applyNumberFormat="1" applyFont="1" applyFill="1" applyBorder="1" applyAlignment="1">
      <alignment horizontal="center" vertical="center"/>
    </xf>
    <xf numFmtId="0" fontId="0" fillId="0" borderId="0" xfId="0" applyFill="1">
      <alignment vertical="center"/>
    </xf>
    <xf numFmtId="0" fontId="16" fillId="0" borderId="54" xfId="0" applyNumberFormat="1" applyFont="1" applyFill="1" applyBorder="1" applyAlignment="1">
      <alignment horizontal="center" vertical="center"/>
    </xf>
    <xf numFmtId="0" fontId="16" fillId="0" borderId="58" xfId="0" applyNumberFormat="1" applyFont="1" applyFill="1" applyBorder="1" applyAlignment="1">
      <alignment horizontal="center" vertical="center"/>
    </xf>
    <xf numFmtId="0" fontId="16" fillId="0" borderId="9" xfId="0" applyNumberFormat="1" applyFont="1" applyFill="1" applyBorder="1" applyAlignment="1">
      <alignment horizontal="center" vertical="center"/>
    </xf>
    <xf numFmtId="49" fontId="16" fillId="0" borderId="58" xfId="0" applyNumberFormat="1" applyFont="1" applyFill="1" applyBorder="1" applyAlignment="1">
      <alignment horizontal="center" vertical="center"/>
    </xf>
    <xf numFmtId="0" fontId="16" fillId="0" borderId="24" xfId="0" applyNumberFormat="1" applyFont="1" applyFill="1" applyBorder="1" applyAlignment="1">
      <alignment horizontal="center" vertical="center"/>
    </xf>
    <xf numFmtId="0" fontId="16" fillId="0" borderId="59" xfId="0" applyNumberFormat="1" applyFont="1" applyFill="1" applyBorder="1" applyAlignment="1">
      <alignment horizontal="center" vertical="center"/>
    </xf>
    <xf numFmtId="49" fontId="16" fillId="0" borderId="9" xfId="0" applyNumberFormat="1" applyFont="1" applyFill="1" applyBorder="1" applyAlignment="1">
      <alignment horizontal="center" vertical="center"/>
    </xf>
    <xf numFmtId="0" fontId="16" fillId="0" borderId="23" xfId="0" applyNumberFormat="1" applyFont="1" applyFill="1" applyBorder="1" applyAlignment="1">
      <alignment horizontal="center" vertical="center"/>
    </xf>
    <xf numFmtId="0" fontId="0" fillId="0" borderId="0" xfId="0" applyNumberFormat="1" applyFill="1">
      <alignment vertical="center"/>
    </xf>
    <xf numFmtId="49" fontId="17" fillId="0" borderId="9" xfId="0" applyNumberFormat="1" applyFont="1" applyFill="1" applyBorder="1" applyAlignment="1">
      <alignment horizontal="center" vertical="center"/>
    </xf>
    <xf numFmtId="0" fontId="16" fillId="0" borderId="59" xfId="0" quotePrefix="1" applyNumberFormat="1" applyFont="1" applyFill="1" applyBorder="1" applyAlignment="1">
      <alignment horizontal="center" vertical="center"/>
    </xf>
    <xf numFmtId="0" fontId="16" fillId="0" borderId="9" xfId="0" applyNumberFormat="1" applyFont="1" applyFill="1" applyBorder="1" applyAlignment="1">
      <alignment horizontal="center" vertical="center" wrapText="1"/>
    </xf>
    <xf numFmtId="0" fontId="0" fillId="0" borderId="0" xfId="0" applyNumberFormat="1" applyFill="1" applyAlignment="1">
      <alignment horizontal="center" vertical="center"/>
    </xf>
    <xf numFmtId="0" fontId="11" fillId="0" borderId="0" xfId="0" applyFont="1" applyFill="1" applyAlignment="1">
      <alignment horizontal="left" vertical="center"/>
    </xf>
    <xf numFmtId="0" fontId="8" fillId="0" borderId="26" xfId="0" applyFont="1" applyFill="1" applyBorder="1" applyAlignment="1">
      <alignment horizontal="center" vertical="center"/>
    </xf>
    <xf numFmtId="10" fontId="8" fillId="0" borderId="33" xfId="0" applyNumberFormat="1" applyFont="1" applyFill="1" applyBorder="1" applyAlignment="1">
      <alignment vertical="center" wrapText="1"/>
    </xf>
    <xf numFmtId="49" fontId="16" fillId="0" borderId="29" xfId="0" applyNumberFormat="1" applyFont="1" applyFill="1" applyBorder="1" applyAlignment="1">
      <alignment horizontal="center" vertical="center"/>
    </xf>
    <xf numFmtId="0" fontId="4" fillId="0" borderId="0" xfId="0" applyFont="1" applyAlignment="1">
      <alignment horizontal="left" vertical="center"/>
    </xf>
    <xf numFmtId="182" fontId="8" fillId="0" borderId="8" xfId="0" applyNumberFormat="1" applyFont="1" applyFill="1" applyBorder="1" applyAlignment="1">
      <alignment horizontal="left" vertical="center"/>
    </xf>
    <xf numFmtId="182" fontId="8" fillId="0" borderId="29" xfId="0" applyNumberFormat="1" applyFont="1" applyFill="1" applyBorder="1" applyAlignment="1">
      <alignment horizontal="left" vertical="center"/>
    </xf>
    <xf numFmtId="182" fontId="8" fillId="0" borderId="30" xfId="0" applyNumberFormat="1" applyFont="1" applyFill="1" applyBorder="1" applyAlignment="1">
      <alignment horizontal="center" vertical="center"/>
    </xf>
    <xf numFmtId="177" fontId="8" fillId="0" borderId="30" xfId="0" applyNumberFormat="1" applyFont="1" applyFill="1" applyBorder="1" applyAlignment="1">
      <alignment horizontal="center" vertical="center"/>
    </xf>
    <xf numFmtId="10" fontId="8" fillId="0" borderId="29" xfId="0" applyNumberFormat="1" applyFont="1" applyFill="1" applyBorder="1" applyAlignment="1">
      <alignment horizontal="left" vertical="center"/>
    </xf>
    <xf numFmtId="0" fontId="9" fillId="2" borderId="61" xfId="0" applyNumberFormat="1" applyFont="1" applyFill="1" applyBorder="1" applyAlignment="1">
      <alignment horizontal="center" vertical="center"/>
    </xf>
    <xf numFmtId="0" fontId="20" fillId="0" borderId="0" xfId="0" applyFont="1" applyFill="1" applyAlignment="1">
      <alignment horizontal="center" vertical="center"/>
    </xf>
    <xf numFmtId="0" fontId="7" fillId="0" borderId="0" xfId="0" applyFont="1" applyFill="1" applyAlignment="1">
      <alignment horizontal="center" vertical="center"/>
    </xf>
    <xf numFmtId="10" fontId="16" fillId="0" borderId="27" xfId="1" applyNumberFormat="1" applyFont="1" applyFill="1" applyBorder="1" applyAlignment="1">
      <alignment horizontal="center" vertical="center"/>
    </xf>
    <xf numFmtId="9" fontId="16" fillId="0" borderId="45" xfId="1" applyFont="1" applyBorder="1" applyAlignment="1">
      <alignment horizontal="center" vertical="center"/>
    </xf>
    <xf numFmtId="182" fontId="25" fillId="0" borderId="8" xfId="0" applyNumberFormat="1" applyFont="1" applyFill="1" applyBorder="1" applyAlignment="1">
      <alignment horizontal="left" vertical="center"/>
    </xf>
    <xf numFmtId="0" fontId="7" fillId="3" borderId="0" xfId="0" applyFont="1" applyFill="1" applyAlignment="1">
      <alignment horizontal="left" vertical="center"/>
    </xf>
    <xf numFmtId="0" fontId="19" fillId="0" borderId="0" xfId="0" applyFont="1" applyBorder="1" applyAlignment="1">
      <alignment horizontal="left" vertical="center"/>
    </xf>
    <xf numFmtId="183" fontId="8" fillId="0" borderId="9" xfId="0" applyNumberFormat="1" applyFont="1" applyFill="1" applyBorder="1" applyAlignment="1">
      <alignment horizontal="center" vertical="center"/>
    </xf>
    <xf numFmtId="0" fontId="8" fillId="0" borderId="50" xfId="0" applyFont="1" applyFill="1" applyBorder="1" applyAlignment="1">
      <alignment horizontal="center" vertical="center"/>
    </xf>
    <xf numFmtId="183" fontId="8" fillId="0" borderId="62" xfId="0" applyNumberFormat="1" applyFont="1" applyBorder="1" applyAlignment="1">
      <alignment horizontal="center" vertical="center"/>
    </xf>
    <xf numFmtId="177" fontId="8" fillId="0" borderId="51" xfId="0" applyNumberFormat="1" applyFont="1" applyFill="1" applyBorder="1" applyAlignment="1">
      <alignment horizontal="center" vertical="center"/>
    </xf>
    <xf numFmtId="0" fontId="0" fillId="0" borderId="0" xfId="0">
      <alignment vertical="center"/>
    </xf>
    <xf numFmtId="9" fontId="7" fillId="0" borderId="0" xfId="0" applyNumberFormat="1" applyFont="1" applyAlignment="1">
      <alignment horizontal="center" vertical="center"/>
    </xf>
    <xf numFmtId="10" fontId="7" fillId="0" borderId="0" xfId="1" applyNumberFormat="1" applyFont="1" applyAlignment="1">
      <alignment horizontal="center" vertical="center"/>
    </xf>
    <xf numFmtId="184" fontId="7" fillId="0" borderId="0" xfId="0" applyNumberFormat="1" applyFont="1" applyAlignment="1">
      <alignment horizontal="left" vertical="center"/>
    </xf>
    <xf numFmtId="0" fontId="0" fillId="0" borderId="0" xfId="0" applyNumberFormat="1" applyFill="1" applyAlignment="1">
      <alignment horizontal="left" vertical="center"/>
    </xf>
    <xf numFmtId="0" fontId="5" fillId="0" borderId="0" xfId="0" applyFont="1" applyFill="1">
      <alignment vertical="center"/>
    </xf>
    <xf numFmtId="0" fontId="5" fillId="0" borderId="0" xfId="0" applyNumberFormat="1" applyFont="1" applyFill="1">
      <alignment vertical="center"/>
    </xf>
    <xf numFmtId="182" fontId="27" fillId="0" borderId="29" xfId="0" applyNumberFormat="1" applyFont="1" applyFill="1" applyBorder="1" applyAlignment="1">
      <alignment horizontal="left" vertical="center"/>
    </xf>
    <xf numFmtId="9" fontId="16" fillId="0" borderId="0" xfId="1" applyFont="1">
      <alignment vertical="center"/>
    </xf>
    <xf numFmtId="10" fontId="16" fillId="0" borderId="0" xfId="1" applyNumberFormat="1" applyFont="1" applyFill="1">
      <alignment vertical="center"/>
    </xf>
    <xf numFmtId="10" fontId="16" fillId="0" borderId="0" xfId="1" applyNumberFormat="1" applyFont="1">
      <alignment vertical="center"/>
    </xf>
    <xf numFmtId="10" fontId="16" fillId="0" borderId="0" xfId="0" applyNumberFormat="1" applyFont="1">
      <alignment vertical="center"/>
    </xf>
    <xf numFmtId="0" fontId="8" fillId="0" borderId="63" xfId="0" applyFont="1" applyFill="1" applyBorder="1" applyAlignment="1">
      <alignment horizontal="center" vertical="center"/>
    </xf>
    <xf numFmtId="177" fontId="8" fillId="0" borderId="44" xfId="0" applyNumberFormat="1" applyFont="1" applyFill="1" applyBorder="1" applyAlignment="1">
      <alignment horizontal="center" vertical="center"/>
    </xf>
    <xf numFmtId="176" fontId="5" fillId="3" borderId="0" xfId="0" applyNumberFormat="1" applyFont="1" applyFill="1" applyBorder="1" applyAlignment="1">
      <alignment vertical="center"/>
    </xf>
    <xf numFmtId="176" fontId="5" fillId="3" borderId="0" xfId="0" applyNumberFormat="1" applyFont="1" applyFill="1" applyBorder="1" applyAlignment="1">
      <alignment horizontal="left" vertical="center"/>
    </xf>
    <xf numFmtId="0" fontId="0" fillId="3" borderId="0" xfId="0" applyNumberFormat="1" applyFill="1" applyBorder="1" applyAlignment="1">
      <alignment horizontal="left" vertical="center"/>
    </xf>
    <xf numFmtId="10" fontId="8" fillId="0" borderId="34" xfId="0" applyNumberFormat="1" applyFont="1" applyFill="1" applyBorder="1" applyAlignment="1">
      <alignment horizontal="center" vertical="center"/>
    </xf>
    <xf numFmtId="177" fontId="8" fillId="0" borderId="27" xfId="0" applyNumberFormat="1" applyFont="1" applyFill="1" applyBorder="1" applyAlignment="1">
      <alignment horizontal="center" vertical="center"/>
    </xf>
    <xf numFmtId="10" fontId="8" fillId="0" borderId="27" xfId="1" applyNumberFormat="1" applyFont="1" applyFill="1" applyBorder="1" applyAlignment="1">
      <alignment horizontal="center" vertical="center"/>
    </xf>
    <xf numFmtId="182" fontId="8" fillId="0" borderId="26" xfId="0" applyNumberFormat="1" applyFont="1" applyFill="1" applyBorder="1" applyAlignment="1">
      <alignment horizontal="center" vertical="center"/>
    </xf>
    <xf numFmtId="182" fontId="8" fillId="0" borderId="28" xfId="0" applyNumberFormat="1" applyFont="1" applyFill="1" applyBorder="1" applyAlignment="1">
      <alignment horizontal="center" vertical="center"/>
    </xf>
    <xf numFmtId="10" fontId="8" fillId="0" borderId="60" xfId="0" applyNumberFormat="1" applyFont="1" applyFill="1" applyBorder="1" applyAlignment="1">
      <alignment horizontal="center" vertical="center"/>
    </xf>
    <xf numFmtId="49" fontId="4" fillId="3" borderId="0" xfId="0" applyNumberFormat="1" applyFont="1" applyFill="1" applyBorder="1" applyAlignment="1">
      <alignment horizontal="left" vertical="center"/>
    </xf>
    <xf numFmtId="0" fontId="4" fillId="3" borderId="0" xfId="0" applyFont="1" applyFill="1" applyAlignment="1">
      <alignment horizontal="left" vertical="center"/>
    </xf>
    <xf numFmtId="0" fontId="4" fillId="3" borderId="0" xfId="0" applyFont="1" applyFill="1" applyBorder="1" applyAlignment="1">
      <alignment vertical="center"/>
    </xf>
    <xf numFmtId="0" fontId="5" fillId="3" borderId="0" xfId="0" applyFont="1" applyFill="1" applyAlignment="1">
      <alignment horizontal="left" vertical="center"/>
    </xf>
    <xf numFmtId="49" fontId="5" fillId="3" borderId="0" xfId="0" applyNumberFormat="1" applyFont="1" applyFill="1" applyBorder="1" applyAlignment="1">
      <alignment vertical="center"/>
    </xf>
    <xf numFmtId="182" fontId="22" fillId="0" borderId="51" xfId="0" applyNumberFormat="1" applyFont="1" applyFill="1" applyBorder="1" applyAlignment="1">
      <alignment horizontal="left" vertical="center"/>
    </xf>
    <xf numFmtId="10" fontId="8" fillId="0" borderId="35" xfId="0" applyNumberFormat="1" applyFont="1" applyFill="1" applyBorder="1" applyAlignment="1">
      <alignment vertical="center" wrapText="1"/>
    </xf>
    <xf numFmtId="0" fontId="5" fillId="3" borderId="0" xfId="0" applyFont="1" applyFill="1">
      <alignment vertical="center"/>
    </xf>
    <xf numFmtId="0" fontId="0" fillId="3" borderId="0" xfId="0" applyFill="1" applyAlignment="1">
      <alignment horizontal="left" vertical="center"/>
    </xf>
    <xf numFmtId="49" fontId="0" fillId="3" borderId="0" xfId="0" applyNumberFormat="1" applyFill="1" applyBorder="1" applyAlignment="1">
      <alignment vertical="center"/>
    </xf>
    <xf numFmtId="0" fontId="0" fillId="3" borderId="0" xfId="0" applyFill="1" applyBorder="1" applyAlignment="1">
      <alignment vertical="center"/>
    </xf>
    <xf numFmtId="176" fontId="0" fillId="3" borderId="0" xfId="0" applyNumberFormat="1" applyFill="1" applyBorder="1" applyAlignment="1">
      <alignment vertical="center"/>
    </xf>
    <xf numFmtId="14" fontId="5" fillId="3" borderId="0" xfId="0" applyNumberFormat="1" applyFont="1" applyFill="1" applyBorder="1" applyAlignment="1">
      <alignment horizontal="left" vertical="center"/>
    </xf>
    <xf numFmtId="14" fontId="5" fillId="3" borderId="0" xfId="0" applyNumberFormat="1" applyFont="1" applyFill="1" applyAlignment="1">
      <alignment horizontal="left" vertical="center"/>
    </xf>
    <xf numFmtId="176" fontId="5" fillId="0" borderId="0" xfId="0" applyNumberFormat="1" applyFont="1" applyFill="1" applyAlignment="1">
      <alignment horizontal="left" vertical="center"/>
    </xf>
    <xf numFmtId="176" fontId="4" fillId="3" borderId="0" xfId="0" applyNumberFormat="1" applyFont="1" applyFill="1" applyBorder="1" applyAlignment="1">
      <alignment horizontal="left" vertical="center"/>
    </xf>
    <xf numFmtId="0" fontId="4" fillId="3" borderId="0" xfId="0" applyFont="1" applyFill="1" applyBorder="1" applyAlignment="1">
      <alignment horizontal="left" vertical="center"/>
    </xf>
    <xf numFmtId="0" fontId="5" fillId="3" borderId="0" xfId="0" applyNumberFormat="1" applyFont="1" applyFill="1" applyBorder="1" applyAlignment="1">
      <alignment horizontal="left" vertical="center"/>
    </xf>
    <xf numFmtId="0" fontId="5" fillId="0" borderId="0" xfId="0" applyNumberFormat="1" applyFont="1" applyFill="1" applyBorder="1" applyAlignment="1">
      <alignment horizontal="left" vertical="center"/>
    </xf>
    <xf numFmtId="49" fontId="4" fillId="3" borderId="0" xfId="0" applyNumberFormat="1" applyFont="1" applyFill="1" applyBorder="1" applyAlignment="1">
      <alignment vertical="center"/>
    </xf>
    <xf numFmtId="49" fontId="4" fillId="3" borderId="0" xfId="0" applyNumberFormat="1" applyFont="1" applyFill="1" applyAlignment="1">
      <alignment horizontal="left" vertical="center"/>
    </xf>
    <xf numFmtId="0" fontId="4" fillId="3" borderId="0" xfId="0" applyNumberFormat="1" applyFont="1" applyFill="1" applyBorder="1" applyAlignment="1">
      <alignment horizontal="left" vertical="center"/>
    </xf>
    <xf numFmtId="0" fontId="5" fillId="3" borderId="0" xfId="0" applyNumberFormat="1" applyFont="1" applyFill="1" applyAlignment="1">
      <alignment horizontal="left" vertical="center"/>
    </xf>
    <xf numFmtId="49" fontId="5" fillId="3" borderId="0" xfId="0" applyNumberFormat="1" applyFont="1" applyFill="1" applyAlignment="1">
      <alignment horizontal="left" vertical="center"/>
    </xf>
    <xf numFmtId="178" fontId="5" fillId="3" borderId="0" xfId="0" applyNumberFormat="1" applyFont="1" applyFill="1" applyAlignment="1">
      <alignment horizontal="left" vertical="center"/>
    </xf>
    <xf numFmtId="0" fontId="5" fillId="3" borderId="0" xfId="0" applyFont="1" applyFill="1" applyBorder="1" applyAlignment="1">
      <alignment vertical="center"/>
    </xf>
    <xf numFmtId="0" fontId="5" fillId="0" borderId="0" xfId="0" applyFont="1" applyFill="1" applyBorder="1" applyAlignment="1">
      <alignment horizontal="left" vertical="center"/>
    </xf>
    <xf numFmtId="176" fontId="5" fillId="0" borderId="0" xfId="0" applyNumberFormat="1" applyFont="1" applyFill="1" applyBorder="1" applyAlignment="1">
      <alignment horizontal="left" vertical="center"/>
    </xf>
    <xf numFmtId="49" fontId="0" fillId="3" borderId="0" xfId="0" applyNumberFormat="1" applyFill="1" applyAlignment="1">
      <alignment horizontal="left" vertical="center"/>
    </xf>
    <xf numFmtId="176" fontId="4" fillId="3" borderId="0" xfId="0" applyNumberFormat="1" applyFont="1" applyFill="1" applyBorder="1" applyAlignment="1">
      <alignment vertical="center"/>
    </xf>
    <xf numFmtId="0" fontId="5" fillId="0" borderId="0" xfId="0" applyFont="1" applyFill="1" applyAlignment="1">
      <alignment horizontal="left" vertical="center"/>
    </xf>
    <xf numFmtId="0" fontId="8" fillId="3" borderId="9" xfId="0" applyNumberFormat="1" applyFont="1" applyFill="1" applyBorder="1" applyAlignment="1">
      <alignment horizontal="left" vertical="center"/>
    </xf>
    <xf numFmtId="49" fontId="8" fillId="3" borderId="9" xfId="0" applyNumberFormat="1" applyFont="1" applyFill="1" applyBorder="1" applyAlignment="1">
      <alignment horizontal="left" vertical="center"/>
    </xf>
    <xf numFmtId="177" fontId="25" fillId="0" borderId="29" xfId="0" applyNumberFormat="1" applyFont="1" applyFill="1" applyBorder="1" applyAlignment="1">
      <alignment horizontal="center" vertical="center"/>
    </xf>
    <xf numFmtId="177" fontId="25" fillId="0" borderId="30" xfId="0" applyNumberFormat="1" applyFont="1" applyFill="1" applyBorder="1" applyAlignment="1">
      <alignment horizontal="center" vertical="center"/>
    </xf>
    <xf numFmtId="49" fontId="5" fillId="3" borderId="0" xfId="0" applyNumberFormat="1" applyFont="1" applyFill="1" applyBorder="1" applyAlignment="1">
      <alignment horizontal="left" vertical="center"/>
    </xf>
    <xf numFmtId="49" fontId="31" fillId="3" borderId="0" xfId="0" applyNumberFormat="1" applyFont="1" applyFill="1" applyAlignment="1">
      <alignment horizontal="left" vertical="center"/>
    </xf>
    <xf numFmtId="49" fontId="32" fillId="3" borderId="9" xfId="0" applyNumberFormat="1" applyFont="1" applyFill="1" applyBorder="1" applyAlignment="1">
      <alignment horizontal="left" vertical="center"/>
    </xf>
    <xf numFmtId="0" fontId="33" fillId="3" borderId="0" xfId="0" applyFont="1" applyFill="1" applyBorder="1" applyAlignment="1">
      <alignment horizontal="left" vertical="center"/>
    </xf>
    <xf numFmtId="0" fontId="0" fillId="3" borderId="0" xfId="0" applyFill="1" applyBorder="1" applyAlignment="1">
      <alignment horizontal="left" vertical="center"/>
    </xf>
    <xf numFmtId="0" fontId="34" fillId="3" borderId="0" xfId="0" applyFont="1" applyFill="1" applyBorder="1" applyAlignment="1">
      <alignment horizontal="left" vertical="center"/>
    </xf>
    <xf numFmtId="0" fontId="31" fillId="3" borderId="0" xfId="0" applyFont="1" applyFill="1" applyBorder="1" applyAlignment="1">
      <alignment horizontal="left" vertical="center"/>
    </xf>
    <xf numFmtId="176" fontId="0" fillId="3" borderId="0" xfId="0" applyNumberFormat="1" applyFill="1" applyBorder="1" applyAlignment="1">
      <alignment horizontal="left" vertical="center"/>
    </xf>
    <xf numFmtId="0" fontId="8" fillId="3" borderId="8" xfId="0" applyNumberFormat="1" applyFont="1" applyFill="1" applyBorder="1" applyAlignment="1">
      <alignment horizontal="center" vertical="center"/>
    </xf>
    <xf numFmtId="14" fontId="8" fillId="3" borderId="9" xfId="0" applyNumberFormat="1" applyFont="1" applyFill="1" applyBorder="1" applyAlignment="1">
      <alignment horizontal="left" vertical="center"/>
    </xf>
    <xf numFmtId="176" fontId="8" fillId="3" borderId="9" xfId="0" applyNumberFormat="1" applyFont="1" applyFill="1" applyBorder="1" applyAlignment="1">
      <alignment horizontal="left" vertical="center"/>
    </xf>
    <xf numFmtId="178" fontId="8" fillId="3" borderId="9" xfId="0" applyNumberFormat="1" applyFont="1" applyFill="1" applyBorder="1" applyAlignment="1">
      <alignment horizontal="right" vertical="center"/>
    </xf>
    <xf numFmtId="0" fontId="8" fillId="3" borderId="9" xfId="0" applyFont="1" applyFill="1" applyBorder="1" applyAlignment="1">
      <alignment horizontal="left" vertical="center"/>
    </xf>
    <xf numFmtId="0" fontId="8" fillId="0" borderId="0" xfId="0" applyFont="1" applyFill="1" applyBorder="1" applyAlignment="1">
      <alignment horizontal="right"/>
    </xf>
    <xf numFmtId="10" fontId="8" fillId="0" borderId="33" xfId="0" applyNumberFormat="1" applyFont="1" applyFill="1" applyBorder="1" applyAlignment="1">
      <alignment horizontal="center" vertical="center" wrapText="1"/>
    </xf>
    <xf numFmtId="10" fontId="8" fillId="0" borderId="35" xfId="0" applyNumberFormat="1" applyFont="1" applyFill="1" applyBorder="1" applyAlignment="1">
      <alignment horizontal="center" vertical="center" wrapText="1"/>
    </xf>
    <xf numFmtId="10" fontId="8" fillId="0" borderId="42" xfId="0" applyNumberFormat="1" applyFont="1" applyFill="1" applyBorder="1" applyAlignment="1">
      <alignment horizontal="center" vertical="center" wrapText="1"/>
    </xf>
    <xf numFmtId="0" fontId="17" fillId="0" borderId="14" xfId="0" applyFont="1" applyFill="1" applyBorder="1" applyAlignment="1">
      <alignment horizontal="center" vertical="center"/>
    </xf>
    <xf numFmtId="0" fontId="31" fillId="3" borderId="0" xfId="0" applyNumberFormat="1" applyFont="1" applyFill="1" applyAlignment="1">
      <alignment horizontal="left" vertical="center"/>
    </xf>
    <xf numFmtId="0" fontId="35" fillId="0" borderId="0" xfId="0" applyNumberFormat="1" applyFont="1" applyFill="1" applyAlignment="1">
      <alignment horizontal="left" vertical="center"/>
    </xf>
    <xf numFmtId="0" fontId="25" fillId="3" borderId="9" xfId="0" applyFont="1" applyFill="1" applyBorder="1" applyAlignment="1">
      <alignment horizontal="left" vertical="center"/>
    </xf>
    <xf numFmtId="14" fontId="25" fillId="3" borderId="9" xfId="0" applyNumberFormat="1" applyFont="1" applyFill="1" applyBorder="1" applyAlignment="1">
      <alignment horizontal="left" vertical="center"/>
    </xf>
    <xf numFmtId="0" fontId="25" fillId="3" borderId="8" xfId="0" applyNumberFormat="1" applyFont="1" applyFill="1" applyBorder="1" applyAlignment="1">
      <alignment horizontal="center" vertical="center"/>
    </xf>
  </cellXfs>
  <cellStyles count="8">
    <cellStyle name="백분율" xfId="1" builtinId="5"/>
    <cellStyle name="표준" xfId="0" builtinId="0"/>
    <cellStyle name="표준 10 2" xfId="2"/>
    <cellStyle name="표준 10 3 3" xfId="7"/>
    <cellStyle name="표준 16 8" xfId="6"/>
    <cellStyle name="표준 2" xfId="3"/>
    <cellStyle name="표준 2 2" xfId="5"/>
    <cellStyle name="표준 3" xfId="4"/>
  </cellStyles>
  <dxfs count="18">
    <dxf>
      <fill>
        <patternFill>
          <bgColor rgb="FF00B050"/>
        </patternFill>
      </fill>
    </dxf>
    <dxf>
      <fill>
        <patternFill>
          <bgColor rgb="FF00B050"/>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rgb="FF92D050"/>
        </patternFill>
      </fill>
    </dxf>
    <dxf>
      <font>
        <color rgb="FFFF0000"/>
      </font>
    </dxf>
    <dxf>
      <font>
        <color rgb="FFFF0000"/>
      </font>
    </dxf>
    <dxf>
      <fill>
        <patternFill patternType="solid">
          <fgColor rgb="FFFFFF0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AB1155"/>
  <sheetViews>
    <sheetView showGridLines="0" tabSelected="1" zoomScale="70" zoomScaleNormal="70" workbookViewId="0">
      <pane xSplit="17" ySplit="4" topLeftCell="V5" activePane="bottomRight" state="frozen"/>
      <selection pane="topRight" activeCell="R1" sqref="R1"/>
      <selection pane="bottomLeft" activeCell="A5" sqref="A5"/>
      <selection pane="bottomRight"/>
    </sheetView>
  </sheetViews>
  <sheetFormatPr defaultRowHeight="16.5" x14ac:dyDescent="0.3"/>
  <cols>
    <col min="1" max="1" width="6.375" customWidth="1"/>
    <col min="2" max="2" width="39.625" customWidth="1"/>
    <col min="3" max="3" width="7.5" customWidth="1"/>
    <col min="4" max="4" width="22.25" customWidth="1"/>
    <col min="5" max="5" width="27.25" customWidth="1"/>
    <col min="6" max="6" width="5.625" customWidth="1"/>
    <col min="7" max="7" width="35.375" customWidth="1"/>
    <col min="8" max="8" width="15.375" customWidth="1"/>
    <col min="9" max="9" width="5.625" customWidth="1"/>
    <col min="10" max="10" width="4.125" customWidth="1"/>
    <col min="11" max="11" width="5.625" customWidth="1"/>
    <col min="12" max="12" width="4.25" customWidth="1"/>
    <col min="13" max="13" width="11.75" customWidth="1"/>
    <col min="14" max="16" width="14" customWidth="1"/>
    <col min="17" max="17" width="11" style="11" customWidth="1"/>
    <col min="18" max="18" width="7.75" customWidth="1"/>
    <col min="19" max="19" width="9.625" customWidth="1"/>
    <col min="20" max="21" width="10.625" customWidth="1"/>
    <col min="22" max="22" width="10.625" style="159" customWidth="1"/>
    <col min="23" max="26" width="10.625" customWidth="1"/>
    <col min="27" max="27" width="10" customWidth="1"/>
    <col min="28" max="28" width="19.25" customWidth="1"/>
    <col min="29" max="16384" width="9" style="162"/>
  </cols>
  <sheetData>
    <row r="1" spans="1:28" s="14" customFormat="1" ht="17.25" thickBot="1" x14ac:dyDescent="0.3">
      <c r="A1" s="12" t="s">
        <v>3536</v>
      </c>
      <c r="B1" s="13">
        <f ca="1">TODAY()</f>
        <v>45597</v>
      </c>
      <c r="D1" s="15">
        <f ca="1">TODAY()</f>
        <v>45597</v>
      </c>
      <c r="E1" s="269"/>
      <c r="F1" s="269"/>
      <c r="G1" s="16"/>
      <c r="H1" s="17"/>
      <c r="N1" s="18"/>
      <c r="Q1" s="19"/>
      <c r="R1" s="20"/>
      <c r="V1" s="202"/>
      <c r="AA1" s="21"/>
      <c r="AB1" s="22"/>
    </row>
    <row r="2" spans="1:28" s="27" customFormat="1" ht="16.5" customHeight="1" thickBot="1" x14ac:dyDescent="0.35">
      <c r="A2" s="23" t="s">
        <v>43</v>
      </c>
      <c r="B2" s="24">
        <v>45597</v>
      </c>
      <c r="C2" s="14"/>
      <c r="D2" s="180"/>
      <c r="E2" s="25"/>
      <c r="F2" s="25"/>
      <c r="G2" s="26"/>
      <c r="H2" s="17"/>
      <c r="J2" s="14"/>
      <c r="K2" s="14"/>
      <c r="L2" s="28"/>
      <c r="M2" s="29"/>
      <c r="N2" s="30"/>
      <c r="O2" s="29"/>
      <c r="P2" s="29"/>
      <c r="Q2" s="31"/>
      <c r="R2" s="32"/>
      <c r="S2" s="29"/>
      <c r="T2" s="29"/>
      <c r="U2" s="33"/>
      <c r="V2" s="33"/>
      <c r="W2" s="29"/>
      <c r="X2" s="29"/>
      <c r="Y2" s="29"/>
      <c r="Z2" s="29"/>
      <c r="AA2" s="34"/>
      <c r="AB2" s="35"/>
    </row>
    <row r="3" spans="1:28" s="14" customFormat="1" ht="16.5" customHeight="1" thickBot="1" x14ac:dyDescent="0.35">
      <c r="A3" s="36"/>
      <c r="B3" s="37"/>
      <c r="C3" s="38"/>
      <c r="D3" s="38"/>
      <c r="E3" s="25"/>
      <c r="F3" s="25"/>
      <c r="G3" s="39"/>
      <c r="H3" s="17"/>
      <c r="L3" s="40"/>
      <c r="M3" s="41"/>
      <c r="N3" s="42"/>
      <c r="O3" s="41"/>
      <c r="P3" s="41"/>
      <c r="Q3" s="43"/>
      <c r="R3" s="44"/>
      <c r="S3" s="41"/>
      <c r="T3" s="41"/>
      <c r="U3" s="45"/>
      <c r="V3" s="45"/>
      <c r="W3" s="41"/>
      <c r="X3" s="41"/>
      <c r="Y3" s="41"/>
      <c r="Z3" s="41"/>
      <c r="AA3" s="21"/>
      <c r="AB3" s="22"/>
    </row>
    <row r="4" spans="1:28" s="53" customFormat="1" x14ac:dyDescent="0.3">
      <c r="A4" s="46" t="s">
        <v>44</v>
      </c>
      <c r="B4" s="47" t="s">
        <v>45</v>
      </c>
      <c r="C4" s="48" t="s">
        <v>46</v>
      </c>
      <c r="D4" s="48" t="s">
        <v>47</v>
      </c>
      <c r="E4" s="48" t="s">
        <v>48</v>
      </c>
      <c r="F4" s="48" t="s">
        <v>49</v>
      </c>
      <c r="G4" s="48" t="s">
        <v>50</v>
      </c>
      <c r="H4" s="49" t="s">
        <v>51</v>
      </c>
      <c r="I4" s="48" t="s">
        <v>52</v>
      </c>
      <c r="J4" s="48" t="s">
        <v>53</v>
      </c>
      <c r="K4" s="48" t="s">
        <v>54</v>
      </c>
      <c r="L4" s="48" t="s">
        <v>55</v>
      </c>
      <c r="M4" s="48" t="s">
        <v>56</v>
      </c>
      <c r="N4" s="50" t="s">
        <v>57</v>
      </c>
      <c r="O4" s="51" t="s">
        <v>58</v>
      </c>
      <c r="P4" s="51" t="s">
        <v>3499</v>
      </c>
      <c r="Q4" s="51" t="s">
        <v>3513</v>
      </c>
      <c r="R4" s="48" t="s">
        <v>3501</v>
      </c>
      <c r="S4" s="48" t="s">
        <v>59</v>
      </c>
      <c r="T4" s="48" t="s">
        <v>60</v>
      </c>
      <c r="U4" s="48" t="s">
        <v>61</v>
      </c>
      <c r="V4" s="52" t="s">
        <v>62</v>
      </c>
      <c r="W4" s="48" t="s">
        <v>63</v>
      </c>
      <c r="X4" s="48" t="s">
        <v>64</v>
      </c>
      <c r="Y4" s="48" t="s">
        <v>65</v>
      </c>
      <c r="Z4" s="48" t="s">
        <v>66</v>
      </c>
      <c r="AA4" s="48" t="s">
        <v>67</v>
      </c>
      <c r="AB4" s="52" t="s">
        <v>42</v>
      </c>
    </row>
    <row r="5" spans="1:28" s="12" customFormat="1" ht="16.5" hidden="1" customHeight="1" x14ac:dyDescent="0.3">
      <c r="A5" s="54">
        <f>작성용!AL2</f>
        <v>1</v>
      </c>
      <c r="B5" s="55" t="str">
        <f>작성용!AI2</f>
        <v>-</v>
      </c>
      <c r="C5" s="56" t="str">
        <f>작성용!AK2</f>
        <v>개별종목</v>
      </c>
      <c r="D5" s="57">
        <f>작성용!T2</f>
        <v>45582</v>
      </c>
      <c r="E5" s="58" t="str">
        <f>작성용!B2</f>
        <v>대창</v>
      </c>
      <c r="F5" s="58" t="str">
        <f>작성용!C2</f>
        <v>신규</v>
      </c>
      <c r="G5" s="58" t="str">
        <f>작성용!D2</f>
        <v>아이엔스틸인더스트리</v>
      </c>
      <c r="H5" s="59">
        <f>작성용!E2</f>
        <v>1350110039898</v>
      </c>
      <c r="I5" s="58" t="str">
        <f>작성용!F2</f>
        <v>A01</v>
      </c>
      <c r="J5" s="58">
        <f>작성용!G2</f>
        <v>0</v>
      </c>
      <c r="K5" s="58" t="str">
        <f>작성용!H2</f>
        <v>-</v>
      </c>
      <c r="L5" s="58" t="str">
        <f>작성용!N2</f>
        <v>미정</v>
      </c>
      <c r="M5" s="57" t="str">
        <f>작성용!U2</f>
        <v>2024.09.30</v>
      </c>
      <c r="N5" s="57">
        <f>작성용!V2</f>
        <v>45596</v>
      </c>
      <c r="O5" s="57">
        <f>작성용!W2</f>
        <v>45596</v>
      </c>
      <c r="P5" s="57" t="str">
        <f>작성용!X2</f>
        <v>-</v>
      </c>
      <c r="Q5" s="58" t="str">
        <f>작성용!AD2</f>
        <v>백형진</v>
      </c>
      <c r="R5" s="60">
        <f>작성용!AE2</f>
        <v>2</v>
      </c>
      <c r="S5" s="58" t="str">
        <f>작성용!AF2</f>
        <v>신규</v>
      </c>
      <c r="T5" s="61" t="str">
        <f>작성용!AG2</f>
        <v>백형진</v>
      </c>
      <c r="U5" s="61" t="str">
        <f>작성용!AH2</f>
        <v>백형진</v>
      </c>
      <c r="V5" s="56">
        <f>작성용!AA2</f>
        <v>202409</v>
      </c>
      <c r="W5" s="58" t="str">
        <f>작성용!AC2</f>
        <v>[X]일반기업</v>
      </c>
      <c r="X5" s="58" t="str">
        <f>작성용!O2</f>
        <v>윤부일이사</v>
      </c>
      <c r="Y5" s="58" t="str">
        <f>작성용!P2</f>
        <v>010-7733-9370</v>
      </c>
      <c r="Z5" s="58" t="str">
        <f>작성용!Q2</f>
        <v>ybi1007@brassone.com</v>
      </c>
      <c r="AA5" s="56" t="str">
        <f>작성용!AJ2</f>
        <v>매매검토(퇴사임원 보유주식 거래 시 참조를 위함)</v>
      </c>
      <c r="AB5" s="56">
        <f>작성용!AB2</f>
        <v>0</v>
      </c>
    </row>
    <row r="6" spans="1:28" s="12" customFormat="1" ht="16.5" hidden="1" customHeight="1" x14ac:dyDescent="0.3">
      <c r="A6" s="54">
        <f>작성용!AL3</f>
        <v>2</v>
      </c>
      <c r="B6" s="55" t="str">
        <f>작성용!AI3</f>
        <v>-</v>
      </c>
      <c r="C6" s="56" t="str">
        <f>작성용!AK3</f>
        <v>개별종목</v>
      </c>
      <c r="D6" s="57">
        <f>작성용!T3</f>
        <v>45092</v>
      </c>
      <c r="E6" s="58" t="str">
        <f>작성용!B3</f>
        <v>형지엘리트</v>
      </c>
      <c r="F6" s="58" t="str">
        <f>작성용!C3</f>
        <v>재평가</v>
      </c>
      <c r="G6" s="58" t="str">
        <f>작성용!D3</f>
        <v>형지엘리트</v>
      </c>
      <c r="H6" s="59">
        <f>작성용!E3</f>
        <v>1101112507551</v>
      </c>
      <c r="I6" s="58" t="str">
        <f>작성용!F3</f>
        <v>D02</v>
      </c>
      <c r="J6" s="58">
        <f>작성용!G3</f>
        <v>7</v>
      </c>
      <c r="K6" s="58" t="str">
        <f>작성용!H3</f>
        <v>-</v>
      </c>
      <c r="L6" s="58" t="str">
        <f>작성용!N3</f>
        <v>반기</v>
      </c>
      <c r="M6" s="57" t="str">
        <f>작성용!U3</f>
        <v>2024.12.31</v>
      </c>
      <c r="N6" s="57">
        <f>작성용!V3</f>
        <v>45664</v>
      </c>
      <c r="O6" s="57">
        <f>작성용!W3</f>
        <v>45671</v>
      </c>
      <c r="P6" s="57" t="str">
        <f>작성용!X3</f>
        <v>-</v>
      </c>
      <c r="Q6" s="58" t="str">
        <f>작성용!AD3</f>
        <v>상장</v>
      </c>
      <c r="R6" s="60">
        <f>작성용!AE3</f>
        <v>0</v>
      </c>
      <c r="S6" s="58" t="str">
        <f>작성용!AF3</f>
        <v>상장</v>
      </c>
      <c r="T6" s="61" t="str">
        <f>작성용!AG3</f>
        <v>메자닌평가팀</v>
      </c>
      <c r="U6" s="61" t="str">
        <f>작성용!AH3</f>
        <v>메자닌평가팀</v>
      </c>
      <c r="V6" s="56">
        <f>작성용!AA3</f>
        <v>202412</v>
      </c>
      <c r="W6" s="58" t="str">
        <f>작성용!AC3</f>
        <v>[W]상장기업</v>
      </c>
      <c r="X6" s="58" t="str">
        <f>작성용!O3</f>
        <v>유주희주임</v>
      </c>
      <c r="Y6" s="58" t="str">
        <f>작성용!P3</f>
        <v>032-454-8410</v>
      </c>
      <c r="Z6" s="58" t="str">
        <f>작성용!Q3</f>
        <v>yjh@hyungji-elite.com</v>
      </c>
      <c r="AA6" s="56" t="str">
        <f>작성용!AJ3</f>
        <v>회계반영</v>
      </c>
      <c r="AB6" s="56">
        <f>작성용!AB3</f>
        <v>0</v>
      </c>
    </row>
    <row r="7" spans="1:28" s="12" customFormat="1" ht="16.5" hidden="1" customHeight="1" x14ac:dyDescent="0.3">
      <c r="A7" s="54">
        <f>작성용!AL4</f>
        <v>3</v>
      </c>
      <c r="B7" s="55" t="str">
        <f>작성용!AI4</f>
        <v>-</v>
      </c>
      <c r="C7" s="56" t="str">
        <f>작성용!AK4</f>
        <v>개별종목</v>
      </c>
      <c r="D7" s="57">
        <f>작성용!T4</f>
        <v>45092</v>
      </c>
      <c r="E7" s="58" t="str">
        <f>작성용!B4</f>
        <v>형지엘리트</v>
      </c>
      <c r="F7" s="58" t="str">
        <f>작성용!C4</f>
        <v>재평가</v>
      </c>
      <c r="G7" s="58" t="str">
        <f>작성용!D4</f>
        <v>형지엘리트</v>
      </c>
      <c r="H7" s="59">
        <f>작성용!E4</f>
        <v>1101112507551</v>
      </c>
      <c r="I7" s="58" t="str">
        <f>작성용!F4</f>
        <v>D02</v>
      </c>
      <c r="J7" s="58">
        <f>작성용!G4</f>
        <v>7</v>
      </c>
      <c r="K7" s="58" t="str">
        <f>작성용!H4</f>
        <v>-</v>
      </c>
      <c r="L7" s="58" t="str">
        <f>작성용!N4</f>
        <v>반기</v>
      </c>
      <c r="M7" s="57" t="str">
        <f>작성용!U4</f>
        <v>2025.06.30</v>
      </c>
      <c r="N7" s="57">
        <f>작성용!V4</f>
        <v>45844</v>
      </c>
      <c r="O7" s="57">
        <f>작성용!W4</f>
        <v>45851</v>
      </c>
      <c r="P7" s="57" t="str">
        <f>작성용!X4</f>
        <v>-</v>
      </c>
      <c r="Q7" s="58" t="str">
        <f>작성용!AD4</f>
        <v>상장</v>
      </c>
      <c r="R7" s="60">
        <f>작성용!AE4</f>
        <v>0</v>
      </c>
      <c r="S7" s="58" t="str">
        <f>작성용!AF4</f>
        <v>상장</v>
      </c>
      <c r="T7" s="61" t="str">
        <f>작성용!AG4</f>
        <v>메자닌평가팀</v>
      </c>
      <c r="U7" s="61" t="str">
        <f>작성용!AH4</f>
        <v>메자닌평가팀</v>
      </c>
      <c r="V7" s="56">
        <f>작성용!AA4</f>
        <v>202506</v>
      </c>
      <c r="W7" s="58" t="str">
        <f>작성용!AC4</f>
        <v>[W]상장기업</v>
      </c>
      <c r="X7" s="58" t="str">
        <f>작성용!O4</f>
        <v>유주희주임</v>
      </c>
      <c r="Y7" s="58" t="str">
        <f>작성용!P4</f>
        <v>032-454-8410</v>
      </c>
      <c r="Z7" s="58" t="str">
        <f>작성용!Q4</f>
        <v>yjh@hyungji-elite.com</v>
      </c>
      <c r="AA7" s="56" t="str">
        <f>작성용!AJ4</f>
        <v>회계반영</v>
      </c>
      <c r="AB7" s="56">
        <f>작성용!AB4</f>
        <v>0</v>
      </c>
    </row>
    <row r="8" spans="1:28" s="12" customFormat="1" ht="16.5" hidden="1" customHeight="1" x14ac:dyDescent="0.3">
      <c r="A8" s="54">
        <f>작성용!AL5</f>
        <v>4</v>
      </c>
      <c r="B8" s="55" t="str">
        <f>작성용!AI5</f>
        <v>-</v>
      </c>
      <c r="C8" s="56" t="str">
        <f>작성용!AK5</f>
        <v>개별종목</v>
      </c>
      <c r="D8" s="57">
        <f>작성용!T5</f>
        <v>45092</v>
      </c>
      <c r="E8" s="58" t="str">
        <f>작성용!B5</f>
        <v>형지엘리트</v>
      </c>
      <c r="F8" s="58" t="str">
        <f>작성용!C5</f>
        <v>재평가</v>
      </c>
      <c r="G8" s="58" t="str">
        <f>작성용!D5</f>
        <v>형지엘리트</v>
      </c>
      <c r="H8" s="59">
        <f>작성용!E5</f>
        <v>1101112507551</v>
      </c>
      <c r="I8" s="58" t="str">
        <f>작성용!F5</f>
        <v>D02</v>
      </c>
      <c r="J8" s="58">
        <f>작성용!G5</f>
        <v>7</v>
      </c>
      <c r="K8" s="58" t="str">
        <f>작성용!H5</f>
        <v>-</v>
      </c>
      <c r="L8" s="58" t="str">
        <f>작성용!N5</f>
        <v>반기</v>
      </c>
      <c r="M8" s="57" t="str">
        <f>작성용!U5</f>
        <v>2025.12.31</v>
      </c>
      <c r="N8" s="57">
        <f>작성용!V5</f>
        <v>46029</v>
      </c>
      <c r="O8" s="57">
        <f>작성용!W5</f>
        <v>46036</v>
      </c>
      <c r="P8" s="57" t="str">
        <f>작성용!X5</f>
        <v>-</v>
      </c>
      <c r="Q8" s="58" t="str">
        <f>작성용!AD5</f>
        <v>상장</v>
      </c>
      <c r="R8" s="60">
        <f>작성용!AE5</f>
        <v>0</v>
      </c>
      <c r="S8" s="58" t="str">
        <f>작성용!AF5</f>
        <v>상장</v>
      </c>
      <c r="T8" s="61" t="str">
        <f>작성용!AG5</f>
        <v>메자닌평가팀</v>
      </c>
      <c r="U8" s="61" t="str">
        <f>작성용!AH5</f>
        <v>메자닌평가팀</v>
      </c>
      <c r="V8" s="56">
        <f>작성용!AA5</f>
        <v>202512</v>
      </c>
      <c r="W8" s="58" t="str">
        <f>작성용!AC5</f>
        <v>[W]상장기업</v>
      </c>
      <c r="X8" s="58" t="str">
        <f>작성용!O5</f>
        <v>유주희주임</v>
      </c>
      <c r="Y8" s="58" t="str">
        <f>작성용!P5</f>
        <v>032-454-8410</v>
      </c>
      <c r="Z8" s="58" t="str">
        <f>작성용!Q5</f>
        <v>yjh@hyungji-elite.com</v>
      </c>
      <c r="AA8" s="56" t="str">
        <f>작성용!AJ5</f>
        <v>회계반영</v>
      </c>
      <c r="AB8" s="56">
        <f>작성용!AB5</f>
        <v>0</v>
      </c>
    </row>
    <row r="9" spans="1:28" s="12" customFormat="1" ht="16.5" hidden="1" customHeight="1" x14ac:dyDescent="0.3">
      <c r="A9" s="54">
        <f>작성용!AL6</f>
        <v>5</v>
      </c>
      <c r="B9" s="55" t="str">
        <f>작성용!AI6</f>
        <v>-</v>
      </c>
      <c r="C9" s="56" t="str">
        <f>작성용!AK6</f>
        <v>개별종목</v>
      </c>
      <c r="D9" s="57">
        <f>작성용!T6</f>
        <v>45394</v>
      </c>
      <c r="E9" s="58" t="str">
        <f>작성용!B6</f>
        <v>형지엘리트</v>
      </c>
      <c r="F9" s="58" t="str">
        <f>작성용!C6</f>
        <v>재평가</v>
      </c>
      <c r="G9" s="58" t="str">
        <f>작성용!D6</f>
        <v>형지엘리트</v>
      </c>
      <c r="H9" s="59">
        <f>작성용!E6</f>
        <v>1101112507551</v>
      </c>
      <c r="I9" s="58" t="str">
        <f>작성용!F6</f>
        <v>D02</v>
      </c>
      <c r="J9" s="58">
        <f>작성용!G6</f>
        <v>9</v>
      </c>
      <c r="K9" s="58" t="str">
        <f>작성용!H6</f>
        <v>-</v>
      </c>
      <c r="L9" s="58" t="str">
        <f>작성용!N6</f>
        <v>반기</v>
      </c>
      <c r="M9" s="57" t="str">
        <f>작성용!U6</f>
        <v>2024.12.31</v>
      </c>
      <c r="N9" s="57">
        <f>작성용!V6</f>
        <v>45664</v>
      </c>
      <c r="O9" s="57">
        <f>작성용!W6</f>
        <v>45671</v>
      </c>
      <c r="P9" s="57" t="str">
        <f>작성용!X6</f>
        <v>-</v>
      </c>
      <c r="Q9" s="58" t="str">
        <f>작성용!AD6</f>
        <v>상장</v>
      </c>
      <c r="R9" s="60">
        <f>작성용!AE6</f>
        <v>0</v>
      </c>
      <c r="S9" s="58" t="str">
        <f>작성용!AF6</f>
        <v>상장</v>
      </c>
      <c r="T9" s="61" t="str">
        <f>작성용!AG6</f>
        <v>메자닌평가팀</v>
      </c>
      <c r="U9" s="61" t="str">
        <f>작성용!AH6</f>
        <v>메자닌평가팀</v>
      </c>
      <c r="V9" s="56">
        <f>작성용!AA6</f>
        <v>202412</v>
      </c>
      <c r="W9" s="58" t="str">
        <f>작성용!AC6</f>
        <v>[W]상장기업</v>
      </c>
      <c r="X9" s="58" t="str">
        <f>작성용!O6</f>
        <v>유주희주임</v>
      </c>
      <c r="Y9" s="58" t="str">
        <f>작성용!P6</f>
        <v>032-454-8410</v>
      </c>
      <c r="Z9" s="58" t="str">
        <f>작성용!Q6</f>
        <v>yjh@hyungji-elite.com</v>
      </c>
      <c r="AA9" s="56" t="str">
        <f>작성용!AJ6</f>
        <v>회계반영</v>
      </c>
      <c r="AB9" s="56">
        <f>작성용!AB6</f>
        <v>0</v>
      </c>
    </row>
    <row r="10" spans="1:28" s="12" customFormat="1" ht="16.5" hidden="1" customHeight="1" x14ac:dyDescent="0.3">
      <c r="A10" s="54">
        <f>작성용!AL7</f>
        <v>6</v>
      </c>
      <c r="B10" s="55" t="str">
        <f>작성용!AI7</f>
        <v>-</v>
      </c>
      <c r="C10" s="56" t="str">
        <f>작성용!AK7</f>
        <v>개별종목</v>
      </c>
      <c r="D10" s="57">
        <f>작성용!T7</f>
        <v>45394</v>
      </c>
      <c r="E10" s="58" t="str">
        <f>작성용!B7</f>
        <v>형지엘리트</v>
      </c>
      <c r="F10" s="58" t="str">
        <f>작성용!C7</f>
        <v>재평가</v>
      </c>
      <c r="G10" s="58" t="str">
        <f>작성용!D7</f>
        <v>형지엘리트</v>
      </c>
      <c r="H10" s="59">
        <f>작성용!E7</f>
        <v>1101112507551</v>
      </c>
      <c r="I10" s="58" t="str">
        <f>작성용!F7</f>
        <v>D02</v>
      </c>
      <c r="J10" s="58">
        <f>작성용!G7</f>
        <v>9</v>
      </c>
      <c r="K10" s="58" t="str">
        <f>작성용!H7</f>
        <v>-</v>
      </c>
      <c r="L10" s="58" t="str">
        <f>작성용!N7</f>
        <v>반기</v>
      </c>
      <c r="M10" s="57" t="str">
        <f>작성용!U7</f>
        <v>2025.06.30</v>
      </c>
      <c r="N10" s="57">
        <f>작성용!V7</f>
        <v>45844</v>
      </c>
      <c r="O10" s="57">
        <f>작성용!W7</f>
        <v>45851</v>
      </c>
      <c r="P10" s="57" t="str">
        <f>작성용!X7</f>
        <v>-</v>
      </c>
      <c r="Q10" s="58" t="str">
        <f>작성용!AD7</f>
        <v>상장</v>
      </c>
      <c r="R10" s="60">
        <f>작성용!AE7</f>
        <v>0</v>
      </c>
      <c r="S10" s="58" t="str">
        <f>작성용!AF7</f>
        <v>상장</v>
      </c>
      <c r="T10" s="61" t="str">
        <f>작성용!AG7</f>
        <v>메자닌평가팀</v>
      </c>
      <c r="U10" s="61" t="str">
        <f>작성용!AH7</f>
        <v>메자닌평가팀</v>
      </c>
      <c r="V10" s="56">
        <f>작성용!AA7</f>
        <v>202506</v>
      </c>
      <c r="W10" s="58" t="str">
        <f>작성용!AC7</f>
        <v>[W]상장기업</v>
      </c>
      <c r="X10" s="58" t="str">
        <f>작성용!O7</f>
        <v>유주희주임</v>
      </c>
      <c r="Y10" s="58" t="str">
        <f>작성용!P7</f>
        <v>032-454-8410</v>
      </c>
      <c r="Z10" s="58" t="str">
        <f>작성용!Q7</f>
        <v>yjh@hyungji-elite.com</v>
      </c>
      <c r="AA10" s="56" t="str">
        <f>작성용!AJ7</f>
        <v>회계반영</v>
      </c>
      <c r="AB10" s="56">
        <f>작성용!AB7</f>
        <v>0</v>
      </c>
    </row>
    <row r="11" spans="1:28" s="12" customFormat="1" ht="16.5" hidden="1" customHeight="1" x14ac:dyDescent="0.3">
      <c r="A11" s="54">
        <f>작성용!AL8</f>
        <v>7</v>
      </c>
      <c r="B11" s="55" t="str">
        <f>작성용!AI8</f>
        <v>-</v>
      </c>
      <c r="C11" s="56" t="str">
        <f>작성용!AK8</f>
        <v>개별종목</v>
      </c>
      <c r="D11" s="57">
        <f>작성용!T8</f>
        <v>45394</v>
      </c>
      <c r="E11" s="58" t="str">
        <f>작성용!B8</f>
        <v>형지엘리트</v>
      </c>
      <c r="F11" s="58" t="str">
        <f>작성용!C8</f>
        <v>재평가</v>
      </c>
      <c r="G11" s="58" t="str">
        <f>작성용!D8</f>
        <v>형지엘리트</v>
      </c>
      <c r="H11" s="59">
        <f>작성용!E8</f>
        <v>1101112507551</v>
      </c>
      <c r="I11" s="58" t="str">
        <f>작성용!F8</f>
        <v>D02</v>
      </c>
      <c r="J11" s="58">
        <f>작성용!G8</f>
        <v>9</v>
      </c>
      <c r="K11" s="58" t="str">
        <f>작성용!H8</f>
        <v>-</v>
      </c>
      <c r="L11" s="58" t="str">
        <f>작성용!N8</f>
        <v>반기</v>
      </c>
      <c r="M11" s="57" t="str">
        <f>작성용!U8</f>
        <v>2025.12.31</v>
      </c>
      <c r="N11" s="57">
        <f>작성용!V8</f>
        <v>46029</v>
      </c>
      <c r="O11" s="57">
        <f>작성용!W8</f>
        <v>46036</v>
      </c>
      <c r="P11" s="57" t="str">
        <f>작성용!X8</f>
        <v>-</v>
      </c>
      <c r="Q11" s="58" t="str">
        <f>작성용!AD8</f>
        <v>상장</v>
      </c>
      <c r="R11" s="60">
        <f>작성용!AE8</f>
        <v>0</v>
      </c>
      <c r="S11" s="58" t="str">
        <f>작성용!AF8</f>
        <v>상장</v>
      </c>
      <c r="T11" s="61" t="str">
        <f>작성용!AG8</f>
        <v>메자닌평가팀</v>
      </c>
      <c r="U11" s="61" t="str">
        <f>작성용!AH8</f>
        <v>메자닌평가팀</v>
      </c>
      <c r="V11" s="56">
        <f>작성용!AA8</f>
        <v>202512</v>
      </c>
      <c r="W11" s="58" t="str">
        <f>작성용!AC8</f>
        <v>[W]상장기업</v>
      </c>
      <c r="X11" s="58" t="str">
        <f>작성용!O8</f>
        <v>유주희주임</v>
      </c>
      <c r="Y11" s="58" t="str">
        <f>작성용!P8</f>
        <v>032-454-8410</v>
      </c>
      <c r="Z11" s="58" t="str">
        <f>작성용!Q8</f>
        <v>yjh@hyungji-elite.com</v>
      </c>
      <c r="AA11" s="56" t="str">
        <f>작성용!AJ8</f>
        <v>회계반영</v>
      </c>
      <c r="AB11" s="56">
        <f>작성용!AB8</f>
        <v>0</v>
      </c>
    </row>
    <row r="12" spans="1:28" s="12" customFormat="1" ht="16.5" hidden="1" customHeight="1" x14ac:dyDescent="0.3">
      <c r="A12" s="54">
        <f>작성용!AL9</f>
        <v>8</v>
      </c>
      <c r="B12" s="55" t="str">
        <f>작성용!AI9</f>
        <v>NMP미등록</v>
      </c>
      <c r="C12" s="56" t="str">
        <f>작성용!AK9</f>
        <v>개별종목</v>
      </c>
      <c r="D12" s="57">
        <f>작성용!T9</f>
        <v>45394</v>
      </c>
      <c r="E12" s="58" t="str">
        <f>작성용!B9</f>
        <v>형지엘리트</v>
      </c>
      <c r="F12" s="58" t="str">
        <f>작성용!C9</f>
        <v>재평가</v>
      </c>
      <c r="G12" s="58" t="str">
        <f>작성용!D9</f>
        <v>형지엘리트</v>
      </c>
      <c r="H12" s="59">
        <f>작성용!E9</f>
        <v>1101112507551</v>
      </c>
      <c r="I12" s="58" t="str">
        <f>작성용!F9</f>
        <v>D02</v>
      </c>
      <c r="J12" s="58">
        <f>작성용!G9</f>
        <v>9</v>
      </c>
      <c r="K12" s="58" t="str">
        <f>작성용!H9</f>
        <v>-</v>
      </c>
      <c r="L12" s="58" t="str">
        <f>작성용!N9</f>
        <v>반기</v>
      </c>
      <c r="M12" s="57" t="str">
        <f>작성용!U9</f>
        <v>2026.06.30</v>
      </c>
      <c r="N12" s="57">
        <f>작성용!V9</f>
        <v>46209</v>
      </c>
      <c r="O12" s="57">
        <f>작성용!W9</f>
        <v>46216</v>
      </c>
      <c r="P12" s="57" t="str">
        <f>작성용!X9</f>
        <v>-</v>
      </c>
      <c r="Q12" s="58" t="str">
        <f>작성용!AD9</f>
        <v>상장</v>
      </c>
      <c r="R12" s="60">
        <f>작성용!AE9</f>
        <v>0</v>
      </c>
      <c r="S12" s="58" t="str">
        <f>작성용!AF9</f>
        <v>상장</v>
      </c>
      <c r="T12" s="61" t="str">
        <f>작성용!AG9</f>
        <v>메자닌평가팀</v>
      </c>
      <c r="U12" s="61" t="str">
        <f>작성용!AH9</f>
        <v>메자닌평가팀</v>
      </c>
      <c r="V12" s="56">
        <f>작성용!AA9</f>
        <v>202606</v>
      </c>
      <c r="W12" s="58" t="str">
        <f>작성용!AC9</f>
        <v>[W]상장기업</v>
      </c>
      <c r="X12" s="58" t="str">
        <f>작성용!O9</f>
        <v>유주희주임</v>
      </c>
      <c r="Y12" s="58" t="str">
        <f>작성용!P9</f>
        <v>032-454-8410</v>
      </c>
      <c r="Z12" s="58" t="str">
        <f>작성용!Q9</f>
        <v>yjh@hyungji-elite.com</v>
      </c>
      <c r="AA12" s="56" t="str">
        <f>작성용!AJ9</f>
        <v>회계반영</v>
      </c>
      <c r="AB12" s="56">
        <f>작성용!AB9</f>
        <v>0</v>
      </c>
    </row>
    <row r="13" spans="1:28" s="12" customFormat="1" ht="16.5" hidden="1" customHeight="1" x14ac:dyDescent="0.3">
      <c r="A13" s="54">
        <f>작성용!AL10</f>
        <v>9</v>
      </c>
      <c r="B13" s="55" t="str">
        <f>작성용!AI10</f>
        <v>NMP미등록</v>
      </c>
      <c r="C13" s="56" t="str">
        <f>작성용!AK10</f>
        <v>개별종목</v>
      </c>
      <c r="D13" s="57">
        <f>작성용!T10</f>
        <v>45394</v>
      </c>
      <c r="E13" s="58" t="str">
        <f>작성용!B10</f>
        <v>형지엘리트</v>
      </c>
      <c r="F13" s="58" t="str">
        <f>작성용!C10</f>
        <v>재평가</v>
      </c>
      <c r="G13" s="58" t="str">
        <f>작성용!D10</f>
        <v>형지엘리트</v>
      </c>
      <c r="H13" s="59">
        <f>작성용!E10</f>
        <v>1101112507551</v>
      </c>
      <c r="I13" s="58" t="str">
        <f>작성용!F10</f>
        <v>D02</v>
      </c>
      <c r="J13" s="58">
        <f>작성용!G10</f>
        <v>9</v>
      </c>
      <c r="K13" s="58" t="str">
        <f>작성용!H10</f>
        <v>-</v>
      </c>
      <c r="L13" s="58" t="str">
        <f>작성용!N10</f>
        <v>반기</v>
      </c>
      <c r="M13" s="57" t="str">
        <f>작성용!U10</f>
        <v>2026.12.31</v>
      </c>
      <c r="N13" s="57">
        <f>작성용!V10</f>
        <v>46395</v>
      </c>
      <c r="O13" s="57">
        <f>작성용!W10</f>
        <v>46402</v>
      </c>
      <c r="P13" s="57" t="str">
        <f>작성용!X10</f>
        <v>-</v>
      </c>
      <c r="Q13" s="58" t="str">
        <f>작성용!AD10</f>
        <v>상장</v>
      </c>
      <c r="R13" s="60">
        <f>작성용!AE10</f>
        <v>0</v>
      </c>
      <c r="S13" s="58" t="str">
        <f>작성용!AF10</f>
        <v>상장</v>
      </c>
      <c r="T13" s="61" t="str">
        <f>작성용!AG10</f>
        <v>메자닌평가팀</v>
      </c>
      <c r="U13" s="61" t="str">
        <f>작성용!AH10</f>
        <v>메자닌평가팀</v>
      </c>
      <c r="V13" s="56">
        <f>작성용!AA10</f>
        <v>202612</v>
      </c>
      <c r="W13" s="58" t="str">
        <f>작성용!AC10</f>
        <v>[W]상장기업</v>
      </c>
      <c r="X13" s="58" t="str">
        <f>작성용!O10</f>
        <v>유주희주임</v>
      </c>
      <c r="Y13" s="58" t="str">
        <f>작성용!P10</f>
        <v>032-454-8410</v>
      </c>
      <c r="Z13" s="58" t="str">
        <f>작성용!Q10</f>
        <v>yjh@hyungji-elite.com</v>
      </c>
      <c r="AA13" s="56" t="str">
        <f>작성용!AJ10</f>
        <v>회계반영</v>
      </c>
      <c r="AB13" s="56">
        <f>작성용!AB10</f>
        <v>0</v>
      </c>
    </row>
    <row r="14" spans="1:28" s="12" customFormat="1" ht="16.5" hidden="1" customHeight="1" x14ac:dyDescent="0.3">
      <c r="A14" s="54">
        <f>작성용!AL11</f>
        <v>10</v>
      </c>
      <c r="B14" s="55" t="str">
        <f>작성용!AI11</f>
        <v>코넥스 상장 종가 활용</v>
      </c>
      <c r="C14" s="56" t="str">
        <f>작성용!AK11</f>
        <v>개별종목</v>
      </c>
      <c r="D14" s="57">
        <f>작성용!T11</f>
        <v>45442</v>
      </c>
      <c r="E14" s="58" t="str">
        <f>작성용!B11</f>
        <v>셀레니언자산운용</v>
      </c>
      <c r="F14" s="58" t="str">
        <f>작성용!C11</f>
        <v>재평가</v>
      </c>
      <c r="G14" s="58" t="str">
        <f>작성용!D11</f>
        <v>노브메타파마</v>
      </c>
      <c r="H14" s="59">
        <f>작성용!E11</f>
        <v>1101114465111</v>
      </c>
      <c r="I14" s="58" t="str">
        <f>작성용!F11</f>
        <v>A05</v>
      </c>
      <c r="J14" s="58">
        <f>작성용!G11</f>
        <v>0</v>
      </c>
      <c r="K14" s="58" t="str">
        <f>작성용!H11</f>
        <v>-</v>
      </c>
      <c r="L14" s="58" t="str">
        <f>작성용!N11</f>
        <v xml:space="preserve">분기 </v>
      </c>
      <c r="M14" s="57" t="str">
        <f>작성용!U11</f>
        <v>2025.01.10</v>
      </c>
      <c r="N14" s="57">
        <f>작성용!V11</f>
        <v>45679</v>
      </c>
      <c r="O14" s="57">
        <f>작성용!W11</f>
        <v>45686</v>
      </c>
      <c r="P14" s="57" t="str">
        <f>작성용!X11</f>
        <v>-</v>
      </c>
      <c r="Q14" s="58" t="str">
        <f>작성용!AD11</f>
        <v>주식옵션팀</v>
      </c>
      <c r="R14" s="60">
        <f>작성용!AE11</f>
        <v>0</v>
      </c>
      <c r="S14" s="58" t="str">
        <f>작성용!AF11</f>
        <v>주식옵션팀</v>
      </c>
      <c r="T14" s="61" t="str">
        <f>작성용!AG11</f>
        <v>-</v>
      </c>
      <c r="U14" s="61" t="str">
        <f>작성용!AH11</f>
        <v>-</v>
      </c>
      <c r="V14" s="56">
        <f>작성용!AA11</f>
        <v>202501</v>
      </c>
      <c r="W14" s="58" t="str">
        <f>작성용!AC11</f>
        <v>[Y]금융기관</v>
      </c>
      <c r="X14" s="58" t="str">
        <f>작성용!O11</f>
        <v>김보라대리</v>
      </c>
      <c r="Y14" s="58" t="str">
        <f>작성용!P11</f>
        <v>070-4901-1934, 010-6424-5484</v>
      </c>
      <c r="Z14" s="58" t="str">
        <f>작성용!Q11</f>
        <v>bora.kim@celenian.com</v>
      </c>
      <c r="AA14" s="56" t="str">
        <f>작성용!AJ11</f>
        <v>회계반영</v>
      </c>
      <c r="AB14" s="56">
        <f>작성용!AB11</f>
        <v>0</v>
      </c>
    </row>
    <row r="15" spans="1:28" s="12" customFormat="1" ht="16.5" hidden="1" customHeight="1" x14ac:dyDescent="0.3">
      <c r="A15" s="54">
        <f>작성용!AL12</f>
        <v>11</v>
      </c>
      <c r="B15" s="55" t="str">
        <f>작성용!AI12</f>
        <v>-</v>
      </c>
      <c r="C15" s="56" t="str">
        <f>작성용!AK12</f>
        <v>개별종목</v>
      </c>
      <c r="D15" s="57">
        <f>작성용!T12</f>
        <v>45471</v>
      </c>
      <c r="E15" s="58" t="str">
        <f>작성용!B12</f>
        <v>엔바이오니아</v>
      </c>
      <c r="F15" s="58" t="str">
        <f>작성용!C12</f>
        <v>재평가</v>
      </c>
      <c r="G15" s="58" t="str">
        <f>작성용!D12</f>
        <v>엔바이오니아</v>
      </c>
      <c r="H15" s="59">
        <f>작성용!E12</f>
        <v>1101112152067</v>
      </c>
      <c r="I15" s="58" t="str">
        <f>작성용!F12</f>
        <v>D03</v>
      </c>
      <c r="J15" s="58">
        <f>작성용!G12</f>
        <v>3</v>
      </c>
      <c r="K15" s="58" t="str">
        <f>작성용!H12</f>
        <v>-</v>
      </c>
      <c r="L15" s="58" t="str">
        <f>작성용!N12</f>
        <v>분기</v>
      </c>
      <c r="M15" s="57" t="str">
        <f>작성용!U12</f>
        <v>2024.12.31</v>
      </c>
      <c r="N15" s="57">
        <f>작성용!V12</f>
        <v>45667</v>
      </c>
      <c r="O15" s="57">
        <f>작성용!W12</f>
        <v>45672</v>
      </c>
      <c r="P15" s="57" t="str">
        <f>작성용!X12</f>
        <v>-</v>
      </c>
      <c r="Q15" s="58" t="str">
        <f>작성용!AD12</f>
        <v>상장</v>
      </c>
      <c r="R15" s="60">
        <f>작성용!AE12</f>
        <v>0</v>
      </c>
      <c r="S15" s="58" t="str">
        <f>작성용!AF12</f>
        <v>상장</v>
      </c>
      <c r="T15" s="61" t="str">
        <f>작성용!AG12</f>
        <v>메자닌평가팀</v>
      </c>
      <c r="U15" s="61" t="str">
        <f>작성용!AH12</f>
        <v>메자닌평가팀</v>
      </c>
      <c r="V15" s="56">
        <f>작성용!AA12</f>
        <v>202412</v>
      </c>
      <c r="W15" s="58" t="str">
        <f>작성용!AC12</f>
        <v>[W]상장기업</v>
      </c>
      <c r="X15" s="58" t="str">
        <f>작성용!O12</f>
        <v>최미정부장</v>
      </c>
      <c r="Y15" s="58" t="str">
        <f>작성용!P12</f>
        <v xml:space="preserve">070-7718-7543 </v>
      </c>
      <c r="Z15" s="58" t="str">
        <f>작성용!Q12</f>
        <v xml:space="preserve">choi@envioneer.com </v>
      </c>
      <c r="AA15" s="56" t="str">
        <f>작성용!AJ12</f>
        <v>회계반영</v>
      </c>
      <c r="AB15" s="56">
        <f>작성용!AB12</f>
        <v>0</v>
      </c>
    </row>
    <row r="16" spans="1:28" s="12" customFormat="1" ht="16.5" hidden="1" customHeight="1" x14ac:dyDescent="0.3">
      <c r="A16" s="54">
        <f>작성용!AL13</f>
        <v>12</v>
      </c>
      <c r="B16" s="55" t="str">
        <f>작성용!AI13</f>
        <v>-</v>
      </c>
      <c r="C16" s="56" t="str">
        <f>작성용!AK13</f>
        <v>개별종목</v>
      </c>
      <c r="D16" s="57">
        <f>작성용!T13</f>
        <v>45471</v>
      </c>
      <c r="E16" s="58" t="str">
        <f>작성용!B13</f>
        <v>엔바이오니아</v>
      </c>
      <c r="F16" s="58" t="str">
        <f>작성용!C13</f>
        <v>재평가</v>
      </c>
      <c r="G16" s="58" t="str">
        <f>작성용!D13</f>
        <v>엔바이오니아</v>
      </c>
      <c r="H16" s="59">
        <f>작성용!E13</f>
        <v>1101112152067</v>
      </c>
      <c r="I16" s="58" t="str">
        <f>작성용!F13</f>
        <v>D02</v>
      </c>
      <c r="J16" s="58">
        <f>작성용!G13</f>
        <v>8</v>
      </c>
      <c r="K16" s="58" t="str">
        <f>작성용!H13</f>
        <v>-</v>
      </c>
      <c r="L16" s="58" t="str">
        <f>작성용!N13</f>
        <v>분기</v>
      </c>
      <c r="M16" s="57" t="str">
        <f>작성용!U13</f>
        <v>2024.12.31</v>
      </c>
      <c r="N16" s="57">
        <f>작성용!V13</f>
        <v>45667</v>
      </c>
      <c r="O16" s="57">
        <f>작성용!W13</f>
        <v>45672</v>
      </c>
      <c r="P16" s="57" t="str">
        <f>작성용!X13</f>
        <v>-</v>
      </c>
      <c r="Q16" s="58" t="str">
        <f>작성용!AD13</f>
        <v>상장</v>
      </c>
      <c r="R16" s="60">
        <f>작성용!AE13</f>
        <v>0</v>
      </c>
      <c r="S16" s="58" t="str">
        <f>작성용!AF13</f>
        <v>상장</v>
      </c>
      <c r="T16" s="61" t="str">
        <f>작성용!AG13</f>
        <v>메자닌평가팀</v>
      </c>
      <c r="U16" s="61" t="str">
        <f>작성용!AH13</f>
        <v>메자닌평가팀</v>
      </c>
      <c r="V16" s="56">
        <f>작성용!AA13</f>
        <v>202412</v>
      </c>
      <c r="W16" s="58" t="str">
        <f>작성용!AC13</f>
        <v>[W]상장기업</v>
      </c>
      <c r="X16" s="58" t="str">
        <f>작성용!O13</f>
        <v>최미정부장</v>
      </c>
      <c r="Y16" s="58" t="str">
        <f>작성용!P13</f>
        <v xml:space="preserve">070-7718-7543 </v>
      </c>
      <c r="Z16" s="58" t="str">
        <f>작성용!Q13</f>
        <v xml:space="preserve">choi@envioneer.com </v>
      </c>
      <c r="AA16" s="56" t="str">
        <f>작성용!AJ13</f>
        <v>회계반영</v>
      </c>
      <c r="AB16" s="56">
        <f>작성용!AB13</f>
        <v>0</v>
      </c>
    </row>
    <row r="17" spans="1:28" s="12" customFormat="1" ht="16.5" hidden="1" customHeight="1" x14ac:dyDescent="0.3">
      <c r="A17" s="54">
        <f>작성용!AL14</f>
        <v>13</v>
      </c>
      <c r="B17" s="55" t="str">
        <f>작성용!AI14</f>
        <v>-</v>
      </c>
      <c r="C17" s="56" t="str">
        <f>작성용!AK14</f>
        <v>개별종목</v>
      </c>
      <c r="D17" s="57">
        <f>작성용!T14</f>
        <v>45471</v>
      </c>
      <c r="E17" s="58" t="str">
        <f>작성용!B14</f>
        <v>엔바이오니아</v>
      </c>
      <c r="F17" s="58" t="str">
        <f>작성용!C14</f>
        <v>재평가</v>
      </c>
      <c r="G17" s="58" t="str">
        <f>작성용!D14</f>
        <v>엔바이오니아</v>
      </c>
      <c r="H17" s="59">
        <f>작성용!E14</f>
        <v>1101112152067</v>
      </c>
      <c r="I17" s="58" t="str">
        <f>작성용!F14</f>
        <v>D02</v>
      </c>
      <c r="J17" s="58">
        <f>작성용!G14</f>
        <v>88</v>
      </c>
      <c r="K17" s="58" t="str">
        <f>작성용!H14</f>
        <v>-</v>
      </c>
      <c r="L17" s="58" t="str">
        <f>작성용!N14</f>
        <v>분기</v>
      </c>
      <c r="M17" s="57" t="str">
        <f>작성용!U14</f>
        <v>2024.12.31</v>
      </c>
      <c r="N17" s="57">
        <f>작성용!V14</f>
        <v>45667</v>
      </c>
      <c r="O17" s="57">
        <f>작성용!W14</f>
        <v>45672</v>
      </c>
      <c r="P17" s="57" t="str">
        <f>작성용!X14</f>
        <v>-</v>
      </c>
      <c r="Q17" s="58" t="str">
        <f>작성용!AD14</f>
        <v>상장</v>
      </c>
      <c r="R17" s="60">
        <f>작성용!AE14</f>
        <v>0</v>
      </c>
      <c r="S17" s="58" t="str">
        <f>작성용!AF14</f>
        <v>상장</v>
      </c>
      <c r="T17" s="61" t="str">
        <f>작성용!AG14</f>
        <v>메자닌평가팀</v>
      </c>
      <c r="U17" s="61" t="str">
        <f>작성용!AH14</f>
        <v>메자닌평가팀</v>
      </c>
      <c r="V17" s="56">
        <f>작성용!AA14</f>
        <v>202412</v>
      </c>
      <c r="W17" s="58" t="str">
        <f>작성용!AC14</f>
        <v>[W]상장기업</v>
      </c>
      <c r="X17" s="58" t="str">
        <f>작성용!O14</f>
        <v>최미정부장</v>
      </c>
      <c r="Y17" s="58" t="str">
        <f>작성용!P14</f>
        <v xml:space="preserve">070-7718-7543 </v>
      </c>
      <c r="Z17" s="58" t="str">
        <f>작성용!Q14</f>
        <v xml:space="preserve">choi@envioneer.com </v>
      </c>
      <c r="AA17" s="56" t="str">
        <f>작성용!AJ14</f>
        <v>회계반영</v>
      </c>
      <c r="AB17" s="56">
        <f>작성용!AB14</f>
        <v>0</v>
      </c>
    </row>
    <row r="18" spans="1:28" s="12" customFormat="1" ht="16.5" hidden="1" customHeight="1" x14ac:dyDescent="0.3">
      <c r="A18" s="54">
        <f>작성용!AL15</f>
        <v>14</v>
      </c>
      <c r="B18" s="55" t="str">
        <f>작성용!AI15</f>
        <v>-</v>
      </c>
      <c r="C18" s="56" t="str">
        <f>작성용!AK15</f>
        <v>개별종목</v>
      </c>
      <c r="D18" s="57">
        <f>작성용!T15</f>
        <v>45516</v>
      </c>
      <c r="E18" s="58" t="str">
        <f>작성용!B15</f>
        <v>IBK투자증권(IPO1팀)</v>
      </c>
      <c r="F18" s="58" t="str">
        <f>작성용!C15</f>
        <v>재평가</v>
      </c>
      <c r="G18" s="58" t="str">
        <f>작성용!D15</f>
        <v>케이앤에스아이앤씨</v>
      </c>
      <c r="H18" s="59">
        <f>작성용!E15</f>
        <v>1101112405896</v>
      </c>
      <c r="I18" s="58" t="str">
        <f>작성용!F15</f>
        <v>D02</v>
      </c>
      <c r="J18" s="58">
        <f>작성용!G15</f>
        <v>0</v>
      </c>
      <c r="K18" s="58" t="str">
        <f>작성용!H15</f>
        <v>-</v>
      </c>
      <c r="L18" s="58" t="str">
        <f>작성용!N15</f>
        <v>월</v>
      </c>
      <c r="M18" s="57" t="str">
        <f>작성용!U15</f>
        <v>2024.10.31</v>
      </c>
      <c r="N18" s="57">
        <f>작성용!V15</f>
        <v>45597</v>
      </c>
      <c r="O18" s="57" t="str">
        <f>작성용!W15</f>
        <v>보고서제공X</v>
      </c>
      <c r="P18" s="57" t="str">
        <f>작성용!X15</f>
        <v>-</v>
      </c>
      <c r="Q18" s="58" t="str">
        <f>작성용!AD15</f>
        <v>오영석</v>
      </c>
      <c r="R18" s="60">
        <f>작성용!AE15</f>
        <v>1</v>
      </c>
      <c r="S18" s="58" t="str">
        <f>작성용!AF15</f>
        <v>오영석</v>
      </c>
      <c r="T18" s="61" t="str">
        <f>작성용!AG15</f>
        <v>강승현</v>
      </c>
      <c r="U18" s="61" t="str">
        <f>작성용!AH15</f>
        <v>오영석</v>
      </c>
      <c r="V18" s="56">
        <f>작성용!AA15</f>
        <v>202410</v>
      </c>
      <c r="W18" s="58" t="str">
        <f>작성용!AC15</f>
        <v>[Y]금융기관</v>
      </c>
      <c r="X18" s="58" t="str">
        <f>작성용!O15</f>
        <v>이예울대리</v>
      </c>
      <c r="Y18" s="58" t="str">
        <f>작성용!P15</f>
        <v>02-6915-5337</v>
      </c>
      <c r="Z18" s="58" t="str">
        <f>작성용!Q15</f>
        <v>9m.n-@ibks.com</v>
      </c>
      <c r="AA18" s="56" t="str">
        <f>작성용!AJ15</f>
        <v>회계반영</v>
      </c>
      <c r="AB18" s="56">
        <f>작성용!AB15</f>
        <v>0</v>
      </c>
    </row>
    <row r="19" spans="1:28" s="12" customFormat="1" ht="16.5" hidden="1" customHeight="1" x14ac:dyDescent="0.3">
      <c r="A19" s="54">
        <f>작성용!AL16</f>
        <v>15</v>
      </c>
      <c r="B19" s="55" t="str">
        <f>작성용!AI16</f>
        <v>-</v>
      </c>
      <c r="C19" s="56" t="str">
        <f>작성용!AK16</f>
        <v>개별종목</v>
      </c>
      <c r="D19" s="57" t="str">
        <f>작성용!T16</f>
        <v>매월</v>
      </c>
      <c r="E19" s="58" t="str">
        <f>작성용!B16</f>
        <v>메리츠증권(구조화투자팀)</v>
      </c>
      <c r="F19" s="58" t="str">
        <f>작성용!C16</f>
        <v>재평가</v>
      </c>
      <c r="G19" s="58" t="str">
        <f>작성용!D16</f>
        <v>Lanvin Group Holdings Limited</v>
      </c>
      <c r="H19" s="59" t="str">
        <f>작성용!E16</f>
        <v>KBP2024030006</v>
      </c>
      <c r="I19" s="58" t="str">
        <f>작성용!F16</f>
        <v>D06</v>
      </c>
      <c r="J19" s="58">
        <f>작성용!G16</f>
        <v>0</v>
      </c>
      <c r="K19" s="58" t="str">
        <f>작성용!H16</f>
        <v>Y</v>
      </c>
      <c r="L19" s="58" t="str">
        <f>작성용!N16</f>
        <v>월</v>
      </c>
      <c r="M19" s="57" t="str">
        <f>작성용!U16</f>
        <v>2024.10.31</v>
      </c>
      <c r="N19" s="57">
        <f>작성용!V16</f>
        <v>45597</v>
      </c>
      <c r="O19" s="57" t="str">
        <f>작성용!W16</f>
        <v>보고서제공X</v>
      </c>
      <c r="P19" s="57">
        <f>작성용!X16</f>
        <v>45566</v>
      </c>
      <c r="Q19" s="58" t="str">
        <f>작성용!AD16</f>
        <v>상장</v>
      </c>
      <c r="R19" s="60">
        <f>작성용!AE16</f>
        <v>0</v>
      </c>
      <c r="S19" s="58" t="str">
        <f>작성용!AF16</f>
        <v>상장</v>
      </c>
      <c r="T19" s="61" t="str">
        <f>작성용!AG16</f>
        <v>메자닌평가팀</v>
      </c>
      <c r="U19" s="61" t="str">
        <f>작성용!AH16</f>
        <v>메자닌평가팀</v>
      </c>
      <c r="V19" s="56">
        <f>작성용!AA16</f>
        <v>202410</v>
      </c>
      <c r="W19" s="58" t="str">
        <f>작성용!AC16</f>
        <v>[W]상장기업</v>
      </c>
      <c r="X19" s="58" t="str">
        <f>작성용!O16</f>
        <v>박지우대리</v>
      </c>
      <c r="Y19" s="58" t="str">
        <f>작성용!P16</f>
        <v>02-6454-4321</v>
      </c>
      <c r="Z19" s="58" t="str">
        <f>작성용!Q16</f>
        <v>jw.park@meritz.co.kr</v>
      </c>
      <c r="AA19" s="56" t="str">
        <f>작성용!AJ16</f>
        <v>회계반영</v>
      </c>
      <c r="AB19" s="56">
        <f>작성용!AB16</f>
        <v>0</v>
      </c>
    </row>
    <row r="20" spans="1:28" s="12" customFormat="1" ht="16.5" hidden="1" customHeight="1" x14ac:dyDescent="0.3">
      <c r="A20" s="54">
        <f>작성용!AL17</f>
        <v>16</v>
      </c>
      <c r="B20" s="55" t="str">
        <f>작성용!AI17</f>
        <v>-</v>
      </c>
      <c r="C20" s="56" t="str">
        <f>작성용!AK17</f>
        <v>개별종목</v>
      </c>
      <c r="D20" s="57" t="str">
        <f>작성용!T17</f>
        <v>매월</v>
      </c>
      <c r="E20" s="58" t="str">
        <f>작성용!B17</f>
        <v>메리츠증권(구조화투자팀)</v>
      </c>
      <c r="F20" s="58" t="str">
        <f>작성용!C17</f>
        <v>재평가</v>
      </c>
      <c r="G20" s="58" t="str">
        <f>작성용!D17</f>
        <v>Lanvin Group Holdings Limited</v>
      </c>
      <c r="H20" s="59" t="str">
        <f>작성용!E17</f>
        <v>KBP2024030006</v>
      </c>
      <c r="I20" s="58" t="str">
        <f>작성용!F17</f>
        <v>D06</v>
      </c>
      <c r="J20" s="58">
        <f>작성용!G17</f>
        <v>0</v>
      </c>
      <c r="K20" s="58" t="str">
        <f>작성용!H17</f>
        <v>Y</v>
      </c>
      <c r="L20" s="58" t="str">
        <f>작성용!N17</f>
        <v>월</v>
      </c>
      <c r="M20" s="57" t="str">
        <f>작성용!U17</f>
        <v>2024.11.30</v>
      </c>
      <c r="N20" s="57">
        <f>작성용!V17</f>
        <v>45628</v>
      </c>
      <c r="O20" s="57" t="str">
        <f>작성용!W17</f>
        <v>보고서제공X</v>
      </c>
      <c r="P20" s="57">
        <f>작성용!X17</f>
        <v>45628</v>
      </c>
      <c r="Q20" s="58" t="str">
        <f>작성용!AD17</f>
        <v>상장</v>
      </c>
      <c r="R20" s="60">
        <f>작성용!AE17</f>
        <v>0</v>
      </c>
      <c r="S20" s="58" t="str">
        <f>작성용!AF17</f>
        <v>상장</v>
      </c>
      <c r="T20" s="61" t="str">
        <f>작성용!AG17</f>
        <v>메자닌평가팀</v>
      </c>
      <c r="U20" s="61" t="str">
        <f>작성용!AH17</f>
        <v>메자닌평가팀</v>
      </c>
      <c r="V20" s="56">
        <f>작성용!AA17</f>
        <v>202411</v>
      </c>
      <c r="W20" s="58" t="str">
        <f>작성용!AC17</f>
        <v>[W]상장기업</v>
      </c>
      <c r="X20" s="58" t="str">
        <f>작성용!O17</f>
        <v>박지우대리</v>
      </c>
      <c r="Y20" s="58" t="str">
        <f>작성용!P17</f>
        <v>02-6454-4321</v>
      </c>
      <c r="Z20" s="58" t="str">
        <f>작성용!Q17</f>
        <v>jw.park@meritz.co.kr</v>
      </c>
      <c r="AA20" s="56" t="str">
        <f>작성용!AJ17</f>
        <v>회계반영</v>
      </c>
      <c r="AB20" s="56">
        <f>작성용!AB17</f>
        <v>0</v>
      </c>
    </row>
    <row r="21" spans="1:28" s="12" customFormat="1" ht="16.5" hidden="1" customHeight="1" x14ac:dyDescent="0.3">
      <c r="A21" s="54">
        <f>작성용!AL18</f>
        <v>17</v>
      </c>
      <c r="B21" s="55" t="str">
        <f>작성용!AI18</f>
        <v>-</v>
      </c>
      <c r="C21" s="56" t="str">
        <f>작성용!AK18</f>
        <v>개별종목</v>
      </c>
      <c r="D21" s="57">
        <f>작성용!T18</f>
        <v>45527</v>
      </c>
      <c r="E21" s="58" t="str">
        <f>작성용!B18</f>
        <v>원익투자파트너스</v>
      </c>
      <c r="F21" s="58" t="str">
        <f>작성용!C18</f>
        <v>재평가</v>
      </c>
      <c r="G21" s="58" t="str">
        <f>작성용!D18</f>
        <v>칸</v>
      </c>
      <c r="H21" s="59">
        <f>작성용!E18</f>
        <v>1949110016277</v>
      </c>
      <c r="I21" s="58" t="str">
        <f>작성용!F18</f>
        <v>A07</v>
      </c>
      <c r="J21" s="58">
        <f>작성용!G18</f>
        <v>0</v>
      </c>
      <c r="K21" s="58" t="str">
        <f>작성용!H18</f>
        <v>-</v>
      </c>
      <c r="L21" s="58" t="str">
        <f>작성용!N18</f>
        <v>분기</v>
      </c>
      <c r="M21" s="57" t="str">
        <f>작성용!U18</f>
        <v>2024.09.30</v>
      </c>
      <c r="N21" s="57">
        <f>작성용!V18</f>
        <v>45603</v>
      </c>
      <c r="O21" s="57">
        <f>작성용!W18</f>
        <v>45610</v>
      </c>
      <c r="P21" s="57" t="str">
        <f>작성용!X18</f>
        <v>-</v>
      </c>
      <c r="Q21" s="58" t="str">
        <f>작성용!AD18</f>
        <v>강성은</v>
      </c>
      <c r="R21" s="60">
        <f>작성용!AE18</f>
        <v>1</v>
      </c>
      <c r="S21" s="58" t="str">
        <f>작성용!AF18</f>
        <v>강성은</v>
      </c>
      <c r="T21" s="61" t="str">
        <f>작성용!AG18</f>
        <v>채동우</v>
      </c>
      <c r="U21" s="61" t="str">
        <f>작성용!AH18</f>
        <v>채동우</v>
      </c>
      <c r="V21" s="56">
        <f>작성용!AA18</f>
        <v>202409</v>
      </c>
      <c r="W21" s="58" t="str">
        <f>작성용!AC18</f>
        <v>[Y]금융기관</v>
      </c>
      <c r="X21" s="58" t="str">
        <f>작성용!O18</f>
        <v>심인숙부장</v>
      </c>
      <c r="Y21" s="58" t="str">
        <f>작성용!P18</f>
        <v xml:space="preserve">02-6446-7128 </v>
      </c>
      <c r="Z21" s="58" t="str">
        <f>작성용!Q18</f>
        <v xml:space="preserve">issim@wonik.com </v>
      </c>
      <c r="AA21" s="56" t="str">
        <f>작성용!AJ18</f>
        <v>LP제출</v>
      </c>
      <c r="AB21" s="56">
        <f>작성용!AB18</f>
        <v>0</v>
      </c>
    </row>
    <row r="22" spans="1:28" s="12" customFormat="1" ht="16.5" hidden="1" customHeight="1" x14ac:dyDescent="0.3">
      <c r="A22" s="54">
        <f>작성용!AL19</f>
        <v>18</v>
      </c>
      <c r="B22" s="55" t="str">
        <f>작성용!AI19</f>
        <v>-</v>
      </c>
      <c r="C22" s="56" t="str">
        <f>작성용!AK19</f>
        <v>개별종목</v>
      </c>
      <c r="D22" s="57">
        <f>작성용!T19</f>
        <v>45527</v>
      </c>
      <c r="E22" s="58" t="str">
        <f>작성용!B19</f>
        <v>원익투자파트너스</v>
      </c>
      <c r="F22" s="58" t="str">
        <f>작성용!C19</f>
        <v>재평가</v>
      </c>
      <c r="G22" s="58" t="str">
        <f>작성용!D19</f>
        <v>이씨스</v>
      </c>
      <c r="H22" s="59">
        <f>작성용!E19</f>
        <v>1101113298068</v>
      </c>
      <c r="I22" s="58" t="str">
        <f>작성용!F19</f>
        <v>A07</v>
      </c>
      <c r="J22" s="58">
        <f>작성용!G19</f>
        <v>1</v>
      </c>
      <c r="K22" s="58" t="str">
        <f>작성용!H19</f>
        <v>-</v>
      </c>
      <c r="L22" s="58" t="str">
        <f>작성용!N19</f>
        <v>분기</v>
      </c>
      <c r="M22" s="57" t="str">
        <f>작성용!U19</f>
        <v>2024.09.30</v>
      </c>
      <c r="N22" s="57">
        <f>작성용!V19</f>
        <v>45603</v>
      </c>
      <c r="O22" s="57">
        <f>작성용!W19</f>
        <v>45610</v>
      </c>
      <c r="P22" s="57" t="str">
        <f>작성용!X19</f>
        <v>-</v>
      </c>
      <c r="Q22" s="58" t="str">
        <f>작성용!AD19</f>
        <v>백형진</v>
      </c>
      <c r="R22" s="60">
        <f>작성용!AE19</f>
        <v>1</v>
      </c>
      <c r="S22" s="58" t="str">
        <f>작성용!AF19</f>
        <v>백형진</v>
      </c>
      <c r="T22" s="61" t="str">
        <f>작성용!AG19</f>
        <v>채동우</v>
      </c>
      <c r="U22" s="61" t="str">
        <f>작성용!AH19</f>
        <v>채동우</v>
      </c>
      <c r="V22" s="56">
        <f>작성용!AA19</f>
        <v>202409</v>
      </c>
      <c r="W22" s="58" t="str">
        <f>작성용!AC19</f>
        <v>[Y]금융기관</v>
      </c>
      <c r="X22" s="58" t="str">
        <f>작성용!O19</f>
        <v>심인숙부장</v>
      </c>
      <c r="Y22" s="58" t="str">
        <f>작성용!P19</f>
        <v xml:space="preserve">02-6446-7128 </v>
      </c>
      <c r="Z22" s="58" t="str">
        <f>작성용!Q19</f>
        <v xml:space="preserve">issim@wonik.com </v>
      </c>
      <c r="AA22" s="56" t="str">
        <f>작성용!AJ19</f>
        <v>LP제출</v>
      </c>
      <c r="AB22" s="56">
        <f>작성용!AB19</f>
        <v>0</v>
      </c>
    </row>
    <row r="23" spans="1:28" s="12" customFormat="1" ht="16.5" hidden="1" customHeight="1" x14ac:dyDescent="0.3">
      <c r="A23" s="54">
        <f>작성용!AL20</f>
        <v>19</v>
      </c>
      <c r="B23" s="55" t="str">
        <f>작성용!AI20</f>
        <v>-</v>
      </c>
      <c r="C23" s="56" t="str">
        <f>작성용!AK20</f>
        <v>개별종목</v>
      </c>
      <c r="D23" s="57">
        <f>작성용!T20</f>
        <v>45527</v>
      </c>
      <c r="E23" s="58" t="str">
        <f>작성용!B20</f>
        <v>원익투자파트너스</v>
      </c>
      <c r="F23" s="58" t="str">
        <f>작성용!C20</f>
        <v>재평가</v>
      </c>
      <c r="G23" s="58" t="str">
        <f>작성용!D20</f>
        <v>이씨스</v>
      </c>
      <c r="H23" s="59">
        <f>작성용!E20</f>
        <v>1101113298068</v>
      </c>
      <c r="I23" s="58" t="str">
        <f>작성용!F20</f>
        <v>A07</v>
      </c>
      <c r="J23" s="58">
        <f>작성용!G20</f>
        <v>2</v>
      </c>
      <c r="K23" s="58" t="str">
        <f>작성용!H20</f>
        <v>-</v>
      </c>
      <c r="L23" s="58" t="str">
        <f>작성용!N20</f>
        <v>분기</v>
      </c>
      <c r="M23" s="57" t="str">
        <f>작성용!U20</f>
        <v>2024.09.30</v>
      </c>
      <c r="N23" s="57">
        <f>작성용!V20</f>
        <v>45603</v>
      </c>
      <c r="O23" s="57">
        <f>작성용!W20</f>
        <v>45610</v>
      </c>
      <c r="P23" s="57" t="str">
        <f>작성용!X20</f>
        <v>-</v>
      </c>
      <c r="Q23" s="58" t="str">
        <f>작성용!AD20</f>
        <v>백형진</v>
      </c>
      <c r="R23" s="60">
        <f>작성용!AE20</f>
        <v>0</v>
      </c>
      <c r="S23" s="58" t="str">
        <f>작성용!AF20</f>
        <v>백형진</v>
      </c>
      <c r="T23" s="61" t="str">
        <f>작성용!AG20</f>
        <v>채동우</v>
      </c>
      <c r="U23" s="61" t="str">
        <f>작성용!AH20</f>
        <v>채동우</v>
      </c>
      <c r="V23" s="56">
        <f>작성용!AA20</f>
        <v>202409</v>
      </c>
      <c r="W23" s="58" t="str">
        <f>작성용!AC20</f>
        <v>[Y]금융기관</v>
      </c>
      <c r="X23" s="58" t="str">
        <f>작성용!O20</f>
        <v>심인숙부장</v>
      </c>
      <c r="Y23" s="58" t="str">
        <f>작성용!P20</f>
        <v xml:space="preserve">02-6446-7128 </v>
      </c>
      <c r="Z23" s="58" t="str">
        <f>작성용!Q20</f>
        <v xml:space="preserve">issim@wonik.com </v>
      </c>
      <c r="AA23" s="56" t="str">
        <f>작성용!AJ20</f>
        <v>LP제출</v>
      </c>
      <c r="AB23" s="56">
        <f>작성용!AB20</f>
        <v>0</v>
      </c>
    </row>
    <row r="24" spans="1:28" s="12" customFormat="1" ht="16.5" hidden="1" customHeight="1" x14ac:dyDescent="0.3">
      <c r="A24" s="54">
        <f>작성용!AL21</f>
        <v>20</v>
      </c>
      <c r="B24" s="55" t="str">
        <f>작성용!AI21</f>
        <v>-</v>
      </c>
      <c r="C24" s="56" t="str">
        <f>작성용!AK21</f>
        <v>개별종목</v>
      </c>
      <c r="D24" s="57">
        <f>작성용!T21</f>
        <v>45527</v>
      </c>
      <c r="E24" s="58" t="str">
        <f>작성용!B21</f>
        <v>원익투자파트너스</v>
      </c>
      <c r="F24" s="58" t="str">
        <f>작성용!C21</f>
        <v>재평가</v>
      </c>
      <c r="G24" s="58" t="str">
        <f>작성용!D21</f>
        <v>미디어캔</v>
      </c>
      <c r="H24" s="59">
        <f>작성용!E21</f>
        <v>1101113896341</v>
      </c>
      <c r="I24" s="58" t="str">
        <f>작성용!F21</f>
        <v>A01</v>
      </c>
      <c r="J24" s="58">
        <f>작성용!G21</f>
        <v>0</v>
      </c>
      <c r="K24" s="58" t="str">
        <f>작성용!H21</f>
        <v>-</v>
      </c>
      <c r="L24" s="58" t="str">
        <f>작성용!N21</f>
        <v>분기</v>
      </c>
      <c r="M24" s="57" t="str">
        <f>작성용!U21</f>
        <v>2024.09.30</v>
      </c>
      <c r="N24" s="57">
        <f>작성용!V21</f>
        <v>45603</v>
      </c>
      <c r="O24" s="57">
        <f>작성용!W21</f>
        <v>45610</v>
      </c>
      <c r="P24" s="57" t="str">
        <f>작성용!X21</f>
        <v>-</v>
      </c>
      <c r="Q24" s="58" t="str">
        <f>작성용!AD21</f>
        <v>백형진</v>
      </c>
      <c r="R24" s="60">
        <f>작성용!AE21</f>
        <v>1</v>
      </c>
      <c r="S24" s="58" t="str">
        <f>작성용!AF21</f>
        <v>백형진</v>
      </c>
      <c r="T24" s="61" t="str">
        <f>작성용!AG21</f>
        <v>채동우</v>
      </c>
      <c r="U24" s="61" t="str">
        <f>작성용!AH21</f>
        <v>채동우</v>
      </c>
      <c r="V24" s="56">
        <f>작성용!AA21</f>
        <v>202409</v>
      </c>
      <c r="W24" s="58" t="str">
        <f>작성용!AC21</f>
        <v>[Y]금융기관</v>
      </c>
      <c r="X24" s="58" t="str">
        <f>작성용!O21</f>
        <v>심인숙부장</v>
      </c>
      <c r="Y24" s="58" t="str">
        <f>작성용!P21</f>
        <v xml:space="preserve">02-6446-7128 </v>
      </c>
      <c r="Z24" s="58" t="str">
        <f>작성용!Q21</f>
        <v xml:space="preserve">issim@wonik.com </v>
      </c>
      <c r="AA24" s="56" t="str">
        <f>작성용!AJ21</f>
        <v>LP제출</v>
      </c>
      <c r="AB24" s="56">
        <f>작성용!AB21</f>
        <v>0</v>
      </c>
    </row>
    <row r="25" spans="1:28" s="12" customFormat="1" ht="16.5" hidden="1" customHeight="1" x14ac:dyDescent="0.3">
      <c r="A25" s="54">
        <f>작성용!AL22</f>
        <v>21</v>
      </c>
      <c r="B25" s="55" t="str">
        <f>작성용!AI22</f>
        <v>-</v>
      </c>
      <c r="C25" s="56" t="str">
        <f>작성용!AK22</f>
        <v>개별종목</v>
      </c>
      <c r="D25" s="57">
        <f>작성용!T22</f>
        <v>45527</v>
      </c>
      <c r="E25" s="58" t="str">
        <f>작성용!B22</f>
        <v>원익투자파트너스</v>
      </c>
      <c r="F25" s="58" t="str">
        <f>작성용!C22</f>
        <v>재평가</v>
      </c>
      <c r="G25" s="58" t="str">
        <f>작성용!D22</f>
        <v>아진피앤피</v>
      </c>
      <c r="H25" s="59">
        <f>작성용!E22</f>
        <v>1741110000775</v>
      </c>
      <c r="I25" s="58" t="str">
        <f>작성용!F22</f>
        <v>A01</v>
      </c>
      <c r="J25" s="58">
        <f>작성용!G22</f>
        <v>0</v>
      </c>
      <c r="K25" s="58" t="str">
        <f>작성용!H22</f>
        <v>-</v>
      </c>
      <c r="L25" s="58" t="str">
        <f>작성용!N22</f>
        <v>분기</v>
      </c>
      <c r="M25" s="57" t="str">
        <f>작성용!U22</f>
        <v>2024.09.30</v>
      </c>
      <c r="N25" s="57">
        <f>작성용!V22</f>
        <v>45603</v>
      </c>
      <c r="O25" s="57">
        <f>작성용!W22</f>
        <v>45610</v>
      </c>
      <c r="P25" s="57" t="str">
        <f>작성용!X22</f>
        <v>-</v>
      </c>
      <c r="Q25" s="58" t="str">
        <f>작성용!AD22</f>
        <v>이진주</v>
      </c>
      <c r="R25" s="60">
        <f>작성용!AE22</f>
        <v>1</v>
      </c>
      <c r="S25" s="58" t="str">
        <f>작성용!AF22</f>
        <v>이진주</v>
      </c>
      <c r="T25" s="61" t="str">
        <f>작성용!AG22</f>
        <v>채동우</v>
      </c>
      <c r="U25" s="61" t="str">
        <f>작성용!AH22</f>
        <v>채동우</v>
      </c>
      <c r="V25" s="56">
        <f>작성용!AA22</f>
        <v>202409</v>
      </c>
      <c r="W25" s="58" t="str">
        <f>작성용!AC22</f>
        <v>[Y]금융기관</v>
      </c>
      <c r="X25" s="58" t="str">
        <f>작성용!O22</f>
        <v>심인숙부장</v>
      </c>
      <c r="Y25" s="58" t="str">
        <f>작성용!P22</f>
        <v xml:space="preserve">02-6446-7128 </v>
      </c>
      <c r="Z25" s="58" t="str">
        <f>작성용!Q22</f>
        <v xml:space="preserve">issim@wonik.com </v>
      </c>
      <c r="AA25" s="56" t="str">
        <f>작성용!AJ22</f>
        <v>LP제출</v>
      </c>
      <c r="AB25" s="56">
        <f>작성용!AB22</f>
        <v>0</v>
      </c>
    </row>
    <row r="26" spans="1:28" s="12" customFormat="1" ht="16.5" hidden="1" customHeight="1" x14ac:dyDescent="0.3">
      <c r="A26" s="54">
        <f>작성용!AL23</f>
        <v>22</v>
      </c>
      <c r="B26" s="55" t="str">
        <f>작성용!AI23</f>
        <v>-</v>
      </c>
      <c r="C26" s="56" t="str">
        <f>작성용!AK23</f>
        <v>개별종목</v>
      </c>
      <c r="D26" s="57">
        <f>작성용!T23</f>
        <v>45527</v>
      </c>
      <c r="E26" s="58" t="str">
        <f>작성용!B23</f>
        <v>원익투자파트너스</v>
      </c>
      <c r="F26" s="58" t="str">
        <f>작성용!C23</f>
        <v>재평가</v>
      </c>
      <c r="G26" s="58" t="str">
        <f>작성용!D23</f>
        <v>녹색자원</v>
      </c>
      <c r="H26" s="59">
        <f>작성용!E23</f>
        <v>1701110182783</v>
      </c>
      <c r="I26" s="58" t="str">
        <f>작성용!F23</f>
        <v>A01</v>
      </c>
      <c r="J26" s="58">
        <f>작성용!G23</f>
        <v>0</v>
      </c>
      <c r="K26" s="58" t="str">
        <f>작성용!H23</f>
        <v>-</v>
      </c>
      <c r="L26" s="58" t="str">
        <f>작성용!N23</f>
        <v>분기</v>
      </c>
      <c r="M26" s="57" t="str">
        <f>작성용!U23</f>
        <v>2024.09.30</v>
      </c>
      <c r="N26" s="57">
        <f>작성용!V23</f>
        <v>45603</v>
      </c>
      <c r="O26" s="57">
        <f>작성용!W23</f>
        <v>45610</v>
      </c>
      <c r="P26" s="57" t="str">
        <f>작성용!X23</f>
        <v>-</v>
      </c>
      <c r="Q26" s="58" t="str">
        <f>작성용!AD23</f>
        <v>정은채</v>
      </c>
      <c r="R26" s="60">
        <f>작성용!AE23</f>
        <v>1</v>
      </c>
      <c r="S26" s="58" t="str">
        <f>작성용!AF23</f>
        <v>정은채</v>
      </c>
      <c r="T26" s="61" t="str">
        <f>작성용!AG23</f>
        <v>채동우</v>
      </c>
      <c r="U26" s="61" t="str">
        <f>작성용!AH23</f>
        <v>채동우</v>
      </c>
      <c r="V26" s="56">
        <f>작성용!AA23</f>
        <v>202409</v>
      </c>
      <c r="W26" s="58" t="str">
        <f>작성용!AC23</f>
        <v>[Y]금융기관</v>
      </c>
      <c r="X26" s="58" t="str">
        <f>작성용!O23</f>
        <v>심인숙부장</v>
      </c>
      <c r="Y26" s="58" t="str">
        <f>작성용!P23</f>
        <v xml:space="preserve">02-6446-7128 </v>
      </c>
      <c r="Z26" s="58" t="str">
        <f>작성용!Q23</f>
        <v xml:space="preserve">issim@wonik.com </v>
      </c>
      <c r="AA26" s="56" t="str">
        <f>작성용!AJ23</f>
        <v>LP제출</v>
      </c>
      <c r="AB26" s="56">
        <f>작성용!AB23</f>
        <v>0</v>
      </c>
    </row>
    <row r="27" spans="1:28" s="12" customFormat="1" ht="16.5" hidden="1" customHeight="1" x14ac:dyDescent="0.3">
      <c r="A27" s="54">
        <f>작성용!AL24</f>
        <v>23</v>
      </c>
      <c r="B27" s="55" t="str">
        <f>작성용!AI24</f>
        <v>-</v>
      </c>
      <c r="C27" s="56" t="str">
        <f>작성용!AK24</f>
        <v>개별종목</v>
      </c>
      <c r="D27" s="57">
        <f>작성용!T24</f>
        <v>45527</v>
      </c>
      <c r="E27" s="58" t="str">
        <f>작성용!B24</f>
        <v>원익투자파트너스</v>
      </c>
      <c r="F27" s="58" t="str">
        <f>작성용!C24</f>
        <v>재평가</v>
      </c>
      <c r="G27" s="58" t="str">
        <f>작성용!D24</f>
        <v>유유리싸이클링</v>
      </c>
      <c r="H27" s="59">
        <f>작성용!E24</f>
        <v>1701110619538</v>
      </c>
      <c r="I27" s="58" t="str">
        <f>작성용!F24</f>
        <v>A01</v>
      </c>
      <c r="J27" s="58">
        <f>작성용!G24</f>
        <v>0</v>
      </c>
      <c r="K27" s="58" t="str">
        <f>작성용!H24</f>
        <v>-</v>
      </c>
      <c r="L27" s="58" t="str">
        <f>작성용!N24</f>
        <v>분기</v>
      </c>
      <c r="M27" s="57" t="str">
        <f>작성용!U24</f>
        <v>2024.09.30</v>
      </c>
      <c r="N27" s="57">
        <f>작성용!V24</f>
        <v>45603</v>
      </c>
      <c r="O27" s="57">
        <f>작성용!W24</f>
        <v>45610</v>
      </c>
      <c r="P27" s="57" t="str">
        <f>작성용!X24</f>
        <v>-</v>
      </c>
      <c r="Q27" s="58" t="str">
        <f>작성용!AD24</f>
        <v>강승현</v>
      </c>
      <c r="R27" s="60">
        <f>작성용!AE24</f>
        <v>1</v>
      </c>
      <c r="S27" s="58" t="str">
        <f>작성용!AF24</f>
        <v>강승현</v>
      </c>
      <c r="T27" s="61" t="str">
        <f>작성용!AG24</f>
        <v>채동우</v>
      </c>
      <c r="U27" s="61" t="str">
        <f>작성용!AH24</f>
        <v>채동우</v>
      </c>
      <c r="V27" s="56">
        <f>작성용!AA24</f>
        <v>202409</v>
      </c>
      <c r="W27" s="58" t="str">
        <f>작성용!AC24</f>
        <v>[Y]금융기관</v>
      </c>
      <c r="X27" s="58" t="str">
        <f>작성용!O24</f>
        <v>심인숙부장</v>
      </c>
      <c r="Y27" s="58" t="str">
        <f>작성용!P24</f>
        <v xml:space="preserve">02-6446-7128 </v>
      </c>
      <c r="Z27" s="58" t="str">
        <f>작성용!Q24</f>
        <v xml:space="preserve">issim@wonik.com </v>
      </c>
      <c r="AA27" s="56" t="str">
        <f>작성용!AJ24</f>
        <v>LP제출</v>
      </c>
      <c r="AB27" s="56">
        <f>작성용!AB24</f>
        <v>0</v>
      </c>
    </row>
    <row r="28" spans="1:28" s="12" customFormat="1" ht="16.5" hidden="1" customHeight="1" x14ac:dyDescent="0.3">
      <c r="A28" s="54">
        <f>작성용!AL25</f>
        <v>24</v>
      </c>
      <c r="B28" s="55" t="str">
        <f>작성용!AI25</f>
        <v>-</v>
      </c>
      <c r="C28" s="56" t="str">
        <f>작성용!AK25</f>
        <v>개별종목</v>
      </c>
      <c r="D28" s="57">
        <f>작성용!T25</f>
        <v>45527</v>
      </c>
      <c r="E28" s="58" t="str">
        <f>작성용!B25</f>
        <v>원익투자파트너스</v>
      </c>
      <c r="F28" s="58" t="str">
        <f>작성용!C25</f>
        <v>재평가</v>
      </c>
      <c r="G28" s="58" t="str">
        <f>작성용!D25</f>
        <v>리브스메드</v>
      </c>
      <c r="H28" s="59">
        <f>작성용!E25</f>
        <v>1101114625385</v>
      </c>
      <c r="I28" s="58" t="str">
        <f>작성용!F25</f>
        <v>A07</v>
      </c>
      <c r="J28" s="58">
        <f>작성용!G25</f>
        <v>0</v>
      </c>
      <c r="K28" s="58" t="str">
        <f>작성용!H25</f>
        <v>-</v>
      </c>
      <c r="L28" s="58" t="str">
        <f>작성용!N25</f>
        <v>분기</v>
      </c>
      <c r="M28" s="57" t="str">
        <f>작성용!U25</f>
        <v>2024.09.30</v>
      </c>
      <c r="N28" s="57">
        <f>작성용!V25</f>
        <v>45603</v>
      </c>
      <c r="O28" s="57">
        <f>작성용!W25</f>
        <v>45610</v>
      </c>
      <c r="P28" s="57" t="str">
        <f>작성용!X25</f>
        <v>-</v>
      </c>
      <c r="Q28" s="58" t="str">
        <f>작성용!AD25</f>
        <v>서동현</v>
      </c>
      <c r="R28" s="60">
        <f>작성용!AE25</f>
        <v>1</v>
      </c>
      <c r="S28" s="58" t="str">
        <f>작성용!AF25</f>
        <v>서동현</v>
      </c>
      <c r="T28" s="61" t="str">
        <f>작성용!AG25</f>
        <v>채동우</v>
      </c>
      <c r="U28" s="61" t="str">
        <f>작성용!AH25</f>
        <v>채동우</v>
      </c>
      <c r="V28" s="56">
        <f>작성용!AA25</f>
        <v>202409</v>
      </c>
      <c r="W28" s="58" t="str">
        <f>작성용!AC25</f>
        <v>[Y]금융기관</v>
      </c>
      <c r="X28" s="58" t="str">
        <f>작성용!O25</f>
        <v>심인숙부장</v>
      </c>
      <c r="Y28" s="58" t="str">
        <f>작성용!P25</f>
        <v xml:space="preserve">02-6446-7128 </v>
      </c>
      <c r="Z28" s="58" t="str">
        <f>작성용!Q25</f>
        <v xml:space="preserve">issim@wonik.com </v>
      </c>
      <c r="AA28" s="56" t="str">
        <f>작성용!AJ25</f>
        <v>LP제출</v>
      </c>
      <c r="AB28" s="56">
        <f>작성용!AB25</f>
        <v>0</v>
      </c>
    </row>
    <row r="29" spans="1:28" s="12" customFormat="1" ht="16.5" hidden="1" customHeight="1" x14ac:dyDescent="0.3">
      <c r="A29" s="54">
        <f>작성용!AL26</f>
        <v>25</v>
      </c>
      <c r="B29" s="55" t="str">
        <f>작성용!AI26</f>
        <v>-</v>
      </c>
      <c r="C29" s="56" t="str">
        <f>작성용!AK26</f>
        <v>개별종목</v>
      </c>
      <c r="D29" s="57">
        <f>작성용!T26</f>
        <v>45527</v>
      </c>
      <c r="E29" s="58" t="str">
        <f>작성용!B26</f>
        <v>원익투자파트너스</v>
      </c>
      <c r="F29" s="58" t="str">
        <f>작성용!C26</f>
        <v>재평가</v>
      </c>
      <c r="G29" s="58" t="str">
        <f>작성용!D26</f>
        <v>리브스메드</v>
      </c>
      <c r="H29" s="59">
        <f>작성용!E26</f>
        <v>1101114625385</v>
      </c>
      <c r="I29" s="58" t="str">
        <f>작성용!F26</f>
        <v>A07</v>
      </c>
      <c r="J29" s="58">
        <f>작성용!G26</f>
        <v>1</v>
      </c>
      <c r="K29" s="58" t="str">
        <f>작성용!H26</f>
        <v>-</v>
      </c>
      <c r="L29" s="58" t="str">
        <f>작성용!N26</f>
        <v>분기</v>
      </c>
      <c r="M29" s="57" t="str">
        <f>작성용!U26</f>
        <v>2024.09.30</v>
      </c>
      <c r="N29" s="57">
        <f>작성용!V26</f>
        <v>45603</v>
      </c>
      <c r="O29" s="57">
        <f>작성용!W26</f>
        <v>45610</v>
      </c>
      <c r="P29" s="57" t="str">
        <f>작성용!X26</f>
        <v>-</v>
      </c>
      <c r="Q29" s="58" t="str">
        <f>작성용!AD26</f>
        <v>서동현</v>
      </c>
      <c r="R29" s="60">
        <f>작성용!AE26</f>
        <v>0</v>
      </c>
      <c r="S29" s="58" t="str">
        <f>작성용!AF26</f>
        <v>서동현</v>
      </c>
      <c r="T29" s="61" t="str">
        <f>작성용!AG26</f>
        <v>채동우</v>
      </c>
      <c r="U29" s="61" t="str">
        <f>작성용!AH26</f>
        <v>채동우</v>
      </c>
      <c r="V29" s="56">
        <f>작성용!AA26</f>
        <v>202409</v>
      </c>
      <c r="W29" s="58" t="str">
        <f>작성용!AC26</f>
        <v>[Y]금융기관</v>
      </c>
      <c r="X29" s="58" t="str">
        <f>작성용!O26</f>
        <v>심인숙부장</v>
      </c>
      <c r="Y29" s="58" t="str">
        <f>작성용!P26</f>
        <v xml:space="preserve">02-6446-7128 </v>
      </c>
      <c r="Z29" s="58" t="str">
        <f>작성용!Q26</f>
        <v xml:space="preserve">issim@wonik.com </v>
      </c>
      <c r="AA29" s="56" t="str">
        <f>작성용!AJ26</f>
        <v>LP제출</v>
      </c>
      <c r="AB29" s="56">
        <f>작성용!AB26</f>
        <v>0</v>
      </c>
    </row>
    <row r="30" spans="1:28" s="12" customFormat="1" ht="16.5" hidden="1" customHeight="1" x14ac:dyDescent="0.3">
      <c r="A30" s="54">
        <f>작성용!AL27</f>
        <v>26</v>
      </c>
      <c r="B30" s="55" t="str">
        <f>작성용!AI27</f>
        <v>-</v>
      </c>
      <c r="C30" s="56" t="str">
        <f>작성용!AK27</f>
        <v>개별종목</v>
      </c>
      <c r="D30" s="57">
        <f>작성용!T27</f>
        <v>45527</v>
      </c>
      <c r="E30" s="58" t="str">
        <f>작성용!B27</f>
        <v>원익투자파트너스</v>
      </c>
      <c r="F30" s="58" t="str">
        <f>작성용!C27</f>
        <v>재평가</v>
      </c>
      <c r="G30" s="58" t="str">
        <f>작성용!D27</f>
        <v>진에너텍</v>
      </c>
      <c r="H30" s="59">
        <f>작성용!E27</f>
        <v>1101114300797</v>
      </c>
      <c r="I30" s="58" t="str">
        <f>작성용!F27</f>
        <v>A07</v>
      </c>
      <c r="J30" s="58">
        <f>작성용!G27</f>
        <v>0</v>
      </c>
      <c r="K30" s="58" t="str">
        <f>작성용!H27</f>
        <v>-</v>
      </c>
      <c r="L30" s="58" t="str">
        <f>작성용!N27</f>
        <v>분기</v>
      </c>
      <c r="M30" s="57" t="str">
        <f>작성용!U27</f>
        <v>2024.09.30</v>
      </c>
      <c r="N30" s="57">
        <f>작성용!V27</f>
        <v>45603</v>
      </c>
      <c r="O30" s="57">
        <f>작성용!W27</f>
        <v>45610</v>
      </c>
      <c r="P30" s="57" t="str">
        <f>작성용!X27</f>
        <v>-</v>
      </c>
      <c r="Q30" s="58" t="str">
        <f>작성용!AD27</f>
        <v>변혜진</v>
      </c>
      <c r="R30" s="60">
        <f>작성용!AE27</f>
        <v>1</v>
      </c>
      <c r="S30" s="58" t="str">
        <f>작성용!AF27</f>
        <v>변혜진</v>
      </c>
      <c r="T30" s="61" t="str">
        <f>작성용!AG27</f>
        <v>채동우</v>
      </c>
      <c r="U30" s="61" t="str">
        <f>작성용!AH27</f>
        <v>채동우</v>
      </c>
      <c r="V30" s="56">
        <f>작성용!AA27</f>
        <v>202409</v>
      </c>
      <c r="W30" s="58" t="str">
        <f>작성용!AC27</f>
        <v>[Y]금융기관</v>
      </c>
      <c r="X30" s="58" t="str">
        <f>작성용!O27</f>
        <v>심인숙부장</v>
      </c>
      <c r="Y30" s="58" t="str">
        <f>작성용!P27</f>
        <v xml:space="preserve">02-6446-7128 </v>
      </c>
      <c r="Z30" s="58" t="str">
        <f>작성용!Q27</f>
        <v xml:space="preserve">issim@wonik.com </v>
      </c>
      <c r="AA30" s="56" t="str">
        <f>작성용!AJ27</f>
        <v>LP제출</v>
      </c>
      <c r="AB30" s="56">
        <f>작성용!AB27</f>
        <v>0</v>
      </c>
    </row>
    <row r="31" spans="1:28" s="12" customFormat="1" ht="16.5" hidden="1" customHeight="1" x14ac:dyDescent="0.3">
      <c r="A31" s="54">
        <f>작성용!AL28</f>
        <v>27</v>
      </c>
      <c r="B31" s="55" t="str">
        <f>작성용!AI28</f>
        <v>-</v>
      </c>
      <c r="C31" s="56" t="str">
        <f>작성용!AK28</f>
        <v>개별종목</v>
      </c>
      <c r="D31" s="57">
        <f>작성용!T28</f>
        <v>45527</v>
      </c>
      <c r="E31" s="58" t="str">
        <f>작성용!B28</f>
        <v>원익투자파트너스</v>
      </c>
      <c r="F31" s="58" t="str">
        <f>작성용!C28</f>
        <v>재평가</v>
      </c>
      <c r="G31" s="58" t="str">
        <f>작성용!D28</f>
        <v>바이오솔루션</v>
      </c>
      <c r="H31" s="59">
        <f>작성용!E28</f>
        <v>1301110057421</v>
      </c>
      <c r="I31" s="58" t="str">
        <f>작성용!F28</f>
        <v>D02</v>
      </c>
      <c r="J31" s="58">
        <f>작성용!G28</f>
        <v>0</v>
      </c>
      <c r="K31" s="58" t="str">
        <f>작성용!H28</f>
        <v>-</v>
      </c>
      <c r="L31" s="58" t="str">
        <f>작성용!N28</f>
        <v>분기</v>
      </c>
      <c r="M31" s="57" t="str">
        <f>작성용!U28</f>
        <v>2024.09.30</v>
      </c>
      <c r="N31" s="57">
        <f>작성용!V28</f>
        <v>45603</v>
      </c>
      <c r="O31" s="57">
        <f>작성용!W28</f>
        <v>45610</v>
      </c>
      <c r="P31" s="57" t="str">
        <f>작성용!X28</f>
        <v>-</v>
      </c>
      <c r="Q31" s="58" t="str">
        <f>작성용!AD28</f>
        <v>상장</v>
      </c>
      <c r="R31" s="60">
        <f>작성용!AE28</f>
        <v>0</v>
      </c>
      <c r="S31" s="58" t="str">
        <f>작성용!AF28</f>
        <v>상장</v>
      </c>
      <c r="T31" s="61" t="str">
        <f>작성용!AG28</f>
        <v>채동우</v>
      </c>
      <c r="U31" s="61" t="str">
        <f>작성용!AH28</f>
        <v>채동우</v>
      </c>
      <c r="V31" s="56">
        <f>작성용!AA28</f>
        <v>202409</v>
      </c>
      <c r="W31" s="58" t="str">
        <f>작성용!AC28</f>
        <v>[Y]금융기관</v>
      </c>
      <c r="X31" s="58" t="str">
        <f>작성용!O28</f>
        <v>심인숙부장</v>
      </c>
      <c r="Y31" s="58" t="str">
        <f>작성용!P28</f>
        <v xml:space="preserve">02-6446-7128 </v>
      </c>
      <c r="Z31" s="58" t="str">
        <f>작성용!Q28</f>
        <v xml:space="preserve">issim@wonik.com </v>
      </c>
      <c r="AA31" s="56" t="str">
        <f>작성용!AJ28</f>
        <v>LP제출</v>
      </c>
      <c r="AB31" s="56">
        <f>작성용!AB28</f>
        <v>0</v>
      </c>
    </row>
    <row r="32" spans="1:28" s="12" customFormat="1" ht="16.5" hidden="1" customHeight="1" x14ac:dyDescent="0.3">
      <c r="A32" s="54">
        <f>작성용!AL29</f>
        <v>28</v>
      </c>
      <c r="B32" s="55" t="str">
        <f>작성용!AI29</f>
        <v>-</v>
      </c>
      <c r="C32" s="56" t="str">
        <f>작성용!AK29</f>
        <v>개별종목</v>
      </c>
      <c r="D32" s="57">
        <f>작성용!T29</f>
        <v>45527</v>
      </c>
      <c r="E32" s="58" t="str">
        <f>작성용!B29</f>
        <v>원익투자파트너스</v>
      </c>
      <c r="F32" s="58" t="str">
        <f>작성용!C29</f>
        <v>재평가</v>
      </c>
      <c r="G32" s="58" t="str">
        <f>작성용!D29</f>
        <v>INFINITESIMA LIMITED</v>
      </c>
      <c r="H32" s="59" t="str">
        <f>작성용!E29</f>
        <v>KBP2023030047</v>
      </c>
      <c r="I32" s="58" t="str">
        <f>작성용!F29</f>
        <v>A01</v>
      </c>
      <c r="J32" s="58">
        <f>작성용!G29</f>
        <v>0</v>
      </c>
      <c r="K32" s="58" t="str">
        <f>작성용!H29</f>
        <v>-</v>
      </c>
      <c r="L32" s="58" t="str">
        <f>작성용!N29</f>
        <v>분기</v>
      </c>
      <c r="M32" s="57" t="str">
        <f>작성용!U29</f>
        <v>2024.09.30</v>
      </c>
      <c r="N32" s="57">
        <f>작성용!V29</f>
        <v>45603</v>
      </c>
      <c r="O32" s="57">
        <f>작성용!W29</f>
        <v>45610</v>
      </c>
      <c r="P32" s="57" t="str">
        <f>작성용!X29</f>
        <v>-</v>
      </c>
      <c r="Q32" s="58" t="str">
        <f>작성용!AD29</f>
        <v>채동우</v>
      </c>
      <c r="R32" s="60">
        <f>작성용!AE29</f>
        <v>1</v>
      </c>
      <c r="S32" s="58" t="str">
        <f>작성용!AF29</f>
        <v>채동우</v>
      </c>
      <c r="T32" s="61" t="str">
        <f>작성용!AG29</f>
        <v>채동우</v>
      </c>
      <c r="U32" s="61" t="str">
        <f>작성용!AH29</f>
        <v>채동우</v>
      </c>
      <c r="V32" s="56">
        <f>작성용!AA29</f>
        <v>202409</v>
      </c>
      <c r="W32" s="58" t="str">
        <f>작성용!AC29</f>
        <v>[Y]금융기관</v>
      </c>
      <c r="X32" s="58" t="str">
        <f>작성용!O29</f>
        <v>심인숙부장</v>
      </c>
      <c r="Y32" s="58" t="str">
        <f>작성용!P29</f>
        <v xml:space="preserve">02-6446-7128 </v>
      </c>
      <c r="Z32" s="58" t="str">
        <f>작성용!Q29</f>
        <v xml:space="preserve">issim@wonik.com </v>
      </c>
      <c r="AA32" s="56" t="str">
        <f>작성용!AJ29</f>
        <v>LP제출</v>
      </c>
      <c r="AB32" s="56">
        <f>작성용!AB29</f>
        <v>0</v>
      </c>
    </row>
    <row r="33" spans="1:28" s="12" customFormat="1" ht="16.5" hidden="1" customHeight="1" x14ac:dyDescent="0.3">
      <c r="A33" s="54">
        <f>작성용!AL30</f>
        <v>29</v>
      </c>
      <c r="B33" s="55" t="str">
        <f>작성용!AI30</f>
        <v>-</v>
      </c>
      <c r="C33" s="56" t="str">
        <f>작성용!AK30</f>
        <v>개별종목</v>
      </c>
      <c r="D33" s="57">
        <f>작성용!T30</f>
        <v>45527</v>
      </c>
      <c r="E33" s="58" t="str">
        <f>작성용!B30</f>
        <v>원익투자파트너스</v>
      </c>
      <c r="F33" s="58" t="str">
        <f>작성용!C30</f>
        <v>재평가</v>
      </c>
      <c r="G33" s="58" t="str">
        <f>작성용!D30</f>
        <v>영인에너지솔루션(구,영인기술)</v>
      </c>
      <c r="H33" s="59">
        <f>작성용!E30</f>
        <v>1101111322786</v>
      </c>
      <c r="I33" s="58" t="str">
        <f>작성용!F30</f>
        <v>A01</v>
      </c>
      <c r="J33" s="58">
        <f>작성용!G30</f>
        <v>0</v>
      </c>
      <c r="K33" s="58" t="str">
        <f>작성용!H30</f>
        <v>-</v>
      </c>
      <c r="L33" s="58" t="str">
        <f>작성용!N30</f>
        <v>분기</v>
      </c>
      <c r="M33" s="57" t="str">
        <f>작성용!U30</f>
        <v>2024.09.30</v>
      </c>
      <c r="N33" s="57">
        <f>작성용!V30</f>
        <v>45603</v>
      </c>
      <c r="O33" s="57">
        <f>작성용!W30</f>
        <v>45610</v>
      </c>
      <c r="P33" s="57" t="str">
        <f>작성용!X30</f>
        <v>-</v>
      </c>
      <c r="Q33" s="58" t="str">
        <f>작성용!AD30</f>
        <v>강승현</v>
      </c>
      <c r="R33" s="60">
        <f>작성용!AE30</f>
        <v>1</v>
      </c>
      <c r="S33" s="58" t="str">
        <f>작성용!AF30</f>
        <v>강승현</v>
      </c>
      <c r="T33" s="61" t="str">
        <f>작성용!AG30</f>
        <v>채동우</v>
      </c>
      <c r="U33" s="61" t="str">
        <f>작성용!AH30</f>
        <v>채동우</v>
      </c>
      <c r="V33" s="56">
        <f>작성용!AA30</f>
        <v>202409</v>
      </c>
      <c r="W33" s="58" t="str">
        <f>작성용!AC30</f>
        <v>[Y]금융기관</v>
      </c>
      <c r="X33" s="58" t="str">
        <f>작성용!O30</f>
        <v>심인숙부장</v>
      </c>
      <c r="Y33" s="58" t="str">
        <f>작성용!P30</f>
        <v xml:space="preserve">02-6446-7128 </v>
      </c>
      <c r="Z33" s="58" t="str">
        <f>작성용!Q30</f>
        <v xml:space="preserve">issim@wonik.com </v>
      </c>
      <c r="AA33" s="56" t="str">
        <f>작성용!AJ30</f>
        <v>LP제출</v>
      </c>
      <c r="AB33" s="56">
        <f>작성용!AB30</f>
        <v>0</v>
      </c>
    </row>
    <row r="34" spans="1:28" s="12" customFormat="1" ht="16.5" hidden="1" customHeight="1" x14ac:dyDescent="0.3">
      <c r="A34" s="54">
        <f>작성용!AL31</f>
        <v>30</v>
      </c>
      <c r="B34" s="55" t="str">
        <f>작성용!AI31</f>
        <v>-</v>
      </c>
      <c r="C34" s="56" t="str">
        <f>작성용!AK31</f>
        <v>개별종목</v>
      </c>
      <c r="D34" s="57">
        <f>작성용!T31</f>
        <v>45527</v>
      </c>
      <c r="E34" s="58" t="str">
        <f>작성용!B31</f>
        <v>원익투자파트너스</v>
      </c>
      <c r="F34" s="58" t="str">
        <f>작성용!C31</f>
        <v>재평가</v>
      </c>
      <c r="G34" s="58" t="str">
        <f>작성용!D31</f>
        <v>영인에너지솔루션(구,영인기술)</v>
      </c>
      <c r="H34" s="59">
        <f>작성용!E31</f>
        <v>1101111322786</v>
      </c>
      <c r="I34" s="58" t="str">
        <f>작성용!F31</f>
        <v>D02</v>
      </c>
      <c r="J34" s="58">
        <f>작성용!G31</f>
        <v>0</v>
      </c>
      <c r="K34" s="58" t="str">
        <f>작성용!H31</f>
        <v>-</v>
      </c>
      <c r="L34" s="58" t="str">
        <f>작성용!N31</f>
        <v>분기</v>
      </c>
      <c r="M34" s="57" t="str">
        <f>작성용!U31</f>
        <v>2024.09.30</v>
      </c>
      <c r="N34" s="57">
        <f>작성용!V31</f>
        <v>45603</v>
      </c>
      <c r="O34" s="57">
        <f>작성용!W31</f>
        <v>45610</v>
      </c>
      <c r="P34" s="57" t="str">
        <f>작성용!X31</f>
        <v>-</v>
      </c>
      <c r="Q34" s="58" t="str">
        <f>작성용!AD31</f>
        <v>강승현</v>
      </c>
      <c r="R34" s="60">
        <f>작성용!AE31</f>
        <v>0</v>
      </c>
      <c r="S34" s="58" t="str">
        <f>작성용!AF31</f>
        <v>강승현</v>
      </c>
      <c r="T34" s="61" t="str">
        <f>작성용!AG31</f>
        <v>채동우</v>
      </c>
      <c r="U34" s="61" t="str">
        <f>작성용!AH31</f>
        <v>채동우</v>
      </c>
      <c r="V34" s="56">
        <f>작성용!AA31</f>
        <v>202409</v>
      </c>
      <c r="W34" s="58" t="str">
        <f>작성용!AC31</f>
        <v>[Y]금융기관</v>
      </c>
      <c r="X34" s="58" t="str">
        <f>작성용!O31</f>
        <v>심인숙부장</v>
      </c>
      <c r="Y34" s="58" t="str">
        <f>작성용!P31</f>
        <v xml:space="preserve">02-6446-7128 </v>
      </c>
      <c r="Z34" s="58" t="str">
        <f>작성용!Q31</f>
        <v xml:space="preserve">issim@wonik.com </v>
      </c>
      <c r="AA34" s="56" t="str">
        <f>작성용!AJ31</f>
        <v>LP제출</v>
      </c>
      <c r="AB34" s="56">
        <f>작성용!AB31</f>
        <v>0</v>
      </c>
    </row>
    <row r="35" spans="1:28" s="12" customFormat="1" ht="16.5" hidden="1" customHeight="1" x14ac:dyDescent="0.3">
      <c r="A35" s="54">
        <f>작성용!AL32</f>
        <v>31</v>
      </c>
      <c r="B35" s="55" t="str">
        <f>작성용!AI32</f>
        <v>-</v>
      </c>
      <c r="C35" s="56" t="str">
        <f>작성용!AK32</f>
        <v>개별종목</v>
      </c>
      <c r="D35" s="57">
        <f>작성용!T32</f>
        <v>45527</v>
      </c>
      <c r="E35" s="58" t="str">
        <f>작성용!B32</f>
        <v>원익투자파트너스</v>
      </c>
      <c r="F35" s="58" t="str">
        <f>작성용!C32</f>
        <v>재평가</v>
      </c>
      <c r="G35" s="58" t="str">
        <f>작성용!D32</f>
        <v>동방메디컬</v>
      </c>
      <c r="H35" s="59">
        <f>작성용!E32</f>
        <v>1645110024117</v>
      </c>
      <c r="I35" s="58" t="str">
        <f>작성용!F32</f>
        <v>A01</v>
      </c>
      <c r="J35" s="58">
        <f>작성용!G32</f>
        <v>0</v>
      </c>
      <c r="K35" s="58" t="str">
        <f>작성용!H32</f>
        <v>-</v>
      </c>
      <c r="L35" s="58" t="str">
        <f>작성용!N32</f>
        <v>분기</v>
      </c>
      <c r="M35" s="57" t="str">
        <f>작성용!U32</f>
        <v>2024.09.30</v>
      </c>
      <c r="N35" s="57">
        <f>작성용!V32</f>
        <v>45603</v>
      </c>
      <c r="O35" s="57">
        <f>작성용!W32</f>
        <v>45610</v>
      </c>
      <c r="P35" s="57" t="str">
        <f>작성용!X32</f>
        <v>-</v>
      </c>
      <c r="Q35" s="58" t="str">
        <f>작성용!AD32</f>
        <v>오영석</v>
      </c>
      <c r="R35" s="60">
        <f>작성용!AE32</f>
        <v>1</v>
      </c>
      <c r="S35" s="58" t="str">
        <f>작성용!AF32</f>
        <v>김범준</v>
      </c>
      <c r="T35" s="61" t="str">
        <f>작성용!AG32</f>
        <v>채동우</v>
      </c>
      <c r="U35" s="61" t="str">
        <f>작성용!AH32</f>
        <v>채동우</v>
      </c>
      <c r="V35" s="56">
        <f>작성용!AA32</f>
        <v>202409</v>
      </c>
      <c r="W35" s="58" t="str">
        <f>작성용!AC32</f>
        <v>[Y]금융기관</v>
      </c>
      <c r="X35" s="58" t="str">
        <f>작성용!O32</f>
        <v>심인숙부장</v>
      </c>
      <c r="Y35" s="58" t="str">
        <f>작성용!P32</f>
        <v xml:space="preserve">02-6446-7128 </v>
      </c>
      <c r="Z35" s="58" t="str">
        <f>작성용!Q32</f>
        <v xml:space="preserve">issim@wonik.com </v>
      </c>
      <c r="AA35" s="56" t="str">
        <f>작성용!AJ32</f>
        <v>LP제출</v>
      </c>
      <c r="AB35" s="56">
        <f>작성용!AB32</f>
        <v>0</v>
      </c>
    </row>
    <row r="36" spans="1:28" s="12" customFormat="1" ht="16.5" hidden="1" customHeight="1" x14ac:dyDescent="0.3">
      <c r="A36" s="54">
        <f>작성용!AL33</f>
        <v>32</v>
      </c>
      <c r="B36" s="55" t="str">
        <f>작성용!AI33</f>
        <v>-</v>
      </c>
      <c r="C36" s="56" t="str">
        <f>작성용!AK33</f>
        <v>개별종목</v>
      </c>
      <c r="D36" s="57">
        <f>작성용!T33</f>
        <v>45527</v>
      </c>
      <c r="E36" s="58" t="str">
        <f>작성용!B33</f>
        <v>원익투자파트너스</v>
      </c>
      <c r="F36" s="58" t="str">
        <f>작성용!C33</f>
        <v>재평가</v>
      </c>
      <c r="G36" s="58" t="str">
        <f>작성용!D33</f>
        <v>쎄크</v>
      </c>
      <c r="H36" s="59">
        <f>작성용!E33</f>
        <v>1301110059360</v>
      </c>
      <c r="I36" s="58" t="str">
        <f>작성용!F33</f>
        <v>A07</v>
      </c>
      <c r="J36" s="58">
        <f>작성용!G33</f>
        <v>0</v>
      </c>
      <c r="K36" s="58" t="str">
        <f>작성용!H33</f>
        <v>-</v>
      </c>
      <c r="L36" s="58" t="str">
        <f>작성용!N33</f>
        <v>분기</v>
      </c>
      <c r="M36" s="57" t="str">
        <f>작성용!U33</f>
        <v>2024.09.30</v>
      </c>
      <c r="N36" s="57">
        <f>작성용!V33</f>
        <v>45603</v>
      </c>
      <c r="O36" s="57">
        <f>작성용!W33</f>
        <v>45610</v>
      </c>
      <c r="P36" s="57" t="str">
        <f>작성용!X33</f>
        <v>-</v>
      </c>
      <c r="Q36" s="58" t="str">
        <f>작성용!AD33</f>
        <v>강성은</v>
      </c>
      <c r="R36" s="60">
        <f>작성용!AE33</f>
        <v>1</v>
      </c>
      <c r="S36" s="58" t="str">
        <f>작성용!AF33</f>
        <v>강성은</v>
      </c>
      <c r="T36" s="61" t="str">
        <f>작성용!AG33</f>
        <v>채동우</v>
      </c>
      <c r="U36" s="61" t="str">
        <f>작성용!AH33</f>
        <v>채동우</v>
      </c>
      <c r="V36" s="56">
        <f>작성용!AA33</f>
        <v>202409</v>
      </c>
      <c r="W36" s="58" t="str">
        <f>작성용!AC33</f>
        <v>[Y]금융기관</v>
      </c>
      <c r="X36" s="58" t="str">
        <f>작성용!O33</f>
        <v>심인숙부장</v>
      </c>
      <c r="Y36" s="58" t="str">
        <f>작성용!P33</f>
        <v xml:space="preserve">02-6446-7128 </v>
      </c>
      <c r="Z36" s="58" t="str">
        <f>작성용!Q33</f>
        <v xml:space="preserve">issim@wonik.com </v>
      </c>
      <c r="AA36" s="56" t="str">
        <f>작성용!AJ33</f>
        <v>LP제출</v>
      </c>
      <c r="AB36" s="56">
        <f>작성용!AB33</f>
        <v>0</v>
      </c>
    </row>
    <row r="37" spans="1:28" s="12" customFormat="1" ht="16.5" hidden="1" customHeight="1" x14ac:dyDescent="0.3">
      <c r="A37" s="54">
        <f>작성용!AL34</f>
        <v>33</v>
      </c>
      <c r="B37" s="55" t="str">
        <f>작성용!AI34</f>
        <v>-</v>
      </c>
      <c r="C37" s="56" t="str">
        <f>작성용!AK34</f>
        <v>개별종목</v>
      </c>
      <c r="D37" s="57">
        <f>작성용!T34</f>
        <v>45544</v>
      </c>
      <c r="E37" s="58" t="str">
        <f>작성용!B34</f>
        <v>IBK투자증권(IPO1팀)</v>
      </c>
      <c r="F37" s="58" t="str">
        <f>작성용!C34</f>
        <v>재평가</v>
      </c>
      <c r="G37" s="58" t="str">
        <f>작성용!D34</f>
        <v>케이앤에스아이앤씨</v>
      </c>
      <c r="H37" s="59">
        <f>작성용!E34</f>
        <v>1101112405896</v>
      </c>
      <c r="I37" s="58" t="str">
        <f>작성용!F34</f>
        <v>D02</v>
      </c>
      <c r="J37" s="58">
        <f>작성용!G34</f>
        <v>0</v>
      </c>
      <c r="K37" s="58" t="str">
        <f>작성용!H34</f>
        <v>-</v>
      </c>
      <c r="L37" s="58" t="str">
        <f>작성용!N34</f>
        <v>월</v>
      </c>
      <c r="M37" s="57" t="str">
        <f>작성용!U34</f>
        <v>2024.11.30</v>
      </c>
      <c r="N37" s="57">
        <f>작성용!V34</f>
        <v>45628</v>
      </c>
      <c r="O37" s="57" t="str">
        <f>작성용!W34</f>
        <v>보고서제공X</v>
      </c>
      <c r="P37" s="57" t="str">
        <f>작성용!X34</f>
        <v>-</v>
      </c>
      <c r="Q37" s="58" t="str">
        <f>작성용!AD34</f>
        <v>오영석</v>
      </c>
      <c r="R37" s="60">
        <f>작성용!AE34</f>
        <v>1</v>
      </c>
      <c r="S37" s="58" t="str">
        <f>작성용!AF34</f>
        <v>오영석</v>
      </c>
      <c r="T37" s="61" t="str">
        <f>작성용!AG34</f>
        <v>강승현</v>
      </c>
      <c r="U37" s="61" t="str">
        <f>작성용!AH34</f>
        <v>오영석</v>
      </c>
      <c r="V37" s="56">
        <f>작성용!AA34</f>
        <v>202411</v>
      </c>
      <c r="W37" s="58" t="str">
        <f>작성용!AC34</f>
        <v>[Y]금융기관</v>
      </c>
      <c r="X37" s="58" t="str">
        <f>작성용!O34</f>
        <v>이예울대리</v>
      </c>
      <c r="Y37" s="58" t="str">
        <f>작성용!P34</f>
        <v>02-6915-5337</v>
      </c>
      <c r="Z37" s="58" t="str">
        <f>작성용!Q34</f>
        <v>9m.n-@ibks.com</v>
      </c>
      <c r="AA37" s="56" t="str">
        <f>작성용!AJ34</f>
        <v>회계반영</v>
      </c>
      <c r="AB37" s="56">
        <f>작성용!AB34</f>
        <v>0</v>
      </c>
    </row>
    <row r="38" spans="1:28" s="12" customFormat="1" ht="16.5" customHeight="1" x14ac:dyDescent="0.3">
      <c r="A38" s="54">
        <f>작성용!AL35</f>
        <v>34</v>
      </c>
      <c r="B38" s="278" t="str">
        <f>작성용!AI35</f>
        <v>DRAFT보고서 : 2024-11-20</v>
      </c>
      <c r="C38" s="252" t="str">
        <f>작성용!AK35</f>
        <v>개별종목</v>
      </c>
      <c r="D38" s="265">
        <f>작성용!T35</f>
        <v>45545</v>
      </c>
      <c r="E38" s="253" t="str">
        <f>작성용!B35</f>
        <v>유한양행</v>
      </c>
      <c r="F38" s="253" t="str">
        <f>작성용!C35</f>
        <v>재평가</v>
      </c>
      <c r="G38" s="253" t="str">
        <f>작성용!D35</f>
        <v>에스엘바이젠</v>
      </c>
      <c r="H38" s="266">
        <f>작성용!E35</f>
        <v>1717110070191</v>
      </c>
      <c r="I38" s="253" t="str">
        <f>작성용!F35</f>
        <v>D02</v>
      </c>
      <c r="J38" s="253">
        <f>작성용!G35</f>
        <v>0</v>
      </c>
      <c r="K38" s="253" t="str">
        <f>작성용!H35</f>
        <v>-</v>
      </c>
      <c r="L38" s="253" t="str">
        <f>작성용!N35</f>
        <v>년</v>
      </c>
      <c r="M38" s="265" t="str">
        <f>작성용!U35</f>
        <v>2024.09.30</v>
      </c>
      <c r="N38" s="277">
        <f>작성용!V35</f>
        <v>45616</v>
      </c>
      <c r="O38" s="265">
        <f>작성용!W35</f>
        <v>45624</v>
      </c>
      <c r="P38" s="265" t="str">
        <f>작성용!X35</f>
        <v>-</v>
      </c>
      <c r="Q38" s="253" t="str">
        <f>작성용!AD35</f>
        <v>서동현</v>
      </c>
      <c r="R38" s="267">
        <f>작성용!AE35</f>
        <v>1</v>
      </c>
      <c r="S38" s="253" t="str">
        <f>작성용!AF35</f>
        <v>서동현</v>
      </c>
      <c r="T38" s="268" t="str">
        <f>작성용!AG35</f>
        <v>강승현</v>
      </c>
      <c r="U38" s="268" t="str">
        <f>작성용!AH35</f>
        <v>강승현</v>
      </c>
      <c r="V38" s="252">
        <f>작성용!AA35</f>
        <v>202411</v>
      </c>
      <c r="W38" s="253" t="str">
        <f>작성용!AC35</f>
        <v>[X]일반기업</v>
      </c>
      <c r="X38" s="253" t="str">
        <f>작성용!O35</f>
        <v>최영수담당자</v>
      </c>
      <c r="Y38" s="253" t="str">
        <f>작성용!P35</f>
        <v>02-828-0649</v>
      </c>
      <c r="Z38" s="253" t="str">
        <f>작성용!Q35</f>
        <v>yschoi0531@yuhan.co.kr</v>
      </c>
      <c r="AA38" s="252" t="str">
        <f>작성용!AJ35</f>
        <v>회계반영</v>
      </c>
      <c r="AB38" s="252">
        <f>작성용!AB35</f>
        <v>0</v>
      </c>
    </row>
    <row r="39" spans="1:28" s="12" customFormat="1" ht="16.5" customHeight="1" x14ac:dyDescent="0.3">
      <c r="A39" s="54">
        <f>작성용!AL36</f>
        <v>35</v>
      </c>
      <c r="B39" s="278" t="str">
        <f>작성용!AI36</f>
        <v>DRAFT보고서 : 2024-11-20</v>
      </c>
      <c r="C39" s="252" t="str">
        <f>작성용!AK36</f>
        <v>개별종목</v>
      </c>
      <c r="D39" s="265">
        <f>작성용!T36</f>
        <v>45545</v>
      </c>
      <c r="E39" s="253" t="str">
        <f>작성용!B36</f>
        <v>유한양행</v>
      </c>
      <c r="F39" s="253" t="str">
        <f>작성용!C36</f>
        <v>재평가</v>
      </c>
      <c r="G39" s="253" t="str">
        <f>작성용!D36</f>
        <v>굳티셀</v>
      </c>
      <c r="H39" s="266">
        <f>작성용!E36</f>
        <v>1101116121365</v>
      </c>
      <c r="I39" s="253" t="str">
        <f>작성용!F36</f>
        <v>A05</v>
      </c>
      <c r="J39" s="253">
        <f>작성용!G36</f>
        <v>0</v>
      </c>
      <c r="K39" s="253" t="str">
        <f>작성용!H36</f>
        <v>-</v>
      </c>
      <c r="L39" s="253" t="str">
        <f>작성용!N36</f>
        <v>년</v>
      </c>
      <c r="M39" s="265" t="str">
        <f>작성용!U36</f>
        <v>2024.09.30</v>
      </c>
      <c r="N39" s="277">
        <f>작성용!V36</f>
        <v>45616</v>
      </c>
      <c r="O39" s="265">
        <f>작성용!W36</f>
        <v>45624</v>
      </c>
      <c r="P39" s="265" t="str">
        <f>작성용!X36</f>
        <v>-</v>
      </c>
      <c r="Q39" s="253" t="str">
        <f>작성용!AD36</f>
        <v>백형진</v>
      </c>
      <c r="R39" s="267">
        <f>작성용!AE36</f>
        <v>1</v>
      </c>
      <c r="S39" s="253" t="str">
        <f>작성용!AF36</f>
        <v>서수빈</v>
      </c>
      <c r="T39" s="268" t="str">
        <f>작성용!AG36</f>
        <v>강승현</v>
      </c>
      <c r="U39" s="268" t="str">
        <f>작성용!AH36</f>
        <v>강승현</v>
      </c>
      <c r="V39" s="252">
        <f>작성용!AA36</f>
        <v>202411</v>
      </c>
      <c r="W39" s="253" t="str">
        <f>작성용!AC36</f>
        <v>[X]일반기업</v>
      </c>
      <c r="X39" s="253" t="str">
        <f>작성용!O36</f>
        <v>최영수담당자</v>
      </c>
      <c r="Y39" s="253" t="str">
        <f>작성용!P36</f>
        <v>02-828-0649</v>
      </c>
      <c r="Z39" s="253" t="str">
        <f>작성용!Q36</f>
        <v>yschoi0531@yuhan.co.kr</v>
      </c>
      <c r="AA39" s="252" t="str">
        <f>작성용!AJ36</f>
        <v>회계반영</v>
      </c>
      <c r="AB39" s="252">
        <f>작성용!AB36</f>
        <v>0</v>
      </c>
    </row>
    <row r="40" spans="1:28" s="12" customFormat="1" ht="16.5" customHeight="1" x14ac:dyDescent="0.3">
      <c r="A40" s="54">
        <f>작성용!AL37</f>
        <v>36</v>
      </c>
      <c r="B40" s="278" t="str">
        <f>작성용!AI37</f>
        <v>DRAFT보고서 : 2024-11-20</v>
      </c>
      <c r="C40" s="252" t="str">
        <f>작성용!AK37</f>
        <v>개별종목</v>
      </c>
      <c r="D40" s="265">
        <f>작성용!T37</f>
        <v>45545</v>
      </c>
      <c r="E40" s="253" t="str">
        <f>작성용!B37</f>
        <v>유한양행</v>
      </c>
      <c r="F40" s="253" t="str">
        <f>작성용!C37</f>
        <v>재평가</v>
      </c>
      <c r="G40" s="253" t="str">
        <f>작성용!D37</f>
        <v>제이인츠바이오</v>
      </c>
      <c r="H40" s="266">
        <f>작성용!E37</f>
        <v>1101117412862</v>
      </c>
      <c r="I40" s="253" t="str">
        <f>작성용!F37</f>
        <v>A05</v>
      </c>
      <c r="J40" s="253">
        <f>작성용!G37</f>
        <v>0</v>
      </c>
      <c r="K40" s="253" t="str">
        <f>작성용!H37</f>
        <v>-</v>
      </c>
      <c r="L40" s="253" t="str">
        <f>작성용!N37</f>
        <v>년</v>
      </c>
      <c r="M40" s="265" t="str">
        <f>작성용!U37</f>
        <v>2024.09.30</v>
      </c>
      <c r="N40" s="277">
        <f>작성용!V37</f>
        <v>45616</v>
      </c>
      <c r="O40" s="265">
        <f>작성용!W37</f>
        <v>45624</v>
      </c>
      <c r="P40" s="265" t="str">
        <f>작성용!X37</f>
        <v>-</v>
      </c>
      <c r="Q40" s="253" t="str">
        <f>작성용!AD37</f>
        <v>강성은</v>
      </c>
      <c r="R40" s="267">
        <f>작성용!AE37</f>
        <v>1</v>
      </c>
      <c r="S40" s="253" t="str">
        <f>작성용!AF37</f>
        <v>강성은</v>
      </c>
      <c r="T40" s="268" t="str">
        <f>작성용!AG37</f>
        <v>강승현</v>
      </c>
      <c r="U40" s="268" t="str">
        <f>작성용!AH37</f>
        <v>강승현</v>
      </c>
      <c r="V40" s="252">
        <f>작성용!AA37</f>
        <v>202411</v>
      </c>
      <c r="W40" s="253" t="str">
        <f>작성용!AC37</f>
        <v>[X]일반기업</v>
      </c>
      <c r="X40" s="253" t="str">
        <f>작성용!O37</f>
        <v>최영수담당자</v>
      </c>
      <c r="Y40" s="253" t="str">
        <f>작성용!P37</f>
        <v>02-828-0649</v>
      </c>
      <c r="Z40" s="253" t="str">
        <f>작성용!Q37</f>
        <v>yschoi0531@yuhan.co.kr</v>
      </c>
      <c r="AA40" s="252" t="str">
        <f>작성용!AJ37</f>
        <v>회계반영</v>
      </c>
      <c r="AB40" s="252">
        <f>작성용!AB37</f>
        <v>0</v>
      </c>
    </row>
    <row r="41" spans="1:28" s="12" customFormat="1" ht="16.5" customHeight="1" x14ac:dyDescent="0.3">
      <c r="A41" s="54">
        <f>작성용!AL38</f>
        <v>37</v>
      </c>
      <c r="B41" s="278" t="str">
        <f>작성용!AI38</f>
        <v>DRAFT보고서 : 2024-11-20</v>
      </c>
      <c r="C41" s="252" t="str">
        <f>작성용!AK38</f>
        <v>개별종목</v>
      </c>
      <c r="D41" s="265">
        <f>작성용!T38</f>
        <v>45545</v>
      </c>
      <c r="E41" s="253" t="str">
        <f>작성용!B38</f>
        <v>유한양행</v>
      </c>
      <c r="F41" s="253" t="str">
        <f>작성용!C38</f>
        <v>재평가</v>
      </c>
      <c r="G41" s="253" t="str">
        <f>작성용!D38</f>
        <v>굳티셀</v>
      </c>
      <c r="H41" s="266">
        <f>작성용!E38</f>
        <v>1101116121365</v>
      </c>
      <c r="I41" s="253" t="str">
        <f>작성용!F38</f>
        <v>A01</v>
      </c>
      <c r="J41" s="253">
        <f>작성용!G38</f>
        <v>0</v>
      </c>
      <c r="K41" s="253" t="str">
        <f>작성용!H38</f>
        <v>-</v>
      </c>
      <c r="L41" s="253" t="str">
        <f>작성용!N38</f>
        <v>년</v>
      </c>
      <c r="M41" s="265" t="str">
        <f>작성용!U38</f>
        <v>2024.09.30</v>
      </c>
      <c r="N41" s="277">
        <f>작성용!V38</f>
        <v>45616</v>
      </c>
      <c r="O41" s="265">
        <f>작성용!W38</f>
        <v>45624</v>
      </c>
      <c r="P41" s="265" t="str">
        <f>작성용!X38</f>
        <v>-</v>
      </c>
      <c r="Q41" s="253" t="str">
        <f>작성용!AD38</f>
        <v>백형진</v>
      </c>
      <c r="R41" s="267">
        <f>작성용!AE38</f>
        <v>0</v>
      </c>
      <c r="S41" s="253" t="str">
        <f>작성용!AF38</f>
        <v>서수빈</v>
      </c>
      <c r="T41" s="268" t="str">
        <f>작성용!AG38</f>
        <v>강승현</v>
      </c>
      <c r="U41" s="268" t="str">
        <f>작성용!AH38</f>
        <v>강승현</v>
      </c>
      <c r="V41" s="252">
        <f>작성용!AA38</f>
        <v>202411</v>
      </c>
      <c r="W41" s="253" t="str">
        <f>작성용!AC38</f>
        <v>[X]일반기업</v>
      </c>
      <c r="X41" s="253" t="str">
        <f>작성용!O38</f>
        <v>최영수담당자</v>
      </c>
      <c r="Y41" s="253" t="str">
        <f>작성용!P38</f>
        <v>02-828-0649</v>
      </c>
      <c r="Z41" s="253" t="str">
        <f>작성용!Q38</f>
        <v>yschoi0531@yuhan.co.kr</v>
      </c>
      <c r="AA41" s="252" t="str">
        <f>작성용!AJ38</f>
        <v>회계반영</v>
      </c>
      <c r="AB41" s="252">
        <f>작성용!AB38</f>
        <v>0</v>
      </c>
    </row>
    <row r="42" spans="1:28" s="12" customFormat="1" ht="16.5" customHeight="1" x14ac:dyDescent="0.3">
      <c r="A42" s="54">
        <f>작성용!AL39</f>
        <v>38</v>
      </c>
      <c r="B42" s="278" t="str">
        <f>작성용!AI39</f>
        <v>DRAFT보고서 : 2024-11-20</v>
      </c>
      <c r="C42" s="252" t="str">
        <f>작성용!AK39</f>
        <v>개별종목</v>
      </c>
      <c r="D42" s="265">
        <f>작성용!T39</f>
        <v>45545</v>
      </c>
      <c r="E42" s="253" t="str">
        <f>작성용!B39</f>
        <v>유한양행</v>
      </c>
      <c r="F42" s="253" t="str">
        <f>작성용!C39</f>
        <v>재평가</v>
      </c>
      <c r="G42" s="253" t="str">
        <f>작성용!D39</f>
        <v>제이인츠바이오</v>
      </c>
      <c r="H42" s="266">
        <f>작성용!E39</f>
        <v>1101117412862</v>
      </c>
      <c r="I42" s="253" t="str">
        <f>작성용!F39</f>
        <v>A01</v>
      </c>
      <c r="J42" s="253">
        <f>작성용!G39</f>
        <v>0</v>
      </c>
      <c r="K42" s="253" t="str">
        <f>작성용!H39</f>
        <v>-</v>
      </c>
      <c r="L42" s="253" t="str">
        <f>작성용!N39</f>
        <v>년</v>
      </c>
      <c r="M42" s="265" t="str">
        <f>작성용!U39</f>
        <v>2024.09.30</v>
      </c>
      <c r="N42" s="277">
        <f>작성용!V39</f>
        <v>45616</v>
      </c>
      <c r="O42" s="265">
        <f>작성용!W39</f>
        <v>45624</v>
      </c>
      <c r="P42" s="265" t="str">
        <f>작성용!X39</f>
        <v>-</v>
      </c>
      <c r="Q42" s="253" t="str">
        <f>작성용!AD39</f>
        <v>강성은</v>
      </c>
      <c r="R42" s="267">
        <f>작성용!AE39</f>
        <v>0</v>
      </c>
      <c r="S42" s="253" t="str">
        <f>작성용!AF39</f>
        <v>강성은</v>
      </c>
      <c r="T42" s="268" t="str">
        <f>작성용!AG39</f>
        <v>강승현</v>
      </c>
      <c r="U42" s="268" t="str">
        <f>작성용!AH39</f>
        <v>강승현</v>
      </c>
      <c r="V42" s="252">
        <f>작성용!AA39</f>
        <v>202411</v>
      </c>
      <c r="W42" s="253" t="str">
        <f>작성용!AC39</f>
        <v>[X]일반기업</v>
      </c>
      <c r="X42" s="253" t="str">
        <f>작성용!O39</f>
        <v>최영수담당자</v>
      </c>
      <c r="Y42" s="253" t="str">
        <f>작성용!P39</f>
        <v>02-828-0649</v>
      </c>
      <c r="Z42" s="253" t="str">
        <f>작성용!Q39</f>
        <v>yschoi0531@yuhan.co.kr</v>
      </c>
      <c r="AA42" s="252" t="str">
        <f>작성용!AJ39</f>
        <v>회계반영</v>
      </c>
      <c r="AB42" s="252">
        <f>작성용!AB39</f>
        <v>0</v>
      </c>
    </row>
    <row r="43" spans="1:28" s="12" customFormat="1" ht="16.5" customHeight="1" x14ac:dyDescent="0.3">
      <c r="A43" s="54">
        <f>작성용!AL40</f>
        <v>39</v>
      </c>
      <c r="B43" s="278" t="str">
        <f>작성용!AI40</f>
        <v>DRAFT보고서 : 2024-11-20</v>
      </c>
      <c r="C43" s="252" t="str">
        <f>작성용!AK40</f>
        <v>개별종목</v>
      </c>
      <c r="D43" s="265">
        <f>작성용!T40</f>
        <v>45545</v>
      </c>
      <c r="E43" s="253" t="str">
        <f>작성용!B40</f>
        <v>유한양행</v>
      </c>
      <c r="F43" s="253" t="str">
        <f>작성용!C40</f>
        <v>신규</v>
      </c>
      <c r="G43" s="253" t="str">
        <f>작성용!D40</f>
        <v>메디라마</v>
      </c>
      <c r="H43" s="266">
        <f>작성용!E40</f>
        <v>1101117982617</v>
      </c>
      <c r="I43" s="253" t="str">
        <f>작성용!F40</f>
        <v>A01</v>
      </c>
      <c r="J43" s="253">
        <f>작성용!G40</f>
        <v>0</v>
      </c>
      <c r="K43" s="253" t="str">
        <f>작성용!H40</f>
        <v>-</v>
      </c>
      <c r="L43" s="253" t="str">
        <f>작성용!N40</f>
        <v>년</v>
      </c>
      <c r="M43" s="265" t="str">
        <f>작성용!U40</f>
        <v>2024.09.30</v>
      </c>
      <c r="N43" s="277">
        <f>작성용!V40</f>
        <v>45616</v>
      </c>
      <c r="O43" s="265">
        <f>작성용!W40</f>
        <v>45624</v>
      </c>
      <c r="P43" s="265" t="str">
        <f>작성용!X40</f>
        <v>-</v>
      </c>
      <c r="Q43" s="253" t="str">
        <f>작성용!AD40</f>
        <v>김에스더</v>
      </c>
      <c r="R43" s="267">
        <f>작성용!AE40</f>
        <v>1</v>
      </c>
      <c r="S43" s="253" t="str">
        <f>작성용!AF40</f>
        <v>신규</v>
      </c>
      <c r="T43" s="268" t="str">
        <f>작성용!AG40</f>
        <v>강승현</v>
      </c>
      <c r="U43" s="268" t="str">
        <f>작성용!AH40</f>
        <v>강승현</v>
      </c>
      <c r="V43" s="252">
        <f>작성용!AA40</f>
        <v>202411</v>
      </c>
      <c r="W43" s="253" t="str">
        <f>작성용!AC40</f>
        <v>[X]일반기업</v>
      </c>
      <c r="X43" s="253" t="str">
        <f>작성용!O40</f>
        <v>최영수담당자</v>
      </c>
      <c r="Y43" s="253" t="str">
        <f>작성용!P40</f>
        <v>02-828-0649</v>
      </c>
      <c r="Z43" s="253" t="str">
        <f>작성용!Q40</f>
        <v>yschoi0531@yuhan.co.kr</v>
      </c>
      <c r="AA43" s="252" t="str">
        <f>작성용!AJ40</f>
        <v>회계반영</v>
      </c>
      <c r="AB43" s="252">
        <f>작성용!AB40</f>
        <v>0</v>
      </c>
    </row>
    <row r="44" spans="1:28" s="12" customFormat="1" ht="16.5" customHeight="1" x14ac:dyDescent="0.3">
      <c r="A44" s="54">
        <f>작성용!AL41</f>
        <v>40</v>
      </c>
      <c r="B44" s="278" t="str">
        <f>작성용!AI41</f>
        <v>DRAFT보고서 : 2024-11-20</v>
      </c>
      <c r="C44" s="252" t="str">
        <f>작성용!AK41</f>
        <v>개별종목</v>
      </c>
      <c r="D44" s="265">
        <f>작성용!T41</f>
        <v>45545</v>
      </c>
      <c r="E44" s="253" t="str">
        <f>작성용!B41</f>
        <v>유한양행</v>
      </c>
      <c r="F44" s="253" t="str">
        <f>작성용!C41</f>
        <v>재평가</v>
      </c>
      <c r="G44" s="253" t="str">
        <f>작성용!D41</f>
        <v>에임드바이오</v>
      </c>
      <c r="H44" s="266">
        <f>작성용!E41</f>
        <v>1101116854461</v>
      </c>
      <c r="I44" s="253" t="str">
        <f>작성용!F41</f>
        <v>A01</v>
      </c>
      <c r="J44" s="253">
        <f>작성용!G41</f>
        <v>0</v>
      </c>
      <c r="K44" s="253" t="str">
        <f>작성용!H41</f>
        <v>-</v>
      </c>
      <c r="L44" s="253" t="str">
        <f>작성용!N41</f>
        <v>년</v>
      </c>
      <c r="M44" s="265" t="str">
        <f>작성용!U41</f>
        <v>2024.09.30</v>
      </c>
      <c r="N44" s="277">
        <f>작성용!V41</f>
        <v>45616</v>
      </c>
      <c r="O44" s="265">
        <f>작성용!W41</f>
        <v>45624</v>
      </c>
      <c r="P44" s="265" t="str">
        <f>작성용!X41</f>
        <v>-</v>
      </c>
      <c r="Q44" s="253" t="str">
        <f>작성용!AD41</f>
        <v>정재형</v>
      </c>
      <c r="R44" s="267">
        <f>작성용!AE41</f>
        <v>1</v>
      </c>
      <c r="S44" s="253" t="str">
        <f>작성용!AF41</f>
        <v>정재형</v>
      </c>
      <c r="T44" s="268" t="str">
        <f>작성용!AG41</f>
        <v>강승현</v>
      </c>
      <c r="U44" s="268" t="str">
        <f>작성용!AH41</f>
        <v>강승현</v>
      </c>
      <c r="V44" s="252">
        <f>작성용!AA41</f>
        <v>202411</v>
      </c>
      <c r="W44" s="253" t="str">
        <f>작성용!AC41</f>
        <v>[X]일반기업</v>
      </c>
      <c r="X44" s="253" t="str">
        <f>작성용!O41</f>
        <v>최영수담당자</v>
      </c>
      <c r="Y44" s="253" t="str">
        <f>작성용!P41</f>
        <v>02-828-0649</v>
      </c>
      <c r="Z44" s="253" t="str">
        <f>작성용!Q41</f>
        <v>yschoi0531@yuhan.co.kr</v>
      </c>
      <c r="AA44" s="252" t="str">
        <f>작성용!AJ41</f>
        <v>회계반영</v>
      </c>
      <c r="AB44" s="252">
        <f>작성용!AB41</f>
        <v>0</v>
      </c>
    </row>
    <row r="45" spans="1:28" s="12" customFormat="1" ht="16.5" hidden="1" customHeight="1" x14ac:dyDescent="0.3">
      <c r="A45" s="54">
        <f>작성용!AL42</f>
        <v>41</v>
      </c>
      <c r="B45" s="55" t="str">
        <f>작성용!AI42</f>
        <v>-</v>
      </c>
      <c r="C45" s="56" t="str">
        <f>작성용!AK42</f>
        <v>개별종목</v>
      </c>
      <c r="D45" s="57">
        <f>작성용!T42</f>
        <v>45545</v>
      </c>
      <c r="E45" s="58" t="str">
        <f>작성용!B42</f>
        <v>신한벤처투자(구,네오플럭스)</v>
      </c>
      <c r="F45" s="58" t="str">
        <f>작성용!C42</f>
        <v>재평가</v>
      </c>
      <c r="G45" s="58" t="str">
        <f>작성용!D42</f>
        <v>오티디코퍼레이션</v>
      </c>
      <c r="H45" s="59">
        <f>작성용!E42</f>
        <v>1101115395747</v>
      </c>
      <c r="I45" s="58" t="str">
        <f>작성용!F42</f>
        <v>A01</v>
      </c>
      <c r="J45" s="58">
        <f>작성용!G42</f>
        <v>0</v>
      </c>
      <c r="K45" s="58" t="str">
        <f>작성용!H42</f>
        <v>-</v>
      </c>
      <c r="L45" s="58" t="str">
        <f>작성용!N42</f>
        <v>분기</v>
      </c>
      <c r="M45" s="57" t="str">
        <f>작성용!U42</f>
        <v>2024.09.30</v>
      </c>
      <c r="N45" s="57">
        <f>작성용!V42</f>
        <v>45611</v>
      </c>
      <c r="O45" s="57">
        <f>작성용!W42</f>
        <v>45617</v>
      </c>
      <c r="P45" s="57" t="str">
        <f>작성용!X42</f>
        <v>-</v>
      </c>
      <c r="Q45" s="58" t="str">
        <f>작성용!AD42</f>
        <v>이현승</v>
      </c>
      <c r="R45" s="60">
        <f>작성용!AE42</f>
        <v>1</v>
      </c>
      <c r="S45" s="58" t="str">
        <f>작성용!AF42</f>
        <v>이현승</v>
      </c>
      <c r="T45" s="61" t="str">
        <f>작성용!AG42</f>
        <v>강승현</v>
      </c>
      <c r="U45" s="61" t="str">
        <f>작성용!AH42</f>
        <v>강승현</v>
      </c>
      <c r="V45" s="56">
        <f>작성용!AA42</f>
        <v>202411</v>
      </c>
      <c r="W45" s="58" t="str">
        <f>작성용!AC42</f>
        <v>[Y]금융기관</v>
      </c>
      <c r="X45" s="58" t="str">
        <f>작성용!O42</f>
        <v>안예진사원</v>
      </c>
      <c r="Y45" s="58" t="str">
        <f>작성용!P42</f>
        <v>02-560-9726</v>
      </c>
      <c r="Z45" s="58" t="str">
        <f>작성용!Q42</f>
        <v>yjan@shinhanvc.com</v>
      </c>
      <c r="AA45" s="56" t="str">
        <f>작성용!AJ42</f>
        <v>LP제출</v>
      </c>
      <c r="AB45" s="56">
        <f>작성용!AB42</f>
        <v>0</v>
      </c>
    </row>
    <row r="46" spans="1:28" s="12" customFormat="1" ht="16.5" hidden="1" customHeight="1" x14ac:dyDescent="0.3">
      <c r="A46" s="54">
        <f>작성용!AL43</f>
        <v>42</v>
      </c>
      <c r="B46" s="55" t="str">
        <f>작성용!AI43</f>
        <v>-</v>
      </c>
      <c r="C46" s="56" t="str">
        <f>작성용!AK43</f>
        <v>개별종목</v>
      </c>
      <c r="D46" s="57">
        <f>작성용!T43</f>
        <v>45545</v>
      </c>
      <c r="E46" s="58" t="str">
        <f>작성용!B43</f>
        <v>신한벤처투자(구,네오플럭스)</v>
      </c>
      <c r="F46" s="58" t="str">
        <f>작성용!C43</f>
        <v>재평가</v>
      </c>
      <c r="G46" s="58" t="str">
        <f>작성용!D43</f>
        <v>오티디코퍼레이션</v>
      </c>
      <c r="H46" s="59">
        <f>작성용!E43</f>
        <v>1101115395747</v>
      </c>
      <c r="I46" s="58" t="str">
        <f>작성용!F43</f>
        <v>A07</v>
      </c>
      <c r="J46" s="58">
        <f>작성용!G43</f>
        <v>0</v>
      </c>
      <c r="K46" s="58" t="str">
        <f>작성용!H43</f>
        <v>-</v>
      </c>
      <c r="L46" s="58" t="str">
        <f>작성용!N43</f>
        <v>분기</v>
      </c>
      <c r="M46" s="57" t="str">
        <f>작성용!U43</f>
        <v>2024.09.30</v>
      </c>
      <c r="N46" s="57">
        <f>작성용!V43</f>
        <v>45611</v>
      </c>
      <c r="O46" s="57">
        <f>작성용!W43</f>
        <v>45617</v>
      </c>
      <c r="P46" s="57" t="str">
        <f>작성용!X43</f>
        <v>-</v>
      </c>
      <c r="Q46" s="58" t="str">
        <f>작성용!AD43</f>
        <v>이현승</v>
      </c>
      <c r="R46" s="60">
        <f>작성용!AE43</f>
        <v>0</v>
      </c>
      <c r="S46" s="58" t="str">
        <f>작성용!AF43</f>
        <v>이현승</v>
      </c>
      <c r="T46" s="61" t="str">
        <f>작성용!AG43</f>
        <v>강승현</v>
      </c>
      <c r="U46" s="61" t="str">
        <f>작성용!AH43</f>
        <v>강승현</v>
      </c>
      <c r="V46" s="56">
        <f>작성용!AA43</f>
        <v>202411</v>
      </c>
      <c r="W46" s="58" t="str">
        <f>작성용!AC43</f>
        <v>[Y]금융기관</v>
      </c>
      <c r="X46" s="58" t="str">
        <f>작성용!O43</f>
        <v>안예진사원</v>
      </c>
      <c r="Y46" s="58" t="str">
        <f>작성용!P43</f>
        <v>02-560-9726</v>
      </c>
      <c r="Z46" s="58" t="str">
        <f>작성용!Q43</f>
        <v>yjan@shinhanvc.com</v>
      </c>
      <c r="AA46" s="56" t="str">
        <f>작성용!AJ43</f>
        <v>LP제출</v>
      </c>
      <c r="AB46" s="56">
        <f>작성용!AB43</f>
        <v>0</v>
      </c>
    </row>
    <row r="47" spans="1:28" s="12" customFormat="1" ht="16.5" hidden="1" customHeight="1" x14ac:dyDescent="0.3">
      <c r="A47" s="54">
        <f>작성용!AL44</f>
        <v>43</v>
      </c>
      <c r="B47" s="55" t="str">
        <f>작성용!AI44</f>
        <v>-</v>
      </c>
      <c r="C47" s="56" t="str">
        <f>작성용!AK44</f>
        <v>개별종목</v>
      </c>
      <c r="D47" s="57">
        <f>작성용!T44</f>
        <v>45545</v>
      </c>
      <c r="E47" s="58" t="str">
        <f>작성용!B44</f>
        <v>신한벤처투자(구,네오플럭스)</v>
      </c>
      <c r="F47" s="58" t="str">
        <f>작성용!C44</f>
        <v>재평가</v>
      </c>
      <c r="G47" s="58" t="str">
        <f>작성용!D44</f>
        <v>록팰</v>
      </c>
      <c r="H47" s="59">
        <f>작성용!E44</f>
        <v>1348110310730</v>
      </c>
      <c r="I47" s="58" t="str">
        <f>작성용!F44</f>
        <v>A01</v>
      </c>
      <c r="J47" s="58">
        <f>작성용!G44</f>
        <v>0</v>
      </c>
      <c r="K47" s="58" t="str">
        <f>작성용!H44</f>
        <v>-</v>
      </c>
      <c r="L47" s="58" t="str">
        <f>작성용!N44</f>
        <v>분기</v>
      </c>
      <c r="M47" s="57" t="str">
        <f>작성용!U44</f>
        <v>2024.09.30</v>
      </c>
      <c r="N47" s="57">
        <f>작성용!V44</f>
        <v>45611</v>
      </c>
      <c r="O47" s="57">
        <f>작성용!W44</f>
        <v>45617</v>
      </c>
      <c r="P47" s="57" t="str">
        <f>작성용!X44</f>
        <v>-</v>
      </c>
      <c r="Q47" s="58" t="str">
        <f>작성용!AD44</f>
        <v>변혜진</v>
      </c>
      <c r="R47" s="60">
        <f>작성용!AE44</f>
        <v>1</v>
      </c>
      <c r="S47" s="58" t="str">
        <f>작성용!AF44</f>
        <v>변혜진</v>
      </c>
      <c r="T47" s="61" t="str">
        <f>작성용!AG44</f>
        <v>강승현</v>
      </c>
      <c r="U47" s="61" t="str">
        <f>작성용!AH44</f>
        <v>강승현</v>
      </c>
      <c r="V47" s="56">
        <f>작성용!AA44</f>
        <v>202411</v>
      </c>
      <c r="W47" s="58" t="str">
        <f>작성용!AC44</f>
        <v>[Y]금융기관</v>
      </c>
      <c r="X47" s="58" t="str">
        <f>작성용!O44</f>
        <v>안예진사원</v>
      </c>
      <c r="Y47" s="58" t="str">
        <f>작성용!P44</f>
        <v>02-560-9726</v>
      </c>
      <c r="Z47" s="58" t="str">
        <f>작성용!Q44</f>
        <v>yjan@shinhanvc.com</v>
      </c>
      <c r="AA47" s="56" t="str">
        <f>작성용!AJ44</f>
        <v>LP제출</v>
      </c>
      <c r="AB47" s="56">
        <f>작성용!AB44</f>
        <v>0</v>
      </c>
    </row>
    <row r="48" spans="1:28" s="12" customFormat="1" ht="16.5" hidden="1" customHeight="1" x14ac:dyDescent="0.3">
      <c r="A48" s="54">
        <f>작성용!AL45</f>
        <v>44</v>
      </c>
      <c r="B48" s="55" t="str">
        <f>작성용!AI45</f>
        <v>-</v>
      </c>
      <c r="C48" s="56" t="str">
        <f>작성용!AK45</f>
        <v>개별종목</v>
      </c>
      <c r="D48" s="57">
        <f>작성용!T45</f>
        <v>45545</v>
      </c>
      <c r="E48" s="58" t="str">
        <f>작성용!B45</f>
        <v>신한벤처투자(구,네오플럭스)</v>
      </c>
      <c r="F48" s="58" t="str">
        <f>작성용!C45</f>
        <v>재평가</v>
      </c>
      <c r="G48" s="58" t="str">
        <f>작성용!D45</f>
        <v>록팰</v>
      </c>
      <c r="H48" s="59">
        <f>작성용!E45</f>
        <v>1348110310730</v>
      </c>
      <c r="I48" s="58" t="str">
        <f>작성용!F45</f>
        <v>D02</v>
      </c>
      <c r="J48" s="58">
        <f>작성용!G45</f>
        <v>1</v>
      </c>
      <c r="K48" s="58" t="str">
        <f>작성용!H45</f>
        <v>-</v>
      </c>
      <c r="L48" s="58" t="str">
        <f>작성용!N45</f>
        <v>분기</v>
      </c>
      <c r="M48" s="57" t="str">
        <f>작성용!U45</f>
        <v>2024.09.30</v>
      </c>
      <c r="N48" s="57">
        <f>작성용!V45</f>
        <v>45611</v>
      </c>
      <c r="O48" s="57">
        <f>작성용!W45</f>
        <v>45617</v>
      </c>
      <c r="P48" s="57" t="str">
        <f>작성용!X45</f>
        <v>-</v>
      </c>
      <c r="Q48" s="58" t="str">
        <f>작성용!AD45</f>
        <v>변혜진</v>
      </c>
      <c r="R48" s="60">
        <f>작성용!AE45</f>
        <v>0</v>
      </c>
      <c r="S48" s="58" t="str">
        <f>작성용!AF45</f>
        <v>변혜진</v>
      </c>
      <c r="T48" s="61" t="str">
        <f>작성용!AG45</f>
        <v>강승현</v>
      </c>
      <c r="U48" s="61" t="str">
        <f>작성용!AH45</f>
        <v>강승현</v>
      </c>
      <c r="V48" s="56">
        <f>작성용!AA45</f>
        <v>202411</v>
      </c>
      <c r="W48" s="58" t="str">
        <f>작성용!AC45</f>
        <v>[Y]금융기관</v>
      </c>
      <c r="X48" s="58" t="str">
        <f>작성용!O45</f>
        <v>안예진사원</v>
      </c>
      <c r="Y48" s="58" t="str">
        <f>작성용!P45</f>
        <v>02-560-9726</v>
      </c>
      <c r="Z48" s="58" t="str">
        <f>작성용!Q45</f>
        <v>yjan@shinhanvc.com</v>
      </c>
      <c r="AA48" s="56" t="str">
        <f>작성용!AJ45</f>
        <v>LP제출</v>
      </c>
      <c r="AB48" s="56">
        <f>작성용!AB45</f>
        <v>0</v>
      </c>
    </row>
    <row r="49" spans="1:28" s="12" customFormat="1" ht="16.5" hidden="1" customHeight="1" x14ac:dyDescent="0.3">
      <c r="A49" s="54">
        <f>작성용!AL46</f>
        <v>45</v>
      </c>
      <c r="B49" s="55" t="str">
        <f>작성용!AI46</f>
        <v>-</v>
      </c>
      <c r="C49" s="56" t="str">
        <f>작성용!AK46</f>
        <v>개별종목</v>
      </c>
      <c r="D49" s="57">
        <f>작성용!T46</f>
        <v>45545</v>
      </c>
      <c r="E49" s="58" t="str">
        <f>작성용!B46</f>
        <v>신한벤처투자(구,네오플럭스)</v>
      </c>
      <c r="F49" s="58" t="str">
        <f>작성용!C46</f>
        <v>재평가</v>
      </c>
      <c r="G49" s="58" t="str">
        <f>작성용!D46</f>
        <v>록팰</v>
      </c>
      <c r="H49" s="59">
        <f>작성용!E46</f>
        <v>1348110310730</v>
      </c>
      <c r="I49" s="58" t="str">
        <f>작성용!F46</f>
        <v>D02</v>
      </c>
      <c r="J49" s="58">
        <f>작성용!G46</f>
        <v>2</v>
      </c>
      <c r="K49" s="58" t="str">
        <f>작성용!H46</f>
        <v>-</v>
      </c>
      <c r="L49" s="58" t="str">
        <f>작성용!N46</f>
        <v>분기</v>
      </c>
      <c r="M49" s="57" t="str">
        <f>작성용!U46</f>
        <v>2024.09.30</v>
      </c>
      <c r="N49" s="57">
        <f>작성용!V46</f>
        <v>45611</v>
      </c>
      <c r="O49" s="57">
        <f>작성용!W46</f>
        <v>45617</v>
      </c>
      <c r="P49" s="57" t="str">
        <f>작성용!X46</f>
        <v>-</v>
      </c>
      <c r="Q49" s="58" t="str">
        <f>작성용!AD46</f>
        <v>변혜진</v>
      </c>
      <c r="R49" s="60">
        <f>작성용!AE46</f>
        <v>0</v>
      </c>
      <c r="S49" s="58" t="str">
        <f>작성용!AF46</f>
        <v>변혜진</v>
      </c>
      <c r="T49" s="61" t="str">
        <f>작성용!AG46</f>
        <v>강승현</v>
      </c>
      <c r="U49" s="61" t="str">
        <f>작성용!AH46</f>
        <v>강승현</v>
      </c>
      <c r="V49" s="56">
        <f>작성용!AA46</f>
        <v>202411</v>
      </c>
      <c r="W49" s="58" t="str">
        <f>작성용!AC46</f>
        <v>[Y]금융기관</v>
      </c>
      <c r="X49" s="58" t="str">
        <f>작성용!O46</f>
        <v>안예진사원</v>
      </c>
      <c r="Y49" s="58" t="str">
        <f>작성용!P46</f>
        <v>02-560-9726</v>
      </c>
      <c r="Z49" s="58" t="str">
        <f>작성용!Q46</f>
        <v>yjan@shinhanvc.com</v>
      </c>
      <c r="AA49" s="56" t="str">
        <f>작성용!AJ46</f>
        <v>LP제출</v>
      </c>
      <c r="AB49" s="56">
        <f>작성용!AB46</f>
        <v>0</v>
      </c>
    </row>
    <row r="50" spans="1:28" s="12" customFormat="1" ht="16.5" hidden="1" customHeight="1" x14ac:dyDescent="0.3">
      <c r="A50" s="54">
        <f>작성용!AL47</f>
        <v>46</v>
      </c>
      <c r="B50" s="55" t="str">
        <f>작성용!AI47</f>
        <v>-</v>
      </c>
      <c r="C50" s="56" t="str">
        <f>작성용!AK47</f>
        <v>개별종목</v>
      </c>
      <c r="D50" s="57">
        <f>작성용!T47</f>
        <v>45545</v>
      </c>
      <c r="E50" s="58" t="str">
        <f>작성용!B47</f>
        <v>신한벤처투자(구,네오플럭스)</v>
      </c>
      <c r="F50" s="58" t="str">
        <f>작성용!C47</f>
        <v>재평가</v>
      </c>
      <c r="G50" s="58" t="str">
        <f>작성용!D47</f>
        <v>록팰</v>
      </c>
      <c r="H50" s="59">
        <f>작성용!E47</f>
        <v>1348110310730</v>
      </c>
      <c r="I50" s="58" t="str">
        <f>작성용!F47</f>
        <v>D02</v>
      </c>
      <c r="J50" s="58">
        <f>작성용!G47</f>
        <v>3</v>
      </c>
      <c r="K50" s="58" t="str">
        <f>작성용!H47</f>
        <v>-</v>
      </c>
      <c r="L50" s="58" t="str">
        <f>작성용!N47</f>
        <v>분기</v>
      </c>
      <c r="M50" s="57" t="str">
        <f>작성용!U47</f>
        <v>2024.09.30</v>
      </c>
      <c r="N50" s="57">
        <f>작성용!V47</f>
        <v>45611</v>
      </c>
      <c r="O50" s="57">
        <f>작성용!W47</f>
        <v>45617</v>
      </c>
      <c r="P50" s="57" t="str">
        <f>작성용!X47</f>
        <v>-</v>
      </c>
      <c r="Q50" s="58" t="str">
        <f>작성용!AD47</f>
        <v>변혜진</v>
      </c>
      <c r="R50" s="60">
        <f>작성용!AE47</f>
        <v>0</v>
      </c>
      <c r="S50" s="58" t="str">
        <f>작성용!AF47</f>
        <v>변혜진</v>
      </c>
      <c r="T50" s="61" t="str">
        <f>작성용!AG47</f>
        <v>강승현</v>
      </c>
      <c r="U50" s="61" t="str">
        <f>작성용!AH47</f>
        <v>강승현</v>
      </c>
      <c r="V50" s="56">
        <f>작성용!AA47</f>
        <v>202411</v>
      </c>
      <c r="W50" s="58" t="str">
        <f>작성용!AC47</f>
        <v>[Y]금융기관</v>
      </c>
      <c r="X50" s="58" t="str">
        <f>작성용!O47</f>
        <v>안예진사원</v>
      </c>
      <c r="Y50" s="58" t="str">
        <f>작성용!P47</f>
        <v>02-560-9726</v>
      </c>
      <c r="Z50" s="58" t="str">
        <f>작성용!Q47</f>
        <v>yjan@shinhanvc.com</v>
      </c>
      <c r="AA50" s="56" t="str">
        <f>작성용!AJ47</f>
        <v>LP제출</v>
      </c>
      <c r="AB50" s="56">
        <f>작성용!AB47</f>
        <v>0</v>
      </c>
    </row>
    <row r="51" spans="1:28" s="12" customFormat="1" ht="16.5" hidden="1" customHeight="1" x14ac:dyDescent="0.3">
      <c r="A51" s="54">
        <f>작성용!AL48</f>
        <v>47</v>
      </c>
      <c r="B51" s="55" t="str">
        <f>작성용!AI48</f>
        <v>-</v>
      </c>
      <c r="C51" s="56" t="str">
        <f>작성용!AK48</f>
        <v>개별종목</v>
      </c>
      <c r="D51" s="57">
        <f>작성용!T48</f>
        <v>45545</v>
      </c>
      <c r="E51" s="58" t="str">
        <f>작성용!B48</f>
        <v>신한벤처투자(구,네오플럭스)</v>
      </c>
      <c r="F51" s="58" t="str">
        <f>작성용!C48</f>
        <v>재평가</v>
      </c>
      <c r="G51" s="58" t="str">
        <f>작성용!D48</f>
        <v>와디즈</v>
      </c>
      <c r="H51" s="59">
        <f>작성용!E48</f>
        <v>1311110553113</v>
      </c>
      <c r="I51" s="58" t="str">
        <f>작성용!F48</f>
        <v>A01</v>
      </c>
      <c r="J51" s="58">
        <f>작성용!G48</f>
        <v>0</v>
      </c>
      <c r="K51" s="58" t="str">
        <f>작성용!H48</f>
        <v>-</v>
      </c>
      <c r="L51" s="58" t="str">
        <f>작성용!N48</f>
        <v>분기</v>
      </c>
      <c r="M51" s="57" t="str">
        <f>작성용!U48</f>
        <v>2024.09.30</v>
      </c>
      <c r="N51" s="57">
        <f>작성용!V48</f>
        <v>45611</v>
      </c>
      <c r="O51" s="57">
        <f>작성용!W48</f>
        <v>45617</v>
      </c>
      <c r="P51" s="57" t="str">
        <f>작성용!X48</f>
        <v>-</v>
      </c>
      <c r="Q51" s="58" t="str">
        <f>작성용!AD48</f>
        <v>김영하</v>
      </c>
      <c r="R51" s="60">
        <f>작성용!AE48</f>
        <v>1</v>
      </c>
      <c r="S51" s="58" t="str">
        <f>작성용!AF48</f>
        <v>김영하</v>
      </c>
      <c r="T51" s="61" t="str">
        <f>작성용!AG48</f>
        <v>강승현</v>
      </c>
      <c r="U51" s="61" t="str">
        <f>작성용!AH48</f>
        <v>강승현</v>
      </c>
      <c r="V51" s="56">
        <f>작성용!AA48</f>
        <v>202411</v>
      </c>
      <c r="W51" s="58" t="str">
        <f>작성용!AC48</f>
        <v>[Y]금융기관</v>
      </c>
      <c r="X51" s="58" t="str">
        <f>작성용!O48</f>
        <v>안예진사원</v>
      </c>
      <c r="Y51" s="58" t="str">
        <f>작성용!P48</f>
        <v>02-560-9726</v>
      </c>
      <c r="Z51" s="58" t="str">
        <f>작성용!Q48</f>
        <v>yjan@shinhanvc.com</v>
      </c>
      <c r="AA51" s="56" t="str">
        <f>작성용!AJ48</f>
        <v>LP제출</v>
      </c>
      <c r="AB51" s="56">
        <f>작성용!AB48</f>
        <v>0</v>
      </c>
    </row>
    <row r="52" spans="1:28" s="12" customFormat="1" ht="16.5" hidden="1" customHeight="1" x14ac:dyDescent="0.3">
      <c r="A52" s="54">
        <f>작성용!AL49</f>
        <v>48</v>
      </c>
      <c r="B52" s="55" t="str">
        <f>작성용!AI49</f>
        <v>-</v>
      </c>
      <c r="C52" s="56" t="str">
        <f>작성용!AK49</f>
        <v>개별종목</v>
      </c>
      <c r="D52" s="57">
        <f>작성용!T49</f>
        <v>45545</v>
      </c>
      <c r="E52" s="58" t="str">
        <f>작성용!B49</f>
        <v>신한벤처투자(구,네오플럭스)</v>
      </c>
      <c r="F52" s="58" t="str">
        <f>작성용!C49</f>
        <v>재평가</v>
      </c>
      <c r="G52" s="58" t="str">
        <f>작성용!D49</f>
        <v>와디즈</v>
      </c>
      <c r="H52" s="59">
        <f>작성용!E49</f>
        <v>1311110553113</v>
      </c>
      <c r="I52" s="58" t="str">
        <f>작성용!F49</f>
        <v>A05</v>
      </c>
      <c r="J52" s="58">
        <f>작성용!G49</f>
        <v>0</v>
      </c>
      <c r="K52" s="58" t="str">
        <f>작성용!H49</f>
        <v>-</v>
      </c>
      <c r="L52" s="58" t="str">
        <f>작성용!N49</f>
        <v>분기</v>
      </c>
      <c r="M52" s="57" t="str">
        <f>작성용!U49</f>
        <v>2024.09.30</v>
      </c>
      <c r="N52" s="57">
        <f>작성용!V49</f>
        <v>45611</v>
      </c>
      <c r="O52" s="57">
        <f>작성용!W49</f>
        <v>45617</v>
      </c>
      <c r="P52" s="57" t="str">
        <f>작성용!X49</f>
        <v>-</v>
      </c>
      <c r="Q52" s="58" t="str">
        <f>작성용!AD49</f>
        <v>김영하</v>
      </c>
      <c r="R52" s="60">
        <f>작성용!AE49</f>
        <v>0</v>
      </c>
      <c r="S52" s="58" t="str">
        <f>작성용!AF49</f>
        <v>김영하</v>
      </c>
      <c r="T52" s="61" t="str">
        <f>작성용!AG49</f>
        <v>강승현</v>
      </c>
      <c r="U52" s="61" t="str">
        <f>작성용!AH49</f>
        <v>강승현</v>
      </c>
      <c r="V52" s="56">
        <f>작성용!AA49</f>
        <v>202411</v>
      </c>
      <c r="W52" s="58" t="str">
        <f>작성용!AC49</f>
        <v>[Y]금융기관</v>
      </c>
      <c r="X52" s="58" t="str">
        <f>작성용!O49</f>
        <v>안예진사원</v>
      </c>
      <c r="Y52" s="58" t="str">
        <f>작성용!P49</f>
        <v>02-560-9726</v>
      </c>
      <c r="Z52" s="58" t="str">
        <f>작성용!Q49</f>
        <v>yjan@shinhanvc.com</v>
      </c>
      <c r="AA52" s="56" t="str">
        <f>작성용!AJ49</f>
        <v>LP제출</v>
      </c>
      <c r="AB52" s="56">
        <f>작성용!AB49</f>
        <v>0</v>
      </c>
    </row>
    <row r="53" spans="1:28" s="12" customFormat="1" ht="16.5" hidden="1" customHeight="1" x14ac:dyDescent="0.3">
      <c r="A53" s="54">
        <f>작성용!AL50</f>
        <v>49</v>
      </c>
      <c r="B53" s="55" t="str">
        <f>작성용!AI50</f>
        <v>-</v>
      </c>
      <c r="C53" s="56" t="str">
        <f>작성용!AK50</f>
        <v>개별종목</v>
      </c>
      <c r="D53" s="57">
        <f>작성용!T50</f>
        <v>45545</v>
      </c>
      <c r="E53" s="58" t="str">
        <f>작성용!B50</f>
        <v>신한벤처투자(구,네오플럭스)</v>
      </c>
      <c r="F53" s="58" t="str">
        <f>작성용!C50</f>
        <v>재평가</v>
      </c>
      <c r="G53" s="58" t="str">
        <f>작성용!D50</f>
        <v>아이엠에스원(구,비마이카)</v>
      </c>
      <c r="H53" s="59">
        <f>작성용!E50</f>
        <v>1101115120946</v>
      </c>
      <c r="I53" s="58" t="str">
        <f>작성용!F50</f>
        <v>A01</v>
      </c>
      <c r="J53" s="58">
        <f>작성용!G50</f>
        <v>0</v>
      </c>
      <c r="K53" s="58" t="str">
        <f>작성용!H50</f>
        <v>-</v>
      </c>
      <c r="L53" s="58" t="str">
        <f>작성용!N50</f>
        <v>분기</v>
      </c>
      <c r="M53" s="57" t="str">
        <f>작성용!U50</f>
        <v>2024.09.30</v>
      </c>
      <c r="N53" s="57">
        <f>작성용!V50</f>
        <v>45611</v>
      </c>
      <c r="O53" s="57">
        <f>작성용!W50</f>
        <v>45617</v>
      </c>
      <c r="P53" s="57" t="str">
        <f>작성용!X50</f>
        <v>-</v>
      </c>
      <c r="Q53" s="58" t="str">
        <f>작성용!AD50</f>
        <v>서경덕</v>
      </c>
      <c r="R53" s="60">
        <f>작성용!AE50</f>
        <v>1</v>
      </c>
      <c r="S53" s="58" t="str">
        <f>작성용!AF50</f>
        <v>서경덕</v>
      </c>
      <c r="T53" s="61" t="str">
        <f>작성용!AG50</f>
        <v>강승현</v>
      </c>
      <c r="U53" s="61" t="str">
        <f>작성용!AH50</f>
        <v>강승현</v>
      </c>
      <c r="V53" s="56">
        <f>작성용!AA50</f>
        <v>202411</v>
      </c>
      <c r="W53" s="58" t="str">
        <f>작성용!AC50</f>
        <v>[Y]금융기관</v>
      </c>
      <c r="X53" s="58" t="str">
        <f>작성용!O50</f>
        <v>안예진사원</v>
      </c>
      <c r="Y53" s="58" t="str">
        <f>작성용!P50</f>
        <v>02-560-9726</v>
      </c>
      <c r="Z53" s="58" t="str">
        <f>작성용!Q50</f>
        <v>yjan@shinhanvc.com</v>
      </c>
      <c r="AA53" s="56" t="str">
        <f>작성용!AJ50</f>
        <v>LP제출</v>
      </c>
      <c r="AB53" s="56">
        <f>작성용!AB50</f>
        <v>0</v>
      </c>
    </row>
    <row r="54" spans="1:28" s="12" customFormat="1" ht="16.5" hidden="1" customHeight="1" x14ac:dyDescent="0.3">
      <c r="A54" s="54">
        <f>작성용!AL51</f>
        <v>50</v>
      </c>
      <c r="B54" s="55" t="str">
        <f>작성용!AI51</f>
        <v>-</v>
      </c>
      <c r="C54" s="56" t="str">
        <f>작성용!AK51</f>
        <v>개별종목</v>
      </c>
      <c r="D54" s="57">
        <f>작성용!T51</f>
        <v>45545</v>
      </c>
      <c r="E54" s="58" t="str">
        <f>작성용!B51</f>
        <v>신한벤처투자(구,네오플럭스)</v>
      </c>
      <c r="F54" s="58" t="str">
        <f>작성용!C51</f>
        <v>재평가</v>
      </c>
      <c r="G54" s="58" t="str">
        <f>작성용!D51</f>
        <v>아이엠에스원(구,비마이카)</v>
      </c>
      <c r="H54" s="59">
        <f>작성용!E51</f>
        <v>1101115120946</v>
      </c>
      <c r="I54" s="58" t="str">
        <f>작성용!F51</f>
        <v>A07</v>
      </c>
      <c r="J54" s="58">
        <f>작성용!G51</f>
        <v>1</v>
      </c>
      <c r="K54" s="58" t="str">
        <f>작성용!H51</f>
        <v>-</v>
      </c>
      <c r="L54" s="58" t="str">
        <f>작성용!N51</f>
        <v>분기</v>
      </c>
      <c r="M54" s="57" t="str">
        <f>작성용!U51</f>
        <v>2024.09.30</v>
      </c>
      <c r="N54" s="57">
        <f>작성용!V51</f>
        <v>45611</v>
      </c>
      <c r="O54" s="57">
        <f>작성용!W51</f>
        <v>45617</v>
      </c>
      <c r="P54" s="57" t="str">
        <f>작성용!X51</f>
        <v>-</v>
      </c>
      <c r="Q54" s="58" t="str">
        <f>작성용!AD51</f>
        <v>서경덕</v>
      </c>
      <c r="R54" s="60">
        <f>작성용!AE51</f>
        <v>0</v>
      </c>
      <c r="S54" s="58" t="str">
        <f>작성용!AF51</f>
        <v>서경덕</v>
      </c>
      <c r="T54" s="61" t="str">
        <f>작성용!AG51</f>
        <v>강승현</v>
      </c>
      <c r="U54" s="61" t="str">
        <f>작성용!AH51</f>
        <v>강승현</v>
      </c>
      <c r="V54" s="56">
        <f>작성용!AA51</f>
        <v>202411</v>
      </c>
      <c r="W54" s="58" t="str">
        <f>작성용!AC51</f>
        <v>[Y]금융기관</v>
      </c>
      <c r="X54" s="58" t="str">
        <f>작성용!O51</f>
        <v>안예진사원</v>
      </c>
      <c r="Y54" s="58" t="str">
        <f>작성용!P51</f>
        <v>02-560-9726</v>
      </c>
      <c r="Z54" s="58" t="str">
        <f>작성용!Q51</f>
        <v>yjan@shinhanvc.com</v>
      </c>
      <c r="AA54" s="56" t="str">
        <f>작성용!AJ51</f>
        <v>LP제출</v>
      </c>
      <c r="AB54" s="56">
        <f>작성용!AB51</f>
        <v>0</v>
      </c>
    </row>
    <row r="55" spans="1:28" s="12" customFormat="1" ht="16.5" hidden="1" customHeight="1" x14ac:dyDescent="0.3">
      <c r="A55" s="54">
        <f>작성용!AL52</f>
        <v>51</v>
      </c>
      <c r="B55" s="55" t="str">
        <f>작성용!AI52</f>
        <v>-</v>
      </c>
      <c r="C55" s="56" t="str">
        <f>작성용!AK52</f>
        <v>개별종목</v>
      </c>
      <c r="D55" s="57">
        <f>작성용!T52</f>
        <v>45545</v>
      </c>
      <c r="E55" s="58" t="str">
        <f>작성용!B52</f>
        <v>신한벤처투자(구,네오플럭스)</v>
      </c>
      <c r="F55" s="58" t="str">
        <f>작성용!C52</f>
        <v>재평가</v>
      </c>
      <c r="G55" s="58" t="str">
        <f>작성용!D52</f>
        <v>아이엠에스원(구,비마이카)</v>
      </c>
      <c r="H55" s="59">
        <f>작성용!E52</f>
        <v>1101115120946</v>
      </c>
      <c r="I55" s="58" t="str">
        <f>작성용!F52</f>
        <v>A07</v>
      </c>
      <c r="J55" s="58">
        <f>작성용!G52</f>
        <v>2</v>
      </c>
      <c r="K55" s="58" t="str">
        <f>작성용!H52</f>
        <v>-</v>
      </c>
      <c r="L55" s="58" t="str">
        <f>작성용!N52</f>
        <v>분기</v>
      </c>
      <c r="M55" s="57" t="str">
        <f>작성용!U52</f>
        <v>2024.09.30</v>
      </c>
      <c r="N55" s="57">
        <f>작성용!V52</f>
        <v>45611</v>
      </c>
      <c r="O55" s="57">
        <f>작성용!W52</f>
        <v>45617</v>
      </c>
      <c r="P55" s="57" t="str">
        <f>작성용!X52</f>
        <v>-</v>
      </c>
      <c r="Q55" s="58" t="str">
        <f>작성용!AD52</f>
        <v>서경덕</v>
      </c>
      <c r="R55" s="60">
        <f>작성용!AE52</f>
        <v>0</v>
      </c>
      <c r="S55" s="58" t="str">
        <f>작성용!AF52</f>
        <v>서경덕</v>
      </c>
      <c r="T55" s="61" t="str">
        <f>작성용!AG52</f>
        <v>강승현</v>
      </c>
      <c r="U55" s="61" t="str">
        <f>작성용!AH52</f>
        <v>강승현</v>
      </c>
      <c r="V55" s="56">
        <f>작성용!AA52</f>
        <v>202411</v>
      </c>
      <c r="W55" s="58" t="str">
        <f>작성용!AC52</f>
        <v>[Y]금융기관</v>
      </c>
      <c r="X55" s="58" t="str">
        <f>작성용!O52</f>
        <v>안예진사원</v>
      </c>
      <c r="Y55" s="58" t="str">
        <f>작성용!P52</f>
        <v>02-560-9726</v>
      </c>
      <c r="Z55" s="58" t="str">
        <f>작성용!Q52</f>
        <v>yjan@shinhanvc.com</v>
      </c>
      <c r="AA55" s="56" t="str">
        <f>작성용!AJ52</f>
        <v>LP제출</v>
      </c>
      <c r="AB55" s="56">
        <f>작성용!AB52</f>
        <v>0</v>
      </c>
    </row>
    <row r="56" spans="1:28" s="12" customFormat="1" ht="16.5" hidden="1" customHeight="1" x14ac:dyDescent="0.3">
      <c r="A56" s="54">
        <f>작성용!AL53</f>
        <v>52</v>
      </c>
      <c r="B56" s="55" t="str">
        <f>작성용!AI53</f>
        <v>-</v>
      </c>
      <c r="C56" s="56" t="str">
        <f>작성용!AK53</f>
        <v>개별종목</v>
      </c>
      <c r="D56" s="57">
        <f>작성용!T53</f>
        <v>45545</v>
      </c>
      <c r="E56" s="58" t="str">
        <f>작성용!B53</f>
        <v>신한벤처투자(구,네오플럭스)</v>
      </c>
      <c r="F56" s="58" t="str">
        <f>작성용!C53</f>
        <v>재평가</v>
      </c>
      <c r="G56" s="58" t="str">
        <f>작성용!D53</f>
        <v>아이엠에스원(구,비마이카)</v>
      </c>
      <c r="H56" s="59">
        <f>작성용!E53</f>
        <v>1101115120946</v>
      </c>
      <c r="I56" s="58" t="str">
        <f>작성용!F53</f>
        <v>A07</v>
      </c>
      <c r="J56" s="58">
        <f>작성용!G53</f>
        <v>3</v>
      </c>
      <c r="K56" s="58" t="str">
        <f>작성용!H53</f>
        <v>-</v>
      </c>
      <c r="L56" s="58" t="str">
        <f>작성용!N53</f>
        <v>분기</v>
      </c>
      <c r="M56" s="57" t="str">
        <f>작성용!U53</f>
        <v>2024.09.30</v>
      </c>
      <c r="N56" s="57">
        <f>작성용!V53</f>
        <v>45611</v>
      </c>
      <c r="O56" s="57">
        <f>작성용!W53</f>
        <v>45617</v>
      </c>
      <c r="P56" s="57" t="str">
        <f>작성용!X53</f>
        <v>-</v>
      </c>
      <c r="Q56" s="58" t="str">
        <f>작성용!AD53</f>
        <v>서경덕</v>
      </c>
      <c r="R56" s="60">
        <f>작성용!AE53</f>
        <v>0</v>
      </c>
      <c r="S56" s="58" t="str">
        <f>작성용!AF53</f>
        <v>서경덕</v>
      </c>
      <c r="T56" s="61" t="str">
        <f>작성용!AG53</f>
        <v>강승현</v>
      </c>
      <c r="U56" s="61" t="str">
        <f>작성용!AH53</f>
        <v>강승현</v>
      </c>
      <c r="V56" s="56">
        <f>작성용!AA53</f>
        <v>202411</v>
      </c>
      <c r="W56" s="58" t="str">
        <f>작성용!AC53</f>
        <v>[Y]금융기관</v>
      </c>
      <c r="X56" s="58" t="str">
        <f>작성용!O53</f>
        <v>안예진사원</v>
      </c>
      <c r="Y56" s="58" t="str">
        <f>작성용!P53</f>
        <v>02-560-9726</v>
      </c>
      <c r="Z56" s="58" t="str">
        <f>작성용!Q53</f>
        <v>yjan@shinhanvc.com</v>
      </c>
      <c r="AA56" s="56" t="str">
        <f>작성용!AJ53</f>
        <v>LP제출</v>
      </c>
      <c r="AB56" s="56">
        <f>작성용!AB53</f>
        <v>0</v>
      </c>
    </row>
    <row r="57" spans="1:28" s="12" customFormat="1" ht="16.5" hidden="1" customHeight="1" x14ac:dyDescent="0.3">
      <c r="A57" s="54">
        <f>작성용!AL54</f>
        <v>53</v>
      </c>
      <c r="B57" s="55" t="str">
        <f>작성용!AI54</f>
        <v>-</v>
      </c>
      <c r="C57" s="56" t="str">
        <f>작성용!AK54</f>
        <v>개별종목</v>
      </c>
      <c r="D57" s="57">
        <f>작성용!T54</f>
        <v>45545</v>
      </c>
      <c r="E57" s="58" t="str">
        <f>작성용!B54</f>
        <v>신한벤처투자(구,네오플럭스)</v>
      </c>
      <c r="F57" s="58" t="str">
        <f>작성용!C54</f>
        <v>재평가</v>
      </c>
      <c r="G57" s="58" t="str">
        <f>작성용!D54</f>
        <v>엠엔테크</v>
      </c>
      <c r="H57" s="59">
        <f>작성용!E54</f>
        <v>1246110267276</v>
      </c>
      <c r="I57" s="58" t="str">
        <f>작성용!F54</f>
        <v>A01</v>
      </c>
      <c r="J57" s="58">
        <f>작성용!G54</f>
        <v>0</v>
      </c>
      <c r="K57" s="58" t="str">
        <f>작성용!H54</f>
        <v>-</v>
      </c>
      <c r="L57" s="58" t="str">
        <f>작성용!N54</f>
        <v>분기</v>
      </c>
      <c r="M57" s="57" t="str">
        <f>작성용!U54</f>
        <v>2024.09.30</v>
      </c>
      <c r="N57" s="57">
        <f>작성용!V54</f>
        <v>45611</v>
      </c>
      <c r="O57" s="57">
        <f>작성용!W54</f>
        <v>45617</v>
      </c>
      <c r="P57" s="57" t="str">
        <f>작성용!X54</f>
        <v>-</v>
      </c>
      <c r="Q57" s="58" t="str">
        <f>작성용!AD54</f>
        <v>강성은</v>
      </c>
      <c r="R57" s="60">
        <f>작성용!AE54</f>
        <v>1</v>
      </c>
      <c r="S57" s="58" t="str">
        <f>작성용!AF54</f>
        <v>강성은</v>
      </c>
      <c r="T57" s="61" t="str">
        <f>작성용!AG54</f>
        <v>강승현</v>
      </c>
      <c r="U57" s="61" t="str">
        <f>작성용!AH54</f>
        <v>강승현</v>
      </c>
      <c r="V57" s="56">
        <f>작성용!AA54</f>
        <v>202411</v>
      </c>
      <c r="W57" s="58" t="str">
        <f>작성용!AC54</f>
        <v>[Y]금융기관</v>
      </c>
      <c r="X57" s="58" t="str">
        <f>작성용!O54</f>
        <v>안예진사원</v>
      </c>
      <c r="Y57" s="58" t="str">
        <f>작성용!P54</f>
        <v>02-560-9726</v>
      </c>
      <c r="Z57" s="58" t="str">
        <f>작성용!Q54</f>
        <v>yjan@shinhanvc.com</v>
      </c>
      <c r="AA57" s="56" t="str">
        <f>작성용!AJ54</f>
        <v>LP제출</v>
      </c>
      <c r="AB57" s="56">
        <f>작성용!AB54</f>
        <v>0</v>
      </c>
    </row>
    <row r="58" spans="1:28" s="12" customFormat="1" ht="16.5" hidden="1" customHeight="1" x14ac:dyDescent="0.3">
      <c r="A58" s="54">
        <f>작성용!AL55</f>
        <v>54</v>
      </c>
      <c r="B58" s="55" t="str">
        <f>작성용!AI55</f>
        <v>-</v>
      </c>
      <c r="C58" s="56" t="str">
        <f>작성용!AK55</f>
        <v>개별종목</v>
      </c>
      <c r="D58" s="57">
        <f>작성용!T55</f>
        <v>45545</v>
      </c>
      <c r="E58" s="58" t="str">
        <f>작성용!B55</f>
        <v>신한벤처투자(구,네오플럭스)</v>
      </c>
      <c r="F58" s="58" t="str">
        <f>작성용!C55</f>
        <v>재평가</v>
      </c>
      <c r="G58" s="58" t="str">
        <f>작성용!D55</f>
        <v>원더모빌리티</v>
      </c>
      <c r="H58" s="59">
        <f>작성용!E55</f>
        <v>1101117391727</v>
      </c>
      <c r="I58" s="58" t="str">
        <f>작성용!F55</f>
        <v>A01</v>
      </c>
      <c r="J58" s="58">
        <f>작성용!G55</f>
        <v>0</v>
      </c>
      <c r="K58" s="58" t="str">
        <f>작성용!H55</f>
        <v>-</v>
      </c>
      <c r="L58" s="58" t="str">
        <f>작성용!N55</f>
        <v>분기</v>
      </c>
      <c r="M58" s="57" t="str">
        <f>작성용!U55</f>
        <v>2024.09.30</v>
      </c>
      <c r="N58" s="57">
        <f>작성용!V55</f>
        <v>45611</v>
      </c>
      <c r="O58" s="57">
        <f>작성용!W55</f>
        <v>45617</v>
      </c>
      <c r="P58" s="57" t="str">
        <f>작성용!X55</f>
        <v>-</v>
      </c>
      <c r="Q58" s="58" t="str">
        <f>작성용!AD55</f>
        <v>강승현</v>
      </c>
      <c r="R58" s="60">
        <f>작성용!AE55</f>
        <v>1</v>
      </c>
      <c r="S58" s="58" t="str">
        <f>작성용!AF55</f>
        <v>강승현</v>
      </c>
      <c r="T58" s="61" t="str">
        <f>작성용!AG55</f>
        <v>강승현</v>
      </c>
      <c r="U58" s="61" t="str">
        <f>작성용!AH55</f>
        <v>강승현</v>
      </c>
      <c r="V58" s="56">
        <f>작성용!AA55</f>
        <v>202411</v>
      </c>
      <c r="W58" s="58" t="str">
        <f>작성용!AC55</f>
        <v>[Y]금융기관</v>
      </c>
      <c r="X58" s="58" t="str">
        <f>작성용!O55</f>
        <v>안예진사원</v>
      </c>
      <c r="Y58" s="58" t="str">
        <f>작성용!P55</f>
        <v>02-560-9726</v>
      </c>
      <c r="Z58" s="58" t="str">
        <f>작성용!Q55</f>
        <v>yjan@shinhanvc.com</v>
      </c>
      <c r="AA58" s="56" t="str">
        <f>작성용!AJ55</f>
        <v>LP제출</v>
      </c>
      <c r="AB58" s="56">
        <f>작성용!AB55</f>
        <v>0</v>
      </c>
    </row>
    <row r="59" spans="1:28" s="12" customFormat="1" ht="16.5" hidden="1" customHeight="1" x14ac:dyDescent="0.3">
      <c r="A59" s="54">
        <f>작성용!AL56</f>
        <v>55</v>
      </c>
      <c r="B59" s="55" t="str">
        <f>작성용!AI56</f>
        <v>-</v>
      </c>
      <c r="C59" s="56" t="str">
        <f>작성용!AK56</f>
        <v>개별종목</v>
      </c>
      <c r="D59" s="57">
        <f>작성용!T56</f>
        <v>45545</v>
      </c>
      <c r="E59" s="58" t="str">
        <f>작성용!B56</f>
        <v>신한벤처투자(구,네오플럭스)</v>
      </c>
      <c r="F59" s="58" t="str">
        <f>작성용!C56</f>
        <v>재평가</v>
      </c>
      <c r="G59" s="58" t="str">
        <f>작성용!D56</f>
        <v>원더모빌리티</v>
      </c>
      <c r="H59" s="59">
        <f>작성용!E56</f>
        <v>1101117391727</v>
      </c>
      <c r="I59" s="58" t="str">
        <f>작성용!F56</f>
        <v>D02</v>
      </c>
      <c r="J59" s="58">
        <f>작성용!G56</f>
        <v>1</v>
      </c>
      <c r="K59" s="58" t="str">
        <f>작성용!H56</f>
        <v>-</v>
      </c>
      <c r="L59" s="58" t="str">
        <f>작성용!N56</f>
        <v>분기</v>
      </c>
      <c r="M59" s="57" t="str">
        <f>작성용!U56</f>
        <v>2024.09.30</v>
      </c>
      <c r="N59" s="57">
        <f>작성용!V56</f>
        <v>45611</v>
      </c>
      <c r="O59" s="57">
        <f>작성용!W56</f>
        <v>45617</v>
      </c>
      <c r="P59" s="57" t="str">
        <f>작성용!X56</f>
        <v>-</v>
      </c>
      <c r="Q59" s="58" t="str">
        <f>작성용!AD56</f>
        <v>강승현</v>
      </c>
      <c r="R59" s="60">
        <f>작성용!AE56</f>
        <v>0</v>
      </c>
      <c r="S59" s="58" t="str">
        <f>작성용!AF56</f>
        <v>강승현</v>
      </c>
      <c r="T59" s="61" t="str">
        <f>작성용!AG56</f>
        <v>강승현</v>
      </c>
      <c r="U59" s="61" t="str">
        <f>작성용!AH56</f>
        <v>강승현</v>
      </c>
      <c r="V59" s="56">
        <f>작성용!AA56</f>
        <v>202411</v>
      </c>
      <c r="W59" s="58" t="str">
        <f>작성용!AC56</f>
        <v>[Y]금융기관</v>
      </c>
      <c r="X59" s="58" t="str">
        <f>작성용!O56</f>
        <v>안예진사원</v>
      </c>
      <c r="Y59" s="58" t="str">
        <f>작성용!P56</f>
        <v>02-560-9726</v>
      </c>
      <c r="Z59" s="58" t="str">
        <f>작성용!Q56</f>
        <v>yjan@shinhanvc.com</v>
      </c>
      <c r="AA59" s="56" t="str">
        <f>작성용!AJ56</f>
        <v>LP제출</v>
      </c>
      <c r="AB59" s="56">
        <f>작성용!AB56</f>
        <v>0</v>
      </c>
    </row>
    <row r="60" spans="1:28" s="12" customFormat="1" ht="16.5" hidden="1" customHeight="1" x14ac:dyDescent="0.3">
      <c r="A60" s="54">
        <f>작성용!AL57</f>
        <v>56</v>
      </c>
      <c r="B60" s="55" t="str">
        <f>작성용!AI57</f>
        <v>-</v>
      </c>
      <c r="C60" s="56" t="str">
        <f>작성용!AK57</f>
        <v>개별종목</v>
      </c>
      <c r="D60" s="57">
        <f>작성용!T57</f>
        <v>45545</v>
      </c>
      <c r="E60" s="58" t="str">
        <f>작성용!B57</f>
        <v>신한벤처투자(구,네오플럭스)</v>
      </c>
      <c r="F60" s="58" t="str">
        <f>작성용!C57</f>
        <v>재평가</v>
      </c>
      <c r="G60" s="58" t="str">
        <f>작성용!D57</f>
        <v>원더모빌리티</v>
      </c>
      <c r="H60" s="59">
        <f>작성용!E57</f>
        <v>1101117391727</v>
      </c>
      <c r="I60" s="58" t="str">
        <f>작성용!F57</f>
        <v>A07</v>
      </c>
      <c r="J60" s="58">
        <f>작성용!G57</f>
        <v>0</v>
      </c>
      <c r="K60" s="58" t="str">
        <f>작성용!H57</f>
        <v>-</v>
      </c>
      <c r="L60" s="58" t="str">
        <f>작성용!N57</f>
        <v>분기</v>
      </c>
      <c r="M60" s="57" t="str">
        <f>작성용!U57</f>
        <v>2024.09.30</v>
      </c>
      <c r="N60" s="57">
        <f>작성용!V57</f>
        <v>45611</v>
      </c>
      <c r="O60" s="57">
        <f>작성용!W57</f>
        <v>45617</v>
      </c>
      <c r="P60" s="57" t="str">
        <f>작성용!X57</f>
        <v>-</v>
      </c>
      <c r="Q60" s="58" t="str">
        <f>작성용!AD57</f>
        <v>강승현</v>
      </c>
      <c r="R60" s="60">
        <f>작성용!AE57</f>
        <v>0</v>
      </c>
      <c r="S60" s="58" t="str">
        <f>작성용!AF57</f>
        <v>강승현</v>
      </c>
      <c r="T60" s="61" t="str">
        <f>작성용!AG57</f>
        <v>강승현</v>
      </c>
      <c r="U60" s="61" t="str">
        <f>작성용!AH57</f>
        <v>강승현</v>
      </c>
      <c r="V60" s="56">
        <f>작성용!AA57</f>
        <v>202411</v>
      </c>
      <c r="W60" s="58" t="str">
        <f>작성용!AC57</f>
        <v>[Y]금융기관</v>
      </c>
      <c r="X60" s="58" t="str">
        <f>작성용!O57</f>
        <v>안예진사원</v>
      </c>
      <c r="Y60" s="58" t="str">
        <f>작성용!P57</f>
        <v>02-560-9726</v>
      </c>
      <c r="Z60" s="58" t="str">
        <f>작성용!Q57</f>
        <v>yjan@shinhanvc.com</v>
      </c>
      <c r="AA60" s="56" t="str">
        <f>작성용!AJ57</f>
        <v>LP제출</v>
      </c>
      <c r="AB60" s="56">
        <f>작성용!AB57</f>
        <v>0</v>
      </c>
    </row>
    <row r="61" spans="1:28" s="12" customFormat="1" ht="16.5" hidden="1" customHeight="1" x14ac:dyDescent="0.3">
      <c r="A61" s="54">
        <f>작성용!AL58</f>
        <v>57</v>
      </c>
      <c r="B61" s="55" t="str">
        <f>작성용!AI58</f>
        <v>-</v>
      </c>
      <c r="C61" s="56" t="str">
        <f>작성용!AK58</f>
        <v>개별종목</v>
      </c>
      <c r="D61" s="57">
        <f>작성용!T58</f>
        <v>45545</v>
      </c>
      <c r="E61" s="58" t="str">
        <f>작성용!B58</f>
        <v>신한벤처투자(구,네오플럭스)</v>
      </c>
      <c r="F61" s="58" t="str">
        <f>작성용!C58</f>
        <v>재평가</v>
      </c>
      <c r="G61" s="58" t="str">
        <f>작성용!D58</f>
        <v>먼슬리키친</v>
      </c>
      <c r="H61" s="59">
        <f>작성용!E58</f>
        <v>1311110511715</v>
      </c>
      <c r="I61" s="58" t="str">
        <f>작성용!F58</f>
        <v>A01</v>
      </c>
      <c r="J61" s="58">
        <f>작성용!G58</f>
        <v>0</v>
      </c>
      <c r="K61" s="58" t="str">
        <f>작성용!H58</f>
        <v>-</v>
      </c>
      <c r="L61" s="58" t="str">
        <f>작성용!N58</f>
        <v>분기</v>
      </c>
      <c r="M61" s="57" t="str">
        <f>작성용!U58</f>
        <v>2024.09.30</v>
      </c>
      <c r="N61" s="57">
        <f>작성용!V58</f>
        <v>45611</v>
      </c>
      <c r="O61" s="57">
        <f>작성용!W58</f>
        <v>45617</v>
      </c>
      <c r="P61" s="57" t="str">
        <f>작성용!X58</f>
        <v>-</v>
      </c>
      <c r="Q61" s="58" t="str">
        <f>작성용!AD58</f>
        <v>윤광일</v>
      </c>
      <c r="R61" s="60">
        <f>작성용!AE58</f>
        <v>1</v>
      </c>
      <c r="S61" s="58" t="str">
        <f>작성용!AF58</f>
        <v>윤광일</v>
      </c>
      <c r="T61" s="61" t="str">
        <f>작성용!AG58</f>
        <v>강승현</v>
      </c>
      <c r="U61" s="61" t="str">
        <f>작성용!AH58</f>
        <v>강승현</v>
      </c>
      <c r="V61" s="56">
        <f>작성용!AA58</f>
        <v>202411</v>
      </c>
      <c r="W61" s="58" t="str">
        <f>작성용!AC58</f>
        <v>[Y]금융기관</v>
      </c>
      <c r="X61" s="58" t="str">
        <f>작성용!O58</f>
        <v>안예진사원</v>
      </c>
      <c r="Y61" s="58" t="str">
        <f>작성용!P58</f>
        <v>02-560-9726</v>
      </c>
      <c r="Z61" s="58" t="str">
        <f>작성용!Q58</f>
        <v>yjan@shinhanvc.com</v>
      </c>
      <c r="AA61" s="56" t="str">
        <f>작성용!AJ58</f>
        <v>LP제출</v>
      </c>
      <c r="AB61" s="56">
        <f>작성용!AB58</f>
        <v>0</v>
      </c>
    </row>
    <row r="62" spans="1:28" s="12" customFormat="1" ht="16.5" hidden="1" customHeight="1" x14ac:dyDescent="0.3">
      <c r="A62" s="54">
        <f>작성용!AL59</f>
        <v>58</v>
      </c>
      <c r="B62" s="55" t="str">
        <f>작성용!AI59</f>
        <v>-</v>
      </c>
      <c r="C62" s="56" t="str">
        <f>작성용!AK59</f>
        <v>개별종목</v>
      </c>
      <c r="D62" s="57">
        <f>작성용!T59</f>
        <v>45548</v>
      </c>
      <c r="E62" s="58" t="str">
        <f>작성용!B59</f>
        <v>유씨케이파트너스(구,유니슨캐피탈사모투자전문회사)</v>
      </c>
      <c r="F62" s="58" t="str">
        <f>작성용!C59</f>
        <v>재평가</v>
      </c>
      <c r="G62" s="58" t="str">
        <f>작성용!D59</f>
        <v>피투피시스템즈</v>
      </c>
      <c r="H62" s="59">
        <f>작성용!E59</f>
        <v>1101112304171</v>
      </c>
      <c r="I62" s="58" t="str">
        <f>작성용!F59</f>
        <v>A01</v>
      </c>
      <c r="J62" s="58">
        <f>작성용!G59</f>
        <v>1</v>
      </c>
      <c r="K62" s="58" t="str">
        <f>작성용!H59</f>
        <v>-</v>
      </c>
      <c r="L62" s="58" t="str">
        <f>작성용!N59</f>
        <v>분기</v>
      </c>
      <c r="M62" s="57" t="str">
        <f>작성용!U59</f>
        <v>2024.09.30</v>
      </c>
      <c r="N62" s="57">
        <f>작성용!V59</f>
        <v>45604</v>
      </c>
      <c r="O62" s="57">
        <f>작성용!W59</f>
        <v>45610</v>
      </c>
      <c r="P62" s="57" t="str">
        <f>작성용!X59</f>
        <v>-</v>
      </c>
      <c r="Q62" s="58" t="str">
        <f>작성용!AD59</f>
        <v>조현우</v>
      </c>
      <c r="R62" s="60">
        <f>작성용!AE59</f>
        <v>1</v>
      </c>
      <c r="S62" s="58" t="str">
        <f>작성용!AF59</f>
        <v>조현우</v>
      </c>
      <c r="T62" s="61" t="str">
        <f>작성용!AG59</f>
        <v>김예림</v>
      </c>
      <c r="U62" s="61" t="str">
        <f>작성용!AH59</f>
        <v>김예림</v>
      </c>
      <c r="V62" s="56">
        <f>작성용!AA59</f>
        <v>202411</v>
      </c>
      <c r="W62" s="58" t="str">
        <f>작성용!AC59</f>
        <v>[Y]금융기관</v>
      </c>
      <c r="X62" s="58" t="str">
        <f>작성용!O59</f>
        <v>구하영차장</v>
      </c>
      <c r="Y62" s="58" t="str">
        <f>작성용!P59</f>
        <v>02-3011-7002</v>
      </c>
      <c r="Z62" s="58" t="str">
        <f>작성용!Q59</f>
        <v>hyk@uckpartners.com</v>
      </c>
      <c r="AA62" s="56" t="str">
        <f>작성용!AJ59</f>
        <v>국민연금제출</v>
      </c>
      <c r="AB62" s="56">
        <f>작성용!AB59</f>
        <v>0</v>
      </c>
    </row>
    <row r="63" spans="1:28" s="12" customFormat="1" ht="16.5" hidden="1" customHeight="1" x14ac:dyDescent="0.3">
      <c r="A63" s="54">
        <f>작성용!AL60</f>
        <v>59</v>
      </c>
      <c r="B63" s="55" t="str">
        <f>작성용!AI60</f>
        <v>-</v>
      </c>
      <c r="C63" s="56" t="str">
        <f>작성용!AK60</f>
        <v>개별종목</v>
      </c>
      <c r="D63" s="57">
        <f>작성용!T60</f>
        <v>45548</v>
      </c>
      <c r="E63" s="58" t="str">
        <f>작성용!B60</f>
        <v>유씨케이파트너스(구,유니슨캐피탈사모투자전문회사)</v>
      </c>
      <c r="F63" s="58" t="str">
        <f>작성용!C60</f>
        <v>재평가</v>
      </c>
      <c r="G63" s="58" t="str">
        <f>작성용!D60</f>
        <v>피투피시스템즈</v>
      </c>
      <c r="H63" s="59">
        <f>작성용!E60</f>
        <v>1101112304171</v>
      </c>
      <c r="I63" s="58" t="str">
        <f>작성용!F60</f>
        <v>A07</v>
      </c>
      <c r="J63" s="58">
        <f>작성용!G60</f>
        <v>4</v>
      </c>
      <c r="K63" s="58" t="str">
        <f>작성용!H60</f>
        <v>-</v>
      </c>
      <c r="L63" s="58" t="str">
        <f>작성용!N60</f>
        <v>분기</v>
      </c>
      <c r="M63" s="57" t="str">
        <f>작성용!U60</f>
        <v>2024.09.30</v>
      </c>
      <c r="N63" s="57">
        <f>작성용!V60</f>
        <v>45604</v>
      </c>
      <c r="O63" s="57">
        <f>작성용!W60</f>
        <v>45610</v>
      </c>
      <c r="P63" s="57" t="str">
        <f>작성용!X60</f>
        <v>-</v>
      </c>
      <c r="Q63" s="58" t="str">
        <f>작성용!AD60</f>
        <v>조현우</v>
      </c>
      <c r="R63" s="60">
        <f>작성용!AE60</f>
        <v>0</v>
      </c>
      <c r="S63" s="58" t="str">
        <f>작성용!AF60</f>
        <v>조현우</v>
      </c>
      <c r="T63" s="61" t="str">
        <f>작성용!AG60</f>
        <v>김예림</v>
      </c>
      <c r="U63" s="61" t="str">
        <f>작성용!AH60</f>
        <v>김예림</v>
      </c>
      <c r="V63" s="56">
        <f>작성용!AA60</f>
        <v>202411</v>
      </c>
      <c r="W63" s="58" t="str">
        <f>작성용!AC60</f>
        <v>[Y]금융기관</v>
      </c>
      <c r="X63" s="58" t="str">
        <f>작성용!O60</f>
        <v>구하영차장</v>
      </c>
      <c r="Y63" s="58" t="str">
        <f>작성용!P60</f>
        <v>02-3011-7002</v>
      </c>
      <c r="Z63" s="58" t="str">
        <f>작성용!Q60</f>
        <v>hyk@uckpartners.com</v>
      </c>
      <c r="AA63" s="56" t="str">
        <f>작성용!AJ60</f>
        <v>국민연금제출</v>
      </c>
      <c r="AB63" s="56">
        <f>작성용!AB60</f>
        <v>0</v>
      </c>
    </row>
    <row r="64" spans="1:28" s="12" customFormat="1" ht="16.5" hidden="1" customHeight="1" x14ac:dyDescent="0.3">
      <c r="A64" s="54">
        <f>작성용!AL61</f>
        <v>60</v>
      </c>
      <c r="B64" s="55" t="str">
        <f>작성용!AI61</f>
        <v>-</v>
      </c>
      <c r="C64" s="56" t="str">
        <f>작성용!AK61</f>
        <v>개별종목</v>
      </c>
      <c r="D64" s="57">
        <f>작성용!T61</f>
        <v>45548</v>
      </c>
      <c r="E64" s="58" t="str">
        <f>작성용!B61</f>
        <v>유씨케이파트너스(구,유니슨캐피탈사모투자전문회사)</v>
      </c>
      <c r="F64" s="58" t="str">
        <f>작성용!C61</f>
        <v>재평가</v>
      </c>
      <c r="G64" s="58" t="str">
        <f>작성용!D61</f>
        <v>피투피시스템즈</v>
      </c>
      <c r="H64" s="59">
        <f>작성용!E61</f>
        <v>1101112304171</v>
      </c>
      <c r="I64" s="58" t="str">
        <f>작성용!F61</f>
        <v>A07</v>
      </c>
      <c r="J64" s="58">
        <f>작성용!G61</f>
        <v>5</v>
      </c>
      <c r="K64" s="58" t="str">
        <f>작성용!H61</f>
        <v>-</v>
      </c>
      <c r="L64" s="58" t="str">
        <f>작성용!N61</f>
        <v>분기</v>
      </c>
      <c r="M64" s="57" t="str">
        <f>작성용!U61</f>
        <v>2024.09.30</v>
      </c>
      <c r="N64" s="57">
        <f>작성용!V61</f>
        <v>45604</v>
      </c>
      <c r="O64" s="57">
        <f>작성용!W61</f>
        <v>45610</v>
      </c>
      <c r="P64" s="57" t="str">
        <f>작성용!X61</f>
        <v>-</v>
      </c>
      <c r="Q64" s="58" t="str">
        <f>작성용!AD61</f>
        <v>조현우</v>
      </c>
      <c r="R64" s="60">
        <f>작성용!AE61</f>
        <v>0</v>
      </c>
      <c r="S64" s="58" t="str">
        <f>작성용!AF61</f>
        <v>조현우</v>
      </c>
      <c r="T64" s="61" t="str">
        <f>작성용!AG61</f>
        <v>김예림</v>
      </c>
      <c r="U64" s="61" t="str">
        <f>작성용!AH61</f>
        <v>김예림</v>
      </c>
      <c r="V64" s="56">
        <f>작성용!AA61</f>
        <v>202411</v>
      </c>
      <c r="W64" s="58" t="str">
        <f>작성용!AC61</f>
        <v>[Y]금융기관</v>
      </c>
      <c r="X64" s="58" t="str">
        <f>작성용!O61</f>
        <v>구하영차장</v>
      </c>
      <c r="Y64" s="58" t="str">
        <f>작성용!P61</f>
        <v>02-3011-7002</v>
      </c>
      <c r="Z64" s="58" t="str">
        <f>작성용!Q61</f>
        <v>hyk@uckpartners.com</v>
      </c>
      <c r="AA64" s="56" t="str">
        <f>작성용!AJ61</f>
        <v>국민연금제출</v>
      </c>
      <c r="AB64" s="56">
        <f>작성용!AB61</f>
        <v>0</v>
      </c>
    </row>
    <row r="65" spans="1:28" s="12" customFormat="1" ht="16.5" hidden="1" customHeight="1" x14ac:dyDescent="0.3">
      <c r="A65" s="54">
        <f>작성용!AL62</f>
        <v>61</v>
      </c>
      <c r="B65" s="55" t="str">
        <f>작성용!AI62</f>
        <v>-</v>
      </c>
      <c r="C65" s="56" t="str">
        <f>작성용!AK62</f>
        <v>개별종목</v>
      </c>
      <c r="D65" s="57">
        <f>작성용!T62</f>
        <v>45548</v>
      </c>
      <c r="E65" s="58" t="str">
        <f>작성용!B62</f>
        <v>유씨케이파트너스(구,유니슨캐피탈사모투자전문회사)</v>
      </c>
      <c r="F65" s="58" t="str">
        <f>작성용!C62</f>
        <v>재평가</v>
      </c>
      <c r="G65" s="58" t="str">
        <f>작성용!D62</f>
        <v>피투피시스템즈</v>
      </c>
      <c r="H65" s="59">
        <f>작성용!E62</f>
        <v>1101112304171</v>
      </c>
      <c r="I65" s="58" t="str">
        <f>작성용!F62</f>
        <v>A07</v>
      </c>
      <c r="J65" s="58">
        <f>작성용!G62</f>
        <v>6</v>
      </c>
      <c r="K65" s="58" t="str">
        <f>작성용!H62</f>
        <v>-</v>
      </c>
      <c r="L65" s="58" t="str">
        <f>작성용!N62</f>
        <v>분기</v>
      </c>
      <c r="M65" s="57" t="str">
        <f>작성용!U62</f>
        <v>2024.09.30</v>
      </c>
      <c r="N65" s="57">
        <f>작성용!V62</f>
        <v>45604</v>
      </c>
      <c r="O65" s="57">
        <f>작성용!W62</f>
        <v>45610</v>
      </c>
      <c r="P65" s="57" t="str">
        <f>작성용!X62</f>
        <v>-</v>
      </c>
      <c r="Q65" s="58" t="str">
        <f>작성용!AD62</f>
        <v>조현우</v>
      </c>
      <c r="R65" s="60">
        <f>작성용!AE62</f>
        <v>0</v>
      </c>
      <c r="S65" s="58" t="str">
        <f>작성용!AF62</f>
        <v>조현우</v>
      </c>
      <c r="T65" s="61" t="str">
        <f>작성용!AG62</f>
        <v>김예림</v>
      </c>
      <c r="U65" s="61" t="str">
        <f>작성용!AH62</f>
        <v>김예림</v>
      </c>
      <c r="V65" s="56">
        <f>작성용!AA62</f>
        <v>202411</v>
      </c>
      <c r="W65" s="58" t="str">
        <f>작성용!AC62</f>
        <v>[Y]금융기관</v>
      </c>
      <c r="X65" s="58" t="str">
        <f>작성용!O62</f>
        <v>구하영차장</v>
      </c>
      <c r="Y65" s="58" t="str">
        <f>작성용!P62</f>
        <v>02-3011-7002</v>
      </c>
      <c r="Z65" s="58" t="str">
        <f>작성용!Q62</f>
        <v>hyk@uckpartners.com</v>
      </c>
      <c r="AA65" s="56" t="str">
        <f>작성용!AJ62</f>
        <v>국민연금제출</v>
      </c>
      <c r="AB65" s="56">
        <f>작성용!AB62</f>
        <v>0</v>
      </c>
    </row>
    <row r="66" spans="1:28" s="12" customFormat="1" ht="16.5" hidden="1" customHeight="1" x14ac:dyDescent="0.3">
      <c r="A66" s="54">
        <f>작성용!AL63</f>
        <v>62</v>
      </c>
      <c r="B66" s="55" t="str">
        <f>작성용!AI63</f>
        <v>-</v>
      </c>
      <c r="C66" s="56" t="str">
        <f>작성용!AK63</f>
        <v>개별종목</v>
      </c>
      <c r="D66" s="57">
        <f>작성용!T63</f>
        <v>45548</v>
      </c>
      <c r="E66" s="58" t="str">
        <f>작성용!B63</f>
        <v>유씨케이파트너스(구,유니슨캐피탈사모투자전문회사)</v>
      </c>
      <c r="F66" s="58" t="str">
        <f>작성용!C63</f>
        <v>재평가</v>
      </c>
      <c r="G66" s="58" t="str">
        <f>작성용!D63</f>
        <v>피투피시스템즈</v>
      </c>
      <c r="H66" s="59">
        <f>작성용!E63</f>
        <v>1101112304171</v>
      </c>
      <c r="I66" s="58" t="str">
        <f>작성용!F63</f>
        <v>D03</v>
      </c>
      <c r="J66" s="58">
        <f>작성용!G63</f>
        <v>0</v>
      </c>
      <c r="K66" s="58" t="str">
        <f>작성용!H63</f>
        <v>-</v>
      </c>
      <c r="L66" s="58" t="str">
        <f>작성용!N63</f>
        <v>분기</v>
      </c>
      <c r="M66" s="57" t="str">
        <f>작성용!U63</f>
        <v>2024.09.30</v>
      </c>
      <c r="N66" s="57">
        <f>작성용!V63</f>
        <v>45604</v>
      </c>
      <c r="O66" s="57">
        <f>작성용!W63</f>
        <v>45610</v>
      </c>
      <c r="P66" s="57" t="str">
        <f>작성용!X63</f>
        <v>-</v>
      </c>
      <c r="Q66" s="58" t="str">
        <f>작성용!AD63</f>
        <v>조현우</v>
      </c>
      <c r="R66" s="60">
        <f>작성용!AE63</f>
        <v>0</v>
      </c>
      <c r="S66" s="58" t="str">
        <f>작성용!AF63</f>
        <v>조현우</v>
      </c>
      <c r="T66" s="61" t="str">
        <f>작성용!AG63</f>
        <v>김예림</v>
      </c>
      <c r="U66" s="61" t="str">
        <f>작성용!AH63</f>
        <v>김예림</v>
      </c>
      <c r="V66" s="56">
        <f>작성용!AA63</f>
        <v>202411</v>
      </c>
      <c r="W66" s="58" t="str">
        <f>작성용!AC63</f>
        <v>[Y]금융기관</v>
      </c>
      <c r="X66" s="58" t="str">
        <f>작성용!O63</f>
        <v>구하영차장</v>
      </c>
      <c r="Y66" s="58" t="str">
        <f>작성용!P63</f>
        <v>02-3011-7002</v>
      </c>
      <c r="Z66" s="58" t="str">
        <f>작성용!Q63</f>
        <v>hyk@uckpartners.com</v>
      </c>
      <c r="AA66" s="56" t="str">
        <f>작성용!AJ63</f>
        <v>국민연금제출</v>
      </c>
      <c r="AB66" s="56">
        <f>작성용!AB63</f>
        <v>0</v>
      </c>
    </row>
    <row r="67" spans="1:28" s="12" customFormat="1" ht="16.5" hidden="1" customHeight="1" x14ac:dyDescent="0.3">
      <c r="A67" s="54">
        <f>작성용!AL64</f>
        <v>63</v>
      </c>
      <c r="B67" s="55" t="str">
        <f>작성용!AI64</f>
        <v>-</v>
      </c>
      <c r="C67" s="56" t="str">
        <f>작성용!AK64</f>
        <v>개별종목</v>
      </c>
      <c r="D67" s="57">
        <f>작성용!T64</f>
        <v>45548</v>
      </c>
      <c r="E67" s="58" t="str">
        <f>작성용!B64</f>
        <v>유씨케이파트너스(구,유니슨캐피탈사모투자전문회사)</v>
      </c>
      <c r="F67" s="58" t="str">
        <f>작성용!C64</f>
        <v>재평가</v>
      </c>
      <c r="G67" s="58" t="str">
        <f>작성용!D64</f>
        <v>에프앤디넷</v>
      </c>
      <c r="H67" s="59">
        <f>작성용!E64</f>
        <v>1101113060277</v>
      </c>
      <c r="I67" s="58" t="str">
        <f>작성용!F64</f>
        <v>A01</v>
      </c>
      <c r="J67" s="58">
        <f>작성용!G64</f>
        <v>99</v>
      </c>
      <c r="K67" s="58" t="str">
        <f>작성용!H64</f>
        <v>-</v>
      </c>
      <c r="L67" s="58" t="str">
        <f>작성용!N64</f>
        <v>분기</v>
      </c>
      <c r="M67" s="57" t="str">
        <f>작성용!U64</f>
        <v>2024.09.30</v>
      </c>
      <c r="N67" s="57">
        <f>작성용!V64</f>
        <v>45604</v>
      </c>
      <c r="O67" s="57">
        <f>작성용!W64</f>
        <v>45610</v>
      </c>
      <c r="P67" s="57" t="str">
        <f>작성용!X64</f>
        <v>-</v>
      </c>
      <c r="Q67" s="58" t="str">
        <f>작성용!AD64</f>
        <v>김예림</v>
      </c>
      <c r="R67" s="60">
        <f>작성용!AE64</f>
        <v>1</v>
      </c>
      <c r="S67" s="58" t="str">
        <f>작성용!AF64</f>
        <v>김예림</v>
      </c>
      <c r="T67" s="61" t="str">
        <f>작성용!AG64</f>
        <v>김예림</v>
      </c>
      <c r="U67" s="61" t="str">
        <f>작성용!AH64</f>
        <v>김예림</v>
      </c>
      <c r="V67" s="56">
        <f>작성용!AA64</f>
        <v>202411</v>
      </c>
      <c r="W67" s="58" t="str">
        <f>작성용!AC64</f>
        <v>[Y]금융기관</v>
      </c>
      <c r="X67" s="58" t="str">
        <f>작성용!O64</f>
        <v>구하영차장</v>
      </c>
      <c r="Y67" s="58" t="str">
        <f>작성용!P64</f>
        <v>02-3011-7002</v>
      </c>
      <c r="Z67" s="58" t="str">
        <f>작성용!Q64</f>
        <v>hyk@uckpartners.com</v>
      </c>
      <c r="AA67" s="56" t="str">
        <f>작성용!AJ64</f>
        <v>국민연금제출</v>
      </c>
      <c r="AB67" s="56">
        <f>작성용!AB64</f>
        <v>0</v>
      </c>
    </row>
    <row r="68" spans="1:28" s="12" customFormat="1" ht="16.5" hidden="1" customHeight="1" x14ac:dyDescent="0.3">
      <c r="A68" s="54">
        <f>작성용!AL65</f>
        <v>64</v>
      </c>
      <c r="B68" s="55" t="str">
        <f>작성용!AI65</f>
        <v>-</v>
      </c>
      <c r="C68" s="56" t="str">
        <f>작성용!AK65</f>
        <v>개별종목</v>
      </c>
      <c r="D68" s="57">
        <f>작성용!T65</f>
        <v>45548</v>
      </c>
      <c r="E68" s="58" t="str">
        <f>작성용!B65</f>
        <v>유씨케이파트너스(구,유니슨캐피탈사모투자전문회사)</v>
      </c>
      <c r="F68" s="58" t="str">
        <f>작성용!C65</f>
        <v>재평가</v>
      </c>
      <c r="G68" s="58" t="str">
        <f>작성용!D65</f>
        <v>에프엔에스리테일</v>
      </c>
      <c r="H68" s="59">
        <f>작성용!E65</f>
        <v>1101115439579</v>
      </c>
      <c r="I68" s="58" t="str">
        <f>작성용!F65</f>
        <v>A04</v>
      </c>
      <c r="J68" s="58">
        <f>작성용!G65</f>
        <v>0</v>
      </c>
      <c r="K68" s="58" t="str">
        <f>작성용!H65</f>
        <v>-</v>
      </c>
      <c r="L68" s="58" t="str">
        <f>작성용!N65</f>
        <v>분기</v>
      </c>
      <c r="M68" s="57" t="str">
        <f>작성용!U65</f>
        <v>2024.09.30</v>
      </c>
      <c r="N68" s="57">
        <f>작성용!V65</f>
        <v>45604</v>
      </c>
      <c r="O68" s="57">
        <f>작성용!W65</f>
        <v>45610</v>
      </c>
      <c r="P68" s="57" t="str">
        <f>작성용!X65</f>
        <v>-</v>
      </c>
      <c r="Q68" s="58" t="str">
        <f>작성용!AD65</f>
        <v>신원준</v>
      </c>
      <c r="R68" s="60">
        <f>작성용!AE65</f>
        <v>1</v>
      </c>
      <c r="S68" s="58" t="str">
        <f>작성용!AF65</f>
        <v>신원준</v>
      </c>
      <c r="T68" s="61" t="str">
        <f>작성용!AG65</f>
        <v>김예림</v>
      </c>
      <c r="U68" s="61" t="str">
        <f>작성용!AH65</f>
        <v>김예림</v>
      </c>
      <c r="V68" s="56">
        <f>작성용!AA65</f>
        <v>202411</v>
      </c>
      <c r="W68" s="58" t="str">
        <f>작성용!AC65</f>
        <v>[Y]금융기관</v>
      </c>
      <c r="X68" s="58" t="str">
        <f>작성용!O65</f>
        <v>구하영차장</v>
      </c>
      <c r="Y68" s="58" t="str">
        <f>작성용!P65</f>
        <v>02-3011-7002</v>
      </c>
      <c r="Z68" s="58" t="str">
        <f>작성용!Q65</f>
        <v>hyk@uckpartners.com</v>
      </c>
      <c r="AA68" s="56" t="str">
        <f>작성용!AJ65</f>
        <v>국민연금제출</v>
      </c>
      <c r="AB68" s="56">
        <f>작성용!AB65</f>
        <v>0</v>
      </c>
    </row>
    <row r="69" spans="1:28" s="12" customFormat="1" ht="16.5" hidden="1" customHeight="1" x14ac:dyDescent="0.3">
      <c r="A69" s="54">
        <f>작성용!AL66</f>
        <v>65</v>
      </c>
      <c r="B69" s="55" t="str">
        <f>작성용!AI66</f>
        <v>-</v>
      </c>
      <c r="C69" s="56" t="str">
        <f>작성용!AK66</f>
        <v>개별종목</v>
      </c>
      <c r="D69" s="57">
        <f>작성용!T66</f>
        <v>45548</v>
      </c>
      <c r="E69" s="58" t="str">
        <f>작성용!B66</f>
        <v>유씨케이파트너스(구,유니슨캐피탈사모투자전문회사)</v>
      </c>
      <c r="F69" s="58" t="str">
        <f>작성용!C66</f>
        <v>재평가</v>
      </c>
      <c r="G69" s="58" t="str">
        <f>작성용!D66</f>
        <v>에프엔에스리테일</v>
      </c>
      <c r="H69" s="59">
        <f>작성용!E66</f>
        <v>1101115439579</v>
      </c>
      <c r="I69" s="58" t="str">
        <f>작성용!F66</f>
        <v>D02</v>
      </c>
      <c r="J69" s="58">
        <f>작성용!G66</f>
        <v>0</v>
      </c>
      <c r="K69" s="58" t="str">
        <f>작성용!H66</f>
        <v>-</v>
      </c>
      <c r="L69" s="58" t="str">
        <f>작성용!N66</f>
        <v>분기</v>
      </c>
      <c r="M69" s="57" t="str">
        <f>작성용!U66</f>
        <v>2024.09.30</v>
      </c>
      <c r="N69" s="57">
        <f>작성용!V66</f>
        <v>45604</v>
      </c>
      <c r="O69" s="57">
        <f>작성용!W66</f>
        <v>45610</v>
      </c>
      <c r="P69" s="57" t="str">
        <f>작성용!X66</f>
        <v>-</v>
      </c>
      <c r="Q69" s="58" t="str">
        <f>작성용!AD66</f>
        <v>신원준</v>
      </c>
      <c r="R69" s="60">
        <f>작성용!AE66</f>
        <v>0</v>
      </c>
      <c r="S69" s="58" t="str">
        <f>작성용!AF66</f>
        <v>신원준</v>
      </c>
      <c r="T69" s="61" t="str">
        <f>작성용!AG66</f>
        <v>김예림</v>
      </c>
      <c r="U69" s="61" t="str">
        <f>작성용!AH66</f>
        <v>김예림</v>
      </c>
      <c r="V69" s="56">
        <f>작성용!AA66</f>
        <v>202411</v>
      </c>
      <c r="W69" s="58" t="str">
        <f>작성용!AC66</f>
        <v>[Y]금융기관</v>
      </c>
      <c r="X69" s="58" t="str">
        <f>작성용!O66</f>
        <v>구하영차장</v>
      </c>
      <c r="Y69" s="58" t="str">
        <f>작성용!P66</f>
        <v>02-3011-7002</v>
      </c>
      <c r="Z69" s="58" t="str">
        <f>작성용!Q66</f>
        <v>hyk@uckpartners.com</v>
      </c>
      <c r="AA69" s="56" t="str">
        <f>작성용!AJ66</f>
        <v>국민연금제출</v>
      </c>
      <c r="AB69" s="56">
        <f>작성용!AB66</f>
        <v>0</v>
      </c>
    </row>
    <row r="70" spans="1:28" s="12" customFormat="1" ht="16.5" hidden="1" customHeight="1" x14ac:dyDescent="0.3">
      <c r="A70" s="54">
        <f>작성용!AL67</f>
        <v>66</v>
      </c>
      <c r="B70" s="55" t="str">
        <f>작성용!AI67</f>
        <v>-</v>
      </c>
      <c r="C70" s="56" t="str">
        <f>작성용!AK67</f>
        <v>개별종목</v>
      </c>
      <c r="D70" s="57">
        <f>작성용!T67</f>
        <v>45548</v>
      </c>
      <c r="E70" s="58" t="str">
        <f>작성용!B67</f>
        <v>유씨케이파트너스(구,유니슨캐피탈사모투자전문회사)</v>
      </c>
      <c r="F70" s="58" t="str">
        <f>작성용!C67</f>
        <v>재평가</v>
      </c>
      <c r="G70" s="58" t="str">
        <f>작성용!D67</f>
        <v>에스씨비에이치</v>
      </c>
      <c r="H70" s="59">
        <f>작성용!E67</f>
        <v>1101115421849</v>
      </c>
      <c r="I70" s="58" t="str">
        <f>작성용!F67</f>
        <v>A01</v>
      </c>
      <c r="J70" s="58">
        <f>작성용!G67</f>
        <v>1</v>
      </c>
      <c r="K70" s="58" t="str">
        <f>작성용!H67</f>
        <v>-</v>
      </c>
      <c r="L70" s="58" t="str">
        <f>작성용!N67</f>
        <v>분기</v>
      </c>
      <c r="M70" s="57" t="str">
        <f>작성용!U67</f>
        <v>2024.09.30</v>
      </c>
      <c r="N70" s="57">
        <f>작성용!V67</f>
        <v>45604</v>
      </c>
      <c r="O70" s="57">
        <f>작성용!W67</f>
        <v>45610</v>
      </c>
      <c r="P70" s="57" t="str">
        <f>작성용!X67</f>
        <v>-</v>
      </c>
      <c r="Q70" s="58" t="str">
        <f>작성용!AD67</f>
        <v>김에스더</v>
      </c>
      <c r="R70" s="60">
        <f>작성용!AE67</f>
        <v>1</v>
      </c>
      <c r="S70" s="58" t="str">
        <f>작성용!AF67</f>
        <v>김에스더</v>
      </c>
      <c r="T70" s="61" t="str">
        <f>작성용!AG67</f>
        <v>김예림</v>
      </c>
      <c r="U70" s="61" t="str">
        <f>작성용!AH67</f>
        <v>김예림</v>
      </c>
      <c r="V70" s="56">
        <f>작성용!AA67</f>
        <v>202411</v>
      </c>
      <c r="W70" s="58" t="str">
        <f>작성용!AC67</f>
        <v>[Y]금융기관</v>
      </c>
      <c r="X70" s="58" t="str">
        <f>작성용!O67</f>
        <v>구하영차장</v>
      </c>
      <c r="Y70" s="58" t="str">
        <f>작성용!P67</f>
        <v>02-3011-7002</v>
      </c>
      <c r="Z70" s="58" t="str">
        <f>작성용!Q67</f>
        <v>hyk@uckpartners.com</v>
      </c>
      <c r="AA70" s="56" t="str">
        <f>작성용!AJ67</f>
        <v>국민연금제출</v>
      </c>
      <c r="AB70" s="56">
        <f>작성용!AB67</f>
        <v>0</v>
      </c>
    </row>
    <row r="71" spans="1:28" s="12" customFormat="1" ht="16.5" hidden="1" customHeight="1" x14ac:dyDescent="0.3">
      <c r="A71" s="54">
        <f>작성용!AL68</f>
        <v>67</v>
      </c>
      <c r="B71" s="55" t="str">
        <f>작성용!AI68</f>
        <v>-</v>
      </c>
      <c r="C71" s="56" t="str">
        <f>작성용!AK68</f>
        <v>개별종목</v>
      </c>
      <c r="D71" s="57">
        <f>작성용!T68</f>
        <v>45548</v>
      </c>
      <c r="E71" s="58" t="str">
        <f>작성용!B68</f>
        <v>유씨케이파트너스(구,유니슨캐피탈사모투자전문회사)</v>
      </c>
      <c r="F71" s="58" t="str">
        <f>작성용!C68</f>
        <v>재평가</v>
      </c>
      <c r="G71" s="58" t="str">
        <f>작성용!D68</f>
        <v>에스씨비에이치</v>
      </c>
      <c r="H71" s="59">
        <f>작성용!E68</f>
        <v>1101115421849</v>
      </c>
      <c r="I71" s="58" t="str">
        <f>작성용!F68</f>
        <v>D02</v>
      </c>
      <c r="J71" s="58">
        <f>작성용!G68</f>
        <v>1</v>
      </c>
      <c r="K71" s="58" t="str">
        <f>작성용!H68</f>
        <v>-</v>
      </c>
      <c r="L71" s="58" t="str">
        <f>작성용!N68</f>
        <v>분기</v>
      </c>
      <c r="M71" s="57" t="str">
        <f>작성용!U68</f>
        <v>2024.09.30</v>
      </c>
      <c r="N71" s="57">
        <f>작성용!V68</f>
        <v>45604</v>
      </c>
      <c r="O71" s="57">
        <f>작성용!W68</f>
        <v>45610</v>
      </c>
      <c r="P71" s="57" t="str">
        <f>작성용!X68</f>
        <v>-</v>
      </c>
      <c r="Q71" s="58" t="str">
        <f>작성용!AD68</f>
        <v>김에스더</v>
      </c>
      <c r="R71" s="60">
        <f>작성용!AE68</f>
        <v>0</v>
      </c>
      <c r="S71" s="58" t="str">
        <f>작성용!AF68</f>
        <v>김에스더</v>
      </c>
      <c r="T71" s="61" t="str">
        <f>작성용!AG68</f>
        <v>김예림</v>
      </c>
      <c r="U71" s="61" t="str">
        <f>작성용!AH68</f>
        <v>김예림</v>
      </c>
      <c r="V71" s="56">
        <f>작성용!AA68</f>
        <v>202411</v>
      </c>
      <c r="W71" s="58" t="str">
        <f>작성용!AC68</f>
        <v>[Y]금융기관</v>
      </c>
      <c r="X71" s="58" t="str">
        <f>작성용!O68</f>
        <v>구하영차장</v>
      </c>
      <c r="Y71" s="58" t="str">
        <f>작성용!P68</f>
        <v>02-3011-7002</v>
      </c>
      <c r="Z71" s="58" t="str">
        <f>작성용!Q68</f>
        <v>hyk@uckpartners.com</v>
      </c>
      <c r="AA71" s="56" t="str">
        <f>작성용!AJ68</f>
        <v>국민연금제출</v>
      </c>
      <c r="AB71" s="56">
        <f>작성용!AB68</f>
        <v>0</v>
      </c>
    </row>
    <row r="72" spans="1:28" s="12" customFormat="1" ht="16.5" hidden="1" customHeight="1" x14ac:dyDescent="0.3">
      <c r="A72" s="54">
        <f>작성용!AL69</f>
        <v>68</v>
      </c>
      <c r="B72" s="55" t="str">
        <f>작성용!AI69</f>
        <v>-</v>
      </c>
      <c r="C72" s="56" t="str">
        <f>작성용!AK69</f>
        <v>개별종목</v>
      </c>
      <c r="D72" s="57">
        <f>작성용!T69</f>
        <v>45548</v>
      </c>
      <c r="E72" s="58" t="str">
        <f>작성용!B69</f>
        <v>유씨케이파트너스(구,유니슨캐피탈사모투자전문회사)</v>
      </c>
      <c r="F72" s="58" t="str">
        <f>작성용!C69</f>
        <v>재평가</v>
      </c>
      <c r="G72" s="58" t="str">
        <f>작성용!D69</f>
        <v>토페스</v>
      </c>
      <c r="H72" s="59">
        <f>작성용!E69</f>
        <v>1101110365886</v>
      </c>
      <c r="I72" s="58" t="str">
        <f>작성용!F69</f>
        <v>A01</v>
      </c>
      <c r="J72" s="58">
        <f>작성용!G69</f>
        <v>1</v>
      </c>
      <c r="K72" s="58" t="str">
        <f>작성용!H69</f>
        <v>-</v>
      </c>
      <c r="L72" s="58" t="str">
        <f>작성용!N69</f>
        <v>분기</v>
      </c>
      <c r="M72" s="57" t="str">
        <f>작성용!U69</f>
        <v>2024.09.30</v>
      </c>
      <c r="N72" s="57">
        <f>작성용!V69</f>
        <v>45604</v>
      </c>
      <c r="O72" s="57">
        <f>작성용!W69</f>
        <v>45610</v>
      </c>
      <c r="P72" s="57" t="str">
        <f>작성용!X69</f>
        <v>-</v>
      </c>
      <c r="Q72" s="58" t="str">
        <f>작성용!AD69</f>
        <v>최수민</v>
      </c>
      <c r="R72" s="60">
        <f>작성용!AE69</f>
        <v>1</v>
      </c>
      <c r="S72" s="58" t="str">
        <f>작성용!AF69</f>
        <v>최수민</v>
      </c>
      <c r="T72" s="61" t="str">
        <f>작성용!AG69</f>
        <v>김예림</v>
      </c>
      <c r="U72" s="61" t="str">
        <f>작성용!AH69</f>
        <v>김예림</v>
      </c>
      <c r="V72" s="56">
        <f>작성용!AA69</f>
        <v>202411</v>
      </c>
      <c r="W72" s="58" t="str">
        <f>작성용!AC69</f>
        <v>[Y]금융기관</v>
      </c>
      <c r="X72" s="58" t="str">
        <f>작성용!O69</f>
        <v>구하영차장</v>
      </c>
      <c r="Y72" s="58" t="str">
        <f>작성용!P69</f>
        <v>02-3011-7002</v>
      </c>
      <c r="Z72" s="58" t="str">
        <f>작성용!Q69</f>
        <v>hyk@uckpartners.com</v>
      </c>
      <c r="AA72" s="56" t="str">
        <f>작성용!AJ69</f>
        <v>국민연금제출</v>
      </c>
      <c r="AB72" s="56">
        <f>작성용!AB69</f>
        <v>0</v>
      </c>
    </row>
    <row r="73" spans="1:28" s="12" customFormat="1" ht="16.5" hidden="1" customHeight="1" x14ac:dyDescent="0.3">
      <c r="A73" s="54">
        <f>작성용!AL70</f>
        <v>69</v>
      </c>
      <c r="B73" s="55" t="str">
        <f>작성용!AI70</f>
        <v>-</v>
      </c>
      <c r="C73" s="56" t="str">
        <f>작성용!AK70</f>
        <v>개별종목</v>
      </c>
      <c r="D73" s="57">
        <f>작성용!T70</f>
        <v>45548</v>
      </c>
      <c r="E73" s="58" t="str">
        <f>작성용!B70</f>
        <v>유씨케이파트너스(구,유니슨캐피탈사모투자전문회사)</v>
      </c>
      <c r="F73" s="58" t="str">
        <f>작성용!C70</f>
        <v>재평가</v>
      </c>
      <c r="G73" s="58" t="str">
        <f>작성용!D70</f>
        <v>학산</v>
      </c>
      <c r="H73" s="59">
        <f>작성용!E70</f>
        <v>1411110019452</v>
      </c>
      <c r="I73" s="58" t="str">
        <f>작성용!F70</f>
        <v>A01</v>
      </c>
      <c r="J73" s="58">
        <f>작성용!G70</f>
        <v>1</v>
      </c>
      <c r="K73" s="58" t="str">
        <f>작성용!H70</f>
        <v>-</v>
      </c>
      <c r="L73" s="58" t="str">
        <f>작성용!N70</f>
        <v>분기</v>
      </c>
      <c r="M73" s="57" t="str">
        <f>작성용!U70</f>
        <v>2024.09.30</v>
      </c>
      <c r="N73" s="57">
        <f>작성용!V70</f>
        <v>45604</v>
      </c>
      <c r="O73" s="57">
        <f>작성용!W70</f>
        <v>45610</v>
      </c>
      <c r="P73" s="57" t="str">
        <f>작성용!X70</f>
        <v>-</v>
      </c>
      <c r="Q73" s="58" t="str">
        <f>작성용!AD70</f>
        <v>심태진</v>
      </c>
      <c r="R73" s="60">
        <f>작성용!AE70</f>
        <v>1</v>
      </c>
      <c r="S73" s="58" t="str">
        <f>작성용!AF70</f>
        <v>심태진</v>
      </c>
      <c r="T73" s="61" t="str">
        <f>작성용!AG70</f>
        <v>김예림</v>
      </c>
      <c r="U73" s="61" t="str">
        <f>작성용!AH70</f>
        <v>김예림</v>
      </c>
      <c r="V73" s="56">
        <f>작성용!AA70</f>
        <v>202411</v>
      </c>
      <c r="W73" s="58" t="str">
        <f>작성용!AC70</f>
        <v>[Y]금융기관</v>
      </c>
      <c r="X73" s="58" t="str">
        <f>작성용!O70</f>
        <v>구하영차장</v>
      </c>
      <c r="Y73" s="58" t="str">
        <f>작성용!P70</f>
        <v>02-3011-7002</v>
      </c>
      <c r="Z73" s="58" t="str">
        <f>작성용!Q70</f>
        <v>hyk@uckpartners.com</v>
      </c>
      <c r="AA73" s="56" t="str">
        <f>작성용!AJ70</f>
        <v>국민연금제출</v>
      </c>
      <c r="AB73" s="56">
        <f>작성용!AB70</f>
        <v>0</v>
      </c>
    </row>
    <row r="74" spans="1:28" s="12" customFormat="1" ht="16.5" hidden="1" customHeight="1" x14ac:dyDescent="0.3">
      <c r="A74" s="54">
        <f>작성용!AL71</f>
        <v>70</v>
      </c>
      <c r="B74" s="55" t="str">
        <f>작성용!AI71</f>
        <v>-</v>
      </c>
      <c r="C74" s="56" t="str">
        <f>작성용!AK71</f>
        <v>개별종목</v>
      </c>
      <c r="D74" s="57">
        <f>작성용!T71</f>
        <v>45548</v>
      </c>
      <c r="E74" s="58" t="str">
        <f>작성용!B71</f>
        <v>유씨케이파트너스(구,유니슨캐피탈사모투자전문회사)</v>
      </c>
      <c r="F74" s="58" t="str">
        <f>작성용!C71</f>
        <v>재평가</v>
      </c>
      <c r="G74" s="58" t="str">
        <f>작성용!D71</f>
        <v>오아시스</v>
      </c>
      <c r="H74" s="59">
        <f>작성용!E71</f>
        <v>1342110123995</v>
      </c>
      <c r="I74" s="58" t="str">
        <f>작성용!F71</f>
        <v>A01</v>
      </c>
      <c r="J74" s="58">
        <f>작성용!G71</f>
        <v>1</v>
      </c>
      <c r="K74" s="58" t="str">
        <f>작성용!H71</f>
        <v>-</v>
      </c>
      <c r="L74" s="58" t="str">
        <f>작성용!N71</f>
        <v>분기</v>
      </c>
      <c r="M74" s="57" t="str">
        <f>작성용!U71</f>
        <v>2024.09.30</v>
      </c>
      <c r="N74" s="57">
        <f>작성용!V71</f>
        <v>45604</v>
      </c>
      <c r="O74" s="57">
        <f>작성용!W71</f>
        <v>45610</v>
      </c>
      <c r="P74" s="57" t="str">
        <f>작성용!X71</f>
        <v>-</v>
      </c>
      <c r="Q74" s="58" t="str">
        <f>작성용!AD71</f>
        <v>이문수</v>
      </c>
      <c r="R74" s="60">
        <f>작성용!AE71</f>
        <v>1.5</v>
      </c>
      <c r="S74" s="58" t="str">
        <f>작성용!AF71</f>
        <v>이문수</v>
      </c>
      <c r="T74" s="61" t="str">
        <f>작성용!AG71</f>
        <v>김예림</v>
      </c>
      <c r="U74" s="61" t="str">
        <f>작성용!AH71</f>
        <v>김예림</v>
      </c>
      <c r="V74" s="56">
        <f>작성용!AA71</f>
        <v>202411</v>
      </c>
      <c r="W74" s="58" t="str">
        <f>작성용!AC71</f>
        <v>[Y]금융기관</v>
      </c>
      <c r="X74" s="58" t="str">
        <f>작성용!O71</f>
        <v>구하영차장</v>
      </c>
      <c r="Y74" s="58" t="str">
        <f>작성용!P71</f>
        <v>02-3011-7002</v>
      </c>
      <c r="Z74" s="58" t="str">
        <f>작성용!Q71</f>
        <v>hyk@uckpartners.com</v>
      </c>
      <c r="AA74" s="56" t="str">
        <f>작성용!AJ71</f>
        <v>국민연금제출</v>
      </c>
      <c r="AB74" s="56">
        <f>작성용!AB71</f>
        <v>0</v>
      </c>
    </row>
    <row r="75" spans="1:28" s="12" customFormat="1" ht="16.5" hidden="1" customHeight="1" x14ac:dyDescent="0.3">
      <c r="A75" s="54">
        <f>작성용!AL72</f>
        <v>71</v>
      </c>
      <c r="B75" s="55" t="str">
        <f>작성용!AI72</f>
        <v>-</v>
      </c>
      <c r="C75" s="56" t="str">
        <f>작성용!AK72</f>
        <v>개별종목</v>
      </c>
      <c r="D75" s="57">
        <f>작성용!T72</f>
        <v>45548</v>
      </c>
      <c r="E75" s="58" t="str">
        <f>작성용!B72</f>
        <v>유씨케이파트너스(구,유니슨캐피탈사모투자전문회사)</v>
      </c>
      <c r="F75" s="58" t="str">
        <f>작성용!C72</f>
        <v>재평가</v>
      </c>
      <c r="G75" s="58" t="str">
        <f>작성용!D72</f>
        <v>엄지식품</v>
      </c>
      <c r="H75" s="59">
        <f>작성용!E72</f>
        <v>1314110146996</v>
      </c>
      <c r="I75" s="58" t="str">
        <f>작성용!F72</f>
        <v>A01</v>
      </c>
      <c r="J75" s="58">
        <f>작성용!G72</f>
        <v>0</v>
      </c>
      <c r="K75" s="58" t="str">
        <f>작성용!H72</f>
        <v>-</v>
      </c>
      <c r="L75" s="58" t="str">
        <f>작성용!N72</f>
        <v>분기</v>
      </c>
      <c r="M75" s="57" t="str">
        <f>작성용!U72</f>
        <v>2024.09.30</v>
      </c>
      <c r="N75" s="57">
        <f>작성용!V72</f>
        <v>45604</v>
      </c>
      <c r="O75" s="57">
        <f>작성용!W72</f>
        <v>45610</v>
      </c>
      <c r="P75" s="57" t="str">
        <f>작성용!X72</f>
        <v>-</v>
      </c>
      <c r="Q75" s="58" t="str">
        <f>작성용!AD72</f>
        <v>심태진</v>
      </c>
      <c r="R75" s="60">
        <f>작성용!AE72</f>
        <v>1</v>
      </c>
      <c r="S75" s="58" t="str">
        <f>작성용!AF72</f>
        <v>심태진</v>
      </c>
      <c r="T75" s="61" t="str">
        <f>작성용!AG72</f>
        <v>김예림</v>
      </c>
      <c r="U75" s="61" t="str">
        <f>작성용!AH72</f>
        <v>김예림</v>
      </c>
      <c r="V75" s="56">
        <f>작성용!AA72</f>
        <v>202411</v>
      </c>
      <c r="W75" s="58" t="str">
        <f>작성용!AC72</f>
        <v>[Y]금융기관</v>
      </c>
      <c r="X75" s="58" t="str">
        <f>작성용!O72</f>
        <v>구하영차장</v>
      </c>
      <c r="Y75" s="58" t="str">
        <f>작성용!P72</f>
        <v>02-3011-7002</v>
      </c>
      <c r="Z75" s="58" t="str">
        <f>작성용!Q72</f>
        <v>hyk@uckpartners.com</v>
      </c>
      <c r="AA75" s="56" t="str">
        <f>작성용!AJ72</f>
        <v>국민연금제출</v>
      </c>
      <c r="AB75" s="56">
        <f>작성용!AB72</f>
        <v>0</v>
      </c>
    </row>
    <row r="76" spans="1:28" s="12" customFormat="1" ht="16.5" hidden="1" customHeight="1" x14ac:dyDescent="0.3">
      <c r="A76" s="54">
        <f>작성용!AL73</f>
        <v>72</v>
      </c>
      <c r="B76" s="55" t="str">
        <f>작성용!AI73</f>
        <v>-</v>
      </c>
      <c r="C76" s="56" t="str">
        <f>작성용!AK73</f>
        <v>개별종목</v>
      </c>
      <c r="D76" s="57">
        <f>작성용!T73</f>
        <v>45548</v>
      </c>
      <c r="E76" s="58" t="str">
        <f>작성용!B73</f>
        <v>유씨케이파트너스(구,유니슨캐피탈사모투자전문회사)</v>
      </c>
      <c r="F76" s="58" t="str">
        <f>작성용!C73</f>
        <v>재평가</v>
      </c>
      <c r="G76" s="58" t="str">
        <f>작성용!D73</f>
        <v>엄지식품</v>
      </c>
      <c r="H76" s="59">
        <f>작성용!E73</f>
        <v>1314110146996</v>
      </c>
      <c r="I76" s="58" t="str">
        <f>작성용!F73</f>
        <v>A07</v>
      </c>
      <c r="J76" s="58">
        <f>작성용!G73</f>
        <v>0</v>
      </c>
      <c r="K76" s="58" t="str">
        <f>작성용!H73</f>
        <v>-</v>
      </c>
      <c r="L76" s="58" t="str">
        <f>작성용!N73</f>
        <v>분기</v>
      </c>
      <c r="M76" s="57" t="str">
        <f>작성용!U73</f>
        <v>2024.09.30</v>
      </c>
      <c r="N76" s="57">
        <f>작성용!V73</f>
        <v>45604</v>
      </c>
      <c r="O76" s="57">
        <f>작성용!W73</f>
        <v>45610</v>
      </c>
      <c r="P76" s="57" t="str">
        <f>작성용!X73</f>
        <v>-</v>
      </c>
      <c r="Q76" s="58" t="str">
        <f>작성용!AD73</f>
        <v>심태진</v>
      </c>
      <c r="R76" s="60">
        <f>작성용!AE73</f>
        <v>0</v>
      </c>
      <c r="S76" s="58" t="str">
        <f>작성용!AF73</f>
        <v>심태진</v>
      </c>
      <c r="T76" s="61" t="str">
        <f>작성용!AG73</f>
        <v>김예림</v>
      </c>
      <c r="U76" s="61" t="str">
        <f>작성용!AH73</f>
        <v>김예림</v>
      </c>
      <c r="V76" s="56">
        <f>작성용!AA73</f>
        <v>202411</v>
      </c>
      <c r="W76" s="58" t="str">
        <f>작성용!AC73</f>
        <v>[Y]금융기관</v>
      </c>
      <c r="X76" s="58" t="str">
        <f>작성용!O73</f>
        <v>구하영차장</v>
      </c>
      <c r="Y76" s="58" t="str">
        <f>작성용!P73</f>
        <v>02-3011-7002</v>
      </c>
      <c r="Z76" s="58" t="str">
        <f>작성용!Q73</f>
        <v>hyk@uckpartners.com</v>
      </c>
      <c r="AA76" s="56" t="str">
        <f>작성용!AJ73</f>
        <v>국민연금제출</v>
      </c>
      <c r="AB76" s="56">
        <f>작성용!AB73</f>
        <v>0</v>
      </c>
    </row>
    <row r="77" spans="1:28" s="12" customFormat="1" ht="16.5" hidden="1" customHeight="1" x14ac:dyDescent="0.3">
      <c r="A77" s="54">
        <f>작성용!AL74</f>
        <v>73</v>
      </c>
      <c r="B77" s="55" t="str">
        <f>작성용!AI74</f>
        <v>-</v>
      </c>
      <c r="C77" s="56" t="str">
        <f>작성용!AK74</f>
        <v>개별종목</v>
      </c>
      <c r="D77" s="57">
        <f>작성용!T74</f>
        <v>45548</v>
      </c>
      <c r="E77" s="58" t="str">
        <f>작성용!B74</f>
        <v>유씨케이파트너스(구,유니슨캐피탈사모투자전문회사)</v>
      </c>
      <c r="F77" s="58" t="str">
        <f>작성용!C74</f>
        <v>재평가</v>
      </c>
      <c r="G77" s="58" t="str">
        <f>작성용!D74</f>
        <v>수지스퀴진</v>
      </c>
      <c r="H77" s="59">
        <f>작성용!E74</f>
        <v>1101114700070</v>
      </c>
      <c r="I77" s="58" t="str">
        <f>작성용!F74</f>
        <v>A07</v>
      </c>
      <c r="J77" s="58">
        <f>작성용!G74</f>
        <v>0</v>
      </c>
      <c r="K77" s="58" t="str">
        <f>작성용!H74</f>
        <v>-</v>
      </c>
      <c r="L77" s="58" t="str">
        <f>작성용!N74</f>
        <v xml:space="preserve">분기 </v>
      </c>
      <c r="M77" s="57" t="str">
        <f>작성용!U74</f>
        <v>2024.09.30</v>
      </c>
      <c r="N77" s="57">
        <f>작성용!V74</f>
        <v>45604</v>
      </c>
      <c r="O77" s="57">
        <f>작성용!W74</f>
        <v>45610</v>
      </c>
      <c r="P77" s="57" t="str">
        <f>작성용!X74</f>
        <v>-</v>
      </c>
      <c r="Q77" s="58" t="str">
        <f>작성용!AD74</f>
        <v>이현승</v>
      </c>
      <c r="R77" s="60">
        <f>작성용!AE74</f>
        <v>1</v>
      </c>
      <c r="S77" s="58" t="str">
        <f>작성용!AF74</f>
        <v>이현승</v>
      </c>
      <c r="T77" s="61" t="str">
        <f>작성용!AG74</f>
        <v>김예림</v>
      </c>
      <c r="U77" s="61" t="str">
        <f>작성용!AH74</f>
        <v>김예림</v>
      </c>
      <c r="V77" s="56">
        <f>작성용!AA74</f>
        <v>202411</v>
      </c>
      <c r="W77" s="58" t="str">
        <f>작성용!AC74</f>
        <v>[Y]금융기관</v>
      </c>
      <c r="X77" s="58" t="str">
        <f>작성용!O74</f>
        <v>구하영차장</v>
      </c>
      <c r="Y77" s="58" t="str">
        <f>작성용!P74</f>
        <v>02-3011-7002</v>
      </c>
      <c r="Z77" s="58" t="str">
        <f>작성용!Q74</f>
        <v>hyk@uckpartners.com</v>
      </c>
      <c r="AA77" s="56" t="str">
        <f>작성용!AJ74</f>
        <v>국민연금제출</v>
      </c>
      <c r="AB77" s="56">
        <f>작성용!AB74</f>
        <v>0</v>
      </c>
    </row>
    <row r="78" spans="1:28" s="12" customFormat="1" ht="16.5" hidden="1" customHeight="1" x14ac:dyDescent="0.3">
      <c r="A78" s="54">
        <f>작성용!AL75</f>
        <v>74</v>
      </c>
      <c r="B78" s="55" t="str">
        <f>작성용!AI75</f>
        <v>-</v>
      </c>
      <c r="C78" s="56" t="str">
        <f>작성용!AK75</f>
        <v>개별종목</v>
      </c>
      <c r="D78" s="57">
        <f>작성용!T75</f>
        <v>45548</v>
      </c>
      <c r="E78" s="58" t="str">
        <f>작성용!B75</f>
        <v>유씨케이파트너스(구,유니슨캐피탈사모투자전문회사)</v>
      </c>
      <c r="F78" s="58" t="str">
        <f>작성용!C75</f>
        <v>재평가</v>
      </c>
      <c r="G78" s="58" t="str">
        <f>작성용!D75</f>
        <v>디홀릭커머스</v>
      </c>
      <c r="H78" s="59">
        <f>작성용!E75</f>
        <v>1101117274402</v>
      </c>
      <c r="I78" s="58" t="str">
        <f>작성용!F75</f>
        <v>A01</v>
      </c>
      <c r="J78" s="58">
        <f>작성용!G75</f>
        <v>1</v>
      </c>
      <c r="K78" s="58" t="str">
        <f>작성용!H75</f>
        <v>-</v>
      </c>
      <c r="L78" s="58" t="str">
        <f>작성용!N75</f>
        <v>분기</v>
      </c>
      <c r="M78" s="57" t="str">
        <f>작성용!U75</f>
        <v>2024.09.30</v>
      </c>
      <c r="N78" s="57">
        <f>작성용!V75</f>
        <v>45604</v>
      </c>
      <c r="O78" s="57">
        <f>작성용!W75</f>
        <v>45610</v>
      </c>
      <c r="P78" s="57" t="str">
        <f>작성용!X75</f>
        <v>-</v>
      </c>
      <c r="Q78" s="58" t="str">
        <f>작성용!AD75</f>
        <v>채동우</v>
      </c>
      <c r="R78" s="60">
        <f>작성용!AE75</f>
        <v>1</v>
      </c>
      <c r="S78" s="58" t="str">
        <f>작성용!AF75</f>
        <v>채동우</v>
      </c>
      <c r="T78" s="61" t="str">
        <f>작성용!AG75</f>
        <v>김예림</v>
      </c>
      <c r="U78" s="61" t="str">
        <f>작성용!AH75</f>
        <v>김예림</v>
      </c>
      <c r="V78" s="56">
        <f>작성용!AA75</f>
        <v>202411</v>
      </c>
      <c r="W78" s="58" t="str">
        <f>작성용!AC75</f>
        <v>[Y]금융기관</v>
      </c>
      <c r="X78" s="58" t="str">
        <f>작성용!O75</f>
        <v>구하영차장</v>
      </c>
      <c r="Y78" s="58" t="str">
        <f>작성용!P75</f>
        <v>02-3011-7002</v>
      </c>
      <c r="Z78" s="58" t="str">
        <f>작성용!Q75</f>
        <v>hyk@uckpartners.com</v>
      </c>
      <c r="AA78" s="56" t="str">
        <f>작성용!AJ75</f>
        <v>국민연금제출</v>
      </c>
      <c r="AB78" s="56">
        <f>작성용!AB75</f>
        <v>0</v>
      </c>
    </row>
    <row r="79" spans="1:28" s="12" customFormat="1" ht="16.5" hidden="1" customHeight="1" x14ac:dyDescent="0.3">
      <c r="A79" s="54">
        <f>작성용!AL76</f>
        <v>75</v>
      </c>
      <c r="B79" s="55" t="str">
        <f>작성용!AI76</f>
        <v>-</v>
      </c>
      <c r="C79" s="56" t="str">
        <f>작성용!AK76</f>
        <v>개별종목</v>
      </c>
      <c r="D79" s="57">
        <f>작성용!T76</f>
        <v>45548</v>
      </c>
      <c r="E79" s="58" t="str">
        <f>작성용!B76</f>
        <v>유씨케이파트너스(구,유니슨캐피탈사모투자전문회사)</v>
      </c>
      <c r="F79" s="58" t="str">
        <f>작성용!C76</f>
        <v>재평가</v>
      </c>
      <c r="G79" s="58" t="str">
        <f>작성용!D76</f>
        <v>디홀릭커머스</v>
      </c>
      <c r="H79" s="59">
        <f>작성용!E76</f>
        <v>1101117274402</v>
      </c>
      <c r="I79" s="58" t="str">
        <f>작성용!F76</f>
        <v>A07</v>
      </c>
      <c r="J79" s="58">
        <f>작성용!G76</f>
        <v>1</v>
      </c>
      <c r="K79" s="58" t="str">
        <f>작성용!H76</f>
        <v>-</v>
      </c>
      <c r="L79" s="58" t="str">
        <f>작성용!N76</f>
        <v>분기</v>
      </c>
      <c r="M79" s="57" t="str">
        <f>작성용!U76</f>
        <v>2024.09.30</v>
      </c>
      <c r="N79" s="57">
        <f>작성용!V76</f>
        <v>45604</v>
      </c>
      <c r="O79" s="57">
        <f>작성용!W76</f>
        <v>45610</v>
      </c>
      <c r="P79" s="57" t="str">
        <f>작성용!X76</f>
        <v>-</v>
      </c>
      <c r="Q79" s="58" t="str">
        <f>작성용!AD76</f>
        <v>채동우</v>
      </c>
      <c r="R79" s="60">
        <f>작성용!AE76</f>
        <v>0</v>
      </c>
      <c r="S79" s="58" t="str">
        <f>작성용!AF76</f>
        <v>채동우</v>
      </c>
      <c r="T79" s="61" t="str">
        <f>작성용!AG76</f>
        <v>김예림</v>
      </c>
      <c r="U79" s="61" t="str">
        <f>작성용!AH76</f>
        <v>김예림</v>
      </c>
      <c r="V79" s="56">
        <f>작성용!AA76</f>
        <v>202411</v>
      </c>
      <c r="W79" s="58" t="str">
        <f>작성용!AC76</f>
        <v>[Y]금융기관</v>
      </c>
      <c r="X79" s="58" t="str">
        <f>작성용!O76</f>
        <v>구하영차장</v>
      </c>
      <c r="Y79" s="58" t="str">
        <f>작성용!P76</f>
        <v>02-3011-7002</v>
      </c>
      <c r="Z79" s="58" t="str">
        <f>작성용!Q76</f>
        <v>hyk@uckpartners.com</v>
      </c>
      <c r="AA79" s="56" t="str">
        <f>작성용!AJ76</f>
        <v>국민연금제출</v>
      </c>
      <c r="AB79" s="56">
        <f>작성용!AB76</f>
        <v>0</v>
      </c>
    </row>
    <row r="80" spans="1:28" s="12" customFormat="1" ht="16.5" hidden="1" customHeight="1" x14ac:dyDescent="0.3">
      <c r="A80" s="54">
        <f>작성용!AL77</f>
        <v>76</v>
      </c>
      <c r="B80" s="55" t="str">
        <f>작성용!AI77</f>
        <v>-</v>
      </c>
      <c r="C80" s="56" t="str">
        <f>작성용!AK77</f>
        <v>개별종목</v>
      </c>
      <c r="D80" s="57">
        <f>작성용!T77</f>
        <v>45548</v>
      </c>
      <c r="E80" s="58" t="str">
        <f>작성용!B77</f>
        <v>유씨케이파트너스(구,유니슨캐피탈사모투자전문회사)</v>
      </c>
      <c r="F80" s="58" t="str">
        <f>작성용!C77</f>
        <v>재평가</v>
      </c>
      <c r="G80" s="58" t="str">
        <f>작성용!D77</f>
        <v>디홀릭커머스</v>
      </c>
      <c r="H80" s="59">
        <f>작성용!E77</f>
        <v>1101117274402</v>
      </c>
      <c r="I80" s="58" t="str">
        <f>작성용!F77</f>
        <v>A07</v>
      </c>
      <c r="J80" s="58">
        <f>작성용!G77</f>
        <v>2</v>
      </c>
      <c r="K80" s="58" t="str">
        <f>작성용!H77</f>
        <v>-</v>
      </c>
      <c r="L80" s="58" t="str">
        <f>작성용!N77</f>
        <v>분기</v>
      </c>
      <c r="M80" s="57" t="str">
        <f>작성용!U77</f>
        <v>2024.09.30</v>
      </c>
      <c r="N80" s="57">
        <f>작성용!V77</f>
        <v>45604</v>
      </c>
      <c r="O80" s="57">
        <f>작성용!W77</f>
        <v>45610</v>
      </c>
      <c r="P80" s="57" t="str">
        <f>작성용!X77</f>
        <v>-</v>
      </c>
      <c r="Q80" s="58" t="str">
        <f>작성용!AD77</f>
        <v>채동우</v>
      </c>
      <c r="R80" s="60">
        <f>작성용!AE77</f>
        <v>0</v>
      </c>
      <c r="S80" s="58" t="str">
        <f>작성용!AF77</f>
        <v>채동우</v>
      </c>
      <c r="T80" s="61" t="str">
        <f>작성용!AG77</f>
        <v>김예림</v>
      </c>
      <c r="U80" s="61" t="str">
        <f>작성용!AH77</f>
        <v>김예림</v>
      </c>
      <c r="V80" s="56">
        <f>작성용!AA77</f>
        <v>202411</v>
      </c>
      <c r="W80" s="58" t="str">
        <f>작성용!AC77</f>
        <v>[Y]금융기관</v>
      </c>
      <c r="X80" s="58" t="str">
        <f>작성용!O77</f>
        <v>구하영차장</v>
      </c>
      <c r="Y80" s="58" t="str">
        <f>작성용!P77</f>
        <v>02-3011-7002</v>
      </c>
      <c r="Z80" s="58" t="str">
        <f>작성용!Q77</f>
        <v>hyk@uckpartners.com</v>
      </c>
      <c r="AA80" s="56" t="str">
        <f>작성용!AJ77</f>
        <v>국민연금제출</v>
      </c>
      <c r="AB80" s="56">
        <f>작성용!AB77</f>
        <v>0</v>
      </c>
    </row>
    <row r="81" spans="1:28" s="12" customFormat="1" ht="16.5" hidden="1" customHeight="1" x14ac:dyDescent="0.3">
      <c r="A81" s="54">
        <f>작성용!AL78</f>
        <v>77</v>
      </c>
      <c r="B81" s="55" t="str">
        <f>작성용!AI78</f>
        <v>-</v>
      </c>
      <c r="C81" s="56" t="str">
        <f>작성용!AK78</f>
        <v>개별종목</v>
      </c>
      <c r="D81" s="57">
        <f>작성용!T78</f>
        <v>45548</v>
      </c>
      <c r="E81" s="58" t="str">
        <f>작성용!B78</f>
        <v>유씨케이파트너스(구,유니슨캐피탈사모투자전문회사)</v>
      </c>
      <c r="F81" s="58" t="str">
        <f>작성용!C78</f>
        <v>재평가</v>
      </c>
      <c r="G81" s="58" t="str">
        <f>작성용!D78</f>
        <v>디홀릭커머스</v>
      </c>
      <c r="H81" s="59">
        <f>작성용!E78</f>
        <v>1101117274402</v>
      </c>
      <c r="I81" s="58" t="str">
        <f>작성용!F78</f>
        <v>D02</v>
      </c>
      <c r="J81" s="58">
        <f>작성용!G78</f>
        <v>0</v>
      </c>
      <c r="K81" s="58" t="str">
        <f>작성용!H78</f>
        <v>-</v>
      </c>
      <c r="L81" s="58" t="str">
        <f>작성용!N78</f>
        <v>분기</v>
      </c>
      <c r="M81" s="57" t="str">
        <f>작성용!U78</f>
        <v>2024.09.30</v>
      </c>
      <c r="N81" s="57">
        <f>작성용!V78</f>
        <v>45604</v>
      </c>
      <c r="O81" s="57">
        <f>작성용!W78</f>
        <v>45610</v>
      </c>
      <c r="P81" s="57" t="str">
        <f>작성용!X78</f>
        <v>-</v>
      </c>
      <c r="Q81" s="58" t="str">
        <f>작성용!AD78</f>
        <v>채동우</v>
      </c>
      <c r="R81" s="60">
        <f>작성용!AE78</f>
        <v>0</v>
      </c>
      <c r="S81" s="58" t="str">
        <f>작성용!AF78</f>
        <v>채동우</v>
      </c>
      <c r="T81" s="61" t="str">
        <f>작성용!AG78</f>
        <v>김예림</v>
      </c>
      <c r="U81" s="61" t="str">
        <f>작성용!AH78</f>
        <v>김예림</v>
      </c>
      <c r="V81" s="56">
        <f>작성용!AA78</f>
        <v>202411</v>
      </c>
      <c r="W81" s="58" t="str">
        <f>작성용!AC78</f>
        <v>[Y]금융기관</v>
      </c>
      <c r="X81" s="58" t="str">
        <f>작성용!O78</f>
        <v>구하영차장</v>
      </c>
      <c r="Y81" s="58" t="str">
        <f>작성용!P78</f>
        <v>02-3011-7002</v>
      </c>
      <c r="Z81" s="58" t="str">
        <f>작성용!Q78</f>
        <v>hyk@uckpartners.com</v>
      </c>
      <c r="AA81" s="56" t="str">
        <f>작성용!AJ78</f>
        <v>국민연금제출</v>
      </c>
      <c r="AB81" s="56">
        <f>작성용!AB78</f>
        <v>0</v>
      </c>
    </row>
    <row r="82" spans="1:28" s="12" customFormat="1" ht="16.5" hidden="1" customHeight="1" x14ac:dyDescent="0.3">
      <c r="A82" s="54">
        <f>작성용!AL79</f>
        <v>78</v>
      </c>
      <c r="B82" s="55" t="str">
        <f>작성용!AI79</f>
        <v>-</v>
      </c>
      <c r="C82" s="56" t="str">
        <f>작성용!AK79</f>
        <v>개별종목</v>
      </c>
      <c r="D82" s="57">
        <f>작성용!T79</f>
        <v>45548</v>
      </c>
      <c r="E82" s="58" t="str">
        <f>작성용!B79</f>
        <v>유씨케이파트너스(구,유니슨캐피탈사모투자전문회사)</v>
      </c>
      <c r="F82" s="58" t="str">
        <f>작성용!C79</f>
        <v>재평가</v>
      </c>
      <c r="G82" s="58" t="str">
        <f>작성용!D79</f>
        <v>디홀릭커머스</v>
      </c>
      <c r="H82" s="59">
        <f>작성용!E79</f>
        <v>1101117274402</v>
      </c>
      <c r="I82" s="58" t="str">
        <f>작성용!F79</f>
        <v>D02</v>
      </c>
      <c r="J82" s="58">
        <f>작성용!G79</f>
        <v>1</v>
      </c>
      <c r="K82" s="58" t="str">
        <f>작성용!H79</f>
        <v>-</v>
      </c>
      <c r="L82" s="58" t="str">
        <f>작성용!N79</f>
        <v>분기</v>
      </c>
      <c r="M82" s="57" t="str">
        <f>작성용!U79</f>
        <v>2024.09.30</v>
      </c>
      <c r="N82" s="57">
        <f>작성용!V79</f>
        <v>45604</v>
      </c>
      <c r="O82" s="57">
        <f>작성용!W79</f>
        <v>45610</v>
      </c>
      <c r="P82" s="57" t="str">
        <f>작성용!X79</f>
        <v>-</v>
      </c>
      <c r="Q82" s="58" t="str">
        <f>작성용!AD79</f>
        <v>채동우</v>
      </c>
      <c r="R82" s="60">
        <f>작성용!AE79</f>
        <v>0</v>
      </c>
      <c r="S82" s="58" t="str">
        <f>작성용!AF79</f>
        <v>채동우</v>
      </c>
      <c r="T82" s="61" t="str">
        <f>작성용!AG79</f>
        <v>김예림</v>
      </c>
      <c r="U82" s="61" t="str">
        <f>작성용!AH79</f>
        <v>김예림</v>
      </c>
      <c r="V82" s="56">
        <f>작성용!AA79</f>
        <v>202411</v>
      </c>
      <c r="W82" s="58" t="str">
        <f>작성용!AC79</f>
        <v>[Y]금융기관</v>
      </c>
      <c r="X82" s="58" t="str">
        <f>작성용!O79</f>
        <v>구하영차장</v>
      </c>
      <c r="Y82" s="58" t="str">
        <f>작성용!P79</f>
        <v>02-3011-7002</v>
      </c>
      <c r="Z82" s="58" t="str">
        <f>작성용!Q79</f>
        <v>hyk@uckpartners.com</v>
      </c>
      <c r="AA82" s="56" t="str">
        <f>작성용!AJ79</f>
        <v>국민연금제출</v>
      </c>
      <c r="AB82" s="56">
        <f>작성용!AB79</f>
        <v>0</v>
      </c>
    </row>
    <row r="83" spans="1:28" s="12" customFormat="1" ht="16.5" hidden="1" customHeight="1" x14ac:dyDescent="0.3">
      <c r="A83" s="54">
        <f>작성용!AL80</f>
        <v>79</v>
      </c>
      <c r="B83" s="55" t="str">
        <f>작성용!AI80</f>
        <v>-</v>
      </c>
      <c r="C83" s="56" t="str">
        <f>작성용!AK80</f>
        <v>개별종목</v>
      </c>
      <c r="D83" s="57">
        <f>작성용!T80</f>
        <v>45548</v>
      </c>
      <c r="E83" s="58" t="str">
        <f>작성용!B80</f>
        <v>유씨케이파트너스(구,유니슨캐피탈사모투자전문회사)</v>
      </c>
      <c r="F83" s="58" t="str">
        <f>작성용!C80</f>
        <v>재평가</v>
      </c>
      <c r="G83" s="58" t="str">
        <f>작성용!D80</f>
        <v>오스템임플란트</v>
      </c>
      <c r="H83" s="59">
        <f>작성용!E80</f>
        <v>1101111361669</v>
      </c>
      <c r="I83" s="58" t="str">
        <f>작성용!F80</f>
        <v>A01</v>
      </c>
      <c r="J83" s="58">
        <f>작성용!G80</f>
        <v>0</v>
      </c>
      <c r="K83" s="58" t="str">
        <f>작성용!H80</f>
        <v>-</v>
      </c>
      <c r="L83" s="58" t="str">
        <f>작성용!N80</f>
        <v xml:space="preserve">분기 </v>
      </c>
      <c r="M83" s="57" t="str">
        <f>작성용!U80</f>
        <v>2024.09.30</v>
      </c>
      <c r="N83" s="57">
        <f>작성용!V80</f>
        <v>45604</v>
      </c>
      <c r="O83" s="57">
        <f>작성용!W80</f>
        <v>45610</v>
      </c>
      <c r="P83" s="57" t="str">
        <f>작성용!X80</f>
        <v>-</v>
      </c>
      <c r="Q83" s="58" t="str">
        <f>작성용!AD80</f>
        <v>서경덕</v>
      </c>
      <c r="R83" s="60">
        <f>작성용!AE80</f>
        <v>1</v>
      </c>
      <c r="S83" s="58" t="str">
        <f>작성용!AF80</f>
        <v>서경덕</v>
      </c>
      <c r="T83" s="61" t="str">
        <f>작성용!AG80</f>
        <v>김예림</v>
      </c>
      <c r="U83" s="61" t="str">
        <f>작성용!AH80</f>
        <v>김예림</v>
      </c>
      <c r="V83" s="56">
        <f>작성용!AA80</f>
        <v>202411</v>
      </c>
      <c r="W83" s="58" t="str">
        <f>작성용!AC80</f>
        <v>[Y]금융기관</v>
      </c>
      <c r="X83" s="58" t="str">
        <f>작성용!O80</f>
        <v>구하영차장</v>
      </c>
      <c r="Y83" s="58" t="str">
        <f>작성용!P80</f>
        <v>02-3011-7002</v>
      </c>
      <c r="Z83" s="58" t="str">
        <f>작성용!Q80</f>
        <v>hyk@uckpartners.com</v>
      </c>
      <c r="AA83" s="56" t="str">
        <f>작성용!AJ80</f>
        <v>국민연금제출</v>
      </c>
      <c r="AB83" s="56">
        <f>작성용!AB80</f>
        <v>0</v>
      </c>
    </row>
    <row r="84" spans="1:28" s="12" customFormat="1" ht="16.5" hidden="1" customHeight="1" x14ac:dyDescent="0.3">
      <c r="A84" s="54">
        <f>작성용!AL81</f>
        <v>80</v>
      </c>
      <c r="B84" s="55" t="str">
        <f>작성용!AI81</f>
        <v>-</v>
      </c>
      <c r="C84" s="56" t="str">
        <f>작성용!AK81</f>
        <v>개별종목</v>
      </c>
      <c r="D84" s="57">
        <f>작성용!T81</f>
        <v>45548</v>
      </c>
      <c r="E84" s="58" t="str">
        <f>작성용!B81</f>
        <v>유씨케이파트너스(구,유니슨캐피탈사모투자전문회사)</v>
      </c>
      <c r="F84" s="58" t="str">
        <f>작성용!C81</f>
        <v>재평가</v>
      </c>
      <c r="G84" s="58" t="str">
        <f>작성용!D81</f>
        <v>Hiossen, Inc</v>
      </c>
      <c r="H84" s="59" t="str">
        <f>작성용!E81</f>
        <v>KBP2024030035</v>
      </c>
      <c r="I84" s="58" t="str">
        <f>작성용!F81</f>
        <v>A01</v>
      </c>
      <c r="J84" s="58">
        <f>작성용!G81</f>
        <v>0</v>
      </c>
      <c r="K84" s="58" t="str">
        <f>작성용!H81</f>
        <v>-</v>
      </c>
      <c r="L84" s="58" t="str">
        <f>작성용!N81</f>
        <v xml:space="preserve">분기 </v>
      </c>
      <c r="M84" s="57" t="str">
        <f>작성용!U81</f>
        <v>2024.09.30</v>
      </c>
      <c r="N84" s="57">
        <f>작성용!V81</f>
        <v>45604</v>
      </c>
      <c r="O84" s="57">
        <f>작성용!W81</f>
        <v>45610</v>
      </c>
      <c r="P84" s="57" t="str">
        <f>작성용!X81</f>
        <v>-</v>
      </c>
      <c r="Q84" s="58" t="str">
        <f>작성용!AD81</f>
        <v>신원준</v>
      </c>
      <c r="R84" s="60">
        <f>작성용!AE81</f>
        <v>1</v>
      </c>
      <c r="S84" s="58" t="str">
        <f>작성용!AF81</f>
        <v>신원준</v>
      </c>
      <c r="T84" s="61" t="str">
        <f>작성용!AG81</f>
        <v>김예림</v>
      </c>
      <c r="U84" s="61" t="str">
        <f>작성용!AH81</f>
        <v>김예림</v>
      </c>
      <c r="V84" s="56">
        <f>작성용!AA81</f>
        <v>202411</v>
      </c>
      <c r="W84" s="58" t="str">
        <f>작성용!AC81</f>
        <v>[Y]금융기관</v>
      </c>
      <c r="X84" s="58" t="str">
        <f>작성용!O81</f>
        <v>구하영차장</v>
      </c>
      <c r="Y84" s="58" t="str">
        <f>작성용!P81</f>
        <v>02-3011-7002</v>
      </c>
      <c r="Z84" s="58" t="str">
        <f>작성용!Q81</f>
        <v>hyk@uckpartners.com</v>
      </c>
      <c r="AA84" s="56" t="str">
        <f>작성용!AJ81</f>
        <v>국민연금제출</v>
      </c>
      <c r="AB84" s="56">
        <f>작성용!AB81</f>
        <v>0</v>
      </c>
    </row>
    <row r="85" spans="1:28" s="12" customFormat="1" ht="16.5" hidden="1" customHeight="1" x14ac:dyDescent="0.3">
      <c r="A85" s="54">
        <f>작성용!AL82</f>
        <v>81</v>
      </c>
      <c r="B85" s="55" t="str">
        <f>작성용!AI82</f>
        <v>-</v>
      </c>
      <c r="C85" s="56" t="str">
        <f>작성용!AK82</f>
        <v>개별종목</v>
      </c>
      <c r="D85" s="57">
        <f>작성용!T82</f>
        <v>45548</v>
      </c>
      <c r="E85" s="58" t="str">
        <f>작성용!B82</f>
        <v>유씨케이파트너스(구,유니슨캐피탈사모투자전문회사)</v>
      </c>
      <c r="F85" s="58" t="str">
        <f>작성용!C82</f>
        <v>재평가</v>
      </c>
      <c r="G85" s="58" t="str">
        <f>작성용!D82</f>
        <v>오스템글로벌</v>
      </c>
      <c r="H85" s="59">
        <f>작성용!E82</f>
        <v>1201110801119</v>
      </c>
      <c r="I85" s="58" t="str">
        <f>작성용!F82</f>
        <v>A01</v>
      </c>
      <c r="J85" s="58">
        <f>작성용!G82</f>
        <v>0</v>
      </c>
      <c r="K85" s="58" t="str">
        <f>작성용!H82</f>
        <v>-</v>
      </c>
      <c r="L85" s="58" t="str">
        <f>작성용!N82</f>
        <v xml:space="preserve">분기 </v>
      </c>
      <c r="M85" s="57" t="str">
        <f>작성용!U82</f>
        <v>2024.09.30</v>
      </c>
      <c r="N85" s="57">
        <f>작성용!V82</f>
        <v>45604</v>
      </c>
      <c r="O85" s="57">
        <f>작성용!W82</f>
        <v>45610</v>
      </c>
      <c r="P85" s="57" t="str">
        <f>작성용!X82</f>
        <v>-</v>
      </c>
      <c r="Q85" s="58" t="str">
        <f>작성용!AD82</f>
        <v>이상민</v>
      </c>
      <c r="R85" s="60">
        <f>작성용!AE82</f>
        <v>1</v>
      </c>
      <c r="S85" s="58" t="str">
        <f>작성용!AF82</f>
        <v>이상민</v>
      </c>
      <c r="T85" s="61" t="str">
        <f>작성용!AG82</f>
        <v>김예림</v>
      </c>
      <c r="U85" s="61" t="str">
        <f>작성용!AH82</f>
        <v>김예림</v>
      </c>
      <c r="V85" s="56">
        <f>작성용!AA82</f>
        <v>202411</v>
      </c>
      <c r="W85" s="58" t="str">
        <f>작성용!AC82</f>
        <v>[Y]금융기관</v>
      </c>
      <c r="X85" s="58" t="str">
        <f>작성용!O82</f>
        <v>구하영차장</v>
      </c>
      <c r="Y85" s="58" t="str">
        <f>작성용!P82</f>
        <v>02-3011-7002</v>
      </c>
      <c r="Z85" s="58" t="str">
        <f>작성용!Q82</f>
        <v>hyk@uckpartners.com</v>
      </c>
      <c r="AA85" s="56" t="str">
        <f>작성용!AJ82</f>
        <v>국민연금제출</v>
      </c>
      <c r="AB85" s="56">
        <f>작성용!AB82</f>
        <v>0</v>
      </c>
    </row>
    <row r="86" spans="1:28" s="12" customFormat="1" ht="16.5" hidden="1" customHeight="1" x14ac:dyDescent="0.3">
      <c r="A86" s="54">
        <f>작성용!AL83</f>
        <v>82</v>
      </c>
      <c r="B86" s="55" t="str">
        <f>작성용!AI83</f>
        <v>-</v>
      </c>
      <c r="C86" s="56" t="str">
        <f>작성용!AK83</f>
        <v>개별종목</v>
      </c>
      <c r="D86" s="57">
        <f>작성용!T83</f>
        <v>45548</v>
      </c>
      <c r="E86" s="58" t="str">
        <f>작성용!B83</f>
        <v>유씨케이파트너스(구,유니슨캐피탈사모투자전문회사)</v>
      </c>
      <c r="F86" s="58" t="str">
        <f>작성용!C83</f>
        <v>재평가</v>
      </c>
      <c r="G86" s="58" t="str">
        <f>작성용!D83</f>
        <v>코잔</v>
      </c>
      <c r="H86" s="59">
        <f>작성용!E83</f>
        <v>1101116335289</v>
      </c>
      <c r="I86" s="58" t="str">
        <f>작성용!F83</f>
        <v>A01</v>
      </c>
      <c r="J86" s="58">
        <f>작성용!G83</f>
        <v>0</v>
      </c>
      <c r="K86" s="58" t="str">
        <f>작성용!H83</f>
        <v>-</v>
      </c>
      <c r="L86" s="58" t="str">
        <f>작성용!N83</f>
        <v xml:space="preserve">분기 </v>
      </c>
      <c r="M86" s="57" t="str">
        <f>작성용!U83</f>
        <v>2024.09.30</v>
      </c>
      <c r="N86" s="57">
        <f>작성용!V83</f>
        <v>45604</v>
      </c>
      <c r="O86" s="57">
        <f>작성용!W83</f>
        <v>45610</v>
      </c>
      <c r="P86" s="57" t="str">
        <f>작성용!X83</f>
        <v>-</v>
      </c>
      <c r="Q86" s="58" t="str">
        <f>작성용!AD83</f>
        <v>이진주</v>
      </c>
      <c r="R86" s="60">
        <f>작성용!AE83</f>
        <v>1</v>
      </c>
      <c r="S86" s="58" t="str">
        <f>작성용!AF83</f>
        <v>이진주</v>
      </c>
      <c r="T86" s="61" t="str">
        <f>작성용!AG83</f>
        <v>김예림</v>
      </c>
      <c r="U86" s="61" t="str">
        <f>작성용!AH83</f>
        <v>김예림</v>
      </c>
      <c r="V86" s="56">
        <f>작성용!AA83</f>
        <v>202411</v>
      </c>
      <c r="W86" s="58" t="str">
        <f>작성용!AC83</f>
        <v>[Y]금융기관</v>
      </c>
      <c r="X86" s="58" t="str">
        <f>작성용!O83</f>
        <v>구하영차장</v>
      </c>
      <c r="Y86" s="58" t="str">
        <f>작성용!P83</f>
        <v>02-3011-7002</v>
      </c>
      <c r="Z86" s="58" t="str">
        <f>작성용!Q83</f>
        <v>hyk@uckpartners.com</v>
      </c>
      <c r="AA86" s="56" t="str">
        <f>작성용!AJ83</f>
        <v>국민연금제출</v>
      </c>
      <c r="AB86" s="56">
        <f>작성용!AB83</f>
        <v>0</v>
      </c>
    </row>
    <row r="87" spans="1:28" s="12" customFormat="1" ht="16.5" hidden="1" customHeight="1" x14ac:dyDescent="0.3">
      <c r="A87" s="54">
        <f>작성용!AL84</f>
        <v>83</v>
      </c>
      <c r="B87" s="55" t="str">
        <f>작성용!AI84</f>
        <v>-</v>
      </c>
      <c r="C87" s="56" t="str">
        <f>작성용!AK84</f>
        <v>개별종목</v>
      </c>
      <c r="D87" s="57">
        <f>작성용!T84</f>
        <v>45548</v>
      </c>
      <c r="E87" s="58" t="str">
        <f>작성용!B84</f>
        <v>유씨케이파트너스(구,유니슨캐피탈사모투자전문회사)</v>
      </c>
      <c r="F87" s="58" t="str">
        <f>작성용!C84</f>
        <v>재평가</v>
      </c>
      <c r="G87" s="58" t="str">
        <f>작성용!D84</f>
        <v>오스템올소</v>
      </c>
      <c r="H87" s="59">
        <f>작성용!E84</f>
        <v>1358110113365</v>
      </c>
      <c r="I87" s="58" t="str">
        <f>작성용!F84</f>
        <v>A01</v>
      </c>
      <c r="J87" s="58">
        <f>작성용!G84</f>
        <v>0</v>
      </c>
      <c r="K87" s="58" t="str">
        <f>작성용!H84</f>
        <v>-</v>
      </c>
      <c r="L87" s="58" t="str">
        <f>작성용!N84</f>
        <v xml:space="preserve">분기 </v>
      </c>
      <c r="M87" s="57" t="str">
        <f>작성용!U84</f>
        <v>2024.09.30</v>
      </c>
      <c r="N87" s="57">
        <f>작성용!V84</f>
        <v>45604</v>
      </c>
      <c r="O87" s="57">
        <f>작성용!W84</f>
        <v>45610</v>
      </c>
      <c r="P87" s="57" t="str">
        <f>작성용!X84</f>
        <v>-</v>
      </c>
      <c r="Q87" s="58" t="str">
        <f>작성용!AD84</f>
        <v>김에스더</v>
      </c>
      <c r="R87" s="60">
        <f>작성용!AE84</f>
        <v>1</v>
      </c>
      <c r="S87" s="58" t="str">
        <f>작성용!AF84</f>
        <v>김에스더</v>
      </c>
      <c r="T87" s="61" t="str">
        <f>작성용!AG84</f>
        <v>김예림</v>
      </c>
      <c r="U87" s="61" t="str">
        <f>작성용!AH84</f>
        <v>김예림</v>
      </c>
      <c r="V87" s="56">
        <f>작성용!AA84</f>
        <v>202411</v>
      </c>
      <c r="W87" s="58" t="str">
        <f>작성용!AC84</f>
        <v>[Y]금융기관</v>
      </c>
      <c r="X87" s="58" t="str">
        <f>작성용!O84</f>
        <v>구하영차장</v>
      </c>
      <c r="Y87" s="58" t="str">
        <f>작성용!P84</f>
        <v>02-3011-7002</v>
      </c>
      <c r="Z87" s="58" t="str">
        <f>작성용!Q84</f>
        <v>hyk@uckpartners.com</v>
      </c>
      <c r="AA87" s="56" t="str">
        <f>작성용!AJ84</f>
        <v>국민연금제출</v>
      </c>
      <c r="AB87" s="56">
        <f>작성용!AB84</f>
        <v>0</v>
      </c>
    </row>
    <row r="88" spans="1:28" s="12" customFormat="1" ht="16.5" hidden="1" customHeight="1" x14ac:dyDescent="0.3">
      <c r="A88" s="54">
        <f>작성용!AL85</f>
        <v>84</v>
      </c>
      <c r="B88" s="55" t="str">
        <f>작성용!AI85</f>
        <v>-</v>
      </c>
      <c r="C88" s="56" t="str">
        <f>작성용!AK85</f>
        <v>개별종목</v>
      </c>
      <c r="D88" s="57">
        <f>작성용!T85</f>
        <v>45548</v>
      </c>
      <c r="E88" s="58" t="str">
        <f>작성용!B85</f>
        <v>유씨케이파트너스(구,유니슨캐피탈사모투자전문회사)</v>
      </c>
      <c r="F88" s="58" t="str">
        <f>작성용!C85</f>
        <v>재평가</v>
      </c>
      <c r="G88" s="58" t="str">
        <f>작성용!D85</f>
        <v>오스템파마</v>
      </c>
      <c r="H88" s="59">
        <f>작성용!E85</f>
        <v>1101115657775</v>
      </c>
      <c r="I88" s="58" t="str">
        <f>작성용!F85</f>
        <v>A01</v>
      </c>
      <c r="J88" s="58">
        <f>작성용!G85</f>
        <v>0</v>
      </c>
      <c r="K88" s="58" t="str">
        <f>작성용!H85</f>
        <v>-</v>
      </c>
      <c r="L88" s="58" t="str">
        <f>작성용!N85</f>
        <v xml:space="preserve">분기 </v>
      </c>
      <c r="M88" s="57" t="str">
        <f>작성용!U85</f>
        <v>2024.09.30</v>
      </c>
      <c r="N88" s="57">
        <f>작성용!V85</f>
        <v>45604</v>
      </c>
      <c r="O88" s="57">
        <f>작성용!W85</f>
        <v>45610</v>
      </c>
      <c r="P88" s="57" t="str">
        <f>작성용!X85</f>
        <v>-</v>
      </c>
      <c r="Q88" s="58" t="str">
        <f>작성용!AD85</f>
        <v>윤광일</v>
      </c>
      <c r="R88" s="60">
        <f>작성용!AE85</f>
        <v>1</v>
      </c>
      <c r="S88" s="58" t="str">
        <f>작성용!AF85</f>
        <v>윤광일</v>
      </c>
      <c r="T88" s="61" t="str">
        <f>작성용!AG85</f>
        <v>김예림</v>
      </c>
      <c r="U88" s="61" t="str">
        <f>작성용!AH85</f>
        <v>김예림</v>
      </c>
      <c r="V88" s="56">
        <f>작성용!AA85</f>
        <v>202411</v>
      </c>
      <c r="W88" s="58" t="str">
        <f>작성용!AC85</f>
        <v>[Y]금융기관</v>
      </c>
      <c r="X88" s="58" t="str">
        <f>작성용!O85</f>
        <v>구하영차장</v>
      </c>
      <c r="Y88" s="58" t="str">
        <f>작성용!P85</f>
        <v>02-3011-7002</v>
      </c>
      <c r="Z88" s="58" t="str">
        <f>작성용!Q85</f>
        <v>hyk@uckpartners.com</v>
      </c>
      <c r="AA88" s="56" t="str">
        <f>작성용!AJ85</f>
        <v>국민연금제출</v>
      </c>
      <c r="AB88" s="56">
        <f>작성용!AB85</f>
        <v>0</v>
      </c>
    </row>
    <row r="89" spans="1:28" s="12" customFormat="1" ht="16.5" hidden="1" customHeight="1" x14ac:dyDescent="0.3">
      <c r="A89" s="54">
        <f>작성용!AL86</f>
        <v>85</v>
      </c>
      <c r="B89" s="55" t="str">
        <f>작성용!AI86</f>
        <v>-</v>
      </c>
      <c r="C89" s="56" t="str">
        <f>작성용!AK86</f>
        <v>개별종목</v>
      </c>
      <c r="D89" s="57">
        <f>작성용!T86</f>
        <v>45554</v>
      </c>
      <c r="E89" s="58" t="str">
        <f>작성용!B86</f>
        <v>스톤브릿지캐피탈</v>
      </c>
      <c r="F89" s="58" t="str">
        <f>작성용!C86</f>
        <v>재평가</v>
      </c>
      <c r="G89" s="58" t="str">
        <f>작성용!D86</f>
        <v>Caris Life Sciences, Ltd.</v>
      </c>
      <c r="H89" s="59" t="str">
        <f>작성용!E86</f>
        <v>KBP2020090057</v>
      </c>
      <c r="I89" s="58" t="str">
        <f>작성용!F86</f>
        <v>A01</v>
      </c>
      <c r="J89" s="58">
        <f>작성용!G86</f>
        <v>0</v>
      </c>
      <c r="K89" s="58" t="str">
        <f>작성용!H86</f>
        <v>-</v>
      </c>
      <c r="L89" s="58" t="str">
        <f>작성용!N86</f>
        <v>분기</v>
      </c>
      <c r="M89" s="57" t="str">
        <f>작성용!U86</f>
        <v>2024.09.30</v>
      </c>
      <c r="N89" s="57">
        <f>작성용!V86</f>
        <v>45609</v>
      </c>
      <c r="O89" s="57">
        <f>작성용!W86</f>
        <v>45611</v>
      </c>
      <c r="P89" s="57" t="str">
        <f>작성용!X86</f>
        <v>-</v>
      </c>
      <c r="Q89" s="58" t="str">
        <f>작성용!AD86</f>
        <v>백형진</v>
      </c>
      <c r="R89" s="60">
        <f>작성용!AE86</f>
        <v>1</v>
      </c>
      <c r="S89" s="58" t="str">
        <f>작성용!AF86</f>
        <v>백형진</v>
      </c>
      <c r="T89" s="61" t="str">
        <f>작성용!AG86</f>
        <v>백형진</v>
      </c>
      <c r="U89" s="61" t="str">
        <f>작성용!AH86</f>
        <v>백형진</v>
      </c>
      <c r="V89" s="56">
        <f>작성용!AA86</f>
        <v>202411</v>
      </c>
      <c r="W89" s="58" t="str">
        <f>작성용!AC86</f>
        <v>[Y]금융기관</v>
      </c>
      <c r="X89" s="58" t="str">
        <f>작성용!O86</f>
        <v xml:space="preserve">주소영과장 </v>
      </c>
      <c r="Y89" s="58" t="str">
        <f>작성용!P86</f>
        <v xml:space="preserve">02-3496-6616 </v>
      </c>
      <c r="Z89" s="58" t="str">
        <f>작성용!Q86</f>
        <v>syju@stonebridge.co.kr</v>
      </c>
      <c r="AA89" s="56" t="str">
        <f>작성용!AJ86</f>
        <v>회계반영</v>
      </c>
      <c r="AB89" s="56">
        <f>작성용!AB86</f>
        <v>0</v>
      </c>
    </row>
    <row r="90" spans="1:28" s="12" customFormat="1" ht="16.5" hidden="1" customHeight="1" x14ac:dyDescent="0.3">
      <c r="A90" s="54">
        <f>작성용!AL87</f>
        <v>86</v>
      </c>
      <c r="B90" s="55" t="str">
        <f>작성용!AI87</f>
        <v>-</v>
      </c>
      <c r="C90" s="56" t="str">
        <f>작성용!AK87</f>
        <v>개별종목</v>
      </c>
      <c r="D90" s="57">
        <f>작성용!T87</f>
        <v>45554</v>
      </c>
      <c r="E90" s="58" t="str">
        <f>작성용!B87</f>
        <v>스톤브릿지캐피탈</v>
      </c>
      <c r="F90" s="58" t="str">
        <f>작성용!C87</f>
        <v>재평가</v>
      </c>
      <c r="G90" s="58" t="str">
        <f>작성용!D87</f>
        <v>Caris Life Sciences, Ltd.</v>
      </c>
      <c r="H90" s="59" t="str">
        <f>작성용!E87</f>
        <v>KBP2020090057</v>
      </c>
      <c r="I90" s="58" t="str">
        <f>작성용!F87</f>
        <v>A07</v>
      </c>
      <c r="J90" s="58">
        <f>작성용!G87</f>
        <v>0</v>
      </c>
      <c r="K90" s="58" t="str">
        <f>작성용!H87</f>
        <v>-</v>
      </c>
      <c r="L90" s="58" t="str">
        <f>작성용!N87</f>
        <v>분기</v>
      </c>
      <c r="M90" s="57" t="str">
        <f>작성용!U87</f>
        <v>2024.09.30</v>
      </c>
      <c r="N90" s="57">
        <f>작성용!V87</f>
        <v>45609</v>
      </c>
      <c r="O90" s="57">
        <f>작성용!W87</f>
        <v>45611</v>
      </c>
      <c r="P90" s="57" t="str">
        <f>작성용!X87</f>
        <v>-</v>
      </c>
      <c r="Q90" s="58" t="str">
        <f>작성용!AD87</f>
        <v>백형진</v>
      </c>
      <c r="R90" s="60">
        <f>작성용!AE87</f>
        <v>0</v>
      </c>
      <c r="S90" s="58" t="str">
        <f>작성용!AF87</f>
        <v>백형진</v>
      </c>
      <c r="T90" s="61" t="str">
        <f>작성용!AG87</f>
        <v>백형진</v>
      </c>
      <c r="U90" s="61" t="str">
        <f>작성용!AH87</f>
        <v>백형진</v>
      </c>
      <c r="V90" s="56">
        <f>작성용!AA87</f>
        <v>202411</v>
      </c>
      <c r="W90" s="58" t="str">
        <f>작성용!AC87</f>
        <v>[Y]금융기관</v>
      </c>
      <c r="X90" s="58" t="str">
        <f>작성용!O87</f>
        <v xml:space="preserve">주소영과장 </v>
      </c>
      <c r="Y90" s="58" t="str">
        <f>작성용!P87</f>
        <v xml:space="preserve">02-3496-6616 </v>
      </c>
      <c r="Z90" s="58" t="str">
        <f>작성용!Q87</f>
        <v>syju@stonebridge.co.kr</v>
      </c>
      <c r="AA90" s="56" t="str">
        <f>작성용!AJ87</f>
        <v>회계반영</v>
      </c>
      <c r="AB90" s="56">
        <f>작성용!AB87</f>
        <v>0</v>
      </c>
    </row>
    <row r="91" spans="1:28" s="12" customFormat="1" ht="16.5" hidden="1" customHeight="1" x14ac:dyDescent="0.3">
      <c r="A91" s="54">
        <f>작성용!AL88</f>
        <v>87</v>
      </c>
      <c r="B91" s="55" t="str">
        <f>작성용!AI88</f>
        <v>-</v>
      </c>
      <c r="C91" s="56" t="str">
        <f>작성용!AK88</f>
        <v>개별종목</v>
      </c>
      <c r="D91" s="57">
        <f>작성용!T88</f>
        <v>45554</v>
      </c>
      <c r="E91" s="58" t="str">
        <f>작성용!B88</f>
        <v>스톤브릿지캐피탈</v>
      </c>
      <c r="F91" s="58" t="str">
        <f>작성용!C88</f>
        <v>재평가</v>
      </c>
      <c r="G91" s="58" t="str">
        <f>작성용!D88</f>
        <v>구구스</v>
      </c>
      <c r="H91" s="59">
        <f>작성용!E88</f>
        <v>1101113351121</v>
      </c>
      <c r="I91" s="58" t="str">
        <f>작성용!F88</f>
        <v>A01</v>
      </c>
      <c r="J91" s="58">
        <f>작성용!G88</f>
        <v>0</v>
      </c>
      <c r="K91" s="58" t="str">
        <f>작성용!H88</f>
        <v>-</v>
      </c>
      <c r="L91" s="58" t="str">
        <f>작성용!N88</f>
        <v>분기</v>
      </c>
      <c r="M91" s="57" t="str">
        <f>작성용!U88</f>
        <v>2024.09.30</v>
      </c>
      <c r="N91" s="57">
        <f>작성용!V88</f>
        <v>45609</v>
      </c>
      <c r="O91" s="57">
        <f>작성용!W88</f>
        <v>45611</v>
      </c>
      <c r="P91" s="57" t="str">
        <f>작성용!X88</f>
        <v>-</v>
      </c>
      <c r="Q91" s="58" t="str">
        <f>작성용!AD88</f>
        <v>오영석</v>
      </c>
      <c r="R91" s="60">
        <f>작성용!AE88</f>
        <v>1</v>
      </c>
      <c r="S91" s="58" t="str">
        <f>작성용!AF88</f>
        <v>김범준</v>
      </c>
      <c r="T91" s="61" t="str">
        <f>작성용!AG88</f>
        <v>백형진</v>
      </c>
      <c r="U91" s="61" t="str">
        <f>작성용!AH88</f>
        <v>백형진</v>
      </c>
      <c r="V91" s="56">
        <f>작성용!AA88</f>
        <v>202411</v>
      </c>
      <c r="W91" s="58" t="str">
        <f>작성용!AC88</f>
        <v>[Y]금융기관</v>
      </c>
      <c r="X91" s="58" t="str">
        <f>작성용!O88</f>
        <v xml:space="preserve">주소영과장 </v>
      </c>
      <c r="Y91" s="58" t="str">
        <f>작성용!P88</f>
        <v xml:space="preserve">02-3496-6616 </v>
      </c>
      <c r="Z91" s="58" t="str">
        <f>작성용!Q88</f>
        <v xml:space="preserve">syju@stonebridge.co.kr </v>
      </c>
      <c r="AA91" s="56" t="str">
        <f>작성용!AJ88</f>
        <v>회계반영</v>
      </c>
      <c r="AB91" s="56">
        <f>작성용!AB88</f>
        <v>0</v>
      </c>
    </row>
    <row r="92" spans="1:28" s="12" customFormat="1" ht="16.5" hidden="1" customHeight="1" x14ac:dyDescent="0.3">
      <c r="A92" s="54">
        <f>작성용!AL89</f>
        <v>88</v>
      </c>
      <c r="B92" s="55" t="str">
        <f>작성용!AI89</f>
        <v>-</v>
      </c>
      <c r="C92" s="56" t="str">
        <f>작성용!AK89</f>
        <v>개별종목</v>
      </c>
      <c r="D92" s="57">
        <f>작성용!T89</f>
        <v>45554</v>
      </c>
      <c r="E92" s="58" t="str">
        <f>작성용!B89</f>
        <v>스톤브릿지캐피탈</v>
      </c>
      <c r="F92" s="58" t="str">
        <f>작성용!C89</f>
        <v>재평가</v>
      </c>
      <c r="G92" s="58" t="str">
        <f>작성용!D89</f>
        <v>리얼라이즈픽쳐스</v>
      </c>
      <c r="H92" s="59">
        <f>작성용!E89</f>
        <v>1101113383364</v>
      </c>
      <c r="I92" s="58" t="str">
        <f>작성용!F89</f>
        <v>A01</v>
      </c>
      <c r="J92" s="58">
        <f>작성용!G89</f>
        <v>0</v>
      </c>
      <c r="K92" s="58" t="str">
        <f>작성용!H89</f>
        <v>-</v>
      </c>
      <c r="L92" s="58" t="str">
        <f>작성용!N89</f>
        <v>분기</v>
      </c>
      <c r="M92" s="57" t="str">
        <f>작성용!U89</f>
        <v>2024.09.30</v>
      </c>
      <c r="N92" s="57">
        <f>작성용!V89</f>
        <v>45609</v>
      </c>
      <c r="O92" s="57">
        <f>작성용!W89</f>
        <v>45611</v>
      </c>
      <c r="P92" s="57" t="str">
        <f>작성용!X89</f>
        <v>-</v>
      </c>
      <c r="Q92" s="58" t="str">
        <f>작성용!AD89</f>
        <v>윤광일</v>
      </c>
      <c r="R92" s="60">
        <f>작성용!AE89</f>
        <v>1</v>
      </c>
      <c r="S92" s="58" t="str">
        <f>작성용!AF89</f>
        <v>윤광일</v>
      </c>
      <c r="T92" s="61" t="str">
        <f>작성용!AG89</f>
        <v>백형진</v>
      </c>
      <c r="U92" s="61" t="str">
        <f>작성용!AH89</f>
        <v>백형진</v>
      </c>
      <c r="V92" s="56">
        <f>작성용!AA89</f>
        <v>202411</v>
      </c>
      <c r="W92" s="58" t="str">
        <f>작성용!AC89</f>
        <v>[Y]금융기관</v>
      </c>
      <c r="X92" s="58" t="str">
        <f>작성용!O89</f>
        <v xml:space="preserve">주소영과장 </v>
      </c>
      <c r="Y92" s="58" t="str">
        <f>작성용!P89</f>
        <v xml:space="preserve">02-3496-6616 </v>
      </c>
      <c r="Z92" s="58" t="str">
        <f>작성용!Q89</f>
        <v xml:space="preserve">syju@stonebridge.co.kr </v>
      </c>
      <c r="AA92" s="56" t="str">
        <f>작성용!AJ89</f>
        <v>회계반영</v>
      </c>
      <c r="AB92" s="56">
        <f>작성용!AB89</f>
        <v>0</v>
      </c>
    </row>
    <row r="93" spans="1:28" s="12" customFormat="1" ht="16.5" hidden="1" customHeight="1" x14ac:dyDescent="0.3">
      <c r="A93" s="54">
        <f>작성용!AL90</f>
        <v>89</v>
      </c>
      <c r="B93" s="55" t="str">
        <f>작성용!AI90</f>
        <v>-</v>
      </c>
      <c r="C93" s="56" t="str">
        <f>작성용!AK90</f>
        <v>개별종목</v>
      </c>
      <c r="D93" s="57">
        <f>작성용!T90</f>
        <v>45554</v>
      </c>
      <c r="E93" s="58" t="str">
        <f>작성용!B90</f>
        <v>스톤브릿지캐피탈</v>
      </c>
      <c r="F93" s="58" t="str">
        <f>작성용!C90</f>
        <v>재평가</v>
      </c>
      <c r="G93" s="58" t="str">
        <f>작성용!D90</f>
        <v>바디프랜드</v>
      </c>
      <c r="H93" s="59">
        <f>작성용!E90</f>
        <v>1101113631036</v>
      </c>
      <c r="I93" s="58" t="str">
        <f>작성용!F90</f>
        <v>A01</v>
      </c>
      <c r="J93" s="58">
        <f>작성용!G90</f>
        <v>0</v>
      </c>
      <c r="K93" s="58" t="str">
        <f>작성용!H90</f>
        <v>-</v>
      </c>
      <c r="L93" s="58" t="str">
        <f>작성용!N90</f>
        <v xml:space="preserve">분기 </v>
      </c>
      <c r="M93" s="57" t="str">
        <f>작성용!U90</f>
        <v>2024.09.30</v>
      </c>
      <c r="N93" s="57">
        <f>작성용!V90</f>
        <v>45609</v>
      </c>
      <c r="O93" s="57">
        <f>작성용!W90</f>
        <v>45611</v>
      </c>
      <c r="P93" s="57" t="str">
        <f>작성용!X90</f>
        <v>-</v>
      </c>
      <c r="Q93" s="58" t="str">
        <f>작성용!AD90</f>
        <v>이현승</v>
      </c>
      <c r="R93" s="60">
        <f>작성용!AE90</f>
        <v>1</v>
      </c>
      <c r="S93" s="58" t="str">
        <f>작성용!AF90</f>
        <v>이현승</v>
      </c>
      <c r="T93" s="61" t="str">
        <f>작성용!AG90</f>
        <v>백형진</v>
      </c>
      <c r="U93" s="61" t="str">
        <f>작성용!AH90</f>
        <v>백형진</v>
      </c>
      <c r="V93" s="56">
        <f>작성용!AA90</f>
        <v>202411</v>
      </c>
      <c r="W93" s="58" t="str">
        <f>작성용!AC90</f>
        <v>[Y]금융기관</v>
      </c>
      <c r="X93" s="58" t="str">
        <f>작성용!O90</f>
        <v xml:space="preserve">주소영과장 </v>
      </c>
      <c r="Y93" s="58" t="str">
        <f>작성용!P90</f>
        <v xml:space="preserve">02-3496-6616 </v>
      </c>
      <c r="Z93" s="58" t="str">
        <f>작성용!Q90</f>
        <v xml:space="preserve">syju@stonebridge.co.kr </v>
      </c>
      <c r="AA93" s="56" t="str">
        <f>작성용!AJ90</f>
        <v>회계반영</v>
      </c>
      <c r="AB93" s="56">
        <f>작성용!AB90</f>
        <v>0</v>
      </c>
    </row>
    <row r="94" spans="1:28" s="12" customFormat="1" ht="16.5" hidden="1" customHeight="1" x14ac:dyDescent="0.3">
      <c r="A94" s="54">
        <f>작성용!AL91</f>
        <v>90</v>
      </c>
      <c r="B94" s="55" t="str">
        <f>작성용!AI91</f>
        <v>-</v>
      </c>
      <c r="C94" s="56" t="str">
        <f>작성용!AK91</f>
        <v>개별종목</v>
      </c>
      <c r="D94" s="57">
        <f>작성용!T91</f>
        <v>45554</v>
      </c>
      <c r="E94" s="58" t="str">
        <f>작성용!B91</f>
        <v>스톤브릿지캐피탈</v>
      </c>
      <c r="F94" s="58" t="str">
        <f>작성용!C91</f>
        <v>재평가</v>
      </c>
      <c r="G94" s="58" t="str">
        <f>작성용!D91</f>
        <v>비에프하트투자목적회사</v>
      </c>
      <c r="H94" s="59">
        <f>작성용!E91</f>
        <v>1101118176996</v>
      </c>
      <c r="I94" s="58" t="str">
        <f>작성용!F91</f>
        <v>A01</v>
      </c>
      <c r="J94" s="58">
        <f>작성용!G91</f>
        <v>0</v>
      </c>
      <c r="K94" s="58" t="str">
        <f>작성용!H91</f>
        <v>-</v>
      </c>
      <c r="L94" s="58" t="str">
        <f>작성용!N91</f>
        <v>분기</v>
      </c>
      <c r="M94" s="57" t="str">
        <f>작성용!U91</f>
        <v>2024.09.30</v>
      </c>
      <c r="N94" s="57">
        <f>작성용!V91</f>
        <v>45609</v>
      </c>
      <c r="O94" s="57">
        <f>작성용!W91</f>
        <v>45611</v>
      </c>
      <c r="P94" s="57" t="str">
        <f>작성용!X91</f>
        <v>-</v>
      </c>
      <c r="Q94" s="58" t="str">
        <f>작성용!AD91</f>
        <v>정은채</v>
      </c>
      <c r="R94" s="60">
        <f>작성용!AE91</f>
        <v>1</v>
      </c>
      <c r="S94" s="58" t="str">
        <f>작성용!AF91</f>
        <v>김범준</v>
      </c>
      <c r="T94" s="61" t="str">
        <f>작성용!AG91</f>
        <v>백형진</v>
      </c>
      <c r="U94" s="61" t="str">
        <f>작성용!AH91</f>
        <v>백형진</v>
      </c>
      <c r="V94" s="56">
        <f>작성용!AA91</f>
        <v>202411</v>
      </c>
      <c r="W94" s="58" t="str">
        <f>작성용!AC91</f>
        <v>[Y]금융기관</v>
      </c>
      <c r="X94" s="58" t="str">
        <f>작성용!O91</f>
        <v xml:space="preserve">주소영과장 </v>
      </c>
      <c r="Y94" s="58" t="str">
        <f>작성용!P91</f>
        <v xml:space="preserve">02-3496-6616 </v>
      </c>
      <c r="Z94" s="58" t="str">
        <f>작성용!Q91</f>
        <v xml:space="preserve">syju@stonebridge.co.kr </v>
      </c>
      <c r="AA94" s="56" t="str">
        <f>작성용!AJ91</f>
        <v>회계반영</v>
      </c>
      <c r="AB94" s="56">
        <f>작성용!AB91</f>
        <v>0</v>
      </c>
    </row>
    <row r="95" spans="1:28" s="12" customFormat="1" ht="16.5" hidden="1" customHeight="1" x14ac:dyDescent="0.3">
      <c r="A95" s="54">
        <f>작성용!AL92</f>
        <v>91</v>
      </c>
      <c r="B95" s="55" t="str">
        <f>작성용!AI92</f>
        <v>-</v>
      </c>
      <c r="C95" s="56" t="str">
        <f>작성용!AK92</f>
        <v>개별종목</v>
      </c>
      <c r="D95" s="57">
        <f>작성용!T92</f>
        <v>45554</v>
      </c>
      <c r="E95" s="58" t="str">
        <f>작성용!B92</f>
        <v>스톤브릿지캐피탈</v>
      </c>
      <c r="F95" s="58" t="str">
        <f>작성용!C92</f>
        <v>재평가</v>
      </c>
      <c r="G95" s="58" t="str">
        <f>작성용!D92</f>
        <v>비에프하트투자목적회사</v>
      </c>
      <c r="H95" s="59">
        <f>작성용!E92</f>
        <v>1101118176996</v>
      </c>
      <c r="I95" s="58" t="str">
        <f>작성용!F92</f>
        <v>A05</v>
      </c>
      <c r="J95" s="58">
        <f>작성용!G92</f>
        <v>0</v>
      </c>
      <c r="K95" s="58" t="str">
        <f>작성용!H92</f>
        <v>-</v>
      </c>
      <c r="L95" s="58" t="str">
        <f>작성용!N92</f>
        <v>분기</v>
      </c>
      <c r="M95" s="57" t="str">
        <f>작성용!U92</f>
        <v>2024.09.30</v>
      </c>
      <c r="N95" s="57">
        <f>작성용!V92</f>
        <v>45609</v>
      </c>
      <c r="O95" s="57">
        <f>작성용!W92</f>
        <v>45611</v>
      </c>
      <c r="P95" s="57" t="str">
        <f>작성용!X92</f>
        <v>-</v>
      </c>
      <c r="Q95" s="58" t="str">
        <f>작성용!AD92</f>
        <v>정은채</v>
      </c>
      <c r="R95" s="60">
        <f>작성용!AE92</f>
        <v>0</v>
      </c>
      <c r="S95" s="58" t="str">
        <f>작성용!AF92</f>
        <v>김범준</v>
      </c>
      <c r="T95" s="61" t="str">
        <f>작성용!AG92</f>
        <v>백형진</v>
      </c>
      <c r="U95" s="61" t="str">
        <f>작성용!AH92</f>
        <v>백형진</v>
      </c>
      <c r="V95" s="56">
        <f>작성용!AA92</f>
        <v>202411</v>
      </c>
      <c r="W95" s="58" t="str">
        <f>작성용!AC92</f>
        <v>[Y]금융기관</v>
      </c>
      <c r="X95" s="58" t="str">
        <f>작성용!O92</f>
        <v xml:space="preserve">주소영과장 </v>
      </c>
      <c r="Y95" s="58" t="str">
        <f>작성용!P92</f>
        <v xml:space="preserve">02-3496-6616 </v>
      </c>
      <c r="Z95" s="58" t="str">
        <f>작성용!Q92</f>
        <v xml:space="preserve">syju@stonebridge.co.kr </v>
      </c>
      <c r="AA95" s="56" t="str">
        <f>작성용!AJ92</f>
        <v>회계반영</v>
      </c>
      <c r="AB95" s="56">
        <f>작성용!AB92</f>
        <v>0</v>
      </c>
    </row>
    <row r="96" spans="1:28" s="12" customFormat="1" ht="16.5" hidden="1" customHeight="1" x14ac:dyDescent="0.3">
      <c r="A96" s="54">
        <f>작성용!AL93</f>
        <v>92</v>
      </c>
      <c r="B96" s="55" t="str">
        <f>작성용!AI93</f>
        <v>-</v>
      </c>
      <c r="C96" s="56" t="str">
        <f>작성용!AK93</f>
        <v>개별종목</v>
      </c>
      <c r="D96" s="57">
        <f>작성용!T93</f>
        <v>45554</v>
      </c>
      <c r="E96" s="58" t="str">
        <f>작성용!B93</f>
        <v>스톤브릿지캐피탈</v>
      </c>
      <c r="F96" s="58" t="str">
        <f>작성용!C93</f>
        <v>재평가</v>
      </c>
      <c r="G96" s="58" t="str">
        <f>작성용!D93</f>
        <v>비에프하트투자목적회사</v>
      </c>
      <c r="H96" s="59">
        <f>작성용!E93</f>
        <v>1101118176996</v>
      </c>
      <c r="I96" s="58" t="str">
        <f>작성용!F93</f>
        <v>A06</v>
      </c>
      <c r="J96" s="58">
        <f>작성용!G93</f>
        <v>0</v>
      </c>
      <c r="K96" s="58" t="str">
        <f>작성용!H93</f>
        <v>-</v>
      </c>
      <c r="L96" s="58" t="str">
        <f>작성용!N93</f>
        <v>분기</v>
      </c>
      <c r="M96" s="57" t="str">
        <f>작성용!U93</f>
        <v>2024.09.30</v>
      </c>
      <c r="N96" s="57">
        <f>작성용!V93</f>
        <v>45609</v>
      </c>
      <c r="O96" s="57">
        <f>작성용!W93</f>
        <v>45611</v>
      </c>
      <c r="P96" s="57" t="str">
        <f>작성용!X93</f>
        <v>-</v>
      </c>
      <c r="Q96" s="58" t="str">
        <f>작성용!AD93</f>
        <v>정은채</v>
      </c>
      <c r="R96" s="60">
        <f>작성용!AE93</f>
        <v>0</v>
      </c>
      <c r="S96" s="58" t="str">
        <f>작성용!AF93</f>
        <v>김범준</v>
      </c>
      <c r="T96" s="61" t="str">
        <f>작성용!AG93</f>
        <v>백형진</v>
      </c>
      <c r="U96" s="61" t="str">
        <f>작성용!AH93</f>
        <v>백형진</v>
      </c>
      <c r="V96" s="56">
        <f>작성용!AA93</f>
        <v>202411</v>
      </c>
      <c r="W96" s="58" t="str">
        <f>작성용!AC93</f>
        <v>[Y]금융기관</v>
      </c>
      <c r="X96" s="58" t="str">
        <f>작성용!O93</f>
        <v xml:space="preserve">주소영과장 </v>
      </c>
      <c r="Y96" s="58" t="str">
        <f>작성용!P93</f>
        <v xml:space="preserve">02-3496-6616 </v>
      </c>
      <c r="Z96" s="58" t="str">
        <f>작성용!Q93</f>
        <v xml:space="preserve">syju@stonebridge.co.kr </v>
      </c>
      <c r="AA96" s="56" t="str">
        <f>작성용!AJ93</f>
        <v>회계반영</v>
      </c>
      <c r="AB96" s="56">
        <f>작성용!AB93</f>
        <v>0</v>
      </c>
    </row>
    <row r="97" spans="1:28" s="12" customFormat="1" ht="16.5" hidden="1" customHeight="1" x14ac:dyDescent="0.3">
      <c r="A97" s="54">
        <f>작성용!AL94</f>
        <v>93</v>
      </c>
      <c r="B97" s="55" t="str">
        <f>작성용!AI94</f>
        <v>-</v>
      </c>
      <c r="C97" s="56" t="str">
        <f>작성용!AK94</f>
        <v>개별종목</v>
      </c>
      <c r="D97" s="57">
        <f>작성용!T94</f>
        <v>45554</v>
      </c>
      <c r="E97" s="58" t="str">
        <f>작성용!B94</f>
        <v>스톤브릿지캐피탈</v>
      </c>
      <c r="F97" s="58" t="str">
        <f>작성용!C94</f>
        <v>재평가</v>
      </c>
      <c r="G97" s="58" t="str">
        <f>작성용!D94</f>
        <v>에이스냉장</v>
      </c>
      <c r="H97" s="59">
        <f>작성용!E94</f>
        <v>1101117782794</v>
      </c>
      <c r="I97" s="58" t="str">
        <f>작성용!F94</f>
        <v>A01</v>
      </c>
      <c r="J97" s="58">
        <f>작성용!G94</f>
        <v>0</v>
      </c>
      <c r="K97" s="58" t="str">
        <f>작성용!H94</f>
        <v>-</v>
      </c>
      <c r="L97" s="58" t="str">
        <f>작성용!N94</f>
        <v>분기</v>
      </c>
      <c r="M97" s="57" t="str">
        <f>작성용!U94</f>
        <v>2024.09.30</v>
      </c>
      <c r="N97" s="57">
        <f>작성용!V94</f>
        <v>45609</v>
      </c>
      <c r="O97" s="57">
        <f>작성용!W94</f>
        <v>45611</v>
      </c>
      <c r="P97" s="57" t="str">
        <f>작성용!X94</f>
        <v>-</v>
      </c>
      <c r="Q97" s="58" t="str">
        <f>작성용!AD94</f>
        <v>김수현</v>
      </c>
      <c r="R97" s="60">
        <f>작성용!AE94</f>
        <v>1</v>
      </c>
      <c r="S97" s="58" t="str">
        <f>작성용!AF94</f>
        <v>김수현</v>
      </c>
      <c r="T97" s="61" t="str">
        <f>작성용!AG94</f>
        <v>백형진</v>
      </c>
      <c r="U97" s="61" t="str">
        <f>작성용!AH94</f>
        <v>백형진</v>
      </c>
      <c r="V97" s="56">
        <f>작성용!AA94</f>
        <v>202411</v>
      </c>
      <c r="W97" s="58" t="str">
        <f>작성용!AC94</f>
        <v>[Y]금융기관</v>
      </c>
      <c r="X97" s="58" t="str">
        <f>작성용!O94</f>
        <v xml:space="preserve">주소영과장 </v>
      </c>
      <c r="Y97" s="58" t="str">
        <f>작성용!P94</f>
        <v xml:space="preserve">02-3496-6616 </v>
      </c>
      <c r="Z97" s="58" t="str">
        <f>작성용!Q94</f>
        <v xml:space="preserve">syju@stonebridge.co.kr </v>
      </c>
      <c r="AA97" s="56" t="str">
        <f>작성용!AJ94</f>
        <v>회계반영</v>
      </c>
      <c r="AB97" s="56">
        <f>작성용!AB94</f>
        <v>0</v>
      </c>
    </row>
    <row r="98" spans="1:28" s="12" customFormat="1" ht="16.5" hidden="1" customHeight="1" x14ac:dyDescent="0.3">
      <c r="A98" s="54">
        <f>작성용!AL95</f>
        <v>94</v>
      </c>
      <c r="B98" s="55" t="str">
        <f>작성용!AI95</f>
        <v>-</v>
      </c>
      <c r="C98" s="56" t="str">
        <f>작성용!AK95</f>
        <v>개별종목</v>
      </c>
      <c r="D98" s="57">
        <f>작성용!T95</f>
        <v>45554</v>
      </c>
      <c r="E98" s="58" t="str">
        <f>작성용!B95</f>
        <v>스톤브릿지캐피탈</v>
      </c>
      <c r="F98" s="58" t="str">
        <f>작성용!C95</f>
        <v>재평가</v>
      </c>
      <c r="G98" s="58" t="str">
        <f>작성용!D95</f>
        <v>유진소닉</v>
      </c>
      <c r="H98" s="59">
        <f>작성용!E95</f>
        <v>1101116069705</v>
      </c>
      <c r="I98" s="58" t="str">
        <f>작성용!F95</f>
        <v>A01</v>
      </c>
      <c r="J98" s="58">
        <f>작성용!G95</f>
        <v>0</v>
      </c>
      <c r="K98" s="58" t="str">
        <f>작성용!H95</f>
        <v>-</v>
      </c>
      <c r="L98" s="58" t="str">
        <f>작성용!N95</f>
        <v>분기</v>
      </c>
      <c r="M98" s="57" t="str">
        <f>작성용!U95</f>
        <v>2024.09.30</v>
      </c>
      <c r="N98" s="57">
        <f>작성용!V95</f>
        <v>45609</v>
      </c>
      <c r="O98" s="57">
        <f>작성용!W95</f>
        <v>45611</v>
      </c>
      <c r="P98" s="57" t="str">
        <f>작성용!X95</f>
        <v>-</v>
      </c>
      <c r="Q98" s="58" t="str">
        <f>작성용!AD95</f>
        <v>채동우</v>
      </c>
      <c r="R98" s="60">
        <f>작성용!AE95</f>
        <v>1</v>
      </c>
      <c r="S98" s="58" t="str">
        <f>작성용!AF95</f>
        <v>채동우</v>
      </c>
      <c r="T98" s="61" t="str">
        <f>작성용!AG95</f>
        <v>백형진</v>
      </c>
      <c r="U98" s="61" t="str">
        <f>작성용!AH95</f>
        <v>백형진</v>
      </c>
      <c r="V98" s="56">
        <f>작성용!AA95</f>
        <v>202411</v>
      </c>
      <c r="W98" s="58" t="str">
        <f>작성용!AC95</f>
        <v>[Y]금융기관</v>
      </c>
      <c r="X98" s="58" t="str">
        <f>작성용!O95</f>
        <v xml:space="preserve">주소영과장 </v>
      </c>
      <c r="Y98" s="58" t="str">
        <f>작성용!P95</f>
        <v xml:space="preserve">02-3496-6616 </v>
      </c>
      <c r="Z98" s="58" t="str">
        <f>작성용!Q95</f>
        <v>syju@stonebridge.co.kr</v>
      </c>
      <c r="AA98" s="56" t="str">
        <f>작성용!AJ95</f>
        <v>회계반영</v>
      </c>
      <c r="AB98" s="56">
        <f>작성용!AB95</f>
        <v>0</v>
      </c>
    </row>
    <row r="99" spans="1:28" s="12" customFormat="1" ht="16.5" hidden="1" customHeight="1" x14ac:dyDescent="0.3">
      <c r="A99" s="54">
        <f>작성용!AL96</f>
        <v>95</v>
      </c>
      <c r="B99" s="55" t="str">
        <f>작성용!AI96</f>
        <v>-</v>
      </c>
      <c r="C99" s="56" t="str">
        <f>작성용!AK96</f>
        <v>개별종목</v>
      </c>
      <c r="D99" s="57">
        <f>작성용!T96</f>
        <v>45554</v>
      </c>
      <c r="E99" s="58" t="str">
        <f>작성용!B96</f>
        <v>스톤브릿지캐피탈</v>
      </c>
      <c r="F99" s="58" t="str">
        <f>작성용!C96</f>
        <v>재평가</v>
      </c>
      <c r="G99" s="58" t="str">
        <f>작성용!D96</f>
        <v>유진소닉</v>
      </c>
      <c r="H99" s="59">
        <f>작성용!E96</f>
        <v>1101116069705</v>
      </c>
      <c r="I99" s="58" t="str">
        <f>작성용!F96</f>
        <v>A07</v>
      </c>
      <c r="J99" s="58">
        <f>작성용!G96</f>
        <v>0</v>
      </c>
      <c r="K99" s="58" t="str">
        <f>작성용!H96</f>
        <v>-</v>
      </c>
      <c r="L99" s="58" t="str">
        <f>작성용!N96</f>
        <v>분기</v>
      </c>
      <c r="M99" s="57" t="str">
        <f>작성용!U96</f>
        <v>2024.09.30</v>
      </c>
      <c r="N99" s="57">
        <f>작성용!V96</f>
        <v>45609</v>
      </c>
      <c r="O99" s="57">
        <f>작성용!W96</f>
        <v>45611</v>
      </c>
      <c r="P99" s="57" t="str">
        <f>작성용!X96</f>
        <v>-</v>
      </c>
      <c r="Q99" s="58" t="str">
        <f>작성용!AD96</f>
        <v>채동우</v>
      </c>
      <c r="R99" s="60">
        <f>작성용!AE96</f>
        <v>0</v>
      </c>
      <c r="S99" s="58" t="str">
        <f>작성용!AF96</f>
        <v>채동우</v>
      </c>
      <c r="T99" s="61" t="str">
        <f>작성용!AG96</f>
        <v>백형진</v>
      </c>
      <c r="U99" s="61" t="str">
        <f>작성용!AH96</f>
        <v>백형진</v>
      </c>
      <c r="V99" s="56">
        <f>작성용!AA96</f>
        <v>202411</v>
      </c>
      <c r="W99" s="58" t="str">
        <f>작성용!AC96</f>
        <v>[Y]금융기관</v>
      </c>
      <c r="X99" s="58" t="str">
        <f>작성용!O96</f>
        <v xml:space="preserve">주소영과장 </v>
      </c>
      <c r="Y99" s="58" t="str">
        <f>작성용!P96</f>
        <v xml:space="preserve">02-3496-6616 </v>
      </c>
      <c r="Z99" s="58" t="str">
        <f>작성용!Q96</f>
        <v>syju@stonebridge.co.kr</v>
      </c>
      <c r="AA99" s="56" t="str">
        <f>작성용!AJ96</f>
        <v>회계반영</v>
      </c>
      <c r="AB99" s="56">
        <f>작성용!AB96</f>
        <v>0</v>
      </c>
    </row>
    <row r="100" spans="1:28" s="12" customFormat="1" ht="16.5" hidden="1" customHeight="1" x14ac:dyDescent="0.3">
      <c r="A100" s="54">
        <f>작성용!AL97</f>
        <v>96</v>
      </c>
      <c r="B100" s="55" t="str">
        <f>작성용!AI97</f>
        <v>-</v>
      </c>
      <c r="C100" s="56" t="str">
        <f>작성용!AK97</f>
        <v>개별종목</v>
      </c>
      <c r="D100" s="57">
        <f>작성용!T97</f>
        <v>45554</v>
      </c>
      <c r="E100" s="58" t="str">
        <f>작성용!B97</f>
        <v>스톤브릿지캐피탈</v>
      </c>
      <c r="F100" s="58" t="str">
        <f>작성용!C97</f>
        <v>재평가</v>
      </c>
      <c r="G100" s="58" t="str">
        <f>작성용!D97</f>
        <v>카카오브이엑스</v>
      </c>
      <c r="H100" s="59">
        <f>작성용!E97</f>
        <v>1311110318343</v>
      </c>
      <c r="I100" s="58" t="str">
        <f>작성용!F97</f>
        <v>A01</v>
      </c>
      <c r="J100" s="58">
        <f>작성용!G97</f>
        <v>0</v>
      </c>
      <c r="K100" s="58" t="str">
        <f>작성용!H97</f>
        <v>-</v>
      </c>
      <c r="L100" s="58" t="str">
        <f>작성용!N97</f>
        <v>분기</v>
      </c>
      <c r="M100" s="57" t="str">
        <f>작성용!U97</f>
        <v>2024.09.30</v>
      </c>
      <c r="N100" s="57">
        <f>작성용!V97</f>
        <v>45609</v>
      </c>
      <c r="O100" s="57">
        <f>작성용!W97</f>
        <v>45611</v>
      </c>
      <c r="P100" s="57" t="str">
        <f>작성용!X97</f>
        <v>-</v>
      </c>
      <c r="Q100" s="58" t="str">
        <f>작성용!AD97</f>
        <v>정재형</v>
      </c>
      <c r="R100" s="60">
        <f>작성용!AE97</f>
        <v>1</v>
      </c>
      <c r="S100" s="58" t="str">
        <f>작성용!AF97</f>
        <v>정재형</v>
      </c>
      <c r="T100" s="61" t="str">
        <f>작성용!AG97</f>
        <v>백형진</v>
      </c>
      <c r="U100" s="61" t="str">
        <f>작성용!AH97</f>
        <v>백형진</v>
      </c>
      <c r="V100" s="56">
        <f>작성용!AA97</f>
        <v>202411</v>
      </c>
      <c r="W100" s="58" t="str">
        <f>작성용!AC97</f>
        <v>[Y]금융기관</v>
      </c>
      <c r="X100" s="58" t="str">
        <f>작성용!O97</f>
        <v xml:space="preserve">주소영과장 </v>
      </c>
      <c r="Y100" s="58" t="str">
        <f>작성용!P97</f>
        <v xml:space="preserve">02-3496-6616 </v>
      </c>
      <c r="Z100" s="58" t="str">
        <f>작성용!Q97</f>
        <v xml:space="preserve">syju@stonebridge.co.kr </v>
      </c>
      <c r="AA100" s="56" t="str">
        <f>작성용!AJ97</f>
        <v>회계반영</v>
      </c>
      <c r="AB100" s="56">
        <f>작성용!AB97</f>
        <v>0</v>
      </c>
    </row>
    <row r="101" spans="1:28" s="12" customFormat="1" ht="16.5" hidden="1" customHeight="1" x14ac:dyDescent="0.3">
      <c r="A101" s="54">
        <f>작성용!AL98</f>
        <v>97</v>
      </c>
      <c r="B101" s="55" t="str">
        <f>작성용!AI98</f>
        <v>-</v>
      </c>
      <c r="C101" s="56" t="str">
        <f>작성용!AK98</f>
        <v>개별종목</v>
      </c>
      <c r="D101" s="57">
        <f>작성용!T98</f>
        <v>45554</v>
      </c>
      <c r="E101" s="58" t="str">
        <f>작성용!B98</f>
        <v>스톤브릿지캐피탈</v>
      </c>
      <c r="F101" s="58" t="str">
        <f>작성용!C98</f>
        <v>재평가</v>
      </c>
      <c r="G101" s="58" t="str">
        <f>작성용!D98</f>
        <v>케이에스넷</v>
      </c>
      <c r="H101" s="59">
        <f>작성용!E98</f>
        <v>1101111841009</v>
      </c>
      <c r="I101" s="58" t="str">
        <f>작성용!F98</f>
        <v>A01</v>
      </c>
      <c r="J101" s="58">
        <f>작성용!G98</f>
        <v>0</v>
      </c>
      <c r="K101" s="58" t="str">
        <f>작성용!H98</f>
        <v>-</v>
      </c>
      <c r="L101" s="58" t="str">
        <f>작성용!N98</f>
        <v xml:space="preserve">분기 </v>
      </c>
      <c r="M101" s="57" t="str">
        <f>작성용!U98</f>
        <v>2024.09.30</v>
      </c>
      <c r="N101" s="57">
        <f>작성용!V98</f>
        <v>45609</v>
      </c>
      <c r="O101" s="57">
        <f>작성용!W98</f>
        <v>45611</v>
      </c>
      <c r="P101" s="57" t="str">
        <f>작성용!X98</f>
        <v>-</v>
      </c>
      <c r="Q101" s="58" t="str">
        <f>작성용!AD98</f>
        <v>김영하</v>
      </c>
      <c r="R101" s="60">
        <f>작성용!AE98</f>
        <v>1.4</v>
      </c>
      <c r="S101" s="58" t="str">
        <f>작성용!AF98</f>
        <v>김영하</v>
      </c>
      <c r="T101" s="61" t="str">
        <f>작성용!AG98</f>
        <v>백형진</v>
      </c>
      <c r="U101" s="61" t="str">
        <f>작성용!AH98</f>
        <v>백형진</v>
      </c>
      <c r="V101" s="56">
        <f>작성용!AA98</f>
        <v>202411</v>
      </c>
      <c r="W101" s="58" t="str">
        <f>작성용!AC98</f>
        <v>[Y]금융기관</v>
      </c>
      <c r="X101" s="58" t="str">
        <f>작성용!O98</f>
        <v xml:space="preserve">주소영과장 </v>
      </c>
      <c r="Y101" s="58" t="str">
        <f>작성용!P98</f>
        <v xml:space="preserve">02-3496-6616 </v>
      </c>
      <c r="Z101" s="58" t="str">
        <f>작성용!Q98</f>
        <v>syju@stonebridge.co.kr</v>
      </c>
      <c r="AA101" s="56" t="str">
        <f>작성용!AJ98</f>
        <v>회계반영</v>
      </c>
      <c r="AB101" s="56">
        <f>작성용!AB98</f>
        <v>0</v>
      </c>
    </row>
    <row r="102" spans="1:28" s="12" customFormat="1" ht="16.5" hidden="1" customHeight="1" x14ac:dyDescent="0.3">
      <c r="A102" s="54">
        <f>작성용!AL99</f>
        <v>98</v>
      </c>
      <c r="B102" s="55" t="str">
        <f>작성용!AI99</f>
        <v>-</v>
      </c>
      <c r="C102" s="56" t="str">
        <f>작성용!AK99</f>
        <v>개별종목</v>
      </c>
      <c r="D102" s="57">
        <f>작성용!T99</f>
        <v>45554</v>
      </c>
      <c r="E102" s="58" t="str">
        <f>작성용!B99</f>
        <v>스톤브릿지캐피탈</v>
      </c>
      <c r="F102" s="58" t="str">
        <f>작성용!C99</f>
        <v>재평가</v>
      </c>
      <c r="G102" s="58" t="str">
        <f>작성용!D99</f>
        <v>클루커스</v>
      </c>
      <c r="H102" s="59">
        <f>작성용!E99</f>
        <v>1101116920717</v>
      </c>
      <c r="I102" s="58" t="str">
        <f>작성용!F99</f>
        <v>A01</v>
      </c>
      <c r="J102" s="58">
        <f>작성용!G99</f>
        <v>0</v>
      </c>
      <c r="K102" s="58" t="str">
        <f>작성용!H99</f>
        <v>-</v>
      </c>
      <c r="L102" s="58" t="str">
        <f>작성용!N99</f>
        <v>분기</v>
      </c>
      <c r="M102" s="57" t="str">
        <f>작성용!U99</f>
        <v>2024.09.30</v>
      </c>
      <c r="N102" s="57">
        <f>작성용!V99</f>
        <v>45609</v>
      </c>
      <c r="O102" s="57">
        <f>작성용!W99</f>
        <v>45611</v>
      </c>
      <c r="P102" s="57" t="str">
        <f>작성용!X99</f>
        <v>-</v>
      </c>
      <c r="Q102" s="58" t="str">
        <f>작성용!AD99</f>
        <v>이상민</v>
      </c>
      <c r="R102" s="60">
        <f>작성용!AE99</f>
        <v>1</v>
      </c>
      <c r="S102" s="58" t="str">
        <f>작성용!AF99</f>
        <v>이상민</v>
      </c>
      <c r="T102" s="61" t="str">
        <f>작성용!AG99</f>
        <v>백형진</v>
      </c>
      <c r="U102" s="61" t="str">
        <f>작성용!AH99</f>
        <v>백형진</v>
      </c>
      <c r="V102" s="56">
        <f>작성용!AA99</f>
        <v>202411</v>
      </c>
      <c r="W102" s="58" t="str">
        <f>작성용!AC99</f>
        <v>[Y]금융기관</v>
      </c>
      <c r="X102" s="58" t="str">
        <f>작성용!O99</f>
        <v xml:space="preserve">주소영과장 </v>
      </c>
      <c r="Y102" s="58" t="str">
        <f>작성용!P99</f>
        <v xml:space="preserve">02-3496-6616 </v>
      </c>
      <c r="Z102" s="58" t="str">
        <f>작성용!Q99</f>
        <v xml:space="preserve">syju@stonebridge.co.kr </v>
      </c>
      <c r="AA102" s="56" t="str">
        <f>작성용!AJ99</f>
        <v>회계반영</v>
      </c>
      <c r="AB102" s="56">
        <f>작성용!AB99</f>
        <v>0</v>
      </c>
    </row>
    <row r="103" spans="1:28" s="12" customFormat="1" ht="16.5" hidden="1" customHeight="1" x14ac:dyDescent="0.3">
      <c r="A103" s="54">
        <f>작성용!AL100</f>
        <v>99</v>
      </c>
      <c r="B103" s="55" t="str">
        <f>작성용!AI100</f>
        <v>-</v>
      </c>
      <c r="C103" s="56" t="str">
        <f>작성용!AK100</f>
        <v>개별종목</v>
      </c>
      <c r="D103" s="57">
        <f>작성용!T100</f>
        <v>45554</v>
      </c>
      <c r="E103" s="58" t="str">
        <f>작성용!B100</f>
        <v>스톤브릿지캐피탈</v>
      </c>
      <c r="F103" s="58" t="str">
        <f>작성용!C100</f>
        <v>재평가</v>
      </c>
      <c r="G103" s="58" t="str">
        <f>작성용!D100</f>
        <v>클루커스</v>
      </c>
      <c r="H103" s="59">
        <f>작성용!E100</f>
        <v>1101116920717</v>
      </c>
      <c r="I103" s="58" t="str">
        <f>작성용!F100</f>
        <v>D02</v>
      </c>
      <c r="J103" s="58">
        <f>작성용!G100</f>
        <v>1</v>
      </c>
      <c r="K103" s="58" t="str">
        <f>작성용!H100</f>
        <v>-</v>
      </c>
      <c r="L103" s="58" t="str">
        <f>작성용!N100</f>
        <v>분기</v>
      </c>
      <c r="M103" s="57" t="str">
        <f>작성용!U100</f>
        <v>2024.09.30</v>
      </c>
      <c r="N103" s="57">
        <f>작성용!V100</f>
        <v>45609</v>
      </c>
      <c r="O103" s="57">
        <f>작성용!W100</f>
        <v>45611</v>
      </c>
      <c r="P103" s="57" t="str">
        <f>작성용!X100</f>
        <v>-</v>
      </c>
      <c r="Q103" s="58" t="str">
        <f>작성용!AD100</f>
        <v>이상민</v>
      </c>
      <c r="R103" s="60">
        <f>작성용!AE100</f>
        <v>0</v>
      </c>
      <c r="S103" s="58" t="str">
        <f>작성용!AF100</f>
        <v>이상민</v>
      </c>
      <c r="T103" s="61" t="str">
        <f>작성용!AG100</f>
        <v>백형진</v>
      </c>
      <c r="U103" s="61" t="str">
        <f>작성용!AH100</f>
        <v>백형진</v>
      </c>
      <c r="V103" s="56">
        <f>작성용!AA100</f>
        <v>202411</v>
      </c>
      <c r="W103" s="58" t="str">
        <f>작성용!AC100</f>
        <v>[Y]금융기관</v>
      </c>
      <c r="X103" s="58" t="str">
        <f>작성용!O100</f>
        <v xml:space="preserve">주소영과장 </v>
      </c>
      <c r="Y103" s="58" t="str">
        <f>작성용!P100</f>
        <v xml:space="preserve">02-3496-6616 </v>
      </c>
      <c r="Z103" s="58" t="str">
        <f>작성용!Q100</f>
        <v xml:space="preserve">syju@stonebridge.co.kr </v>
      </c>
      <c r="AA103" s="56" t="str">
        <f>작성용!AJ100</f>
        <v>회계반영</v>
      </c>
      <c r="AB103" s="56">
        <f>작성용!AB100</f>
        <v>0</v>
      </c>
    </row>
    <row r="104" spans="1:28" s="12" customFormat="1" ht="16.5" hidden="1" customHeight="1" x14ac:dyDescent="0.3">
      <c r="A104" s="54">
        <f>작성용!AL101</f>
        <v>100</v>
      </c>
      <c r="B104" s="55" t="str">
        <f>작성용!AI101</f>
        <v>-</v>
      </c>
      <c r="C104" s="56" t="str">
        <f>작성용!AK101</f>
        <v>개별종목</v>
      </c>
      <c r="D104" s="57">
        <f>작성용!T101</f>
        <v>45554</v>
      </c>
      <c r="E104" s="58" t="str">
        <f>작성용!B101</f>
        <v>스톤브릿지캐피탈</v>
      </c>
      <c r="F104" s="58" t="str">
        <f>작성용!C101</f>
        <v>재평가</v>
      </c>
      <c r="G104" s="58" t="str">
        <f>작성용!D101</f>
        <v>클루커스</v>
      </c>
      <c r="H104" s="59">
        <f>작성용!E101</f>
        <v>1101116920717</v>
      </c>
      <c r="I104" s="58" t="str">
        <f>작성용!F101</f>
        <v>A05</v>
      </c>
      <c r="J104" s="58">
        <f>작성용!G101</f>
        <v>0</v>
      </c>
      <c r="K104" s="58" t="str">
        <f>작성용!H101</f>
        <v>-</v>
      </c>
      <c r="L104" s="58" t="str">
        <f>작성용!N101</f>
        <v>분기</v>
      </c>
      <c r="M104" s="57" t="str">
        <f>작성용!U101</f>
        <v>2024.09.30</v>
      </c>
      <c r="N104" s="57">
        <f>작성용!V101</f>
        <v>45609</v>
      </c>
      <c r="O104" s="57">
        <f>작성용!W101</f>
        <v>45611</v>
      </c>
      <c r="P104" s="57" t="str">
        <f>작성용!X101</f>
        <v>-</v>
      </c>
      <c r="Q104" s="58" t="str">
        <f>작성용!AD101</f>
        <v>이상민</v>
      </c>
      <c r="R104" s="60">
        <f>작성용!AE101</f>
        <v>0</v>
      </c>
      <c r="S104" s="58" t="str">
        <f>작성용!AF101</f>
        <v>이상민</v>
      </c>
      <c r="T104" s="61" t="str">
        <f>작성용!AG101</f>
        <v>백형진</v>
      </c>
      <c r="U104" s="61" t="str">
        <f>작성용!AH101</f>
        <v>백형진</v>
      </c>
      <c r="V104" s="56">
        <f>작성용!AA101</f>
        <v>202411</v>
      </c>
      <c r="W104" s="58" t="str">
        <f>작성용!AC101</f>
        <v>[Y]금융기관</v>
      </c>
      <c r="X104" s="58" t="str">
        <f>작성용!O101</f>
        <v xml:space="preserve">주소영과장 </v>
      </c>
      <c r="Y104" s="58" t="str">
        <f>작성용!P101</f>
        <v xml:space="preserve">02-3496-6616 </v>
      </c>
      <c r="Z104" s="58" t="str">
        <f>작성용!Q101</f>
        <v xml:space="preserve">syju@stonebridge.co.kr </v>
      </c>
      <c r="AA104" s="56" t="str">
        <f>작성용!AJ101</f>
        <v>회계반영</v>
      </c>
      <c r="AB104" s="56">
        <f>작성용!AB101</f>
        <v>0</v>
      </c>
    </row>
    <row r="105" spans="1:28" s="12" customFormat="1" ht="16.5" hidden="1" customHeight="1" x14ac:dyDescent="0.3">
      <c r="A105" s="54">
        <f>작성용!AL102</f>
        <v>101</v>
      </c>
      <c r="B105" s="55" t="str">
        <f>작성용!AI102</f>
        <v>-</v>
      </c>
      <c r="C105" s="56" t="str">
        <f>작성용!AK102</f>
        <v>개별종목</v>
      </c>
      <c r="D105" s="57">
        <f>작성용!T102</f>
        <v>45554</v>
      </c>
      <c r="E105" s="58" t="str">
        <f>작성용!B102</f>
        <v>스톤브릿지캐피탈</v>
      </c>
      <c r="F105" s="58" t="str">
        <f>작성용!C102</f>
        <v>재평가</v>
      </c>
      <c r="G105" s="58" t="str">
        <f>작성용!D102</f>
        <v>클루커스</v>
      </c>
      <c r="H105" s="59">
        <f>작성용!E102</f>
        <v>1101116920717</v>
      </c>
      <c r="I105" s="58" t="str">
        <f>작성용!F102</f>
        <v>A05</v>
      </c>
      <c r="J105" s="58">
        <f>작성용!G102</f>
        <v>1</v>
      </c>
      <c r="K105" s="58" t="str">
        <f>작성용!H102</f>
        <v>-</v>
      </c>
      <c r="L105" s="58" t="str">
        <f>작성용!N102</f>
        <v>분기</v>
      </c>
      <c r="M105" s="57" t="str">
        <f>작성용!U102</f>
        <v>2024.09.30</v>
      </c>
      <c r="N105" s="57">
        <f>작성용!V102</f>
        <v>45609</v>
      </c>
      <c r="O105" s="57">
        <f>작성용!W102</f>
        <v>45611</v>
      </c>
      <c r="P105" s="57" t="str">
        <f>작성용!X102</f>
        <v>-</v>
      </c>
      <c r="Q105" s="58" t="str">
        <f>작성용!AD102</f>
        <v>이상민</v>
      </c>
      <c r="R105" s="60">
        <f>작성용!AE102</f>
        <v>0</v>
      </c>
      <c r="S105" s="58" t="str">
        <f>작성용!AF102</f>
        <v>이상민</v>
      </c>
      <c r="T105" s="61" t="str">
        <f>작성용!AG102</f>
        <v>백형진</v>
      </c>
      <c r="U105" s="61" t="str">
        <f>작성용!AH102</f>
        <v>백형진</v>
      </c>
      <c r="V105" s="56">
        <f>작성용!AA102</f>
        <v>202411</v>
      </c>
      <c r="W105" s="58" t="str">
        <f>작성용!AC102</f>
        <v>[Y]금융기관</v>
      </c>
      <c r="X105" s="58" t="str">
        <f>작성용!O102</f>
        <v xml:space="preserve">주소영과장 </v>
      </c>
      <c r="Y105" s="58" t="str">
        <f>작성용!P102</f>
        <v xml:space="preserve">02-3496-6616 </v>
      </c>
      <c r="Z105" s="58" t="str">
        <f>작성용!Q102</f>
        <v xml:space="preserve">syju@stonebridge.co.kr </v>
      </c>
      <c r="AA105" s="56" t="str">
        <f>작성용!AJ102</f>
        <v>회계반영</v>
      </c>
      <c r="AB105" s="56">
        <f>작성용!AB102</f>
        <v>0</v>
      </c>
    </row>
    <row r="106" spans="1:28" s="12" customFormat="1" ht="16.5" hidden="1" customHeight="1" x14ac:dyDescent="0.3">
      <c r="A106" s="54">
        <f>작성용!AL103</f>
        <v>102</v>
      </c>
      <c r="B106" s="55" t="str">
        <f>작성용!AI103</f>
        <v>-</v>
      </c>
      <c r="C106" s="56" t="str">
        <f>작성용!AK103</f>
        <v>개별종목</v>
      </c>
      <c r="D106" s="57">
        <f>작성용!T103</f>
        <v>45554</v>
      </c>
      <c r="E106" s="58" t="str">
        <f>작성용!B103</f>
        <v>스톤브릿지캐피탈</v>
      </c>
      <c r="F106" s="58" t="str">
        <f>작성용!C103</f>
        <v>재평가</v>
      </c>
      <c r="G106" s="58" t="str">
        <f>작성용!D103</f>
        <v>하이픈코퍼레이션</v>
      </c>
      <c r="H106" s="59">
        <f>작성용!E103</f>
        <v>1101118113881</v>
      </c>
      <c r="I106" s="58" t="str">
        <f>작성용!F103</f>
        <v>A01</v>
      </c>
      <c r="J106" s="58">
        <f>작성용!G103</f>
        <v>0</v>
      </c>
      <c r="K106" s="58" t="str">
        <f>작성용!H103</f>
        <v>-</v>
      </c>
      <c r="L106" s="58" t="str">
        <f>작성용!N103</f>
        <v>분기</v>
      </c>
      <c r="M106" s="57" t="str">
        <f>작성용!U103</f>
        <v>2024.09.30</v>
      </c>
      <c r="N106" s="57">
        <f>작성용!V103</f>
        <v>45609</v>
      </c>
      <c r="O106" s="57">
        <f>작성용!W103</f>
        <v>45611</v>
      </c>
      <c r="P106" s="57" t="str">
        <f>작성용!X103</f>
        <v>-</v>
      </c>
      <c r="Q106" s="58" t="str">
        <f>작성용!AD103</f>
        <v>이문수</v>
      </c>
      <c r="R106" s="60">
        <f>작성용!AE103</f>
        <v>1.4</v>
      </c>
      <c r="S106" s="58" t="str">
        <f>작성용!AF103</f>
        <v>이문수</v>
      </c>
      <c r="T106" s="61" t="str">
        <f>작성용!AG103</f>
        <v>백형진</v>
      </c>
      <c r="U106" s="61" t="str">
        <f>작성용!AH103</f>
        <v>백형진</v>
      </c>
      <c r="V106" s="56">
        <f>작성용!AA103</f>
        <v>202411</v>
      </c>
      <c r="W106" s="58" t="str">
        <f>작성용!AC103</f>
        <v>[Y]금융기관</v>
      </c>
      <c r="X106" s="58" t="str">
        <f>작성용!O103</f>
        <v xml:space="preserve">주소영과장 </v>
      </c>
      <c r="Y106" s="58" t="str">
        <f>작성용!P103</f>
        <v xml:space="preserve">02-3496-6616 </v>
      </c>
      <c r="Z106" s="58" t="str">
        <f>작성용!Q103</f>
        <v xml:space="preserve">syju@stonebridge.co.kr </v>
      </c>
      <c r="AA106" s="56" t="str">
        <f>작성용!AJ103</f>
        <v>회계반영</v>
      </c>
      <c r="AB106" s="56">
        <f>작성용!AB103</f>
        <v>0</v>
      </c>
    </row>
    <row r="107" spans="1:28" s="12" customFormat="1" ht="16.5" hidden="1" customHeight="1" x14ac:dyDescent="0.3">
      <c r="A107" s="54">
        <f>작성용!AL104</f>
        <v>103</v>
      </c>
      <c r="B107" s="55" t="str">
        <f>작성용!AI104</f>
        <v>-</v>
      </c>
      <c r="C107" s="56" t="str">
        <f>작성용!AK104</f>
        <v>개별종목</v>
      </c>
      <c r="D107" s="57">
        <f>작성용!T104</f>
        <v>45554</v>
      </c>
      <c r="E107" s="58" t="str">
        <f>작성용!B104</f>
        <v>스톤브릿지캐피탈</v>
      </c>
      <c r="F107" s="58" t="str">
        <f>작성용!C104</f>
        <v>재평가</v>
      </c>
      <c r="G107" s="58" t="str">
        <f>작성용!D104</f>
        <v>하이픈코퍼레이션</v>
      </c>
      <c r="H107" s="59">
        <f>작성용!E104</f>
        <v>1101118113881</v>
      </c>
      <c r="I107" s="58" t="str">
        <f>작성용!F104</f>
        <v>A07</v>
      </c>
      <c r="J107" s="58">
        <f>작성용!G104</f>
        <v>0</v>
      </c>
      <c r="K107" s="58" t="str">
        <f>작성용!H104</f>
        <v>-</v>
      </c>
      <c r="L107" s="58" t="str">
        <f>작성용!N104</f>
        <v>분기</v>
      </c>
      <c r="M107" s="57" t="str">
        <f>작성용!U104</f>
        <v>2024.09.30</v>
      </c>
      <c r="N107" s="57">
        <f>작성용!V104</f>
        <v>45609</v>
      </c>
      <c r="O107" s="57">
        <f>작성용!W104</f>
        <v>45611</v>
      </c>
      <c r="P107" s="57" t="str">
        <f>작성용!X104</f>
        <v>-</v>
      </c>
      <c r="Q107" s="58" t="str">
        <f>작성용!AD104</f>
        <v>이문수</v>
      </c>
      <c r="R107" s="60">
        <f>작성용!AE104</f>
        <v>0</v>
      </c>
      <c r="S107" s="58" t="str">
        <f>작성용!AF104</f>
        <v>이문수</v>
      </c>
      <c r="T107" s="61" t="str">
        <f>작성용!AG104</f>
        <v>백형진</v>
      </c>
      <c r="U107" s="61" t="str">
        <f>작성용!AH104</f>
        <v>백형진</v>
      </c>
      <c r="V107" s="56">
        <f>작성용!AA104</f>
        <v>202411</v>
      </c>
      <c r="W107" s="58" t="str">
        <f>작성용!AC104</f>
        <v>[Y]금융기관</v>
      </c>
      <c r="X107" s="58" t="str">
        <f>작성용!O104</f>
        <v xml:space="preserve">주소영과장 </v>
      </c>
      <c r="Y107" s="58" t="str">
        <f>작성용!P104</f>
        <v xml:space="preserve">02-3496-6616 </v>
      </c>
      <c r="Z107" s="58" t="str">
        <f>작성용!Q104</f>
        <v xml:space="preserve">syju@stonebridge.co.kr </v>
      </c>
      <c r="AA107" s="56" t="str">
        <f>작성용!AJ104</f>
        <v>회계반영</v>
      </c>
      <c r="AB107" s="56">
        <f>작성용!AB104</f>
        <v>0</v>
      </c>
    </row>
    <row r="108" spans="1:28" s="12" customFormat="1" ht="16.5" hidden="1" customHeight="1" x14ac:dyDescent="0.3">
      <c r="A108" s="54">
        <f>작성용!AL105</f>
        <v>104</v>
      </c>
      <c r="B108" s="55" t="str">
        <f>작성용!AI105</f>
        <v>-</v>
      </c>
      <c r="C108" s="56" t="str">
        <f>작성용!AK105</f>
        <v>개별종목</v>
      </c>
      <c r="D108" s="57">
        <f>작성용!T105</f>
        <v>45554</v>
      </c>
      <c r="E108" s="58" t="str">
        <f>작성용!B105</f>
        <v>스톤브릿지캐피탈</v>
      </c>
      <c r="F108" s="58" t="str">
        <f>작성용!C105</f>
        <v>재평가</v>
      </c>
      <c r="G108" s="58" t="str">
        <f>작성용!D105</f>
        <v>헬스밸런스</v>
      </c>
      <c r="H108" s="59">
        <f>작성용!E105</f>
        <v>1601110211344</v>
      </c>
      <c r="I108" s="58" t="str">
        <f>작성용!F105</f>
        <v>A01</v>
      </c>
      <c r="J108" s="58">
        <f>작성용!G105</f>
        <v>0</v>
      </c>
      <c r="K108" s="58" t="str">
        <f>작성용!H105</f>
        <v>-</v>
      </c>
      <c r="L108" s="58" t="str">
        <f>작성용!N105</f>
        <v>분기</v>
      </c>
      <c r="M108" s="57" t="str">
        <f>작성용!U105</f>
        <v>2024.09.30</v>
      </c>
      <c r="N108" s="57">
        <f>작성용!V105</f>
        <v>45609</v>
      </c>
      <c r="O108" s="57">
        <f>작성용!W105</f>
        <v>45611</v>
      </c>
      <c r="P108" s="57" t="str">
        <f>작성용!X105</f>
        <v>-</v>
      </c>
      <c r="Q108" s="58" t="str">
        <f>작성용!AD105</f>
        <v>백형진</v>
      </c>
      <c r="R108" s="60">
        <f>작성용!AE105</f>
        <v>1</v>
      </c>
      <c r="S108" s="58" t="str">
        <f>작성용!AF105</f>
        <v>백형진</v>
      </c>
      <c r="T108" s="61" t="str">
        <f>작성용!AG105</f>
        <v>백형진</v>
      </c>
      <c r="U108" s="61" t="str">
        <f>작성용!AH105</f>
        <v>백형진</v>
      </c>
      <c r="V108" s="56">
        <f>작성용!AA105</f>
        <v>202411</v>
      </c>
      <c r="W108" s="58" t="str">
        <f>작성용!AC105</f>
        <v>[Y]금융기관</v>
      </c>
      <c r="X108" s="58" t="str">
        <f>작성용!O105</f>
        <v xml:space="preserve">주소영과장 </v>
      </c>
      <c r="Y108" s="58" t="str">
        <f>작성용!P105</f>
        <v xml:space="preserve">02-3496-6616 </v>
      </c>
      <c r="Z108" s="58" t="str">
        <f>작성용!Q105</f>
        <v xml:space="preserve">syju@stonebridge.co.kr </v>
      </c>
      <c r="AA108" s="56" t="str">
        <f>작성용!AJ105</f>
        <v>회계반영</v>
      </c>
      <c r="AB108" s="56">
        <f>작성용!AB105</f>
        <v>0</v>
      </c>
    </row>
    <row r="109" spans="1:28" s="12" customFormat="1" ht="16.5" hidden="1" customHeight="1" x14ac:dyDescent="0.3">
      <c r="A109" s="54">
        <f>작성용!AL106</f>
        <v>105</v>
      </c>
      <c r="B109" s="55" t="str">
        <f>작성용!AI106</f>
        <v>MRC 최종본 : 2024-12-23</v>
      </c>
      <c r="C109" s="56" t="str">
        <f>작성용!AK106</f>
        <v>개별종목</v>
      </c>
      <c r="D109" s="57">
        <f>작성용!T106</f>
        <v>45555</v>
      </c>
      <c r="E109" s="58" t="str">
        <f>작성용!B106</f>
        <v>메이븐그로쓰파트너스</v>
      </c>
      <c r="F109" s="58" t="str">
        <f>작성용!C106</f>
        <v>재평가</v>
      </c>
      <c r="G109" s="58" t="str">
        <f>작성용!D106</f>
        <v>Beatclub Inc.</v>
      </c>
      <c r="H109" s="59" t="str">
        <f>작성용!E106</f>
        <v>KBP2023120195</v>
      </c>
      <c r="I109" s="58" t="str">
        <f>작성용!F106</f>
        <v>A05</v>
      </c>
      <c r="J109" s="58">
        <f>작성용!G106</f>
        <v>0</v>
      </c>
      <c r="K109" s="58" t="str">
        <f>작성용!H106</f>
        <v>-</v>
      </c>
      <c r="L109" s="58" t="str">
        <f>작성용!N106</f>
        <v>연말</v>
      </c>
      <c r="M109" s="57" t="str">
        <f>작성용!U106</f>
        <v>2024.09.30</v>
      </c>
      <c r="N109" s="57">
        <f>작성용!V106</f>
        <v>45642</v>
      </c>
      <c r="O109" s="57">
        <f>작성용!W106</f>
        <v>45649</v>
      </c>
      <c r="P109" s="57" t="str">
        <f>작성용!X106</f>
        <v>-</v>
      </c>
      <c r="Q109" s="58" t="str">
        <f>작성용!AD106</f>
        <v>서경덕</v>
      </c>
      <c r="R109" s="60">
        <f>작성용!AE106</f>
        <v>1</v>
      </c>
      <c r="S109" s="58" t="str">
        <f>작성용!AF106</f>
        <v>서경덕</v>
      </c>
      <c r="T109" s="61" t="str">
        <f>작성용!AG106</f>
        <v>최수민</v>
      </c>
      <c r="U109" s="61" t="str">
        <f>작성용!AH106</f>
        <v>최수민</v>
      </c>
      <c r="V109" s="56">
        <f>작성용!AA106</f>
        <v>202411</v>
      </c>
      <c r="W109" s="58" t="str">
        <f>작성용!AC106</f>
        <v>[Y]금융기관</v>
      </c>
      <c r="X109" s="58" t="str">
        <f>작성용!O106</f>
        <v>조건희이사</v>
      </c>
      <c r="Y109" s="58" t="str">
        <f>작성용!P106</f>
        <v>02-3442-2353, 010-7205-7358</v>
      </c>
      <c r="Z109" s="58" t="str">
        <f>작성용!Q106</f>
        <v>kcho@mvngp.com</v>
      </c>
      <c r="AA109" s="56" t="str">
        <f>작성용!AJ106</f>
        <v>회계반영/LP제출</v>
      </c>
      <c r="AB109" s="56">
        <f>작성용!AB106</f>
        <v>0</v>
      </c>
    </row>
    <row r="110" spans="1:28" s="12" customFormat="1" ht="16.5" hidden="1" customHeight="1" x14ac:dyDescent="0.3">
      <c r="A110" s="54">
        <f>작성용!AL107</f>
        <v>106</v>
      </c>
      <c r="B110" s="55" t="str">
        <f>작성용!AI107</f>
        <v>-</v>
      </c>
      <c r="C110" s="56" t="str">
        <f>작성용!AK107</f>
        <v>개별종목</v>
      </c>
      <c r="D110" s="57">
        <f>작성용!T107</f>
        <v>45555</v>
      </c>
      <c r="E110" s="58" t="str">
        <f>작성용!B107</f>
        <v>메이븐그로쓰파트너스</v>
      </c>
      <c r="F110" s="58" t="str">
        <f>작성용!C107</f>
        <v>재평가</v>
      </c>
      <c r="G110" s="58" t="str">
        <f>작성용!D107</f>
        <v>Beatclub Inc.</v>
      </c>
      <c r="H110" s="59" t="str">
        <f>작성용!E107</f>
        <v>KBP2023120195</v>
      </c>
      <c r="I110" s="58" t="str">
        <f>작성용!F107</f>
        <v>A00</v>
      </c>
      <c r="J110" s="58">
        <f>작성용!G107</f>
        <v>0</v>
      </c>
      <c r="K110" s="58" t="str">
        <f>작성용!H107</f>
        <v>-</v>
      </c>
      <c r="L110" s="58" t="str">
        <f>작성용!N107</f>
        <v>연말</v>
      </c>
      <c r="M110" s="57" t="str">
        <f>작성용!U107</f>
        <v>2024.09.30</v>
      </c>
      <c r="N110" s="57">
        <f>작성용!V107</f>
        <v>45642</v>
      </c>
      <c r="O110" s="57" t="str">
        <f>작성용!W107</f>
        <v>보고서제공X</v>
      </c>
      <c r="P110" s="57" t="str">
        <f>작성용!X107</f>
        <v>-</v>
      </c>
      <c r="Q110" s="58" t="str">
        <f>작성용!AD107</f>
        <v>서경덕</v>
      </c>
      <c r="R110" s="60">
        <f>작성용!AE107</f>
        <v>0</v>
      </c>
      <c r="S110" s="58" t="str">
        <f>작성용!AF107</f>
        <v>서경덕</v>
      </c>
      <c r="T110" s="61" t="str">
        <f>작성용!AG107</f>
        <v>최수민</v>
      </c>
      <c r="U110" s="61" t="str">
        <f>작성용!AH107</f>
        <v>최수민</v>
      </c>
      <c r="V110" s="56">
        <f>작성용!AA107</f>
        <v>202411</v>
      </c>
      <c r="W110" s="58" t="str">
        <f>작성용!AC107</f>
        <v>[Y]금융기관</v>
      </c>
      <c r="X110" s="58" t="str">
        <f>작성용!O107</f>
        <v>조건희이사</v>
      </c>
      <c r="Y110" s="58" t="str">
        <f>작성용!P107</f>
        <v>02-3442-2353, 010-7205-7358</v>
      </c>
      <c r="Z110" s="58" t="str">
        <f>작성용!Q107</f>
        <v>kcho@mvngp.com</v>
      </c>
      <c r="AA110" s="56" t="str">
        <f>작성용!AJ107</f>
        <v>회계반영/LP제출</v>
      </c>
      <c r="AB110" s="56">
        <f>작성용!AB107</f>
        <v>0</v>
      </c>
    </row>
    <row r="111" spans="1:28" s="12" customFormat="1" ht="16.5" hidden="1" customHeight="1" x14ac:dyDescent="0.3">
      <c r="A111" s="54">
        <f>작성용!AL108</f>
        <v>107</v>
      </c>
      <c r="B111" s="55" t="str">
        <f>작성용!AI108</f>
        <v>MRC 최종본 : 2024-12-23</v>
      </c>
      <c r="C111" s="56" t="str">
        <f>작성용!AK108</f>
        <v>개별종목</v>
      </c>
      <c r="D111" s="57">
        <f>작성용!T108</f>
        <v>45555</v>
      </c>
      <c r="E111" s="58" t="str">
        <f>작성용!B108</f>
        <v>메이븐그로쓰파트너스</v>
      </c>
      <c r="F111" s="58" t="str">
        <f>작성용!C108</f>
        <v>재평가</v>
      </c>
      <c r="G111" s="58" t="str">
        <f>작성용!D108</f>
        <v>Spatial Systems, Inc.</v>
      </c>
      <c r="H111" s="59" t="str">
        <f>작성용!E108</f>
        <v>KBP2021120230</v>
      </c>
      <c r="I111" s="58" t="str">
        <f>작성용!F108</f>
        <v>D02</v>
      </c>
      <c r="J111" s="58">
        <f>작성용!G108</f>
        <v>0</v>
      </c>
      <c r="K111" s="58" t="str">
        <f>작성용!H108</f>
        <v>-</v>
      </c>
      <c r="L111" s="58" t="str">
        <f>작성용!N108</f>
        <v>연말</v>
      </c>
      <c r="M111" s="57" t="str">
        <f>작성용!U108</f>
        <v>2024.09.30</v>
      </c>
      <c r="N111" s="57">
        <f>작성용!V108</f>
        <v>45642</v>
      </c>
      <c r="O111" s="57">
        <f>작성용!W108</f>
        <v>45649</v>
      </c>
      <c r="P111" s="57" t="str">
        <f>작성용!X108</f>
        <v>-</v>
      </c>
      <c r="Q111" s="58" t="str">
        <f>작성용!AD108</f>
        <v>정재형</v>
      </c>
      <c r="R111" s="60">
        <f>작성용!AE108</f>
        <v>1</v>
      </c>
      <c r="S111" s="58" t="str">
        <f>작성용!AF108</f>
        <v>정재형</v>
      </c>
      <c r="T111" s="61" t="str">
        <f>작성용!AG108</f>
        <v>최수민</v>
      </c>
      <c r="U111" s="61" t="str">
        <f>작성용!AH108</f>
        <v>최수민</v>
      </c>
      <c r="V111" s="56">
        <f>작성용!AA108</f>
        <v>202411</v>
      </c>
      <c r="W111" s="58" t="str">
        <f>작성용!AC108</f>
        <v>[Y]금융기관</v>
      </c>
      <c r="X111" s="58" t="str">
        <f>작성용!O108</f>
        <v>조건희이사</v>
      </c>
      <c r="Y111" s="58" t="str">
        <f>작성용!P108</f>
        <v>02-3442-2353, 010-7205-7358</v>
      </c>
      <c r="Z111" s="58" t="str">
        <f>작성용!Q108</f>
        <v>kcho@mvngp.com</v>
      </c>
      <c r="AA111" s="56" t="str">
        <f>작성용!AJ108</f>
        <v>회계반영/LP제출</v>
      </c>
      <c r="AB111" s="56">
        <f>작성용!AB108</f>
        <v>0</v>
      </c>
    </row>
    <row r="112" spans="1:28" s="12" customFormat="1" ht="16.5" hidden="1" customHeight="1" x14ac:dyDescent="0.3">
      <c r="A112" s="54">
        <f>작성용!AL109</f>
        <v>108</v>
      </c>
      <c r="B112" s="55" t="str">
        <f>작성용!AI109</f>
        <v>-</v>
      </c>
      <c r="C112" s="56" t="str">
        <f>작성용!AK109</f>
        <v>개별종목</v>
      </c>
      <c r="D112" s="57">
        <f>작성용!T109</f>
        <v>45555</v>
      </c>
      <c r="E112" s="58" t="str">
        <f>작성용!B109</f>
        <v>메이븐그로쓰파트너스</v>
      </c>
      <c r="F112" s="58" t="str">
        <f>작성용!C109</f>
        <v>재평가</v>
      </c>
      <c r="G112" s="58" t="str">
        <f>작성용!D109</f>
        <v>Spatial Systems, Inc.</v>
      </c>
      <c r="H112" s="59" t="str">
        <f>작성용!E109</f>
        <v>KBP2021120230</v>
      </c>
      <c r="I112" s="58" t="str">
        <f>작성용!F109</f>
        <v>A00</v>
      </c>
      <c r="J112" s="58">
        <f>작성용!G109</f>
        <v>0</v>
      </c>
      <c r="K112" s="58" t="str">
        <f>작성용!H109</f>
        <v>-</v>
      </c>
      <c r="L112" s="58" t="str">
        <f>작성용!N109</f>
        <v>연말</v>
      </c>
      <c r="M112" s="57" t="str">
        <f>작성용!U109</f>
        <v>2024.09.30</v>
      </c>
      <c r="N112" s="57">
        <f>작성용!V109</f>
        <v>45642</v>
      </c>
      <c r="O112" s="57" t="str">
        <f>작성용!W109</f>
        <v>보고서제공X</v>
      </c>
      <c r="P112" s="57" t="str">
        <f>작성용!X109</f>
        <v>-</v>
      </c>
      <c r="Q112" s="58" t="str">
        <f>작성용!AD109</f>
        <v>정재형</v>
      </c>
      <c r="R112" s="60">
        <f>작성용!AE109</f>
        <v>0</v>
      </c>
      <c r="S112" s="58" t="str">
        <f>작성용!AF109</f>
        <v>정재형</v>
      </c>
      <c r="T112" s="61" t="str">
        <f>작성용!AG109</f>
        <v>최수민</v>
      </c>
      <c r="U112" s="61" t="str">
        <f>작성용!AH109</f>
        <v>최수민</v>
      </c>
      <c r="V112" s="56">
        <f>작성용!AA109</f>
        <v>202411</v>
      </c>
      <c r="W112" s="58" t="str">
        <f>작성용!AC109</f>
        <v>[Y]금융기관</v>
      </c>
      <c r="X112" s="58" t="str">
        <f>작성용!O109</f>
        <v>조건희이사</v>
      </c>
      <c r="Y112" s="58" t="str">
        <f>작성용!P109</f>
        <v>02-3442-2353, 010-7205-7358</v>
      </c>
      <c r="Z112" s="58" t="str">
        <f>작성용!Q109</f>
        <v>kcho@mvngp.com</v>
      </c>
      <c r="AA112" s="56" t="str">
        <f>작성용!AJ109</f>
        <v>회계반영/LP제출</v>
      </c>
      <c r="AB112" s="56">
        <f>작성용!AB109</f>
        <v>0</v>
      </c>
    </row>
    <row r="113" spans="1:28" s="12" customFormat="1" ht="16.5" hidden="1" customHeight="1" x14ac:dyDescent="0.3">
      <c r="A113" s="54">
        <f>작성용!AL110</f>
        <v>109</v>
      </c>
      <c r="B113" s="55" t="str">
        <f>작성용!AI110</f>
        <v>MRC 최종본 : 2024-12-23</v>
      </c>
      <c r="C113" s="56" t="str">
        <f>작성용!AK110</f>
        <v>개별종목</v>
      </c>
      <c r="D113" s="57">
        <f>작성용!T110</f>
        <v>45555</v>
      </c>
      <c r="E113" s="58" t="str">
        <f>작성용!B110</f>
        <v>메이븐그로쓰파트너스</v>
      </c>
      <c r="F113" s="58" t="str">
        <f>작성용!C110</f>
        <v>재평가</v>
      </c>
      <c r="G113" s="58" t="str">
        <f>작성용!D110</f>
        <v>두나무</v>
      </c>
      <c r="H113" s="59">
        <f>작성용!E110</f>
        <v>1101114834853</v>
      </c>
      <c r="I113" s="58" t="str">
        <f>작성용!F110</f>
        <v>A01</v>
      </c>
      <c r="J113" s="58">
        <f>작성용!G110</f>
        <v>0</v>
      </c>
      <c r="K113" s="58" t="str">
        <f>작성용!H110</f>
        <v>-</v>
      </c>
      <c r="L113" s="58" t="str">
        <f>작성용!N110</f>
        <v>연말</v>
      </c>
      <c r="M113" s="57" t="str">
        <f>작성용!U110</f>
        <v>2024.09.30</v>
      </c>
      <c r="N113" s="57">
        <f>작성용!V110</f>
        <v>45642</v>
      </c>
      <c r="O113" s="57">
        <f>작성용!W110</f>
        <v>45649</v>
      </c>
      <c r="P113" s="57" t="str">
        <f>작성용!X110</f>
        <v>-</v>
      </c>
      <c r="Q113" s="58" t="str">
        <f>작성용!AD110</f>
        <v>김수현</v>
      </c>
      <c r="R113" s="60">
        <f>작성용!AE110</f>
        <v>1</v>
      </c>
      <c r="S113" s="58" t="str">
        <f>작성용!AF110</f>
        <v>김수현</v>
      </c>
      <c r="T113" s="61" t="str">
        <f>작성용!AG110</f>
        <v>최수민</v>
      </c>
      <c r="U113" s="61" t="str">
        <f>작성용!AH110</f>
        <v>최수민</v>
      </c>
      <c r="V113" s="56">
        <f>작성용!AA110</f>
        <v>202411</v>
      </c>
      <c r="W113" s="58" t="str">
        <f>작성용!AC110</f>
        <v>[Y]금융기관</v>
      </c>
      <c r="X113" s="58" t="str">
        <f>작성용!O110</f>
        <v>조건희이사</v>
      </c>
      <c r="Y113" s="58" t="str">
        <f>작성용!P110</f>
        <v>02-3442-2353, 010-7205-7358</v>
      </c>
      <c r="Z113" s="58" t="str">
        <f>작성용!Q110</f>
        <v>kcho@mvngp.com</v>
      </c>
      <c r="AA113" s="56" t="str">
        <f>작성용!AJ110</f>
        <v>회계반영/LP제출</v>
      </c>
      <c r="AB113" s="56">
        <f>작성용!AB110</f>
        <v>0</v>
      </c>
    </row>
    <row r="114" spans="1:28" s="12" customFormat="1" ht="16.5" hidden="1" customHeight="1" x14ac:dyDescent="0.3">
      <c r="A114" s="54">
        <f>작성용!AL111</f>
        <v>110</v>
      </c>
      <c r="B114" s="55" t="str">
        <f>작성용!AI111</f>
        <v>MRC 최종본 : 2024-12-23</v>
      </c>
      <c r="C114" s="56" t="str">
        <f>작성용!AK111</f>
        <v>개별종목</v>
      </c>
      <c r="D114" s="57">
        <f>작성용!T111</f>
        <v>45555</v>
      </c>
      <c r="E114" s="58" t="str">
        <f>작성용!B111</f>
        <v>메이븐그로쓰파트너스</v>
      </c>
      <c r="F114" s="58" t="str">
        <f>작성용!C111</f>
        <v>재평가</v>
      </c>
      <c r="G114" s="58" t="str">
        <f>작성용!D111</f>
        <v>론픽</v>
      </c>
      <c r="H114" s="59">
        <f>작성용!E111</f>
        <v>1801111018795</v>
      </c>
      <c r="I114" s="58" t="str">
        <f>작성용!F111</f>
        <v>A07</v>
      </c>
      <c r="J114" s="58">
        <f>작성용!G111</f>
        <v>0</v>
      </c>
      <c r="K114" s="58" t="str">
        <f>작성용!H111</f>
        <v>-</v>
      </c>
      <c r="L114" s="58" t="str">
        <f>작성용!N111</f>
        <v>연말</v>
      </c>
      <c r="M114" s="57" t="str">
        <f>작성용!U111</f>
        <v>2024.09.30</v>
      </c>
      <c r="N114" s="57">
        <f>작성용!V111</f>
        <v>45642</v>
      </c>
      <c r="O114" s="57">
        <f>작성용!W111</f>
        <v>45649</v>
      </c>
      <c r="P114" s="57" t="str">
        <f>작성용!X111</f>
        <v>-</v>
      </c>
      <c r="Q114" s="58" t="str">
        <f>작성용!AD111</f>
        <v>오수현</v>
      </c>
      <c r="R114" s="60">
        <f>작성용!AE111</f>
        <v>1</v>
      </c>
      <c r="S114" s="58" t="str">
        <f>작성용!AF111</f>
        <v>오수현</v>
      </c>
      <c r="T114" s="61" t="str">
        <f>작성용!AG111</f>
        <v>최수민</v>
      </c>
      <c r="U114" s="61" t="str">
        <f>작성용!AH111</f>
        <v>최수민</v>
      </c>
      <c r="V114" s="56">
        <f>작성용!AA111</f>
        <v>202411</v>
      </c>
      <c r="W114" s="58" t="str">
        <f>작성용!AC111</f>
        <v>[Y]금융기관</v>
      </c>
      <c r="X114" s="58" t="str">
        <f>작성용!O111</f>
        <v>조건희이사</v>
      </c>
      <c r="Y114" s="58" t="str">
        <f>작성용!P111</f>
        <v>02-3442-2353, 010-7205-7358</v>
      </c>
      <c r="Z114" s="58" t="str">
        <f>작성용!Q111</f>
        <v>kcho@mvngp.com</v>
      </c>
      <c r="AA114" s="56" t="str">
        <f>작성용!AJ111</f>
        <v>회계반영/LP제출</v>
      </c>
      <c r="AB114" s="56">
        <f>작성용!AB111</f>
        <v>0</v>
      </c>
    </row>
    <row r="115" spans="1:28" s="12" customFormat="1" ht="16.5" hidden="1" customHeight="1" x14ac:dyDescent="0.3">
      <c r="A115" s="54">
        <f>작성용!AL112</f>
        <v>111</v>
      </c>
      <c r="B115" s="55" t="str">
        <f>작성용!AI112</f>
        <v>-</v>
      </c>
      <c r="C115" s="56" t="str">
        <f>작성용!AK112</f>
        <v>개별종목</v>
      </c>
      <c r="D115" s="57">
        <f>작성용!T112</f>
        <v>45555</v>
      </c>
      <c r="E115" s="58" t="str">
        <f>작성용!B112</f>
        <v>메이븐그로쓰파트너스</v>
      </c>
      <c r="F115" s="58" t="str">
        <f>작성용!C112</f>
        <v>재평가</v>
      </c>
      <c r="G115" s="58" t="str">
        <f>작성용!D112</f>
        <v>론픽</v>
      </c>
      <c r="H115" s="59">
        <f>작성용!E112</f>
        <v>1801111018795</v>
      </c>
      <c r="I115" s="58" t="str">
        <f>작성용!F112</f>
        <v>A00</v>
      </c>
      <c r="J115" s="58">
        <f>작성용!G112</f>
        <v>0</v>
      </c>
      <c r="K115" s="58" t="str">
        <f>작성용!H112</f>
        <v>-</v>
      </c>
      <c r="L115" s="58" t="str">
        <f>작성용!N112</f>
        <v>연말</v>
      </c>
      <c r="M115" s="57" t="str">
        <f>작성용!U112</f>
        <v>2024.09.30</v>
      </c>
      <c r="N115" s="57">
        <f>작성용!V112</f>
        <v>45642</v>
      </c>
      <c r="O115" s="57" t="str">
        <f>작성용!W112</f>
        <v>보고서제공X</v>
      </c>
      <c r="P115" s="57" t="str">
        <f>작성용!X112</f>
        <v>-</v>
      </c>
      <c r="Q115" s="58" t="str">
        <f>작성용!AD112</f>
        <v>오수현</v>
      </c>
      <c r="R115" s="60">
        <f>작성용!AE112</f>
        <v>0</v>
      </c>
      <c r="S115" s="58" t="str">
        <f>작성용!AF112</f>
        <v>오수현</v>
      </c>
      <c r="T115" s="61" t="str">
        <f>작성용!AG112</f>
        <v>최수민</v>
      </c>
      <c r="U115" s="61" t="str">
        <f>작성용!AH112</f>
        <v>최수민</v>
      </c>
      <c r="V115" s="56">
        <f>작성용!AA112</f>
        <v>202411</v>
      </c>
      <c r="W115" s="58" t="str">
        <f>작성용!AC112</f>
        <v>[Y]금융기관</v>
      </c>
      <c r="X115" s="58" t="str">
        <f>작성용!O112</f>
        <v>조건희이사</v>
      </c>
      <c r="Y115" s="58" t="str">
        <f>작성용!P112</f>
        <v>02-3442-2353, 010-7205-7358</v>
      </c>
      <c r="Z115" s="58" t="str">
        <f>작성용!Q112</f>
        <v>kcho@mvngp.com</v>
      </c>
      <c r="AA115" s="56" t="str">
        <f>작성용!AJ112</f>
        <v>회계반영/LP제출</v>
      </c>
      <c r="AB115" s="56">
        <f>작성용!AB112</f>
        <v>0</v>
      </c>
    </row>
    <row r="116" spans="1:28" s="12" customFormat="1" ht="16.5" hidden="1" customHeight="1" x14ac:dyDescent="0.3">
      <c r="A116" s="54">
        <f>작성용!AL113</f>
        <v>112</v>
      </c>
      <c r="B116" s="55" t="str">
        <f>작성용!AI113</f>
        <v>MRC 최종본 : 2024-12-23</v>
      </c>
      <c r="C116" s="56" t="str">
        <f>작성용!AK113</f>
        <v>개별종목</v>
      </c>
      <c r="D116" s="57">
        <f>작성용!T113</f>
        <v>45555</v>
      </c>
      <c r="E116" s="58" t="str">
        <f>작성용!B113</f>
        <v>메이븐그로쓰파트너스</v>
      </c>
      <c r="F116" s="58" t="str">
        <f>작성용!C113</f>
        <v>재평가</v>
      </c>
      <c r="G116" s="58" t="str">
        <f>작성용!D113</f>
        <v>모꼬지</v>
      </c>
      <c r="H116" s="59">
        <f>작성용!E113</f>
        <v>1101114198142</v>
      </c>
      <c r="I116" s="58" t="str">
        <f>작성용!F113</f>
        <v>A07</v>
      </c>
      <c r="J116" s="58">
        <f>작성용!G113</f>
        <v>0</v>
      </c>
      <c r="K116" s="58" t="str">
        <f>작성용!H113</f>
        <v>-</v>
      </c>
      <c r="L116" s="58" t="str">
        <f>작성용!N113</f>
        <v>연말</v>
      </c>
      <c r="M116" s="57" t="str">
        <f>작성용!U113</f>
        <v>2024.09.30</v>
      </c>
      <c r="N116" s="57">
        <f>작성용!V113</f>
        <v>45642</v>
      </c>
      <c r="O116" s="57">
        <f>작성용!W113</f>
        <v>45649</v>
      </c>
      <c r="P116" s="57" t="str">
        <f>작성용!X113</f>
        <v>-</v>
      </c>
      <c r="Q116" s="58" t="str">
        <f>작성용!AD113</f>
        <v>이진주</v>
      </c>
      <c r="R116" s="60">
        <f>작성용!AE113</f>
        <v>1</v>
      </c>
      <c r="S116" s="58" t="str">
        <f>작성용!AF113</f>
        <v>이진주</v>
      </c>
      <c r="T116" s="61" t="str">
        <f>작성용!AG113</f>
        <v>최수민</v>
      </c>
      <c r="U116" s="61" t="str">
        <f>작성용!AH113</f>
        <v>최수민</v>
      </c>
      <c r="V116" s="56">
        <f>작성용!AA113</f>
        <v>202411</v>
      </c>
      <c r="W116" s="58" t="str">
        <f>작성용!AC113</f>
        <v>[Y]금융기관</v>
      </c>
      <c r="X116" s="58" t="str">
        <f>작성용!O113</f>
        <v>조건희이사</v>
      </c>
      <c r="Y116" s="58" t="str">
        <f>작성용!P113</f>
        <v>02-3442-2353, 010-7205-7358</v>
      </c>
      <c r="Z116" s="58" t="str">
        <f>작성용!Q113</f>
        <v>kcho@mvngp.com</v>
      </c>
      <c r="AA116" s="56" t="str">
        <f>작성용!AJ113</f>
        <v>회계반영/LP제출</v>
      </c>
      <c r="AB116" s="56">
        <f>작성용!AB113</f>
        <v>0</v>
      </c>
    </row>
    <row r="117" spans="1:28" s="12" customFormat="1" ht="16.5" hidden="1" customHeight="1" x14ac:dyDescent="0.3">
      <c r="A117" s="54">
        <f>작성용!AL114</f>
        <v>113</v>
      </c>
      <c r="B117" s="55" t="str">
        <f>작성용!AI114</f>
        <v>-</v>
      </c>
      <c r="C117" s="56" t="str">
        <f>작성용!AK114</f>
        <v>개별종목</v>
      </c>
      <c r="D117" s="57">
        <f>작성용!T114</f>
        <v>45555</v>
      </c>
      <c r="E117" s="58" t="str">
        <f>작성용!B114</f>
        <v>메이븐그로쓰파트너스</v>
      </c>
      <c r="F117" s="58" t="str">
        <f>작성용!C114</f>
        <v>재평가</v>
      </c>
      <c r="G117" s="58" t="str">
        <f>작성용!D114</f>
        <v>모꼬지</v>
      </c>
      <c r="H117" s="59">
        <f>작성용!E114</f>
        <v>1101114198142</v>
      </c>
      <c r="I117" s="58" t="str">
        <f>작성용!F114</f>
        <v>A00</v>
      </c>
      <c r="J117" s="58">
        <f>작성용!G114</f>
        <v>0</v>
      </c>
      <c r="K117" s="58" t="str">
        <f>작성용!H114</f>
        <v>-</v>
      </c>
      <c r="L117" s="58" t="str">
        <f>작성용!N114</f>
        <v>연말</v>
      </c>
      <c r="M117" s="57" t="str">
        <f>작성용!U114</f>
        <v>2024.09.30</v>
      </c>
      <c r="N117" s="57">
        <f>작성용!V114</f>
        <v>45642</v>
      </c>
      <c r="O117" s="57" t="str">
        <f>작성용!W114</f>
        <v>보고서제공X</v>
      </c>
      <c r="P117" s="57" t="str">
        <f>작성용!X114</f>
        <v>-</v>
      </c>
      <c r="Q117" s="58" t="str">
        <f>작성용!AD114</f>
        <v>이진주</v>
      </c>
      <c r="R117" s="60">
        <f>작성용!AE114</f>
        <v>0</v>
      </c>
      <c r="S117" s="58" t="str">
        <f>작성용!AF114</f>
        <v>이진주</v>
      </c>
      <c r="T117" s="61" t="str">
        <f>작성용!AG114</f>
        <v>최수민</v>
      </c>
      <c r="U117" s="61" t="str">
        <f>작성용!AH114</f>
        <v>최수민</v>
      </c>
      <c r="V117" s="56">
        <f>작성용!AA114</f>
        <v>202411</v>
      </c>
      <c r="W117" s="58" t="str">
        <f>작성용!AC114</f>
        <v>[Y]금융기관</v>
      </c>
      <c r="X117" s="58" t="str">
        <f>작성용!O114</f>
        <v>조건희이사</v>
      </c>
      <c r="Y117" s="58" t="str">
        <f>작성용!P114</f>
        <v>02-3442-2353, 010-7205-7358</v>
      </c>
      <c r="Z117" s="58" t="str">
        <f>작성용!Q114</f>
        <v>kcho@mvngp.com</v>
      </c>
      <c r="AA117" s="56" t="str">
        <f>작성용!AJ114</f>
        <v>회계반영/LP제출</v>
      </c>
      <c r="AB117" s="56">
        <f>작성용!AB114</f>
        <v>0</v>
      </c>
    </row>
    <row r="118" spans="1:28" s="12" customFormat="1" ht="16.5" hidden="1" customHeight="1" x14ac:dyDescent="0.3">
      <c r="A118" s="54">
        <f>작성용!AL115</f>
        <v>114</v>
      </c>
      <c r="B118" s="55" t="str">
        <f>작성용!AI115</f>
        <v>MRC 최종본 : 2024-12-23</v>
      </c>
      <c r="C118" s="56" t="str">
        <f>작성용!AK115</f>
        <v>개별종목</v>
      </c>
      <c r="D118" s="57">
        <f>작성용!T115</f>
        <v>45555</v>
      </c>
      <c r="E118" s="58" t="str">
        <f>작성용!B115</f>
        <v>메이븐그로쓰파트너스</v>
      </c>
      <c r="F118" s="58" t="str">
        <f>작성용!C115</f>
        <v>재평가</v>
      </c>
      <c r="G118" s="58" t="str">
        <f>작성용!D115</f>
        <v>블루바이블루</v>
      </c>
      <c r="H118" s="59">
        <f>작성용!E115</f>
        <v>1101118452031</v>
      </c>
      <c r="I118" s="58" t="str">
        <f>작성용!F115</f>
        <v>D02</v>
      </c>
      <c r="J118" s="58">
        <f>작성용!G115</f>
        <v>0</v>
      </c>
      <c r="K118" s="58" t="str">
        <f>작성용!H115</f>
        <v>-</v>
      </c>
      <c r="L118" s="58" t="str">
        <f>작성용!N115</f>
        <v>연말</v>
      </c>
      <c r="M118" s="57" t="str">
        <f>작성용!U115</f>
        <v>2024.09.30</v>
      </c>
      <c r="N118" s="57">
        <f>작성용!V115</f>
        <v>45642</v>
      </c>
      <c r="O118" s="57">
        <f>작성용!W115</f>
        <v>45649</v>
      </c>
      <c r="P118" s="57" t="str">
        <f>작성용!X115</f>
        <v>-</v>
      </c>
      <c r="Q118" s="58" t="str">
        <f>작성용!AD115</f>
        <v>윤광일</v>
      </c>
      <c r="R118" s="60">
        <f>작성용!AE115</f>
        <v>1</v>
      </c>
      <c r="S118" s="58" t="str">
        <f>작성용!AF115</f>
        <v>윤광일</v>
      </c>
      <c r="T118" s="61" t="str">
        <f>작성용!AG115</f>
        <v>최수민</v>
      </c>
      <c r="U118" s="61" t="str">
        <f>작성용!AH115</f>
        <v>최수민</v>
      </c>
      <c r="V118" s="56">
        <f>작성용!AA115</f>
        <v>202411</v>
      </c>
      <c r="W118" s="58" t="str">
        <f>작성용!AC115</f>
        <v>[Y]금융기관</v>
      </c>
      <c r="X118" s="58" t="str">
        <f>작성용!O115</f>
        <v>조건희이사</v>
      </c>
      <c r="Y118" s="58" t="str">
        <f>작성용!P115</f>
        <v>02-3442-2353, 010-7205-7358</v>
      </c>
      <c r="Z118" s="58" t="str">
        <f>작성용!Q115</f>
        <v>kcho@mvngp.com</v>
      </c>
      <c r="AA118" s="56" t="str">
        <f>작성용!AJ115</f>
        <v>회계반영/LP제출</v>
      </c>
      <c r="AB118" s="56">
        <f>작성용!AB115</f>
        <v>0</v>
      </c>
    </row>
    <row r="119" spans="1:28" s="12" customFormat="1" ht="16.5" hidden="1" customHeight="1" x14ac:dyDescent="0.3">
      <c r="A119" s="54">
        <f>작성용!AL116</f>
        <v>115</v>
      </c>
      <c r="B119" s="55" t="str">
        <f>작성용!AI116</f>
        <v>-</v>
      </c>
      <c r="C119" s="56" t="str">
        <f>작성용!AK116</f>
        <v>개별종목</v>
      </c>
      <c r="D119" s="57">
        <f>작성용!T116</f>
        <v>45555</v>
      </c>
      <c r="E119" s="58" t="str">
        <f>작성용!B116</f>
        <v>메이븐그로쓰파트너스</v>
      </c>
      <c r="F119" s="58" t="str">
        <f>작성용!C116</f>
        <v>재평가</v>
      </c>
      <c r="G119" s="58" t="str">
        <f>작성용!D116</f>
        <v>블루바이블루</v>
      </c>
      <c r="H119" s="59">
        <f>작성용!E116</f>
        <v>1101118452031</v>
      </c>
      <c r="I119" s="58" t="str">
        <f>작성용!F116</f>
        <v>A00</v>
      </c>
      <c r="J119" s="58">
        <f>작성용!G116</f>
        <v>0</v>
      </c>
      <c r="K119" s="58" t="str">
        <f>작성용!H116</f>
        <v>-</v>
      </c>
      <c r="L119" s="58" t="str">
        <f>작성용!N116</f>
        <v>연말</v>
      </c>
      <c r="M119" s="57" t="str">
        <f>작성용!U116</f>
        <v>2024.09.30</v>
      </c>
      <c r="N119" s="57">
        <f>작성용!V116</f>
        <v>45642</v>
      </c>
      <c r="O119" s="57" t="str">
        <f>작성용!W116</f>
        <v>보고서제공X</v>
      </c>
      <c r="P119" s="57" t="str">
        <f>작성용!X116</f>
        <v>-</v>
      </c>
      <c r="Q119" s="58" t="str">
        <f>작성용!AD116</f>
        <v>윤광일</v>
      </c>
      <c r="R119" s="60">
        <f>작성용!AE116</f>
        <v>0</v>
      </c>
      <c r="S119" s="58" t="str">
        <f>작성용!AF116</f>
        <v>윤광일</v>
      </c>
      <c r="T119" s="61" t="str">
        <f>작성용!AG116</f>
        <v>최수민</v>
      </c>
      <c r="U119" s="61" t="str">
        <f>작성용!AH116</f>
        <v>최수민</v>
      </c>
      <c r="V119" s="56">
        <f>작성용!AA116</f>
        <v>202411</v>
      </c>
      <c r="W119" s="58" t="str">
        <f>작성용!AC116</f>
        <v>[Y]금융기관</v>
      </c>
      <c r="X119" s="58" t="str">
        <f>작성용!O116</f>
        <v>조건희이사</v>
      </c>
      <c r="Y119" s="58" t="str">
        <f>작성용!P116</f>
        <v>02-3442-2353, 010-7205-7358</v>
      </c>
      <c r="Z119" s="58" t="str">
        <f>작성용!Q116</f>
        <v>kcho@mvngp.com</v>
      </c>
      <c r="AA119" s="56" t="str">
        <f>작성용!AJ116</f>
        <v>회계반영/LP제출</v>
      </c>
      <c r="AB119" s="56">
        <f>작성용!AB116</f>
        <v>0</v>
      </c>
    </row>
    <row r="120" spans="1:28" s="12" customFormat="1" ht="16.5" hidden="1" customHeight="1" x14ac:dyDescent="0.3">
      <c r="A120" s="54">
        <f>작성용!AL117</f>
        <v>116</v>
      </c>
      <c r="B120" s="55" t="str">
        <f>작성용!AI117</f>
        <v>MRC 최종본 : 2024-12-23</v>
      </c>
      <c r="C120" s="56" t="str">
        <f>작성용!AK117</f>
        <v>개별종목</v>
      </c>
      <c r="D120" s="57">
        <f>작성용!T117</f>
        <v>45555</v>
      </c>
      <c r="E120" s="58" t="str">
        <f>작성용!B117</f>
        <v>메이븐그로쓰파트너스</v>
      </c>
      <c r="F120" s="58" t="str">
        <f>작성용!C117</f>
        <v>재평가</v>
      </c>
      <c r="G120" s="58" t="str">
        <f>작성용!D117</f>
        <v>스튜디오에이콘</v>
      </c>
      <c r="H120" s="59">
        <f>작성용!E117</f>
        <v>1101117991981</v>
      </c>
      <c r="I120" s="58" t="str">
        <f>작성용!F117</f>
        <v>D02</v>
      </c>
      <c r="J120" s="58">
        <f>작성용!G117</f>
        <v>1</v>
      </c>
      <c r="K120" s="58" t="str">
        <f>작성용!H117</f>
        <v>-</v>
      </c>
      <c r="L120" s="58" t="str">
        <f>작성용!N117</f>
        <v>연말</v>
      </c>
      <c r="M120" s="57" t="str">
        <f>작성용!U117</f>
        <v>2024.09.30</v>
      </c>
      <c r="N120" s="57">
        <f>작성용!V117</f>
        <v>45642</v>
      </c>
      <c r="O120" s="57">
        <f>작성용!W117</f>
        <v>45649</v>
      </c>
      <c r="P120" s="57" t="str">
        <f>작성용!X117</f>
        <v>-</v>
      </c>
      <c r="Q120" s="58" t="str">
        <f>작성용!AD117</f>
        <v>최수민</v>
      </c>
      <c r="R120" s="60">
        <f>작성용!AE117</f>
        <v>1</v>
      </c>
      <c r="S120" s="58" t="str">
        <f>작성용!AF117</f>
        <v>최수민</v>
      </c>
      <c r="T120" s="61" t="str">
        <f>작성용!AG117</f>
        <v>최수민</v>
      </c>
      <c r="U120" s="61" t="str">
        <f>작성용!AH117</f>
        <v>최수민</v>
      </c>
      <c r="V120" s="56">
        <f>작성용!AA117</f>
        <v>202411</v>
      </c>
      <c r="W120" s="58" t="str">
        <f>작성용!AC117</f>
        <v>[Y]금융기관</v>
      </c>
      <c r="X120" s="58" t="str">
        <f>작성용!O117</f>
        <v>조건희이사</v>
      </c>
      <c r="Y120" s="58" t="str">
        <f>작성용!P117</f>
        <v>02-3442-2353, 010-7205-7358</v>
      </c>
      <c r="Z120" s="58" t="str">
        <f>작성용!Q117</f>
        <v>kcho@mvngp.com</v>
      </c>
      <c r="AA120" s="56" t="str">
        <f>작성용!AJ117</f>
        <v>회계반영/LP제출</v>
      </c>
      <c r="AB120" s="56">
        <f>작성용!AB117</f>
        <v>0</v>
      </c>
    </row>
    <row r="121" spans="1:28" s="12" customFormat="1" ht="16.5" hidden="1" customHeight="1" x14ac:dyDescent="0.3">
      <c r="A121" s="54">
        <f>작성용!AL118</f>
        <v>117</v>
      </c>
      <c r="B121" s="55" t="str">
        <f>작성용!AI118</f>
        <v>MRC 최종본 : 2024-12-23</v>
      </c>
      <c r="C121" s="56" t="str">
        <f>작성용!AK118</f>
        <v>개별종목</v>
      </c>
      <c r="D121" s="57">
        <f>작성용!T118</f>
        <v>45555</v>
      </c>
      <c r="E121" s="58" t="str">
        <f>작성용!B118</f>
        <v>메이븐그로쓰파트너스</v>
      </c>
      <c r="F121" s="58" t="str">
        <f>작성용!C118</f>
        <v>재평가</v>
      </c>
      <c r="G121" s="58" t="str">
        <f>작성용!D118</f>
        <v>스튜디오에이콘</v>
      </c>
      <c r="H121" s="59">
        <f>작성용!E118</f>
        <v>1101117991981</v>
      </c>
      <c r="I121" s="58" t="str">
        <f>작성용!F118</f>
        <v>D02</v>
      </c>
      <c r="J121" s="58">
        <f>작성용!G118</f>
        <v>2</v>
      </c>
      <c r="K121" s="58" t="str">
        <f>작성용!H118</f>
        <v>-</v>
      </c>
      <c r="L121" s="58" t="str">
        <f>작성용!N118</f>
        <v>연말</v>
      </c>
      <c r="M121" s="57" t="str">
        <f>작성용!U118</f>
        <v>2024.09.30</v>
      </c>
      <c r="N121" s="57">
        <f>작성용!V118</f>
        <v>45642</v>
      </c>
      <c r="O121" s="57">
        <f>작성용!W118</f>
        <v>45649</v>
      </c>
      <c r="P121" s="57" t="str">
        <f>작성용!X118</f>
        <v>-</v>
      </c>
      <c r="Q121" s="58" t="str">
        <f>작성용!AD118</f>
        <v>최수민</v>
      </c>
      <c r="R121" s="60">
        <f>작성용!AE118</f>
        <v>0</v>
      </c>
      <c r="S121" s="58" t="str">
        <f>작성용!AF118</f>
        <v>최수민</v>
      </c>
      <c r="T121" s="61" t="str">
        <f>작성용!AG118</f>
        <v>최수민</v>
      </c>
      <c r="U121" s="61" t="str">
        <f>작성용!AH118</f>
        <v>최수민</v>
      </c>
      <c r="V121" s="56">
        <f>작성용!AA118</f>
        <v>202411</v>
      </c>
      <c r="W121" s="58" t="str">
        <f>작성용!AC118</f>
        <v>[Y]금융기관</v>
      </c>
      <c r="X121" s="58" t="str">
        <f>작성용!O118</f>
        <v>조건희이사</v>
      </c>
      <c r="Y121" s="58" t="str">
        <f>작성용!P118</f>
        <v>02-3442-2353, 010-7205-7358</v>
      </c>
      <c r="Z121" s="58" t="str">
        <f>작성용!Q118</f>
        <v>kcho@mvngp.com</v>
      </c>
      <c r="AA121" s="56" t="str">
        <f>작성용!AJ118</f>
        <v>회계반영/LP제출</v>
      </c>
      <c r="AB121" s="56">
        <f>작성용!AB118</f>
        <v>0</v>
      </c>
    </row>
    <row r="122" spans="1:28" s="12" customFormat="1" ht="16.5" hidden="1" customHeight="1" x14ac:dyDescent="0.3">
      <c r="A122" s="54">
        <f>작성용!AL119</f>
        <v>118</v>
      </c>
      <c r="B122" s="55" t="str">
        <f>작성용!AI119</f>
        <v>MRC 최종본 : 2024-12-23</v>
      </c>
      <c r="C122" s="56" t="str">
        <f>작성용!AK119</f>
        <v>개별종목</v>
      </c>
      <c r="D122" s="57">
        <f>작성용!T119</f>
        <v>45555</v>
      </c>
      <c r="E122" s="58" t="str">
        <f>작성용!B119</f>
        <v>메이븐그로쓰파트너스</v>
      </c>
      <c r="F122" s="58" t="str">
        <f>작성용!C119</f>
        <v>재평가</v>
      </c>
      <c r="G122" s="58" t="str">
        <f>작성용!D119</f>
        <v>스튜디오에이콘</v>
      </c>
      <c r="H122" s="59">
        <f>작성용!E119</f>
        <v>1101117991981</v>
      </c>
      <c r="I122" s="58" t="str">
        <f>작성용!F119</f>
        <v>D02</v>
      </c>
      <c r="J122" s="58">
        <f>작성용!G119</f>
        <v>3</v>
      </c>
      <c r="K122" s="58" t="str">
        <f>작성용!H119</f>
        <v>-</v>
      </c>
      <c r="L122" s="58" t="str">
        <f>작성용!N119</f>
        <v>연말</v>
      </c>
      <c r="M122" s="57" t="str">
        <f>작성용!U119</f>
        <v>2024.09.30</v>
      </c>
      <c r="N122" s="57">
        <f>작성용!V119</f>
        <v>45642</v>
      </c>
      <c r="O122" s="57">
        <f>작성용!W119</f>
        <v>45649</v>
      </c>
      <c r="P122" s="57" t="str">
        <f>작성용!X119</f>
        <v>-</v>
      </c>
      <c r="Q122" s="58" t="str">
        <f>작성용!AD119</f>
        <v>최수민</v>
      </c>
      <c r="R122" s="60">
        <f>작성용!AE119</f>
        <v>0</v>
      </c>
      <c r="S122" s="58" t="str">
        <f>작성용!AF119</f>
        <v>최수민</v>
      </c>
      <c r="T122" s="61" t="str">
        <f>작성용!AG119</f>
        <v>최수민</v>
      </c>
      <c r="U122" s="61" t="str">
        <f>작성용!AH119</f>
        <v>최수민</v>
      </c>
      <c r="V122" s="56">
        <f>작성용!AA119</f>
        <v>202411</v>
      </c>
      <c r="W122" s="58" t="str">
        <f>작성용!AC119</f>
        <v>[Y]금융기관</v>
      </c>
      <c r="X122" s="58" t="str">
        <f>작성용!O119</f>
        <v>조건희이사</v>
      </c>
      <c r="Y122" s="58" t="str">
        <f>작성용!P119</f>
        <v>02-3442-2353, 010-7205-7358</v>
      </c>
      <c r="Z122" s="58" t="str">
        <f>작성용!Q119</f>
        <v>kcho@mvngp.com</v>
      </c>
      <c r="AA122" s="56" t="str">
        <f>작성용!AJ119</f>
        <v>회계반영/LP제출</v>
      </c>
      <c r="AB122" s="56">
        <f>작성용!AB119</f>
        <v>0</v>
      </c>
    </row>
    <row r="123" spans="1:28" s="12" customFormat="1" ht="16.5" hidden="1" customHeight="1" x14ac:dyDescent="0.3">
      <c r="A123" s="54">
        <f>작성용!AL120</f>
        <v>119</v>
      </c>
      <c r="B123" s="55" t="str">
        <f>작성용!AI120</f>
        <v>-</v>
      </c>
      <c r="C123" s="56" t="str">
        <f>작성용!AK120</f>
        <v>개별종목</v>
      </c>
      <c r="D123" s="57">
        <f>작성용!T120</f>
        <v>45555</v>
      </c>
      <c r="E123" s="58" t="str">
        <f>작성용!B120</f>
        <v>메이븐그로쓰파트너스</v>
      </c>
      <c r="F123" s="58" t="str">
        <f>작성용!C120</f>
        <v>재평가</v>
      </c>
      <c r="G123" s="58" t="str">
        <f>작성용!D120</f>
        <v>스튜디오에이콘</v>
      </c>
      <c r="H123" s="59">
        <f>작성용!E120</f>
        <v>1101117991981</v>
      </c>
      <c r="I123" s="58" t="str">
        <f>작성용!F120</f>
        <v>A00</v>
      </c>
      <c r="J123" s="58">
        <f>작성용!G120</f>
        <v>0</v>
      </c>
      <c r="K123" s="58" t="str">
        <f>작성용!H120</f>
        <v>-</v>
      </c>
      <c r="L123" s="58" t="str">
        <f>작성용!N120</f>
        <v>연말</v>
      </c>
      <c r="M123" s="57" t="str">
        <f>작성용!U120</f>
        <v>2024.09.30</v>
      </c>
      <c r="N123" s="57">
        <f>작성용!V120</f>
        <v>45642</v>
      </c>
      <c r="O123" s="57" t="str">
        <f>작성용!W120</f>
        <v>보고서제공X</v>
      </c>
      <c r="P123" s="57" t="str">
        <f>작성용!X120</f>
        <v>-</v>
      </c>
      <c r="Q123" s="58" t="str">
        <f>작성용!AD120</f>
        <v>최수민</v>
      </c>
      <c r="R123" s="60">
        <f>작성용!AE120</f>
        <v>0</v>
      </c>
      <c r="S123" s="58" t="str">
        <f>작성용!AF120</f>
        <v>최수민</v>
      </c>
      <c r="T123" s="61" t="str">
        <f>작성용!AG120</f>
        <v>최수민</v>
      </c>
      <c r="U123" s="61" t="str">
        <f>작성용!AH120</f>
        <v>최수민</v>
      </c>
      <c r="V123" s="56">
        <f>작성용!AA120</f>
        <v>202411</v>
      </c>
      <c r="W123" s="58" t="str">
        <f>작성용!AC120</f>
        <v>[Y]금융기관</v>
      </c>
      <c r="X123" s="58" t="str">
        <f>작성용!O120</f>
        <v>조건희이사</v>
      </c>
      <c r="Y123" s="58" t="str">
        <f>작성용!P120</f>
        <v>02-3442-2353, 010-7205-7358</v>
      </c>
      <c r="Z123" s="58" t="str">
        <f>작성용!Q120</f>
        <v>kcho@mvngp.com</v>
      </c>
      <c r="AA123" s="56" t="str">
        <f>작성용!AJ120</f>
        <v>회계반영/LP제출</v>
      </c>
      <c r="AB123" s="56">
        <f>작성용!AB120</f>
        <v>0</v>
      </c>
    </row>
    <row r="124" spans="1:28" s="12" customFormat="1" ht="16.5" hidden="1" customHeight="1" x14ac:dyDescent="0.3">
      <c r="A124" s="54">
        <f>작성용!AL121</f>
        <v>120</v>
      </c>
      <c r="B124" s="55" t="str">
        <f>작성용!AI121</f>
        <v>MRC 최종본 : 2024-12-23</v>
      </c>
      <c r="C124" s="56" t="str">
        <f>작성용!AK121</f>
        <v>개별종목</v>
      </c>
      <c r="D124" s="57">
        <f>작성용!T121</f>
        <v>45555</v>
      </c>
      <c r="E124" s="58" t="str">
        <f>작성용!B121</f>
        <v>메이븐그로쓰파트너스</v>
      </c>
      <c r="F124" s="58" t="str">
        <f>작성용!C121</f>
        <v>재평가</v>
      </c>
      <c r="G124" s="58" t="str">
        <f>작성용!D121</f>
        <v>카펜스트리트</v>
      </c>
      <c r="H124" s="59">
        <f>작성용!E121</f>
        <v>1101117123485</v>
      </c>
      <c r="I124" s="58" t="str">
        <f>작성용!F121</f>
        <v>A07</v>
      </c>
      <c r="J124" s="58">
        <f>작성용!G121</f>
        <v>0</v>
      </c>
      <c r="K124" s="58" t="str">
        <f>작성용!H121</f>
        <v>-</v>
      </c>
      <c r="L124" s="58" t="str">
        <f>작성용!N121</f>
        <v>연말</v>
      </c>
      <c r="M124" s="57" t="str">
        <f>작성용!U121</f>
        <v>2024.09.30</v>
      </c>
      <c r="N124" s="57">
        <f>작성용!V121</f>
        <v>45642</v>
      </c>
      <c r="O124" s="57">
        <f>작성용!W121</f>
        <v>45649</v>
      </c>
      <c r="P124" s="57" t="str">
        <f>작성용!X121</f>
        <v>-</v>
      </c>
      <c r="Q124" s="58" t="str">
        <f>작성용!AD121</f>
        <v>원정우</v>
      </c>
      <c r="R124" s="60">
        <f>작성용!AE121</f>
        <v>1</v>
      </c>
      <c r="S124" s="58" t="str">
        <f>작성용!AF121</f>
        <v>원정우</v>
      </c>
      <c r="T124" s="61" t="str">
        <f>작성용!AG121</f>
        <v>최수민</v>
      </c>
      <c r="U124" s="61" t="str">
        <f>작성용!AH121</f>
        <v>최수민</v>
      </c>
      <c r="V124" s="56">
        <f>작성용!AA121</f>
        <v>202411</v>
      </c>
      <c r="W124" s="58" t="str">
        <f>작성용!AC121</f>
        <v>[Y]금융기관</v>
      </c>
      <c r="X124" s="58" t="str">
        <f>작성용!O121</f>
        <v>조건희이사</v>
      </c>
      <c r="Y124" s="58" t="str">
        <f>작성용!P121</f>
        <v>02-3442-2353, 010-7205-7358</v>
      </c>
      <c r="Z124" s="58" t="str">
        <f>작성용!Q121</f>
        <v>kcho@mvngp.com</v>
      </c>
      <c r="AA124" s="56" t="str">
        <f>작성용!AJ121</f>
        <v>회계반영/LP제출</v>
      </c>
      <c r="AB124" s="56">
        <f>작성용!AB121</f>
        <v>0</v>
      </c>
    </row>
    <row r="125" spans="1:28" s="12" customFormat="1" ht="16.5" hidden="1" customHeight="1" x14ac:dyDescent="0.3">
      <c r="A125" s="54">
        <f>작성용!AL122</f>
        <v>121</v>
      </c>
      <c r="B125" s="55" t="str">
        <f>작성용!AI122</f>
        <v>-</v>
      </c>
      <c r="C125" s="56" t="str">
        <f>작성용!AK122</f>
        <v>개별종목</v>
      </c>
      <c r="D125" s="57">
        <f>작성용!T122</f>
        <v>45555</v>
      </c>
      <c r="E125" s="58" t="str">
        <f>작성용!B122</f>
        <v>메이븐그로쓰파트너스</v>
      </c>
      <c r="F125" s="58" t="str">
        <f>작성용!C122</f>
        <v>재평가</v>
      </c>
      <c r="G125" s="58" t="str">
        <f>작성용!D122</f>
        <v>카펜스트리트</v>
      </c>
      <c r="H125" s="59">
        <f>작성용!E122</f>
        <v>1101117123485</v>
      </c>
      <c r="I125" s="58" t="str">
        <f>작성용!F122</f>
        <v>A00</v>
      </c>
      <c r="J125" s="58">
        <f>작성용!G122</f>
        <v>0</v>
      </c>
      <c r="K125" s="58" t="str">
        <f>작성용!H122</f>
        <v>-</v>
      </c>
      <c r="L125" s="58" t="str">
        <f>작성용!N122</f>
        <v>연말</v>
      </c>
      <c r="M125" s="57" t="str">
        <f>작성용!U122</f>
        <v>2024.09.30</v>
      </c>
      <c r="N125" s="57">
        <f>작성용!V122</f>
        <v>45642</v>
      </c>
      <c r="O125" s="57" t="str">
        <f>작성용!W122</f>
        <v>보고서제공X</v>
      </c>
      <c r="P125" s="57" t="str">
        <f>작성용!X122</f>
        <v>-</v>
      </c>
      <c r="Q125" s="58" t="str">
        <f>작성용!AD122</f>
        <v>원정우</v>
      </c>
      <c r="R125" s="60">
        <f>작성용!AE122</f>
        <v>0</v>
      </c>
      <c r="S125" s="58" t="str">
        <f>작성용!AF122</f>
        <v>원정우</v>
      </c>
      <c r="T125" s="61" t="str">
        <f>작성용!AG122</f>
        <v>최수민</v>
      </c>
      <c r="U125" s="61" t="str">
        <f>작성용!AH122</f>
        <v>최수민</v>
      </c>
      <c r="V125" s="56">
        <f>작성용!AA122</f>
        <v>202411</v>
      </c>
      <c r="W125" s="58" t="str">
        <f>작성용!AC122</f>
        <v>[Y]금융기관</v>
      </c>
      <c r="X125" s="58" t="str">
        <f>작성용!O122</f>
        <v>조건희이사</v>
      </c>
      <c r="Y125" s="58" t="str">
        <f>작성용!P122</f>
        <v>02-3442-2353, 010-7205-7358</v>
      </c>
      <c r="Z125" s="58" t="str">
        <f>작성용!Q122</f>
        <v>kcho@mvngp.com</v>
      </c>
      <c r="AA125" s="56" t="str">
        <f>작성용!AJ122</f>
        <v>회계반영/LP제출</v>
      </c>
      <c r="AB125" s="56">
        <f>작성용!AB122</f>
        <v>0</v>
      </c>
    </row>
    <row r="126" spans="1:28" s="12" customFormat="1" ht="16.5" hidden="1" customHeight="1" x14ac:dyDescent="0.3">
      <c r="A126" s="54">
        <f>작성용!AL123</f>
        <v>122</v>
      </c>
      <c r="B126" s="55" t="str">
        <f>작성용!AI123</f>
        <v>MRC 최종본 : 2024-12-23</v>
      </c>
      <c r="C126" s="56" t="str">
        <f>작성용!AK123</f>
        <v>개별종목</v>
      </c>
      <c r="D126" s="57">
        <f>작성용!T123</f>
        <v>45555</v>
      </c>
      <c r="E126" s="58" t="str">
        <f>작성용!B123</f>
        <v>메이븐그로쓰파트너스</v>
      </c>
      <c r="F126" s="58" t="str">
        <f>작성용!C123</f>
        <v>재평가</v>
      </c>
      <c r="G126" s="58" t="str">
        <f>작성용!D123</f>
        <v>콘텐츠테크놀로지스</v>
      </c>
      <c r="H126" s="59">
        <f>작성용!E123</f>
        <v>1101117733888</v>
      </c>
      <c r="I126" s="58" t="str">
        <f>작성용!F123</f>
        <v>A01</v>
      </c>
      <c r="J126" s="58">
        <f>작성용!G123</f>
        <v>0</v>
      </c>
      <c r="K126" s="58" t="str">
        <f>작성용!H123</f>
        <v>-</v>
      </c>
      <c r="L126" s="58" t="str">
        <f>작성용!N123</f>
        <v>연말</v>
      </c>
      <c r="M126" s="57" t="str">
        <f>작성용!U123</f>
        <v>2024.09.30</v>
      </c>
      <c r="N126" s="57">
        <f>작성용!V123</f>
        <v>45642</v>
      </c>
      <c r="O126" s="57">
        <f>작성용!W123</f>
        <v>45649</v>
      </c>
      <c r="P126" s="57" t="str">
        <f>작성용!X123</f>
        <v>-</v>
      </c>
      <c r="Q126" s="58" t="str">
        <f>작성용!AD123</f>
        <v>이문수</v>
      </c>
      <c r="R126" s="60">
        <f>작성용!AE123</f>
        <v>1</v>
      </c>
      <c r="S126" s="58" t="str">
        <f>작성용!AF123</f>
        <v>이문수</v>
      </c>
      <c r="T126" s="61" t="str">
        <f>작성용!AG123</f>
        <v>최수민</v>
      </c>
      <c r="U126" s="61" t="str">
        <f>작성용!AH123</f>
        <v>최수민</v>
      </c>
      <c r="V126" s="56">
        <f>작성용!AA123</f>
        <v>202411</v>
      </c>
      <c r="W126" s="58" t="str">
        <f>작성용!AC123</f>
        <v>[Y]금융기관</v>
      </c>
      <c r="X126" s="58" t="str">
        <f>작성용!O123</f>
        <v>조건희이사</v>
      </c>
      <c r="Y126" s="58" t="str">
        <f>작성용!P123</f>
        <v>02-3442-2353, 010-7205-7358</v>
      </c>
      <c r="Z126" s="58" t="str">
        <f>작성용!Q123</f>
        <v>kcho@mvngp.com</v>
      </c>
      <c r="AA126" s="56" t="str">
        <f>작성용!AJ123</f>
        <v>회계반영/LP제출</v>
      </c>
      <c r="AB126" s="56">
        <f>작성용!AB123</f>
        <v>0</v>
      </c>
    </row>
    <row r="127" spans="1:28" s="12" customFormat="1" ht="16.5" hidden="1" customHeight="1" x14ac:dyDescent="0.3">
      <c r="A127" s="54">
        <f>작성용!AL124</f>
        <v>123</v>
      </c>
      <c r="B127" s="55" t="str">
        <f>작성용!AI124</f>
        <v>MRC 최종본 : 2024-12-23</v>
      </c>
      <c r="C127" s="56" t="str">
        <f>작성용!AK124</f>
        <v>개별종목</v>
      </c>
      <c r="D127" s="57">
        <f>작성용!T124</f>
        <v>45555</v>
      </c>
      <c r="E127" s="58" t="str">
        <f>작성용!B124</f>
        <v>메이븐그로쓰파트너스</v>
      </c>
      <c r="F127" s="58" t="str">
        <f>작성용!C124</f>
        <v>재평가</v>
      </c>
      <c r="G127" s="58" t="str">
        <f>작성용!D124</f>
        <v>콘텐츠테크놀로지스</v>
      </c>
      <c r="H127" s="59">
        <f>작성용!E124</f>
        <v>1101117733888</v>
      </c>
      <c r="I127" s="58" t="str">
        <f>작성용!F124</f>
        <v>A07</v>
      </c>
      <c r="J127" s="58">
        <f>작성용!G124</f>
        <v>0</v>
      </c>
      <c r="K127" s="58" t="str">
        <f>작성용!H124</f>
        <v>-</v>
      </c>
      <c r="L127" s="58" t="str">
        <f>작성용!N124</f>
        <v>연말</v>
      </c>
      <c r="M127" s="57" t="str">
        <f>작성용!U124</f>
        <v>2024.09.30</v>
      </c>
      <c r="N127" s="57">
        <f>작성용!V124</f>
        <v>45642</v>
      </c>
      <c r="O127" s="57">
        <f>작성용!W124</f>
        <v>45649</v>
      </c>
      <c r="P127" s="57" t="str">
        <f>작성용!X124</f>
        <v>-</v>
      </c>
      <c r="Q127" s="58" t="str">
        <f>작성용!AD124</f>
        <v>이문수</v>
      </c>
      <c r="R127" s="60">
        <f>작성용!AE124</f>
        <v>0</v>
      </c>
      <c r="S127" s="58" t="str">
        <f>작성용!AF124</f>
        <v>이문수</v>
      </c>
      <c r="T127" s="61" t="str">
        <f>작성용!AG124</f>
        <v>최수민</v>
      </c>
      <c r="U127" s="61" t="str">
        <f>작성용!AH124</f>
        <v>최수민</v>
      </c>
      <c r="V127" s="56">
        <f>작성용!AA124</f>
        <v>202411</v>
      </c>
      <c r="W127" s="58" t="str">
        <f>작성용!AC124</f>
        <v>[Y]금융기관</v>
      </c>
      <c r="X127" s="58" t="str">
        <f>작성용!O124</f>
        <v>조건희이사</v>
      </c>
      <c r="Y127" s="58" t="str">
        <f>작성용!P124</f>
        <v>02-3442-2353, 010-7205-7358</v>
      </c>
      <c r="Z127" s="58" t="str">
        <f>작성용!Q124</f>
        <v>kcho@mvngp.com</v>
      </c>
      <c r="AA127" s="56" t="str">
        <f>작성용!AJ124</f>
        <v>회계반영/LP제출</v>
      </c>
      <c r="AB127" s="56">
        <f>작성용!AB124</f>
        <v>0</v>
      </c>
    </row>
    <row r="128" spans="1:28" s="12" customFormat="1" ht="16.5" hidden="1" customHeight="1" x14ac:dyDescent="0.3">
      <c r="A128" s="54">
        <f>작성용!AL125</f>
        <v>124</v>
      </c>
      <c r="B128" s="55" t="str">
        <f>작성용!AI125</f>
        <v>MRC 최종본 : 2024-12-23</v>
      </c>
      <c r="C128" s="56" t="str">
        <f>작성용!AK125</f>
        <v>개별종목</v>
      </c>
      <c r="D128" s="57">
        <f>작성용!T125</f>
        <v>45555</v>
      </c>
      <c r="E128" s="58" t="str">
        <f>작성용!B125</f>
        <v>메이븐그로쓰파트너스</v>
      </c>
      <c r="F128" s="58" t="str">
        <f>작성용!C125</f>
        <v>재평가</v>
      </c>
      <c r="G128" s="58" t="str">
        <f>작성용!D125</f>
        <v>콘텐츠테크놀로지스</v>
      </c>
      <c r="H128" s="59">
        <f>작성용!E125</f>
        <v>1101117733888</v>
      </c>
      <c r="I128" s="58" t="str">
        <f>작성용!F125</f>
        <v>A07</v>
      </c>
      <c r="J128" s="58">
        <f>작성용!G125</f>
        <v>1</v>
      </c>
      <c r="K128" s="58" t="str">
        <f>작성용!H125</f>
        <v>-</v>
      </c>
      <c r="L128" s="58" t="str">
        <f>작성용!N125</f>
        <v>연말</v>
      </c>
      <c r="M128" s="57" t="str">
        <f>작성용!U125</f>
        <v>2024.09.30</v>
      </c>
      <c r="N128" s="57">
        <f>작성용!V125</f>
        <v>45642</v>
      </c>
      <c r="O128" s="57">
        <f>작성용!W125</f>
        <v>45649</v>
      </c>
      <c r="P128" s="57" t="str">
        <f>작성용!X125</f>
        <v>-</v>
      </c>
      <c r="Q128" s="58" t="str">
        <f>작성용!AD125</f>
        <v>이문수</v>
      </c>
      <c r="R128" s="60">
        <f>작성용!AE125</f>
        <v>0</v>
      </c>
      <c r="S128" s="58" t="str">
        <f>작성용!AF125</f>
        <v>이문수</v>
      </c>
      <c r="T128" s="61" t="str">
        <f>작성용!AG125</f>
        <v>최수민</v>
      </c>
      <c r="U128" s="61" t="str">
        <f>작성용!AH125</f>
        <v>최수민</v>
      </c>
      <c r="V128" s="56">
        <f>작성용!AA125</f>
        <v>202411</v>
      </c>
      <c r="W128" s="58" t="str">
        <f>작성용!AC125</f>
        <v>[Y]금융기관</v>
      </c>
      <c r="X128" s="58" t="str">
        <f>작성용!O125</f>
        <v>조건희이사</v>
      </c>
      <c r="Y128" s="58" t="str">
        <f>작성용!P125</f>
        <v>02-3442-2353, 010-7205-7358</v>
      </c>
      <c r="Z128" s="58" t="str">
        <f>작성용!Q125</f>
        <v>kcho@mvngp.com</v>
      </c>
      <c r="AA128" s="56" t="str">
        <f>작성용!AJ125</f>
        <v>회계반영/LP제출</v>
      </c>
      <c r="AB128" s="56">
        <f>작성용!AB125</f>
        <v>0</v>
      </c>
    </row>
    <row r="129" spans="1:28" s="12" customFormat="1" ht="16.5" hidden="1" customHeight="1" x14ac:dyDescent="0.3">
      <c r="A129" s="54">
        <f>작성용!AL126</f>
        <v>125</v>
      </c>
      <c r="B129" s="55" t="str">
        <f>작성용!AI126</f>
        <v>-</v>
      </c>
      <c r="C129" s="56" t="str">
        <f>작성용!AK126</f>
        <v>개별종목</v>
      </c>
      <c r="D129" s="57">
        <f>작성용!T126</f>
        <v>45555</v>
      </c>
      <c r="E129" s="58" t="str">
        <f>작성용!B126</f>
        <v>메이븐그로쓰파트너스</v>
      </c>
      <c r="F129" s="58" t="str">
        <f>작성용!C126</f>
        <v>재평가</v>
      </c>
      <c r="G129" s="58" t="str">
        <f>작성용!D126</f>
        <v>클래스101</v>
      </c>
      <c r="H129" s="59">
        <f>작성용!E126</f>
        <v>2301110245786</v>
      </c>
      <c r="I129" s="58" t="str">
        <f>작성용!F126</f>
        <v>A00</v>
      </c>
      <c r="J129" s="58">
        <f>작성용!G126</f>
        <v>0</v>
      </c>
      <c r="K129" s="58" t="str">
        <f>작성용!H126</f>
        <v>-</v>
      </c>
      <c r="L129" s="58" t="str">
        <f>작성용!N126</f>
        <v>연말</v>
      </c>
      <c r="M129" s="57" t="str">
        <f>작성용!U126</f>
        <v>2024.09.30</v>
      </c>
      <c r="N129" s="57">
        <f>작성용!V126</f>
        <v>45642</v>
      </c>
      <c r="O129" s="57" t="str">
        <f>작성용!W126</f>
        <v>보고서제공X</v>
      </c>
      <c r="P129" s="57" t="str">
        <f>작성용!X126</f>
        <v>-</v>
      </c>
      <c r="Q129" s="58" t="str">
        <f>작성용!AD126</f>
        <v>신원준</v>
      </c>
      <c r="R129" s="60">
        <f>작성용!AE126</f>
        <v>1</v>
      </c>
      <c r="S129" s="58" t="str">
        <f>작성용!AF126</f>
        <v>서수빈</v>
      </c>
      <c r="T129" s="61" t="str">
        <f>작성용!AG126</f>
        <v>최수민</v>
      </c>
      <c r="U129" s="61" t="str">
        <f>작성용!AH126</f>
        <v>최수민</v>
      </c>
      <c r="V129" s="56">
        <f>작성용!AA126</f>
        <v>202411</v>
      </c>
      <c r="W129" s="58" t="str">
        <f>작성용!AC126</f>
        <v>[Y]금융기관</v>
      </c>
      <c r="X129" s="58" t="str">
        <f>작성용!O126</f>
        <v>조건희이사</v>
      </c>
      <c r="Y129" s="58" t="str">
        <f>작성용!P126</f>
        <v>02-3442-2353, 010-7205-7358</v>
      </c>
      <c r="Z129" s="58" t="str">
        <f>작성용!Q126</f>
        <v>kcho@mvngp.com</v>
      </c>
      <c r="AA129" s="56" t="str">
        <f>작성용!AJ126</f>
        <v>회계반영/LP제출</v>
      </c>
      <c r="AB129" s="56">
        <f>작성용!AB126</f>
        <v>0</v>
      </c>
    </row>
    <row r="130" spans="1:28" s="12" customFormat="1" ht="16.5" hidden="1" customHeight="1" x14ac:dyDescent="0.3">
      <c r="A130" s="54">
        <f>작성용!AL127</f>
        <v>126</v>
      </c>
      <c r="B130" s="55" t="str">
        <f>작성용!AI127</f>
        <v>MRC 최종본 : 2024-12-23</v>
      </c>
      <c r="C130" s="56" t="str">
        <f>작성용!AK127</f>
        <v>개별종목</v>
      </c>
      <c r="D130" s="57">
        <f>작성용!T127</f>
        <v>45555</v>
      </c>
      <c r="E130" s="58" t="str">
        <f>작성용!B127</f>
        <v>메이븐그로쓰파트너스</v>
      </c>
      <c r="F130" s="58" t="str">
        <f>작성용!C127</f>
        <v>재평가</v>
      </c>
      <c r="G130" s="58" t="str">
        <f>작성용!D127</f>
        <v>클래스101</v>
      </c>
      <c r="H130" s="59">
        <f>작성용!E127</f>
        <v>2301110245786</v>
      </c>
      <c r="I130" s="58" t="str">
        <f>작성용!F127</f>
        <v>A05</v>
      </c>
      <c r="J130" s="58">
        <f>작성용!G127</f>
        <v>0</v>
      </c>
      <c r="K130" s="58" t="str">
        <f>작성용!H127</f>
        <v>-</v>
      </c>
      <c r="L130" s="58" t="str">
        <f>작성용!N127</f>
        <v>연말</v>
      </c>
      <c r="M130" s="57" t="str">
        <f>작성용!U127</f>
        <v>2024.09.30</v>
      </c>
      <c r="N130" s="57">
        <f>작성용!V127</f>
        <v>45642</v>
      </c>
      <c r="O130" s="57">
        <f>작성용!W127</f>
        <v>45649</v>
      </c>
      <c r="P130" s="57" t="str">
        <f>작성용!X127</f>
        <v>-</v>
      </c>
      <c r="Q130" s="58" t="str">
        <f>작성용!AD127</f>
        <v>신원준</v>
      </c>
      <c r="R130" s="60">
        <f>작성용!AE127</f>
        <v>0</v>
      </c>
      <c r="S130" s="58" t="str">
        <f>작성용!AF127</f>
        <v>서수빈</v>
      </c>
      <c r="T130" s="61" t="str">
        <f>작성용!AG127</f>
        <v>최수민</v>
      </c>
      <c r="U130" s="61" t="str">
        <f>작성용!AH127</f>
        <v>최수민</v>
      </c>
      <c r="V130" s="56">
        <f>작성용!AA127</f>
        <v>202411</v>
      </c>
      <c r="W130" s="58" t="str">
        <f>작성용!AC127</f>
        <v>[Y]금융기관</v>
      </c>
      <c r="X130" s="58" t="str">
        <f>작성용!O127</f>
        <v>조건희이사</v>
      </c>
      <c r="Y130" s="58" t="str">
        <f>작성용!P127</f>
        <v>02-3442-2353, 010-7205-7358</v>
      </c>
      <c r="Z130" s="58" t="str">
        <f>작성용!Q127</f>
        <v>kcho@mvngp.com</v>
      </c>
      <c r="AA130" s="56" t="str">
        <f>작성용!AJ127</f>
        <v>회계반영/LP제출</v>
      </c>
      <c r="AB130" s="56">
        <f>작성용!AB127</f>
        <v>0</v>
      </c>
    </row>
    <row r="131" spans="1:28" s="12" customFormat="1" ht="16.5" hidden="1" customHeight="1" x14ac:dyDescent="0.3">
      <c r="A131" s="54">
        <f>작성용!AL128</f>
        <v>127</v>
      </c>
      <c r="B131" s="55" t="str">
        <f>작성용!AI128</f>
        <v>-</v>
      </c>
      <c r="C131" s="56" t="str">
        <f>작성용!AK128</f>
        <v>개별종목</v>
      </c>
      <c r="D131" s="57">
        <f>작성용!T128</f>
        <v>45555</v>
      </c>
      <c r="E131" s="58" t="str">
        <f>작성용!B128</f>
        <v>메이븐그로쓰파트너스</v>
      </c>
      <c r="F131" s="58" t="str">
        <f>작성용!C128</f>
        <v>신규</v>
      </c>
      <c r="G131" s="58" t="str">
        <f>작성용!D128</f>
        <v>퍼플랩스</v>
      </c>
      <c r="H131" s="59">
        <f>작성용!E128</f>
        <v>1101116398443</v>
      </c>
      <c r="I131" s="58" t="str">
        <f>작성용!F128</f>
        <v>A00</v>
      </c>
      <c r="J131" s="58">
        <f>작성용!G128</f>
        <v>0</v>
      </c>
      <c r="K131" s="58" t="str">
        <f>작성용!H128</f>
        <v>-</v>
      </c>
      <c r="L131" s="58" t="str">
        <f>작성용!N128</f>
        <v>연말</v>
      </c>
      <c r="M131" s="57" t="str">
        <f>작성용!U128</f>
        <v>2024.09.30</v>
      </c>
      <c r="N131" s="57">
        <f>작성용!V128</f>
        <v>45642</v>
      </c>
      <c r="O131" s="57" t="str">
        <f>작성용!W128</f>
        <v>보고서제공X</v>
      </c>
      <c r="P131" s="57" t="str">
        <f>작성용!X128</f>
        <v>-</v>
      </c>
      <c r="Q131" s="58" t="str">
        <f>작성용!AD128</f>
        <v>서경덕</v>
      </c>
      <c r="R131" s="60">
        <f>작성용!AE128</f>
        <v>1</v>
      </c>
      <c r="S131" s="58" t="str">
        <f>작성용!AF128</f>
        <v>서경덕</v>
      </c>
      <c r="T131" s="61" t="str">
        <f>작성용!AG128</f>
        <v>최수민</v>
      </c>
      <c r="U131" s="61" t="str">
        <f>작성용!AH128</f>
        <v>최수민</v>
      </c>
      <c r="V131" s="56">
        <f>작성용!AA128</f>
        <v>202411</v>
      </c>
      <c r="W131" s="58" t="str">
        <f>작성용!AC128</f>
        <v>[Y]금융기관</v>
      </c>
      <c r="X131" s="58" t="str">
        <f>작성용!O128</f>
        <v>조건희이사</v>
      </c>
      <c r="Y131" s="58" t="str">
        <f>작성용!P128</f>
        <v>02-3442-2353, 010-7205-7358</v>
      </c>
      <c r="Z131" s="58" t="str">
        <f>작성용!Q128</f>
        <v>kcho@mvngp.com</v>
      </c>
      <c r="AA131" s="56" t="str">
        <f>작성용!AJ128</f>
        <v>회계반영/LP제출</v>
      </c>
      <c r="AB131" s="56">
        <f>작성용!AB128</f>
        <v>0</v>
      </c>
    </row>
    <row r="132" spans="1:28" s="12" customFormat="1" ht="16.5" hidden="1" customHeight="1" x14ac:dyDescent="0.3">
      <c r="A132" s="54">
        <f>작성용!AL129</f>
        <v>128</v>
      </c>
      <c r="B132" s="55" t="str">
        <f>작성용!AI129</f>
        <v>MRC 최종본 : 2024-12-23</v>
      </c>
      <c r="C132" s="56" t="str">
        <f>작성용!AK129</f>
        <v>개별종목</v>
      </c>
      <c r="D132" s="57">
        <f>작성용!T129</f>
        <v>45555</v>
      </c>
      <c r="E132" s="58" t="str">
        <f>작성용!B129</f>
        <v>메이븐그로쓰파트너스</v>
      </c>
      <c r="F132" s="58" t="str">
        <f>작성용!C129</f>
        <v>신규</v>
      </c>
      <c r="G132" s="58" t="str">
        <f>작성용!D129</f>
        <v>퍼플랩스</v>
      </c>
      <c r="H132" s="59">
        <f>작성용!E129</f>
        <v>1101116398443</v>
      </c>
      <c r="I132" s="58" t="str">
        <f>작성용!F129</f>
        <v>A07</v>
      </c>
      <c r="J132" s="58">
        <f>작성용!G129</f>
        <v>0</v>
      </c>
      <c r="K132" s="58" t="str">
        <f>작성용!H129</f>
        <v>-</v>
      </c>
      <c r="L132" s="58" t="str">
        <f>작성용!N129</f>
        <v>연말</v>
      </c>
      <c r="M132" s="57" t="str">
        <f>작성용!U129</f>
        <v>2024.09.30</v>
      </c>
      <c r="N132" s="57">
        <f>작성용!V129</f>
        <v>45642</v>
      </c>
      <c r="O132" s="57">
        <f>작성용!W129</f>
        <v>45649</v>
      </c>
      <c r="P132" s="57" t="str">
        <f>작성용!X129</f>
        <v>-</v>
      </c>
      <c r="Q132" s="58" t="str">
        <f>작성용!AD129</f>
        <v>서경덕</v>
      </c>
      <c r="R132" s="60">
        <f>작성용!AE129</f>
        <v>0</v>
      </c>
      <c r="S132" s="58" t="str">
        <f>작성용!AF129</f>
        <v>서경덕</v>
      </c>
      <c r="T132" s="61" t="str">
        <f>작성용!AG129</f>
        <v>최수민</v>
      </c>
      <c r="U132" s="61" t="str">
        <f>작성용!AH129</f>
        <v>최수민</v>
      </c>
      <c r="V132" s="56">
        <f>작성용!AA129</f>
        <v>202411</v>
      </c>
      <c r="W132" s="58" t="str">
        <f>작성용!AC129</f>
        <v>[Y]금융기관</v>
      </c>
      <c r="X132" s="58" t="str">
        <f>작성용!O129</f>
        <v>조건희이사</v>
      </c>
      <c r="Y132" s="58" t="str">
        <f>작성용!P129</f>
        <v>02-3442-2353, 010-7205-7358</v>
      </c>
      <c r="Z132" s="58" t="str">
        <f>작성용!Q129</f>
        <v>kcho@mvngp.com</v>
      </c>
      <c r="AA132" s="56" t="str">
        <f>작성용!AJ129</f>
        <v>회계반영/LP제출</v>
      </c>
      <c r="AB132" s="56">
        <f>작성용!AB129</f>
        <v>0</v>
      </c>
    </row>
    <row r="133" spans="1:28" s="12" customFormat="1" ht="16.5" hidden="1" customHeight="1" x14ac:dyDescent="0.3">
      <c r="A133" s="54">
        <f>작성용!AL130</f>
        <v>129</v>
      </c>
      <c r="B133" s="55" t="str">
        <f>작성용!AI130</f>
        <v>-</v>
      </c>
      <c r="C133" s="56" t="str">
        <f>작성용!AK130</f>
        <v>개별종목</v>
      </c>
      <c r="D133" s="57">
        <f>작성용!T130</f>
        <v>45555</v>
      </c>
      <c r="E133" s="58" t="str">
        <f>작성용!B130</f>
        <v>메이븐그로쓰파트너스</v>
      </c>
      <c r="F133" s="58" t="str">
        <f>작성용!C130</f>
        <v>재평가</v>
      </c>
      <c r="G133" s="58" t="str">
        <f>작성용!D130</f>
        <v>피치스그룹코리아</v>
      </c>
      <c r="H133" s="59">
        <f>작성용!E130</f>
        <v>1101116786226</v>
      </c>
      <c r="I133" s="58" t="str">
        <f>작성용!F130</f>
        <v>A00</v>
      </c>
      <c r="J133" s="58">
        <f>작성용!G130</f>
        <v>0</v>
      </c>
      <c r="K133" s="58" t="str">
        <f>작성용!H130</f>
        <v>-</v>
      </c>
      <c r="L133" s="58" t="str">
        <f>작성용!N130</f>
        <v>연말</v>
      </c>
      <c r="M133" s="57" t="str">
        <f>작성용!U130</f>
        <v>2024.09.30</v>
      </c>
      <c r="N133" s="57">
        <f>작성용!V130</f>
        <v>45642</v>
      </c>
      <c r="O133" s="57" t="str">
        <f>작성용!W130</f>
        <v>보고서제공X</v>
      </c>
      <c r="P133" s="57" t="str">
        <f>작성용!X130</f>
        <v>-</v>
      </c>
      <c r="Q133" s="58" t="str">
        <f>작성용!AD130</f>
        <v>이상민</v>
      </c>
      <c r="R133" s="60">
        <f>작성용!AE130</f>
        <v>1</v>
      </c>
      <c r="S133" s="58" t="str">
        <f>작성용!AF130</f>
        <v>이상민</v>
      </c>
      <c r="T133" s="61" t="str">
        <f>작성용!AG130</f>
        <v>최수민</v>
      </c>
      <c r="U133" s="61" t="str">
        <f>작성용!AH130</f>
        <v>최수민</v>
      </c>
      <c r="V133" s="56">
        <f>작성용!AA130</f>
        <v>202411</v>
      </c>
      <c r="W133" s="58" t="str">
        <f>작성용!AC130</f>
        <v>[Y]금융기관</v>
      </c>
      <c r="X133" s="58" t="str">
        <f>작성용!O130</f>
        <v>조건희이사</v>
      </c>
      <c r="Y133" s="58" t="str">
        <f>작성용!P130</f>
        <v>02-3442-2353, 010-7205-7358</v>
      </c>
      <c r="Z133" s="58" t="str">
        <f>작성용!Q130</f>
        <v>kcho@mvngp.com</v>
      </c>
      <c r="AA133" s="56" t="str">
        <f>작성용!AJ130</f>
        <v>회계반영/LP제출</v>
      </c>
      <c r="AB133" s="56">
        <f>작성용!AB130</f>
        <v>0</v>
      </c>
    </row>
    <row r="134" spans="1:28" s="12" customFormat="1" ht="16.5" hidden="1" customHeight="1" x14ac:dyDescent="0.3">
      <c r="A134" s="54">
        <f>작성용!AL131</f>
        <v>130</v>
      </c>
      <c r="B134" s="55" t="str">
        <f>작성용!AI131</f>
        <v>MRC 최종본 : 2024-12-23</v>
      </c>
      <c r="C134" s="56" t="str">
        <f>작성용!AK131</f>
        <v>개별종목</v>
      </c>
      <c r="D134" s="57">
        <f>작성용!T131</f>
        <v>45555</v>
      </c>
      <c r="E134" s="58" t="str">
        <f>작성용!B131</f>
        <v>메이븐그로쓰파트너스</v>
      </c>
      <c r="F134" s="58" t="str">
        <f>작성용!C131</f>
        <v>재평가</v>
      </c>
      <c r="G134" s="58" t="str">
        <f>작성용!D131</f>
        <v>피치스그룹코리아</v>
      </c>
      <c r="H134" s="59">
        <f>작성용!E131</f>
        <v>1101116786226</v>
      </c>
      <c r="I134" s="58" t="str">
        <f>작성용!F131</f>
        <v>A07</v>
      </c>
      <c r="J134" s="58">
        <f>작성용!G131</f>
        <v>0</v>
      </c>
      <c r="K134" s="58" t="str">
        <f>작성용!H131</f>
        <v>-</v>
      </c>
      <c r="L134" s="58" t="str">
        <f>작성용!N131</f>
        <v>연말</v>
      </c>
      <c r="M134" s="57" t="str">
        <f>작성용!U131</f>
        <v>2024.09.30</v>
      </c>
      <c r="N134" s="57">
        <f>작성용!V131</f>
        <v>45642</v>
      </c>
      <c r="O134" s="57">
        <f>작성용!W131</f>
        <v>45649</v>
      </c>
      <c r="P134" s="57" t="str">
        <f>작성용!X131</f>
        <v>-</v>
      </c>
      <c r="Q134" s="58" t="str">
        <f>작성용!AD131</f>
        <v>이상민</v>
      </c>
      <c r="R134" s="60">
        <f>작성용!AE131</f>
        <v>0</v>
      </c>
      <c r="S134" s="58" t="str">
        <f>작성용!AF131</f>
        <v>이상민</v>
      </c>
      <c r="T134" s="61" t="str">
        <f>작성용!AG131</f>
        <v>최수민</v>
      </c>
      <c r="U134" s="61" t="str">
        <f>작성용!AH131</f>
        <v>최수민</v>
      </c>
      <c r="V134" s="56">
        <f>작성용!AA131</f>
        <v>202411</v>
      </c>
      <c r="W134" s="58" t="str">
        <f>작성용!AC131</f>
        <v>[Y]금융기관</v>
      </c>
      <c r="X134" s="58" t="str">
        <f>작성용!O131</f>
        <v>조건희이사</v>
      </c>
      <c r="Y134" s="58" t="str">
        <f>작성용!P131</f>
        <v>02-3442-2353, 010-7205-7358</v>
      </c>
      <c r="Z134" s="58" t="str">
        <f>작성용!Q131</f>
        <v>kcho@mvngp.com</v>
      </c>
      <c r="AA134" s="56" t="str">
        <f>작성용!AJ131</f>
        <v>회계반영/LP제출</v>
      </c>
      <c r="AB134" s="56">
        <f>작성용!AB131</f>
        <v>0</v>
      </c>
    </row>
    <row r="135" spans="1:28" s="12" customFormat="1" ht="16.5" hidden="1" customHeight="1" x14ac:dyDescent="0.3">
      <c r="A135" s="54">
        <f>작성용!AL132</f>
        <v>131</v>
      </c>
      <c r="B135" s="55" t="str">
        <f>작성용!AI132</f>
        <v>-</v>
      </c>
      <c r="C135" s="56" t="str">
        <f>작성용!AK132</f>
        <v>개별종목</v>
      </c>
      <c r="D135" s="57">
        <f>작성용!T132</f>
        <v>45555</v>
      </c>
      <c r="E135" s="58" t="str">
        <f>작성용!B132</f>
        <v>에이치디씨(구,현대산업개발)</v>
      </c>
      <c r="F135" s="58" t="str">
        <f>작성용!C132</f>
        <v>재평가</v>
      </c>
      <c r="G135" s="58" t="str">
        <f>작성용!D132</f>
        <v>코리아이플랫폼(구,아시아비투비벤처스)</v>
      </c>
      <c r="H135" s="59">
        <f>작성용!E132</f>
        <v>1101112008921</v>
      </c>
      <c r="I135" s="58" t="str">
        <f>작성용!F132</f>
        <v>A01</v>
      </c>
      <c r="J135" s="58">
        <f>작성용!G132</f>
        <v>0</v>
      </c>
      <c r="K135" s="58" t="str">
        <f>작성용!H132</f>
        <v>-</v>
      </c>
      <c r="L135" s="58" t="str">
        <f>작성용!N132</f>
        <v>년</v>
      </c>
      <c r="M135" s="57" t="str">
        <f>작성용!U132</f>
        <v>2024.09.30</v>
      </c>
      <c r="N135" s="57">
        <f>작성용!V132</f>
        <v>45618</v>
      </c>
      <c r="O135" s="57">
        <f>작성용!W132</f>
        <v>45625</v>
      </c>
      <c r="P135" s="57" t="str">
        <f>작성용!X132</f>
        <v>-</v>
      </c>
      <c r="Q135" s="58" t="str">
        <f>작성용!AD132</f>
        <v>서경덕</v>
      </c>
      <c r="R135" s="60">
        <f>작성용!AE132</f>
        <v>1</v>
      </c>
      <c r="S135" s="58" t="str">
        <f>작성용!AF132</f>
        <v>윤현빈</v>
      </c>
      <c r="T135" s="61" t="str">
        <f>작성용!AG132</f>
        <v>조현우</v>
      </c>
      <c r="U135" s="61" t="str">
        <f>작성용!AH132</f>
        <v>조현우</v>
      </c>
      <c r="V135" s="56">
        <f>작성용!AA132</f>
        <v>202411</v>
      </c>
      <c r="W135" s="58" t="str">
        <f>작성용!AC132</f>
        <v>[C]현대</v>
      </c>
      <c r="X135" s="58" t="str">
        <f>작성용!O132</f>
        <v>정영수매니저</v>
      </c>
      <c r="Y135" s="58" t="str">
        <f>작성용!P132</f>
        <v>010-2972-1335</v>
      </c>
      <c r="Z135" s="58" t="str">
        <f>작성용!Q132</f>
        <v>ysjung@hdc-holdings.com</v>
      </c>
      <c r="AA135" s="56" t="str">
        <f>작성용!AJ132</f>
        <v>회계반영</v>
      </c>
      <c r="AB135" s="56">
        <f>작성용!AB132</f>
        <v>0</v>
      </c>
    </row>
    <row r="136" spans="1:28" s="12" customFormat="1" ht="16.5" hidden="1" customHeight="1" x14ac:dyDescent="0.3">
      <c r="A136" s="54">
        <f>작성용!AL133</f>
        <v>132</v>
      </c>
      <c r="B136" s="55" t="str">
        <f>작성용!AI133</f>
        <v>-</v>
      </c>
      <c r="C136" s="56" t="str">
        <f>작성용!AK133</f>
        <v>개별종목</v>
      </c>
      <c r="D136" s="57">
        <f>작성용!T133</f>
        <v>45555</v>
      </c>
      <c r="E136" s="58" t="str">
        <f>작성용!B133</f>
        <v>에이치디씨(구,현대산업개발)</v>
      </c>
      <c r="F136" s="58" t="str">
        <f>작성용!C133</f>
        <v>재평가</v>
      </c>
      <c r="G136" s="58" t="str">
        <f>작성용!D133</f>
        <v>현대미래로</v>
      </c>
      <c r="H136" s="59">
        <f>작성용!E133</f>
        <v>1101116127264</v>
      </c>
      <c r="I136" s="58" t="str">
        <f>작성용!F133</f>
        <v>A01</v>
      </c>
      <c r="J136" s="58">
        <f>작성용!G133</f>
        <v>0</v>
      </c>
      <c r="K136" s="58" t="str">
        <f>작성용!H133</f>
        <v>-</v>
      </c>
      <c r="L136" s="58" t="str">
        <f>작성용!N133</f>
        <v>년</v>
      </c>
      <c r="M136" s="57" t="str">
        <f>작성용!U133</f>
        <v>2024.09.30</v>
      </c>
      <c r="N136" s="57">
        <f>작성용!V133</f>
        <v>45618</v>
      </c>
      <c r="O136" s="57">
        <f>작성용!W133</f>
        <v>45625</v>
      </c>
      <c r="P136" s="57" t="str">
        <f>작성용!X133</f>
        <v>-</v>
      </c>
      <c r="Q136" s="58" t="str">
        <f>작성용!AD133</f>
        <v>서동현</v>
      </c>
      <c r="R136" s="60">
        <f>작성용!AE133</f>
        <v>1</v>
      </c>
      <c r="S136" s="58" t="str">
        <f>작성용!AF133</f>
        <v>김혜지</v>
      </c>
      <c r="T136" s="61" t="str">
        <f>작성용!AG133</f>
        <v>조현우</v>
      </c>
      <c r="U136" s="61" t="str">
        <f>작성용!AH133</f>
        <v>조현우</v>
      </c>
      <c r="V136" s="56">
        <f>작성용!AA133</f>
        <v>202411</v>
      </c>
      <c r="W136" s="58" t="str">
        <f>작성용!AC133</f>
        <v>[C]현대</v>
      </c>
      <c r="X136" s="58" t="str">
        <f>작성용!O133</f>
        <v>정영수매니저</v>
      </c>
      <c r="Y136" s="58" t="str">
        <f>작성용!P133</f>
        <v>010-2972-1335</v>
      </c>
      <c r="Z136" s="58" t="str">
        <f>작성용!Q133</f>
        <v>ysjung@hdc-holdings.com</v>
      </c>
      <c r="AA136" s="56" t="str">
        <f>작성용!AJ133</f>
        <v>회계반영</v>
      </c>
      <c r="AB136" s="56">
        <f>작성용!AB133</f>
        <v>0</v>
      </c>
    </row>
    <row r="137" spans="1:28" s="12" customFormat="1" ht="16.5" hidden="1" customHeight="1" x14ac:dyDescent="0.3">
      <c r="A137" s="54">
        <f>작성용!AL134</f>
        <v>133</v>
      </c>
      <c r="B137" s="55" t="str">
        <f>작성용!AI134</f>
        <v>-</v>
      </c>
      <c r="C137" s="56" t="str">
        <f>작성용!AK134</f>
        <v>개별종목</v>
      </c>
      <c r="D137" s="57">
        <f>작성용!T134</f>
        <v>45555</v>
      </c>
      <c r="E137" s="58" t="str">
        <f>작성용!B134</f>
        <v>에이치디씨(구,현대산업개발)</v>
      </c>
      <c r="F137" s="58" t="str">
        <f>작성용!C134</f>
        <v>재평가</v>
      </c>
      <c r="G137" s="58" t="str">
        <f>작성용!D134</f>
        <v>현대엠파트너스</v>
      </c>
      <c r="H137" s="59">
        <f>작성용!E134</f>
        <v>1101111238628</v>
      </c>
      <c r="I137" s="58" t="str">
        <f>작성용!F134</f>
        <v>A01</v>
      </c>
      <c r="J137" s="58">
        <f>작성용!G134</f>
        <v>0</v>
      </c>
      <c r="K137" s="58" t="str">
        <f>작성용!H134</f>
        <v>-</v>
      </c>
      <c r="L137" s="58" t="str">
        <f>작성용!N134</f>
        <v>년</v>
      </c>
      <c r="M137" s="57" t="str">
        <f>작성용!U134</f>
        <v>2024.09.30</v>
      </c>
      <c r="N137" s="57">
        <f>작성용!V134</f>
        <v>45618</v>
      </c>
      <c r="O137" s="57">
        <f>작성용!W134</f>
        <v>45625</v>
      </c>
      <c r="P137" s="57" t="str">
        <f>작성용!X134</f>
        <v>-</v>
      </c>
      <c r="Q137" s="58" t="str">
        <f>작성용!AD134</f>
        <v>서동현</v>
      </c>
      <c r="R137" s="60">
        <f>작성용!AE134</f>
        <v>1</v>
      </c>
      <c r="S137" s="58" t="str">
        <f>작성용!AF134</f>
        <v>서동현</v>
      </c>
      <c r="T137" s="61" t="str">
        <f>작성용!AG134</f>
        <v>조현우</v>
      </c>
      <c r="U137" s="61" t="str">
        <f>작성용!AH134</f>
        <v>조현우</v>
      </c>
      <c r="V137" s="56">
        <f>작성용!AA134</f>
        <v>202411</v>
      </c>
      <c r="W137" s="58" t="str">
        <f>작성용!AC134</f>
        <v>[C]현대</v>
      </c>
      <c r="X137" s="58" t="str">
        <f>작성용!O134</f>
        <v>정영수매니저</v>
      </c>
      <c r="Y137" s="58" t="str">
        <f>작성용!P134</f>
        <v>010-2972-1335</v>
      </c>
      <c r="Z137" s="58" t="str">
        <f>작성용!Q134</f>
        <v>ysjung@hdc-holdings.com</v>
      </c>
      <c r="AA137" s="56" t="str">
        <f>작성용!AJ134</f>
        <v>회계반영</v>
      </c>
      <c r="AB137" s="56">
        <f>작성용!AB134</f>
        <v>0</v>
      </c>
    </row>
    <row r="138" spans="1:28" s="12" customFormat="1" ht="16.5" hidden="1" customHeight="1" x14ac:dyDescent="0.3">
      <c r="A138" s="54">
        <f>작성용!AL135</f>
        <v>134</v>
      </c>
      <c r="B138" s="55" t="str">
        <f>작성용!AI135</f>
        <v>-</v>
      </c>
      <c r="C138" s="56" t="str">
        <f>작성용!AK135</f>
        <v>개별종목</v>
      </c>
      <c r="D138" s="57">
        <f>작성용!T135</f>
        <v>45555</v>
      </c>
      <c r="E138" s="58" t="str">
        <f>작성용!B135</f>
        <v>에이치디씨(구,현대산업개발)</v>
      </c>
      <c r="F138" s="58" t="str">
        <f>작성용!C135</f>
        <v>재평가</v>
      </c>
      <c r="G138" s="58" t="str">
        <f>작성용!D135</f>
        <v>현대오일뱅크</v>
      </c>
      <c r="H138" s="59">
        <f>작성용!E135</f>
        <v>1101110090558</v>
      </c>
      <c r="I138" s="58" t="str">
        <f>작성용!F135</f>
        <v>A01</v>
      </c>
      <c r="J138" s="58">
        <f>작성용!G135</f>
        <v>0</v>
      </c>
      <c r="K138" s="58" t="str">
        <f>작성용!H135</f>
        <v>-</v>
      </c>
      <c r="L138" s="58" t="str">
        <f>작성용!N135</f>
        <v>년</v>
      </c>
      <c r="M138" s="57" t="str">
        <f>작성용!U135</f>
        <v>2024.09.30</v>
      </c>
      <c r="N138" s="57">
        <f>작성용!V135</f>
        <v>45618</v>
      </c>
      <c r="O138" s="57">
        <f>작성용!W135</f>
        <v>45625</v>
      </c>
      <c r="P138" s="57" t="str">
        <f>작성용!X135</f>
        <v>-</v>
      </c>
      <c r="Q138" s="58" t="str">
        <f>작성용!AD135</f>
        <v>조현우</v>
      </c>
      <c r="R138" s="60">
        <f>작성용!AE135</f>
        <v>1</v>
      </c>
      <c r="S138" s="58" t="str">
        <f>작성용!AF135</f>
        <v>조현우</v>
      </c>
      <c r="T138" s="61" t="str">
        <f>작성용!AG135</f>
        <v>조현우</v>
      </c>
      <c r="U138" s="61" t="str">
        <f>작성용!AH135</f>
        <v>조현우</v>
      </c>
      <c r="V138" s="56">
        <f>작성용!AA135</f>
        <v>202411</v>
      </c>
      <c r="W138" s="58" t="str">
        <f>작성용!AC135</f>
        <v>[C]현대</v>
      </c>
      <c r="X138" s="58" t="str">
        <f>작성용!O135</f>
        <v>정영수매니저</v>
      </c>
      <c r="Y138" s="58" t="str">
        <f>작성용!P135</f>
        <v>010-2972-1335</v>
      </c>
      <c r="Z138" s="58" t="str">
        <f>작성용!Q135</f>
        <v>ysjung@hdc-holdings.com</v>
      </c>
      <c r="AA138" s="56" t="str">
        <f>작성용!AJ135</f>
        <v>회계반영</v>
      </c>
      <c r="AB138" s="56">
        <f>작성용!AB135</f>
        <v>0</v>
      </c>
    </row>
    <row r="139" spans="1:28" s="12" customFormat="1" ht="16.5" hidden="1" customHeight="1" x14ac:dyDescent="0.3">
      <c r="A139" s="54">
        <f>작성용!AL136</f>
        <v>135</v>
      </c>
      <c r="B139" s="55" t="str">
        <f>작성용!AI136</f>
        <v>-</v>
      </c>
      <c r="C139" s="56" t="str">
        <f>작성용!AK136</f>
        <v>개별종목</v>
      </c>
      <c r="D139" s="57">
        <f>작성용!T136</f>
        <v>45561</v>
      </c>
      <c r="E139" s="58" t="str">
        <f>작성용!B136</f>
        <v>아이엠엠인베스트먼트</v>
      </c>
      <c r="F139" s="58" t="str">
        <f>작성용!C136</f>
        <v>재평가</v>
      </c>
      <c r="G139" s="58" t="str">
        <f>작성용!D136</f>
        <v>에끌레르</v>
      </c>
      <c r="H139" s="59">
        <f>작성용!E136</f>
        <v>1101140224052</v>
      </c>
      <c r="I139" s="58" t="str">
        <f>작성용!F136</f>
        <v>A01</v>
      </c>
      <c r="J139" s="58">
        <f>작성용!G136</f>
        <v>0</v>
      </c>
      <c r="K139" s="58" t="str">
        <f>작성용!H136</f>
        <v>-</v>
      </c>
      <c r="L139" s="58" t="str">
        <f>작성용!N136</f>
        <v>년</v>
      </c>
      <c r="M139" s="57" t="str">
        <f>작성용!U136</f>
        <v>2024.09.30</v>
      </c>
      <c r="N139" s="57">
        <f>작성용!V136</f>
        <v>45602</v>
      </c>
      <c r="O139" s="57">
        <f>작성용!W136</f>
        <v>45609</v>
      </c>
      <c r="P139" s="57" t="str">
        <f>작성용!X136</f>
        <v>-</v>
      </c>
      <c r="Q139" s="58" t="str">
        <f>작성용!AD136</f>
        <v>정은채</v>
      </c>
      <c r="R139" s="60">
        <f>작성용!AE136</f>
        <v>1</v>
      </c>
      <c r="S139" s="58" t="str">
        <f>작성용!AF136</f>
        <v>정은채</v>
      </c>
      <c r="T139" s="61" t="str">
        <f>작성용!AG136</f>
        <v>강성은</v>
      </c>
      <c r="U139" s="61" t="str">
        <f>작성용!AH136</f>
        <v>강성은</v>
      </c>
      <c r="V139" s="56">
        <f>작성용!AA136</f>
        <v>202411</v>
      </c>
      <c r="W139" s="58" t="str">
        <f>작성용!AC136</f>
        <v>[Y]금융기관</v>
      </c>
      <c r="X139" s="58" t="str">
        <f>작성용!O136</f>
        <v>김수민매니저</v>
      </c>
      <c r="Y139" s="58" t="str">
        <f>작성용!P136</f>
        <v>02-2112-1717, 010-3109-5707</v>
      </c>
      <c r="Z139" s="58" t="str">
        <f>작성용!Q136</f>
        <v xml:space="preserve">soomin.kim@imm.co.kr </v>
      </c>
      <c r="AA139" s="56" t="str">
        <f>작성용!AJ136</f>
        <v>국민연금제출</v>
      </c>
      <c r="AB139" s="56">
        <f>작성용!AB136</f>
        <v>0</v>
      </c>
    </row>
    <row r="140" spans="1:28" s="12" customFormat="1" ht="16.5" hidden="1" customHeight="1" x14ac:dyDescent="0.3">
      <c r="A140" s="54">
        <f>작성용!AL137</f>
        <v>136</v>
      </c>
      <c r="B140" s="55" t="str">
        <f>작성용!AI137</f>
        <v>-</v>
      </c>
      <c r="C140" s="56" t="str">
        <f>작성용!AK137</f>
        <v>개별종목</v>
      </c>
      <c r="D140" s="57">
        <f>작성용!T137</f>
        <v>45561</v>
      </c>
      <c r="E140" s="58" t="str">
        <f>작성용!B137</f>
        <v>아이엠엠인베스트먼트</v>
      </c>
      <c r="F140" s="58" t="str">
        <f>작성용!C137</f>
        <v>재평가</v>
      </c>
      <c r="G140" s="58" t="str">
        <f>작성용!D137</f>
        <v>미나미시마바라제일발전소</v>
      </c>
      <c r="H140" s="59" t="str">
        <f>작성용!E137</f>
        <v>KBP2019090169</v>
      </c>
      <c r="I140" s="58" t="str">
        <f>작성용!F137</f>
        <v>D02</v>
      </c>
      <c r="J140" s="58">
        <f>작성용!G137</f>
        <v>1</v>
      </c>
      <c r="K140" s="58" t="str">
        <f>작성용!H137</f>
        <v>-</v>
      </c>
      <c r="L140" s="58" t="str">
        <f>작성용!N137</f>
        <v>년</v>
      </c>
      <c r="M140" s="57" t="str">
        <f>작성용!U137</f>
        <v>2024.09.30</v>
      </c>
      <c r="N140" s="57">
        <f>작성용!V137</f>
        <v>45602</v>
      </c>
      <c r="O140" s="57">
        <f>작성용!W137</f>
        <v>45609</v>
      </c>
      <c r="P140" s="57" t="str">
        <f>작성용!X137</f>
        <v>-</v>
      </c>
      <c r="Q140" s="58" t="str">
        <f>작성용!AD137</f>
        <v>강승현</v>
      </c>
      <c r="R140" s="60">
        <f>작성용!AE137</f>
        <v>1</v>
      </c>
      <c r="S140" s="58" t="str">
        <f>작성용!AF137</f>
        <v>강승현</v>
      </c>
      <c r="T140" s="61" t="str">
        <f>작성용!AG137</f>
        <v>강성은</v>
      </c>
      <c r="U140" s="61" t="str">
        <f>작성용!AH137</f>
        <v>강성은</v>
      </c>
      <c r="V140" s="56">
        <f>작성용!AA137</f>
        <v>202411</v>
      </c>
      <c r="W140" s="58" t="str">
        <f>작성용!AC137</f>
        <v>[Y]금융기관</v>
      </c>
      <c r="X140" s="58" t="str">
        <f>작성용!O137</f>
        <v>김수민매니저</v>
      </c>
      <c r="Y140" s="58" t="str">
        <f>작성용!P137</f>
        <v>02-2112-1717, 010-3109-5707</v>
      </c>
      <c r="Z140" s="58" t="str">
        <f>작성용!Q137</f>
        <v xml:space="preserve">soomin.kim@imm.co.kr </v>
      </c>
      <c r="AA140" s="56" t="str">
        <f>작성용!AJ137</f>
        <v>국민연금제출</v>
      </c>
      <c r="AB140" s="56">
        <f>작성용!AB137</f>
        <v>0</v>
      </c>
    </row>
    <row r="141" spans="1:28" s="12" customFormat="1" ht="16.5" hidden="1" customHeight="1" x14ac:dyDescent="0.3">
      <c r="A141" s="54">
        <f>작성용!AL138</f>
        <v>137</v>
      </c>
      <c r="B141" s="55" t="str">
        <f>작성용!AI138</f>
        <v>-</v>
      </c>
      <c r="C141" s="56" t="str">
        <f>작성용!AK138</f>
        <v>개별종목</v>
      </c>
      <c r="D141" s="57">
        <f>작성용!T138</f>
        <v>45561</v>
      </c>
      <c r="E141" s="58" t="str">
        <f>작성용!B138</f>
        <v>아이엠엠인베스트먼트</v>
      </c>
      <c r="F141" s="58" t="str">
        <f>작성용!C138</f>
        <v>재평가</v>
      </c>
      <c r="G141" s="58" t="str">
        <f>작성용!D138</f>
        <v>미나미시마바라제일발전소</v>
      </c>
      <c r="H141" s="59" t="str">
        <f>작성용!E138</f>
        <v>KBP2019090169</v>
      </c>
      <c r="I141" s="58" t="str">
        <f>작성용!F138</f>
        <v>D02</v>
      </c>
      <c r="J141" s="58">
        <f>작성용!G138</f>
        <v>2</v>
      </c>
      <c r="K141" s="58" t="str">
        <f>작성용!H138</f>
        <v>-</v>
      </c>
      <c r="L141" s="58" t="str">
        <f>작성용!N138</f>
        <v>년</v>
      </c>
      <c r="M141" s="57" t="str">
        <f>작성용!U138</f>
        <v>2024.09.30</v>
      </c>
      <c r="N141" s="57">
        <f>작성용!V138</f>
        <v>45602</v>
      </c>
      <c r="O141" s="57">
        <f>작성용!W138</f>
        <v>45609</v>
      </c>
      <c r="P141" s="57" t="str">
        <f>작성용!X138</f>
        <v>-</v>
      </c>
      <c r="Q141" s="58" t="str">
        <f>작성용!AD138</f>
        <v>강승현</v>
      </c>
      <c r="R141" s="60">
        <f>작성용!AE138</f>
        <v>0</v>
      </c>
      <c r="S141" s="58" t="str">
        <f>작성용!AF138</f>
        <v>강승현</v>
      </c>
      <c r="T141" s="61" t="str">
        <f>작성용!AG138</f>
        <v>강성은</v>
      </c>
      <c r="U141" s="61" t="str">
        <f>작성용!AH138</f>
        <v>강성은</v>
      </c>
      <c r="V141" s="56">
        <f>작성용!AA138</f>
        <v>202411</v>
      </c>
      <c r="W141" s="58" t="str">
        <f>작성용!AC138</f>
        <v>[Y]금융기관</v>
      </c>
      <c r="X141" s="58" t="str">
        <f>작성용!O138</f>
        <v>김수민매니저</v>
      </c>
      <c r="Y141" s="58" t="str">
        <f>작성용!P138</f>
        <v>02-2112-1717, 010-3109-5707</v>
      </c>
      <c r="Z141" s="58" t="str">
        <f>작성용!Q138</f>
        <v xml:space="preserve">soomin.kim@imm.co.kr </v>
      </c>
      <c r="AA141" s="56" t="str">
        <f>작성용!AJ138</f>
        <v>국민연금제출</v>
      </c>
      <c r="AB141" s="56">
        <f>작성용!AB138</f>
        <v>0</v>
      </c>
    </row>
    <row r="142" spans="1:28" s="12" customFormat="1" ht="16.5" hidden="1" customHeight="1" x14ac:dyDescent="0.3">
      <c r="A142" s="54">
        <f>작성용!AL139</f>
        <v>138</v>
      </c>
      <c r="B142" s="55" t="str">
        <f>작성용!AI139</f>
        <v>-</v>
      </c>
      <c r="C142" s="56" t="str">
        <f>작성용!AK139</f>
        <v>개별종목</v>
      </c>
      <c r="D142" s="57">
        <f>작성용!T139</f>
        <v>45561</v>
      </c>
      <c r="E142" s="58" t="str">
        <f>작성용!B139</f>
        <v>아이엠엠인베스트먼트</v>
      </c>
      <c r="F142" s="58" t="str">
        <f>작성용!C139</f>
        <v>재평가</v>
      </c>
      <c r="G142" s="58" t="str">
        <f>작성용!D139</f>
        <v>조반니</v>
      </c>
      <c r="H142" s="59">
        <f>작성용!E139</f>
        <v>1101140219574</v>
      </c>
      <c r="I142" s="58" t="str">
        <f>작성용!F139</f>
        <v>A01</v>
      </c>
      <c r="J142" s="58">
        <f>작성용!G139</f>
        <v>0</v>
      </c>
      <c r="K142" s="58" t="str">
        <f>작성용!H139</f>
        <v>-</v>
      </c>
      <c r="L142" s="58" t="str">
        <f>작성용!N139</f>
        <v>년</v>
      </c>
      <c r="M142" s="57" t="str">
        <f>작성용!U139</f>
        <v>2024.09.30</v>
      </c>
      <c r="N142" s="57">
        <f>작성용!V139</f>
        <v>45602</v>
      </c>
      <c r="O142" s="57">
        <f>작성용!W139</f>
        <v>45609</v>
      </c>
      <c r="P142" s="57" t="str">
        <f>작성용!X139</f>
        <v>-</v>
      </c>
      <c r="Q142" s="58" t="str">
        <f>작성용!AD139</f>
        <v>강성은</v>
      </c>
      <c r="R142" s="60">
        <f>작성용!AE139</f>
        <v>1</v>
      </c>
      <c r="S142" s="58" t="str">
        <f>작성용!AF139</f>
        <v>강성은</v>
      </c>
      <c r="T142" s="61" t="str">
        <f>작성용!AG139</f>
        <v>강성은</v>
      </c>
      <c r="U142" s="61" t="str">
        <f>작성용!AH139</f>
        <v>강성은</v>
      </c>
      <c r="V142" s="56">
        <f>작성용!AA139</f>
        <v>202411</v>
      </c>
      <c r="W142" s="58" t="str">
        <f>작성용!AC139</f>
        <v>[Y]금융기관</v>
      </c>
      <c r="X142" s="58" t="str">
        <f>작성용!O139</f>
        <v>김수민매니저</v>
      </c>
      <c r="Y142" s="58" t="str">
        <f>작성용!P139</f>
        <v>02-2112-1717, 010-3109-5707</v>
      </c>
      <c r="Z142" s="58" t="str">
        <f>작성용!Q139</f>
        <v xml:space="preserve">soomin.kim@imm.co.kr </v>
      </c>
      <c r="AA142" s="56" t="str">
        <f>작성용!AJ139</f>
        <v>국민연금제출</v>
      </c>
      <c r="AB142" s="56">
        <f>작성용!AB139</f>
        <v>0</v>
      </c>
    </row>
    <row r="143" spans="1:28" s="12" customFormat="1" ht="16.5" hidden="1" customHeight="1" x14ac:dyDescent="0.3">
      <c r="A143" s="54">
        <f>작성용!AL140</f>
        <v>139</v>
      </c>
      <c r="B143" s="55" t="str">
        <f>작성용!AI140</f>
        <v>-</v>
      </c>
      <c r="C143" s="56" t="str">
        <f>작성용!AK140</f>
        <v>개별종목</v>
      </c>
      <c r="D143" s="57">
        <f>작성용!T140</f>
        <v>45561</v>
      </c>
      <c r="E143" s="58" t="str">
        <f>작성용!B140</f>
        <v>아이엠엠인베스트먼트</v>
      </c>
      <c r="F143" s="58" t="str">
        <f>작성용!C140</f>
        <v>재평가</v>
      </c>
      <c r="G143" s="58" t="str">
        <f>작성용!D140</f>
        <v>이피에스솔루션투</v>
      </c>
      <c r="H143" s="59">
        <f>작성용!E140</f>
        <v>1341110629094</v>
      </c>
      <c r="I143" s="58" t="str">
        <f>작성용!F140</f>
        <v>A01</v>
      </c>
      <c r="J143" s="58">
        <f>작성용!G140</f>
        <v>0</v>
      </c>
      <c r="K143" s="58" t="str">
        <f>작성용!H140</f>
        <v>-</v>
      </c>
      <c r="L143" s="58" t="str">
        <f>작성용!N140</f>
        <v>년</v>
      </c>
      <c r="M143" s="57" t="str">
        <f>작성용!U140</f>
        <v>2024.09.30</v>
      </c>
      <c r="N143" s="57">
        <f>작성용!V140</f>
        <v>45602</v>
      </c>
      <c r="O143" s="57">
        <f>작성용!W140</f>
        <v>45609</v>
      </c>
      <c r="P143" s="57" t="str">
        <f>작성용!X140</f>
        <v>-</v>
      </c>
      <c r="Q143" s="58" t="str">
        <f>작성용!AD140</f>
        <v>강승현</v>
      </c>
      <c r="R143" s="60">
        <f>작성용!AE140</f>
        <v>1</v>
      </c>
      <c r="S143" s="58" t="str">
        <f>작성용!AF140</f>
        <v>강승현</v>
      </c>
      <c r="T143" s="61" t="str">
        <f>작성용!AG140</f>
        <v>강성은</v>
      </c>
      <c r="U143" s="61" t="str">
        <f>작성용!AH140</f>
        <v>강성은</v>
      </c>
      <c r="V143" s="56">
        <f>작성용!AA140</f>
        <v>202411</v>
      </c>
      <c r="W143" s="58" t="str">
        <f>작성용!AC140</f>
        <v>[Y]금융기관</v>
      </c>
      <c r="X143" s="58" t="str">
        <f>작성용!O140</f>
        <v>김수민매니저</v>
      </c>
      <c r="Y143" s="58" t="str">
        <f>작성용!P140</f>
        <v>02-2112-1717, 010-3109-5707</v>
      </c>
      <c r="Z143" s="58" t="str">
        <f>작성용!Q140</f>
        <v xml:space="preserve">soomin.kim@imm.co.kr </v>
      </c>
      <c r="AA143" s="56" t="str">
        <f>작성용!AJ140</f>
        <v>국민연금제출</v>
      </c>
      <c r="AB143" s="56">
        <f>작성용!AB140</f>
        <v>0</v>
      </c>
    </row>
    <row r="144" spans="1:28" s="12" customFormat="1" ht="16.5" hidden="1" customHeight="1" x14ac:dyDescent="0.3">
      <c r="A144" s="54">
        <f>작성용!AL141</f>
        <v>140</v>
      </c>
      <c r="B144" s="55" t="str">
        <f>작성용!AI141</f>
        <v>-</v>
      </c>
      <c r="C144" s="56" t="str">
        <f>작성용!AK141</f>
        <v>개별종목</v>
      </c>
      <c r="D144" s="57">
        <f>작성용!T141</f>
        <v>45561</v>
      </c>
      <c r="E144" s="58" t="str">
        <f>작성용!B141</f>
        <v>아이엠엠인베스트먼트</v>
      </c>
      <c r="F144" s="58" t="str">
        <f>작성용!C141</f>
        <v>재평가</v>
      </c>
      <c r="G144" s="58" t="str">
        <f>작성용!D141</f>
        <v>팜양주</v>
      </c>
      <c r="H144" s="59">
        <f>작성용!E141</f>
        <v>2802110190400</v>
      </c>
      <c r="I144" s="58" t="str">
        <f>작성용!F141</f>
        <v>A01</v>
      </c>
      <c r="J144" s="58">
        <f>작성용!G141</f>
        <v>0</v>
      </c>
      <c r="K144" s="58" t="str">
        <f>작성용!H141</f>
        <v>-</v>
      </c>
      <c r="L144" s="58" t="str">
        <f>작성용!N141</f>
        <v>년</v>
      </c>
      <c r="M144" s="57" t="str">
        <f>작성용!U141</f>
        <v>2024.09.30</v>
      </c>
      <c r="N144" s="57">
        <f>작성용!V141</f>
        <v>45602</v>
      </c>
      <c r="O144" s="57">
        <f>작성용!W141</f>
        <v>45609</v>
      </c>
      <c r="P144" s="57" t="str">
        <f>작성용!X141</f>
        <v>-</v>
      </c>
      <c r="Q144" s="58" t="str">
        <f>작성용!AD141</f>
        <v>강성은</v>
      </c>
      <c r="R144" s="60">
        <f>작성용!AE141</f>
        <v>1.5</v>
      </c>
      <c r="S144" s="58" t="str">
        <f>작성용!AF141</f>
        <v>강성은</v>
      </c>
      <c r="T144" s="61" t="str">
        <f>작성용!AG141</f>
        <v>강성은</v>
      </c>
      <c r="U144" s="61" t="str">
        <f>작성용!AH141</f>
        <v>강성은</v>
      </c>
      <c r="V144" s="56">
        <f>작성용!AA141</f>
        <v>202411</v>
      </c>
      <c r="W144" s="58" t="str">
        <f>작성용!AC141</f>
        <v>[Y]금융기관</v>
      </c>
      <c r="X144" s="58" t="str">
        <f>작성용!O141</f>
        <v>김수민매니저</v>
      </c>
      <c r="Y144" s="58" t="str">
        <f>작성용!P141</f>
        <v>02-2112-1717, 010-3109-5707</v>
      </c>
      <c r="Z144" s="58" t="str">
        <f>작성용!Q141</f>
        <v xml:space="preserve">soomin.kim@imm.co.kr </v>
      </c>
      <c r="AA144" s="56" t="str">
        <f>작성용!AJ141</f>
        <v>국민연금제출</v>
      </c>
      <c r="AB144" s="56">
        <f>작성용!AB141</f>
        <v>0</v>
      </c>
    </row>
    <row r="145" spans="1:28" s="12" customFormat="1" ht="16.5" hidden="1" customHeight="1" x14ac:dyDescent="0.3">
      <c r="A145" s="54">
        <f>작성용!AL142</f>
        <v>141</v>
      </c>
      <c r="B145" s="55" t="str">
        <f>작성용!AI142</f>
        <v>-</v>
      </c>
      <c r="C145" s="56" t="str">
        <f>작성용!AK142</f>
        <v>개별종목</v>
      </c>
      <c r="D145" s="57">
        <f>작성용!T142</f>
        <v>45561</v>
      </c>
      <c r="E145" s="58" t="str">
        <f>작성용!B142</f>
        <v>아이엠엠인베스트먼트</v>
      </c>
      <c r="F145" s="58" t="str">
        <f>작성용!C142</f>
        <v>재평가</v>
      </c>
      <c r="G145" s="58" t="str">
        <f>작성용!D142</f>
        <v>에끌레르투</v>
      </c>
      <c r="H145" s="59">
        <f>작성용!E142</f>
        <v>1101140235512</v>
      </c>
      <c r="I145" s="58" t="str">
        <f>작성용!F142</f>
        <v>A01</v>
      </c>
      <c r="J145" s="58">
        <f>작성용!G142</f>
        <v>0</v>
      </c>
      <c r="K145" s="58" t="str">
        <f>작성용!H142</f>
        <v>-</v>
      </c>
      <c r="L145" s="58" t="str">
        <f>작성용!N142</f>
        <v>년</v>
      </c>
      <c r="M145" s="57" t="str">
        <f>작성용!U142</f>
        <v>2024.09.30</v>
      </c>
      <c r="N145" s="57">
        <f>작성용!V142</f>
        <v>45602</v>
      </c>
      <c r="O145" s="57">
        <f>작성용!W142</f>
        <v>45609</v>
      </c>
      <c r="P145" s="57" t="str">
        <f>작성용!X142</f>
        <v>-</v>
      </c>
      <c r="Q145" s="58" t="str">
        <f>작성용!AD142</f>
        <v>변혜진</v>
      </c>
      <c r="R145" s="60">
        <f>작성용!AE142</f>
        <v>1</v>
      </c>
      <c r="S145" s="58" t="str">
        <f>작성용!AF142</f>
        <v>변혜진</v>
      </c>
      <c r="T145" s="61" t="str">
        <f>작성용!AG142</f>
        <v>강성은</v>
      </c>
      <c r="U145" s="61" t="str">
        <f>작성용!AH142</f>
        <v>강성은</v>
      </c>
      <c r="V145" s="56">
        <f>작성용!AA142</f>
        <v>202411</v>
      </c>
      <c r="W145" s="58" t="str">
        <f>작성용!AC142</f>
        <v>[Y]금융기관</v>
      </c>
      <c r="X145" s="58" t="str">
        <f>작성용!O142</f>
        <v>김수민매니저</v>
      </c>
      <c r="Y145" s="58" t="str">
        <f>작성용!P142</f>
        <v>02-2112-1717, 010-3109-5707</v>
      </c>
      <c r="Z145" s="58" t="str">
        <f>작성용!Q142</f>
        <v xml:space="preserve">soomin.kim@imm.co.kr </v>
      </c>
      <c r="AA145" s="56" t="str">
        <f>작성용!AJ142</f>
        <v>국민연금제출</v>
      </c>
      <c r="AB145" s="56">
        <f>작성용!AB142</f>
        <v>0</v>
      </c>
    </row>
    <row r="146" spans="1:28" s="12" customFormat="1" ht="16.5" hidden="1" customHeight="1" x14ac:dyDescent="0.3">
      <c r="A146" s="54">
        <f>작성용!AL143</f>
        <v>142</v>
      </c>
      <c r="B146" s="55" t="str">
        <f>작성용!AI143</f>
        <v>-</v>
      </c>
      <c r="C146" s="56" t="str">
        <f>작성용!AK143</f>
        <v>개별종목</v>
      </c>
      <c r="D146" s="57">
        <f>작성용!T143</f>
        <v>45561</v>
      </c>
      <c r="E146" s="58" t="str">
        <f>작성용!B143</f>
        <v>아이엠엠인베스트먼트</v>
      </c>
      <c r="F146" s="58" t="str">
        <f>작성용!C143</f>
        <v>재평가</v>
      </c>
      <c r="G146" s="58" t="str">
        <f>작성용!D143</f>
        <v>르솔레이</v>
      </c>
      <c r="H146" s="59">
        <f>작성용!E143</f>
        <v>2101140109071</v>
      </c>
      <c r="I146" s="58" t="str">
        <f>작성용!F143</f>
        <v>A04</v>
      </c>
      <c r="J146" s="58">
        <f>작성용!G143</f>
        <v>1</v>
      </c>
      <c r="K146" s="58" t="str">
        <f>작성용!H143</f>
        <v>-</v>
      </c>
      <c r="L146" s="58" t="str">
        <f>작성용!N143</f>
        <v>년</v>
      </c>
      <c r="M146" s="57" t="str">
        <f>작성용!U143</f>
        <v>2024.09.30</v>
      </c>
      <c r="N146" s="57">
        <f>작성용!V143</f>
        <v>45602</v>
      </c>
      <c r="O146" s="57">
        <f>작성용!W143</f>
        <v>45609</v>
      </c>
      <c r="P146" s="57" t="str">
        <f>작성용!X143</f>
        <v>-</v>
      </c>
      <c r="Q146" s="58" t="str">
        <f>작성용!AD143</f>
        <v>변혜진</v>
      </c>
      <c r="R146" s="60">
        <f>작성용!AE143</f>
        <v>1</v>
      </c>
      <c r="S146" s="58" t="str">
        <f>작성용!AF143</f>
        <v>변혜진</v>
      </c>
      <c r="T146" s="61" t="str">
        <f>작성용!AG143</f>
        <v>강성은</v>
      </c>
      <c r="U146" s="61" t="str">
        <f>작성용!AH143</f>
        <v>강성은</v>
      </c>
      <c r="V146" s="56">
        <f>작성용!AA143</f>
        <v>202411</v>
      </c>
      <c r="W146" s="58" t="str">
        <f>작성용!AC143</f>
        <v>[Y]금융기관</v>
      </c>
      <c r="X146" s="58" t="str">
        <f>작성용!O143</f>
        <v>김수민매니저</v>
      </c>
      <c r="Y146" s="58" t="str">
        <f>작성용!P143</f>
        <v>02-2112-1717, 010-3109-5707</v>
      </c>
      <c r="Z146" s="58" t="str">
        <f>작성용!Q143</f>
        <v xml:space="preserve">soomin.kim@imm.co.kr </v>
      </c>
      <c r="AA146" s="56" t="str">
        <f>작성용!AJ143</f>
        <v>국민연금제출</v>
      </c>
      <c r="AB146" s="56">
        <f>작성용!AB143</f>
        <v>0</v>
      </c>
    </row>
    <row r="147" spans="1:28" s="12" customFormat="1" ht="16.5" hidden="1" customHeight="1" x14ac:dyDescent="0.3">
      <c r="A147" s="54">
        <f>작성용!AL144</f>
        <v>143</v>
      </c>
      <c r="B147" s="55" t="str">
        <f>작성용!AI144</f>
        <v>-</v>
      </c>
      <c r="C147" s="56" t="str">
        <f>작성용!AK144</f>
        <v>개별종목</v>
      </c>
      <c r="D147" s="57">
        <f>작성용!T144</f>
        <v>45561</v>
      </c>
      <c r="E147" s="58" t="str">
        <f>작성용!B144</f>
        <v>아이엠엠인베스트먼트</v>
      </c>
      <c r="F147" s="58" t="str">
        <f>작성용!C144</f>
        <v>재평가</v>
      </c>
      <c r="G147" s="58" t="str">
        <f>작성용!D144</f>
        <v>르솔레이</v>
      </c>
      <c r="H147" s="59">
        <f>작성용!E144</f>
        <v>2101140109071</v>
      </c>
      <c r="I147" s="58" t="str">
        <f>작성용!F144</f>
        <v>A01</v>
      </c>
      <c r="J147" s="58">
        <f>작성용!G144</f>
        <v>0</v>
      </c>
      <c r="K147" s="58" t="str">
        <f>작성용!H144</f>
        <v>-</v>
      </c>
      <c r="L147" s="58" t="str">
        <f>작성용!N144</f>
        <v>년</v>
      </c>
      <c r="M147" s="57" t="str">
        <f>작성용!U144</f>
        <v>2024.09.30</v>
      </c>
      <c r="N147" s="57">
        <f>작성용!V144</f>
        <v>45602</v>
      </c>
      <c r="O147" s="57">
        <f>작성용!W144</f>
        <v>45609</v>
      </c>
      <c r="P147" s="57" t="str">
        <f>작성용!X144</f>
        <v>-</v>
      </c>
      <c r="Q147" s="58" t="str">
        <f>작성용!AD144</f>
        <v>변혜진</v>
      </c>
      <c r="R147" s="60">
        <f>작성용!AE144</f>
        <v>0</v>
      </c>
      <c r="S147" s="58" t="str">
        <f>작성용!AF144</f>
        <v>변혜진</v>
      </c>
      <c r="T147" s="61" t="str">
        <f>작성용!AG144</f>
        <v>강성은</v>
      </c>
      <c r="U147" s="61" t="str">
        <f>작성용!AH144</f>
        <v>강성은</v>
      </c>
      <c r="V147" s="56">
        <f>작성용!AA144</f>
        <v>202411</v>
      </c>
      <c r="W147" s="58" t="str">
        <f>작성용!AC144</f>
        <v>[Y]금융기관</v>
      </c>
      <c r="X147" s="58" t="str">
        <f>작성용!O144</f>
        <v>김수민매니저</v>
      </c>
      <c r="Y147" s="58" t="str">
        <f>작성용!P144</f>
        <v>02-2112-1717, 010-3109-5707</v>
      </c>
      <c r="Z147" s="58" t="str">
        <f>작성용!Q144</f>
        <v xml:space="preserve">soomin.kim@imm.co.kr </v>
      </c>
      <c r="AA147" s="56" t="str">
        <f>작성용!AJ144</f>
        <v>국민연금제출</v>
      </c>
      <c r="AB147" s="56">
        <f>작성용!AB144</f>
        <v>0</v>
      </c>
    </row>
    <row r="148" spans="1:28" s="12" customFormat="1" ht="16.5" hidden="1" customHeight="1" x14ac:dyDescent="0.3">
      <c r="A148" s="54">
        <f>작성용!AL145</f>
        <v>144</v>
      </c>
      <c r="B148" s="55" t="str">
        <f>작성용!AI145</f>
        <v>-</v>
      </c>
      <c r="C148" s="56" t="str">
        <f>작성용!AK145</f>
        <v>개별종목</v>
      </c>
      <c r="D148" s="57">
        <f>작성용!T145</f>
        <v>45561</v>
      </c>
      <c r="E148" s="58" t="str">
        <f>작성용!B145</f>
        <v>아이엠엠인베스트먼트</v>
      </c>
      <c r="F148" s="58" t="str">
        <f>작성용!C145</f>
        <v>재평가</v>
      </c>
      <c r="G148" s="58" t="str">
        <f>작성용!D145</f>
        <v>루오마</v>
      </c>
      <c r="H148" s="59">
        <f>작성용!E145</f>
        <v>1101140253449</v>
      </c>
      <c r="I148" s="58" t="str">
        <f>작성용!F145</f>
        <v>A01</v>
      </c>
      <c r="J148" s="58">
        <f>작성용!G145</f>
        <v>0</v>
      </c>
      <c r="K148" s="58" t="str">
        <f>작성용!H145</f>
        <v>-</v>
      </c>
      <c r="L148" s="58" t="str">
        <f>작성용!N145</f>
        <v>년</v>
      </c>
      <c r="M148" s="57" t="str">
        <f>작성용!U145</f>
        <v>2024.09.30</v>
      </c>
      <c r="N148" s="57">
        <f>작성용!V145</f>
        <v>45602</v>
      </c>
      <c r="O148" s="57">
        <f>작성용!W145</f>
        <v>45609</v>
      </c>
      <c r="P148" s="57" t="str">
        <f>작성용!X145</f>
        <v>-</v>
      </c>
      <c r="Q148" s="58" t="str">
        <f>작성용!AD145</f>
        <v>유재호</v>
      </c>
      <c r="R148" s="60">
        <f>작성용!AE145</f>
        <v>1</v>
      </c>
      <c r="S148" s="58" t="str">
        <f>작성용!AF145</f>
        <v>유재호</v>
      </c>
      <c r="T148" s="61" t="str">
        <f>작성용!AG145</f>
        <v>강성은</v>
      </c>
      <c r="U148" s="61" t="str">
        <f>작성용!AH145</f>
        <v>강성은</v>
      </c>
      <c r="V148" s="56">
        <f>작성용!AA145</f>
        <v>202411</v>
      </c>
      <c r="W148" s="58" t="str">
        <f>작성용!AC145</f>
        <v>[Y]금융기관</v>
      </c>
      <c r="X148" s="58" t="str">
        <f>작성용!O145</f>
        <v>김수민매니저</v>
      </c>
      <c r="Y148" s="58" t="str">
        <f>작성용!P145</f>
        <v>02-2112-1717, 010-3109-5707</v>
      </c>
      <c r="Z148" s="58" t="str">
        <f>작성용!Q145</f>
        <v xml:space="preserve">soomin.kim@imm.co.kr </v>
      </c>
      <c r="AA148" s="56" t="str">
        <f>작성용!AJ145</f>
        <v>국민연금제출</v>
      </c>
      <c r="AB148" s="56">
        <f>작성용!AB145</f>
        <v>0</v>
      </c>
    </row>
    <row r="149" spans="1:28" s="12" customFormat="1" ht="16.5" hidden="1" customHeight="1" x14ac:dyDescent="0.3">
      <c r="A149" s="54">
        <f>작성용!AL146</f>
        <v>145</v>
      </c>
      <c r="B149" s="55" t="str">
        <f>작성용!AI146</f>
        <v>-</v>
      </c>
      <c r="C149" s="56" t="str">
        <f>작성용!AK146</f>
        <v>개별종목</v>
      </c>
      <c r="D149" s="57">
        <f>작성용!T146</f>
        <v>45561</v>
      </c>
      <c r="E149" s="58" t="str">
        <f>작성용!B146</f>
        <v>아이엠엠인베스트먼트</v>
      </c>
      <c r="F149" s="58" t="str">
        <f>작성용!C146</f>
        <v>재평가</v>
      </c>
      <c r="G149" s="58" t="str">
        <f>작성용!D146</f>
        <v>United Water Corporation</v>
      </c>
      <c r="H149" s="59" t="str">
        <f>작성용!E146</f>
        <v>KBP2021110001</v>
      </c>
      <c r="I149" s="58" t="str">
        <f>작성용!F146</f>
        <v>A05</v>
      </c>
      <c r="J149" s="58">
        <f>작성용!G146</f>
        <v>0</v>
      </c>
      <c r="K149" s="58" t="str">
        <f>작성용!H146</f>
        <v>-</v>
      </c>
      <c r="L149" s="58" t="str">
        <f>작성용!N146</f>
        <v>년</v>
      </c>
      <c r="M149" s="57" t="str">
        <f>작성용!U146</f>
        <v>2024.09.30</v>
      </c>
      <c r="N149" s="57">
        <f>작성용!V146</f>
        <v>45602</v>
      </c>
      <c r="O149" s="57">
        <f>작성용!W146</f>
        <v>45609</v>
      </c>
      <c r="P149" s="57" t="str">
        <f>작성용!X146</f>
        <v>-</v>
      </c>
      <c r="Q149" s="58" t="str">
        <f>작성용!AD146</f>
        <v>유재호</v>
      </c>
      <c r="R149" s="60">
        <f>작성용!AE146</f>
        <v>1</v>
      </c>
      <c r="S149" s="58" t="str">
        <f>작성용!AF146</f>
        <v>유재호</v>
      </c>
      <c r="T149" s="61" t="str">
        <f>작성용!AG146</f>
        <v>강성은</v>
      </c>
      <c r="U149" s="61" t="str">
        <f>작성용!AH146</f>
        <v>강성은</v>
      </c>
      <c r="V149" s="56">
        <f>작성용!AA146</f>
        <v>202411</v>
      </c>
      <c r="W149" s="58" t="str">
        <f>작성용!AC146</f>
        <v>[Y]금융기관</v>
      </c>
      <c r="X149" s="58" t="str">
        <f>작성용!O146</f>
        <v>김수민매니저</v>
      </c>
      <c r="Y149" s="58" t="str">
        <f>작성용!P146</f>
        <v>02-2112-1717, 010-3109-5707</v>
      </c>
      <c r="Z149" s="58" t="str">
        <f>작성용!Q146</f>
        <v xml:space="preserve">soomin.kim@imm.co.kr </v>
      </c>
      <c r="AA149" s="56" t="str">
        <f>작성용!AJ146</f>
        <v>국민연금제출</v>
      </c>
      <c r="AB149" s="56">
        <f>작성용!AB146</f>
        <v>0</v>
      </c>
    </row>
    <row r="150" spans="1:28" s="12" customFormat="1" ht="16.5" hidden="1" customHeight="1" x14ac:dyDescent="0.3">
      <c r="A150" s="54">
        <f>작성용!AL147</f>
        <v>146</v>
      </c>
      <c r="B150" s="55" t="str">
        <f>작성용!AI147</f>
        <v>-</v>
      </c>
      <c r="C150" s="56" t="str">
        <f>작성용!AK147</f>
        <v>개별종목</v>
      </c>
      <c r="D150" s="57">
        <f>작성용!T147</f>
        <v>45561</v>
      </c>
      <c r="E150" s="58" t="str">
        <f>작성용!B147</f>
        <v>아이엠엠인베스트먼트</v>
      </c>
      <c r="F150" s="58" t="str">
        <f>작성용!C147</f>
        <v>재평가</v>
      </c>
      <c r="G150" s="58" t="str">
        <f>작성용!D147</f>
        <v>UW Asia Limited</v>
      </c>
      <c r="H150" s="59" t="str">
        <f>작성용!E147</f>
        <v>KBP2022110001</v>
      </c>
      <c r="I150" s="58" t="str">
        <f>작성용!F147</f>
        <v>A01</v>
      </c>
      <c r="J150" s="58">
        <f>작성용!G147</f>
        <v>0</v>
      </c>
      <c r="K150" s="58" t="str">
        <f>작성용!H147</f>
        <v>-</v>
      </c>
      <c r="L150" s="58" t="str">
        <f>작성용!N147</f>
        <v>년</v>
      </c>
      <c r="M150" s="57" t="str">
        <f>작성용!U147</f>
        <v>2024.09.30</v>
      </c>
      <c r="N150" s="57">
        <f>작성용!V147</f>
        <v>45602</v>
      </c>
      <c r="O150" s="57">
        <f>작성용!W147</f>
        <v>45609</v>
      </c>
      <c r="P150" s="57" t="str">
        <f>작성용!X147</f>
        <v>-</v>
      </c>
      <c r="Q150" s="58" t="str">
        <f>작성용!AD147</f>
        <v>유재호</v>
      </c>
      <c r="R150" s="60">
        <f>작성용!AE147</f>
        <v>1</v>
      </c>
      <c r="S150" s="58" t="str">
        <f>작성용!AF147</f>
        <v>유재호</v>
      </c>
      <c r="T150" s="61" t="str">
        <f>작성용!AG147</f>
        <v>강성은</v>
      </c>
      <c r="U150" s="61" t="str">
        <f>작성용!AH147</f>
        <v>강성은</v>
      </c>
      <c r="V150" s="56">
        <f>작성용!AA147</f>
        <v>202411</v>
      </c>
      <c r="W150" s="58" t="str">
        <f>작성용!AC147</f>
        <v>[Y]금융기관</v>
      </c>
      <c r="X150" s="58" t="str">
        <f>작성용!O147</f>
        <v>김수민매니저</v>
      </c>
      <c r="Y150" s="58" t="str">
        <f>작성용!P147</f>
        <v>02-2112-1717, 010-3109-5707</v>
      </c>
      <c r="Z150" s="58" t="str">
        <f>작성용!Q147</f>
        <v xml:space="preserve">soomin.kim@imm.co.kr </v>
      </c>
      <c r="AA150" s="56" t="str">
        <f>작성용!AJ147</f>
        <v>국민연금제출</v>
      </c>
      <c r="AB150" s="56">
        <f>작성용!AB147</f>
        <v>0</v>
      </c>
    </row>
    <row r="151" spans="1:28" s="12" customFormat="1" ht="16.5" hidden="1" customHeight="1" x14ac:dyDescent="0.3">
      <c r="A151" s="54">
        <f>작성용!AL148</f>
        <v>147</v>
      </c>
      <c r="B151" s="55" t="str">
        <f>작성용!AI148</f>
        <v>-</v>
      </c>
      <c r="C151" s="56" t="str">
        <f>작성용!AK148</f>
        <v>개별종목</v>
      </c>
      <c r="D151" s="57">
        <f>작성용!T148</f>
        <v>45561</v>
      </c>
      <c r="E151" s="58" t="str">
        <f>작성용!B148</f>
        <v>아이엠엠인베스트먼트</v>
      </c>
      <c r="F151" s="58" t="str">
        <f>작성용!C148</f>
        <v>재평가</v>
      </c>
      <c r="G151" s="58" t="str">
        <f>작성용!D148</f>
        <v>UW Holdings Limited</v>
      </c>
      <c r="H151" s="59" t="str">
        <f>작성용!E148</f>
        <v>KBP2022110002</v>
      </c>
      <c r="I151" s="58" t="str">
        <f>작성용!F148</f>
        <v>A01</v>
      </c>
      <c r="J151" s="58">
        <f>작성용!G148</f>
        <v>0</v>
      </c>
      <c r="K151" s="58" t="str">
        <f>작성용!H148</f>
        <v>-</v>
      </c>
      <c r="L151" s="58" t="str">
        <f>작성용!N148</f>
        <v>년</v>
      </c>
      <c r="M151" s="57" t="str">
        <f>작성용!U148</f>
        <v>2024.09.30</v>
      </c>
      <c r="N151" s="57">
        <f>작성용!V148</f>
        <v>45602</v>
      </c>
      <c r="O151" s="57">
        <f>작성용!W148</f>
        <v>45609</v>
      </c>
      <c r="P151" s="57" t="str">
        <f>작성용!X148</f>
        <v>-</v>
      </c>
      <c r="Q151" s="58" t="str">
        <f>작성용!AD148</f>
        <v>유재호</v>
      </c>
      <c r="R151" s="60">
        <f>작성용!AE148</f>
        <v>1</v>
      </c>
      <c r="S151" s="58" t="str">
        <f>작성용!AF148</f>
        <v>유재호</v>
      </c>
      <c r="T151" s="61" t="str">
        <f>작성용!AG148</f>
        <v>강성은</v>
      </c>
      <c r="U151" s="61" t="str">
        <f>작성용!AH148</f>
        <v>강성은</v>
      </c>
      <c r="V151" s="56">
        <f>작성용!AA148</f>
        <v>202411</v>
      </c>
      <c r="W151" s="58" t="str">
        <f>작성용!AC148</f>
        <v>[Y]금융기관</v>
      </c>
      <c r="X151" s="58" t="str">
        <f>작성용!O148</f>
        <v>김수민매니저</v>
      </c>
      <c r="Y151" s="58" t="str">
        <f>작성용!P148</f>
        <v>02-2112-1717, 010-3109-5707</v>
      </c>
      <c r="Z151" s="58" t="str">
        <f>작성용!Q148</f>
        <v xml:space="preserve">soomin.kim@imm.co.kr </v>
      </c>
      <c r="AA151" s="56" t="str">
        <f>작성용!AJ148</f>
        <v>국민연금제출</v>
      </c>
      <c r="AB151" s="56">
        <f>작성용!AB148</f>
        <v>0</v>
      </c>
    </row>
    <row r="152" spans="1:28" s="12" customFormat="1" ht="16.5" hidden="1" customHeight="1" x14ac:dyDescent="0.3">
      <c r="A152" s="54">
        <f>작성용!AL149</f>
        <v>148</v>
      </c>
      <c r="B152" s="55" t="str">
        <f>작성용!AI149</f>
        <v>-</v>
      </c>
      <c r="C152" s="56" t="str">
        <f>작성용!AK149</f>
        <v>개별종목</v>
      </c>
      <c r="D152" s="57">
        <f>작성용!T149</f>
        <v>45561</v>
      </c>
      <c r="E152" s="58" t="str">
        <f>작성용!B149</f>
        <v>아이엠엠인베스트먼트</v>
      </c>
      <c r="F152" s="58" t="str">
        <f>작성용!C149</f>
        <v>재평가</v>
      </c>
      <c r="G152" s="58" t="str">
        <f>작성용!D149</f>
        <v>Jiangsu UW Technology</v>
      </c>
      <c r="H152" s="59" t="str">
        <f>작성용!E149</f>
        <v>KBP2021110003</v>
      </c>
      <c r="I152" s="58" t="str">
        <f>작성용!F149</f>
        <v>A01</v>
      </c>
      <c r="J152" s="58">
        <f>작성용!G149</f>
        <v>0</v>
      </c>
      <c r="K152" s="58" t="str">
        <f>작성용!H149</f>
        <v>-</v>
      </c>
      <c r="L152" s="58" t="str">
        <f>작성용!N149</f>
        <v>년</v>
      </c>
      <c r="M152" s="57" t="str">
        <f>작성용!U149</f>
        <v>2024.09.30</v>
      </c>
      <c r="N152" s="57">
        <f>작성용!V149</f>
        <v>45602</v>
      </c>
      <c r="O152" s="57">
        <f>작성용!W149</f>
        <v>45609</v>
      </c>
      <c r="P152" s="57" t="str">
        <f>작성용!X149</f>
        <v>-</v>
      </c>
      <c r="Q152" s="58" t="str">
        <f>작성용!AD149</f>
        <v>상장</v>
      </c>
      <c r="R152" s="60">
        <f>작성용!AE149</f>
        <v>0</v>
      </c>
      <c r="S152" s="58" t="str">
        <f>작성용!AF149</f>
        <v>유재호</v>
      </c>
      <c r="T152" s="61" t="str">
        <f>작성용!AG149</f>
        <v>강성은</v>
      </c>
      <c r="U152" s="61" t="str">
        <f>작성용!AH149</f>
        <v>강성은</v>
      </c>
      <c r="V152" s="56">
        <f>작성용!AA149</f>
        <v>202411</v>
      </c>
      <c r="W152" s="58" t="str">
        <f>작성용!AC149</f>
        <v>[Y]금융기관</v>
      </c>
      <c r="X152" s="58" t="str">
        <f>작성용!O149</f>
        <v>김수민매니저</v>
      </c>
      <c r="Y152" s="58" t="str">
        <f>작성용!P149</f>
        <v>02-2112-1717, 010-3109-5707</v>
      </c>
      <c r="Z152" s="58" t="str">
        <f>작성용!Q149</f>
        <v xml:space="preserve">soomin.kim@imm.co.kr </v>
      </c>
      <c r="AA152" s="56" t="str">
        <f>작성용!AJ149</f>
        <v>국민연금제출</v>
      </c>
      <c r="AB152" s="56">
        <f>작성용!AB149</f>
        <v>0</v>
      </c>
    </row>
    <row r="153" spans="1:28" s="12" customFormat="1" ht="16.5" customHeight="1" x14ac:dyDescent="0.3">
      <c r="A153" s="54">
        <f>작성용!AL150</f>
        <v>149</v>
      </c>
      <c r="B153" s="278" t="str">
        <f>작성용!AI150</f>
        <v>DRAFT보고서 : 2024-11-20</v>
      </c>
      <c r="C153" s="252" t="str">
        <f>작성용!AK150</f>
        <v>개별종목</v>
      </c>
      <c r="D153" s="265">
        <f>작성용!T150</f>
        <v>45561</v>
      </c>
      <c r="E153" s="253" t="str">
        <f>작성용!B150</f>
        <v>유한양행</v>
      </c>
      <c r="F153" s="253" t="str">
        <f>작성용!C150</f>
        <v>신규</v>
      </c>
      <c r="G153" s="253" t="str">
        <f>작성용!D150</f>
        <v>에스엘바이젠</v>
      </c>
      <c r="H153" s="266">
        <f>작성용!E150</f>
        <v>1717110070191</v>
      </c>
      <c r="I153" s="253" t="str">
        <f>작성용!F150</f>
        <v>A05</v>
      </c>
      <c r="J153" s="253">
        <f>작성용!G150</f>
        <v>0</v>
      </c>
      <c r="K153" s="253" t="str">
        <f>작성용!H150</f>
        <v>-</v>
      </c>
      <c r="L153" s="253" t="str">
        <f>작성용!N150</f>
        <v>년</v>
      </c>
      <c r="M153" s="265" t="str">
        <f>작성용!U150</f>
        <v>2024.09.30</v>
      </c>
      <c r="N153" s="277">
        <f>작성용!V150</f>
        <v>45616</v>
      </c>
      <c r="O153" s="265">
        <f>작성용!W150</f>
        <v>45624</v>
      </c>
      <c r="P153" s="265" t="str">
        <f>작성용!X150</f>
        <v>-</v>
      </c>
      <c r="Q153" s="253" t="str">
        <f>작성용!AD150</f>
        <v>서동현</v>
      </c>
      <c r="R153" s="267">
        <f>작성용!AE150</f>
        <v>0</v>
      </c>
      <c r="S153" s="253" t="str">
        <f>작성용!AF150</f>
        <v>서동현</v>
      </c>
      <c r="T153" s="268" t="str">
        <f>작성용!AG150</f>
        <v>강승현</v>
      </c>
      <c r="U153" s="268" t="str">
        <f>작성용!AH150</f>
        <v>강승현</v>
      </c>
      <c r="V153" s="252">
        <f>작성용!AA150</f>
        <v>202411</v>
      </c>
      <c r="W153" s="253" t="str">
        <f>작성용!AC150</f>
        <v>[X]일반기업</v>
      </c>
      <c r="X153" s="253" t="str">
        <f>작성용!O150</f>
        <v>최영수담당자</v>
      </c>
      <c r="Y153" s="253" t="str">
        <f>작성용!P150</f>
        <v>02-828-0649</v>
      </c>
      <c r="Z153" s="253" t="str">
        <f>작성용!Q150</f>
        <v>yschoi0531@yuhan.co.kr</v>
      </c>
      <c r="AA153" s="252" t="str">
        <f>작성용!AJ150</f>
        <v>회계반영</v>
      </c>
      <c r="AB153" s="252">
        <f>작성용!AB150</f>
        <v>0</v>
      </c>
    </row>
    <row r="154" spans="1:28" s="12" customFormat="1" ht="16.5" hidden="1" customHeight="1" x14ac:dyDescent="0.3">
      <c r="A154" s="54">
        <f>작성용!AL151</f>
        <v>150</v>
      </c>
      <c r="B154" s="55" t="str">
        <f>작성용!AI151</f>
        <v>-</v>
      </c>
      <c r="C154" s="56" t="str">
        <f>작성용!AK151</f>
        <v>개별종목</v>
      </c>
      <c r="D154" s="57">
        <f>작성용!T151</f>
        <v>45561</v>
      </c>
      <c r="E154" s="58" t="str">
        <f>작성용!B151</f>
        <v>한화솔루션</v>
      </c>
      <c r="F154" s="58" t="str">
        <f>작성용!C151</f>
        <v>재평가</v>
      </c>
      <c r="G154" s="58" t="str">
        <f>작성용!D151</f>
        <v>한주</v>
      </c>
      <c r="H154" s="59">
        <f>작성용!E151</f>
        <v>1812110007663</v>
      </c>
      <c r="I154" s="58" t="str">
        <f>작성용!F151</f>
        <v>A01</v>
      </c>
      <c r="J154" s="58">
        <f>작성용!G151</f>
        <v>0</v>
      </c>
      <c r="K154" s="58" t="str">
        <f>작성용!H151</f>
        <v>-</v>
      </c>
      <c r="L154" s="58" t="str">
        <f>작성용!N151</f>
        <v xml:space="preserve">연말 </v>
      </c>
      <c r="M154" s="57" t="str">
        <f>작성용!U151</f>
        <v>2024.12.31</v>
      </c>
      <c r="N154" s="57">
        <f>작성용!V151</f>
        <v>45672</v>
      </c>
      <c r="O154" s="57">
        <f>작성용!W151</f>
        <v>45679</v>
      </c>
      <c r="P154" s="57" t="str">
        <f>작성용!X151</f>
        <v>-</v>
      </c>
      <c r="Q154" s="58" t="str">
        <f>작성용!AD151</f>
        <v>김예림</v>
      </c>
      <c r="R154" s="60">
        <f>작성용!AE151</f>
        <v>1</v>
      </c>
      <c r="S154" s="58" t="str">
        <f>작성용!AF151</f>
        <v>김예림</v>
      </c>
      <c r="T154" s="61" t="str">
        <f>작성용!AG151</f>
        <v>김예림</v>
      </c>
      <c r="U154" s="61" t="str">
        <f>작성용!AH151</f>
        <v>김예림</v>
      </c>
      <c r="V154" s="56">
        <f>작성용!AA151</f>
        <v>202412</v>
      </c>
      <c r="W154" s="58" t="str">
        <f>작성용!AC151</f>
        <v>[X]일반기업</v>
      </c>
      <c r="X154" s="58" t="str">
        <f>작성용!O151</f>
        <v>김운섭과장</v>
      </c>
      <c r="Y154" s="58" t="str">
        <f>작성용!P151</f>
        <v>010-5113-0213</v>
      </c>
      <c r="Z154" s="58" t="str">
        <f>작성용!Q151</f>
        <v>woonseob.kim@hanwha.com</v>
      </c>
      <c r="AA154" s="56" t="str">
        <f>작성용!AJ151</f>
        <v>회계반영</v>
      </c>
      <c r="AB154" s="56">
        <f>작성용!AB151</f>
        <v>0</v>
      </c>
    </row>
    <row r="155" spans="1:28" s="12" customFormat="1" ht="16.5" hidden="1" customHeight="1" x14ac:dyDescent="0.3">
      <c r="A155" s="54">
        <f>작성용!AL152</f>
        <v>151</v>
      </c>
      <c r="B155" s="55" t="str">
        <f>작성용!AI152</f>
        <v>-</v>
      </c>
      <c r="C155" s="56" t="str">
        <f>작성용!AK152</f>
        <v>개별종목</v>
      </c>
      <c r="D155" s="57">
        <f>작성용!T152</f>
        <v>45567</v>
      </c>
      <c r="E155" s="58" t="str">
        <f>작성용!B152</f>
        <v>경보제약</v>
      </c>
      <c r="F155" s="58" t="str">
        <f>작성용!C152</f>
        <v>신규</v>
      </c>
      <c r="G155" s="58" t="str">
        <f>작성용!D152</f>
        <v>일송켐</v>
      </c>
      <c r="H155" s="59">
        <f>작성용!E152</f>
        <v>1201111153056</v>
      </c>
      <c r="I155" s="58" t="str">
        <f>작성용!F152</f>
        <v>A01</v>
      </c>
      <c r="J155" s="58">
        <f>작성용!G152</f>
        <v>0</v>
      </c>
      <c r="K155" s="58" t="str">
        <f>작성용!H152</f>
        <v>-</v>
      </c>
      <c r="L155" s="58" t="str">
        <f>작성용!N152</f>
        <v>미정</v>
      </c>
      <c r="M155" s="57" t="str">
        <f>작성용!U152</f>
        <v>2024.09.30</v>
      </c>
      <c r="N155" s="57">
        <f>작성용!V152</f>
        <v>45649</v>
      </c>
      <c r="O155" s="57">
        <f>작성용!W152</f>
        <v>45677</v>
      </c>
      <c r="P155" s="57" t="str">
        <f>작성용!X152</f>
        <v>-</v>
      </c>
      <c r="Q155" s="58" t="str">
        <f>작성용!AD152</f>
        <v>채동우</v>
      </c>
      <c r="R155" s="60">
        <f>작성용!AE152</f>
        <v>1</v>
      </c>
      <c r="S155" s="58" t="str">
        <f>작성용!AF152</f>
        <v>신규</v>
      </c>
      <c r="T155" s="61" t="str">
        <f>작성용!AG152</f>
        <v>채동우</v>
      </c>
      <c r="U155" s="61" t="str">
        <f>작성용!AH152</f>
        <v>채동우</v>
      </c>
      <c r="V155" s="56">
        <f>작성용!AA152</f>
        <v>202411</v>
      </c>
      <c r="W155" s="58" t="str">
        <f>작성용!AC152</f>
        <v>[X]일반기업</v>
      </c>
      <c r="X155" s="58" t="str">
        <f>작성용!O152</f>
        <v>정재용팀장</v>
      </c>
      <c r="Y155" s="58" t="str">
        <f>작성용!P152</f>
        <v>02-2175-2310</v>
      </c>
      <c r="Z155" s="58" t="str">
        <f>작성용!Q152</f>
        <v>jjydrama@kbpharma.co.kr</v>
      </c>
      <c r="AA155" s="56" t="str">
        <f>작성용!AJ152</f>
        <v>회계반영</v>
      </c>
      <c r="AB155" s="56">
        <f>작성용!AB152</f>
        <v>0</v>
      </c>
    </row>
    <row r="156" spans="1:28" s="12" customFormat="1" ht="16.5" hidden="1" customHeight="1" x14ac:dyDescent="0.3">
      <c r="A156" s="54">
        <f>작성용!AL153</f>
        <v>152</v>
      </c>
      <c r="B156" s="55" t="str">
        <f>작성용!AI153</f>
        <v>손상검토</v>
      </c>
      <c r="C156" s="56" t="str">
        <f>작성용!AK153</f>
        <v>개별종목</v>
      </c>
      <c r="D156" s="57">
        <f>작성용!T153</f>
        <v>45567</v>
      </c>
      <c r="E156" s="58" t="str">
        <f>작성용!B153</f>
        <v>삼성물산(건설부문)</v>
      </c>
      <c r="F156" s="58" t="str">
        <f>작성용!C153</f>
        <v>재평가</v>
      </c>
      <c r="G156" s="58" t="str">
        <f>작성용!D153</f>
        <v>SAMSUNG C&amp;T (KL) SDN BHD(말레이시아법인)</v>
      </c>
      <c r="H156" s="59" t="str">
        <f>작성용!E153</f>
        <v>KBP2016120199</v>
      </c>
      <c r="I156" s="58" t="str">
        <f>작성용!F153</f>
        <v>A01</v>
      </c>
      <c r="J156" s="58">
        <f>작성용!G153</f>
        <v>0</v>
      </c>
      <c r="K156" s="58" t="str">
        <f>작성용!H153</f>
        <v>-</v>
      </c>
      <c r="L156" s="58" t="str">
        <f>작성용!N153</f>
        <v>연말</v>
      </c>
      <c r="M156" s="57" t="str">
        <f>작성용!U153</f>
        <v>2024.10.31</v>
      </c>
      <c r="N156" s="57">
        <f>작성용!V153</f>
        <v>45625</v>
      </c>
      <c r="O156" s="57">
        <f>작성용!W153</f>
        <v>45632</v>
      </c>
      <c r="P156" s="57" t="str">
        <f>작성용!X153</f>
        <v>-</v>
      </c>
      <c r="Q156" s="58" t="str">
        <f>작성용!AD153</f>
        <v>강승현</v>
      </c>
      <c r="R156" s="60">
        <f>작성용!AE153</f>
        <v>3</v>
      </c>
      <c r="S156" s="58" t="str">
        <f>작성용!AF153</f>
        <v>강승현</v>
      </c>
      <c r="T156" s="61" t="str">
        <f>작성용!AG153</f>
        <v>변혜진</v>
      </c>
      <c r="U156" s="61" t="str">
        <f>작성용!AH153</f>
        <v>변혜진</v>
      </c>
      <c r="V156" s="56">
        <f>작성용!AA153</f>
        <v>202410</v>
      </c>
      <c r="W156" s="58" t="str">
        <f>작성용!AC153</f>
        <v>[B]삼성</v>
      </c>
      <c r="X156" s="58" t="str">
        <f>작성용!O153</f>
        <v>조한재프로</v>
      </c>
      <c r="Y156" s="58" t="str">
        <f>작성용!P153</f>
        <v>02-2145-5600</v>
      </c>
      <c r="Z156" s="58" t="str">
        <f>작성용!Q153</f>
        <v>h2o.jo@samsung.com</v>
      </c>
      <c r="AA156" s="56" t="str">
        <f>작성용!AJ153</f>
        <v>-</v>
      </c>
      <c r="AB156" s="56">
        <f>작성용!AB153</f>
        <v>0</v>
      </c>
    </row>
    <row r="157" spans="1:28" s="12" customFormat="1" ht="16.5" hidden="1" customHeight="1" x14ac:dyDescent="0.3">
      <c r="A157" s="54">
        <f>작성용!AL154</f>
        <v>153</v>
      </c>
      <c r="B157" s="55" t="str">
        <f>작성용!AI154</f>
        <v>-</v>
      </c>
      <c r="C157" s="56" t="str">
        <f>작성용!AK154</f>
        <v>개별종목</v>
      </c>
      <c r="D157" s="57">
        <f>작성용!T154</f>
        <v>45567</v>
      </c>
      <c r="E157" s="58" t="str">
        <f>작성용!B154</f>
        <v>삼성물산(건설부문)</v>
      </c>
      <c r="F157" s="58" t="str">
        <f>작성용!C154</f>
        <v>재평가</v>
      </c>
      <c r="G157" s="58" t="str">
        <f>작성용!D154</f>
        <v>Qurayyah Investment Company</v>
      </c>
      <c r="H157" s="59" t="str">
        <f>작성용!E154</f>
        <v>KBP2016120195</v>
      </c>
      <c r="I157" s="58" t="str">
        <f>작성용!F154</f>
        <v>D06</v>
      </c>
      <c r="J157" s="58">
        <f>작성용!G154</f>
        <v>1</v>
      </c>
      <c r="K157" s="58" t="str">
        <f>작성용!H154</f>
        <v>-</v>
      </c>
      <c r="L157" s="58" t="str">
        <f>작성용!N154</f>
        <v>연말</v>
      </c>
      <c r="M157" s="57" t="str">
        <f>작성용!U154</f>
        <v>2024.10.31</v>
      </c>
      <c r="N157" s="57">
        <f>작성용!V154</f>
        <v>45625</v>
      </c>
      <c r="O157" s="57">
        <f>작성용!W154</f>
        <v>45632</v>
      </c>
      <c r="P157" s="57" t="str">
        <f>작성용!X154</f>
        <v>-</v>
      </c>
      <c r="Q157" s="58" t="str">
        <f>작성용!AD154</f>
        <v>변혜진</v>
      </c>
      <c r="R157" s="60">
        <f>작성용!AE154</f>
        <v>1</v>
      </c>
      <c r="S157" s="58" t="str">
        <f>작성용!AF154</f>
        <v>변혜진</v>
      </c>
      <c r="T157" s="61" t="str">
        <f>작성용!AG154</f>
        <v>변혜진</v>
      </c>
      <c r="U157" s="61" t="str">
        <f>작성용!AH154</f>
        <v>변혜진</v>
      </c>
      <c r="V157" s="56">
        <f>작성용!AA154</f>
        <v>202410</v>
      </c>
      <c r="W157" s="58" t="str">
        <f>작성용!AC154</f>
        <v>[B]삼성</v>
      </c>
      <c r="X157" s="58" t="str">
        <f>작성용!O154</f>
        <v>조한재프로</v>
      </c>
      <c r="Y157" s="58" t="str">
        <f>작성용!P154</f>
        <v>02-2145-5600</v>
      </c>
      <c r="Z157" s="58" t="str">
        <f>작성용!Q154</f>
        <v>h2o.jo@samsung.com</v>
      </c>
      <c r="AA157" s="56" t="str">
        <f>작성용!AJ154</f>
        <v>-</v>
      </c>
      <c r="AB157" s="56">
        <f>작성용!AB154</f>
        <v>0</v>
      </c>
    </row>
    <row r="158" spans="1:28" s="12" customFormat="1" ht="16.5" hidden="1" customHeight="1" x14ac:dyDescent="0.3">
      <c r="A158" s="54">
        <f>작성용!AL155</f>
        <v>154</v>
      </c>
      <c r="B158" s="55" t="str">
        <f>작성용!AI155</f>
        <v>손상검토</v>
      </c>
      <c r="C158" s="56" t="str">
        <f>작성용!AK155</f>
        <v>개별종목</v>
      </c>
      <c r="D158" s="57">
        <f>작성용!T155</f>
        <v>45567</v>
      </c>
      <c r="E158" s="58" t="str">
        <f>작성용!B155</f>
        <v>삼성물산(건설부문)</v>
      </c>
      <c r="F158" s="58" t="str">
        <f>작성용!C155</f>
        <v>재평가</v>
      </c>
      <c r="G158" s="58" t="str">
        <f>작성용!D155</f>
        <v>SAMSUNG C&amp;T(SHANGHAI) CO LTD(중국법인)</v>
      </c>
      <c r="H158" s="59" t="str">
        <f>작성용!E155</f>
        <v>KBP2016120198</v>
      </c>
      <c r="I158" s="58" t="str">
        <f>작성용!F155</f>
        <v>A01</v>
      </c>
      <c r="J158" s="58">
        <f>작성용!G155</f>
        <v>0</v>
      </c>
      <c r="K158" s="58" t="str">
        <f>작성용!H155</f>
        <v>-</v>
      </c>
      <c r="L158" s="58" t="str">
        <f>작성용!N155</f>
        <v>연말</v>
      </c>
      <c r="M158" s="57" t="str">
        <f>작성용!U155</f>
        <v>2024.10.31</v>
      </c>
      <c r="N158" s="57">
        <f>작성용!V155</f>
        <v>45625</v>
      </c>
      <c r="O158" s="57">
        <f>작성용!W155</f>
        <v>45632</v>
      </c>
      <c r="P158" s="57" t="str">
        <f>작성용!X155</f>
        <v>-</v>
      </c>
      <c r="Q158" s="58" t="str">
        <f>작성용!AD155</f>
        <v>강성은</v>
      </c>
      <c r="R158" s="60">
        <f>작성용!AE155</f>
        <v>3</v>
      </c>
      <c r="S158" s="58" t="str">
        <f>작성용!AF155</f>
        <v>강성은</v>
      </c>
      <c r="T158" s="61" t="str">
        <f>작성용!AG155</f>
        <v>변혜진</v>
      </c>
      <c r="U158" s="61" t="str">
        <f>작성용!AH155</f>
        <v>변혜진</v>
      </c>
      <c r="V158" s="56">
        <f>작성용!AA155</f>
        <v>202410</v>
      </c>
      <c r="W158" s="58" t="str">
        <f>작성용!AC155</f>
        <v>[B]삼성</v>
      </c>
      <c r="X158" s="58" t="str">
        <f>작성용!O155</f>
        <v>조한재프로</v>
      </c>
      <c r="Y158" s="58" t="str">
        <f>작성용!P155</f>
        <v>02-2145-5600</v>
      </c>
      <c r="Z158" s="58" t="str">
        <f>작성용!Q155</f>
        <v>h2o.jo@samsung.com</v>
      </c>
      <c r="AA158" s="56" t="str">
        <f>작성용!AJ155</f>
        <v>-</v>
      </c>
      <c r="AB158" s="56">
        <f>작성용!AB155</f>
        <v>0</v>
      </c>
    </row>
    <row r="159" spans="1:28" s="12" customFormat="1" ht="16.5" hidden="1" customHeight="1" x14ac:dyDescent="0.3">
      <c r="A159" s="54">
        <f>작성용!AL156</f>
        <v>155</v>
      </c>
      <c r="B159" s="55" t="str">
        <f>작성용!AI156</f>
        <v>-</v>
      </c>
      <c r="C159" s="56" t="str">
        <f>작성용!AK156</f>
        <v>개별종목</v>
      </c>
      <c r="D159" s="57">
        <f>작성용!T156</f>
        <v>45567</v>
      </c>
      <c r="E159" s="58" t="str">
        <f>작성용!B156</f>
        <v>삼성물산(건설부문)</v>
      </c>
      <c r="F159" s="58" t="str">
        <f>작성용!C156</f>
        <v>재평가</v>
      </c>
      <c r="G159" s="58" t="str">
        <f>작성용!D156</f>
        <v>Qurayyah Investment Company</v>
      </c>
      <c r="H159" s="59" t="str">
        <f>작성용!E156</f>
        <v>KBP2016120195</v>
      </c>
      <c r="I159" s="58" t="str">
        <f>작성용!F156</f>
        <v>D06</v>
      </c>
      <c r="J159" s="58">
        <f>작성용!G156</f>
        <v>2</v>
      </c>
      <c r="K159" s="58" t="str">
        <f>작성용!H156</f>
        <v>-</v>
      </c>
      <c r="L159" s="58" t="str">
        <f>작성용!N156</f>
        <v>연말</v>
      </c>
      <c r="M159" s="57" t="str">
        <f>작성용!U156</f>
        <v>2024.10.31</v>
      </c>
      <c r="N159" s="57">
        <f>작성용!V156</f>
        <v>45625</v>
      </c>
      <c r="O159" s="57">
        <f>작성용!W156</f>
        <v>45632</v>
      </c>
      <c r="P159" s="57" t="str">
        <f>작성용!X156</f>
        <v>-</v>
      </c>
      <c r="Q159" s="58" t="str">
        <f>작성용!AD156</f>
        <v>변혜진</v>
      </c>
      <c r="R159" s="60">
        <f>작성용!AE156</f>
        <v>0</v>
      </c>
      <c r="S159" s="58" t="str">
        <f>작성용!AF156</f>
        <v>변혜진</v>
      </c>
      <c r="T159" s="61" t="str">
        <f>작성용!AG156</f>
        <v>변혜진</v>
      </c>
      <c r="U159" s="61" t="str">
        <f>작성용!AH156</f>
        <v>변혜진</v>
      </c>
      <c r="V159" s="56">
        <f>작성용!AA156</f>
        <v>202410</v>
      </c>
      <c r="W159" s="58" t="str">
        <f>작성용!AC156</f>
        <v>[B]삼성</v>
      </c>
      <c r="X159" s="58" t="str">
        <f>작성용!O156</f>
        <v>조한재프로</v>
      </c>
      <c r="Y159" s="58" t="str">
        <f>작성용!P156</f>
        <v>02-2145-5600</v>
      </c>
      <c r="Z159" s="58" t="str">
        <f>작성용!Q156</f>
        <v>h2o.jo@samsung.com</v>
      </c>
      <c r="AA159" s="56" t="str">
        <f>작성용!AJ156</f>
        <v>-</v>
      </c>
      <c r="AB159" s="56">
        <f>작성용!AB156</f>
        <v>0</v>
      </c>
    </row>
    <row r="160" spans="1:28" s="12" customFormat="1" ht="16.5" hidden="1" customHeight="1" x14ac:dyDescent="0.3">
      <c r="A160" s="54">
        <f>작성용!AL157</f>
        <v>156</v>
      </c>
      <c r="B160" s="55" t="str">
        <f>작성용!AI157</f>
        <v>-</v>
      </c>
      <c r="C160" s="56" t="str">
        <f>작성용!AK157</f>
        <v>개별종목</v>
      </c>
      <c r="D160" s="57">
        <f>작성용!T157</f>
        <v>45569</v>
      </c>
      <c r="E160" s="58" t="str">
        <f>작성용!B157</f>
        <v>에이치앤큐에쿼티파트너스</v>
      </c>
      <c r="F160" s="58" t="str">
        <f>작성용!C157</f>
        <v>신규</v>
      </c>
      <c r="G160" s="58" t="str">
        <f>작성용!D157</f>
        <v>현대홀딩스컴퍼니</v>
      </c>
      <c r="H160" s="59">
        <f>작성용!E157</f>
        <v>1101113259408</v>
      </c>
      <c r="I160" s="58" t="str">
        <f>작성용!F157</f>
        <v>D01</v>
      </c>
      <c r="J160" s="58">
        <f>작성용!G157</f>
        <v>77</v>
      </c>
      <c r="K160" s="58" t="str">
        <f>작성용!H157</f>
        <v>-</v>
      </c>
      <c r="L160" s="58" t="str">
        <f>작성용!N157</f>
        <v>년</v>
      </c>
      <c r="M160" s="57" t="str">
        <f>작성용!U157</f>
        <v>2024.09.30</v>
      </c>
      <c r="N160" s="57">
        <f>작성용!V157</f>
        <v>45609</v>
      </c>
      <c r="O160" s="57">
        <f>작성용!W157</f>
        <v>45611</v>
      </c>
      <c r="P160" s="57" t="str">
        <f>작성용!X157</f>
        <v>-</v>
      </c>
      <c r="Q160" s="58" t="str">
        <f>작성용!AD157</f>
        <v>원정우</v>
      </c>
      <c r="R160" s="60">
        <f>작성용!AE157</f>
        <v>1</v>
      </c>
      <c r="S160" s="58" t="str">
        <f>작성용!AF157</f>
        <v>원정우</v>
      </c>
      <c r="T160" s="61" t="str">
        <f>작성용!AG157</f>
        <v>원정우</v>
      </c>
      <c r="U160" s="61" t="str">
        <f>작성용!AH157</f>
        <v>원정우</v>
      </c>
      <c r="V160" s="56">
        <f>작성용!AA157</f>
        <v>202411</v>
      </c>
      <c r="W160" s="58" t="str">
        <f>작성용!AC157</f>
        <v>[Y]금융기관</v>
      </c>
      <c r="X160" s="58" t="str">
        <f>작성용!O157</f>
        <v>김자영이사</v>
      </c>
      <c r="Y160" s="58" t="str">
        <f>작성용!P157</f>
        <v xml:space="preserve">02-741-0269 </v>
      </c>
      <c r="Z160" s="58" t="str">
        <f>작성용!Q157</f>
        <v xml:space="preserve">jykim@hqap.net </v>
      </c>
      <c r="AA160" s="56" t="str">
        <f>작성용!AJ157</f>
        <v>국민연금제출</v>
      </c>
      <c r="AB160" s="56">
        <f>작성용!AB157</f>
        <v>0</v>
      </c>
    </row>
    <row r="161" spans="1:28" s="12" customFormat="1" ht="16.5" hidden="1" customHeight="1" x14ac:dyDescent="0.3">
      <c r="A161" s="54">
        <f>작성용!AL158</f>
        <v>157</v>
      </c>
      <c r="B161" s="55" t="str">
        <f>작성용!AI158</f>
        <v>-</v>
      </c>
      <c r="C161" s="56" t="str">
        <f>작성용!AK158</f>
        <v>개별종목</v>
      </c>
      <c r="D161" s="57">
        <f>작성용!T158</f>
        <v>45569</v>
      </c>
      <c r="E161" s="58" t="str">
        <f>작성용!B158</f>
        <v>에이치앤큐에쿼티파트너스</v>
      </c>
      <c r="F161" s="58" t="str">
        <f>작성용!C158</f>
        <v>신규</v>
      </c>
      <c r="G161" s="58" t="str">
        <f>작성용!D158</f>
        <v>현대홀딩스컴퍼니</v>
      </c>
      <c r="H161" s="59">
        <f>작성용!E158</f>
        <v>1101113259408</v>
      </c>
      <c r="I161" s="58" t="str">
        <f>작성용!F158</f>
        <v>D02</v>
      </c>
      <c r="J161" s="58">
        <f>작성용!G158</f>
        <v>77</v>
      </c>
      <c r="K161" s="58" t="str">
        <f>작성용!H158</f>
        <v>-</v>
      </c>
      <c r="L161" s="58" t="str">
        <f>작성용!N158</f>
        <v>년</v>
      </c>
      <c r="M161" s="57" t="str">
        <f>작성용!U158</f>
        <v>2024.09.30</v>
      </c>
      <c r="N161" s="57">
        <f>작성용!V158</f>
        <v>45609</v>
      </c>
      <c r="O161" s="57">
        <f>작성용!W158</f>
        <v>45611</v>
      </c>
      <c r="P161" s="57" t="str">
        <f>작성용!X158</f>
        <v>-</v>
      </c>
      <c r="Q161" s="58" t="str">
        <f>작성용!AD158</f>
        <v>원정우</v>
      </c>
      <c r="R161" s="60">
        <f>작성용!AE158</f>
        <v>0</v>
      </c>
      <c r="S161" s="58" t="str">
        <f>작성용!AF158</f>
        <v>원정우</v>
      </c>
      <c r="T161" s="61" t="str">
        <f>작성용!AG158</f>
        <v>원정우</v>
      </c>
      <c r="U161" s="61" t="str">
        <f>작성용!AH158</f>
        <v>원정우</v>
      </c>
      <c r="V161" s="56">
        <f>작성용!AA158</f>
        <v>202411</v>
      </c>
      <c r="W161" s="58" t="str">
        <f>작성용!AC158</f>
        <v>[Y]금융기관</v>
      </c>
      <c r="X161" s="58" t="str">
        <f>작성용!O158</f>
        <v>김자영이사</v>
      </c>
      <c r="Y161" s="58" t="str">
        <f>작성용!P158</f>
        <v xml:space="preserve">02-741-0269 </v>
      </c>
      <c r="Z161" s="58" t="str">
        <f>작성용!Q158</f>
        <v xml:space="preserve">jykim@hqap.net </v>
      </c>
      <c r="AA161" s="56" t="str">
        <f>작성용!AJ158</f>
        <v>국민연금제출</v>
      </c>
      <c r="AB161" s="56">
        <f>작성용!AB158</f>
        <v>0</v>
      </c>
    </row>
    <row r="162" spans="1:28" s="12" customFormat="1" ht="16.5" hidden="1" customHeight="1" x14ac:dyDescent="0.3">
      <c r="A162" s="54">
        <f>작성용!AL159</f>
        <v>158</v>
      </c>
      <c r="B162" s="55" t="str">
        <f>작성용!AI159</f>
        <v>-</v>
      </c>
      <c r="C162" s="56" t="str">
        <f>작성용!AK159</f>
        <v>개별종목</v>
      </c>
      <c r="D162" s="57">
        <f>작성용!T159</f>
        <v>45569</v>
      </c>
      <c r="E162" s="58" t="str">
        <f>작성용!B159</f>
        <v>에이치앤큐에쿼티파트너스</v>
      </c>
      <c r="F162" s="58" t="str">
        <f>작성용!C159</f>
        <v>신규</v>
      </c>
      <c r="G162" s="58" t="str">
        <f>작성용!D159</f>
        <v>현대홀딩스컴퍼니</v>
      </c>
      <c r="H162" s="59">
        <f>작성용!E159</f>
        <v>1101113259408</v>
      </c>
      <c r="I162" s="58" t="str">
        <f>작성용!F159</f>
        <v>A07</v>
      </c>
      <c r="J162" s="58">
        <f>작성용!G159</f>
        <v>77</v>
      </c>
      <c r="K162" s="58" t="str">
        <f>작성용!H159</f>
        <v>-</v>
      </c>
      <c r="L162" s="58" t="str">
        <f>작성용!N159</f>
        <v>년</v>
      </c>
      <c r="M162" s="57" t="str">
        <f>작성용!U159</f>
        <v>2024.09.30</v>
      </c>
      <c r="N162" s="57">
        <f>작성용!V159</f>
        <v>45609</v>
      </c>
      <c r="O162" s="57">
        <f>작성용!W159</f>
        <v>45611</v>
      </c>
      <c r="P162" s="57" t="str">
        <f>작성용!X159</f>
        <v>-</v>
      </c>
      <c r="Q162" s="58" t="str">
        <f>작성용!AD159</f>
        <v>원정우</v>
      </c>
      <c r="R162" s="60">
        <f>작성용!AE159</f>
        <v>0</v>
      </c>
      <c r="S162" s="58" t="str">
        <f>작성용!AF159</f>
        <v>원정우</v>
      </c>
      <c r="T162" s="61" t="str">
        <f>작성용!AG159</f>
        <v>원정우</v>
      </c>
      <c r="U162" s="61" t="str">
        <f>작성용!AH159</f>
        <v>원정우</v>
      </c>
      <c r="V162" s="56">
        <f>작성용!AA159</f>
        <v>202411</v>
      </c>
      <c r="W162" s="58" t="str">
        <f>작성용!AC159</f>
        <v>[Y]금융기관</v>
      </c>
      <c r="X162" s="58" t="str">
        <f>작성용!O159</f>
        <v>김자영이사</v>
      </c>
      <c r="Y162" s="58" t="str">
        <f>작성용!P159</f>
        <v xml:space="preserve">02-741-0269 </v>
      </c>
      <c r="Z162" s="58" t="str">
        <f>작성용!Q159</f>
        <v xml:space="preserve">jykim@hqap.net </v>
      </c>
      <c r="AA162" s="56" t="str">
        <f>작성용!AJ159</f>
        <v>국민연금제출</v>
      </c>
      <c r="AB162" s="56">
        <f>작성용!AB159</f>
        <v>0</v>
      </c>
    </row>
    <row r="163" spans="1:28" s="12" customFormat="1" ht="16.5" hidden="1" customHeight="1" x14ac:dyDescent="0.3">
      <c r="A163" s="54">
        <f>작성용!AL160</f>
        <v>159</v>
      </c>
      <c r="B163" s="55" t="str">
        <f>작성용!AI160</f>
        <v>-</v>
      </c>
      <c r="C163" s="56" t="str">
        <f>작성용!AK160</f>
        <v>개별종목</v>
      </c>
      <c r="D163" s="57">
        <f>작성용!T160</f>
        <v>45569</v>
      </c>
      <c r="E163" s="58" t="str">
        <f>작성용!B160</f>
        <v>에이치앤큐에쿼티파트너스</v>
      </c>
      <c r="F163" s="58" t="str">
        <f>작성용!C160</f>
        <v>재평가</v>
      </c>
      <c r="G163" s="58" t="str">
        <f>작성용!D160</f>
        <v>십일번가</v>
      </c>
      <c r="H163" s="59">
        <f>작성용!E160</f>
        <v>1101116861490</v>
      </c>
      <c r="I163" s="58" t="str">
        <f>작성용!F160</f>
        <v>A07</v>
      </c>
      <c r="J163" s="58">
        <f>작성용!G160</f>
        <v>0</v>
      </c>
      <c r="K163" s="58" t="str">
        <f>작성용!H160</f>
        <v>-</v>
      </c>
      <c r="L163" s="58" t="str">
        <f>작성용!N160</f>
        <v>년</v>
      </c>
      <c r="M163" s="57" t="str">
        <f>작성용!U160</f>
        <v>2024.09.30</v>
      </c>
      <c r="N163" s="57">
        <f>작성용!V160</f>
        <v>45609</v>
      </c>
      <c r="O163" s="57">
        <f>작성용!W160</f>
        <v>45611</v>
      </c>
      <c r="P163" s="57" t="str">
        <f>작성용!X160</f>
        <v>-</v>
      </c>
      <c r="Q163" s="58" t="str">
        <f>작성용!AD160</f>
        <v>이문수</v>
      </c>
      <c r="R163" s="60">
        <f>작성용!AE160</f>
        <v>1</v>
      </c>
      <c r="S163" s="58" t="str">
        <f>작성용!AF160</f>
        <v>김범준</v>
      </c>
      <c r="T163" s="61" t="str">
        <f>작성용!AG160</f>
        <v>원정우</v>
      </c>
      <c r="U163" s="61" t="str">
        <f>작성용!AH160</f>
        <v>원정우</v>
      </c>
      <c r="V163" s="56">
        <f>작성용!AA160</f>
        <v>202411</v>
      </c>
      <c r="W163" s="58" t="str">
        <f>작성용!AC160</f>
        <v>[Y]금융기관</v>
      </c>
      <c r="X163" s="58" t="str">
        <f>작성용!O160</f>
        <v>김자영이사</v>
      </c>
      <c r="Y163" s="58" t="str">
        <f>작성용!P160</f>
        <v xml:space="preserve">02-741-0269 </v>
      </c>
      <c r="Z163" s="58" t="str">
        <f>작성용!Q160</f>
        <v xml:space="preserve">jykim@hqap.net </v>
      </c>
      <c r="AA163" s="56" t="str">
        <f>작성용!AJ160</f>
        <v>국민연금제출</v>
      </c>
      <c r="AB163" s="56">
        <f>작성용!AB160</f>
        <v>0</v>
      </c>
    </row>
    <row r="164" spans="1:28" s="12" customFormat="1" ht="16.5" hidden="1" customHeight="1" x14ac:dyDescent="0.3">
      <c r="A164" s="54">
        <f>작성용!AL161</f>
        <v>160</v>
      </c>
      <c r="B164" s="55" t="str">
        <f>작성용!AI161</f>
        <v>-</v>
      </c>
      <c r="C164" s="56" t="str">
        <f>작성용!AK161</f>
        <v>개별종목</v>
      </c>
      <c r="D164" s="57">
        <f>작성용!T161</f>
        <v>45569</v>
      </c>
      <c r="E164" s="58" t="str">
        <f>작성용!B161</f>
        <v>에이치앤큐에쿼티파트너스</v>
      </c>
      <c r="F164" s="58" t="str">
        <f>작성용!C161</f>
        <v>재평가</v>
      </c>
      <c r="G164" s="58" t="str">
        <f>작성용!D161</f>
        <v>에이치앤홀딩스</v>
      </c>
      <c r="H164" s="59">
        <f>작성용!E161</f>
        <v>1101111767007</v>
      </c>
      <c r="I164" s="58" t="str">
        <f>작성용!F161</f>
        <v>D01</v>
      </c>
      <c r="J164" s="58">
        <f>작성용!G161</f>
        <v>0</v>
      </c>
      <c r="K164" s="58" t="str">
        <f>작성용!H161</f>
        <v>-</v>
      </c>
      <c r="L164" s="58" t="str">
        <f>작성용!N161</f>
        <v>년</v>
      </c>
      <c r="M164" s="57" t="str">
        <f>작성용!U161</f>
        <v>2024.09.30</v>
      </c>
      <c r="N164" s="57">
        <f>작성용!V161</f>
        <v>45609</v>
      </c>
      <c r="O164" s="57">
        <f>작성용!W161</f>
        <v>45611</v>
      </c>
      <c r="P164" s="57" t="str">
        <f>작성용!X161</f>
        <v>-</v>
      </c>
      <c r="Q164" s="58" t="str">
        <f>작성용!AD161</f>
        <v>심태진</v>
      </c>
      <c r="R164" s="60">
        <f>작성용!AE161</f>
        <v>1</v>
      </c>
      <c r="S164" s="58" t="str">
        <f>작성용!AF161</f>
        <v>심태진</v>
      </c>
      <c r="T164" s="61" t="str">
        <f>작성용!AG161</f>
        <v>원정우</v>
      </c>
      <c r="U164" s="61" t="str">
        <f>작성용!AH161</f>
        <v>원정우</v>
      </c>
      <c r="V164" s="56">
        <f>작성용!AA161</f>
        <v>202411</v>
      </c>
      <c r="W164" s="58" t="str">
        <f>작성용!AC161</f>
        <v>[Y]금융기관</v>
      </c>
      <c r="X164" s="58" t="str">
        <f>작성용!O161</f>
        <v>김자영이사</v>
      </c>
      <c r="Y164" s="58" t="str">
        <f>작성용!P161</f>
        <v xml:space="preserve">02-741-0269 </v>
      </c>
      <c r="Z164" s="58" t="str">
        <f>작성용!Q161</f>
        <v xml:space="preserve">jykim@hqap.net </v>
      </c>
      <c r="AA164" s="56" t="str">
        <f>작성용!AJ161</f>
        <v>국민연금제출</v>
      </c>
      <c r="AB164" s="56">
        <f>작성용!AB161</f>
        <v>0</v>
      </c>
    </row>
    <row r="165" spans="1:28" s="12" customFormat="1" ht="16.5" hidden="1" customHeight="1" x14ac:dyDescent="0.3">
      <c r="A165" s="54">
        <f>작성용!AL162</f>
        <v>161</v>
      </c>
      <c r="B165" s="55" t="str">
        <f>작성용!AI162</f>
        <v>-</v>
      </c>
      <c r="C165" s="56" t="str">
        <f>작성용!AK162</f>
        <v>개별종목</v>
      </c>
      <c r="D165" s="57">
        <f>작성용!T162</f>
        <v>45569</v>
      </c>
      <c r="E165" s="58" t="str">
        <f>작성용!B162</f>
        <v>에이치앤큐에쿼티파트너스</v>
      </c>
      <c r="F165" s="58" t="str">
        <f>작성용!C162</f>
        <v>재평가</v>
      </c>
      <c r="G165" s="58" t="str">
        <f>작성용!D162</f>
        <v>에이치앤홀딩스</v>
      </c>
      <c r="H165" s="59">
        <f>작성용!E162</f>
        <v>1101111767007</v>
      </c>
      <c r="I165" s="58" t="str">
        <f>작성용!F162</f>
        <v>D01</v>
      </c>
      <c r="J165" s="58">
        <f>작성용!G162</f>
        <v>1</v>
      </c>
      <c r="K165" s="58" t="str">
        <f>작성용!H162</f>
        <v>-</v>
      </c>
      <c r="L165" s="58" t="str">
        <f>작성용!N162</f>
        <v>년</v>
      </c>
      <c r="M165" s="57" t="str">
        <f>작성용!U162</f>
        <v>2024.09.30</v>
      </c>
      <c r="N165" s="57">
        <f>작성용!V162</f>
        <v>45609</v>
      </c>
      <c r="O165" s="57">
        <f>작성용!W162</f>
        <v>45611</v>
      </c>
      <c r="P165" s="57" t="str">
        <f>작성용!X162</f>
        <v>-</v>
      </c>
      <c r="Q165" s="58" t="str">
        <f>작성용!AD162</f>
        <v>심태진</v>
      </c>
      <c r="R165" s="60">
        <f>작성용!AE162</f>
        <v>0</v>
      </c>
      <c r="S165" s="58" t="str">
        <f>작성용!AF162</f>
        <v>심태진</v>
      </c>
      <c r="T165" s="61" t="str">
        <f>작성용!AG162</f>
        <v>원정우</v>
      </c>
      <c r="U165" s="61" t="str">
        <f>작성용!AH162</f>
        <v>원정우</v>
      </c>
      <c r="V165" s="56">
        <f>작성용!AA162</f>
        <v>202411</v>
      </c>
      <c r="W165" s="58" t="str">
        <f>작성용!AC162</f>
        <v>[Y]금융기관</v>
      </c>
      <c r="X165" s="58" t="str">
        <f>작성용!O162</f>
        <v>김자영이사</v>
      </c>
      <c r="Y165" s="58" t="str">
        <f>작성용!P162</f>
        <v xml:space="preserve">02-741-0269 </v>
      </c>
      <c r="Z165" s="58" t="str">
        <f>작성용!Q162</f>
        <v xml:space="preserve">jykim@hqap.net </v>
      </c>
      <c r="AA165" s="56" t="str">
        <f>작성용!AJ162</f>
        <v>국민연금제출</v>
      </c>
      <c r="AB165" s="56">
        <f>작성용!AB162</f>
        <v>0</v>
      </c>
    </row>
    <row r="166" spans="1:28" s="12" customFormat="1" ht="16.5" hidden="1" customHeight="1" x14ac:dyDescent="0.3">
      <c r="A166" s="54">
        <f>작성용!AL163</f>
        <v>162</v>
      </c>
      <c r="B166" s="55" t="str">
        <f>작성용!AI163</f>
        <v>-</v>
      </c>
      <c r="C166" s="56" t="str">
        <f>작성용!AK163</f>
        <v>개별종목</v>
      </c>
      <c r="D166" s="57">
        <f>작성용!T163</f>
        <v>45569</v>
      </c>
      <c r="E166" s="58" t="str">
        <f>작성용!B163</f>
        <v>에이치앤큐에쿼티파트너스</v>
      </c>
      <c r="F166" s="58" t="str">
        <f>작성용!C163</f>
        <v>재평가</v>
      </c>
      <c r="G166" s="58" t="str">
        <f>작성용!D163</f>
        <v>렌딧</v>
      </c>
      <c r="H166" s="59">
        <f>작성용!E163</f>
        <v>1101115676270</v>
      </c>
      <c r="I166" s="58" t="str">
        <f>작성용!F163</f>
        <v>A01</v>
      </c>
      <c r="J166" s="58">
        <f>작성용!G163</f>
        <v>0</v>
      </c>
      <c r="K166" s="58" t="str">
        <f>작성용!H163</f>
        <v>-</v>
      </c>
      <c r="L166" s="58" t="str">
        <f>작성용!N163</f>
        <v>년</v>
      </c>
      <c r="M166" s="57" t="str">
        <f>작성용!U163</f>
        <v>2024.09.30</v>
      </c>
      <c r="N166" s="57">
        <f>작성용!V163</f>
        <v>45609</v>
      </c>
      <c r="O166" s="57">
        <f>작성용!W163</f>
        <v>45611</v>
      </c>
      <c r="P166" s="57" t="str">
        <f>작성용!X163</f>
        <v>-</v>
      </c>
      <c r="Q166" s="58" t="str">
        <f>작성용!AD163</f>
        <v>강승현</v>
      </c>
      <c r="R166" s="60">
        <f>작성용!AE163</f>
        <v>1</v>
      </c>
      <c r="S166" s="58" t="str">
        <f>작성용!AF163</f>
        <v>강승현</v>
      </c>
      <c r="T166" s="61" t="str">
        <f>작성용!AG163</f>
        <v>원정우</v>
      </c>
      <c r="U166" s="61" t="str">
        <f>작성용!AH163</f>
        <v>원정우</v>
      </c>
      <c r="V166" s="56">
        <f>작성용!AA163</f>
        <v>202411</v>
      </c>
      <c r="W166" s="58" t="str">
        <f>작성용!AC163</f>
        <v>[Y]금융기관</v>
      </c>
      <c r="X166" s="58" t="str">
        <f>작성용!O163</f>
        <v>김자영이사</v>
      </c>
      <c r="Y166" s="58" t="str">
        <f>작성용!P163</f>
        <v xml:space="preserve">02-741-0269 </v>
      </c>
      <c r="Z166" s="58" t="str">
        <f>작성용!Q163</f>
        <v xml:space="preserve">jykim@hqap.net </v>
      </c>
      <c r="AA166" s="56" t="str">
        <f>작성용!AJ163</f>
        <v>국민연금제출</v>
      </c>
      <c r="AB166" s="56">
        <f>작성용!AB163</f>
        <v>0</v>
      </c>
    </row>
    <row r="167" spans="1:28" s="12" customFormat="1" ht="16.5" hidden="1" customHeight="1" x14ac:dyDescent="0.3">
      <c r="A167" s="54">
        <f>작성용!AL164</f>
        <v>163</v>
      </c>
      <c r="B167" s="55" t="str">
        <f>작성용!AI164</f>
        <v>-</v>
      </c>
      <c r="C167" s="56" t="str">
        <f>작성용!AK164</f>
        <v>개별종목</v>
      </c>
      <c r="D167" s="57">
        <f>작성용!T164</f>
        <v>45569</v>
      </c>
      <c r="E167" s="58" t="str">
        <f>작성용!B164</f>
        <v>에이치앤큐에쿼티파트너스</v>
      </c>
      <c r="F167" s="58" t="str">
        <f>작성용!C164</f>
        <v>재평가</v>
      </c>
      <c r="G167" s="58" t="str">
        <f>작성용!D164</f>
        <v>렌딧</v>
      </c>
      <c r="H167" s="59">
        <f>작성용!E164</f>
        <v>1101115676270</v>
      </c>
      <c r="I167" s="58" t="str">
        <f>작성용!F164</f>
        <v>A07</v>
      </c>
      <c r="J167" s="58">
        <f>작성용!G164</f>
        <v>0</v>
      </c>
      <c r="K167" s="58" t="str">
        <f>작성용!H164</f>
        <v>-</v>
      </c>
      <c r="L167" s="58" t="str">
        <f>작성용!N164</f>
        <v>년</v>
      </c>
      <c r="M167" s="57" t="str">
        <f>작성용!U164</f>
        <v>2024.09.30</v>
      </c>
      <c r="N167" s="57">
        <f>작성용!V164</f>
        <v>45609</v>
      </c>
      <c r="O167" s="57">
        <f>작성용!W164</f>
        <v>45611</v>
      </c>
      <c r="P167" s="57" t="str">
        <f>작성용!X164</f>
        <v>-</v>
      </c>
      <c r="Q167" s="58" t="str">
        <f>작성용!AD164</f>
        <v>강승현</v>
      </c>
      <c r="R167" s="60">
        <f>작성용!AE164</f>
        <v>0</v>
      </c>
      <c r="S167" s="58" t="str">
        <f>작성용!AF164</f>
        <v>강승현</v>
      </c>
      <c r="T167" s="61" t="str">
        <f>작성용!AG164</f>
        <v>원정우</v>
      </c>
      <c r="U167" s="61" t="str">
        <f>작성용!AH164</f>
        <v>원정우</v>
      </c>
      <c r="V167" s="56">
        <f>작성용!AA164</f>
        <v>202411</v>
      </c>
      <c r="W167" s="58" t="str">
        <f>작성용!AC164</f>
        <v>[Y]금융기관</v>
      </c>
      <c r="X167" s="58" t="str">
        <f>작성용!O164</f>
        <v>김자영이사</v>
      </c>
      <c r="Y167" s="58" t="str">
        <f>작성용!P164</f>
        <v xml:space="preserve">02-741-0269 </v>
      </c>
      <c r="Z167" s="58" t="str">
        <f>작성용!Q164</f>
        <v xml:space="preserve">jykim@hqap.net </v>
      </c>
      <c r="AA167" s="56" t="str">
        <f>작성용!AJ164</f>
        <v>국민연금제출</v>
      </c>
      <c r="AB167" s="56">
        <f>작성용!AB164</f>
        <v>0</v>
      </c>
    </row>
    <row r="168" spans="1:28" s="12" customFormat="1" ht="16.5" hidden="1" customHeight="1" x14ac:dyDescent="0.3">
      <c r="A168" s="54">
        <f>작성용!AL165</f>
        <v>164</v>
      </c>
      <c r="B168" s="55" t="str">
        <f>작성용!AI165</f>
        <v>-</v>
      </c>
      <c r="C168" s="56" t="str">
        <f>작성용!AK165</f>
        <v>개별종목</v>
      </c>
      <c r="D168" s="57">
        <f>작성용!T165</f>
        <v>45569</v>
      </c>
      <c r="E168" s="58" t="str">
        <f>작성용!B165</f>
        <v>에이치앤큐에쿼티파트너스</v>
      </c>
      <c r="F168" s="58" t="str">
        <f>작성용!C165</f>
        <v>재평가</v>
      </c>
      <c r="G168" s="58" t="str">
        <f>작성용!D165</f>
        <v>렌딧</v>
      </c>
      <c r="H168" s="59">
        <f>작성용!E165</f>
        <v>1101115676270</v>
      </c>
      <c r="I168" s="58" t="str">
        <f>작성용!F165</f>
        <v>A07</v>
      </c>
      <c r="J168" s="58">
        <f>작성용!G165</f>
        <v>1</v>
      </c>
      <c r="K168" s="58" t="str">
        <f>작성용!H165</f>
        <v>-</v>
      </c>
      <c r="L168" s="58" t="str">
        <f>작성용!N165</f>
        <v>년</v>
      </c>
      <c r="M168" s="57" t="str">
        <f>작성용!U165</f>
        <v>2024.09.30</v>
      </c>
      <c r="N168" s="57">
        <f>작성용!V165</f>
        <v>45609</v>
      </c>
      <c r="O168" s="57">
        <f>작성용!W165</f>
        <v>45611</v>
      </c>
      <c r="P168" s="57" t="str">
        <f>작성용!X165</f>
        <v>-</v>
      </c>
      <c r="Q168" s="58" t="str">
        <f>작성용!AD165</f>
        <v>강승현</v>
      </c>
      <c r="R168" s="60">
        <f>작성용!AE165</f>
        <v>0</v>
      </c>
      <c r="S168" s="58" t="str">
        <f>작성용!AF165</f>
        <v>강승현</v>
      </c>
      <c r="T168" s="61" t="str">
        <f>작성용!AG165</f>
        <v>원정우</v>
      </c>
      <c r="U168" s="61" t="str">
        <f>작성용!AH165</f>
        <v>원정우</v>
      </c>
      <c r="V168" s="56">
        <f>작성용!AA165</f>
        <v>202411</v>
      </c>
      <c r="W168" s="58" t="str">
        <f>작성용!AC165</f>
        <v>[Y]금융기관</v>
      </c>
      <c r="X168" s="58" t="str">
        <f>작성용!O165</f>
        <v>김자영이사</v>
      </c>
      <c r="Y168" s="58" t="str">
        <f>작성용!P165</f>
        <v xml:space="preserve">02-741-0269 </v>
      </c>
      <c r="Z168" s="58" t="str">
        <f>작성용!Q165</f>
        <v xml:space="preserve">jykim@hqap.net </v>
      </c>
      <c r="AA168" s="56" t="str">
        <f>작성용!AJ165</f>
        <v>국민연금제출</v>
      </c>
      <c r="AB168" s="56">
        <f>작성용!AB165</f>
        <v>0</v>
      </c>
    </row>
    <row r="169" spans="1:28" s="12" customFormat="1" ht="16.5" hidden="1" customHeight="1" x14ac:dyDescent="0.3">
      <c r="A169" s="54">
        <f>작성용!AL166</f>
        <v>165</v>
      </c>
      <c r="B169" s="55" t="str">
        <f>작성용!AI166</f>
        <v>-</v>
      </c>
      <c r="C169" s="56" t="str">
        <f>작성용!AK166</f>
        <v>개별종목</v>
      </c>
      <c r="D169" s="57">
        <f>작성용!T166</f>
        <v>45569</v>
      </c>
      <c r="E169" s="58" t="str">
        <f>작성용!B166</f>
        <v>에이치앤큐에쿼티파트너스</v>
      </c>
      <c r="F169" s="58" t="str">
        <f>작성용!C166</f>
        <v>재평가</v>
      </c>
      <c r="G169" s="58" t="str">
        <f>작성용!D166</f>
        <v>의식주컴퍼니</v>
      </c>
      <c r="H169" s="59">
        <f>작성용!E166</f>
        <v>1101116637768</v>
      </c>
      <c r="I169" s="58" t="str">
        <f>작성용!F166</f>
        <v>A07</v>
      </c>
      <c r="J169" s="58">
        <f>작성용!G166</f>
        <v>0</v>
      </c>
      <c r="K169" s="58" t="str">
        <f>작성용!H166</f>
        <v>-</v>
      </c>
      <c r="L169" s="58" t="str">
        <f>작성용!N166</f>
        <v>년</v>
      </c>
      <c r="M169" s="57" t="str">
        <f>작성용!U166</f>
        <v>2024.09.30</v>
      </c>
      <c r="N169" s="57">
        <f>작성용!V166</f>
        <v>45609</v>
      </c>
      <c r="O169" s="57">
        <f>작성용!W166</f>
        <v>45611</v>
      </c>
      <c r="P169" s="57" t="str">
        <f>작성용!X166</f>
        <v>-</v>
      </c>
      <c r="Q169" s="58" t="str">
        <f>작성용!AD166</f>
        <v>서동현</v>
      </c>
      <c r="R169" s="60">
        <f>작성용!AE166</f>
        <v>1</v>
      </c>
      <c r="S169" s="58" t="str">
        <f>작성용!AF166</f>
        <v>서동현</v>
      </c>
      <c r="T169" s="61" t="str">
        <f>작성용!AG166</f>
        <v>원정우</v>
      </c>
      <c r="U169" s="61" t="str">
        <f>작성용!AH166</f>
        <v>원정우</v>
      </c>
      <c r="V169" s="56">
        <f>작성용!AA166</f>
        <v>202411</v>
      </c>
      <c r="W169" s="58" t="str">
        <f>작성용!AC166</f>
        <v>[Y]금융기관</v>
      </c>
      <c r="X169" s="58" t="str">
        <f>작성용!O166</f>
        <v>김자영이사</v>
      </c>
      <c r="Y169" s="58" t="str">
        <f>작성용!P166</f>
        <v xml:space="preserve">02-741-0269 </v>
      </c>
      <c r="Z169" s="58" t="str">
        <f>작성용!Q166</f>
        <v xml:space="preserve">jykim@hqap.net </v>
      </c>
      <c r="AA169" s="56" t="str">
        <f>작성용!AJ166</f>
        <v>국민연금제출</v>
      </c>
      <c r="AB169" s="56">
        <f>작성용!AB166</f>
        <v>0</v>
      </c>
    </row>
    <row r="170" spans="1:28" s="12" customFormat="1" ht="16.5" hidden="1" customHeight="1" x14ac:dyDescent="0.3">
      <c r="A170" s="54">
        <f>작성용!AL167</f>
        <v>166</v>
      </c>
      <c r="B170" s="55" t="str">
        <f>작성용!AI167</f>
        <v>-</v>
      </c>
      <c r="C170" s="56" t="str">
        <f>작성용!AK167</f>
        <v>개별종목</v>
      </c>
      <c r="D170" s="57">
        <f>작성용!T167</f>
        <v>45569</v>
      </c>
      <c r="E170" s="58" t="str">
        <f>작성용!B167</f>
        <v>아이엠엠프라이빗에쿼티</v>
      </c>
      <c r="F170" s="58" t="str">
        <f>작성용!C167</f>
        <v>재평가</v>
      </c>
      <c r="G170" s="58" t="str">
        <f>작성용!D167</f>
        <v>교보생명보험</v>
      </c>
      <c r="H170" s="59">
        <f>작성용!E167</f>
        <v>1101110014970</v>
      </c>
      <c r="I170" s="58" t="str">
        <f>작성용!F167</f>
        <v>A01</v>
      </c>
      <c r="J170" s="58">
        <f>작성용!G167</f>
        <v>0</v>
      </c>
      <c r="K170" s="58" t="str">
        <f>작성용!H167</f>
        <v>-</v>
      </c>
      <c r="L170" s="58" t="str">
        <f>작성용!N167</f>
        <v>분기</v>
      </c>
      <c r="M170" s="57" t="str">
        <f>작성용!U167</f>
        <v>2024.09.30</v>
      </c>
      <c r="N170" s="57">
        <f>작성용!V167</f>
        <v>45610</v>
      </c>
      <c r="O170" s="57">
        <f>작성용!W167</f>
        <v>45614</v>
      </c>
      <c r="P170" s="57" t="str">
        <f>작성용!X167</f>
        <v>-</v>
      </c>
      <c r="Q170" s="58" t="str">
        <f>작성용!AD167</f>
        <v>이현승</v>
      </c>
      <c r="R170" s="60">
        <f>작성용!AE167</f>
        <v>1.5</v>
      </c>
      <c r="S170" s="58" t="str">
        <f>작성용!AF167</f>
        <v>이현승</v>
      </c>
      <c r="T170" s="61" t="str">
        <f>작성용!AG167</f>
        <v>이문수</v>
      </c>
      <c r="U170" s="61" t="str">
        <f>작성용!AH167</f>
        <v>이문수</v>
      </c>
      <c r="V170" s="56">
        <f>작성용!AA167</f>
        <v>202411</v>
      </c>
      <c r="W170" s="58" t="str">
        <f>작성용!AC167</f>
        <v>[Y]금융기관</v>
      </c>
      <c r="X170" s="58" t="str">
        <f>작성용!O167</f>
        <v>윤현지차장</v>
      </c>
      <c r="Y170" s="58" t="str">
        <f>작성용!P167</f>
        <v>02-2112-1831, 010-6270-9837</v>
      </c>
      <c r="Z170" s="58" t="str">
        <f>작성용!Q167</f>
        <v>hjyoon@immpe.com</v>
      </c>
      <c r="AA170" s="56" t="str">
        <f>작성용!AJ167</f>
        <v>국민연금</v>
      </c>
      <c r="AB170" s="56">
        <f>작성용!AB167</f>
        <v>0</v>
      </c>
    </row>
    <row r="171" spans="1:28" s="12" customFormat="1" ht="16.5" hidden="1" customHeight="1" x14ac:dyDescent="0.3">
      <c r="A171" s="54">
        <f>작성용!AL168</f>
        <v>167</v>
      </c>
      <c r="B171" s="55" t="str">
        <f>작성용!AI168</f>
        <v>-</v>
      </c>
      <c r="C171" s="56" t="str">
        <f>작성용!AK168</f>
        <v>개별종목</v>
      </c>
      <c r="D171" s="57">
        <f>작성용!T168</f>
        <v>45569</v>
      </c>
      <c r="E171" s="58" t="str">
        <f>작성용!B168</f>
        <v>아이엠엠프라이빗에쿼티</v>
      </c>
      <c r="F171" s="58" t="str">
        <f>작성용!C168</f>
        <v>재평가</v>
      </c>
      <c r="G171" s="58" t="str">
        <f>작성용!D168</f>
        <v>현대엘엔지해운</v>
      </c>
      <c r="H171" s="59">
        <f>작성용!E168</f>
        <v>1101115378842</v>
      </c>
      <c r="I171" s="58" t="str">
        <f>작성용!F168</f>
        <v>A01</v>
      </c>
      <c r="J171" s="58">
        <f>작성용!G168</f>
        <v>0</v>
      </c>
      <c r="K171" s="58" t="str">
        <f>작성용!H168</f>
        <v>-</v>
      </c>
      <c r="L171" s="58" t="str">
        <f>작성용!N168</f>
        <v>분기</v>
      </c>
      <c r="M171" s="57" t="str">
        <f>작성용!U168</f>
        <v>2024.09.30</v>
      </c>
      <c r="N171" s="57">
        <f>작성용!V168</f>
        <v>45610</v>
      </c>
      <c r="O171" s="57">
        <f>작성용!W168</f>
        <v>45614</v>
      </c>
      <c r="P171" s="57" t="str">
        <f>작성용!X168</f>
        <v>-</v>
      </c>
      <c r="Q171" s="58" t="str">
        <f>작성용!AD168</f>
        <v>조현우</v>
      </c>
      <c r="R171" s="60">
        <f>작성용!AE168</f>
        <v>1.9</v>
      </c>
      <c r="S171" s="58" t="str">
        <f>작성용!AF168</f>
        <v>조현우</v>
      </c>
      <c r="T171" s="61" t="str">
        <f>작성용!AG168</f>
        <v>이문수</v>
      </c>
      <c r="U171" s="61" t="str">
        <f>작성용!AH168</f>
        <v>이문수</v>
      </c>
      <c r="V171" s="56">
        <f>작성용!AA168</f>
        <v>202411</v>
      </c>
      <c r="W171" s="58" t="str">
        <f>작성용!AC168</f>
        <v>[Y]금융기관</v>
      </c>
      <c r="X171" s="58" t="str">
        <f>작성용!O168</f>
        <v>윤현지차장</v>
      </c>
      <c r="Y171" s="58" t="str">
        <f>작성용!P168</f>
        <v>02-2112-1831, 010-6270-9837</v>
      </c>
      <c r="Z171" s="58" t="str">
        <f>작성용!Q168</f>
        <v>hjyoon@immpe.com</v>
      </c>
      <c r="AA171" s="56" t="str">
        <f>작성용!AJ168</f>
        <v>국민연금</v>
      </c>
      <c r="AB171" s="56">
        <f>작성용!AB168</f>
        <v>0</v>
      </c>
    </row>
    <row r="172" spans="1:28" s="12" customFormat="1" ht="16.5" hidden="1" customHeight="1" x14ac:dyDescent="0.3">
      <c r="A172" s="54">
        <f>작성용!AL169</f>
        <v>168</v>
      </c>
      <c r="B172" s="55" t="str">
        <f>작성용!AI169</f>
        <v>-</v>
      </c>
      <c r="C172" s="56" t="str">
        <f>작성용!AK169</f>
        <v>개별종목</v>
      </c>
      <c r="D172" s="57">
        <f>작성용!T169</f>
        <v>45569</v>
      </c>
      <c r="E172" s="58" t="str">
        <f>작성용!B169</f>
        <v>아이엠엠프라이빗에쿼티</v>
      </c>
      <c r="F172" s="58" t="str">
        <f>작성용!C169</f>
        <v>재평가</v>
      </c>
      <c r="G172" s="58" t="str">
        <f>작성용!D169</f>
        <v>현대엘엔지해운</v>
      </c>
      <c r="H172" s="59">
        <f>작성용!E169</f>
        <v>1101115378842</v>
      </c>
      <c r="I172" s="58" t="str">
        <f>작성용!F169</f>
        <v>A05</v>
      </c>
      <c r="J172" s="58">
        <f>작성용!G169</f>
        <v>0</v>
      </c>
      <c r="K172" s="58" t="str">
        <f>작성용!H169</f>
        <v>-</v>
      </c>
      <c r="L172" s="58" t="str">
        <f>작성용!N169</f>
        <v>분기</v>
      </c>
      <c r="M172" s="57" t="str">
        <f>작성용!U169</f>
        <v>2024.09.30</v>
      </c>
      <c r="N172" s="57">
        <f>작성용!V169</f>
        <v>45610</v>
      </c>
      <c r="O172" s="57">
        <f>작성용!W169</f>
        <v>45614</v>
      </c>
      <c r="P172" s="57" t="str">
        <f>작성용!X169</f>
        <v>-</v>
      </c>
      <c r="Q172" s="58" t="str">
        <f>작성용!AD169</f>
        <v>조현우</v>
      </c>
      <c r="R172" s="60">
        <f>작성용!AE169</f>
        <v>0</v>
      </c>
      <c r="S172" s="58" t="str">
        <f>작성용!AF169</f>
        <v>조현우</v>
      </c>
      <c r="T172" s="61" t="str">
        <f>작성용!AG169</f>
        <v>이문수</v>
      </c>
      <c r="U172" s="61" t="str">
        <f>작성용!AH169</f>
        <v>이문수</v>
      </c>
      <c r="V172" s="56">
        <f>작성용!AA169</f>
        <v>202411</v>
      </c>
      <c r="W172" s="58" t="str">
        <f>작성용!AC169</f>
        <v>[Y]금융기관</v>
      </c>
      <c r="X172" s="58" t="str">
        <f>작성용!O169</f>
        <v>윤현지차장</v>
      </c>
      <c r="Y172" s="58" t="str">
        <f>작성용!P169</f>
        <v>02-2112-1831, 010-6270-9837</v>
      </c>
      <c r="Z172" s="58" t="str">
        <f>작성용!Q169</f>
        <v>hjyoon@immpe.com</v>
      </c>
      <c r="AA172" s="56" t="str">
        <f>작성용!AJ169</f>
        <v>국민연금</v>
      </c>
      <c r="AB172" s="56">
        <f>작성용!AB169</f>
        <v>0</v>
      </c>
    </row>
    <row r="173" spans="1:28" s="12" customFormat="1" ht="16.5" hidden="1" customHeight="1" x14ac:dyDescent="0.3">
      <c r="A173" s="54">
        <f>작성용!AL170</f>
        <v>169</v>
      </c>
      <c r="B173" s="55" t="str">
        <f>작성용!AI170</f>
        <v>-</v>
      </c>
      <c r="C173" s="56" t="str">
        <f>작성용!AK170</f>
        <v>개별종목</v>
      </c>
      <c r="D173" s="57">
        <f>작성용!T170</f>
        <v>45569</v>
      </c>
      <c r="E173" s="58" t="str">
        <f>작성용!B170</f>
        <v>아이엠엠프라이빗에쿼티</v>
      </c>
      <c r="F173" s="58" t="str">
        <f>작성용!C170</f>
        <v>재평가</v>
      </c>
      <c r="G173" s="58" t="str">
        <f>작성용!D170</f>
        <v>현대엘엔지해운</v>
      </c>
      <c r="H173" s="59">
        <f>작성용!E170</f>
        <v>1101115378842</v>
      </c>
      <c r="I173" s="58" t="str">
        <f>작성용!F170</f>
        <v>A07</v>
      </c>
      <c r="J173" s="58">
        <f>작성용!G170</f>
        <v>0</v>
      </c>
      <c r="K173" s="58" t="str">
        <f>작성용!H170</f>
        <v>-</v>
      </c>
      <c r="L173" s="58" t="str">
        <f>작성용!N170</f>
        <v>분기</v>
      </c>
      <c r="M173" s="57" t="str">
        <f>작성용!U170</f>
        <v>2024.09.30</v>
      </c>
      <c r="N173" s="57">
        <f>작성용!V170</f>
        <v>45610</v>
      </c>
      <c r="O173" s="57">
        <f>작성용!W170</f>
        <v>45614</v>
      </c>
      <c r="P173" s="57" t="str">
        <f>작성용!X170</f>
        <v>-</v>
      </c>
      <c r="Q173" s="58" t="str">
        <f>작성용!AD170</f>
        <v>조현우</v>
      </c>
      <c r="R173" s="60">
        <f>작성용!AE170</f>
        <v>0</v>
      </c>
      <c r="S173" s="58" t="str">
        <f>작성용!AF170</f>
        <v>조현우</v>
      </c>
      <c r="T173" s="61" t="str">
        <f>작성용!AG170</f>
        <v>이문수</v>
      </c>
      <c r="U173" s="61" t="str">
        <f>작성용!AH170</f>
        <v>이문수</v>
      </c>
      <c r="V173" s="56">
        <f>작성용!AA170</f>
        <v>202411</v>
      </c>
      <c r="W173" s="58" t="str">
        <f>작성용!AC170</f>
        <v>[Y]금융기관</v>
      </c>
      <c r="X173" s="58" t="str">
        <f>작성용!O170</f>
        <v>윤현지차장</v>
      </c>
      <c r="Y173" s="58" t="str">
        <f>작성용!P170</f>
        <v>02-2112-1831, 010-6270-9837</v>
      </c>
      <c r="Z173" s="58" t="str">
        <f>작성용!Q170</f>
        <v>hjyoon@immpe.com</v>
      </c>
      <c r="AA173" s="56" t="str">
        <f>작성용!AJ170</f>
        <v>국민연금</v>
      </c>
      <c r="AB173" s="56">
        <f>작성용!AB170</f>
        <v>0</v>
      </c>
    </row>
    <row r="174" spans="1:28" s="12" customFormat="1" ht="16.5" hidden="1" customHeight="1" x14ac:dyDescent="0.3">
      <c r="A174" s="54">
        <f>작성용!AL171</f>
        <v>170</v>
      </c>
      <c r="B174" s="55" t="str">
        <f>작성용!AI171</f>
        <v>-</v>
      </c>
      <c r="C174" s="56" t="str">
        <f>작성용!AK171</f>
        <v>개별종목</v>
      </c>
      <c r="D174" s="57">
        <f>작성용!T171</f>
        <v>45569</v>
      </c>
      <c r="E174" s="58" t="str">
        <f>작성용!B171</f>
        <v>아이엠엠프라이빗에쿼티</v>
      </c>
      <c r="F174" s="58" t="str">
        <f>작성용!C171</f>
        <v>재평가</v>
      </c>
      <c r="G174" s="58" t="str">
        <f>작성용!D171</f>
        <v>Mars Entertainment</v>
      </c>
      <c r="H174" s="59" t="str">
        <f>작성용!E171</f>
        <v>KBP2017110001</v>
      </c>
      <c r="I174" s="58" t="str">
        <f>작성용!F171</f>
        <v>A01</v>
      </c>
      <c r="J174" s="58">
        <f>작성용!G171</f>
        <v>0</v>
      </c>
      <c r="K174" s="58" t="str">
        <f>작성용!H171</f>
        <v>-</v>
      </c>
      <c r="L174" s="58" t="str">
        <f>작성용!N171</f>
        <v>분기</v>
      </c>
      <c r="M174" s="57" t="str">
        <f>작성용!U171</f>
        <v>2024.09.30</v>
      </c>
      <c r="N174" s="57">
        <f>작성용!V171</f>
        <v>45610</v>
      </c>
      <c r="O174" s="57">
        <f>작성용!W171</f>
        <v>45614</v>
      </c>
      <c r="P174" s="57" t="str">
        <f>작성용!X171</f>
        <v>-</v>
      </c>
      <c r="Q174" s="58" t="str">
        <f>작성용!AD171</f>
        <v>정은채</v>
      </c>
      <c r="R174" s="60">
        <f>작성용!AE171</f>
        <v>1.5</v>
      </c>
      <c r="S174" s="58" t="str">
        <f>작성용!AF171</f>
        <v>정은채</v>
      </c>
      <c r="T174" s="61" t="str">
        <f>작성용!AG171</f>
        <v>이문수</v>
      </c>
      <c r="U174" s="61" t="str">
        <f>작성용!AH171</f>
        <v>이문수</v>
      </c>
      <c r="V174" s="56">
        <f>작성용!AA171</f>
        <v>202411</v>
      </c>
      <c r="W174" s="58" t="str">
        <f>작성용!AC171</f>
        <v>[Y]금융기관</v>
      </c>
      <c r="X174" s="58" t="str">
        <f>작성용!O171</f>
        <v>윤현지차장</v>
      </c>
      <c r="Y174" s="58" t="str">
        <f>작성용!P171</f>
        <v>02-2112-1831, 010-6270-9837</v>
      </c>
      <c r="Z174" s="58" t="str">
        <f>작성용!Q171</f>
        <v>hjyoon@immpe.com</v>
      </c>
      <c r="AA174" s="56" t="str">
        <f>작성용!AJ171</f>
        <v>국민연금</v>
      </c>
      <c r="AB174" s="56">
        <f>작성용!AB171</f>
        <v>0</v>
      </c>
    </row>
    <row r="175" spans="1:28" s="12" customFormat="1" ht="16.5" hidden="1" customHeight="1" x14ac:dyDescent="0.3">
      <c r="A175" s="54">
        <f>작성용!AL172</f>
        <v>171</v>
      </c>
      <c r="B175" s="55" t="str">
        <f>작성용!AI172</f>
        <v>-</v>
      </c>
      <c r="C175" s="56" t="str">
        <f>작성용!AK172</f>
        <v>개별종목</v>
      </c>
      <c r="D175" s="57">
        <f>작성용!T172</f>
        <v>45569</v>
      </c>
      <c r="E175" s="58" t="str">
        <f>작성용!B172</f>
        <v>엘지</v>
      </c>
      <c r="F175" s="58" t="str">
        <f>작성용!C172</f>
        <v>재평가</v>
      </c>
      <c r="G175" s="58" t="str">
        <f>작성용!D172</f>
        <v>한국경제신문</v>
      </c>
      <c r="H175" s="59">
        <f>작성용!E172</f>
        <v>1101110042426</v>
      </c>
      <c r="I175" s="58" t="str">
        <f>작성용!F172</f>
        <v>A01</v>
      </c>
      <c r="J175" s="58">
        <f>작성용!G172</f>
        <v>0</v>
      </c>
      <c r="K175" s="58" t="str">
        <f>작성용!H172</f>
        <v>Y</v>
      </c>
      <c r="L175" s="58" t="str">
        <f>작성용!N172</f>
        <v>연말</v>
      </c>
      <c r="M175" s="57" t="str">
        <f>작성용!U172</f>
        <v>2024.12.31</v>
      </c>
      <c r="N175" s="57">
        <f>작성용!V172</f>
        <v>45659</v>
      </c>
      <c r="O175" s="57">
        <f>작성용!W172</f>
        <v>45660</v>
      </c>
      <c r="P175" s="57">
        <f>작성용!X172</f>
        <v>45660</v>
      </c>
      <c r="Q175" s="58" t="str">
        <f>작성용!AD172</f>
        <v>강승현</v>
      </c>
      <c r="R175" s="60">
        <f>작성용!AE172</f>
        <v>1</v>
      </c>
      <c r="S175" s="58" t="str">
        <f>작성용!AF172</f>
        <v>강승현</v>
      </c>
      <c r="T175" s="61" t="str">
        <f>작성용!AG172</f>
        <v>강승현</v>
      </c>
      <c r="U175" s="61" t="str">
        <f>작성용!AH172</f>
        <v>강승현</v>
      </c>
      <c r="V175" s="56">
        <f>작성용!AA172</f>
        <v>202412</v>
      </c>
      <c r="W175" s="58" t="str">
        <f>작성용!AC172</f>
        <v>[X]일반기업</v>
      </c>
      <c r="X175" s="58" t="str">
        <f>작성용!O172</f>
        <v>추인욱책임</v>
      </c>
      <c r="Y175" s="58" t="str">
        <f>작성용!P172</f>
        <v>02-3773-2237, 010-3935-4867</v>
      </c>
      <c r="Z175" s="58" t="str">
        <f>작성용!Q172</f>
        <v>inuk.choo@lg.com</v>
      </c>
      <c r="AA175" s="56" t="str">
        <f>작성용!AJ172</f>
        <v>회계반영</v>
      </c>
      <c r="AB175" s="56">
        <f>작성용!AB172</f>
        <v>0</v>
      </c>
    </row>
    <row r="176" spans="1:28" s="12" customFormat="1" ht="16.5" hidden="1" customHeight="1" x14ac:dyDescent="0.3">
      <c r="A176" s="54">
        <f>작성용!AL173</f>
        <v>172</v>
      </c>
      <c r="B176" s="55" t="str">
        <f>작성용!AI173</f>
        <v>-</v>
      </c>
      <c r="C176" s="56" t="str">
        <f>작성용!AK173</f>
        <v>개별종목</v>
      </c>
      <c r="D176" s="57">
        <f>작성용!T173</f>
        <v>45572</v>
      </c>
      <c r="E176" s="58" t="str">
        <f>작성용!B173</f>
        <v>이앤에프프라이빗에퀴티</v>
      </c>
      <c r="F176" s="58" t="str">
        <f>작성용!C173</f>
        <v>재평가</v>
      </c>
      <c r="G176" s="58" t="str">
        <f>작성용!D173</f>
        <v>Carsome Group Pte. Ltd</v>
      </c>
      <c r="H176" s="59" t="str">
        <f>작성용!E173</f>
        <v>KBP2022090022</v>
      </c>
      <c r="I176" s="58" t="str">
        <f>작성용!F173</f>
        <v>A07</v>
      </c>
      <c r="J176" s="58">
        <f>작성용!G173</f>
        <v>0</v>
      </c>
      <c r="K176" s="58" t="str">
        <f>작성용!H173</f>
        <v>-</v>
      </c>
      <c r="L176" s="58" t="str">
        <f>작성용!N173</f>
        <v xml:space="preserve">분기 </v>
      </c>
      <c r="M176" s="57" t="str">
        <f>작성용!U173</f>
        <v>2024.09.30</v>
      </c>
      <c r="N176" s="57">
        <f>작성용!V173</f>
        <v>45608</v>
      </c>
      <c r="O176" s="57">
        <f>작성용!W173</f>
        <v>45615</v>
      </c>
      <c r="P176" s="57" t="str">
        <f>작성용!X173</f>
        <v>-</v>
      </c>
      <c r="Q176" s="58" t="str">
        <f>작성용!AD173</f>
        <v>이상민</v>
      </c>
      <c r="R176" s="60">
        <f>작성용!AE173</f>
        <v>1</v>
      </c>
      <c r="S176" s="58" t="str">
        <f>작성용!AF173</f>
        <v>이상민</v>
      </c>
      <c r="T176" s="61" t="str">
        <f>작성용!AG173</f>
        <v>심태진</v>
      </c>
      <c r="U176" s="61" t="str">
        <f>작성용!AH173</f>
        <v>심태진</v>
      </c>
      <c r="V176" s="56">
        <f>작성용!AA173</f>
        <v>202411</v>
      </c>
      <c r="W176" s="58" t="str">
        <f>작성용!AC173</f>
        <v>[Y]금융기관</v>
      </c>
      <c r="X176" s="58">
        <f>작성용!O173</f>
        <v>0</v>
      </c>
      <c r="Y176" s="58">
        <f>작성용!P173</f>
        <v>0</v>
      </c>
      <c r="Z176" s="58">
        <f>작성용!Q173</f>
        <v>0</v>
      </c>
      <c r="AA176" s="56" t="str">
        <f>작성용!AJ173</f>
        <v>-</v>
      </c>
      <c r="AB176" s="56">
        <f>작성용!AB173</f>
        <v>0</v>
      </c>
    </row>
    <row r="177" spans="1:28" s="12" customFormat="1" ht="16.5" hidden="1" customHeight="1" x14ac:dyDescent="0.3">
      <c r="A177" s="54">
        <f>작성용!AL174</f>
        <v>173</v>
      </c>
      <c r="B177" s="55" t="str">
        <f>작성용!AI174</f>
        <v>-</v>
      </c>
      <c r="C177" s="56" t="str">
        <f>작성용!AK174</f>
        <v>개별종목</v>
      </c>
      <c r="D177" s="57">
        <f>작성용!T174</f>
        <v>45572</v>
      </c>
      <c r="E177" s="58" t="str">
        <f>작성용!B174</f>
        <v>이앤에프프라이빗에퀴티</v>
      </c>
      <c r="F177" s="58" t="str">
        <f>작성용!C174</f>
        <v>재평가</v>
      </c>
      <c r="G177" s="58" t="str">
        <f>작성용!D174</f>
        <v>Carsome Group Pte. Ltd</v>
      </c>
      <c r="H177" s="59" t="str">
        <f>작성용!E174</f>
        <v>KBP2022090022</v>
      </c>
      <c r="I177" s="58" t="str">
        <f>작성용!F174</f>
        <v>A07</v>
      </c>
      <c r="J177" s="58">
        <f>작성용!G174</f>
        <v>1</v>
      </c>
      <c r="K177" s="58" t="str">
        <f>작성용!H174</f>
        <v>-</v>
      </c>
      <c r="L177" s="58" t="str">
        <f>작성용!N174</f>
        <v xml:space="preserve">분기 </v>
      </c>
      <c r="M177" s="57" t="str">
        <f>작성용!U174</f>
        <v>2024.09.30</v>
      </c>
      <c r="N177" s="57">
        <f>작성용!V174</f>
        <v>45608</v>
      </c>
      <c r="O177" s="57">
        <f>작성용!W174</f>
        <v>45615</v>
      </c>
      <c r="P177" s="57" t="str">
        <f>작성용!X174</f>
        <v>-</v>
      </c>
      <c r="Q177" s="58" t="str">
        <f>작성용!AD174</f>
        <v>이상민</v>
      </c>
      <c r="R177" s="60">
        <f>작성용!AE174</f>
        <v>0</v>
      </c>
      <c r="S177" s="58" t="str">
        <f>작성용!AF174</f>
        <v>이상민</v>
      </c>
      <c r="T177" s="61" t="str">
        <f>작성용!AG174</f>
        <v>심태진</v>
      </c>
      <c r="U177" s="61" t="str">
        <f>작성용!AH174</f>
        <v>심태진</v>
      </c>
      <c r="V177" s="56">
        <f>작성용!AA174</f>
        <v>202411</v>
      </c>
      <c r="W177" s="58" t="str">
        <f>작성용!AC174</f>
        <v>[Y]금융기관</v>
      </c>
      <c r="X177" s="58">
        <f>작성용!O174</f>
        <v>0</v>
      </c>
      <c r="Y177" s="58">
        <f>작성용!P174</f>
        <v>0</v>
      </c>
      <c r="Z177" s="58">
        <f>작성용!Q174</f>
        <v>0</v>
      </c>
      <c r="AA177" s="56" t="str">
        <f>작성용!AJ174</f>
        <v>-</v>
      </c>
      <c r="AB177" s="56">
        <f>작성용!AB174</f>
        <v>0</v>
      </c>
    </row>
    <row r="178" spans="1:28" s="12" customFormat="1" ht="16.5" hidden="1" customHeight="1" x14ac:dyDescent="0.3">
      <c r="A178" s="54">
        <f>작성용!AL175</f>
        <v>174</v>
      </c>
      <c r="B178" s="55" t="str">
        <f>작성용!AI175</f>
        <v>-</v>
      </c>
      <c r="C178" s="56" t="str">
        <f>작성용!AK175</f>
        <v>개별종목</v>
      </c>
      <c r="D178" s="57">
        <f>작성용!T175</f>
        <v>45572</v>
      </c>
      <c r="E178" s="58" t="str">
        <f>작성용!B175</f>
        <v>이앤에프프라이빗에퀴티</v>
      </c>
      <c r="F178" s="58" t="str">
        <f>작성용!C175</f>
        <v>재평가</v>
      </c>
      <c r="G178" s="58" t="str">
        <f>작성용!D175</f>
        <v>원콜</v>
      </c>
      <c r="H178" s="59">
        <f>작성용!E175</f>
        <v>1341110392039</v>
      </c>
      <c r="I178" s="58" t="str">
        <f>작성용!F175</f>
        <v>A01</v>
      </c>
      <c r="J178" s="58">
        <f>작성용!G175</f>
        <v>0</v>
      </c>
      <c r="K178" s="58" t="str">
        <f>작성용!H175</f>
        <v>-</v>
      </c>
      <c r="L178" s="58" t="str">
        <f>작성용!N175</f>
        <v xml:space="preserve">분기 </v>
      </c>
      <c r="M178" s="57" t="str">
        <f>작성용!U175</f>
        <v>2024.09.30</v>
      </c>
      <c r="N178" s="57">
        <f>작성용!V175</f>
        <v>45608</v>
      </c>
      <c r="O178" s="57">
        <f>작성용!W175</f>
        <v>45615</v>
      </c>
      <c r="P178" s="57" t="str">
        <f>작성용!X175</f>
        <v>-</v>
      </c>
      <c r="Q178" s="58" t="str">
        <f>작성용!AD175</f>
        <v>최수민</v>
      </c>
      <c r="R178" s="60">
        <f>작성용!AE175</f>
        <v>1</v>
      </c>
      <c r="S178" s="58" t="str">
        <f>작성용!AF175</f>
        <v>최수민</v>
      </c>
      <c r="T178" s="61" t="str">
        <f>작성용!AG175</f>
        <v>심태진</v>
      </c>
      <c r="U178" s="61" t="str">
        <f>작성용!AH175</f>
        <v>심태진</v>
      </c>
      <c r="V178" s="56">
        <f>작성용!AA175</f>
        <v>202411</v>
      </c>
      <c r="W178" s="58" t="str">
        <f>작성용!AC175</f>
        <v>[Y]금융기관</v>
      </c>
      <c r="X178" s="58">
        <f>작성용!O175</f>
        <v>0</v>
      </c>
      <c r="Y178" s="58">
        <f>작성용!P175</f>
        <v>0</v>
      </c>
      <c r="Z178" s="58">
        <f>작성용!Q175</f>
        <v>0</v>
      </c>
      <c r="AA178" s="56" t="str">
        <f>작성용!AJ175</f>
        <v>-</v>
      </c>
      <c r="AB178" s="56">
        <f>작성용!AB175</f>
        <v>0</v>
      </c>
    </row>
    <row r="179" spans="1:28" s="12" customFormat="1" ht="16.5" hidden="1" customHeight="1" x14ac:dyDescent="0.3">
      <c r="A179" s="54">
        <f>작성용!AL176</f>
        <v>175</v>
      </c>
      <c r="B179" s="55" t="str">
        <f>작성용!AI176</f>
        <v>-</v>
      </c>
      <c r="C179" s="56" t="str">
        <f>작성용!AK176</f>
        <v>개별종목</v>
      </c>
      <c r="D179" s="57">
        <f>작성용!T176</f>
        <v>45572</v>
      </c>
      <c r="E179" s="58" t="str">
        <f>작성용!B176</f>
        <v>이앤에프프라이빗에퀴티</v>
      </c>
      <c r="F179" s="58" t="str">
        <f>작성용!C176</f>
        <v>재평가</v>
      </c>
      <c r="G179" s="58" t="str">
        <f>작성용!D176</f>
        <v>코어엔텍</v>
      </c>
      <c r="H179" s="59">
        <f>작성용!E176</f>
        <v>1355110404174</v>
      </c>
      <c r="I179" s="58" t="str">
        <f>작성용!F176</f>
        <v>A01</v>
      </c>
      <c r="J179" s="58">
        <f>작성용!G176</f>
        <v>0</v>
      </c>
      <c r="K179" s="58" t="str">
        <f>작성용!H176</f>
        <v>-</v>
      </c>
      <c r="L179" s="58" t="str">
        <f>작성용!N176</f>
        <v xml:space="preserve">분기 </v>
      </c>
      <c r="M179" s="57" t="str">
        <f>작성용!U176</f>
        <v>2024.09.30</v>
      </c>
      <c r="N179" s="57">
        <f>작성용!V176</f>
        <v>45608</v>
      </c>
      <c r="O179" s="57">
        <f>작성용!W176</f>
        <v>45615</v>
      </c>
      <c r="P179" s="57" t="str">
        <f>작성용!X176</f>
        <v>-</v>
      </c>
      <c r="Q179" s="58" t="str">
        <f>작성용!AD176</f>
        <v>정재형</v>
      </c>
      <c r="R179" s="60">
        <f>작성용!AE176</f>
        <v>1</v>
      </c>
      <c r="S179" s="58" t="str">
        <f>작성용!AF176</f>
        <v>정재형</v>
      </c>
      <c r="T179" s="61" t="str">
        <f>작성용!AG176</f>
        <v>심태진</v>
      </c>
      <c r="U179" s="61" t="str">
        <f>작성용!AH176</f>
        <v>심태진</v>
      </c>
      <c r="V179" s="56">
        <f>작성용!AA176</f>
        <v>202411</v>
      </c>
      <c r="W179" s="58" t="str">
        <f>작성용!AC176</f>
        <v>[Y]금융기관</v>
      </c>
      <c r="X179" s="58">
        <f>작성용!O176</f>
        <v>0</v>
      </c>
      <c r="Y179" s="58">
        <f>작성용!P176</f>
        <v>0</v>
      </c>
      <c r="Z179" s="58">
        <f>작성용!Q176</f>
        <v>0</v>
      </c>
      <c r="AA179" s="56" t="str">
        <f>작성용!AJ176</f>
        <v>-</v>
      </c>
      <c r="AB179" s="56">
        <f>작성용!AB176</f>
        <v>0</v>
      </c>
    </row>
    <row r="180" spans="1:28" s="12" customFormat="1" ht="16.5" hidden="1" customHeight="1" x14ac:dyDescent="0.3">
      <c r="A180" s="54">
        <f>작성용!AL177</f>
        <v>176</v>
      </c>
      <c r="B180" s="55" t="str">
        <f>작성용!AI177</f>
        <v>-</v>
      </c>
      <c r="C180" s="56" t="str">
        <f>작성용!AK177</f>
        <v>개별종목</v>
      </c>
      <c r="D180" s="57">
        <f>작성용!T177</f>
        <v>45572</v>
      </c>
      <c r="E180" s="58" t="str">
        <f>작성용!B177</f>
        <v>이앤에프프라이빗에퀴티</v>
      </c>
      <c r="F180" s="58" t="str">
        <f>작성용!C177</f>
        <v>재평가</v>
      </c>
      <c r="G180" s="58" t="str">
        <f>작성용!D177</f>
        <v>아데나소프트웨어</v>
      </c>
      <c r="H180" s="59">
        <f>작성용!E177</f>
        <v>1101116148228</v>
      </c>
      <c r="I180" s="58" t="str">
        <f>작성용!F177</f>
        <v>A07</v>
      </c>
      <c r="J180" s="58">
        <f>작성용!G177</f>
        <v>0</v>
      </c>
      <c r="K180" s="58" t="str">
        <f>작성용!H177</f>
        <v>-</v>
      </c>
      <c r="L180" s="58" t="str">
        <f>작성용!N177</f>
        <v xml:space="preserve">분기 </v>
      </c>
      <c r="M180" s="57" t="str">
        <f>작성용!U177</f>
        <v>2024.09.30</v>
      </c>
      <c r="N180" s="57">
        <f>작성용!V177</f>
        <v>45608</v>
      </c>
      <c r="O180" s="57">
        <f>작성용!W177</f>
        <v>45615</v>
      </c>
      <c r="P180" s="57" t="str">
        <f>작성용!X177</f>
        <v>-</v>
      </c>
      <c r="Q180" s="58" t="str">
        <f>작성용!AD177</f>
        <v>최수민</v>
      </c>
      <c r="R180" s="60">
        <f>작성용!AE177</f>
        <v>1</v>
      </c>
      <c r="S180" s="58" t="str">
        <f>작성용!AF177</f>
        <v>최수민</v>
      </c>
      <c r="T180" s="61" t="str">
        <f>작성용!AG177</f>
        <v>심태진</v>
      </c>
      <c r="U180" s="61" t="str">
        <f>작성용!AH177</f>
        <v>심태진</v>
      </c>
      <c r="V180" s="56">
        <f>작성용!AA177</f>
        <v>202411</v>
      </c>
      <c r="W180" s="58" t="str">
        <f>작성용!AC177</f>
        <v>[Y]금융기관</v>
      </c>
      <c r="X180" s="58">
        <f>작성용!O177</f>
        <v>0</v>
      </c>
      <c r="Y180" s="58">
        <f>작성용!P177</f>
        <v>0</v>
      </c>
      <c r="Z180" s="58">
        <f>작성용!Q177</f>
        <v>0</v>
      </c>
      <c r="AA180" s="56" t="str">
        <f>작성용!AJ177</f>
        <v>-</v>
      </c>
      <c r="AB180" s="56">
        <f>작성용!AB177</f>
        <v>0</v>
      </c>
    </row>
    <row r="181" spans="1:28" s="12" customFormat="1" ht="16.5" hidden="1" customHeight="1" x14ac:dyDescent="0.3">
      <c r="A181" s="54">
        <f>작성용!AL178</f>
        <v>177</v>
      </c>
      <c r="B181" s="55" t="str">
        <f>작성용!AI178</f>
        <v>-</v>
      </c>
      <c r="C181" s="56" t="str">
        <f>작성용!AK178</f>
        <v>개별종목</v>
      </c>
      <c r="D181" s="57">
        <f>작성용!T178</f>
        <v>45572</v>
      </c>
      <c r="E181" s="58" t="str">
        <f>작성용!B178</f>
        <v>이앤에프프라이빗에퀴티</v>
      </c>
      <c r="F181" s="58" t="str">
        <f>작성용!C178</f>
        <v>재평가</v>
      </c>
      <c r="G181" s="58" t="str">
        <f>작성용!D178</f>
        <v>네이버제트</v>
      </c>
      <c r="H181" s="59">
        <f>작성용!E178</f>
        <v>1311110591014</v>
      </c>
      <c r="I181" s="58" t="str">
        <f>작성용!F178</f>
        <v>A07</v>
      </c>
      <c r="J181" s="58">
        <f>작성용!G178</f>
        <v>0</v>
      </c>
      <c r="K181" s="58" t="str">
        <f>작성용!H178</f>
        <v>-</v>
      </c>
      <c r="L181" s="58" t="str">
        <f>작성용!N178</f>
        <v xml:space="preserve">분기 </v>
      </c>
      <c r="M181" s="57" t="str">
        <f>작성용!U178</f>
        <v>2024.09.30</v>
      </c>
      <c r="N181" s="57">
        <f>작성용!V178</f>
        <v>45608</v>
      </c>
      <c r="O181" s="57">
        <f>작성용!W178</f>
        <v>45615</v>
      </c>
      <c r="P181" s="57" t="str">
        <f>작성용!X178</f>
        <v>-</v>
      </c>
      <c r="Q181" s="58" t="str">
        <f>작성용!AD178</f>
        <v>백형진</v>
      </c>
      <c r="R181" s="60">
        <f>작성용!AE178</f>
        <v>1</v>
      </c>
      <c r="S181" s="58" t="str">
        <f>작성용!AF178</f>
        <v>백형진</v>
      </c>
      <c r="T181" s="61" t="str">
        <f>작성용!AG178</f>
        <v>심태진</v>
      </c>
      <c r="U181" s="61" t="str">
        <f>작성용!AH178</f>
        <v>심태진</v>
      </c>
      <c r="V181" s="56">
        <f>작성용!AA178</f>
        <v>202411</v>
      </c>
      <c r="W181" s="58" t="str">
        <f>작성용!AC178</f>
        <v>[Y]금융기관</v>
      </c>
      <c r="X181" s="58">
        <f>작성용!O178</f>
        <v>0</v>
      </c>
      <c r="Y181" s="58">
        <f>작성용!P178</f>
        <v>0</v>
      </c>
      <c r="Z181" s="58">
        <f>작성용!Q178</f>
        <v>0</v>
      </c>
      <c r="AA181" s="56" t="str">
        <f>작성용!AJ178</f>
        <v>-</v>
      </c>
      <c r="AB181" s="56">
        <f>작성용!AB178</f>
        <v>0</v>
      </c>
    </row>
    <row r="182" spans="1:28" s="12" customFormat="1" ht="16.5" hidden="1" customHeight="1" x14ac:dyDescent="0.3">
      <c r="A182" s="54">
        <f>작성용!AL179</f>
        <v>178</v>
      </c>
      <c r="B182" s="55" t="str">
        <f>작성용!AI179</f>
        <v>-</v>
      </c>
      <c r="C182" s="56" t="str">
        <f>작성용!AK179</f>
        <v>개별종목</v>
      </c>
      <c r="D182" s="57">
        <f>작성용!T179</f>
        <v>45572</v>
      </c>
      <c r="E182" s="58" t="str">
        <f>작성용!B179</f>
        <v>이앤에프프라이빗에퀴티</v>
      </c>
      <c r="F182" s="58" t="str">
        <f>작성용!C179</f>
        <v>재평가</v>
      </c>
      <c r="G182" s="58" t="str">
        <f>작성용!D179</f>
        <v>크린텍</v>
      </c>
      <c r="H182" s="59">
        <f>작성용!E179</f>
        <v>2301110141322</v>
      </c>
      <c r="I182" s="58" t="str">
        <f>작성용!F179</f>
        <v>A01</v>
      </c>
      <c r="J182" s="58">
        <f>작성용!G179</f>
        <v>0</v>
      </c>
      <c r="K182" s="58" t="str">
        <f>작성용!H179</f>
        <v>-</v>
      </c>
      <c r="L182" s="58" t="str">
        <f>작성용!N179</f>
        <v xml:space="preserve">분기 </v>
      </c>
      <c r="M182" s="57" t="str">
        <f>작성용!U179</f>
        <v>2024.09.30</v>
      </c>
      <c r="N182" s="57">
        <f>작성용!V179</f>
        <v>45608</v>
      </c>
      <c r="O182" s="57">
        <f>작성용!W179</f>
        <v>45615</v>
      </c>
      <c r="P182" s="57" t="str">
        <f>작성용!X179</f>
        <v>-</v>
      </c>
      <c r="Q182" s="58" t="str">
        <f>작성용!AD179</f>
        <v>김에스더</v>
      </c>
      <c r="R182" s="60">
        <f>작성용!AE179</f>
        <v>1</v>
      </c>
      <c r="S182" s="58" t="str">
        <f>작성용!AF179</f>
        <v>김에스더</v>
      </c>
      <c r="T182" s="61" t="str">
        <f>작성용!AG179</f>
        <v>심태진</v>
      </c>
      <c r="U182" s="61" t="str">
        <f>작성용!AH179</f>
        <v>심태진</v>
      </c>
      <c r="V182" s="56">
        <f>작성용!AA179</f>
        <v>202411</v>
      </c>
      <c r="W182" s="58" t="str">
        <f>작성용!AC179</f>
        <v>[Y]금융기관</v>
      </c>
      <c r="X182" s="58">
        <f>작성용!O179</f>
        <v>0</v>
      </c>
      <c r="Y182" s="58">
        <f>작성용!P179</f>
        <v>0</v>
      </c>
      <c r="Z182" s="58">
        <f>작성용!Q179</f>
        <v>0</v>
      </c>
      <c r="AA182" s="56" t="str">
        <f>작성용!AJ179</f>
        <v>-</v>
      </c>
      <c r="AB182" s="56">
        <f>작성용!AB179</f>
        <v>0</v>
      </c>
    </row>
    <row r="183" spans="1:28" s="12" customFormat="1" ht="16.5" hidden="1" customHeight="1" x14ac:dyDescent="0.3">
      <c r="A183" s="54">
        <f>작성용!AL180</f>
        <v>179</v>
      </c>
      <c r="B183" s="55" t="str">
        <f>작성용!AI180</f>
        <v>-</v>
      </c>
      <c r="C183" s="56" t="str">
        <f>작성용!AK180</f>
        <v>개별종목</v>
      </c>
      <c r="D183" s="57">
        <f>작성용!T180</f>
        <v>45572</v>
      </c>
      <c r="E183" s="58" t="str">
        <f>작성용!B180</f>
        <v>이앤에프프라이빗에퀴티</v>
      </c>
      <c r="F183" s="58" t="str">
        <f>작성용!C180</f>
        <v>재평가</v>
      </c>
      <c r="G183" s="58" t="str">
        <f>작성용!D180</f>
        <v>영실업</v>
      </c>
      <c r="H183" s="59">
        <f>작성용!E180</f>
        <v>1648110045638</v>
      </c>
      <c r="I183" s="58" t="str">
        <f>작성용!F180</f>
        <v>D02</v>
      </c>
      <c r="J183" s="58">
        <f>작성용!G180</f>
        <v>0</v>
      </c>
      <c r="K183" s="58" t="str">
        <f>작성용!H180</f>
        <v>-</v>
      </c>
      <c r="L183" s="58" t="str">
        <f>작성용!N180</f>
        <v xml:space="preserve">분기 </v>
      </c>
      <c r="M183" s="57" t="str">
        <f>작성용!U180</f>
        <v>2024.09.30</v>
      </c>
      <c r="N183" s="57">
        <f>작성용!V180</f>
        <v>45608</v>
      </c>
      <c r="O183" s="57">
        <f>작성용!W180</f>
        <v>45615</v>
      </c>
      <c r="P183" s="57" t="str">
        <f>작성용!X180</f>
        <v>-</v>
      </c>
      <c r="Q183" s="58" t="str">
        <f>작성용!AD180</f>
        <v>최수민</v>
      </c>
      <c r="R183" s="60">
        <f>작성용!AE180</f>
        <v>1</v>
      </c>
      <c r="S183" s="58" t="str">
        <f>작성용!AF180</f>
        <v>최수민</v>
      </c>
      <c r="T183" s="61" t="str">
        <f>작성용!AG180</f>
        <v>심태진</v>
      </c>
      <c r="U183" s="61" t="str">
        <f>작성용!AH180</f>
        <v>심태진</v>
      </c>
      <c r="V183" s="56">
        <f>작성용!AA180</f>
        <v>202411</v>
      </c>
      <c r="W183" s="58" t="str">
        <f>작성용!AC180</f>
        <v>[Y]금융기관</v>
      </c>
      <c r="X183" s="58">
        <f>작성용!O180</f>
        <v>0</v>
      </c>
      <c r="Y183" s="58">
        <f>작성용!P180</f>
        <v>0</v>
      </c>
      <c r="Z183" s="58">
        <f>작성용!Q180</f>
        <v>0</v>
      </c>
      <c r="AA183" s="56" t="str">
        <f>작성용!AJ180</f>
        <v>-</v>
      </c>
      <c r="AB183" s="56">
        <f>작성용!AB180</f>
        <v>0</v>
      </c>
    </row>
    <row r="184" spans="1:28" s="12" customFormat="1" ht="16.5" hidden="1" customHeight="1" x14ac:dyDescent="0.3">
      <c r="A184" s="54">
        <f>작성용!AL181</f>
        <v>180</v>
      </c>
      <c r="B184" s="55" t="str">
        <f>작성용!AI181</f>
        <v>-</v>
      </c>
      <c r="C184" s="56" t="str">
        <f>작성용!AK181</f>
        <v>개별종목</v>
      </c>
      <c r="D184" s="57">
        <f>작성용!T181</f>
        <v>45572</v>
      </c>
      <c r="E184" s="58" t="str">
        <f>작성용!B181</f>
        <v>이앤에프프라이빗에퀴티</v>
      </c>
      <c r="F184" s="58" t="str">
        <f>작성용!C181</f>
        <v>재평가</v>
      </c>
      <c r="G184" s="58" t="str">
        <f>작성용!D181</f>
        <v>한라엔컴</v>
      </c>
      <c r="H184" s="59">
        <f>작성용!E181</f>
        <v>1411110002605</v>
      </c>
      <c r="I184" s="58" t="str">
        <f>작성용!F181</f>
        <v>A01</v>
      </c>
      <c r="J184" s="58">
        <f>작성용!G181</f>
        <v>0</v>
      </c>
      <c r="K184" s="58" t="str">
        <f>작성용!H181</f>
        <v>-</v>
      </c>
      <c r="L184" s="58" t="str">
        <f>작성용!N181</f>
        <v xml:space="preserve">분기 </v>
      </c>
      <c r="M184" s="57" t="str">
        <f>작성용!U181</f>
        <v>2024.09.30</v>
      </c>
      <c r="N184" s="57">
        <f>작성용!V181</f>
        <v>45608</v>
      </c>
      <c r="O184" s="57">
        <f>작성용!W181</f>
        <v>45615</v>
      </c>
      <c r="P184" s="57" t="str">
        <f>작성용!X181</f>
        <v>-</v>
      </c>
      <c r="Q184" s="58" t="str">
        <f>작성용!AD181</f>
        <v>김영하</v>
      </c>
      <c r="R184" s="60">
        <f>작성용!AE181</f>
        <v>1</v>
      </c>
      <c r="S184" s="58" t="str">
        <f>작성용!AF181</f>
        <v>김영하</v>
      </c>
      <c r="T184" s="61" t="str">
        <f>작성용!AG181</f>
        <v>심태진</v>
      </c>
      <c r="U184" s="61" t="str">
        <f>작성용!AH181</f>
        <v>심태진</v>
      </c>
      <c r="V184" s="56">
        <f>작성용!AA181</f>
        <v>202411</v>
      </c>
      <c r="W184" s="58" t="str">
        <f>작성용!AC181</f>
        <v>[Y]금융기관</v>
      </c>
      <c r="X184" s="58">
        <f>작성용!O181</f>
        <v>0</v>
      </c>
      <c r="Y184" s="58">
        <f>작성용!P181</f>
        <v>0</v>
      </c>
      <c r="Z184" s="58">
        <f>작성용!Q181</f>
        <v>0</v>
      </c>
      <c r="AA184" s="56" t="str">
        <f>작성용!AJ181</f>
        <v>-</v>
      </c>
      <c r="AB184" s="56">
        <f>작성용!AB181</f>
        <v>0</v>
      </c>
    </row>
    <row r="185" spans="1:28" s="12" customFormat="1" ht="16.5" hidden="1" customHeight="1" x14ac:dyDescent="0.3">
      <c r="A185" s="54">
        <f>작성용!AL182</f>
        <v>181</v>
      </c>
      <c r="B185" s="55" t="str">
        <f>작성용!AI182</f>
        <v>-</v>
      </c>
      <c r="C185" s="56" t="str">
        <f>작성용!AK182</f>
        <v>개별종목</v>
      </c>
      <c r="D185" s="57">
        <f>작성용!T182</f>
        <v>45572</v>
      </c>
      <c r="E185" s="58" t="str">
        <f>작성용!B182</f>
        <v>제이케이엘파트너스</v>
      </c>
      <c r="F185" s="58" t="str">
        <f>작성용!C182</f>
        <v>재평가</v>
      </c>
      <c r="G185" s="58" t="str">
        <f>작성용!D182</f>
        <v>거흥산업</v>
      </c>
      <c r="H185" s="59">
        <f>작성용!E182</f>
        <v>1101111085079</v>
      </c>
      <c r="I185" s="58" t="str">
        <f>작성용!F182</f>
        <v>A01</v>
      </c>
      <c r="J185" s="58">
        <f>작성용!G182</f>
        <v>0</v>
      </c>
      <c r="K185" s="58" t="str">
        <f>작성용!H182</f>
        <v>-</v>
      </c>
      <c r="L185" s="58" t="str">
        <f>작성용!N182</f>
        <v>년</v>
      </c>
      <c r="M185" s="57" t="str">
        <f>작성용!U182</f>
        <v>2024.09.30</v>
      </c>
      <c r="N185" s="57">
        <f>작성용!V182</f>
        <v>45601</v>
      </c>
      <c r="O185" s="57">
        <f>작성용!W182</f>
        <v>45607</v>
      </c>
      <c r="P185" s="57" t="str">
        <f>작성용!X182</f>
        <v>-</v>
      </c>
      <c r="Q185" s="58" t="str">
        <f>작성용!AD182</f>
        <v>조현우</v>
      </c>
      <c r="R185" s="60">
        <f>작성용!AE182</f>
        <v>1</v>
      </c>
      <c r="S185" s="58" t="str">
        <f>작성용!AF182</f>
        <v>조현우</v>
      </c>
      <c r="T185" s="61" t="str">
        <f>작성용!AG182</f>
        <v>오수현</v>
      </c>
      <c r="U185" s="61" t="str">
        <f>작성용!AH182</f>
        <v>오수현</v>
      </c>
      <c r="V185" s="56">
        <f>작성용!AA182</f>
        <v>202411</v>
      </c>
      <c r="W185" s="58" t="str">
        <f>작성용!AC182</f>
        <v>[Y]금융기관</v>
      </c>
      <c r="X185" s="58" t="str">
        <f>작성용!O182</f>
        <v>신보영이사</v>
      </c>
      <c r="Y185" s="58" t="str">
        <f>작성용!P182</f>
        <v>02-2016-5927,010-5033-2241</v>
      </c>
      <c r="Z185" s="58" t="str">
        <f>작성용!Q182</f>
        <v>byshin@jklpartners.co.kr</v>
      </c>
      <c r="AA185" s="56" t="str">
        <f>작성용!AJ182</f>
        <v>국민연금/교직원공제회제출</v>
      </c>
      <c r="AB185" s="56">
        <f>작성용!AB182</f>
        <v>0</v>
      </c>
    </row>
    <row r="186" spans="1:28" s="12" customFormat="1" ht="16.5" hidden="1" customHeight="1" x14ac:dyDescent="0.3">
      <c r="A186" s="54">
        <f>작성용!AL183</f>
        <v>182</v>
      </c>
      <c r="B186" s="55" t="str">
        <f>작성용!AI183</f>
        <v>-</v>
      </c>
      <c r="C186" s="56" t="str">
        <f>작성용!AK183</f>
        <v>개별종목</v>
      </c>
      <c r="D186" s="57">
        <f>작성용!T183</f>
        <v>45572</v>
      </c>
      <c r="E186" s="58" t="str">
        <f>작성용!B183</f>
        <v>제이케이엘파트너스</v>
      </c>
      <c r="F186" s="58" t="str">
        <f>작성용!C183</f>
        <v>재평가</v>
      </c>
      <c r="G186" s="58" t="str">
        <f>작성용!D183</f>
        <v>지디케이화장품</v>
      </c>
      <c r="H186" s="59">
        <f>작성용!E183</f>
        <v>1201110579253</v>
      </c>
      <c r="I186" s="58" t="str">
        <f>작성용!F183</f>
        <v>A01</v>
      </c>
      <c r="J186" s="58">
        <f>작성용!G183</f>
        <v>0</v>
      </c>
      <c r="K186" s="58" t="str">
        <f>작성용!H183</f>
        <v>-</v>
      </c>
      <c r="L186" s="58" t="str">
        <f>작성용!N183</f>
        <v>년</v>
      </c>
      <c r="M186" s="57" t="str">
        <f>작성용!U183</f>
        <v>2024.09.30</v>
      </c>
      <c r="N186" s="57">
        <f>작성용!V183</f>
        <v>45601</v>
      </c>
      <c r="O186" s="57">
        <f>작성용!W183</f>
        <v>45607</v>
      </c>
      <c r="P186" s="57" t="str">
        <f>작성용!X183</f>
        <v>-</v>
      </c>
      <c r="Q186" s="58" t="str">
        <f>작성용!AD183</f>
        <v>심태진</v>
      </c>
      <c r="R186" s="60">
        <f>작성용!AE183</f>
        <v>1.4</v>
      </c>
      <c r="S186" s="58" t="str">
        <f>작성용!AF183</f>
        <v>심태진</v>
      </c>
      <c r="T186" s="61" t="str">
        <f>작성용!AG183</f>
        <v>오수현</v>
      </c>
      <c r="U186" s="61" t="str">
        <f>작성용!AH183</f>
        <v>오수현</v>
      </c>
      <c r="V186" s="56">
        <f>작성용!AA183</f>
        <v>202411</v>
      </c>
      <c r="W186" s="58" t="str">
        <f>작성용!AC183</f>
        <v>[Y]금융기관</v>
      </c>
      <c r="X186" s="58" t="str">
        <f>작성용!O183</f>
        <v>신보영이사</v>
      </c>
      <c r="Y186" s="58" t="str">
        <f>작성용!P183</f>
        <v>02-2016-5927,010-5033-2241</v>
      </c>
      <c r="Z186" s="58" t="str">
        <f>작성용!Q183</f>
        <v>byshin@jklpartners.co.kr</v>
      </c>
      <c r="AA186" s="56" t="str">
        <f>작성용!AJ183</f>
        <v>국민연금/교직원공제회제출</v>
      </c>
      <c r="AB186" s="56">
        <f>작성용!AB183</f>
        <v>0</v>
      </c>
    </row>
    <row r="187" spans="1:28" s="12" customFormat="1" ht="16.5" hidden="1" customHeight="1" x14ac:dyDescent="0.3">
      <c r="A187" s="54">
        <f>작성용!AL184</f>
        <v>183</v>
      </c>
      <c r="B187" s="55" t="str">
        <f>작성용!AI184</f>
        <v>-</v>
      </c>
      <c r="C187" s="56" t="str">
        <f>작성용!AK184</f>
        <v>개별종목</v>
      </c>
      <c r="D187" s="57">
        <f>작성용!T184</f>
        <v>45572</v>
      </c>
      <c r="E187" s="58" t="str">
        <f>작성용!B184</f>
        <v>제이케이엘파트너스</v>
      </c>
      <c r="F187" s="58" t="str">
        <f>작성용!C184</f>
        <v>재평가</v>
      </c>
      <c r="G187" s="58" t="str">
        <f>작성용!D184</f>
        <v>아레테원</v>
      </c>
      <c r="H187" s="59">
        <f>작성용!E184</f>
        <v>1101140233532</v>
      </c>
      <c r="I187" s="58" t="str">
        <f>작성용!F184</f>
        <v>A01</v>
      </c>
      <c r="J187" s="58">
        <f>작성용!G184</f>
        <v>0</v>
      </c>
      <c r="K187" s="58" t="str">
        <f>작성용!H184</f>
        <v>-</v>
      </c>
      <c r="L187" s="58" t="str">
        <f>작성용!N184</f>
        <v>년</v>
      </c>
      <c r="M187" s="57" t="str">
        <f>작성용!U184</f>
        <v>2024.09.30</v>
      </c>
      <c r="N187" s="57">
        <f>작성용!V184</f>
        <v>45601</v>
      </c>
      <c r="O187" s="57">
        <f>작성용!W184</f>
        <v>45607</v>
      </c>
      <c r="P187" s="57" t="str">
        <f>작성용!X184</f>
        <v>-</v>
      </c>
      <c r="Q187" s="58" t="str">
        <f>작성용!AD184</f>
        <v>강승현</v>
      </c>
      <c r="R187" s="60">
        <f>작성용!AE184</f>
        <v>1</v>
      </c>
      <c r="S187" s="58" t="str">
        <f>작성용!AF184</f>
        <v>오수현</v>
      </c>
      <c r="T187" s="61" t="str">
        <f>작성용!AG184</f>
        <v>오수현</v>
      </c>
      <c r="U187" s="61" t="str">
        <f>작성용!AH184</f>
        <v>오수현</v>
      </c>
      <c r="V187" s="56">
        <f>작성용!AA184</f>
        <v>202411</v>
      </c>
      <c r="W187" s="58" t="str">
        <f>작성용!AC184</f>
        <v>[Y]금융기관</v>
      </c>
      <c r="X187" s="58" t="str">
        <f>작성용!O184</f>
        <v>신보영이사</v>
      </c>
      <c r="Y187" s="58" t="str">
        <f>작성용!P184</f>
        <v>02-2016-5927,010-5033-2241</v>
      </c>
      <c r="Z187" s="58" t="str">
        <f>작성용!Q184</f>
        <v>byshin@jklpartners.co.kr</v>
      </c>
      <c r="AA187" s="56" t="str">
        <f>작성용!AJ184</f>
        <v>국민연금/교직원공제회제출</v>
      </c>
      <c r="AB187" s="56">
        <f>작성용!AB184</f>
        <v>0</v>
      </c>
    </row>
    <row r="188" spans="1:28" s="12" customFormat="1" ht="16.5" hidden="1" customHeight="1" x14ac:dyDescent="0.3">
      <c r="A188" s="54">
        <f>작성용!AL185</f>
        <v>184</v>
      </c>
      <c r="B188" s="55" t="str">
        <f>작성용!AI185</f>
        <v>-</v>
      </c>
      <c r="C188" s="56" t="str">
        <f>작성용!AK185</f>
        <v>개별종목</v>
      </c>
      <c r="D188" s="57">
        <f>작성용!T185</f>
        <v>45572</v>
      </c>
      <c r="E188" s="58" t="str">
        <f>작성용!B185</f>
        <v>제이케이엘파트너스</v>
      </c>
      <c r="F188" s="58" t="str">
        <f>작성용!C185</f>
        <v>재평가</v>
      </c>
      <c r="G188" s="58" t="str">
        <f>작성용!D185</f>
        <v>지에스아이티엠</v>
      </c>
      <c r="H188" s="59">
        <f>작성용!E185</f>
        <v>1101113451731</v>
      </c>
      <c r="I188" s="58" t="str">
        <f>작성용!F185</f>
        <v>A07</v>
      </c>
      <c r="J188" s="58">
        <f>작성용!G185</f>
        <v>0</v>
      </c>
      <c r="K188" s="58" t="str">
        <f>작성용!H185</f>
        <v>-</v>
      </c>
      <c r="L188" s="58" t="str">
        <f>작성용!N185</f>
        <v>년</v>
      </c>
      <c r="M188" s="57" t="str">
        <f>작성용!U185</f>
        <v>2024.09.30</v>
      </c>
      <c r="N188" s="57">
        <f>작성용!V185</f>
        <v>45601</v>
      </c>
      <c r="O188" s="57">
        <f>작성용!W185</f>
        <v>45607</v>
      </c>
      <c r="P188" s="57" t="str">
        <f>작성용!X185</f>
        <v>-</v>
      </c>
      <c r="Q188" s="58" t="str">
        <f>작성용!AD185</f>
        <v>오수현</v>
      </c>
      <c r="R188" s="60">
        <f>작성용!AE185</f>
        <v>1</v>
      </c>
      <c r="S188" s="58" t="str">
        <f>작성용!AF185</f>
        <v>오수현</v>
      </c>
      <c r="T188" s="61" t="str">
        <f>작성용!AG185</f>
        <v>오수현</v>
      </c>
      <c r="U188" s="61" t="str">
        <f>작성용!AH185</f>
        <v>오수현</v>
      </c>
      <c r="V188" s="56">
        <f>작성용!AA185</f>
        <v>202411</v>
      </c>
      <c r="W188" s="58" t="str">
        <f>작성용!AC185</f>
        <v>[Y]금융기관</v>
      </c>
      <c r="X188" s="58" t="str">
        <f>작성용!O185</f>
        <v>신보영이사</v>
      </c>
      <c r="Y188" s="58" t="str">
        <f>작성용!P185</f>
        <v>02-2016-5927,010-5033-2241</v>
      </c>
      <c r="Z188" s="58" t="str">
        <f>작성용!Q185</f>
        <v>byshin@jklpartners.co.kr</v>
      </c>
      <c r="AA188" s="56" t="str">
        <f>작성용!AJ185</f>
        <v>국민연금/교직원공제회제출</v>
      </c>
      <c r="AB188" s="56">
        <f>작성용!AB185</f>
        <v>0</v>
      </c>
    </row>
    <row r="189" spans="1:28" s="12" customFormat="1" ht="16.5" hidden="1" customHeight="1" x14ac:dyDescent="0.3">
      <c r="A189" s="54">
        <f>작성용!AL186</f>
        <v>185</v>
      </c>
      <c r="B189" s="55" t="str">
        <f>작성용!AI186</f>
        <v>-</v>
      </c>
      <c r="C189" s="56" t="str">
        <f>작성용!AK186</f>
        <v>개별종목</v>
      </c>
      <c r="D189" s="57">
        <f>작성용!T186</f>
        <v>45572</v>
      </c>
      <c r="E189" s="58" t="str">
        <f>작성용!B186</f>
        <v>제이케이엘파트너스</v>
      </c>
      <c r="F189" s="58" t="str">
        <f>작성용!C186</f>
        <v>재평가</v>
      </c>
      <c r="G189" s="58" t="str">
        <f>작성용!D186</f>
        <v>지에스아이티엠</v>
      </c>
      <c r="H189" s="59">
        <f>작성용!E186</f>
        <v>1101113451731</v>
      </c>
      <c r="I189" s="58" t="str">
        <f>작성용!F186</f>
        <v>A01</v>
      </c>
      <c r="J189" s="58">
        <f>작성용!G186</f>
        <v>0</v>
      </c>
      <c r="K189" s="58" t="str">
        <f>작성용!H186</f>
        <v>-</v>
      </c>
      <c r="L189" s="58" t="str">
        <f>작성용!N186</f>
        <v>년</v>
      </c>
      <c r="M189" s="57" t="str">
        <f>작성용!U186</f>
        <v>2024.09.30</v>
      </c>
      <c r="N189" s="57">
        <f>작성용!V186</f>
        <v>45601</v>
      </c>
      <c r="O189" s="57">
        <f>작성용!W186</f>
        <v>45607</v>
      </c>
      <c r="P189" s="57" t="str">
        <f>작성용!X186</f>
        <v>-</v>
      </c>
      <c r="Q189" s="58" t="str">
        <f>작성용!AD186</f>
        <v>오수현</v>
      </c>
      <c r="R189" s="60">
        <f>작성용!AE186</f>
        <v>0</v>
      </c>
      <c r="S189" s="58" t="str">
        <f>작성용!AF186</f>
        <v>오수현</v>
      </c>
      <c r="T189" s="61" t="str">
        <f>작성용!AG186</f>
        <v>오수현</v>
      </c>
      <c r="U189" s="61" t="str">
        <f>작성용!AH186</f>
        <v>오수현</v>
      </c>
      <c r="V189" s="56">
        <f>작성용!AA186</f>
        <v>202411</v>
      </c>
      <c r="W189" s="58" t="str">
        <f>작성용!AC186</f>
        <v>[Y]금융기관</v>
      </c>
      <c r="X189" s="58" t="str">
        <f>작성용!O186</f>
        <v>신보영이사</v>
      </c>
      <c r="Y189" s="58" t="str">
        <f>작성용!P186</f>
        <v>02-2016-5927,010-5033-2241</v>
      </c>
      <c r="Z189" s="58" t="str">
        <f>작성용!Q186</f>
        <v>byshin@jklpartners.co.kr</v>
      </c>
      <c r="AA189" s="56" t="str">
        <f>작성용!AJ186</f>
        <v>국민연금/교직원공제회제출</v>
      </c>
      <c r="AB189" s="56">
        <f>작성용!AB186</f>
        <v>0</v>
      </c>
    </row>
    <row r="190" spans="1:28" s="12" customFormat="1" ht="16.5" hidden="1" customHeight="1" x14ac:dyDescent="0.3">
      <c r="A190" s="54">
        <f>작성용!AL187</f>
        <v>186</v>
      </c>
      <c r="B190" s="55" t="str">
        <f>작성용!AI187</f>
        <v>-</v>
      </c>
      <c r="C190" s="56" t="str">
        <f>작성용!AK187</f>
        <v>개별종목</v>
      </c>
      <c r="D190" s="57">
        <f>작성용!T187</f>
        <v>45572</v>
      </c>
      <c r="E190" s="58" t="str">
        <f>작성용!B187</f>
        <v>제이케이엘파트너스</v>
      </c>
      <c r="F190" s="58" t="str">
        <f>작성용!C187</f>
        <v>재평가</v>
      </c>
      <c r="G190" s="58" t="str">
        <f>작성용!D187</f>
        <v>동해지주</v>
      </c>
      <c r="H190" s="59">
        <f>작성용!E187</f>
        <v>1101140222212</v>
      </c>
      <c r="I190" s="58" t="str">
        <f>작성용!F187</f>
        <v>A01</v>
      </c>
      <c r="J190" s="58">
        <f>작성용!G187</f>
        <v>0</v>
      </c>
      <c r="K190" s="58" t="str">
        <f>작성용!H187</f>
        <v>-</v>
      </c>
      <c r="L190" s="58" t="str">
        <f>작성용!N187</f>
        <v>년</v>
      </c>
      <c r="M190" s="57" t="str">
        <f>작성용!U187</f>
        <v>2024.09.30</v>
      </c>
      <c r="N190" s="57">
        <f>작성용!V187</f>
        <v>45601</v>
      </c>
      <c r="O190" s="57">
        <f>작성용!W187</f>
        <v>45607</v>
      </c>
      <c r="P190" s="57" t="str">
        <f>작성용!X187</f>
        <v>-</v>
      </c>
      <c r="Q190" s="58" t="str">
        <f>작성용!AD187</f>
        <v>이진주</v>
      </c>
      <c r="R190" s="60">
        <f>작성용!AE187</f>
        <v>1</v>
      </c>
      <c r="S190" s="58" t="str">
        <f>작성용!AF187</f>
        <v>조현우</v>
      </c>
      <c r="T190" s="61" t="str">
        <f>작성용!AG187</f>
        <v>오수현</v>
      </c>
      <c r="U190" s="61" t="str">
        <f>작성용!AH187</f>
        <v>오수현</v>
      </c>
      <c r="V190" s="56">
        <f>작성용!AA187</f>
        <v>202411</v>
      </c>
      <c r="W190" s="58" t="str">
        <f>작성용!AC187</f>
        <v>[Y]금융기관</v>
      </c>
      <c r="X190" s="58" t="str">
        <f>작성용!O187</f>
        <v>신보영이사</v>
      </c>
      <c r="Y190" s="58" t="str">
        <f>작성용!P187</f>
        <v>02-2016-5927,010-5033-2241</v>
      </c>
      <c r="Z190" s="58" t="str">
        <f>작성용!Q187</f>
        <v>byshin@jklpartners.co.kr</v>
      </c>
      <c r="AA190" s="56" t="str">
        <f>작성용!AJ187</f>
        <v>국민연금/교직원공제회제출</v>
      </c>
      <c r="AB190" s="56">
        <f>작성용!AB187</f>
        <v>0</v>
      </c>
    </row>
    <row r="191" spans="1:28" s="12" customFormat="1" ht="16.5" hidden="1" customHeight="1" x14ac:dyDescent="0.3">
      <c r="A191" s="54">
        <f>작성용!AL188</f>
        <v>187</v>
      </c>
      <c r="B191" s="55" t="str">
        <f>작성용!AI188</f>
        <v>-</v>
      </c>
      <c r="C191" s="56" t="str">
        <f>작성용!AK188</f>
        <v>개별종목</v>
      </c>
      <c r="D191" s="57">
        <f>작성용!T188</f>
        <v>45572</v>
      </c>
      <c r="E191" s="58" t="str">
        <f>작성용!B188</f>
        <v>제이케이엘파트너스</v>
      </c>
      <c r="F191" s="58" t="str">
        <f>작성용!C188</f>
        <v>재평가</v>
      </c>
      <c r="G191" s="58" t="str">
        <f>작성용!D188</f>
        <v>동해기계항공</v>
      </c>
      <c r="H191" s="59">
        <f>작성용!E188</f>
        <v>1612110005190</v>
      </c>
      <c r="I191" s="58" t="str">
        <f>작성용!F188</f>
        <v>A01</v>
      </c>
      <c r="J191" s="58">
        <f>작성용!G188</f>
        <v>0</v>
      </c>
      <c r="K191" s="58" t="str">
        <f>작성용!H188</f>
        <v>-</v>
      </c>
      <c r="L191" s="58" t="str">
        <f>작성용!N188</f>
        <v>년</v>
      </c>
      <c r="M191" s="57" t="str">
        <f>작성용!U188</f>
        <v>2024.09.30</v>
      </c>
      <c r="N191" s="57">
        <f>작성용!V188</f>
        <v>45601</v>
      </c>
      <c r="O191" s="57">
        <f>작성용!W188</f>
        <v>45607</v>
      </c>
      <c r="P191" s="57" t="str">
        <f>작성용!X188</f>
        <v>-</v>
      </c>
      <c r="Q191" s="58" t="str">
        <f>작성용!AD188</f>
        <v>이진주</v>
      </c>
      <c r="R191" s="60">
        <f>작성용!AE188</f>
        <v>1</v>
      </c>
      <c r="S191" s="58" t="str">
        <f>작성용!AF188</f>
        <v>이진주</v>
      </c>
      <c r="T191" s="61" t="str">
        <f>작성용!AG188</f>
        <v>오수현</v>
      </c>
      <c r="U191" s="61" t="str">
        <f>작성용!AH188</f>
        <v>오수현</v>
      </c>
      <c r="V191" s="56">
        <f>작성용!AA188</f>
        <v>202411</v>
      </c>
      <c r="W191" s="58" t="str">
        <f>작성용!AC188</f>
        <v>[Y]금융기관</v>
      </c>
      <c r="X191" s="58" t="str">
        <f>작성용!O188</f>
        <v>신보영이사</v>
      </c>
      <c r="Y191" s="58" t="str">
        <f>작성용!P188</f>
        <v>02-2016-5927,010-5033-2241</v>
      </c>
      <c r="Z191" s="58" t="str">
        <f>작성용!Q188</f>
        <v>byshin@jklpartners.co.kr</v>
      </c>
      <c r="AA191" s="56" t="str">
        <f>작성용!AJ188</f>
        <v>국민연금/교직원공제회제출</v>
      </c>
      <c r="AB191" s="56">
        <f>작성용!AB188</f>
        <v>0</v>
      </c>
    </row>
    <row r="192" spans="1:28" s="12" customFormat="1" ht="16.5" hidden="1" customHeight="1" x14ac:dyDescent="0.3">
      <c r="A192" s="54">
        <f>작성용!AL189</f>
        <v>188</v>
      </c>
      <c r="B192" s="55" t="str">
        <f>작성용!AI189</f>
        <v>-</v>
      </c>
      <c r="C192" s="56" t="str">
        <f>작성용!AK189</f>
        <v>개별종목</v>
      </c>
      <c r="D192" s="57">
        <f>작성용!T189</f>
        <v>45572</v>
      </c>
      <c r="E192" s="58" t="str">
        <f>작성용!B189</f>
        <v>제이케이엘파트너스</v>
      </c>
      <c r="F192" s="58" t="str">
        <f>작성용!C189</f>
        <v>재평가</v>
      </c>
      <c r="G192" s="58" t="str">
        <f>작성용!D189</f>
        <v>주피터2020</v>
      </c>
      <c r="H192" s="59">
        <f>작성용!E189</f>
        <v>1101140251956</v>
      </c>
      <c r="I192" s="58" t="str">
        <f>작성용!F189</f>
        <v>A01</v>
      </c>
      <c r="J192" s="58">
        <f>작성용!G189</f>
        <v>0</v>
      </c>
      <c r="K192" s="58" t="str">
        <f>작성용!H189</f>
        <v>-</v>
      </c>
      <c r="L192" s="58" t="str">
        <f>작성용!N189</f>
        <v>년</v>
      </c>
      <c r="M192" s="57" t="str">
        <f>작성용!U189</f>
        <v>2024.09.30</v>
      </c>
      <c r="N192" s="57">
        <f>작성용!V189</f>
        <v>45601</v>
      </c>
      <c r="O192" s="57">
        <f>작성용!W189</f>
        <v>45607</v>
      </c>
      <c r="P192" s="57" t="str">
        <f>작성용!X189</f>
        <v>-</v>
      </c>
      <c r="Q192" s="58" t="str">
        <f>작성용!AD189</f>
        <v>심태진</v>
      </c>
      <c r="R192" s="60">
        <f>작성용!AE189</f>
        <v>1</v>
      </c>
      <c r="S192" s="58" t="str">
        <f>작성용!AF189</f>
        <v>정준엽</v>
      </c>
      <c r="T192" s="61" t="str">
        <f>작성용!AG189</f>
        <v>오수현</v>
      </c>
      <c r="U192" s="61" t="str">
        <f>작성용!AH189</f>
        <v>오수현</v>
      </c>
      <c r="V192" s="56">
        <f>작성용!AA189</f>
        <v>202411</v>
      </c>
      <c r="W192" s="58" t="str">
        <f>작성용!AC189</f>
        <v>[Y]금융기관</v>
      </c>
      <c r="X192" s="58" t="str">
        <f>작성용!O189</f>
        <v>신보영이사</v>
      </c>
      <c r="Y192" s="58" t="str">
        <f>작성용!P189</f>
        <v>02-2016-5927,010-5033-2241</v>
      </c>
      <c r="Z192" s="58" t="str">
        <f>작성용!Q189</f>
        <v>byshin@jklpartners.co.kr</v>
      </c>
      <c r="AA192" s="56" t="str">
        <f>작성용!AJ189</f>
        <v>국민연금/교직원공제회제출</v>
      </c>
      <c r="AB192" s="56">
        <f>작성용!AB189</f>
        <v>0</v>
      </c>
    </row>
    <row r="193" spans="1:28" s="12" customFormat="1" ht="16.5" hidden="1" customHeight="1" x14ac:dyDescent="0.3">
      <c r="A193" s="54">
        <f>작성용!AL190</f>
        <v>189</v>
      </c>
      <c r="B193" s="55" t="str">
        <f>작성용!AI190</f>
        <v>-</v>
      </c>
      <c r="C193" s="56" t="str">
        <f>작성용!AK190</f>
        <v>개별종목</v>
      </c>
      <c r="D193" s="57">
        <f>작성용!T190</f>
        <v>45572</v>
      </c>
      <c r="E193" s="58" t="str">
        <f>작성용!B190</f>
        <v>제이케이엘파트너스</v>
      </c>
      <c r="F193" s="58" t="str">
        <f>작성용!C190</f>
        <v>재평가</v>
      </c>
      <c r="G193" s="58" t="str">
        <f>작성용!D190</f>
        <v>율곡</v>
      </c>
      <c r="H193" s="59">
        <f>작성용!E190</f>
        <v>1942110041004</v>
      </c>
      <c r="I193" s="58" t="str">
        <f>작성용!F190</f>
        <v>A01</v>
      </c>
      <c r="J193" s="58">
        <f>작성용!G190</f>
        <v>0</v>
      </c>
      <c r="K193" s="58" t="str">
        <f>작성용!H190</f>
        <v>-</v>
      </c>
      <c r="L193" s="58" t="str">
        <f>작성용!N190</f>
        <v>년</v>
      </c>
      <c r="M193" s="57" t="str">
        <f>작성용!U190</f>
        <v>2024.09.30</v>
      </c>
      <c r="N193" s="57">
        <f>작성용!V190</f>
        <v>45601</v>
      </c>
      <c r="O193" s="57">
        <f>작성용!W190</f>
        <v>45607</v>
      </c>
      <c r="P193" s="57" t="str">
        <f>작성용!X190</f>
        <v>-</v>
      </c>
      <c r="Q193" s="58" t="str">
        <f>작성용!AD190</f>
        <v>심태진</v>
      </c>
      <c r="R193" s="60">
        <f>작성용!AE190</f>
        <v>1</v>
      </c>
      <c r="S193" s="58" t="str">
        <f>작성용!AF190</f>
        <v>심태진</v>
      </c>
      <c r="T193" s="61" t="str">
        <f>작성용!AG190</f>
        <v>오수현</v>
      </c>
      <c r="U193" s="61" t="str">
        <f>작성용!AH190</f>
        <v>오수현</v>
      </c>
      <c r="V193" s="56">
        <f>작성용!AA190</f>
        <v>202411</v>
      </c>
      <c r="W193" s="58" t="str">
        <f>작성용!AC190</f>
        <v>[Y]금융기관</v>
      </c>
      <c r="X193" s="58" t="str">
        <f>작성용!O190</f>
        <v>신보영이사</v>
      </c>
      <c r="Y193" s="58" t="str">
        <f>작성용!P190</f>
        <v>02-2016-5927,010-5033-2241</v>
      </c>
      <c r="Z193" s="58" t="str">
        <f>작성용!Q190</f>
        <v>byshin@jklpartners.co.kr</v>
      </c>
      <c r="AA193" s="56" t="str">
        <f>작성용!AJ190</f>
        <v>국민연금/교직원공제회제출</v>
      </c>
      <c r="AB193" s="56">
        <f>작성용!AB190</f>
        <v>0</v>
      </c>
    </row>
    <row r="194" spans="1:28" s="12" customFormat="1" ht="16.5" hidden="1" customHeight="1" x14ac:dyDescent="0.3">
      <c r="A194" s="54">
        <f>작성용!AL191</f>
        <v>190</v>
      </c>
      <c r="B194" s="55" t="str">
        <f>작성용!AI191</f>
        <v>-</v>
      </c>
      <c r="C194" s="56" t="str">
        <f>작성용!AK191</f>
        <v>개별종목</v>
      </c>
      <c r="D194" s="57">
        <f>작성용!T191</f>
        <v>45572</v>
      </c>
      <c r="E194" s="58" t="str">
        <f>작성용!B191</f>
        <v>제이케이엘파트너스</v>
      </c>
      <c r="F194" s="58" t="str">
        <f>작성용!C191</f>
        <v>재평가</v>
      </c>
      <c r="G194" s="58" t="str">
        <f>작성용!D191</f>
        <v>율곡</v>
      </c>
      <c r="H194" s="59">
        <f>작성용!E191</f>
        <v>1942110041004</v>
      </c>
      <c r="I194" s="58" t="str">
        <f>작성용!F191</f>
        <v>A05</v>
      </c>
      <c r="J194" s="58">
        <f>작성용!G191</f>
        <v>1</v>
      </c>
      <c r="K194" s="58" t="str">
        <f>작성용!H191</f>
        <v>-</v>
      </c>
      <c r="L194" s="58" t="str">
        <f>작성용!N191</f>
        <v>년</v>
      </c>
      <c r="M194" s="57" t="str">
        <f>작성용!U191</f>
        <v>2024.09.30</v>
      </c>
      <c r="N194" s="57">
        <f>작성용!V191</f>
        <v>45601</v>
      </c>
      <c r="O194" s="57">
        <f>작성용!W191</f>
        <v>45607</v>
      </c>
      <c r="P194" s="57" t="str">
        <f>작성용!X191</f>
        <v>-</v>
      </c>
      <c r="Q194" s="58" t="str">
        <f>작성용!AD191</f>
        <v>심태진</v>
      </c>
      <c r="R194" s="60">
        <f>작성용!AE191</f>
        <v>0</v>
      </c>
      <c r="S194" s="58" t="str">
        <f>작성용!AF191</f>
        <v>심태진</v>
      </c>
      <c r="T194" s="61" t="str">
        <f>작성용!AG191</f>
        <v>오수현</v>
      </c>
      <c r="U194" s="61" t="str">
        <f>작성용!AH191</f>
        <v>오수현</v>
      </c>
      <c r="V194" s="56">
        <f>작성용!AA191</f>
        <v>202411</v>
      </c>
      <c r="W194" s="58" t="str">
        <f>작성용!AC191</f>
        <v>[Y]금융기관</v>
      </c>
      <c r="X194" s="58" t="str">
        <f>작성용!O191</f>
        <v>신보영이사</v>
      </c>
      <c r="Y194" s="58" t="str">
        <f>작성용!P191</f>
        <v>02-2016-5927,010-5033-2241</v>
      </c>
      <c r="Z194" s="58" t="str">
        <f>작성용!Q191</f>
        <v>byshin@jklpartners.co.kr</v>
      </c>
      <c r="AA194" s="56" t="str">
        <f>작성용!AJ191</f>
        <v>국민연금/교직원공제회제출</v>
      </c>
      <c r="AB194" s="56">
        <f>작성용!AB191</f>
        <v>0</v>
      </c>
    </row>
    <row r="195" spans="1:28" s="12" customFormat="1" ht="16.5" hidden="1" customHeight="1" x14ac:dyDescent="0.3">
      <c r="A195" s="54">
        <f>작성용!AL192</f>
        <v>191</v>
      </c>
      <c r="B195" s="55" t="str">
        <f>작성용!AI192</f>
        <v>-</v>
      </c>
      <c r="C195" s="56" t="str">
        <f>작성용!AK192</f>
        <v>개별종목</v>
      </c>
      <c r="D195" s="57">
        <f>작성용!T192</f>
        <v>45572</v>
      </c>
      <c r="E195" s="58" t="str">
        <f>작성용!B192</f>
        <v>제이케이엘파트너스</v>
      </c>
      <c r="F195" s="58" t="str">
        <f>작성용!C192</f>
        <v>재평가</v>
      </c>
      <c r="G195" s="58" t="str">
        <f>작성용!D192</f>
        <v>메가존클라우드</v>
      </c>
      <c r="H195" s="59">
        <f>작성용!E192</f>
        <v>1101116803400</v>
      </c>
      <c r="I195" s="58" t="str">
        <f>작성용!F192</f>
        <v>A07</v>
      </c>
      <c r="J195" s="58">
        <f>작성용!G192</f>
        <v>7</v>
      </c>
      <c r="K195" s="58" t="str">
        <f>작성용!H192</f>
        <v>-</v>
      </c>
      <c r="L195" s="58" t="str">
        <f>작성용!N192</f>
        <v>년</v>
      </c>
      <c r="M195" s="57" t="str">
        <f>작성용!U192</f>
        <v>2024.09.30</v>
      </c>
      <c r="N195" s="57">
        <f>작성용!V192</f>
        <v>45601</v>
      </c>
      <c r="O195" s="57">
        <f>작성용!W192</f>
        <v>45607</v>
      </c>
      <c r="P195" s="57" t="str">
        <f>작성용!X192</f>
        <v>-</v>
      </c>
      <c r="Q195" s="58" t="str">
        <f>작성용!AD192</f>
        <v>심태진</v>
      </c>
      <c r="R195" s="60">
        <f>작성용!AE192</f>
        <v>1</v>
      </c>
      <c r="S195" s="58" t="str">
        <f>작성용!AF192</f>
        <v>심태진</v>
      </c>
      <c r="T195" s="61" t="str">
        <f>작성용!AG192</f>
        <v>오수현</v>
      </c>
      <c r="U195" s="61" t="str">
        <f>작성용!AH192</f>
        <v>오수현</v>
      </c>
      <c r="V195" s="56">
        <f>작성용!AA192</f>
        <v>202411</v>
      </c>
      <c r="W195" s="58" t="str">
        <f>작성용!AC192</f>
        <v>[Y]금융기관</v>
      </c>
      <c r="X195" s="58" t="str">
        <f>작성용!O192</f>
        <v>신보영이사</v>
      </c>
      <c r="Y195" s="58" t="str">
        <f>작성용!P192</f>
        <v>02-2016-5927,010-5033-2241</v>
      </c>
      <c r="Z195" s="58" t="str">
        <f>작성용!Q192</f>
        <v>byshin@jklpartners.co.kr</v>
      </c>
      <c r="AA195" s="56" t="str">
        <f>작성용!AJ192</f>
        <v>국민연금/교직원공제회제출</v>
      </c>
      <c r="AB195" s="56">
        <f>작성용!AB192</f>
        <v>0</v>
      </c>
    </row>
    <row r="196" spans="1:28" s="12" customFormat="1" ht="16.5" hidden="1" customHeight="1" x14ac:dyDescent="0.3">
      <c r="A196" s="54">
        <f>작성용!AL193</f>
        <v>192</v>
      </c>
      <c r="B196" s="55" t="str">
        <f>작성용!AI193</f>
        <v>-</v>
      </c>
      <c r="C196" s="56" t="str">
        <f>작성용!AK193</f>
        <v>개별종목</v>
      </c>
      <c r="D196" s="57">
        <f>작성용!T193</f>
        <v>45572</v>
      </c>
      <c r="E196" s="58" t="str">
        <f>작성용!B193</f>
        <v>제이케이엘파트너스</v>
      </c>
      <c r="F196" s="58" t="str">
        <f>작성용!C193</f>
        <v>재평가</v>
      </c>
      <c r="G196" s="58" t="str">
        <f>작성용!D193</f>
        <v>크린토피아</v>
      </c>
      <c r="H196" s="59">
        <f>작성용!E193</f>
        <v>1211110059387</v>
      </c>
      <c r="I196" s="58" t="str">
        <f>작성용!F193</f>
        <v>A01</v>
      </c>
      <c r="J196" s="58">
        <f>작성용!G193</f>
        <v>0</v>
      </c>
      <c r="K196" s="58" t="str">
        <f>작성용!H193</f>
        <v>-</v>
      </c>
      <c r="L196" s="58" t="str">
        <f>작성용!N193</f>
        <v>년</v>
      </c>
      <c r="M196" s="57" t="str">
        <f>작성용!U193</f>
        <v>2024.09.30</v>
      </c>
      <c r="N196" s="57">
        <f>작성용!V193</f>
        <v>45601</v>
      </c>
      <c r="O196" s="57">
        <f>작성용!W193</f>
        <v>45607</v>
      </c>
      <c r="P196" s="57" t="str">
        <f>작성용!X193</f>
        <v>-</v>
      </c>
      <c r="Q196" s="58" t="str">
        <f>작성용!AD193</f>
        <v>신원준</v>
      </c>
      <c r="R196" s="60">
        <f>작성용!AE193</f>
        <v>1</v>
      </c>
      <c r="S196" s="58" t="str">
        <f>작성용!AF193</f>
        <v>신원준</v>
      </c>
      <c r="T196" s="61" t="str">
        <f>작성용!AG193</f>
        <v>오수현</v>
      </c>
      <c r="U196" s="61" t="str">
        <f>작성용!AH193</f>
        <v>오수현</v>
      </c>
      <c r="V196" s="56">
        <f>작성용!AA193</f>
        <v>202411</v>
      </c>
      <c r="W196" s="58" t="str">
        <f>작성용!AC193</f>
        <v>[Y]금융기관</v>
      </c>
      <c r="X196" s="58" t="str">
        <f>작성용!O193</f>
        <v>신보영이사</v>
      </c>
      <c r="Y196" s="58" t="str">
        <f>작성용!P193</f>
        <v>02-2016-5927,010-5033-2241</v>
      </c>
      <c r="Z196" s="58" t="str">
        <f>작성용!Q193</f>
        <v>byshin@jklpartners.co.kr</v>
      </c>
      <c r="AA196" s="56" t="str">
        <f>작성용!AJ193</f>
        <v>국민연금/교직원공제회제출</v>
      </c>
      <c r="AB196" s="56">
        <f>작성용!AB193</f>
        <v>0</v>
      </c>
    </row>
    <row r="197" spans="1:28" s="12" customFormat="1" ht="16.5" hidden="1" customHeight="1" x14ac:dyDescent="0.3">
      <c r="A197" s="54">
        <f>작성용!AL194</f>
        <v>193</v>
      </c>
      <c r="B197" s="55" t="str">
        <f>작성용!AI194</f>
        <v>-</v>
      </c>
      <c r="C197" s="56" t="str">
        <f>작성용!AK194</f>
        <v>개별종목</v>
      </c>
      <c r="D197" s="57">
        <f>작성용!T194</f>
        <v>45572</v>
      </c>
      <c r="E197" s="58" t="str">
        <f>작성용!B194</f>
        <v>제이케이엘파트너스</v>
      </c>
      <c r="F197" s="58" t="str">
        <f>작성용!C194</f>
        <v>재평가</v>
      </c>
      <c r="G197" s="58" t="str">
        <f>작성용!D194</f>
        <v>페렌벨</v>
      </c>
      <c r="H197" s="59">
        <f>작성용!E194</f>
        <v>1101116039162</v>
      </c>
      <c r="I197" s="58" t="str">
        <f>작성용!F194</f>
        <v>A01</v>
      </c>
      <c r="J197" s="58">
        <f>작성용!G194</f>
        <v>1</v>
      </c>
      <c r="K197" s="58" t="str">
        <f>작성용!H194</f>
        <v>-</v>
      </c>
      <c r="L197" s="58" t="str">
        <f>작성용!N194</f>
        <v>년</v>
      </c>
      <c r="M197" s="57" t="str">
        <f>작성용!U194</f>
        <v>2024.09.30</v>
      </c>
      <c r="N197" s="57">
        <f>작성용!V194</f>
        <v>45601</v>
      </c>
      <c r="O197" s="57">
        <f>작성용!W194</f>
        <v>45607</v>
      </c>
      <c r="P197" s="57" t="str">
        <f>작성용!X194</f>
        <v>-</v>
      </c>
      <c r="Q197" s="58" t="str">
        <f>작성용!AD194</f>
        <v>이진주</v>
      </c>
      <c r="R197" s="60">
        <f>작성용!AE194</f>
        <v>1</v>
      </c>
      <c r="S197" s="58" t="str">
        <f>작성용!AF194</f>
        <v>이진주</v>
      </c>
      <c r="T197" s="61" t="str">
        <f>작성용!AG194</f>
        <v>오수현</v>
      </c>
      <c r="U197" s="61" t="str">
        <f>작성용!AH194</f>
        <v>오수현</v>
      </c>
      <c r="V197" s="56">
        <f>작성용!AA194</f>
        <v>202411</v>
      </c>
      <c r="W197" s="58" t="str">
        <f>작성용!AC194</f>
        <v>[Y]금융기관</v>
      </c>
      <c r="X197" s="58" t="str">
        <f>작성용!O194</f>
        <v>신보영이사</v>
      </c>
      <c r="Y197" s="58" t="str">
        <f>작성용!P194</f>
        <v>02-2016-5927,010-5033-2241</v>
      </c>
      <c r="Z197" s="58" t="str">
        <f>작성용!Q194</f>
        <v>byshin@jklpartners.co.kr</v>
      </c>
      <c r="AA197" s="56" t="str">
        <f>작성용!AJ194</f>
        <v>국민연금/교직원공제회제출</v>
      </c>
      <c r="AB197" s="56">
        <f>작성용!AB194</f>
        <v>0</v>
      </c>
    </row>
    <row r="198" spans="1:28" s="12" customFormat="1" ht="16.5" hidden="1" customHeight="1" x14ac:dyDescent="0.3">
      <c r="A198" s="54">
        <f>작성용!AL195</f>
        <v>194</v>
      </c>
      <c r="B198" s="55" t="str">
        <f>작성용!AI195</f>
        <v>-</v>
      </c>
      <c r="C198" s="56" t="str">
        <f>작성용!AK195</f>
        <v>개별종목</v>
      </c>
      <c r="D198" s="57">
        <f>작성용!T195</f>
        <v>45572</v>
      </c>
      <c r="E198" s="58" t="str">
        <f>작성용!B195</f>
        <v>제이케이엘파트너스</v>
      </c>
      <c r="F198" s="58" t="str">
        <f>작성용!C195</f>
        <v>신규</v>
      </c>
      <c r="G198" s="58" t="str">
        <f>작성용!D195</f>
        <v>디밸류업</v>
      </c>
      <c r="H198" s="59">
        <f>작성용!E195</f>
        <v>1101140304838</v>
      </c>
      <c r="I198" s="58" t="str">
        <f>작성용!F195</f>
        <v>A01</v>
      </c>
      <c r="J198" s="58">
        <f>작성용!G195</f>
        <v>0</v>
      </c>
      <c r="K198" s="58" t="str">
        <f>작성용!H195</f>
        <v>-</v>
      </c>
      <c r="L198" s="58" t="str">
        <f>작성용!N195</f>
        <v>년</v>
      </c>
      <c r="M198" s="57" t="str">
        <f>작성용!U195</f>
        <v>2024.09.30</v>
      </c>
      <c r="N198" s="57">
        <f>작성용!V195</f>
        <v>45601</v>
      </c>
      <c r="O198" s="57">
        <f>작성용!W195</f>
        <v>45607</v>
      </c>
      <c r="P198" s="57" t="str">
        <f>작성용!X195</f>
        <v>-</v>
      </c>
      <c r="Q198" s="58" t="str">
        <f>작성용!AD195</f>
        <v>윤광일</v>
      </c>
      <c r="R198" s="60">
        <f>작성용!AE195</f>
        <v>1</v>
      </c>
      <c r="S198" s="58" t="str">
        <f>작성용!AF195</f>
        <v>신규</v>
      </c>
      <c r="T198" s="61" t="str">
        <f>작성용!AG195</f>
        <v>오수현</v>
      </c>
      <c r="U198" s="61" t="str">
        <f>작성용!AH195</f>
        <v>오수현</v>
      </c>
      <c r="V198" s="56">
        <f>작성용!AA195</f>
        <v>202411</v>
      </c>
      <c r="W198" s="58" t="str">
        <f>작성용!AC195</f>
        <v>[Y]금융기관</v>
      </c>
      <c r="X198" s="58" t="str">
        <f>작성용!O195</f>
        <v>신보영이사</v>
      </c>
      <c r="Y198" s="58" t="str">
        <f>작성용!P195</f>
        <v>02-2016-5927,010-5033-2241</v>
      </c>
      <c r="Z198" s="58" t="str">
        <f>작성용!Q195</f>
        <v>byshin@jklpartners.co.kr</v>
      </c>
      <c r="AA198" s="56" t="str">
        <f>작성용!AJ195</f>
        <v>국민연금/교직원공제회제출</v>
      </c>
      <c r="AB198" s="56">
        <f>작성용!AB195</f>
        <v>0</v>
      </c>
    </row>
    <row r="199" spans="1:28" s="12" customFormat="1" ht="16.5" hidden="1" customHeight="1" x14ac:dyDescent="0.3">
      <c r="A199" s="54">
        <f>작성용!AL196</f>
        <v>195</v>
      </c>
      <c r="B199" s="55" t="str">
        <f>작성용!AI196</f>
        <v>-</v>
      </c>
      <c r="C199" s="56" t="str">
        <f>작성용!AK196</f>
        <v>개별종목</v>
      </c>
      <c r="D199" s="57">
        <f>작성용!T196</f>
        <v>45572</v>
      </c>
      <c r="E199" s="58" t="str">
        <f>작성용!B196</f>
        <v>제이케이엘파트너스</v>
      </c>
      <c r="F199" s="58" t="str">
        <f>작성용!C196</f>
        <v>신규</v>
      </c>
      <c r="G199" s="58" t="str">
        <f>작성용!D196</f>
        <v>디에스이브이</v>
      </c>
      <c r="H199" s="59">
        <f>작성용!E196</f>
        <v>1345110457059</v>
      </c>
      <c r="I199" s="58" t="str">
        <f>작성용!F196</f>
        <v>D03</v>
      </c>
      <c r="J199" s="58">
        <f>작성용!G196</f>
        <v>0</v>
      </c>
      <c r="K199" s="58" t="str">
        <f>작성용!H196</f>
        <v>-</v>
      </c>
      <c r="L199" s="58" t="str">
        <f>작성용!N196</f>
        <v>년</v>
      </c>
      <c r="M199" s="57" t="str">
        <f>작성용!U196</f>
        <v>2024.09.30</v>
      </c>
      <c r="N199" s="57">
        <f>작성용!V196</f>
        <v>45601</v>
      </c>
      <c r="O199" s="57">
        <f>작성용!W196</f>
        <v>45607</v>
      </c>
      <c r="P199" s="57" t="str">
        <f>작성용!X196</f>
        <v>-</v>
      </c>
      <c r="Q199" s="58" t="str">
        <f>작성용!AD196</f>
        <v>강성은</v>
      </c>
      <c r="R199" s="60">
        <f>작성용!AE196</f>
        <v>1</v>
      </c>
      <c r="S199" s="58" t="str">
        <f>작성용!AF196</f>
        <v>강성은</v>
      </c>
      <c r="T199" s="61" t="str">
        <f>작성용!AG196</f>
        <v>오수현</v>
      </c>
      <c r="U199" s="61" t="str">
        <f>작성용!AH196</f>
        <v>오수현</v>
      </c>
      <c r="V199" s="56">
        <f>작성용!AA196</f>
        <v>202411</v>
      </c>
      <c r="W199" s="58" t="str">
        <f>작성용!AC196</f>
        <v>[Y]금융기관</v>
      </c>
      <c r="X199" s="58" t="str">
        <f>작성용!O196</f>
        <v>신보영이사</v>
      </c>
      <c r="Y199" s="58" t="str">
        <f>작성용!P196</f>
        <v>02-2016-5927,010-5033-2241</v>
      </c>
      <c r="Z199" s="58" t="str">
        <f>작성용!Q196</f>
        <v>byshin@jklpartners.co.kr</v>
      </c>
      <c r="AA199" s="56" t="str">
        <f>작성용!AJ196</f>
        <v>국민연금/교직원공제회제출</v>
      </c>
      <c r="AB199" s="56">
        <f>작성용!AB196</f>
        <v>0</v>
      </c>
    </row>
    <row r="200" spans="1:28" s="12" customFormat="1" ht="16.5" hidden="1" customHeight="1" x14ac:dyDescent="0.3">
      <c r="A200" s="54">
        <f>작성용!AL197</f>
        <v>196</v>
      </c>
      <c r="B200" s="55" t="str">
        <f>작성용!AI197</f>
        <v>-</v>
      </c>
      <c r="C200" s="56" t="str">
        <f>작성용!AK197</f>
        <v>개별종목</v>
      </c>
      <c r="D200" s="57">
        <f>작성용!T197</f>
        <v>45572</v>
      </c>
      <c r="E200" s="58" t="str">
        <f>작성용!B197</f>
        <v>경남기업</v>
      </c>
      <c r="F200" s="58" t="str">
        <f>작성용!C197</f>
        <v>재평가</v>
      </c>
      <c r="G200" s="58" t="str">
        <f>작성용!D197</f>
        <v>와이티엔디엠비</v>
      </c>
      <c r="H200" s="59">
        <f>작성용!E197</f>
        <v>1101113121756</v>
      </c>
      <c r="I200" s="58" t="str">
        <f>작성용!F197</f>
        <v>A01</v>
      </c>
      <c r="J200" s="58">
        <f>작성용!G197</f>
        <v>0</v>
      </c>
      <c r="K200" s="58" t="str">
        <f>작성용!H197</f>
        <v>-</v>
      </c>
      <c r="L200" s="58" t="str">
        <f>작성용!N197</f>
        <v>연말</v>
      </c>
      <c r="M200" s="57" t="str">
        <f>작성용!U197</f>
        <v>2024.12.31</v>
      </c>
      <c r="N200" s="57">
        <f>작성용!V197</f>
        <v>45672</v>
      </c>
      <c r="O200" s="57">
        <f>작성용!W197</f>
        <v>45679</v>
      </c>
      <c r="P200" s="57" t="str">
        <f>작성용!X197</f>
        <v>-</v>
      </c>
      <c r="Q200" s="58" t="str">
        <f>작성용!AD197</f>
        <v>김예림</v>
      </c>
      <c r="R200" s="60">
        <f>작성용!AE197</f>
        <v>1</v>
      </c>
      <c r="S200" s="58" t="str">
        <f>작성용!AF197</f>
        <v>김예림</v>
      </c>
      <c r="T200" s="61" t="str">
        <f>작성용!AG197</f>
        <v>김예림</v>
      </c>
      <c r="U200" s="61" t="str">
        <f>작성용!AH197</f>
        <v>김예림</v>
      </c>
      <c r="V200" s="56">
        <f>작성용!AA197</f>
        <v>202412</v>
      </c>
      <c r="W200" s="58" t="str">
        <f>작성용!AC197</f>
        <v>[X]일반기업</v>
      </c>
      <c r="X200" s="58" t="str">
        <f>작성용!O197</f>
        <v>양성철차장</v>
      </c>
      <c r="Y200" s="58" t="str">
        <f>작성용!P197</f>
        <v>02-6712-5362</v>
      </c>
      <c r="Z200" s="58" t="str">
        <f>작성용!Q197</f>
        <v>yangayo@kne.co.kr</v>
      </c>
      <c r="AA200" s="56" t="str">
        <f>작성용!AJ197</f>
        <v>-</v>
      </c>
      <c r="AB200" s="56">
        <f>작성용!AB197</f>
        <v>0</v>
      </c>
    </row>
    <row r="201" spans="1:28" s="12" customFormat="1" ht="16.5" hidden="1" customHeight="1" x14ac:dyDescent="0.3">
      <c r="A201" s="54">
        <f>작성용!AL198</f>
        <v>197</v>
      </c>
      <c r="B201" s="55" t="str">
        <f>작성용!AI198</f>
        <v>-</v>
      </c>
      <c r="C201" s="56" t="str">
        <f>작성용!AK198</f>
        <v>개별종목</v>
      </c>
      <c r="D201" s="57">
        <f>작성용!T198</f>
        <v>45572</v>
      </c>
      <c r="E201" s="58" t="str">
        <f>작성용!B198</f>
        <v>경남기업</v>
      </c>
      <c r="F201" s="58" t="str">
        <f>작성용!C198</f>
        <v>재평가</v>
      </c>
      <c r="G201" s="58" t="str">
        <f>작성용!D198</f>
        <v>원주기업도시</v>
      </c>
      <c r="H201" s="59">
        <f>작성용!E198</f>
        <v>1412110039135</v>
      </c>
      <c r="I201" s="58" t="str">
        <f>작성용!F198</f>
        <v>A01</v>
      </c>
      <c r="J201" s="58">
        <f>작성용!G198</f>
        <v>0</v>
      </c>
      <c r="K201" s="58" t="str">
        <f>작성용!H198</f>
        <v>-</v>
      </c>
      <c r="L201" s="58" t="str">
        <f>작성용!N198</f>
        <v>연말</v>
      </c>
      <c r="M201" s="57" t="str">
        <f>작성용!U198</f>
        <v>2024.12.31</v>
      </c>
      <c r="N201" s="57">
        <f>작성용!V198</f>
        <v>45672</v>
      </c>
      <c r="O201" s="57">
        <f>작성용!W198</f>
        <v>45679</v>
      </c>
      <c r="P201" s="57" t="str">
        <f>작성용!X198</f>
        <v>-</v>
      </c>
      <c r="Q201" s="58" t="str">
        <f>작성용!AD198</f>
        <v>강성은</v>
      </c>
      <c r="R201" s="60">
        <f>작성용!AE198</f>
        <v>1</v>
      </c>
      <c r="S201" s="58" t="str">
        <f>작성용!AF198</f>
        <v>강성은</v>
      </c>
      <c r="T201" s="61" t="str">
        <f>작성용!AG198</f>
        <v>김예림</v>
      </c>
      <c r="U201" s="61" t="str">
        <f>작성용!AH198</f>
        <v>김예림</v>
      </c>
      <c r="V201" s="56">
        <f>작성용!AA198</f>
        <v>202412</v>
      </c>
      <c r="W201" s="58" t="str">
        <f>작성용!AC198</f>
        <v>[X]일반기업</v>
      </c>
      <c r="X201" s="58" t="str">
        <f>작성용!O198</f>
        <v>양성철차장</v>
      </c>
      <c r="Y201" s="58" t="str">
        <f>작성용!P198</f>
        <v>02-6712-5362</v>
      </c>
      <c r="Z201" s="58" t="str">
        <f>작성용!Q198</f>
        <v>yangayo@kne.co.kr</v>
      </c>
      <c r="AA201" s="56" t="str">
        <f>작성용!AJ198</f>
        <v>-</v>
      </c>
      <c r="AB201" s="56">
        <f>작성용!AB198</f>
        <v>0</v>
      </c>
    </row>
    <row r="202" spans="1:28" s="12" customFormat="1" ht="16.5" hidden="1" customHeight="1" x14ac:dyDescent="0.3">
      <c r="A202" s="54">
        <f>작성용!AL199</f>
        <v>198</v>
      </c>
      <c r="B202" s="55" t="str">
        <f>작성용!AI199</f>
        <v>-</v>
      </c>
      <c r="C202" s="56" t="str">
        <f>작성용!AK199</f>
        <v>개별종목</v>
      </c>
      <c r="D202" s="57">
        <f>작성용!T199</f>
        <v>45572</v>
      </c>
      <c r="E202" s="58" t="str">
        <f>작성용!B199</f>
        <v>경남기업</v>
      </c>
      <c r="F202" s="58" t="str">
        <f>작성용!C199</f>
        <v>재평가</v>
      </c>
      <c r="G202" s="58" t="str">
        <f>작성용!D199</f>
        <v>주택도시보증공사</v>
      </c>
      <c r="H202" s="59">
        <f>작성용!E199</f>
        <v>1843710003123</v>
      </c>
      <c r="I202" s="58" t="str">
        <f>작성용!F199</f>
        <v>A01</v>
      </c>
      <c r="J202" s="58">
        <f>작성용!G199</f>
        <v>0</v>
      </c>
      <c r="K202" s="58" t="str">
        <f>작성용!H199</f>
        <v>-</v>
      </c>
      <c r="L202" s="58" t="str">
        <f>작성용!N199</f>
        <v>연말</v>
      </c>
      <c r="M202" s="57" t="str">
        <f>작성용!U199</f>
        <v>2024.12.31</v>
      </c>
      <c r="N202" s="57">
        <f>작성용!V199</f>
        <v>45672</v>
      </c>
      <c r="O202" s="57">
        <f>작성용!W199</f>
        <v>45679</v>
      </c>
      <c r="P202" s="57" t="str">
        <f>작성용!X199</f>
        <v>-</v>
      </c>
      <c r="Q202" s="58" t="str">
        <f>작성용!AD199</f>
        <v>이문수</v>
      </c>
      <c r="R202" s="60">
        <f>작성용!AE199</f>
        <v>1</v>
      </c>
      <c r="S202" s="58" t="str">
        <f>작성용!AF199</f>
        <v>이문수</v>
      </c>
      <c r="T202" s="61" t="str">
        <f>작성용!AG199</f>
        <v>김예림</v>
      </c>
      <c r="U202" s="61" t="str">
        <f>작성용!AH199</f>
        <v>김예림</v>
      </c>
      <c r="V202" s="56">
        <f>작성용!AA199</f>
        <v>202412</v>
      </c>
      <c r="W202" s="58" t="str">
        <f>작성용!AC199</f>
        <v>[X]일반기업</v>
      </c>
      <c r="X202" s="58" t="str">
        <f>작성용!O199</f>
        <v>양성철차장</v>
      </c>
      <c r="Y202" s="58" t="str">
        <f>작성용!P199</f>
        <v>02-6712-5362</v>
      </c>
      <c r="Z202" s="58" t="str">
        <f>작성용!Q199</f>
        <v>yangayo@kne.co.kr</v>
      </c>
      <c r="AA202" s="56" t="str">
        <f>작성용!AJ199</f>
        <v>-</v>
      </c>
      <c r="AB202" s="56">
        <f>작성용!AB199</f>
        <v>0</v>
      </c>
    </row>
    <row r="203" spans="1:28" s="12" customFormat="1" ht="16.5" hidden="1" customHeight="1" x14ac:dyDescent="0.3">
      <c r="A203" s="54">
        <f>작성용!AL200</f>
        <v>199</v>
      </c>
      <c r="B203" s="55" t="str">
        <f>작성용!AI200</f>
        <v>-</v>
      </c>
      <c r="C203" s="56" t="str">
        <f>작성용!AK200</f>
        <v>개별종목</v>
      </c>
      <c r="D203" s="57">
        <f>작성용!T200</f>
        <v>45572</v>
      </c>
      <c r="E203" s="58" t="str">
        <f>작성용!B200</f>
        <v>경남기업</v>
      </c>
      <c r="F203" s="58" t="str">
        <f>작성용!C200</f>
        <v>재평가</v>
      </c>
      <c r="G203" s="58" t="str">
        <f>작성용!D200</f>
        <v>충성타운</v>
      </c>
      <c r="H203" s="59">
        <f>작성용!E200</f>
        <v>1101114306373</v>
      </c>
      <c r="I203" s="58" t="str">
        <f>작성용!F200</f>
        <v>A01</v>
      </c>
      <c r="J203" s="58">
        <f>작성용!G200</f>
        <v>0</v>
      </c>
      <c r="K203" s="58" t="str">
        <f>작성용!H200</f>
        <v>-</v>
      </c>
      <c r="L203" s="58" t="str">
        <f>작성용!N200</f>
        <v>연말</v>
      </c>
      <c r="M203" s="57" t="str">
        <f>작성용!U200</f>
        <v>2024.12.31</v>
      </c>
      <c r="N203" s="57">
        <f>작성용!V200</f>
        <v>45672</v>
      </c>
      <c r="O203" s="57">
        <f>작성용!W200</f>
        <v>45679</v>
      </c>
      <c r="P203" s="57" t="str">
        <f>작성용!X200</f>
        <v>-</v>
      </c>
      <c r="Q203" s="58" t="str">
        <f>작성용!AD200</f>
        <v>이현승</v>
      </c>
      <c r="R203" s="60">
        <f>작성용!AE200</f>
        <v>1</v>
      </c>
      <c r="S203" s="58" t="str">
        <f>작성용!AF200</f>
        <v>이현승</v>
      </c>
      <c r="T203" s="61" t="str">
        <f>작성용!AG200</f>
        <v>김예림</v>
      </c>
      <c r="U203" s="61" t="str">
        <f>작성용!AH200</f>
        <v>김예림</v>
      </c>
      <c r="V203" s="56">
        <f>작성용!AA200</f>
        <v>202412</v>
      </c>
      <c r="W203" s="58" t="str">
        <f>작성용!AC200</f>
        <v>[X]일반기업</v>
      </c>
      <c r="X203" s="58" t="str">
        <f>작성용!O200</f>
        <v>양성철차장</v>
      </c>
      <c r="Y203" s="58" t="str">
        <f>작성용!P200</f>
        <v>02-6712-5362</v>
      </c>
      <c r="Z203" s="58" t="str">
        <f>작성용!Q200</f>
        <v>yangayo@kne.co.kr</v>
      </c>
      <c r="AA203" s="56" t="str">
        <f>작성용!AJ200</f>
        <v>-</v>
      </c>
      <c r="AB203" s="56">
        <f>작성용!AB200</f>
        <v>0</v>
      </c>
    </row>
    <row r="204" spans="1:28" s="12" customFormat="1" ht="16.5" hidden="1" customHeight="1" x14ac:dyDescent="0.3">
      <c r="A204" s="54">
        <f>작성용!AL201</f>
        <v>200</v>
      </c>
      <c r="B204" s="55" t="str">
        <f>작성용!AI201</f>
        <v>-</v>
      </c>
      <c r="C204" s="56" t="str">
        <f>작성용!AK201</f>
        <v>개별종목</v>
      </c>
      <c r="D204" s="57">
        <f>작성용!T201</f>
        <v>45572</v>
      </c>
      <c r="E204" s="58" t="str">
        <f>작성용!B201</f>
        <v>경남기업</v>
      </c>
      <c r="F204" s="58" t="str">
        <f>작성용!C201</f>
        <v>재평가</v>
      </c>
      <c r="G204" s="58" t="str">
        <f>작성용!D201</f>
        <v>평택워터</v>
      </c>
      <c r="H204" s="59">
        <f>작성용!E201</f>
        <v>1101112723644</v>
      </c>
      <c r="I204" s="58" t="str">
        <f>작성용!F201</f>
        <v>B05</v>
      </c>
      <c r="J204" s="58">
        <f>작성용!G201</f>
        <v>0</v>
      </c>
      <c r="K204" s="58" t="str">
        <f>작성용!H201</f>
        <v>-</v>
      </c>
      <c r="L204" s="58" t="str">
        <f>작성용!N201</f>
        <v>연말</v>
      </c>
      <c r="M204" s="57" t="str">
        <f>작성용!U201</f>
        <v>2024.12.31</v>
      </c>
      <c r="N204" s="57">
        <f>작성용!V201</f>
        <v>45672</v>
      </c>
      <c r="O204" s="57">
        <f>작성용!W201</f>
        <v>45679</v>
      </c>
      <c r="P204" s="57" t="str">
        <f>작성용!X201</f>
        <v>-</v>
      </c>
      <c r="Q204" s="58" t="str">
        <f>작성용!AD201</f>
        <v>오영석</v>
      </c>
      <c r="R204" s="60">
        <f>작성용!AE201</f>
        <v>1</v>
      </c>
      <c r="S204" s="58" t="str">
        <f>작성용!AF201</f>
        <v>김범준</v>
      </c>
      <c r="T204" s="61" t="str">
        <f>작성용!AG201</f>
        <v>김예림</v>
      </c>
      <c r="U204" s="61" t="str">
        <f>작성용!AH201</f>
        <v>김예림</v>
      </c>
      <c r="V204" s="56">
        <f>작성용!AA201</f>
        <v>202412</v>
      </c>
      <c r="W204" s="58" t="str">
        <f>작성용!AC201</f>
        <v>[X]일반기업</v>
      </c>
      <c r="X204" s="58" t="str">
        <f>작성용!O201</f>
        <v>양성철차장</v>
      </c>
      <c r="Y204" s="58" t="str">
        <f>작성용!P201</f>
        <v>02-6712-5362</v>
      </c>
      <c r="Z204" s="58" t="str">
        <f>작성용!Q201</f>
        <v>yangayo@kne.co.kr</v>
      </c>
      <c r="AA204" s="56" t="str">
        <f>작성용!AJ201</f>
        <v>-</v>
      </c>
      <c r="AB204" s="56">
        <f>작성용!AB201</f>
        <v>0</v>
      </c>
    </row>
    <row r="205" spans="1:28" s="12" customFormat="1" ht="16.5" hidden="1" customHeight="1" x14ac:dyDescent="0.3">
      <c r="A205" s="54">
        <f>작성용!AL202</f>
        <v>201</v>
      </c>
      <c r="B205" s="55" t="str">
        <f>작성용!AI202</f>
        <v>-</v>
      </c>
      <c r="C205" s="56" t="str">
        <f>작성용!AK202</f>
        <v>개별종목</v>
      </c>
      <c r="D205" s="57">
        <f>작성용!T202</f>
        <v>45572</v>
      </c>
      <c r="E205" s="58" t="str">
        <f>작성용!B202</f>
        <v>경남기업</v>
      </c>
      <c r="F205" s="58" t="str">
        <f>작성용!C202</f>
        <v>재평가</v>
      </c>
      <c r="G205" s="58" t="str">
        <f>작성용!D202</f>
        <v>포천화도고속도로(구,수도권외곽순환고속도로)</v>
      </c>
      <c r="H205" s="59">
        <f>작성용!E202</f>
        <v>1201110854332</v>
      </c>
      <c r="I205" s="58" t="str">
        <f>작성용!F202</f>
        <v>B05</v>
      </c>
      <c r="J205" s="58">
        <f>작성용!G202</f>
        <v>0</v>
      </c>
      <c r="K205" s="58" t="str">
        <f>작성용!H202</f>
        <v>-</v>
      </c>
      <c r="L205" s="58" t="str">
        <f>작성용!N202</f>
        <v>연말</v>
      </c>
      <c r="M205" s="57" t="str">
        <f>작성용!U202</f>
        <v>2024.12.31</v>
      </c>
      <c r="N205" s="57">
        <f>작성용!V202</f>
        <v>45672</v>
      </c>
      <c r="O205" s="57">
        <f>작성용!W202</f>
        <v>45679</v>
      </c>
      <c r="P205" s="57" t="str">
        <f>작성용!X202</f>
        <v>-</v>
      </c>
      <c r="Q205" s="58" t="str">
        <f>작성용!AD202</f>
        <v>조현우</v>
      </c>
      <c r="R205" s="60">
        <f>작성용!AE202</f>
        <v>1</v>
      </c>
      <c r="S205" s="58" t="str">
        <f>작성용!AF202</f>
        <v>조현우</v>
      </c>
      <c r="T205" s="61" t="str">
        <f>작성용!AG202</f>
        <v>김예림</v>
      </c>
      <c r="U205" s="61" t="str">
        <f>작성용!AH202</f>
        <v>김예림</v>
      </c>
      <c r="V205" s="56">
        <f>작성용!AA202</f>
        <v>202412</v>
      </c>
      <c r="W205" s="58" t="str">
        <f>작성용!AC202</f>
        <v>[X]일반기업</v>
      </c>
      <c r="X205" s="58" t="str">
        <f>작성용!O202</f>
        <v>양성철차장</v>
      </c>
      <c r="Y205" s="58" t="str">
        <f>작성용!P202</f>
        <v>02-6712-5362</v>
      </c>
      <c r="Z205" s="58" t="str">
        <f>작성용!Q202</f>
        <v>yangayo@kne.co.kr</v>
      </c>
      <c r="AA205" s="56" t="str">
        <f>작성용!AJ202</f>
        <v>-</v>
      </c>
      <c r="AB205" s="56">
        <f>작성용!AB202</f>
        <v>0</v>
      </c>
    </row>
    <row r="206" spans="1:28" s="12" customFormat="1" ht="16.5" hidden="1" customHeight="1" x14ac:dyDescent="0.3">
      <c r="A206" s="54">
        <f>작성용!AL203</f>
        <v>202</v>
      </c>
      <c r="B206" s="55" t="str">
        <f>작성용!AI203</f>
        <v>-</v>
      </c>
      <c r="C206" s="56" t="str">
        <f>작성용!AK203</f>
        <v>개별종목</v>
      </c>
      <c r="D206" s="57">
        <f>작성용!T203</f>
        <v>45572</v>
      </c>
      <c r="E206" s="58" t="str">
        <f>작성용!B203</f>
        <v>경남기업</v>
      </c>
      <c r="F206" s="58" t="str">
        <f>작성용!C203</f>
        <v>재평가</v>
      </c>
      <c r="G206" s="58" t="str">
        <f>작성용!D203</f>
        <v>호국타운</v>
      </c>
      <c r="H206" s="59">
        <f>작성용!E203</f>
        <v>1101114177237</v>
      </c>
      <c r="I206" s="58" t="str">
        <f>작성용!F203</f>
        <v>A01</v>
      </c>
      <c r="J206" s="58">
        <f>작성용!G203</f>
        <v>0</v>
      </c>
      <c r="K206" s="58" t="str">
        <f>작성용!H203</f>
        <v>-</v>
      </c>
      <c r="L206" s="58" t="str">
        <f>작성용!N203</f>
        <v>연말</v>
      </c>
      <c r="M206" s="57" t="str">
        <f>작성용!U203</f>
        <v>2024.12.31</v>
      </c>
      <c r="N206" s="57">
        <f>작성용!V203</f>
        <v>45672</v>
      </c>
      <c r="O206" s="57">
        <f>작성용!W203</f>
        <v>45679</v>
      </c>
      <c r="P206" s="57" t="str">
        <f>작성용!X203</f>
        <v>-</v>
      </c>
      <c r="Q206" s="58" t="str">
        <f>작성용!AD203</f>
        <v>채동우</v>
      </c>
      <c r="R206" s="60">
        <f>작성용!AE203</f>
        <v>1</v>
      </c>
      <c r="S206" s="58" t="str">
        <f>작성용!AF203</f>
        <v>고명주</v>
      </c>
      <c r="T206" s="61" t="str">
        <f>작성용!AG203</f>
        <v>김예림</v>
      </c>
      <c r="U206" s="61" t="str">
        <f>작성용!AH203</f>
        <v>김예림</v>
      </c>
      <c r="V206" s="56">
        <f>작성용!AA203</f>
        <v>202412</v>
      </c>
      <c r="W206" s="58" t="str">
        <f>작성용!AC203</f>
        <v>[X]일반기업</v>
      </c>
      <c r="X206" s="58" t="str">
        <f>작성용!O203</f>
        <v>양성철차장</v>
      </c>
      <c r="Y206" s="58" t="str">
        <f>작성용!P203</f>
        <v>02-6712-5362</v>
      </c>
      <c r="Z206" s="58" t="str">
        <f>작성용!Q203</f>
        <v>yangayo@kne.co.kr</v>
      </c>
      <c r="AA206" s="56" t="str">
        <f>작성용!AJ203</f>
        <v>-</v>
      </c>
      <c r="AB206" s="56">
        <f>작성용!AB203</f>
        <v>0</v>
      </c>
    </row>
    <row r="207" spans="1:28" s="12" customFormat="1" ht="16.5" hidden="1" customHeight="1" x14ac:dyDescent="0.3">
      <c r="A207" s="54">
        <f>작성용!AL204</f>
        <v>203</v>
      </c>
      <c r="B207" s="55" t="str">
        <f>작성용!AI204</f>
        <v>-</v>
      </c>
      <c r="C207" s="56" t="str">
        <f>작성용!AK204</f>
        <v>개별종목</v>
      </c>
      <c r="D207" s="57">
        <f>작성용!T204</f>
        <v>45573</v>
      </c>
      <c r="E207" s="58" t="str">
        <f>작성용!B204</f>
        <v>티에스인베스트먼트</v>
      </c>
      <c r="F207" s="58" t="str">
        <f>작성용!C204</f>
        <v>재평가</v>
      </c>
      <c r="G207" s="58" t="str">
        <f>작성용!D204</f>
        <v>이니스트에스티</v>
      </c>
      <c r="H207" s="59">
        <f>작성용!E204</f>
        <v>1545110025688</v>
      </c>
      <c r="I207" s="58" t="str">
        <f>작성용!F204</f>
        <v>A01</v>
      </c>
      <c r="J207" s="58">
        <f>작성용!G204</f>
        <v>0</v>
      </c>
      <c r="K207" s="58" t="str">
        <f>작성용!H204</f>
        <v>-</v>
      </c>
      <c r="L207" s="58" t="str">
        <f>작성용!N204</f>
        <v>연말</v>
      </c>
      <c r="M207" s="57" t="str">
        <f>작성용!U204</f>
        <v>2024.09.30</v>
      </c>
      <c r="N207" s="57">
        <f>작성용!V204</f>
        <v>45604</v>
      </c>
      <c r="O207" s="57">
        <f>작성용!W204</f>
        <v>45610</v>
      </c>
      <c r="P207" s="57" t="str">
        <f>작성용!X204</f>
        <v>-</v>
      </c>
      <c r="Q207" s="58" t="str">
        <f>작성용!AD204</f>
        <v>오영석</v>
      </c>
      <c r="R207" s="60">
        <f>작성용!AE204</f>
        <v>1</v>
      </c>
      <c r="S207" s="58" t="str">
        <f>작성용!AF204</f>
        <v>조현우</v>
      </c>
      <c r="T207" s="61" t="str">
        <f>작성용!AG204</f>
        <v>유재호</v>
      </c>
      <c r="U207" s="61" t="str">
        <f>작성용!AH204</f>
        <v>유재호</v>
      </c>
      <c r="V207" s="56">
        <f>작성용!AA204</f>
        <v>202411</v>
      </c>
      <c r="W207" s="58" t="str">
        <f>작성용!AC204</f>
        <v>[Y]금융기관</v>
      </c>
      <c r="X207" s="58" t="str">
        <f>작성용!O204</f>
        <v>관리본부임혁빈부장</v>
      </c>
      <c r="Y207" s="58" t="str">
        <f>작성용!P204</f>
        <v>02-6250-5705,010-2247-5835</v>
      </c>
      <c r="Z207" s="58" t="str">
        <f>작성용!Q204</f>
        <v>imhb@tsinvestment.co.kr; jwlee@tsinvestment.co.kr; yj.kim@tsinvestment.co.kr</v>
      </c>
      <c r="AA207" s="56" t="str">
        <f>작성용!AJ204</f>
        <v>교직원공제회/고용보험기금제출</v>
      </c>
      <c r="AB207" s="56">
        <f>작성용!AB204</f>
        <v>0</v>
      </c>
    </row>
    <row r="208" spans="1:28" s="12" customFormat="1" ht="16.5" hidden="1" customHeight="1" x14ac:dyDescent="0.3">
      <c r="A208" s="54">
        <f>작성용!AL205</f>
        <v>204</v>
      </c>
      <c r="B208" s="55" t="str">
        <f>작성용!AI205</f>
        <v>-</v>
      </c>
      <c r="C208" s="56" t="str">
        <f>작성용!AK205</f>
        <v>개별종목</v>
      </c>
      <c r="D208" s="57">
        <f>작성용!T205</f>
        <v>45573</v>
      </c>
      <c r="E208" s="58" t="str">
        <f>작성용!B205</f>
        <v>티에스인베스트먼트</v>
      </c>
      <c r="F208" s="58" t="str">
        <f>작성용!C205</f>
        <v>재평가</v>
      </c>
      <c r="G208" s="58" t="str">
        <f>작성용!D205</f>
        <v>스테이지파이브(구,핀플레이)</v>
      </c>
      <c r="H208" s="59">
        <f>작성용!E205</f>
        <v>1101115685411</v>
      </c>
      <c r="I208" s="58" t="str">
        <f>작성용!F205</f>
        <v>A07</v>
      </c>
      <c r="J208" s="58">
        <f>작성용!G205</f>
        <v>0</v>
      </c>
      <c r="K208" s="58" t="str">
        <f>작성용!H205</f>
        <v>-</v>
      </c>
      <c r="L208" s="58" t="str">
        <f>작성용!N205</f>
        <v>연말</v>
      </c>
      <c r="M208" s="57" t="str">
        <f>작성용!U205</f>
        <v>2024.09.30</v>
      </c>
      <c r="N208" s="57">
        <f>작성용!V205</f>
        <v>45604</v>
      </c>
      <c r="O208" s="57">
        <f>작성용!W205</f>
        <v>45610</v>
      </c>
      <c r="P208" s="57" t="str">
        <f>작성용!X205</f>
        <v>-</v>
      </c>
      <c r="Q208" s="58" t="str">
        <f>작성용!AD205</f>
        <v>김수현</v>
      </c>
      <c r="R208" s="60">
        <f>작성용!AE205</f>
        <v>1</v>
      </c>
      <c r="S208" s="58" t="str">
        <f>작성용!AF205</f>
        <v>김수현</v>
      </c>
      <c r="T208" s="61" t="str">
        <f>작성용!AG205</f>
        <v>유재호</v>
      </c>
      <c r="U208" s="61" t="str">
        <f>작성용!AH205</f>
        <v>유재호</v>
      </c>
      <c r="V208" s="56">
        <f>작성용!AA205</f>
        <v>202411</v>
      </c>
      <c r="W208" s="58" t="str">
        <f>작성용!AC205</f>
        <v>[Y]금융기관</v>
      </c>
      <c r="X208" s="58" t="str">
        <f>작성용!O205</f>
        <v>관리본부임혁빈부장</v>
      </c>
      <c r="Y208" s="58" t="str">
        <f>작성용!P205</f>
        <v>02-6250-5705,010-2247-5835</v>
      </c>
      <c r="Z208" s="58" t="str">
        <f>작성용!Q205</f>
        <v>imhb@tsinvestment.co.kr; jwlee@tsinvestment.co.kr; yj.kim@tsinvestment.co.kr</v>
      </c>
      <c r="AA208" s="56" t="str">
        <f>작성용!AJ205</f>
        <v>교직원공제회/고용보험기금제출</v>
      </c>
      <c r="AB208" s="56">
        <f>작성용!AB205</f>
        <v>0</v>
      </c>
    </row>
    <row r="209" spans="1:28" s="12" customFormat="1" ht="16.5" hidden="1" customHeight="1" x14ac:dyDescent="0.3">
      <c r="A209" s="54">
        <f>작성용!AL206</f>
        <v>205</v>
      </c>
      <c r="B209" s="55" t="str">
        <f>작성용!AI206</f>
        <v>-</v>
      </c>
      <c r="C209" s="56" t="str">
        <f>작성용!AK206</f>
        <v>개별종목</v>
      </c>
      <c r="D209" s="57">
        <f>작성용!T206</f>
        <v>45573</v>
      </c>
      <c r="E209" s="58" t="str">
        <f>작성용!B206</f>
        <v>티에스인베스트먼트</v>
      </c>
      <c r="F209" s="58" t="str">
        <f>작성용!C206</f>
        <v>재평가</v>
      </c>
      <c r="G209" s="58" t="str">
        <f>작성용!D206</f>
        <v>카인사이언스</v>
      </c>
      <c r="H209" s="59">
        <f>작성용!E206</f>
        <v>1101116123957</v>
      </c>
      <c r="I209" s="58" t="str">
        <f>작성용!F206</f>
        <v>A01</v>
      </c>
      <c r="J209" s="58">
        <f>작성용!G206</f>
        <v>0</v>
      </c>
      <c r="K209" s="58" t="str">
        <f>작성용!H206</f>
        <v>-</v>
      </c>
      <c r="L209" s="58" t="str">
        <f>작성용!N206</f>
        <v>연말</v>
      </c>
      <c r="M209" s="57" t="str">
        <f>작성용!U206</f>
        <v>2024.09.30</v>
      </c>
      <c r="N209" s="57">
        <f>작성용!V206</f>
        <v>45604</v>
      </c>
      <c r="O209" s="57">
        <f>작성용!W206</f>
        <v>45610</v>
      </c>
      <c r="P209" s="57" t="str">
        <f>작성용!X206</f>
        <v>-</v>
      </c>
      <c r="Q209" s="58" t="str">
        <f>작성용!AD206</f>
        <v>정재형</v>
      </c>
      <c r="R209" s="60">
        <f>작성용!AE206</f>
        <v>1</v>
      </c>
      <c r="S209" s="58" t="str">
        <f>작성용!AF206</f>
        <v>정재형</v>
      </c>
      <c r="T209" s="61" t="str">
        <f>작성용!AG206</f>
        <v>유재호</v>
      </c>
      <c r="U209" s="61" t="str">
        <f>작성용!AH206</f>
        <v>유재호</v>
      </c>
      <c r="V209" s="56">
        <f>작성용!AA206</f>
        <v>202411</v>
      </c>
      <c r="W209" s="58" t="str">
        <f>작성용!AC206</f>
        <v>[Y]금융기관</v>
      </c>
      <c r="X209" s="58" t="str">
        <f>작성용!O206</f>
        <v>관리본부임혁빈부장</v>
      </c>
      <c r="Y209" s="58" t="str">
        <f>작성용!P206</f>
        <v>02-6250-5705,010-2247-5835</v>
      </c>
      <c r="Z209" s="58" t="str">
        <f>작성용!Q206</f>
        <v>imhb@tsinvestment.co.kr; jwlee@tsinvestment.co.kr; yj.kim@tsinvestment.co.kr</v>
      </c>
      <c r="AA209" s="56" t="str">
        <f>작성용!AJ206</f>
        <v>교직원공제회/고용보험기금제출</v>
      </c>
      <c r="AB209" s="56">
        <f>작성용!AB206</f>
        <v>0</v>
      </c>
    </row>
    <row r="210" spans="1:28" s="12" customFormat="1" ht="16.5" hidden="1" customHeight="1" x14ac:dyDescent="0.3">
      <c r="A210" s="54">
        <f>작성용!AL207</f>
        <v>206</v>
      </c>
      <c r="B210" s="55" t="str">
        <f>작성용!AI207</f>
        <v>-</v>
      </c>
      <c r="C210" s="56" t="str">
        <f>작성용!AK207</f>
        <v>개별종목</v>
      </c>
      <c r="D210" s="57">
        <f>작성용!T207</f>
        <v>45573</v>
      </c>
      <c r="E210" s="58" t="str">
        <f>작성용!B207</f>
        <v>티에스인베스트먼트</v>
      </c>
      <c r="F210" s="58" t="str">
        <f>작성용!C207</f>
        <v>재평가</v>
      </c>
      <c r="G210" s="58" t="str">
        <f>작성용!D207</f>
        <v>지투비</v>
      </c>
      <c r="H210" s="59">
        <f>작성용!E207</f>
        <v>1101112319807</v>
      </c>
      <c r="I210" s="58" t="str">
        <f>작성용!F207</f>
        <v>A07</v>
      </c>
      <c r="J210" s="58">
        <f>작성용!G207</f>
        <v>0</v>
      </c>
      <c r="K210" s="58" t="str">
        <f>작성용!H207</f>
        <v>-</v>
      </c>
      <c r="L210" s="58" t="str">
        <f>작성용!N207</f>
        <v>연말</v>
      </c>
      <c r="M210" s="57" t="str">
        <f>작성용!U207</f>
        <v>2024.09.30</v>
      </c>
      <c r="N210" s="57">
        <f>작성용!V207</f>
        <v>45604</v>
      </c>
      <c r="O210" s="57">
        <f>작성용!W207</f>
        <v>45610</v>
      </c>
      <c r="P210" s="57" t="str">
        <f>작성용!X207</f>
        <v>-</v>
      </c>
      <c r="Q210" s="58" t="str">
        <f>작성용!AD207</f>
        <v>신원준</v>
      </c>
      <c r="R210" s="60">
        <f>작성용!AE207</f>
        <v>1</v>
      </c>
      <c r="S210" s="58" t="str">
        <f>작성용!AF207</f>
        <v>윤현빈</v>
      </c>
      <c r="T210" s="61" t="str">
        <f>작성용!AG207</f>
        <v>유재호</v>
      </c>
      <c r="U210" s="61" t="str">
        <f>작성용!AH207</f>
        <v>유재호</v>
      </c>
      <c r="V210" s="56">
        <f>작성용!AA207</f>
        <v>202411</v>
      </c>
      <c r="W210" s="58" t="str">
        <f>작성용!AC207</f>
        <v>[Y]금융기관</v>
      </c>
      <c r="X210" s="58" t="str">
        <f>작성용!O207</f>
        <v>관리본부임혁빈부장</v>
      </c>
      <c r="Y210" s="58" t="str">
        <f>작성용!P207</f>
        <v>02-6250-5705,010-2247-5835</v>
      </c>
      <c r="Z210" s="58" t="str">
        <f>작성용!Q207</f>
        <v>imhb@tsinvestment.co.kr; jwlee@tsinvestment.co.kr; yj.kim@tsinvestment.co.kr</v>
      </c>
      <c r="AA210" s="56" t="str">
        <f>작성용!AJ207</f>
        <v>교직원공제회/고용보험기금제출</v>
      </c>
      <c r="AB210" s="56">
        <f>작성용!AB207</f>
        <v>0</v>
      </c>
    </row>
    <row r="211" spans="1:28" s="12" customFormat="1" ht="16.5" hidden="1" customHeight="1" x14ac:dyDescent="0.3">
      <c r="A211" s="54">
        <f>작성용!AL208</f>
        <v>207</v>
      </c>
      <c r="B211" s="55" t="str">
        <f>작성용!AI208</f>
        <v>-</v>
      </c>
      <c r="C211" s="56" t="str">
        <f>작성용!AK208</f>
        <v>개별종목</v>
      </c>
      <c r="D211" s="57">
        <f>작성용!T208</f>
        <v>45573</v>
      </c>
      <c r="E211" s="58" t="str">
        <f>작성용!B208</f>
        <v>티에스인베스트먼트</v>
      </c>
      <c r="F211" s="58" t="str">
        <f>작성용!C208</f>
        <v>재평가</v>
      </c>
      <c r="G211" s="58" t="str">
        <f>작성용!D208</f>
        <v>프렌트립</v>
      </c>
      <c r="H211" s="59">
        <f>작성용!E208</f>
        <v>1101115279199</v>
      </c>
      <c r="I211" s="58" t="str">
        <f>작성용!F208</f>
        <v>A01</v>
      </c>
      <c r="J211" s="58">
        <f>작성용!G208</f>
        <v>0</v>
      </c>
      <c r="K211" s="58" t="str">
        <f>작성용!H208</f>
        <v>-</v>
      </c>
      <c r="L211" s="58" t="str">
        <f>작성용!N208</f>
        <v>연말</v>
      </c>
      <c r="M211" s="57" t="str">
        <f>작성용!U208</f>
        <v>2024.09.30</v>
      </c>
      <c r="N211" s="57">
        <f>작성용!V208</f>
        <v>45604</v>
      </c>
      <c r="O211" s="57">
        <f>작성용!W208</f>
        <v>45610</v>
      </c>
      <c r="P211" s="57" t="str">
        <f>작성용!X208</f>
        <v>-</v>
      </c>
      <c r="Q211" s="58" t="str">
        <f>작성용!AD208</f>
        <v>오수현</v>
      </c>
      <c r="R211" s="60">
        <f>작성용!AE208</f>
        <v>1</v>
      </c>
      <c r="S211" s="58" t="str">
        <f>작성용!AF208</f>
        <v>오수현</v>
      </c>
      <c r="T211" s="61" t="str">
        <f>작성용!AG208</f>
        <v>유재호</v>
      </c>
      <c r="U211" s="61" t="str">
        <f>작성용!AH208</f>
        <v>유재호</v>
      </c>
      <c r="V211" s="56">
        <f>작성용!AA208</f>
        <v>202411</v>
      </c>
      <c r="W211" s="58" t="str">
        <f>작성용!AC208</f>
        <v>[Y]금융기관</v>
      </c>
      <c r="X211" s="58" t="str">
        <f>작성용!O208</f>
        <v>관리본부임혁빈부장</v>
      </c>
      <c r="Y211" s="58" t="str">
        <f>작성용!P208</f>
        <v>02-6250-5705,010-2247-5835</v>
      </c>
      <c r="Z211" s="58" t="str">
        <f>작성용!Q208</f>
        <v>imhb@tsinvestment.co.kr; jwlee@tsinvestment.co.kr; yj.kim@tsinvestment.co.kr</v>
      </c>
      <c r="AA211" s="56" t="str">
        <f>작성용!AJ208</f>
        <v>교직원공제회/고용보험기금제출</v>
      </c>
      <c r="AB211" s="56">
        <f>작성용!AB208</f>
        <v>0</v>
      </c>
    </row>
    <row r="212" spans="1:28" s="12" customFormat="1" ht="16.5" hidden="1" customHeight="1" x14ac:dyDescent="0.3">
      <c r="A212" s="54">
        <f>작성용!AL209</f>
        <v>208</v>
      </c>
      <c r="B212" s="55" t="str">
        <f>작성용!AI209</f>
        <v>-</v>
      </c>
      <c r="C212" s="56" t="str">
        <f>작성용!AK209</f>
        <v>개별종목</v>
      </c>
      <c r="D212" s="57">
        <f>작성용!T209</f>
        <v>45573</v>
      </c>
      <c r="E212" s="58" t="str">
        <f>작성용!B209</f>
        <v>티에스인베스트먼트</v>
      </c>
      <c r="F212" s="58" t="str">
        <f>작성용!C209</f>
        <v>재평가</v>
      </c>
      <c r="G212" s="58" t="str">
        <f>작성용!D209</f>
        <v>프렌트립</v>
      </c>
      <c r="H212" s="59">
        <f>작성용!E209</f>
        <v>1101115279199</v>
      </c>
      <c r="I212" s="58" t="str">
        <f>작성용!F209</f>
        <v>A07</v>
      </c>
      <c r="J212" s="58">
        <f>작성용!G209</f>
        <v>0</v>
      </c>
      <c r="K212" s="58" t="str">
        <f>작성용!H209</f>
        <v>-</v>
      </c>
      <c r="L212" s="58" t="str">
        <f>작성용!N209</f>
        <v>연말</v>
      </c>
      <c r="M212" s="57" t="str">
        <f>작성용!U209</f>
        <v>2024.09.30</v>
      </c>
      <c r="N212" s="57">
        <f>작성용!V209</f>
        <v>45604</v>
      </c>
      <c r="O212" s="57">
        <f>작성용!W209</f>
        <v>45610</v>
      </c>
      <c r="P212" s="57" t="str">
        <f>작성용!X209</f>
        <v>-</v>
      </c>
      <c r="Q212" s="58" t="str">
        <f>작성용!AD209</f>
        <v>오수현</v>
      </c>
      <c r="R212" s="60">
        <f>작성용!AE209</f>
        <v>0</v>
      </c>
      <c r="S212" s="58" t="str">
        <f>작성용!AF209</f>
        <v>오수현</v>
      </c>
      <c r="T212" s="61" t="str">
        <f>작성용!AG209</f>
        <v>유재호</v>
      </c>
      <c r="U212" s="61" t="str">
        <f>작성용!AH209</f>
        <v>유재호</v>
      </c>
      <c r="V212" s="56">
        <f>작성용!AA209</f>
        <v>202411</v>
      </c>
      <c r="W212" s="58" t="str">
        <f>작성용!AC209</f>
        <v>[Y]금융기관</v>
      </c>
      <c r="X212" s="58" t="str">
        <f>작성용!O209</f>
        <v>관리본부임혁빈부장</v>
      </c>
      <c r="Y212" s="58" t="str">
        <f>작성용!P209</f>
        <v>02-6250-5705,010-2247-5835</v>
      </c>
      <c r="Z212" s="58" t="str">
        <f>작성용!Q209</f>
        <v>imhb@tsinvestment.co.kr; jwlee@tsinvestment.co.kr; yj.kim@tsinvestment.co.kr</v>
      </c>
      <c r="AA212" s="56" t="str">
        <f>작성용!AJ209</f>
        <v>교직원공제회/고용보험기금제출</v>
      </c>
      <c r="AB212" s="56">
        <f>작성용!AB209</f>
        <v>0</v>
      </c>
    </row>
    <row r="213" spans="1:28" s="12" customFormat="1" ht="16.5" hidden="1" customHeight="1" x14ac:dyDescent="0.3">
      <c r="A213" s="54">
        <f>작성용!AL210</f>
        <v>209</v>
      </c>
      <c r="B213" s="55" t="str">
        <f>작성용!AI210</f>
        <v>-</v>
      </c>
      <c r="C213" s="56" t="str">
        <f>작성용!AK210</f>
        <v>개별종목</v>
      </c>
      <c r="D213" s="57">
        <f>작성용!T210</f>
        <v>45573</v>
      </c>
      <c r="E213" s="58" t="str">
        <f>작성용!B210</f>
        <v>티에스인베스트먼트</v>
      </c>
      <c r="F213" s="58" t="str">
        <f>작성용!C210</f>
        <v>재평가</v>
      </c>
      <c r="G213" s="58" t="str">
        <f>작성용!D210</f>
        <v>두나무</v>
      </c>
      <c r="H213" s="59">
        <f>작성용!E210</f>
        <v>1101114834853</v>
      </c>
      <c r="I213" s="58" t="str">
        <f>작성용!F210</f>
        <v>A01</v>
      </c>
      <c r="J213" s="58">
        <f>작성용!G210</f>
        <v>0</v>
      </c>
      <c r="K213" s="58" t="str">
        <f>작성용!H210</f>
        <v>-</v>
      </c>
      <c r="L213" s="58" t="str">
        <f>작성용!N210</f>
        <v>연말</v>
      </c>
      <c r="M213" s="57" t="str">
        <f>작성용!U210</f>
        <v>2024.09.30</v>
      </c>
      <c r="N213" s="57">
        <f>작성용!V210</f>
        <v>45604</v>
      </c>
      <c r="O213" s="57">
        <f>작성용!W210</f>
        <v>45610</v>
      </c>
      <c r="P213" s="57" t="str">
        <f>작성용!X210</f>
        <v>-</v>
      </c>
      <c r="Q213" s="58" t="str">
        <f>작성용!AD210</f>
        <v>김수현</v>
      </c>
      <c r="R213" s="60">
        <f>작성용!AE210</f>
        <v>0</v>
      </c>
      <c r="S213" s="58" t="str">
        <f>작성용!AF210</f>
        <v>김혜지</v>
      </c>
      <c r="T213" s="61" t="str">
        <f>작성용!AG210</f>
        <v>유재호</v>
      </c>
      <c r="U213" s="61" t="str">
        <f>작성용!AH210</f>
        <v>유재호</v>
      </c>
      <c r="V213" s="56">
        <f>작성용!AA210</f>
        <v>202411</v>
      </c>
      <c r="W213" s="58" t="str">
        <f>작성용!AC210</f>
        <v>[Y]금융기관</v>
      </c>
      <c r="X213" s="58" t="str">
        <f>작성용!O210</f>
        <v>관리본부임혁빈부장</v>
      </c>
      <c r="Y213" s="58" t="str">
        <f>작성용!P210</f>
        <v>02-6250-5705,010-2247-5835</v>
      </c>
      <c r="Z213" s="58" t="str">
        <f>작성용!Q210</f>
        <v>imhb@tsinvestment.co.kr; jwlee@tsinvestment.co.kr; yj.kim@tsinvestment.co.kr</v>
      </c>
      <c r="AA213" s="56" t="str">
        <f>작성용!AJ210</f>
        <v>교직원공제회/고용보험기금제출</v>
      </c>
      <c r="AB213" s="56">
        <f>작성용!AB210</f>
        <v>0</v>
      </c>
    </row>
    <row r="214" spans="1:28" s="12" customFormat="1" ht="16.5" hidden="1" customHeight="1" x14ac:dyDescent="0.3">
      <c r="A214" s="54">
        <f>작성용!AL211</f>
        <v>210</v>
      </c>
      <c r="B214" s="55" t="str">
        <f>작성용!AI211</f>
        <v>-</v>
      </c>
      <c r="C214" s="56" t="str">
        <f>작성용!AK211</f>
        <v>개별종목</v>
      </c>
      <c r="D214" s="57">
        <f>작성용!T211</f>
        <v>45573</v>
      </c>
      <c r="E214" s="58" t="str">
        <f>작성용!B211</f>
        <v>티에스인베스트먼트</v>
      </c>
      <c r="F214" s="58" t="str">
        <f>작성용!C211</f>
        <v>재평가</v>
      </c>
      <c r="G214" s="58" t="str">
        <f>작성용!D211</f>
        <v>두나무</v>
      </c>
      <c r="H214" s="59">
        <f>작성용!E211</f>
        <v>1101114834853</v>
      </c>
      <c r="I214" s="58" t="str">
        <f>작성용!F211</f>
        <v>A07</v>
      </c>
      <c r="J214" s="58">
        <f>작성용!G211</f>
        <v>0</v>
      </c>
      <c r="K214" s="58" t="str">
        <f>작성용!H211</f>
        <v>Y</v>
      </c>
      <c r="L214" s="58" t="str">
        <f>작성용!N211</f>
        <v>연말</v>
      </c>
      <c r="M214" s="57" t="str">
        <f>작성용!U211</f>
        <v>2024.09.30</v>
      </c>
      <c r="N214" s="57">
        <f>작성용!V211</f>
        <v>45604</v>
      </c>
      <c r="O214" s="57">
        <f>작성용!W211</f>
        <v>45610</v>
      </c>
      <c r="P214" s="57" t="str">
        <f>작성용!X211</f>
        <v>-</v>
      </c>
      <c r="Q214" s="58" t="str">
        <f>작성용!AD211</f>
        <v>김수현</v>
      </c>
      <c r="R214" s="60">
        <f>작성용!AE211</f>
        <v>0</v>
      </c>
      <c r="S214" s="58" t="str">
        <f>작성용!AF211</f>
        <v>김혜지</v>
      </c>
      <c r="T214" s="61" t="str">
        <f>작성용!AG211</f>
        <v>유재호</v>
      </c>
      <c r="U214" s="61" t="str">
        <f>작성용!AH211</f>
        <v>유재호</v>
      </c>
      <c r="V214" s="56">
        <f>작성용!AA211</f>
        <v>202411</v>
      </c>
      <c r="W214" s="58" t="str">
        <f>작성용!AC211</f>
        <v>[Y]금융기관</v>
      </c>
      <c r="X214" s="58" t="str">
        <f>작성용!O211</f>
        <v>관리본부임혁빈부장</v>
      </c>
      <c r="Y214" s="58" t="str">
        <f>작성용!P211</f>
        <v>02-6250-5705,010-2247-5835</v>
      </c>
      <c r="Z214" s="58" t="str">
        <f>작성용!Q211</f>
        <v>imhb@tsinvestment.co.kr; jwlee@tsinvestment.co.kr; yj.kim@tsinvestment.co.kr</v>
      </c>
      <c r="AA214" s="56" t="str">
        <f>작성용!AJ211</f>
        <v>교직원공제회/고용보험기금제출</v>
      </c>
      <c r="AB214" s="56">
        <f>작성용!AB211</f>
        <v>0</v>
      </c>
    </row>
    <row r="215" spans="1:28" s="12" customFormat="1" ht="16.5" hidden="1" customHeight="1" x14ac:dyDescent="0.3">
      <c r="A215" s="54">
        <f>작성용!AL212</f>
        <v>211</v>
      </c>
      <c r="B215" s="55" t="str">
        <f>작성용!AI212</f>
        <v>-</v>
      </c>
      <c r="C215" s="56" t="str">
        <f>작성용!AK212</f>
        <v>개별종목</v>
      </c>
      <c r="D215" s="57">
        <f>작성용!T212</f>
        <v>45573</v>
      </c>
      <c r="E215" s="58" t="str">
        <f>작성용!B212</f>
        <v>티에스인베스트먼트</v>
      </c>
      <c r="F215" s="58" t="str">
        <f>작성용!C212</f>
        <v>재평가</v>
      </c>
      <c r="G215" s="58" t="str">
        <f>작성용!D212</f>
        <v>아이디언스</v>
      </c>
      <c r="H215" s="59">
        <f>작성용!E212</f>
        <v>1101117117470</v>
      </c>
      <c r="I215" s="58" t="str">
        <f>작성용!F212</f>
        <v>A07</v>
      </c>
      <c r="J215" s="58">
        <f>작성용!G212</f>
        <v>0</v>
      </c>
      <c r="K215" s="58" t="str">
        <f>작성용!H212</f>
        <v>-</v>
      </c>
      <c r="L215" s="58" t="str">
        <f>작성용!N212</f>
        <v>연말</v>
      </c>
      <c r="M215" s="57" t="str">
        <f>작성용!U212</f>
        <v>2024.09.30</v>
      </c>
      <c r="N215" s="57">
        <f>작성용!V212</f>
        <v>45604</v>
      </c>
      <c r="O215" s="57">
        <f>작성용!W212</f>
        <v>45610</v>
      </c>
      <c r="P215" s="57" t="str">
        <f>작성용!X212</f>
        <v>-</v>
      </c>
      <c r="Q215" s="58" t="str">
        <f>작성용!AD212</f>
        <v>유재호</v>
      </c>
      <c r="R215" s="60">
        <f>작성용!AE212</f>
        <v>1</v>
      </c>
      <c r="S215" s="58" t="str">
        <f>작성용!AF212</f>
        <v>유재호</v>
      </c>
      <c r="T215" s="61" t="str">
        <f>작성용!AG212</f>
        <v>유재호</v>
      </c>
      <c r="U215" s="61" t="str">
        <f>작성용!AH212</f>
        <v>유재호</v>
      </c>
      <c r="V215" s="56">
        <f>작성용!AA212</f>
        <v>202411</v>
      </c>
      <c r="W215" s="58" t="str">
        <f>작성용!AC212</f>
        <v>[Y]금융기관</v>
      </c>
      <c r="X215" s="58" t="str">
        <f>작성용!O212</f>
        <v>관리본부임혁빈부장</v>
      </c>
      <c r="Y215" s="58" t="str">
        <f>작성용!P212</f>
        <v>02-6250-5705,010-2247-5835</v>
      </c>
      <c r="Z215" s="58" t="str">
        <f>작성용!Q212</f>
        <v>imhb@tsinvestment.co.kr; jwlee@tsinvestment.co.kr; yj.kim@tsinvestment.co.kr</v>
      </c>
      <c r="AA215" s="56" t="str">
        <f>작성용!AJ212</f>
        <v>교직원공제회/고용보험기금제출</v>
      </c>
      <c r="AB215" s="56">
        <f>작성용!AB212</f>
        <v>0</v>
      </c>
    </row>
    <row r="216" spans="1:28" s="12" customFormat="1" ht="16.5" hidden="1" customHeight="1" x14ac:dyDescent="0.3">
      <c r="A216" s="54">
        <f>작성용!AL213</f>
        <v>212</v>
      </c>
      <c r="B216" s="55" t="str">
        <f>작성용!AI213</f>
        <v>-</v>
      </c>
      <c r="C216" s="56" t="str">
        <f>작성용!AK213</f>
        <v>개별종목</v>
      </c>
      <c r="D216" s="57">
        <f>작성용!T213</f>
        <v>45573</v>
      </c>
      <c r="E216" s="58" t="str">
        <f>작성용!B213</f>
        <v>티에스인베스트먼트</v>
      </c>
      <c r="F216" s="58" t="str">
        <f>작성용!C213</f>
        <v>재평가</v>
      </c>
      <c r="G216" s="58" t="str">
        <f>작성용!D213</f>
        <v>비브로스</v>
      </c>
      <c r="H216" s="59">
        <f>작성용!E213</f>
        <v>1101115299030</v>
      </c>
      <c r="I216" s="58" t="str">
        <f>작성용!F213</f>
        <v>A01</v>
      </c>
      <c r="J216" s="58">
        <f>작성용!G213</f>
        <v>0</v>
      </c>
      <c r="K216" s="58" t="str">
        <f>작성용!H213</f>
        <v>-</v>
      </c>
      <c r="L216" s="58" t="str">
        <f>작성용!N213</f>
        <v>연말</v>
      </c>
      <c r="M216" s="57" t="str">
        <f>작성용!U213</f>
        <v>2024.09.30</v>
      </c>
      <c r="N216" s="57">
        <f>작성용!V213</f>
        <v>45604</v>
      </c>
      <c r="O216" s="57">
        <f>작성용!W213</f>
        <v>45610</v>
      </c>
      <c r="P216" s="57" t="str">
        <f>작성용!X213</f>
        <v>-</v>
      </c>
      <c r="Q216" s="58" t="str">
        <f>작성용!AD213</f>
        <v>강성은</v>
      </c>
      <c r="R216" s="60">
        <f>작성용!AE213</f>
        <v>1</v>
      </c>
      <c r="S216" s="58" t="str">
        <f>작성용!AF213</f>
        <v>강성은</v>
      </c>
      <c r="T216" s="61" t="str">
        <f>작성용!AG213</f>
        <v>유재호</v>
      </c>
      <c r="U216" s="61" t="str">
        <f>작성용!AH213</f>
        <v>유재호</v>
      </c>
      <c r="V216" s="56">
        <f>작성용!AA213</f>
        <v>202411</v>
      </c>
      <c r="W216" s="58" t="str">
        <f>작성용!AC213</f>
        <v>[Y]금융기관</v>
      </c>
      <c r="X216" s="58" t="str">
        <f>작성용!O213</f>
        <v>관리본부임혁빈부장</v>
      </c>
      <c r="Y216" s="58" t="str">
        <f>작성용!P213</f>
        <v>02-6250-5705,010-2247-5835</v>
      </c>
      <c r="Z216" s="58" t="str">
        <f>작성용!Q213</f>
        <v>imhb@tsinvestment.co.kr; jwlee@tsinvestment.co.kr; yj.kim@tsinvestment.co.kr</v>
      </c>
      <c r="AA216" s="56" t="str">
        <f>작성용!AJ213</f>
        <v>교직원공제회/고용보험기금제출</v>
      </c>
      <c r="AB216" s="56">
        <f>작성용!AB213</f>
        <v>0</v>
      </c>
    </row>
    <row r="217" spans="1:28" s="12" customFormat="1" ht="16.5" hidden="1" customHeight="1" x14ac:dyDescent="0.3">
      <c r="A217" s="54">
        <f>작성용!AL214</f>
        <v>213</v>
      </c>
      <c r="B217" s="55" t="str">
        <f>작성용!AI214</f>
        <v>-</v>
      </c>
      <c r="C217" s="56" t="str">
        <f>작성용!AK214</f>
        <v>개별종목</v>
      </c>
      <c r="D217" s="57">
        <f>작성용!T214</f>
        <v>45573</v>
      </c>
      <c r="E217" s="58" t="str">
        <f>작성용!B214</f>
        <v>티에스인베스트먼트</v>
      </c>
      <c r="F217" s="58" t="str">
        <f>작성용!C214</f>
        <v>재평가</v>
      </c>
      <c r="G217" s="58" t="str">
        <f>작성용!D214</f>
        <v>비브로스</v>
      </c>
      <c r="H217" s="59">
        <f>작성용!E214</f>
        <v>1101115299030</v>
      </c>
      <c r="I217" s="58" t="str">
        <f>작성용!F214</f>
        <v>A07</v>
      </c>
      <c r="J217" s="58">
        <f>작성용!G214</f>
        <v>0</v>
      </c>
      <c r="K217" s="58" t="str">
        <f>작성용!H214</f>
        <v>-</v>
      </c>
      <c r="L217" s="58" t="str">
        <f>작성용!N214</f>
        <v>연말</v>
      </c>
      <c r="M217" s="57" t="str">
        <f>작성용!U214</f>
        <v>2024.09.30</v>
      </c>
      <c r="N217" s="57">
        <f>작성용!V214</f>
        <v>45604</v>
      </c>
      <c r="O217" s="57">
        <f>작성용!W214</f>
        <v>45610</v>
      </c>
      <c r="P217" s="57" t="str">
        <f>작성용!X214</f>
        <v>-</v>
      </c>
      <c r="Q217" s="58" t="str">
        <f>작성용!AD214</f>
        <v>강성은</v>
      </c>
      <c r="R217" s="60">
        <f>작성용!AE214</f>
        <v>0</v>
      </c>
      <c r="S217" s="58" t="str">
        <f>작성용!AF214</f>
        <v>강성은</v>
      </c>
      <c r="T217" s="61" t="str">
        <f>작성용!AG214</f>
        <v>유재호</v>
      </c>
      <c r="U217" s="61" t="str">
        <f>작성용!AH214</f>
        <v>유재호</v>
      </c>
      <c r="V217" s="56">
        <f>작성용!AA214</f>
        <v>202411</v>
      </c>
      <c r="W217" s="58" t="str">
        <f>작성용!AC214</f>
        <v>[Y]금융기관</v>
      </c>
      <c r="X217" s="58" t="str">
        <f>작성용!O214</f>
        <v>관리본부임혁빈부장</v>
      </c>
      <c r="Y217" s="58" t="str">
        <f>작성용!P214</f>
        <v>02-6250-5705,010-2247-5835</v>
      </c>
      <c r="Z217" s="58" t="str">
        <f>작성용!Q214</f>
        <v>imhb@tsinvestment.co.kr; jwlee@tsinvestment.co.kr; yj.kim@tsinvestment.co.kr</v>
      </c>
      <c r="AA217" s="56" t="str">
        <f>작성용!AJ214</f>
        <v>교직원공제회/고용보험기금제출</v>
      </c>
      <c r="AB217" s="56">
        <f>작성용!AB214</f>
        <v>0</v>
      </c>
    </row>
    <row r="218" spans="1:28" s="12" customFormat="1" ht="16.5" hidden="1" customHeight="1" x14ac:dyDescent="0.3">
      <c r="A218" s="54">
        <f>작성용!AL215</f>
        <v>214</v>
      </c>
      <c r="B218" s="55" t="str">
        <f>작성용!AI215</f>
        <v>-</v>
      </c>
      <c r="C218" s="56" t="str">
        <f>작성용!AK215</f>
        <v>개별종목</v>
      </c>
      <c r="D218" s="57">
        <f>작성용!T215</f>
        <v>45573</v>
      </c>
      <c r="E218" s="58" t="str">
        <f>작성용!B215</f>
        <v>티에스인베스트먼트</v>
      </c>
      <c r="F218" s="58" t="str">
        <f>작성용!C215</f>
        <v>재평가</v>
      </c>
      <c r="G218" s="58" t="str">
        <f>작성용!D215</f>
        <v>엠지알브이</v>
      </c>
      <c r="H218" s="59">
        <f>작성용!E215</f>
        <v>1101116881935</v>
      </c>
      <c r="I218" s="58" t="str">
        <f>작성용!F215</f>
        <v>A07</v>
      </c>
      <c r="J218" s="58">
        <f>작성용!G215</f>
        <v>0</v>
      </c>
      <c r="K218" s="58" t="str">
        <f>작성용!H215</f>
        <v>-</v>
      </c>
      <c r="L218" s="58" t="str">
        <f>작성용!N215</f>
        <v>연말</v>
      </c>
      <c r="M218" s="57" t="str">
        <f>작성용!U215</f>
        <v>2024.09.30</v>
      </c>
      <c r="N218" s="57">
        <f>작성용!V215</f>
        <v>45604</v>
      </c>
      <c r="O218" s="57">
        <f>작성용!W215</f>
        <v>45610</v>
      </c>
      <c r="P218" s="57" t="str">
        <f>작성용!X215</f>
        <v>-</v>
      </c>
      <c r="Q218" s="58" t="str">
        <f>작성용!AD215</f>
        <v>윤광일</v>
      </c>
      <c r="R218" s="60">
        <f>작성용!AE215</f>
        <v>1</v>
      </c>
      <c r="S218" s="58" t="str">
        <f>작성용!AF215</f>
        <v>조현우</v>
      </c>
      <c r="T218" s="61" t="str">
        <f>작성용!AG215</f>
        <v>유재호</v>
      </c>
      <c r="U218" s="61" t="str">
        <f>작성용!AH215</f>
        <v>유재호</v>
      </c>
      <c r="V218" s="56">
        <f>작성용!AA215</f>
        <v>202411</v>
      </c>
      <c r="W218" s="58" t="str">
        <f>작성용!AC215</f>
        <v>[Y]금융기관</v>
      </c>
      <c r="X218" s="58" t="str">
        <f>작성용!O215</f>
        <v>관리본부임혁빈부장</v>
      </c>
      <c r="Y218" s="58" t="str">
        <f>작성용!P215</f>
        <v>02-6250-5705,010-2247-5835</v>
      </c>
      <c r="Z218" s="58" t="str">
        <f>작성용!Q215</f>
        <v>imhb@tsinvestment.co.kr; jwlee@tsinvestment.co.kr; yj.kim@tsinvestment.co.kr</v>
      </c>
      <c r="AA218" s="56" t="str">
        <f>작성용!AJ215</f>
        <v>교직원공제회/고용보험기금제출</v>
      </c>
      <c r="AB218" s="56">
        <f>작성용!AB215</f>
        <v>0</v>
      </c>
    </row>
    <row r="219" spans="1:28" s="12" customFormat="1" ht="16.5" hidden="1" customHeight="1" x14ac:dyDescent="0.3">
      <c r="A219" s="54">
        <f>작성용!AL216</f>
        <v>215</v>
      </c>
      <c r="B219" s="55" t="str">
        <f>작성용!AI216</f>
        <v>-</v>
      </c>
      <c r="C219" s="56" t="str">
        <f>작성용!AK216</f>
        <v>개별종목</v>
      </c>
      <c r="D219" s="57">
        <f>작성용!T216</f>
        <v>45573</v>
      </c>
      <c r="E219" s="58" t="str">
        <f>작성용!B216</f>
        <v>티에스인베스트먼트</v>
      </c>
      <c r="F219" s="58" t="str">
        <f>작성용!C216</f>
        <v>재평가</v>
      </c>
      <c r="G219" s="58" t="str">
        <f>작성용!D216</f>
        <v>케이스마텍</v>
      </c>
      <c r="H219" s="59">
        <f>작성용!E216</f>
        <v>1101114350544</v>
      </c>
      <c r="I219" s="58" t="str">
        <f>작성용!F216</f>
        <v>A07</v>
      </c>
      <c r="J219" s="58">
        <f>작성용!G216</f>
        <v>0</v>
      </c>
      <c r="K219" s="58" t="str">
        <f>작성용!H216</f>
        <v>-</v>
      </c>
      <c r="L219" s="58" t="str">
        <f>작성용!N216</f>
        <v>연말</v>
      </c>
      <c r="M219" s="57" t="str">
        <f>작성용!U216</f>
        <v>2024.09.30</v>
      </c>
      <c r="N219" s="57">
        <f>작성용!V216</f>
        <v>45604</v>
      </c>
      <c r="O219" s="57">
        <f>작성용!W216</f>
        <v>45610</v>
      </c>
      <c r="P219" s="57" t="str">
        <f>작성용!X216</f>
        <v>-</v>
      </c>
      <c r="Q219" s="58" t="str">
        <f>작성용!AD216</f>
        <v>김에스더</v>
      </c>
      <c r="R219" s="60">
        <f>작성용!AE216</f>
        <v>1</v>
      </c>
      <c r="S219" s="58" t="str">
        <f>작성용!AF216</f>
        <v>고명주</v>
      </c>
      <c r="T219" s="61" t="str">
        <f>작성용!AG216</f>
        <v>유재호</v>
      </c>
      <c r="U219" s="61" t="str">
        <f>작성용!AH216</f>
        <v>유재호</v>
      </c>
      <c r="V219" s="56">
        <f>작성용!AA216</f>
        <v>202411</v>
      </c>
      <c r="W219" s="58" t="str">
        <f>작성용!AC216</f>
        <v>[Y]금융기관</v>
      </c>
      <c r="X219" s="58" t="str">
        <f>작성용!O216</f>
        <v>관리본부임혁빈부장</v>
      </c>
      <c r="Y219" s="58" t="str">
        <f>작성용!P216</f>
        <v>02-6250-5705,010-2247-5835</v>
      </c>
      <c r="Z219" s="58" t="str">
        <f>작성용!Q216</f>
        <v>imhb@tsinvestment.co.kr; jwlee@tsinvestment.co.kr; yj.kim@tsinvestment.co.kr</v>
      </c>
      <c r="AA219" s="56" t="str">
        <f>작성용!AJ216</f>
        <v>교직원공제회/고용보험기금제출</v>
      </c>
      <c r="AB219" s="56">
        <f>작성용!AB216</f>
        <v>0</v>
      </c>
    </row>
    <row r="220" spans="1:28" s="12" customFormat="1" ht="16.5" hidden="1" customHeight="1" x14ac:dyDescent="0.3">
      <c r="A220" s="54">
        <f>작성용!AL217</f>
        <v>216</v>
      </c>
      <c r="B220" s="55" t="str">
        <f>작성용!AI217</f>
        <v>-</v>
      </c>
      <c r="C220" s="56" t="str">
        <f>작성용!AK217</f>
        <v>개별종목</v>
      </c>
      <c r="D220" s="57">
        <f>작성용!T217</f>
        <v>45573</v>
      </c>
      <c r="E220" s="58" t="str">
        <f>작성용!B217</f>
        <v>티에스인베스트먼트</v>
      </c>
      <c r="F220" s="58" t="str">
        <f>작성용!C217</f>
        <v>재평가</v>
      </c>
      <c r="G220" s="58" t="str">
        <f>작성용!D217</f>
        <v>쿠캣</v>
      </c>
      <c r="H220" s="59">
        <f>작성용!E217</f>
        <v>1101115470341</v>
      </c>
      <c r="I220" s="58" t="str">
        <f>작성용!F217</f>
        <v>A01</v>
      </c>
      <c r="J220" s="58">
        <f>작성용!G217</f>
        <v>0</v>
      </c>
      <c r="K220" s="58" t="str">
        <f>작성용!H217</f>
        <v>-</v>
      </c>
      <c r="L220" s="58" t="str">
        <f>작성용!N217</f>
        <v>연말</v>
      </c>
      <c r="M220" s="57" t="str">
        <f>작성용!U217</f>
        <v>2024.09.30</v>
      </c>
      <c r="N220" s="57">
        <f>작성용!V217</f>
        <v>45604</v>
      </c>
      <c r="O220" s="57">
        <f>작성용!W217</f>
        <v>45610</v>
      </c>
      <c r="P220" s="57" t="str">
        <f>작성용!X217</f>
        <v>-</v>
      </c>
      <c r="Q220" s="58" t="str">
        <f>작성용!AD217</f>
        <v>백형진</v>
      </c>
      <c r="R220" s="60">
        <f>작성용!AE217</f>
        <v>1</v>
      </c>
      <c r="S220" s="58" t="str">
        <f>작성용!AF217</f>
        <v>백형진</v>
      </c>
      <c r="T220" s="61" t="str">
        <f>작성용!AG217</f>
        <v>유재호</v>
      </c>
      <c r="U220" s="61" t="str">
        <f>작성용!AH217</f>
        <v>유재호</v>
      </c>
      <c r="V220" s="56">
        <f>작성용!AA217</f>
        <v>202411</v>
      </c>
      <c r="W220" s="58" t="str">
        <f>작성용!AC217</f>
        <v>[Y]금융기관</v>
      </c>
      <c r="X220" s="58" t="str">
        <f>작성용!O217</f>
        <v>관리본부임혁빈부장</v>
      </c>
      <c r="Y220" s="58" t="str">
        <f>작성용!P217</f>
        <v>02-6250-5705,010-2247-5835</v>
      </c>
      <c r="Z220" s="58" t="str">
        <f>작성용!Q217</f>
        <v>imhb@tsinvestment.co.kr; jwlee@tsinvestment.co.kr; yj.kim@tsinvestment.co.kr</v>
      </c>
      <c r="AA220" s="56" t="str">
        <f>작성용!AJ217</f>
        <v>교직원공제회/고용보험기금제출</v>
      </c>
      <c r="AB220" s="56">
        <f>작성용!AB217</f>
        <v>0</v>
      </c>
    </row>
    <row r="221" spans="1:28" s="12" customFormat="1" ht="16.5" hidden="1" customHeight="1" x14ac:dyDescent="0.3">
      <c r="A221" s="54">
        <f>작성용!AL218</f>
        <v>217</v>
      </c>
      <c r="B221" s="55" t="str">
        <f>작성용!AI218</f>
        <v>-</v>
      </c>
      <c r="C221" s="56" t="str">
        <f>작성용!AK218</f>
        <v>개별종목</v>
      </c>
      <c r="D221" s="57">
        <f>작성용!T218</f>
        <v>45573</v>
      </c>
      <c r="E221" s="58" t="str">
        <f>작성용!B218</f>
        <v>티에스인베스트먼트</v>
      </c>
      <c r="F221" s="58" t="str">
        <f>작성용!C218</f>
        <v>재평가</v>
      </c>
      <c r="G221" s="58" t="str">
        <f>작성용!D218</f>
        <v>인엘씨테크놀러지</v>
      </c>
      <c r="H221" s="59">
        <f>작성용!E218</f>
        <v>2001110288964</v>
      </c>
      <c r="I221" s="58" t="str">
        <f>작성용!F218</f>
        <v>A07</v>
      </c>
      <c r="J221" s="58">
        <f>작성용!G218</f>
        <v>0</v>
      </c>
      <c r="K221" s="58" t="str">
        <f>작성용!H218</f>
        <v>-</v>
      </c>
      <c r="L221" s="58" t="str">
        <f>작성용!N218</f>
        <v>연말</v>
      </c>
      <c r="M221" s="57" t="str">
        <f>작성용!U218</f>
        <v>2024.09.30</v>
      </c>
      <c r="N221" s="57">
        <f>작성용!V218</f>
        <v>45604</v>
      </c>
      <c r="O221" s="57">
        <f>작성용!W218</f>
        <v>45610</v>
      </c>
      <c r="P221" s="57" t="str">
        <f>작성용!X218</f>
        <v>-</v>
      </c>
      <c r="Q221" s="58" t="str">
        <f>작성용!AD218</f>
        <v>정재형</v>
      </c>
      <c r="R221" s="60">
        <f>작성용!AE218</f>
        <v>1</v>
      </c>
      <c r="S221" s="58" t="str">
        <f>작성용!AF218</f>
        <v>정재형</v>
      </c>
      <c r="T221" s="61" t="str">
        <f>작성용!AG218</f>
        <v>유재호</v>
      </c>
      <c r="U221" s="61" t="str">
        <f>작성용!AH218</f>
        <v>유재호</v>
      </c>
      <c r="V221" s="56">
        <f>작성용!AA218</f>
        <v>202411</v>
      </c>
      <c r="W221" s="58" t="str">
        <f>작성용!AC218</f>
        <v>[Y]금융기관</v>
      </c>
      <c r="X221" s="58" t="str">
        <f>작성용!O218</f>
        <v>관리본부임혁빈부장</v>
      </c>
      <c r="Y221" s="58" t="str">
        <f>작성용!P218</f>
        <v>02-6250-5705,010-2247-5835</v>
      </c>
      <c r="Z221" s="58" t="str">
        <f>작성용!Q218</f>
        <v>imhb@tsinvestment.co.kr; jwlee@tsinvestment.co.kr; yj.kim@tsinvestment.co.kr</v>
      </c>
      <c r="AA221" s="56" t="str">
        <f>작성용!AJ218</f>
        <v>교직원공제회/고용보험기금제출</v>
      </c>
      <c r="AB221" s="56">
        <f>작성용!AB218</f>
        <v>0</v>
      </c>
    </row>
    <row r="222" spans="1:28" s="12" customFormat="1" ht="16.5" hidden="1" customHeight="1" x14ac:dyDescent="0.3">
      <c r="A222" s="54">
        <f>작성용!AL219</f>
        <v>218</v>
      </c>
      <c r="B222" s="55" t="str">
        <f>작성용!AI219</f>
        <v>-</v>
      </c>
      <c r="C222" s="56" t="str">
        <f>작성용!AK219</f>
        <v>개별종목</v>
      </c>
      <c r="D222" s="57">
        <f>작성용!T219</f>
        <v>45573</v>
      </c>
      <c r="E222" s="58" t="str">
        <f>작성용!B219</f>
        <v>티에스인베스트먼트</v>
      </c>
      <c r="F222" s="58" t="str">
        <f>작성용!C219</f>
        <v>재평가</v>
      </c>
      <c r="G222" s="58" t="str">
        <f>작성용!D219</f>
        <v>라우드코퍼레이션(구,라우드커뮤니케이션즈)</v>
      </c>
      <c r="H222" s="59">
        <f>작성용!E219</f>
        <v>1101115366970</v>
      </c>
      <c r="I222" s="58" t="str">
        <f>작성용!F219</f>
        <v>A01</v>
      </c>
      <c r="J222" s="58">
        <f>작성용!G219</f>
        <v>0</v>
      </c>
      <c r="K222" s="58" t="str">
        <f>작성용!H219</f>
        <v>-</v>
      </c>
      <c r="L222" s="58" t="str">
        <f>작성용!N219</f>
        <v>연말</v>
      </c>
      <c r="M222" s="57" t="str">
        <f>작성용!U219</f>
        <v>2024.09.30</v>
      </c>
      <c r="N222" s="57">
        <f>작성용!V219</f>
        <v>45604</v>
      </c>
      <c r="O222" s="57">
        <f>작성용!W219</f>
        <v>45610</v>
      </c>
      <c r="P222" s="57" t="str">
        <f>작성용!X219</f>
        <v>-</v>
      </c>
      <c r="Q222" s="58" t="str">
        <f>작성용!AD219</f>
        <v>이문수</v>
      </c>
      <c r="R222" s="60">
        <f>작성용!AE219</f>
        <v>1</v>
      </c>
      <c r="S222" s="58" t="str">
        <f>작성용!AF219</f>
        <v>김범준</v>
      </c>
      <c r="T222" s="61" t="str">
        <f>작성용!AG219</f>
        <v>유재호</v>
      </c>
      <c r="U222" s="61" t="str">
        <f>작성용!AH219</f>
        <v>유재호</v>
      </c>
      <c r="V222" s="56">
        <f>작성용!AA219</f>
        <v>202411</v>
      </c>
      <c r="W222" s="58" t="str">
        <f>작성용!AC219</f>
        <v>[Y]금융기관</v>
      </c>
      <c r="X222" s="58" t="str">
        <f>작성용!O219</f>
        <v>관리본부임혁빈부장</v>
      </c>
      <c r="Y222" s="58" t="str">
        <f>작성용!P219</f>
        <v>02-6250-5705,010-2247-5835</v>
      </c>
      <c r="Z222" s="58" t="str">
        <f>작성용!Q219</f>
        <v>imhb@tsinvestment.co.kr; jwlee@tsinvestment.co.kr; yj.kim@tsinvestment.co.kr</v>
      </c>
      <c r="AA222" s="56" t="str">
        <f>작성용!AJ219</f>
        <v>국민연금제출</v>
      </c>
      <c r="AB222" s="56">
        <f>작성용!AB219</f>
        <v>0</v>
      </c>
    </row>
    <row r="223" spans="1:28" s="12" customFormat="1" ht="16.5" hidden="1" customHeight="1" x14ac:dyDescent="0.3">
      <c r="A223" s="54">
        <f>작성용!AL220</f>
        <v>219</v>
      </c>
      <c r="B223" s="55" t="str">
        <f>작성용!AI220</f>
        <v>-</v>
      </c>
      <c r="C223" s="56" t="str">
        <f>작성용!AK220</f>
        <v>개별종목</v>
      </c>
      <c r="D223" s="57">
        <f>작성용!T220</f>
        <v>45573</v>
      </c>
      <c r="E223" s="58" t="str">
        <f>작성용!B220</f>
        <v>티에스인베스트먼트</v>
      </c>
      <c r="F223" s="58" t="str">
        <f>작성용!C220</f>
        <v>재평가</v>
      </c>
      <c r="G223" s="58" t="str">
        <f>작성용!D220</f>
        <v>라우드코퍼레이션(구,라우드커뮤니케이션즈)</v>
      </c>
      <c r="H223" s="59">
        <f>작성용!E220</f>
        <v>1101115366970</v>
      </c>
      <c r="I223" s="58" t="str">
        <f>작성용!F220</f>
        <v>A07</v>
      </c>
      <c r="J223" s="58">
        <f>작성용!G220</f>
        <v>0</v>
      </c>
      <c r="K223" s="58" t="str">
        <f>작성용!H220</f>
        <v>-</v>
      </c>
      <c r="L223" s="58" t="str">
        <f>작성용!N220</f>
        <v>연말</v>
      </c>
      <c r="M223" s="57" t="str">
        <f>작성용!U220</f>
        <v>2024.09.30</v>
      </c>
      <c r="N223" s="57">
        <f>작성용!V220</f>
        <v>45604</v>
      </c>
      <c r="O223" s="57">
        <f>작성용!W220</f>
        <v>45610</v>
      </c>
      <c r="P223" s="57" t="str">
        <f>작성용!X220</f>
        <v>-</v>
      </c>
      <c r="Q223" s="58" t="str">
        <f>작성용!AD220</f>
        <v>이문수</v>
      </c>
      <c r="R223" s="60">
        <f>작성용!AE220</f>
        <v>0</v>
      </c>
      <c r="S223" s="58" t="str">
        <f>작성용!AF220</f>
        <v>김범준</v>
      </c>
      <c r="T223" s="61" t="str">
        <f>작성용!AG220</f>
        <v>유재호</v>
      </c>
      <c r="U223" s="61" t="str">
        <f>작성용!AH220</f>
        <v>유재호</v>
      </c>
      <c r="V223" s="56">
        <f>작성용!AA220</f>
        <v>202411</v>
      </c>
      <c r="W223" s="58" t="str">
        <f>작성용!AC220</f>
        <v>[Y]금융기관</v>
      </c>
      <c r="X223" s="58" t="str">
        <f>작성용!O220</f>
        <v>관리본부임혁빈부장</v>
      </c>
      <c r="Y223" s="58" t="str">
        <f>작성용!P220</f>
        <v>02-6250-5705,010-2247-5835</v>
      </c>
      <c r="Z223" s="58" t="str">
        <f>작성용!Q220</f>
        <v>imhb@tsinvestment.co.kr; jwlee@tsinvestment.co.kr; yj.kim@tsinvestment.co.kr</v>
      </c>
      <c r="AA223" s="56" t="str">
        <f>작성용!AJ220</f>
        <v>국민연금제출</v>
      </c>
      <c r="AB223" s="56">
        <f>작성용!AB220</f>
        <v>0</v>
      </c>
    </row>
    <row r="224" spans="1:28" s="12" customFormat="1" ht="16.5" hidden="1" customHeight="1" x14ac:dyDescent="0.3">
      <c r="A224" s="54">
        <f>작성용!AL221</f>
        <v>220</v>
      </c>
      <c r="B224" s="55" t="str">
        <f>작성용!AI221</f>
        <v>-</v>
      </c>
      <c r="C224" s="56" t="str">
        <f>작성용!AK221</f>
        <v>개별종목</v>
      </c>
      <c r="D224" s="57">
        <f>작성용!T221</f>
        <v>45573</v>
      </c>
      <c r="E224" s="58" t="str">
        <f>작성용!B221</f>
        <v>티에스인베스트먼트</v>
      </c>
      <c r="F224" s="58" t="str">
        <f>작성용!C221</f>
        <v>재평가</v>
      </c>
      <c r="G224" s="58" t="str">
        <f>작성용!D221</f>
        <v>프리드라이프</v>
      </c>
      <c r="H224" s="59">
        <f>작성용!E221</f>
        <v>2301110083681</v>
      </c>
      <c r="I224" s="58" t="str">
        <f>작성용!F221</f>
        <v>A01</v>
      </c>
      <c r="J224" s="58">
        <f>작성용!G221</f>
        <v>0</v>
      </c>
      <c r="K224" s="58" t="str">
        <f>작성용!H221</f>
        <v>Y</v>
      </c>
      <c r="L224" s="58" t="str">
        <f>작성용!N221</f>
        <v>연말</v>
      </c>
      <c r="M224" s="57" t="str">
        <f>작성용!U221</f>
        <v>2024.09.30</v>
      </c>
      <c r="N224" s="57">
        <f>작성용!V221</f>
        <v>45604</v>
      </c>
      <c r="O224" s="57">
        <f>작성용!W221</f>
        <v>45610</v>
      </c>
      <c r="P224" s="57" t="str">
        <f>작성용!X221</f>
        <v>-</v>
      </c>
      <c r="Q224" s="58" t="str">
        <f>작성용!AD221</f>
        <v>변혜진</v>
      </c>
      <c r="R224" s="60">
        <f>작성용!AE221</f>
        <v>1</v>
      </c>
      <c r="S224" s="58" t="str">
        <f>작성용!AF221</f>
        <v>변혜진</v>
      </c>
      <c r="T224" s="61" t="str">
        <f>작성용!AG221</f>
        <v>유재호</v>
      </c>
      <c r="U224" s="61" t="str">
        <f>작성용!AH221</f>
        <v>유재호</v>
      </c>
      <c r="V224" s="56">
        <f>작성용!AA221</f>
        <v>202411</v>
      </c>
      <c r="W224" s="58" t="str">
        <f>작성용!AC221</f>
        <v>[Y]금융기관</v>
      </c>
      <c r="X224" s="58" t="str">
        <f>작성용!O221</f>
        <v>관리본부임혁빈부장</v>
      </c>
      <c r="Y224" s="58" t="str">
        <f>작성용!P221</f>
        <v>02-6250-5705,010-2247-5835</v>
      </c>
      <c r="Z224" s="58" t="str">
        <f>작성용!Q221</f>
        <v>imhb@tsinvestment.co.kr; jwlee@tsinvestment.co.kr; yj.kim@tsinvestment.co.kr</v>
      </c>
      <c r="AA224" s="56" t="str">
        <f>작성용!AJ221</f>
        <v>국민연금제출</v>
      </c>
      <c r="AB224" s="56">
        <f>작성용!AB221</f>
        <v>0</v>
      </c>
    </row>
    <row r="225" spans="1:28" s="12" customFormat="1" ht="16.5" hidden="1" customHeight="1" x14ac:dyDescent="0.3">
      <c r="A225" s="54">
        <f>작성용!AL222</f>
        <v>221</v>
      </c>
      <c r="B225" s="55" t="str">
        <f>작성용!AI222</f>
        <v>-</v>
      </c>
      <c r="C225" s="56" t="str">
        <f>작성용!AK222</f>
        <v>개별종목</v>
      </c>
      <c r="D225" s="57">
        <f>작성용!T222</f>
        <v>45573</v>
      </c>
      <c r="E225" s="58" t="str">
        <f>작성용!B222</f>
        <v>티에스인베스트먼트</v>
      </c>
      <c r="F225" s="58" t="str">
        <f>작성용!C222</f>
        <v>재평가</v>
      </c>
      <c r="G225" s="58" t="str">
        <f>작성용!D222</f>
        <v>아밀로이드솔루션</v>
      </c>
      <c r="H225" s="59">
        <f>작성용!E222</f>
        <v>1311110492428</v>
      </c>
      <c r="I225" s="58" t="str">
        <f>작성용!F222</f>
        <v>A07</v>
      </c>
      <c r="J225" s="58">
        <f>작성용!G222</f>
        <v>0</v>
      </c>
      <c r="K225" s="58" t="str">
        <f>작성용!H222</f>
        <v>-</v>
      </c>
      <c r="L225" s="58" t="str">
        <f>작성용!N222</f>
        <v>연말</v>
      </c>
      <c r="M225" s="57" t="str">
        <f>작성용!U222</f>
        <v>2024.09.30</v>
      </c>
      <c r="N225" s="57">
        <f>작성용!V222</f>
        <v>45604</v>
      </c>
      <c r="O225" s="57">
        <f>작성용!W222</f>
        <v>45610</v>
      </c>
      <c r="P225" s="57" t="str">
        <f>작성용!X222</f>
        <v>-</v>
      </c>
      <c r="Q225" s="58" t="str">
        <f>작성용!AD222</f>
        <v>정은채</v>
      </c>
      <c r="R225" s="60">
        <f>작성용!AE222</f>
        <v>1</v>
      </c>
      <c r="S225" s="58" t="str">
        <f>작성용!AF222</f>
        <v>김범준</v>
      </c>
      <c r="T225" s="61" t="str">
        <f>작성용!AG222</f>
        <v>유재호</v>
      </c>
      <c r="U225" s="61" t="str">
        <f>작성용!AH222</f>
        <v>유재호</v>
      </c>
      <c r="V225" s="56">
        <f>작성용!AA222</f>
        <v>202411</v>
      </c>
      <c r="W225" s="58" t="str">
        <f>작성용!AC222</f>
        <v>[Y]금융기관</v>
      </c>
      <c r="X225" s="58" t="str">
        <f>작성용!O222</f>
        <v>관리본부임혁빈부장</v>
      </c>
      <c r="Y225" s="58" t="str">
        <f>작성용!P222</f>
        <v>02-6250-5705,010-2247-5835</v>
      </c>
      <c r="Z225" s="58" t="str">
        <f>작성용!Q222</f>
        <v>imhb@tsinvestment.co.kr; jwlee@tsinvestment.co.kr; yj.kim@tsinvestment.co.kr</v>
      </c>
      <c r="AA225" s="56" t="str">
        <f>작성용!AJ222</f>
        <v>국민연금제출</v>
      </c>
      <c r="AB225" s="56">
        <f>작성용!AB222</f>
        <v>0</v>
      </c>
    </row>
    <row r="226" spans="1:28" s="12" customFormat="1" ht="16.5" hidden="1" customHeight="1" x14ac:dyDescent="0.3">
      <c r="A226" s="54">
        <f>작성용!AL223</f>
        <v>222</v>
      </c>
      <c r="B226" s="55" t="str">
        <f>작성용!AI223</f>
        <v>-</v>
      </c>
      <c r="C226" s="56" t="str">
        <f>작성용!AK223</f>
        <v>개별종목</v>
      </c>
      <c r="D226" s="57">
        <f>작성용!T223</f>
        <v>45573</v>
      </c>
      <c r="E226" s="58" t="str">
        <f>작성용!B223</f>
        <v>티에스인베스트먼트</v>
      </c>
      <c r="F226" s="58" t="str">
        <f>작성용!C223</f>
        <v>재평가</v>
      </c>
      <c r="G226" s="58" t="str">
        <f>작성용!D223</f>
        <v>트립비토즈</v>
      </c>
      <c r="H226" s="59">
        <f>작성용!E223</f>
        <v>1101115823342</v>
      </c>
      <c r="I226" s="58" t="str">
        <f>작성용!F223</f>
        <v>A07</v>
      </c>
      <c r="J226" s="58">
        <f>작성용!G223</f>
        <v>0</v>
      </c>
      <c r="K226" s="58" t="str">
        <f>작성용!H223</f>
        <v>-</v>
      </c>
      <c r="L226" s="58" t="str">
        <f>작성용!N223</f>
        <v>연말</v>
      </c>
      <c r="M226" s="57" t="str">
        <f>작성용!U223</f>
        <v>2024.09.30</v>
      </c>
      <c r="N226" s="57">
        <f>작성용!V223</f>
        <v>45604</v>
      </c>
      <c r="O226" s="57">
        <f>작성용!W223</f>
        <v>45610</v>
      </c>
      <c r="P226" s="57" t="str">
        <f>작성용!X223</f>
        <v>-</v>
      </c>
      <c r="Q226" s="58" t="str">
        <f>작성용!AD223</f>
        <v>강성은</v>
      </c>
      <c r="R226" s="60">
        <f>작성용!AE223</f>
        <v>1</v>
      </c>
      <c r="S226" s="58" t="str">
        <f>작성용!AF223</f>
        <v>강성은</v>
      </c>
      <c r="T226" s="61" t="str">
        <f>작성용!AG223</f>
        <v>유재호</v>
      </c>
      <c r="U226" s="61" t="str">
        <f>작성용!AH223</f>
        <v>유재호</v>
      </c>
      <c r="V226" s="56">
        <f>작성용!AA223</f>
        <v>202411</v>
      </c>
      <c r="W226" s="58" t="str">
        <f>작성용!AC223</f>
        <v>[Y]금융기관</v>
      </c>
      <c r="X226" s="58" t="str">
        <f>작성용!O223</f>
        <v>관리본부임혁빈부장</v>
      </c>
      <c r="Y226" s="58" t="str">
        <f>작성용!P223</f>
        <v>02-6250-5705,010-2247-5835</v>
      </c>
      <c r="Z226" s="58" t="str">
        <f>작성용!Q223</f>
        <v>imhb@tsinvestment.co.kr; jwlee@tsinvestment.co.kr; yj.kim@tsinvestment.co.kr</v>
      </c>
      <c r="AA226" s="56" t="str">
        <f>작성용!AJ223</f>
        <v>국민연금제출</v>
      </c>
      <c r="AB226" s="56">
        <f>작성용!AB223</f>
        <v>0</v>
      </c>
    </row>
    <row r="227" spans="1:28" s="12" customFormat="1" ht="16.5" hidden="1" customHeight="1" x14ac:dyDescent="0.3">
      <c r="A227" s="54">
        <f>작성용!AL224</f>
        <v>223</v>
      </c>
      <c r="B227" s="55" t="str">
        <f>작성용!AI224</f>
        <v>-</v>
      </c>
      <c r="C227" s="56" t="str">
        <f>작성용!AK224</f>
        <v>개별종목</v>
      </c>
      <c r="D227" s="57">
        <f>작성용!T224</f>
        <v>45573</v>
      </c>
      <c r="E227" s="58" t="str">
        <f>작성용!B224</f>
        <v>티에스인베스트먼트</v>
      </c>
      <c r="F227" s="58" t="str">
        <f>작성용!C224</f>
        <v>재평가</v>
      </c>
      <c r="G227" s="58" t="str">
        <f>작성용!D224</f>
        <v>트립비토즈</v>
      </c>
      <c r="H227" s="59">
        <f>작성용!E224</f>
        <v>1101115823342</v>
      </c>
      <c r="I227" s="58" t="str">
        <f>작성용!F224</f>
        <v>A07</v>
      </c>
      <c r="J227" s="58">
        <f>작성용!G224</f>
        <v>1</v>
      </c>
      <c r="K227" s="58" t="str">
        <f>작성용!H224</f>
        <v>-</v>
      </c>
      <c r="L227" s="58" t="str">
        <f>작성용!N224</f>
        <v>연말</v>
      </c>
      <c r="M227" s="57" t="str">
        <f>작성용!U224</f>
        <v>2024.09.30</v>
      </c>
      <c r="N227" s="57">
        <f>작성용!V224</f>
        <v>45604</v>
      </c>
      <c r="O227" s="57">
        <f>작성용!W224</f>
        <v>45610</v>
      </c>
      <c r="P227" s="57" t="str">
        <f>작성용!X224</f>
        <v>-</v>
      </c>
      <c r="Q227" s="58" t="str">
        <f>작성용!AD224</f>
        <v>강성은</v>
      </c>
      <c r="R227" s="60">
        <f>작성용!AE224</f>
        <v>0</v>
      </c>
      <c r="S227" s="58" t="str">
        <f>작성용!AF224</f>
        <v>강성은</v>
      </c>
      <c r="T227" s="61" t="str">
        <f>작성용!AG224</f>
        <v>유재호</v>
      </c>
      <c r="U227" s="61" t="str">
        <f>작성용!AH224</f>
        <v>유재호</v>
      </c>
      <c r="V227" s="56">
        <f>작성용!AA224</f>
        <v>202411</v>
      </c>
      <c r="W227" s="58" t="str">
        <f>작성용!AC224</f>
        <v>[Y]금융기관</v>
      </c>
      <c r="X227" s="58" t="str">
        <f>작성용!O224</f>
        <v>관리본부임혁빈부장</v>
      </c>
      <c r="Y227" s="58" t="str">
        <f>작성용!P224</f>
        <v>02-6250-5705,010-2247-5835</v>
      </c>
      <c r="Z227" s="58" t="str">
        <f>작성용!Q224</f>
        <v>imhb@tsinvestment.co.kr; jwlee@tsinvestment.co.kr; yj.kim@tsinvestment.co.kr</v>
      </c>
      <c r="AA227" s="56" t="str">
        <f>작성용!AJ224</f>
        <v>국민연금제출</v>
      </c>
      <c r="AB227" s="56">
        <f>작성용!AB224</f>
        <v>0</v>
      </c>
    </row>
    <row r="228" spans="1:28" s="12" customFormat="1" ht="16.5" hidden="1" customHeight="1" x14ac:dyDescent="0.3">
      <c r="A228" s="54">
        <f>작성용!AL225</f>
        <v>224</v>
      </c>
      <c r="B228" s="55" t="str">
        <f>작성용!AI225</f>
        <v>-</v>
      </c>
      <c r="C228" s="56" t="str">
        <f>작성용!AK225</f>
        <v>개별종목</v>
      </c>
      <c r="D228" s="57">
        <f>작성용!T225</f>
        <v>45573</v>
      </c>
      <c r="E228" s="58" t="str">
        <f>작성용!B225</f>
        <v>티에스인베스트먼트</v>
      </c>
      <c r="F228" s="58" t="str">
        <f>작성용!C225</f>
        <v>재평가</v>
      </c>
      <c r="G228" s="58" t="str">
        <f>작성용!D225</f>
        <v>파라메타(구,아이콘루프)</v>
      </c>
      <c r="H228" s="59">
        <f>작성용!E225</f>
        <v>1101116058807</v>
      </c>
      <c r="I228" s="58" t="str">
        <f>작성용!F225</f>
        <v>A07</v>
      </c>
      <c r="J228" s="58">
        <f>작성용!G225</f>
        <v>0</v>
      </c>
      <c r="K228" s="58" t="str">
        <f>작성용!H225</f>
        <v>-</v>
      </c>
      <c r="L228" s="58" t="str">
        <f>작성용!N225</f>
        <v>연말</v>
      </c>
      <c r="M228" s="57" t="str">
        <f>작성용!U225</f>
        <v>2024.09.30</v>
      </c>
      <c r="N228" s="57">
        <f>작성용!V225</f>
        <v>45604</v>
      </c>
      <c r="O228" s="57">
        <f>작성용!W225</f>
        <v>45610</v>
      </c>
      <c r="P228" s="57" t="str">
        <f>작성용!X225</f>
        <v>-</v>
      </c>
      <c r="Q228" s="58" t="str">
        <f>작성용!AD225</f>
        <v>강승현</v>
      </c>
      <c r="R228" s="60">
        <f>작성용!AE225</f>
        <v>1</v>
      </c>
      <c r="S228" s="58" t="str">
        <f>작성용!AF225</f>
        <v>강승현</v>
      </c>
      <c r="T228" s="61" t="str">
        <f>작성용!AG225</f>
        <v>유재호</v>
      </c>
      <c r="U228" s="61" t="str">
        <f>작성용!AH225</f>
        <v>유재호</v>
      </c>
      <c r="V228" s="56">
        <f>작성용!AA225</f>
        <v>202411</v>
      </c>
      <c r="W228" s="58" t="str">
        <f>작성용!AC225</f>
        <v>[Y]금융기관</v>
      </c>
      <c r="X228" s="58" t="str">
        <f>작성용!O225</f>
        <v>관리본부임혁빈부장</v>
      </c>
      <c r="Y228" s="58" t="str">
        <f>작성용!P225</f>
        <v>02-6250-5705,010-2247-5835</v>
      </c>
      <c r="Z228" s="58" t="str">
        <f>작성용!Q225</f>
        <v>imhb@tsinvestment.co.kr; jwlee@tsinvestment.co.kr; yj.kim@tsinvestment.co.kr</v>
      </c>
      <c r="AA228" s="56" t="str">
        <f>작성용!AJ225</f>
        <v>국민연금제출</v>
      </c>
      <c r="AB228" s="56">
        <f>작성용!AB225</f>
        <v>0</v>
      </c>
    </row>
    <row r="229" spans="1:28" s="12" customFormat="1" ht="16.5" hidden="1" customHeight="1" x14ac:dyDescent="0.3">
      <c r="A229" s="54">
        <f>작성용!AL226</f>
        <v>225</v>
      </c>
      <c r="B229" s="55" t="str">
        <f>작성용!AI226</f>
        <v>-</v>
      </c>
      <c r="C229" s="56" t="str">
        <f>작성용!AK226</f>
        <v>개별종목</v>
      </c>
      <c r="D229" s="57">
        <f>작성용!T226</f>
        <v>45573</v>
      </c>
      <c r="E229" s="58" t="str">
        <f>작성용!B226</f>
        <v>티에스인베스트먼트</v>
      </c>
      <c r="F229" s="58" t="str">
        <f>작성용!C226</f>
        <v>재평가</v>
      </c>
      <c r="G229" s="58" t="str">
        <f>작성용!D226</f>
        <v>디어젠</v>
      </c>
      <c r="H229" s="59">
        <f>작성용!E226</f>
        <v>1615110205835</v>
      </c>
      <c r="I229" s="58" t="str">
        <f>작성용!F226</f>
        <v>A07</v>
      </c>
      <c r="J229" s="58">
        <f>작성용!G226</f>
        <v>0</v>
      </c>
      <c r="K229" s="58" t="str">
        <f>작성용!H226</f>
        <v>-</v>
      </c>
      <c r="L229" s="58" t="str">
        <f>작성용!N226</f>
        <v>연말</v>
      </c>
      <c r="M229" s="57" t="str">
        <f>작성용!U226</f>
        <v>2024.09.30</v>
      </c>
      <c r="N229" s="57">
        <f>작성용!V226</f>
        <v>45604</v>
      </c>
      <c r="O229" s="57">
        <f>작성용!W226</f>
        <v>45610</v>
      </c>
      <c r="P229" s="57" t="str">
        <f>작성용!X226</f>
        <v>-</v>
      </c>
      <c r="Q229" s="58" t="str">
        <f>작성용!AD226</f>
        <v>채동우</v>
      </c>
      <c r="R229" s="60">
        <f>작성용!AE226</f>
        <v>1</v>
      </c>
      <c r="S229" s="58" t="str">
        <f>작성용!AF226</f>
        <v>채동우</v>
      </c>
      <c r="T229" s="61" t="str">
        <f>작성용!AG226</f>
        <v>유재호</v>
      </c>
      <c r="U229" s="61" t="str">
        <f>작성용!AH226</f>
        <v>유재호</v>
      </c>
      <c r="V229" s="56">
        <f>작성용!AA226</f>
        <v>202411</v>
      </c>
      <c r="W229" s="58" t="str">
        <f>작성용!AC226</f>
        <v>[Y]금융기관</v>
      </c>
      <c r="X229" s="58" t="str">
        <f>작성용!O226</f>
        <v>관리본부임혁빈부장</v>
      </c>
      <c r="Y229" s="58" t="str">
        <f>작성용!P226</f>
        <v>02-6250-5705,010-2247-5835</v>
      </c>
      <c r="Z229" s="58" t="str">
        <f>작성용!Q226</f>
        <v>imhb@tsinvestment.co.kr; jwlee@tsinvestment.co.kr; yj.kim@tsinvestment.co.kr</v>
      </c>
      <c r="AA229" s="56" t="str">
        <f>작성용!AJ226</f>
        <v>국민연금제출</v>
      </c>
      <c r="AB229" s="56">
        <f>작성용!AB226</f>
        <v>0</v>
      </c>
    </row>
    <row r="230" spans="1:28" s="12" customFormat="1" ht="16.5" hidden="1" customHeight="1" x14ac:dyDescent="0.3">
      <c r="A230" s="54">
        <f>작성용!AL227</f>
        <v>226</v>
      </c>
      <c r="B230" s="55" t="str">
        <f>작성용!AI227</f>
        <v>-</v>
      </c>
      <c r="C230" s="56" t="str">
        <f>작성용!AK227</f>
        <v>개별종목</v>
      </c>
      <c r="D230" s="57">
        <f>작성용!T227</f>
        <v>45573</v>
      </c>
      <c r="E230" s="58" t="str">
        <f>작성용!B227</f>
        <v>티에스인베스트먼트</v>
      </c>
      <c r="F230" s="58" t="str">
        <f>작성용!C227</f>
        <v>재평가</v>
      </c>
      <c r="G230" s="58" t="str">
        <f>작성용!D227</f>
        <v>디어젠</v>
      </c>
      <c r="H230" s="59">
        <f>작성용!E227</f>
        <v>1615110205835</v>
      </c>
      <c r="I230" s="58" t="str">
        <f>작성용!F227</f>
        <v>A07</v>
      </c>
      <c r="J230" s="58">
        <f>작성용!G227</f>
        <v>1</v>
      </c>
      <c r="K230" s="58" t="str">
        <f>작성용!H227</f>
        <v>-</v>
      </c>
      <c r="L230" s="58" t="str">
        <f>작성용!N227</f>
        <v>연말</v>
      </c>
      <c r="M230" s="57" t="str">
        <f>작성용!U227</f>
        <v>2024.09.30</v>
      </c>
      <c r="N230" s="57">
        <f>작성용!V227</f>
        <v>45604</v>
      </c>
      <c r="O230" s="57">
        <f>작성용!W227</f>
        <v>45610</v>
      </c>
      <c r="P230" s="57" t="str">
        <f>작성용!X227</f>
        <v>-</v>
      </c>
      <c r="Q230" s="58" t="str">
        <f>작성용!AD227</f>
        <v>채동우</v>
      </c>
      <c r="R230" s="60">
        <f>작성용!AE227</f>
        <v>0</v>
      </c>
      <c r="S230" s="58" t="str">
        <f>작성용!AF227</f>
        <v>채동우</v>
      </c>
      <c r="T230" s="61" t="str">
        <f>작성용!AG227</f>
        <v>유재호</v>
      </c>
      <c r="U230" s="61" t="str">
        <f>작성용!AH227</f>
        <v>유재호</v>
      </c>
      <c r="V230" s="56">
        <f>작성용!AA227</f>
        <v>202411</v>
      </c>
      <c r="W230" s="58" t="str">
        <f>작성용!AC227</f>
        <v>[Y]금융기관</v>
      </c>
      <c r="X230" s="58" t="str">
        <f>작성용!O227</f>
        <v>관리본부임혁빈부장</v>
      </c>
      <c r="Y230" s="58" t="str">
        <f>작성용!P227</f>
        <v>02-6250-5705,010-2247-5835</v>
      </c>
      <c r="Z230" s="58" t="str">
        <f>작성용!Q227</f>
        <v>imhb@tsinvestment.co.kr; jwlee@tsinvestment.co.kr; yj.kim@tsinvestment.co.kr</v>
      </c>
      <c r="AA230" s="56" t="str">
        <f>작성용!AJ227</f>
        <v>국민연금제출</v>
      </c>
      <c r="AB230" s="56">
        <f>작성용!AB227</f>
        <v>0</v>
      </c>
    </row>
    <row r="231" spans="1:28" s="12" customFormat="1" ht="16.5" hidden="1" customHeight="1" x14ac:dyDescent="0.3">
      <c r="A231" s="54">
        <f>작성용!AL228</f>
        <v>227</v>
      </c>
      <c r="B231" s="55" t="str">
        <f>작성용!AI228</f>
        <v>-</v>
      </c>
      <c r="C231" s="56" t="str">
        <f>작성용!AK228</f>
        <v>개별종목</v>
      </c>
      <c r="D231" s="57">
        <f>작성용!T228</f>
        <v>45573</v>
      </c>
      <c r="E231" s="58" t="str">
        <f>작성용!B228</f>
        <v>티에스인베스트먼트</v>
      </c>
      <c r="F231" s="58" t="str">
        <f>작성용!C228</f>
        <v>재평가</v>
      </c>
      <c r="G231" s="58" t="str">
        <f>작성용!D228</f>
        <v>디어젠</v>
      </c>
      <c r="H231" s="59">
        <f>작성용!E228</f>
        <v>1615110205835</v>
      </c>
      <c r="I231" s="58" t="str">
        <f>작성용!F228</f>
        <v>A07</v>
      </c>
      <c r="J231" s="58">
        <f>작성용!G228</f>
        <v>2</v>
      </c>
      <c r="K231" s="58" t="str">
        <f>작성용!H228</f>
        <v>-</v>
      </c>
      <c r="L231" s="58" t="str">
        <f>작성용!N228</f>
        <v>연말</v>
      </c>
      <c r="M231" s="57" t="str">
        <f>작성용!U228</f>
        <v>2024.09.30</v>
      </c>
      <c r="N231" s="57">
        <f>작성용!V228</f>
        <v>45604</v>
      </c>
      <c r="O231" s="57">
        <f>작성용!W228</f>
        <v>45610</v>
      </c>
      <c r="P231" s="57" t="str">
        <f>작성용!X228</f>
        <v>-</v>
      </c>
      <c r="Q231" s="58" t="str">
        <f>작성용!AD228</f>
        <v>채동우</v>
      </c>
      <c r="R231" s="60">
        <f>작성용!AE228</f>
        <v>0</v>
      </c>
      <c r="S231" s="58" t="str">
        <f>작성용!AF228</f>
        <v>채동우</v>
      </c>
      <c r="T231" s="61" t="str">
        <f>작성용!AG228</f>
        <v>유재호</v>
      </c>
      <c r="U231" s="61" t="str">
        <f>작성용!AH228</f>
        <v>유재호</v>
      </c>
      <c r="V231" s="56">
        <f>작성용!AA228</f>
        <v>202411</v>
      </c>
      <c r="W231" s="58" t="str">
        <f>작성용!AC228</f>
        <v>[Y]금융기관</v>
      </c>
      <c r="X231" s="58" t="str">
        <f>작성용!O228</f>
        <v>관리본부임혁빈부장</v>
      </c>
      <c r="Y231" s="58" t="str">
        <f>작성용!P228</f>
        <v>02-6250-5705,010-2247-5835</v>
      </c>
      <c r="Z231" s="58" t="str">
        <f>작성용!Q228</f>
        <v>imhb@tsinvestment.co.kr; jwlee@tsinvestment.co.kr; yj.kim@tsinvestment.co.kr</v>
      </c>
      <c r="AA231" s="56" t="str">
        <f>작성용!AJ228</f>
        <v>국민연금제출</v>
      </c>
      <c r="AB231" s="56">
        <f>작성용!AB228</f>
        <v>0</v>
      </c>
    </row>
    <row r="232" spans="1:28" s="12" customFormat="1" ht="16.5" hidden="1" customHeight="1" x14ac:dyDescent="0.3">
      <c r="A232" s="54">
        <f>작성용!AL229</f>
        <v>228</v>
      </c>
      <c r="B232" s="55" t="str">
        <f>작성용!AI229</f>
        <v>-</v>
      </c>
      <c r="C232" s="56" t="str">
        <f>작성용!AK229</f>
        <v>개별종목</v>
      </c>
      <c r="D232" s="57">
        <f>작성용!T229</f>
        <v>45573</v>
      </c>
      <c r="E232" s="58" t="str">
        <f>작성용!B229</f>
        <v>티에스인베스트먼트</v>
      </c>
      <c r="F232" s="58" t="str">
        <f>작성용!C229</f>
        <v>재평가</v>
      </c>
      <c r="G232" s="58" t="str">
        <f>작성용!D229</f>
        <v>아토세이프</v>
      </c>
      <c r="H232" s="59">
        <f>작성용!E229</f>
        <v>1101117771549</v>
      </c>
      <c r="I232" s="58" t="str">
        <f>작성용!F229</f>
        <v>A05</v>
      </c>
      <c r="J232" s="58">
        <f>작성용!G229</f>
        <v>0</v>
      </c>
      <c r="K232" s="58" t="str">
        <f>작성용!H229</f>
        <v>-</v>
      </c>
      <c r="L232" s="58" t="str">
        <f>작성용!N229</f>
        <v>연말</v>
      </c>
      <c r="M232" s="57" t="str">
        <f>작성용!U229</f>
        <v>2024.09.30</v>
      </c>
      <c r="N232" s="57">
        <f>작성용!V229</f>
        <v>45604</v>
      </c>
      <c r="O232" s="57">
        <f>작성용!W229</f>
        <v>45610</v>
      </c>
      <c r="P232" s="57" t="str">
        <f>작성용!X229</f>
        <v>-</v>
      </c>
      <c r="Q232" s="58" t="str">
        <f>작성용!AD229</f>
        <v>정재형</v>
      </c>
      <c r="R232" s="60">
        <f>작성용!AE229</f>
        <v>1</v>
      </c>
      <c r="S232" s="58" t="str">
        <f>작성용!AF229</f>
        <v>정재형</v>
      </c>
      <c r="T232" s="61" t="str">
        <f>작성용!AG229</f>
        <v>유재호</v>
      </c>
      <c r="U232" s="61" t="str">
        <f>작성용!AH229</f>
        <v>유재호</v>
      </c>
      <c r="V232" s="56">
        <f>작성용!AA229</f>
        <v>202411</v>
      </c>
      <c r="W232" s="58" t="str">
        <f>작성용!AC229</f>
        <v>[Y]금융기관</v>
      </c>
      <c r="X232" s="58" t="str">
        <f>작성용!O229</f>
        <v>관리본부임혁빈부장</v>
      </c>
      <c r="Y232" s="58" t="str">
        <f>작성용!P229</f>
        <v>02-6250-5705,010-2247-5835</v>
      </c>
      <c r="Z232" s="58" t="str">
        <f>작성용!Q229</f>
        <v>imhb@tsinvestment.co.kr; jwlee@tsinvestment.co.kr; yj.kim@tsinvestment.co.kr</v>
      </c>
      <c r="AA232" s="56" t="str">
        <f>작성용!AJ229</f>
        <v>국민연금제출</v>
      </c>
      <c r="AB232" s="56">
        <f>작성용!AB229</f>
        <v>0</v>
      </c>
    </row>
    <row r="233" spans="1:28" s="12" customFormat="1" ht="16.5" hidden="1" customHeight="1" x14ac:dyDescent="0.3">
      <c r="A233" s="54">
        <f>작성용!AL230</f>
        <v>229</v>
      </c>
      <c r="B233" s="55" t="str">
        <f>작성용!AI230</f>
        <v>-</v>
      </c>
      <c r="C233" s="56" t="str">
        <f>작성용!AK230</f>
        <v>개별종목</v>
      </c>
      <c r="D233" s="57">
        <f>작성용!T230</f>
        <v>45573</v>
      </c>
      <c r="E233" s="58" t="str">
        <f>작성용!B230</f>
        <v>티에스인베스트먼트</v>
      </c>
      <c r="F233" s="58" t="str">
        <f>작성용!C230</f>
        <v>재평가</v>
      </c>
      <c r="G233" s="58" t="str">
        <f>작성용!D230</f>
        <v>어플라이언스챔피언</v>
      </c>
      <c r="H233" s="59">
        <f>작성용!E230</f>
        <v>1101118193924</v>
      </c>
      <c r="I233" s="58" t="str">
        <f>작성용!F230</f>
        <v>A01</v>
      </c>
      <c r="J233" s="58">
        <f>작성용!G230</f>
        <v>0</v>
      </c>
      <c r="K233" s="58" t="str">
        <f>작성용!H230</f>
        <v>-</v>
      </c>
      <c r="L233" s="58" t="str">
        <f>작성용!N230</f>
        <v>연말</v>
      </c>
      <c r="M233" s="57" t="str">
        <f>작성용!U230</f>
        <v>2024.09.30</v>
      </c>
      <c r="N233" s="57">
        <f>작성용!V230</f>
        <v>45604</v>
      </c>
      <c r="O233" s="57">
        <f>작성용!W230</f>
        <v>45610</v>
      </c>
      <c r="P233" s="57" t="str">
        <f>작성용!X230</f>
        <v>-</v>
      </c>
      <c r="Q233" s="58" t="str">
        <f>작성용!AD230</f>
        <v>정은채</v>
      </c>
      <c r="R233" s="60">
        <f>작성용!AE230</f>
        <v>1</v>
      </c>
      <c r="S233" s="58" t="str">
        <f>작성용!AF230</f>
        <v>정은채</v>
      </c>
      <c r="T233" s="61" t="str">
        <f>작성용!AG230</f>
        <v>유재호</v>
      </c>
      <c r="U233" s="61" t="str">
        <f>작성용!AH230</f>
        <v>유재호</v>
      </c>
      <c r="V233" s="56">
        <f>작성용!AA230</f>
        <v>202411</v>
      </c>
      <c r="W233" s="58" t="str">
        <f>작성용!AC230</f>
        <v>[Y]금융기관</v>
      </c>
      <c r="X233" s="58" t="str">
        <f>작성용!O230</f>
        <v>관리본부임혁빈부장</v>
      </c>
      <c r="Y233" s="58" t="str">
        <f>작성용!P230</f>
        <v>02-6250-5705,010-2247-5835</v>
      </c>
      <c r="Z233" s="58" t="str">
        <f>작성용!Q230</f>
        <v>imhb@tsinvestment.co.kr; jwlee@tsinvestment.co.kr; yj.kim@tsinvestment.co.kr</v>
      </c>
      <c r="AA233" s="56" t="str">
        <f>작성용!AJ230</f>
        <v>국민연금제출</v>
      </c>
      <c r="AB233" s="56">
        <f>작성용!AB230</f>
        <v>0</v>
      </c>
    </row>
    <row r="234" spans="1:28" s="12" customFormat="1" ht="16.5" hidden="1" customHeight="1" x14ac:dyDescent="0.3">
      <c r="A234" s="54">
        <f>작성용!AL231</f>
        <v>230</v>
      </c>
      <c r="B234" s="55" t="str">
        <f>작성용!AI231</f>
        <v>-</v>
      </c>
      <c r="C234" s="56" t="str">
        <f>작성용!AK231</f>
        <v>개별종목</v>
      </c>
      <c r="D234" s="57">
        <f>작성용!T231</f>
        <v>45573</v>
      </c>
      <c r="E234" s="58" t="str">
        <f>작성용!B231</f>
        <v>티에스인베스트먼트</v>
      </c>
      <c r="F234" s="58" t="str">
        <f>작성용!C231</f>
        <v>신규</v>
      </c>
      <c r="G234" s="58" t="str">
        <f>작성용!D231</f>
        <v>삼진식품</v>
      </c>
      <c r="H234" s="59">
        <f>작성용!E231</f>
        <v>1801110991314</v>
      </c>
      <c r="I234" s="58" t="str">
        <f>작성용!F231</f>
        <v>A07</v>
      </c>
      <c r="J234" s="58">
        <f>작성용!G231</f>
        <v>77</v>
      </c>
      <c r="K234" s="58" t="str">
        <f>작성용!H231</f>
        <v>-</v>
      </c>
      <c r="L234" s="58" t="str">
        <f>작성용!N231</f>
        <v>연말</v>
      </c>
      <c r="M234" s="57" t="str">
        <f>작성용!U231</f>
        <v>2024.09.30</v>
      </c>
      <c r="N234" s="57">
        <f>작성용!V231</f>
        <v>45604</v>
      </c>
      <c r="O234" s="57">
        <f>작성용!W231</f>
        <v>45610</v>
      </c>
      <c r="P234" s="57" t="str">
        <f>작성용!X231</f>
        <v>-</v>
      </c>
      <c r="Q234" s="58" t="str">
        <f>작성용!AD231</f>
        <v>서동현</v>
      </c>
      <c r="R234" s="60">
        <f>작성용!AE231</f>
        <v>1</v>
      </c>
      <c r="S234" s="58" t="str">
        <f>작성용!AF231</f>
        <v>서동현</v>
      </c>
      <c r="T234" s="61" t="str">
        <f>작성용!AG231</f>
        <v>유재호</v>
      </c>
      <c r="U234" s="61" t="str">
        <f>작성용!AH231</f>
        <v>유재호</v>
      </c>
      <c r="V234" s="56">
        <f>작성용!AA231</f>
        <v>202411</v>
      </c>
      <c r="W234" s="58" t="str">
        <f>작성용!AC231</f>
        <v>[Y]금융기관</v>
      </c>
      <c r="X234" s="58" t="str">
        <f>작성용!O231</f>
        <v>관리본부임혁빈부장</v>
      </c>
      <c r="Y234" s="58" t="str">
        <f>작성용!P231</f>
        <v>02-6250-5705,010-2247-5835</v>
      </c>
      <c r="Z234" s="58" t="str">
        <f>작성용!Q231</f>
        <v>imhb@tsinvestment.co.kr; jwlee@tsinvestment.co.kr; yj.kim@tsinvestment.co.kr</v>
      </c>
      <c r="AA234" s="56" t="str">
        <f>작성용!AJ231</f>
        <v>국민연금제출</v>
      </c>
      <c r="AB234" s="56">
        <f>작성용!AB231</f>
        <v>0</v>
      </c>
    </row>
    <row r="235" spans="1:28" s="12" customFormat="1" ht="16.5" hidden="1" customHeight="1" x14ac:dyDescent="0.3">
      <c r="A235" s="54">
        <f>작성용!AL232</f>
        <v>231</v>
      </c>
      <c r="B235" s="55" t="str">
        <f>작성용!AI232</f>
        <v>-</v>
      </c>
      <c r="C235" s="56" t="str">
        <f>작성용!AK232</f>
        <v>개별종목</v>
      </c>
      <c r="D235" s="57">
        <f>작성용!T232</f>
        <v>45573</v>
      </c>
      <c r="E235" s="58" t="str">
        <f>작성용!B232</f>
        <v>티에스인베스트먼트</v>
      </c>
      <c r="F235" s="58" t="str">
        <f>작성용!C232</f>
        <v>신규</v>
      </c>
      <c r="G235" s="58" t="str">
        <f>작성용!D232</f>
        <v>허니냅스</v>
      </c>
      <c r="H235" s="59">
        <f>작성용!E232</f>
        <v>1101115777755</v>
      </c>
      <c r="I235" s="58" t="str">
        <f>작성용!F232</f>
        <v>A07</v>
      </c>
      <c r="J235" s="58">
        <f>작성용!G232</f>
        <v>77</v>
      </c>
      <c r="K235" s="58" t="str">
        <f>작성용!H232</f>
        <v>-</v>
      </c>
      <c r="L235" s="58" t="str">
        <f>작성용!N232</f>
        <v>연말</v>
      </c>
      <c r="M235" s="57" t="str">
        <f>작성용!U232</f>
        <v>2024.09.30</v>
      </c>
      <c r="N235" s="57">
        <f>작성용!V232</f>
        <v>45604</v>
      </c>
      <c r="O235" s="57">
        <f>작성용!W232</f>
        <v>45610</v>
      </c>
      <c r="P235" s="57" t="str">
        <f>작성용!X232</f>
        <v>-</v>
      </c>
      <c r="Q235" s="58" t="str">
        <f>작성용!AD232</f>
        <v>원정우</v>
      </c>
      <c r="R235" s="60">
        <f>작성용!AE232</f>
        <v>1</v>
      </c>
      <c r="S235" s="58" t="str">
        <f>작성용!AF232</f>
        <v>원정우</v>
      </c>
      <c r="T235" s="61" t="str">
        <f>작성용!AG232</f>
        <v>유재호</v>
      </c>
      <c r="U235" s="61" t="str">
        <f>작성용!AH232</f>
        <v>유재호</v>
      </c>
      <c r="V235" s="56">
        <f>작성용!AA232</f>
        <v>202411</v>
      </c>
      <c r="W235" s="58" t="str">
        <f>작성용!AC232</f>
        <v>[Y]금융기관</v>
      </c>
      <c r="X235" s="58" t="str">
        <f>작성용!O232</f>
        <v>관리본부임혁빈부장</v>
      </c>
      <c r="Y235" s="58" t="str">
        <f>작성용!P232</f>
        <v>02-6250-5705,010-2247-5835</v>
      </c>
      <c r="Z235" s="58" t="str">
        <f>작성용!Q232</f>
        <v>imhb@tsinvestment.co.kr; jwlee@tsinvestment.co.kr; yj.kim@tsinvestment.co.kr</v>
      </c>
      <c r="AA235" s="56" t="str">
        <f>작성용!AJ232</f>
        <v>국민연금제출</v>
      </c>
      <c r="AB235" s="56">
        <f>작성용!AB232</f>
        <v>0</v>
      </c>
    </row>
    <row r="236" spans="1:28" s="12" customFormat="1" ht="16.5" hidden="1" customHeight="1" x14ac:dyDescent="0.3">
      <c r="A236" s="54">
        <f>작성용!AL233</f>
        <v>232</v>
      </c>
      <c r="B236" s="55" t="str">
        <f>작성용!AI233</f>
        <v>-</v>
      </c>
      <c r="C236" s="56" t="str">
        <f>작성용!AK233</f>
        <v>개별종목</v>
      </c>
      <c r="D236" s="57">
        <f>작성용!T233</f>
        <v>45573</v>
      </c>
      <c r="E236" s="58" t="str">
        <f>작성용!B233</f>
        <v>티에스인베스트먼트</v>
      </c>
      <c r="F236" s="58" t="str">
        <f>작성용!C233</f>
        <v>신규</v>
      </c>
      <c r="G236" s="58" t="str">
        <f>작성용!D233</f>
        <v>에임메드</v>
      </c>
      <c r="H236" s="59">
        <f>작성용!E233</f>
        <v>1101111787386</v>
      </c>
      <c r="I236" s="58" t="str">
        <f>작성용!F233</f>
        <v>A07</v>
      </c>
      <c r="J236" s="58">
        <f>작성용!G233</f>
        <v>77</v>
      </c>
      <c r="K236" s="58" t="str">
        <f>작성용!H233</f>
        <v>-</v>
      </c>
      <c r="L236" s="58" t="str">
        <f>작성용!N233</f>
        <v>연말</v>
      </c>
      <c r="M236" s="57" t="str">
        <f>작성용!U233</f>
        <v>2024.09.30</v>
      </c>
      <c r="N236" s="57">
        <f>작성용!V233</f>
        <v>45604</v>
      </c>
      <c r="O236" s="57">
        <f>작성용!W233</f>
        <v>45610</v>
      </c>
      <c r="P236" s="57" t="str">
        <f>작성용!X233</f>
        <v>-</v>
      </c>
      <c r="Q236" s="58" t="str">
        <f>작성용!AD233</f>
        <v>신원준</v>
      </c>
      <c r="R236" s="60">
        <f>작성용!AE233</f>
        <v>1</v>
      </c>
      <c r="S236" s="58" t="str">
        <f>작성용!AF233</f>
        <v>박솔민</v>
      </c>
      <c r="T236" s="61" t="str">
        <f>작성용!AG233</f>
        <v>유재호</v>
      </c>
      <c r="U236" s="61" t="str">
        <f>작성용!AH233</f>
        <v>유재호</v>
      </c>
      <c r="V236" s="56">
        <f>작성용!AA233</f>
        <v>202411</v>
      </c>
      <c r="W236" s="58" t="str">
        <f>작성용!AC233</f>
        <v>[Y]금융기관</v>
      </c>
      <c r="X236" s="58" t="str">
        <f>작성용!O233</f>
        <v>관리본부임혁빈부장</v>
      </c>
      <c r="Y236" s="58" t="str">
        <f>작성용!P233</f>
        <v>02-6250-5705,010-2247-5835</v>
      </c>
      <c r="Z236" s="58" t="str">
        <f>작성용!Q233</f>
        <v>imhb@tsinvestment.co.kr; jwlee@tsinvestment.co.kr; yj.kim@tsinvestment.co.kr</v>
      </c>
      <c r="AA236" s="56" t="str">
        <f>작성용!AJ233</f>
        <v>국민연금제출</v>
      </c>
      <c r="AB236" s="56">
        <f>작성용!AB233</f>
        <v>0</v>
      </c>
    </row>
    <row r="237" spans="1:28" s="12" customFormat="1" ht="16.5" hidden="1" customHeight="1" x14ac:dyDescent="0.3">
      <c r="A237" s="54">
        <f>작성용!AL234</f>
        <v>233</v>
      </c>
      <c r="B237" s="55" t="str">
        <f>작성용!AI234</f>
        <v>-</v>
      </c>
      <c r="C237" s="56" t="str">
        <f>작성용!AK234</f>
        <v>개별종목</v>
      </c>
      <c r="D237" s="57">
        <f>작성용!T234</f>
        <v>45573</v>
      </c>
      <c r="E237" s="58" t="str">
        <f>작성용!B234</f>
        <v>티에스인베스트먼트</v>
      </c>
      <c r="F237" s="58" t="str">
        <f>작성용!C234</f>
        <v>신규</v>
      </c>
      <c r="G237" s="58" t="str">
        <f>작성용!D234</f>
        <v>셀랩메드</v>
      </c>
      <c r="H237" s="59">
        <f>작성용!E234</f>
        <v>1101117095262</v>
      </c>
      <c r="I237" s="58" t="str">
        <f>작성용!F234</f>
        <v>A07</v>
      </c>
      <c r="J237" s="58">
        <f>작성용!G234</f>
        <v>77</v>
      </c>
      <c r="K237" s="58" t="str">
        <f>작성용!H234</f>
        <v>-</v>
      </c>
      <c r="L237" s="58" t="str">
        <f>작성용!N234</f>
        <v>연말</v>
      </c>
      <c r="M237" s="57" t="str">
        <f>작성용!U234</f>
        <v>2024.09.30</v>
      </c>
      <c r="N237" s="57">
        <f>작성용!V234</f>
        <v>45604</v>
      </c>
      <c r="O237" s="57">
        <f>작성용!W234</f>
        <v>45610</v>
      </c>
      <c r="P237" s="57" t="str">
        <f>작성용!X234</f>
        <v>-</v>
      </c>
      <c r="Q237" s="58" t="str">
        <f>작성용!AD234</f>
        <v>김예림</v>
      </c>
      <c r="R237" s="60">
        <f>작성용!AE234</f>
        <v>1</v>
      </c>
      <c r="S237" s="58" t="str">
        <f>작성용!AF234</f>
        <v>김예림</v>
      </c>
      <c r="T237" s="61" t="str">
        <f>작성용!AG234</f>
        <v>유재호</v>
      </c>
      <c r="U237" s="61" t="str">
        <f>작성용!AH234</f>
        <v>유재호</v>
      </c>
      <c r="V237" s="56">
        <f>작성용!AA234</f>
        <v>202411</v>
      </c>
      <c r="W237" s="58" t="str">
        <f>작성용!AC234</f>
        <v>[Y]금융기관</v>
      </c>
      <c r="X237" s="58" t="str">
        <f>작성용!O234</f>
        <v>관리본부임혁빈부장</v>
      </c>
      <c r="Y237" s="58" t="str">
        <f>작성용!P234</f>
        <v>02-6250-5705,010-2247-5835</v>
      </c>
      <c r="Z237" s="58" t="str">
        <f>작성용!Q234</f>
        <v>imhb@tsinvestment.co.kr; jwlee@tsinvestment.co.kr; yj.kim@tsinvestment.co.kr</v>
      </c>
      <c r="AA237" s="56" t="str">
        <f>작성용!AJ234</f>
        <v>국민연금제출</v>
      </c>
      <c r="AB237" s="56">
        <f>작성용!AB234</f>
        <v>0</v>
      </c>
    </row>
    <row r="238" spans="1:28" s="12" customFormat="1" ht="16.5" hidden="1" customHeight="1" x14ac:dyDescent="0.3">
      <c r="A238" s="54">
        <f>작성용!AL235</f>
        <v>234</v>
      </c>
      <c r="B238" s="55" t="str">
        <f>작성용!AI235</f>
        <v>-</v>
      </c>
      <c r="C238" s="56" t="str">
        <f>작성용!AK235</f>
        <v>개별종목</v>
      </c>
      <c r="D238" s="57">
        <f>작성용!T235</f>
        <v>45573</v>
      </c>
      <c r="E238" s="58" t="str">
        <f>작성용!B235</f>
        <v>티에스인베스트먼트</v>
      </c>
      <c r="F238" s="58" t="str">
        <f>작성용!C235</f>
        <v>신규</v>
      </c>
      <c r="G238" s="58" t="str">
        <f>작성용!D235</f>
        <v>오디텍</v>
      </c>
      <c r="H238" s="59">
        <f>작성용!E235</f>
        <v>2149110013103</v>
      </c>
      <c r="I238" s="58" t="str">
        <f>작성용!F235</f>
        <v>D02</v>
      </c>
      <c r="J238" s="58">
        <f>작성용!G235</f>
        <v>1</v>
      </c>
      <c r="K238" s="58" t="str">
        <f>작성용!H235</f>
        <v>-</v>
      </c>
      <c r="L238" s="58" t="str">
        <f>작성용!N235</f>
        <v>연말</v>
      </c>
      <c r="M238" s="57" t="str">
        <f>작성용!U235</f>
        <v>2024.09.30</v>
      </c>
      <c r="N238" s="57">
        <f>작성용!V235</f>
        <v>45604</v>
      </c>
      <c r="O238" s="57">
        <f>작성용!W235</f>
        <v>45610</v>
      </c>
      <c r="P238" s="57" t="str">
        <f>작성용!X235</f>
        <v>-</v>
      </c>
      <c r="Q238" s="58" t="str">
        <f>작성용!AD235</f>
        <v>상장</v>
      </c>
      <c r="R238" s="60">
        <f>작성용!AE235</f>
        <v>0</v>
      </c>
      <c r="S238" s="58" t="str">
        <f>작성용!AF235</f>
        <v>상장</v>
      </c>
      <c r="T238" s="61" t="str">
        <f>작성용!AG235</f>
        <v>유재호</v>
      </c>
      <c r="U238" s="61" t="str">
        <f>작성용!AH235</f>
        <v>유재호</v>
      </c>
      <c r="V238" s="56">
        <f>작성용!AA235</f>
        <v>202411</v>
      </c>
      <c r="W238" s="58" t="str">
        <f>작성용!AC235</f>
        <v>[Y]금융기관</v>
      </c>
      <c r="X238" s="58" t="str">
        <f>작성용!O235</f>
        <v>관리본부임혁빈부장</v>
      </c>
      <c r="Y238" s="58" t="str">
        <f>작성용!P235</f>
        <v>02-6250-5705,010-2247-5835</v>
      </c>
      <c r="Z238" s="58" t="str">
        <f>작성용!Q235</f>
        <v>imhb@tsinvestment.co.kr; jwlee@tsinvestment.co.kr; yj.kim@tsinvestment.co.kr</v>
      </c>
      <c r="AA238" s="56" t="str">
        <f>작성용!AJ235</f>
        <v>국민연금제출</v>
      </c>
      <c r="AB238" s="56">
        <f>작성용!AB235</f>
        <v>0</v>
      </c>
    </row>
    <row r="239" spans="1:28" s="12" customFormat="1" ht="16.5" hidden="1" customHeight="1" x14ac:dyDescent="0.3">
      <c r="A239" s="54">
        <f>작성용!AL236</f>
        <v>235</v>
      </c>
      <c r="B239" s="55" t="str">
        <f>작성용!AI236</f>
        <v>-</v>
      </c>
      <c r="C239" s="56" t="str">
        <f>작성용!AK236</f>
        <v>개별종목</v>
      </c>
      <c r="D239" s="57">
        <f>작성용!T236</f>
        <v>45573</v>
      </c>
      <c r="E239" s="58" t="str">
        <f>작성용!B236</f>
        <v>티에스인베스트먼트</v>
      </c>
      <c r="F239" s="58" t="str">
        <f>작성용!C236</f>
        <v>신규</v>
      </c>
      <c r="G239" s="58" t="str">
        <f>작성용!D236</f>
        <v>해피문데이</v>
      </c>
      <c r="H239" s="59">
        <f>작성용!E236</f>
        <v>1101116451530</v>
      </c>
      <c r="I239" s="58" t="str">
        <f>작성용!F236</f>
        <v>A05</v>
      </c>
      <c r="J239" s="58">
        <f>작성용!G236</f>
        <v>77</v>
      </c>
      <c r="K239" s="58" t="str">
        <f>작성용!H236</f>
        <v>-</v>
      </c>
      <c r="L239" s="58" t="str">
        <f>작성용!N236</f>
        <v>연말</v>
      </c>
      <c r="M239" s="57" t="str">
        <f>작성용!U236</f>
        <v>2024.09.30</v>
      </c>
      <c r="N239" s="57">
        <f>작성용!V236</f>
        <v>45604</v>
      </c>
      <c r="O239" s="57">
        <f>작성용!W236</f>
        <v>45610</v>
      </c>
      <c r="P239" s="57" t="str">
        <f>작성용!X236</f>
        <v>-</v>
      </c>
      <c r="Q239" s="58" t="str">
        <f>작성용!AD236</f>
        <v>김예림</v>
      </c>
      <c r="R239" s="60">
        <f>작성용!AE236</f>
        <v>1</v>
      </c>
      <c r="S239" s="58" t="str">
        <f>작성용!AF236</f>
        <v>김예림</v>
      </c>
      <c r="T239" s="61" t="str">
        <f>작성용!AG236</f>
        <v>유재호</v>
      </c>
      <c r="U239" s="61" t="str">
        <f>작성용!AH236</f>
        <v>유재호</v>
      </c>
      <c r="V239" s="56">
        <f>작성용!AA236</f>
        <v>202411</v>
      </c>
      <c r="W239" s="58" t="str">
        <f>작성용!AC236</f>
        <v>[Y]금융기관</v>
      </c>
      <c r="X239" s="58" t="str">
        <f>작성용!O236</f>
        <v>관리본부임혁빈부장</v>
      </c>
      <c r="Y239" s="58" t="str">
        <f>작성용!P236</f>
        <v>02-6250-5705,010-2247-5835</v>
      </c>
      <c r="Z239" s="58" t="str">
        <f>작성용!Q236</f>
        <v>imhb@tsinvestment.co.kr; jwlee@tsinvestment.co.kr; yj.kim@tsinvestment.co.kr</v>
      </c>
      <c r="AA239" s="56" t="str">
        <f>작성용!AJ236</f>
        <v>국민연금제출</v>
      </c>
      <c r="AB239" s="56">
        <f>작성용!AB236</f>
        <v>0</v>
      </c>
    </row>
    <row r="240" spans="1:28" s="12" customFormat="1" ht="16.5" hidden="1" customHeight="1" x14ac:dyDescent="0.3">
      <c r="A240" s="54">
        <f>작성용!AL237</f>
        <v>236</v>
      </c>
      <c r="B240" s="55" t="str">
        <f>작성용!AI237</f>
        <v>-</v>
      </c>
      <c r="C240" s="56" t="str">
        <f>작성용!AK237</f>
        <v>개별종목</v>
      </c>
      <c r="D240" s="57">
        <f>작성용!T237</f>
        <v>45573</v>
      </c>
      <c r="E240" s="58" t="str">
        <f>작성용!B237</f>
        <v>티에스인베스트먼트</v>
      </c>
      <c r="F240" s="58" t="str">
        <f>작성용!C237</f>
        <v>신규</v>
      </c>
      <c r="G240" s="58" t="str">
        <f>작성용!D237</f>
        <v>이파피루스</v>
      </c>
      <c r="H240" s="59">
        <f>작성용!E237</f>
        <v>1101113017385</v>
      </c>
      <c r="I240" s="58" t="str">
        <f>작성용!F237</f>
        <v>A01</v>
      </c>
      <c r="J240" s="58">
        <f>작성용!G237</f>
        <v>0</v>
      </c>
      <c r="K240" s="58" t="str">
        <f>작성용!H237</f>
        <v>-</v>
      </c>
      <c r="L240" s="58" t="str">
        <f>작성용!N237</f>
        <v>연말</v>
      </c>
      <c r="M240" s="57" t="str">
        <f>작성용!U237</f>
        <v>2024.09.30</v>
      </c>
      <c r="N240" s="57">
        <f>작성용!V237</f>
        <v>45604</v>
      </c>
      <c r="O240" s="57">
        <f>작성용!W237</f>
        <v>45610</v>
      </c>
      <c r="P240" s="57" t="str">
        <f>작성용!X237</f>
        <v>-</v>
      </c>
      <c r="Q240" s="58" t="str">
        <f>작성용!AD237</f>
        <v>강성은</v>
      </c>
      <c r="R240" s="60">
        <f>작성용!AE237</f>
        <v>1</v>
      </c>
      <c r="S240" s="58" t="str">
        <f>작성용!AF237</f>
        <v>강성은</v>
      </c>
      <c r="T240" s="61" t="str">
        <f>작성용!AG237</f>
        <v>유재호</v>
      </c>
      <c r="U240" s="61" t="str">
        <f>작성용!AH237</f>
        <v>유재호</v>
      </c>
      <c r="V240" s="56">
        <f>작성용!AA237</f>
        <v>202411</v>
      </c>
      <c r="W240" s="58" t="str">
        <f>작성용!AC237</f>
        <v>[Y]금융기관</v>
      </c>
      <c r="X240" s="58" t="str">
        <f>작성용!O237</f>
        <v>관리본부임혁빈부장</v>
      </c>
      <c r="Y240" s="58" t="str">
        <f>작성용!P237</f>
        <v>02-6250-5705,010-2247-5835</v>
      </c>
      <c r="Z240" s="58" t="str">
        <f>작성용!Q237</f>
        <v>imhb@tsinvestment.co.kr; jwlee@tsinvestment.co.kr; yj.kim@tsinvestment.co.kr</v>
      </c>
      <c r="AA240" s="56" t="str">
        <f>작성용!AJ237</f>
        <v>국민연금제출</v>
      </c>
      <c r="AB240" s="56">
        <f>작성용!AB237</f>
        <v>0</v>
      </c>
    </row>
    <row r="241" spans="1:28" s="12" customFormat="1" ht="16.5" hidden="1" customHeight="1" x14ac:dyDescent="0.3">
      <c r="A241" s="54">
        <f>작성용!AL238</f>
        <v>237</v>
      </c>
      <c r="B241" s="55" t="str">
        <f>작성용!AI238</f>
        <v>-</v>
      </c>
      <c r="C241" s="56" t="str">
        <f>작성용!AK238</f>
        <v>개별종목</v>
      </c>
      <c r="D241" s="57">
        <f>작성용!T238</f>
        <v>45573</v>
      </c>
      <c r="E241" s="58" t="str">
        <f>작성용!B238</f>
        <v>티에스인베스트먼트</v>
      </c>
      <c r="F241" s="58" t="str">
        <f>작성용!C238</f>
        <v>신규</v>
      </c>
      <c r="G241" s="58" t="str">
        <f>작성용!D238</f>
        <v>List Biotherapeutics, Inc.</v>
      </c>
      <c r="H241" s="59" t="str">
        <f>작성용!E238</f>
        <v>KBP2024110001</v>
      </c>
      <c r="I241" s="58" t="str">
        <f>작성용!F238</f>
        <v>A05</v>
      </c>
      <c r="J241" s="58">
        <f>작성용!G238</f>
        <v>77</v>
      </c>
      <c r="K241" s="58" t="str">
        <f>작성용!H238</f>
        <v>-</v>
      </c>
      <c r="L241" s="58" t="str">
        <f>작성용!N238</f>
        <v>연말</v>
      </c>
      <c r="M241" s="57" t="str">
        <f>작성용!U238</f>
        <v>2024.09.30</v>
      </c>
      <c r="N241" s="57">
        <f>작성용!V238</f>
        <v>45604</v>
      </c>
      <c r="O241" s="57">
        <f>작성용!W238</f>
        <v>45610</v>
      </c>
      <c r="P241" s="57" t="str">
        <f>작성용!X238</f>
        <v>-</v>
      </c>
      <c r="Q241" s="58" t="str">
        <f>작성용!AD238</f>
        <v>채동우</v>
      </c>
      <c r="R241" s="60">
        <f>작성용!AE238</f>
        <v>1</v>
      </c>
      <c r="S241" s="58" t="str">
        <f>작성용!AF238</f>
        <v>신규</v>
      </c>
      <c r="T241" s="61" t="str">
        <f>작성용!AG238</f>
        <v>유재호</v>
      </c>
      <c r="U241" s="61" t="str">
        <f>작성용!AH238</f>
        <v>유재호</v>
      </c>
      <c r="V241" s="56">
        <f>작성용!AA238</f>
        <v>202411</v>
      </c>
      <c r="W241" s="58" t="str">
        <f>작성용!AC238</f>
        <v>[Y]금융기관</v>
      </c>
      <c r="X241" s="58" t="str">
        <f>작성용!O238</f>
        <v>관리본부임혁빈부장</v>
      </c>
      <c r="Y241" s="58" t="str">
        <f>작성용!P238</f>
        <v>02-6250-5705,010-2247-5835</v>
      </c>
      <c r="Z241" s="58" t="str">
        <f>작성용!Q238</f>
        <v>imhb@tsinvestment.co.kr; jwlee@tsinvestment.co.kr; yj.kim@tsinvestment.co.kr</v>
      </c>
      <c r="AA241" s="56" t="str">
        <f>작성용!AJ238</f>
        <v>국민연금제출</v>
      </c>
      <c r="AB241" s="56">
        <f>작성용!AB238</f>
        <v>0</v>
      </c>
    </row>
    <row r="242" spans="1:28" s="12" customFormat="1" ht="16.5" hidden="1" customHeight="1" x14ac:dyDescent="0.3">
      <c r="A242" s="54">
        <f>작성용!AL239</f>
        <v>238</v>
      </c>
      <c r="B242" s="55" t="str">
        <f>작성용!AI239</f>
        <v>-</v>
      </c>
      <c r="C242" s="56" t="str">
        <f>작성용!AK239</f>
        <v>개별종목</v>
      </c>
      <c r="D242" s="57">
        <f>작성용!T239</f>
        <v>45573</v>
      </c>
      <c r="E242" s="58" t="str">
        <f>작성용!B239</f>
        <v>티에스인베스트먼트</v>
      </c>
      <c r="F242" s="58" t="str">
        <f>작성용!C239</f>
        <v>신규</v>
      </c>
      <c r="G242" s="58" t="str">
        <f>작성용!D239</f>
        <v>볼빅</v>
      </c>
      <c r="H242" s="59">
        <f>작성용!E239</f>
        <v>1545110040511</v>
      </c>
      <c r="I242" s="58" t="str">
        <f>작성용!F239</f>
        <v>A01</v>
      </c>
      <c r="J242" s="58">
        <f>작성용!G239</f>
        <v>0</v>
      </c>
      <c r="K242" s="58" t="str">
        <f>작성용!H239</f>
        <v>-</v>
      </c>
      <c r="L242" s="58" t="str">
        <f>작성용!N239</f>
        <v>연말</v>
      </c>
      <c r="M242" s="57" t="str">
        <f>작성용!U239</f>
        <v>2024.09.30</v>
      </c>
      <c r="N242" s="57">
        <f>작성용!V239</f>
        <v>45604</v>
      </c>
      <c r="O242" s="57">
        <f>작성용!W239</f>
        <v>45610</v>
      </c>
      <c r="P242" s="57" t="str">
        <f>작성용!X239</f>
        <v>-</v>
      </c>
      <c r="Q242" s="58" t="str">
        <f>작성용!AD239</f>
        <v>변혜진</v>
      </c>
      <c r="R242" s="60">
        <f>작성용!AE239</f>
        <v>1</v>
      </c>
      <c r="S242" s="58" t="str">
        <f>작성용!AF239</f>
        <v>변혜진</v>
      </c>
      <c r="T242" s="61" t="str">
        <f>작성용!AG239</f>
        <v>유재호</v>
      </c>
      <c r="U242" s="61" t="str">
        <f>작성용!AH239</f>
        <v>유재호</v>
      </c>
      <c r="V242" s="56">
        <f>작성용!AA239</f>
        <v>202411</v>
      </c>
      <c r="W242" s="58" t="str">
        <f>작성용!AC239</f>
        <v>[Y]금융기관</v>
      </c>
      <c r="X242" s="58" t="str">
        <f>작성용!O239</f>
        <v>관리본부임혁빈부장</v>
      </c>
      <c r="Y242" s="58" t="str">
        <f>작성용!P239</f>
        <v>02-6250-5705,010-2247-5835</v>
      </c>
      <c r="Z242" s="58" t="str">
        <f>작성용!Q239</f>
        <v>imhb@tsinvestment.co.kr; jwlee@tsinvestment.co.kr; yj.kim@tsinvestment.co.kr</v>
      </c>
      <c r="AA242" s="56" t="str">
        <f>작성용!AJ239</f>
        <v>국민연금제출</v>
      </c>
      <c r="AB242" s="56">
        <f>작성용!AB239</f>
        <v>0</v>
      </c>
    </row>
    <row r="243" spans="1:28" s="12" customFormat="1" ht="16.5" hidden="1" customHeight="1" x14ac:dyDescent="0.3">
      <c r="A243" s="54">
        <f>작성용!AL240</f>
        <v>239</v>
      </c>
      <c r="B243" s="55" t="str">
        <f>작성용!AI240</f>
        <v>-</v>
      </c>
      <c r="C243" s="56" t="str">
        <f>작성용!AK240</f>
        <v>개별종목</v>
      </c>
      <c r="D243" s="57">
        <f>작성용!T240</f>
        <v>45573</v>
      </c>
      <c r="E243" s="58" t="str">
        <f>작성용!B240</f>
        <v>티에스인베스트먼트</v>
      </c>
      <c r="F243" s="58" t="str">
        <f>작성용!C240</f>
        <v>신규</v>
      </c>
      <c r="G243" s="58" t="str">
        <f>작성용!D240</f>
        <v>온다</v>
      </c>
      <c r="H243" s="59">
        <f>작성용!E240</f>
        <v>1101116157253</v>
      </c>
      <c r="I243" s="58" t="str">
        <f>작성용!F240</f>
        <v>A07</v>
      </c>
      <c r="J243" s="58">
        <f>작성용!G240</f>
        <v>77</v>
      </c>
      <c r="K243" s="58" t="str">
        <f>작성용!H240</f>
        <v>-</v>
      </c>
      <c r="L243" s="58" t="str">
        <f>작성용!N240</f>
        <v>연말</v>
      </c>
      <c r="M243" s="57" t="str">
        <f>작성용!U240</f>
        <v>2024.09.30</v>
      </c>
      <c r="N243" s="57">
        <f>작성용!V240</f>
        <v>45604</v>
      </c>
      <c r="O243" s="57">
        <f>작성용!W240</f>
        <v>45610</v>
      </c>
      <c r="P243" s="57" t="str">
        <f>작성용!X240</f>
        <v>-</v>
      </c>
      <c r="Q243" s="58" t="str">
        <f>작성용!AD240</f>
        <v>윤광일</v>
      </c>
      <c r="R243" s="60">
        <f>작성용!AE240</f>
        <v>1</v>
      </c>
      <c r="S243" s="58" t="str">
        <f>작성용!AF240</f>
        <v>윤광일</v>
      </c>
      <c r="T243" s="61" t="str">
        <f>작성용!AG240</f>
        <v>유재호</v>
      </c>
      <c r="U243" s="61" t="str">
        <f>작성용!AH240</f>
        <v>유재호</v>
      </c>
      <c r="V243" s="56">
        <f>작성용!AA240</f>
        <v>202411</v>
      </c>
      <c r="W243" s="58" t="str">
        <f>작성용!AC240</f>
        <v>[Y]금융기관</v>
      </c>
      <c r="X243" s="58" t="str">
        <f>작성용!O240</f>
        <v>관리본부임혁빈부장</v>
      </c>
      <c r="Y243" s="58" t="str">
        <f>작성용!P240</f>
        <v>02-6250-5705,010-2247-5835</v>
      </c>
      <c r="Z243" s="58" t="str">
        <f>작성용!Q240</f>
        <v>imhb@tsinvestment.co.kr; jwlee@tsinvestment.co.kr; yj.kim@tsinvestment.co.kr</v>
      </c>
      <c r="AA243" s="56" t="str">
        <f>작성용!AJ240</f>
        <v>국민연금제출</v>
      </c>
      <c r="AB243" s="56">
        <f>작성용!AB240</f>
        <v>0</v>
      </c>
    </row>
    <row r="244" spans="1:28" s="12" customFormat="1" ht="16.5" hidden="1" customHeight="1" x14ac:dyDescent="0.3">
      <c r="A244" s="54">
        <f>작성용!AL241</f>
        <v>240</v>
      </c>
      <c r="B244" s="55" t="str">
        <f>작성용!AI241</f>
        <v>-</v>
      </c>
      <c r="C244" s="56" t="str">
        <f>작성용!AK241</f>
        <v>개별종목</v>
      </c>
      <c r="D244" s="57">
        <f>작성용!T241</f>
        <v>45573</v>
      </c>
      <c r="E244" s="58" t="str">
        <f>작성용!B241</f>
        <v>티에스인베스트먼트</v>
      </c>
      <c r="F244" s="58" t="str">
        <f>작성용!C241</f>
        <v>신규</v>
      </c>
      <c r="G244" s="58" t="str">
        <f>작성용!D241</f>
        <v>그로비교육</v>
      </c>
      <c r="H244" s="59">
        <f>작성용!E241</f>
        <v>1101118089157</v>
      </c>
      <c r="I244" s="58" t="str">
        <f>작성용!F241</f>
        <v>A07</v>
      </c>
      <c r="J244" s="58">
        <f>작성용!G241</f>
        <v>77</v>
      </c>
      <c r="K244" s="58" t="str">
        <f>작성용!H241</f>
        <v>-</v>
      </c>
      <c r="L244" s="58" t="str">
        <f>작성용!N241</f>
        <v>연말</v>
      </c>
      <c r="M244" s="57" t="str">
        <f>작성용!U241</f>
        <v>2024.09.30</v>
      </c>
      <c r="N244" s="57">
        <f>작성용!V241</f>
        <v>45604</v>
      </c>
      <c r="O244" s="57">
        <f>작성용!W241</f>
        <v>45610</v>
      </c>
      <c r="P244" s="57" t="str">
        <f>작성용!X241</f>
        <v>-</v>
      </c>
      <c r="Q244" s="58" t="str">
        <f>작성용!AD241</f>
        <v>백형진</v>
      </c>
      <c r="R244" s="60">
        <f>작성용!AE241</f>
        <v>1</v>
      </c>
      <c r="S244" s="58" t="str">
        <f>작성용!AF241</f>
        <v>김상준</v>
      </c>
      <c r="T244" s="61" t="str">
        <f>작성용!AG241</f>
        <v>유재호</v>
      </c>
      <c r="U244" s="61" t="str">
        <f>작성용!AH241</f>
        <v>유재호</v>
      </c>
      <c r="V244" s="56">
        <f>작성용!AA241</f>
        <v>202411</v>
      </c>
      <c r="W244" s="58" t="str">
        <f>작성용!AC241</f>
        <v>[Y]금융기관</v>
      </c>
      <c r="X244" s="58" t="str">
        <f>작성용!O241</f>
        <v>관리본부임혁빈부장</v>
      </c>
      <c r="Y244" s="58" t="str">
        <f>작성용!P241</f>
        <v>02-6250-5705,010-2247-5835</v>
      </c>
      <c r="Z244" s="58" t="str">
        <f>작성용!Q241</f>
        <v>imhb@tsinvestment.co.kr; jwlee@tsinvestment.co.kr; yj.kim@tsinvestment.co.kr</v>
      </c>
      <c r="AA244" s="56" t="str">
        <f>작성용!AJ241</f>
        <v>국민연금제출</v>
      </c>
      <c r="AB244" s="56">
        <f>작성용!AB241</f>
        <v>0</v>
      </c>
    </row>
    <row r="245" spans="1:28" s="12" customFormat="1" ht="16.5" hidden="1" customHeight="1" x14ac:dyDescent="0.3">
      <c r="A245" s="54">
        <f>작성용!AL242</f>
        <v>241</v>
      </c>
      <c r="B245" s="55" t="str">
        <f>작성용!AI242</f>
        <v>-</v>
      </c>
      <c r="C245" s="56" t="str">
        <f>작성용!AK242</f>
        <v>개별종목</v>
      </c>
      <c r="D245" s="57">
        <f>작성용!T242</f>
        <v>45573</v>
      </c>
      <c r="E245" s="58" t="str">
        <f>작성용!B242</f>
        <v>티에스인베스트먼트</v>
      </c>
      <c r="F245" s="58" t="str">
        <f>작성용!C242</f>
        <v>신규</v>
      </c>
      <c r="G245" s="58" t="str">
        <f>작성용!D242</f>
        <v>그로비교육</v>
      </c>
      <c r="H245" s="59">
        <f>작성용!E242</f>
        <v>1101118089157</v>
      </c>
      <c r="I245" s="58" t="str">
        <f>작성용!F242</f>
        <v>A07</v>
      </c>
      <c r="J245" s="58">
        <f>작성용!G242</f>
        <v>771</v>
      </c>
      <c r="K245" s="58" t="str">
        <f>작성용!H242</f>
        <v>-</v>
      </c>
      <c r="L245" s="58" t="str">
        <f>작성용!N242</f>
        <v>연말</v>
      </c>
      <c r="M245" s="57" t="str">
        <f>작성용!U242</f>
        <v>2024.09.30</v>
      </c>
      <c r="N245" s="57">
        <f>작성용!V242</f>
        <v>45604</v>
      </c>
      <c r="O245" s="57">
        <f>작성용!W242</f>
        <v>45610</v>
      </c>
      <c r="P245" s="57" t="str">
        <f>작성용!X242</f>
        <v>-</v>
      </c>
      <c r="Q245" s="58" t="str">
        <f>작성용!AD242</f>
        <v>백형진</v>
      </c>
      <c r="R245" s="60">
        <f>작성용!AE242</f>
        <v>0</v>
      </c>
      <c r="S245" s="58" t="str">
        <f>작성용!AF242</f>
        <v>김상준</v>
      </c>
      <c r="T245" s="61" t="str">
        <f>작성용!AG242</f>
        <v>유재호</v>
      </c>
      <c r="U245" s="61" t="str">
        <f>작성용!AH242</f>
        <v>유재호</v>
      </c>
      <c r="V245" s="56">
        <f>작성용!AA242</f>
        <v>202411</v>
      </c>
      <c r="W245" s="58" t="str">
        <f>작성용!AC242</f>
        <v>[Y]금융기관</v>
      </c>
      <c r="X245" s="58" t="str">
        <f>작성용!O242</f>
        <v>관리본부임혁빈부장</v>
      </c>
      <c r="Y245" s="58" t="str">
        <f>작성용!P242</f>
        <v>02-6250-5705,010-2247-5835</v>
      </c>
      <c r="Z245" s="58" t="str">
        <f>작성용!Q242</f>
        <v>imhb@tsinvestment.co.kr; jwlee@tsinvestment.co.kr; yj.kim@tsinvestment.co.kr</v>
      </c>
      <c r="AA245" s="56" t="str">
        <f>작성용!AJ242</f>
        <v>국민연금제출</v>
      </c>
      <c r="AB245" s="56">
        <f>작성용!AB242</f>
        <v>0</v>
      </c>
    </row>
    <row r="246" spans="1:28" s="12" customFormat="1" ht="16.5" hidden="1" customHeight="1" x14ac:dyDescent="0.3">
      <c r="A246" s="54">
        <f>작성용!AL243</f>
        <v>242</v>
      </c>
      <c r="B246" s="55" t="str">
        <f>작성용!AI243</f>
        <v>-</v>
      </c>
      <c r="C246" s="56" t="str">
        <f>작성용!AK243</f>
        <v>개별종목</v>
      </c>
      <c r="D246" s="57">
        <f>작성용!T243</f>
        <v>45573</v>
      </c>
      <c r="E246" s="58" t="str">
        <f>작성용!B243</f>
        <v>티에스인베스트먼트</v>
      </c>
      <c r="F246" s="58" t="str">
        <f>작성용!C243</f>
        <v>신규</v>
      </c>
      <c r="G246" s="58" t="str">
        <f>작성용!D243</f>
        <v>에이지엘</v>
      </c>
      <c r="H246" s="59">
        <f>작성용!E243</f>
        <v>1101117039682</v>
      </c>
      <c r="I246" s="58" t="str">
        <f>작성용!F243</f>
        <v>A07</v>
      </c>
      <c r="J246" s="58">
        <f>작성용!G243</f>
        <v>77</v>
      </c>
      <c r="K246" s="58" t="str">
        <f>작성용!H243</f>
        <v>-</v>
      </c>
      <c r="L246" s="58" t="str">
        <f>작성용!N243</f>
        <v>연말</v>
      </c>
      <c r="M246" s="57" t="str">
        <f>작성용!U243</f>
        <v>2024.09.30</v>
      </c>
      <c r="N246" s="57">
        <f>작성용!V243</f>
        <v>45604</v>
      </c>
      <c r="O246" s="57">
        <f>작성용!W243</f>
        <v>45610</v>
      </c>
      <c r="P246" s="57" t="str">
        <f>작성용!X243</f>
        <v>-</v>
      </c>
      <c r="Q246" s="58" t="str">
        <f>작성용!AD243</f>
        <v>김수현</v>
      </c>
      <c r="R246" s="60">
        <f>작성용!AE243</f>
        <v>1</v>
      </c>
      <c r="S246" s="58" t="str">
        <f>작성용!AF243</f>
        <v>김수현</v>
      </c>
      <c r="T246" s="61" t="str">
        <f>작성용!AG243</f>
        <v>유재호</v>
      </c>
      <c r="U246" s="61" t="str">
        <f>작성용!AH243</f>
        <v>유재호</v>
      </c>
      <c r="V246" s="56">
        <f>작성용!AA243</f>
        <v>202411</v>
      </c>
      <c r="W246" s="58" t="str">
        <f>작성용!AC243</f>
        <v>[Y]금융기관</v>
      </c>
      <c r="X246" s="58" t="str">
        <f>작성용!O243</f>
        <v>관리본부임혁빈부장</v>
      </c>
      <c r="Y246" s="58" t="str">
        <f>작성용!P243</f>
        <v>02-6250-5705,010-2247-5835</v>
      </c>
      <c r="Z246" s="58" t="str">
        <f>작성용!Q243</f>
        <v>imhb@tsinvestment.co.kr; jwlee@tsinvestment.co.kr; yj.kim@tsinvestment.co.kr</v>
      </c>
      <c r="AA246" s="56" t="str">
        <f>작성용!AJ243</f>
        <v>국민연금제출</v>
      </c>
      <c r="AB246" s="56">
        <f>작성용!AB243</f>
        <v>0</v>
      </c>
    </row>
    <row r="247" spans="1:28" s="12" customFormat="1" ht="16.5" hidden="1" customHeight="1" x14ac:dyDescent="0.3">
      <c r="A247" s="54">
        <f>작성용!AL244</f>
        <v>243</v>
      </c>
      <c r="B247" s="55" t="str">
        <f>작성용!AI244</f>
        <v>-</v>
      </c>
      <c r="C247" s="56" t="str">
        <f>작성용!AK244</f>
        <v>개별종목</v>
      </c>
      <c r="D247" s="57">
        <f>작성용!T244</f>
        <v>45573</v>
      </c>
      <c r="E247" s="58" t="str">
        <f>작성용!B244</f>
        <v>티에스인베스트먼트</v>
      </c>
      <c r="F247" s="58" t="str">
        <f>작성용!C244</f>
        <v>신규</v>
      </c>
      <c r="G247" s="58" t="str">
        <f>작성용!D244</f>
        <v>에이지엘</v>
      </c>
      <c r="H247" s="59">
        <f>작성용!E244</f>
        <v>1101117039682</v>
      </c>
      <c r="I247" s="58" t="str">
        <f>작성용!F244</f>
        <v>A07</v>
      </c>
      <c r="J247" s="58">
        <f>작성용!G244</f>
        <v>771</v>
      </c>
      <c r="K247" s="58" t="str">
        <f>작성용!H244</f>
        <v>-</v>
      </c>
      <c r="L247" s="58" t="str">
        <f>작성용!N244</f>
        <v>연말</v>
      </c>
      <c r="M247" s="57" t="str">
        <f>작성용!U244</f>
        <v>2024.09.30</v>
      </c>
      <c r="N247" s="57">
        <f>작성용!V244</f>
        <v>45604</v>
      </c>
      <c r="O247" s="57">
        <f>작성용!W244</f>
        <v>45610</v>
      </c>
      <c r="P247" s="57" t="str">
        <f>작성용!X244</f>
        <v>-</v>
      </c>
      <c r="Q247" s="58" t="str">
        <f>작성용!AD244</f>
        <v>김수현</v>
      </c>
      <c r="R247" s="60">
        <f>작성용!AE244</f>
        <v>0</v>
      </c>
      <c r="S247" s="58" t="str">
        <f>작성용!AF244</f>
        <v>김수현</v>
      </c>
      <c r="T247" s="61" t="str">
        <f>작성용!AG244</f>
        <v>유재호</v>
      </c>
      <c r="U247" s="61" t="str">
        <f>작성용!AH244</f>
        <v>유재호</v>
      </c>
      <c r="V247" s="56">
        <f>작성용!AA244</f>
        <v>202411</v>
      </c>
      <c r="W247" s="58" t="str">
        <f>작성용!AC244</f>
        <v>[Y]금융기관</v>
      </c>
      <c r="X247" s="58" t="str">
        <f>작성용!O244</f>
        <v>관리본부임혁빈부장</v>
      </c>
      <c r="Y247" s="58" t="str">
        <f>작성용!P244</f>
        <v>02-6250-5705,010-2247-5835</v>
      </c>
      <c r="Z247" s="58" t="str">
        <f>작성용!Q244</f>
        <v>imhb@tsinvestment.co.kr; jwlee@tsinvestment.co.kr; yj.kim@tsinvestment.co.kr</v>
      </c>
      <c r="AA247" s="56" t="str">
        <f>작성용!AJ244</f>
        <v>국민연금제출</v>
      </c>
      <c r="AB247" s="56">
        <f>작성용!AB244</f>
        <v>0</v>
      </c>
    </row>
    <row r="248" spans="1:28" s="12" customFormat="1" ht="16.5" hidden="1" customHeight="1" x14ac:dyDescent="0.3">
      <c r="A248" s="54">
        <f>작성용!AL245</f>
        <v>244</v>
      </c>
      <c r="B248" s="55" t="str">
        <f>작성용!AI245</f>
        <v>-</v>
      </c>
      <c r="C248" s="56" t="str">
        <f>작성용!AK245</f>
        <v>개별종목</v>
      </c>
      <c r="D248" s="57">
        <f>작성용!T245</f>
        <v>45573</v>
      </c>
      <c r="E248" s="58" t="str">
        <f>작성용!B245</f>
        <v>티에스인베스트먼트</v>
      </c>
      <c r="F248" s="58" t="str">
        <f>작성용!C245</f>
        <v>신규</v>
      </c>
      <c r="G248" s="58" t="str">
        <f>작성용!D245</f>
        <v>덴컴</v>
      </c>
      <c r="H248" s="59">
        <f>작성용!E245</f>
        <v>1101116256493</v>
      </c>
      <c r="I248" s="58" t="str">
        <f>작성용!F245</f>
        <v>A07</v>
      </c>
      <c r="J248" s="58">
        <f>작성용!G245</f>
        <v>77</v>
      </c>
      <c r="K248" s="58" t="str">
        <f>작성용!H245</f>
        <v>-</v>
      </c>
      <c r="L248" s="58" t="str">
        <f>작성용!N245</f>
        <v>연말</v>
      </c>
      <c r="M248" s="57" t="str">
        <f>작성용!U245</f>
        <v>2024.09.30</v>
      </c>
      <c r="N248" s="57">
        <f>작성용!V245</f>
        <v>45604</v>
      </c>
      <c r="O248" s="57">
        <f>작성용!W245</f>
        <v>45610</v>
      </c>
      <c r="P248" s="57" t="str">
        <f>작성용!X245</f>
        <v>-</v>
      </c>
      <c r="Q248" s="58" t="str">
        <f>작성용!AD245</f>
        <v>윤광일</v>
      </c>
      <c r="R248" s="60">
        <f>작성용!AE245</f>
        <v>1</v>
      </c>
      <c r="S248" s="58" t="str">
        <f>작성용!AF245</f>
        <v>윤광일</v>
      </c>
      <c r="T248" s="61" t="str">
        <f>작성용!AG245</f>
        <v>유재호</v>
      </c>
      <c r="U248" s="61" t="str">
        <f>작성용!AH245</f>
        <v>유재호</v>
      </c>
      <c r="V248" s="56">
        <f>작성용!AA245</f>
        <v>202411</v>
      </c>
      <c r="W248" s="58" t="str">
        <f>작성용!AC245</f>
        <v>[Y]금융기관</v>
      </c>
      <c r="X248" s="58" t="str">
        <f>작성용!O245</f>
        <v>관리본부임혁빈부장</v>
      </c>
      <c r="Y248" s="58" t="str">
        <f>작성용!P245</f>
        <v>02-6250-5705,010-2247-5835</v>
      </c>
      <c r="Z248" s="58" t="str">
        <f>작성용!Q245</f>
        <v>imhb@tsinvestment.co.kr; jwlee@tsinvestment.co.kr; yj.kim@tsinvestment.co.kr</v>
      </c>
      <c r="AA248" s="56" t="str">
        <f>작성용!AJ245</f>
        <v>국민연금제출</v>
      </c>
      <c r="AB248" s="56">
        <f>작성용!AB245</f>
        <v>0</v>
      </c>
    </row>
    <row r="249" spans="1:28" s="12" customFormat="1" ht="16.5" hidden="1" customHeight="1" x14ac:dyDescent="0.3">
      <c r="A249" s="54">
        <f>작성용!AL246</f>
        <v>245</v>
      </c>
      <c r="B249" s="55" t="str">
        <f>작성용!AI246</f>
        <v>-</v>
      </c>
      <c r="C249" s="56" t="str">
        <f>작성용!AK246</f>
        <v>개별종목</v>
      </c>
      <c r="D249" s="57">
        <f>작성용!T246</f>
        <v>45573</v>
      </c>
      <c r="E249" s="58" t="str">
        <f>작성용!B246</f>
        <v>티에스인베스트먼트</v>
      </c>
      <c r="F249" s="58" t="str">
        <f>작성용!C246</f>
        <v>신규</v>
      </c>
      <c r="G249" s="58" t="str">
        <f>작성용!D246</f>
        <v>덴컴</v>
      </c>
      <c r="H249" s="59">
        <f>작성용!E246</f>
        <v>1101116256493</v>
      </c>
      <c r="I249" s="58" t="str">
        <f>작성용!F246</f>
        <v>A07</v>
      </c>
      <c r="J249" s="58">
        <f>작성용!G246</f>
        <v>771</v>
      </c>
      <c r="K249" s="58" t="str">
        <f>작성용!H246</f>
        <v>-</v>
      </c>
      <c r="L249" s="58" t="str">
        <f>작성용!N246</f>
        <v>연말</v>
      </c>
      <c r="M249" s="57" t="str">
        <f>작성용!U246</f>
        <v>2024.09.30</v>
      </c>
      <c r="N249" s="57">
        <f>작성용!V246</f>
        <v>45604</v>
      </c>
      <c r="O249" s="57">
        <f>작성용!W246</f>
        <v>45610</v>
      </c>
      <c r="P249" s="57" t="str">
        <f>작성용!X246</f>
        <v>-</v>
      </c>
      <c r="Q249" s="58" t="str">
        <f>작성용!AD246</f>
        <v>윤광일</v>
      </c>
      <c r="R249" s="60">
        <f>작성용!AE246</f>
        <v>0</v>
      </c>
      <c r="S249" s="58" t="str">
        <f>작성용!AF246</f>
        <v>윤광일</v>
      </c>
      <c r="T249" s="61" t="str">
        <f>작성용!AG246</f>
        <v>유재호</v>
      </c>
      <c r="U249" s="61" t="str">
        <f>작성용!AH246</f>
        <v>유재호</v>
      </c>
      <c r="V249" s="56">
        <f>작성용!AA246</f>
        <v>202411</v>
      </c>
      <c r="W249" s="58" t="str">
        <f>작성용!AC246</f>
        <v>[Y]금융기관</v>
      </c>
      <c r="X249" s="58" t="str">
        <f>작성용!O246</f>
        <v>관리본부임혁빈부장</v>
      </c>
      <c r="Y249" s="58" t="str">
        <f>작성용!P246</f>
        <v>02-6250-5705,010-2247-5835</v>
      </c>
      <c r="Z249" s="58" t="str">
        <f>작성용!Q246</f>
        <v>imhb@tsinvestment.co.kr; jwlee@tsinvestment.co.kr; yj.kim@tsinvestment.co.kr</v>
      </c>
      <c r="AA249" s="56" t="str">
        <f>작성용!AJ246</f>
        <v>국민연금제출</v>
      </c>
      <c r="AB249" s="56">
        <f>작성용!AB246</f>
        <v>0</v>
      </c>
    </row>
    <row r="250" spans="1:28" s="12" customFormat="1" ht="16.5" hidden="1" customHeight="1" x14ac:dyDescent="0.3">
      <c r="A250" s="54">
        <f>작성용!AL247</f>
        <v>246</v>
      </c>
      <c r="B250" s="55" t="str">
        <f>작성용!AI247</f>
        <v>-</v>
      </c>
      <c r="C250" s="56" t="str">
        <f>작성용!AK247</f>
        <v>개별종목</v>
      </c>
      <c r="D250" s="57">
        <f>작성용!T247</f>
        <v>45573</v>
      </c>
      <c r="E250" s="58" t="str">
        <f>작성용!B247</f>
        <v>티에스인베스트먼트</v>
      </c>
      <c r="F250" s="58" t="str">
        <f>작성용!C247</f>
        <v>신규</v>
      </c>
      <c r="G250" s="58" t="str">
        <f>작성용!D247</f>
        <v>피유엠피</v>
      </c>
      <c r="H250" s="59">
        <f>작성용!E247</f>
        <v>1101116969393</v>
      </c>
      <c r="I250" s="58" t="str">
        <f>작성용!F247</f>
        <v>A07</v>
      </c>
      <c r="J250" s="58">
        <f>작성용!G247</f>
        <v>77</v>
      </c>
      <c r="K250" s="58" t="str">
        <f>작성용!H247</f>
        <v>-</v>
      </c>
      <c r="L250" s="58" t="str">
        <f>작성용!N247</f>
        <v>연말</v>
      </c>
      <c r="M250" s="57" t="str">
        <f>작성용!U247</f>
        <v>2024.09.30</v>
      </c>
      <c r="N250" s="57">
        <f>작성용!V247</f>
        <v>45604</v>
      </c>
      <c r="O250" s="57">
        <f>작성용!W247</f>
        <v>45610</v>
      </c>
      <c r="P250" s="57" t="str">
        <f>작성용!X247</f>
        <v>-</v>
      </c>
      <c r="Q250" s="58" t="str">
        <f>작성용!AD247</f>
        <v>오영석</v>
      </c>
      <c r="R250" s="60">
        <f>작성용!AE247</f>
        <v>1</v>
      </c>
      <c r="S250" s="58" t="str">
        <f>작성용!AF247</f>
        <v>조현우</v>
      </c>
      <c r="T250" s="61" t="str">
        <f>작성용!AG247</f>
        <v>유재호</v>
      </c>
      <c r="U250" s="61" t="str">
        <f>작성용!AH247</f>
        <v>유재호</v>
      </c>
      <c r="V250" s="56">
        <f>작성용!AA247</f>
        <v>202411</v>
      </c>
      <c r="W250" s="58" t="str">
        <f>작성용!AC247</f>
        <v>[Y]금융기관</v>
      </c>
      <c r="X250" s="58" t="str">
        <f>작성용!O247</f>
        <v>관리본부임혁빈부장</v>
      </c>
      <c r="Y250" s="58" t="str">
        <f>작성용!P247</f>
        <v>02-6250-5705,010-2247-5835</v>
      </c>
      <c r="Z250" s="58" t="str">
        <f>작성용!Q247</f>
        <v>imhb@tsinvestment.co.kr; jwlee@tsinvestment.co.kr; yj.kim@tsinvestment.co.kr</v>
      </c>
      <c r="AA250" s="56" t="str">
        <f>작성용!AJ247</f>
        <v>국민연금제출</v>
      </c>
      <c r="AB250" s="56">
        <f>작성용!AB247</f>
        <v>0</v>
      </c>
    </row>
    <row r="251" spans="1:28" s="12" customFormat="1" ht="16.5" hidden="1" customHeight="1" x14ac:dyDescent="0.3">
      <c r="A251" s="54">
        <f>작성용!AL248</f>
        <v>247</v>
      </c>
      <c r="B251" s="55" t="str">
        <f>작성용!AI248</f>
        <v>-</v>
      </c>
      <c r="C251" s="56" t="str">
        <f>작성용!AK248</f>
        <v>개별종목</v>
      </c>
      <c r="D251" s="57">
        <f>작성용!T248</f>
        <v>45573</v>
      </c>
      <c r="E251" s="58" t="str">
        <f>작성용!B248</f>
        <v>티에스인베스트먼트</v>
      </c>
      <c r="F251" s="58" t="str">
        <f>작성용!C248</f>
        <v>신규</v>
      </c>
      <c r="G251" s="58" t="str">
        <f>작성용!D248</f>
        <v>쿼타랩</v>
      </c>
      <c r="H251" s="59">
        <f>작성용!E248</f>
        <v>1101117205796</v>
      </c>
      <c r="I251" s="58" t="str">
        <f>작성용!F248</f>
        <v>D02</v>
      </c>
      <c r="J251" s="58">
        <f>작성용!G248</f>
        <v>77</v>
      </c>
      <c r="K251" s="58" t="str">
        <f>작성용!H248</f>
        <v>-</v>
      </c>
      <c r="L251" s="58" t="str">
        <f>작성용!N248</f>
        <v>연말</v>
      </c>
      <c r="M251" s="57" t="str">
        <f>작성용!U248</f>
        <v>2024.09.30</v>
      </c>
      <c r="N251" s="57">
        <f>작성용!V248</f>
        <v>45604</v>
      </c>
      <c r="O251" s="57">
        <f>작성용!W248</f>
        <v>45610</v>
      </c>
      <c r="P251" s="57" t="str">
        <f>작성용!X248</f>
        <v>-</v>
      </c>
      <c r="Q251" s="58" t="str">
        <f>작성용!AD248</f>
        <v>김에스더</v>
      </c>
      <c r="R251" s="60">
        <f>작성용!AE248</f>
        <v>1</v>
      </c>
      <c r="S251" s="58" t="str">
        <f>작성용!AF248</f>
        <v>이주영</v>
      </c>
      <c r="T251" s="61" t="str">
        <f>작성용!AG248</f>
        <v>유재호</v>
      </c>
      <c r="U251" s="61" t="str">
        <f>작성용!AH248</f>
        <v>유재호</v>
      </c>
      <c r="V251" s="56">
        <f>작성용!AA248</f>
        <v>202411</v>
      </c>
      <c r="W251" s="58" t="str">
        <f>작성용!AC248</f>
        <v>[Y]금융기관</v>
      </c>
      <c r="X251" s="58" t="str">
        <f>작성용!O248</f>
        <v>관리본부임혁빈부장</v>
      </c>
      <c r="Y251" s="58" t="str">
        <f>작성용!P248</f>
        <v>02-6250-5705,010-2247-5835</v>
      </c>
      <c r="Z251" s="58" t="str">
        <f>작성용!Q248</f>
        <v>imhb@tsinvestment.co.kr; jwlee@tsinvestment.co.kr; yj.kim@tsinvestment.co.kr</v>
      </c>
      <c r="AA251" s="56" t="str">
        <f>작성용!AJ248</f>
        <v>국민연금제출</v>
      </c>
      <c r="AB251" s="56">
        <f>작성용!AB248</f>
        <v>0</v>
      </c>
    </row>
    <row r="252" spans="1:28" s="12" customFormat="1" ht="16.5" hidden="1" customHeight="1" x14ac:dyDescent="0.3">
      <c r="A252" s="54">
        <f>작성용!AL249</f>
        <v>248</v>
      </c>
      <c r="B252" s="55" t="str">
        <f>작성용!AI249</f>
        <v>-</v>
      </c>
      <c r="C252" s="56" t="str">
        <f>작성용!AK249</f>
        <v>개별종목</v>
      </c>
      <c r="D252" s="57">
        <f>작성용!T249</f>
        <v>45573</v>
      </c>
      <c r="E252" s="58" t="str">
        <f>작성용!B249</f>
        <v>티에스인베스트먼트</v>
      </c>
      <c r="F252" s="58" t="str">
        <f>작성용!C249</f>
        <v>신규</v>
      </c>
      <c r="G252" s="58" t="str">
        <f>작성용!D249</f>
        <v>한국팬트라</v>
      </c>
      <c r="H252" s="59">
        <f>작성용!E249</f>
        <v>1801110301290</v>
      </c>
      <c r="I252" s="58" t="str">
        <f>작성용!F249</f>
        <v>A07</v>
      </c>
      <c r="J252" s="58">
        <f>작성용!G249</f>
        <v>77</v>
      </c>
      <c r="K252" s="58" t="str">
        <f>작성용!H249</f>
        <v>-</v>
      </c>
      <c r="L252" s="58" t="str">
        <f>작성용!N249</f>
        <v>연말</v>
      </c>
      <c r="M252" s="57" t="str">
        <f>작성용!U249</f>
        <v>2024.09.30</v>
      </c>
      <c r="N252" s="57">
        <f>작성용!V249</f>
        <v>45604</v>
      </c>
      <c r="O252" s="57">
        <f>작성용!W249</f>
        <v>45610</v>
      </c>
      <c r="P252" s="57" t="str">
        <f>작성용!X249</f>
        <v>-</v>
      </c>
      <c r="Q252" s="58" t="str">
        <f>작성용!AD249</f>
        <v>이문수</v>
      </c>
      <c r="R252" s="60">
        <f>작성용!AE249</f>
        <v>1</v>
      </c>
      <c r="S252" s="58" t="str">
        <f>작성용!AF249</f>
        <v>신규</v>
      </c>
      <c r="T252" s="61" t="str">
        <f>작성용!AG249</f>
        <v>유재호</v>
      </c>
      <c r="U252" s="61" t="str">
        <f>작성용!AH249</f>
        <v>유재호</v>
      </c>
      <c r="V252" s="56">
        <f>작성용!AA249</f>
        <v>202411</v>
      </c>
      <c r="W252" s="58" t="str">
        <f>작성용!AC249</f>
        <v>[Y]금융기관</v>
      </c>
      <c r="X252" s="58" t="str">
        <f>작성용!O249</f>
        <v>관리본부임혁빈부장</v>
      </c>
      <c r="Y252" s="58" t="str">
        <f>작성용!P249</f>
        <v>02-6250-5705,010-2247-5835</v>
      </c>
      <c r="Z252" s="58" t="str">
        <f>작성용!Q249</f>
        <v>imhb@tsinvestment.co.kr; jwlee@tsinvestment.co.kr; yj.kim@tsinvestment.co.kr</v>
      </c>
      <c r="AA252" s="56" t="str">
        <f>작성용!AJ249</f>
        <v>국민연금제출</v>
      </c>
      <c r="AB252" s="56">
        <f>작성용!AB249</f>
        <v>0</v>
      </c>
    </row>
    <row r="253" spans="1:28" s="12" customFormat="1" ht="16.5" hidden="1" customHeight="1" x14ac:dyDescent="0.3">
      <c r="A253" s="54">
        <f>작성용!AL250</f>
        <v>249</v>
      </c>
      <c r="B253" s="55" t="str">
        <f>작성용!AI250</f>
        <v>-</v>
      </c>
      <c r="C253" s="56" t="str">
        <f>작성용!AK250</f>
        <v>개별종목</v>
      </c>
      <c r="D253" s="57">
        <f>작성용!T250</f>
        <v>45573</v>
      </c>
      <c r="E253" s="58" t="str">
        <f>작성용!B250</f>
        <v>티에스인베스트먼트</v>
      </c>
      <c r="F253" s="58" t="str">
        <f>작성용!C250</f>
        <v>신규</v>
      </c>
      <c r="G253" s="58" t="str">
        <f>작성용!D250</f>
        <v>압타바이오</v>
      </c>
      <c r="H253" s="59">
        <f>작성용!E250</f>
        <v>1358110168906</v>
      </c>
      <c r="I253" s="58" t="str">
        <f>작성용!F250</f>
        <v>D02</v>
      </c>
      <c r="J253" s="58">
        <f>작성용!G250</f>
        <v>1</v>
      </c>
      <c r="K253" s="58" t="str">
        <f>작성용!H250</f>
        <v>-</v>
      </c>
      <c r="L253" s="58" t="str">
        <f>작성용!N250</f>
        <v>연말</v>
      </c>
      <c r="M253" s="57" t="str">
        <f>작성용!U250</f>
        <v>2024.09.30</v>
      </c>
      <c r="N253" s="57">
        <f>작성용!V250</f>
        <v>45604</v>
      </c>
      <c r="O253" s="57">
        <f>작성용!W250</f>
        <v>45610</v>
      </c>
      <c r="P253" s="57" t="str">
        <f>작성용!X250</f>
        <v>-</v>
      </c>
      <c r="Q253" s="58" t="str">
        <f>작성용!AD250</f>
        <v>상장</v>
      </c>
      <c r="R253" s="60">
        <f>작성용!AE250</f>
        <v>0</v>
      </c>
      <c r="S253" s="58" t="str">
        <f>작성용!AF250</f>
        <v>신규</v>
      </c>
      <c r="T253" s="61" t="str">
        <f>작성용!AG250</f>
        <v>유재호</v>
      </c>
      <c r="U253" s="61" t="str">
        <f>작성용!AH250</f>
        <v>유재호</v>
      </c>
      <c r="V253" s="56">
        <f>작성용!AA250</f>
        <v>202411</v>
      </c>
      <c r="W253" s="58" t="str">
        <f>작성용!AC250</f>
        <v>[Y]금융기관</v>
      </c>
      <c r="X253" s="58" t="str">
        <f>작성용!O250</f>
        <v>관리본부임혁빈부장</v>
      </c>
      <c r="Y253" s="58" t="str">
        <f>작성용!P250</f>
        <v>02-6250-5705,010-2247-5835</v>
      </c>
      <c r="Z253" s="58" t="str">
        <f>작성용!Q250</f>
        <v>imhb@tsinvestment.co.kr; jwlee@tsinvestment.co.kr; yj.kim@tsinvestment.co.kr</v>
      </c>
      <c r="AA253" s="56" t="str">
        <f>작성용!AJ250</f>
        <v>국민연금제출</v>
      </c>
      <c r="AB253" s="56">
        <f>작성용!AB250</f>
        <v>0</v>
      </c>
    </row>
    <row r="254" spans="1:28" s="12" customFormat="1" ht="16.5" hidden="1" customHeight="1" x14ac:dyDescent="0.3">
      <c r="A254" s="54">
        <f>작성용!AL251</f>
        <v>250</v>
      </c>
      <c r="B254" s="55" t="str">
        <f>작성용!AI251</f>
        <v>-</v>
      </c>
      <c r="C254" s="56" t="str">
        <f>작성용!AK251</f>
        <v>개별종목</v>
      </c>
      <c r="D254" s="57">
        <f>작성용!T251</f>
        <v>45573</v>
      </c>
      <c r="E254" s="58" t="str">
        <f>작성용!B251</f>
        <v>티에스인베스트먼트</v>
      </c>
      <c r="F254" s="58" t="str">
        <f>작성용!C251</f>
        <v>신규</v>
      </c>
      <c r="G254" s="58" t="str">
        <f>작성용!D251</f>
        <v>지냄</v>
      </c>
      <c r="H254" s="59">
        <f>작성용!E251</f>
        <v>1101115462273</v>
      </c>
      <c r="I254" s="58" t="str">
        <f>작성용!F251</f>
        <v>A07</v>
      </c>
      <c r="J254" s="58">
        <f>작성용!G251</f>
        <v>77</v>
      </c>
      <c r="K254" s="58" t="str">
        <f>작성용!H251</f>
        <v>-</v>
      </c>
      <c r="L254" s="58" t="str">
        <f>작성용!N251</f>
        <v>연말</v>
      </c>
      <c r="M254" s="57" t="str">
        <f>작성용!U251</f>
        <v>2024.09.30</v>
      </c>
      <c r="N254" s="57">
        <f>작성용!V251</f>
        <v>45604</v>
      </c>
      <c r="O254" s="57">
        <f>작성용!W251</f>
        <v>45610</v>
      </c>
      <c r="P254" s="57" t="str">
        <f>작성용!X251</f>
        <v>-</v>
      </c>
      <c r="Q254" s="58" t="str">
        <f>작성용!AD251</f>
        <v>김에스더</v>
      </c>
      <c r="R254" s="60">
        <f>작성용!AE251</f>
        <v>1</v>
      </c>
      <c r="S254" s="58" t="str">
        <f>작성용!AF251</f>
        <v>신규</v>
      </c>
      <c r="T254" s="61" t="str">
        <f>작성용!AG251</f>
        <v>유재호</v>
      </c>
      <c r="U254" s="61" t="str">
        <f>작성용!AH251</f>
        <v>유재호</v>
      </c>
      <c r="V254" s="56">
        <f>작성용!AA251</f>
        <v>202411</v>
      </c>
      <c r="W254" s="58" t="str">
        <f>작성용!AC251</f>
        <v>[Y]금융기관</v>
      </c>
      <c r="X254" s="58" t="str">
        <f>작성용!O251</f>
        <v>관리본부임혁빈부장</v>
      </c>
      <c r="Y254" s="58" t="str">
        <f>작성용!P251</f>
        <v>02-6250-5705,010-2247-5835</v>
      </c>
      <c r="Z254" s="58" t="str">
        <f>작성용!Q251</f>
        <v>imhb@tsinvestment.co.kr; jwlee@tsinvestment.co.kr; yj.kim@tsinvestment.co.kr</v>
      </c>
      <c r="AA254" s="56" t="str">
        <f>작성용!AJ251</f>
        <v>국민연금제출</v>
      </c>
      <c r="AB254" s="56">
        <f>작성용!AB251</f>
        <v>0</v>
      </c>
    </row>
    <row r="255" spans="1:28" s="12" customFormat="1" ht="16.5" hidden="1" customHeight="1" x14ac:dyDescent="0.3">
      <c r="A255" s="54">
        <f>작성용!AL252</f>
        <v>251</v>
      </c>
      <c r="B255" s="55" t="str">
        <f>작성용!AI252</f>
        <v>-</v>
      </c>
      <c r="C255" s="56" t="str">
        <f>작성용!AK252</f>
        <v>개별종목</v>
      </c>
      <c r="D255" s="57">
        <f>작성용!T252</f>
        <v>45573</v>
      </c>
      <c r="E255" s="58" t="str">
        <f>작성용!B252</f>
        <v>티에스인베스트먼트</v>
      </c>
      <c r="F255" s="58" t="str">
        <f>작성용!C252</f>
        <v>재평가</v>
      </c>
      <c r="G255" s="58" t="str">
        <f>작성용!D252</f>
        <v>패스트파이브</v>
      </c>
      <c r="H255" s="59">
        <f>작성용!E252</f>
        <v>1101115648899</v>
      </c>
      <c r="I255" s="58" t="str">
        <f>작성용!F252</f>
        <v>A01</v>
      </c>
      <c r="J255" s="58">
        <f>작성용!G252</f>
        <v>0</v>
      </c>
      <c r="K255" s="58" t="str">
        <f>작성용!H252</f>
        <v>-</v>
      </c>
      <c r="L255" s="58" t="str">
        <f>작성용!N252</f>
        <v>연말</v>
      </c>
      <c r="M255" s="57" t="str">
        <f>작성용!U252</f>
        <v>2024.09.30</v>
      </c>
      <c r="N255" s="57">
        <f>작성용!V252</f>
        <v>45604</v>
      </c>
      <c r="O255" s="57">
        <f>작성용!W252</f>
        <v>45610</v>
      </c>
      <c r="P255" s="57" t="str">
        <f>작성용!X252</f>
        <v>-</v>
      </c>
      <c r="Q255" s="58" t="str">
        <f>작성용!AD252</f>
        <v>정재형</v>
      </c>
      <c r="R255" s="60">
        <f>작성용!AE252</f>
        <v>1</v>
      </c>
      <c r="S255" s="58" t="str">
        <f>작성용!AF252</f>
        <v>김혜지</v>
      </c>
      <c r="T255" s="61" t="str">
        <f>작성용!AG252</f>
        <v>유재호</v>
      </c>
      <c r="U255" s="61" t="str">
        <f>작성용!AH252</f>
        <v>유재호</v>
      </c>
      <c r="V255" s="56">
        <f>작성용!AA252</f>
        <v>202411</v>
      </c>
      <c r="W255" s="58" t="str">
        <f>작성용!AC252</f>
        <v>[Y]금융기관</v>
      </c>
      <c r="X255" s="58" t="str">
        <f>작성용!O252</f>
        <v>관리본부임혁빈부장</v>
      </c>
      <c r="Y255" s="58" t="str">
        <f>작성용!P252</f>
        <v>02-6250-5705,010-2247-5835</v>
      </c>
      <c r="Z255" s="58" t="str">
        <f>작성용!Q252</f>
        <v>imhb@tsinvestment.co.kr; jwlee@tsinvestment.co.kr; yj.kim@tsinvestment.co.kr</v>
      </c>
      <c r="AA255" s="56" t="str">
        <f>작성용!AJ252</f>
        <v>국민연금제출</v>
      </c>
      <c r="AB255" s="56">
        <f>작성용!AB252</f>
        <v>0</v>
      </c>
    </row>
    <row r="256" spans="1:28" s="12" customFormat="1" ht="16.5" hidden="1" customHeight="1" x14ac:dyDescent="0.3">
      <c r="A256" s="54">
        <f>작성용!AL253</f>
        <v>252</v>
      </c>
      <c r="B256" s="55" t="str">
        <f>작성용!AI253</f>
        <v>-</v>
      </c>
      <c r="C256" s="56" t="str">
        <f>작성용!AK253</f>
        <v>개별종목</v>
      </c>
      <c r="D256" s="57">
        <f>작성용!T253</f>
        <v>45573</v>
      </c>
      <c r="E256" s="58" t="str">
        <f>작성용!B253</f>
        <v>티에스인베스트먼트</v>
      </c>
      <c r="F256" s="58" t="str">
        <f>작성용!C253</f>
        <v>재평가</v>
      </c>
      <c r="G256" s="58" t="str">
        <f>작성용!D253</f>
        <v>패스트파이브</v>
      </c>
      <c r="H256" s="59">
        <f>작성용!E253</f>
        <v>1101115648899</v>
      </c>
      <c r="I256" s="58" t="str">
        <f>작성용!F253</f>
        <v>A05</v>
      </c>
      <c r="J256" s="58">
        <f>작성용!G253</f>
        <v>0</v>
      </c>
      <c r="K256" s="58" t="str">
        <f>작성용!H253</f>
        <v>-</v>
      </c>
      <c r="L256" s="58" t="str">
        <f>작성용!N253</f>
        <v>연말</v>
      </c>
      <c r="M256" s="57" t="str">
        <f>작성용!U253</f>
        <v>2024.09.30</v>
      </c>
      <c r="N256" s="57">
        <f>작성용!V253</f>
        <v>45604</v>
      </c>
      <c r="O256" s="57">
        <f>작성용!W253</f>
        <v>45610</v>
      </c>
      <c r="P256" s="57" t="str">
        <f>작성용!X253</f>
        <v>-</v>
      </c>
      <c r="Q256" s="58" t="str">
        <f>작성용!AD253</f>
        <v>정재형</v>
      </c>
      <c r="R256" s="60">
        <f>작성용!AE253</f>
        <v>0</v>
      </c>
      <c r="S256" s="58" t="str">
        <f>작성용!AF253</f>
        <v>김혜지</v>
      </c>
      <c r="T256" s="61" t="str">
        <f>작성용!AG253</f>
        <v>유재호</v>
      </c>
      <c r="U256" s="61" t="str">
        <f>작성용!AH253</f>
        <v>유재호</v>
      </c>
      <c r="V256" s="56">
        <f>작성용!AA253</f>
        <v>202411</v>
      </c>
      <c r="W256" s="58" t="str">
        <f>작성용!AC253</f>
        <v>[Y]금융기관</v>
      </c>
      <c r="X256" s="58" t="str">
        <f>작성용!O253</f>
        <v>관리본부임혁빈부장</v>
      </c>
      <c r="Y256" s="58" t="str">
        <f>작성용!P253</f>
        <v>02-6250-5705,010-2247-5835</v>
      </c>
      <c r="Z256" s="58" t="str">
        <f>작성용!Q253</f>
        <v>imhb@tsinvestment.co.kr; jwlee@tsinvestment.co.kr; yj.kim@tsinvestment.co.kr</v>
      </c>
      <c r="AA256" s="56" t="str">
        <f>작성용!AJ253</f>
        <v>국민연금제출</v>
      </c>
      <c r="AB256" s="56">
        <f>작성용!AB253</f>
        <v>0</v>
      </c>
    </row>
    <row r="257" spans="1:28" s="12" customFormat="1" ht="16.5" hidden="1" customHeight="1" x14ac:dyDescent="0.3">
      <c r="A257" s="54">
        <f>작성용!AL254</f>
        <v>253</v>
      </c>
      <c r="B257" s="55" t="str">
        <f>작성용!AI254</f>
        <v>-</v>
      </c>
      <c r="C257" s="56" t="str">
        <f>작성용!AK254</f>
        <v>개별종목</v>
      </c>
      <c r="D257" s="57">
        <f>작성용!T254</f>
        <v>45573</v>
      </c>
      <c r="E257" s="58" t="str">
        <f>작성용!B254</f>
        <v>티에스인베스트먼트</v>
      </c>
      <c r="F257" s="58" t="str">
        <f>작성용!C254</f>
        <v>재평가</v>
      </c>
      <c r="G257" s="58" t="str">
        <f>작성용!D254</f>
        <v>차봇모빌리티</v>
      </c>
      <c r="H257" s="59">
        <f>작성용!E254</f>
        <v>1101116159275</v>
      </c>
      <c r="I257" s="58" t="str">
        <f>작성용!F254</f>
        <v>A07</v>
      </c>
      <c r="J257" s="58">
        <f>작성용!G254</f>
        <v>0</v>
      </c>
      <c r="K257" s="58" t="str">
        <f>작성용!H254</f>
        <v>-</v>
      </c>
      <c r="L257" s="58" t="str">
        <f>작성용!N254</f>
        <v>연말</v>
      </c>
      <c r="M257" s="57" t="str">
        <f>작성용!U254</f>
        <v>2024.09.30</v>
      </c>
      <c r="N257" s="57">
        <f>작성용!V254</f>
        <v>45604</v>
      </c>
      <c r="O257" s="57">
        <f>작성용!W254</f>
        <v>45610</v>
      </c>
      <c r="P257" s="57" t="str">
        <f>작성용!X254</f>
        <v>-</v>
      </c>
      <c r="Q257" s="58" t="str">
        <f>작성용!AD254</f>
        <v>김예림</v>
      </c>
      <c r="R257" s="60">
        <f>작성용!AE254</f>
        <v>1</v>
      </c>
      <c r="S257" s="58" t="str">
        <f>작성용!AF254</f>
        <v>김예림</v>
      </c>
      <c r="T257" s="61" t="str">
        <f>작성용!AG254</f>
        <v>유재호</v>
      </c>
      <c r="U257" s="61" t="str">
        <f>작성용!AH254</f>
        <v>유재호</v>
      </c>
      <c r="V257" s="56">
        <f>작성용!AA254</f>
        <v>202411</v>
      </c>
      <c r="W257" s="58" t="str">
        <f>작성용!AC254</f>
        <v>[Y]금융기관</v>
      </c>
      <c r="X257" s="58" t="str">
        <f>작성용!O254</f>
        <v>관리본부임혁빈부장</v>
      </c>
      <c r="Y257" s="58" t="str">
        <f>작성용!P254</f>
        <v>02-6250-5705,010-2247-5835</v>
      </c>
      <c r="Z257" s="58" t="str">
        <f>작성용!Q254</f>
        <v>imhb@tsinvestment.co.kr; jwlee@tsinvestment.co.kr; yj.kim@tsinvestment.co.kr</v>
      </c>
      <c r="AA257" s="56" t="str">
        <f>작성용!AJ254</f>
        <v>국민연금제출</v>
      </c>
      <c r="AB257" s="56">
        <f>작성용!AB254</f>
        <v>0</v>
      </c>
    </row>
    <row r="258" spans="1:28" s="12" customFormat="1" ht="16.5" hidden="1" customHeight="1" x14ac:dyDescent="0.3">
      <c r="A258" s="54">
        <f>작성용!AL255</f>
        <v>254</v>
      </c>
      <c r="B258" s="55" t="str">
        <f>작성용!AI255</f>
        <v>-</v>
      </c>
      <c r="C258" s="56" t="str">
        <f>작성용!AK255</f>
        <v>개별종목</v>
      </c>
      <c r="D258" s="57">
        <f>작성용!T255</f>
        <v>45573</v>
      </c>
      <c r="E258" s="58" t="str">
        <f>작성용!B255</f>
        <v>티에스인베스트먼트</v>
      </c>
      <c r="F258" s="58" t="str">
        <f>작성용!C255</f>
        <v>재평가</v>
      </c>
      <c r="G258" s="58" t="str">
        <f>작성용!D255</f>
        <v>차봇모빌리티</v>
      </c>
      <c r="H258" s="59">
        <f>작성용!E255</f>
        <v>1101116159275</v>
      </c>
      <c r="I258" s="58" t="str">
        <f>작성용!F255</f>
        <v>A07</v>
      </c>
      <c r="J258" s="58">
        <f>작성용!G255</f>
        <v>1</v>
      </c>
      <c r="K258" s="58" t="str">
        <f>작성용!H255</f>
        <v>-</v>
      </c>
      <c r="L258" s="58" t="str">
        <f>작성용!N255</f>
        <v>연말</v>
      </c>
      <c r="M258" s="57" t="str">
        <f>작성용!U255</f>
        <v>2024.09.30</v>
      </c>
      <c r="N258" s="57">
        <f>작성용!V255</f>
        <v>45604</v>
      </c>
      <c r="O258" s="57">
        <f>작성용!W255</f>
        <v>45610</v>
      </c>
      <c r="P258" s="57" t="str">
        <f>작성용!X255</f>
        <v>-</v>
      </c>
      <c r="Q258" s="58" t="str">
        <f>작성용!AD255</f>
        <v>김예림</v>
      </c>
      <c r="R258" s="60">
        <f>작성용!AE255</f>
        <v>0</v>
      </c>
      <c r="S258" s="58" t="str">
        <f>작성용!AF255</f>
        <v>김예림</v>
      </c>
      <c r="T258" s="61" t="str">
        <f>작성용!AG255</f>
        <v>유재호</v>
      </c>
      <c r="U258" s="61" t="str">
        <f>작성용!AH255</f>
        <v>유재호</v>
      </c>
      <c r="V258" s="56">
        <f>작성용!AA255</f>
        <v>202411</v>
      </c>
      <c r="W258" s="58" t="str">
        <f>작성용!AC255</f>
        <v>[Y]금융기관</v>
      </c>
      <c r="X258" s="58" t="str">
        <f>작성용!O255</f>
        <v>관리본부임혁빈부장</v>
      </c>
      <c r="Y258" s="58" t="str">
        <f>작성용!P255</f>
        <v>02-6250-5705,010-2247-5835</v>
      </c>
      <c r="Z258" s="58" t="str">
        <f>작성용!Q255</f>
        <v>imhb@tsinvestment.co.kr; jwlee@tsinvestment.co.kr; yj.kim@tsinvestment.co.kr</v>
      </c>
      <c r="AA258" s="56" t="str">
        <f>작성용!AJ255</f>
        <v>국민연금제출</v>
      </c>
      <c r="AB258" s="56">
        <f>작성용!AB255</f>
        <v>0</v>
      </c>
    </row>
    <row r="259" spans="1:28" s="12" customFormat="1" ht="16.5" hidden="1" customHeight="1" x14ac:dyDescent="0.3">
      <c r="A259" s="54">
        <f>작성용!AL256</f>
        <v>255</v>
      </c>
      <c r="B259" s="55" t="str">
        <f>작성용!AI256</f>
        <v>-</v>
      </c>
      <c r="C259" s="56" t="str">
        <f>작성용!AK256</f>
        <v>개별종목</v>
      </c>
      <c r="D259" s="57">
        <f>작성용!T256</f>
        <v>45573</v>
      </c>
      <c r="E259" s="58" t="str">
        <f>작성용!B256</f>
        <v>디티씨</v>
      </c>
      <c r="F259" s="58" t="str">
        <f>작성용!C256</f>
        <v>신규</v>
      </c>
      <c r="G259" s="58" t="str">
        <f>작성용!D256</f>
        <v>나우글로벌케이테크펀드</v>
      </c>
      <c r="H259" s="59" t="str">
        <f>작성용!E256</f>
        <v>KBP2022120001</v>
      </c>
      <c r="I259" s="58" t="str">
        <f>작성용!F256</f>
        <v>B01</v>
      </c>
      <c r="J259" s="58">
        <f>작성용!G256</f>
        <v>0</v>
      </c>
      <c r="K259" s="58" t="str">
        <f>작성용!H256</f>
        <v>-</v>
      </c>
      <c r="L259" s="58" t="str">
        <f>작성용!N256</f>
        <v>미정</v>
      </c>
      <c r="M259" s="57" t="str">
        <f>작성용!U256</f>
        <v>2024.12.31</v>
      </c>
      <c r="N259" s="57">
        <f>작성용!V256</f>
        <v>45667</v>
      </c>
      <c r="O259" s="57">
        <f>작성용!W256</f>
        <v>45667</v>
      </c>
      <c r="P259" s="57" t="str">
        <f>작성용!X256</f>
        <v>-</v>
      </c>
      <c r="Q259" s="58" t="str">
        <f>작성용!AD256</f>
        <v>변혜진</v>
      </c>
      <c r="R259" s="60">
        <f>작성용!AE256</f>
        <v>1</v>
      </c>
      <c r="S259" s="58" t="str">
        <f>작성용!AF256</f>
        <v>변혜진</v>
      </c>
      <c r="T259" s="61" t="str">
        <f>작성용!AG256</f>
        <v>변혜진</v>
      </c>
      <c r="U259" s="61" t="str">
        <f>작성용!AH256</f>
        <v>변혜진</v>
      </c>
      <c r="V259" s="56">
        <f>작성용!AA256</f>
        <v>202412</v>
      </c>
      <c r="W259" s="58" t="str">
        <f>작성용!AC256</f>
        <v>[X]일반기업</v>
      </c>
      <c r="X259" s="58" t="str">
        <f>작성용!O256</f>
        <v>김남헌대리</v>
      </c>
      <c r="Y259" s="58" t="str">
        <f>작성용!P256</f>
        <v>031-776-7506</v>
      </c>
      <c r="Z259" s="58" t="str">
        <f>작성용!Q256</f>
        <v>nhkim@dtccorp.co.kr</v>
      </c>
      <c r="AA259" s="56" t="str">
        <f>작성용!AJ256</f>
        <v>-</v>
      </c>
      <c r="AB259" s="56">
        <f>작성용!AB256</f>
        <v>0</v>
      </c>
    </row>
    <row r="260" spans="1:28" s="12" customFormat="1" ht="16.5" hidden="1" customHeight="1" x14ac:dyDescent="0.3">
      <c r="A260" s="54">
        <f>작성용!AL257</f>
        <v>256</v>
      </c>
      <c r="B260" s="55" t="str">
        <f>작성용!AI257</f>
        <v>-</v>
      </c>
      <c r="C260" s="56" t="str">
        <f>작성용!AK257</f>
        <v>기초자산</v>
      </c>
      <c r="D260" s="57" t="str">
        <f>작성용!T257</f>
        <v>디티씨펀드(기초자산)</v>
      </c>
      <c r="E260" s="58" t="str">
        <f>작성용!B257</f>
        <v>나우글로벌케이테크펀드</v>
      </c>
      <c r="F260" s="58" t="str">
        <f>작성용!C257</f>
        <v>재평가</v>
      </c>
      <c r="G260" s="58" t="str">
        <f>작성용!D257</f>
        <v>쿼드마이너</v>
      </c>
      <c r="H260" s="59">
        <f>작성용!E257</f>
        <v>1101116577998</v>
      </c>
      <c r="I260" s="58" t="str">
        <f>작성용!F257</f>
        <v>A07</v>
      </c>
      <c r="J260" s="58">
        <f>작성용!G257</f>
        <v>0</v>
      </c>
      <c r="K260" s="58" t="str">
        <f>작성용!H257</f>
        <v>-</v>
      </c>
      <c r="L260" s="58" t="str">
        <f>작성용!N257</f>
        <v>분기</v>
      </c>
      <c r="M260" s="57" t="str">
        <f>작성용!U257</f>
        <v>2024.12.31</v>
      </c>
      <c r="N260" s="57">
        <f>작성용!V257</f>
        <v>45667</v>
      </c>
      <c r="O260" s="57" t="str">
        <f>작성용!W257</f>
        <v>보고서제공X</v>
      </c>
      <c r="P260" s="57" t="str">
        <f>작성용!X257</f>
        <v>-</v>
      </c>
      <c r="Q260" s="58" t="str">
        <f>작성용!AD257</f>
        <v>변혜진</v>
      </c>
      <c r="R260" s="60">
        <f>작성용!AE257</f>
        <v>0.4</v>
      </c>
      <c r="S260" s="58" t="str">
        <f>작성용!AF257</f>
        <v>변혜진</v>
      </c>
      <c r="T260" s="61" t="str">
        <f>작성용!AG257</f>
        <v>-</v>
      </c>
      <c r="U260" s="61" t="str">
        <f>작성용!AH257</f>
        <v>-</v>
      </c>
      <c r="V260" s="56">
        <f>작성용!AA257</f>
        <v>202412</v>
      </c>
      <c r="W260" s="58" t="str">
        <f>작성용!AC257</f>
        <v>[6]기타기관펀드(기초자산)</v>
      </c>
      <c r="X260" s="58">
        <f>작성용!O257</f>
        <v>0</v>
      </c>
      <c r="Y260" s="58">
        <f>작성용!P257</f>
        <v>0</v>
      </c>
      <c r="Z260" s="58">
        <f>작성용!Q257</f>
        <v>0</v>
      </c>
      <c r="AA260" s="56" t="str">
        <f>작성용!AJ257</f>
        <v>-</v>
      </c>
      <c r="AB260" s="56">
        <f>작성용!AB257</f>
        <v>0</v>
      </c>
    </row>
    <row r="261" spans="1:28" s="12" customFormat="1" ht="16.5" hidden="1" customHeight="1" x14ac:dyDescent="0.3">
      <c r="A261" s="54">
        <f>작성용!AL258</f>
        <v>257</v>
      </c>
      <c r="B261" s="55" t="str">
        <f>작성용!AI258</f>
        <v>-</v>
      </c>
      <c r="C261" s="56" t="str">
        <f>작성용!AK258</f>
        <v>기초자산</v>
      </c>
      <c r="D261" s="57" t="str">
        <f>작성용!T258</f>
        <v>디티씨펀드(기초자산)</v>
      </c>
      <c r="E261" s="58" t="str">
        <f>작성용!B258</f>
        <v>나우글로벌케이테크펀드</v>
      </c>
      <c r="F261" s="58" t="str">
        <f>작성용!C258</f>
        <v>재평가</v>
      </c>
      <c r="G261" s="58" t="str">
        <f>작성용!D258</f>
        <v>엘디카본</v>
      </c>
      <c r="H261" s="59">
        <f>작성용!E258</f>
        <v>1713110036357</v>
      </c>
      <c r="I261" s="58" t="str">
        <f>작성용!F258</f>
        <v>A07</v>
      </c>
      <c r="J261" s="58">
        <f>작성용!G258</f>
        <v>1</v>
      </c>
      <c r="K261" s="58" t="str">
        <f>작성용!H258</f>
        <v>-</v>
      </c>
      <c r="L261" s="58" t="str">
        <f>작성용!N258</f>
        <v>분기</v>
      </c>
      <c r="M261" s="57" t="str">
        <f>작성용!U258</f>
        <v>2024.12.31</v>
      </c>
      <c r="N261" s="57">
        <f>작성용!V258</f>
        <v>45667</v>
      </c>
      <c r="O261" s="57" t="str">
        <f>작성용!W258</f>
        <v>보고서제공X</v>
      </c>
      <c r="P261" s="57" t="str">
        <f>작성용!X258</f>
        <v>-</v>
      </c>
      <c r="Q261" s="58" t="str">
        <f>작성용!AD258</f>
        <v>이문수</v>
      </c>
      <c r="R261" s="60">
        <f>작성용!AE258</f>
        <v>0</v>
      </c>
      <c r="S261" s="58" t="str">
        <f>작성용!AF258</f>
        <v>이문수</v>
      </c>
      <c r="T261" s="61" t="str">
        <f>작성용!AG258</f>
        <v>-</v>
      </c>
      <c r="U261" s="61" t="str">
        <f>작성용!AH258</f>
        <v>-</v>
      </c>
      <c r="V261" s="56">
        <f>작성용!AA258</f>
        <v>202412</v>
      </c>
      <c r="W261" s="58" t="str">
        <f>작성용!AC258</f>
        <v>[6]기타기관펀드(기초자산)</v>
      </c>
      <c r="X261" s="58">
        <f>작성용!O258</f>
        <v>0</v>
      </c>
      <c r="Y261" s="58">
        <f>작성용!P258</f>
        <v>0</v>
      </c>
      <c r="Z261" s="58">
        <f>작성용!Q258</f>
        <v>0</v>
      </c>
      <c r="AA261" s="56" t="str">
        <f>작성용!AJ258</f>
        <v>-</v>
      </c>
      <c r="AB261" s="56">
        <f>작성용!AB258</f>
        <v>0</v>
      </c>
    </row>
    <row r="262" spans="1:28" s="12" customFormat="1" ht="16.5" hidden="1" customHeight="1" x14ac:dyDescent="0.3">
      <c r="A262" s="54">
        <f>작성용!AL259</f>
        <v>258</v>
      </c>
      <c r="B262" s="55" t="str">
        <f>작성용!AI259</f>
        <v>-</v>
      </c>
      <c r="C262" s="56" t="str">
        <f>작성용!AK259</f>
        <v>기초자산</v>
      </c>
      <c r="D262" s="57" t="str">
        <f>작성용!T259</f>
        <v>디티씨펀드(기초자산)</v>
      </c>
      <c r="E262" s="58" t="str">
        <f>작성용!B259</f>
        <v>나우글로벌케이테크펀드</v>
      </c>
      <c r="F262" s="58" t="str">
        <f>작성용!C259</f>
        <v>재평가</v>
      </c>
      <c r="G262" s="58" t="str">
        <f>작성용!D259</f>
        <v>에스디티</v>
      </c>
      <c r="H262" s="59">
        <f>작성용!E259</f>
        <v>1201110903345</v>
      </c>
      <c r="I262" s="58" t="str">
        <f>작성용!F259</f>
        <v>A07</v>
      </c>
      <c r="J262" s="58">
        <f>작성용!G259</f>
        <v>1</v>
      </c>
      <c r="K262" s="58" t="str">
        <f>작성용!H259</f>
        <v>-</v>
      </c>
      <c r="L262" s="58" t="str">
        <f>작성용!N259</f>
        <v>분기</v>
      </c>
      <c r="M262" s="57" t="str">
        <f>작성용!U259</f>
        <v>2024.12.31</v>
      </c>
      <c r="N262" s="57">
        <f>작성용!V259</f>
        <v>45667</v>
      </c>
      <c r="O262" s="57" t="str">
        <f>작성용!W259</f>
        <v>보고서제공X</v>
      </c>
      <c r="P262" s="57" t="str">
        <f>작성용!X259</f>
        <v>-</v>
      </c>
      <c r="Q262" s="58" t="str">
        <f>작성용!AD259</f>
        <v>오영석</v>
      </c>
      <c r="R262" s="60">
        <f>작성용!AE259</f>
        <v>0</v>
      </c>
      <c r="S262" s="58" t="str">
        <f>작성용!AF259</f>
        <v>오영석</v>
      </c>
      <c r="T262" s="61" t="str">
        <f>작성용!AG259</f>
        <v>-</v>
      </c>
      <c r="U262" s="61" t="str">
        <f>작성용!AH259</f>
        <v>-</v>
      </c>
      <c r="V262" s="56">
        <f>작성용!AA259</f>
        <v>202412</v>
      </c>
      <c r="W262" s="58" t="str">
        <f>작성용!AC259</f>
        <v>[6]기타기관펀드(기초자산)</v>
      </c>
      <c r="X262" s="58">
        <f>작성용!O259</f>
        <v>0</v>
      </c>
      <c r="Y262" s="58">
        <f>작성용!P259</f>
        <v>0</v>
      </c>
      <c r="Z262" s="58">
        <f>작성용!Q259</f>
        <v>0</v>
      </c>
      <c r="AA262" s="56" t="str">
        <f>작성용!AJ259</f>
        <v>-</v>
      </c>
      <c r="AB262" s="56">
        <f>작성용!AB259</f>
        <v>0</v>
      </c>
    </row>
    <row r="263" spans="1:28" s="12" customFormat="1" ht="16.5" hidden="1" customHeight="1" x14ac:dyDescent="0.3">
      <c r="A263" s="54">
        <f>작성용!AL260</f>
        <v>259</v>
      </c>
      <c r="B263" s="55" t="str">
        <f>작성용!AI260</f>
        <v>-</v>
      </c>
      <c r="C263" s="56" t="str">
        <f>작성용!AK260</f>
        <v>기초자산</v>
      </c>
      <c r="D263" s="57" t="str">
        <f>작성용!T260</f>
        <v>디티씨펀드(기초자산)</v>
      </c>
      <c r="E263" s="58" t="str">
        <f>작성용!B260</f>
        <v>나우글로벌케이테크펀드</v>
      </c>
      <c r="F263" s="58" t="str">
        <f>작성용!C260</f>
        <v>재평가</v>
      </c>
      <c r="G263" s="58" t="str">
        <f>작성용!D260</f>
        <v>나무기술</v>
      </c>
      <c r="H263" s="59">
        <f>작성용!E260</f>
        <v>1101116016673</v>
      </c>
      <c r="I263" s="58" t="str">
        <f>작성용!F260</f>
        <v>D01</v>
      </c>
      <c r="J263" s="58">
        <f>작성용!G260</f>
        <v>0</v>
      </c>
      <c r="K263" s="58" t="str">
        <f>작성용!H260</f>
        <v>-</v>
      </c>
      <c r="L263" s="58" t="str">
        <f>작성용!N260</f>
        <v>분기</v>
      </c>
      <c r="M263" s="57" t="str">
        <f>작성용!U260</f>
        <v>2024.12.31</v>
      </c>
      <c r="N263" s="57">
        <f>작성용!V260</f>
        <v>45667</v>
      </c>
      <c r="O263" s="57" t="str">
        <f>작성용!W260</f>
        <v>보고서제공X</v>
      </c>
      <c r="P263" s="57" t="str">
        <f>작성용!X260</f>
        <v>-</v>
      </c>
      <c r="Q263" s="58" t="str">
        <f>작성용!AD260</f>
        <v>상장</v>
      </c>
      <c r="R263" s="60">
        <f>작성용!AE260</f>
        <v>0</v>
      </c>
      <c r="S263" s="58" t="str">
        <f>작성용!AF260</f>
        <v>상장</v>
      </c>
      <c r="T263" s="61" t="str">
        <f>작성용!AG260</f>
        <v>-</v>
      </c>
      <c r="U263" s="61" t="str">
        <f>작성용!AH260</f>
        <v>-</v>
      </c>
      <c r="V263" s="56">
        <f>작성용!AA260</f>
        <v>202412</v>
      </c>
      <c r="W263" s="58" t="str">
        <f>작성용!AC260</f>
        <v>[6]기타기관펀드(기초자산)</v>
      </c>
      <c r="X263" s="58">
        <f>작성용!O260</f>
        <v>0</v>
      </c>
      <c r="Y263" s="58">
        <f>작성용!P260</f>
        <v>0</v>
      </c>
      <c r="Z263" s="58">
        <f>작성용!Q260</f>
        <v>0</v>
      </c>
      <c r="AA263" s="56" t="str">
        <f>작성용!AJ260</f>
        <v>-</v>
      </c>
      <c r="AB263" s="56">
        <f>작성용!AB260</f>
        <v>0</v>
      </c>
    </row>
    <row r="264" spans="1:28" s="12" customFormat="1" ht="16.5" hidden="1" customHeight="1" x14ac:dyDescent="0.3">
      <c r="A264" s="54">
        <f>작성용!AL261</f>
        <v>260</v>
      </c>
      <c r="B264" s="55" t="str">
        <f>작성용!AI261</f>
        <v>-</v>
      </c>
      <c r="C264" s="56" t="str">
        <f>작성용!AK261</f>
        <v>기초자산</v>
      </c>
      <c r="D264" s="57" t="str">
        <f>작성용!T261</f>
        <v>디티씨펀드(기초자산)</v>
      </c>
      <c r="E264" s="58" t="str">
        <f>작성용!B261</f>
        <v>나우글로벌케이테크펀드</v>
      </c>
      <c r="F264" s="58" t="str">
        <f>작성용!C261</f>
        <v>재평가</v>
      </c>
      <c r="G264" s="58" t="str">
        <f>작성용!D261</f>
        <v>윌로그</v>
      </c>
      <c r="H264" s="59">
        <f>작성용!E261</f>
        <v>1101117892874</v>
      </c>
      <c r="I264" s="58" t="str">
        <f>작성용!F261</f>
        <v>A07</v>
      </c>
      <c r="J264" s="58">
        <f>작성용!G261</f>
        <v>0</v>
      </c>
      <c r="K264" s="58" t="str">
        <f>작성용!H261</f>
        <v>-</v>
      </c>
      <c r="L264" s="58" t="str">
        <f>작성용!N261</f>
        <v>분기</v>
      </c>
      <c r="M264" s="57" t="str">
        <f>작성용!U261</f>
        <v>2024.12.31</v>
      </c>
      <c r="N264" s="57">
        <f>작성용!V261</f>
        <v>45667</v>
      </c>
      <c r="O264" s="57" t="str">
        <f>작성용!W261</f>
        <v>보고서제공X</v>
      </c>
      <c r="P264" s="57" t="str">
        <f>작성용!X261</f>
        <v>-</v>
      </c>
      <c r="Q264" s="58" t="str">
        <f>작성용!AD261</f>
        <v>오수현</v>
      </c>
      <c r="R264" s="60">
        <f>작성용!AE261</f>
        <v>0</v>
      </c>
      <c r="S264" s="58" t="str">
        <f>작성용!AF261</f>
        <v>오수현</v>
      </c>
      <c r="T264" s="61" t="str">
        <f>작성용!AG261</f>
        <v>-</v>
      </c>
      <c r="U264" s="61" t="str">
        <f>작성용!AH261</f>
        <v>-</v>
      </c>
      <c r="V264" s="56">
        <f>작성용!AA261</f>
        <v>202412</v>
      </c>
      <c r="W264" s="58" t="str">
        <f>작성용!AC261</f>
        <v>[6]기타기관펀드(기초자산)</v>
      </c>
      <c r="X264" s="58">
        <f>작성용!O261</f>
        <v>0</v>
      </c>
      <c r="Y264" s="58">
        <f>작성용!P261</f>
        <v>0</v>
      </c>
      <c r="Z264" s="58">
        <f>작성용!Q261</f>
        <v>0</v>
      </c>
      <c r="AA264" s="56" t="str">
        <f>작성용!AJ261</f>
        <v>-</v>
      </c>
      <c r="AB264" s="56">
        <f>작성용!AB261</f>
        <v>0</v>
      </c>
    </row>
    <row r="265" spans="1:28" s="12" customFormat="1" ht="16.5" hidden="1" customHeight="1" x14ac:dyDescent="0.3">
      <c r="A265" s="54">
        <f>작성용!AL262</f>
        <v>261</v>
      </c>
      <c r="B265" s="55" t="str">
        <f>작성용!AI262</f>
        <v>-</v>
      </c>
      <c r="C265" s="56" t="str">
        <f>작성용!AK262</f>
        <v>기초자산</v>
      </c>
      <c r="D265" s="57" t="str">
        <f>작성용!T262</f>
        <v>디티씨펀드(기초자산)</v>
      </c>
      <c r="E265" s="58" t="str">
        <f>작성용!B262</f>
        <v>나우글로벌케이테크펀드</v>
      </c>
      <c r="F265" s="58" t="str">
        <f>작성용!C262</f>
        <v>재평가</v>
      </c>
      <c r="G265" s="58" t="str">
        <f>작성용!D262</f>
        <v>코클(COCHL,INC.)</v>
      </c>
      <c r="H265" s="59">
        <f>작성용!E262</f>
        <v>1101116461696</v>
      </c>
      <c r="I265" s="58" t="str">
        <f>작성용!F262</f>
        <v>D06</v>
      </c>
      <c r="J265" s="58">
        <f>작성용!G262</f>
        <v>0</v>
      </c>
      <c r="K265" s="58" t="str">
        <f>작성용!H262</f>
        <v>-</v>
      </c>
      <c r="L265" s="58" t="str">
        <f>작성용!N262</f>
        <v>분기</v>
      </c>
      <c r="M265" s="57" t="str">
        <f>작성용!U262</f>
        <v>2024.12.31</v>
      </c>
      <c r="N265" s="57">
        <f>작성용!V262</f>
        <v>45667</v>
      </c>
      <c r="O265" s="57" t="str">
        <f>작성용!W262</f>
        <v>보고서제공X</v>
      </c>
      <c r="P265" s="57" t="str">
        <f>작성용!X262</f>
        <v>-</v>
      </c>
      <c r="Q265" s="58" t="str">
        <f>작성용!AD262</f>
        <v>김에스더</v>
      </c>
      <c r="R265" s="60">
        <f>작성용!AE262</f>
        <v>0</v>
      </c>
      <c r="S265" s="58" t="str">
        <f>작성용!AF262</f>
        <v>김에스더</v>
      </c>
      <c r="T265" s="61" t="str">
        <f>작성용!AG262</f>
        <v>-</v>
      </c>
      <c r="U265" s="61" t="str">
        <f>작성용!AH262</f>
        <v>-</v>
      </c>
      <c r="V265" s="56">
        <f>작성용!AA262</f>
        <v>202412</v>
      </c>
      <c r="W265" s="58" t="str">
        <f>작성용!AC262</f>
        <v>[6]기타기관펀드(기초자산)</v>
      </c>
      <c r="X265" s="58">
        <f>작성용!O262</f>
        <v>0</v>
      </c>
      <c r="Y265" s="58">
        <f>작성용!P262</f>
        <v>0</v>
      </c>
      <c r="Z265" s="58">
        <f>작성용!Q262</f>
        <v>0</v>
      </c>
      <c r="AA265" s="56" t="str">
        <f>작성용!AJ262</f>
        <v>-</v>
      </c>
      <c r="AB265" s="56">
        <f>작성용!AB262</f>
        <v>0</v>
      </c>
    </row>
    <row r="266" spans="1:28" s="12" customFormat="1" ht="16.5" hidden="1" customHeight="1" x14ac:dyDescent="0.3">
      <c r="A266" s="54">
        <f>작성용!AL263</f>
        <v>262</v>
      </c>
      <c r="B266" s="55" t="str">
        <f>작성용!AI263</f>
        <v>-</v>
      </c>
      <c r="C266" s="56" t="str">
        <f>작성용!AK263</f>
        <v>기초자산</v>
      </c>
      <c r="D266" s="57" t="str">
        <f>작성용!T263</f>
        <v>디티씨펀드(기초자산)</v>
      </c>
      <c r="E266" s="58" t="str">
        <f>작성용!B263</f>
        <v>나우글로벌케이테크펀드</v>
      </c>
      <c r="F266" s="58" t="str">
        <f>작성용!C263</f>
        <v>재평가</v>
      </c>
      <c r="G266" s="58" t="str">
        <f>작성용!D263</f>
        <v>슬래시비슬래시</v>
      </c>
      <c r="H266" s="59">
        <f>작성용!E263</f>
        <v>1801111306190</v>
      </c>
      <c r="I266" s="58" t="str">
        <f>작성용!F263</f>
        <v>A07</v>
      </c>
      <c r="J266" s="58">
        <f>작성용!G263</f>
        <v>0</v>
      </c>
      <c r="K266" s="58" t="str">
        <f>작성용!H263</f>
        <v>-</v>
      </c>
      <c r="L266" s="58" t="str">
        <f>작성용!N263</f>
        <v>분기</v>
      </c>
      <c r="M266" s="57" t="str">
        <f>작성용!U263</f>
        <v>2024.12.31</v>
      </c>
      <c r="N266" s="57">
        <f>작성용!V263</f>
        <v>45667</v>
      </c>
      <c r="O266" s="57" t="str">
        <f>작성용!W263</f>
        <v>보고서제공X</v>
      </c>
      <c r="P266" s="57" t="str">
        <f>작성용!X263</f>
        <v>-</v>
      </c>
      <c r="Q266" s="58" t="str">
        <f>작성용!AD263</f>
        <v>백형진</v>
      </c>
      <c r="R266" s="60">
        <f>작성용!AE263</f>
        <v>0</v>
      </c>
      <c r="S266" s="58" t="str">
        <f>작성용!AF263</f>
        <v>백형진</v>
      </c>
      <c r="T266" s="61" t="str">
        <f>작성용!AG263</f>
        <v>-</v>
      </c>
      <c r="U266" s="61" t="str">
        <f>작성용!AH263</f>
        <v>-</v>
      </c>
      <c r="V266" s="56">
        <f>작성용!AA263</f>
        <v>202412</v>
      </c>
      <c r="W266" s="58" t="str">
        <f>작성용!AC263</f>
        <v>[6]기타기관펀드(기초자산)</v>
      </c>
      <c r="X266" s="58">
        <f>작성용!O263</f>
        <v>0</v>
      </c>
      <c r="Y266" s="58">
        <f>작성용!P263</f>
        <v>0</v>
      </c>
      <c r="Z266" s="58">
        <f>작성용!Q263</f>
        <v>0</v>
      </c>
      <c r="AA266" s="56" t="str">
        <f>작성용!AJ263</f>
        <v>-</v>
      </c>
      <c r="AB266" s="56">
        <f>작성용!AB263</f>
        <v>0</v>
      </c>
    </row>
    <row r="267" spans="1:28" s="12" customFormat="1" ht="16.5" hidden="1" customHeight="1" x14ac:dyDescent="0.3">
      <c r="A267" s="54">
        <f>작성용!AL264</f>
        <v>263</v>
      </c>
      <c r="B267" s="55" t="str">
        <f>작성용!AI264</f>
        <v>-</v>
      </c>
      <c r="C267" s="56" t="str">
        <f>작성용!AK264</f>
        <v>기초자산</v>
      </c>
      <c r="D267" s="57" t="str">
        <f>작성용!T264</f>
        <v>디티씨펀드(기초자산)</v>
      </c>
      <c r="E267" s="58" t="str">
        <f>작성용!B264</f>
        <v>나우글로벌케이테크펀드</v>
      </c>
      <c r="F267" s="58" t="str">
        <f>작성용!C264</f>
        <v>재평가</v>
      </c>
      <c r="G267" s="58" t="str">
        <f>작성용!D264</f>
        <v>이녹스리튬</v>
      </c>
      <c r="H267" s="59">
        <f>작성용!E264</f>
        <v>1648110127006</v>
      </c>
      <c r="I267" s="58" t="str">
        <f>작성용!F264</f>
        <v>A01</v>
      </c>
      <c r="J267" s="58">
        <f>작성용!G264</f>
        <v>0</v>
      </c>
      <c r="K267" s="58" t="str">
        <f>작성용!H264</f>
        <v>-</v>
      </c>
      <c r="L267" s="58" t="str">
        <f>작성용!N264</f>
        <v>분기</v>
      </c>
      <c r="M267" s="57" t="str">
        <f>작성용!U264</f>
        <v>2024.12.31</v>
      </c>
      <c r="N267" s="57">
        <f>작성용!V264</f>
        <v>45667</v>
      </c>
      <c r="O267" s="57" t="str">
        <f>작성용!W264</f>
        <v>보고서제공X</v>
      </c>
      <c r="P267" s="57" t="str">
        <f>작성용!X264</f>
        <v>-</v>
      </c>
      <c r="Q267" s="58" t="str">
        <f>작성용!AD264</f>
        <v>이진주</v>
      </c>
      <c r="R267" s="60">
        <f>작성용!AE264</f>
        <v>0</v>
      </c>
      <c r="S267" s="58" t="str">
        <f>작성용!AF264</f>
        <v>이진주</v>
      </c>
      <c r="T267" s="61" t="str">
        <f>작성용!AG264</f>
        <v>-</v>
      </c>
      <c r="U267" s="61" t="str">
        <f>작성용!AH264</f>
        <v>-</v>
      </c>
      <c r="V267" s="56">
        <f>작성용!AA264</f>
        <v>202412</v>
      </c>
      <c r="W267" s="58" t="str">
        <f>작성용!AC264</f>
        <v>[6]기타기관펀드(기초자산)</v>
      </c>
      <c r="X267" s="58">
        <f>작성용!O264</f>
        <v>0</v>
      </c>
      <c r="Y267" s="58">
        <f>작성용!P264</f>
        <v>0</v>
      </c>
      <c r="Z267" s="58">
        <f>작성용!Q264</f>
        <v>0</v>
      </c>
      <c r="AA267" s="56" t="str">
        <f>작성용!AJ264</f>
        <v>-</v>
      </c>
      <c r="AB267" s="56">
        <f>작성용!AB264</f>
        <v>0</v>
      </c>
    </row>
    <row r="268" spans="1:28" s="12" customFormat="1" ht="16.5" hidden="1" customHeight="1" x14ac:dyDescent="0.3">
      <c r="A268" s="54">
        <f>작성용!AL265</f>
        <v>264</v>
      </c>
      <c r="B268" s="55" t="str">
        <f>작성용!AI265</f>
        <v>-</v>
      </c>
      <c r="C268" s="56" t="str">
        <f>작성용!AK265</f>
        <v>기초자산</v>
      </c>
      <c r="D268" s="57" t="str">
        <f>작성용!T265</f>
        <v>디티씨펀드(기초자산)</v>
      </c>
      <c r="E268" s="58" t="str">
        <f>작성용!B265</f>
        <v>나우글로벌케이테크펀드</v>
      </c>
      <c r="F268" s="58" t="str">
        <f>작성용!C265</f>
        <v>재평가</v>
      </c>
      <c r="G268" s="58" t="str">
        <f>작성용!D265</f>
        <v>지엘커뮤니케이션즈</v>
      </c>
      <c r="H268" s="59">
        <f>작성용!E265</f>
        <v>1101114342682</v>
      </c>
      <c r="I268" s="58" t="str">
        <f>작성용!F265</f>
        <v>A01</v>
      </c>
      <c r="J268" s="58">
        <f>작성용!G265</f>
        <v>0</v>
      </c>
      <c r="K268" s="58" t="str">
        <f>작성용!H265</f>
        <v>-</v>
      </c>
      <c r="L268" s="58" t="str">
        <f>작성용!N265</f>
        <v>분기</v>
      </c>
      <c r="M268" s="57" t="str">
        <f>작성용!U265</f>
        <v>2024.12.31</v>
      </c>
      <c r="N268" s="57">
        <f>작성용!V265</f>
        <v>45667</v>
      </c>
      <c r="O268" s="57" t="str">
        <f>작성용!W265</f>
        <v>보고서제공X</v>
      </c>
      <c r="P268" s="57" t="str">
        <f>작성용!X265</f>
        <v>-</v>
      </c>
      <c r="Q268" s="58" t="str">
        <f>작성용!AD265</f>
        <v>오영석</v>
      </c>
      <c r="R268" s="60">
        <f>작성용!AE265</f>
        <v>0</v>
      </c>
      <c r="S268" s="58" t="str">
        <f>작성용!AF265</f>
        <v>오영석</v>
      </c>
      <c r="T268" s="61" t="str">
        <f>작성용!AG265</f>
        <v>-</v>
      </c>
      <c r="U268" s="61" t="str">
        <f>작성용!AH265</f>
        <v>-</v>
      </c>
      <c r="V268" s="56">
        <f>작성용!AA265</f>
        <v>202412</v>
      </c>
      <c r="W268" s="58" t="str">
        <f>작성용!AC265</f>
        <v>[6]기타기관펀드(기초자산)</v>
      </c>
      <c r="X268" s="58">
        <f>작성용!O265</f>
        <v>0</v>
      </c>
      <c r="Y268" s="58">
        <f>작성용!P265</f>
        <v>0</v>
      </c>
      <c r="Z268" s="58">
        <f>작성용!Q265</f>
        <v>0</v>
      </c>
      <c r="AA268" s="56" t="str">
        <f>작성용!AJ265</f>
        <v>-</v>
      </c>
      <c r="AB268" s="56">
        <f>작성용!AB265</f>
        <v>0</v>
      </c>
    </row>
    <row r="269" spans="1:28" s="12" customFormat="1" ht="16.5" hidden="1" customHeight="1" x14ac:dyDescent="0.3">
      <c r="A269" s="54">
        <f>작성용!AL266</f>
        <v>265</v>
      </c>
      <c r="B269" s="55" t="str">
        <f>작성용!AI266</f>
        <v>-</v>
      </c>
      <c r="C269" s="56" t="str">
        <f>작성용!AK266</f>
        <v>기초자산</v>
      </c>
      <c r="D269" s="57" t="str">
        <f>작성용!T266</f>
        <v>디티씨펀드(기초자산)</v>
      </c>
      <c r="E269" s="58" t="str">
        <f>작성용!B266</f>
        <v>나우글로벌케이테크펀드</v>
      </c>
      <c r="F269" s="58" t="str">
        <f>작성용!C266</f>
        <v>재평가</v>
      </c>
      <c r="G269" s="58" t="str">
        <f>작성용!D266</f>
        <v>지엘커뮤니케이션즈</v>
      </c>
      <c r="H269" s="59">
        <f>작성용!E266</f>
        <v>1101114342682</v>
      </c>
      <c r="I269" s="58" t="str">
        <f>작성용!F266</f>
        <v>D02</v>
      </c>
      <c r="J269" s="58">
        <f>작성용!G266</f>
        <v>0</v>
      </c>
      <c r="K269" s="58" t="str">
        <f>작성용!H266</f>
        <v>-</v>
      </c>
      <c r="L269" s="58" t="str">
        <f>작성용!N266</f>
        <v>분기</v>
      </c>
      <c r="M269" s="57" t="str">
        <f>작성용!U266</f>
        <v>2024.12.31</v>
      </c>
      <c r="N269" s="57">
        <f>작성용!V266</f>
        <v>45667</v>
      </c>
      <c r="O269" s="57" t="str">
        <f>작성용!W266</f>
        <v>보고서제공X</v>
      </c>
      <c r="P269" s="57" t="str">
        <f>작성용!X266</f>
        <v>-</v>
      </c>
      <c r="Q269" s="58" t="str">
        <f>작성용!AD266</f>
        <v>오영석</v>
      </c>
      <c r="R269" s="60">
        <f>작성용!AE266</f>
        <v>0</v>
      </c>
      <c r="S269" s="58" t="str">
        <f>작성용!AF266</f>
        <v>오영석</v>
      </c>
      <c r="T269" s="61" t="str">
        <f>작성용!AG266</f>
        <v>-</v>
      </c>
      <c r="U269" s="61" t="str">
        <f>작성용!AH266</f>
        <v>-</v>
      </c>
      <c r="V269" s="56">
        <f>작성용!AA266</f>
        <v>202412</v>
      </c>
      <c r="W269" s="58" t="str">
        <f>작성용!AC266</f>
        <v>[6]기타기관펀드(기초자산)</v>
      </c>
      <c r="X269" s="58">
        <f>작성용!O266</f>
        <v>0</v>
      </c>
      <c r="Y269" s="58">
        <f>작성용!P266</f>
        <v>0</v>
      </c>
      <c r="Z269" s="58">
        <f>작성용!Q266</f>
        <v>0</v>
      </c>
      <c r="AA269" s="56" t="str">
        <f>작성용!AJ266</f>
        <v>-</v>
      </c>
      <c r="AB269" s="56">
        <f>작성용!AB266</f>
        <v>0</v>
      </c>
    </row>
    <row r="270" spans="1:28" s="12" customFormat="1" ht="16.5" hidden="1" customHeight="1" x14ac:dyDescent="0.3">
      <c r="A270" s="54">
        <f>작성용!AL267</f>
        <v>266</v>
      </c>
      <c r="B270" s="55" t="str">
        <f>작성용!AI267</f>
        <v>-</v>
      </c>
      <c r="C270" s="56" t="str">
        <f>작성용!AK267</f>
        <v>개별종목</v>
      </c>
      <c r="D270" s="57">
        <f>작성용!T267</f>
        <v>45573</v>
      </c>
      <c r="E270" s="58" t="str">
        <f>작성용!B267</f>
        <v>아이엠엠인베스트먼트</v>
      </c>
      <c r="F270" s="58" t="str">
        <f>작성용!C267</f>
        <v>재평가</v>
      </c>
      <c r="G270" s="58" t="str">
        <f>작성용!D267</f>
        <v>디오네원</v>
      </c>
      <c r="H270" s="59">
        <f>작성용!E267</f>
        <v>1101140282919</v>
      </c>
      <c r="I270" s="58" t="str">
        <f>작성용!F267</f>
        <v>A01</v>
      </c>
      <c r="J270" s="58">
        <f>작성용!G267</f>
        <v>0</v>
      </c>
      <c r="K270" s="58" t="str">
        <f>작성용!H267</f>
        <v>-</v>
      </c>
      <c r="L270" s="58" t="str">
        <f>작성용!N267</f>
        <v>반기</v>
      </c>
      <c r="M270" s="57" t="str">
        <f>작성용!U267</f>
        <v>2024.09.30</v>
      </c>
      <c r="N270" s="57">
        <f>작성용!V267</f>
        <v>45602</v>
      </c>
      <c r="O270" s="57">
        <f>작성용!W267</f>
        <v>45607</v>
      </c>
      <c r="P270" s="57" t="str">
        <f>작성용!X267</f>
        <v>-</v>
      </c>
      <c r="Q270" s="58" t="str">
        <f>작성용!AD267</f>
        <v>김수현</v>
      </c>
      <c r="R270" s="60">
        <f>작성용!AE267</f>
        <v>0</v>
      </c>
      <c r="S270" s="58" t="str">
        <f>작성용!AF267</f>
        <v>김수현</v>
      </c>
      <c r="T270" s="61" t="str">
        <f>작성용!AG267</f>
        <v>강성은</v>
      </c>
      <c r="U270" s="61" t="str">
        <f>작성용!AH267</f>
        <v>강성은</v>
      </c>
      <c r="V270" s="56">
        <f>작성용!AA267</f>
        <v>202411</v>
      </c>
      <c r="W270" s="58" t="str">
        <f>작성용!AC267</f>
        <v>[Y]금융기관</v>
      </c>
      <c r="X270" s="58" t="str">
        <f>작성용!O267</f>
        <v>박상현매니저</v>
      </c>
      <c r="Y270" s="58" t="str">
        <f>작성용!P267</f>
        <v>02-2112-1729</v>
      </c>
      <c r="Z270" s="58" t="str">
        <f>작성용!Q267</f>
        <v>shpark@imminvestment.com</v>
      </c>
      <c r="AA270" s="56" t="str">
        <f>작성용!AJ267</f>
        <v>국민연금제출</v>
      </c>
      <c r="AB270" s="56">
        <f>작성용!AB267</f>
        <v>0</v>
      </c>
    </row>
    <row r="271" spans="1:28" s="12" customFormat="1" ht="16.5" hidden="1" customHeight="1" x14ac:dyDescent="0.3">
      <c r="A271" s="54">
        <f>작성용!AL268</f>
        <v>267</v>
      </c>
      <c r="B271" s="55" t="str">
        <f>작성용!AI268</f>
        <v>-</v>
      </c>
      <c r="C271" s="56" t="str">
        <f>작성용!AK268</f>
        <v>개별종목</v>
      </c>
      <c r="D271" s="57">
        <f>작성용!T268</f>
        <v>45573</v>
      </c>
      <c r="E271" s="58" t="str">
        <f>작성용!B268</f>
        <v>아이엠엠인베스트먼트</v>
      </c>
      <c r="F271" s="58" t="str">
        <f>작성용!C268</f>
        <v>재평가</v>
      </c>
      <c r="G271" s="58" t="str">
        <f>작성용!D268</f>
        <v>휴젤</v>
      </c>
      <c r="H271" s="59">
        <f>작성용!E268</f>
        <v>1101112380890</v>
      </c>
      <c r="I271" s="58" t="str">
        <f>작성용!F268</f>
        <v>D02</v>
      </c>
      <c r="J271" s="58">
        <f>작성용!G268</f>
        <v>0</v>
      </c>
      <c r="K271" s="58" t="str">
        <f>작성용!H268</f>
        <v>-</v>
      </c>
      <c r="L271" s="58" t="str">
        <f>작성용!N268</f>
        <v>반기</v>
      </c>
      <c r="M271" s="57" t="str">
        <f>작성용!U268</f>
        <v>2024.09.30</v>
      </c>
      <c r="N271" s="57">
        <f>작성용!V268</f>
        <v>45602</v>
      </c>
      <c r="O271" s="57">
        <f>작성용!W268</f>
        <v>45607</v>
      </c>
      <c r="P271" s="57" t="str">
        <f>작성용!X268</f>
        <v>-</v>
      </c>
      <c r="Q271" s="58" t="str">
        <f>작성용!AD268</f>
        <v>상장</v>
      </c>
      <c r="R271" s="60">
        <f>작성용!AE268</f>
        <v>0</v>
      </c>
      <c r="S271" s="58" t="str">
        <f>작성용!AF268</f>
        <v>상장</v>
      </c>
      <c r="T271" s="61" t="str">
        <f>작성용!AG268</f>
        <v>강성은</v>
      </c>
      <c r="U271" s="61" t="str">
        <f>작성용!AH268</f>
        <v>강성은</v>
      </c>
      <c r="V271" s="56">
        <f>작성용!AA268</f>
        <v>202411</v>
      </c>
      <c r="W271" s="58" t="str">
        <f>작성용!AC268</f>
        <v>[Y]금융기관</v>
      </c>
      <c r="X271" s="58" t="str">
        <f>작성용!O268</f>
        <v>박상현매니저</v>
      </c>
      <c r="Y271" s="58" t="str">
        <f>작성용!P268</f>
        <v>02-2112-1729</v>
      </c>
      <c r="Z271" s="58" t="str">
        <f>작성용!Q268</f>
        <v>shpark@imminvestment.com</v>
      </c>
      <c r="AA271" s="56" t="str">
        <f>작성용!AJ268</f>
        <v>국민연금제출</v>
      </c>
      <c r="AB271" s="56">
        <f>작성용!AB268</f>
        <v>0</v>
      </c>
    </row>
    <row r="272" spans="1:28" s="12" customFormat="1" ht="16.5" hidden="1" customHeight="1" x14ac:dyDescent="0.3">
      <c r="A272" s="54">
        <f>작성용!AL269</f>
        <v>268</v>
      </c>
      <c r="B272" s="55" t="str">
        <f>작성용!AI269</f>
        <v>SPC</v>
      </c>
      <c r="C272" s="56" t="str">
        <f>작성용!AK269</f>
        <v>개별종목</v>
      </c>
      <c r="D272" s="57">
        <f>작성용!T269</f>
        <v>45573</v>
      </c>
      <c r="E272" s="58" t="str">
        <f>작성용!B269</f>
        <v>아이엠엠인베스트먼트</v>
      </c>
      <c r="F272" s="58" t="str">
        <f>작성용!C269</f>
        <v>재평가</v>
      </c>
      <c r="G272" s="58" t="str">
        <f>작성용!D269</f>
        <v>매니아원</v>
      </c>
      <c r="H272" s="59">
        <f>작성용!E269</f>
        <v>1101140272689</v>
      </c>
      <c r="I272" s="58" t="str">
        <f>작성용!F269</f>
        <v>A01</v>
      </c>
      <c r="J272" s="58">
        <f>작성용!G269</f>
        <v>0</v>
      </c>
      <c r="K272" s="58" t="str">
        <f>작성용!H269</f>
        <v>-</v>
      </c>
      <c r="L272" s="58" t="str">
        <f>작성용!N269</f>
        <v>반기</v>
      </c>
      <c r="M272" s="57" t="str">
        <f>작성용!U269</f>
        <v>2024.09.30</v>
      </c>
      <c r="N272" s="57">
        <f>작성용!V269</f>
        <v>45602</v>
      </c>
      <c r="O272" s="57">
        <f>작성용!W269</f>
        <v>45607</v>
      </c>
      <c r="P272" s="57" t="str">
        <f>작성용!X269</f>
        <v>-</v>
      </c>
      <c r="Q272" s="58" t="str">
        <f>작성용!AD269</f>
        <v>김수현</v>
      </c>
      <c r="R272" s="60">
        <f>작성용!AE269</f>
        <v>0</v>
      </c>
      <c r="S272" s="58" t="str">
        <f>작성용!AF269</f>
        <v>김수현</v>
      </c>
      <c r="T272" s="61" t="str">
        <f>작성용!AG269</f>
        <v>강성은</v>
      </c>
      <c r="U272" s="61" t="str">
        <f>작성용!AH269</f>
        <v>강성은</v>
      </c>
      <c r="V272" s="56">
        <f>작성용!AA269</f>
        <v>202411</v>
      </c>
      <c r="W272" s="58" t="str">
        <f>작성용!AC269</f>
        <v>[Y]금융기관</v>
      </c>
      <c r="X272" s="58" t="str">
        <f>작성용!O269</f>
        <v>박상현매니저</v>
      </c>
      <c r="Y272" s="58" t="str">
        <f>작성용!P269</f>
        <v>02-2112-1729</v>
      </c>
      <c r="Z272" s="58" t="str">
        <f>작성용!Q269</f>
        <v>shpark@imminvestment.com</v>
      </c>
      <c r="AA272" s="56" t="str">
        <f>작성용!AJ269</f>
        <v>국민연금제출</v>
      </c>
      <c r="AB272" s="56">
        <f>작성용!AB269</f>
        <v>0</v>
      </c>
    </row>
    <row r="273" spans="1:28" s="12" customFormat="1" ht="16.5" hidden="1" customHeight="1" x14ac:dyDescent="0.3">
      <c r="A273" s="54">
        <f>작성용!AL270</f>
        <v>269</v>
      </c>
      <c r="B273" s="55" t="str">
        <f>작성용!AI270</f>
        <v>-</v>
      </c>
      <c r="C273" s="56" t="str">
        <f>작성용!AK270</f>
        <v>개별종목</v>
      </c>
      <c r="D273" s="57">
        <f>작성용!T270</f>
        <v>45573</v>
      </c>
      <c r="E273" s="58" t="str">
        <f>작성용!B270</f>
        <v>아이엠엠인베스트먼트</v>
      </c>
      <c r="F273" s="58" t="str">
        <f>작성용!C270</f>
        <v>재평가</v>
      </c>
      <c r="G273" s="58" t="str">
        <f>작성용!D270</f>
        <v>무신사</v>
      </c>
      <c r="H273" s="59">
        <f>작성용!E270</f>
        <v>1101114898916</v>
      </c>
      <c r="I273" s="58" t="str">
        <f>작성용!F270</f>
        <v>A01</v>
      </c>
      <c r="J273" s="58">
        <f>작성용!G270</f>
        <v>0</v>
      </c>
      <c r="K273" s="58" t="str">
        <f>작성용!H270</f>
        <v>-</v>
      </c>
      <c r="L273" s="58" t="str">
        <f>작성용!N270</f>
        <v>반기</v>
      </c>
      <c r="M273" s="57" t="str">
        <f>작성용!U270</f>
        <v>2024.09.30</v>
      </c>
      <c r="N273" s="57">
        <f>작성용!V270</f>
        <v>45602</v>
      </c>
      <c r="O273" s="57">
        <f>작성용!W270</f>
        <v>45607</v>
      </c>
      <c r="P273" s="57" t="str">
        <f>작성용!X270</f>
        <v>-</v>
      </c>
      <c r="Q273" s="58" t="str">
        <f>작성용!AD270</f>
        <v>이문수</v>
      </c>
      <c r="R273" s="60">
        <f>작성용!AE270</f>
        <v>2</v>
      </c>
      <c r="S273" s="58" t="str">
        <f>작성용!AF270</f>
        <v>이문수</v>
      </c>
      <c r="T273" s="61" t="str">
        <f>작성용!AG270</f>
        <v>강성은</v>
      </c>
      <c r="U273" s="61" t="str">
        <f>작성용!AH270</f>
        <v>강성은</v>
      </c>
      <c r="V273" s="56">
        <f>작성용!AA270</f>
        <v>202411</v>
      </c>
      <c r="W273" s="58" t="str">
        <f>작성용!AC270</f>
        <v>[Y]금융기관</v>
      </c>
      <c r="X273" s="58" t="str">
        <f>작성용!O270</f>
        <v>박상현매니저</v>
      </c>
      <c r="Y273" s="58" t="str">
        <f>작성용!P270</f>
        <v>02-2112-1729</v>
      </c>
      <c r="Z273" s="58" t="str">
        <f>작성용!Q270</f>
        <v>shpark@imminvestment.com</v>
      </c>
      <c r="AA273" s="56" t="str">
        <f>작성용!AJ270</f>
        <v>국민연금제출</v>
      </c>
      <c r="AB273" s="56">
        <f>작성용!AB270</f>
        <v>0</v>
      </c>
    </row>
    <row r="274" spans="1:28" s="12" customFormat="1" ht="16.5" hidden="1" customHeight="1" x14ac:dyDescent="0.3">
      <c r="A274" s="54">
        <f>작성용!AL271</f>
        <v>270</v>
      </c>
      <c r="B274" s="55" t="str">
        <f>작성용!AI271</f>
        <v>-</v>
      </c>
      <c r="C274" s="56" t="str">
        <f>작성용!AK271</f>
        <v>개별종목</v>
      </c>
      <c r="D274" s="57">
        <f>작성용!T271</f>
        <v>45573</v>
      </c>
      <c r="E274" s="58" t="str">
        <f>작성용!B271</f>
        <v>아이엠엠인베스트먼트</v>
      </c>
      <c r="F274" s="58" t="str">
        <f>작성용!C271</f>
        <v>재평가</v>
      </c>
      <c r="G274" s="58" t="str">
        <f>작성용!D271</f>
        <v>무신사</v>
      </c>
      <c r="H274" s="59">
        <f>작성용!E271</f>
        <v>1101114898916</v>
      </c>
      <c r="I274" s="58" t="str">
        <f>작성용!F271</f>
        <v>A07</v>
      </c>
      <c r="J274" s="58">
        <f>작성용!G271</f>
        <v>2</v>
      </c>
      <c r="K274" s="58" t="str">
        <f>작성용!H271</f>
        <v>-</v>
      </c>
      <c r="L274" s="58" t="str">
        <f>작성용!N271</f>
        <v>반기</v>
      </c>
      <c r="M274" s="57" t="str">
        <f>작성용!U271</f>
        <v>2024.09.30</v>
      </c>
      <c r="N274" s="57">
        <f>작성용!V271</f>
        <v>45602</v>
      </c>
      <c r="O274" s="57">
        <f>작성용!W271</f>
        <v>45607</v>
      </c>
      <c r="P274" s="57" t="str">
        <f>작성용!X271</f>
        <v>-</v>
      </c>
      <c r="Q274" s="58" t="str">
        <f>작성용!AD271</f>
        <v>이문수</v>
      </c>
      <c r="R274" s="60">
        <f>작성용!AE271</f>
        <v>0</v>
      </c>
      <c r="S274" s="58" t="str">
        <f>작성용!AF271</f>
        <v>이문수</v>
      </c>
      <c r="T274" s="61" t="str">
        <f>작성용!AG271</f>
        <v>강성은</v>
      </c>
      <c r="U274" s="61" t="str">
        <f>작성용!AH271</f>
        <v>강성은</v>
      </c>
      <c r="V274" s="56">
        <f>작성용!AA271</f>
        <v>202411</v>
      </c>
      <c r="W274" s="58" t="str">
        <f>작성용!AC271</f>
        <v>[Y]금융기관</v>
      </c>
      <c r="X274" s="58" t="str">
        <f>작성용!O271</f>
        <v>박상현매니저</v>
      </c>
      <c r="Y274" s="58" t="str">
        <f>작성용!P271</f>
        <v>02-2112-1729</v>
      </c>
      <c r="Z274" s="58" t="str">
        <f>작성용!Q271</f>
        <v>shpark@imminvestment.com</v>
      </c>
      <c r="AA274" s="56" t="str">
        <f>작성용!AJ271</f>
        <v>국민연금제출</v>
      </c>
      <c r="AB274" s="56">
        <f>작성용!AB271</f>
        <v>0</v>
      </c>
    </row>
    <row r="275" spans="1:28" s="12" customFormat="1" ht="16.5" hidden="1" customHeight="1" x14ac:dyDescent="0.3">
      <c r="A275" s="54">
        <f>작성용!AL272</f>
        <v>271</v>
      </c>
      <c r="B275" s="55" t="str">
        <f>작성용!AI272</f>
        <v>SPC</v>
      </c>
      <c r="C275" s="56" t="str">
        <f>작성용!AK272</f>
        <v>개별종목</v>
      </c>
      <c r="D275" s="57">
        <f>작성용!T272</f>
        <v>45573</v>
      </c>
      <c r="E275" s="58" t="str">
        <f>작성용!B272</f>
        <v>아이엠엠인베스트먼트</v>
      </c>
      <c r="F275" s="58" t="str">
        <f>작성용!C272</f>
        <v>재평가</v>
      </c>
      <c r="G275" s="58" t="str">
        <f>작성용!D272</f>
        <v>뮤즈원</v>
      </c>
      <c r="H275" s="59">
        <f>작성용!E272</f>
        <v>1101140287034</v>
      </c>
      <c r="I275" s="58" t="str">
        <f>작성용!F272</f>
        <v>A01</v>
      </c>
      <c r="J275" s="58">
        <f>작성용!G272</f>
        <v>0</v>
      </c>
      <c r="K275" s="58" t="str">
        <f>작성용!H272</f>
        <v>-</v>
      </c>
      <c r="L275" s="58" t="str">
        <f>작성용!N272</f>
        <v>반기</v>
      </c>
      <c r="M275" s="57" t="str">
        <f>작성용!U272</f>
        <v>2024.09.30</v>
      </c>
      <c r="N275" s="57">
        <f>작성용!V272</f>
        <v>45602</v>
      </c>
      <c r="O275" s="57">
        <f>작성용!W272</f>
        <v>45607</v>
      </c>
      <c r="P275" s="57" t="str">
        <f>작성용!X272</f>
        <v>-</v>
      </c>
      <c r="Q275" s="58" t="str">
        <f>작성용!AD272</f>
        <v>김수현</v>
      </c>
      <c r="R275" s="60">
        <f>작성용!AE272</f>
        <v>0</v>
      </c>
      <c r="S275" s="58" t="str">
        <f>작성용!AF272</f>
        <v>김수현</v>
      </c>
      <c r="T275" s="61" t="str">
        <f>작성용!AG272</f>
        <v>강성은</v>
      </c>
      <c r="U275" s="61" t="str">
        <f>작성용!AH272</f>
        <v>강성은</v>
      </c>
      <c r="V275" s="56">
        <f>작성용!AA272</f>
        <v>202411</v>
      </c>
      <c r="W275" s="58" t="str">
        <f>작성용!AC272</f>
        <v>[Y]금융기관</v>
      </c>
      <c r="X275" s="58" t="str">
        <f>작성용!O272</f>
        <v>박상현매니저</v>
      </c>
      <c r="Y275" s="58" t="str">
        <f>작성용!P272</f>
        <v>02-2112-1729</v>
      </c>
      <c r="Z275" s="58" t="str">
        <f>작성용!Q272</f>
        <v>shpark@imminvestment.com</v>
      </c>
      <c r="AA275" s="56" t="str">
        <f>작성용!AJ272</f>
        <v>국민연금제출</v>
      </c>
      <c r="AB275" s="56">
        <f>작성용!AB272</f>
        <v>0</v>
      </c>
    </row>
    <row r="276" spans="1:28" s="12" customFormat="1" ht="16.5" hidden="1" customHeight="1" x14ac:dyDescent="0.3">
      <c r="A276" s="54">
        <f>작성용!AL273</f>
        <v>272</v>
      </c>
      <c r="B276" s="55" t="str">
        <f>작성용!AI273</f>
        <v>-</v>
      </c>
      <c r="C276" s="56" t="str">
        <f>작성용!AK273</f>
        <v>개별종목</v>
      </c>
      <c r="D276" s="57">
        <f>작성용!T273</f>
        <v>45573</v>
      </c>
      <c r="E276" s="58" t="str">
        <f>작성용!B273</f>
        <v>아이엠엠인베스트먼트</v>
      </c>
      <c r="F276" s="58" t="str">
        <f>작성용!C273</f>
        <v>재평가</v>
      </c>
      <c r="G276" s="58" t="str">
        <f>작성용!D273</f>
        <v>Iyuno Sweden Holding I AB</v>
      </c>
      <c r="H276" s="59" t="str">
        <f>작성용!E273</f>
        <v>KBP2020060018</v>
      </c>
      <c r="I276" s="58" t="str">
        <f>작성용!F273</f>
        <v>A01</v>
      </c>
      <c r="J276" s="58">
        <f>작성용!G273</f>
        <v>0</v>
      </c>
      <c r="K276" s="58" t="str">
        <f>작성용!H273</f>
        <v>-</v>
      </c>
      <c r="L276" s="58" t="str">
        <f>작성용!N273</f>
        <v>반기</v>
      </c>
      <c r="M276" s="57" t="str">
        <f>작성용!U273</f>
        <v>2024.09.30</v>
      </c>
      <c r="N276" s="57">
        <f>작성용!V273</f>
        <v>45602</v>
      </c>
      <c r="O276" s="57">
        <f>작성용!W273</f>
        <v>45607</v>
      </c>
      <c r="P276" s="57" t="str">
        <f>작성용!X273</f>
        <v>-</v>
      </c>
      <c r="Q276" s="58" t="str">
        <f>작성용!AD273</f>
        <v>정은채</v>
      </c>
      <c r="R276" s="60">
        <f>작성용!AE273</f>
        <v>1</v>
      </c>
      <c r="S276" s="58" t="str">
        <f>작성용!AF273</f>
        <v>정은채</v>
      </c>
      <c r="T276" s="61" t="str">
        <f>작성용!AG273</f>
        <v>강성은</v>
      </c>
      <c r="U276" s="61" t="str">
        <f>작성용!AH273</f>
        <v>강성은</v>
      </c>
      <c r="V276" s="56">
        <f>작성용!AA273</f>
        <v>202411</v>
      </c>
      <c r="W276" s="58" t="str">
        <f>작성용!AC273</f>
        <v>[Y]금융기관</v>
      </c>
      <c r="X276" s="58" t="str">
        <f>작성용!O273</f>
        <v>박상현매니저</v>
      </c>
      <c r="Y276" s="58" t="str">
        <f>작성용!P273</f>
        <v>02-2112-1729</v>
      </c>
      <c r="Z276" s="58" t="str">
        <f>작성용!Q273</f>
        <v>shpark@imminvestment.com</v>
      </c>
      <c r="AA276" s="56" t="str">
        <f>작성용!AJ273</f>
        <v>국민연금제출</v>
      </c>
      <c r="AB276" s="56">
        <f>작성용!AB273</f>
        <v>0</v>
      </c>
    </row>
    <row r="277" spans="1:28" s="12" customFormat="1" ht="16.5" hidden="1" customHeight="1" x14ac:dyDescent="0.3">
      <c r="A277" s="54">
        <f>작성용!AL274</f>
        <v>273</v>
      </c>
      <c r="B277" s="55" t="str">
        <f>작성용!AI274</f>
        <v>-</v>
      </c>
      <c r="C277" s="56" t="str">
        <f>작성용!AK274</f>
        <v>개별종목</v>
      </c>
      <c r="D277" s="57">
        <f>작성용!T274</f>
        <v>45573</v>
      </c>
      <c r="E277" s="58" t="str">
        <f>작성용!B274</f>
        <v>아이엠엠인베스트먼트</v>
      </c>
      <c r="F277" s="58" t="str">
        <f>작성용!C274</f>
        <v>재평가</v>
      </c>
      <c r="G277" s="58" t="str">
        <f>작성용!D274</f>
        <v>Iyuno Sweden Holding I AB</v>
      </c>
      <c r="H277" s="59" t="str">
        <f>작성용!E274</f>
        <v>KBP2020060018</v>
      </c>
      <c r="I277" s="58" t="str">
        <f>작성용!F274</f>
        <v>A04</v>
      </c>
      <c r="J277" s="58">
        <f>작성용!G274</f>
        <v>0</v>
      </c>
      <c r="K277" s="58" t="str">
        <f>작성용!H274</f>
        <v>-</v>
      </c>
      <c r="L277" s="58" t="str">
        <f>작성용!N274</f>
        <v>반기</v>
      </c>
      <c r="M277" s="57" t="str">
        <f>작성용!U274</f>
        <v>2024.09.30</v>
      </c>
      <c r="N277" s="57">
        <f>작성용!V274</f>
        <v>45602</v>
      </c>
      <c r="O277" s="57">
        <f>작성용!W274</f>
        <v>45607</v>
      </c>
      <c r="P277" s="57" t="str">
        <f>작성용!X274</f>
        <v>-</v>
      </c>
      <c r="Q277" s="58" t="str">
        <f>작성용!AD274</f>
        <v>정은채</v>
      </c>
      <c r="R277" s="60">
        <f>작성용!AE274</f>
        <v>0</v>
      </c>
      <c r="S277" s="58" t="str">
        <f>작성용!AF274</f>
        <v>정은채</v>
      </c>
      <c r="T277" s="61" t="str">
        <f>작성용!AG274</f>
        <v>강성은</v>
      </c>
      <c r="U277" s="61" t="str">
        <f>작성용!AH274</f>
        <v>강성은</v>
      </c>
      <c r="V277" s="56">
        <f>작성용!AA274</f>
        <v>202411</v>
      </c>
      <c r="W277" s="58" t="str">
        <f>작성용!AC274</f>
        <v>[Y]금융기관</v>
      </c>
      <c r="X277" s="58" t="str">
        <f>작성용!O274</f>
        <v>박상현매니저</v>
      </c>
      <c r="Y277" s="58" t="str">
        <f>작성용!P274</f>
        <v>02-2112-1729</v>
      </c>
      <c r="Z277" s="58" t="str">
        <f>작성용!Q274</f>
        <v>shpark@imminvestment.com</v>
      </c>
      <c r="AA277" s="56" t="str">
        <f>작성용!AJ274</f>
        <v>국민연금제출</v>
      </c>
      <c r="AB277" s="56">
        <f>작성용!AB274</f>
        <v>0</v>
      </c>
    </row>
    <row r="278" spans="1:28" s="12" customFormat="1" ht="16.5" hidden="1" customHeight="1" x14ac:dyDescent="0.3">
      <c r="A278" s="54">
        <f>작성용!AL275</f>
        <v>274</v>
      </c>
      <c r="B278" s="55" t="str">
        <f>작성용!AI275</f>
        <v>SPC</v>
      </c>
      <c r="C278" s="56" t="str">
        <f>작성용!AK275</f>
        <v>개별종목</v>
      </c>
      <c r="D278" s="57">
        <f>작성용!T275</f>
        <v>45573</v>
      </c>
      <c r="E278" s="58" t="str">
        <f>작성용!B275</f>
        <v>아이엠엠인베스트먼트</v>
      </c>
      <c r="F278" s="58" t="str">
        <f>작성용!C275</f>
        <v>재평가</v>
      </c>
      <c r="G278" s="58" t="str">
        <f>작성용!D275</f>
        <v>아이엠엠이에스지2호</v>
      </c>
      <c r="H278" s="59">
        <f>작성용!E275</f>
        <v>1101140284460</v>
      </c>
      <c r="I278" s="58" t="str">
        <f>작성용!F275</f>
        <v>A01</v>
      </c>
      <c r="J278" s="58">
        <f>작성용!G275</f>
        <v>0</v>
      </c>
      <c r="K278" s="58" t="str">
        <f>작성용!H275</f>
        <v>-</v>
      </c>
      <c r="L278" s="58" t="str">
        <f>작성용!N275</f>
        <v>반기</v>
      </c>
      <c r="M278" s="57" t="str">
        <f>작성용!U275</f>
        <v>2024.09.30</v>
      </c>
      <c r="N278" s="57">
        <f>작성용!V275</f>
        <v>45602</v>
      </c>
      <c r="O278" s="57">
        <f>작성용!W275</f>
        <v>45607</v>
      </c>
      <c r="P278" s="57" t="str">
        <f>작성용!X275</f>
        <v>-</v>
      </c>
      <c r="Q278" s="58" t="str">
        <f>작성용!AD275</f>
        <v>김수현</v>
      </c>
      <c r="R278" s="60">
        <f>작성용!AE275</f>
        <v>0</v>
      </c>
      <c r="S278" s="58" t="str">
        <f>작성용!AF275</f>
        <v>김수현</v>
      </c>
      <c r="T278" s="61" t="str">
        <f>작성용!AG275</f>
        <v>강성은</v>
      </c>
      <c r="U278" s="61" t="str">
        <f>작성용!AH275</f>
        <v>강성은</v>
      </c>
      <c r="V278" s="56">
        <f>작성용!AA275</f>
        <v>202411</v>
      </c>
      <c r="W278" s="58" t="str">
        <f>작성용!AC275</f>
        <v>[Y]금융기관</v>
      </c>
      <c r="X278" s="58" t="str">
        <f>작성용!O275</f>
        <v>박상현매니저</v>
      </c>
      <c r="Y278" s="58" t="str">
        <f>작성용!P275</f>
        <v>02-2112-1729</v>
      </c>
      <c r="Z278" s="58" t="str">
        <f>작성용!Q275</f>
        <v>shpark@imminvestment.com</v>
      </c>
      <c r="AA278" s="56" t="str">
        <f>작성용!AJ275</f>
        <v>국민연금제출</v>
      </c>
      <c r="AB278" s="56">
        <f>작성용!AB275</f>
        <v>0</v>
      </c>
    </row>
    <row r="279" spans="1:28" s="12" customFormat="1" ht="16.5" hidden="1" customHeight="1" x14ac:dyDescent="0.3">
      <c r="A279" s="54">
        <f>작성용!AL276</f>
        <v>275</v>
      </c>
      <c r="B279" s="55" t="str">
        <f>작성용!AI276</f>
        <v>-</v>
      </c>
      <c r="C279" s="56" t="str">
        <f>작성용!AK276</f>
        <v>개별종목</v>
      </c>
      <c r="D279" s="57">
        <f>작성용!T276</f>
        <v>45573</v>
      </c>
      <c r="E279" s="58" t="str">
        <f>작성용!B276</f>
        <v>아이엠엠인베스트먼트</v>
      </c>
      <c r="F279" s="58" t="str">
        <f>작성용!C276</f>
        <v>재평가</v>
      </c>
      <c r="G279" s="58" t="str">
        <f>작성용!D276</f>
        <v>Pure Harvest Smart Farms Holdings</v>
      </c>
      <c r="H279" s="59" t="str">
        <f>작성용!E276</f>
        <v>KBP2022060002</v>
      </c>
      <c r="I279" s="58" t="str">
        <f>작성용!F276</f>
        <v>A01</v>
      </c>
      <c r="J279" s="58">
        <f>작성용!G276</f>
        <v>0</v>
      </c>
      <c r="K279" s="58" t="str">
        <f>작성용!H276</f>
        <v>-</v>
      </c>
      <c r="L279" s="58" t="str">
        <f>작성용!N276</f>
        <v>반기</v>
      </c>
      <c r="M279" s="57" t="str">
        <f>작성용!U276</f>
        <v>2024.09.30</v>
      </c>
      <c r="N279" s="57">
        <f>작성용!V276</f>
        <v>45602</v>
      </c>
      <c r="O279" s="57">
        <f>작성용!W276</f>
        <v>45607</v>
      </c>
      <c r="P279" s="57" t="str">
        <f>작성용!X276</f>
        <v>-</v>
      </c>
      <c r="Q279" s="58" t="str">
        <f>작성용!AD276</f>
        <v>심태진</v>
      </c>
      <c r="R279" s="60">
        <f>작성용!AE276</f>
        <v>1</v>
      </c>
      <c r="S279" s="58" t="str">
        <f>작성용!AF276</f>
        <v>심태진</v>
      </c>
      <c r="T279" s="61" t="str">
        <f>작성용!AG276</f>
        <v>강성은</v>
      </c>
      <c r="U279" s="61" t="str">
        <f>작성용!AH276</f>
        <v>강성은</v>
      </c>
      <c r="V279" s="56">
        <f>작성용!AA276</f>
        <v>202411</v>
      </c>
      <c r="W279" s="58" t="str">
        <f>작성용!AC276</f>
        <v>[Y]금융기관</v>
      </c>
      <c r="X279" s="58" t="str">
        <f>작성용!O276</f>
        <v>박상현매니저</v>
      </c>
      <c r="Y279" s="58" t="str">
        <f>작성용!P276</f>
        <v>02-2112-1729</v>
      </c>
      <c r="Z279" s="58" t="str">
        <f>작성용!Q276</f>
        <v>shpark@imminvestment.com</v>
      </c>
      <c r="AA279" s="56" t="str">
        <f>작성용!AJ276</f>
        <v>국민연금제출</v>
      </c>
      <c r="AB279" s="56">
        <f>작성용!AB276</f>
        <v>0</v>
      </c>
    </row>
    <row r="280" spans="1:28" s="12" customFormat="1" ht="16.5" hidden="1" customHeight="1" x14ac:dyDescent="0.3">
      <c r="A280" s="54">
        <f>작성용!AL277</f>
        <v>276</v>
      </c>
      <c r="B280" s="55" t="str">
        <f>작성용!AI277</f>
        <v>SPC</v>
      </c>
      <c r="C280" s="56" t="str">
        <f>작성용!AK277</f>
        <v>개별종목</v>
      </c>
      <c r="D280" s="57">
        <f>작성용!T277</f>
        <v>45573</v>
      </c>
      <c r="E280" s="58" t="str">
        <f>작성용!B277</f>
        <v>아이엠엠인베스트먼트</v>
      </c>
      <c r="F280" s="58" t="str">
        <f>작성용!C277</f>
        <v>재평가</v>
      </c>
      <c r="G280" s="58" t="str">
        <f>작성용!D277</f>
        <v>아이엠엠이에스지4호</v>
      </c>
      <c r="H280" s="59">
        <f>작성용!E277</f>
        <v>1101140315330</v>
      </c>
      <c r="I280" s="58" t="str">
        <f>작성용!F277</f>
        <v>A01</v>
      </c>
      <c r="J280" s="58">
        <f>작성용!G277</f>
        <v>0</v>
      </c>
      <c r="K280" s="58" t="str">
        <f>작성용!H277</f>
        <v>-</v>
      </c>
      <c r="L280" s="58" t="str">
        <f>작성용!N277</f>
        <v>반기</v>
      </c>
      <c r="M280" s="57" t="str">
        <f>작성용!U277</f>
        <v>2024.09.30</v>
      </c>
      <c r="N280" s="57">
        <f>작성용!V277</f>
        <v>45602</v>
      </c>
      <c r="O280" s="57">
        <f>작성용!W277</f>
        <v>45607</v>
      </c>
      <c r="P280" s="57" t="str">
        <f>작성용!X277</f>
        <v>-</v>
      </c>
      <c r="Q280" s="58" t="str">
        <f>작성용!AD277</f>
        <v>김수현</v>
      </c>
      <c r="R280" s="60">
        <f>작성용!AE277</f>
        <v>0</v>
      </c>
      <c r="S280" s="58" t="str">
        <f>작성용!AF277</f>
        <v>신규</v>
      </c>
      <c r="T280" s="61" t="str">
        <f>작성용!AG277</f>
        <v>강성은</v>
      </c>
      <c r="U280" s="61" t="str">
        <f>작성용!AH277</f>
        <v>강성은</v>
      </c>
      <c r="V280" s="56">
        <f>작성용!AA277</f>
        <v>202411</v>
      </c>
      <c r="W280" s="58" t="str">
        <f>작성용!AC277</f>
        <v>[Y]금융기관</v>
      </c>
      <c r="X280" s="58" t="str">
        <f>작성용!O277</f>
        <v>박상현매니저</v>
      </c>
      <c r="Y280" s="58" t="str">
        <f>작성용!P277</f>
        <v>02-2112-1729</v>
      </c>
      <c r="Z280" s="58" t="str">
        <f>작성용!Q277</f>
        <v>shpark@imminvestment.com</v>
      </c>
      <c r="AA280" s="56" t="str">
        <f>작성용!AJ277</f>
        <v>국민연금제출</v>
      </c>
      <c r="AB280" s="56">
        <f>작성용!AB277</f>
        <v>0</v>
      </c>
    </row>
    <row r="281" spans="1:28" s="12" customFormat="1" ht="16.5" hidden="1" customHeight="1" x14ac:dyDescent="0.3">
      <c r="A281" s="54">
        <f>작성용!AL278</f>
        <v>277</v>
      </c>
      <c r="B281" s="55" t="str">
        <f>작성용!AI278</f>
        <v>-</v>
      </c>
      <c r="C281" s="56" t="str">
        <f>작성용!AK278</f>
        <v>개별종목</v>
      </c>
      <c r="D281" s="57">
        <f>작성용!T278</f>
        <v>45573</v>
      </c>
      <c r="E281" s="58" t="str">
        <f>작성용!B278</f>
        <v>아이엠엠인베스트먼트</v>
      </c>
      <c r="F281" s="58" t="str">
        <f>작성용!C278</f>
        <v>재평가</v>
      </c>
      <c r="G281" s="58" t="str">
        <f>작성용!D278</f>
        <v>에코프로비엠</v>
      </c>
      <c r="H281" s="59">
        <f>작성용!E278</f>
        <v>1501110219184</v>
      </c>
      <c r="I281" s="58" t="str">
        <f>작성용!F278</f>
        <v>D02</v>
      </c>
      <c r="J281" s="58">
        <f>작성용!G278</f>
        <v>0</v>
      </c>
      <c r="K281" s="58" t="str">
        <f>작성용!H278</f>
        <v>-</v>
      </c>
      <c r="L281" s="58" t="str">
        <f>작성용!N278</f>
        <v>반기</v>
      </c>
      <c r="M281" s="57" t="str">
        <f>작성용!U278</f>
        <v>2024.09.30</v>
      </c>
      <c r="N281" s="57">
        <f>작성용!V278</f>
        <v>45602</v>
      </c>
      <c r="O281" s="57">
        <f>작성용!W278</f>
        <v>45607</v>
      </c>
      <c r="P281" s="57" t="str">
        <f>작성용!X278</f>
        <v>-</v>
      </c>
      <c r="Q281" s="58" t="str">
        <f>작성용!AD278</f>
        <v>상장</v>
      </c>
      <c r="R281" s="60">
        <f>작성용!AE278</f>
        <v>0</v>
      </c>
      <c r="S281" s="58" t="str">
        <f>작성용!AF278</f>
        <v>상장</v>
      </c>
      <c r="T281" s="61" t="str">
        <f>작성용!AG278</f>
        <v>강성은</v>
      </c>
      <c r="U281" s="61" t="str">
        <f>작성용!AH278</f>
        <v>강성은</v>
      </c>
      <c r="V281" s="56">
        <f>작성용!AA278</f>
        <v>202411</v>
      </c>
      <c r="W281" s="58" t="str">
        <f>작성용!AC278</f>
        <v>[Y]금융기관</v>
      </c>
      <c r="X281" s="58" t="str">
        <f>작성용!O278</f>
        <v>박상현매니저</v>
      </c>
      <c r="Y281" s="58" t="str">
        <f>작성용!P278</f>
        <v>02-2112-1729</v>
      </c>
      <c r="Z281" s="58" t="str">
        <f>작성용!Q278</f>
        <v>shpark@imminvestment.com</v>
      </c>
      <c r="AA281" s="56" t="str">
        <f>작성용!AJ278</f>
        <v>국민연금제출</v>
      </c>
      <c r="AB281" s="56">
        <f>작성용!AB278</f>
        <v>0</v>
      </c>
    </row>
    <row r="282" spans="1:28" s="12" customFormat="1" ht="16.5" hidden="1" customHeight="1" x14ac:dyDescent="0.3">
      <c r="A282" s="54">
        <f>작성용!AL279</f>
        <v>278</v>
      </c>
      <c r="B282" s="55" t="str">
        <f>작성용!AI279</f>
        <v>-</v>
      </c>
      <c r="C282" s="56" t="str">
        <f>작성용!AK279</f>
        <v>개별종목</v>
      </c>
      <c r="D282" s="57">
        <f>작성용!T279</f>
        <v>45573</v>
      </c>
      <c r="E282" s="58" t="str">
        <f>작성용!B279</f>
        <v>아이엠엠인베스트먼트</v>
      </c>
      <c r="F282" s="58" t="str">
        <f>작성용!C279</f>
        <v>재평가</v>
      </c>
      <c r="G282" s="58" t="str">
        <f>작성용!D279</f>
        <v>웨이브원</v>
      </c>
      <c r="H282" s="59">
        <f>작성용!E279</f>
        <v>1101140301991</v>
      </c>
      <c r="I282" s="58" t="str">
        <f>작성용!F279</f>
        <v>A01</v>
      </c>
      <c r="J282" s="58">
        <f>작성용!G279</f>
        <v>0</v>
      </c>
      <c r="K282" s="58" t="str">
        <f>작성용!H279</f>
        <v>-</v>
      </c>
      <c r="L282" s="58" t="str">
        <f>작성용!N279</f>
        <v>반기</v>
      </c>
      <c r="M282" s="57" t="str">
        <f>작성용!U279</f>
        <v>2024.09.30</v>
      </c>
      <c r="N282" s="57">
        <f>작성용!V279</f>
        <v>45602</v>
      </c>
      <c r="O282" s="57">
        <f>작성용!W279</f>
        <v>45607</v>
      </c>
      <c r="P282" s="57" t="str">
        <f>작성용!X279</f>
        <v>-</v>
      </c>
      <c r="Q282" s="58" t="str">
        <f>작성용!AD279</f>
        <v>김수현</v>
      </c>
      <c r="R282" s="60">
        <f>작성용!AE279</f>
        <v>1</v>
      </c>
      <c r="S282" s="58" t="str">
        <f>작성용!AF279</f>
        <v>김수현</v>
      </c>
      <c r="T282" s="61" t="str">
        <f>작성용!AG279</f>
        <v>강성은</v>
      </c>
      <c r="U282" s="61" t="str">
        <f>작성용!AH279</f>
        <v>강성은</v>
      </c>
      <c r="V282" s="56">
        <f>작성용!AA279</f>
        <v>202411</v>
      </c>
      <c r="W282" s="58" t="str">
        <f>작성용!AC279</f>
        <v>[Y]금융기관</v>
      </c>
      <c r="X282" s="58" t="str">
        <f>작성용!O279</f>
        <v>박상현매니저</v>
      </c>
      <c r="Y282" s="58" t="str">
        <f>작성용!P279</f>
        <v>02-2112-1729</v>
      </c>
      <c r="Z282" s="58" t="str">
        <f>작성용!Q279</f>
        <v>shpark@imminvestment.com</v>
      </c>
      <c r="AA282" s="56" t="str">
        <f>작성용!AJ279</f>
        <v>국민연금제출</v>
      </c>
      <c r="AB282" s="56">
        <f>작성용!AB279</f>
        <v>0</v>
      </c>
    </row>
    <row r="283" spans="1:28" s="12" customFormat="1" ht="16.5" hidden="1" customHeight="1" x14ac:dyDescent="0.3">
      <c r="A283" s="54">
        <f>작성용!AL280</f>
        <v>279</v>
      </c>
      <c r="B283" s="55" t="str">
        <f>작성용!AI280</f>
        <v>-</v>
      </c>
      <c r="C283" s="56" t="str">
        <f>작성용!AK280</f>
        <v>개별종목</v>
      </c>
      <c r="D283" s="57">
        <f>작성용!T280</f>
        <v>45573</v>
      </c>
      <c r="E283" s="58" t="str">
        <f>작성용!B280</f>
        <v>아이엠엠인베스트먼트</v>
      </c>
      <c r="F283" s="58" t="str">
        <f>작성용!C280</f>
        <v>재평가</v>
      </c>
      <c r="G283" s="58" t="str">
        <f>작성용!D280</f>
        <v>디스트릭트코리아</v>
      </c>
      <c r="H283" s="59">
        <f>작성용!E280</f>
        <v>1101113038951</v>
      </c>
      <c r="I283" s="58" t="str">
        <f>작성용!F280</f>
        <v>A01</v>
      </c>
      <c r="J283" s="58">
        <f>작성용!G280</f>
        <v>0</v>
      </c>
      <c r="K283" s="58" t="str">
        <f>작성용!H280</f>
        <v>-</v>
      </c>
      <c r="L283" s="58" t="str">
        <f>작성용!N280</f>
        <v>반기</v>
      </c>
      <c r="M283" s="57" t="str">
        <f>작성용!U280</f>
        <v>2024.09.30</v>
      </c>
      <c r="N283" s="57">
        <f>작성용!V280</f>
        <v>45602</v>
      </c>
      <c r="O283" s="57">
        <f>작성용!W280</f>
        <v>45607</v>
      </c>
      <c r="P283" s="57" t="str">
        <f>작성용!X280</f>
        <v>-</v>
      </c>
      <c r="Q283" s="58" t="str">
        <f>작성용!AD280</f>
        <v>강성은</v>
      </c>
      <c r="R283" s="60">
        <f>작성용!AE280</f>
        <v>1</v>
      </c>
      <c r="S283" s="58" t="str">
        <f>작성용!AF280</f>
        <v>강성은</v>
      </c>
      <c r="T283" s="61" t="str">
        <f>작성용!AG280</f>
        <v>강성은</v>
      </c>
      <c r="U283" s="61" t="str">
        <f>작성용!AH280</f>
        <v>강성은</v>
      </c>
      <c r="V283" s="56">
        <f>작성용!AA280</f>
        <v>202411</v>
      </c>
      <c r="W283" s="58" t="str">
        <f>작성용!AC280</f>
        <v>[Y]금융기관</v>
      </c>
      <c r="X283" s="58" t="str">
        <f>작성용!O280</f>
        <v>박상현매니저</v>
      </c>
      <c r="Y283" s="58" t="str">
        <f>작성용!P280</f>
        <v>02-2112-1729</v>
      </c>
      <c r="Z283" s="58" t="str">
        <f>작성용!Q280</f>
        <v>shpark@imminvestment.com</v>
      </c>
      <c r="AA283" s="56" t="str">
        <f>작성용!AJ280</f>
        <v>국민연금제출</v>
      </c>
      <c r="AB283" s="56">
        <f>작성용!AB280</f>
        <v>0</v>
      </c>
    </row>
    <row r="284" spans="1:28" s="12" customFormat="1" ht="16.5" hidden="1" customHeight="1" x14ac:dyDescent="0.3">
      <c r="A284" s="54">
        <f>작성용!AL281</f>
        <v>280</v>
      </c>
      <c r="B284" s="55" t="str">
        <f>작성용!AI281</f>
        <v>-</v>
      </c>
      <c r="C284" s="56" t="str">
        <f>작성용!AK281</f>
        <v>개별종목</v>
      </c>
      <c r="D284" s="57">
        <f>작성용!T281</f>
        <v>45573</v>
      </c>
      <c r="E284" s="58" t="str">
        <f>작성용!B281</f>
        <v>아이엠엠인베스트먼트</v>
      </c>
      <c r="F284" s="58" t="str">
        <f>작성용!C281</f>
        <v>재평가</v>
      </c>
      <c r="G284" s="58" t="str">
        <f>작성용!D281</f>
        <v>디스트릭트코리아</v>
      </c>
      <c r="H284" s="59">
        <f>작성용!E281</f>
        <v>1101113038951</v>
      </c>
      <c r="I284" s="58" t="str">
        <f>작성용!F281</f>
        <v>A06</v>
      </c>
      <c r="J284" s="58">
        <f>작성용!G281</f>
        <v>0</v>
      </c>
      <c r="K284" s="58" t="str">
        <f>작성용!H281</f>
        <v>-</v>
      </c>
      <c r="L284" s="58" t="str">
        <f>작성용!N281</f>
        <v>반기</v>
      </c>
      <c r="M284" s="57" t="str">
        <f>작성용!U281</f>
        <v>2024.09.30</v>
      </c>
      <c r="N284" s="57">
        <f>작성용!V281</f>
        <v>45602</v>
      </c>
      <c r="O284" s="57">
        <f>작성용!W281</f>
        <v>45607</v>
      </c>
      <c r="P284" s="57" t="str">
        <f>작성용!X281</f>
        <v>-</v>
      </c>
      <c r="Q284" s="58" t="str">
        <f>작성용!AD281</f>
        <v>강성은</v>
      </c>
      <c r="R284" s="60">
        <f>작성용!AE281</f>
        <v>0</v>
      </c>
      <c r="S284" s="58" t="str">
        <f>작성용!AF281</f>
        <v>강성은</v>
      </c>
      <c r="T284" s="61" t="str">
        <f>작성용!AG281</f>
        <v>강성은</v>
      </c>
      <c r="U284" s="61" t="str">
        <f>작성용!AH281</f>
        <v>강성은</v>
      </c>
      <c r="V284" s="56">
        <f>작성용!AA281</f>
        <v>202411</v>
      </c>
      <c r="W284" s="58" t="str">
        <f>작성용!AC281</f>
        <v>[Y]금융기관</v>
      </c>
      <c r="X284" s="58" t="str">
        <f>작성용!O281</f>
        <v>박상현매니저</v>
      </c>
      <c r="Y284" s="58" t="str">
        <f>작성용!P281</f>
        <v>02-2112-1729</v>
      </c>
      <c r="Z284" s="58" t="str">
        <f>작성용!Q281</f>
        <v>shpark@imminvestment.com</v>
      </c>
      <c r="AA284" s="56" t="str">
        <f>작성용!AJ281</f>
        <v>국민연금제출</v>
      </c>
      <c r="AB284" s="56">
        <f>작성용!AB281</f>
        <v>0</v>
      </c>
    </row>
    <row r="285" spans="1:28" s="12" customFormat="1" ht="16.5" hidden="1" customHeight="1" x14ac:dyDescent="0.3">
      <c r="A285" s="54">
        <f>작성용!AL282</f>
        <v>281</v>
      </c>
      <c r="B285" s="55" t="str">
        <f>작성용!AI282</f>
        <v>SPC</v>
      </c>
      <c r="C285" s="56" t="str">
        <f>작성용!AK282</f>
        <v>개별종목</v>
      </c>
      <c r="D285" s="57">
        <f>작성용!T282</f>
        <v>45573</v>
      </c>
      <c r="E285" s="58" t="str">
        <f>작성용!B282</f>
        <v>아이엠엠인베스트먼트</v>
      </c>
      <c r="F285" s="58" t="str">
        <f>작성용!C282</f>
        <v>재평가</v>
      </c>
      <c r="G285" s="58" t="str">
        <f>작성용!D282</f>
        <v>웨이브투</v>
      </c>
      <c r="H285" s="59">
        <f>작성용!E282</f>
        <v>1101140308129</v>
      </c>
      <c r="I285" s="58" t="str">
        <f>작성용!F282</f>
        <v>A01</v>
      </c>
      <c r="J285" s="58">
        <f>작성용!G282</f>
        <v>0</v>
      </c>
      <c r="K285" s="58" t="str">
        <f>작성용!H282</f>
        <v>-</v>
      </c>
      <c r="L285" s="58" t="str">
        <f>작성용!N282</f>
        <v>반기</v>
      </c>
      <c r="M285" s="57" t="str">
        <f>작성용!U282</f>
        <v>2024.09.30</v>
      </c>
      <c r="N285" s="57">
        <f>작성용!V282</f>
        <v>45602</v>
      </c>
      <c r="O285" s="57">
        <f>작성용!W282</f>
        <v>45607</v>
      </c>
      <c r="P285" s="57" t="str">
        <f>작성용!X282</f>
        <v>-</v>
      </c>
      <c r="Q285" s="58" t="str">
        <f>작성용!AD282</f>
        <v>김수현</v>
      </c>
      <c r="R285" s="60">
        <f>작성용!AE282</f>
        <v>0</v>
      </c>
      <c r="S285" s="58" t="str">
        <f>작성용!AF282</f>
        <v>김수현</v>
      </c>
      <c r="T285" s="61" t="str">
        <f>작성용!AG282</f>
        <v>강성은</v>
      </c>
      <c r="U285" s="61" t="str">
        <f>작성용!AH282</f>
        <v>강성은</v>
      </c>
      <c r="V285" s="56">
        <f>작성용!AA282</f>
        <v>202411</v>
      </c>
      <c r="W285" s="58" t="str">
        <f>작성용!AC282</f>
        <v>[Y]금융기관</v>
      </c>
      <c r="X285" s="58" t="str">
        <f>작성용!O282</f>
        <v>박상현매니저</v>
      </c>
      <c r="Y285" s="58" t="str">
        <f>작성용!P282</f>
        <v>02-2112-1729</v>
      </c>
      <c r="Z285" s="58" t="str">
        <f>작성용!Q282</f>
        <v>shpark@imminvestment.com</v>
      </c>
      <c r="AA285" s="56" t="str">
        <f>작성용!AJ282</f>
        <v>국민연금제출</v>
      </c>
      <c r="AB285" s="56">
        <f>작성용!AB282</f>
        <v>0</v>
      </c>
    </row>
    <row r="286" spans="1:28" s="12" customFormat="1" ht="16.5" hidden="1" customHeight="1" x14ac:dyDescent="0.3">
      <c r="A286" s="54">
        <f>작성용!AL283</f>
        <v>282</v>
      </c>
      <c r="B286" s="55" t="str">
        <f>작성용!AI283</f>
        <v>-</v>
      </c>
      <c r="C286" s="56" t="str">
        <f>작성용!AK283</f>
        <v>개별종목</v>
      </c>
      <c r="D286" s="57">
        <f>작성용!T283</f>
        <v>45573</v>
      </c>
      <c r="E286" s="58" t="str">
        <f>작성용!B283</f>
        <v>아이엠엠인베스트먼트</v>
      </c>
      <c r="F286" s="58" t="str">
        <f>작성용!C283</f>
        <v>재평가</v>
      </c>
      <c r="G286" s="58" t="str">
        <f>작성용!D283</f>
        <v>D’strict Holdings Inc</v>
      </c>
      <c r="H286" s="59" t="str">
        <f>작성용!E283</f>
        <v>KBP2023090074</v>
      </c>
      <c r="I286" s="58" t="str">
        <f>작성용!F283</f>
        <v>A04</v>
      </c>
      <c r="J286" s="58">
        <f>작성용!G283</f>
        <v>0</v>
      </c>
      <c r="K286" s="58" t="str">
        <f>작성용!H283</f>
        <v>-</v>
      </c>
      <c r="L286" s="58" t="str">
        <f>작성용!N283</f>
        <v>반기</v>
      </c>
      <c r="M286" s="57" t="str">
        <f>작성용!U283</f>
        <v>2024.09.30</v>
      </c>
      <c r="N286" s="57">
        <f>작성용!V283</f>
        <v>45602</v>
      </c>
      <c r="O286" s="57">
        <f>작성용!W283</f>
        <v>45607</v>
      </c>
      <c r="P286" s="57" t="str">
        <f>작성용!X283</f>
        <v>-</v>
      </c>
      <c r="Q286" s="58" t="str">
        <f>작성용!AD283</f>
        <v>채동우</v>
      </c>
      <c r="R286" s="60">
        <f>작성용!AE283</f>
        <v>1</v>
      </c>
      <c r="S286" s="58" t="str">
        <f>작성용!AF283</f>
        <v>채동우</v>
      </c>
      <c r="T286" s="61" t="str">
        <f>작성용!AG283</f>
        <v>강성은</v>
      </c>
      <c r="U286" s="61" t="str">
        <f>작성용!AH283</f>
        <v>강성은</v>
      </c>
      <c r="V286" s="56">
        <f>작성용!AA283</f>
        <v>202411</v>
      </c>
      <c r="W286" s="58" t="str">
        <f>작성용!AC283</f>
        <v>[Y]금융기관</v>
      </c>
      <c r="X286" s="58" t="str">
        <f>작성용!O283</f>
        <v>박상현매니저</v>
      </c>
      <c r="Y286" s="58" t="str">
        <f>작성용!P283</f>
        <v>02-2112-1729</v>
      </c>
      <c r="Z286" s="58" t="str">
        <f>작성용!Q283</f>
        <v>shpark@imminvestment.com</v>
      </c>
      <c r="AA286" s="56" t="str">
        <f>작성용!AJ283</f>
        <v>국민연금제출</v>
      </c>
      <c r="AB286" s="56">
        <f>작성용!AB283</f>
        <v>0</v>
      </c>
    </row>
    <row r="287" spans="1:28" s="12" customFormat="1" ht="16.5" hidden="1" customHeight="1" x14ac:dyDescent="0.3">
      <c r="A287" s="54">
        <f>작성용!AL284</f>
        <v>283</v>
      </c>
      <c r="B287" s="55" t="str">
        <f>작성용!AI284</f>
        <v>-</v>
      </c>
      <c r="C287" s="56" t="str">
        <f>작성용!AK284</f>
        <v>개별종목</v>
      </c>
      <c r="D287" s="57">
        <f>작성용!T284</f>
        <v>45573</v>
      </c>
      <c r="E287" s="58" t="str">
        <f>작성용!B284</f>
        <v>아이엠엠인베스트먼트</v>
      </c>
      <c r="F287" s="58" t="str">
        <f>작성용!C284</f>
        <v>재평가</v>
      </c>
      <c r="G287" s="58" t="str">
        <f>작성용!D284</f>
        <v>D’strict Holdings Inc</v>
      </c>
      <c r="H287" s="59" t="str">
        <f>작성용!E284</f>
        <v>KBP2023090074</v>
      </c>
      <c r="I287" s="58" t="str">
        <f>작성용!F284</f>
        <v>A01</v>
      </c>
      <c r="J287" s="58">
        <f>작성용!G284</f>
        <v>0</v>
      </c>
      <c r="K287" s="58" t="str">
        <f>작성용!H284</f>
        <v>-</v>
      </c>
      <c r="L287" s="58" t="str">
        <f>작성용!N284</f>
        <v>반기</v>
      </c>
      <c r="M287" s="57" t="str">
        <f>작성용!U284</f>
        <v>2024.09.30</v>
      </c>
      <c r="N287" s="57">
        <f>작성용!V284</f>
        <v>45602</v>
      </c>
      <c r="O287" s="57">
        <f>작성용!W284</f>
        <v>45607</v>
      </c>
      <c r="P287" s="57" t="str">
        <f>작성용!X284</f>
        <v>-</v>
      </c>
      <c r="Q287" s="58" t="str">
        <f>작성용!AD284</f>
        <v>채동우</v>
      </c>
      <c r="R287" s="60">
        <f>작성용!AE284</f>
        <v>0</v>
      </c>
      <c r="S287" s="58" t="str">
        <f>작성용!AF284</f>
        <v>채동우</v>
      </c>
      <c r="T287" s="61" t="str">
        <f>작성용!AG284</f>
        <v>강성은</v>
      </c>
      <c r="U287" s="61" t="str">
        <f>작성용!AH284</f>
        <v>강성은</v>
      </c>
      <c r="V287" s="56">
        <f>작성용!AA284</f>
        <v>202411</v>
      </c>
      <c r="W287" s="58" t="str">
        <f>작성용!AC284</f>
        <v>[Y]금융기관</v>
      </c>
      <c r="X287" s="58" t="str">
        <f>작성용!O284</f>
        <v>박상현매니저</v>
      </c>
      <c r="Y287" s="58" t="str">
        <f>작성용!P284</f>
        <v>02-2112-1729</v>
      </c>
      <c r="Z287" s="58" t="str">
        <f>작성용!Q284</f>
        <v>shpark@imminvestment.com</v>
      </c>
      <c r="AA287" s="56" t="str">
        <f>작성용!AJ284</f>
        <v>국민연금제출</v>
      </c>
      <c r="AB287" s="56">
        <f>작성용!AB284</f>
        <v>0</v>
      </c>
    </row>
    <row r="288" spans="1:28" s="12" customFormat="1" ht="16.5" hidden="1" customHeight="1" x14ac:dyDescent="0.3">
      <c r="A288" s="54">
        <f>작성용!AL285</f>
        <v>284</v>
      </c>
      <c r="B288" s="55" t="str">
        <f>작성용!AI285</f>
        <v>SPC</v>
      </c>
      <c r="C288" s="56" t="str">
        <f>작성용!AK285</f>
        <v>개별종목</v>
      </c>
      <c r="D288" s="57">
        <f>작성용!T285</f>
        <v>45573</v>
      </c>
      <c r="E288" s="58" t="str">
        <f>작성용!B285</f>
        <v>아이엠엠인베스트먼트</v>
      </c>
      <c r="F288" s="58" t="str">
        <f>작성용!C285</f>
        <v>재평가</v>
      </c>
      <c r="G288" s="58" t="str">
        <f>작성용!D285</f>
        <v>조디악원</v>
      </c>
      <c r="H288" s="59">
        <f>작성용!E285</f>
        <v>1101140296027</v>
      </c>
      <c r="I288" s="58" t="str">
        <f>작성용!F285</f>
        <v>A01</v>
      </c>
      <c r="J288" s="58">
        <f>작성용!G285</f>
        <v>0</v>
      </c>
      <c r="K288" s="58" t="str">
        <f>작성용!H285</f>
        <v>-</v>
      </c>
      <c r="L288" s="58" t="str">
        <f>작성용!N285</f>
        <v>반기</v>
      </c>
      <c r="M288" s="57" t="str">
        <f>작성용!U285</f>
        <v>2024.09.30</v>
      </c>
      <c r="N288" s="57">
        <f>작성용!V285</f>
        <v>45602</v>
      </c>
      <c r="O288" s="57">
        <f>작성용!W285</f>
        <v>45607</v>
      </c>
      <c r="P288" s="57" t="str">
        <f>작성용!X285</f>
        <v>-</v>
      </c>
      <c r="Q288" s="58" t="str">
        <f>작성용!AD285</f>
        <v>김수현</v>
      </c>
      <c r="R288" s="60">
        <f>작성용!AE285</f>
        <v>0</v>
      </c>
      <c r="S288" s="58" t="str">
        <f>작성용!AF285</f>
        <v>김수현</v>
      </c>
      <c r="T288" s="61" t="str">
        <f>작성용!AG285</f>
        <v>강성은</v>
      </c>
      <c r="U288" s="61" t="str">
        <f>작성용!AH285</f>
        <v>강성은</v>
      </c>
      <c r="V288" s="56">
        <f>작성용!AA285</f>
        <v>202411</v>
      </c>
      <c r="W288" s="58" t="str">
        <f>작성용!AC285</f>
        <v>[Y]금융기관</v>
      </c>
      <c r="X288" s="58" t="str">
        <f>작성용!O285</f>
        <v>박상현매니저</v>
      </c>
      <c r="Y288" s="58" t="str">
        <f>작성용!P285</f>
        <v>02-2112-1729</v>
      </c>
      <c r="Z288" s="58" t="str">
        <f>작성용!Q285</f>
        <v>shpark@imminvestment.com</v>
      </c>
      <c r="AA288" s="56" t="str">
        <f>작성용!AJ285</f>
        <v>국민연금제출</v>
      </c>
      <c r="AB288" s="56">
        <f>작성용!AB285</f>
        <v>0</v>
      </c>
    </row>
    <row r="289" spans="1:28" s="12" customFormat="1" ht="16.5" hidden="1" customHeight="1" x14ac:dyDescent="0.3">
      <c r="A289" s="54">
        <f>작성용!AL286</f>
        <v>285</v>
      </c>
      <c r="B289" s="55" t="str">
        <f>작성용!AI286</f>
        <v>-</v>
      </c>
      <c r="C289" s="56" t="str">
        <f>작성용!AK286</f>
        <v>개별종목</v>
      </c>
      <c r="D289" s="57">
        <f>작성용!T286</f>
        <v>45573</v>
      </c>
      <c r="E289" s="58" t="str">
        <f>작성용!B286</f>
        <v>아이엠엠인베스트먼트</v>
      </c>
      <c r="F289" s="58" t="str">
        <f>작성용!C286</f>
        <v>재평가</v>
      </c>
      <c r="G289" s="58" t="str">
        <f>작성용!D286</f>
        <v>직방</v>
      </c>
      <c r="H289" s="59">
        <f>작성용!E286</f>
        <v>1101114475300</v>
      </c>
      <c r="I289" s="58" t="str">
        <f>작성용!F286</f>
        <v>A01</v>
      </c>
      <c r="J289" s="58">
        <f>작성용!G286</f>
        <v>0</v>
      </c>
      <c r="K289" s="58" t="str">
        <f>작성용!H286</f>
        <v>-</v>
      </c>
      <c r="L289" s="58" t="str">
        <f>작성용!N286</f>
        <v>반기</v>
      </c>
      <c r="M289" s="57" t="str">
        <f>작성용!U286</f>
        <v>2024.09.30</v>
      </c>
      <c r="N289" s="57">
        <f>작성용!V286</f>
        <v>45602</v>
      </c>
      <c r="O289" s="57">
        <f>작성용!W286</f>
        <v>45607</v>
      </c>
      <c r="P289" s="57" t="str">
        <f>작성용!X286</f>
        <v>-</v>
      </c>
      <c r="Q289" s="58" t="str">
        <f>작성용!AD286</f>
        <v>조현우</v>
      </c>
      <c r="R289" s="60">
        <f>작성용!AE286</f>
        <v>0</v>
      </c>
      <c r="S289" s="58" t="str">
        <f>작성용!AF286</f>
        <v>조현우</v>
      </c>
      <c r="T289" s="61" t="str">
        <f>작성용!AG286</f>
        <v>강성은</v>
      </c>
      <c r="U289" s="61" t="str">
        <f>작성용!AH286</f>
        <v>강성은</v>
      </c>
      <c r="V289" s="56">
        <f>작성용!AA286</f>
        <v>202411</v>
      </c>
      <c r="W289" s="58" t="str">
        <f>작성용!AC286</f>
        <v>[Y]금융기관</v>
      </c>
      <c r="X289" s="58" t="str">
        <f>작성용!O286</f>
        <v>박상현매니저</v>
      </c>
      <c r="Y289" s="58" t="str">
        <f>작성용!P286</f>
        <v>02-2112-1729</v>
      </c>
      <c r="Z289" s="58" t="str">
        <f>작성용!Q286</f>
        <v>shpark@imminvestment.com</v>
      </c>
      <c r="AA289" s="56" t="str">
        <f>작성용!AJ286</f>
        <v>국민연금제출</v>
      </c>
      <c r="AB289" s="56">
        <f>작성용!AB286</f>
        <v>0</v>
      </c>
    </row>
    <row r="290" spans="1:28" s="12" customFormat="1" ht="16.5" hidden="1" customHeight="1" x14ac:dyDescent="0.3">
      <c r="A290" s="54">
        <f>작성용!AL287</f>
        <v>286</v>
      </c>
      <c r="B290" s="55" t="str">
        <f>작성용!AI287</f>
        <v>-</v>
      </c>
      <c r="C290" s="56" t="str">
        <f>작성용!AK287</f>
        <v>개별종목</v>
      </c>
      <c r="D290" s="57">
        <f>작성용!T287</f>
        <v>45573</v>
      </c>
      <c r="E290" s="58" t="str">
        <f>작성용!B287</f>
        <v>아이엠엠인베스트먼트</v>
      </c>
      <c r="F290" s="58" t="str">
        <f>작성용!C287</f>
        <v>재평가</v>
      </c>
      <c r="G290" s="58" t="str">
        <f>작성용!D287</f>
        <v>직방</v>
      </c>
      <c r="H290" s="59">
        <f>작성용!E287</f>
        <v>1101114475300</v>
      </c>
      <c r="I290" s="58" t="str">
        <f>작성용!F287</f>
        <v>A07</v>
      </c>
      <c r="J290" s="58">
        <f>작성용!G287</f>
        <v>0</v>
      </c>
      <c r="K290" s="58" t="str">
        <f>작성용!H287</f>
        <v>-</v>
      </c>
      <c r="L290" s="58" t="str">
        <f>작성용!N287</f>
        <v>반기</v>
      </c>
      <c r="M290" s="57" t="str">
        <f>작성용!U287</f>
        <v>2024.09.30</v>
      </c>
      <c r="N290" s="57">
        <f>작성용!V287</f>
        <v>45602</v>
      </c>
      <c r="O290" s="57">
        <f>작성용!W287</f>
        <v>45607</v>
      </c>
      <c r="P290" s="57" t="str">
        <f>작성용!X287</f>
        <v>-</v>
      </c>
      <c r="Q290" s="58" t="str">
        <f>작성용!AD287</f>
        <v>조현우</v>
      </c>
      <c r="R290" s="60">
        <f>작성용!AE287</f>
        <v>0</v>
      </c>
      <c r="S290" s="58" t="str">
        <f>작성용!AF287</f>
        <v>조현우</v>
      </c>
      <c r="T290" s="61" t="str">
        <f>작성용!AG287</f>
        <v>강성은</v>
      </c>
      <c r="U290" s="61" t="str">
        <f>작성용!AH287</f>
        <v>강성은</v>
      </c>
      <c r="V290" s="56">
        <f>작성용!AA287</f>
        <v>202411</v>
      </c>
      <c r="W290" s="58" t="str">
        <f>작성용!AC287</f>
        <v>[Y]금융기관</v>
      </c>
      <c r="X290" s="58" t="str">
        <f>작성용!O287</f>
        <v>박상현매니저</v>
      </c>
      <c r="Y290" s="58" t="str">
        <f>작성용!P287</f>
        <v>02-2112-1729</v>
      </c>
      <c r="Z290" s="58" t="str">
        <f>작성용!Q287</f>
        <v>shpark@imminvestment.com</v>
      </c>
      <c r="AA290" s="56" t="str">
        <f>작성용!AJ287</f>
        <v>국민연금제출</v>
      </c>
      <c r="AB290" s="56">
        <f>작성용!AB287</f>
        <v>0</v>
      </c>
    </row>
    <row r="291" spans="1:28" s="12" customFormat="1" ht="16.5" hidden="1" customHeight="1" x14ac:dyDescent="0.3">
      <c r="A291" s="54">
        <f>작성용!AL288</f>
        <v>287</v>
      </c>
      <c r="B291" s="55" t="str">
        <f>작성용!AI288</f>
        <v>SPC</v>
      </c>
      <c r="C291" s="56" t="str">
        <f>작성용!AK288</f>
        <v>개별종목</v>
      </c>
      <c r="D291" s="57">
        <f>작성용!T288</f>
        <v>45573</v>
      </c>
      <c r="E291" s="58" t="str">
        <f>작성용!B288</f>
        <v>아이엠엠인베스트먼트</v>
      </c>
      <c r="F291" s="58" t="str">
        <f>작성용!C288</f>
        <v>재평가</v>
      </c>
      <c r="G291" s="58" t="str">
        <f>작성용!D288</f>
        <v>헬리오스원</v>
      </c>
      <c r="H291" s="59">
        <f>작성용!E288</f>
        <v>1101140279198</v>
      </c>
      <c r="I291" s="58" t="str">
        <f>작성용!F288</f>
        <v>A01</v>
      </c>
      <c r="J291" s="58">
        <f>작성용!G288</f>
        <v>0</v>
      </c>
      <c r="K291" s="58" t="str">
        <f>작성용!H288</f>
        <v>-</v>
      </c>
      <c r="L291" s="58" t="str">
        <f>작성용!N288</f>
        <v>반기</v>
      </c>
      <c r="M291" s="57" t="str">
        <f>작성용!U288</f>
        <v>2024.09.30</v>
      </c>
      <c r="N291" s="57">
        <f>작성용!V288</f>
        <v>45602</v>
      </c>
      <c r="O291" s="57">
        <f>작성용!W288</f>
        <v>45607</v>
      </c>
      <c r="P291" s="57" t="str">
        <f>작성용!X288</f>
        <v>-</v>
      </c>
      <c r="Q291" s="58" t="str">
        <f>작성용!AD288</f>
        <v>김수현</v>
      </c>
      <c r="R291" s="60">
        <f>작성용!AE288</f>
        <v>0</v>
      </c>
      <c r="S291" s="58" t="str">
        <f>작성용!AF288</f>
        <v>김수현</v>
      </c>
      <c r="T291" s="61" t="str">
        <f>작성용!AG288</f>
        <v>강성은</v>
      </c>
      <c r="U291" s="61" t="str">
        <f>작성용!AH288</f>
        <v>강성은</v>
      </c>
      <c r="V291" s="56">
        <f>작성용!AA288</f>
        <v>202411</v>
      </c>
      <c r="W291" s="58" t="str">
        <f>작성용!AC288</f>
        <v>[Y]금융기관</v>
      </c>
      <c r="X291" s="58" t="str">
        <f>작성용!O288</f>
        <v>박상현매니저</v>
      </c>
      <c r="Y291" s="58" t="str">
        <f>작성용!P288</f>
        <v>02-2112-1729</v>
      </c>
      <c r="Z291" s="58" t="str">
        <f>작성용!Q288</f>
        <v>shpark@imminvestment.com</v>
      </c>
      <c r="AA291" s="56" t="str">
        <f>작성용!AJ288</f>
        <v>국민연금제출</v>
      </c>
      <c r="AB291" s="56">
        <f>작성용!AB288</f>
        <v>0</v>
      </c>
    </row>
    <row r="292" spans="1:28" s="12" customFormat="1" ht="16.5" hidden="1" customHeight="1" x14ac:dyDescent="0.3">
      <c r="A292" s="54">
        <f>작성용!AL289</f>
        <v>288</v>
      </c>
      <c r="B292" s="55" t="str">
        <f>작성용!AI289</f>
        <v>-</v>
      </c>
      <c r="C292" s="56" t="str">
        <f>작성용!AK289</f>
        <v>개별종목</v>
      </c>
      <c r="D292" s="57">
        <f>작성용!T289</f>
        <v>45573</v>
      </c>
      <c r="E292" s="58" t="str">
        <f>작성용!B289</f>
        <v>아이엠엠인베스트먼트</v>
      </c>
      <c r="F292" s="58" t="str">
        <f>작성용!C289</f>
        <v>재평가</v>
      </c>
      <c r="G292" s="58" t="str">
        <f>작성용!D289</f>
        <v>헬리녹스</v>
      </c>
      <c r="H292" s="59">
        <f>작성용!E289</f>
        <v>1101115221794</v>
      </c>
      <c r="I292" s="58" t="str">
        <f>작성용!F289</f>
        <v>A01</v>
      </c>
      <c r="J292" s="58">
        <f>작성용!G289</f>
        <v>0</v>
      </c>
      <c r="K292" s="58" t="str">
        <f>작성용!H289</f>
        <v>-</v>
      </c>
      <c r="L292" s="58" t="str">
        <f>작성용!N289</f>
        <v>반기</v>
      </c>
      <c r="M292" s="57" t="str">
        <f>작성용!U289</f>
        <v>2024.09.30</v>
      </c>
      <c r="N292" s="57">
        <f>작성용!V289</f>
        <v>45602</v>
      </c>
      <c r="O292" s="57">
        <f>작성용!W289</f>
        <v>45607</v>
      </c>
      <c r="P292" s="57" t="str">
        <f>작성용!X289</f>
        <v>-</v>
      </c>
      <c r="Q292" s="58" t="str">
        <f>작성용!AD289</f>
        <v>오수현</v>
      </c>
      <c r="R292" s="60">
        <f>작성용!AE289</f>
        <v>1</v>
      </c>
      <c r="S292" s="58" t="str">
        <f>작성용!AF289</f>
        <v>오수현</v>
      </c>
      <c r="T292" s="61" t="str">
        <f>작성용!AG289</f>
        <v>강성은</v>
      </c>
      <c r="U292" s="61" t="str">
        <f>작성용!AH289</f>
        <v>강성은</v>
      </c>
      <c r="V292" s="56">
        <f>작성용!AA289</f>
        <v>202411</v>
      </c>
      <c r="W292" s="58" t="str">
        <f>작성용!AC289</f>
        <v>[Y]금융기관</v>
      </c>
      <c r="X292" s="58" t="str">
        <f>작성용!O289</f>
        <v>박상현매니저</v>
      </c>
      <c r="Y292" s="58" t="str">
        <f>작성용!P289</f>
        <v>02-2112-1729</v>
      </c>
      <c r="Z292" s="58" t="str">
        <f>작성용!Q289</f>
        <v>shpark@imminvestment.com</v>
      </c>
      <c r="AA292" s="56" t="str">
        <f>작성용!AJ289</f>
        <v>국민연금제출</v>
      </c>
      <c r="AB292" s="56">
        <f>작성용!AB289</f>
        <v>0</v>
      </c>
    </row>
    <row r="293" spans="1:28" s="12" customFormat="1" ht="16.5" hidden="1" customHeight="1" x14ac:dyDescent="0.3">
      <c r="A293" s="54">
        <f>작성용!AL290</f>
        <v>289</v>
      </c>
      <c r="B293" s="55" t="str">
        <f>작성용!AI290</f>
        <v>-</v>
      </c>
      <c r="C293" s="56" t="str">
        <f>작성용!AK290</f>
        <v>개별종목</v>
      </c>
      <c r="D293" s="57">
        <f>작성용!T290</f>
        <v>45573</v>
      </c>
      <c r="E293" s="58" t="str">
        <f>작성용!B290</f>
        <v>아이엠엠인베스트먼트</v>
      </c>
      <c r="F293" s="58" t="str">
        <f>작성용!C290</f>
        <v>재평가</v>
      </c>
      <c r="G293" s="58" t="str">
        <f>작성용!D290</f>
        <v>헬리녹스</v>
      </c>
      <c r="H293" s="59">
        <f>작성용!E290</f>
        <v>1101115221794</v>
      </c>
      <c r="I293" s="58" t="str">
        <f>작성용!F290</f>
        <v>A05</v>
      </c>
      <c r="J293" s="58">
        <f>작성용!G290</f>
        <v>0</v>
      </c>
      <c r="K293" s="58" t="str">
        <f>작성용!H290</f>
        <v>-</v>
      </c>
      <c r="L293" s="58" t="str">
        <f>작성용!N290</f>
        <v>반기</v>
      </c>
      <c r="M293" s="57" t="str">
        <f>작성용!U290</f>
        <v>2024.09.30</v>
      </c>
      <c r="N293" s="57">
        <f>작성용!V290</f>
        <v>45602</v>
      </c>
      <c r="O293" s="57">
        <f>작성용!W290</f>
        <v>45607</v>
      </c>
      <c r="P293" s="57" t="str">
        <f>작성용!X290</f>
        <v>-</v>
      </c>
      <c r="Q293" s="58" t="str">
        <f>작성용!AD290</f>
        <v>오수현</v>
      </c>
      <c r="R293" s="60">
        <f>작성용!AE290</f>
        <v>0</v>
      </c>
      <c r="S293" s="58" t="str">
        <f>작성용!AF290</f>
        <v>오수현</v>
      </c>
      <c r="T293" s="61" t="str">
        <f>작성용!AG290</f>
        <v>강성은</v>
      </c>
      <c r="U293" s="61" t="str">
        <f>작성용!AH290</f>
        <v>강성은</v>
      </c>
      <c r="V293" s="56">
        <f>작성용!AA290</f>
        <v>202411</v>
      </c>
      <c r="W293" s="58" t="str">
        <f>작성용!AC290</f>
        <v>[Y]금융기관</v>
      </c>
      <c r="X293" s="58" t="str">
        <f>작성용!O290</f>
        <v>박상현매니저</v>
      </c>
      <c r="Y293" s="58" t="str">
        <f>작성용!P290</f>
        <v>02-2112-1729</v>
      </c>
      <c r="Z293" s="58" t="str">
        <f>작성용!Q290</f>
        <v>shpark@imminvestment.com</v>
      </c>
      <c r="AA293" s="56" t="str">
        <f>작성용!AJ290</f>
        <v>국민연금제출</v>
      </c>
      <c r="AB293" s="56">
        <f>작성용!AB290</f>
        <v>0</v>
      </c>
    </row>
    <row r="294" spans="1:28" s="12" customFormat="1" ht="16.5" hidden="1" customHeight="1" x14ac:dyDescent="0.3">
      <c r="A294" s="54">
        <f>작성용!AL291</f>
        <v>290</v>
      </c>
      <c r="B294" s="55" t="str">
        <f>작성용!AI291</f>
        <v>-</v>
      </c>
      <c r="C294" s="56" t="str">
        <f>작성용!AK291</f>
        <v>개별종목</v>
      </c>
      <c r="D294" s="57">
        <f>작성용!T291</f>
        <v>45573</v>
      </c>
      <c r="E294" s="58" t="str">
        <f>작성용!B291</f>
        <v>아이엠엠인베스트먼트</v>
      </c>
      <c r="F294" s="58" t="str">
        <f>작성용!C291</f>
        <v>재평가</v>
      </c>
      <c r="G294" s="58" t="str">
        <f>작성용!D291</f>
        <v>헬리녹스</v>
      </c>
      <c r="H294" s="59">
        <f>작성용!E291</f>
        <v>1101115221794</v>
      </c>
      <c r="I294" s="58" t="str">
        <f>작성용!F291</f>
        <v>A05</v>
      </c>
      <c r="J294" s="58">
        <f>작성용!G291</f>
        <v>1</v>
      </c>
      <c r="K294" s="58" t="str">
        <f>작성용!H291</f>
        <v>-</v>
      </c>
      <c r="L294" s="58" t="str">
        <f>작성용!N291</f>
        <v>반기</v>
      </c>
      <c r="M294" s="57" t="str">
        <f>작성용!U291</f>
        <v>2024.09.30</v>
      </c>
      <c r="N294" s="57">
        <f>작성용!V291</f>
        <v>45602</v>
      </c>
      <c r="O294" s="57">
        <f>작성용!W291</f>
        <v>45607</v>
      </c>
      <c r="P294" s="57" t="str">
        <f>작성용!X291</f>
        <v>-</v>
      </c>
      <c r="Q294" s="58" t="str">
        <f>작성용!AD291</f>
        <v>오수현</v>
      </c>
      <c r="R294" s="60">
        <f>작성용!AE291</f>
        <v>0</v>
      </c>
      <c r="S294" s="58" t="str">
        <f>작성용!AF291</f>
        <v>오수현</v>
      </c>
      <c r="T294" s="61" t="str">
        <f>작성용!AG291</f>
        <v>강성은</v>
      </c>
      <c r="U294" s="61" t="str">
        <f>작성용!AH291</f>
        <v>강성은</v>
      </c>
      <c r="V294" s="56">
        <f>작성용!AA291</f>
        <v>202411</v>
      </c>
      <c r="W294" s="58" t="str">
        <f>작성용!AC291</f>
        <v>[Y]금융기관</v>
      </c>
      <c r="X294" s="58" t="str">
        <f>작성용!O291</f>
        <v>박상현매니저</v>
      </c>
      <c r="Y294" s="58" t="str">
        <f>작성용!P291</f>
        <v>02-2112-1729</v>
      </c>
      <c r="Z294" s="58" t="str">
        <f>작성용!Q291</f>
        <v>shpark@imminvestment.com</v>
      </c>
      <c r="AA294" s="56" t="str">
        <f>작성용!AJ291</f>
        <v>국민연금제출</v>
      </c>
      <c r="AB294" s="56">
        <f>작성용!AB291</f>
        <v>0</v>
      </c>
    </row>
    <row r="295" spans="1:28" s="12" customFormat="1" ht="16.5" hidden="1" customHeight="1" x14ac:dyDescent="0.3">
      <c r="A295" s="54">
        <f>작성용!AL292</f>
        <v>291</v>
      </c>
      <c r="B295" s="55" t="str">
        <f>작성용!AI292</f>
        <v>-</v>
      </c>
      <c r="C295" s="56" t="str">
        <f>작성용!AK292</f>
        <v>개별종목</v>
      </c>
      <c r="D295" s="57">
        <f>작성용!T292</f>
        <v>45573</v>
      </c>
      <c r="E295" s="58" t="str">
        <f>작성용!B292</f>
        <v>아이엠엠인베스트먼트</v>
      </c>
      <c r="F295" s="58" t="str">
        <f>작성용!C292</f>
        <v>신규</v>
      </c>
      <c r="G295" s="58" t="str">
        <f>작성용!D292</f>
        <v>에코프로이노베이션</v>
      </c>
      <c r="H295" s="59">
        <f>작성용!E292</f>
        <v>1101113273698</v>
      </c>
      <c r="I295" s="58" t="str">
        <f>작성용!F292</f>
        <v>A01</v>
      </c>
      <c r="J295" s="58">
        <f>작성용!G292</f>
        <v>0</v>
      </c>
      <c r="K295" s="58" t="str">
        <f>작성용!H292</f>
        <v>-</v>
      </c>
      <c r="L295" s="58" t="str">
        <f>작성용!N292</f>
        <v>반기</v>
      </c>
      <c r="M295" s="57" t="str">
        <f>작성용!U292</f>
        <v>2024.09.30</v>
      </c>
      <c r="N295" s="57">
        <f>작성용!V292</f>
        <v>45602</v>
      </c>
      <c r="O295" s="57">
        <f>작성용!W292</f>
        <v>45607</v>
      </c>
      <c r="P295" s="57" t="str">
        <f>작성용!X292</f>
        <v>-</v>
      </c>
      <c r="Q295" s="58" t="str">
        <f>작성용!AD292</f>
        <v>김에스더</v>
      </c>
      <c r="R295" s="60">
        <f>작성용!AE292</f>
        <v>0</v>
      </c>
      <c r="S295" s="58" t="str">
        <f>작성용!AF292</f>
        <v>조현우</v>
      </c>
      <c r="T295" s="61" t="str">
        <f>작성용!AG292</f>
        <v>강성은</v>
      </c>
      <c r="U295" s="61" t="str">
        <f>작성용!AH292</f>
        <v>강성은</v>
      </c>
      <c r="V295" s="56">
        <f>작성용!AA292</f>
        <v>202411</v>
      </c>
      <c r="W295" s="58" t="str">
        <f>작성용!AC292</f>
        <v>[Y]금융기관</v>
      </c>
      <c r="X295" s="58" t="str">
        <f>작성용!O292</f>
        <v>박상현매니저</v>
      </c>
      <c r="Y295" s="58" t="str">
        <f>작성용!P292</f>
        <v>02-2112-1729</v>
      </c>
      <c r="Z295" s="58" t="str">
        <f>작성용!Q292</f>
        <v>shpark@imminvestment.com</v>
      </c>
      <c r="AA295" s="56" t="str">
        <f>작성용!AJ292</f>
        <v>국민연금제출</v>
      </c>
      <c r="AB295" s="56">
        <f>작성용!AB292</f>
        <v>0</v>
      </c>
    </row>
    <row r="296" spans="1:28" s="12" customFormat="1" ht="16.5" hidden="1" customHeight="1" x14ac:dyDescent="0.3">
      <c r="A296" s="54">
        <f>작성용!AL293</f>
        <v>292</v>
      </c>
      <c r="B296" s="55" t="str">
        <f>작성용!AI293</f>
        <v>-</v>
      </c>
      <c r="C296" s="56" t="str">
        <f>작성용!AK293</f>
        <v>개별종목</v>
      </c>
      <c r="D296" s="57">
        <f>작성용!T293</f>
        <v>45573</v>
      </c>
      <c r="E296" s="58" t="str">
        <f>작성용!B293</f>
        <v>그린하버프라이빗에쿼티(구,스프랏코리아)</v>
      </c>
      <c r="F296" s="58" t="str">
        <f>작성용!C293</f>
        <v>재평가</v>
      </c>
      <c r="G296" s="58" t="str">
        <f>작성용!D293</f>
        <v>한국전력우리스프랏글로벌사모투자전문회사</v>
      </c>
      <c r="H296" s="59">
        <f>작성용!E293</f>
        <v>1101130017756</v>
      </c>
      <c r="I296" s="58" t="str">
        <f>작성용!F293</f>
        <v>B01</v>
      </c>
      <c r="J296" s="58">
        <f>작성용!G293</f>
        <v>0</v>
      </c>
      <c r="K296" s="58" t="str">
        <f>작성용!H293</f>
        <v>-</v>
      </c>
      <c r="L296" s="58" t="str">
        <f>작성용!N293</f>
        <v>년</v>
      </c>
      <c r="M296" s="57" t="str">
        <f>작성용!U293</f>
        <v>2024.09.30</v>
      </c>
      <c r="N296" s="57">
        <f>작성용!V293</f>
        <v>45608</v>
      </c>
      <c r="O296" s="57">
        <f>작성용!W293</f>
        <v>45615</v>
      </c>
      <c r="P296" s="57" t="str">
        <f>작성용!X293</f>
        <v>-</v>
      </c>
      <c r="Q296" s="58" t="str">
        <f>작성용!AD293</f>
        <v>조현우</v>
      </c>
      <c r="R296" s="60">
        <f>작성용!AE293</f>
        <v>1</v>
      </c>
      <c r="S296" s="58" t="str">
        <f>작성용!AF293</f>
        <v>조현우</v>
      </c>
      <c r="T296" s="61" t="str">
        <f>작성용!AG293</f>
        <v>조현우</v>
      </c>
      <c r="U296" s="61" t="str">
        <f>작성용!AH293</f>
        <v>조현우</v>
      </c>
      <c r="V296" s="56">
        <f>작성용!AA293</f>
        <v>202411</v>
      </c>
      <c r="W296" s="58" t="str">
        <f>작성용!AC293</f>
        <v>[X]일반기업</v>
      </c>
      <c r="X296" s="58" t="str">
        <f>작성용!O293</f>
        <v>정병권이사</v>
      </c>
      <c r="Y296" s="58" t="str">
        <f>작성용!P293</f>
        <v>070-4324-9700</v>
      </c>
      <c r="Z296" s="58" t="str">
        <f>작성용!Q293</f>
        <v>bg.chung@sprottkorea.co.kr</v>
      </c>
      <c r="AA296" s="56" t="str">
        <f>작성용!AJ293</f>
        <v>국민연금제출</v>
      </c>
      <c r="AB296" s="56">
        <f>작성용!AB293</f>
        <v>0</v>
      </c>
    </row>
    <row r="297" spans="1:28" s="12" customFormat="1" ht="16.5" hidden="1" customHeight="1" x14ac:dyDescent="0.3">
      <c r="A297" s="54">
        <f>작성용!AL294</f>
        <v>293</v>
      </c>
      <c r="B297" s="55" t="str">
        <f>작성용!AI294</f>
        <v>-</v>
      </c>
      <c r="C297" s="56" t="str">
        <f>작성용!AK294</f>
        <v>개별종목</v>
      </c>
      <c r="D297" s="57">
        <f>작성용!T294</f>
        <v>45573</v>
      </c>
      <c r="E297" s="58" t="str">
        <f>작성용!B294</f>
        <v>그린하버프라이빗에쿼티(구,스프랏코리아)</v>
      </c>
      <c r="F297" s="58" t="str">
        <f>작성용!C294</f>
        <v>재평가</v>
      </c>
      <c r="G297" s="58" t="str">
        <f>작성용!D294</f>
        <v>한국전력우리스프랏글로벌해외자원개발사모투자전문회사</v>
      </c>
      <c r="H297" s="59">
        <f>작성용!E294</f>
        <v>1101130017764</v>
      </c>
      <c r="I297" s="58" t="str">
        <f>작성용!F294</f>
        <v>B01</v>
      </c>
      <c r="J297" s="58">
        <f>작성용!G294</f>
        <v>0</v>
      </c>
      <c r="K297" s="58" t="str">
        <f>작성용!H294</f>
        <v>-</v>
      </c>
      <c r="L297" s="58" t="str">
        <f>작성용!N294</f>
        <v>년</v>
      </c>
      <c r="M297" s="57" t="str">
        <f>작성용!U294</f>
        <v>2024.09.30</v>
      </c>
      <c r="N297" s="57">
        <f>작성용!V294</f>
        <v>45608</v>
      </c>
      <c r="O297" s="57">
        <f>작성용!W294</f>
        <v>45615</v>
      </c>
      <c r="P297" s="57" t="str">
        <f>작성용!X294</f>
        <v>-</v>
      </c>
      <c r="Q297" s="58" t="str">
        <f>작성용!AD294</f>
        <v>강성은</v>
      </c>
      <c r="R297" s="60">
        <f>작성용!AE294</f>
        <v>1</v>
      </c>
      <c r="S297" s="58" t="str">
        <f>작성용!AF294</f>
        <v>강성은</v>
      </c>
      <c r="T297" s="61" t="str">
        <f>작성용!AG294</f>
        <v>조현우</v>
      </c>
      <c r="U297" s="61" t="str">
        <f>작성용!AH294</f>
        <v>조현우</v>
      </c>
      <c r="V297" s="56">
        <f>작성용!AA294</f>
        <v>202411</v>
      </c>
      <c r="W297" s="58" t="str">
        <f>작성용!AC294</f>
        <v>[X]일반기업</v>
      </c>
      <c r="X297" s="58" t="str">
        <f>작성용!O294</f>
        <v>정병권이사</v>
      </c>
      <c r="Y297" s="58" t="str">
        <f>작성용!P294</f>
        <v>010-5545-0422</v>
      </c>
      <c r="Z297" s="58" t="str">
        <f>작성용!Q294</f>
        <v>bg.chung@sprottkorea.co.kr</v>
      </c>
      <c r="AA297" s="56" t="str">
        <f>작성용!AJ294</f>
        <v>국민연금제출</v>
      </c>
      <c r="AB297" s="56">
        <f>작성용!AB294</f>
        <v>0</v>
      </c>
    </row>
    <row r="298" spans="1:28" s="12" customFormat="1" ht="16.5" hidden="1" customHeight="1" x14ac:dyDescent="0.3">
      <c r="A298" s="54">
        <f>작성용!AL295</f>
        <v>294</v>
      </c>
      <c r="B298" s="55" t="str">
        <f>작성용!AI295</f>
        <v>-</v>
      </c>
      <c r="C298" s="56" t="str">
        <f>작성용!AK295</f>
        <v>개별종목</v>
      </c>
      <c r="D298" s="57">
        <f>작성용!T295</f>
        <v>45573</v>
      </c>
      <c r="E298" s="58" t="str">
        <f>작성용!B295</f>
        <v>유씨케이파트너스(구,유니슨캐피탈사모투자전문회사)</v>
      </c>
      <c r="F298" s="58" t="str">
        <f>작성용!C295</f>
        <v>신규</v>
      </c>
      <c r="G298" s="58" t="str">
        <f>작성용!D295</f>
        <v>메디트</v>
      </c>
      <c r="H298" s="59">
        <f>작성용!E295</f>
        <v>1101111932626</v>
      </c>
      <c r="I298" s="58" t="str">
        <f>작성용!F295</f>
        <v>A01</v>
      </c>
      <c r="J298" s="58">
        <f>작성용!G295</f>
        <v>0</v>
      </c>
      <c r="K298" s="58" t="str">
        <f>작성용!H295</f>
        <v>-</v>
      </c>
      <c r="L298" s="58" t="str">
        <f>작성용!N295</f>
        <v xml:space="preserve">분기 </v>
      </c>
      <c r="M298" s="57" t="str">
        <f>작성용!U295</f>
        <v>2024.09.30</v>
      </c>
      <c r="N298" s="57">
        <f>작성용!V295</f>
        <v>45604</v>
      </c>
      <c r="O298" s="57">
        <f>작성용!W295</f>
        <v>45610</v>
      </c>
      <c r="P298" s="57" t="str">
        <f>작성용!X295</f>
        <v>-</v>
      </c>
      <c r="Q298" s="58" t="str">
        <f>작성용!AD295</f>
        <v>심태진</v>
      </c>
      <c r="R298" s="60">
        <f>작성용!AE295</f>
        <v>1</v>
      </c>
      <c r="S298" s="58" t="str">
        <f>작성용!AF295</f>
        <v>심태진</v>
      </c>
      <c r="T298" s="61" t="str">
        <f>작성용!AG295</f>
        <v>김예림</v>
      </c>
      <c r="U298" s="61" t="str">
        <f>작성용!AH295</f>
        <v>김예림</v>
      </c>
      <c r="V298" s="56">
        <f>작성용!AA295</f>
        <v>202411</v>
      </c>
      <c r="W298" s="58" t="str">
        <f>작성용!AC295</f>
        <v>[Y]금융기관</v>
      </c>
      <c r="X298" s="58" t="str">
        <f>작성용!O295</f>
        <v>구하영차장</v>
      </c>
      <c r="Y298" s="58" t="str">
        <f>작성용!P295</f>
        <v>02-3011-7002</v>
      </c>
      <c r="Z298" s="58" t="str">
        <f>작성용!Q295</f>
        <v>hyk@uckpartners.com</v>
      </c>
      <c r="AA298" s="56" t="str">
        <f>작성용!AJ295</f>
        <v>국민연금제출</v>
      </c>
      <c r="AB298" s="56">
        <f>작성용!AB295</f>
        <v>0</v>
      </c>
    </row>
    <row r="299" spans="1:28" s="12" customFormat="1" ht="16.5" hidden="1" customHeight="1" x14ac:dyDescent="0.3">
      <c r="A299" s="54">
        <f>작성용!AL296</f>
        <v>295</v>
      </c>
      <c r="B299" s="55" t="str">
        <f>작성용!AI296</f>
        <v>-</v>
      </c>
      <c r="C299" s="56" t="str">
        <f>작성용!AK296</f>
        <v>개별종목</v>
      </c>
      <c r="D299" s="57">
        <f>작성용!T296</f>
        <v>45573</v>
      </c>
      <c r="E299" s="58" t="str">
        <f>작성용!B296</f>
        <v>유씨케이파트너스(구,유니슨캐피탈사모투자전문회사)</v>
      </c>
      <c r="F299" s="58" t="str">
        <f>작성용!C296</f>
        <v>신규</v>
      </c>
      <c r="G299" s="58" t="str">
        <f>작성용!D296</f>
        <v>설빙</v>
      </c>
      <c r="H299" s="59">
        <f>작성용!E296</f>
        <v>1801110874875</v>
      </c>
      <c r="I299" s="58" t="str">
        <f>작성용!F296</f>
        <v>A01</v>
      </c>
      <c r="J299" s="58">
        <f>작성용!G296</f>
        <v>0</v>
      </c>
      <c r="K299" s="58" t="str">
        <f>작성용!H296</f>
        <v>-</v>
      </c>
      <c r="L299" s="58" t="str">
        <f>작성용!N296</f>
        <v xml:space="preserve">분기 </v>
      </c>
      <c r="M299" s="57" t="str">
        <f>작성용!U296</f>
        <v>2024.09.30</v>
      </c>
      <c r="N299" s="57">
        <f>작성용!V296</f>
        <v>45604</v>
      </c>
      <c r="O299" s="57">
        <f>작성용!W296</f>
        <v>45610</v>
      </c>
      <c r="P299" s="57" t="str">
        <f>작성용!X296</f>
        <v>-</v>
      </c>
      <c r="Q299" s="58" t="str">
        <f>작성용!AD296</f>
        <v>김에스더</v>
      </c>
      <c r="R299" s="60">
        <f>작성용!AE296</f>
        <v>1</v>
      </c>
      <c r="S299" s="58" t="str">
        <f>작성용!AF296</f>
        <v>신규</v>
      </c>
      <c r="T299" s="61" t="str">
        <f>작성용!AG296</f>
        <v>김예림</v>
      </c>
      <c r="U299" s="61" t="str">
        <f>작성용!AH296</f>
        <v>김예림</v>
      </c>
      <c r="V299" s="56">
        <f>작성용!AA296</f>
        <v>202411</v>
      </c>
      <c r="W299" s="58" t="str">
        <f>작성용!AC296</f>
        <v>[Y]금융기관</v>
      </c>
      <c r="X299" s="58" t="str">
        <f>작성용!O296</f>
        <v>구하영차장</v>
      </c>
      <c r="Y299" s="58" t="str">
        <f>작성용!P296</f>
        <v>02-3011-7002</v>
      </c>
      <c r="Z299" s="58" t="str">
        <f>작성용!Q296</f>
        <v>hyk@uckpartners.com</v>
      </c>
      <c r="AA299" s="56" t="str">
        <f>작성용!AJ296</f>
        <v>국민연금제출</v>
      </c>
      <c r="AB299" s="56">
        <f>작성용!AB296</f>
        <v>0</v>
      </c>
    </row>
    <row r="300" spans="1:28" s="12" customFormat="1" ht="16.5" hidden="1" customHeight="1" x14ac:dyDescent="0.3">
      <c r="A300" s="54">
        <f>작성용!AL297</f>
        <v>296</v>
      </c>
      <c r="B300" s="55" t="str">
        <f>작성용!AI297</f>
        <v>최종평가값 : 2025-01-08</v>
      </c>
      <c r="C300" s="56" t="str">
        <f>작성용!AK297</f>
        <v>개별종목</v>
      </c>
      <c r="D300" s="57">
        <f>작성용!T297</f>
        <v>45573</v>
      </c>
      <c r="E300" s="58" t="str">
        <f>작성용!B297</f>
        <v>마스턴투자운용</v>
      </c>
      <c r="F300" s="58" t="str">
        <f>작성용!C297</f>
        <v>재평가</v>
      </c>
      <c r="G300" s="58" t="str">
        <f>작성용!D297</f>
        <v>마스턴라이프파트너스사모투자</v>
      </c>
      <c r="H300" s="59">
        <f>작성용!E297</f>
        <v>1101130030708</v>
      </c>
      <c r="I300" s="58" t="str">
        <f>작성용!F297</f>
        <v>B01</v>
      </c>
      <c r="J300" s="58">
        <f>작성용!G297</f>
        <v>0</v>
      </c>
      <c r="K300" s="58" t="str">
        <f>작성용!H297</f>
        <v>-</v>
      </c>
      <c r="L300" s="58" t="str">
        <f>작성용!N297</f>
        <v>연말</v>
      </c>
      <c r="M300" s="57" t="str">
        <f>작성용!U297</f>
        <v>2024.12.31</v>
      </c>
      <c r="N300" s="57">
        <f>작성용!V297</f>
        <v>45632</v>
      </c>
      <c r="O300" s="57">
        <f>작성용!W297</f>
        <v>45670</v>
      </c>
      <c r="P300" s="57" t="str">
        <f>작성용!X297</f>
        <v>-</v>
      </c>
      <c r="Q300" s="58" t="str">
        <f>작성용!AD297</f>
        <v>변혜진</v>
      </c>
      <c r="R300" s="60">
        <f>작성용!AE297</f>
        <v>1</v>
      </c>
      <c r="S300" s="58" t="str">
        <f>작성용!AF297</f>
        <v>변혜진</v>
      </c>
      <c r="T300" s="61" t="str">
        <f>작성용!AG297</f>
        <v>-</v>
      </c>
      <c r="U300" s="61" t="str">
        <f>작성용!AH297</f>
        <v>-</v>
      </c>
      <c r="V300" s="56">
        <f>작성용!AA297</f>
        <v>202412</v>
      </c>
      <c r="W300" s="58" t="str">
        <f>작성용!AC297</f>
        <v>[Y]금융기관</v>
      </c>
      <c r="X300" s="58" t="str">
        <f>작성용!O297</f>
        <v>임동환이사</v>
      </c>
      <c r="Y300" s="58" t="str">
        <f>작성용!P297</f>
        <v>02-2176-3975</v>
      </c>
      <c r="Z300" s="58" t="str">
        <f>작성용!Q297</f>
        <v>dhlim@mastern.co.kr</v>
      </c>
      <c r="AA300" s="56" t="str">
        <f>작성용!AJ297</f>
        <v>-</v>
      </c>
      <c r="AB300" s="56">
        <f>작성용!AB297</f>
        <v>0</v>
      </c>
    </row>
    <row r="301" spans="1:28" s="12" customFormat="1" ht="16.5" hidden="1" customHeight="1" x14ac:dyDescent="0.3">
      <c r="A301" s="54">
        <f>작성용!AL298</f>
        <v>297</v>
      </c>
      <c r="B301" s="55" t="str">
        <f>작성용!AI298</f>
        <v>-</v>
      </c>
      <c r="C301" s="56" t="str">
        <f>작성용!AK298</f>
        <v>기초자산</v>
      </c>
      <c r="D301" s="57" t="str">
        <f>작성용!T298</f>
        <v>마스턴투자운용펀드(기초자산)</v>
      </c>
      <c r="E301" s="58" t="str">
        <f>작성용!B298</f>
        <v>마스턴라이프파트너스사모투자</v>
      </c>
      <c r="F301" s="58" t="str">
        <f>작성용!C298</f>
        <v>재평가</v>
      </c>
      <c r="G301" s="58" t="str">
        <f>작성용!D298</f>
        <v>프리드라이프</v>
      </c>
      <c r="H301" s="59">
        <f>작성용!E298</f>
        <v>2301110083681</v>
      </c>
      <c r="I301" s="58" t="str">
        <f>작성용!F298</f>
        <v>A01</v>
      </c>
      <c r="J301" s="58">
        <f>작성용!G298</f>
        <v>0</v>
      </c>
      <c r="K301" s="58" t="str">
        <f>작성용!H298</f>
        <v>-</v>
      </c>
      <c r="L301" s="58" t="str">
        <f>작성용!N298</f>
        <v>연말</v>
      </c>
      <c r="M301" s="57" t="str">
        <f>작성용!U298</f>
        <v>2024.12.31</v>
      </c>
      <c r="N301" s="57">
        <f>작성용!V298</f>
        <v>45632</v>
      </c>
      <c r="O301" s="57" t="str">
        <f>작성용!W298</f>
        <v>보고서제공X</v>
      </c>
      <c r="P301" s="57" t="str">
        <f>작성용!X298</f>
        <v>-</v>
      </c>
      <c r="Q301" s="58" t="str">
        <f>작성용!AD298</f>
        <v>변혜진</v>
      </c>
      <c r="R301" s="60">
        <f>작성용!AE298</f>
        <v>0.4</v>
      </c>
      <c r="S301" s="58" t="str">
        <f>작성용!AF298</f>
        <v>변혜진</v>
      </c>
      <c r="T301" s="61" t="str">
        <f>작성용!AG298</f>
        <v>-</v>
      </c>
      <c r="U301" s="61" t="str">
        <f>작성용!AH298</f>
        <v>-</v>
      </c>
      <c r="V301" s="56">
        <f>작성용!AA298</f>
        <v>202412</v>
      </c>
      <c r="W301" s="58" t="str">
        <f>작성용!AC298</f>
        <v>[Y]금융기관</v>
      </c>
      <c r="X301" s="58">
        <f>작성용!O298</f>
        <v>0</v>
      </c>
      <c r="Y301" s="58">
        <f>작성용!P298</f>
        <v>0</v>
      </c>
      <c r="Z301" s="58">
        <f>작성용!Q298</f>
        <v>0</v>
      </c>
      <c r="AA301" s="56" t="str">
        <f>작성용!AJ298</f>
        <v>-</v>
      </c>
      <c r="AB301" s="56">
        <f>작성용!AB298</f>
        <v>0</v>
      </c>
    </row>
    <row r="302" spans="1:28" s="12" customFormat="1" ht="16.5" hidden="1" customHeight="1" x14ac:dyDescent="0.3">
      <c r="A302" s="54">
        <f>작성용!AL299</f>
        <v>298</v>
      </c>
      <c r="B302" s="55" t="str">
        <f>작성용!AI299</f>
        <v>-</v>
      </c>
      <c r="C302" s="56" t="str">
        <f>작성용!AK299</f>
        <v>개별종목</v>
      </c>
      <c r="D302" s="57">
        <f>작성용!T299</f>
        <v>45554</v>
      </c>
      <c r="E302" s="58" t="str">
        <f>작성용!B299</f>
        <v>스톤브릿지캐피탈</v>
      </c>
      <c r="F302" s="58" t="str">
        <f>작성용!C299</f>
        <v>재평가</v>
      </c>
      <c r="G302" s="58" t="str">
        <f>작성용!D299</f>
        <v>Caris Life Sciences, Ltd.</v>
      </c>
      <c r="H302" s="59" t="str">
        <f>작성용!E299</f>
        <v>KBP2020090057</v>
      </c>
      <c r="I302" s="58" t="str">
        <f>작성용!F299</f>
        <v>A07</v>
      </c>
      <c r="J302" s="58">
        <f>작성용!G299</f>
        <v>1</v>
      </c>
      <c r="K302" s="58" t="str">
        <f>작성용!H299</f>
        <v>-</v>
      </c>
      <c r="L302" s="58" t="str">
        <f>작성용!N299</f>
        <v>분기</v>
      </c>
      <c r="M302" s="57" t="str">
        <f>작성용!U299</f>
        <v>2024.09.30</v>
      </c>
      <c r="N302" s="57">
        <f>작성용!V299</f>
        <v>45609</v>
      </c>
      <c r="O302" s="57">
        <f>작성용!W299</f>
        <v>45611</v>
      </c>
      <c r="P302" s="57" t="str">
        <f>작성용!X299</f>
        <v>-</v>
      </c>
      <c r="Q302" s="58" t="str">
        <f>작성용!AD299</f>
        <v>백형진</v>
      </c>
      <c r="R302" s="60">
        <f>작성용!AE299</f>
        <v>0</v>
      </c>
      <c r="S302" s="58" t="str">
        <f>작성용!AF299</f>
        <v>백형진</v>
      </c>
      <c r="T302" s="61" t="str">
        <f>작성용!AG299</f>
        <v>백형진</v>
      </c>
      <c r="U302" s="61" t="str">
        <f>작성용!AH299</f>
        <v>백형진</v>
      </c>
      <c r="V302" s="56">
        <f>작성용!AA299</f>
        <v>202411</v>
      </c>
      <c r="W302" s="58" t="str">
        <f>작성용!AC299</f>
        <v>[Y]금융기관</v>
      </c>
      <c r="X302" s="58" t="str">
        <f>작성용!O299</f>
        <v xml:space="preserve">주소영과장 </v>
      </c>
      <c r="Y302" s="58" t="str">
        <f>작성용!P299</f>
        <v xml:space="preserve">02-3496-6616 </v>
      </c>
      <c r="Z302" s="58" t="str">
        <f>작성용!Q299</f>
        <v>syju@stonebridge.co.kr</v>
      </c>
      <c r="AA302" s="56" t="str">
        <f>작성용!AJ299</f>
        <v>국민연금제출</v>
      </c>
      <c r="AB302" s="56">
        <f>작성용!AB299</f>
        <v>0</v>
      </c>
    </row>
    <row r="303" spans="1:28" s="12" customFormat="1" ht="16.5" hidden="1" customHeight="1" x14ac:dyDescent="0.3">
      <c r="A303" s="54">
        <f>작성용!AL300</f>
        <v>299</v>
      </c>
      <c r="B303" s="55" t="str">
        <f>작성용!AI300</f>
        <v>-</v>
      </c>
      <c r="C303" s="56" t="str">
        <f>작성용!AK300</f>
        <v>개별종목</v>
      </c>
      <c r="D303" s="57">
        <f>작성용!T300</f>
        <v>45554</v>
      </c>
      <c r="E303" s="58" t="str">
        <f>작성용!B300</f>
        <v>스톤브릿지캐피탈</v>
      </c>
      <c r="F303" s="58" t="str">
        <f>작성용!C300</f>
        <v>재평가</v>
      </c>
      <c r="G303" s="58" t="str">
        <f>작성용!D300</f>
        <v>Caris Life Sciences, Ltd.</v>
      </c>
      <c r="H303" s="59" t="str">
        <f>작성용!E300</f>
        <v>KBP2020090057</v>
      </c>
      <c r="I303" s="58" t="str">
        <f>작성용!F300</f>
        <v>A07</v>
      </c>
      <c r="J303" s="58">
        <f>작성용!G300</f>
        <v>2</v>
      </c>
      <c r="K303" s="58" t="str">
        <f>작성용!H300</f>
        <v>-</v>
      </c>
      <c r="L303" s="58" t="str">
        <f>작성용!N300</f>
        <v>분기</v>
      </c>
      <c r="M303" s="57" t="str">
        <f>작성용!U300</f>
        <v>2024.09.30</v>
      </c>
      <c r="N303" s="57">
        <f>작성용!V300</f>
        <v>45609</v>
      </c>
      <c r="O303" s="57">
        <f>작성용!W300</f>
        <v>45611</v>
      </c>
      <c r="P303" s="57" t="str">
        <f>작성용!X300</f>
        <v>-</v>
      </c>
      <c r="Q303" s="58" t="str">
        <f>작성용!AD300</f>
        <v>백형진</v>
      </c>
      <c r="R303" s="60">
        <f>작성용!AE300</f>
        <v>0</v>
      </c>
      <c r="S303" s="58" t="str">
        <f>작성용!AF300</f>
        <v>백형진</v>
      </c>
      <c r="T303" s="61" t="str">
        <f>작성용!AG300</f>
        <v>백형진</v>
      </c>
      <c r="U303" s="61" t="str">
        <f>작성용!AH300</f>
        <v>백형진</v>
      </c>
      <c r="V303" s="56">
        <f>작성용!AA300</f>
        <v>202411</v>
      </c>
      <c r="W303" s="58" t="str">
        <f>작성용!AC300</f>
        <v>[Y]금융기관</v>
      </c>
      <c r="X303" s="58" t="str">
        <f>작성용!O300</f>
        <v xml:space="preserve">주소영과장 </v>
      </c>
      <c r="Y303" s="58" t="str">
        <f>작성용!P300</f>
        <v xml:space="preserve">02-3496-6616 </v>
      </c>
      <c r="Z303" s="58" t="str">
        <f>작성용!Q300</f>
        <v>syju@stonebridge.co.kr</v>
      </c>
      <c r="AA303" s="56" t="str">
        <f>작성용!AJ300</f>
        <v>국민연금제출</v>
      </c>
      <c r="AB303" s="56">
        <f>작성용!AB300</f>
        <v>0</v>
      </c>
    </row>
    <row r="304" spans="1:28" s="12" customFormat="1" ht="16.5" hidden="1" customHeight="1" x14ac:dyDescent="0.3">
      <c r="A304" s="54">
        <f>작성용!AL301</f>
        <v>300</v>
      </c>
      <c r="B304" s="55" t="str">
        <f>작성용!AI301</f>
        <v>-</v>
      </c>
      <c r="C304" s="56" t="str">
        <f>작성용!AK301</f>
        <v>개별종목</v>
      </c>
      <c r="D304" s="57">
        <f>작성용!T301</f>
        <v>45554</v>
      </c>
      <c r="E304" s="58" t="str">
        <f>작성용!B301</f>
        <v>스톤브릿지캐피탈</v>
      </c>
      <c r="F304" s="58" t="str">
        <f>작성용!C301</f>
        <v>신규</v>
      </c>
      <c r="G304" s="58" t="str">
        <f>작성용!D301</f>
        <v>에이스엔지니어링</v>
      </c>
      <c r="H304" s="59">
        <f>작성용!E301</f>
        <v>1101110778526</v>
      </c>
      <c r="I304" s="58" t="str">
        <f>작성용!F301</f>
        <v>A01</v>
      </c>
      <c r="J304" s="58">
        <f>작성용!G301</f>
        <v>0</v>
      </c>
      <c r="K304" s="58" t="str">
        <f>작성용!H301</f>
        <v>-</v>
      </c>
      <c r="L304" s="58" t="str">
        <f>작성용!N301</f>
        <v>분기</v>
      </c>
      <c r="M304" s="57" t="str">
        <f>작성용!U301</f>
        <v>2024.09.30</v>
      </c>
      <c r="N304" s="57">
        <f>작성용!V301</f>
        <v>45609</v>
      </c>
      <c r="O304" s="57">
        <f>작성용!W301</f>
        <v>45611</v>
      </c>
      <c r="P304" s="57" t="str">
        <f>작성용!X301</f>
        <v>-</v>
      </c>
      <c r="Q304" s="58" t="str">
        <f>작성용!AD301</f>
        <v>백형진</v>
      </c>
      <c r="R304" s="60">
        <f>작성용!AE301</f>
        <v>1</v>
      </c>
      <c r="S304" s="58" t="str">
        <f>작성용!AF301</f>
        <v>조영재</v>
      </c>
      <c r="T304" s="61" t="str">
        <f>작성용!AG301</f>
        <v>백형진</v>
      </c>
      <c r="U304" s="61" t="str">
        <f>작성용!AH301</f>
        <v>백형진</v>
      </c>
      <c r="V304" s="56">
        <f>작성용!AA301</f>
        <v>202411</v>
      </c>
      <c r="W304" s="58" t="str">
        <f>작성용!AC301</f>
        <v>[Y]금융기관</v>
      </c>
      <c r="X304" s="58" t="str">
        <f>작성용!O301</f>
        <v xml:space="preserve">주소영과장 </v>
      </c>
      <c r="Y304" s="58" t="str">
        <f>작성용!P301</f>
        <v xml:space="preserve">02-3496-6616 </v>
      </c>
      <c r="Z304" s="58" t="str">
        <f>작성용!Q301</f>
        <v>syju@stonebridge.co.kr</v>
      </c>
      <c r="AA304" s="56" t="str">
        <f>작성용!AJ301</f>
        <v>국민연금제출</v>
      </c>
      <c r="AB304" s="56">
        <f>작성용!AB301</f>
        <v>0</v>
      </c>
    </row>
    <row r="305" spans="1:28" s="12" customFormat="1" ht="16.5" hidden="1" customHeight="1" x14ac:dyDescent="0.3">
      <c r="A305" s="54">
        <f>작성용!AL302</f>
        <v>301</v>
      </c>
      <c r="B305" s="55" t="str">
        <f>작성용!AI302</f>
        <v>-</v>
      </c>
      <c r="C305" s="56" t="str">
        <f>작성용!AK302</f>
        <v>개별종목</v>
      </c>
      <c r="D305" s="57">
        <f>작성용!T302</f>
        <v>45554</v>
      </c>
      <c r="E305" s="58" t="str">
        <f>작성용!B302</f>
        <v>스톤브릿지캐피탈</v>
      </c>
      <c r="F305" s="58" t="str">
        <f>작성용!C302</f>
        <v>신규</v>
      </c>
      <c r="G305" s="58" t="str">
        <f>작성용!D302</f>
        <v>코렌스이엠</v>
      </c>
      <c r="H305" s="59">
        <f>작성용!E302</f>
        <v>1801111241388</v>
      </c>
      <c r="I305" s="58" t="str">
        <f>작성용!F302</f>
        <v>A01</v>
      </c>
      <c r="J305" s="58">
        <f>작성용!G302</f>
        <v>0</v>
      </c>
      <c r="K305" s="58" t="str">
        <f>작성용!H302</f>
        <v>-</v>
      </c>
      <c r="L305" s="58" t="str">
        <f>작성용!N302</f>
        <v>분기</v>
      </c>
      <c r="M305" s="57" t="str">
        <f>작성용!U302</f>
        <v>2024.09.30</v>
      </c>
      <c r="N305" s="57">
        <f>작성용!V302</f>
        <v>45609</v>
      </c>
      <c r="O305" s="57">
        <f>작성용!W302</f>
        <v>45611</v>
      </c>
      <c r="P305" s="57" t="str">
        <f>작성용!X302</f>
        <v>-</v>
      </c>
      <c r="Q305" s="58" t="str">
        <f>작성용!AD302</f>
        <v>최수민</v>
      </c>
      <c r="R305" s="60">
        <f>작성용!AE302</f>
        <v>1</v>
      </c>
      <c r="S305" s="58" t="str">
        <f>작성용!AF302</f>
        <v>최수민</v>
      </c>
      <c r="T305" s="61" t="str">
        <f>작성용!AG302</f>
        <v>백형진</v>
      </c>
      <c r="U305" s="61" t="str">
        <f>작성용!AH302</f>
        <v>백형진</v>
      </c>
      <c r="V305" s="56">
        <f>작성용!AA302</f>
        <v>202411</v>
      </c>
      <c r="W305" s="58" t="str">
        <f>작성용!AC302</f>
        <v>[Y]금융기관</v>
      </c>
      <c r="X305" s="58" t="str">
        <f>작성용!O302</f>
        <v xml:space="preserve">주소영과장 </v>
      </c>
      <c r="Y305" s="58" t="str">
        <f>작성용!P302</f>
        <v xml:space="preserve">02-3496-6616 </v>
      </c>
      <c r="Z305" s="58" t="str">
        <f>작성용!Q302</f>
        <v>syju@stonebridge.co.kr</v>
      </c>
      <c r="AA305" s="56" t="str">
        <f>작성용!AJ302</f>
        <v>국민연금제출</v>
      </c>
      <c r="AB305" s="56">
        <f>작성용!AB302</f>
        <v>0</v>
      </c>
    </row>
    <row r="306" spans="1:28" s="12" customFormat="1" ht="16.5" hidden="1" customHeight="1" x14ac:dyDescent="0.3">
      <c r="A306" s="54">
        <f>작성용!AL303</f>
        <v>302</v>
      </c>
      <c r="B306" s="55" t="str">
        <f>작성용!AI303</f>
        <v>-</v>
      </c>
      <c r="C306" s="56" t="str">
        <f>작성용!AK303</f>
        <v>개별종목</v>
      </c>
      <c r="D306" s="57">
        <f>작성용!T303</f>
        <v>45554</v>
      </c>
      <c r="E306" s="58" t="str">
        <f>작성용!B303</f>
        <v>스톤브릿지캐피탈</v>
      </c>
      <c r="F306" s="58" t="str">
        <f>작성용!C303</f>
        <v>신규</v>
      </c>
      <c r="G306" s="58" t="str">
        <f>작성용!D303</f>
        <v>코렌스이엠</v>
      </c>
      <c r="H306" s="59">
        <f>작성용!E303</f>
        <v>1801111241388</v>
      </c>
      <c r="I306" s="58" t="str">
        <f>작성용!F303</f>
        <v>D02</v>
      </c>
      <c r="J306" s="58">
        <f>작성용!G303</f>
        <v>0</v>
      </c>
      <c r="K306" s="58" t="str">
        <f>작성용!H303</f>
        <v>-</v>
      </c>
      <c r="L306" s="58" t="str">
        <f>작성용!N303</f>
        <v>분기</v>
      </c>
      <c r="M306" s="57" t="str">
        <f>작성용!U303</f>
        <v>2024.09.30</v>
      </c>
      <c r="N306" s="57">
        <f>작성용!V303</f>
        <v>45609</v>
      </c>
      <c r="O306" s="57">
        <f>작성용!W303</f>
        <v>45611</v>
      </c>
      <c r="P306" s="57" t="str">
        <f>작성용!X303</f>
        <v>-</v>
      </c>
      <c r="Q306" s="58" t="str">
        <f>작성용!AD303</f>
        <v>최수민</v>
      </c>
      <c r="R306" s="60">
        <f>작성용!AE303</f>
        <v>0</v>
      </c>
      <c r="S306" s="58" t="str">
        <f>작성용!AF303</f>
        <v>최수민</v>
      </c>
      <c r="T306" s="61" t="str">
        <f>작성용!AG303</f>
        <v>백형진</v>
      </c>
      <c r="U306" s="61" t="str">
        <f>작성용!AH303</f>
        <v>백형진</v>
      </c>
      <c r="V306" s="56">
        <f>작성용!AA303</f>
        <v>202411</v>
      </c>
      <c r="W306" s="58" t="str">
        <f>작성용!AC303</f>
        <v>[Y]금융기관</v>
      </c>
      <c r="X306" s="58" t="str">
        <f>작성용!O303</f>
        <v xml:space="preserve">주소영과장 </v>
      </c>
      <c r="Y306" s="58" t="str">
        <f>작성용!P303</f>
        <v xml:space="preserve">02-3496-6616 </v>
      </c>
      <c r="Z306" s="58" t="str">
        <f>작성용!Q303</f>
        <v>syju@stonebridge.co.kr</v>
      </c>
      <c r="AA306" s="56" t="str">
        <f>작성용!AJ303</f>
        <v>국민연금제출</v>
      </c>
      <c r="AB306" s="56">
        <f>작성용!AB303</f>
        <v>0</v>
      </c>
    </row>
    <row r="307" spans="1:28" s="12" customFormat="1" ht="16.5" hidden="1" customHeight="1" x14ac:dyDescent="0.3">
      <c r="A307" s="54">
        <f>작성용!AL304</f>
        <v>303</v>
      </c>
      <c r="B307" s="55" t="str">
        <f>작성용!AI304</f>
        <v>-</v>
      </c>
      <c r="C307" s="56" t="str">
        <f>작성용!AK304</f>
        <v>개별종목</v>
      </c>
      <c r="D307" s="57">
        <f>작성용!T304</f>
        <v>45554</v>
      </c>
      <c r="E307" s="58" t="str">
        <f>작성용!B304</f>
        <v>스톤브릿지캐피탈</v>
      </c>
      <c r="F307" s="58" t="str">
        <f>작성용!C304</f>
        <v>재평가</v>
      </c>
      <c r="G307" s="58" t="str">
        <f>작성용!D304</f>
        <v>무신사</v>
      </c>
      <c r="H307" s="59">
        <f>작성용!E304</f>
        <v>1101114898916</v>
      </c>
      <c r="I307" s="58" t="str">
        <f>작성용!F304</f>
        <v>A07</v>
      </c>
      <c r="J307" s="58">
        <f>작성용!G304</f>
        <v>2</v>
      </c>
      <c r="K307" s="58" t="str">
        <f>작성용!H304</f>
        <v>-</v>
      </c>
      <c r="L307" s="58" t="str">
        <f>작성용!N304</f>
        <v>분기</v>
      </c>
      <c r="M307" s="57" t="str">
        <f>작성용!U304</f>
        <v>2024.09.30</v>
      </c>
      <c r="N307" s="57">
        <f>작성용!V304</f>
        <v>45609</v>
      </c>
      <c r="O307" s="57">
        <f>작성용!W304</f>
        <v>45611</v>
      </c>
      <c r="P307" s="57" t="str">
        <f>작성용!X304</f>
        <v>-</v>
      </c>
      <c r="Q307" s="58" t="str">
        <f>작성용!AD304</f>
        <v>이문수</v>
      </c>
      <c r="R307" s="60">
        <f>작성용!AE304</f>
        <v>0</v>
      </c>
      <c r="S307" s="58" t="str">
        <f>작성용!AF304</f>
        <v>이문수</v>
      </c>
      <c r="T307" s="61" t="str">
        <f>작성용!AG304</f>
        <v>백형진</v>
      </c>
      <c r="U307" s="61" t="str">
        <f>작성용!AH304</f>
        <v>백형진</v>
      </c>
      <c r="V307" s="56">
        <f>작성용!AA304</f>
        <v>202411</v>
      </c>
      <c r="W307" s="58" t="str">
        <f>작성용!AC304</f>
        <v>[Y]금융기관</v>
      </c>
      <c r="X307" s="58" t="str">
        <f>작성용!O304</f>
        <v xml:space="preserve">주소영과장 </v>
      </c>
      <c r="Y307" s="58" t="str">
        <f>작성용!P304</f>
        <v xml:space="preserve">02-3496-6616 </v>
      </c>
      <c r="Z307" s="58" t="str">
        <f>작성용!Q304</f>
        <v>syju@stonebridge.co.kr</v>
      </c>
      <c r="AA307" s="56" t="str">
        <f>작성용!AJ304</f>
        <v>국민연금제출</v>
      </c>
      <c r="AB307" s="56">
        <f>작성용!AB304</f>
        <v>0</v>
      </c>
    </row>
    <row r="308" spans="1:28" s="12" customFormat="1" ht="16.5" hidden="1" customHeight="1" x14ac:dyDescent="0.3">
      <c r="A308" s="54">
        <f>작성용!AL305</f>
        <v>304</v>
      </c>
      <c r="B308" s="55" t="str">
        <f>작성용!AI305</f>
        <v>-</v>
      </c>
      <c r="C308" s="56" t="str">
        <f>작성용!AK305</f>
        <v>개별종목</v>
      </c>
      <c r="D308" s="57">
        <f>작성용!T305</f>
        <v>45554</v>
      </c>
      <c r="E308" s="58" t="str">
        <f>작성용!B305</f>
        <v>스톤브릿지캐피탈</v>
      </c>
      <c r="F308" s="58" t="str">
        <f>작성용!C305</f>
        <v>재평가</v>
      </c>
      <c r="G308" s="58" t="str">
        <f>작성용!D305</f>
        <v>무신사</v>
      </c>
      <c r="H308" s="59">
        <f>작성용!E305</f>
        <v>1101114898916</v>
      </c>
      <c r="I308" s="58" t="str">
        <f>작성용!F305</f>
        <v>A07</v>
      </c>
      <c r="J308" s="58">
        <f>작성용!G305</f>
        <v>22</v>
      </c>
      <c r="K308" s="58" t="str">
        <f>작성용!H305</f>
        <v>-</v>
      </c>
      <c r="L308" s="58" t="str">
        <f>작성용!N305</f>
        <v>분기</v>
      </c>
      <c r="M308" s="57" t="str">
        <f>작성용!U305</f>
        <v>2024.09.30</v>
      </c>
      <c r="N308" s="57">
        <f>작성용!V305</f>
        <v>45609</v>
      </c>
      <c r="O308" s="57">
        <f>작성용!W305</f>
        <v>45611</v>
      </c>
      <c r="P308" s="57" t="str">
        <f>작성용!X305</f>
        <v>-</v>
      </c>
      <c r="Q308" s="58" t="str">
        <f>작성용!AD305</f>
        <v>이문수</v>
      </c>
      <c r="R308" s="60">
        <f>작성용!AE305</f>
        <v>0</v>
      </c>
      <c r="S308" s="58" t="str">
        <f>작성용!AF305</f>
        <v>이문수</v>
      </c>
      <c r="T308" s="61" t="str">
        <f>작성용!AG305</f>
        <v>백형진</v>
      </c>
      <c r="U308" s="61" t="str">
        <f>작성용!AH305</f>
        <v>백형진</v>
      </c>
      <c r="V308" s="56">
        <f>작성용!AA305</f>
        <v>202411</v>
      </c>
      <c r="W308" s="58" t="str">
        <f>작성용!AC305</f>
        <v>[Y]금융기관</v>
      </c>
      <c r="X308" s="58" t="str">
        <f>작성용!O305</f>
        <v xml:space="preserve">주소영과장 </v>
      </c>
      <c r="Y308" s="58" t="str">
        <f>작성용!P305</f>
        <v xml:space="preserve">02-3496-6616 </v>
      </c>
      <c r="Z308" s="58" t="str">
        <f>작성용!Q305</f>
        <v>syju@stonebridge.co.kr</v>
      </c>
      <c r="AA308" s="56" t="str">
        <f>작성용!AJ305</f>
        <v>국민연금제출</v>
      </c>
      <c r="AB308" s="56">
        <f>작성용!AB305</f>
        <v>0</v>
      </c>
    </row>
    <row r="309" spans="1:28" s="12" customFormat="1" ht="16.5" hidden="1" customHeight="1" x14ac:dyDescent="0.3">
      <c r="A309" s="54">
        <f>작성용!AL306</f>
        <v>305</v>
      </c>
      <c r="B309" s="55" t="str">
        <f>작성용!AI306</f>
        <v>-</v>
      </c>
      <c r="C309" s="56" t="str">
        <f>작성용!AK306</f>
        <v>개별종목</v>
      </c>
      <c r="D309" s="57">
        <f>작성용!T306</f>
        <v>45554</v>
      </c>
      <c r="E309" s="58" t="str">
        <f>작성용!B306</f>
        <v>스톤브릿지캐피탈</v>
      </c>
      <c r="F309" s="58" t="str">
        <f>작성용!C306</f>
        <v>재평가</v>
      </c>
      <c r="G309" s="58" t="str">
        <f>작성용!D306</f>
        <v>메가존클라우드</v>
      </c>
      <c r="H309" s="59">
        <f>작성용!E306</f>
        <v>1101116803400</v>
      </c>
      <c r="I309" s="58" t="str">
        <f>작성용!F306</f>
        <v>A07</v>
      </c>
      <c r="J309" s="58">
        <f>작성용!G306</f>
        <v>0</v>
      </c>
      <c r="K309" s="58" t="str">
        <f>작성용!H306</f>
        <v>-</v>
      </c>
      <c r="L309" s="58" t="str">
        <f>작성용!N306</f>
        <v>분기</v>
      </c>
      <c r="M309" s="57" t="str">
        <f>작성용!U306</f>
        <v>2024.09.30</v>
      </c>
      <c r="N309" s="57">
        <f>작성용!V306</f>
        <v>45609</v>
      </c>
      <c r="O309" s="57">
        <f>작성용!W306</f>
        <v>45611</v>
      </c>
      <c r="P309" s="57" t="str">
        <f>작성용!X306</f>
        <v>-</v>
      </c>
      <c r="Q309" s="58" t="str">
        <f>작성용!AD306</f>
        <v>심태진</v>
      </c>
      <c r="R309" s="60">
        <f>작성용!AE306</f>
        <v>0</v>
      </c>
      <c r="S309" s="58" t="str">
        <f>작성용!AF306</f>
        <v>심태진</v>
      </c>
      <c r="T309" s="61" t="str">
        <f>작성용!AG306</f>
        <v>백형진</v>
      </c>
      <c r="U309" s="61" t="str">
        <f>작성용!AH306</f>
        <v>백형진</v>
      </c>
      <c r="V309" s="56">
        <f>작성용!AA306</f>
        <v>202411</v>
      </c>
      <c r="W309" s="58" t="str">
        <f>작성용!AC306</f>
        <v>[Y]금융기관</v>
      </c>
      <c r="X309" s="58" t="str">
        <f>작성용!O306</f>
        <v xml:space="preserve">주소영과장 </v>
      </c>
      <c r="Y309" s="58" t="str">
        <f>작성용!P306</f>
        <v xml:space="preserve">02-3496-6616 </v>
      </c>
      <c r="Z309" s="58" t="str">
        <f>작성용!Q306</f>
        <v>syju@stonebridge.co.kr</v>
      </c>
      <c r="AA309" s="56" t="str">
        <f>작성용!AJ306</f>
        <v>국민연금제출</v>
      </c>
      <c r="AB309" s="56">
        <f>작성용!AB306</f>
        <v>0</v>
      </c>
    </row>
    <row r="310" spans="1:28" s="12" customFormat="1" ht="16.5" hidden="1" customHeight="1" x14ac:dyDescent="0.3">
      <c r="A310" s="54">
        <f>작성용!AL307</f>
        <v>306</v>
      </c>
      <c r="B310" s="55" t="str">
        <f>작성용!AI307</f>
        <v>-</v>
      </c>
      <c r="C310" s="56" t="str">
        <f>작성용!AK307</f>
        <v>개별종목</v>
      </c>
      <c r="D310" s="57">
        <f>작성용!T307</f>
        <v>45554</v>
      </c>
      <c r="E310" s="58" t="str">
        <f>작성용!B307</f>
        <v>스톤브릿지캐피탈</v>
      </c>
      <c r="F310" s="58" t="str">
        <f>작성용!C307</f>
        <v>재평가</v>
      </c>
      <c r="G310" s="58" t="str">
        <f>작성용!D307</f>
        <v>메가존클라우드</v>
      </c>
      <c r="H310" s="59">
        <f>작성용!E307</f>
        <v>1101116803400</v>
      </c>
      <c r="I310" s="58" t="str">
        <f>작성용!F307</f>
        <v>A07</v>
      </c>
      <c r="J310" s="58">
        <f>작성용!G307</f>
        <v>1</v>
      </c>
      <c r="K310" s="58" t="str">
        <f>작성용!H307</f>
        <v>-</v>
      </c>
      <c r="L310" s="58" t="str">
        <f>작성용!N307</f>
        <v>분기</v>
      </c>
      <c r="M310" s="57" t="str">
        <f>작성용!U307</f>
        <v>2024.09.30</v>
      </c>
      <c r="N310" s="57">
        <f>작성용!V307</f>
        <v>45609</v>
      </c>
      <c r="O310" s="57">
        <f>작성용!W307</f>
        <v>45611</v>
      </c>
      <c r="P310" s="57" t="str">
        <f>작성용!X307</f>
        <v>-</v>
      </c>
      <c r="Q310" s="58" t="str">
        <f>작성용!AD307</f>
        <v>심태진</v>
      </c>
      <c r="R310" s="60">
        <f>작성용!AE307</f>
        <v>0</v>
      </c>
      <c r="S310" s="58" t="str">
        <f>작성용!AF307</f>
        <v>심태진</v>
      </c>
      <c r="T310" s="61" t="str">
        <f>작성용!AG307</f>
        <v>백형진</v>
      </c>
      <c r="U310" s="61" t="str">
        <f>작성용!AH307</f>
        <v>백형진</v>
      </c>
      <c r="V310" s="56">
        <f>작성용!AA307</f>
        <v>202411</v>
      </c>
      <c r="W310" s="58" t="str">
        <f>작성용!AC307</f>
        <v>[Y]금융기관</v>
      </c>
      <c r="X310" s="58" t="str">
        <f>작성용!O307</f>
        <v xml:space="preserve">주소영과장 </v>
      </c>
      <c r="Y310" s="58" t="str">
        <f>작성용!P307</f>
        <v xml:space="preserve">02-3496-6616 </v>
      </c>
      <c r="Z310" s="58" t="str">
        <f>작성용!Q307</f>
        <v>syju@stonebridge.co.kr</v>
      </c>
      <c r="AA310" s="56" t="str">
        <f>작성용!AJ307</f>
        <v>국민연금제출</v>
      </c>
      <c r="AB310" s="56">
        <f>작성용!AB307</f>
        <v>0</v>
      </c>
    </row>
    <row r="311" spans="1:28" s="12" customFormat="1" ht="16.5" hidden="1" customHeight="1" x14ac:dyDescent="0.3">
      <c r="A311" s="54">
        <f>작성용!AL308</f>
        <v>307</v>
      </c>
      <c r="B311" s="55" t="str">
        <f>작성용!AI308</f>
        <v>-</v>
      </c>
      <c r="C311" s="56" t="str">
        <f>작성용!AK308</f>
        <v>개별종목</v>
      </c>
      <c r="D311" s="57">
        <f>작성용!T308</f>
        <v>45554</v>
      </c>
      <c r="E311" s="58" t="str">
        <f>작성용!B308</f>
        <v>스톤브릿지캐피탈</v>
      </c>
      <c r="F311" s="58" t="str">
        <f>작성용!C308</f>
        <v>재평가</v>
      </c>
      <c r="G311" s="58" t="str">
        <f>작성용!D308</f>
        <v>베이글코드</v>
      </c>
      <c r="H311" s="59">
        <f>작성용!E308</f>
        <v>1101115024875</v>
      </c>
      <c r="I311" s="58" t="str">
        <f>작성용!F308</f>
        <v>A07</v>
      </c>
      <c r="J311" s="58">
        <f>작성용!G308</f>
        <v>0</v>
      </c>
      <c r="K311" s="58" t="str">
        <f>작성용!H308</f>
        <v>-</v>
      </c>
      <c r="L311" s="58" t="str">
        <f>작성용!N308</f>
        <v>분기</v>
      </c>
      <c r="M311" s="57" t="str">
        <f>작성용!U308</f>
        <v>2024.09.30</v>
      </c>
      <c r="N311" s="57">
        <f>작성용!V308</f>
        <v>45609</v>
      </c>
      <c r="O311" s="57">
        <f>작성용!W308</f>
        <v>45611</v>
      </c>
      <c r="P311" s="57" t="str">
        <f>작성용!X308</f>
        <v>-</v>
      </c>
      <c r="Q311" s="58" t="str">
        <f>작성용!AD308</f>
        <v>정은채</v>
      </c>
      <c r="R311" s="60">
        <f>작성용!AE308</f>
        <v>1</v>
      </c>
      <c r="S311" s="58" t="str">
        <f>작성용!AF308</f>
        <v>정은채</v>
      </c>
      <c r="T311" s="61" t="str">
        <f>작성용!AG308</f>
        <v>백형진</v>
      </c>
      <c r="U311" s="61" t="str">
        <f>작성용!AH308</f>
        <v>백형진</v>
      </c>
      <c r="V311" s="56">
        <f>작성용!AA308</f>
        <v>202411</v>
      </c>
      <c r="W311" s="58" t="str">
        <f>작성용!AC308</f>
        <v>[Y]금융기관</v>
      </c>
      <c r="X311" s="58" t="str">
        <f>작성용!O308</f>
        <v xml:space="preserve">주소영과장 </v>
      </c>
      <c r="Y311" s="58" t="str">
        <f>작성용!P308</f>
        <v xml:space="preserve">02-3496-6616 </v>
      </c>
      <c r="Z311" s="58" t="str">
        <f>작성용!Q308</f>
        <v>syju@stonebridge.co.kr</v>
      </c>
      <c r="AA311" s="56" t="str">
        <f>작성용!AJ308</f>
        <v>국민연금제출</v>
      </c>
      <c r="AB311" s="56">
        <f>작성용!AB308</f>
        <v>0</v>
      </c>
    </row>
    <row r="312" spans="1:28" s="12" customFormat="1" ht="16.5" hidden="1" customHeight="1" x14ac:dyDescent="0.3">
      <c r="A312" s="54">
        <f>작성용!AL309</f>
        <v>308</v>
      </c>
      <c r="B312" s="55" t="str">
        <f>작성용!AI309</f>
        <v>-</v>
      </c>
      <c r="C312" s="56" t="str">
        <f>작성용!AK309</f>
        <v>개별종목</v>
      </c>
      <c r="D312" s="57">
        <f>작성용!T309</f>
        <v>45554</v>
      </c>
      <c r="E312" s="58" t="str">
        <f>작성용!B309</f>
        <v>스톤브릿지캐피탈</v>
      </c>
      <c r="F312" s="58" t="str">
        <f>작성용!C309</f>
        <v>재평가</v>
      </c>
      <c r="G312" s="58" t="str">
        <f>작성용!D309</f>
        <v>AK홀딩스</v>
      </c>
      <c r="H312" s="59">
        <f>작성용!E309</f>
        <v>1101110029721</v>
      </c>
      <c r="I312" s="58" t="str">
        <f>작성용!F309</f>
        <v>D01</v>
      </c>
      <c r="J312" s="58">
        <f>작성용!G309</f>
        <v>0</v>
      </c>
      <c r="K312" s="58" t="str">
        <f>작성용!H309</f>
        <v>-</v>
      </c>
      <c r="L312" s="58" t="str">
        <f>작성용!N309</f>
        <v>분기</v>
      </c>
      <c r="M312" s="57" t="str">
        <f>작성용!U309</f>
        <v>2024.09.30</v>
      </c>
      <c r="N312" s="57">
        <f>작성용!V309</f>
        <v>45609</v>
      </c>
      <c r="O312" s="57">
        <f>작성용!W309</f>
        <v>45611</v>
      </c>
      <c r="P312" s="57" t="str">
        <f>작성용!X309</f>
        <v>-</v>
      </c>
      <c r="Q312" s="58" t="str">
        <f>작성용!AD309</f>
        <v>상장</v>
      </c>
      <c r="R312" s="60">
        <f>작성용!AE309</f>
        <v>0</v>
      </c>
      <c r="S312" s="58" t="str">
        <f>작성용!AF309</f>
        <v>상장</v>
      </c>
      <c r="T312" s="61" t="str">
        <f>작성용!AG309</f>
        <v>백형진</v>
      </c>
      <c r="U312" s="61" t="str">
        <f>작성용!AH309</f>
        <v>백형진</v>
      </c>
      <c r="V312" s="56">
        <f>작성용!AA309</f>
        <v>202411</v>
      </c>
      <c r="W312" s="58" t="str">
        <f>작성용!AC309</f>
        <v>[Y]금융기관</v>
      </c>
      <c r="X312" s="58" t="str">
        <f>작성용!O309</f>
        <v xml:space="preserve">주소영과장 </v>
      </c>
      <c r="Y312" s="58" t="str">
        <f>작성용!P309</f>
        <v xml:space="preserve">02-3496-6616 </v>
      </c>
      <c r="Z312" s="58" t="str">
        <f>작성용!Q309</f>
        <v>syju@stonebridge.co.kr</v>
      </c>
      <c r="AA312" s="56" t="str">
        <f>작성용!AJ309</f>
        <v>국민연금제출</v>
      </c>
      <c r="AB312" s="56">
        <f>작성용!AB309</f>
        <v>0</v>
      </c>
    </row>
    <row r="313" spans="1:28" s="12" customFormat="1" ht="16.5" hidden="1" customHeight="1" x14ac:dyDescent="0.3">
      <c r="A313" s="54">
        <f>작성용!AL310</f>
        <v>309</v>
      </c>
      <c r="B313" s="55" t="str">
        <f>작성용!AI310</f>
        <v>-</v>
      </c>
      <c r="C313" s="56" t="str">
        <f>작성용!AK310</f>
        <v>개별종목</v>
      </c>
      <c r="D313" s="57">
        <f>작성용!T310</f>
        <v>45554</v>
      </c>
      <c r="E313" s="58" t="str">
        <f>작성용!B310</f>
        <v>스톤브릿지캐피탈</v>
      </c>
      <c r="F313" s="58" t="str">
        <f>작성용!C310</f>
        <v>재평가</v>
      </c>
      <c r="G313" s="58" t="str">
        <f>작성용!D310</f>
        <v>무신사</v>
      </c>
      <c r="H313" s="59">
        <f>작성용!E310</f>
        <v>1101114898916</v>
      </c>
      <c r="I313" s="58" t="str">
        <f>작성용!F310</f>
        <v>A01</v>
      </c>
      <c r="J313" s="58">
        <f>작성용!G310</f>
        <v>0</v>
      </c>
      <c r="K313" s="58" t="str">
        <f>작성용!H310</f>
        <v>-</v>
      </c>
      <c r="L313" s="58" t="str">
        <f>작성용!N310</f>
        <v>분기</v>
      </c>
      <c r="M313" s="57" t="str">
        <f>작성용!U310</f>
        <v>2024.09.30</v>
      </c>
      <c r="N313" s="57">
        <f>작성용!V310</f>
        <v>45609</v>
      </c>
      <c r="O313" s="57">
        <f>작성용!W310</f>
        <v>45611</v>
      </c>
      <c r="P313" s="57" t="str">
        <f>작성용!X310</f>
        <v>-</v>
      </c>
      <c r="Q313" s="58" t="str">
        <f>작성용!AD310</f>
        <v>이문수</v>
      </c>
      <c r="R313" s="60">
        <f>작성용!AE310</f>
        <v>0</v>
      </c>
      <c r="S313" s="58" t="str">
        <f>작성용!AF310</f>
        <v>이문수</v>
      </c>
      <c r="T313" s="61" t="str">
        <f>작성용!AG310</f>
        <v>백형진</v>
      </c>
      <c r="U313" s="61" t="str">
        <f>작성용!AH310</f>
        <v>백형진</v>
      </c>
      <c r="V313" s="56">
        <f>작성용!AA310</f>
        <v>202411</v>
      </c>
      <c r="W313" s="58" t="str">
        <f>작성용!AC310</f>
        <v>[Y]금융기관</v>
      </c>
      <c r="X313" s="58" t="str">
        <f>작성용!O310</f>
        <v xml:space="preserve">주소영과장 </v>
      </c>
      <c r="Y313" s="58" t="str">
        <f>작성용!P310</f>
        <v xml:space="preserve">02-3496-6616 </v>
      </c>
      <c r="Z313" s="58" t="str">
        <f>작성용!Q310</f>
        <v>syju@stonebridge.co.kr</v>
      </c>
      <c r="AA313" s="56" t="str">
        <f>작성용!AJ310</f>
        <v>국민연금제출</v>
      </c>
      <c r="AB313" s="56">
        <f>작성용!AB310</f>
        <v>0</v>
      </c>
    </row>
    <row r="314" spans="1:28" s="12" customFormat="1" ht="16.5" hidden="1" customHeight="1" x14ac:dyDescent="0.3">
      <c r="A314" s="54">
        <f>작성용!AL311</f>
        <v>310</v>
      </c>
      <c r="B314" s="55" t="str">
        <f>작성용!AI311</f>
        <v>-</v>
      </c>
      <c r="C314" s="56" t="str">
        <f>작성용!AK311</f>
        <v>개별종목</v>
      </c>
      <c r="D314" s="57">
        <f>작성용!T311</f>
        <v>45554</v>
      </c>
      <c r="E314" s="58" t="str">
        <f>작성용!B311</f>
        <v>스톤브릿지캐피탈</v>
      </c>
      <c r="F314" s="58" t="str">
        <f>작성용!C311</f>
        <v>재평가</v>
      </c>
      <c r="G314" s="58" t="str">
        <f>작성용!D311</f>
        <v>메가존클라우드</v>
      </c>
      <c r="H314" s="59">
        <f>작성용!E311</f>
        <v>1101116803400</v>
      </c>
      <c r="I314" s="58" t="str">
        <f>작성용!F311</f>
        <v>A01</v>
      </c>
      <c r="J314" s="58">
        <f>작성용!G311</f>
        <v>0</v>
      </c>
      <c r="K314" s="58" t="str">
        <f>작성용!H311</f>
        <v>-</v>
      </c>
      <c r="L314" s="58" t="str">
        <f>작성용!N311</f>
        <v>분기</v>
      </c>
      <c r="M314" s="57" t="str">
        <f>작성용!U311</f>
        <v>2024.09.30</v>
      </c>
      <c r="N314" s="57">
        <f>작성용!V311</f>
        <v>45609</v>
      </c>
      <c r="O314" s="57">
        <f>작성용!W311</f>
        <v>45611</v>
      </c>
      <c r="P314" s="57" t="str">
        <f>작성용!X311</f>
        <v>-</v>
      </c>
      <c r="Q314" s="58" t="str">
        <f>작성용!AD311</f>
        <v>심태진</v>
      </c>
      <c r="R314" s="60">
        <f>작성용!AE311</f>
        <v>0</v>
      </c>
      <c r="S314" s="58" t="str">
        <f>작성용!AF311</f>
        <v>심태진</v>
      </c>
      <c r="T314" s="61" t="str">
        <f>작성용!AG311</f>
        <v>백형진</v>
      </c>
      <c r="U314" s="61" t="str">
        <f>작성용!AH311</f>
        <v>백형진</v>
      </c>
      <c r="V314" s="56">
        <f>작성용!AA311</f>
        <v>202411</v>
      </c>
      <c r="W314" s="58" t="str">
        <f>작성용!AC311</f>
        <v>[Y]금융기관</v>
      </c>
      <c r="X314" s="58" t="str">
        <f>작성용!O311</f>
        <v xml:space="preserve">주소영과장 </v>
      </c>
      <c r="Y314" s="58" t="str">
        <f>작성용!P311</f>
        <v xml:space="preserve">02-3496-6616 </v>
      </c>
      <c r="Z314" s="58" t="str">
        <f>작성용!Q311</f>
        <v>syju@stonebridge.co.kr</v>
      </c>
      <c r="AA314" s="56" t="str">
        <f>작성용!AJ311</f>
        <v>국민연금제출</v>
      </c>
      <c r="AB314" s="56">
        <f>작성용!AB311</f>
        <v>0</v>
      </c>
    </row>
    <row r="315" spans="1:28" s="12" customFormat="1" ht="16.5" hidden="1" customHeight="1" x14ac:dyDescent="0.3">
      <c r="A315" s="54">
        <f>작성용!AL312</f>
        <v>311</v>
      </c>
      <c r="B315" s="55" t="str">
        <f>작성용!AI312</f>
        <v>-</v>
      </c>
      <c r="C315" s="56" t="str">
        <f>작성용!AK312</f>
        <v>개별종목</v>
      </c>
      <c r="D315" s="57">
        <f>작성용!T312</f>
        <v>45554</v>
      </c>
      <c r="E315" s="58" t="str">
        <f>작성용!B312</f>
        <v>스톤브릿지캐피탈</v>
      </c>
      <c r="F315" s="58" t="str">
        <f>작성용!C312</f>
        <v>재평가</v>
      </c>
      <c r="G315" s="58" t="str">
        <f>작성용!D312</f>
        <v>베이글코드</v>
      </c>
      <c r="H315" s="59">
        <f>작성용!E312</f>
        <v>1101115024875</v>
      </c>
      <c r="I315" s="58" t="str">
        <f>작성용!F312</f>
        <v>A01</v>
      </c>
      <c r="J315" s="58">
        <f>작성용!G312</f>
        <v>0</v>
      </c>
      <c r="K315" s="58" t="str">
        <f>작성용!H312</f>
        <v>-</v>
      </c>
      <c r="L315" s="58" t="str">
        <f>작성용!N312</f>
        <v>분기</v>
      </c>
      <c r="M315" s="57" t="str">
        <f>작성용!U312</f>
        <v>2024.09.30</v>
      </c>
      <c r="N315" s="57">
        <f>작성용!V312</f>
        <v>45609</v>
      </c>
      <c r="O315" s="57">
        <f>작성용!W312</f>
        <v>45611</v>
      </c>
      <c r="P315" s="57" t="str">
        <f>작성용!X312</f>
        <v>-</v>
      </c>
      <c r="Q315" s="58" t="str">
        <f>작성용!AD312</f>
        <v>정은채</v>
      </c>
      <c r="R315" s="60">
        <f>작성용!AE312</f>
        <v>0</v>
      </c>
      <c r="S315" s="58" t="str">
        <f>작성용!AF312</f>
        <v>정은채</v>
      </c>
      <c r="T315" s="61" t="str">
        <f>작성용!AG312</f>
        <v>백형진</v>
      </c>
      <c r="U315" s="61" t="str">
        <f>작성용!AH312</f>
        <v>백형진</v>
      </c>
      <c r="V315" s="56">
        <f>작성용!AA312</f>
        <v>202411</v>
      </c>
      <c r="W315" s="58" t="str">
        <f>작성용!AC312</f>
        <v>[Y]금융기관</v>
      </c>
      <c r="X315" s="58" t="str">
        <f>작성용!O312</f>
        <v xml:space="preserve">주소영과장 </v>
      </c>
      <c r="Y315" s="58" t="str">
        <f>작성용!P312</f>
        <v xml:space="preserve">02-3496-6616 </v>
      </c>
      <c r="Z315" s="58" t="str">
        <f>작성용!Q312</f>
        <v>syju@stonebridge.co.kr</v>
      </c>
      <c r="AA315" s="56" t="str">
        <f>작성용!AJ312</f>
        <v>국민연금제출</v>
      </c>
      <c r="AB315" s="56">
        <f>작성용!AB312</f>
        <v>0</v>
      </c>
    </row>
    <row r="316" spans="1:28" s="12" customFormat="1" ht="16.5" hidden="1" customHeight="1" x14ac:dyDescent="0.3">
      <c r="A316" s="54">
        <f>작성용!AL313</f>
        <v>312</v>
      </c>
      <c r="B316" s="55" t="str">
        <f>작성용!AI313</f>
        <v>-</v>
      </c>
      <c r="C316" s="56" t="str">
        <f>작성용!AK313</f>
        <v>개별종목</v>
      </c>
      <c r="D316" s="57">
        <f>작성용!T313</f>
        <v>45573</v>
      </c>
      <c r="E316" s="58" t="str">
        <f>작성용!B313</f>
        <v>티에스인베스트먼트</v>
      </c>
      <c r="F316" s="58" t="str">
        <f>작성용!C313</f>
        <v>재평가</v>
      </c>
      <c r="G316" s="58" t="str">
        <f>작성용!D313</f>
        <v>디피씨</v>
      </c>
      <c r="H316" s="59">
        <f>작성용!E313</f>
        <v>1314110519721</v>
      </c>
      <c r="I316" s="58" t="str">
        <f>작성용!F313</f>
        <v>A01</v>
      </c>
      <c r="J316" s="58">
        <f>작성용!G313</f>
        <v>0</v>
      </c>
      <c r="K316" s="58" t="str">
        <f>작성용!H313</f>
        <v>-</v>
      </c>
      <c r="L316" s="58" t="str">
        <f>작성용!N313</f>
        <v>연말</v>
      </c>
      <c r="M316" s="57" t="str">
        <f>작성용!U313</f>
        <v>2024.09.30</v>
      </c>
      <c r="N316" s="57">
        <f>작성용!V313</f>
        <v>45604</v>
      </c>
      <c r="O316" s="57">
        <f>작성용!W313</f>
        <v>45610</v>
      </c>
      <c r="P316" s="57" t="str">
        <f>작성용!X313</f>
        <v>-</v>
      </c>
      <c r="Q316" s="58" t="str">
        <f>작성용!AD313</f>
        <v>정은채</v>
      </c>
      <c r="R316" s="60">
        <f>작성용!AE313</f>
        <v>1</v>
      </c>
      <c r="S316" s="58" t="str">
        <f>작성용!AF313</f>
        <v>정은채</v>
      </c>
      <c r="T316" s="61" t="str">
        <f>작성용!AG313</f>
        <v>유재호</v>
      </c>
      <c r="U316" s="61" t="str">
        <f>작성용!AH313</f>
        <v>유재호</v>
      </c>
      <c r="V316" s="56">
        <f>작성용!AA313</f>
        <v>202411</v>
      </c>
      <c r="W316" s="58" t="str">
        <f>작성용!AC313</f>
        <v>[Y]금융기관</v>
      </c>
      <c r="X316" s="58" t="str">
        <f>작성용!O313</f>
        <v>관리본부임혁빈부장</v>
      </c>
      <c r="Y316" s="58" t="str">
        <f>작성용!P313</f>
        <v>02-6250-5705,010-2247-5835</v>
      </c>
      <c r="Z316" s="58" t="str">
        <f>작성용!Q313</f>
        <v>imhb@tsinvestment.co.kr; jwlee@tsinvestment.co.kr; yj.kim@tsinvestment.co.kr</v>
      </c>
      <c r="AA316" s="56" t="str">
        <f>작성용!AJ313</f>
        <v>국민연금제출</v>
      </c>
      <c r="AB316" s="56">
        <f>작성용!AB313</f>
        <v>0</v>
      </c>
    </row>
    <row r="317" spans="1:28" s="12" customFormat="1" ht="16.5" hidden="1" customHeight="1" x14ac:dyDescent="0.3">
      <c r="A317" s="54">
        <f>작성용!AL314</f>
        <v>313</v>
      </c>
      <c r="B317" s="55" t="str">
        <f>작성용!AI314</f>
        <v>-</v>
      </c>
      <c r="C317" s="56" t="str">
        <f>작성용!AK314</f>
        <v>개별종목</v>
      </c>
      <c r="D317" s="57">
        <f>작성용!T314</f>
        <v>45575</v>
      </c>
      <c r="E317" s="58" t="str">
        <f>작성용!B314</f>
        <v>아주아이비투자</v>
      </c>
      <c r="F317" s="58" t="str">
        <f>작성용!C314</f>
        <v>재평가</v>
      </c>
      <c r="G317" s="58" t="str">
        <f>작성용!D314</f>
        <v>김캐디</v>
      </c>
      <c r="H317" s="59">
        <f>작성용!E314</f>
        <v>1101117224887</v>
      </c>
      <c r="I317" s="58" t="str">
        <f>작성용!F314</f>
        <v>A07</v>
      </c>
      <c r="J317" s="58">
        <f>작성용!G314</f>
        <v>0</v>
      </c>
      <c r="K317" s="58" t="str">
        <f>작성용!H314</f>
        <v>-</v>
      </c>
      <c r="L317" s="58" t="str">
        <f>작성용!N314</f>
        <v>년</v>
      </c>
      <c r="M317" s="57" t="str">
        <f>작성용!U314</f>
        <v>2024.09.30</v>
      </c>
      <c r="N317" s="57">
        <f>작성용!V314</f>
        <v>45607</v>
      </c>
      <c r="O317" s="57">
        <f>작성용!W314</f>
        <v>45609</v>
      </c>
      <c r="P317" s="57" t="str">
        <f>작성용!X314</f>
        <v>-</v>
      </c>
      <c r="Q317" s="58" t="str">
        <f>작성용!AD314</f>
        <v>이진주</v>
      </c>
      <c r="R317" s="60">
        <f>작성용!AE314</f>
        <v>1</v>
      </c>
      <c r="S317" s="58" t="str">
        <f>작성용!AF314</f>
        <v>이진주</v>
      </c>
      <c r="T317" s="61" t="str">
        <f>작성용!AG314</f>
        <v>오수현</v>
      </c>
      <c r="U317" s="61" t="str">
        <f>작성용!AH314</f>
        <v>오수현</v>
      </c>
      <c r="V317" s="56">
        <f>작성용!AA314</f>
        <v>202411</v>
      </c>
      <c r="W317" s="58" t="str">
        <f>작성용!AC314</f>
        <v>[Y]금융기관</v>
      </c>
      <c r="X317" s="58" t="str">
        <f>작성용!O314</f>
        <v>유수지매니저</v>
      </c>
      <c r="Y317" s="58" t="str">
        <f>작성용!P314</f>
        <v>02-3451-9251</v>
      </c>
      <c r="Z317" s="58" t="str">
        <f>작성용!Q314</f>
        <v>sjyou@ajuib.co.kr</v>
      </c>
      <c r="AA317" s="56" t="str">
        <f>작성용!AJ314</f>
        <v>재무보고목적</v>
      </c>
      <c r="AB317" s="56">
        <f>작성용!AB314</f>
        <v>0</v>
      </c>
    </row>
    <row r="318" spans="1:28" s="12" customFormat="1" ht="16.5" hidden="1" customHeight="1" x14ac:dyDescent="0.3">
      <c r="A318" s="54">
        <f>작성용!AL315</f>
        <v>314</v>
      </c>
      <c r="B318" s="55" t="str">
        <f>작성용!AI315</f>
        <v>-</v>
      </c>
      <c r="C318" s="56" t="str">
        <f>작성용!AK315</f>
        <v>개별종목</v>
      </c>
      <c r="D318" s="57">
        <f>작성용!T315</f>
        <v>45575</v>
      </c>
      <c r="E318" s="58" t="str">
        <f>작성용!B315</f>
        <v>아주아이비투자</v>
      </c>
      <c r="F318" s="58" t="str">
        <f>작성용!C315</f>
        <v>재평가</v>
      </c>
      <c r="G318" s="58" t="str">
        <f>작성용!D315</f>
        <v>다안바이오테라퓨틱스</v>
      </c>
      <c r="H318" s="59">
        <f>작성용!E315</f>
        <v>1101117430616</v>
      </c>
      <c r="I318" s="58" t="str">
        <f>작성용!F315</f>
        <v>A07</v>
      </c>
      <c r="J318" s="58">
        <f>작성용!G315</f>
        <v>0</v>
      </c>
      <c r="K318" s="58" t="str">
        <f>작성용!H315</f>
        <v>-</v>
      </c>
      <c r="L318" s="58" t="str">
        <f>작성용!N315</f>
        <v>년</v>
      </c>
      <c r="M318" s="57" t="str">
        <f>작성용!U315</f>
        <v>2024.09.30</v>
      </c>
      <c r="N318" s="57">
        <f>작성용!V315</f>
        <v>45607</v>
      </c>
      <c r="O318" s="57">
        <f>작성용!W315</f>
        <v>45609</v>
      </c>
      <c r="P318" s="57" t="str">
        <f>작성용!X315</f>
        <v>-</v>
      </c>
      <c r="Q318" s="58" t="str">
        <f>작성용!AD315</f>
        <v>정재형</v>
      </c>
      <c r="R318" s="60">
        <f>작성용!AE315</f>
        <v>1</v>
      </c>
      <c r="S318" s="58" t="str">
        <f>작성용!AF315</f>
        <v>정재형</v>
      </c>
      <c r="T318" s="61" t="str">
        <f>작성용!AG315</f>
        <v>오수현</v>
      </c>
      <c r="U318" s="61" t="str">
        <f>작성용!AH315</f>
        <v>오수현</v>
      </c>
      <c r="V318" s="56">
        <f>작성용!AA315</f>
        <v>202411</v>
      </c>
      <c r="W318" s="58" t="str">
        <f>작성용!AC315</f>
        <v>[Y]금융기관</v>
      </c>
      <c r="X318" s="58" t="str">
        <f>작성용!O315</f>
        <v>유수지매니저</v>
      </c>
      <c r="Y318" s="58" t="str">
        <f>작성용!P315</f>
        <v>02-3451-9251</v>
      </c>
      <c r="Z318" s="58" t="str">
        <f>작성용!Q315</f>
        <v>sjyou@ajuib.co.kr</v>
      </c>
      <c r="AA318" s="56" t="str">
        <f>작성용!AJ315</f>
        <v>재무보고목적</v>
      </c>
      <c r="AB318" s="56">
        <f>작성용!AB315</f>
        <v>0</v>
      </c>
    </row>
    <row r="319" spans="1:28" s="12" customFormat="1" ht="16.5" hidden="1" customHeight="1" x14ac:dyDescent="0.3">
      <c r="A319" s="54">
        <f>작성용!AL316</f>
        <v>315</v>
      </c>
      <c r="B319" s="55" t="str">
        <f>작성용!AI316</f>
        <v>-</v>
      </c>
      <c r="C319" s="56" t="str">
        <f>작성용!AK316</f>
        <v>개별종목</v>
      </c>
      <c r="D319" s="57">
        <f>작성용!T316</f>
        <v>45575</v>
      </c>
      <c r="E319" s="58" t="str">
        <f>작성용!B316</f>
        <v>아주아이비투자</v>
      </c>
      <c r="F319" s="58" t="str">
        <f>작성용!C316</f>
        <v>재평가</v>
      </c>
      <c r="G319" s="58" t="str">
        <f>작성용!D316</f>
        <v>무무즈(구,씨엠아이파트너스)</v>
      </c>
      <c r="H319" s="59">
        <f>작성용!E316</f>
        <v>1101115812288</v>
      </c>
      <c r="I319" s="58" t="str">
        <f>작성용!F316</f>
        <v>A07</v>
      </c>
      <c r="J319" s="58">
        <f>작성용!G316</f>
        <v>0</v>
      </c>
      <c r="K319" s="58" t="str">
        <f>작성용!H316</f>
        <v>-</v>
      </c>
      <c r="L319" s="58" t="str">
        <f>작성용!N316</f>
        <v>년</v>
      </c>
      <c r="M319" s="57" t="str">
        <f>작성용!U316</f>
        <v>2024.09.30</v>
      </c>
      <c r="N319" s="57">
        <f>작성용!V316</f>
        <v>45607</v>
      </c>
      <c r="O319" s="57">
        <f>작성용!W316</f>
        <v>45609</v>
      </c>
      <c r="P319" s="57" t="str">
        <f>작성용!X316</f>
        <v>-</v>
      </c>
      <c r="Q319" s="58" t="str">
        <f>작성용!AD316</f>
        <v>김예림</v>
      </c>
      <c r="R319" s="60">
        <f>작성용!AE316</f>
        <v>1</v>
      </c>
      <c r="S319" s="58" t="str">
        <f>작성용!AF316</f>
        <v>김예림</v>
      </c>
      <c r="T319" s="61" t="str">
        <f>작성용!AG316</f>
        <v>오수현</v>
      </c>
      <c r="U319" s="61" t="str">
        <f>작성용!AH316</f>
        <v>오수현</v>
      </c>
      <c r="V319" s="56">
        <f>작성용!AA316</f>
        <v>202411</v>
      </c>
      <c r="W319" s="58" t="str">
        <f>작성용!AC316</f>
        <v>[Y]금융기관</v>
      </c>
      <c r="X319" s="58" t="str">
        <f>작성용!O316</f>
        <v>유수지매니저</v>
      </c>
      <c r="Y319" s="58" t="str">
        <f>작성용!P316</f>
        <v>02-3451-9251</v>
      </c>
      <c r="Z319" s="58" t="str">
        <f>작성용!Q316</f>
        <v>sjyou@ajuib.co.kr</v>
      </c>
      <c r="AA319" s="56" t="str">
        <f>작성용!AJ316</f>
        <v>재무보고목적</v>
      </c>
      <c r="AB319" s="56">
        <f>작성용!AB316</f>
        <v>0</v>
      </c>
    </row>
    <row r="320" spans="1:28" s="12" customFormat="1" ht="16.5" hidden="1" customHeight="1" x14ac:dyDescent="0.3">
      <c r="A320" s="54">
        <f>작성용!AL317</f>
        <v>316</v>
      </c>
      <c r="B320" s="55" t="str">
        <f>작성용!AI317</f>
        <v>-</v>
      </c>
      <c r="C320" s="56" t="str">
        <f>작성용!AK317</f>
        <v>개별종목</v>
      </c>
      <c r="D320" s="57">
        <f>작성용!T317</f>
        <v>45575</v>
      </c>
      <c r="E320" s="58" t="str">
        <f>작성용!B317</f>
        <v>아주아이비투자</v>
      </c>
      <c r="F320" s="58" t="str">
        <f>작성용!C317</f>
        <v>재평가</v>
      </c>
      <c r="G320" s="58" t="str">
        <f>작성용!D317</f>
        <v>무무즈(구,씨엠아이파트너스)</v>
      </c>
      <c r="H320" s="59">
        <f>작성용!E317</f>
        <v>1101115812288</v>
      </c>
      <c r="I320" s="58" t="str">
        <f>작성용!F317</f>
        <v>A01</v>
      </c>
      <c r="J320" s="58">
        <f>작성용!G317</f>
        <v>0</v>
      </c>
      <c r="K320" s="58" t="str">
        <f>작성용!H317</f>
        <v>-</v>
      </c>
      <c r="L320" s="58" t="str">
        <f>작성용!N317</f>
        <v>년</v>
      </c>
      <c r="M320" s="57" t="str">
        <f>작성용!U317</f>
        <v>2024.09.30</v>
      </c>
      <c r="N320" s="57">
        <f>작성용!V317</f>
        <v>45607</v>
      </c>
      <c r="O320" s="57">
        <f>작성용!W317</f>
        <v>45609</v>
      </c>
      <c r="P320" s="57" t="str">
        <f>작성용!X317</f>
        <v>-</v>
      </c>
      <c r="Q320" s="58" t="str">
        <f>작성용!AD317</f>
        <v>김예림</v>
      </c>
      <c r="R320" s="60">
        <f>작성용!AE317</f>
        <v>0</v>
      </c>
      <c r="S320" s="58" t="str">
        <f>작성용!AF317</f>
        <v>김예림</v>
      </c>
      <c r="T320" s="61" t="str">
        <f>작성용!AG317</f>
        <v>오수현</v>
      </c>
      <c r="U320" s="61" t="str">
        <f>작성용!AH317</f>
        <v>오수현</v>
      </c>
      <c r="V320" s="56">
        <f>작성용!AA317</f>
        <v>202411</v>
      </c>
      <c r="W320" s="58" t="str">
        <f>작성용!AC317</f>
        <v>[Y]금융기관</v>
      </c>
      <c r="X320" s="58" t="str">
        <f>작성용!O317</f>
        <v>유수지매니저</v>
      </c>
      <c r="Y320" s="58" t="str">
        <f>작성용!P317</f>
        <v>02-3451-9251</v>
      </c>
      <c r="Z320" s="58" t="str">
        <f>작성용!Q317</f>
        <v>sjyou@ajuib.co.kr</v>
      </c>
      <c r="AA320" s="56" t="str">
        <f>작성용!AJ317</f>
        <v>재무보고목적</v>
      </c>
      <c r="AB320" s="56">
        <f>작성용!AB317</f>
        <v>0</v>
      </c>
    </row>
    <row r="321" spans="1:28" s="12" customFormat="1" ht="16.5" hidden="1" customHeight="1" x14ac:dyDescent="0.3">
      <c r="A321" s="54">
        <f>작성용!AL318</f>
        <v>317</v>
      </c>
      <c r="B321" s="55" t="str">
        <f>작성용!AI318</f>
        <v>-</v>
      </c>
      <c r="C321" s="56" t="str">
        <f>작성용!AK318</f>
        <v>개별종목</v>
      </c>
      <c r="D321" s="57">
        <f>작성용!T318</f>
        <v>45575</v>
      </c>
      <c r="E321" s="58" t="str">
        <f>작성용!B318</f>
        <v>아주아이비투자</v>
      </c>
      <c r="F321" s="58" t="str">
        <f>작성용!C318</f>
        <v>재평가</v>
      </c>
      <c r="G321" s="58" t="str">
        <f>작성용!D318</f>
        <v>무무즈(구,씨엠아이파트너스)</v>
      </c>
      <c r="H321" s="59">
        <f>작성용!E318</f>
        <v>1101115812288</v>
      </c>
      <c r="I321" s="58" t="str">
        <f>작성용!F318</f>
        <v>A05</v>
      </c>
      <c r="J321" s="58">
        <f>작성용!G318</f>
        <v>0</v>
      </c>
      <c r="K321" s="58" t="str">
        <f>작성용!H318</f>
        <v>-</v>
      </c>
      <c r="L321" s="58" t="str">
        <f>작성용!N318</f>
        <v>년</v>
      </c>
      <c r="M321" s="57" t="str">
        <f>작성용!U318</f>
        <v>2024.09.30</v>
      </c>
      <c r="N321" s="57">
        <f>작성용!V318</f>
        <v>45607</v>
      </c>
      <c r="O321" s="57">
        <f>작성용!W318</f>
        <v>45609</v>
      </c>
      <c r="P321" s="57" t="str">
        <f>작성용!X318</f>
        <v>-</v>
      </c>
      <c r="Q321" s="58" t="str">
        <f>작성용!AD318</f>
        <v>김예림</v>
      </c>
      <c r="R321" s="60">
        <f>작성용!AE318</f>
        <v>0</v>
      </c>
      <c r="S321" s="58" t="str">
        <f>작성용!AF318</f>
        <v>김예림</v>
      </c>
      <c r="T321" s="61" t="str">
        <f>작성용!AG318</f>
        <v>오수현</v>
      </c>
      <c r="U321" s="61" t="str">
        <f>작성용!AH318</f>
        <v>오수현</v>
      </c>
      <c r="V321" s="56">
        <f>작성용!AA318</f>
        <v>202411</v>
      </c>
      <c r="W321" s="58" t="str">
        <f>작성용!AC318</f>
        <v>[Y]금융기관</v>
      </c>
      <c r="X321" s="58" t="str">
        <f>작성용!O318</f>
        <v>유수지매니저</v>
      </c>
      <c r="Y321" s="58" t="str">
        <f>작성용!P318</f>
        <v>02-3451-9251</v>
      </c>
      <c r="Z321" s="58" t="str">
        <f>작성용!Q318</f>
        <v>sjyou@ajuib.co.kr</v>
      </c>
      <c r="AA321" s="56" t="str">
        <f>작성용!AJ318</f>
        <v>재무보고목적</v>
      </c>
      <c r="AB321" s="56">
        <f>작성용!AB318</f>
        <v>0</v>
      </c>
    </row>
    <row r="322" spans="1:28" s="12" customFormat="1" ht="16.5" hidden="1" customHeight="1" x14ac:dyDescent="0.3">
      <c r="A322" s="54">
        <f>작성용!AL319</f>
        <v>318</v>
      </c>
      <c r="B322" s="55" t="str">
        <f>작성용!AI319</f>
        <v>-</v>
      </c>
      <c r="C322" s="56" t="str">
        <f>작성용!AK319</f>
        <v>개별종목</v>
      </c>
      <c r="D322" s="57">
        <f>작성용!T319</f>
        <v>45575</v>
      </c>
      <c r="E322" s="58" t="str">
        <f>작성용!B319</f>
        <v>아주아이비투자</v>
      </c>
      <c r="F322" s="58" t="str">
        <f>작성용!C319</f>
        <v>재평가</v>
      </c>
      <c r="G322" s="58" t="str">
        <f>작성용!D319</f>
        <v>바잇미</v>
      </c>
      <c r="H322" s="59">
        <f>작성용!E319</f>
        <v>1101116414611</v>
      </c>
      <c r="I322" s="58" t="str">
        <f>작성용!F319</f>
        <v>A07</v>
      </c>
      <c r="J322" s="58">
        <f>작성용!G319</f>
        <v>1</v>
      </c>
      <c r="K322" s="58" t="str">
        <f>작성용!H319</f>
        <v>-</v>
      </c>
      <c r="L322" s="58" t="str">
        <f>작성용!N319</f>
        <v>년</v>
      </c>
      <c r="M322" s="57" t="str">
        <f>작성용!U319</f>
        <v>2024.09.30</v>
      </c>
      <c r="N322" s="57">
        <f>작성용!V319</f>
        <v>45607</v>
      </c>
      <c r="O322" s="57">
        <f>작성용!W319</f>
        <v>45609</v>
      </c>
      <c r="P322" s="57" t="str">
        <f>작성용!X319</f>
        <v>-</v>
      </c>
      <c r="Q322" s="58" t="str">
        <f>작성용!AD319</f>
        <v>서경덕</v>
      </c>
      <c r="R322" s="60">
        <f>작성용!AE319</f>
        <v>1</v>
      </c>
      <c r="S322" s="58" t="str">
        <f>작성용!AF319</f>
        <v>서경덕</v>
      </c>
      <c r="T322" s="61" t="str">
        <f>작성용!AG319</f>
        <v>오수현</v>
      </c>
      <c r="U322" s="61" t="str">
        <f>작성용!AH319</f>
        <v>오수현</v>
      </c>
      <c r="V322" s="56">
        <f>작성용!AA319</f>
        <v>202411</v>
      </c>
      <c r="W322" s="58" t="str">
        <f>작성용!AC319</f>
        <v>[Y]금융기관</v>
      </c>
      <c r="X322" s="58" t="str">
        <f>작성용!O319</f>
        <v>유수지매니저</v>
      </c>
      <c r="Y322" s="58" t="str">
        <f>작성용!P319</f>
        <v>02-3451-9251</v>
      </c>
      <c r="Z322" s="58" t="str">
        <f>작성용!Q319</f>
        <v>sjyou@ajuib.co.kr</v>
      </c>
      <c r="AA322" s="56" t="str">
        <f>작성용!AJ319</f>
        <v>재무보고목적</v>
      </c>
      <c r="AB322" s="56">
        <f>작성용!AB319</f>
        <v>0</v>
      </c>
    </row>
    <row r="323" spans="1:28" s="12" customFormat="1" ht="16.5" hidden="1" customHeight="1" x14ac:dyDescent="0.3">
      <c r="A323" s="54">
        <f>작성용!AL320</f>
        <v>319</v>
      </c>
      <c r="B323" s="55" t="str">
        <f>작성용!AI320</f>
        <v>-</v>
      </c>
      <c r="C323" s="56" t="str">
        <f>작성용!AK320</f>
        <v>개별종목</v>
      </c>
      <c r="D323" s="57">
        <f>작성용!T320</f>
        <v>45575</v>
      </c>
      <c r="E323" s="58" t="str">
        <f>작성용!B320</f>
        <v>아주아이비투자</v>
      </c>
      <c r="F323" s="58" t="str">
        <f>작성용!C320</f>
        <v>재평가</v>
      </c>
      <c r="G323" s="58" t="str">
        <f>작성용!D320</f>
        <v>바잇미</v>
      </c>
      <c r="H323" s="59">
        <f>작성용!E320</f>
        <v>1101116414611</v>
      </c>
      <c r="I323" s="58" t="str">
        <f>작성용!F320</f>
        <v>A01</v>
      </c>
      <c r="J323" s="58">
        <f>작성용!G320</f>
        <v>0</v>
      </c>
      <c r="K323" s="58" t="str">
        <f>작성용!H320</f>
        <v>-</v>
      </c>
      <c r="L323" s="58" t="str">
        <f>작성용!N320</f>
        <v>년</v>
      </c>
      <c r="M323" s="57" t="str">
        <f>작성용!U320</f>
        <v>2024.09.30</v>
      </c>
      <c r="N323" s="57">
        <f>작성용!V320</f>
        <v>45607</v>
      </c>
      <c r="O323" s="57">
        <f>작성용!W320</f>
        <v>45609</v>
      </c>
      <c r="P323" s="57" t="str">
        <f>작성용!X320</f>
        <v>-</v>
      </c>
      <c r="Q323" s="58" t="str">
        <f>작성용!AD320</f>
        <v>서경덕</v>
      </c>
      <c r="R323" s="60">
        <f>작성용!AE320</f>
        <v>0</v>
      </c>
      <c r="S323" s="58" t="str">
        <f>작성용!AF320</f>
        <v>서경덕</v>
      </c>
      <c r="T323" s="61" t="str">
        <f>작성용!AG320</f>
        <v>오수현</v>
      </c>
      <c r="U323" s="61" t="str">
        <f>작성용!AH320</f>
        <v>오수현</v>
      </c>
      <c r="V323" s="56">
        <f>작성용!AA320</f>
        <v>202411</v>
      </c>
      <c r="W323" s="58" t="str">
        <f>작성용!AC320</f>
        <v>[Y]금융기관</v>
      </c>
      <c r="X323" s="58" t="str">
        <f>작성용!O320</f>
        <v>유수지매니저</v>
      </c>
      <c r="Y323" s="58" t="str">
        <f>작성용!P320</f>
        <v>02-3451-9251</v>
      </c>
      <c r="Z323" s="58" t="str">
        <f>작성용!Q320</f>
        <v>sjyou@ajuib.co.kr</v>
      </c>
      <c r="AA323" s="56" t="str">
        <f>작성용!AJ320</f>
        <v>재무보고목적</v>
      </c>
      <c r="AB323" s="56">
        <f>작성용!AB320</f>
        <v>0</v>
      </c>
    </row>
    <row r="324" spans="1:28" s="12" customFormat="1" ht="16.5" hidden="1" customHeight="1" x14ac:dyDescent="0.3">
      <c r="A324" s="54">
        <f>작성용!AL321</f>
        <v>320</v>
      </c>
      <c r="B324" s="55" t="str">
        <f>작성용!AI321</f>
        <v>-</v>
      </c>
      <c r="C324" s="56" t="str">
        <f>작성용!AK321</f>
        <v>개별종목</v>
      </c>
      <c r="D324" s="57">
        <f>작성용!T321</f>
        <v>45575</v>
      </c>
      <c r="E324" s="58" t="str">
        <f>작성용!B321</f>
        <v>아주아이비투자</v>
      </c>
      <c r="F324" s="58" t="str">
        <f>작성용!C321</f>
        <v>재평가</v>
      </c>
      <c r="G324" s="58" t="str">
        <f>작성용!D321</f>
        <v>베이스</v>
      </c>
      <c r="H324" s="59">
        <f>작성용!E321</f>
        <v>1344110020923</v>
      </c>
      <c r="I324" s="58" t="str">
        <f>작성용!F321</f>
        <v>A01</v>
      </c>
      <c r="J324" s="58">
        <f>작성용!G321</f>
        <v>0</v>
      </c>
      <c r="K324" s="58" t="str">
        <f>작성용!H321</f>
        <v>-</v>
      </c>
      <c r="L324" s="58" t="str">
        <f>작성용!N321</f>
        <v>년</v>
      </c>
      <c r="M324" s="57" t="str">
        <f>작성용!U321</f>
        <v>2024.09.30</v>
      </c>
      <c r="N324" s="57">
        <f>작성용!V321</f>
        <v>45607</v>
      </c>
      <c r="O324" s="57">
        <f>작성용!W321</f>
        <v>45609</v>
      </c>
      <c r="P324" s="57" t="str">
        <f>작성용!X321</f>
        <v>-</v>
      </c>
      <c r="Q324" s="58" t="str">
        <f>작성용!AD321</f>
        <v>변혜진</v>
      </c>
      <c r="R324" s="60">
        <f>작성용!AE321</f>
        <v>1</v>
      </c>
      <c r="S324" s="58" t="str">
        <f>작성용!AF321</f>
        <v>변혜진</v>
      </c>
      <c r="T324" s="61" t="str">
        <f>작성용!AG321</f>
        <v>오수현</v>
      </c>
      <c r="U324" s="61" t="str">
        <f>작성용!AH321</f>
        <v>오수현</v>
      </c>
      <c r="V324" s="56">
        <f>작성용!AA321</f>
        <v>202411</v>
      </c>
      <c r="W324" s="58" t="str">
        <f>작성용!AC321</f>
        <v>[Y]금융기관</v>
      </c>
      <c r="X324" s="58" t="str">
        <f>작성용!O321</f>
        <v>유수지매니저</v>
      </c>
      <c r="Y324" s="58" t="str">
        <f>작성용!P321</f>
        <v>02-3451-9251</v>
      </c>
      <c r="Z324" s="58" t="str">
        <f>작성용!Q321</f>
        <v>sjyou@ajuib.co.kr</v>
      </c>
      <c r="AA324" s="56" t="str">
        <f>작성용!AJ321</f>
        <v>재무보고목적</v>
      </c>
      <c r="AB324" s="56">
        <f>작성용!AB321</f>
        <v>0</v>
      </c>
    </row>
    <row r="325" spans="1:28" s="12" customFormat="1" ht="16.5" hidden="1" customHeight="1" x14ac:dyDescent="0.3">
      <c r="A325" s="54">
        <f>작성용!AL322</f>
        <v>321</v>
      </c>
      <c r="B325" s="55" t="str">
        <f>작성용!AI322</f>
        <v>-</v>
      </c>
      <c r="C325" s="56" t="str">
        <f>작성용!AK322</f>
        <v>개별종목</v>
      </c>
      <c r="D325" s="57">
        <f>작성용!T322</f>
        <v>45575</v>
      </c>
      <c r="E325" s="58" t="str">
        <f>작성용!B322</f>
        <v>아주아이비투자</v>
      </c>
      <c r="F325" s="58" t="str">
        <f>작성용!C322</f>
        <v>신규</v>
      </c>
      <c r="G325" s="58" t="str">
        <f>작성용!D322</f>
        <v>보백씨엔에스</v>
      </c>
      <c r="H325" s="59">
        <f>작성용!E322</f>
        <v>1752110036727</v>
      </c>
      <c r="I325" s="58" t="str">
        <f>작성용!F322</f>
        <v>A07</v>
      </c>
      <c r="J325" s="58">
        <f>작성용!G322</f>
        <v>1</v>
      </c>
      <c r="K325" s="58" t="str">
        <f>작성용!H322</f>
        <v>-</v>
      </c>
      <c r="L325" s="58" t="str">
        <f>작성용!N322</f>
        <v>년</v>
      </c>
      <c r="M325" s="57" t="str">
        <f>작성용!U322</f>
        <v>2024.09.30</v>
      </c>
      <c r="N325" s="57">
        <f>작성용!V322</f>
        <v>45607</v>
      </c>
      <c r="O325" s="57">
        <f>작성용!W322</f>
        <v>45609</v>
      </c>
      <c r="P325" s="57" t="str">
        <f>작성용!X322</f>
        <v>-</v>
      </c>
      <c r="Q325" s="58" t="str">
        <f>작성용!AD322</f>
        <v>강승현</v>
      </c>
      <c r="R325" s="60">
        <f>작성용!AE322</f>
        <v>1</v>
      </c>
      <c r="S325" s="58" t="str">
        <f>작성용!AF322</f>
        <v>강승현</v>
      </c>
      <c r="T325" s="61" t="str">
        <f>작성용!AG322</f>
        <v>오수현</v>
      </c>
      <c r="U325" s="61" t="str">
        <f>작성용!AH322</f>
        <v>오수현</v>
      </c>
      <c r="V325" s="56">
        <f>작성용!AA322</f>
        <v>202411</v>
      </c>
      <c r="W325" s="58" t="str">
        <f>작성용!AC322</f>
        <v>[Y]금융기관</v>
      </c>
      <c r="X325" s="58" t="str">
        <f>작성용!O322</f>
        <v>유수지매니저</v>
      </c>
      <c r="Y325" s="58" t="str">
        <f>작성용!P322</f>
        <v>02-3451-9251</v>
      </c>
      <c r="Z325" s="58" t="str">
        <f>작성용!Q322</f>
        <v>sjyou@ajuib.co.kr</v>
      </c>
      <c r="AA325" s="56" t="str">
        <f>작성용!AJ322</f>
        <v>재무보고목적</v>
      </c>
      <c r="AB325" s="56">
        <f>작성용!AB322</f>
        <v>0</v>
      </c>
    </row>
    <row r="326" spans="1:28" s="12" customFormat="1" ht="16.5" hidden="1" customHeight="1" x14ac:dyDescent="0.3">
      <c r="A326" s="54">
        <f>작성용!AL323</f>
        <v>322</v>
      </c>
      <c r="B326" s="55" t="str">
        <f>작성용!AI323</f>
        <v>-</v>
      </c>
      <c r="C326" s="56" t="str">
        <f>작성용!AK323</f>
        <v>개별종목</v>
      </c>
      <c r="D326" s="57">
        <f>작성용!T323</f>
        <v>45575</v>
      </c>
      <c r="E326" s="58" t="str">
        <f>작성용!B323</f>
        <v>아주아이비투자</v>
      </c>
      <c r="F326" s="58" t="str">
        <f>작성용!C323</f>
        <v>재평가</v>
      </c>
      <c r="G326" s="58" t="str">
        <f>작성용!D323</f>
        <v>부스트이뮨</v>
      </c>
      <c r="H326" s="59">
        <f>작성용!E323</f>
        <v>1311110621184</v>
      </c>
      <c r="I326" s="58" t="str">
        <f>작성용!F323</f>
        <v>A07</v>
      </c>
      <c r="J326" s="58">
        <f>작성용!G323</f>
        <v>0</v>
      </c>
      <c r="K326" s="58" t="str">
        <f>작성용!H323</f>
        <v>-</v>
      </c>
      <c r="L326" s="58" t="str">
        <f>작성용!N323</f>
        <v>년</v>
      </c>
      <c r="M326" s="57" t="str">
        <f>작성용!U323</f>
        <v>2024.09.30</v>
      </c>
      <c r="N326" s="57">
        <f>작성용!V323</f>
        <v>45607</v>
      </c>
      <c r="O326" s="57">
        <f>작성용!W323</f>
        <v>45609</v>
      </c>
      <c r="P326" s="57" t="str">
        <f>작성용!X323</f>
        <v>-</v>
      </c>
      <c r="Q326" s="58" t="str">
        <f>작성용!AD323</f>
        <v>심태진</v>
      </c>
      <c r="R326" s="60">
        <f>작성용!AE323</f>
        <v>1</v>
      </c>
      <c r="S326" s="58" t="str">
        <f>작성용!AF323</f>
        <v>심태진</v>
      </c>
      <c r="T326" s="61" t="str">
        <f>작성용!AG323</f>
        <v>오수현</v>
      </c>
      <c r="U326" s="61" t="str">
        <f>작성용!AH323</f>
        <v>오수현</v>
      </c>
      <c r="V326" s="56">
        <f>작성용!AA323</f>
        <v>202411</v>
      </c>
      <c r="W326" s="58" t="str">
        <f>작성용!AC323</f>
        <v>[Y]금융기관</v>
      </c>
      <c r="X326" s="58" t="str">
        <f>작성용!O323</f>
        <v>유수지매니저</v>
      </c>
      <c r="Y326" s="58" t="str">
        <f>작성용!P323</f>
        <v>02-3451-9251</v>
      </c>
      <c r="Z326" s="58" t="str">
        <f>작성용!Q323</f>
        <v>sjyou@ajuib.co.kr</v>
      </c>
      <c r="AA326" s="56" t="str">
        <f>작성용!AJ323</f>
        <v>재무보고목적</v>
      </c>
      <c r="AB326" s="56">
        <f>작성용!AB323</f>
        <v>0</v>
      </c>
    </row>
    <row r="327" spans="1:28" s="12" customFormat="1" ht="16.5" hidden="1" customHeight="1" x14ac:dyDescent="0.3">
      <c r="A327" s="54">
        <f>작성용!AL324</f>
        <v>323</v>
      </c>
      <c r="B327" s="55" t="str">
        <f>작성용!AI324</f>
        <v>-</v>
      </c>
      <c r="C327" s="56" t="str">
        <f>작성용!AK324</f>
        <v>개별종목</v>
      </c>
      <c r="D327" s="57">
        <f>작성용!T324</f>
        <v>45575</v>
      </c>
      <c r="E327" s="58" t="str">
        <f>작성용!B324</f>
        <v>아주아이비투자</v>
      </c>
      <c r="F327" s="58" t="str">
        <f>작성용!C324</f>
        <v>재평가</v>
      </c>
      <c r="G327" s="58" t="str">
        <f>작성용!D324</f>
        <v>비햅틱스</v>
      </c>
      <c r="H327" s="59">
        <f>작성용!E324</f>
        <v>1601110397954</v>
      </c>
      <c r="I327" s="58" t="str">
        <f>작성용!F324</f>
        <v>A07</v>
      </c>
      <c r="J327" s="58">
        <f>작성용!G324</f>
        <v>0</v>
      </c>
      <c r="K327" s="58" t="str">
        <f>작성용!H324</f>
        <v>-</v>
      </c>
      <c r="L327" s="58" t="str">
        <f>작성용!N324</f>
        <v>년</v>
      </c>
      <c r="M327" s="57" t="str">
        <f>작성용!U324</f>
        <v>2024.09.30</v>
      </c>
      <c r="N327" s="57">
        <f>작성용!V324</f>
        <v>45607</v>
      </c>
      <c r="O327" s="57">
        <f>작성용!W324</f>
        <v>45609</v>
      </c>
      <c r="P327" s="57" t="str">
        <f>작성용!X324</f>
        <v>-</v>
      </c>
      <c r="Q327" s="58" t="str">
        <f>작성용!AD324</f>
        <v>이문수</v>
      </c>
      <c r="R327" s="60">
        <f>작성용!AE324</f>
        <v>1</v>
      </c>
      <c r="S327" s="58" t="str">
        <f>작성용!AF324</f>
        <v>이문수</v>
      </c>
      <c r="T327" s="61" t="str">
        <f>작성용!AG324</f>
        <v>오수현</v>
      </c>
      <c r="U327" s="61" t="str">
        <f>작성용!AH324</f>
        <v>오수현</v>
      </c>
      <c r="V327" s="56">
        <f>작성용!AA324</f>
        <v>202411</v>
      </c>
      <c r="W327" s="58" t="str">
        <f>작성용!AC324</f>
        <v>[Y]금융기관</v>
      </c>
      <c r="X327" s="58" t="str">
        <f>작성용!O324</f>
        <v>유수지매니저</v>
      </c>
      <c r="Y327" s="58" t="str">
        <f>작성용!P324</f>
        <v>02-3451-9251</v>
      </c>
      <c r="Z327" s="58" t="str">
        <f>작성용!Q324</f>
        <v>sjyou@ajuib.co.kr</v>
      </c>
      <c r="AA327" s="56" t="str">
        <f>작성용!AJ324</f>
        <v>재무보고목적</v>
      </c>
      <c r="AB327" s="56">
        <f>작성용!AB324</f>
        <v>0</v>
      </c>
    </row>
    <row r="328" spans="1:28" s="12" customFormat="1" ht="16.5" hidden="1" customHeight="1" x14ac:dyDescent="0.3">
      <c r="A328" s="54">
        <f>작성용!AL325</f>
        <v>324</v>
      </c>
      <c r="B328" s="55" t="str">
        <f>작성용!AI325</f>
        <v>-</v>
      </c>
      <c r="C328" s="56" t="str">
        <f>작성용!AK325</f>
        <v>개별종목</v>
      </c>
      <c r="D328" s="57">
        <f>작성용!T325</f>
        <v>45575</v>
      </c>
      <c r="E328" s="58" t="str">
        <f>작성용!B325</f>
        <v>아주아이비투자</v>
      </c>
      <c r="F328" s="58" t="str">
        <f>작성용!C325</f>
        <v>재평가</v>
      </c>
      <c r="G328" s="58" t="str">
        <f>작성용!D325</f>
        <v>비햅틱스</v>
      </c>
      <c r="H328" s="59">
        <f>작성용!E325</f>
        <v>1601110397954</v>
      </c>
      <c r="I328" s="58" t="str">
        <f>작성용!F325</f>
        <v>A07</v>
      </c>
      <c r="J328" s="58">
        <f>작성용!G325</f>
        <v>1</v>
      </c>
      <c r="K328" s="58" t="str">
        <f>작성용!H325</f>
        <v>-</v>
      </c>
      <c r="L328" s="58" t="str">
        <f>작성용!N325</f>
        <v>년</v>
      </c>
      <c r="M328" s="57" t="str">
        <f>작성용!U325</f>
        <v>2024.09.30</v>
      </c>
      <c r="N328" s="57">
        <f>작성용!V325</f>
        <v>45607</v>
      </c>
      <c r="O328" s="57">
        <f>작성용!W325</f>
        <v>45609</v>
      </c>
      <c r="P328" s="57" t="str">
        <f>작성용!X325</f>
        <v>-</v>
      </c>
      <c r="Q328" s="58" t="str">
        <f>작성용!AD325</f>
        <v>이문수</v>
      </c>
      <c r="R328" s="60">
        <f>작성용!AE325</f>
        <v>0</v>
      </c>
      <c r="S328" s="58" t="str">
        <f>작성용!AF325</f>
        <v>이문수</v>
      </c>
      <c r="T328" s="61" t="str">
        <f>작성용!AG325</f>
        <v>오수현</v>
      </c>
      <c r="U328" s="61" t="str">
        <f>작성용!AH325</f>
        <v>오수현</v>
      </c>
      <c r="V328" s="56">
        <f>작성용!AA325</f>
        <v>202411</v>
      </c>
      <c r="W328" s="58" t="str">
        <f>작성용!AC325</f>
        <v>[Y]금융기관</v>
      </c>
      <c r="X328" s="58" t="str">
        <f>작성용!O325</f>
        <v>유수지매니저</v>
      </c>
      <c r="Y328" s="58" t="str">
        <f>작성용!P325</f>
        <v>02-3451-9251</v>
      </c>
      <c r="Z328" s="58" t="str">
        <f>작성용!Q325</f>
        <v>sjyou@ajuib.co.kr</v>
      </c>
      <c r="AA328" s="56" t="str">
        <f>작성용!AJ325</f>
        <v>재무보고목적</v>
      </c>
      <c r="AB328" s="56">
        <f>작성용!AB325</f>
        <v>0</v>
      </c>
    </row>
    <row r="329" spans="1:28" s="12" customFormat="1" ht="16.5" hidden="1" customHeight="1" x14ac:dyDescent="0.3">
      <c r="A329" s="54">
        <f>작성용!AL326</f>
        <v>325</v>
      </c>
      <c r="B329" s="55" t="str">
        <f>작성용!AI326</f>
        <v>-</v>
      </c>
      <c r="C329" s="56" t="str">
        <f>작성용!AK326</f>
        <v>개별종목</v>
      </c>
      <c r="D329" s="57">
        <f>작성용!T326</f>
        <v>45575</v>
      </c>
      <c r="E329" s="58" t="str">
        <f>작성용!B326</f>
        <v>아주아이비투자</v>
      </c>
      <c r="F329" s="58" t="str">
        <f>작성용!C326</f>
        <v>재평가</v>
      </c>
      <c r="G329" s="58" t="str">
        <f>작성용!D326</f>
        <v>뽀득</v>
      </c>
      <c r="H329" s="59">
        <f>작성용!E326</f>
        <v>1101116479201</v>
      </c>
      <c r="I329" s="58" t="str">
        <f>작성용!F326</f>
        <v>A07</v>
      </c>
      <c r="J329" s="58">
        <f>작성용!G326</f>
        <v>2</v>
      </c>
      <c r="K329" s="58" t="str">
        <f>작성용!H326</f>
        <v>-</v>
      </c>
      <c r="L329" s="58" t="str">
        <f>작성용!N326</f>
        <v>년</v>
      </c>
      <c r="M329" s="57" t="str">
        <f>작성용!U326</f>
        <v>2024.09.30</v>
      </c>
      <c r="N329" s="57">
        <f>작성용!V326</f>
        <v>45607</v>
      </c>
      <c r="O329" s="57">
        <f>작성용!W326</f>
        <v>45609</v>
      </c>
      <c r="P329" s="57" t="str">
        <f>작성용!X326</f>
        <v>-</v>
      </c>
      <c r="Q329" s="58" t="str">
        <f>작성용!AD326</f>
        <v>김수현</v>
      </c>
      <c r="R329" s="60">
        <f>작성용!AE326</f>
        <v>1</v>
      </c>
      <c r="S329" s="58" t="str">
        <f>작성용!AF326</f>
        <v>김수현</v>
      </c>
      <c r="T329" s="61" t="str">
        <f>작성용!AG326</f>
        <v>오수현</v>
      </c>
      <c r="U329" s="61" t="str">
        <f>작성용!AH326</f>
        <v>오수현</v>
      </c>
      <c r="V329" s="56">
        <f>작성용!AA326</f>
        <v>202411</v>
      </c>
      <c r="W329" s="58" t="str">
        <f>작성용!AC326</f>
        <v>[Y]금융기관</v>
      </c>
      <c r="X329" s="58" t="str">
        <f>작성용!O326</f>
        <v>유수지매니저</v>
      </c>
      <c r="Y329" s="58" t="str">
        <f>작성용!P326</f>
        <v>02-3451-9251</v>
      </c>
      <c r="Z329" s="58" t="str">
        <f>작성용!Q326</f>
        <v>sjyou@ajuib.co.kr</v>
      </c>
      <c r="AA329" s="56" t="str">
        <f>작성용!AJ326</f>
        <v>재무보고목적</v>
      </c>
      <c r="AB329" s="56">
        <f>작성용!AB326</f>
        <v>0</v>
      </c>
    </row>
    <row r="330" spans="1:28" s="12" customFormat="1" ht="16.5" hidden="1" customHeight="1" x14ac:dyDescent="0.3">
      <c r="A330" s="54">
        <f>작성용!AL327</f>
        <v>326</v>
      </c>
      <c r="B330" s="55" t="str">
        <f>작성용!AI327</f>
        <v>-</v>
      </c>
      <c r="C330" s="56" t="str">
        <f>작성용!AK327</f>
        <v>개별종목</v>
      </c>
      <c r="D330" s="57">
        <f>작성용!T327</f>
        <v>45575</v>
      </c>
      <c r="E330" s="58" t="str">
        <f>작성용!B327</f>
        <v>아주아이비투자</v>
      </c>
      <c r="F330" s="58" t="str">
        <f>작성용!C327</f>
        <v>재평가</v>
      </c>
      <c r="G330" s="58" t="str">
        <f>작성용!D327</f>
        <v>삼가</v>
      </c>
      <c r="H330" s="59">
        <f>작성용!E327</f>
        <v>1101115707778</v>
      </c>
      <c r="I330" s="58" t="str">
        <f>작성용!F327</f>
        <v>A07</v>
      </c>
      <c r="J330" s="58">
        <f>작성용!G327</f>
        <v>0</v>
      </c>
      <c r="K330" s="58" t="str">
        <f>작성용!H327</f>
        <v>-</v>
      </c>
      <c r="L330" s="58" t="str">
        <f>작성용!N327</f>
        <v>년</v>
      </c>
      <c r="M330" s="57" t="str">
        <f>작성용!U327</f>
        <v>2024.09.30</v>
      </c>
      <c r="N330" s="57">
        <f>작성용!V327</f>
        <v>45607</v>
      </c>
      <c r="O330" s="57">
        <f>작성용!W327</f>
        <v>45609</v>
      </c>
      <c r="P330" s="57" t="str">
        <f>작성용!X327</f>
        <v>-</v>
      </c>
      <c r="Q330" s="58" t="str">
        <f>작성용!AD327</f>
        <v>서경덕</v>
      </c>
      <c r="R330" s="60">
        <f>작성용!AE327</f>
        <v>1</v>
      </c>
      <c r="S330" s="58" t="str">
        <f>작성용!AF327</f>
        <v>서경덕</v>
      </c>
      <c r="T330" s="61" t="str">
        <f>작성용!AG327</f>
        <v>오수현</v>
      </c>
      <c r="U330" s="61" t="str">
        <f>작성용!AH327</f>
        <v>오수현</v>
      </c>
      <c r="V330" s="56">
        <f>작성용!AA327</f>
        <v>202411</v>
      </c>
      <c r="W330" s="58" t="str">
        <f>작성용!AC327</f>
        <v>[Y]금융기관</v>
      </c>
      <c r="X330" s="58" t="str">
        <f>작성용!O327</f>
        <v>유수지매니저</v>
      </c>
      <c r="Y330" s="58" t="str">
        <f>작성용!P327</f>
        <v>02-3451-9251</v>
      </c>
      <c r="Z330" s="58" t="str">
        <f>작성용!Q327</f>
        <v>sjyou@ajuib.co.kr</v>
      </c>
      <c r="AA330" s="56" t="str">
        <f>작성용!AJ327</f>
        <v>재무보고목적</v>
      </c>
      <c r="AB330" s="56">
        <f>작성용!AB327</f>
        <v>0</v>
      </c>
    </row>
    <row r="331" spans="1:28" s="12" customFormat="1" ht="16.5" hidden="1" customHeight="1" x14ac:dyDescent="0.3">
      <c r="A331" s="54">
        <f>작성용!AL328</f>
        <v>327</v>
      </c>
      <c r="B331" s="55" t="str">
        <f>작성용!AI328</f>
        <v>-</v>
      </c>
      <c r="C331" s="56" t="str">
        <f>작성용!AK328</f>
        <v>개별종목</v>
      </c>
      <c r="D331" s="57">
        <f>작성용!T328</f>
        <v>45575</v>
      </c>
      <c r="E331" s="58" t="str">
        <f>작성용!B328</f>
        <v>아주아이비투자</v>
      </c>
      <c r="F331" s="58" t="str">
        <f>작성용!C328</f>
        <v>재평가</v>
      </c>
      <c r="G331" s="58" t="str">
        <f>작성용!D328</f>
        <v>삼가</v>
      </c>
      <c r="H331" s="59">
        <f>작성용!E328</f>
        <v>1101115707778</v>
      </c>
      <c r="I331" s="58" t="str">
        <f>작성용!F328</f>
        <v>A01</v>
      </c>
      <c r="J331" s="58">
        <f>작성용!G328</f>
        <v>0</v>
      </c>
      <c r="K331" s="58" t="str">
        <f>작성용!H328</f>
        <v>-</v>
      </c>
      <c r="L331" s="58" t="str">
        <f>작성용!N328</f>
        <v>년</v>
      </c>
      <c r="M331" s="57" t="str">
        <f>작성용!U328</f>
        <v>2024.09.30</v>
      </c>
      <c r="N331" s="57">
        <f>작성용!V328</f>
        <v>45607</v>
      </c>
      <c r="O331" s="57">
        <f>작성용!W328</f>
        <v>45609</v>
      </c>
      <c r="P331" s="57" t="str">
        <f>작성용!X328</f>
        <v>-</v>
      </c>
      <c r="Q331" s="58" t="str">
        <f>작성용!AD328</f>
        <v>서경덕</v>
      </c>
      <c r="R331" s="60">
        <f>작성용!AE328</f>
        <v>0</v>
      </c>
      <c r="S331" s="58" t="str">
        <f>작성용!AF328</f>
        <v>서경덕</v>
      </c>
      <c r="T331" s="61" t="str">
        <f>작성용!AG328</f>
        <v>오수현</v>
      </c>
      <c r="U331" s="61" t="str">
        <f>작성용!AH328</f>
        <v>오수현</v>
      </c>
      <c r="V331" s="56">
        <f>작성용!AA328</f>
        <v>202411</v>
      </c>
      <c r="W331" s="58" t="str">
        <f>작성용!AC328</f>
        <v>[Y]금융기관</v>
      </c>
      <c r="X331" s="58" t="str">
        <f>작성용!O328</f>
        <v>유수지매니저</v>
      </c>
      <c r="Y331" s="58" t="str">
        <f>작성용!P328</f>
        <v>02-3451-9251</v>
      </c>
      <c r="Z331" s="58" t="str">
        <f>작성용!Q328</f>
        <v>sjyou@ajuib.co.kr</v>
      </c>
      <c r="AA331" s="56" t="str">
        <f>작성용!AJ328</f>
        <v>재무보고목적</v>
      </c>
      <c r="AB331" s="56">
        <f>작성용!AB328</f>
        <v>0</v>
      </c>
    </row>
    <row r="332" spans="1:28" s="12" customFormat="1" ht="16.5" hidden="1" customHeight="1" x14ac:dyDescent="0.3">
      <c r="A332" s="54">
        <f>작성용!AL329</f>
        <v>328</v>
      </c>
      <c r="B332" s="55" t="str">
        <f>작성용!AI329</f>
        <v>-</v>
      </c>
      <c r="C332" s="56" t="str">
        <f>작성용!AK329</f>
        <v>개별종목</v>
      </c>
      <c r="D332" s="57">
        <f>작성용!T329</f>
        <v>45575</v>
      </c>
      <c r="E332" s="58" t="str">
        <f>작성용!B329</f>
        <v>아주아이비투자</v>
      </c>
      <c r="F332" s="58" t="str">
        <f>작성용!C329</f>
        <v>신규</v>
      </c>
      <c r="G332" s="58" t="str">
        <f>작성용!D329</f>
        <v>엔플로우</v>
      </c>
      <c r="H332" s="59">
        <f>작성용!E329</f>
        <v>1311110654672</v>
      </c>
      <c r="I332" s="58" t="str">
        <f>작성용!F329</f>
        <v>A07</v>
      </c>
      <c r="J332" s="58">
        <f>작성용!G329</f>
        <v>0</v>
      </c>
      <c r="K332" s="58" t="str">
        <f>작성용!H329</f>
        <v>-</v>
      </c>
      <c r="L332" s="58" t="str">
        <f>작성용!N329</f>
        <v>년</v>
      </c>
      <c r="M332" s="57" t="str">
        <f>작성용!U329</f>
        <v>2024.09.30</v>
      </c>
      <c r="N332" s="57">
        <f>작성용!V329</f>
        <v>45607</v>
      </c>
      <c r="O332" s="57">
        <f>작성용!W329</f>
        <v>45609</v>
      </c>
      <c r="P332" s="57" t="str">
        <f>작성용!X329</f>
        <v>-</v>
      </c>
      <c r="Q332" s="58" t="str">
        <f>작성용!AD329</f>
        <v>윤광일</v>
      </c>
      <c r="R332" s="60">
        <f>작성용!AE329</f>
        <v>1</v>
      </c>
      <c r="S332" s="58" t="str">
        <f>작성용!AF329</f>
        <v>윤광일</v>
      </c>
      <c r="T332" s="61" t="str">
        <f>작성용!AG329</f>
        <v>오수현</v>
      </c>
      <c r="U332" s="61" t="str">
        <f>작성용!AH329</f>
        <v>오수현</v>
      </c>
      <c r="V332" s="56">
        <f>작성용!AA329</f>
        <v>202411</v>
      </c>
      <c r="W332" s="58" t="str">
        <f>작성용!AC329</f>
        <v>[Y]금융기관</v>
      </c>
      <c r="X332" s="58" t="str">
        <f>작성용!O329</f>
        <v>유수지매니저</v>
      </c>
      <c r="Y332" s="58" t="str">
        <f>작성용!P329</f>
        <v>02-3451-9251</v>
      </c>
      <c r="Z332" s="58" t="str">
        <f>작성용!Q329</f>
        <v>sjyou@ajuib.co.kr</v>
      </c>
      <c r="AA332" s="56" t="str">
        <f>작성용!AJ329</f>
        <v>재무보고목적</v>
      </c>
      <c r="AB332" s="56">
        <f>작성용!AB329</f>
        <v>0</v>
      </c>
    </row>
    <row r="333" spans="1:28" s="12" customFormat="1" ht="16.5" hidden="1" customHeight="1" x14ac:dyDescent="0.3">
      <c r="A333" s="54">
        <f>작성용!AL330</f>
        <v>329</v>
      </c>
      <c r="B333" s="55" t="str">
        <f>작성용!AI330</f>
        <v>-</v>
      </c>
      <c r="C333" s="56" t="str">
        <f>작성용!AK330</f>
        <v>개별종목</v>
      </c>
      <c r="D333" s="57">
        <f>작성용!T330</f>
        <v>45575</v>
      </c>
      <c r="E333" s="58" t="str">
        <f>작성용!B330</f>
        <v>아주아이비투자</v>
      </c>
      <c r="F333" s="58" t="str">
        <f>작성용!C330</f>
        <v>재평가</v>
      </c>
      <c r="G333" s="58" t="str">
        <f>작성용!D330</f>
        <v>엘박스</v>
      </c>
      <c r="H333" s="59">
        <f>작성용!E330</f>
        <v>1101117100681</v>
      </c>
      <c r="I333" s="58" t="str">
        <f>작성용!F330</f>
        <v>A07</v>
      </c>
      <c r="J333" s="58">
        <f>작성용!G330</f>
        <v>3</v>
      </c>
      <c r="K333" s="58" t="str">
        <f>작성용!H330</f>
        <v>-</v>
      </c>
      <c r="L333" s="58" t="str">
        <f>작성용!N330</f>
        <v>년</v>
      </c>
      <c r="M333" s="57" t="str">
        <f>작성용!U330</f>
        <v>2024.09.30</v>
      </c>
      <c r="N333" s="57">
        <f>작성용!V330</f>
        <v>45607</v>
      </c>
      <c r="O333" s="57">
        <f>작성용!W330</f>
        <v>45609</v>
      </c>
      <c r="P333" s="57" t="str">
        <f>작성용!X330</f>
        <v>-</v>
      </c>
      <c r="Q333" s="58" t="str">
        <f>작성용!AD330</f>
        <v>원정우</v>
      </c>
      <c r="R333" s="60">
        <f>작성용!AE330</f>
        <v>1</v>
      </c>
      <c r="S333" s="58" t="str">
        <f>작성용!AF330</f>
        <v>원정우</v>
      </c>
      <c r="T333" s="61" t="str">
        <f>작성용!AG330</f>
        <v>오수현</v>
      </c>
      <c r="U333" s="61" t="str">
        <f>작성용!AH330</f>
        <v>오수현</v>
      </c>
      <c r="V333" s="56">
        <f>작성용!AA330</f>
        <v>202411</v>
      </c>
      <c r="W333" s="58" t="str">
        <f>작성용!AC330</f>
        <v>[Y]금융기관</v>
      </c>
      <c r="X333" s="58" t="str">
        <f>작성용!O330</f>
        <v>유수지매니저</v>
      </c>
      <c r="Y333" s="58" t="str">
        <f>작성용!P330</f>
        <v>02-3451-9251</v>
      </c>
      <c r="Z333" s="58" t="str">
        <f>작성용!Q330</f>
        <v>sjyou@ajuib.co.kr</v>
      </c>
      <c r="AA333" s="56" t="str">
        <f>작성용!AJ330</f>
        <v>재무보고목적</v>
      </c>
      <c r="AB333" s="56">
        <f>작성용!AB330</f>
        <v>0</v>
      </c>
    </row>
    <row r="334" spans="1:28" s="12" customFormat="1" ht="16.5" hidden="1" customHeight="1" x14ac:dyDescent="0.3">
      <c r="A334" s="54">
        <f>작성용!AL331</f>
        <v>330</v>
      </c>
      <c r="B334" s="55" t="str">
        <f>작성용!AI331</f>
        <v>-</v>
      </c>
      <c r="C334" s="56" t="str">
        <f>작성용!AK331</f>
        <v>개별종목</v>
      </c>
      <c r="D334" s="57">
        <f>작성용!T331</f>
        <v>45575</v>
      </c>
      <c r="E334" s="58" t="str">
        <f>작성용!B331</f>
        <v>아주아이비투자</v>
      </c>
      <c r="F334" s="58" t="str">
        <f>작성용!C331</f>
        <v>재평가</v>
      </c>
      <c r="G334" s="58" t="str">
        <f>작성용!D331</f>
        <v>엠트리센</v>
      </c>
      <c r="H334" s="59">
        <f>작성용!E331</f>
        <v>1101116455235</v>
      </c>
      <c r="I334" s="58" t="str">
        <f>작성용!F331</f>
        <v>A07</v>
      </c>
      <c r="J334" s="58">
        <f>작성용!G331</f>
        <v>0</v>
      </c>
      <c r="K334" s="58" t="str">
        <f>작성용!H331</f>
        <v>-</v>
      </c>
      <c r="L334" s="58" t="str">
        <f>작성용!N331</f>
        <v>년</v>
      </c>
      <c r="M334" s="57" t="str">
        <f>작성용!U331</f>
        <v>2024.09.30</v>
      </c>
      <c r="N334" s="57">
        <f>작성용!V331</f>
        <v>45607</v>
      </c>
      <c r="O334" s="57">
        <f>작성용!W331</f>
        <v>45609</v>
      </c>
      <c r="P334" s="57" t="str">
        <f>작성용!X331</f>
        <v>-</v>
      </c>
      <c r="Q334" s="58" t="str">
        <f>작성용!AD331</f>
        <v>강성은</v>
      </c>
      <c r="R334" s="60">
        <f>작성용!AE331</f>
        <v>1</v>
      </c>
      <c r="S334" s="58" t="str">
        <f>작성용!AF331</f>
        <v>강성은</v>
      </c>
      <c r="T334" s="61" t="str">
        <f>작성용!AG331</f>
        <v>오수현</v>
      </c>
      <c r="U334" s="61" t="str">
        <f>작성용!AH331</f>
        <v>오수현</v>
      </c>
      <c r="V334" s="56">
        <f>작성용!AA331</f>
        <v>202411</v>
      </c>
      <c r="W334" s="58" t="str">
        <f>작성용!AC331</f>
        <v>[Y]금융기관</v>
      </c>
      <c r="X334" s="58" t="str">
        <f>작성용!O331</f>
        <v>유수지매니저</v>
      </c>
      <c r="Y334" s="58" t="str">
        <f>작성용!P331</f>
        <v>02-3451-9251</v>
      </c>
      <c r="Z334" s="58" t="str">
        <f>작성용!Q331</f>
        <v>sjyou@ajuib.co.kr</v>
      </c>
      <c r="AA334" s="56" t="str">
        <f>작성용!AJ331</f>
        <v>재무보고목적</v>
      </c>
      <c r="AB334" s="56">
        <f>작성용!AB331</f>
        <v>0</v>
      </c>
    </row>
    <row r="335" spans="1:28" s="12" customFormat="1" ht="16.5" hidden="1" customHeight="1" x14ac:dyDescent="0.3">
      <c r="A335" s="54">
        <f>작성용!AL332</f>
        <v>331</v>
      </c>
      <c r="B335" s="55" t="str">
        <f>작성용!AI332</f>
        <v>-</v>
      </c>
      <c r="C335" s="56" t="str">
        <f>작성용!AK332</f>
        <v>개별종목</v>
      </c>
      <c r="D335" s="57">
        <f>작성용!T332</f>
        <v>45575</v>
      </c>
      <c r="E335" s="58" t="str">
        <f>작성용!B332</f>
        <v>아주아이비투자</v>
      </c>
      <c r="F335" s="58" t="str">
        <f>작성용!C332</f>
        <v>신규</v>
      </c>
      <c r="G335" s="58" t="str">
        <f>작성용!D332</f>
        <v>오토실리콘</v>
      </c>
      <c r="H335" s="59">
        <f>작성용!E332</f>
        <v>1101116823458</v>
      </c>
      <c r="I335" s="58" t="str">
        <f>작성용!F332</f>
        <v>A07</v>
      </c>
      <c r="J335" s="58">
        <f>작성용!G332</f>
        <v>0</v>
      </c>
      <c r="K335" s="58" t="str">
        <f>작성용!H332</f>
        <v>-</v>
      </c>
      <c r="L335" s="58" t="str">
        <f>작성용!N332</f>
        <v>년</v>
      </c>
      <c r="M335" s="57" t="str">
        <f>작성용!U332</f>
        <v>2024.09.30</v>
      </c>
      <c r="N335" s="57">
        <f>작성용!V332</f>
        <v>45607</v>
      </c>
      <c r="O335" s="57">
        <f>작성용!W332</f>
        <v>45609</v>
      </c>
      <c r="P335" s="57" t="str">
        <f>작성용!X332</f>
        <v>-</v>
      </c>
      <c r="Q335" s="58" t="str">
        <f>작성용!AD332</f>
        <v>최수민</v>
      </c>
      <c r="R335" s="60">
        <f>작성용!AE332</f>
        <v>1</v>
      </c>
      <c r="S335" s="58" t="str">
        <f>작성용!AF332</f>
        <v>최수민</v>
      </c>
      <c r="T335" s="61" t="str">
        <f>작성용!AG332</f>
        <v>오수현</v>
      </c>
      <c r="U335" s="61" t="str">
        <f>작성용!AH332</f>
        <v>오수현</v>
      </c>
      <c r="V335" s="56">
        <f>작성용!AA332</f>
        <v>202411</v>
      </c>
      <c r="W335" s="58" t="str">
        <f>작성용!AC332</f>
        <v>[Y]금융기관</v>
      </c>
      <c r="X335" s="58" t="str">
        <f>작성용!O332</f>
        <v>유수지매니저</v>
      </c>
      <c r="Y335" s="58" t="str">
        <f>작성용!P332</f>
        <v>02-3451-9251</v>
      </c>
      <c r="Z335" s="58" t="str">
        <f>작성용!Q332</f>
        <v>sjyou@ajuib.co.kr</v>
      </c>
      <c r="AA335" s="56" t="str">
        <f>작성용!AJ332</f>
        <v>재무보고목적</v>
      </c>
      <c r="AB335" s="56">
        <f>작성용!AB332</f>
        <v>0</v>
      </c>
    </row>
    <row r="336" spans="1:28" s="12" customFormat="1" ht="16.5" hidden="1" customHeight="1" x14ac:dyDescent="0.3">
      <c r="A336" s="54">
        <f>작성용!AL333</f>
        <v>332</v>
      </c>
      <c r="B336" s="55" t="str">
        <f>작성용!AI333</f>
        <v>-</v>
      </c>
      <c r="C336" s="56" t="str">
        <f>작성용!AK333</f>
        <v>개별종목</v>
      </c>
      <c r="D336" s="57">
        <f>작성용!T333</f>
        <v>45575</v>
      </c>
      <c r="E336" s="58" t="str">
        <f>작성용!B333</f>
        <v>아주아이비투자</v>
      </c>
      <c r="F336" s="58" t="str">
        <f>작성용!C333</f>
        <v>신규</v>
      </c>
      <c r="G336" s="58" t="str">
        <f>작성용!D333</f>
        <v>원세미콘</v>
      </c>
      <c r="H336" s="59">
        <f>작성용!E333</f>
        <v>1345110364816</v>
      </c>
      <c r="I336" s="58" t="str">
        <f>작성용!F333</f>
        <v>A07</v>
      </c>
      <c r="J336" s="58">
        <f>작성용!G333</f>
        <v>3</v>
      </c>
      <c r="K336" s="58" t="str">
        <f>작성용!H333</f>
        <v>-</v>
      </c>
      <c r="L336" s="58" t="str">
        <f>작성용!N333</f>
        <v>년</v>
      </c>
      <c r="M336" s="57" t="str">
        <f>작성용!U333</f>
        <v>2024.09.30</v>
      </c>
      <c r="N336" s="57">
        <f>작성용!V333</f>
        <v>45607</v>
      </c>
      <c r="O336" s="57">
        <f>작성용!W333</f>
        <v>45609</v>
      </c>
      <c r="P336" s="57" t="str">
        <f>작성용!X333</f>
        <v>-</v>
      </c>
      <c r="Q336" s="58" t="str">
        <f>작성용!AD333</f>
        <v>유재호</v>
      </c>
      <c r="R336" s="60">
        <f>작성용!AE333</f>
        <v>1</v>
      </c>
      <c r="S336" s="58" t="str">
        <f>작성용!AF333</f>
        <v>유재호</v>
      </c>
      <c r="T336" s="61" t="str">
        <f>작성용!AG333</f>
        <v>오수현</v>
      </c>
      <c r="U336" s="61" t="str">
        <f>작성용!AH333</f>
        <v>오수현</v>
      </c>
      <c r="V336" s="56">
        <f>작성용!AA333</f>
        <v>202411</v>
      </c>
      <c r="W336" s="58" t="str">
        <f>작성용!AC333</f>
        <v>[Y]금융기관</v>
      </c>
      <c r="X336" s="58" t="str">
        <f>작성용!O333</f>
        <v>유수지매니저</v>
      </c>
      <c r="Y336" s="58" t="str">
        <f>작성용!P333</f>
        <v>02-3451-9251</v>
      </c>
      <c r="Z336" s="58" t="str">
        <f>작성용!Q333</f>
        <v>sjyou@ajuib.co.kr</v>
      </c>
      <c r="AA336" s="56" t="str">
        <f>작성용!AJ333</f>
        <v>재무보고목적</v>
      </c>
      <c r="AB336" s="56">
        <f>작성용!AB333</f>
        <v>0</v>
      </c>
    </row>
    <row r="337" spans="1:28" s="12" customFormat="1" ht="16.5" hidden="1" customHeight="1" x14ac:dyDescent="0.3">
      <c r="A337" s="54">
        <f>작성용!AL334</f>
        <v>333</v>
      </c>
      <c r="B337" s="55" t="str">
        <f>작성용!AI334</f>
        <v>-</v>
      </c>
      <c r="C337" s="56" t="str">
        <f>작성용!AK334</f>
        <v>개별종목</v>
      </c>
      <c r="D337" s="57">
        <f>작성용!T334</f>
        <v>45575</v>
      </c>
      <c r="E337" s="58" t="str">
        <f>작성용!B334</f>
        <v>아주아이비투자</v>
      </c>
      <c r="F337" s="58" t="str">
        <f>작성용!C334</f>
        <v>재평가</v>
      </c>
      <c r="G337" s="58" t="str">
        <f>작성용!D334</f>
        <v>의식주컴퍼니</v>
      </c>
      <c r="H337" s="59">
        <f>작성용!E334</f>
        <v>1101116637768</v>
      </c>
      <c r="I337" s="58" t="str">
        <f>작성용!F334</f>
        <v>A07</v>
      </c>
      <c r="J337" s="58">
        <f>작성용!G334</f>
        <v>0</v>
      </c>
      <c r="K337" s="58" t="str">
        <f>작성용!H334</f>
        <v>-</v>
      </c>
      <c r="L337" s="58" t="str">
        <f>작성용!N334</f>
        <v>년</v>
      </c>
      <c r="M337" s="57" t="str">
        <f>작성용!U334</f>
        <v>2024.09.30</v>
      </c>
      <c r="N337" s="57">
        <f>작성용!V334</f>
        <v>45607</v>
      </c>
      <c r="O337" s="57">
        <f>작성용!W334</f>
        <v>45609</v>
      </c>
      <c r="P337" s="57" t="str">
        <f>작성용!X334</f>
        <v>-</v>
      </c>
      <c r="Q337" s="58" t="str">
        <f>작성용!AD334</f>
        <v>서동현</v>
      </c>
      <c r="R337" s="60">
        <f>작성용!AE334</f>
        <v>0</v>
      </c>
      <c r="S337" s="58" t="str">
        <f>작성용!AF334</f>
        <v>서동현</v>
      </c>
      <c r="T337" s="61" t="str">
        <f>작성용!AG334</f>
        <v>오수현</v>
      </c>
      <c r="U337" s="61" t="str">
        <f>작성용!AH334</f>
        <v>오수현</v>
      </c>
      <c r="V337" s="56">
        <f>작성용!AA334</f>
        <v>202411</v>
      </c>
      <c r="W337" s="58" t="str">
        <f>작성용!AC334</f>
        <v>[Y]금융기관</v>
      </c>
      <c r="X337" s="58" t="str">
        <f>작성용!O334</f>
        <v>유수지매니저</v>
      </c>
      <c r="Y337" s="58" t="str">
        <f>작성용!P334</f>
        <v>02-3451-9251</v>
      </c>
      <c r="Z337" s="58" t="str">
        <f>작성용!Q334</f>
        <v>sjyou@ajuib.co.kr</v>
      </c>
      <c r="AA337" s="56" t="str">
        <f>작성용!AJ334</f>
        <v>재무보고목적</v>
      </c>
      <c r="AB337" s="56">
        <f>작성용!AB334</f>
        <v>0</v>
      </c>
    </row>
    <row r="338" spans="1:28" s="12" customFormat="1" ht="16.5" hidden="1" customHeight="1" x14ac:dyDescent="0.3">
      <c r="A338" s="54">
        <f>작성용!AL335</f>
        <v>334</v>
      </c>
      <c r="B338" s="55" t="str">
        <f>작성용!AI335</f>
        <v>-</v>
      </c>
      <c r="C338" s="56" t="str">
        <f>작성용!AK335</f>
        <v>개별종목</v>
      </c>
      <c r="D338" s="57">
        <f>작성용!T335</f>
        <v>45575</v>
      </c>
      <c r="E338" s="58" t="str">
        <f>작성용!B335</f>
        <v>아주아이비투자</v>
      </c>
      <c r="F338" s="58" t="str">
        <f>작성용!C335</f>
        <v>신규</v>
      </c>
      <c r="G338" s="58" t="str">
        <f>작성용!D335</f>
        <v>이스트포토닉스</v>
      </c>
      <c r="H338" s="59">
        <f>작성용!E335</f>
        <v>1348110066482</v>
      </c>
      <c r="I338" s="58" t="str">
        <f>작성용!F335</f>
        <v>A07</v>
      </c>
      <c r="J338" s="58">
        <f>작성용!G335</f>
        <v>0</v>
      </c>
      <c r="K338" s="58" t="str">
        <f>작성용!H335</f>
        <v>-</v>
      </c>
      <c r="L338" s="58" t="str">
        <f>작성용!N335</f>
        <v>년</v>
      </c>
      <c r="M338" s="57" t="str">
        <f>작성용!U335</f>
        <v>2024.09.30</v>
      </c>
      <c r="N338" s="57">
        <f>작성용!V335</f>
        <v>45607</v>
      </c>
      <c r="O338" s="57">
        <f>작성용!W335</f>
        <v>45609</v>
      </c>
      <c r="P338" s="57" t="str">
        <f>작성용!X335</f>
        <v>-</v>
      </c>
      <c r="Q338" s="58" t="str">
        <f>작성용!AD335</f>
        <v>김예림</v>
      </c>
      <c r="R338" s="60">
        <f>작성용!AE335</f>
        <v>1</v>
      </c>
      <c r="S338" s="58" t="str">
        <f>작성용!AF335</f>
        <v>김예림</v>
      </c>
      <c r="T338" s="61" t="str">
        <f>작성용!AG335</f>
        <v>오수현</v>
      </c>
      <c r="U338" s="61" t="str">
        <f>작성용!AH335</f>
        <v>오수현</v>
      </c>
      <c r="V338" s="56">
        <f>작성용!AA335</f>
        <v>202411</v>
      </c>
      <c r="W338" s="58" t="str">
        <f>작성용!AC335</f>
        <v>[Y]금융기관</v>
      </c>
      <c r="X338" s="58" t="str">
        <f>작성용!O335</f>
        <v>유수지매니저</v>
      </c>
      <c r="Y338" s="58" t="str">
        <f>작성용!P335</f>
        <v>02-3451-9251</v>
      </c>
      <c r="Z338" s="58" t="str">
        <f>작성용!Q335</f>
        <v>sjyou@ajuib.co.kr</v>
      </c>
      <c r="AA338" s="56" t="str">
        <f>작성용!AJ335</f>
        <v>재무보고목적</v>
      </c>
      <c r="AB338" s="56">
        <f>작성용!AB335</f>
        <v>0</v>
      </c>
    </row>
    <row r="339" spans="1:28" s="12" customFormat="1" ht="16.5" hidden="1" customHeight="1" x14ac:dyDescent="0.3">
      <c r="A339" s="54">
        <f>작성용!AL336</f>
        <v>335</v>
      </c>
      <c r="B339" s="55" t="str">
        <f>작성용!AI336</f>
        <v>-</v>
      </c>
      <c r="C339" s="56" t="str">
        <f>작성용!AK336</f>
        <v>개별종목</v>
      </c>
      <c r="D339" s="57">
        <f>작성용!T336</f>
        <v>45575</v>
      </c>
      <c r="E339" s="58" t="str">
        <f>작성용!B336</f>
        <v>아주아이비투자</v>
      </c>
      <c r="F339" s="58" t="str">
        <f>작성용!C336</f>
        <v>신규</v>
      </c>
      <c r="G339" s="58" t="str">
        <f>작성용!D336</f>
        <v>이스트포토닉스</v>
      </c>
      <c r="H339" s="59">
        <f>작성용!E336</f>
        <v>1348110066482</v>
      </c>
      <c r="I339" s="58" t="str">
        <f>작성용!F336</f>
        <v>A01</v>
      </c>
      <c r="J339" s="58">
        <f>작성용!G336</f>
        <v>0</v>
      </c>
      <c r="K339" s="58" t="str">
        <f>작성용!H336</f>
        <v>-</v>
      </c>
      <c r="L339" s="58" t="str">
        <f>작성용!N336</f>
        <v>년</v>
      </c>
      <c r="M339" s="57" t="str">
        <f>작성용!U336</f>
        <v>2024.09.30</v>
      </c>
      <c r="N339" s="57">
        <f>작성용!V336</f>
        <v>45607</v>
      </c>
      <c r="O339" s="57">
        <f>작성용!W336</f>
        <v>45609</v>
      </c>
      <c r="P339" s="57" t="str">
        <f>작성용!X336</f>
        <v>-</v>
      </c>
      <c r="Q339" s="58" t="str">
        <f>작성용!AD336</f>
        <v>김예림</v>
      </c>
      <c r="R339" s="60">
        <f>작성용!AE336</f>
        <v>0</v>
      </c>
      <c r="S339" s="58" t="str">
        <f>작성용!AF336</f>
        <v>김예림</v>
      </c>
      <c r="T339" s="61" t="str">
        <f>작성용!AG336</f>
        <v>오수현</v>
      </c>
      <c r="U339" s="61" t="str">
        <f>작성용!AH336</f>
        <v>오수현</v>
      </c>
      <c r="V339" s="56">
        <f>작성용!AA336</f>
        <v>202411</v>
      </c>
      <c r="W339" s="58" t="str">
        <f>작성용!AC336</f>
        <v>[Y]금융기관</v>
      </c>
      <c r="X339" s="58" t="str">
        <f>작성용!O336</f>
        <v>유수지매니저</v>
      </c>
      <c r="Y339" s="58" t="str">
        <f>작성용!P336</f>
        <v>02-3451-9251</v>
      </c>
      <c r="Z339" s="58" t="str">
        <f>작성용!Q336</f>
        <v>sjyou@ajuib.co.kr</v>
      </c>
      <c r="AA339" s="56" t="str">
        <f>작성용!AJ336</f>
        <v>재무보고목적</v>
      </c>
      <c r="AB339" s="56">
        <f>작성용!AB336</f>
        <v>0</v>
      </c>
    </row>
    <row r="340" spans="1:28" s="12" customFormat="1" ht="16.5" hidden="1" customHeight="1" x14ac:dyDescent="0.3">
      <c r="A340" s="54">
        <f>작성용!AL337</f>
        <v>336</v>
      </c>
      <c r="B340" s="55" t="str">
        <f>작성용!AI337</f>
        <v>-</v>
      </c>
      <c r="C340" s="56" t="str">
        <f>작성용!AK337</f>
        <v>개별종목</v>
      </c>
      <c r="D340" s="57">
        <f>작성용!T337</f>
        <v>45575</v>
      </c>
      <c r="E340" s="58" t="str">
        <f>작성용!B337</f>
        <v>아주아이비투자</v>
      </c>
      <c r="F340" s="58" t="str">
        <f>작성용!C337</f>
        <v>신규</v>
      </c>
      <c r="G340" s="58" t="str">
        <f>작성용!D337</f>
        <v>이에이치엘바이오</v>
      </c>
      <c r="H340" s="59">
        <f>작성용!E337</f>
        <v>1101114800680</v>
      </c>
      <c r="I340" s="58" t="str">
        <f>작성용!F337</f>
        <v>A07</v>
      </c>
      <c r="J340" s="58">
        <f>작성용!G337</f>
        <v>0</v>
      </c>
      <c r="K340" s="58" t="str">
        <f>작성용!H337</f>
        <v>-</v>
      </c>
      <c r="L340" s="58" t="str">
        <f>작성용!N337</f>
        <v>년</v>
      </c>
      <c r="M340" s="57" t="str">
        <f>작성용!U337</f>
        <v>2024.09.30</v>
      </c>
      <c r="N340" s="57">
        <f>작성용!V337</f>
        <v>45607</v>
      </c>
      <c r="O340" s="57">
        <f>작성용!W337</f>
        <v>45609</v>
      </c>
      <c r="P340" s="57" t="str">
        <f>작성용!X337</f>
        <v>-</v>
      </c>
      <c r="Q340" s="58" t="str">
        <f>작성용!AD337</f>
        <v>최수민</v>
      </c>
      <c r="R340" s="60">
        <f>작성용!AE337</f>
        <v>1</v>
      </c>
      <c r="S340" s="58" t="str">
        <f>작성용!AF337</f>
        <v>최수민</v>
      </c>
      <c r="T340" s="61" t="str">
        <f>작성용!AG337</f>
        <v>오수현</v>
      </c>
      <c r="U340" s="61" t="str">
        <f>작성용!AH337</f>
        <v>오수현</v>
      </c>
      <c r="V340" s="56">
        <f>작성용!AA337</f>
        <v>202411</v>
      </c>
      <c r="W340" s="58" t="str">
        <f>작성용!AC337</f>
        <v>[Y]금융기관</v>
      </c>
      <c r="X340" s="58" t="str">
        <f>작성용!O337</f>
        <v>유수지매니저</v>
      </c>
      <c r="Y340" s="58" t="str">
        <f>작성용!P337</f>
        <v>02-3451-9251</v>
      </c>
      <c r="Z340" s="58" t="str">
        <f>작성용!Q337</f>
        <v>sjyou@ajuib.co.kr</v>
      </c>
      <c r="AA340" s="56" t="str">
        <f>작성용!AJ337</f>
        <v>재무보고목적</v>
      </c>
      <c r="AB340" s="56">
        <f>작성용!AB337</f>
        <v>0</v>
      </c>
    </row>
    <row r="341" spans="1:28" s="12" customFormat="1" ht="16.5" hidden="1" customHeight="1" x14ac:dyDescent="0.3">
      <c r="A341" s="54">
        <f>작성용!AL338</f>
        <v>337</v>
      </c>
      <c r="B341" s="55" t="str">
        <f>작성용!AI338</f>
        <v>-</v>
      </c>
      <c r="C341" s="56" t="str">
        <f>작성용!AK338</f>
        <v>개별종목</v>
      </c>
      <c r="D341" s="57">
        <f>작성용!T338</f>
        <v>45575</v>
      </c>
      <c r="E341" s="58" t="str">
        <f>작성용!B338</f>
        <v>아주아이비투자</v>
      </c>
      <c r="F341" s="58" t="str">
        <f>작성용!C338</f>
        <v>재평가</v>
      </c>
      <c r="G341" s="58" t="str">
        <f>작성용!D338</f>
        <v>진코어</v>
      </c>
      <c r="H341" s="59">
        <f>작성용!E338</f>
        <v>1601110527923</v>
      </c>
      <c r="I341" s="58" t="str">
        <f>작성용!F338</f>
        <v>A07</v>
      </c>
      <c r="J341" s="58">
        <f>작성용!G338</f>
        <v>0</v>
      </c>
      <c r="K341" s="58" t="str">
        <f>작성용!H338</f>
        <v>-</v>
      </c>
      <c r="L341" s="58" t="str">
        <f>작성용!N338</f>
        <v>년</v>
      </c>
      <c r="M341" s="57" t="str">
        <f>작성용!U338</f>
        <v>2024.09.30</v>
      </c>
      <c r="N341" s="57">
        <f>작성용!V338</f>
        <v>45607</v>
      </c>
      <c r="O341" s="57">
        <f>작성용!W338</f>
        <v>45609</v>
      </c>
      <c r="P341" s="57" t="str">
        <f>작성용!X338</f>
        <v>-</v>
      </c>
      <c r="Q341" s="58" t="str">
        <f>작성용!AD338</f>
        <v>변혜진</v>
      </c>
      <c r="R341" s="60">
        <f>작성용!AE338</f>
        <v>1</v>
      </c>
      <c r="S341" s="58" t="str">
        <f>작성용!AF338</f>
        <v>변혜진</v>
      </c>
      <c r="T341" s="61" t="str">
        <f>작성용!AG338</f>
        <v>오수현</v>
      </c>
      <c r="U341" s="61" t="str">
        <f>작성용!AH338</f>
        <v>오수현</v>
      </c>
      <c r="V341" s="56">
        <f>작성용!AA338</f>
        <v>202411</v>
      </c>
      <c r="W341" s="58" t="str">
        <f>작성용!AC338</f>
        <v>[Y]금융기관</v>
      </c>
      <c r="X341" s="58" t="str">
        <f>작성용!O338</f>
        <v>유수지매니저</v>
      </c>
      <c r="Y341" s="58" t="str">
        <f>작성용!P338</f>
        <v>02-3451-9251</v>
      </c>
      <c r="Z341" s="58" t="str">
        <f>작성용!Q338</f>
        <v>sjyou@ajuib.co.kr</v>
      </c>
      <c r="AA341" s="56" t="str">
        <f>작성용!AJ338</f>
        <v>재무보고목적</v>
      </c>
      <c r="AB341" s="56">
        <f>작성용!AB338</f>
        <v>0</v>
      </c>
    </row>
    <row r="342" spans="1:28" s="12" customFormat="1" ht="16.5" hidden="1" customHeight="1" x14ac:dyDescent="0.3">
      <c r="A342" s="54">
        <f>작성용!AL339</f>
        <v>338</v>
      </c>
      <c r="B342" s="55" t="str">
        <f>작성용!AI339</f>
        <v>-</v>
      </c>
      <c r="C342" s="56" t="str">
        <f>작성용!AK339</f>
        <v>개별종목</v>
      </c>
      <c r="D342" s="57">
        <f>작성용!T339</f>
        <v>45575</v>
      </c>
      <c r="E342" s="58" t="str">
        <f>작성용!B339</f>
        <v>아주아이비투자</v>
      </c>
      <c r="F342" s="58" t="str">
        <f>작성용!C339</f>
        <v>신규</v>
      </c>
      <c r="G342" s="58" t="str">
        <f>작성용!D339</f>
        <v>창소프트아이앤아이</v>
      </c>
      <c r="H342" s="59">
        <f>작성용!E339</f>
        <v>1101113821249</v>
      </c>
      <c r="I342" s="58" t="str">
        <f>작성용!F339</f>
        <v>A07</v>
      </c>
      <c r="J342" s="58">
        <f>작성용!G339</f>
        <v>0</v>
      </c>
      <c r="K342" s="58" t="str">
        <f>작성용!H339</f>
        <v>-</v>
      </c>
      <c r="L342" s="58" t="str">
        <f>작성용!N339</f>
        <v>년</v>
      </c>
      <c r="M342" s="57" t="str">
        <f>작성용!U339</f>
        <v>2024.09.30</v>
      </c>
      <c r="N342" s="57">
        <f>작성용!V339</f>
        <v>45607</v>
      </c>
      <c r="O342" s="57">
        <f>작성용!W339</f>
        <v>45609</v>
      </c>
      <c r="P342" s="57" t="str">
        <f>작성용!X339</f>
        <v>-</v>
      </c>
      <c r="Q342" s="58" t="str">
        <f>작성용!AD339</f>
        <v>정은채</v>
      </c>
      <c r="R342" s="60">
        <f>작성용!AE339</f>
        <v>1</v>
      </c>
      <c r="S342" s="58" t="str">
        <f>작성용!AF339</f>
        <v>정은채</v>
      </c>
      <c r="T342" s="61" t="str">
        <f>작성용!AG339</f>
        <v>오수현</v>
      </c>
      <c r="U342" s="61" t="str">
        <f>작성용!AH339</f>
        <v>오수현</v>
      </c>
      <c r="V342" s="56">
        <f>작성용!AA339</f>
        <v>202411</v>
      </c>
      <c r="W342" s="58" t="str">
        <f>작성용!AC339</f>
        <v>[Y]금융기관</v>
      </c>
      <c r="X342" s="58" t="str">
        <f>작성용!O339</f>
        <v>유수지매니저</v>
      </c>
      <c r="Y342" s="58" t="str">
        <f>작성용!P339</f>
        <v>02-3451-9251</v>
      </c>
      <c r="Z342" s="58" t="str">
        <f>작성용!Q339</f>
        <v>sjyou@ajuib.co.kr</v>
      </c>
      <c r="AA342" s="56" t="str">
        <f>작성용!AJ339</f>
        <v>재무보고목적</v>
      </c>
      <c r="AB342" s="56">
        <f>작성용!AB339</f>
        <v>0</v>
      </c>
    </row>
    <row r="343" spans="1:28" s="12" customFormat="1" ht="16.5" hidden="1" customHeight="1" x14ac:dyDescent="0.3">
      <c r="A343" s="54">
        <f>작성용!AL340</f>
        <v>339</v>
      </c>
      <c r="B343" s="55" t="str">
        <f>작성용!AI340</f>
        <v>-</v>
      </c>
      <c r="C343" s="56" t="str">
        <f>작성용!AK340</f>
        <v>개별종목</v>
      </c>
      <c r="D343" s="57">
        <f>작성용!T340</f>
        <v>45575</v>
      </c>
      <c r="E343" s="58" t="str">
        <f>작성용!B340</f>
        <v>아주아이비투자</v>
      </c>
      <c r="F343" s="58" t="str">
        <f>작성용!C340</f>
        <v>신규</v>
      </c>
      <c r="G343" s="58" t="str">
        <f>작성용!D340</f>
        <v>컴투스로카</v>
      </c>
      <c r="H343" s="59">
        <f>작성용!E340</f>
        <v>1311110644508</v>
      </c>
      <c r="I343" s="58" t="str">
        <f>작성용!F340</f>
        <v>A07</v>
      </c>
      <c r="J343" s="58">
        <f>작성용!G340</f>
        <v>0</v>
      </c>
      <c r="K343" s="58" t="str">
        <f>작성용!H340</f>
        <v>-</v>
      </c>
      <c r="L343" s="58" t="str">
        <f>작성용!N340</f>
        <v>년</v>
      </c>
      <c r="M343" s="57" t="str">
        <f>작성용!U340</f>
        <v>2024.09.30</v>
      </c>
      <c r="N343" s="57">
        <f>작성용!V340</f>
        <v>45607</v>
      </c>
      <c r="O343" s="57">
        <f>작성용!W340</f>
        <v>45609</v>
      </c>
      <c r="P343" s="57" t="str">
        <f>작성용!X340</f>
        <v>-</v>
      </c>
      <c r="Q343" s="58" t="str">
        <f>작성용!AD340</f>
        <v>정은채</v>
      </c>
      <c r="R343" s="60">
        <f>작성용!AE340</f>
        <v>1</v>
      </c>
      <c r="S343" s="58" t="str">
        <f>작성용!AF340</f>
        <v>정은채</v>
      </c>
      <c r="T343" s="61" t="str">
        <f>작성용!AG340</f>
        <v>오수현</v>
      </c>
      <c r="U343" s="61" t="str">
        <f>작성용!AH340</f>
        <v>오수현</v>
      </c>
      <c r="V343" s="56">
        <f>작성용!AA340</f>
        <v>202411</v>
      </c>
      <c r="W343" s="58" t="str">
        <f>작성용!AC340</f>
        <v>[Y]금융기관</v>
      </c>
      <c r="X343" s="58" t="str">
        <f>작성용!O340</f>
        <v>유수지매니저</v>
      </c>
      <c r="Y343" s="58" t="str">
        <f>작성용!P340</f>
        <v>02-3451-9251</v>
      </c>
      <c r="Z343" s="58" t="str">
        <f>작성용!Q340</f>
        <v>sjyou@ajuib.co.kr</v>
      </c>
      <c r="AA343" s="56" t="str">
        <f>작성용!AJ340</f>
        <v>재무보고목적</v>
      </c>
      <c r="AB343" s="56">
        <f>작성용!AB340</f>
        <v>0</v>
      </c>
    </row>
    <row r="344" spans="1:28" s="12" customFormat="1" ht="16.5" hidden="1" customHeight="1" x14ac:dyDescent="0.3">
      <c r="A344" s="54">
        <f>작성용!AL341</f>
        <v>340</v>
      </c>
      <c r="B344" s="55" t="str">
        <f>작성용!AI341</f>
        <v>-</v>
      </c>
      <c r="C344" s="56" t="str">
        <f>작성용!AK341</f>
        <v>개별종목</v>
      </c>
      <c r="D344" s="57">
        <f>작성용!T341</f>
        <v>45575</v>
      </c>
      <c r="E344" s="58" t="str">
        <f>작성용!B341</f>
        <v>아주아이비투자</v>
      </c>
      <c r="F344" s="58" t="str">
        <f>작성용!C341</f>
        <v>재평가</v>
      </c>
      <c r="G344" s="58" t="str">
        <f>작성용!D341</f>
        <v>케어메디</v>
      </c>
      <c r="H344" s="59">
        <f>작성용!E341</f>
        <v>1101115763910</v>
      </c>
      <c r="I344" s="58" t="str">
        <f>작성용!F341</f>
        <v>A07</v>
      </c>
      <c r="J344" s="58">
        <f>작성용!G341</f>
        <v>0</v>
      </c>
      <c r="K344" s="58" t="str">
        <f>작성용!H341</f>
        <v>-</v>
      </c>
      <c r="L344" s="58" t="str">
        <f>작성용!N341</f>
        <v>년</v>
      </c>
      <c r="M344" s="57" t="str">
        <f>작성용!U341</f>
        <v>2024.09.30</v>
      </c>
      <c r="N344" s="57">
        <f>작성용!V341</f>
        <v>45607</v>
      </c>
      <c r="O344" s="57">
        <f>작성용!W341</f>
        <v>45609</v>
      </c>
      <c r="P344" s="57" t="str">
        <f>작성용!X341</f>
        <v>-</v>
      </c>
      <c r="Q344" s="58" t="str">
        <f>작성용!AD341</f>
        <v>강승현</v>
      </c>
      <c r="R344" s="60">
        <f>작성용!AE341</f>
        <v>1</v>
      </c>
      <c r="S344" s="58" t="str">
        <f>작성용!AF341</f>
        <v>강승현</v>
      </c>
      <c r="T344" s="61" t="str">
        <f>작성용!AG341</f>
        <v>오수현</v>
      </c>
      <c r="U344" s="61" t="str">
        <f>작성용!AH341</f>
        <v>오수현</v>
      </c>
      <c r="V344" s="56">
        <f>작성용!AA341</f>
        <v>202411</v>
      </c>
      <c r="W344" s="58" t="str">
        <f>작성용!AC341</f>
        <v>[Y]금융기관</v>
      </c>
      <c r="X344" s="58" t="str">
        <f>작성용!O341</f>
        <v>유수지매니저</v>
      </c>
      <c r="Y344" s="58" t="str">
        <f>작성용!P341</f>
        <v>02-3451-9251</v>
      </c>
      <c r="Z344" s="58" t="str">
        <f>작성용!Q341</f>
        <v>sjyou@ajuib.co.kr</v>
      </c>
      <c r="AA344" s="56" t="str">
        <f>작성용!AJ341</f>
        <v>재무보고목적</v>
      </c>
      <c r="AB344" s="56">
        <f>작성용!AB341</f>
        <v>0</v>
      </c>
    </row>
    <row r="345" spans="1:28" s="12" customFormat="1" ht="16.5" hidden="1" customHeight="1" x14ac:dyDescent="0.3">
      <c r="A345" s="54">
        <f>작성용!AL342</f>
        <v>341</v>
      </c>
      <c r="B345" s="55" t="str">
        <f>작성용!AI342</f>
        <v>-</v>
      </c>
      <c r="C345" s="56" t="str">
        <f>작성용!AK342</f>
        <v>개별종목</v>
      </c>
      <c r="D345" s="57">
        <f>작성용!T342</f>
        <v>45575</v>
      </c>
      <c r="E345" s="58" t="str">
        <f>작성용!B342</f>
        <v>아주아이비투자</v>
      </c>
      <c r="F345" s="58" t="str">
        <f>작성용!C342</f>
        <v>재평가</v>
      </c>
      <c r="G345" s="58" t="str">
        <f>작성용!D342</f>
        <v>케어메디</v>
      </c>
      <c r="H345" s="59">
        <f>작성용!E342</f>
        <v>1101115763910</v>
      </c>
      <c r="I345" s="58" t="str">
        <f>작성용!F342</f>
        <v>A07</v>
      </c>
      <c r="J345" s="58">
        <f>작성용!G342</f>
        <v>1</v>
      </c>
      <c r="K345" s="58" t="str">
        <f>작성용!H342</f>
        <v>-</v>
      </c>
      <c r="L345" s="58" t="str">
        <f>작성용!N342</f>
        <v>년</v>
      </c>
      <c r="M345" s="57" t="str">
        <f>작성용!U342</f>
        <v>2024.09.30</v>
      </c>
      <c r="N345" s="57">
        <f>작성용!V342</f>
        <v>45607</v>
      </c>
      <c r="O345" s="57">
        <f>작성용!W342</f>
        <v>45609</v>
      </c>
      <c r="P345" s="57" t="str">
        <f>작성용!X342</f>
        <v>-</v>
      </c>
      <c r="Q345" s="58" t="str">
        <f>작성용!AD342</f>
        <v>강승현</v>
      </c>
      <c r="R345" s="60">
        <f>작성용!AE342</f>
        <v>0</v>
      </c>
      <c r="S345" s="58" t="str">
        <f>작성용!AF342</f>
        <v>강승현</v>
      </c>
      <c r="T345" s="61" t="str">
        <f>작성용!AG342</f>
        <v>오수현</v>
      </c>
      <c r="U345" s="61" t="str">
        <f>작성용!AH342</f>
        <v>오수현</v>
      </c>
      <c r="V345" s="56">
        <f>작성용!AA342</f>
        <v>202411</v>
      </c>
      <c r="W345" s="58" t="str">
        <f>작성용!AC342</f>
        <v>[Y]금융기관</v>
      </c>
      <c r="X345" s="58" t="str">
        <f>작성용!O342</f>
        <v>유수지매니저</v>
      </c>
      <c r="Y345" s="58" t="str">
        <f>작성용!P342</f>
        <v>02-3451-9251</v>
      </c>
      <c r="Z345" s="58" t="str">
        <f>작성용!Q342</f>
        <v>sjyou@ajuib.co.kr</v>
      </c>
      <c r="AA345" s="56" t="str">
        <f>작성용!AJ342</f>
        <v>재무보고목적</v>
      </c>
      <c r="AB345" s="56">
        <f>작성용!AB342</f>
        <v>0</v>
      </c>
    </row>
    <row r="346" spans="1:28" s="12" customFormat="1" ht="16.5" hidden="1" customHeight="1" x14ac:dyDescent="0.3">
      <c r="A346" s="54">
        <f>작성용!AL343</f>
        <v>342</v>
      </c>
      <c r="B346" s="55" t="str">
        <f>작성용!AI343</f>
        <v>-</v>
      </c>
      <c r="C346" s="56" t="str">
        <f>작성용!AK343</f>
        <v>개별종목</v>
      </c>
      <c r="D346" s="57">
        <f>작성용!T343</f>
        <v>45575</v>
      </c>
      <c r="E346" s="58" t="str">
        <f>작성용!B343</f>
        <v>아주아이비투자</v>
      </c>
      <c r="F346" s="58" t="str">
        <f>작성용!C343</f>
        <v>신규</v>
      </c>
      <c r="G346" s="58" t="str">
        <f>작성용!D343</f>
        <v>코비스테크놀로지</v>
      </c>
      <c r="H346" s="59">
        <f>작성용!E343</f>
        <v>1101112885949</v>
      </c>
      <c r="I346" s="58" t="str">
        <f>작성용!F343</f>
        <v>A07</v>
      </c>
      <c r="J346" s="58">
        <f>작성용!G343</f>
        <v>0</v>
      </c>
      <c r="K346" s="58" t="str">
        <f>작성용!H343</f>
        <v>-</v>
      </c>
      <c r="L346" s="58" t="str">
        <f>작성용!N343</f>
        <v>년</v>
      </c>
      <c r="M346" s="57" t="str">
        <f>작성용!U343</f>
        <v>2024.09.30</v>
      </c>
      <c r="N346" s="57">
        <f>작성용!V343</f>
        <v>45607</v>
      </c>
      <c r="O346" s="57">
        <f>작성용!W343</f>
        <v>45609</v>
      </c>
      <c r="P346" s="57" t="str">
        <f>작성용!X343</f>
        <v>-</v>
      </c>
      <c r="Q346" s="58" t="str">
        <f>작성용!AD343</f>
        <v>이진주</v>
      </c>
      <c r="R346" s="60">
        <f>작성용!AE343</f>
        <v>1</v>
      </c>
      <c r="S346" s="58" t="str">
        <f>작성용!AF343</f>
        <v>이진주</v>
      </c>
      <c r="T346" s="61" t="str">
        <f>작성용!AG343</f>
        <v>오수현</v>
      </c>
      <c r="U346" s="61" t="str">
        <f>작성용!AH343</f>
        <v>오수현</v>
      </c>
      <c r="V346" s="56">
        <f>작성용!AA343</f>
        <v>202411</v>
      </c>
      <c r="W346" s="58" t="str">
        <f>작성용!AC343</f>
        <v>[Y]금융기관</v>
      </c>
      <c r="X346" s="58" t="str">
        <f>작성용!O343</f>
        <v>유수지매니저</v>
      </c>
      <c r="Y346" s="58" t="str">
        <f>작성용!P343</f>
        <v>02-3451-9251</v>
      </c>
      <c r="Z346" s="58" t="str">
        <f>작성용!Q343</f>
        <v>sjyou@ajuib.co.kr</v>
      </c>
      <c r="AA346" s="56" t="str">
        <f>작성용!AJ343</f>
        <v>재무보고목적</v>
      </c>
      <c r="AB346" s="56">
        <f>작성용!AB343</f>
        <v>0</v>
      </c>
    </row>
    <row r="347" spans="1:28" s="12" customFormat="1" ht="16.5" hidden="1" customHeight="1" x14ac:dyDescent="0.3">
      <c r="A347" s="54">
        <f>작성용!AL344</f>
        <v>343</v>
      </c>
      <c r="B347" s="55" t="str">
        <f>작성용!AI344</f>
        <v>-</v>
      </c>
      <c r="C347" s="56" t="str">
        <f>작성용!AK344</f>
        <v>개별종목</v>
      </c>
      <c r="D347" s="57">
        <f>작성용!T344</f>
        <v>45575</v>
      </c>
      <c r="E347" s="58" t="str">
        <f>작성용!B344</f>
        <v>아주아이비투자</v>
      </c>
      <c r="F347" s="58" t="str">
        <f>작성용!C344</f>
        <v>신규</v>
      </c>
      <c r="G347" s="58" t="str">
        <f>작성용!D344</f>
        <v>크리스틴컴퍼니</v>
      </c>
      <c r="H347" s="59">
        <f>작성용!E344</f>
        <v>1101117199957</v>
      </c>
      <c r="I347" s="58" t="str">
        <f>작성용!F344</f>
        <v>A01</v>
      </c>
      <c r="J347" s="58">
        <f>작성용!G344</f>
        <v>0</v>
      </c>
      <c r="K347" s="58" t="str">
        <f>작성용!H344</f>
        <v>-</v>
      </c>
      <c r="L347" s="58" t="str">
        <f>작성용!N344</f>
        <v>년</v>
      </c>
      <c r="M347" s="57" t="str">
        <f>작성용!U344</f>
        <v>2024.09.30</v>
      </c>
      <c r="N347" s="57">
        <f>작성용!V344</f>
        <v>45607</v>
      </c>
      <c r="O347" s="57">
        <f>작성용!W344</f>
        <v>45609</v>
      </c>
      <c r="P347" s="57" t="str">
        <f>작성용!X344</f>
        <v>-</v>
      </c>
      <c r="Q347" s="58" t="str">
        <f>작성용!AD344</f>
        <v>이진주</v>
      </c>
      <c r="R347" s="60">
        <f>작성용!AE344</f>
        <v>1</v>
      </c>
      <c r="S347" s="58" t="str">
        <f>작성용!AF344</f>
        <v>이진주</v>
      </c>
      <c r="T347" s="61" t="str">
        <f>작성용!AG344</f>
        <v>오수현</v>
      </c>
      <c r="U347" s="61" t="str">
        <f>작성용!AH344</f>
        <v>오수현</v>
      </c>
      <c r="V347" s="56">
        <f>작성용!AA344</f>
        <v>202411</v>
      </c>
      <c r="W347" s="58" t="str">
        <f>작성용!AC344</f>
        <v>[Y]금융기관</v>
      </c>
      <c r="X347" s="58" t="str">
        <f>작성용!O344</f>
        <v>유수지매니저</v>
      </c>
      <c r="Y347" s="58" t="str">
        <f>작성용!P344</f>
        <v>02-3451-9251</v>
      </c>
      <c r="Z347" s="58" t="str">
        <f>작성용!Q344</f>
        <v>sjyou@ajuib.co.kr</v>
      </c>
      <c r="AA347" s="56" t="str">
        <f>작성용!AJ344</f>
        <v>재무보고목적</v>
      </c>
      <c r="AB347" s="56">
        <f>작성용!AB344</f>
        <v>0</v>
      </c>
    </row>
    <row r="348" spans="1:28" s="12" customFormat="1" ht="16.5" hidden="1" customHeight="1" x14ac:dyDescent="0.3">
      <c r="A348" s="54">
        <f>작성용!AL345</f>
        <v>344</v>
      </c>
      <c r="B348" s="55" t="str">
        <f>작성용!AI345</f>
        <v>-</v>
      </c>
      <c r="C348" s="56" t="str">
        <f>작성용!AK345</f>
        <v>개별종목</v>
      </c>
      <c r="D348" s="57">
        <f>작성용!T345</f>
        <v>45575</v>
      </c>
      <c r="E348" s="58" t="str">
        <f>작성용!B345</f>
        <v>아주아이비투자</v>
      </c>
      <c r="F348" s="58" t="str">
        <f>작성용!C345</f>
        <v>신규</v>
      </c>
      <c r="G348" s="58" t="str">
        <f>작성용!D345</f>
        <v>크리스틴컴퍼니</v>
      </c>
      <c r="H348" s="59">
        <f>작성용!E345</f>
        <v>1101117199957</v>
      </c>
      <c r="I348" s="58" t="str">
        <f>작성용!F345</f>
        <v>A07</v>
      </c>
      <c r="J348" s="58">
        <f>작성용!G345</f>
        <v>0</v>
      </c>
      <c r="K348" s="58" t="str">
        <f>작성용!H345</f>
        <v>-</v>
      </c>
      <c r="L348" s="58" t="str">
        <f>작성용!N345</f>
        <v>년</v>
      </c>
      <c r="M348" s="57" t="str">
        <f>작성용!U345</f>
        <v>2024.09.30</v>
      </c>
      <c r="N348" s="57">
        <f>작성용!V345</f>
        <v>45607</v>
      </c>
      <c r="O348" s="57">
        <f>작성용!W345</f>
        <v>45609</v>
      </c>
      <c r="P348" s="57" t="str">
        <f>작성용!X345</f>
        <v>-</v>
      </c>
      <c r="Q348" s="58" t="str">
        <f>작성용!AD345</f>
        <v>이진주</v>
      </c>
      <c r="R348" s="60">
        <f>작성용!AE345</f>
        <v>0</v>
      </c>
      <c r="S348" s="58" t="str">
        <f>작성용!AF345</f>
        <v>이진주</v>
      </c>
      <c r="T348" s="61" t="str">
        <f>작성용!AG345</f>
        <v>오수현</v>
      </c>
      <c r="U348" s="61" t="str">
        <f>작성용!AH345</f>
        <v>오수현</v>
      </c>
      <c r="V348" s="56">
        <f>작성용!AA345</f>
        <v>202411</v>
      </c>
      <c r="W348" s="58" t="str">
        <f>작성용!AC345</f>
        <v>[Y]금융기관</v>
      </c>
      <c r="X348" s="58" t="str">
        <f>작성용!O345</f>
        <v>유수지매니저</v>
      </c>
      <c r="Y348" s="58" t="str">
        <f>작성용!P345</f>
        <v>02-3451-9251</v>
      </c>
      <c r="Z348" s="58" t="str">
        <f>작성용!Q345</f>
        <v>sjyou@ajuib.co.kr</v>
      </c>
      <c r="AA348" s="56" t="str">
        <f>작성용!AJ345</f>
        <v>재무보고목적</v>
      </c>
      <c r="AB348" s="56">
        <f>작성용!AB345</f>
        <v>0</v>
      </c>
    </row>
    <row r="349" spans="1:28" s="12" customFormat="1" ht="16.5" hidden="1" customHeight="1" x14ac:dyDescent="0.3">
      <c r="A349" s="54">
        <f>작성용!AL346</f>
        <v>345</v>
      </c>
      <c r="B349" s="55" t="str">
        <f>작성용!AI346</f>
        <v>-</v>
      </c>
      <c r="C349" s="56" t="str">
        <f>작성용!AK346</f>
        <v>개별종목</v>
      </c>
      <c r="D349" s="57">
        <f>작성용!T346</f>
        <v>45575</v>
      </c>
      <c r="E349" s="58" t="str">
        <f>작성용!B346</f>
        <v>아주아이비투자</v>
      </c>
      <c r="F349" s="58" t="str">
        <f>작성용!C346</f>
        <v>신규</v>
      </c>
      <c r="G349" s="58" t="str">
        <f>작성용!D346</f>
        <v>탈로스</v>
      </c>
      <c r="H349" s="59">
        <f>작성용!E346</f>
        <v>2811110093358</v>
      </c>
      <c r="I349" s="58" t="str">
        <f>작성용!F346</f>
        <v>A01</v>
      </c>
      <c r="J349" s="58">
        <f>작성용!G346</f>
        <v>0</v>
      </c>
      <c r="K349" s="58" t="str">
        <f>작성용!H346</f>
        <v>-</v>
      </c>
      <c r="L349" s="58" t="str">
        <f>작성용!N346</f>
        <v>년</v>
      </c>
      <c r="M349" s="57" t="str">
        <f>작성용!U346</f>
        <v>2024.09.30</v>
      </c>
      <c r="N349" s="57">
        <f>작성용!V346</f>
        <v>45607</v>
      </c>
      <c r="O349" s="57">
        <f>작성용!W346</f>
        <v>45609</v>
      </c>
      <c r="P349" s="57" t="str">
        <f>작성용!X346</f>
        <v>-</v>
      </c>
      <c r="Q349" s="58" t="str">
        <f>작성용!AD346</f>
        <v>정재형</v>
      </c>
      <c r="R349" s="60">
        <f>작성용!AE346</f>
        <v>0</v>
      </c>
      <c r="S349" s="58" t="str">
        <f>작성용!AF346</f>
        <v>정재형</v>
      </c>
      <c r="T349" s="61" t="str">
        <f>작성용!AG346</f>
        <v>오수현</v>
      </c>
      <c r="U349" s="61" t="str">
        <f>작성용!AH346</f>
        <v>오수현</v>
      </c>
      <c r="V349" s="56">
        <f>작성용!AA346</f>
        <v>202411</v>
      </c>
      <c r="W349" s="58" t="str">
        <f>작성용!AC346</f>
        <v>[Y]금융기관</v>
      </c>
      <c r="X349" s="58" t="str">
        <f>작성용!O346</f>
        <v>유수지매니저</v>
      </c>
      <c r="Y349" s="58" t="str">
        <f>작성용!P346</f>
        <v>02-3451-9251</v>
      </c>
      <c r="Z349" s="58" t="str">
        <f>작성용!Q346</f>
        <v>sjyou@ajuib.co.kr</v>
      </c>
      <c r="AA349" s="56" t="str">
        <f>작성용!AJ346</f>
        <v>재무보고목적</v>
      </c>
      <c r="AB349" s="56">
        <f>작성용!AB346</f>
        <v>0</v>
      </c>
    </row>
    <row r="350" spans="1:28" s="12" customFormat="1" ht="16.5" hidden="1" customHeight="1" x14ac:dyDescent="0.3">
      <c r="A350" s="54">
        <f>작성용!AL347</f>
        <v>346</v>
      </c>
      <c r="B350" s="55" t="str">
        <f>작성용!AI347</f>
        <v>-</v>
      </c>
      <c r="C350" s="56" t="str">
        <f>작성용!AK347</f>
        <v>개별종목</v>
      </c>
      <c r="D350" s="57">
        <f>작성용!T347</f>
        <v>45575</v>
      </c>
      <c r="E350" s="58" t="str">
        <f>작성용!B347</f>
        <v>아주아이비투자</v>
      </c>
      <c r="F350" s="58" t="str">
        <f>작성용!C347</f>
        <v>재평가</v>
      </c>
      <c r="G350" s="58" t="str">
        <f>작성용!D347</f>
        <v>테라시드바이오사이언스</v>
      </c>
      <c r="H350" s="59">
        <f>작성용!E347</f>
        <v>1311110484201</v>
      </c>
      <c r="I350" s="58" t="str">
        <f>작성용!F347</f>
        <v>A07</v>
      </c>
      <c r="J350" s="58">
        <f>작성용!G347</f>
        <v>0</v>
      </c>
      <c r="K350" s="58" t="str">
        <f>작성용!H347</f>
        <v>-</v>
      </c>
      <c r="L350" s="58" t="str">
        <f>작성용!N347</f>
        <v>년</v>
      </c>
      <c r="M350" s="57" t="str">
        <f>작성용!U347</f>
        <v>2024.09.30</v>
      </c>
      <c r="N350" s="57">
        <f>작성용!V347</f>
        <v>45607</v>
      </c>
      <c r="O350" s="57">
        <f>작성용!W347</f>
        <v>45609</v>
      </c>
      <c r="P350" s="57" t="str">
        <f>작성용!X347</f>
        <v>-</v>
      </c>
      <c r="Q350" s="58" t="str">
        <f>작성용!AD347</f>
        <v>정은채</v>
      </c>
      <c r="R350" s="60">
        <f>작성용!AE347</f>
        <v>1</v>
      </c>
      <c r="S350" s="58" t="str">
        <f>작성용!AF347</f>
        <v>정은채</v>
      </c>
      <c r="T350" s="61" t="str">
        <f>작성용!AG347</f>
        <v>오수현</v>
      </c>
      <c r="U350" s="61" t="str">
        <f>작성용!AH347</f>
        <v>오수현</v>
      </c>
      <c r="V350" s="56">
        <f>작성용!AA347</f>
        <v>202411</v>
      </c>
      <c r="W350" s="58" t="str">
        <f>작성용!AC347</f>
        <v>[Y]금융기관</v>
      </c>
      <c r="X350" s="58" t="str">
        <f>작성용!O347</f>
        <v>유수지매니저</v>
      </c>
      <c r="Y350" s="58" t="str">
        <f>작성용!P347</f>
        <v>02-3451-9251</v>
      </c>
      <c r="Z350" s="58" t="str">
        <f>작성용!Q347</f>
        <v>sjyou@ajuib.co.kr</v>
      </c>
      <c r="AA350" s="56" t="str">
        <f>작성용!AJ347</f>
        <v>재무보고목적</v>
      </c>
      <c r="AB350" s="56">
        <f>작성용!AB347</f>
        <v>0</v>
      </c>
    </row>
    <row r="351" spans="1:28" s="12" customFormat="1" ht="16.5" hidden="1" customHeight="1" x14ac:dyDescent="0.3">
      <c r="A351" s="54">
        <f>작성용!AL348</f>
        <v>347</v>
      </c>
      <c r="B351" s="55" t="str">
        <f>작성용!AI348</f>
        <v>-</v>
      </c>
      <c r="C351" s="56" t="str">
        <f>작성용!AK348</f>
        <v>개별종목</v>
      </c>
      <c r="D351" s="57">
        <f>작성용!T348</f>
        <v>45575</v>
      </c>
      <c r="E351" s="58" t="str">
        <f>작성용!B348</f>
        <v>아주아이비투자</v>
      </c>
      <c r="F351" s="58" t="str">
        <f>작성용!C348</f>
        <v>신규</v>
      </c>
      <c r="G351" s="58" t="str">
        <f>작성용!D348</f>
        <v>테라시스디앤씨(구,테라시스)</v>
      </c>
      <c r="H351" s="59">
        <f>작성용!E348</f>
        <v>1101116630308</v>
      </c>
      <c r="I351" s="58" t="str">
        <f>작성용!F348</f>
        <v>A07</v>
      </c>
      <c r="J351" s="58">
        <f>작성용!G348</f>
        <v>0</v>
      </c>
      <c r="K351" s="58" t="str">
        <f>작성용!H348</f>
        <v>-</v>
      </c>
      <c r="L351" s="58" t="str">
        <f>작성용!N348</f>
        <v>년</v>
      </c>
      <c r="M351" s="57" t="str">
        <f>작성용!U348</f>
        <v>2024.09.30</v>
      </c>
      <c r="N351" s="57">
        <f>작성용!V348</f>
        <v>45607</v>
      </c>
      <c r="O351" s="57">
        <f>작성용!W348</f>
        <v>45609</v>
      </c>
      <c r="P351" s="57" t="str">
        <f>작성용!X348</f>
        <v>-</v>
      </c>
      <c r="Q351" s="58" t="str">
        <f>작성용!AD348</f>
        <v>백형진</v>
      </c>
      <c r="R351" s="60">
        <f>작성용!AE348</f>
        <v>1</v>
      </c>
      <c r="S351" s="58" t="str">
        <f>작성용!AF348</f>
        <v>백형진</v>
      </c>
      <c r="T351" s="61" t="str">
        <f>작성용!AG348</f>
        <v>오수현</v>
      </c>
      <c r="U351" s="61" t="str">
        <f>작성용!AH348</f>
        <v>오수현</v>
      </c>
      <c r="V351" s="56">
        <f>작성용!AA348</f>
        <v>202411</v>
      </c>
      <c r="W351" s="58" t="str">
        <f>작성용!AC348</f>
        <v>[Y]금융기관</v>
      </c>
      <c r="X351" s="58" t="str">
        <f>작성용!O348</f>
        <v>유수지매니저</v>
      </c>
      <c r="Y351" s="58" t="str">
        <f>작성용!P348</f>
        <v>02-3451-9251</v>
      </c>
      <c r="Z351" s="58" t="str">
        <f>작성용!Q348</f>
        <v>sjyou@ajuib.co.kr</v>
      </c>
      <c r="AA351" s="56" t="str">
        <f>작성용!AJ348</f>
        <v>재무보고목적</v>
      </c>
      <c r="AB351" s="56">
        <f>작성용!AB348</f>
        <v>0</v>
      </c>
    </row>
    <row r="352" spans="1:28" s="12" customFormat="1" ht="16.5" hidden="1" customHeight="1" x14ac:dyDescent="0.3">
      <c r="A352" s="54">
        <f>작성용!AL349</f>
        <v>348</v>
      </c>
      <c r="B352" s="55" t="str">
        <f>작성용!AI349</f>
        <v>-</v>
      </c>
      <c r="C352" s="56" t="str">
        <f>작성용!AK349</f>
        <v>개별종목</v>
      </c>
      <c r="D352" s="57">
        <f>작성용!T349</f>
        <v>45575</v>
      </c>
      <c r="E352" s="58" t="str">
        <f>작성용!B349</f>
        <v>아주아이비투자</v>
      </c>
      <c r="F352" s="58" t="str">
        <f>작성용!C349</f>
        <v>재평가</v>
      </c>
      <c r="G352" s="58" t="str">
        <f>작성용!D349</f>
        <v>팀프레시</v>
      </c>
      <c r="H352" s="59">
        <f>작성용!E349</f>
        <v>1101116761096</v>
      </c>
      <c r="I352" s="58" t="str">
        <f>작성용!F349</f>
        <v>A01</v>
      </c>
      <c r="J352" s="58">
        <f>작성용!G349</f>
        <v>0</v>
      </c>
      <c r="K352" s="58" t="str">
        <f>작성용!H349</f>
        <v>-</v>
      </c>
      <c r="L352" s="58" t="str">
        <f>작성용!N349</f>
        <v>년</v>
      </c>
      <c r="M352" s="57" t="str">
        <f>작성용!U349</f>
        <v>2024.09.30</v>
      </c>
      <c r="N352" s="57">
        <f>작성용!V349</f>
        <v>45607</v>
      </c>
      <c r="O352" s="57">
        <f>작성용!W349</f>
        <v>45609</v>
      </c>
      <c r="P352" s="57" t="str">
        <f>작성용!X349</f>
        <v>-</v>
      </c>
      <c r="Q352" s="58" t="str">
        <f>작성용!AD349</f>
        <v>최수민</v>
      </c>
      <c r="R352" s="60">
        <f>작성용!AE349</f>
        <v>1</v>
      </c>
      <c r="S352" s="58" t="str">
        <f>작성용!AF349</f>
        <v>최수민</v>
      </c>
      <c r="T352" s="61" t="str">
        <f>작성용!AG349</f>
        <v>오수현</v>
      </c>
      <c r="U352" s="61" t="str">
        <f>작성용!AH349</f>
        <v>오수현</v>
      </c>
      <c r="V352" s="56">
        <f>작성용!AA349</f>
        <v>202411</v>
      </c>
      <c r="W352" s="58" t="str">
        <f>작성용!AC349</f>
        <v>[Y]금융기관</v>
      </c>
      <c r="X352" s="58" t="str">
        <f>작성용!O349</f>
        <v>유수지매니저</v>
      </c>
      <c r="Y352" s="58" t="str">
        <f>작성용!P349</f>
        <v>02-3451-9251</v>
      </c>
      <c r="Z352" s="58" t="str">
        <f>작성용!Q349</f>
        <v>sjyou@ajuib.co.kr</v>
      </c>
      <c r="AA352" s="56" t="str">
        <f>작성용!AJ349</f>
        <v>재무보고목적</v>
      </c>
      <c r="AB352" s="56">
        <f>작성용!AB349</f>
        <v>0</v>
      </c>
    </row>
    <row r="353" spans="1:28" s="12" customFormat="1" ht="16.5" hidden="1" customHeight="1" x14ac:dyDescent="0.3">
      <c r="A353" s="54">
        <f>작성용!AL350</f>
        <v>349</v>
      </c>
      <c r="B353" s="55" t="str">
        <f>작성용!AI350</f>
        <v>-</v>
      </c>
      <c r="C353" s="56" t="str">
        <f>작성용!AK350</f>
        <v>개별종목</v>
      </c>
      <c r="D353" s="57">
        <f>작성용!T350</f>
        <v>45575</v>
      </c>
      <c r="E353" s="58" t="str">
        <f>작성용!B350</f>
        <v>아주아이비투자</v>
      </c>
      <c r="F353" s="58" t="str">
        <f>작성용!C350</f>
        <v>재평가</v>
      </c>
      <c r="G353" s="58" t="str">
        <f>작성용!D350</f>
        <v>팀프레시</v>
      </c>
      <c r="H353" s="59">
        <f>작성용!E350</f>
        <v>1101116761096</v>
      </c>
      <c r="I353" s="58" t="str">
        <f>작성용!F350</f>
        <v>A07</v>
      </c>
      <c r="J353" s="58">
        <f>작성용!G350</f>
        <v>5</v>
      </c>
      <c r="K353" s="58" t="str">
        <f>작성용!H350</f>
        <v>-</v>
      </c>
      <c r="L353" s="58" t="str">
        <f>작성용!N350</f>
        <v>년</v>
      </c>
      <c r="M353" s="57" t="str">
        <f>작성용!U350</f>
        <v>2024.09.30</v>
      </c>
      <c r="N353" s="57">
        <f>작성용!V350</f>
        <v>45607</v>
      </c>
      <c r="O353" s="57">
        <f>작성용!W350</f>
        <v>45609</v>
      </c>
      <c r="P353" s="57" t="str">
        <f>작성용!X350</f>
        <v>-</v>
      </c>
      <c r="Q353" s="58" t="str">
        <f>작성용!AD350</f>
        <v>최수민</v>
      </c>
      <c r="R353" s="60">
        <f>작성용!AE350</f>
        <v>0</v>
      </c>
      <c r="S353" s="58" t="str">
        <f>작성용!AF350</f>
        <v>최수민</v>
      </c>
      <c r="T353" s="61" t="str">
        <f>작성용!AG350</f>
        <v>오수현</v>
      </c>
      <c r="U353" s="61" t="str">
        <f>작성용!AH350</f>
        <v>오수현</v>
      </c>
      <c r="V353" s="56">
        <f>작성용!AA350</f>
        <v>202411</v>
      </c>
      <c r="W353" s="58" t="str">
        <f>작성용!AC350</f>
        <v>[Y]금융기관</v>
      </c>
      <c r="X353" s="58" t="str">
        <f>작성용!O350</f>
        <v>유수지매니저</v>
      </c>
      <c r="Y353" s="58" t="str">
        <f>작성용!P350</f>
        <v>02-3451-9251</v>
      </c>
      <c r="Z353" s="58" t="str">
        <f>작성용!Q350</f>
        <v>sjyou@ajuib.co.kr</v>
      </c>
      <c r="AA353" s="56" t="str">
        <f>작성용!AJ350</f>
        <v>재무보고목적</v>
      </c>
      <c r="AB353" s="56">
        <f>작성용!AB350</f>
        <v>0</v>
      </c>
    </row>
    <row r="354" spans="1:28" s="12" customFormat="1" ht="16.5" hidden="1" customHeight="1" x14ac:dyDescent="0.3">
      <c r="A354" s="54">
        <f>작성용!AL351</f>
        <v>350</v>
      </c>
      <c r="B354" s="55" t="str">
        <f>작성용!AI351</f>
        <v>-</v>
      </c>
      <c r="C354" s="56" t="str">
        <f>작성용!AK351</f>
        <v>개별종목</v>
      </c>
      <c r="D354" s="57">
        <f>작성용!T351</f>
        <v>45575</v>
      </c>
      <c r="E354" s="58" t="str">
        <f>작성용!B351</f>
        <v>아주아이비투자</v>
      </c>
      <c r="F354" s="58" t="str">
        <f>작성용!C351</f>
        <v>재평가</v>
      </c>
      <c r="G354" s="58" t="str">
        <f>작성용!D351</f>
        <v>해피문데이</v>
      </c>
      <c r="H354" s="59">
        <f>작성용!E351</f>
        <v>1101116451530</v>
      </c>
      <c r="I354" s="58" t="str">
        <f>작성용!F351</f>
        <v>A05</v>
      </c>
      <c r="J354" s="58">
        <f>작성용!G351</f>
        <v>1</v>
      </c>
      <c r="K354" s="58" t="str">
        <f>작성용!H351</f>
        <v>-</v>
      </c>
      <c r="L354" s="58" t="str">
        <f>작성용!N351</f>
        <v>년</v>
      </c>
      <c r="M354" s="57" t="str">
        <f>작성용!U351</f>
        <v>2024.09.30</v>
      </c>
      <c r="N354" s="57">
        <f>작성용!V351</f>
        <v>45607</v>
      </c>
      <c r="O354" s="57">
        <f>작성용!W351</f>
        <v>45609</v>
      </c>
      <c r="P354" s="57" t="str">
        <f>작성용!X351</f>
        <v>-</v>
      </c>
      <c r="Q354" s="58" t="str">
        <f>작성용!AD351</f>
        <v>김예림</v>
      </c>
      <c r="R354" s="60">
        <f>작성용!AE351</f>
        <v>0</v>
      </c>
      <c r="S354" s="58" t="str">
        <f>작성용!AF351</f>
        <v>김예림</v>
      </c>
      <c r="T354" s="61" t="str">
        <f>작성용!AG351</f>
        <v>오수현</v>
      </c>
      <c r="U354" s="61" t="str">
        <f>작성용!AH351</f>
        <v>오수현</v>
      </c>
      <c r="V354" s="56">
        <f>작성용!AA351</f>
        <v>202411</v>
      </c>
      <c r="W354" s="58" t="str">
        <f>작성용!AC351</f>
        <v>[Y]금융기관</v>
      </c>
      <c r="X354" s="58" t="str">
        <f>작성용!O351</f>
        <v>유수지매니저</v>
      </c>
      <c r="Y354" s="58" t="str">
        <f>작성용!P351</f>
        <v>02-3451-9251</v>
      </c>
      <c r="Z354" s="58" t="str">
        <f>작성용!Q351</f>
        <v>sjyou@ajuib.co.kr</v>
      </c>
      <c r="AA354" s="56" t="str">
        <f>작성용!AJ351</f>
        <v>재무보고목적</v>
      </c>
      <c r="AB354" s="56">
        <f>작성용!AB351</f>
        <v>0</v>
      </c>
    </row>
    <row r="355" spans="1:28" s="12" customFormat="1" ht="16.5" hidden="1" customHeight="1" x14ac:dyDescent="0.3">
      <c r="A355" s="54">
        <f>작성용!AL352</f>
        <v>351</v>
      </c>
      <c r="B355" s="55" t="str">
        <f>작성용!AI352</f>
        <v>-</v>
      </c>
      <c r="C355" s="56" t="str">
        <f>작성용!AK352</f>
        <v>개별종목</v>
      </c>
      <c r="D355" s="57">
        <f>작성용!T352</f>
        <v>45575</v>
      </c>
      <c r="E355" s="58" t="str">
        <f>작성용!B352</f>
        <v>아주아이비투자</v>
      </c>
      <c r="F355" s="58" t="str">
        <f>작성용!C352</f>
        <v>신규</v>
      </c>
      <c r="G355" s="58" t="str">
        <f>작성용!D352</f>
        <v>홈체크</v>
      </c>
      <c r="H355" s="59">
        <f>작성용!E352</f>
        <v>1345110316205</v>
      </c>
      <c r="I355" s="58" t="str">
        <f>작성용!F352</f>
        <v>D03</v>
      </c>
      <c r="J355" s="58">
        <f>작성용!G352</f>
        <v>0</v>
      </c>
      <c r="K355" s="58" t="str">
        <f>작성용!H352</f>
        <v>-</v>
      </c>
      <c r="L355" s="58" t="str">
        <f>작성용!N352</f>
        <v>년</v>
      </c>
      <c r="M355" s="57" t="str">
        <f>작성용!U352</f>
        <v>2024.09.30</v>
      </c>
      <c r="N355" s="57">
        <f>작성용!V352</f>
        <v>45607</v>
      </c>
      <c r="O355" s="57">
        <f>작성용!W352</f>
        <v>45609</v>
      </c>
      <c r="P355" s="57" t="str">
        <f>작성용!X352</f>
        <v>-</v>
      </c>
      <c r="Q355" s="58" t="str">
        <f>작성용!AD352</f>
        <v>이진주</v>
      </c>
      <c r="R355" s="60">
        <f>작성용!AE352</f>
        <v>1</v>
      </c>
      <c r="S355" s="58" t="str">
        <f>작성용!AF352</f>
        <v>이진주</v>
      </c>
      <c r="T355" s="61" t="str">
        <f>작성용!AG352</f>
        <v>오수현</v>
      </c>
      <c r="U355" s="61" t="str">
        <f>작성용!AH352</f>
        <v>오수현</v>
      </c>
      <c r="V355" s="56">
        <f>작성용!AA352</f>
        <v>202411</v>
      </c>
      <c r="W355" s="58" t="str">
        <f>작성용!AC352</f>
        <v>[Y]금융기관</v>
      </c>
      <c r="X355" s="58" t="str">
        <f>작성용!O352</f>
        <v>유수지매니저</v>
      </c>
      <c r="Y355" s="58" t="str">
        <f>작성용!P352</f>
        <v>02-3451-9251</v>
      </c>
      <c r="Z355" s="58" t="str">
        <f>작성용!Q352</f>
        <v>sjyou@ajuib.co.kr</v>
      </c>
      <c r="AA355" s="56" t="str">
        <f>작성용!AJ352</f>
        <v>재무보고목적</v>
      </c>
      <c r="AB355" s="56">
        <f>작성용!AB352</f>
        <v>0</v>
      </c>
    </row>
    <row r="356" spans="1:28" s="12" customFormat="1" ht="16.5" hidden="1" customHeight="1" x14ac:dyDescent="0.3">
      <c r="A356" s="54">
        <f>작성용!AL353</f>
        <v>352</v>
      </c>
      <c r="B356" s="55" t="str">
        <f>작성용!AI353</f>
        <v>-</v>
      </c>
      <c r="C356" s="56" t="str">
        <f>작성용!AK353</f>
        <v>개별종목</v>
      </c>
      <c r="D356" s="57">
        <f>작성용!T353</f>
        <v>45575</v>
      </c>
      <c r="E356" s="58" t="str">
        <f>작성용!B353</f>
        <v>아주아이비투자</v>
      </c>
      <c r="F356" s="58" t="str">
        <f>작성용!C353</f>
        <v>신규</v>
      </c>
      <c r="G356" s="58" t="str">
        <f>작성용!D353</f>
        <v>Boxhub, ApS</v>
      </c>
      <c r="H356" s="59" t="str">
        <f>작성용!E353</f>
        <v>KBP2023060085</v>
      </c>
      <c r="I356" s="58" t="str">
        <f>작성용!F353</f>
        <v>A05</v>
      </c>
      <c r="J356" s="58">
        <f>작성용!G353</f>
        <v>0</v>
      </c>
      <c r="K356" s="58" t="str">
        <f>작성용!H353</f>
        <v>-</v>
      </c>
      <c r="L356" s="58" t="str">
        <f>작성용!N353</f>
        <v>년</v>
      </c>
      <c r="M356" s="57" t="str">
        <f>작성용!U353</f>
        <v>2024.09.30</v>
      </c>
      <c r="N356" s="57">
        <f>작성용!V353</f>
        <v>45607</v>
      </c>
      <c r="O356" s="57">
        <f>작성용!W353</f>
        <v>45609</v>
      </c>
      <c r="P356" s="57" t="str">
        <f>작성용!X353</f>
        <v>-</v>
      </c>
      <c r="Q356" s="58" t="str">
        <f>작성용!AD353</f>
        <v>백형진</v>
      </c>
      <c r="R356" s="60">
        <f>작성용!AE353</f>
        <v>1</v>
      </c>
      <c r="S356" s="58" t="str">
        <f>작성용!AF353</f>
        <v>백형진</v>
      </c>
      <c r="T356" s="61" t="str">
        <f>작성용!AG353</f>
        <v>오수현</v>
      </c>
      <c r="U356" s="61" t="str">
        <f>작성용!AH353</f>
        <v>오수현</v>
      </c>
      <c r="V356" s="56">
        <f>작성용!AA353</f>
        <v>202411</v>
      </c>
      <c r="W356" s="58" t="str">
        <f>작성용!AC353</f>
        <v>[Y]금융기관</v>
      </c>
      <c r="X356" s="58" t="str">
        <f>작성용!O353</f>
        <v>유수지매니저</v>
      </c>
      <c r="Y356" s="58" t="str">
        <f>작성용!P353</f>
        <v>02-3451-9251</v>
      </c>
      <c r="Z356" s="58" t="str">
        <f>작성용!Q353</f>
        <v>sjyou@ajuib.co.kr</v>
      </c>
      <c r="AA356" s="56" t="str">
        <f>작성용!AJ353</f>
        <v>재무보고목적</v>
      </c>
      <c r="AB356" s="56">
        <f>작성용!AB353</f>
        <v>0</v>
      </c>
    </row>
    <row r="357" spans="1:28" s="12" customFormat="1" ht="16.5" hidden="1" customHeight="1" x14ac:dyDescent="0.3">
      <c r="A357" s="54">
        <f>작성용!AL354</f>
        <v>353</v>
      </c>
      <c r="B357" s="55" t="str">
        <f>작성용!AI354</f>
        <v>-</v>
      </c>
      <c r="C357" s="56" t="str">
        <f>작성용!AK354</f>
        <v>개별종목</v>
      </c>
      <c r="D357" s="57">
        <f>작성용!T354</f>
        <v>45575</v>
      </c>
      <c r="E357" s="58" t="str">
        <f>작성용!B354</f>
        <v>아주아이비투자</v>
      </c>
      <c r="F357" s="58" t="str">
        <f>작성용!C354</f>
        <v>재평가</v>
      </c>
      <c r="G357" s="58" t="str">
        <f>작성용!D354</f>
        <v>Carbon Biosciences, Inc.</v>
      </c>
      <c r="H357" s="59" t="str">
        <f>작성용!E354</f>
        <v>KBP2022030098</v>
      </c>
      <c r="I357" s="58" t="str">
        <f>작성용!F354</f>
        <v>A05</v>
      </c>
      <c r="J357" s="58">
        <f>작성용!G354</f>
        <v>0</v>
      </c>
      <c r="K357" s="58" t="str">
        <f>작성용!H354</f>
        <v>-</v>
      </c>
      <c r="L357" s="58" t="str">
        <f>작성용!N354</f>
        <v>년</v>
      </c>
      <c r="M357" s="57" t="str">
        <f>작성용!U354</f>
        <v>2024.09.30</v>
      </c>
      <c r="N357" s="57">
        <f>작성용!V354</f>
        <v>45607</v>
      </c>
      <c r="O357" s="57">
        <f>작성용!W354</f>
        <v>45609</v>
      </c>
      <c r="P357" s="57" t="str">
        <f>작성용!X354</f>
        <v>-</v>
      </c>
      <c r="Q357" s="58" t="str">
        <f>작성용!AD354</f>
        <v>오수현</v>
      </c>
      <c r="R357" s="60">
        <f>작성용!AE354</f>
        <v>1</v>
      </c>
      <c r="S357" s="58" t="str">
        <f>작성용!AF354</f>
        <v>오수현</v>
      </c>
      <c r="T357" s="61" t="str">
        <f>작성용!AG354</f>
        <v>오수현</v>
      </c>
      <c r="U357" s="61" t="str">
        <f>작성용!AH354</f>
        <v>오수현</v>
      </c>
      <c r="V357" s="56">
        <f>작성용!AA354</f>
        <v>202411</v>
      </c>
      <c r="W357" s="58" t="str">
        <f>작성용!AC354</f>
        <v>[Y]금융기관</v>
      </c>
      <c r="X357" s="58" t="str">
        <f>작성용!O354</f>
        <v>유수지매니저</v>
      </c>
      <c r="Y357" s="58" t="str">
        <f>작성용!P354</f>
        <v>02-3451-9251</v>
      </c>
      <c r="Z357" s="58" t="str">
        <f>작성용!Q354</f>
        <v>sjyou@ajuib.co.kr</v>
      </c>
      <c r="AA357" s="56" t="str">
        <f>작성용!AJ354</f>
        <v>재무보고목적</v>
      </c>
      <c r="AB357" s="56">
        <f>작성용!AB354</f>
        <v>0</v>
      </c>
    </row>
    <row r="358" spans="1:28" s="12" customFormat="1" ht="16.5" hidden="1" customHeight="1" x14ac:dyDescent="0.3">
      <c r="A358" s="54">
        <f>작성용!AL355</f>
        <v>354</v>
      </c>
      <c r="B358" s="55" t="str">
        <f>작성용!AI355</f>
        <v>-</v>
      </c>
      <c r="C358" s="56" t="str">
        <f>작성용!AK355</f>
        <v>개별종목</v>
      </c>
      <c r="D358" s="57">
        <f>작성용!T355</f>
        <v>45575</v>
      </c>
      <c r="E358" s="58" t="str">
        <f>작성용!B355</f>
        <v>아주아이비투자</v>
      </c>
      <c r="F358" s="58" t="str">
        <f>작성용!C355</f>
        <v>재평가</v>
      </c>
      <c r="G358" s="58" t="str">
        <f>작성용!D355</f>
        <v>Carbon Biosciences, Inc.</v>
      </c>
      <c r="H358" s="59" t="str">
        <f>작성용!E355</f>
        <v>KBP2022030098</v>
      </c>
      <c r="I358" s="58" t="str">
        <f>작성용!F355</f>
        <v>D02</v>
      </c>
      <c r="J358" s="58">
        <f>작성용!G355</f>
        <v>0</v>
      </c>
      <c r="K358" s="58" t="str">
        <f>작성용!H355</f>
        <v>-</v>
      </c>
      <c r="L358" s="58" t="str">
        <f>작성용!N355</f>
        <v>년</v>
      </c>
      <c r="M358" s="57" t="str">
        <f>작성용!U355</f>
        <v>2024.09.30</v>
      </c>
      <c r="N358" s="57">
        <f>작성용!V355</f>
        <v>45607</v>
      </c>
      <c r="O358" s="57">
        <f>작성용!W355</f>
        <v>45609</v>
      </c>
      <c r="P358" s="57" t="str">
        <f>작성용!X355</f>
        <v>-</v>
      </c>
      <c r="Q358" s="58" t="str">
        <f>작성용!AD355</f>
        <v>오수현</v>
      </c>
      <c r="R358" s="60">
        <f>작성용!AE355</f>
        <v>0</v>
      </c>
      <c r="S358" s="58" t="str">
        <f>작성용!AF355</f>
        <v>오수현</v>
      </c>
      <c r="T358" s="61" t="str">
        <f>작성용!AG355</f>
        <v>오수현</v>
      </c>
      <c r="U358" s="61" t="str">
        <f>작성용!AH355</f>
        <v>오수현</v>
      </c>
      <c r="V358" s="56">
        <f>작성용!AA355</f>
        <v>202411</v>
      </c>
      <c r="W358" s="58" t="str">
        <f>작성용!AC355</f>
        <v>[Y]금융기관</v>
      </c>
      <c r="X358" s="58" t="str">
        <f>작성용!O355</f>
        <v>유수지매니저</v>
      </c>
      <c r="Y358" s="58" t="str">
        <f>작성용!P355</f>
        <v>02-3451-9251</v>
      </c>
      <c r="Z358" s="58" t="str">
        <f>작성용!Q355</f>
        <v>sjyou@ajuib.co.kr</v>
      </c>
      <c r="AA358" s="56" t="str">
        <f>작성용!AJ355</f>
        <v>재무보고목적</v>
      </c>
      <c r="AB358" s="56">
        <f>작성용!AB355</f>
        <v>0</v>
      </c>
    </row>
    <row r="359" spans="1:28" s="12" customFormat="1" ht="16.5" hidden="1" customHeight="1" x14ac:dyDescent="0.3">
      <c r="A359" s="54">
        <f>작성용!AL356</f>
        <v>355</v>
      </c>
      <c r="B359" s="55" t="str">
        <f>작성용!AI356</f>
        <v>-</v>
      </c>
      <c r="C359" s="56" t="str">
        <f>작성용!AK356</f>
        <v>개별종목</v>
      </c>
      <c r="D359" s="57">
        <f>작성용!T356</f>
        <v>45575</v>
      </c>
      <c r="E359" s="58" t="str">
        <f>작성용!B356</f>
        <v>아주아이비투자</v>
      </c>
      <c r="F359" s="58" t="str">
        <f>작성용!C356</f>
        <v>신규</v>
      </c>
      <c r="G359" s="58" t="str">
        <f>작성용!D356</f>
        <v>Fama Technologies, Inc.</v>
      </c>
      <c r="H359" s="59" t="str">
        <f>작성용!E356</f>
        <v>KBP2022120258</v>
      </c>
      <c r="I359" s="58" t="str">
        <f>작성용!F356</f>
        <v>A05</v>
      </c>
      <c r="J359" s="58">
        <f>작성용!G356</f>
        <v>0</v>
      </c>
      <c r="K359" s="58" t="str">
        <f>작성용!H356</f>
        <v>-</v>
      </c>
      <c r="L359" s="58" t="str">
        <f>작성용!N356</f>
        <v>년</v>
      </c>
      <c r="M359" s="57" t="str">
        <f>작성용!U356</f>
        <v>2024.09.30</v>
      </c>
      <c r="N359" s="57">
        <f>작성용!V356</f>
        <v>45607</v>
      </c>
      <c r="O359" s="57">
        <f>작성용!W356</f>
        <v>45609</v>
      </c>
      <c r="P359" s="57" t="str">
        <f>작성용!X356</f>
        <v>-</v>
      </c>
      <c r="Q359" s="58" t="str">
        <f>작성용!AD356</f>
        <v>김예림</v>
      </c>
      <c r="R359" s="60">
        <f>작성용!AE356</f>
        <v>1</v>
      </c>
      <c r="S359" s="58" t="str">
        <f>작성용!AF356</f>
        <v>김예림</v>
      </c>
      <c r="T359" s="61" t="str">
        <f>작성용!AG356</f>
        <v>오수현</v>
      </c>
      <c r="U359" s="61" t="str">
        <f>작성용!AH356</f>
        <v>오수현</v>
      </c>
      <c r="V359" s="56">
        <f>작성용!AA356</f>
        <v>202411</v>
      </c>
      <c r="W359" s="58" t="str">
        <f>작성용!AC356</f>
        <v>[Y]금융기관</v>
      </c>
      <c r="X359" s="58" t="str">
        <f>작성용!O356</f>
        <v>유수지매니저</v>
      </c>
      <c r="Y359" s="58" t="str">
        <f>작성용!P356</f>
        <v>02-3451-9251</v>
      </c>
      <c r="Z359" s="58" t="str">
        <f>작성용!Q356</f>
        <v>sjyou@ajuib.co.kr</v>
      </c>
      <c r="AA359" s="56" t="str">
        <f>작성용!AJ356</f>
        <v>재무보고목적</v>
      </c>
      <c r="AB359" s="56">
        <f>작성용!AB356</f>
        <v>0</v>
      </c>
    </row>
    <row r="360" spans="1:28" s="12" customFormat="1" ht="16.5" hidden="1" customHeight="1" x14ac:dyDescent="0.3">
      <c r="A360" s="54">
        <f>작성용!AL357</f>
        <v>356</v>
      </c>
      <c r="B360" s="55" t="str">
        <f>작성용!AI357</f>
        <v>-</v>
      </c>
      <c r="C360" s="56" t="str">
        <f>작성용!AK357</f>
        <v>개별종목</v>
      </c>
      <c r="D360" s="57">
        <f>작성용!T357</f>
        <v>45575</v>
      </c>
      <c r="E360" s="58" t="str">
        <f>작성용!B357</f>
        <v>아주아이비투자</v>
      </c>
      <c r="F360" s="58" t="str">
        <f>작성용!C357</f>
        <v>신규</v>
      </c>
      <c r="G360" s="58" t="str">
        <f>작성용!D357</f>
        <v>Primemas Inc.</v>
      </c>
      <c r="H360" s="59" t="str">
        <f>작성용!E357</f>
        <v>KBP2023090020</v>
      </c>
      <c r="I360" s="58" t="str">
        <f>작성용!F357</f>
        <v>A05</v>
      </c>
      <c r="J360" s="58">
        <f>작성용!G357</f>
        <v>0</v>
      </c>
      <c r="K360" s="58" t="str">
        <f>작성용!H357</f>
        <v>-</v>
      </c>
      <c r="L360" s="58" t="str">
        <f>작성용!N357</f>
        <v>년</v>
      </c>
      <c r="M360" s="57" t="str">
        <f>작성용!U357</f>
        <v>2024.09.30</v>
      </c>
      <c r="N360" s="57">
        <f>작성용!V357</f>
        <v>45607</v>
      </c>
      <c r="O360" s="57">
        <f>작성용!W357</f>
        <v>45609</v>
      </c>
      <c r="P360" s="57" t="str">
        <f>작성용!X357</f>
        <v>-</v>
      </c>
      <c r="Q360" s="58" t="str">
        <f>작성용!AD357</f>
        <v>채동우</v>
      </c>
      <c r="R360" s="60">
        <f>작성용!AE357</f>
        <v>1</v>
      </c>
      <c r="S360" s="58" t="str">
        <f>작성용!AF357</f>
        <v>채동우</v>
      </c>
      <c r="T360" s="61" t="str">
        <f>작성용!AG357</f>
        <v>오수현</v>
      </c>
      <c r="U360" s="61" t="str">
        <f>작성용!AH357</f>
        <v>오수현</v>
      </c>
      <c r="V360" s="56">
        <f>작성용!AA357</f>
        <v>202411</v>
      </c>
      <c r="W360" s="58" t="str">
        <f>작성용!AC357</f>
        <v>[Y]금융기관</v>
      </c>
      <c r="X360" s="58" t="str">
        <f>작성용!O357</f>
        <v>유수지매니저</v>
      </c>
      <c r="Y360" s="58" t="str">
        <f>작성용!P357</f>
        <v>02-3451-9251</v>
      </c>
      <c r="Z360" s="58" t="str">
        <f>작성용!Q357</f>
        <v>sjyou@ajuib.co.kr</v>
      </c>
      <c r="AA360" s="56" t="str">
        <f>작성용!AJ357</f>
        <v>재무보고목적</v>
      </c>
      <c r="AB360" s="56">
        <f>작성용!AB357</f>
        <v>0</v>
      </c>
    </row>
    <row r="361" spans="1:28" s="12" customFormat="1" ht="16.5" hidden="1" customHeight="1" x14ac:dyDescent="0.3">
      <c r="A361" s="54">
        <f>작성용!AL358</f>
        <v>357</v>
      </c>
      <c r="B361" s="55" t="str">
        <f>작성용!AI358</f>
        <v>-</v>
      </c>
      <c r="C361" s="56" t="str">
        <f>작성용!AK358</f>
        <v>개별종목</v>
      </c>
      <c r="D361" s="57">
        <f>작성용!T358</f>
        <v>45575</v>
      </c>
      <c r="E361" s="58" t="str">
        <f>작성용!B358</f>
        <v>아주아이비투자</v>
      </c>
      <c r="F361" s="58" t="str">
        <f>작성용!C358</f>
        <v>신규</v>
      </c>
      <c r="G361" s="58" t="str">
        <f>작성용!D358</f>
        <v>ReCode Therapeutics, Inc.</v>
      </c>
      <c r="H361" s="59" t="str">
        <f>작성용!E358</f>
        <v>KBP2021120180</v>
      </c>
      <c r="I361" s="58" t="str">
        <f>작성용!F358</f>
        <v>A05</v>
      </c>
      <c r="J361" s="58">
        <f>작성용!G358</f>
        <v>0</v>
      </c>
      <c r="K361" s="58" t="str">
        <f>작성용!H358</f>
        <v>-</v>
      </c>
      <c r="L361" s="58" t="str">
        <f>작성용!N358</f>
        <v>년</v>
      </c>
      <c r="M361" s="57" t="str">
        <f>작성용!U358</f>
        <v>2024.09.30</v>
      </c>
      <c r="N361" s="57">
        <f>작성용!V358</f>
        <v>45607</v>
      </c>
      <c r="O361" s="57">
        <f>작성용!W358</f>
        <v>45609</v>
      </c>
      <c r="P361" s="57" t="str">
        <f>작성용!X358</f>
        <v>-</v>
      </c>
      <c r="Q361" s="58" t="str">
        <f>작성용!AD358</f>
        <v>이상민</v>
      </c>
      <c r="R361" s="60">
        <f>작성용!AE358</f>
        <v>1</v>
      </c>
      <c r="S361" s="58" t="str">
        <f>작성용!AF358</f>
        <v>김범준</v>
      </c>
      <c r="T361" s="61" t="str">
        <f>작성용!AG358</f>
        <v>오수현</v>
      </c>
      <c r="U361" s="61" t="str">
        <f>작성용!AH358</f>
        <v>오수현</v>
      </c>
      <c r="V361" s="56">
        <f>작성용!AA358</f>
        <v>202411</v>
      </c>
      <c r="W361" s="58" t="str">
        <f>작성용!AC358</f>
        <v>[Y]금융기관</v>
      </c>
      <c r="X361" s="58" t="str">
        <f>작성용!O358</f>
        <v>유수지매니저</v>
      </c>
      <c r="Y361" s="58" t="str">
        <f>작성용!P358</f>
        <v>02-3451-9251</v>
      </c>
      <c r="Z361" s="58" t="str">
        <f>작성용!Q358</f>
        <v>sjyou@ajuib.co.kr</v>
      </c>
      <c r="AA361" s="56" t="str">
        <f>작성용!AJ358</f>
        <v>재무보고목적</v>
      </c>
      <c r="AB361" s="56">
        <f>작성용!AB358</f>
        <v>0</v>
      </c>
    </row>
    <row r="362" spans="1:28" s="12" customFormat="1" ht="16.5" hidden="1" customHeight="1" x14ac:dyDescent="0.3">
      <c r="A362" s="54">
        <f>작성용!AL359</f>
        <v>358</v>
      </c>
      <c r="B362" s="55" t="str">
        <f>작성용!AI359</f>
        <v>-</v>
      </c>
      <c r="C362" s="56" t="str">
        <f>작성용!AK359</f>
        <v>개별종목</v>
      </c>
      <c r="D362" s="57">
        <f>작성용!T359</f>
        <v>45575</v>
      </c>
      <c r="E362" s="58" t="str">
        <f>작성용!B359</f>
        <v>아주아이비투자</v>
      </c>
      <c r="F362" s="58" t="str">
        <f>작성용!C359</f>
        <v>재평가</v>
      </c>
      <c r="G362" s="58" t="str">
        <f>작성용!D359</f>
        <v>Terramino, Inc.</v>
      </c>
      <c r="H362" s="59" t="str">
        <f>작성용!E359</f>
        <v>KBP2023030032</v>
      </c>
      <c r="I362" s="58" t="str">
        <f>작성용!F359</f>
        <v>A05</v>
      </c>
      <c r="J362" s="58">
        <f>작성용!G359</f>
        <v>0</v>
      </c>
      <c r="K362" s="58" t="str">
        <f>작성용!H359</f>
        <v>-</v>
      </c>
      <c r="L362" s="58" t="str">
        <f>작성용!N359</f>
        <v>년</v>
      </c>
      <c r="M362" s="57" t="str">
        <f>작성용!U359</f>
        <v>2024.09.30</v>
      </c>
      <c r="N362" s="57">
        <f>작성용!V359</f>
        <v>45607</v>
      </c>
      <c r="O362" s="57">
        <f>작성용!W359</f>
        <v>45609</v>
      </c>
      <c r="P362" s="57" t="str">
        <f>작성용!X359</f>
        <v>-</v>
      </c>
      <c r="Q362" s="58" t="str">
        <f>작성용!AD359</f>
        <v>강성은</v>
      </c>
      <c r="R362" s="60">
        <f>작성용!AE359</f>
        <v>1</v>
      </c>
      <c r="S362" s="58" t="str">
        <f>작성용!AF359</f>
        <v>강성은</v>
      </c>
      <c r="T362" s="61" t="str">
        <f>작성용!AG359</f>
        <v>오수현</v>
      </c>
      <c r="U362" s="61" t="str">
        <f>작성용!AH359</f>
        <v>오수현</v>
      </c>
      <c r="V362" s="56">
        <f>작성용!AA359</f>
        <v>202411</v>
      </c>
      <c r="W362" s="58" t="str">
        <f>작성용!AC359</f>
        <v>[Y]금융기관</v>
      </c>
      <c r="X362" s="58" t="str">
        <f>작성용!O359</f>
        <v>유수지매니저</v>
      </c>
      <c r="Y362" s="58" t="str">
        <f>작성용!P359</f>
        <v>02-3451-9251</v>
      </c>
      <c r="Z362" s="58" t="str">
        <f>작성용!Q359</f>
        <v>sjyou@ajuib.co.kr</v>
      </c>
      <c r="AA362" s="56" t="str">
        <f>작성용!AJ359</f>
        <v>재무보고목적</v>
      </c>
      <c r="AB362" s="56">
        <f>작성용!AB359</f>
        <v>0</v>
      </c>
    </row>
    <row r="363" spans="1:28" s="12" customFormat="1" ht="16.5" hidden="1" customHeight="1" x14ac:dyDescent="0.3">
      <c r="A363" s="54">
        <f>작성용!AL360</f>
        <v>359</v>
      </c>
      <c r="B363" s="55" t="str">
        <f>작성용!AI360</f>
        <v>-</v>
      </c>
      <c r="C363" s="56" t="str">
        <f>작성용!AK360</f>
        <v>개별종목</v>
      </c>
      <c r="D363" s="57">
        <f>작성용!T360</f>
        <v>45575</v>
      </c>
      <c r="E363" s="58" t="str">
        <f>작성용!B360</f>
        <v>아주아이비투자</v>
      </c>
      <c r="F363" s="58" t="str">
        <f>작성용!C360</f>
        <v>신규</v>
      </c>
      <c r="G363" s="58" t="str">
        <f>작성용!D360</f>
        <v>밸런스히어로</v>
      </c>
      <c r="H363" s="59">
        <f>작성용!E360</f>
        <v>1101115462570</v>
      </c>
      <c r="I363" s="58" t="str">
        <f>작성용!F360</f>
        <v>D02</v>
      </c>
      <c r="J363" s="58">
        <f>작성용!G360</f>
        <v>0</v>
      </c>
      <c r="K363" s="58" t="str">
        <f>작성용!H360</f>
        <v>-</v>
      </c>
      <c r="L363" s="58" t="str">
        <f>작성용!N360</f>
        <v>년</v>
      </c>
      <c r="M363" s="57" t="str">
        <f>작성용!U360</f>
        <v>2024.09.30</v>
      </c>
      <c r="N363" s="57">
        <f>작성용!V360</f>
        <v>45607</v>
      </c>
      <c r="O363" s="57">
        <f>작성용!W360</f>
        <v>45609</v>
      </c>
      <c r="P363" s="57" t="str">
        <f>작성용!X360</f>
        <v>-</v>
      </c>
      <c r="Q363" s="58" t="str">
        <f>작성용!AD360</f>
        <v>신원준</v>
      </c>
      <c r="R363" s="60">
        <f>작성용!AE360</f>
        <v>1</v>
      </c>
      <c r="S363" s="58" t="str">
        <f>작성용!AF360</f>
        <v>신원준</v>
      </c>
      <c r="T363" s="61" t="str">
        <f>작성용!AG360</f>
        <v>오수현</v>
      </c>
      <c r="U363" s="61" t="str">
        <f>작성용!AH360</f>
        <v>오수현</v>
      </c>
      <c r="V363" s="56">
        <f>작성용!AA360</f>
        <v>202411</v>
      </c>
      <c r="W363" s="58" t="str">
        <f>작성용!AC360</f>
        <v>[Y]금융기관</v>
      </c>
      <c r="X363" s="58" t="str">
        <f>작성용!O360</f>
        <v>유수지매니저</v>
      </c>
      <c r="Y363" s="58" t="str">
        <f>작성용!P360</f>
        <v>02-3451-9251</v>
      </c>
      <c r="Z363" s="58" t="str">
        <f>작성용!Q360</f>
        <v>sjyou@ajuib.co.kr</v>
      </c>
      <c r="AA363" s="56" t="str">
        <f>작성용!AJ360</f>
        <v>재무보고목적</v>
      </c>
      <c r="AB363" s="56">
        <f>작성용!AB360</f>
        <v>0</v>
      </c>
    </row>
    <row r="364" spans="1:28" s="12" customFormat="1" ht="16.5" hidden="1" customHeight="1" x14ac:dyDescent="0.3">
      <c r="A364" s="54">
        <f>작성용!AL361</f>
        <v>360</v>
      </c>
      <c r="B364" s="55" t="str">
        <f>작성용!AI361</f>
        <v>-</v>
      </c>
      <c r="C364" s="56" t="str">
        <f>작성용!AK361</f>
        <v>개별종목</v>
      </c>
      <c r="D364" s="57">
        <f>작성용!T361</f>
        <v>45575</v>
      </c>
      <c r="E364" s="58" t="str">
        <f>작성용!B361</f>
        <v>아주아이비투자</v>
      </c>
      <c r="F364" s="58" t="str">
        <f>작성용!C361</f>
        <v>신규</v>
      </c>
      <c r="G364" s="58" t="str">
        <f>작성용!D361</f>
        <v>세이프소프트</v>
      </c>
      <c r="H364" s="59">
        <f>작성용!E361</f>
        <v>1311110499870</v>
      </c>
      <c r="I364" s="58" t="str">
        <f>작성용!F361</f>
        <v>A07</v>
      </c>
      <c r="J364" s="58">
        <f>작성용!G361</f>
        <v>0</v>
      </c>
      <c r="K364" s="58" t="str">
        <f>작성용!H361</f>
        <v>-</v>
      </c>
      <c r="L364" s="58" t="str">
        <f>작성용!N361</f>
        <v>년</v>
      </c>
      <c r="M364" s="57" t="str">
        <f>작성용!U361</f>
        <v>2024.09.30</v>
      </c>
      <c r="N364" s="57">
        <f>작성용!V361</f>
        <v>45607</v>
      </c>
      <c r="O364" s="57">
        <f>작성용!W361</f>
        <v>45609</v>
      </c>
      <c r="P364" s="57" t="str">
        <f>작성용!X361</f>
        <v>-</v>
      </c>
      <c r="Q364" s="58" t="str">
        <f>작성용!AD361</f>
        <v>오영석</v>
      </c>
      <c r="R364" s="60">
        <f>작성용!AE361</f>
        <v>1</v>
      </c>
      <c r="S364" s="58" t="str">
        <f>작성용!AF361</f>
        <v>강승현</v>
      </c>
      <c r="T364" s="61" t="str">
        <f>작성용!AG361</f>
        <v>오수현</v>
      </c>
      <c r="U364" s="61" t="str">
        <f>작성용!AH361</f>
        <v>오수현</v>
      </c>
      <c r="V364" s="56">
        <f>작성용!AA361</f>
        <v>202411</v>
      </c>
      <c r="W364" s="58" t="str">
        <f>작성용!AC361</f>
        <v>[Y]금융기관</v>
      </c>
      <c r="X364" s="58" t="str">
        <f>작성용!O361</f>
        <v>유수지매니저</v>
      </c>
      <c r="Y364" s="58" t="str">
        <f>작성용!P361</f>
        <v>02-3451-9251</v>
      </c>
      <c r="Z364" s="58" t="str">
        <f>작성용!Q361</f>
        <v>sjyou@ajuib.co.kr</v>
      </c>
      <c r="AA364" s="56" t="str">
        <f>작성용!AJ361</f>
        <v>재무보고목적</v>
      </c>
      <c r="AB364" s="56">
        <f>작성용!AB361</f>
        <v>0</v>
      </c>
    </row>
    <row r="365" spans="1:28" s="12" customFormat="1" ht="16.5" hidden="1" customHeight="1" x14ac:dyDescent="0.3">
      <c r="A365" s="54">
        <f>작성용!AL362</f>
        <v>361</v>
      </c>
      <c r="B365" s="55" t="str">
        <f>작성용!AI362</f>
        <v>-</v>
      </c>
      <c r="C365" s="56" t="str">
        <f>작성용!AK362</f>
        <v>개별종목</v>
      </c>
      <c r="D365" s="57">
        <f>작성용!T362</f>
        <v>45575</v>
      </c>
      <c r="E365" s="58" t="str">
        <f>작성용!B362</f>
        <v>아주아이비투자</v>
      </c>
      <c r="F365" s="58" t="str">
        <f>작성용!C362</f>
        <v>신규</v>
      </c>
      <c r="G365" s="58" t="str">
        <f>작성용!D362</f>
        <v>에코디엠랩</v>
      </c>
      <c r="H365" s="59">
        <f>작성용!E362</f>
        <v>1511110047732</v>
      </c>
      <c r="I365" s="58" t="str">
        <f>작성용!F362</f>
        <v>A07</v>
      </c>
      <c r="J365" s="58">
        <f>작성용!G362</f>
        <v>0</v>
      </c>
      <c r="K365" s="58" t="str">
        <f>작성용!H362</f>
        <v>-</v>
      </c>
      <c r="L365" s="58" t="str">
        <f>작성용!N362</f>
        <v>년</v>
      </c>
      <c r="M365" s="57" t="str">
        <f>작성용!U362</f>
        <v>2024.09.30</v>
      </c>
      <c r="N365" s="57">
        <f>작성용!V362</f>
        <v>45607</v>
      </c>
      <c r="O365" s="57">
        <f>작성용!W362</f>
        <v>45609</v>
      </c>
      <c r="P365" s="57" t="str">
        <f>작성용!X362</f>
        <v>-</v>
      </c>
      <c r="Q365" s="58" t="str">
        <f>작성용!AD362</f>
        <v>김수현</v>
      </c>
      <c r="R365" s="60">
        <f>작성용!AE362</f>
        <v>1</v>
      </c>
      <c r="S365" s="58" t="str">
        <f>작성용!AF362</f>
        <v>김수현</v>
      </c>
      <c r="T365" s="61" t="str">
        <f>작성용!AG362</f>
        <v>오수현</v>
      </c>
      <c r="U365" s="61" t="str">
        <f>작성용!AH362</f>
        <v>오수현</v>
      </c>
      <c r="V365" s="56">
        <f>작성용!AA362</f>
        <v>202411</v>
      </c>
      <c r="W365" s="58" t="str">
        <f>작성용!AC362</f>
        <v>[Y]금융기관</v>
      </c>
      <c r="X365" s="58" t="str">
        <f>작성용!O362</f>
        <v>유수지매니저</v>
      </c>
      <c r="Y365" s="58" t="str">
        <f>작성용!P362</f>
        <v>02-3451-9251</v>
      </c>
      <c r="Z365" s="58" t="str">
        <f>작성용!Q362</f>
        <v>sjyou@ajuib.co.kr</v>
      </c>
      <c r="AA365" s="56" t="str">
        <f>작성용!AJ362</f>
        <v>재무보고목적</v>
      </c>
      <c r="AB365" s="56">
        <f>작성용!AB362</f>
        <v>0</v>
      </c>
    </row>
    <row r="366" spans="1:28" s="12" customFormat="1" ht="16.5" hidden="1" customHeight="1" x14ac:dyDescent="0.3">
      <c r="A366" s="54">
        <f>작성용!AL363</f>
        <v>362</v>
      </c>
      <c r="B366" s="55" t="str">
        <f>작성용!AI363</f>
        <v>-</v>
      </c>
      <c r="C366" s="56" t="str">
        <f>작성용!AK363</f>
        <v>개별종목</v>
      </c>
      <c r="D366" s="57">
        <f>작성용!T363</f>
        <v>45575</v>
      </c>
      <c r="E366" s="58" t="str">
        <f>작성용!B363</f>
        <v>아주아이비투자</v>
      </c>
      <c r="F366" s="58" t="str">
        <f>작성용!C363</f>
        <v>재평가</v>
      </c>
      <c r="G366" s="58" t="str">
        <f>작성용!D363</f>
        <v>오가노이드사이언스</v>
      </c>
      <c r="H366" s="59">
        <f>작성용!E363</f>
        <v>1311110534650</v>
      </c>
      <c r="I366" s="58" t="str">
        <f>작성용!F363</f>
        <v>A01</v>
      </c>
      <c r="J366" s="58">
        <f>작성용!G363</f>
        <v>0</v>
      </c>
      <c r="K366" s="58" t="str">
        <f>작성용!H363</f>
        <v>-</v>
      </c>
      <c r="L366" s="58" t="str">
        <f>작성용!N363</f>
        <v>년</v>
      </c>
      <c r="M366" s="57" t="str">
        <f>작성용!U363</f>
        <v>2024.09.30</v>
      </c>
      <c r="N366" s="57">
        <f>작성용!V363</f>
        <v>45607</v>
      </c>
      <c r="O366" s="57">
        <f>작성용!W363</f>
        <v>45609</v>
      </c>
      <c r="P366" s="57" t="str">
        <f>작성용!X363</f>
        <v>-</v>
      </c>
      <c r="Q366" s="58" t="str">
        <f>작성용!AD363</f>
        <v>백형진</v>
      </c>
      <c r="R366" s="60">
        <f>작성용!AE363</f>
        <v>1</v>
      </c>
      <c r="S366" s="58" t="str">
        <f>작성용!AF363</f>
        <v>백형진</v>
      </c>
      <c r="T366" s="61" t="str">
        <f>작성용!AG363</f>
        <v>오수현</v>
      </c>
      <c r="U366" s="61" t="str">
        <f>작성용!AH363</f>
        <v>오수현</v>
      </c>
      <c r="V366" s="56">
        <f>작성용!AA363</f>
        <v>202411</v>
      </c>
      <c r="W366" s="58" t="str">
        <f>작성용!AC363</f>
        <v>[Y]금융기관</v>
      </c>
      <c r="X366" s="58" t="str">
        <f>작성용!O363</f>
        <v>유수지매니저</v>
      </c>
      <c r="Y366" s="58" t="str">
        <f>작성용!P363</f>
        <v>02-3451-9251</v>
      </c>
      <c r="Z366" s="58" t="str">
        <f>작성용!Q363</f>
        <v>sjyou@ajuib.co.kr</v>
      </c>
      <c r="AA366" s="56" t="str">
        <f>작성용!AJ363</f>
        <v>재무보고목적</v>
      </c>
      <c r="AB366" s="56">
        <f>작성용!AB363</f>
        <v>0</v>
      </c>
    </row>
    <row r="367" spans="1:28" s="12" customFormat="1" ht="16.5" hidden="1" customHeight="1" x14ac:dyDescent="0.3">
      <c r="A367" s="54">
        <f>작성용!AL364</f>
        <v>363</v>
      </c>
      <c r="B367" s="55" t="str">
        <f>작성용!AI364</f>
        <v>-</v>
      </c>
      <c r="C367" s="56" t="str">
        <f>작성용!AK364</f>
        <v>개별종목</v>
      </c>
      <c r="D367" s="57">
        <f>작성용!T364</f>
        <v>45575</v>
      </c>
      <c r="E367" s="58" t="str">
        <f>작성용!B364</f>
        <v>아주아이비투자</v>
      </c>
      <c r="F367" s="58" t="str">
        <f>작성용!C364</f>
        <v>재평가</v>
      </c>
      <c r="G367" s="58" t="str">
        <f>작성용!D364</f>
        <v>온코닉테라퓨틱스</v>
      </c>
      <c r="H367" s="59">
        <f>작성용!E364</f>
        <v>1101117478088</v>
      </c>
      <c r="I367" s="58" t="str">
        <f>작성용!F364</f>
        <v>A01</v>
      </c>
      <c r="J367" s="58">
        <f>작성용!G364</f>
        <v>0</v>
      </c>
      <c r="K367" s="58" t="str">
        <f>작성용!H364</f>
        <v>-</v>
      </c>
      <c r="L367" s="58" t="str">
        <f>작성용!N364</f>
        <v>년</v>
      </c>
      <c r="M367" s="57" t="str">
        <f>작성용!U364</f>
        <v>2024.09.30</v>
      </c>
      <c r="N367" s="57">
        <f>작성용!V364</f>
        <v>45607</v>
      </c>
      <c r="O367" s="57">
        <f>작성용!W364</f>
        <v>45609</v>
      </c>
      <c r="P367" s="57" t="str">
        <f>작성용!X364</f>
        <v>-</v>
      </c>
      <c r="Q367" s="58" t="str">
        <f>작성용!AD364</f>
        <v>이상민</v>
      </c>
      <c r="R367" s="60">
        <f>작성용!AE364</f>
        <v>1</v>
      </c>
      <c r="S367" s="58" t="str">
        <f>작성용!AF364</f>
        <v>이상민</v>
      </c>
      <c r="T367" s="61" t="str">
        <f>작성용!AG364</f>
        <v>오수현</v>
      </c>
      <c r="U367" s="61" t="str">
        <f>작성용!AH364</f>
        <v>오수현</v>
      </c>
      <c r="V367" s="56">
        <f>작성용!AA364</f>
        <v>202411</v>
      </c>
      <c r="W367" s="58" t="str">
        <f>작성용!AC364</f>
        <v>[Y]금융기관</v>
      </c>
      <c r="X367" s="58" t="str">
        <f>작성용!O364</f>
        <v>유수지매니저</v>
      </c>
      <c r="Y367" s="58" t="str">
        <f>작성용!P364</f>
        <v>02-3451-9251</v>
      </c>
      <c r="Z367" s="58" t="str">
        <f>작성용!Q364</f>
        <v>sjyou@ajuib.co.kr</v>
      </c>
      <c r="AA367" s="56" t="str">
        <f>작성용!AJ364</f>
        <v>재무보고목적</v>
      </c>
      <c r="AB367" s="56">
        <f>작성용!AB364</f>
        <v>0</v>
      </c>
    </row>
    <row r="368" spans="1:28" s="12" customFormat="1" ht="16.5" hidden="1" customHeight="1" x14ac:dyDescent="0.3">
      <c r="A368" s="54">
        <f>작성용!AL365</f>
        <v>364</v>
      </c>
      <c r="B368" s="55" t="str">
        <f>작성용!AI365</f>
        <v>-</v>
      </c>
      <c r="C368" s="56" t="str">
        <f>작성용!AK365</f>
        <v>개별종목</v>
      </c>
      <c r="D368" s="57">
        <f>작성용!T365</f>
        <v>45575</v>
      </c>
      <c r="E368" s="58" t="str">
        <f>작성용!B365</f>
        <v>아주아이비투자</v>
      </c>
      <c r="F368" s="58" t="str">
        <f>작성용!C365</f>
        <v>신규</v>
      </c>
      <c r="G368" s="58" t="str">
        <f>작성용!D365</f>
        <v>올릭스</v>
      </c>
      <c r="H368" s="59">
        <f>작성용!E365</f>
        <v>1358110177957</v>
      </c>
      <c r="I368" s="58" t="str">
        <f>작성용!F365</f>
        <v>D02</v>
      </c>
      <c r="J368" s="58">
        <f>작성용!G365</f>
        <v>0</v>
      </c>
      <c r="K368" s="58" t="str">
        <f>작성용!H365</f>
        <v>-</v>
      </c>
      <c r="L368" s="58" t="str">
        <f>작성용!N365</f>
        <v>년</v>
      </c>
      <c r="M368" s="57" t="str">
        <f>작성용!U365</f>
        <v>2024.09.30</v>
      </c>
      <c r="N368" s="57">
        <f>작성용!V365</f>
        <v>45607</v>
      </c>
      <c r="O368" s="57">
        <f>작성용!W365</f>
        <v>45609</v>
      </c>
      <c r="P368" s="57" t="str">
        <f>작성용!X365</f>
        <v>-</v>
      </c>
      <c r="Q368" s="58" t="str">
        <f>작성용!AD365</f>
        <v>상장</v>
      </c>
      <c r="R368" s="60">
        <f>작성용!AE365</f>
        <v>0</v>
      </c>
      <c r="S368" s="58" t="str">
        <f>작성용!AF365</f>
        <v>상장</v>
      </c>
      <c r="T368" s="61" t="str">
        <f>작성용!AG365</f>
        <v>오수현</v>
      </c>
      <c r="U368" s="61" t="str">
        <f>작성용!AH365</f>
        <v>오수현</v>
      </c>
      <c r="V368" s="56">
        <f>작성용!AA365</f>
        <v>202411</v>
      </c>
      <c r="W368" s="58" t="str">
        <f>작성용!AC365</f>
        <v>[Y]금융기관</v>
      </c>
      <c r="X368" s="58" t="str">
        <f>작성용!O365</f>
        <v>유수지매니저</v>
      </c>
      <c r="Y368" s="58" t="str">
        <f>작성용!P365</f>
        <v>02-3451-9251</v>
      </c>
      <c r="Z368" s="58" t="str">
        <f>작성용!Q365</f>
        <v>sjyou@ajuib.co.kr</v>
      </c>
      <c r="AA368" s="56" t="str">
        <f>작성용!AJ365</f>
        <v>재무보고목적</v>
      </c>
      <c r="AB368" s="56">
        <f>작성용!AB365</f>
        <v>0</v>
      </c>
    </row>
    <row r="369" spans="1:28" s="12" customFormat="1" ht="16.5" hidden="1" customHeight="1" x14ac:dyDescent="0.3">
      <c r="A369" s="54">
        <f>작성용!AL366</f>
        <v>365</v>
      </c>
      <c r="B369" s="55" t="str">
        <f>작성용!AI366</f>
        <v>-</v>
      </c>
      <c r="C369" s="56" t="str">
        <f>작성용!AK366</f>
        <v>개별종목</v>
      </c>
      <c r="D369" s="57">
        <f>작성용!T366</f>
        <v>45575</v>
      </c>
      <c r="E369" s="58" t="str">
        <f>작성용!B366</f>
        <v>아주아이비투자</v>
      </c>
      <c r="F369" s="58" t="str">
        <f>작성용!C366</f>
        <v>재평가</v>
      </c>
      <c r="G369" s="58" t="str">
        <f>작성용!D366</f>
        <v>이뮤노바이옴</v>
      </c>
      <c r="H369" s="59">
        <f>작성용!E366</f>
        <v>1717110147784</v>
      </c>
      <c r="I369" s="58" t="str">
        <f>작성용!F366</f>
        <v>A07</v>
      </c>
      <c r="J369" s="58">
        <f>작성용!G366</f>
        <v>1</v>
      </c>
      <c r="K369" s="58" t="str">
        <f>작성용!H366</f>
        <v>-</v>
      </c>
      <c r="L369" s="58" t="str">
        <f>작성용!N366</f>
        <v>년</v>
      </c>
      <c r="M369" s="57" t="str">
        <f>작성용!U366</f>
        <v>2024.09.30</v>
      </c>
      <c r="N369" s="57">
        <f>작성용!V366</f>
        <v>45607</v>
      </c>
      <c r="O369" s="57">
        <f>작성용!W366</f>
        <v>45609</v>
      </c>
      <c r="P369" s="57" t="str">
        <f>작성용!X366</f>
        <v>-</v>
      </c>
      <c r="Q369" s="58" t="str">
        <f>작성용!AD366</f>
        <v>이현승</v>
      </c>
      <c r="R369" s="60">
        <f>작성용!AE366</f>
        <v>1</v>
      </c>
      <c r="S369" s="58" t="str">
        <f>작성용!AF366</f>
        <v>이현승</v>
      </c>
      <c r="T369" s="61" t="str">
        <f>작성용!AG366</f>
        <v>오수현</v>
      </c>
      <c r="U369" s="61" t="str">
        <f>작성용!AH366</f>
        <v>오수현</v>
      </c>
      <c r="V369" s="56">
        <f>작성용!AA366</f>
        <v>202411</v>
      </c>
      <c r="W369" s="58" t="str">
        <f>작성용!AC366</f>
        <v>[Y]금융기관</v>
      </c>
      <c r="X369" s="58" t="str">
        <f>작성용!O366</f>
        <v>유수지매니저</v>
      </c>
      <c r="Y369" s="58" t="str">
        <f>작성용!P366</f>
        <v>02-3451-9251</v>
      </c>
      <c r="Z369" s="58" t="str">
        <f>작성용!Q366</f>
        <v>sjyou@ajuib.co.kr</v>
      </c>
      <c r="AA369" s="56" t="str">
        <f>작성용!AJ366</f>
        <v>재무보고목적</v>
      </c>
      <c r="AB369" s="56">
        <f>작성용!AB366</f>
        <v>0</v>
      </c>
    </row>
    <row r="370" spans="1:28" s="12" customFormat="1" ht="16.5" hidden="1" customHeight="1" x14ac:dyDescent="0.3">
      <c r="A370" s="54">
        <f>작성용!AL367</f>
        <v>366</v>
      </c>
      <c r="B370" s="55" t="str">
        <f>작성용!AI367</f>
        <v>-</v>
      </c>
      <c r="C370" s="56" t="str">
        <f>작성용!AK367</f>
        <v>개별종목</v>
      </c>
      <c r="D370" s="57">
        <f>작성용!T367</f>
        <v>45575</v>
      </c>
      <c r="E370" s="58" t="str">
        <f>작성용!B367</f>
        <v>아주아이비투자</v>
      </c>
      <c r="F370" s="58" t="str">
        <f>작성용!C367</f>
        <v>재평가</v>
      </c>
      <c r="G370" s="58" t="str">
        <f>작성용!D367</f>
        <v>일리미스테라퓨틱스</v>
      </c>
      <c r="H370" s="59">
        <f>작성용!E367</f>
        <v>1311110641645</v>
      </c>
      <c r="I370" s="58" t="str">
        <f>작성용!F367</f>
        <v>A07</v>
      </c>
      <c r="J370" s="58">
        <f>작성용!G367</f>
        <v>3</v>
      </c>
      <c r="K370" s="58" t="str">
        <f>작성용!H367</f>
        <v>-</v>
      </c>
      <c r="L370" s="58" t="str">
        <f>작성용!N367</f>
        <v>년</v>
      </c>
      <c r="M370" s="57" t="str">
        <f>작성용!U367</f>
        <v>2024.09.30</v>
      </c>
      <c r="N370" s="57">
        <f>작성용!V367</f>
        <v>45607</v>
      </c>
      <c r="O370" s="57">
        <f>작성용!W367</f>
        <v>45609</v>
      </c>
      <c r="P370" s="57" t="str">
        <f>작성용!X367</f>
        <v>-</v>
      </c>
      <c r="Q370" s="58" t="str">
        <f>작성용!AD367</f>
        <v>이상민</v>
      </c>
      <c r="R370" s="60">
        <f>작성용!AE367</f>
        <v>1</v>
      </c>
      <c r="S370" s="58" t="str">
        <f>작성용!AF367</f>
        <v>이상민</v>
      </c>
      <c r="T370" s="61" t="str">
        <f>작성용!AG367</f>
        <v>오수현</v>
      </c>
      <c r="U370" s="61" t="str">
        <f>작성용!AH367</f>
        <v>오수현</v>
      </c>
      <c r="V370" s="56">
        <f>작성용!AA367</f>
        <v>202411</v>
      </c>
      <c r="W370" s="58" t="str">
        <f>작성용!AC367</f>
        <v>[Y]금융기관</v>
      </c>
      <c r="X370" s="58" t="str">
        <f>작성용!O367</f>
        <v>유수지매니저</v>
      </c>
      <c r="Y370" s="58" t="str">
        <f>작성용!P367</f>
        <v>02-3451-9251</v>
      </c>
      <c r="Z370" s="58" t="str">
        <f>작성용!Q367</f>
        <v>sjyou@ajuib.co.kr</v>
      </c>
      <c r="AA370" s="56" t="str">
        <f>작성용!AJ367</f>
        <v>재무보고목적</v>
      </c>
      <c r="AB370" s="56">
        <f>작성용!AB367</f>
        <v>0</v>
      </c>
    </row>
    <row r="371" spans="1:28" s="12" customFormat="1" ht="16.5" hidden="1" customHeight="1" x14ac:dyDescent="0.3">
      <c r="A371" s="54">
        <f>작성용!AL368</f>
        <v>367</v>
      </c>
      <c r="B371" s="55" t="str">
        <f>작성용!AI368</f>
        <v>-</v>
      </c>
      <c r="C371" s="56" t="str">
        <f>작성용!AK368</f>
        <v>개별종목</v>
      </c>
      <c r="D371" s="57">
        <f>작성용!T368</f>
        <v>45575</v>
      </c>
      <c r="E371" s="58" t="str">
        <f>작성용!B368</f>
        <v>아주아이비투자</v>
      </c>
      <c r="F371" s="58" t="str">
        <f>작성용!C368</f>
        <v>재평가</v>
      </c>
      <c r="G371" s="58" t="str">
        <f>작성용!D368</f>
        <v>일리미스테라퓨틱스</v>
      </c>
      <c r="H371" s="59">
        <f>작성용!E368</f>
        <v>1311110641645</v>
      </c>
      <c r="I371" s="58" t="str">
        <f>작성용!F368</f>
        <v>A07</v>
      </c>
      <c r="J371" s="58">
        <f>작성용!G368</f>
        <v>1</v>
      </c>
      <c r="K371" s="58" t="str">
        <f>작성용!H368</f>
        <v>-</v>
      </c>
      <c r="L371" s="58" t="str">
        <f>작성용!N368</f>
        <v>년</v>
      </c>
      <c r="M371" s="57" t="str">
        <f>작성용!U368</f>
        <v>2024.09.30</v>
      </c>
      <c r="N371" s="57">
        <f>작성용!V368</f>
        <v>45607</v>
      </c>
      <c r="O371" s="57">
        <f>작성용!W368</f>
        <v>45609</v>
      </c>
      <c r="P371" s="57" t="str">
        <f>작성용!X368</f>
        <v>-</v>
      </c>
      <c r="Q371" s="58" t="str">
        <f>작성용!AD368</f>
        <v>이상민</v>
      </c>
      <c r="R371" s="60">
        <f>작성용!AE368</f>
        <v>0</v>
      </c>
      <c r="S371" s="58" t="str">
        <f>작성용!AF368</f>
        <v>이상민</v>
      </c>
      <c r="T371" s="61" t="str">
        <f>작성용!AG368</f>
        <v>오수현</v>
      </c>
      <c r="U371" s="61" t="str">
        <f>작성용!AH368</f>
        <v>오수현</v>
      </c>
      <c r="V371" s="56">
        <f>작성용!AA368</f>
        <v>202411</v>
      </c>
      <c r="W371" s="58" t="str">
        <f>작성용!AC368</f>
        <v>[Y]금융기관</v>
      </c>
      <c r="X371" s="58" t="str">
        <f>작성용!O368</f>
        <v>유수지매니저</v>
      </c>
      <c r="Y371" s="58" t="str">
        <f>작성용!P368</f>
        <v>02-3451-9251</v>
      </c>
      <c r="Z371" s="58" t="str">
        <f>작성용!Q368</f>
        <v>sjyou@ajuib.co.kr</v>
      </c>
      <c r="AA371" s="56" t="str">
        <f>작성용!AJ368</f>
        <v>재무보고목적</v>
      </c>
      <c r="AB371" s="56">
        <f>작성용!AB368</f>
        <v>0</v>
      </c>
    </row>
    <row r="372" spans="1:28" s="12" customFormat="1" ht="16.5" hidden="1" customHeight="1" x14ac:dyDescent="0.3">
      <c r="A372" s="54">
        <f>작성용!AL369</f>
        <v>368</v>
      </c>
      <c r="B372" s="55" t="str">
        <f>작성용!AI369</f>
        <v>-</v>
      </c>
      <c r="C372" s="56" t="str">
        <f>작성용!AK369</f>
        <v>개별종목</v>
      </c>
      <c r="D372" s="57">
        <f>작성용!T369</f>
        <v>45575</v>
      </c>
      <c r="E372" s="58" t="str">
        <f>작성용!B369</f>
        <v>아주아이비투자</v>
      </c>
      <c r="F372" s="58" t="str">
        <f>작성용!C369</f>
        <v>신규</v>
      </c>
      <c r="G372" s="58" t="str">
        <f>작성용!D369</f>
        <v>페리지에어로스페이스(구,페리지항공우주)</v>
      </c>
      <c r="H372" s="59">
        <f>작성용!E369</f>
        <v>1601110488696</v>
      </c>
      <c r="I372" s="58" t="str">
        <f>작성용!F369</f>
        <v>A07</v>
      </c>
      <c r="J372" s="58">
        <f>작성용!G369</f>
        <v>0</v>
      </c>
      <c r="K372" s="58" t="str">
        <f>작성용!H369</f>
        <v>-</v>
      </c>
      <c r="L372" s="58" t="str">
        <f>작성용!N369</f>
        <v>년</v>
      </c>
      <c r="M372" s="57" t="str">
        <f>작성용!U369</f>
        <v>2024.09.30</v>
      </c>
      <c r="N372" s="57">
        <f>작성용!V369</f>
        <v>45607</v>
      </c>
      <c r="O372" s="57">
        <f>작성용!W369</f>
        <v>45609</v>
      </c>
      <c r="P372" s="57" t="str">
        <f>작성용!X369</f>
        <v>-</v>
      </c>
      <c r="Q372" s="58" t="str">
        <f>작성용!AD369</f>
        <v>변혜진</v>
      </c>
      <c r="R372" s="60">
        <f>작성용!AE369</f>
        <v>1</v>
      </c>
      <c r="S372" s="58" t="str">
        <f>작성용!AF369</f>
        <v>변혜진</v>
      </c>
      <c r="T372" s="61" t="str">
        <f>작성용!AG369</f>
        <v>오수현</v>
      </c>
      <c r="U372" s="61" t="str">
        <f>작성용!AH369</f>
        <v>오수현</v>
      </c>
      <c r="V372" s="56">
        <f>작성용!AA369</f>
        <v>202411</v>
      </c>
      <c r="W372" s="58" t="str">
        <f>작성용!AC369</f>
        <v>[Y]금융기관</v>
      </c>
      <c r="X372" s="58" t="str">
        <f>작성용!O369</f>
        <v>유수지매니저</v>
      </c>
      <c r="Y372" s="58" t="str">
        <f>작성용!P369</f>
        <v>02-3451-9251</v>
      </c>
      <c r="Z372" s="58" t="str">
        <f>작성용!Q369</f>
        <v>sjyou@ajuib.co.kr</v>
      </c>
      <c r="AA372" s="56" t="str">
        <f>작성용!AJ369</f>
        <v>재무보고목적</v>
      </c>
      <c r="AB372" s="56">
        <f>작성용!AB369</f>
        <v>0</v>
      </c>
    </row>
    <row r="373" spans="1:28" s="12" customFormat="1" ht="16.5" hidden="1" customHeight="1" x14ac:dyDescent="0.3">
      <c r="A373" s="54">
        <f>작성용!AL370</f>
        <v>369</v>
      </c>
      <c r="B373" s="55" t="str">
        <f>작성용!AI370</f>
        <v>-</v>
      </c>
      <c r="C373" s="56" t="str">
        <f>작성용!AK370</f>
        <v>개별종목</v>
      </c>
      <c r="D373" s="57">
        <f>작성용!T370</f>
        <v>45575</v>
      </c>
      <c r="E373" s="58" t="str">
        <f>작성용!B370</f>
        <v>아주아이비투자</v>
      </c>
      <c r="F373" s="58" t="str">
        <f>작성용!C370</f>
        <v>신규</v>
      </c>
      <c r="G373" s="58" t="str">
        <f>작성용!D370</f>
        <v>하나옵트로닉스</v>
      </c>
      <c r="H373" s="59">
        <f>작성용!E370</f>
        <v>1648110117700</v>
      </c>
      <c r="I373" s="58" t="str">
        <f>작성용!F370</f>
        <v>A07</v>
      </c>
      <c r="J373" s="58">
        <f>작성용!G370</f>
        <v>0</v>
      </c>
      <c r="K373" s="58" t="str">
        <f>작성용!H370</f>
        <v>-</v>
      </c>
      <c r="L373" s="58" t="str">
        <f>작성용!N370</f>
        <v>년</v>
      </c>
      <c r="M373" s="57" t="str">
        <f>작성용!U370</f>
        <v>2024.09.30</v>
      </c>
      <c r="N373" s="57">
        <f>작성용!V370</f>
        <v>45607</v>
      </c>
      <c r="O373" s="57">
        <f>작성용!W370</f>
        <v>45609</v>
      </c>
      <c r="P373" s="57" t="str">
        <f>작성용!X370</f>
        <v>-</v>
      </c>
      <c r="Q373" s="58" t="str">
        <f>작성용!AD370</f>
        <v>오수현</v>
      </c>
      <c r="R373" s="60">
        <f>작성용!AE370</f>
        <v>1</v>
      </c>
      <c r="S373" s="58" t="str">
        <f>작성용!AF370</f>
        <v>오수현</v>
      </c>
      <c r="T373" s="61" t="str">
        <f>작성용!AG370</f>
        <v>오수현</v>
      </c>
      <c r="U373" s="61" t="str">
        <f>작성용!AH370</f>
        <v>오수현</v>
      </c>
      <c r="V373" s="56">
        <f>작성용!AA370</f>
        <v>202411</v>
      </c>
      <c r="W373" s="58" t="str">
        <f>작성용!AC370</f>
        <v>[Y]금융기관</v>
      </c>
      <c r="X373" s="58" t="str">
        <f>작성용!O370</f>
        <v>유수지매니저</v>
      </c>
      <c r="Y373" s="58" t="str">
        <f>작성용!P370</f>
        <v>02-3451-9251</v>
      </c>
      <c r="Z373" s="58" t="str">
        <f>작성용!Q370</f>
        <v>sjyou@ajuib.co.kr</v>
      </c>
      <c r="AA373" s="56" t="str">
        <f>작성용!AJ370</f>
        <v>재무보고목적</v>
      </c>
      <c r="AB373" s="56">
        <f>작성용!AB370</f>
        <v>0</v>
      </c>
    </row>
    <row r="374" spans="1:28" s="12" customFormat="1" ht="16.5" hidden="1" customHeight="1" x14ac:dyDescent="0.3">
      <c r="A374" s="54">
        <f>작성용!AL371</f>
        <v>370</v>
      </c>
      <c r="B374" s="55" t="str">
        <f>작성용!AI371</f>
        <v>SPC, 에코프로이노베이션</v>
      </c>
      <c r="C374" s="56" t="str">
        <f>작성용!AK371</f>
        <v>개별종목</v>
      </c>
      <c r="D374" s="57">
        <f>작성용!T371</f>
        <v>45573</v>
      </c>
      <c r="E374" s="58" t="str">
        <f>작성용!B371</f>
        <v>아이엠엠인베스트먼트</v>
      </c>
      <c r="F374" s="58" t="str">
        <f>작성용!C371</f>
        <v>신규</v>
      </c>
      <c r="G374" s="58" t="str">
        <f>작성용!D371</f>
        <v>아이엠엠이브이1호</v>
      </c>
      <c r="H374" s="59">
        <f>작성용!E371</f>
        <v>1101140316940</v>
      </c>
      <c r="I374" s="58" t="str">
        <f>작성용!F371</f>
        <v>A01</v>
      </c>
      <c r="J374" s="58">
        <f>작성용!G371</f>
        <v>0</v>
      </c>
      <c r="K374" s="58" t="str">
        <f>작성용!H371</f>
        <v>-</v>
      </c>
      <c r="L374" s="58" t="str">
        <f>작성용!N371</f>
        <v>반기</v>
      </c>
      <c r="M374" s="57" t="str">
        <f>작성용!U371</f>
        <v>2024.09.30</v>
      </c>
      <c r="N374" s="57">
        <f>작성용!V371</f>
        <v>45602</v>
      </c>
      <c r="O374" s="57">
        <f>작성용!W371</f>
        <v>45607</v>
      </c>
      <c r="P374" s="57" t="str">
        <f>작성용!X371</f>
        <v>-</v>
      </c>
      <c r="Q374" s="58" t="str">
        <f>작성용!AD371</f>
        <v>김에스더</v>
      </c>
      <c r="R374" s="60">
        <f>작성용!AE371</f>
        <v>0</v>
      </c>
      <c r="S374" s="58" t="str">
        <f>작성용!AF371</f>
        <v>신규</v>
      </c>
      <c r="T374" s="61" t="str">
        <f>작성용!AG371</f>
        <v>강성은</v>
      </c>
      <c r="U374" s="61" t="str">
        <f>작성용!AH371</f>
        <v>강성은</v>
      </c>
      <c r="V374" s="56">
        <f>작성용!AA371</f>
        <v>202411</v>
      </c>
      <c r="W374" s="58" t="str">
        <f>작성용!AC371</f>
        <v>[Y]금융기관</v>
      </c>
      <c r="X374" s="58" t="str">
        <f>작성용!O371</f>
        <v>박상현매니저</v>
      </c>
      <c r="Y374" s="58" t="str">
        <f>작성용!P371</f>
        <v>02-2112-1729</v>
      </c>
      <c r="Z374" s="58" t="str">
        <f>작성용!Q371</f>
        <v>shpark@imminvestment.com</v>
      </c>
      <c r="AA374" s="56" t="str">
        <f>작성용!AJ371</f>
        <v>국민연금제출</v>
      </c>
      <c r="AB374" s="56">
        <f>작성용!AB371</f>
        <v>0</v>
      </c>
    </row>
    <row r="375" spans="1:28" s="12" customFormat="1" ht="16.5" hidden="1" customHeight="1" x14ac:dyDescent="0.3">
      <c r="A375" s="54">
        <f>작성용!AL372</f>
        <v>371</v>
      </c>
      <c r="B375" s="55" t="str">
        <f>작성용!AI372</f>
        <v>1차평가(2분기말 재무자료) : 2024-11-15(값, Backdata 제공) / 2차평가(3분기말 재무자료) : 2024-12-16(최종평가값, Backdata 제공) / 보고서, MRC제공일 : 2024-12-23</v>
      </c>
      <c r="C375" s="56" t="str">
        <f>작성용!AK372</f>
        <v>개별종목</v>
      </c>
      <c r="D375" s="57">
        <f>작성용!T372</f>
        <v>45572</v>
      </c>
      <c r="E375" s="58" t="str">
        <f>작성용!B372</f>
        <v>고려아연</v>
      </c>
      <c r="F375" s="58" t="str">
        <f>작성용!C372</f>
        <v>재평가</v>
      </c>
      <c r="G375" s="58" t="str">
        <f>작성용!D372</f>
        <v>디에스씨테크밸류업펀드2호</v>
      </c>
      <c r="H375" s="59" t="str">
        <f>작성용!E372</f>
        <v>KBP2023120002</v>
      </c>
      <c r="I375" s="58" t="str">
        <f>작성용!F372</f>
        <v>B01</v>
      </c>
      <c r="J375" s="58">
        <f>작성용!G372</f>
        <v>0</v>
      </c>
      <c r="K375" s="58" t="str">
        <f>작성용!H372</f>
        <v>-</v>
      </c>
      <c r="L375" s="58" t="str">
        <f>작성용!N372</f>
        <v>년</v>
      </c>
      <c r="M375" s="57" t="str">
        <f>작성용!U372</f>
        <v>2024.09.30</v>
      </c>
      <c r="N375" s="57">
        <f>작성용!V372</f>
        <v>45611</v>
      </c>
      <c r="O375" s="57">
        <f>작성용!W372</f>
        <v>45649</v>
      </c>
      <c r="P375" s="57" t="str">
        <f>작성용!X372</f>
        <v>-</v>
      </c>
      <c r="Q375" s="58" t="str">
        <f>작성용!AD372</f>
        <v>백형진</v>
      </c>
      <c r="R375" s="60">
        <f>작성용!AE372</f>
        <v>1.5</v>
      </c>
      <c r="S375" s="58" t="str">
        <f>작성용!AF372</f>
        <v>백형진</v>
      </c>
      <c r="T375" s="61" t="str">
        <f>작성용!AG372</f>
        <v>유재호</v>
      </c>
      <c r="U375" s="61" t="str">
        <f>작성용!AH372</f>
        <v>유재호</v>
      </c>
      <c r="V375" s="56">
        <f>작성용!AA372</f>
        <v>202411</v>
      </c>
      <c r="W375" s="58" t="str">
        <f>작성용!AC372</f>
        <v>[X]일반기업</v>
      </c>
      <c r="X375" s="58" t="str">
        <f>작성용!O372</f>
        <v>김영봉책임</v>
      </c>
      <c r="Y375" s="58" t="str">
        <f>작성용!P372</f>
        <v>02-6947-2406</v>
      </c>
      <c r="Z375" s="58" t="str">
        <f>작성용!Q372</f>
        <v>ybkim@koreazinc.co.kr</v>
      </c>
      <c r="AA375" s="56" t="str">
        <f>작성용!AJ372</f>
        <v xml:space="preserve">회계반영 </v>
      </c>
      <c r="AB375" s="56">
        <f>작성용!AB372</f>
        <v>0</v>
      </c>
    </row>
    <row r="376" spans="1:28" s="12" customFormat="1" ht="16.5" hidden="1" customHeight="1" x14ac:dyDescent="0.3">
      <c r="A376" s="54">
        <f>작성용!AL373</f>
        <v>372</v>
      </c>
      <c r="B376" s="55" t="str">
        <f>작성용!AI373</f>
        <v>1차평가(2분기말 재무자료) : 2024-11-15(값, Backdata 제공) / 2차평가(3분기말 재무자료) : 2024-12-16(최종평가값, Backdata 제공) / 보고서, MRC제공일 : 2024-12-23</v>
      </c>
      <c r="C376" s="56" t="str">
        <f>작성용!AK373</f>
        <v>개별종목</v>
      </c>
      <c r="D376" s="57">
        <f>작성용!T373</f>
        <v>45572</v>
      </c>
      <c r="E376" s="58" t="str">
        <f>작성용!B373</f>
        <v>고려아연</v>
      </c>
      <c r="F376" s="58" t="str">
        <f>작성용!C373</f>
        <v>재평가</v>
      </c>
      <c r="G376" s="58" t="str">
        <f>작성용!D373</f>
        <v>티비티오픈이노베이션투자조합</v>
      </c>
      <c r="H376" s="59" t="str">
        <f>작성용!E373</f>
        <v>KBP2023120004</v>
      </c>
      <c r="I376" s="58" t="str">
        <f>작성용!F373</f>
        <v>B01</v>
      </c>
      <c r="J376" s="58">
        <f>작성용!G373</f>
        <v>0</v>
      </c>
      <c r="K376" s="58" t="str">
        <f>작성용!H373</f>
        <v>-</v>
      </c>
      <c r="L376" s="58" t="str">
        <f>작성용!N373</f>
        <v>년</v>
      </c>
      <c r="M376" s="57" t="str">
        <f>작성용!U373</f>
        <v>2024.09.30</v>
      </c>
      <c r="N376" s="57">
        <f>작성용!V373</f>
        <v>45611</v>
      </c>
      <c r="O376" s="57">
        <f>작성용!W373</f>
        <v>45649</v>
      </c>
      <c r="P376" s="57" t="str">
        <f>작성용!X373</f>
        <v>-</v>
      </c>
      <c r="Q376" s="58" t="str">
        <f>작성용!AD373</f>
        <v>오수현</v>
      </c>
      <c r="R376" s="60">
        <f>작성용!AE373</f>
        <v>1.5</v>
      </c>
      <c r="S376" s="58" t="str">
        <f>작성용!AF373</f>
        <v>오수현</v>
      </c>
      <c r="T376" s="61" t="str">
        <f>작성용!AG373</f>
        <v>유재호</v>
      </c>
      <c r="U376" s="61" t="str">
        <f>작성용!AH373</f>
        <v>유재호</v>
      </c>
      <c r="V376" s="56">
        <f>작성용!AA373</f>
        <v>202411</v>
      </c>
      <c r="W376" s="58" t="str">
        <f>작성용!AC373</f>
        <v>[X]일반기업</v>
      </c>
      <c r="X376" s="58" t="str">
        <f>작성용!O373</f>
        <v>김영봉책임</v>
      </c>
      <c r="Y376" s="58" t="str">
        <f>작성용!P373</f>
        <v>02-6947-2406</v>
      </c>
      <c r="Z376" s="58" t="str">
        <f>작성용!Q373</f>
        <v>ybkim@koreazinc.co.kr</v>
      </c>
      <c r="AA376" s="56" t="str">
        <f>작성용!AJ373</f>
        <v xml:space="preserve">회계반영 </v>
      </c>
      <c r="AB376" s="56">
        <f>작성용!AB373</f>
        <v>0</v>
      </c>
    </row>
    <row r="377" spans="1:28" s="12" customFormat="1" ht="16.5" hidden="1" customHeight="1" x14ac:dyDescent="0.3">
      <c r="A377" s="54">
        <f>작성용!AL374</f>
        <v>373</v>
      </c>
      <c r="B377" s="55" t="str">
        <f>작성용!AI374</f>
        <v>MRC제공 / 1차평가(2분기말 재무자료) : 2024-11-15(값, Backdata 제공) / 2차평가(3분기말 재무자료) : 2024-12-16(최종평가값, Backdata 제공) / 보고서, MRC제공일 : 2024-12-23</v>
      </c>
      <c r="C377" s="56" t="str">
        <f>작성용!AK374</f>
        <v>개별종목</v>
      </c>
      <c r="D377" s="57">
        <f>작성용!T374</f>
        <v>45572</v>
      </c>
      <c r="E377" s="58" t="str">
        <f>작성용!B374</f>
        <v>고려아연</v>
      </c>
      <c r="F377" s="58" t="str">
        <f>작성용!C374</f>
        <v>재평가</v>
      </c>
      <c r="G377" s="58" t="str">
        <f>작성용!D374</f>
        <v>인터베스트그로스세컨더리펀드</v>
      </c>
      <c r="H377" s="59" t="str">
        <f>작성용!E374</f>
        <v>KBP2023120005</v>
      </c>
      <c r="I377" s="58" t="str">
        <f>작성용!F374</f>
        <v>B01</v>
      </c>
      <c r="J377" s="58">
        <f>작성용!G374</f>
        <v>0</v>
      </c>
      <c r="K377" s="58" t="str">
        <f>작성용!H374</f>
        <v>-</v>
      </c>
      <c r="L377" s="58" t="str">
        <f>작성용!N374</f>
        <v>년</v>
      </c>
      <c r="M377" s="57" t="str">
        <f>작성용!U374</f>
        <v>2024.09.30</v>
      </c>
      <c r="N377" s="57">
        <f>작성용!V374</f>
        <v>45611</v>
      </c>
      <c r="O377" s="57">
        <f>작성용!W374</f>
        <v>45649</v>
      </c>
      <c r="P377" s="57" t="str">
        <f>작성용!X374</f>
        <v>-</v>
      </c>
      <c r="Q377" s="58" t="str">
        <f>작성용!AD374</f>
        <v>정은채</v>
      </c>
      <c r="R377" s="60">
        <f>작성용!AE374</f>
        <v>2</v>
      </c>
      <c r="S377" s="58" t="str">
        <f>작성용!AF374</f>
        <v>정은채</v>
      </c>
      <c r="T377" s="61" t="str">
        <f>작성용!AG374</f>
        <v>유재호</v>
      </c>
      <c r="U377" s="61" t="str">
        <f>작성용!AH374</f>
        <v>유재호</v>
      </c>
      <c r="V377" s="56">
        <f>작성용!AA374</f>
        <v>202411</v>
      </c>
      <c r="W377" s="58" t="str">
        <f>작성용!AC374</f>
        <v>[X]일반기업</v>
      </c>
      <c r="X377" s="58" t="str">
        <f>작성용!O374</f>
        <v>김영봉책임</v>
      </c>
      <c r="Y377" s="58" t="str">
        <f>작성용!P374</f>
        <v>02-6947-2406</v>
      </c>
      <c r="Z377" s="58" t="str">
        <f>작성용!Q374</f>
        <v>ybkim@koreazinc.co.kr</v>
      </c>
      <c r="AA377" s="56" t="str">
        <f>작성용!AJ374</f>
        <v xml:space="preserve">회계반영 </v>
      </c>
      <c r="AB377" s="56">
        <f>작성용!AB374</f>
        <v>0</v>
      </c>
    </row>
    <row r="378" spans="1:28" s="12" customFormat="1" ht="16.5" hidden="1" customHeight="1" x14ac:dyDescent="0.3">
      <c r="A378" s="54">
        <f>작성용!AL375</f>
        <v>374</v>
      </c>
      <c r="B378" s="55" t="str">
        <f>작성용!AI375</f>
        <v>1차평가(2분기말 재무자료) : 2024-11-15(값, Backdata 제공) / 2차평가(3분기말 재무자료) : 2024-12-16(최종평가값, Backdata 제공) / 보고서, MRC제공일 : 2024-12-23</v>
      </c>
      <c r="C378" s="56" t="str">
        <f>작성용!AK375</f>
        <v>개별종목</v>
      </c>
      <c r="D378" s="57">
        <f>작성용!T375</f>
        <v>45572</v>
      </c>
      <c r="E378" s="58" t="str">
        <f>작성용!B375</f>
        <v>고려아연</v>
      </c>
      <c r="F378" s="58" t="str">
        <f>작성용!C375</f>
        <v>재평가</v>
      </c>
      <c r="G378" s="58" t="str">
        <f>작성용!D375</f>
        <v>미래에셋글로벌유니콘사모투자</v>
      </c>
      <c r="H378" s="59">
        <f>작성용!E375</f>
        <v>1101130022523</v>
      </c>
      <c r="I378" s="58" t="str">
        <f>작성용!F375</f>
        <v>B01</v>
      </c>
      <c r="J378" s="58">
        <f>작성용!G375</f>
        <v>0</v>
      </c>
      <c r="K378" s="58" t="str">
        <f>작성용!H375</f>
        <v>-</v>
      </c>
      <c r="L378" s="58" t="str">
        <f>작성용!N375</f>
        <v>년</v>
      </c>
      <c r="M378" s="57" t="str">
        <f>작성용!U375</f>
        <v>2024.09.30</v>
      </c>
      <c r="N378" s="57">
        <f>작성용!V375</f>
        <v>45611</v>
      </c>
      <c r="O378" s="57">
        <f>작성용!W375</f>
        <v>45649</v>
      </c>
      <c r="P378" s="57" t="str">
        <f>작성용!X375</f>
        <v>-</v>
      </c>
      <c r="Q378" s="58" t="str">
        <f>작성용!AD375</f>
        <v>김에스더</v>
      </c>
      <c r="R378" s="60">
        <f>작성용!AE375</f>
        <v>1.5</v>
      </c>
      <c r="S378" s="58" t="str">
        <f>작성용!AF375</f>
        <v>조현우</v>
      </c>
      <c r="T378" s="61" t="str">
        <f>작성용!AG375</f>
        <v>유재호</v>
      </c>
      <c r="U378" s="61" t="str">
        <f>작성용!AH375</f>
        <v>유재호</v>
      </c>
      <c r="V378" s="56">
        <f>작성용!AA375</f>
        <v>202411</v>
      </c>
      <c r="W378" s="58" t="str">
        <f>작성용!AC375</f>
        <v>[X]일반기업</v>
      </c>
      <c r="X378" s="58" t="str">
        <f>작성용!O375</f>
        <v>김영봉책임</v>
      </c>
      <c r="Y378" s="58" t="str">
        <f>작성용!P375</f>
        <v>02-6947-2406</v>
      </c>
      <c r="Z378" s="58" t="str">
        <f>작성용!Q375</f>
        <v>ybkim@koreazinc.co.kr</v>
      </c>
      <c r="AA378" s="56" t="str">
        <f>작성용!AJ375</f>
        <v xml:space="preserve">회계반영 </v>
      </c>
      <c r="AB378" s="56">
        <f>작성용!AB375</f>
        <v>0</v>
      </c>
    </row>
    <row r="379" spans="1:28" s="12" customFormat="1" ht="16.5" hidden="1" customHeight="1" x14ac:dyDescent="0.3">
      <c r="A379" s="54">
        <f>작성용!AL376</f>
        <v>375</v>
      </c>
      <c r="B379" s="55" t="str">
        <f>작성용!AI376</f>
        <v>MRC제공 / 1차평가(2분기말 재무자료) : 2024-11-15(값, Backdata 제공) / 2차평가(3분기말 재무자료) : 2024-12-16(최종평가값, Backdata 제공) / 보고서, MRC제공일 : 2024-12-23</v>
      </c>
      <c r="C379" s="56" t="str">
        <f>작성용!AK376</f>
        <v>개별종목</v>
      </c>
      <c r="D379" s="57">
        <f>작성용!T376</f>
        <v>45572</v>
      </c>
      <c r="E379" s="58" t="str">
        <f>작성용!B376</f>
        <v>고려아연</v>
      </c>
      <c r="F379" s="58" t="str">
        <f>작성용!C376</f>
        <v>재평가</v>
      </c>
      <c r="G379" s="58" t="str">
        <f>작성용!D376</f>
        <v>아이엠엠살루스벤처펀드</v>
      </c>
      <c r="H379" s="59" t="str">
        <f>작성용!E376</f>
        <v>KBP2023120006</v>
      </c>
      <c r="I379" s="58" t="str">
        <f>작성용!F376</f>
        <v>B01</v>
      </c>
      <c r="J379" s="58">
        <f>작성용!G376</f>
        <v>0</v>
      </c>
      <c r="K379" s="58" t="str">
        <f>작성용!H376</f>
        <v>-</v>
      </c>
      <c r="L379" s="58" t="str">
        <f>작성용!N376</f>
        <v>년</v>
      </c>
      <c r="M379" s="57" t="str">
        <f>작성용!U376</f>
        <v>2024.09.30</v>
      </c>
      <c r="N379" s="57">
        <f>작성용!V376</f>
        <v>45611</v>
      </c>
      <c r="O379" s="57">
        <f>작성용!W376</f>
        <v>45649</v>
      </c>
      <c r="P379" s="57" t="str">
        <f>작성용!X376</f>
        <v>-</v>
      </c>
      <c r="Q379" s="58" t="str">
        <f>작성용!AD376</f>
        <v>정재형</v>
      </c>
      <c r="R379" s="60">
        <f>작성용!AE376</f>
        <v>2</v>
      </c>
      <c r="S379" s="58" t="str">
        <f>작성용!AF376</f>
        <v>정재형</v>
      </c>
      <c r="T379" s="61" t="str">
        <f>작성용!AG376</f>
        <v>유재호</v>
      </c>
      <c r="U379" s="61" t="str">
        <f>작성용!AH376</f>
        <v>유재호</v>
      </c>
      <c r="V379" s="56">
        <f>작성용!AA376</f>
        <v>202411</v>
      </c>
      <c r="W379" s="58" t="str">
        <f>작성용!AC376</f>
        <v>[X]일반기업</v>
      </c>
      <c r="X379" s="58" t="str">
        <f>작성용!O376</f>
        <v>김영봉책임</v>
      </c>
      <c r="Y379" s="58" t="str">
        <f>작성용!P376</f>
        <v>02-6947-2406</v>
      </c>
      <c r="Z379" s="58" t="str">
        <f>작성용!Q376</f>
        <v>ybkim@koreazinc.co.kr</v>
      </c>
      <c r="AA379" s="56" t="str">
        <f>작성용!AJ376</f>
        <v xml:space="preserve">회계반영 </v>
      </c>
      <c r="AB379" s="56">
        <f>작성용!AB376</f>
        <v>0</v>
      </c>
    </row>
    <row r="380" spans="1:28" s="12" customFormat="1" ht="16.5" hidden="1" customHeight="1" x14ac:dyDescent="0.3">
      <c r="A380" s="54">
        <f>작성용!AL377</f>
        <v>376</v>
      </c>
      <c r="B380" s="55" t="str">
        <f>작성용!AI377</f>
        <v>MRC제공 / 1차평가(2분기말 재무자료) : 2024-11-15(값, Backdata 제공) / 2차평가(3분기말 재무자료) : 2024-12-16(최종평가값, Backdata 제공) / 보고서, MRC제공일 : 2024-12-23</v>
      </c>
      <c r="C380" s="56" t="str">
        <f>작성용!AK377</f>
        <v>개별종목</v>
      </c>
      <c r="D380" s="57">
        <f>작성용!T377</f>
        <v>45572</v>
      </c>
      <c r="E380" s="58" t="str">
        <f>작성용!B377</f>
        <v>고려아연</v>
      </c>
      <c r="F380" s="58" t="str">
        <f>작성용!C377</f>
        <v>재평가</v>
      </c>
      <c r="G380" s="58" t="str">
        <f>작성용!D377</f>
        <v>Primer Sazze Fund II</v>
      </c>
      <c r="H380" s="59" t="str">
        <f>작성용!E377</f>
        <v>KBP2023120007</v>
      </c>
      <c r="I380" s="58" t="str">
        <f>작성용!F377</f>
        <v>B01</v>
      </c>
      <c r="J380" s="58">
        <f>작성용!G377</f>
        <v>0</v>
      </c>
      <c r="K380" s="58" t="str">
        <f>작성용!H377</f>
        <v>-</v>
      </c>
      <c r="L380" s="58" t="str">
        <f>작성용!N377</f>
        <v>년</v>
      </c>
      <c r="M380" s="57" t="str">
        <f>작성용!U377</f>
        <v>2024.09.30</v>
      </c>
      <c r="N380" s="57">
        <f>작성용!V377</f>
        <v>45611</v>
      </c>
      <c r="O380" s="57">
        <f>작성용!W377</f>
        <v>45649</v>
      </c>
      <c r="P380" s="57" t="str">
        <f>작성용!X377</f>
        <v>-</v>
      </c>
      <c r="Q380" s="58" t="str">
        <f>작성용!AD377</f>
        <v>김예림</v>
      </c>
      <c r="R380" s="60">
        <f>작성용!AE377</f>
        <v>2</v>
      </c>
      <c r="S380" s="58" t="str">
        <f>작성용!AF377</f>
        <v>김예림</v>
      </c>
      <c r="T380" s="61" t="str">
        <f>작성용!AG377</f>
        <v>유재호</v>
      </c>
      <c r="U380" s="61" t="str">
        <f>작성용!AH377</f>
        <v>유재호</v>
      </c>
      <c r="V380" s="56">
        <f>작성용!AA377</f>
        <v>202411</v>
      </c>
      <c r="W380" s="58" t="str">
        <f>작성용!AC377</f>
        <v>[X]일반기업</v>
      </c>
      <c r="X380" s="58" t="str">
        <f>작성용!O377</f>
        <v>김영봉책임</v>
      </c>
      <c r="Y380" s="58" t="str">
        <f>작성용!P377</f>
        <v>02-6947-2406</v>
      </c>
      <c r="Z380" s="58" t="str">
        <f>작성용!Q377</f>
        <v>ybkim@koreazinc.co.kr</v>
      </c>
      <c r="AA380" s="56" t="str">
        <f>작성용!AJ377</f>
        <v xml:space="preserve">회계반영 </v>
      </c>
      <c r="AB380" s="56">
        <f>작성용!AB377</f>
        <v>0</v>
      </c>
    </row>
    <row r="381" spans="1:28" s="12" customFormat="1" ht="16.5" hidden="1" customHeight="1" x14ac:dyDescent="0.3">
      <c r="A381" s="54">
        <f>작성용!AL378</f>
        <v>377</v>
      </c>
      <c r="B381" s="55" t="str">
        <f>작성용!AI378</f>
        <v>MRC제공 / 1차평가(2분기말 재무자료) : 2024-11-15(값, Backdata 제공) / 2차평가(3분기말 재무자료) : 2024-12-16(최종평가값, Backdata 제공) / 보고서, MRC제공일 : 2024-12-23</v>
      </c>
      <c r="C381" s="56" t="str">
        <f>작성용!AK378</f>
        <v>개별종목</v>
      </c>
      <c r="D381" s="57">
        <f>작성용!T378</f>
        <v>45572</v>
      </c>
      <c r="E381" s="58" t="str">
        <f>작성용!B378</f>
        <v>고려아연</v>
      </c>
      <c r="F381" s="58" t="str">
        <f>작성용!C378</f>
        <v>재평가</v>
      </c>
      <c r="G381" s="58" t="str">
        <f>작성용!D378</f>
        <v>파트너스글로벌헬스케어클로버펀드</v>
      </c>
      <c r="H381" s="59" t="str">
        <f>작성용!E378</f>
        <v>KBP2023120008</v>
      </c>
      <c r="I381" s="58" t="str">
        <f>작성용!F378</f>
        <v>B01</v>
      </c>
      <c r="J381" s="58">
        <f>작성용!G378</f>
        <v>0</v>
      </c>
      <c r="K381" s="58" t="str">
        <f>작성용!H378</f>
        <v>-</v>
      </c>
      <c r="L381" s="58" t="str">
        <f>작성용!N378</f>
        <v>년</v>
      </c>
      <c r="M381" s="57" t="str">
        <f>작성용!U378</f>
        <v>2024.09.30</v>
      </c>
      <c r="N381" s="57">
        <f>작성용!V378</f>
        <v>45611</v>
      </c>
      <c r="O381" s="57">
        <f>작성용!W378</f>
        <v>45649</v>
      </c>
      <c r="P381" s="57" t="str">
        <f>작성용!X378</f>
        <v>-</v>
      </c>
      <c r="Q381" s="58" t="str">
        <f>작성용!AD378</f>
        <v>유재호</v>
      </c>
      <c r="R381" s="60">
        <f>작성용!AE378</f>
        <v>2</v>
      </c>
      <c r="S381" s="58" t="str">
        <f>작성용!AF378</f>
        <v>유재호</v>
      </c>
      <c r="T381" s="61" t="str">
        <f>작성용!AG378</f>
        <v>유재호</v>
      </c>
      <c r="U381" s="61" t="str">
        <f>작성용!AH378</f>
        <v>유재호</v>
      </c>
      <c r="V381" s="56">
        <f>작성용!AA378</f>
        <v>202411</v>
      </c>
      <c r="W381" s="58" t="str">
        <f>작성용!AC378</f>
        <v>[X]일반기업</v>
      </c>
      <c r="X381" s="58" t="str">
        <f>작성용!O378</f>
        <v>김영봉책임</v>
      </c>
      <c r="Y381" s="58" t="str">
        <f>작성용!P378</f>
        <v>02-6947-2406</v>
      </c>
      <c r="Z381" s="58" t="str">
        <f>작성용!Q378</f>
        <v>ybkim@koreazinc.co.kr</v>
      </c>
      <c r="AA381" s="56" t="str">
        <f>작성용!AJ378</f>
        <v xml:space="preserve">회계반영 </v>
      </c>
      <c r="AB381" s="56">
        <f>작성용!AB378</f>
        <v>0</v>
      </c>
    </row>
    <row r="382" spans="1:28" s="12" customFormat="1" ht="16.5" hidden="1" customHeight="1" x14ac:dyDescent="0.3">
      <c r="A382" s="54">
        <f>작성용!AL379</f>
        <v>378</v>
      </c>
      <c r="B382" s="55" t="str">
        <f>작성용!AI379</f>
        <v>MRC제공 / 1차평가(2분기말 재무자료) : 2024-11-15(값, Backdata 제공) / 2차평가(3분기말 재무자료) : 2024-12-16(최종평가값, Backdata 제공) / 보고서, MRC제공일 : 2024-12-23</v>
      </c>
      <c r="C382" s="56" t="str">
        <f>작성용!AK379</f>
        <v>개별종목</v>
      </c>
      <c r="D382" s="57">
        <f>작성용!T379</f>
        <v>45572</v>
      </c>
      <c r="E382" s="58" t="str">
        <f>작성용!B379</f>
        <v>고려아연</v>
      </c>
      <c r="F382" s="58" t="str">
        <f>작성용!C379</f>
        <v>재평가</v>
      </c>
      <c r="G382" s="58" t="str">
        <f>작성용!D379</f>
        <v>티비티글로벌성장제3호투자조합</v>
      </c>
      <c r="H382" s="59" t="str">
        <f>작성용!E379</f>
        <v>KBP2023120009</v>
      </c>
      <c r="I382" s="58" t="str">
        <f>작성용!F379</f>
        <v>B01</v>
      </c>
      <c r="J382" s="58">
        <f>작성용!G379</f>
        <v>0</v>
      </c>
      <c r="K382" s="58" t="str">
        <f>작성용!H379</f>
        <v>-</v>
      </c>
      <c r="L382" s="58" t="str">
        <f>작성용!N379</f>
        <v>년</v>
      </c>
      <c r="M382" s="57" t="str">
        <f>작성용!U379</f>
        <v>2024.09.30</v>
      </c>
      <c r="N382" s="57">
        <f>작성용!V379</f>
        <v>45611</v>
      </c>
      <c r="O382" s="57">
        <f>작성용!W379</f>
        <v>45649</v>
      </c>
      <c r="P382" s="57" t="str">
        <f>작성용!X379</f>
        <v>-</v>
      </c>
      <c r="Q382" s="58" t="str">
        <f>작성용!AD379</f>
        <v>오수현</v>
      </c>
      <c r="R382" s="60">
        <f>작성용!AE379</f>
        <v>2</v>
      </c>
      <c r="S382" s="58" t="str">
        <f>작성용!AF379</f>
        <v>오수현</v>
      </c>
      <c r="T382" s="61" t="str">
        <f>작성용!AG379</f>
        <v>유재호</v>
      </c>
      <c r="U382" s="61" t="str">
        <f>작성용!AH379</f>
        <v>유재호</v>
      </c>
      <c r="V382" s="56">
        <f>작성용!AA379</f>
        <v>202411</v>
      </c>
      <c r="W382" s="58" t="str">
        <f>작성용!AC379</f>
        <v>[X]일반기업</v>
      </c>
      <c r="X382" s="58" t="str">
        <f>작성용!O379</f>
        <v>김영봉책임</v>
      </c>
      <c r="Y382" s="58" t="str">
        <f>작성용!P379</f>
        <v>02-6947-2406</v>
      </c>
      <c r="Z382" s="58" t="str">
        <f>작성용!Q379</f>
        <v>ybkim@koreazinc.co.kr</v>
      </c>
      <c r="AA382" s="56" t="str">
        <f>작성용!AJ379</f>
        <v xml:space="preserve">회계반영 </v>
      </c>
      <c r="AB382" s="56">
        <f>작성용!AB379</f>
        <v>0</v>
      </c>
    </row>
    <row r="383" spans="1:28" s="12" customFormat="1" ht="16.5" hidden="1" customHeight="1" x14ac:dyDescent="0.3">
      <c r="A383" s="54">
        <f>작성용!AL380</f>
        <v>379</v>
      </c>
      <c r="B383" s="55" t="str">
        <f>작성용!AI380</f>
        <v>1차평가(2분기말 재무자료) : 2024-11-15(값, Backdata 제공) / 2차평가(3분기말 재무자료) : 2024-12-16(최종평가값, Backdata 제공) / 보고서, MRC제공일 : 2024-12-23</v>
      </c>
      <c r="C383" s="56" t="str">
        <f>작성용!AK380</f>
        <v>개별종목</v>
      </c>
      <c r="D383" s="57">
        <f>작성용!T380</f>
        <v>45572</v>
      </c>
      <c r="E383" s="58" t="str">
        <f>작성용!B380</f>
        <v>고려아연</v>
      </c>
      <c r="F383" s="58" t="str">
        <f>작성용!C380</f>
        <v>재평가</v>
      </c>
      <c r="G383" s="58" t="str">
        <f>작성용!D380</f>
        <v>키움뉴히어로6호창업초기펀드</v>
      </c>
      <c r="H383" s="59" t="str">
        <f>작성용!E380</f>
        <v>KBP2023120010</v>
      </c>
      <c r="I383" s="58" t="str">
        <f>작성용!F380</f>
        <v>B01</v>
      </c>
      <c r="J383" s="58">
        <f>작성용!G380</f>
        <v>0</v>
      </c>
      <c r="K383" s="58" t="str">
        <f>작성용!H380</f>
        <v>-</v>
      </c>
      <c r="L383" s="58" t="str">
        <f>작성용!N380</f>
        <v>년</v>
      </c>
      <c r="M383" s="57" t="str">
        <f>작성용!U380</f>
        <v>2024.09.30</v>
      </c>
      <c r="N383" s="57">
        <f>작성용!V380</f>
        <v>45611</v>
      </c>
      <c r="O383" s="57">
        <f>작성용!W380</f>
        <v>45649</v>
      </c>
      <c r="P383" s="57" t="str">
        <f>작성용!X380</f>
        <v>-</v>
      </c>
      <c r="Q383" s="58" t="str">
        <f>작성용!AD380</f>
        <v>서동현</v>
      </c>
      <c r="R383" s="60">
        <f>작성용!AE380</f>
        <v>1.5</v>
      </c>
      <c r="S383" s="58" t="str">
        <f>작성용!AF380</f>
        <v>서동현</v>
      </c>
      <c r="T383" s="61" t="str">
        <f>작성용!AG380</f>
        <v>유재호</v>
      </c>
      <c r="U383" s="61" t="str">
        <f>작성용!AH380</f>
        <v>유재호</v>
      </c>
      <c r="V383" s="56">
        <f>작성용!AA380</f>
        <v>202411</v>
      </c>
      <c r="W383" s="58" t="str">
        <f>작성용!AC380</f>
        <v>[X]일반기업</v>
      </c>
      <c r="X383" s="58" t="str">
        <f>작성용!O380</f>
        <v>김영봉책임</v>
      </c>
      <c r="Y383" s="58" t="str">
        <f>작성용!P380</f>
        <v>02-6947-2406</v>
      </c>
      <c r="Z383" s="58" t="str">
        <f>작성용!Q380</f>
        <v>ybkim@koreazinc.co.kr</v>
      </c>
      <c r="AA383" s="56" t="str">
        <f>작성용!AJ380</f>
        <v xml:space="preserve">회계반영 </v>
      </c>
      <c r="AB383" s="56">
        <f>작성용!AB380</f>
        <v>0</v>
      </c>
    </row>
    <row r="384" spans="1:28" s="12" customFormat="1" ht="16.5" hidden="1" customHeight="1" x14ac:dyDescent="0.3">
      <c r="A384" s="54">
        <f>작성용!AL381</f>
        <v>380</v>
      </c>
      <c r="B384" s="55" t="str">
        <f>작성용!AI381</f>
        <v>1차평가(2분기말 재무자료) : 2024-11-15(값, Backdata 제공) / 2차평가(3분기말 재무자료) : 2024-12-16(최종평가값, Backdata 제공) / 보고서, MRC제공일 : 2024-12-23</v>
      </c>
      <c r="C384" s="56" t="str">
        <f>작성용!AK381</f>
        <v>개별종목</v>
      </c>
      <c r="D384" s="57">
        <f>작성용!T381</f>
        <v>45572</v>
      </c>
      <c r="E384" s="58" t="str">
        <f>작성용!B381</f>
        <v>고려아연</v>
      </c>
      <c r="F384" s="58" t="str">
        <f>작성용!C381</f>
        <v>재평가</v>
      </c>
      <c r="G384" s="58" t="str">
        <f>작성용!D381</f>
        <v>Spider Capital Partners III</v>
      </c>
      <c r="H384" s="59" t="str">
        <f>작성용!E381</f>
        <v>KBP2023120011</v>
      </c>
      <c r="I384" s="58" t="str">
        <f>작성용!F381</f>
        <v>B01</v>
      </c>
      <c r="J384" s="58">
        <f>작성용!G381</f>
        <v>0</v>
      </c>
      <c r="K384" s="58" t="str">
        <f>작성용!H381</f>
        <v>-</v>
      </c>
      <c r="L384" s="58" t="str">
        <f>작성용!N381</f>
        <v>년</v>
      </c>
      <c r="M384" s="57" t="str">
        <f>작성용!U381</f>
        <v>2024.09.30</v>
      </c>
      <c r="N384" s="57">
        <f>작성용!V381</f>
        <v>45611</v>
      </c>
      <c r="O384" s="57">
        <f>작성용!W381</f>
        <v>45649</v>
      </c>
      <c r="P384" s="57" t="str">
        <f>작성용!X381</f>
        <v>-</v>
      </c>
      <c r="Q384" s="58" t="str">
        <f>작성용!AD381</f>
        <v>윤광일</v>
      </c>
      <c r="R384" s="60">
        <f>작성용!AE381</f>
        <v>1.5</v>
      </c>
      <c r="S384" s="58" t="str">
        <f>작성용!AF381</f>
        <v>김혜지</v>
      </c>
      <c r="T384" s="61" t="str">
        <f>작성용!AG381</f>
        <v>유재호</v>
      </c>
      <c r="U384" s="61" t="str">
        <f>작성용!AH381</f>
        <v>유재호</v>
      </c>
      <c r="V384" s="56">
        <f>작성용!AA381</f>
        <v>202411</v>
      </c>
      <c r="W384" s="58" t="str">
        <f>작성용!AC381</f>
        <v>[X]일반기업</v>
      </c>
      <c r="X384" s="58" t="str">
        <f>작성용!O381</f>
        <v>김영봉책임</v>
      </c>
      <c r="Y384" s="58" t="str">
        <f>작성용!P381</f>
        <v>02-6947-2406</v>
      </c>
      <c r="Z384" s="58" t="str">
        <f>작성용!Q381</f>
        <v>ybkim@koreazinc.co.kr</v>
      </c>
      <c r="AA384" s="56" t="str">
        <f>작성용!AJ381</f>
        <v xml:space="preserve">회계반영 </v>
      </c>
      <c r="AB384" s="56">
        <f>작성용!AB381</f>
        <v>0</v>
      </c>
    </row>
    <row r="385" spans="1:28" s="12" customFormat="1" ht="16.5" hidden="1" customHeight="1" x14ac:dyDescent="0.3">
      <c r="A385" s="54">
        <f>작성용!AL382</f>
        <v>381</v>
      </c>
      <c r="B385" s="55" t="str">
        <f>작성용!AI382</f>
        <v>MRC제공 / 1차평가(2분기말 재무자료) : 2024-11-15(값, Backdata 제공) / 2차평가(3분기말 재무자료) : 2024-12-16(최종평가값, Backdata 제공) / 보고서, MRC제공일 : 2024-12-23</v>
      </c>
      <c r="C385" s="56" t="str">
        <f>작성용!AK382</f>
        <v>개별종목</v>
      </c>
      <c r="D385" s="57">
        <f>작성용!T382</f>
        <v>45572</v>
      </c>
      <c r="E385" s="58" t="str">
        <f>작성용!B382</f>
        <v>고려아연</v>
      </c>
      <c r="F385" s="58" t="str">
        <f>작성용!C382</f>
        <v>재평가</v>
      </c>
      <c r="G385" s="58" t="str">
        <f>작성용!D382</f>
        <v>Argonautic Ventures Exit Plus Fund I SP</v>
      </c>
      <c r="H385" s="59" t="str">
        <f>작성용!E382</f>
        <v>KBP2023120012</v>
      </c>
      <c r="I385" s="58" t="str">
        <f>작성용!F382</f>
        <v>B01</v>
      </c>
      <c r="J385" s="58">
        <f>작성용!G382</f>
        <v>0</v>
      </c>
      <c r="K385" s="58" t="str">
        <f>작성용!H382</f>
        <v>-</v>
      </c>
      <c r="L385" s="58" t="str">
        <f>작성용!N382</f>
        <v>년</v>
      </c>
      <c r="M385" s="57" t="str">
        <f>작성용!U382</f>
        <v>2024.09.30</v>
      </c>
      <c r="N385" s="57">
        <f>작성용!V382</f>
        <v>45611</v>
      </c>
      <c r="O385" s="57">
        <f>작성용!W382</f>
        <v>45649</v>
      </c>
      <c r="P385" s="57" t="str">
        <f>작성용!X382</f>
        <v>-</v>
      </c>
      <c r="Q385" s="58" t="str">
        <f>작성용!AD382</f>
        <v>김수현</v>
      </c>
      <c r="R385" s="60">
        <f>작성용!AE382</f>
        <v>2</v>
      </c>
      <c r="S385" s="58" t="str">
        <f>작성용!AF382</f>
        <v>김수현</v>
      </c>
      <c r="T385" s="61" t="str">
        <f>작성용!AG382</f>
        <v>유재호</v>
      </c>
      <c r="U385" s="61" t="str">
        <f>작성용!AH382</f>
        <v>유재호</v>
      </c>
      <c r="V385" s="56">
        <f>작성용!AA382</f>
        <v>202411</v>
      </c>
      <c r="W385" s="58" t="str">
        <f>작성용!AC382</f>
        <v>[X]일반기업</v>
      </c>
      <c r="X385" s="58" t="str">
        <f>작성용!O382</f>
        <v>김영봉책임</v>
      </c>
      <c r="Y385" s="58" t="str">
        <f>작성용!P382</f>
        <v>02-6947-2406</v>
      </c>
      <c r="Z385" s="58" t="str">
        <f>작성용!Q382</f>
        <v>ybkim@koreazinc.co.kr</v>
      </c>
      <c r="AA385" s="56" t="str">
        <f>작성용!AJ382</f>
        <v xml:space="preserve">회계반영 </v>
      </c>
      <c r="AB385" s="56">
        <f>작성용!AB382</f>
        <v>0</v>
      </c>
    </row>
    <row r="386" spans="1:28" s="12" customFormat="1" ht="16.5" hidden="1" customHeight="1" x14ac:dyDescent="0.3">
      <c r="A386" s="54">
        <f>작성용!AL383</f>
        <v>382</v>
      </c>
      <c r="B386" s="55" t="str">
        <f>작성용!AI383</f>
        <v>MRC제공 / 1차평가(2분기말 재무자료) : 2024-11-15(값, Backdata 제공) / 2차평가(3분기말 재무자료) : 2024-12-16(최종평가값, Backdata 제공) / 보고서, MRC제공일 : 2024-12-23</v>
      </c>
      <c r="C386" s="56" t="str">
        <f>작성용!AK383</f>
        <v>개별종목</v>
      </c>
      <c r="D386" s="57">
        <f>작성용!T383</f>
        <v>45572</v>
      </c>
      <c r="E386" s="58" t="str">
        <f>작성용!B383</f>
        <v>고려아연</v>
      </c>
      <c r="F386" s="58" t="str">
        <f>작성용!C383</f>
        <v>재평가</v>
      </c>
      <c r="G386" s="58" t="str">
        <f>작성용!D383</f>
        <v>Argonautic Ventures SPC</v>
      </c>
      <c r="H386" s="59" t="str">
        <f>작성용!E383</f>
        <v>KBP2023120013</v>
      </c>
      <c r="I386" s="58" t="str">
        <f>작성용!F383</f>
        <v>B01</v>
      </c>
      <c r="J386" s="58">
        <f>작성용!G383</f>
        <v>0</v>
      </c>
      <c r="K386" s="58" t="str">
        <f>작성용!H383</f>
        <v>-</v>
      </c>
      <c r="L386" s="58" t="str">
        <f>작성용!N383</f>
        <v>년</v>
      </c>
      <c r="M386" s="57" t="str">
        <f>작성용!U383</f>
        <v>2024.09.30</v>
      </c>
      <c r="N386" s="57">
        <f>작성용!V383</f>
        <v>45611</v>
      </c>
      <c r="O386" s="57">
        <f>작성용!W383</f>
        <v>45649</v>
      </c>
      <c r="P386" s="57" t="str">
        <f>작성용!X383</f>
        <v>-</v>
      </c>
      <c r="Q386" s="58" t="str">
        <f>작성용!AD383</f>
        <v>오영석</v>
      </c>
      <c r="R386" s="60">
        <f>작성용!AE383</f>
        <v>2</v>
      </c>
      <c r="S386" s="58" t="str">
        <f>작성용!AF383</f>
        <v>조현우</v>
      </c>
      <c r="T386" s="61" t="str">
        <f>작성용!AG383</f>
        <v>유재호</v>
      </c>
      <c r="U386" s="61" t="str">
        <f>작성용!AH383</f>
        <v>유재호</v>
      </c>
      <c r="V386" s="56">
        <f>작성용!AA383</f>
        <v>202411</v>
      </c>
      <c r="W386" s="58" t="str">
        <f>작성용!AC383</f>
        <v>[X]일반기업</v>
      </c>
      <c r="X386" s="58" t="str">
        <f>작성용!O383</f>
        <v>김영봉책임</v>
      </c>
      <c r="Y386" s="58" t="str">
        <f>작성용!P383</f>
        <v>02-6947-2406</v>
      </c>
      <c r="Z386" s="58" t="str">
        <f>작성용!Q383</f>
        <v>ybkim@koreazinc.co.kr</v>
      </c>
      <c r="AA386" s="56" t="str">
        <f>작성용!AJ383</f>
        <v xml:space="preserve">회계반영 </v>
      </c>
      <c r="AB386" s="56">
        <f>작성용!AB383</f>
        <v>0</v>
      </c>
    </row>
    <row r="387" spans="1:28" s="12" customFormat="1" ht="16.5" hidden="1" customHeight="1" x14ac:dyDescent="0.3">
      <c r="A387" s="54">
        <f>작성용!AL384</f>
        <v>383</v>
      </c>
      <c r="B387" s="55" t="str">
        <f>작성용!AI384</f>
        <v>1차평가(2분기말 재무자료) : 2024-11-15(값, Backdata 제공) / 2차평가(3분기말 재무자료) : 2024-12-16(최종평가값, Backdata 제공) / 보고서, MRC제공일 : 2024-12-23</v>
      </c>
      <c r="C387" s="56" t="str">
        <f>작성용!AK384</f>
        <v>개별종목</v>
      </c>
      <c r="D387" s="57">
        <f>작성용!T384</f>
        <v>45572</v>
      </c>
      <c r="E387" s="58" t="str">
        <f>작성용!B384</f>
        <v>고려아연</v>
      </c>
      <c r="F387" s="58" t="str">
        <f>작성용!C384</f>
        <v>신규</v>
      </c>
      <c r="G387" s="58" t="str">
        <f>작성용!D384</f>
        <v>포지티브세컨더리벤처투자조합제2호</v>
      </c>
      <c r="H387" s="59" t="str">
        <f>작성용!E384</f>
        <v>KBP2024110003</v>
      </c>
      <c r="I387" s="58" t="str">
        <f>작성용!F384</f>
        <v>B01</v>
      </c>
      <c r="J387" s="58">
        <f>작성용!G384</f>
        <v>0</v>
      </c>
      <c r="K387" s="58" t="str">
        <f>작성용!H384</f>
        <v>-</v>
      </c>
      <c r="L387" s="58" t="str">
        <f>작성용!N384</f>
        <v>년</v>
      </c>
      <c r="M387" s="57" t="str">
        <f>작성용!U384</f>
        <v>2024.09.30</v>
      </c>
      <c r="N387" s="57">
        <f>작성용!V384</f>
        <v>45611</v>
      </c>
      <c r="O387" s="57">
        <f>작성용!W384</f>
        <v>45649</v>
      </c>
      <c r="P387" s="57" t="str">
        <f>작성용!X384</f>
        <v>-</v>
      </c>
      <c r="Q387" s="58" t="str">
        <f>작성용!AD384</f>
        <v>원정우</v>
      </c>
      <c r="R387" s="60">
        <f>작성용!AE384</f>
        <v>1.5</v>
      </c>
      <c r="S387" s="58" t="str">
        <f>작성용!AF384</f>
        <v>신규</v>
      </c>
      <c r="T387" s="61" t="str">
        <f>작성용!AG384</f>
        <v>유재호</v>
      </c>
      <c r="U387" s="61" t="str">
        <f>작성용!AH384</f>
        <v>유재호</v>
      </c>
      <c r="V387" s="56">
        <f>작성용!AA384</f>
        <v>202411</v>
      </c>
      <c r="W387" s="58" t="str">
        <f>작성용!AC384</f>
        <v>[X]일반기업</v>
      </c>
      <c r="X387" s="58" t="str">
        <f>작성용!O384</f>
        <v>김영봉책임</v>
      </c>
      <c r="Y387" s="58" t="str">
        <f>작성용!P384</f>
        <v>02-6947-2406</v>
      </c>
      <c r="Z387" s="58" t="str">
        <f>작성용!Q384</f>
        <v>ybkim@koreazinc.co.kr</v>
      </c>
      <c r="AA387" s="56" t="str">
        <f>작성용!AJ384</f>
        <v xml:space="preserve">회계반영 </v>
      </c>
      <c r="AB387" s="56">
        <f>작성용!AB384</f>
        <v>0</v>
      </c>
    </row>
    <row r="388" spans="1:28" s="12" customFormat="1" ht="16.5" hidden="1" customHeight="1" x14ac:dyDescent="0.3">
      <c r="A388" s="54">
        <f>작성용!AL385</f>
        <v>384</v>
      </c>
      <c r="B388" s="55" t="str">
        <f>작성용!AI385</f>
        <v>MRC제공 / 1차평가(2분기말 재무자료) : 2024-11-15(값, Backdata 제공) / 2차평가(3분기말 재무자료) : 2024-12-16(최종평가값, Backdata 제공) / 보고서, MRC제공일 : 2024-12-23</v>
      </c>
      <c r="C388" s="56" t="str">
        <f>작성용!AK385</f>
        <v>개별종목</v>
      </c>
      <c r="D388" s="57">
        <f>작성용!T385</f>
        <v>45572</v>
      </c>
      <c r="E388" s="58" t="str">
        <f>작성용!B385</f>
        <v>고려아연</v>
      </c>
      <c r="F388" s="58" t="str">
        <f>작성용!C385</f>
        <v>재평가</v>
      </c>
      <c r="G388" s="58" t="str">
        <f>작성용!D385</f>
        <v>칸서스글로벌전문투자형사모증권투자신탁1호(재간접)</v>
      </c>
      <c r="H388" s="59" t="str">
        <f>작성용!E385</f>
        <v>KBP2023120016</v>
      </c>
      <c r="I388" s="58" t="str">
        <f>작성용!F385</f>
        <v>B02</v>
      </c>
      <c r="J388" s="58">
        <f>작성용!G385</f>
        <v>0</v>
      </c>
      <c r="K388" s="58" t="str">
        <f>작성용!H385</f>
        <v>-</v>
      </c>
      <c r="L388" s="58" t="str">
        <f>작성용!N385</f>
        <v>년</v>
      </c>
      <c r="M388" s="57" t="str">
        <f>작성용!U385</f>
        <v>2024.09.30</v>
      </c>
      <c r="N388" s="57">
        <f>작성용!V385</f>
        <v>45611</v>
      </c>
      <c r="O388" s="57">
        <f>작성용!W385</f>
        <v>45649</v>
      </c>
      <c r="P388" s="57" t="str">
        <f>작성용!X385</f>
        <v>-</v>
      </c>
      <c r="Q388" s="58" t="str">
        <f>작성용!AD385</f>
        <v>서동현</v>
      </c>
      <c r="R388" s="60">
        <f>작성용!AE385</f>
        <v>2</v>
      </c>
      <c r="S388" s="58" t="str">
        <f>작성용!AF385</f>
        <v>서동현</v>
      </c>
      <c r="T388" s="61" t="str">
        <f>작성용!AG385</f>
        <v>유재호</v>
      </c>
      <c r="U388" s="61" t="str">
        <f>작성용!AH385</f>
        <v>유재호</v>
      </c>
      <c r="V388" s="56">
        <f>작성용!AA385</f>
        <v>202411</v>
      </c>
      <c r="W388" s="58" t="str">
        <f>작성용!AC385</f>
        <v>[X]일반기업</v>
      </c>
      <c r="X388" s="58" t="str">
        <f>작성용!O385</f>
        <v>김영봉책임</v>
      </c>
      <c r="Y388" s="58" t="str">
        <f>작성용!P385</f>
        <v>02-6947-2406</v>
      </c>
      <c r="Z388" s="58" t="str">
        <f>작성용!Q385</f>
        <v>ybkim@koreazinc.co.kr</v>
      </c>
      <c r="AA388" s="56" t="str">
        <f>작성용!AJ385</f>
        <v xml:space="preserve">회계반영 </v>
      </c>
      <c r="AB388" s="56">
        <f>작성용!AB385</f>
        <v>0</v>
      </c>
    </row>
    <row r="389" spans="1:28" s="12" customFormat="1" ht="16.5" hidden="1" customHeight="1" x14ac:dyDescent="0.3">
      <c r="A389" s="54">
        <f>작성용!AL386</f>
        <v>385</v>
      </c>
      <c r="B389" s="55" t="str">
        <f>작성용!AI386</f>
        <v>MRC제공 / 1차평가(2분기말 재무자료) : 2024-11-15(값, Backdata 제공) / 2차평가(3분기말 재무자료) : 2024-12-16(최종평가값, Backdata 제공) / 보고서, MRC제공일 : 2024-12-23</v>
      </c>
      <c r="C389" s="56" t="str">
        <f>작성용!AK386</f>
        <v>개별종목</v>
      </c>
      <c r="D389" s="57">
        <f>작성용!T386</f>
        <v>45572</v>
      </c>
      <c r="E389" s="58" t="str">
        <f>작성용!B386</f>
        <v>고려아연</v>
      </c>
      <c r="F389" s="58" t="str">
        <f>작성용!C386</f>
        <v>재평가</v>
      </c>
      <c r="G389" s="58" t="str">
        <f>작성용!D386</f>
        <v>멀티에셋CLO웨어하우스전문투자형사모투자신탁</v>
      </c>
      <c r="H389" s="59" t="str">
        <f>작성용!E386</f>
        <v>KBP2023120017</v>
      </c>
      <c r="I389" s="58" t="str">
        <f>작성용!F386</f>
        <v>B02</v>
      </c>
      <c r="J389" s="58">
        <f>작성용!G386</f>
        <v>0</v>
      </c>
      <c r="K389" s="58" t="str">
        <f>작성용!H386</f>
        <v>-</v>
      </c>
      <c r="L389" s="58" t="str">
        <f>작성용!N386</f>
        <v>년</v>
      </c>
      <c r="M389" s="57" t="str">
        <f>작성용!U386</f>
        <v>2024.09.30</v>
      </c>
      <c r="N389" s="57">
        <f>작성용!V386</f>
        <v>45611</v>
      </c>
      <c r="O389" s="57">
        <f>작성용!W386</f>
        <v>45649</v>
      </c>
      <c r="P389" s="57" t="str">
        <f>작성용!X386</f>
        <v>-</v>
      </c>
      <c r="Q389" s="58" t="str">
        <f>작성용!AD386</f>
        <v>대체평가3사업본부</v>
      </c>
      <c r="R389" s="60">
        <f>작성용!AE386</f>
        <v>0</v>
      </c>
      <c r="S389" s="58" t="str">
        <f>작성용!AF386</f>
        <v>대체평가3사업본부</v>
      </c>
      <c r="T389" s="61" t="str">
        <f>작성용!AG386</f>
        <v>유재호</v>
      </c>
      <c r="U389" s="61" t="str">
        <f>작성용!AH386</f>
        <v>유재호</v>
      </c>
      <c r="V389" s="56">
        <f>작성용!AA386</f>
        <v>202411</v>
      </c>
      <c r="W389" s="58" t="str">
        <f>작성용!AC386</f>
        <v>[T]기타보험기관[1본부]</v>
      </c>
      <c r="X389" s="58" t="str">
        <f>작성용!O386</f>
        <v>김영봉책임</v>
      </c>
      <c r="Y389" s="58" t="str">
        <f>작성용!P386</f>
        <v>02-6947-2406</v>
      </c>
      <c r="Z389" s="58" t="str">
        <f>작성용!Q386</f>
        <v>ybkim@koreazinc.co.kr</v>
      </c>
      <c r="AA389" s="56" t="str">
        <f>작성용!AJ386</f>
        <v xml:space="preserve">회계반영 </v>
      </c>
      <c r="AB389" s="56">
        <f>작성용!AB386</f>
        <v>0</v>
      </c>
    </row>
    <row r="390" spans="1:28" s="12" customFormat="1" ht="16.5" hidden="1" customHeight="1" x14ac:dyDescent="0.3">
      <c r="A390" s="54">
        <f>작성용!AL387</f>
        <v>386</v>
      </c>
      <c r="B390" s="55" t="str">
        <f>작성용!AI387</f>
        <v>MRC제공 / 1차평가(2분기말 재무자료) : 2024-11-15(값, Backdata 제공) / 2차평가(3분기말 재무자료) : 2024-12-16(최종평가값, Backdata 제공) / 보고서, MRC제공일 : 2024-12-23</v>
      </c>
      <c r="C390" s="56" t="str">
        <f>작성용!AK387</f>
        <v>개별종목</v>
      </c>
      <c r="D390" s="57">
        <f>작성용!T387</f>
        <v>45572</v>
      </c>
      <c r="E390" s="58" t="str">
        <f>작성용!B387</f>
        <v>고려아연</v>
      </c>
      <c r="F390" s="58" t="str">
        <f>작성용!C387</f>
        <v>신규</v>
      </c>
      <c r="G390" s="58" t="str">
        <f>작성용!D387</f>
        <v>미래에셋맵스코어전문투자사모부동산투자신탁</v>
      </c>
      <c r="H390" s="59" t="str">
        <f>작성용!E387</f>
        <v>KBP2024110004</v>
      </c>
      <c r="I390" s="58" t="str">
        <f>작성용!F387</f>
        <v>B02</v>
      </c>
      <c r="J390" s="58">
        <f>작성용!G387</f>
        <v>0</v>
      </c>
      <c r="K390" s="58" t="str">
        <f>작성용!H387</f>
        <v>-</v>
      </c>
      <c r="L390" s="58" t="str">
        <f>작성용!N387</f>
        <v>년</v>
      </c>
      <c r="M390" s="57" t="str">
        <f>작성용!U387</f>
        <v>2024.09.30</v>
      </c>
      <c r="N390" s="57">
        <f>작성용!V387</f>
        <v>45611</v>
      </c>
      <c r="O390" s="57">
        <f>작성용!W387</f>
        <v>45649</v>
      </c>
      <c r="P390" s="57" t="str">
        <f>작성용!X387</f>
        <v>-</v>
      </c>
      <c r="Q390" s="58" t="str">
        <f>작성용!AD387</f>
        <v>대체평가3사업본부</v>
      </c>
      <c r="R390" s="60">
        <f>작성용!AE387</f>
        <v>0</v>
      </c>
      <c r="S390" s="58" t="str">
        <f>작성용!AF387</f>
        <v>대체평가3사업본부</v>
      </c>
      <c r="T390" s="61" t="str">
        <f>작성용!AG387</f>
        <v>유재호</v>
      </c>
      <c r="U390" s="61" t="str">
        <f>작성용!AH387</f>
        <v>유재호</v>
      </c>
      <c r="V390" s="56">
        <f>작성용!AA387</f>
        <v>202411</v>
      </c>
      <c r="W390" s="58" t="str">
        <f>작성용!AC387</f>
        <v>[T]기타보험기관[1본부]</v>
      </c>
      <c r="X390" s="58" t="str">
        <f>작성용!O387</f>
        <v>김영봉책임</v>
      </c>
      <c r="Y390" s="58" t="str">
        <f>작성용!P387</f>
        <v>02-6947-2406</v>
      </c>
      <c r="Z390" s="58" t="str">
        <f>작성용!Q387</f>
        <v>ybkim@koreazinc.co.kr</v>
      </c>
      <c r="AA390" s="56" t="str">
        <f>작성용!AJ387</f>
        <v xml:space="preserve">회계반영 </v>
      </c>
      <c r="AB390" s="56">
        <f>작성용!AB387</f>
        <v>0</v>
      </c>
    </row>
    <row r="391" spans="1:28" s="12" customFormat="1" ht="16.5" hidden="1" customHeight="1" x14ac:dyDescent="0.3">
      <c r="A391" s="54">
        <f>작성용!AL388</f>
        <v>387</v>
      </c>
      <c r="B391" s="55" t="str">
        <f>작성용!AI388</f>
        <v>MRC제공 / 1차평가(2분기말 재무자료) : 2024-11-15(값, Backdata 제공) / 2차평가(3분기말 재무자료) : 2024-12-16(최종평가값, Backdata 제공) / 보고서, MRC제공일 : 2024-12-23</v>
      </c>
      <c r="C391" s="56" t="str">
        <f>작성용!AK388</f>
        <v>개별종목</v>
      </c>
      <c r="D391" s="57">
        <f>작성용!T388</f>
        <v>45572</v>
      </c>
      <c r="E391" s="58" t="str">
        <f>작성용!B388</f>
        <v>고려아연</v>
      </c>
      <c r="F391" s="58" t="str">
        <f>작성용!C388</f>
        <v>재평가</v>
      </c>
      <c r="G391" s="58" t="str">
        <f>작성용!D388</f>
        <v>대신TCK글로벌VCPEF전문투자형사모투자신탁</v>
      </c>
      <c r="H391" s="59" t="str">
        <f>작성용!E388</f>
        <v>KBP2023120018</v>
      </c>
      <c r="I391" s="58" t="str">
        <f>작성용!F388</f>
        <v>B02</v>
      </c>
      <c r="J391" s="58">
        <f>작성용!G388</f>
        <v>0</v>
      </c>
      <c r="K391" s="58" t="str">
        <f>작성용!H388</f>
        <v>-</v>
      </c>
      <c r="L391" s="58" t="str">
        <f>작성용!N388</f>
        <v>년</v>
      </c>
      <c r="M391" s="57" t="str">
        <f>작성용!U388</f>
        <v>2024.09.30</v>
      </c>
      <c r="N391" s="57">
        <f>작성용!V388</f>
        <v>45611</v>
      </c>
      <c r="O391" s="57">
        <f>작성용!W388</f>
        <v>45649</v>
      </c>
      <c r="P391" s="57" t="str">
        <f>작성용!X388</f>
        <v>-</v>
      </c>
      <c r="Q391" s="58" t="str">
        <f>작성용!AD388</f>
        <v>대체평가3사업본부</v>
      </c>
      <c r="R391" s="60">
        <f>작성용!AE388</f>
        <v>0</v>
      </c>
      <c r="S391" s="58" t="str">
        <f>작성용!AF388</f>
        <v>대체평가3사업본부</v>
      </c>
      <c r="T391" s="61" t="str">
        <f>작성용!AG388</f>
        <v>유재호</v>
      </c>
      <c r="U391" s="61" t="str">
        <f>작성용!AH388</f>
        <v>유재호</v>
      </c>
      <c r="V391" s="56">
        <f>작성용!AA388</f>
        <v>202411</v>
      </c>
      <c r="W391" s="58" t="str">
        <f>작성용!AC388</f>
        <v>[T]기타보험기관[1본부]</v>
      </c>
      <c r="X391" s="58" t="str">
        <f>작성용!O388</f>
        <v>김영봉책임</v>
      </c>
      <c r="Y391" s="58" t="str">
        <f>작성용!P388</f>
        <v>02-6947-2406</v>
      </c>
      <c r="Z391" s="58" t="str">
        <f>작성용!Q388</f>
        <v>ybkim@koreazinc.co.kr</v>
      </c>
      <c r="AA391" s="56" t="str">
        <f>작성용!AJ388</f>
        <v xml:space="preserve">회계반영 </v>
      </c>
      <c r="AB391" s="56">
        <f>작성용!AB388</f>
        <v>0</v>
      </c>
    </row>
    <row r="392" spans="1:28" s="12" customFormat="1" ht="16.5" hidden="1" customHeight="1" x14ac:dyDescent="0.3">
      <c r="A392" s="54">
        <f>작성용!AL389</f>
        <v>388</v>
      </c>
      <c r="B392" s="55" t="str">
        <f>작성용!AI389</f>
        <v>1차평가(2분기말 재무자료) : 2024-11-15(값, Backdata 제공) / 2차평가(3분기말 재무자료) : 2024-12-16(최종평가값, Backdata 제공) / 보고서, MRC제공일 : 2024-12-23</v>
      </c>
      <c r="C392" s="56" t="str">
        <f>작성용!AK389</f>
        <v>개별종목</v>
      </c>
      <c r="D392" s="57">
        <f>작성용!T389</f>
        <v>45572</v>
      </c>
      <c r="E392" s="58" t="str">
        <f>작성용!B389</f>
        <v>고려아연</v>
      </c>
      <c r="F392" s="58" t="str">
        <f>작성용!C389</f>
        <v>재평가</v>
      </c>
      <c r="G392" s="58" t="str">
        <f>작성용!D389</f>
        <v>타임폴리오바이오육성투자조합</v>
      </c>
      <c r="H392" s="59" t="str">
        <f>작성용!E389</f>
        <v>KBP2023120014</v>
      </c>
      <c r="I392" s="58" t="str">
        <f>작성용!F389</f>
        <v>B01</v>
      </c>
      <c r="J392" s="58">
        <f>작성용!G389</f>
        <v>0</v>
      </c>
      <c r="K392" s="58" t="str">
        <f>작성용!H389</f>
        <v>-</v>
      </c>
      <c r="L392" s="58" t="str">
        <f>작성용!N389</f>
        <v>년</v>
      </c>
      <c r="M392" s="57" t="str">
        <f>작성용!U389</f>
        <v>2024.09.30</v>
      </c>
      <c r="N392" s="57">
        <f>작성용!V389</f>
        <v>45611</v>
      </c>
      <c r="O392" s="57">
        <f>작성용!W389</f>
        <v>45649</v>
      </c>
      <c r="P392" s="57" t="str">
        <f>작성용!X389</f>
        <v>-</v>
      </c>
      <c r="Q392" s="58" t="str">
        <f>작성용!AD389</f>
        <v>김예림</v>
      </c>
      <c r="R392" s="60">
        <f>작성용!AE389</f>
        <v>1.5</v>
      </c>
      <c r="S392" s="58" t="str">
        <f>작성용!AF389</f>
        <v>김예림</v>
      </c>
      <c r="T392" s="61" t="str">
        <f>작성용!AG389</f>
        <v>유재호</v>
      </c>
      <c r="U392" s="61" t="str">
        <f>작성용!AH389</f>
        <v>유재호</v>
      </c>
      <c r="V392" s="56">
        <f>작성용!AA389</f>
        <v>202411</v>
      </c>
      <c r="W392" s="58" t="str">
        <f>작성용!AC389</f>
        <v>[X]일반기업</v>
      </c>
      <c r="X392" s="58" t="str">
        <f>작성용!O389</f>
        <v>김영봉책임</v>
      </c>
      <c r="Y392" s="58" t="str">
        <f>작성용!P389</f>
        <v>02-6947-2406</v>
      </c>
      <c r="Z392" s="58" t="str">
        <f>작성용!Q389</f>
        <v>ybkim@koreazinc.co.kr</v>
      </c>
      <c r="AA392" s="56" t="str">
        <f>작성용!AJ389</f>
        <v xml:space="preserve">회계반영 </v>
      </c>
      <c r="AB392" s="56">
        <f>작성용!AB389</f>
        <v>0</v>
      </c>
    </row>
    <row r="393" spans="1:28" s="12" customFormat="1" ht="16.5" hidden="1" customHeight="1" x14ac:dyDescent="0.3">
      <c r="A393" s="54">
        <f>작성용!AL390</f>
        <v>389</v>
      </c>
      <c r="B393" s="55" t="str">
        <f>작성용!AI390</f>
        <v>1차평가(2분기말 재무자료) : 2024-11-15(값, Backdata 제공) / 2차평가(3분기말 재무자료) : 2024-12-16(최종평가값, Backdata 제공) / 보고서, MRC제공일 : 2024-12-23</v>
      </c>
      <c r="C393" s="56" t="str">
        <f>작성용!AK390</f>
        <v>개별종목</v>
      </c>
      <c r="D393" s="57">
        <f>작성용!T390</f>
        <v>45572</v>
      </c>
      <c r="E393" s="58" t="str">
        <f>작성용!B390</f>
        <v>고려아연</v>
      </c>
      <c r="F393" s="58" t="str">
        <f>작성용!C390</f>
        <v>재평가</v>
      </c>
      <c r="G393" s="58" t="str">
        <f>작성용!D390</f>
        <v>이그린글로벌</v>
      </c>
      <c r="H393" s="59">
        <f>작성용!E390</f>
        <v>1101114153344</v>
      </c>
      <c r="I393" s="58" t="str">
        <f>작성용!F390</f>
        <v>D02</v>
      </c>
      <c r="J393" s="58">
        <f>작성용!G390</f>
        <v>0</v>
      </c>
      <c r="K393" s="58" t="str">
        <f>작성용!H390</f>
        <v>-</v>
      </c>
      <c r="L393" s="58" t="str">
        <f>작성용!N390</f>
        <v>년</v>
      </c>
      <c r="M393" s="57" t="str">
        <f>작성용!U390</f>
        <v>2024.09.30</v>
      </c>
      <c r="N393" s="57">
        <f>작성용!V390</f>
        <v>45611</v>
      </c>
      <c r="O393" s="57">
        <f>작성용!W390</f>
        <v>45649</v>
      </c>
      <c r="P393" s="57" t="str">
        <f>작성용!X390</f>
        <v>-</v>
      </c>
      <c r="Q393" s="58" t="str">
        <f>작성용!AD390</f>
        <v>이현승</v>
      </c>
      <c r="R393" s="60">
        <f>작성용!AE390</f>
        <v>1.5</v>
      </c>
      <c r="S393" s="58" t="str">
        <f>작성용!AF390</f>
        <v>이현승</v>
      </c>
      <c r="T393" s="61" t="str">
        <f>작성용!AG390</f>
        <v>유재호</v>
      </c>
      <c r="U393" s="61" t="str">
        <f>작성용!AH390</f>
        <v>유재호</v>
      </c>
      <c r="V393" s="56">
        <f>작성용!AA390</f>
        <v>202411</v>
      </c>
      <c r="W393" s="58" t="str">
        <f>작성용!AC390</f>
        <v>[X]일반기업</v>
      </c>
      <c r="X393" s="58" t="str">
        <f>작성용!O390</f>
        <v>김영봉책임</v>
      </c>
      <c r="Y393" s="58" t="str">
        <f>작성용!P390</f>
        <v>02-6947-2406</v>
      </c>
      <c r="Z393" s="58" t="str">
        <f>작성용!Q390</f>
        <v>ybkim@koreazinc.co.kr</v>
      </c>
      <c r="AA393" s="56" t="str">
        <f>작성용!AJ390</f>
        <v xml:space="preserve">회계반영 </v>
      </c>
      <c r="AB393" s="56">
        <f>작성용!AB390</f>
        <v>0</v>
      </c>
    </row>
    <row r="394" spans="1:28" s="12" customFormat="1" ht="16.5" hidden="1" customHeight="1" x14ac:dyDescent="0.3">
      <c r="A394" s="54">
        <f>작성용!AL391</f>
        <v>390</v>
      </c>
      <c r="B394" s="55" t="str">
        <f>작성용!AI391</f>
        <v>MRC제공 / 1차평가(2분기말 재무자료) : 2024-11-15(값, Backdata 제공) / 2차평가(3분기말 재무자료) : 2024-12-16(최종평가값, Backdata 제공) / 보고서, MRC제공일 : 2024-12-23</v>
      </c>
      <c r="C394" s="56" t="str">
        <f>작성용!AK391</f>
        <v>개별종목</v>
      </c>
      <c r="D394" s="57">
        <f>작성용!T391</f>
        <v>45572</v>
      </c>
      <c r="E394" s="58" t="str">
        <f>작성용!B391</f>
        <v>고려아연</v>
      </c>
      <c r="F394" s="58" t="str">
        <f>작성용!C391</f>
        <v>재평가</v>
      </c>
      <c r="G394" s="58" t="str">
        <f>작성용!D391</f>
        <v>AMOGY INC.</v>
      </c>
      <c r="H394" s="59" t="str">
        <f>작성용!E391</f>
        <v>KBP2023120015</v>
      </c>
      <c r="I394" s="58" t="str">
        <f>작성용!F391</f>
        <v>A05</v>
      </c>
      <c r="J394" s="58">
        <f>작성용!G391</f>
        <v>0</v>
      </c>
      <c r="K394" s="58" t="str">
        <f>작성용!H391</f>
        <v>-</v>
      </c>
      <c r="L394" s="58" t="str">
        <f>작성용!N391</f>
        <v>년</v>
      </c>
      <c r="M394" s="57" t="str">
        <f>작성용!U391</f>
        <v>2024.09.30</v>
      </c>
      <c r="N394" s="57">
        <f>작성용!V391</f>
        <v>45611</v>
      </c>
      <c r="O394" s="57">
        <f>작성용!W391</f>
        <v>45649</v>
      </c>
      <c r="P394" s="57" t="str">
        <f>작성용!X391</f>
        <v>-</v>
      </c>
      <c r="Q394" s="58" t="str">
        <f>작성용!AD391</f>
        <v>신원준</v>
      </c>
      <c r="R394" s="60">
        <f>작성용!AE391</f>
        <v>2</v>
      </c>
      <c r="S394" s="58" t="str">
        <f>작성용!AF391</f>
        <v>김범준</v>
      </c>
      <c r="T394" s="61" t="str">
        <f>작성용!AG391</f>
        <v>유재호</v>
      </c>
      <c r="U394" s="61" t="str">
        <f>작성용!AH391</f>
        <v>유재호</v>
      </c>
      <c r="V394" s="56">
        <f>작성용!AA391</f>
        <v>202411</v>
      </c>
      <c r="W394" s="58" t="str">
        <f>작성용!AC391</f>
        <v>[X]일반기업</v>
      </c>
      <c r="X394" s="58" t="str">
        <f>작성용!O391</f>
        <v>김영봉책임</v>
      </c>
      <c r="Y394" s="58" t="str">
        <f>작성용!P391</f>
        <v>02-6947-2406</v>
      </c>
      <c r="Z394" s="58" t="str">
        <f>작성용!Q391</f>
        <v>ybkim@koreazinc.co.kr</v>
      </c>
      <c r="AA394" s="56" t="str">
        <f>작성용!AJ391</f>
        <v xml:space="preserve">회계반영 </v>
      </c>
      <c r="AB394" s="56">
        <f>작성용!AB391</f>
        <v>0</v>
      </c>
    </row>
    <row r="395" spans="1:28" s="12" customFormat="1" ht="16.5" hidden="1" customHeight="1" x14ac:dyDescent="0.3">
      <c r="A395" s="54">
        <f>작성용!AL392</f>
        <v>391</v>
      </c>
      <c r="B395" s="55" t="str">
        <f>작성용!AI392</f>
        <v>MRC제공 / 1차평가(2분기말 재무자료) : 2024-11-15(값, Backdata 제공) / 2차평가(3분기말 재무자료) : 2024-12-16(최종평가값, Backdata 제공) / 보고서, MRC제공일 : 2024-12-23</v>
      </c>
      <c r="C395" s="56" t="str">
        <f>작성용!AK392</f>
        <v>개별종목</v>
      </c>
      <c r="D395" s="57">
        <f>작성용!T392</f>
        <v>45572</v>
      </c>
      <c r="E395" s="58" t="str">
        <f>작성용!B392</f>
        <v>고려아연</v>
      </c>
      <c r="F395" s="58" t="str">
        <f>작성용!C392</f>
        <v>재평가</v>
      </c>
      <c r="G395" s="58" t="str">
        <f>작성용!D392</f>
        <v>에잇퍼센트</v>
      </c>
      <c r="H395" s="59">
        <f>작성용!E392</f>
        <v>1101115562601</v>
      </c>
      <c r="I395" s="58" t="str">
        <f>작성용!F392</f>
        <v>A07</v>
      </c>
      <c r="J395" s="58">
        <f>작성용!G392</f>
        <v>0</v>
      </c>
      <c r="K395" s="58" t="str">
        <f>작성용!H392</f>
        <v>-</v>
      </c>
      <c r="L395" s="58" t="str">
        <f>작성용!N392</f>
        <v>년</v>
      </c>
      <c r="M395" s="57" t="str">
        <f>작성용!U392</f>
        <v>2024.09.30</v>
      </c>
      <c r="N395" s="57">
        <f>작성용!V392</f>
        <v>45611</v>
      </c>
      <c r="O395" s="57">
        <f>작성용!W392</f>
        <v>45649</v>
      </c>
      <c r="P395" s="57" t="str">
        <f>작성용!X392</f>
        <v>-</v>
      </c>
      <c r="Q395" s="58" t="str">
        <f>작성용!AD392</f>
        <v>정은채</v>
      </c>
      <c r="R395" s="60">
        <f>작성용!AE392</f>
        <v>2</v>
      </c>
      <c r="S395" s="58" t="str">
        <f>작성용!AF392</f>
        <v>정은채</v>
      </c>
      <c r="T395" s="61" t="str">
        <f>작성용!AG392</f>
        <v>유재호</v>
      </c>
      <c r="U395" s="61" t="str">
        <f>작성용!AH392</f>
        <v>유재호</v>
      </c>
      <c r="V395" s="56">
        <f>작성용!AA392</f>
        <v>202411</v>
      </c>
      <c r="W395" s="58" t="str">
        <f>작성용!AC392</f>
        <v>[X]일반기업</v>
      </c>
      <c r="X395" s="58" t="str">
        <f>작성용!O392</f>
        <v>김영봉책임</v>
      </c>
      <c r="Y395" s="58" t="str">
        <f>작성용!P392</f>
        <v>02-6947-2406</v>
      </c>
      <c r="Z395" s="58" t="str">
        <f>작성용!Q392</f>
        <v>ybkim@koreazinc.co.kr</v>
      </c>
      <c r="AA395" s="56" t="str">
        <f>작성용!AJ392</f>
        <v xml:space="preserve">회계반영 </v>
      </c>
      <c r="AB395" s="56">
        <f>작성용!AB392</f>
        <v>0</v>
      </c>
    </row>
    <row r="396" spans="1:28" s="12" customFormat="1" ht="16.5" hidden="1" customHeight="1" x14ac:dyDescent="0.3">
      <c r="A396" s="54">
        <f>작성용!AL393</f>
        <v>392</v>
      </c>
      <c r="B396" s="55" t="str">
        <f>작성용!AI393</f>
        <v>MRC제공 / 1차평가(2분기말 재무자료) : 2024-11-15(값, Backdata 제공) / 2차평가(3분기말 재무자료) : 2024-12-16(최종평가값, Backdata 제공) / 보고서, MRC제공일 : 2024-12-23</v>
      </c>
      <c r="C396" s="56" t="str">
        <f>작성용!AK393</f>
        <v>개별종목</v>
      </c>
      <c r="D396" s="57">
        <f>작성용!T393</f>
        <v>45572</v>
      </c>
      <c r="E396" s="58" t="str">
        <f>작성용!B393</f>
        <v>고려아연</v>
      </c>
      <c r="F396" s="58" t="str">
        <f>작성용!C393</f>
        <v>재평가</v>
      </c>
      <c r="G396" s="58" t="str">
        <f>작성용!D393</f>
        <v>올박스</v>
      </c>
      <c r="H396" s="59">
        <f>작성용!E393</f>
        <v>1101114040814</v>
      </c>
      <c r="I396" s="58" t="str">
        <f>작성용!F393</f>
        <v>A01</v>
      </c>
      <c r="J396" s="58">
        <f>작성용!G393</f>
        <v>0</v>
      </c>
      <c r="K396" s="58" t="str">
        <f>작성용!H393</f>
        <v>-</v>
      </c>
      <c r="L396" s="58" t="str">
        <f>작성용!N393</f>
        <v>년</v>
      </c>
      <c r="M396" s="57" t="str">
        <f>작성용!U393</f>
        <v>2024.09.30</v>
      </c>
      <c r="N396" s="57">
        <f>작성용!V393</f>
        <v>45611</v>
      </c>
      <c r="O396" s="57">
        <f>작성용!W393</f>
        <v>45649</v>
      </c>
      <c r="P396" s="57" t="str">
        <f>작성용!X393</f>
        <v>-</v>
      </c>
      <c r="Q396" s="58" t="str">
        <f>작성용!AD393</f>
        <v>김영하</v>
      </c>
      <c r="R396" s="60">
        <f>작성용!AE393</f>
        <v>2</v>
      </c>
      <c r="S396" s="58" t="str">
        <f>작성용!AF393</f>
        <v>김범준</v>
      </c>
      <c r="T396" s="61" t="str">
        <f>작성용!AG393</f>
        <v>유재호</v>
      </c>
      <c r="U396" s="61" t="str">
        <f>작성용!AH393</f>
        <v>유재호</v>
      </c>
      <c r="V396" s="56">
        <f>작성용!AA393</f>
        <v>202411</v>
      </c>
      <c r="W396" s="58" t="str">
        <f>작성용!AC393</f>
        <v>[X]일반기업</v>
      </c>
      <c r="X396" s="58" t="str">
        <f>작성용!O393</f>
        <v>김영봉책임</v>
      </c>
      <c r="Y396" s="58" t="str">
        <f>작성용!P393</f>
        <v>02-6947-2406</v>
      </c>
      <c r="Z396" s="58" t="str">
        <f>작성용!Q393</f>
        <v>ybkim@koreazinc.co.kr</v>
      </c>
      <c r="AA396" s="56" t="str">
        <f>작성용!AJ393</f>
        <v xml:space="preserve">회계반영 </v>
      </c>
      <c r="AB396" s="56">
        <f>작성용!AB393</f>
        <v>0</v>
      </c>
    </row>
    <row r="397" spans="1:28" s="12" customFormat="1" ht="16.5" hidden="1" customHeight="1" x14ac:dyDescent="0.3">
      <c r="A397" s="54">
        <f>작성용!AL394</f>
        <v>393</v>
      </c>
      <c r="B397" s="55" t="str">
        <f>작성용!AI394</f>
        <v>MRC제공 / 1차평가(2분기말 재무자료) : 2024-11-15(값, Backdata 제공) / 2차평가(3분기말 재무자료) : 2024-12-16(최종평가값, Backdata 제공) / 보고서, MRC제공일 : 2024-12-23</v>
      </c>
      <c r="C397" s="56" t="str">
        <f>작성용!AK394</f>
        <v>개별종목</v>
      </c>
      <c r="D397" s="57">
        <f>작성용!T394</f>
        <v>45572</v>
      </c>
      <c r="E397" s="58" t="str">
        <f>작성용!B394</f>
        <v>고려아연</v>
      </c>
      <c r="F397" s="58" t="str">
        <f>작성용!C394</f>
        <v>재평가</v>
      </c>
      <c r="G397" s="58" t="str">
        <f>작성용!D394</f>
        <v>백패커</v>
      </c>
      <c r="H397" s="59">
        <f>작성용!E394</f>
        <v>1101115004918</v>
      </c>
      <c r="I397" s="58" t="str">
        <f>작성용!F394</f>
        <v>A05</v>
      </c>
      <c r="J397" s="58">
        <f>작성용!G394</f>
        <v>0</v>
      </c>
      <c r="K397" s="58" t="str">
        <f>작성용!H394</f>
        <v>-</v>
      </c>
      <c r="L397" s="58" t="str">
        <f>작성용!N394</f>
        <v>년</v>
      </c>
      <c r="M397" s="57" t="str">
        <f>작성용!U394</f>
        <v>2024.09.30</v>
      </c>
      <c r="N397" s="57">
        <f>작성용!V394</f>
        <v>45611</v>
      </c>
      <c r="O397" s="57">
        <f>작성용!W394</f>
        <v>45649</v>
      </c>
      <c r="P397" s="57" t="str">
        <f>작성용!X394</f>
        <v>-</v>
      </c>
      <c r="Q397" s="58" t="str">
        <f>작성용!AD394</f>
        <v>서동현</v>
      </c>
      <c r="R397" s="60">
        <f>작성용!AE394</f>
        <v>2</v>
      </c>
      <c r="S397" s="58" t="str">
        <f>작성용!AF394</f>
        <v>서동현</v>
      </c>
      <c r="T397" s="61" t="str">
        <f>작성용!AG394</f>
        <v>유재호</v>
      </c>
      <c r="U397" s="61" t="str">
        <f>작성용!AH394</f>
        <v>유재호</v>
      </c>
      <c r="V397" s="56">
        <f>작성용!AA394</f>
        <v>202411</v>
      </c>
      <c r="W397" s="58" t="str">
        <f>작성용!AC394</f>
        <v>[X]일반기업</v>
      </c>
      <c r="X397" s="58" t="str">
        <f>작성용!O394</f>
        <v>김영봉책임</v>
      </c>
      <c r="Y397" s="58" t="str">
        <f>작성용!P394</f>
        <v>02-6947-2406</v>
      </c>
      <c r="Z397" s="58" t="str">
        <f>작성용!Q394</f>
        <v>ybkim@koreazinc.co.kr</v>
      </c>
      <c r="AA397" s="56" t="str">
        <f>작성용!AJ394</f>
        <v xml:space="preserve">회계반영 </v>
      </c>
      <c r="AB397" s="56">
        <f>작성용!AB394</f>
        <v>0</v>
      </c>
    </row>
    <row r="398" spans="1:28" s="12" customFormat="1" ht="16.5" hidden="1" customHeight="1" x14ac:dyDescent="0.3">
      <c r="A398" s="54">
        <f>작성용!AL395</f>
        <v>394</v>
      </c>
      <c r="B398" s="55" t="str">
        <f>작성용!AI395</f>
        <v>MRC제공 / 1차평가(2분기말 재무자료) : 2024-11-15(값, Backdata 제공) / 2차평가(3분기말 재무자료) : 2024-12-16(최종평가값, Backdata 제공) / 보고서, MRC제공일 : 2024-12-23</v>
      </c>
      <c r="C398" s="56" t="str">
        <f>작성용!AK395</f>
        <v>개별종목</v>
      </c>
      <c r="D398" s="57">
        <f>작성용!T395</f>
        <v>45572</v>
      </c>
      <c r="E398" s="58" t="str">
        <f>작성용!B395</f>
        <v>고려아연</v>
      </c>
      <c r="F398" s="58" t="str">
        <f>작성용!C395</f>
        <v>재평가</v>
      </c>
      <c r="G398" s="58" t="str">
        <f>작성용!D395</f>
        <v>버킷플레이스</v>
      </c>
      <c r="H398" s="59">
        <f>작성용!E395</f>
        <v>1101115463718</v>
      </c>
      <c r="I398" s="58" t="str">
        <f>작성용!F395</f>
        <v>A04</v>
      </c>
      <c r="J398" s="58">
        <f>작성용!G395</f>
        <v>0</v>
      </c>
      <c r="K398" s="58" t="str">
        <f>작성용!H395</f>
        <v>-</v>
      </c>
      <c r="L398" s="58" t="str">
        <f>작성용!N395</f>
        <v>년</v>
      </c>
      <c r="M398" s="57" t="str">
        <f>작성용!U395</f>
        <v>2024.09.30</v>
      </c>
      <c r="N398" s="57">
        <f>작성용!V395</f>
        <v>45611</v>
      </c>
      <c r="O398" s="57">
        <f>작성용!W395</f>
        <v>45649</v>
      </c>
      <c r="P398" s="57" t="str">
        <f>작성용!X395</f>
        <v>-</v>
      </c>
      <c r="Q398" s="58" t="str">
        <f>작성용!AD395</f>
        <v>강승현</v>
      </c>
      <c r="R398" s="60">
        <f>작성용!AE395</f>
        <v>2</v>
      </c>
      <c r="S398" s="58" t="str">
        <f>작성용!AF395</f>
        <v>강승현</v>
      </c>
      <c r="T398" s="61" t="str">
        <f>작성용!AG395</f>
        <v>유재호</v>
      </c>
      <c r="U398" s="61" t="str">
        <f>작성용!AH395</f>
        <v>유재호</v>
      </c>
      <c r="V398" s="56">
        <f>작성용!AA395</f>
        <v>202411</v>
      </c>
      <c r="W398" s="58" t="str">
        <f>작성용!AC395</f>
        <v>[X]일반기업</v>
      </c>
      <c r="X398" s="58" t="str">
        <f>작성용!O395</f>
        <v>김영봉책임</v>
      </c>
      <c r="Y398" s="58" t="str">
        <f>작성용!P395</f>
        <v>02-6947-2406</v>
      </c>
      <c r="Z398" s="58" t="str">
        <f>작성용!Q395</f>
        <v>ybkim@koreazinc.co.kr</v>
      </c>
      <c r="AA398" s="56" t="str">
        <f>작성용!AJ395</f>
        <v xml:space="preserve">회계반영 </v>
      </c>
      <c r="AB398" s="56">
        <f>작성용!AB395</f>
        <v>0</v>
      </c>
    </row>
    <row r="399" spans="1:28" s="12" customFormat="1" ht="16.5" hidden="1" customHeight="1" x14ac:dyDescent="0.3">
      <c r="A399" s="54">
        <f>작성용!AL396</f>
        <v>395</v>
      </c>
      <c r="B399" s="55" t="str">
        <f>작성용!AI396</f>
        <v>MRC제공 / 1차평가(2분기말 재무자료) : 2024-11-15(값, Backdata 제공) / 2차평가(3분기말 재무자료) : 2024-12-16(최종평가값, Backdata 제공) / 보고서, MRC제공일 : 2024-12-23</v>
      </c>
      <c r="C399" s="56" t="str">
        <f>작성용!AK396</f>
        <v>개별종목</v>
      </c>
      <c r="D399" s="57">
        <f>작성용!T396</f>
        <v>45572</v>
      </c>
      <c r="E399" s="58" t="str">
        <f>작성용!B396</f>
        <v>고려아연</v>
      </c>
      <c r="F399" s="58" t="str">
        <f>작성용!C396</f>
        <v>재평가</v>
      </c>
      <c r="G399" s="58" t="str">
        <f>작성용!D396</f>
        <v>버킷플레이스</v>
      </c>
      <c r="H399" s="59">
        <f>작성용!E396</f>
        <v>1101115463718</v>
      </c>
      <c r="I399" s="58" t="str">
        <f>작성용!F396</f>
        <v>A04</v>
      </c>
      <c r="J399" s="58">
        <f>작성용!G396</f>
        <v>1</v>
      </c>
      <c r="K399" s="58" t="str">
        <f>작성용!H396</f>
        <v>-</v>
      </c>
      <c r="L399" s="58" t="str">
        <f>작성용!N396</f>
        <v>년</v>
      </c>
      <c r="M399" s="57" t="str">
        <f>작성용!U396</f>
        <v>2024.09.30</v>
      </c>
      <c r="N399" s="57">
        <f>작성용!V396</f>
        <v>45611</v>
      </c>
      <c r="O399" s="57">
        <f>작성용!W396</f>
        <v>45649</v>
      </c>
      <c r="P399" s="57" t="str">
        <f>작성용!X396</f>
        <v>-</v>
      </c>
      <c r="Q399" s="58" t="str">
        <f>작성용!AD396</f>
        <v>강승현</v>
      </c>
      <c r="R399" s="60">
        <f>작성용!AE396</f>
        <v>0</v>
      </c>
      <c r="S399" s="58" t="str">
        <f>작성용!AF396</f>
        <v>강승현</v>
      </c>
      <c r="T399" s="61" t="str">
        <f>작성용!AG396</f>
        <v>유재호</v>
      </c>
      <c r="U399" s="61" t="str">
        <f>작성용!AH396</f>
        <v>유재호</v>
      </c>
      <c r="V399" s="56">
        <f>작성용!AA396</f>
        <v>202411</v>
      </c>
      <c r="W399" s="58" t="str">
        <f>작성용!AC396</f>
        <v>[X]일반기업</v>
      </c>
      <c r="X399" s="58" t="str">
        <f>작성용!O396</f>
        <v>김영봉책임</v>
      </c>
      <c r="Y399" s="58" t="str">
        <f>작성용!P396</f>
        <v>02-6947-2406</v>
      </c>
      <c r="Z399" s="58" t="str">
        <f>작성용!Q396</f>
        <v>ybkim@koreazinc.co.kr</v>
      </c>
      <c r="AA399" s="56" t="str">
        <f>작성용!AJ396</f>
        <v xml:space="preserve">회계반영 </v>
      </c>
      <c r="AB399" s="56">
        <f>작성용!AB396</f>
        <v>0</v>
      </c>
    </row>
    <row r="400" spans="1:28" s="12" customFormat="1" ht="16.5" hidden="1" customHeight="1" x14ac:dyDescent="0.3">
      <c r="A400" s="54">
        <f>작성용!AL397</f>
        <v>396</v>
      </c>
      <c r="B400" s="55" t="str">
        <f>작성용!AI397</f>
        <v>1차평가(2분기말 재무자료) : 2024-11-15(값, Backdata 제공) / 2차평가(3분기말 재무자료) : 2024-12-16(최종평가값, Backdata 제공) / 보고서, MRC제공일 : 2024-12-23</v>
      </c>
      <c r="C400" s="56" t="str">
        <f>작성용!AK397</f>
        <v>개별종목</v>
      </c>
      <c r="D400" s="57">
        <f>작성용!T397</f>
        <v>45572</v>
      </c>
      <c r="E400" s="58" t="str">
        <f>작성용!B397</f>
        <v>고려아연</v>
      </c>
      <c r="F400" s="58" t="str">
        <f>작성용!C397</f>
        <v>재평가</v>
      </c>
      <c r="G400" s="58" t="str">
        <f>작성용!D397</f>
        <v>Bolttech Holding Limited</v>
      </c>
      <c r="H400" s="59" t="str">
        <f>작성용!E397</f>
        <v>KBP2023120055</v>
      </c>
      <c r="I400" s="58" t="str">
        <f>작성용!F397</f>
        <v>A04</v>
      </c>
      <c r="J400" s="58">
        <f>작성용!G397</f>
        <v>0</v>
      </c>
      <c r="K400" s="58" t="str">
        <f>작성용!H397</f>
        <v>-</v>
      </c>
      <c r="L400" s="58" t="str">
        <f>작성용!N397</f>
        <v>년</v>
      </c>
      <c r="M400" s="57" t="str">
        <f>작성용!U397</f>
        <v>2024.09.30</v>
      </c>
      <c r="N400" s="57">
        <f>작성용!V397</f>
        <v>45611</v>
      </c>
      <c r="O400" s="57">
        <f>작성용!W397</f>
        <v>45649</v>
      </c>
      <c r="P400" s="57" t="str">
        <f>작성용!X397</f>
        <v>-</v>
      </c>
      <c r="Q400" s="58" t="str">
        <f>작성용!AD397</f>
        <v>정재형</v>
      </c>
      <c r="R400" s="60">
        <f>작성용!AE397</f>
        <v>1.5</v>
      </c>
      <c r="S400" s="58" t="str">
        <f>작성용!AF397</f>
        <v>정재형</v>
      </c>
      <c r="T400" s="61" t="str">
        <f>작성용!AG397</f>
        <v>유재호</v>
      </c>
      <c r="U400" s="61" t="str">
        <f>작성용!AH397</f>
        <v>유재호</v>
      </c>
      <c r="V400" s="56">
        <f>작성용!AA397</f>
        <v>202411</v>
      </c>
      <c r="W400" s="58" t="str">
        <f>작성용!AC397</f>
        <v>[X]일반기업</v>
      </c>
      <c r="X400" s="58" t="str">
        <f>작성용!O397</f>
        <v>김영봉책임</v>
      </c>
      <c r="Y400" s="58" t="str">
        <f>작성용!P397</f>
        <v>02-6947-2406</v>
      </c>
      <c r="Z400" s="58" t="str">
        <f>작성용!Q397</f>
        <v>ybkim@koreazinc.co.kr</v>
      </c>
      <c r="AA400" s="56" t="str">
        <f>작성용!AJ397</f>
        <v xml:space="preserve">회계반영 </v>
      </c>
      <c r="AB400" s="56">
        <f>작성용!AB397</f>
        <v>0</v>
      </c>
    </row>
    <row r="401" spans="1:28" s="12" customFormat="1" ht="16.5" hidden="1" customHeight="1" x14ac:dyDescent="0.3">
      <c r="A401" s="54">
        <f>작성용!AL398</f>
        <v>397</v>
      </c>
      <c r="B401" s="55" t="str">
        <f>작성용!AI398</f>
        <v>MRC제공 / 1차평가(2분기말 재무자료) : 2024-11-15(값, Backdata 제공) / 2차평가(3분기말 재무자료) : 2024-12-16(최종평가값, Backdata 제공) / 보고서, MRC제공일 : 2024-12-23</v>
      </c>
      <c r="C401" s="56" t="str">
        <f>작성용!AK398</f>
        <v>개별종목</v>
      </c>
      <c r="D401" s="57">
        <f>작성용!T398</f>
        <v>45572</v>
      </c>
      <c r="E401" s="58" t="str">
        <f>작성용!B398</f>
        <v>고려아연</v>
      </c>
      <c r="F401" s="58" t="str">
        <f>작성용!C398</f>
        <v>재평가</v>
      </c>
      <c r="G401" s="58" t="str">
        <f>작성용!D398</f>
        <v>에코프로씨엔지</v>
      </c>
      <c r="H401" s="59">
        <f>작성용!E398</f>
        <v>1717110153707</v>
      </c>
      <c r="I401" s="58" t="str">
        <f>작성용!F398</f>
        <v>A01</v>
      </c>
      <c r="J401" s="58">
        <f>작성용!G398</f>
        <v>0</v>
      </c>
      <c r="K401" s="58" t="str">
        <f>작성용!H398</f>
        <v>-</v>
      </c>
      <c r="L401" s="58" t="str">
        <f>작성용!N398</f>
        <v>년</v>
      </c>
      <c r="M401" s="57" t="str">
        <f>작성용!U398</f>
        <v>2024.09.30</v>
      </c>
      <c r="N401" s="57">
        <f>작성용!V398</f>
        <v>45611</v>
      </c>
      <c r="O401" s="57">
        <f>작성용!W398</f>
        <v>45649</v>
      </c>
      <c r="P401" s="57" t="str">
        <f>작성용!X398</f>
        <v>-</v>
      </c>
      <c r="Q401" s="58" t="str">
        <f>작성용!AD398</f>
        <v>유재호</v>
      </c>
      <c r="R401" s="60">
        <f>작성용!AE398</f>
        <v>2</v>
      </c>
      <c r="S401" s="58" t="str">
        <f>작성용!AF398</f>
        <v>유재호</v>
      </c>
      <c r="T401" s="61" t="str">
        <f>작성용!AG398</f>
        <v>유재호</v>
      </c>
      <c r="U401" s="61" t="str">
        <f>작성용!AH398</f>
        <v>유재호</v>
      </c>
      <c r="V401" s="56">
        <f>작성용!AA398</f>
        <v>202411</v>
      </c>
      <c r="W401" s="58" t="str">
        <f>작성용!AC398</f>
        <v>[X]일반기업</v>
      </c>
      <c r="X401" s="58" t="str">
        <f>작성용!O398</f>
        <v>김영봉책임</v>
      </c>
      <c r="Y401" s="58" t="str">
        <f>작성용!P398</f>
        <v>02-6947-2406</v>
      </c>
      <c r="Z401" s="58" t="str">
        <f>작성용!Q398</f>
        <v>ybkim@koreazinc.co.kr</v>
      </c>
      <c r="AA401" s="56" t="str">
        <f>작성용!AJ398</f>
        <v xml:space="preserve">회계반영 </v>
      </c>
      <c r="AB401" s="56">
        <f>작성용!AB398</f>
        <v>0</v>
      </c>
    </row>
    <row r="402" spans="1:28" s="12" customFormat="1" ht="16.5" hidden="1" customHeight="1" x14ac:dyDescent="0.3">
      <c r="A402" s="54">
        <f>작성용!AL399</f>
        <v>398</v>
      </c>
      <c r="B402" s="55" t="str">
        <f>작성용!AI399</f>
        <v>MRC제공 / 1차평가(2분기말 재무자료) : 2024-11-15(값, Backdata 제공) / 2차평가(3분기말 재무자료) : 2024-12-16(최종평가값, Backdata 제공) / 보고서, MRC제공일 : 2024-12-23</v>
      </c>
      <c r="C402" s="56" t="str">
        <f>작성용!AK399</f>
        <v>개별종목</v>
      </c>
      <c r="D402" s="57">
        <f>작성용!T399</f>
        <v>45572</v>
      </c>
      <c r="E402" s="58" t="str">
        <f>작성용!B399</f>
        <v>고려아연</v>
      </c>
      <c r="F402" s="58" t="str">
        <f>작성용!C399</f>
        <v>재평가</v>
      </c>
      <c r="G402" s="58" t="str">
        <f>작성용!D399</f>
        <v>에코프로이노베이션</v>
      </c>
      <c r="H402" s="59">
        <f>작성용!E399</f>
        <v>1101113273698</v>
      </c>
      <c r="I402" s="58" t="str">
        <f>작성용!F399</f>
        <v>A01</v>
      </c>
      <c r="J402" s="58">
        <f>작성용!G399</f>
        <v>0</v>
      </c>
      <c r="K402" s="58" t="str">
        <f>작성용!H399</f>
        <v>-</v>
      </c>
      <c r="L402" s="58" t="str">
        <f>작성용!N399</f>
        <v>년</v>
      </c>
      <c r="M402" s="57" t="str">
        <f>작성용!U399</f>
        <v>2024.09.30</v>
      </c>
      <c r="N402" s="57">
        <f>작성용!V399</f>
        <v>45611</v>
      </c>
      <c r="O402" s="57">
        <f>작성용!W399</f>
        <v>45649</v>
      </c>
      <c r="P402" s="57" t="str">
        <f>작성용!X399</f>
        <v>-</v>
      </c>
      <c r="Q402" s="58" t="str">
        <f>작성용!AD399</f>
        <v>김에스더</v>
      </c>
      <c r="R402" s="60">
        <f>작성용!AE399</f>
        <v>2</v>
      </c>
      <c r="S402" s="58" t="str">
        <f>작성용!AF399</f>
        <v>조현우</v>
      </c>
      <c r="T402" s="61" t="str">
        <f>작성용!AG399</f>
        <v>유재호</v>
      </c>
      <c r="U402" s="61" t="str">
        <f>작성용!AH399</f>
        <v>유재호</v>
      </c>
      <c r="V402" s="56">
        <f>작성용!AA399</f>
        <v>202411</v>
      </c>
      <c r="W402" s="58" t="str">
        <f>작성용!AC399</f>
        <v>[X]일반기업</v>
      </c>
      <c r="X402" s="58" t="str">
        <f>작성용!O399</f>
        <v>김영봉책임</v>
      </c>
      <c r="Y402" s="58" t="str">
        <f>작성용!P399</f>
        <v>02-6947-2406</v>
      </c>
      <c r="Z402" s="58" t="str">
        <f>작성용!Q399</f>
        <v>ybkim@koreazinc.co.kr</v>
      </c>
      <c r="AA402" s="56" t="str">
        <f>작성용!AJ399</f>
        <v xml:space="preserve">회계반영 </v>
      </c>
      <c r="AB402" s="56">
        <f>작성용!AB399</f>
        <v>0</v>
      </c>
    </row>
    <row r="403" spans="1:28" s="12" customFormat="1" ht="16.5" hidden="1" customHeight="1" x14ac:dyDescent="0.3">
      <c r="A403" s="54">
        <f>작성용!AL400</f>
        <v>399</v>
      </c>
      <c r="B403" s="55" t="str">
        <f>작성용!AI400</f>
        <v>MRC제공 / 1차평가(2분기말 재무자료) : 2024-11-15(값, Backdata 제공) / 2차평가(3분기말 재무자료) : 2024-12-16(최종평가값, Backdata 제공) / 보고서, MRC제공일 : 2024-12-23</v>
      </c>
      <c r="C403" s="56" t="str">
        <f>작성용!AK400</f>
        <v>개별종목</v>
      </c>
      <c r="D403" s="57">
        <f>작성용!T400</f>
        <v>45572</v>
      </c>
      <c r="E403" s="58" t="str">
        <f>작성용!B400</f>
        <v>고려아연</v>
      </c>
      <c r="F403" s="58" t="str">
        <f>작성용!C400</f>
        <v>재평가</v>
      </c>
      <c r="G403" s="58" t="str">
        <f>작성용!D400</f>
        <v>팩트블록</v>
      </c>
      <c r="H403" s="59">
        <f>작성용!E400</f>
        <v>1101116691673</v>
      </c>
      <c r="I403" s="58" t="str">
        <f>작성용!F400</f>
        <v>A01</v>
      </c>
      <c r="J403" s="58">
        <f>작성용!G400</f>
        <v>0</v>
      </c>
      <c r="K403" s="58" t="str">
        <f>작성용!H400</f>
        <v>-</v>
      </c>
      <c r="L403" s="58" t="str">
        <f>작성용!N400</f>
        <v>년</v>
      </c>
      <c r="M403" s="57" t="str">
        <f>작성용!U400</f>
        <v>2024.09.30</v>
      </c>
      <c r="N403" s="57">
        <f>작성용!V400</f>
        <v>45611</v>
      </c>
      <c r="O403" s="57">
        <f>작성용!W400</f>
        <v>45649</v>
      </c>
      <c r="P403" s="57" t="str">
        <f>작성용!X400</f>
        <v>-</v>
      </c>
      <c r="Q403" s="58" t="str">
        <f>작성용!AD400</f>
        <v>심태진</v>
      </c>
      <c r="R403" s="60">
        <f>작성용!AE400</f>
        <v>2</v>
      </c>
      <c r="S403" s="58" t="str">
        <f>작성용!AF400</f>
        <v>심태진</v>
      </c>
      <c r="T403" s="61" t="str">
        <f>작성용!AG400</f>
        <v>유재호</v>
      </c>
      <c r="U403" s="61" t="str">
        <f>작성용!AH400</f>
        <v>유재호</v>
      </c>
      <c r="V403" s="56">
        <f>작성용!AA400</f>
        <v>202411</v>
      </c>
      <c r="W403" s="58" t="str">
        <f>작성용!AC400</f>
        <v>[X]일반기업</v>
      </c>
      <c r="X403" s="58" t="str">
        <f>작성용!O400</f>
        <v>김영봉책임</v>
      </c>
      <c r="Y403" s="58" t="str">
        <f>작성용!P400</f>
        <v>02-6947-2406</v>
      </c>
      <c r="Z403" s="58" t="str">
        <f>작성용!Q400</f>
        <v>ybkim@koreazinc.co.kr</v>
      </c>
      <c r="AA403" s="56" t="str">
        <f>작성용!AJ400</f>
        <v xml:space="preserve">회계반영 </v>
      </c>
      <c r="AB403" s="56">
        <f>작성용!AB400</f>
        <v>0</v>
      </c>
    </row>
    <row r="404" spans="1:28" s="12" customFormat="1" ht="16.5" hidden="1" customHeight="1" x14ac:dyDescent="0.3">
      <c r="A404" s="54">
        <f>작성용!AL401</f>
        <v>400</v>
      </c>
      <c r="B404" s="55" t="str">
        <f>작성용!AI401</f>
        <v>MRC제공 / 1차평가(2분기말 재무자료) : 2024-11-15(값, Backdata 제공) / 2차평가(3분기말 재무자료) : 2024-12-16(최종평가값, Backdata 제공) / 보고서, MRC제공일 : 2024-12-23</v>
      </c>
      <c r="C404" s="56" t="str">
        <f>작성용!AK401</f>
        <v>개별종목</v>
      </c>
      <c r="D404" s="57">
        <f>작성용!T401</f>
        <v>45572</v>
      </c>
      <c r="E404" s="58" t="str">
        <f>작성용!B401</f>
        <v>고려아연</v>
      </c>
      <c r="F404" s="58" t="str">
        <f>작성용!C401</f>
        <v>재평가</v>
      </c>
      <c r="G404" s="58" t="str">
        <f>작성용!D401</f>
        <v>핏펫</v>
      </c>
      <c r="H404" s="59">
        <f>작성용!E401</f>
        <v>1101116417607</v>
      </c>
      <c r="I404" s="58" t="str">
        <f>작성용!F401</f>
        <v>A07</v>
      </c>
      <c r="J404" s="58">
        <f>작성용!G401</f>
        <v>4</v>
      </c>
      <c r="K404" s="58" t="str">
        <f>작성용!H401</f>
        <v>-</v>
      </c>
      <c r="L404" s="58" t="str">
        <f>작성용!N401</f>
        <v>년</v>
      </c>
      <c r="M404" s="57" t="str">
        <f>작성용!U401</f>
        <v>2024.09.30</v>
      </c>
      <c r="N404" s="57">
        <f>작성용!V401</f>
        <v>45611</v>
      </c>
      <c r="O404" s="57">
        <f>작성용!W401</f>
        <v>45649</v>
      </c>
      <c r="P404" s="57" t="str">
        <f>작성용!X401</f>
        <v>-</v>
      </c>
      <c r="Q404" s="58" t="str">
        <f>작성용!AD401</f>
        <v>원정우</v>
      </c>
      <c r="R404" s="60">
        <f>작성용!AE401</f>
        <v>2</v>
      </c>
      <c r="S404" s="58" t="str">
        <f>작성용!AF401</f>
        <v>김수현</v>
      </c>
      <c r="T404" s="61" t="str">
        <f>작성용!AG401</f>
        <v>유재호</v>
      </c>
      <c r="U404" s="61" t="str">
        <f>작성용!AH401</f>
        <v>유재호</v>
      </c>
      <c r="V404" s="56">
        <f>작성용!AA401</f>
        <v>202411</v>
      </c>
      <c r="W404" s="58" t="str">
        <f>작성용!AC401</f>
        <v>[X]일반기업</v>
      </c>
      <c r="X404" s="58" t="str">
        <f>작성용!O401</f>
        <v>김영봉책임</v>
      </c>
      <c r="Y404" s="58" t="str">
        <f>작성용!P401</f>
        <v>02-6947-2406</v>
      </c>
      <c r="Z404" s="58" t="str">
        <f>작성용!Q401</f>
        <v>ybkim@koreazinc.co.kr</v>
      </c>
      <c r="AA404" s="56" t="str">
        <f>작성용!AJ401</f>
        <v xml:space="preserve">회계반영 </v>
      </c>
      <c r="AB404" s="56">
        <f>작성용!AB401</f>
        <v>0</v>
      </c>
    </row>
    <row r="405" spans="1:28" s="12" customFormat="1" ht="16.5" hidden="1" customHeight="1" x14ac:dyDescent="0.3">
      <c r="A405" s="54">
        <f>작성용!AL402</f>
        <v>401</v>
      </c>
      <c r="B405" s="55" t="str">
        <f>작성용!AI402</f>
        <v>MRC제공 / 1차평가(2분기말 재무자료) : 2024-11-15(값, Backdata 제공) / 2차평가(3분기말 재무자료) : 2024-12-16(최종평가값, Backdata 제공) / 보고서, MRC제공일 : 2024-12-23</v>
      </c>
      <c r="C405" s="56" t="str">
        <f>작성용!AK402</f>
        <v>개별종목</v>
      </c>
      <c r="D405" s="57">
        <f>작성용!T402</f>
        <v>45572</v>
      </c>
      <c r="E405" s="58" t="str">
        <f>작성용!B402</f>
        <v>고려아연</v>
      </c>
      <c r="F405" s="58" t="str">
        <f>작성용!C402</f>
        <v>재평가</v>
      </c>
      <c r="G405" s="58" t="str">
        <f>작성용!D402</f>
        <v>핏펫</v>
      </c>
      <c r="H405" s="59">
        <f>작성용!E402</f>
        <v>1101116417607</v>
      </c>
      <c r="I405" s="58" t="str">
        <f>작성용!F402</f>
        <v>A07</v>
      </c>
      <c r="J405" s="58">
        <f>작성용!G402</f>
        <v>5</v>
      </c>
      <c r="K405" s="58" t="str">
        <f>작성용!H402</f>
        <v>-</v>
      </c>
      <c r="L405" s="58" t="str">
        <f>작성용!N402</f>
        <v>년</v>
      </c>
      <c r="M405" s="57" t="str">
        <f>작성용!U402</f>
        <v>2024.09.30</v>
      </c>
      <c r="N405" s="57">
        <f>작성용!V402</f>
        <v>45611</v>
      </c>
      <c r="O405" s="57">
        <f>작성용!W402</f>
        <v>45649</v>
      </c>
      <c r="P405" s="57" t="str">
        <f>작성용!X402</f>
        <v>-</v>
      </c>
      <c r="Q405" s="58" t="str">
        <f>작성용!AD402</f>
        <v>원정우</v>
      </c>
      <c r="R405" s="60">
        <f>작성용!AE402</f>
        <v>0</v>
      </c>
      <c r="S405" s="58" t="str">
        <f>작성용!AF402</f>
        <v>김수현</v>
      </c>
      <c r="T405" s="61" t="str">
        <f>작성용!AG402</f>
        <v>유재호</v>
      </c>
      <c r="U405" s="61" t="str">
        <f>작성용!AH402</f>
        <v>유재호</v>
      </c>
      <c r="V405" s="56">
        <f>작성용!AA402</f>
        <v>202411</v>
      </c>
      <c r="W405" s="58" t="str">
        <f>작성용!AC402</f>
        <v>[X]일반기업</v>
      </c>
      <c r="X405" s="58" t="str">
        <f>작성용!O402</f>
        <v>김영봉책임</v>
      </c>
      <c r="Y405" s="58" t="str">
        <f>작성용!P402</f>
        <v>02-6947-2406</v>
      </c>
      <c r="Z405" s="58" t="str">
        <f>작성용!Q402</f>
        <v>ybkim@koreazinc.co.kr</v>
      </c>
      <c r="AA405" s="56" t="str">
        <f>작성용!AJ402</f>
        <v xml:space="preserve">회계반영 </v>
      </c>
      <c r="AB405" s="56">
        <f>작성용!AB402</f>
        <v>0</v>
      </c>
    </row>
    <row r="406" spans="1:28" s="12" customFormat="1" ht="16.5" hidden="1" customHeight="1" x14ac:dyDescent="0.3">
      <c r="A406" s="54">
        <f>작성용!AL403</f>
        <v>402</v>
      </c>
      <c r="B406" s="55" t="str">
        <f>작성용!AI403</f>
        <v>MRC제공 / 1차평가(2분기말 재무자료) : 2024-11-15(값, Backdata 제공) / 2차평가(3분기말 재무자료) : 2024-12-16(최종평가값, Backdata 제공) / 보고서, MRC제공일 : 2024-12-23</v>
      </c>
      <c r="C406" s="56" t="str">
        <f>작성용!AK403</f>
        <v>개별종목</v>
      </c>
      <c r="D406" s="57">
        <f>작성용!T403</f>
        <v>45572</v>
      </c>
      <c r="E406" s="58" t="str">
        <f>작성용!B403</f>
        <v>고려아연</v>
      </c>
      <c r="F406" s="58" t="str">
        <f>작성용!C403</f>
        <v>재평가</v>
      </c>
      <c r="G406" s="58" t="str">
        <f>작성용!D403</f>
        <v>그린랩스</v>
      </c>
      <c r="H406" s="59">
        <f>작성용!E403</f>
        <v>1101116387727</v>
      </c>
      <c r="I406" s="58" t="str">
        <f>작성용!F403</f>
        <v>A01</v>
      </c>
      <c r="J406" s="58">
        <f>작성용!G403</f>
        <v>0</v>
      </c>
      <c r="K406" s="58" t="str">
        <f>작성용!H403</f>
        <v>-</v>
      </c>
      <c r="L406" s="58" t="str">
        <f>작성용!N403</f>
        <v>년</v>
      </c>
      <c r="M406" s="57" t="str">
        <f>작성용!U403</f>
        <v>2024.09.30</v>
      </c>
      <c r="N406" s="57">
        <f>작성용!V403</f>
        <v>45611</v>
      </c>
      <c r="O406" s="57">
        <f>작성용!W403</f>
        <v>45649</v>
      </c>
      <c r="P406" s="57" t="str">
        <f>작성용!X403</f>
        <v>-</v>
      </c>
      <c r="Q406" s="58" t="str">
        <f>작성용!AD403</f>
        <v>강성은</v>
      </c>
      <c r="R406" s="60">
        <f>작성용!AE403</f>
        <v>2</v>
      </c>
      <c r="S406" s="58" t="str">
        <f>작성용!AF403</f>
        <v>강성은</v>
      </c>
      <c r="T406" s="61" t="str">
        <f>작성용!AG403</f>
        <v>유재호</v>
      </c>
      <c r="U406" s="61" t="str">
        <f>작성용!AH403</f>
        <v>유재호</v>
      </c>
      <c r="V406" s="56">
        <f>작성용!AA403</f>
        <v>202411</v>
      </c>
      <c r="W406" s="58" t="str">
        <f>작성용!AC403</f>
        <v>[X]일반기업</v>
      </c>
      <c r="X406" s="58" t="str">
        <f>작성용!O403</f>
        <v>김영봉책임</v>
      </c>
      <c r="Y406" s="58" t="str">
        <f>작성용!P403</f>
        <v>02-6947-2406</v>
      </c>
      <c r="Z406" s="58" t="str">
        <f>작성용!Q403</f>
        <v>ybkim@koreazinc.co.kr</v>
      </c>
      <c r="AA406" s="56" t="str">
        <f>작성용!AJ403</f>
        <v xml:space="preserve">회계반영 </v>
      </c>
      <c r="AB406" s="56">
        <f>작성용!AB403</f>
        <v>0</v>
      </c>
    </row>
    <row r="407" spans="1:28" s="12" customFormat="1" ht="16.5" hidden="1" customHeight="1" x14ac:dyDescent="0.3">
      <c r="A407" s="54">
        <f>작성용!AL404</f>
        <v>403</v>
      </c>
      <c r="B407" s="55" t="str">
        <f>작성용!AI404</f>
        <v>MRC제공 / 1차평가(2분기말 재무자료) : 2024-11-15(값, Backdata 제공) / 2차평가(3분기말 재무자료) : 2024-12-16(최종평가값, Backdata 제공) / 보고서, MRC제공일 : 2024-12-23</v>
      </c>
      <c r="C407" s="56" t="str">
        <f>작성용!AK404</f>
        <v>개별종목</v>
      </c>
      <c r="D407" s="57">
        <f>작성용!T404</f>
        <v>45572</v>
      </c>
      <c r="E407" s="58" t="str">
        <f>작성용!B404</f>
        <v>고려아연</v>
      </c>
      <c r="F407" s="58" t="str">
        <f>작성용!C404</f>
        <v>재평가</v>
      </c>
      <c r="G407" s="58" t="str">
        <f>작성용!D404</f>
        <v>그린랩스</v>
      </c>
      <c r="H407" s="59">
        <f>작성용!E404</f>
        <v>1101116387727</v>
      </c>
      <c r="I407" s="58" t="str">
        <f>작성용!F404</f>
        <v>D02</v>
      </c>
      <c r="J407" s="58">
        <f>작성용!G404</f>
        <v>0</v>
      </c>
      <c r="K407" s="58" t="str">
        <f>작성용!H404</f>
        <v>-</v>
      </c>
      <c r="L407" s="58" t="str">
        <f>작성용!N404</f>
        <v>년</v>
      </c>
      <c r="M407" s="57" t="str">
        <f>작성용!U404</f>
        <v>2024.09.30</v>
      </c>
      <c r="N407" s="57">
        <f>작성용!V404</f>
        <v>45611</v>
      </c>
      <c r="O407" s="57">
        <f>작성용!W404</f>
        <v>45649</v>
      </c>
      <c r="P407" s="57" t="str">
        <f>작성용!X404</f>
        <v>-</v>
      </c>
      <c r="Q407" s="58" t="str">
        <f>작성용!AD404</f>
        <v>강성은</v>
      </c>
      <c r="R407" s="60">
        <f>작성용!AE404</f>
        <v>0</v>
      </c>
      <c r="S407" s="58" t="str">
        <f>작성용!AF404</f>
        <v>강성은</v>
      </c>
      <c r="T407" s="61" t="str">
        <f>작성용!AG404</f>
        <v>유재호</v>
      </c>
      <c r="U407" s="61" t="str">
        <f>작성용!AH404</f>
        <v>유재호</v>
      </c>
      <c r="V407" s="56">
        <f>작성용!AA404</f>
        <v>202411</v>
      </c>
      <c r="W407" s="58" t="str">
        <f>작성용!AC404</f>
        <v>[X]일반기업</v>
      </c>
      <c r="X407" s="58" t="str">
        <f>작성용!O404</f>
        <v>김영봉책임</v>
      </c>
      <c r="Y407" s="58" t="str">
        <f>작성용!P404</f>
        <v>02-6947-2406</v>
      </c>
      <c r="Z407" s="58" t="str">
        <f>작성용!Q404</f>
        <v>ybkim@koreazinc.co.kr</v>
      </c>
      <c r="AA407" s="56" t="str">
        <f>작성용!AJ404</f>
        <v xml:space="preserve">회계반영 </v>
      </c>
      <c r="AB407" s="56">
        <f>작성용!AB404</f>
        <v>0</v>
      </c>
    </row>
    <row r="408" spans="1:28" s="12" customFormat="1" ht="16.5" hidden="1" customHeight="1" x14ac:dyDescent="0.3">
      <c r="A408" s="54">
        <f>작성용!AL405</f>
        <v>404</v>
      </c>
      <c r="B408" s="55" t="str">
        <f>작성용!AI405</f>
        <v>MRC제공 / 1차평가(2분기말 재무자료) : 2024-11-15(값, Backdata 제공) / 2차평가(3분기말 재무자료) : 2024-12-16(최종평가값, Backdata 제공) / 보고서, MRC제공일 : 2024-12-23</v>
      </c>
      <c r="C408" s="56" t="str">
        <f>작성용!AK405</f>
        <v>개별종목</v>
      </c>
      <c r="D408" s="57">
        <f>작성용!T405</f>
        <v>45572</v>
      </c>
      <c r="E408" s="58" t="str">
        <f>작성용!B405</f>
        <v>고려아연</v>
      </c>
      <c r="F408" s="58" t="str">
        <f>작성용!C405</f>
        <v>재평가</v>
      </c>
      <c r="G408" s="58" t="str">
        <f>작성용!D405</f>
        <v>그린랩스</v>
      </c>
      <c r="H408" s="59">
        <f>작성용!E405</f>
        <v>1101116387727</v>
      </c>
      <c r="I408" s="58" t="str">
        <f>작성용!F405</f>
        <v>D02</v>
      </c>
      <c r="J408" s="58">
        <f>작성용!G405</f>
        <v>77</v>
      </c>
      <c r="K408" s="58" t="str">
        <f>작성용!H405</f>
        <v>-</v>
      </c>
      <c r="L408" s="58" t="str">
        <f>작성용!N405</f>
        <v>년</v>
      </c>
      <c r="M408" s="57" t="str">
        <f>작성용!U405</f>
        <v>2024.09.30</v>
      </c>
      <c r="N408" s="57">
        <f>작성용!V405</f>
        <v>45611</v>
      </c>
      <c r="O408" s="57">
        <f>작성용!W405</f>
        <v>45649</v>
      </c>
      <c r="P408" s="57" t="str">
        <f>작성용!X405</f>
        <v>-</v>
      </c>
      <c r="Q408" s="58" t="str">
        <f>작성용!AD405</f>
        <v>강성은</v>
      </c>
      <c r="R408" s="60">
        <f>작성용!AE405</f>
        <v>0</v>
      </c>
      <c r="S408" s="58" t="str">
        <f>작성용!AF405</f>
        <v>강성은</v>
      </c>
      <c r="T408" s="61" t="str">
        <f>작성용!AG405</f>
        <v>유재호</v>
      </c>
      <c r="U408" s="61" t="str">
        <f>작성용!AH405</f>
        <v>유재호</v>
      </c>
      <c r="V408" s="56">
        <f>작성용!AA405</f>
        <v>202411</v>
      </c>
      <c r="W408" s="58" t="str">
        <f>작성용!AC405</f>
        <v>[X]일반기업</v>
      </c>
      <c r="X408" s="58" t="str">
        <f>작성용!O405</f>
        <v>김영봉책임</v>
      </c>
      <c r="Y408" s="58" t="str">
        <f>작성용!P405</f>
        <v>02-6947-2406</v>
      </c>
      <c r="Z408" s="58" t="str">
        <f>작성용!Q405</f>
        <v>ybkim@koreazinc.co.kr</v>
      </c>
      <c r="AA408" s="56" t="str">
        <f>작성용!AJ405</f>
        <v xml:space="preserve">회계반영 </v>
      </c>
      <c r="AB408" s="56">
        <f>작성용!AB405</f>
        <v>0</v>
      </c>
    </row>
    <row r="409" spans="1:28" s="12" customFormat="1" ht="16.5" hidden="1" customHeight="1" x14ac:dyDescent="0.3">
      <c r="A409" s="54">
        <f>작성용!AL406</f>
        <v>405</v>
      </c>
      <c r="B409" s="55" t="str">
        <f>작성용!AI406</f>
        <v>MRC제공 / 1차평가(2분기말 재무자료) : 2024-11-15(값, Backdata 제공) / 2차평가(3분기말 재무자료) : 2024-12-16(최종평가값, Backdata 제공) / 보고서, MRC제공일 : 2024-12-23</v>
      </c>
      <c r="C409" s="56" t="str">
        <f>작성용!AK406</f>
        <v>개별종목</v>
      </c>
      <c r="D409" s="57">
        <f>작성용!T406</f>
        <v>45572</v>
      </c>
      <c r="E409" s="58" t="str">
        <f>작성용!B406</f>
        <v>고려아연</v>
      </c>
      <c r="F409" s="58" t="str">
        <f>작성용!C406</f>
        <v>재평가</v>
      </c>
      <c r="G409" s="58" t="str">
        <f>작성용!D406</f>
        <v>아이피엑스</v>
      </c>
      <c r="H409" s="59">
        <f>작성용!E406</f>
        <v>1311110399187</v>
      </c>
      <c r="I409" s="58" t="str">
        <f>작성용!F406</f>
        <v>A05</v>
      </c>
      <c r="J409" s="58">
        <f>작성용!G406</f>
        <v>0</v>
      </c>
      <c r="K409" s="58" t="str">
        <f>작성용!H406</f>
        <v>-</v>
      </c>
      <c r="L409" s="58" t="str">
        <f>작성용!N406</f>
        <v>년</v>
      </c>
      <c r="M409" s="57" t="str">
        <f>작성용!U406</f>
        <v>2024.09.30</v>
      </c>
      <c r="N409" s="57">
        <f>작성용!V406</f>
        <v>45611</v>
      </c>
      <c r="O409" s="57">
        <f>작성용!W406</f>
        <v>45649</v>
      </c>
      <c r="P409" s="57" t="str">
        <f>작성용!X406</f>
        <v>-</v>
      </c>
      <c r="Q409" s="58" t="str">
        <f>작성용!AD406</f>
        <v>신원준</v>
      </c>
      <c r="R409" s="60">
        <f>작성용!AE406</f>
        <v>2</v>
      </c>
      <c r="S409" s="58" t="str">
        <f>작성용!AF406</f>
        <v>김범준</v>
      </c>
      <c r="T409" s="61" t="str">
        <f>작성용!AG406</f>
        <v>유재호</v>
      </c>
      <c r="U409" s="61" t="str">
        <f>작성용!AH406</f>
        <v>유재호</v>
      </c>
      <c r="V409" s="56">
        <f>작성용!AA406</f>
        <v>202411</v>
      </c>
      <c r="W409" s="58" t="str">
        <f>작성용!AC406</f>
        <v>[X]일반기업</v>
      </c>
      <c r="X409" s="58" t="str">
        <f>작성용!O406</f>
        <v>김영봉책임</v>
      </c>
      <c r="Y409" s="58" t="str">
        <f>작성용!P406</f>
        <v>02-6947-2406</v>
      </c>
      <c r="Z409" s="58" t="str">
        <f>작성용!Q406</f>
        <v>ybkim@koreazinc.co.kr</v>
      </c>
      <c r="AA409" s="56" t="str">
        <f>작성용!AJ406</f>
        <v xml:space="preserve">회계반영 </v>
      </c>
      <c r="AB409" s="56">
        <f>작성용!AB406</f>
        <v>0</v>
      </c>
    </row>
    <row r="410" spans="1:28" s="12" customFormat="1" ht="16.5" hidden="1" customHeight="1" x14ac:dyDescent="0.3">
      <c r="A410" s="54">
        <f>작성용!AL407</f>
        <v>406</v>
      </c>
      <c r="B410" s="55" t="str">
        <f>작성용!AI407</f>
        <v>MRC제공 / 1차평가(2분기말 재무자료) : 2024-11-15(값, Backdata 제공) / 2차평가(3분기말 재무자료) : 2024-12-16(최종평가값, Backdata 제공) / 보고서, MRC제공일 : 2024-12-23</v>
      </c>
      <c r="C410" s="56" t="str">
        <f>작성용!AK407</f>
        <v>개별종목</v>
      </c>
      <c r="D410" s="57">
        <f>작성용!T407</f>
        <v>45572</v>
      </c>
      <c r="E410" s="58" t="str">
        <f>작성용!B407</f>
        <v>고려아연</v>
      </c>
      <c r="F410" s="58" t="str">
        <f>작성용!C407</f>
        <v>재평가</v>
      </c>
      <c r="G410" s="58" t="str">
        <f>작성용!D407</f>
        <v>LINE MAN</v>
      </c>
      <c r="H410" s="59" t="str">
        <f>작성용!E407</f>
        <v>KBP2023120050</v>
      </c>
      <c r="I410" s="58" t="str">
        <f>작성용!F407</f>
        <v>A04</v>
      </c>
      <c r="J410" s="58">
        <f>작성용!G407</f>
        <v>0</v>
      </c>
      <c r="K410" s="58" t="str">
        <f>작성용!H407</f>
        <v>-</v>
      </c>
      <c r="L410" s="58" t="str">
        <f>작성용!N407</f>
        <v>년</v>
      </c>
      <c r="M410" s="57" t="str">
        <f>작성용!U407</f>
        <v>2024.09.30</v>
      </c>
      <c r="N410" s="57">
        <f>작성용!V407</f>
        <v>45611</v>
      </c>
      <c r="O410" s="57">
        <f>작성용!W407</f>
        <v>45649</v>
      </c>
      <c r="P410" s="57" t="str">
        <f>작성용!X407</f>
        <v>-</v>
      </c>
      <c r="Q410" s="58" t="str">
        <f>작성용!AD407</f>
        <v>오영석</v>
      </c>
      <c r="R410" s="60">
        <f>작성용!AE407</f>
        <v>2</v>
      </c>
      <c r="S410" s="58" t="str">
        <f>작성용!AF407</f>
        <v>조현우</v>
      </c>
      <c r="T410" s="61" t="str">
        <f>작성용!AG407</f>
        <v>유재호</v>
      </c>
      <c r="U410" s="61" t="str">
        <f>작성용!AH407</f>
        <v>유재호</v>
      </c>
      <c r="V410" s="56">
        <f>작성용!AA407</f>
        <v>202411</v>
      </c>
      <c r="W410" s="58" t="str">
        <f>작성용!AC407</f>
        <v>[X]일반기업</v>
      </c>
      <c r="X410" s="58" t="str">
        <f>작성용!O407</f>
        <v>김영봉책임</v>
      </c>
      <c r="Y410" s="58" t="str">
        <f>작성용!P407</f>
        <v>02-6947-2406</v>
      </c>
      <c r="Z410" s="58" t="str">
        <f>작성용!Q407</f>
        <v>ybkim@koreazinc.co.kr</v>
      </c>
      <c r="AA410" s="56" t="str">
        <f>작성용!AJ407</f>
        <v xml:space="preserve">회계반영 </v>
      </c>
      <c r="AB410" s="56">
        <f>작성용!AB407</f>
        <v>0</v>
      </c>
    </row>
    <row r="411" spans="1:28" s="12" customFormat="1" ht="16.5" hidden="1" customHeight="1" x14ac:dyDescent="0.3">
      <c r="A411" s="54">
        <f>작성용!AL408</f>
        <v>407</v>
      </c>
      <c r="B411" s="55" t="str">
        <f>작성용!AI408</f>
        <v>MRC제공 / 1차평가(2분기말 재무자료) : 2024-11-15(값, Backdata 제공) / 2차평가(3분기말 재무자료) : 2024-12-16(최종평가값, Backdata 제공) / 보고서, MRC제공일 : 2024-12-23</v>
      </c>
      <c r="C411" s="56" t="str">
        <f>작성용!AK408</f>
        <v>개별종목</v>
      </c>
      <c r="D411" s="57">
        <f>작성용!T408</f>
        <v>45572</v>
      </c>
      <c r="E411" s="58" t="str">
        <f>작성용!B408</f>
        <v>고려아연</v>
      </c>
      <c r="F411" s="58" t="str">
        <f>작성용!C408</f>
        <v>재평가</v>
      </c>
      <c r="G411" s="58" t="str">
        <f>작성용!D408</f>
        <v>LINE MAN</v>
      </c>
      <c r="H411" s="59" t="str">
        <f>작성용!E408</f>
        <v>KBP2023120050</v>
      </c>
      <c r="I411" s="58" t="str">
        <f>작성용!F408</f>
        <v>A04</v>
      </c>
      <c r="J411" s="58">
        <f>작성용!G408</f>
        <v>77</v>
      </c>
      <c r="K411" s="58" t="str">
        <f>작성용!H408</f>
        <v>-</v>
      </c>
      <c r="L411" s="58" t="str">
        <f>작성용!N408</f>
        <v>년</v>
      </c>
      <c r="M411" s="57" t="str">
        <f>작성용!U408</f>
        <v>2024.09.30</v>
      </c>
      <c r="N411" s="57">
        <f>작성용!V408</f>
        <v>45611</v>
      </c>
      <c r="O411" s="57">
        <f>작성용!W408</f>
        <v>45649</v>
      </c>
      <c r="P411" s="57" t="str">
        <f>작성용!X408</f>
        <v>-</v>
      </c>
      <c r="Q411" s="58" t="str">
        <f>작성용!AD408</f>
        <v>오영석</v>
      </c>
      <c r="R411" s="60">
        <f>작성용!AE408</f>
        <v>0</v>
      </c>
      <c r="S411" s="58" t="str">
        <f>작성용!AF408</f>
        <v>조현우</v>
      </c>
      <c r="T411" s="61" t="str">
        <f>작성용!AG408</f>
        <v>유재호</v>
      </c>
      <c r="U411" s="61" t="str">
        <f>작성용!AH408</f>
        <v>유재호</v>
      </c>
      <c r="V411" s="56">
        <f>작성용!AA408</f>
        <v>202411</v>
      </c>
      <c r="W411" s="58" t="str">
        <f>작성용!AC408</f>
        <v>[X]일반기업</v>
      </c>
      <c r="X411" s="58" t="str">
        <f>작성용!O408</f>
        <v>김영봉책임</v>
      </c>
      <c r="Y411" s="58" t="str">
        <f>작성용!P408</f>
        <v>02-6947-2406</v>
      </c>
      <c r="Z411" s="58" t="str">
        <f>작성용!Q408</f>
        <v>ybkim@koreazinc.co.kr</v>
      </c>
      <c r="AA411" s="56" t="str">
        <f>작성용!AJ408</f>
        <v xml:space="preserve">회계반영 </v>
      </c>
      <c r="AB411" s="56">
        <f>작성용!AB408</f>
        <v>0</v>
      </c>
    </row>
    <row r="412" spans="1:28" s="12" customFormat="1" ht="16.5" hidden="1" customHeight="1" x14ac:dyDescent="0.3">
      <c r="A412" s="54">
        <f>작성용!AL409</f>
        <v>408</v>
      </c>
      <c r="B412" s="55" t="str">
        <f>작성용!AI409</f>
        <v>1차평가(2분기말 재무자료) : 2024-11-15(값, Backdata 제공) / 2차평가(3분기말 재무자료) : 2024-12-16(최종평가값, Backdata 제공) / 보고서, MRC제공일 : 2024-12-23</v>
      </c>
      <c r="C412" s="56" t="str">
        <f>작성용!AK409</f>
        <v>개별종목</v>
      </c>
      <c r="D412" s="57">
        <f>작성용!T409</f>
        <v>45572</v>
      </c>
      <c r="E412" s="58" t="str">
        <f>작성용!B409</f>
        <v>고려아연</v>
      </c>
      <c r="F412" s="58" t="str">
        <f>작성용!C409</f>
        <v>재평가</v>
      </c>
      <c r="G412" s="58" t="str">
        <f>작성용!D409</f>
        <v>Moto Investco Limited</v>
      </c>
      <c r="H412" s="59" t="str">
        <f>작성용!E409</f>
        <v>KBP2023120051</v>
      </c>
      <c r="I412" s="58" t="str">
        <f>작성용!F409</f>
        <v>A07</v>
      </c>
      <c r="J412" s="58">
        <f>작성용!G409</f>
        <v>0</v>
      </c>
      <c r="K412" s="58" t="str">
        <f>작성용!H409</f>
        <v>-</v>
      </c>
      <c r="L412" s="58" t="str">
        <f>작성용!N409</f>
        <v>년</v>
      </c>
      <c r="M412" s="57" t="str">
        <f>작성용!U409</f>
        <v>2024.09.30</v>
      </c>
      <c r="N412" s="57">
        <f>작성용!V409</f>
        <v>45611</v>
      </c>
      <c r="O412" s="57">
        <f>작성용!W409</f>
        <v>45649</v>
      </c>
      <c r="P412" s="57" t="str">
        <f>작성용!X409</f>
        <v>-</v>
      </c>
      <c r="Q412" s="58" t="str">
        <f>작성용!AD409</f>
        <v>정은채</v>
      </c>
      <c r="R412" s="60">
        <f>작성용!AE409</f>
        <v>1.5</v>
      </c>
      <c r="S412" s="58" t="str">
        <f>작성용!AF409</f>
        <v>정은채</v>
      </c>
      <c r="T412" s="61" t="str">
        <f>작성용!AG409</f>
        <v>유재호</v>
      </c>
      <c r="U412" s="61" t="str">
        <f>작성용!AH409</f>
        <v>유재호</v>
      </c>
      <c r="V412" s="56">
        <f>작성용!AA409</f>
        <v>202411</v>
      </c>
      <c r="W412" s="58" t="str">
        <f>작성용!AC409</f>
        <v>[X]일반기업</v>
      </c>
      <c r="X412" s="58" t="str">
        <f>작성용!O409</f>
        <v>김영봉책임</v>
      </c>
      <c r="Y412" s="58" t="str">
        <f>작성용!P409</f>
        <v>02-6947-2406</v>
      </c>
      <c r="Z412" s="58" t="str">
        <f>작성용!Q409</f>
        <v>ybkim@koreazinc.co.kr</v>
      </c>
      <c r="AA412" s="56" t="str">
        <f>작성용!AJ409</f>
        <v xml:space="preserve">회계반영 </v>
      </c>
      <c r="AB412" s="56">
        <f>작성용!AB409</f>
        <v>0</v>
      </c>
    </row>
    <row r="413" spans="1:28" s="12" customFormat="1" ht="16.5" hidden="1" customHeight="1" x14ac:dyDescent="0.3">
      <c r="A413" s="54">
        <f>작성용!AL410</f>
        <v>409</v>
      </c>
      <c r="B413" s="55" t="str">
        <f>작성용!AI410</f>
        <v>MRC제공 / 1차평가(2분기말 재무자료) : 2024-11-15(값, Backdata 제공) / 2차평가(3분기말 재무자료) : 2024-12-16(최종평가값, Backdata 제공) / 보고서, MRC제공일 : 2024-12-23</v>
      </c>
      <c r="C413" s="56" t="str">
        <f>작성용!AK410</f>
        <v>개별종목</v>
      </c>
      <c r="D413" s="57">
        <f>작성용!T410</f>
        <v>45572</v>
      </c>
      <c r="E413" s="58" t="str">
        <f>작성용!B410</f>
        <v>고려아연</v>
      </c>
      <c r="F413" s="58" t="str">
        <f>작성용!C410</f>
        <v>신규</v>
      </c>
      <c r="G413" s="58" t="str">
        <f>작성용!D410</f>
        <v>마이리얼트립</v>
      </c>
      <c r="H413" s="59">
        <f>작성용!E410</f>
        <v>1101114789397</v>
      </c>
      <c r="I413" s="58" t="str">
        <f>작성용!F410</f>
        <v>A01</v>
      </c>
      <c r="J413" s="58">
        <f>작성용!G410</f>
        <v>0</v>
      </c>
      <c r="K413" s="58" t="str">
        <f>작성용!H410</f>
        <v>-</v>
      </c>
      <c r="L413" s="58" t="str">
        <f>작성용!N410</f>
        <v>년</v>
      </c>
      <c r="M413" s="57" t="str">
        <f>작성용!U410</f>
        <v>2024.09.30</v>
      </c>
      <c r="N413" s="57">
        <f>작성용!V410</f>
        <v>45611</v>
      </c>
      <c r="O413" s="57">
        <f>작성용!W410</f>
        <v>45649</v>
      </c>
      <c r="P413" s="57" t="str">
        <f>작성용!X410</f>
        <v>-</v>
      </c>
      <c r="Q413" s="58" t="str">
        <f>작성용!AD410</f>
        <v>최수민</v>
      </c>
      <c r="R413" s="60">
        <f>작성용!AE410</f>
        <v>2</v>
      </c>
      <c r="S413" s="58" t="str">
        <f>작성용!AF410</f>
        <v>최수민</v>
      </c>
      <c r="T413" s="61" t="str">
        <f>작성용!AG410</f>
        <v>유재호</v>
      </c>
      <c r="U413" s="61" t="str">
        <f>작성용!AH410</f>
        <v>유재호</v>
      </c>
      <c r="V413" s="56">
        <f>작성용!AA410</f>
        <v>202411</v>
      </c>
      <c r="W413" s="58" t="str">
        <f>작성용!AC410</f>
        <v>[X]일반기업</v>
      </c>
      <c r="X413" s="58" t="str">
        <f>작성용!O410</f>
        <v>김영봉책임</v>
      </c>
      <c r="Y413" s="58" t="str">
        <f>작성용!P410</f>
        <v>02-6947-2406</v>
      </c>
      <c r="Z413" s="58" t="str">
        <f>작성용!Q410</f>
        <v>ybkim@koreazinc.co.kr</v>
      </c>
      <c r="AA413" s="56" t="str">
        <f>작성용!AJ410</f>
        <v xml:space="preserve">회계반영 </v>
      </c>
      <c r="AB413" s="56">
        <f>작성용!AB410</f>
        <v>0</v>
      </c>
    </row>
    <row r="414" spans="1:28" s="12" customFormat="1" ht="16.5" hidden="1" customHeight="1" x14ac:dyDescent="0.3">
      <c r="A414" s="54">
        <f>작성용!AL411</f>
        <v>410</v>
      </c>
      <c r="B414" s="55" t="str">
        <f>작성용!AI411</f>
        <v>MRC제공 / 1차평가(2분기말 재무자료) : 2024-11-15(값, Backdata 제공) / 2차평가(3분기말 재무자료) : 2024-12-16(최종평가값, Backdata 제공) / 보고서, MRC제공일 : 2024-12-23</v>
      </c>
      <c r="C414" s="56" t="str">
        <f>작성용!AK411</f>
        <v>개별종목</v>
      </c>
      <c r="D414" s="57">
        <f>작성용!T411</f>
        <v>45572</v>
      </c>
      <c r="E414" s="58" t="str">
        <f>작성용!B411</f>
        <v>고려아연</v>
      </c>
      <c r="F414" s="58" t="str">
        <f>작성용!C411</f>
        <v>신규</v>
      </c>
      <c r="G414" s="58" t="str">
        <f>작성용!D411</f>
        <v>마이리얼트립</v>
      </c>
      <c r="H414" s="59">
        <f>작성용!E411</f>
        <v>1101114789397</v>
      </c>
      <c r="I414" s="58" t="str">
        <f>작성용!F411</f>
        <v>A07</v>
      </c>
      <c r="J414" s="58">
        <f>작성용!G411</f>
        <v>77</v>
      </c>
      <c r="K414" s="58" t="str">
        <f>작성용!H411</f>
        <v>-</v>
      </c>
      <c r="L414" s="58" t="str">
        <f>작성용!N411</f>
        <v>년</v>
      </c>
      <c r="M414" s="57" t="str">
        <f>작성용!U411</f>
        <v>2024.09.30</v>
      </c>
      <c r="N414" s="57">
        <f>작성용!V411</f>
        <v>45611</v>
      </c>
      <c r="O414" s="57">
        <f>작성용!W411</f>
        <v>45649</v>
      </c>
      <c r="P414" s="57" t="str">
        <f>작성용!X411</f>
        <v>-</v>
      </c>
      <c r="Q414" s="58" t="str">
        <f>작성용!AD411</f>
        <v>최수민</v>
      </c>
      <c r="R414" s="60">
        <f>작성용!AE411</f>
        <v>0</v>
      </c>
      <c r="S414" s="58" t="str">
        <f>작성용!AF411</f>
        <v>최수민</v>
      </c>
      <c r="T414" s="61" t="str">
        <f>작성용!AG411</f>
        <v>유재호</v>
      </c>
      <c r="U414" s="61" t="str">
        <f>작성용!AH411</f>
        <v>유재호</v>
      </c>
      <c r="V414" s="56">
        <f>작성용!AA411</f>
        <v>202411</v>
      </c>
      <c r="W414" s="58" t="str">
        <f>작성용!AC411</f>
        <v>[X]일반기업</v>
      </c>
      <c r="X414" s="58" t="str">
        <f>작성용!O411</f>
        <v>김영봉책임</v>
      </c>
      <c r="Y414" s="58" t="str">
        <f>작성용!P411</f>
        <v>02-6947-2406</v>
      </c>
      <c r="Z414" s="58" t="str">
        <f>작성용!Q411</f>
        <v>ybkim@koreazinc.co.kr</v>
      </c>
      <c r="AA414" s="56" t="str">
        <f>작성용!AJ411</f>
        <v xml:space="preserve">회계반영 </v>
      </c>
      <c r="AB414" s="56">
        <f>작성용!AB411</f>
        <v>0</v>
      </c>
    </row>
    <row r="415" spans="1:28" s="12" customFormat="1" ht="16.5" hidden="1" customHeight="1" x14ac:dyDescent="0.3">
      <c r="A415" s="54">
        <f>작성용!AL412</f>
        <v>411</v>
      </c>
      <c r="B415" s="55" t="str">
        <f>작성용!AI412</f>
        <v>MRC제공 / 1차평가(2분기말 재무자료) : 2024-11-15(값, Backdata 제공) / 2차평가(3분기말 재무자료) : 2024-12-16(최종평가값, Backdata 제공) / 보고서, MRC제공일 : 2024-12-23</v>
      </c>
      <c r="C415" s="56" t="str">
        <f>작성용!AK412</f>
        <v>개별종목</v>
      </c>
      <c r="D415" s="57">
        <f>작성용!T412</f>
        <v>45572</v>
      </c>
      <c r="E415" s="58" t="str">
        <f>작성용!B412</f>
        <v>고려아연</v>
      </c>
      <c r="F415" s="58" t="str">
        <f>작성용!C412</f>
        <v>재평가</v>
      </c>
      <c r="G415" s="58" t="str">
        <f>작성용!D412</f>
        <v>네오사피엔스</v>
      </c>
      <c r="H415" s="59">
        <f>작성용!E412</f>
        <v>1101116562866</v>
      </c>
      <c r="I415" s="58" t="str">
        <f>작성용!F412</f>
        <v>A07</v>
      </c>
      <c r="J415" s="58">
        <f>작성용!G412</f>
        <v>0</v>
      </c>
      <c r="K415" s="58" t="str">
        <f>작성용!H412</f>
        <v>-</v>
      </c>
      <c r="L415" s="58" t="str">
        <f>작성용!N412</f>
        <v>년</v>
      </c>
      <c r="M415" s="57" t="str">
        <f>작성용!U412</f>
        <v>2024.09.30</v>
      </c>
      <c r="N415" s="57">
        <f>작성용!V412</f>
        <v>45611</v>
      </c>
      <c r="O415" s="57">
        <f>작성용!W412</f>
        <v>45649</v>
      </c>
      <c r="P415" s="57" t="str">
        <f>작성용!X412</f>
        <v>-</v>
      </c>
      <c r="Q415" s="58" t="str">
        <f>작성용!AD412</f>
        <v>정은채</v>
      </c>
      <c r="R415" s="60">
        <f>작성용!AE412</f>
        <v>2</v>
      </c>
      <c r="S415" s="58" t="str">
        <f>작성용!AF412</f>
        <v>정은채</v>
      </c>
      <c r="T415" s="61" t="str">
        <f>작성용!AG412</f>
        <v>유재호</v>
      </c>
      <c r="U415" s="61" t="str">
        <f>작성용!AH412</f>
        <v>유재호</v>
      </c>
      <c r="V415" s="56">
        <f>작성용!AA412</f>
        <v>202411</v>
      </c>
      <c r="W415" s="58" t="str">
        <f>작성용!AC412</f>
        <v>[X]일반기업</v>
      </c>
      <c r="X415" s="58" t="str">
        <f>작성용!O412</f>
        <v>김영봉책임</v>
      </c>
      <c r="Y415" s="58" t="str">
        <f>작성용!P412</f>
        <v>02-6947-2406</v>
      </c>
      <c r="Z415" s="58" t="str">
        <f>작성용!Q412</f>
        <v>ybkim@koreazinc.co.kr</v>
      </c>
      <c r="AA415" s="56" t="str">
        <f>작성용!AJ412</f>
        <v xml:space="preserve">회계반영 </v>
      </c>
      <c r="AB415" s="56">
        <f>작성용!AB412</f>
        <v>0</v>
      </c>
    </row>
    <row r="416" spans="1:28" s="12" customFormat="1" ht="16.5" hidden="1" customHeight="1" x14ac:dyDescent="0.3">
      <c r="A416" s="54">
        <f>작성용!AL413</f>
        <v>412</v>
      </c>
      <c r="B416" s="55" t="str">
        <f>작성용!AI413</f>
        <v>MRC제공 / 1차평가(2분기말 재무자료) : 2024-11-15(값, Backdata 제공) / 2차평가(3분기말 재무자료) : 2024-12-16(최종평가값, Backdata 제공) / 보고서, MRC제공일 : 2024-12-23</v>
      </c>
      <c r="C416" s="56" t="str">
        <f>작성용!AK413</f>
        <v>개별종목</v>
      </c>
      <c r="D416" s="57">
        <f>작성용!T413</f>
        <v>45572</v>
      </c>
      <c r="E416" s="58" t="str">
        <f>작성용!B413</f>
        <v>고려아연</v>
      </c>
      <c r="F416" s="58" t="str">
        <f>작성용!C413</f>
        <v>재평가</v>
      </c>
      <c r="G416" s="58" t="str">
        <f>작성용!D413</f>
        <v>넥스트챕터</v>
      </c>
      <c r="H416" s="59">
        <f>작성용!E413</f>
        <v>1101117859981</v>
      </c>
      <c r="I416" s="58" t="str">
        <f>작성용!F413</f>
        <v>A07</v>
      </c>
      <c r="J416" s="58">
        <f>작성용!G413</f>
        <v>0</v>
      </c>
      <c r="K416" s="58" t="str">
        <f>작성용!H413</f>
        <v>-</v>
      </c>
      <c r="L416" s="58" t="str">
        <f>작성용!N413</f>
        <v>년</v>
      </c>
      <c r="M416" s="57" t="str">
        <f>작성용!U413</f>
        <v>2024.09.30</v>
      </c>
      <c r="N416" s="57">
        <f>작성용!V413</f>
        <v>45611</v>
      </c>
      <c r="O416" s="57">
        <f>작성용!W413</f>
        <v>45649</v>
      </c>
      <c r="P416" s="57" t="str">
        <f>작성용!X413</f>
        <v>-</v>
      </c>
      <c r="Q416" s="58" t="str">
        <f>작성용!AD413</f>
        <v>강성은</v>
      </c>
      <c r="R416" s="60">
        <f>작성용!AE413</f>
        <v>2</v>
      </c>
      <c r="S416" s="58" t="str">
        <f>작성용!AF413</f>
        <v>강성은</v>
      </c>
      <c r="T416" s="61" t="str">
        <f>작성용!AG413</f>
        <v>유재호</v>
      </c>
      <c r="U416" s="61" t="str">
        <f>작성용!AH413</f>
        <v>유재호</v>
      </c>
      <c r="V416" s="56">
        <f>작성용!AA413</f>
        <v>202411</v>
      </c>
      <c r="W416" s="58" t="str">
        <f>작성용!AC413</f>
        <v>[X]일반기업</v>
      </c>
      <c r="X416" s="58" t="str">
        <f>작성용!O413</f>
        <v>김영봉책임</v>
      </c>
      <c r="Y416" s="58" t="str">
        <f>작성용!P413</f>
        <v>02-6947-2406</v>
      </c>
      <c r="Z416" s="58" t="str">
        <f>작성용!Q413</f>
        <v>ybkim@koreazinc.co.kr</v>
      </c>
      <c r="AA416" s="56" t="str">
        <f>작성용!AJ413</f>
        <v xml:space="preserve">회계반영 </v>
      </c>
      <c r="AB416" s="56">
        <f>작성용!AB413</f>
        <v>0</v>
      </c>
    </row>
    <row r="417" spans="1:28" s="12" customFormat="1" ht="16.5" hidden="1" customHeight="1" x14ac:dyDescent="0.3">
      <c r="A417" s="54">
        <f>작성용!AL414</f>
        <v>413</v>
      </c>
      <c r="B417" s="55" t="str">
        <f>작성용!AI414</f>
        <v>1차평가(2분기말 재무자료) : 2024-11-15(값, Backdata 제공) / 2차평가(3분기말 재무자료) : 2024-12-16(최종평가값, Backdata 제공) / 보고서, MRC제공일 : 2024-12-23</v>
      </c>
      <c r="C417" s="56" t="str">
        <f>작성용!AK414</f>
        <v>개별종목</v>
      </c>
      <c r="D417" s="57">
        <f>작성용!T414</f>
        <v>45572</v>
      </c>
      <c r="E417" s="58" t="str">
        <f>작성용!B414</f>
        <v>고려아연</v>
      </c>
      <c r="F417" s="58" t="str">
        <f>작성용!C414</f>
        <v>재평가</v>
      </c>
      <c r="G417" s="58" t="str">
        <f>작성용!D414</f>
        <v>SILICON BOX Pte., Ltd.</v>
      </c>
      <c r="H417" s="59" t="str">
        <f>작성용!E414</f>
        <v>KBP2023120053</v>
      </c>
      <c r="I417" s="58" t="str">
        <f>작성용!F414</f>
        <v>A04</v>
      </c>
      <c r="J417" s="58">
        <f>작성용!G414</f>
        <v>0</v>
      </c>
      <c r="K417" s="58" t="str">
        <f>작성용!H414</f>
        <v>-</v>
      </c>
      <c r="L417" s="58" t="str">
        <f>작성용!N414</f>
        <v>년</v>
      </c>
      <c r="M417" s="57" t="str">
        <f>작성용!U414</f>
        <v>2024.09.30</v>
      </c>
      <c r="N417" s="57">
        <f>작성용!V414</f>
        <v>45611</v>
      </c>
      <c r="O417" s="57">
        <f>작성용!W414</f>
        <v>45649</v>
      </c>
      <c r="P417" s="57" t="str">
        <f>작성용!X414</f>
        <v>-</v>
      </c>
      <c r="Q417" s="58" t="str">
        <f>작성용!AD414</f>
        <v>채동우</v>
      </c>
      <c r="R417" s="60">
        <f>작성용!AE414</f>
        <v>1.5</v>
      </c>
      <c r="S417" s="58" t="str">
        <f>작성용!AF414</f>
        <v>고명주</v>
      </c>
      <c r="T417" s="61" t="str">
        <f>작성용!AG414</f>
        <v>유재호</v>
      </c>
      <c r="U417" s="61" t="str">
        <f>작성용!AH414</f>
        <v>유재호</v>
      </c>
      <c r="V417" s="56">
        <f>작성용!AA414</f>
        <v>202411</v>
      </c>
      <c r="W417" s="58" t="str">
        <f>작성용!AC414</f>
        <v>[X]일반기업</v>
      </c>
      <c r="X417" s="58" t="str">
        <f>작성용!O414</f>
        <v>김영봉책임</v>
      </c>
      <c r="Y417" s="58" t="str">
        <f>작성용!P414</f>
        <v>02-6947-2406</v>
      </c>
      <c r="Z417" s="58" t="str">
        <f>작성용!Q414</f>
        <v>ybkim@koreazinc.co.kr</v>
      </c>
      <c r="AA417" s="56" t="str">
        <f>작성용!AJ414</f>
        <v xml:space="preserve">회계반영 </v>
      </c>
      <c r="AB417" s="56">
        <f>작성용!AB414</f>
        <v>0</v>
      </c>
    </row>
    <row r="418" spans="1:28" s="12" customFormat="1" ht="16.5" hidden="1" customHeight="1" x14ac:dyDescent="0.3">
      <c r="A418" s="54">
        <f>작성용!AL415</f>
        <v>414</v>
      </c>
      <c r="B418" s="55" t="str">
        <f>작성용!AI415</f>
        <v>1차평가(2분기말 재무자료) : 2024-11-15(값, Backdata 제공) / 2차평가(3분기말 재무자료) : 2024-12-16(최종평가값, Backdata 제공) / 보고서, MRC제공일 : 2024-12-23</v>
      </c>
      <c r="C418" s="56" t="str">
        <f>작성용!AK415</f>
        <v>개별종목</v>
      </c>
      <c r="D418" s="57">
        <f>작성용!T415</f>
        <v>45572</v>
      </c>
      <c r="E418" s="58" t="str">
        <f>작성용!B415</f>
        <v>고려아연</v>
      </c>
      <c r="F418" s="58" t="str">
        <f>작성용!C415</f>
        <v>재평가</v>
      </c>
      <c r="G418" s="58" t="str">
        <f>작성용!D415</f>
        <v>SILICON BOX Pte., Ltd.</v>
      </c>
      <c r="H418" s="59" t="str">
        <f>작성용!E415</f>
        <v>KBP2023120053</v>
      </c>
      <c r="I418" s="58" t="str">
        <f>작성용!F415</f>
        <v>A04</v>
      </c>
      <c r="J418" s="58">
        <f>작성용!G415</f>
        <v>77</v>
      </c>
      <c r="K418" s="58" t="str">
        <f>작성용!H415</f>
        <v>-</v>
      </c>
      <c r="L418" s="58" t="str">
        <f>작성용!N415</f>
        <v>년</v>
      </c>
      <c r="M418" s="57" t="str">
        <f>작성용!U415</f>
        <v>2024.09.30</v>
      </c>
      <c r="N418" s="57">
        <f>작성용!V415</f>
        <v>45611</v>
      </c>
      <c r="O418" s="57">
        <f>작성용!W415</f>
        <v>45649</v>
      </c>
      <c r="P418" s="57" t="str">
        <f>작성용!X415</f>
        <v>-</v>
      </c>
      <c r="Q418" s="58" t="str">
        <f>작성용!AD415</f>
        <v>채동우</v>
      </c>
      <c r="R418" s="60">
        <f>작성용!AE415</f>
        <v>0</v>
      </c>
      <c r="S418" s="58" t="str">
        <f>작성용!AF415</f>
        <v>고명주</v>
      </c>
      <c r="T418" s="61" t="str">
        <f>작성용!AG415</f>
        <v>유재호</v>
      </c>
      <c r="U418" s="61" t="str">
        <f>작성용!AH415</f>
        <v>유재호</v>
      </c>
      <c r="V418" s="56">
        <f>작성용!AA415</f>
        <v>202411</v>
      </c>
      <c r="W418" s="58" t="str">
        <f>작성용!AC415</f>
        <v>[X]일반기업</v>
      </c>
      <c r="X418" s="58" t="str">
        <f>작성용!O415</f>
        <v>김영봉책임</v>
      </c>
      <c r="Y418" s="58" t="str">
        <f>작성용!P415</f>
        <v>02-6947-2406</v>
      </c>
      <c r="Z418" s="58" t="str">
        <f>작성용!Q415</f>
        <v>ybkim@koreazinc.co.kr</v>
      </c>
      <c r="AA418" s="56" t="str">
        <f>작성용!AJ415</f>
        <v xml:space="preserve">회계반영 </v>
      </c>
      <c r="AB418" s="56">
        <f>작성용!AB415</f>
        <v>0</v>
      </c>
    </row>
    <row r="419" spans="1:28" s="12" customFormat="1" ht="16.5" hidden="1" customHeight="1" x14ac:dyDescent="0.3">
      <c r="A419" s="54">
        <f>작성용!AL416</f>
        <v>415</v>
      </c>
      <c r="B419" s="55" t="str">
        <f>작성용!AI416</f>
        <v>MRC제공 / 1차평가(2분기말 재무자료) : 2024-11-15(값, Backdata 제공) / 2차평가(3분기말 재무자료) : 2024-12-16(최종평가값, Backdata 제공) / 보고서, MRC제공일 : 2024-12-23</v>
      </c>
      <c r="C419" s="56" t="str">
        <f>작성용!AK416</f>
        <v>개별종목</v>
      </c>
      <c r="D419" s="57">
        <f>작성용!T416</f>
        <v>45572</v>
      </c>
      <c r="E419" s="58" t="str">
        <f>작성용!B416</f>
        <v>고려아연</v>
      </c>
      <c r="F419" s="58" t="str">
        <f>작성용!C416</f>
        <v>재평가</v>
      </c>
      <c r="G419" s="58" t="str">
        <f>작성용!D416</f>
        <v>Project Edelweiss</v>
      </c>
      <c r="H419" s="59" t="str">
        <f>작성용!E416</f>
        <v>KBP2023120052</v>
      </c>
      <c r="I419" s="58" t="str">
        <f>작성용!F416</f>
        <v>A01</v>
      </c>
      <c r="J419" s="58">
        <f>작성용!G416</f>
        <v>0</v>
      </c>
      <c r="K419" s="58" t="str">
        <f>작성용!H416</f>
        <v>-</v>
      </c>
      <c r="L419" s="58" t="str">
        <f>작성용!N416</f>
        <v>년</v>
      </c>
      <c r="M419" s="57" t="str">
        <f>작성용!U416</f>
        <v>2024.09.30</v>
      </c>
      <c r="N419" s="57">
        <f>작성용!V416</f>
        <v>45611</v>
      </c>
      <c r="O419" s="57">
        <f>작성용!W416</f>
        <v>45649</v>
      </c>
      <c r="P419" s="57" t="str">
        <f>작성용!X416</f>
        <v>-</v>
      </c>
      <c r="Q419" s="58" t="str">
        <f>작성용!AD416</f>
        <v>이문수</v>
      </c>
      <c r="R419" s="60">
        <f>작성용!AE416</f>
        <v>2</v>
      </c>
      <c r="S419" s="58" t="str">
        <f>작성용!AF416</f>
        <v>이문수</v>
      </c>
      <c r="T419" s="61" t="str">
        <f>작성용!AG416</f>
        <v>유재호</v>
      </c>
      <c r="U419" s="61" t="str">
        <f>작성용!AH416</f>
        <v>유재호</v>
      </c>
      <c r="V419" s="56">
        <f>작성용!AA416</f>
        <v>202411</v>
      </c>
      <c r="W419" s="58" t="str">
        <f>작성용!AC416</f>
        <v>[X]일반기업</v>
      </c>
      <c r="X419" s="58" t="str">
        <f>작성용!O416</f>
        <v>김영봉책임</v>
      </c>
      <c r="Y419" s="58" t="str">
        <f>작성용!P416</f>
        <v>02-6947-2406</v>
      </c>
      <c r="Z419" s="58" t="str">
        <f>작성용!Q416</f>
        <v>ybkim@koreazinc.co.kr</v>
      </c>
      <c r="AA419" s="56" t="str">
        <f>작성용!AJ416</f>
        <v xml:space="preserve">회계반영 </v>
      </c>
      <c r="AB419" s="56">
        <f>작성용!AB416</f>
        <v>0</v>
      </c>
    </row>
    <row r="420" spans="1:28" s="12" customFormat="1" ht="16.5" hidden="1" customHeight="1" x14ac:dyDescent="0.3">
      <c r="A420" s="54">
        <f>작성용!AL417</f>
        <v>416</v>
      </c>
      <c r="B420" s="55" t="str">
        <f>작성용!AI417</f>
        <v>MRC제공 / 1차평가(2분기말 재무자료) : 2024-11-15(값, Backdata 제공) / 2차평가(3분기말 재무자료) : 2024-12-16(최종평가값, Backdata 제공) / 보고서, MRC제공일 : 2024-12-23</v>
      </c>
      <c r="C420" s="56" t="str">
        <f>작성용!AK417</f>
        <v>개별종목</v>
      </c>
      <c r="D420" s="57">
        <f>작성용!T417</f>
        <v>45572</v>
      </c>
      <c r="E420" s="58" t="str">
        <f>작성용!B417</f>
        <v>고려아연</v>
      </c>
      <c r="F420" s="58" t="str">
        <f>작성용!C417</f>
        <v>재평가</v>
      </c>
      <c r="G420" s="58" t="str">
        <f>작성용!D417</f>
        <v>Project Edelweiss</v>
      </c>
      <c r="H420" s="59" t="str">
        <f>작성용!E417</f>
        <v>KBP2023120052</v>
      </c>
      <c r="I420" s="58" t="str">
        <f>작성용!F417</f>
        <v>D01</v>
      </c>
      <c r="J420" s="58">
        <f>작성용!G417</f>
        <v>0</v>
      </c>
      <c r="K420" s="58" t="str">
        <f>작성용!H417</f>
        <v>-</v>
      </c>
      <c r="L420" s="58" t="str">
        <f>작성용!N417</f>
        <v>년</v>
      </c>
      <c r="M420" s="57" t="str">
        <f>작성용!U417</f>
        <v>2024.09.30</v>
      </c>
      <c r="N420" s="57">
        <f>작성용!V417</f>
        <v>45611</v>
      </c>
      <c r="O420" s="57">
        <f>작성용!W417</f>
        <v>45649</v>
      </c>
      <c r="P420" s="57" t="str">
        <f>작성용!X417</f>
        <v>-</v>
      </c>
      <c r="Q420" s="58" t="str">
        <f>작성용!AD417</f>
        <v>이문수</v>
      </c>
      <c r="R420" s="60">
        <f>작성용!AE417</f>
        <v>0</v>
      </c>
      <c r="S420" s="58" t="str">
        <f>작성용!AF417</f>
        <v>이문수</v>
      </c>
      <c r="T420" s="61" t="str">
        <f>작성용!AG417</f>
        <v>유재호</v>
      </c>
      <c r="U420" s="61" t="str">
        <f>작성용!AH417</f>
        <v>유재호</v>
      </c>
      <c r="V420" s="56">
        <f>작성용!AA417</f>
        <v>202411</v>
      </c>
      <c r="W420" s="58" t="str">
        <f>작성용!AC417</f>
        <v>[X]일반기업</v>
      </c>
      <c r="X420" s="58" t="str">
        <f>작성용!O417</f>
        <v>김영봉책임</v>
      </c>
      <c r="Y420" s="58" t="str">
        <f>작성용!P417</f>
        <v>02-6947-2406</v>
      </c>
      <c r="Z420" s="58" t="str">
        <f>작성용!Q417</f>
        <v>ybkim@koreazinc.co.kr</v>
      </c>
      <c r="AA420" s="56" t="str">
        <f>작성용!AJ417</f>
        <v xml:space="preserve">회계반영 </v>
      </c>
      <c r="AB420" s="56">
        <f>작성용!AB417</f>
        <v>0</v>
      </c>
    </row>
    <row r="421" spans="1:28" s="12" customFormat="1" ht="16.5" hidden="1" customHeight="1" x14ac:dyDescent="0.3">
      <c r="A421" s="54">
        <f>작성용!AL418</f>
        <v>417</v>
      </c>
      <c r="B421" s="55" t="str">
        <f>작성용!AI418</f>
        <v>MRC제공 / 1차평가(2분기말 재무자료) : 2024-11-15(값, Backdata 제공) / 2차평가(3분기말 재무자료) : 2024-12-16(최종평가값, Backdata 제공) / 보고서, MRC제공일 : 2024-12-23</v>
      </c>
      <c r="C421" s="56" t="str">
        <f>작성용!AK418</f>
        <v>개별종목</v>
      </c>
      <c r="D421" s="57">
        <f>작성용!T418</f>
        <v>45572</v>
      </c>
      <c r="E421" s="58" t="str">
        <f>작성용!B418</f>
        <v>고려아연</v>
      </c>
      <c r="F421" s="58" t="str">
        <f>작성용!C418</f>
        <v>재평가</v>
      </c>
      <c r="G421" s="58" t="str">
        <f>작성용!D418</f>
        <v>에스에스지닷컴</v>
      </c>
      <c r="H421" s="59">
        <f>작성용!E418</f>
        <v>1101116968436</v>
      </c>
      <c r="I421" s="58" t="str">
        <f>작성용!F418</f>
        <v>A01</v>
      </c>
      <c r="J421" s="58">
        <f>작성용!G418</f>
        <v>0</v>
      </c>
      <c r="K421" s="58" t="str">
        <f>작성용!H418</f>
        <v>-</v>
      </c>
      <c r="L421" s="58" t="str">
        <f>작성용!N418</f>
        <v>년</v>
      </c>
      <c r="M421" s="57" t="str">
        <f>작성용!U418</f>
        <v>2024.09.30</v>
      </c>
      <c r="N421" s="57">
        <f>작성용!V418</f>
        <v>45611</v>
      </c>
      <c r="O421" s="57">
        <f>작성용!W418</f>
        <v>45649</v>
      </c>
      <c r="P421" s="57" t="str">
        <f>작성용!X418</f>
        <v>-</v>
      </c>
      <c r="Q421" s="58" t="str">
        <f>작성용!AD418</f>
        <v>서동현</v>
      </c>
      <c r="R421" s="60">
        <f>작성용!AE418</f>
        <v>2</v>
      </c>
      <c r="S421" s="58" t="str">
        <f>작성용!AF418</f>
        <v>서동현</v>
      </c>
      <c r="T421" s="61" t="str">
        <f>작성용!AG418</f>
        <v>유재호</v>
      </c>
      <c r="U421" s="61" t="str">
        <f>작성용!AH418</f>
        <v>유재호</v>
      </c>
      <c r="V421" s="56">
        <f>작성용!AA418</f>
        <v>202411</v>
      </c>
      <c r="W421" s="58" t="str">
        <f>작성용!AC418</f>
        <v>[X]일반기업</v>
      </c>
      <c r="X421" s="58" t="str">
        <f>작성용!O418</f>
        <v>김영봉책임</v>
      </c>
      <c r="Y421" s="58" t="str">
        <f>작성용!P418</f>
        <v>02-6947-2406</v>
      </c>
      <c r="Z421" s="58" t="str">
        <f>작성용!Q418</f>
        <v>ybkim@koreazinc.co.kr</v>
      </c>
      <c r="AA421" s="56" t="str">
        <f>작성용!AJ418</f>
        <v xml:space="preserve">회계반영 </v>
      </c>
      <c r="AB421" s="56">
        <f>작성용!AB418</f>
        <v>0</v>
      </c>
    </row>
    <row r="422" spans="1:28" s="12" customFormat="1" ht="16.5" hidden="1" customHeight="1" x14ac:dyDescent="0.3">
      <c r="A422" s="54">
        <f>작성용!AL419</f>
        <v>418</v>
      </c>
      <c r="B422" s="55" t="str">
        <f>작성용!AI419</f>
        <v>1차평가(2분기말 재무자료) : 2024-11-15(값, Backdata 제공) / 2차평가(3분기말 재무자료) : 2024-12-16(최종평가값, Backdata 제공) / 보고서, MRC제공일 : 2024-12-23</v>
      </c>
      <c r="C422" s="56" t="str">
        <f>작성용!AK419</f>
        <v>개별종목</v>
      </c>
      <c r="D422" s="57">
        <f>작성용!T419</f>
        <v>45572</v>
      </c>
      <c r="E422" s="58" t="str">
        <f>작성용!B419</f>
        <v>고려아연</v>
      </c>
      <c r="F422" s="58" t="str">
        <f>작성용!C419</f>
        <v>재평가</v>
      </c>
      <c r="G422" s="58" t="str">
        <f>작성용!D419</f>
        <v>Swiftly Systems, Inc.</v>
      </c>
      <c r="H422" s="59" t="str">
        <f>작성용!E419</f>
        <v>KBP2023120054</v>
      </c>
      <c r="I422" s="58" t="str">
        <f>작성용!F419</f>
        <v>A05</v>
      </c>
      <c r="J422" s="58">
        <f>작성용!G419</f>
        <v>0</v>
      </c>
      <c r="K422" s="58" t="str">
        <f>작성용!H419</f>
        <v>-</v>
      </c>
      <c r="L422" s="58" t="str">
        <f>작성용!N419</f>
        <v>년</v>
      </c>
      <c r="M422" s="57" t="str">
        <f>작성용!U419</f>
        <v>2024.09.30</v>
      </c>
      <c r="N422" s="57">
        <f>작성용!V419</f>
        <v>45611</v>
      </c>
      <c r="O422" s="57">
        <f>작성용!W419</f>
        <v>45649</v>
      </c>
      <c r="P422" s="57" t="str">
        <f>작성용!X419</f>
        <v>-</v>
      </c>
      <c r="Q422" s="58" t="str">
        <f>작성용!AD419</f>
        <v>김예림</v>
      </c>
      <c r="R422" s="60">
        <f>작성용!AE419</f>
        <v>1.5</v>
      </c>
      <c r="S422" s="58" t="str">
        <f>작성용!AF419</f>
        <v>김예림</v>
      </c>
      <c r="T422" s="61" t="str">
        <f>작성용!AG419</f>
        <v>유재호</v>
      </c>
      <c r="U422" s="61" t="str">
        <f>작성용!AH419</f>
        <v>유재호</v>
      </c>
      <c r="V422" s="56">
        <f>작성용!AA419</f>
        <v>202411</v>
      </c>
      <c r="W422" s="58" t="str">
        <f>작성용!AC419</f>
        <v>[X]일반기업</v>
      </c>
      <c r="X422" s="58" t="str">
        <f>작성용!O419</f>
        <v>김영봉책임</v>
      </c>
      <c r="Y422" s="58" t="str">
        <f>작성용!P419</f>
        <v>02-6947-2406</v>
      </c>
      <c r="Z422" s="58" t="str">
        <f>작성용!Q419</f>
        <v>ybkim@koreazinc.co.kr</v>
      </c>
      <c r="AA422" s="56" t="str">
        <f>작성용!AJ419</f>
        <v xml:space="preserve">회계반영 </v>
      </c>
      <c r="AB422" s="56">
        <f>작성용!AB419</f>
        <v>0</v>
      </c>
    </row>
    <row r="423" spans="1:28" s="12" customFormat="1" ht="16.5" hidden="1" customHeight="1" x14ac:dyDescent="0.3">
      <c r="A423" s="54">
        <f>작성용!AL420</f>
        <v>419</v>
      </c>
      <c r="B423" s="55" t="str">
        <f>작성용!AI420</f>
        <v>MRC제공 / 1차평가(2분기말 재무자료) : 2024-11-15(값, Backdata 제공) / 2차평가(3분기말 재무자료) : 2024-12-16(최종평가값, Backdata 제공) / 보고서, MRC제공일 : 2024-12-23</v>
      </c>
      <c r="C423" s="56" t="str">
        <f>작성용!AK420</f>
        <v>개별종목</v>
      </c>
      <c r="D423" s="57">
        <f>작성용!T420</f>
        <v>45572</v>
      </c>
      <c r="E423" s="58" t="str">
        <f>작성용!B420</f>
        <v>고려아연</v>
      </c>
      <c r="F423" s="58" t="str">
        <f>작성용!C420</f>
        <v>재평가</v>
      </c>
      <c r="G423" s="58" t="str">
        <f>작성용!D420</f>
        <v>직방</v>
      </c>
      <c r="H423" s="59">
        <f>작성용!E420</f>
        <v>1101114475300</v>
      </c>
      <c r="I423" s="58" t="str">
        <f>작성용!F420</f>
        <v>A01</v>
      </c>
      <c r="J423" s="58">
        <f>작성용!G420</f>
        <v>0</v>
      </c>
      <c r="K423" s="58" t="str">
        <f>작성용!H420</f>
        <v>-</v>
      </c>
      <c r="L423" s="58" t="str">
        <f>작성용!N420</f>
        <v>년</v>
      </c>
      <c r="M423" s="57" t="str">
        <f>작성용!U420</f>
        <v>2024.09.30</v>
      </c>
      <c r="N423" s="57">
        <f>작성용!V420</f>
        <v>45611</v>
      </c>
      <c r="O423" s="57">
        <f>작성용!W420</f>
        <v>45649</v>
      </c>
      <c r="P423" s="57" t="str">
        <f>작성용!X420</f>
        <v>-</v>
      </c>
      <c r="Q423" s="58" t="str">
        <f>작성용!AD420</f>
        <v>조현우</v>
      </c>
      <c r="R423" s="60">
        <f>작성용!AE420</f>
        <v>2.5</v>
      </c>
      <c r="S423" s="58" t="str">
        <f>작성용!AF420</f>
        <v>조현우</v>
      </c>
      <c r="T423" s="61" t="str">
        <f>작성용!AG420</f>
        <v>유재호</v>
      </c>
      <c r="U423" s="61" t="str">
        <f>작성용!AH420</f>
        <v>유재호</v>
      </c>
      <c r="V423" s="56">
        <f>작성용!AA420</f>
        <v>202411</v>
      </c>
      <c r="W423" s="58" t="str">
        <f>작성용!AC420</f>
        <v>[X]일반기업</v>
      </c>
      <c r="X423" s="58" t="str">
        <f>작성용!O420</f>
        <v>김영봉책임</v>
      </c>
      <c r="Y423" s="58" t="str">
        <f>작성용!P420</f>
        <v>02-6947-2406</v>
      </c>
      <c r="Z423" s="58" t="str">
        <f>작성용!Q420</f>
        <v>ybkim@koreazinc.co.kr</v>
      </c>
      <c r="AA423" s="56" t="str">
        <f>작성용!AJ420</f>
        <v xml:space="preserve">회계반영 </v>
      </c>
      <c r="AB423" s="56">
        <f>작성용!AB420</f>
        <v>0</v>
      </c>
    </row>
    <row r="424" spans="1:28" s="12" customFormat="1" ht="16.5" hidden="1" customHeight="1" x14ac:dyDescent="0.3">
      <c r="A424" s="54">
        <f>작성용!AL421</f>
        <v>420</v>
      </c>
      <c r="B424" s="55" t="str">
        <f>작성용!AI421</f>
        <v>-</v>
      </c>
      <c r="C424" s="56" t="str">
        <f>작성용!AK421</f>
        <v>기초자산</v>
      </c>
      <c r="D424" s="57" t="str">
        <f>작성용!T421</f>
        <v>고려아연펀드(기초자산)</v>
      </c>
      <c r="E424" s="58" t="str">
        <f>작성용!B421</f>
        <v>디에스씨테크밸류업펀드2호</v>
      </c>
      <c r="F424" s="58" t="str">
        <f>작성용!C421</f>
        <v>재평가</v>
      </c>
      <c r="G424" s="58" t="str">
        <f>작성용!D421</f>
        <v>이뮤노바이옴</v>
      </c>
      <c r="H424" s="59">
        <f>작성용!E421</f>
        <v>1717110147784</v>
      </c>
      <c r="I424" s="58" t="str">
        <f>작성용!F421</f>
        <v>A07</v>
      </c>
      <c r="J424" s="58">
        <f>작성용!G421</f>
        <v>0</v>
      </c>
      <c r="K424" s="58" t="str">
        <f>작성용!H421</f>
        <v>-</v>
      </c>
      <c r="L424" s="58" t="str">
        <f>작성용!N421</f>
        <v>년</v>
      </c>
      <c r="M424" s="57" t="str">
        <f>작성용!U421</f>
        <v>2024.09.30</v>
      </c>
      <c r="N424" s="57">
        <f>작성용!V421</f>
        <v>45611</v>
      </c>
      <c r="O424" s="57" t="str">
        <f>작성용!W421</f>
        <v>보고서제공X</v>
      </c>
      <c r="P424" s="57" t="str">
        <f>작성용!X421</f>
        <v>-</v>
      </c>
      <c r="Q424" s="58" t="str">
        <f>작성용!AD421</f>
        <v>이현승</v>
      </c>
      <c r="R424" s="60">
        <f>작성용!AE421</f>
        <v>0</v>
      </c>
      <c r="S424" s="58" t="str">
        <f>작성용!AF421</f>
        <v>이현승</v>
      </c>
      <c r="T424" s="61" t="str">
        <f>작성용!AG421</f>
        <v>-</v>
      </c>
      <c r="U424" s="61" t="str">
        <f>작성용!AH421</f>
        <v>-</v>
      </c>
      <c r="V424" s="56">
        <f>작성용!AA421</f>
        <v>202411</v>
      </c>
      <c r="W424" s="58" t="str">
        <f>작성용!AC421</f>
        <v>[6]기타기관펀드(기초자산)</v>
      </c>
      <c r="X424" s="58">
        <f>작성용!O421</f>
        <v>0</v>
      </c>
      <c r="Y424" s="58">
        <f>작성용!P421</f>
        <v>0</v>
      </c>
      <c r="Z424" s="58">
        <f>작성용!Q421</f>
        <v>0</v>
      </c>
      <c r="AA424" s="56" t="str">
        <f>작성용!AJ421</f>
        <v>-</v>
      </c>
      <c r="AB424" s="56">
        <f>작성용!AB421</f>
        <v>0</v>
      </c>
    </row>
    <row r="425" spans="1:28" s="12" customFormat="1" ht="16.5" hidden="1" customHeight="1" x14ac:dyDescent="0.3">
      <c r="A425" s="54">
        <f>작성용!AL422</f>
        <v>421</v>
      </c>
      <c r="B425" s="55" t="str">
        <f>작성용!AI422</f>
        <v>-</v>
      </c>
      <c r="C425" s="56" t="str">
        <f>작성용!AK422</f>
        <v>기초자산</v>
      </c>
      <c r="D425" s="57" t="str">
        <f>작성용!T422</f>
        <v>고려아연펀드(기초자산)</v>
      </c>
      <c r="E425" s="58" t="str">
        <f>작성용!B422</f>
        <v>디에스씨테크밸류업펀드2호</v>
      </c>
      <c r="F425" s="58" t="str">
        <f>작성용!C422</f>
        <v>재평가</v>
      </c>
      <c r="G425" s="58" t="str">
        <f>작성용!D422</f>
        <v>GENOME INSIGHT, Inc.</v>
      </c>
      <c r="H425" s="59" t="str">
        <f>작성용!E422</f>
        <v>KBP2023120126</v>
      </c>
      <c r="I425" s="58" t="str">
        <f>작성용!F422</f>
        <v>A05</v>
      </c>
      <c r="J425" s="58">
        <f>작성용!G422</f>
        <v>0</v>
      </c>
      <c r="K425" s="58" t="str">
        <f>작성용!H422</f>
        <v>-</v>
      </c>
      <c r="L425" s="58" t="str">
        <f>작성용!N422</f>
        <v>년</v>
      </c>
      <c r="M425" s="57" t="str">
        <f>작성용!U422</f>
        <v>2024.09.30</v>
      </c>
      <c r="N425" s="57">
        <f>작성용!V422</f>
        <v>45611</v>
      </c>
      <c r="O425" s="57" t="str">
        <f>작성용!W422</f>
        <v>보고서제공X</v>
      </c>
      <c r="P425" s="57" t="str">
        <f>작성용!X422</f>
        <v>-</v>
      </c>
      <c r="Q425" s="58" t="str">
        <f>작성용!AD422</f>
        <v>오수현</v>
      </c>
      <c r="R425" s="60">
        <f>작성용!AE422</f>
        <v>0</v>
      </c>
      <c r="S425" s="58" t="str">
        <f>작성용!AF422</f>
        <v>오수현</v>
      </c>
      <c r="T425" s="61" t="str">
        <f>작성용!AG422</f>
        <v>-</v>
      </c>
      <c r="U425" s="61" t="str">
        <f>작성용!AH422</f>
        <v>-</v>
      </c>
      <c r="V425" s="56">
        <f>작성용!AA422</f>
        <v>202411</v>
      </c>
      <c r="W425" s="58" t="str">
        <f>작성용!AC422</f>
        <v>[6]기타기관펀드(기초자산)</v>
      </c>
      <c r="X425" s="58">
        <f>작성용!O422</f>
        <v>0</v>
      </c>
      <c r="Y425" s="58">
        <f>작성용!P422</f>
        <v>0</v>
      </c>
      <c r="Z425" s="58">
        <f>작성용!Q422</f>
        <v>0</v>
      </c>
      <c r="AA425" s="56" t="str">
        <f>작성용!AJ422</f>
        <v>-</v>
      </c>
      <c r="AB425" s="56">
        <f>작성용!AB422</f>
        <v>0</v>
      </c>
    </row>
    <row r="426" spans="1:28" s="12" customFormat="1" ht="16.5" hidden="1" customHeight="1" x14ac:dyDescent="0.3">
      <c r="A426" s="54">
        <f>작성용!AL423</f>
        <v>422</v>
      </c>
      <c r="B426" s="55" t="str">
        <f>작성용!AI423</f>
        <v>-</v>
      </c>
      <c r="C426" s="56" t="str">
        <f>작성용!AK423</f>
        <v>기초자산</v>
      </c>
      <c r="D426" s="57" t="str">
        <f>작성용!T423</f>
        <v>고려아연펀드(기초자산)</v>
      </c>
      <c r="E426" s="58" t="str">
        <f>작성용!B423</f>
        <v>디에스씨테크밸류업펀드2호</v>
      </c>
      <c r="F426" s="58" t="str">
        <f>작성용!C423</f>
        <v>재평가</v>
      </c>
      <c r="G426" s="58" t="str">
        <f>작성용!D423</f>
        <v>Cardiac Insight, Inc.</v>
      </c>
      <c r="H426" s="59" t="str">
        <f>작성용!E423</f>
        <v>KBP2020090018</v>
      </c>
      <c r="I426" s="58" t="str">
        <f>작성용!F423</f>
        <v>A05</v>
      </c>
      <c r="J426" s="58">
        <f>작성용!G423</f>
        <v>0</v>
      </c>
      <c r="K426" s="58" t="str">
        <f>작성용!H423</f>
        <v>-</v>
      </c>
      <c r="L426" s="58" t="str">
        <f>작성용!N423</f>
        <v>년</v>
      </c>
      <c r="M426" s="57" t="str">
        <f>작성용!U423</f>
        <v>2024.09.30</v>
      </c>
      <c r="N426" s="57">
        <f>작성용!V423</f>
        <v>45611</v>
      </c>
      <c r="O426" s="57" t="str">
        <f>작성용!W423</f>
        <v>보고서제공X</v>
      </c>
      <c r="P426" s="57" t="str">
        <f>작성용!X423</f>
        <v>-</v>
      </c>
      <c r="Q426" s="58" t="str">
        <f>작성용!AD423</f>
        <v>정은채</v>
      </c>
      <c r="R426" s="60">
        <f>작성용!AE423</f>
        <v>0</v>
      </c>
      <c r="S426" s="58" t="str">
        <f>작성용!AF423</f>
        <v>정은채</v>
      </c>
      <c r="T426" s="61" t="str">
        <f>작성용!AG423</f>
        <v>-</v>
      </c>
      <c r="U426" s="61" t="str">
        <f>작성용!AH423</f>
        <v>-</v>
      </c>
      <c r="V426" s="56">
        <f>작성용!AA423</f>
        <v>202411</v>
      </c>
      <c r="W426" s="58" t="str">
        <f>작성용!AC423</f>
        <v>[6]기타기관펀드(기초자산)</v>
      </c>
      <c r="X426" s="58">
        <f>작성용!O423</f>
        <v>0</v>
      </c>
      <c r="Y426" s="58">
        <f>작성용!P423</f>
        <v>0</v>
      </c>
      <c r="Z426" s="58">
        <f>작성용!Q423</f>
        <v>0</v>
      </c>
      <c r="AA426" s="56" t="str">
        <f>작성용!AJ423</f>
        <v>-</v>
      </c>
      <c r="AB426" s="56">
        <f>작성용!AB423</f>
        <v>0</v>
      </c>
    </row>
    <row r="427" spans="1:28" s="12" customFormat="1" ht="16.5" hidden="1" customHeight="1" x14ac:dyDescent="0.3">
      <c r="A427" s="54">
        <f>작성용!AL424</f>
        <v>423</v>
      </c>
      <c r="B427" s="55" t="str">
        <f>작성용!AI424</f>
        <v>-</v>
      </c>
      <c r="C427" s="56" t="str">
        <f>작성용!AK424</f>
        <v>기초자산</v>
      </c>
      <c r="D427" s="57" t="str">
        <f>작성용!T424</f>
        <v>고려아연펀드(기초자산)</v>
      </c>
      <c r="E427" s="58" t="str">
        <f>작성용!B424</f>
        <v>디에스씨테크밸류업펀드2호</v>
      </c>
      <c r="F427" s="58" t="str">
        <f>작성용!C424</f>
        <v>재평가</v>
      </c>
      <c r="G427" s="58" t="str">
        <f>작성용!D424</f>
        <v>Nucleix Ltd.</v>
      </c>
      <c r="H427" s="59" t="str">
        <f>작성용!E424</f>
        <v>KBP2019120306</v>
      </c>
      <c r="I427" s="58" t="str">
        <f>작성용!F424</f>
        <v>A05</v>
      </c>
      <c r="J427" s="58">
        <f>작성용!G424</f>
        <v>0</v>
      </c>
      <c r="K427" s="58" t="str">
        <f>작성용!H424</f>
        <v>-</v>
      </c>
      <c r="L427" s="58" t="str">
        <f>작성용!N424</f>
        <v>년</v>
      </c>
      <c r="M427" s="57" t="str">
        <f>작성용!U424</f>
        <v>2024.09.30</v>
      </c>
      <c r="N427" s="57">
        <f>작성용!V424</f>
        <v>45611</v>
      </c>
      <c r="O427" s="57" t="str">
        <f>작성용!W424</f>
        <v>보고서제공X</v>
      </c>
      <c r="P427" s="57" t="str">
        <f>작성용!X424</f>
        <v>-</v>
      </c>
      <c r="Q427" s="58" t="str">
        <f>작성용!AD424</f>
        <v>조현우</v>
      </c>
      <c r="R427" s="60">
        <f>작성용!AE424</f>
        <v>0</v>
      </c>
      <c r="S427" s="58" t="str">
        <f>작성용!AF424</f>
        <v>조현우</v>
      </c>
      <c r="T427" s="61" t="str">
        <f>작성용!AG424</f>
        <v>-</v>
      </c>
      <c r="U427" s="61" t="str">
        <f>작성용!AH424</f>
        <v>-</v>
      </c>
      <c r="V427" s="56">
        <f>작성용!AA424</f>
        <v>202411</v>
      </c>
      <c r="W427" s="58" t="str">
        <f>작성용!AC424</f>
        <v>[6]기타기관펀드(기초자산)</v>
      </c>
      <c r="X427" s="58">
        <f>작성용!O424</f>
        <v>0</v>
      </c>
      <c r="Y427" s="58">
        <f>작성용!P424</f>
        <v>0</v>
      </c>
      <c r="Z427" s="58">
        <f>작성용!Q424</f>
        <v>0</v>
      </c>
      <c r="AA427" s="56" t="str">
        <f>작성용!AJ424</f>
        <v>-</v>
      </c>
      <c r="AB427" s="56">
        <f>작성용!AB424</f>
        <v>0</v>
      </c>
    </row>
    <row r="428" spans="1:28" s="12" customFormat="1" ht="16.5" hidden="1" customHeight="1" x14ac:dyDescent="0.3">
      <c r="A428" s="54">
        <f>작성용!AL425</f>
        <v>424</v>
      </c>
      <c r="B428" s="55" t="str">
        <f>작성용!AI425</f>
        <v>-</v>
      </c>
      <c r="C428" s="56" t="str">
        <f>작성용!AK425</f>
        <v>기초자산</v>
      </c>
      <c r="D428" s="57" t="str">
        <f>작성용!T425</f>
        <v>고려아연펀드(기초자산)</v>
      </c>
      <c r="E428" s="58" t="str">
        <f>작성용!B425</f>
        <v>디에스씨테크밸류업펀드2호</v>
      </c>
      <c r="F428" s="58" t="str">
        <f>작성용!C425</f>
        <v>재평가</v>
      </c>
      <c r="G428" s="58" t="str">
        <f>작성용!D425</f>
        <v>Nucleix Ltd.</v>
      </c>
      <c r="H428" s="59" t="str">
        <f>작성용!E425</f>
        <v>KBP2019120306</v>
      </c>
      <c r="I428" s="58" t="str">
        <f>작성용!F425</f>
        <v>A05</v>
      </c>
      <c r="J428" s="58">
        <f>작성용!G425</f>
        <v>1</v>
      </c>
      <c r="K428" s="58" t="str">
        <f>작성용!H425</f>
        <v>-</v>
      </c>
      <c r="L428" s="58" t="str">
        <f>작성용!N425</f>
        <v>년</v>
      </c>
      <c r="M428" s="57" t="str">
        <f>작성용!U425</f>
        <v>2024.09.30</v>
      </c>
      <c r="N428" s="57">
        <f>작성용!V425</f>
        <v>45611</v>
      </c>
      <c r="O428" s="57" t="str">
        <f>작성용!W425</f>
        <v>보고서제공X</v>
      </c>
      <c r="P428" s="57" t="str">
        <f>작성용!X425</f>
        <v>-</v>
      </c>
      <c r="Q428" s="58" t="str">
        <f>작성용!AD425</f>
        <v>조현우</v>
      </c>
      <c r="R428" s="60">
        <f>작성용!AE425</f>
        <v>0</v>
      </c>
      <c r="S428" s="58" t="str">
        <f>작성용!AF425</f>
        <v>조현우</v>
      </c>
      <c r="T428" s="61" t="str">
        <f>작성용!AG425</f>
        <v>-</v>
      </c>
      <c r="U428" s="61" t="str">
        <f>작성용!AH425</f>
        <v>-</v>
      </c>
      <c r="V428" s="56">
        <f>작성용!AA425</f>
        <v>202411</v>
      </c>
      <c r="W428" s="58" t="str">
        <f>작성용!AC425</f>
        <v>[6]기타기관펀드(기초자산)</v>
      </c>
      <c r="X428" s="58">
        <f>작성용!O425</f>
        <v>0</v>
      </c>
      <c r="Y428" s="58">
        <f>작성용!P425</f>
        <v>0</v>
      </c>
      <c r="Z428" s="58">
        <f>작성용!Q425</f>
        <v>0</v>
      </c>
      <c r="AA428" s="56" t="str">
        <f>작성용!AJ425</f>
        <v>-</v>
      </c>
      <c r="AB428" s="56">
        <f>작성용!AB425</f>
        <v>0</v>
      </c>
    </row>
    <row r="429" spans="1:28" s="12" customFormat="1" ht="16.5" hidden="1" customHeight="1" x14ac:dyDescent="0.3">
      <c r="A429" s="54">
        <f>작성용!AL426</f>
        <v>425</v>
      </c>
      <c r="B429" s="55" t="str">
        <f>작성용!AI426</f>
        <v>-</v>
      </c>
      <c r="C429" s="56" t="str">
        <f>작성용!AK426</f>
        <v>기초자산</v>
      </c>
      <c r="D429" s="57" t="str">
        <f>작성용!T426</f>
        <v>고려아연펀드(기초자산)</v>
      </c>
      <c r="E429" s="58" t="str">
        <f>작성용!B426</f>
        <v>디에스씨테크밸류업펀드2호</v>
      </c>
      <c r="F429" s="58" t="str">
        <f>작성용!C426</f>
        <v>재평가</v>
      </c>
      <c r="G429" s="58" t="str">
        <f>작성용!D426</f>
        <v>하플사이언스</v>
      </c>
      <c r="H429" s="59">
        <f>작성용!E426</f>
        <v>1311110537282</v>
      </c>
      <c r="I429" s="58" t="str">
        <f>작성용!F426</f>
        <v>A07</v>
      </c>
      <c r="J429" s="58">
        <f>작성용!G426</f>
        <v>0</v>
      </c>
      <c r="K429" s="58" t="str">
        <f>작성용!H426</f>
        <v>-</v>
      </c>
      <c r="L429" s="58" t="str">
        <f>작성용!N426</f>
        <v>년</v>
      </c>
      <c r="M429" s="57" t="str">
        <f>작성용!U426</f>
        <v>2024.09.30</v>
      </c>
      <c r="N429" s="57">
        <f>작성용!V426</f>
        <v>45611</v>
      </c>
      <c r="O429" s="57" t="str">
        <f>작성용!W426</f>
        <v>보고서제공X</v>
      </c>
      <c r="P429" s="57" t="str">
        <f>작성용!X426</f>
        <v>-</v>
      </c>
      <c r="Q429" s="58" t="str">
        <f>작성용!AD426</f>
        <v>오수현</v>
      </c>
      <c r="R429" s="60">
        <f>작성용!AE426</f>
        <v>0.6</v>
      </c>
      <c r="S429" s="58" t="str">
        <f>작성용!AF426</f>
        <v>오수현</v>
      </c>
      <c r="T429" s="61" t="str">
        <f>작성용!AG426</f>
        <v>-</v>
      </c>
      <c r="U429" s="61" t="str">
        <f>작성용!AH426</f>
        <v>-</v>
      </c>
      <c r="V429" s="56">
        <f>작성용!AA426</f>
        <v>202411</v>
      </c>
      <c r="W429" s="58" t="str">
        <f>작성용!AC426</f>
        <v>[6]기타기관펀드(기초자산)</v>
      </c>
      <c r="X429" s="58">
        <f>작성용!O426</f>
        <v>0</v>
      </c>
      <c r="Y429" s="58">
        <f>작성용!P426</f>
        <v>0</v>
      </c>
      <c r="Z429" s="58">
        <f>작성용!Q426</f>
        <v>0</v>
      </c>
      <c r="AA429" s="56" t="str">
        <f>작성용!AJ426</f>
        <v>-</v>
      </c>
      <c r="AB429" s="56">
        <f>작성용!AB426</f>
        <v>0</v>
      </c>
    </row>
    <row r="430" spans="1:28" s="12" customFormat="1" ht="16.5" hidden="1" customHeight="1" x14ac:dyDescent="0.3">
      <c r="A430" s="54">
        <f>작성용!AL427</f>
        <v>426</v>
      </c>
      <c r="B430" s="55" t="str">
        <f>작성용!AI427</f>
        <v>-</v>
      </c>
      <c r="C430" s="56" t="str">
        <f>작성용!AK427</f>
        <v>기초자산</v>
      </c>
      <c r="D430" s="57" t="str">
        <f>작성용!T427</f>
        <v>고려아연펀드(기초자산)</v>
      </c>
      <c r="E430" s="58" t="str">
        <f>작성용!B427</f>
        <v>디에스씨테크밸류업펀드2호</v>
      </c>
      <c r="F430" s="58" t="str">
        <f>작성용!C427</f>
        <v>재평가</v>
      </c>
      <c r="G430" s="58" t="str">
        <f>작성용!D427</f>
        <v>메디스팬</v>
      </c>
      <c r="H430" s="59">
        <f>작성용!E427</f>
        <v>1311110585009</v>
      </c>
      <c r="I430" s="58" t="str">
        <f>작성용!F427</f>
        <v>A07</v>
      </c>
      <c r="J430" s="58">
        <f>작성용!G427</f>
        <v>0</v>
      </c>
      <c r="K430" s="58" t="str">
        <f>작성용!H427</f>
        <v>-</v>
      </c>
      <c r="L430" s="58" t="str">
        <f>작성용!N427</f>
        <v>년</v>
      </c>
      <c r="M430" s="57" t="str">
        <f>작성용!U427</f>
        <v>2024.09.30</v>
      </c>
      <c r="N430" s="57">
        <f>작성용!V427</f>
        <v>45611</v>
      </c>
      <c r="O430" s="57" t="str">
        <f>작성용!W427</f>
        <v>보고서제공X</v>
      </c>
      <c r="P430" s="57" t="str">
        <f>작성용!X427</f>
        <v>-</v>
      </c>
      <c r="Q430" s="58" t="str">
        <f>작성용!AD427</f>
        <v>채동우</v>
      </c>
      <c r="R430" s="60">
        <f>작성용!AE427</f>
        <v>0</v>
      </c>
      <c r="S430" s="58" t="str">
        <f>작성용!AF427</f>
        <v>고명주</v>
      </c>
      <c r="T430" s="61" t="str">
        <f>작성용!AG427</f>
        <v>-</v>
      </c>
      <c r="U430" s="61" t="str">
        <f>작성용!AH427</f>
        <v>-</v>
      </c>
      <c r="V430" s="56">
        <f>작성용!AA427</f>
        <v>202411</v>
      </c>
      <c r="W430" s="58" t="str">
        <f>작성용!AC427</f>
        <v>[6]기타기관펀드(기초자산)</v>
      </c>
      <c r="X430" s="58">
        <f>작성용!O427</f>
        <v>0</v>
      </c>
      <c r="Y430" s="58">
        <f>작성용!P427</f>
        <v>0</v>
      </c>
      <c r="Z430" s="58">
        <f>작성용!Q427</f>
        <v>0</v>
      </c>
      <c r="AA430" s="56" t="str">
        <f>작성용!AJ427</f>
        <v>-</v>
      </c>
      <c r="AB430" s="56">
        <f>작성용!AB427</f>
        <v>0</v>
      </c>
    </row>
    <row r="431" spans="1:28" s="12" customFormat="1" ht="16.5" hidden="1" customHeight="1" x14ac:dyDescent="0.3">
      <c r="A431" s="54">
        <f>작성용!AL428</f>
        <v>427</v>
      </c>
      <c r="B431" s="55" t="str">
        <f>작성용!AI428</f>
        <v>-</v>
      </c>
      <c r="C431" s="56" t="str">
        <f>작성용!AK428</f>
        <v>기초자산</v>
      </c>
      <c r="D431" s="57" t="str">
        <f>작성용!T428</f>
        <v>고려아연펀드(기초자산)</v>
      </c>
      <c r="E431" s="58" t="str">
        <f>작성용!B428</f>
        <v>디에스씨테크밸류업펀드2호</v>
      </c>
      <c r="F431" s="58" t="str">
        <f>작성용!C428</f>
        <v>재평가</v>
      </c>
      <c r="G431" s="58" t="str">
        <f>작성용!D428</f>
        <v>두나무</v>
      </c>
      <c r="H431" s="59">
        <f>작성용!E428</f>
        <v>1101114834853</v>
      </c>
      <c r="I431" s="58" t="str">
        <f>작성용!F428</f>
        <v>A01</v>
      </c>
      <c r="J431" s="58">
        <f>작성용!G428</f>
        <v>0</v>
      </c>
      <c r="K431" s="58" t="str">
        <f>작성용!H428</f>
        <v>-</v>
      </c>
      <c r="L431" s="58" t="str">
        <f>작성용!N428</f>
        <v>년</v>
      </c>
      <c r="M431" s="57" t="str">
        <f>작성용!U428</f>
        <v>2024.09.30</v>
      </c>
      <c r="N431" s="57">
        <f>작성용!V428</f>
        <v>45611</v>
      </c>
      <c r="O431" s="57" t="str">
        <f>작성용!W428</f>
        <v>보고서제공X</v>
      </c>
      <c r="P431" s="57" t="str">
        <f>작성용!X428</f>
        <v>-</v>
      </c>
      <c r="Q431" s="58" t="str">
        <f>작성용!AD428</f>
        <v>김수현</v>
      </c>
      <c r="R431" s="60">
        <f>작성용!AE428</f>
        <v>0</v>
      </c>
      <c r="S431" s="58" t="str">
        <f>작성용!AF428</f>
        <v>김수현</v>
      </c>
      <c r="T431" s="61" t="str">
        <f>작성용!AG428</f>
        <v>-</v>
      </c>
      <c r="U431" s="61" t="str">
        <f>작성용!AH428</f>
        <v>-</v>
      </c>
      <c r="V431" s="56">
        <f>작성용!AA428</f>
        <v>202411</v>
      </c>
      <c r="W431" s="58" t="str">
        <f>작성용!AC428</f>
        <v>[6]기타기관펀드(기초자산)</v>
      </c>
      <c r="X431" s="58">
        <f>작성용!O428</f>
        <v>0</v>
      </c>
      <c r="Y431" s="58">
        <f>작성용!P428</f>
        <v>0</v>
      </c>
      <c r="Z431" s="58">
        <f>작성용!Q428</f>
        <v>0</v>
      </c>
      <c r="AA431" s="56" t="str">
        <f>작성용!AJ428</f>
        <v>-</v>
      </c>
      <c r="AB431" s="56">
        <f>작성용!AB428</f>
        <v>0</v>
      </c>
    </row>
    <row r="432" spans="1:28" s="12" customFormat="1" ht="16.5" hidden="1" customHeight="1" x14ac:dyDescent="0.3">
      <c r="A432" s="54">
        <f>작성용!AL429</f>
        <v>428</v>
      </c>
      <c r="B432" s="55" t="str">
        <f>작성용!AI429</f>
        <v>-</v>
      </c>
      <c r="C432" s="56" t="str">
        <f>작성용!AK429</f>
        <v>기초자산</v>
      </c>
      <c r="D432" s="57" t="str">
        <f>작성용!T429</f>
        <v>고려아연펀드(기초자산)</v>
      </c>
      <c r="E432" s="58" t="str">
        <f>작성용!B429</f>
        <v>디에스씨테크밸류업펀드2호</v>
      </c>
      <c r="F432" s="58" t="str">
        <f>작성용!C429</f>
        <v>재평가</v>
      </c>
      <c r="G432" s="58" t="str">
        <f>작성용!D429</f>
        <v>네오젠티씨</v>
      </c>
      <c r="H432" s="59">
        <f>작성용!E429</f>
        <v>1101117385332</v>
      </c>
      <c r="I432" s="58" t="str">
        <f>작성용!F429</f>
        <v>A07</v>
      </c>
      <c r="J432" s="58">
        <f>작성용!G429</f>
        <v>0</v>
      </c>
      <c r="K432" s="58" t="str">
        <f>작성용!H429</f>
        <v>-</v>
      </c>
      <c r="L432" s="58" t="str">
        <f>작성용!N429</f>
        <v>년</v>
      </c>
      <c r="M432" s="57" t="str">
        <f>작성용!U429</f>
        <v>2024.09.30</v>
      </c>
      <c r="N432" s="57">
        <f>작성용!V429</f>
        <v>45611</v>
      </c>
      <c r="O432" s="57" t="str">
        <f>작성용!W429</f>
        <v>보고서제공X</v>
      </c>
      <c r="P432" s="57" t="str">
        <f>작성용!X429</f>
        <v>-</v>
      </c>
      <c r="Q432" s="58" t="str">
        <f>작성용!AD429</f>
        <v>김수현</v>
      </c>
      <c r="R432" s="60">
        <f>작성용!AE429</f>
        <v>0</v>
      </c>
      <c r="S432" s="58" t="str">
        <f>작성용!AF429</f>
        <v>김수현</v>
      </c>
      <c r="T432" s="61" t="str">
        <f>작성용!AG429</f>
        <v>-</v>
      </c>
      <c r="U432" s="61" t="str">
        <f>작성용!AH429</f>
        <v>-</v>
      </c>
      <c r="V432" s="56">
        <f>작성용!AA429</f>
        <v>202411</v>
      </c>
      <c r="W432" s="58" t="str">
        <f>작성용!AC429</f>
        <v>[6]기타기관펀드(기초자산)</v>
      </c>
      <c r="X432" s="58">
        <f>작성용!O429</f>
        <v>0</v>
      </c>
      <c r="Y432" s="58">
        <f>작성용!P429</f>
        <v>0</v>
      </c>
      <c r="Z432" s="58">
        <f>작성용!Q429</f>
        <v>0</v>
      </c>
      <c r="AA432" s="56" t="str">
        <f>작성용!AJ429</f>
        <v>-</v>
      </c>
      <c r="AB432" s="56">
        <f>작성용!AB429</f>
        <v>0</v>
      </c>
    </row>
    <row r="433" spans="1:28" s="12" customFormat="1" ht="16.5" hidden="1" customHeight="1" x14ac:dyDescent="0.3">
      <c r="A433" s="54">
        <f>작성용!AL430</f>
        <v>429</v>
      </c>
      <c r="B433" s="55" t="str">
        <f>작성용!AI430</f>
        <v>-</v>
      </c>
      <c r="C433" s="56" t="str">
        <f>작성용!AK430</f>
        <v>기초자산</v>
      </c>
      <c r="D433" s="57" t="str">
        <f>작성용!T430</f>
        <v>고려아연펀드(기초자산)</v>
      </c>
      <c r="E433" s="58" t="str">
        <f>작성용!B430</f>
        <v>디에스씨테크밸류업펀드2호</v>
      </c>
      <c r="F433" s="58" t="str">
        <f>작성용!C430</f>
        <v>재평가</v>
      </c>
      <c r="G433" s="58" t="str">
        <f>작성용!D430</f>
        <v>퓨리오사에이아이</v>
      </c>
      <c r="H433" s="59">
        <f>작성용!E430</f>
        <v>1358110313494</v>
      </c>
      <c r="I433" s="58" t="str">
        <f>작성용!F430</f>
        <v>A07</v>
      </c>
      <c r="J433" s="58">
        <f>작성용!G430</f>
        <v>0</v>
      </c>
      <c r="K433" s="58" t="str">
        <f>작성용!H430</f>
        <v>-</v>
      </c>
      <c r="L433" s="58" t="str">
        <f>작성용!N430</f>
        <v>년</v>
      </c>
      <c r="M433" s="57" t="str">
        <f>작성용!U430</f>
        <v>2024.09.30</v>
      </c>
      <c r="N433" s="57">
        <f>작성용!V430</f>
        <v>45611</v>
      </c>
      <c r="O433" s="57" t="str">
        <f>작성용!W430</f>
        <v>보고서제공X</v>
      </c>
      <c r="P433" s="57" t="str">
        <f>작성용!X430</f>
        <v>-</v>
      </c>
      <c r="Q433" s="58" t="str">
        <f>작성용!AD430</f>
        <v>강승현</v>
      </c>
      <c r="R433" s="60">
        <f>작성용!AE430</f>
        <v>0.6</v>
      </c>
      <c r="S433" s="58" t="str">
        <f>작성용!AF430</f>
        <v>강승현</v>
      </c>
      <c r="T433" s="61" t="str">
        <f>작성용!AG430</f>
        <v>-</v>
      </c>
      <c r="U433" s="61" t="str">
        <f>작성용!AH430</f>
        <v>-</v>
      </c>
      <c r="V433" s="56">
        <f>작성용!AA430</f>
        <v>202411</v>
      </c>
      <c r="W433" s="58" t="str">
        <f>작성용!AC430</f>
        <v>[6]기타기관펀드(기초자산)</v>
      </c>
      <c r="X433" s="58">
        <f>작성용!O430</f>
        <v>0</v>
      </c>
      <c r="Y433" s="58">
        <f>작성용!P430</f>
        <v>0</v>
      </c>
      <c r="Z433" s="58">
        <f>작성용!Q430</f>
        <v>0</v>
      </c>
      <c r="AA433" s="56" t="str">
        <f>작성용!AJ430</f>
        <v>-</v>
      </c>
      <c r="AB433" s="56">
        <f>작성용!AB430</f>
        <v>0</v>
      </c>
    </row>
    <row r="434" spans="1:28" s="12" customFormat="1" ht="16.5" hidden="1" customHeight="1" x14ac:dyDescent="0.3">
      <c r="A434" s="54">
        <f>작성용!AL431</f>
        <v>430</v>
      </c>
      <c r="B434" s="55" t="str">
        <f>작성용!AI431</f>
        <v>-</v>
      </c>
      <c r="C434" s="56" t="str">
        <f>작성용!AK431</f>
        <v>기초자산</v>
      </c>
      <c r="D434" s="57" t="str">
        <f>작성용!T431</f>
        <v>고려아연펀드(기초자산)</v>
      </c>
      <c r="E434" s="58" t="str">
        <f>작성용!B431</f>
        <v>디에스씨테크밸류업펀드2호</v>
      </c>
      <c r="F434" s="58" t="str">
        <f>작성용!C431</f>
        <v>재평가</v>
      </c>
      <c r="G434" s="58" t="str">
        <f>작성용!D431</f>
        <v>팀프레시</v>
      </c>
      <c r="H434" s="59">
        <f>작성용!E431</f>
        <v>1101116761096</v>
      </c>
      <c r="I434" s="58" t="str">
        <f>작성용!F431</f>
        <v>A01</v>
      </c>
      <c r="J434" s="58">
        <f>작성용!G431</f>
        <v>0</v>
      </c>
      <c r="K434" s="58" t="str">
        <f>작성용!H431</f>
        <v>-</v>
      </c>
      <c r="L434" s="58" t="str">
        <f>작성용!N431</f>
        <v>년</v>
      </c>
      <c r="M434" s="57" t="str">
        <f>작성용!U431</f>
        <v>2024.09.30</v>
      </c>
      <c r="N434" s="57">
        <f>작성용!V431</f>
        <v>45611</v>
      </c>
      <c r="O434" s="57" t="str">
        <f>작성용!W431</f>
        <v>보고서제공X</v>
      </c>
      <c r="P434" s="57" t="str">
        <f>작성용!X431</f>
        <v>-</v>
      </c>
      <c r="Q434" s="58" t="str">
        <f>작성용!AD431</f>
        <v>최수민</v>
      </c>
      <c r="R434" s="60">
        <f>작성용!AE431</f>
        <v>0</v>
      </c>
      <c r="S434" s="58" t="str">
        <f>작성용!AF431</f>
        <v>변혜진</v>
      </c>
      <c r="T434" s="61" t="str">
        <f>작성용!AG431</f>
        <v>-</v>
      </c>
      <c r="U434" s="61" t="str">
        <f>작성용!AH431</f>
        <v>-</v>
      </c>
      <c r="V434" s="56">
        <f>작성용!AA431</f>
        <v>202411</v>
      </c>
      <c r="W434" s="58" t="str">
        <f>작성용!AC431</f>
        <v>[6]기타기관펀드(기초자산)</v>
      </c>
      <c r="X434" s="58">
        <f>작성용!O431</f>
        <v>0</v>
      </c>
      <c r="Y434" s="58">
        <f>작성용!P431</f>
        <v>0</v>
      </c>
      <c r="Z434" s="58">
        <f>작성용!Q431</f>
        <v>0</v>
      </c>
      <c r="AA434" s="56" t="str">
        <f>작성용!AJ431</f>
        <v>-</v>
      </c>
      <c r="AB434" s="56">
        <f>작성용!AB431</f>
        <v>0</v>
      </c>
    </row>
    <row r="435" spans="1:28" s="12" customFormat="1" ht="16.5" hidden="1" customHeight="1" x14ac:dyDescent="0.3">
      <c r="A435" s="54">
        <f>작성용!AL432</f>
        <v>431</v>
      </c>
      <c r="B435" s="55" t="str">
        <f>작성용!AI432</f>
        <v>-</v>
      </c>
      <c r="C435" s="56" t="str">
        <f>작성용!AK432</f>
        <v>기초자산</v>
      </c>
      <c r="D435" s="57" t="str">
        <f>작성용!T432</f>
        <v>고려아연펀드(기초자산)</v>
      </c>
      <c r="E435" s="58" t="str">
        <f>작성용!B432</f>
        <v>디에스씨테크밸류업펀드2호</v>
      </c>
      <c r="F435" s="58" t="str">
        <f>작성용!C432</f>
        <v>재평가</v>
      </c>
      <c r="G435" s="58" t="str">
        <f>작성용!D432</f>
        <v>고피자</v>
      </c>
      <c r="H435" s="59">
        <f>작성용!E432</f>
        <v>1101116498730</v>
      </c>
      <c r="I435" s="58" t="str">
        <f>작성용!F432</f>
        <v>A01</v>
      </c>
      <c r="J435" s="58">
        <f>작성용!G432</f>
        <v>0</v>
      </c>
      <c r="K435" s="58" t="str">
        <f>작성용!H432</f>
        <v>-</v>
      </c>
      <c r="L435" s="58" t="str">
        <f>작성용!N432</f>
        <v>년</v>
      </c>
      <c r="M435" s="57" t="str">
        <f>작성용!U432</f>
        <v>2024.09.30</v>
      </c>
      <c r="N435" s="57">
        <f>작성용!V432</f>
        <v>45611</v>
      </c>
      <c r="O435" s="57" t="str">
        <f>작성용!W432</f>
        <v>보고서제공X</v>
      </c>
      <c r="P435" s="57" t="str">
        <f>작성용!X432</f>
        <v>-</v>
      </c>
      <c r="Q435" s="58" t="str">
        <f>작성용!AD432</f>
        <v>강승현</v>
      </c>
      <c r="R435" s="60">
        <f>작성용!AE432</f>
        <v>0.6</v>
      </c>
      <c r="S435" s="58" t="str">
        <f>작성용!AF432</f>
        <v>강승현</v>
      </c>
      <c r="T435" s="61" t="str">
        <f>작성용!AG432</f>
        <v>-</v>
      </c>
      <c r="U435" s="61" t="str">
        <f>작성용!AH432</f>
        <v>-</v>
      </c>
      <c r="V435" s="56">
        <f>작성용!AA432</f>
        <v>202411</v>
      </c>
      <c r="W435" s="58" t="str">
        <f>작성용!AC432</f>
        <v>[6]기타기관펀드(기초자산)</v>
      </c>
      <c r="X435" s="58">
        <f>작성용!O432</f>
        <v>0</v>
      </c>
      <c r="Y435" s="58">
        <f>작성용!P432</f>
        <v>0</v>
      </c>
      <c r="Z435" s="58">
        <f>작성용!Q432</f>
        <v>0</v>
      </c>
      <c r="AA435" s="56" t="str">
        <f>작성용!AJ432</f>
        <v>-</v>
      </c>
      <c r="AB435" s="56">
        <f>작성용!AB432</f>
        <v>0</v>
      </c>
    </row>
    <row r="436" spans="1:28" s="12" customFormat="1" ht="16.5" hidden="1" customHeight="1" x14ac:dyDescent="0.3">
      <c r="A436" s="54">
        <f>작성용!AL433</f>
        <v>432</v>
      </c>
      <c r="B436" s="55" t="str">
        <f>작성용!AI433</f>
        <v>-</v>
      </c>
      <c r="C436" s="56" t="str">
        <f>작성용!AK433</f>
        <v>기초자산</v>
      </c>
      <c r="D436" s="57" t="str">
        <f>작성용!T433</f>
        <v>고려아연펀드(기초자산)</v>
      </c>
      <c r="E436" s="58" t="str">
        <f>작성용!B433</f>
        <v>디에스씨테크밸류업펀드2호</v>
      </c>
      <c r="F436" s="58" t="str">
        <f>작성용!C433</f>
        <v>재평가</v>
      </c>
      <c r="G436" s="58" t="str">
        <f>작성용!D433</f>
        <v>고피자</v>
      </c>
      <c r="H436" s="59">
        <f>작성용!E433</f>
        <v>1101116498730</v>
      </c>
      <c r="I436" s="58" t="str">
        <f>작성용!F433</f>
        <v>A05</v>
      </c>
      <c r="J436" s="58">
        <f>작성용!G433</f>
        <v>0</v>
      </c>
      <c r="K436" s="58" t="str">
        <f>작성용!H433</f>
        <v>-</v>
      </c>
      <c r="L436" s="58" t="str">
        <f>작성용!N433</f>
        <v>년</v>
      </c>
      <c r="M436" s="57" t="str">
        <f>작성용!U433</f>
        <v>2024.09.30</v>
      </c>
      <c r="N436" s="57">
        <f>작성용!V433</f>
        <v>45611</v>
      </c>
      <c r="O436" s="57" t="str">
        <f>작성용!W433</f>
        <v>보고서제공X</v>
      </c>
      <c r="P436" s="57" t="str">
        <f>작성용!X433</f>
        <v>-</v>
      </c>
      <c r="Q436" s="58" t="str">
        <f>작성용!AD433</f>
        <v>강승현</v>
      </c>
      <c r="R436" s="60">
        <f>작성용!AE433</f>
        <v>0</v>
      </c>
      <c r="S436" s="58" t="str">
        <f>작성용!AF433</f>
        <v>강승현</v>
      </c>
      <c r="T436" s="61" t="str">
        <f>작성용!AG433</f>
        <v>-</v>
      </c>
      <c r="U436" s="61" t="str">
        <f>작성용!AH433</f>
        <v>-</v>
      </c>
      <c r="V436" s="56">
        <f>작성용!AA433</f>
        <v>202411</v>
      </c>
      <c r="W436" s="58" t="str">
        <f>작성용!AC433</f>
        <v>[6]기타기관펀드(기초자산)</v>
      </c>
      <c r="X436" s="58">
        <f>작성용!O433</f>
        <v>0</v>
      </c>
      <c r="Y436" s="58">
        <f>작성용!P433</f>
        <v>0</v>
      </c>
      <c r="Z436" s="58">
        <f>작성용!Q433</f>
        <v>0</v>
      </c>
      <c r="AA436" s="56" t="str">
        <f>작성용!AJ433</f>
        <v>-</v>
      </c>
      <c r="AB436" s="56">
        <f>작성용!AB433</f>
        <v>0</v>
      </c>
    </row>
    <row r="437" spans="1:28" s="12" customFormat="1" ht="16.5" hidden="1" customHeight="1" x14ac:dyDescent="0.3">
      <c r="A437" s="54">
        <f>작성용!AL434</f>
        <v>433</v>
      </c>
      <c r="B437" s="55" t="str">
        <f>작성용!AI434</f>
        <v>-</v>
      </c>
      <c r="C437" s="56" t="str">
        <f>작성용!AK434</f>
        <v>기초자산</v>
      </c>
      <c r="D437" s="57" t="str">
        <f>작성용!T434</f>
        <v>고려아연펀드(기초자산)</v>
      </c>
      <c r="E437" s="58" t="str">
        <f>작성용!B434</f>
        <v>디에스씨테크밸류업펀드2호</v>
      </c>
      <c r="F437" s="58" t="str">
        <f>작성용!C434</f>
        <v>재평가</v>
      </c>
      <c r="G437" s="58" t="str">
        <f>작성용!D434</f>
        <v>데이원컴퍼니(구,패스트캠퍼스)</v>
      </c>
      <c r="H437" s="59">
        <f>작성용!E434</f>
        <v>1101116377877</v>
      </c>
      <c r="I437" s="58" t="str">
        <f>작성용!F434</f>
        <v>A07</v>
      </c>
      <c r="J437" s="58">
        <f>작성용!G434</f>
        <v>0</v>
      </c>
      <c r="K437" s="58" t="str">
        <f>작성용!H434</f>
        <v>-</v>
      </c>
      <c r="L437" s="58" t="str">
        <f>작성용!N434</f>
        <v>년</v>
      </c>
      <c r="M437" s="57" t="str">
        <f>작성용!U434</f>
        <v>2024.09.30</v>
      </c>
      <c r="N437" s="57">
        <f>작성용!V434</f>
        <v>45611</v>
      </c>
      <c r="O437" s="57" t="str">
        <f>작성용!W434</f>
        <v>보고서제공X</v>
      </c>
      <c r="P437" s="57" t="str">
        <f>작성용!X434</f>
        <v>-</v>
      </c>
      <c r="Q437" s="58" t="str">
        <f>작성용!AD434</f>
        <v>김수현</v>
      </c>
      <c r="R437" s="60">
        <f>작성용!AE434</f>
        <v>0.6</v>
      </c>
      <c r="S437" s="58" t="str">
        <f>작성용!AF434</f>
        <v>김수현</v>
      </c>
      <c r="T437" s="61" t="str">
        <f>작성용!AG434</f>
        <v>-</v>
      </c>
      <c r="U437" s="61" t="str">
        <f>작성용!AH434</f>
        <v>-</v>
      </c>
      <c r="V437" s="56">
        <f>작성용!AA434</f>
        <v>202411</v>
      </c>
      <c r="W437" s="58" t="str">
        <f>작성용!AC434</f>
        <v>[6]기타기관펀드(기초자산)</v>
      </c>
      <c r="X437" s="58">
        <f>작성용!O434</f>
        <v>0</v>
      </c>
      <c r="Y437" s="58">
        <f>작성용!P434</f>
        <v>0</v>
      </c>
      <c r="Z437" s="58">
        <f>작성용!Q434</f>
        <v>0</v>
      </c>
      <c r="AA437" s="56" t="str">
        <f>작성용!AJ434</f>
        <v>-</v>
      </c>
      <c r="AB437" s="56">
        <f>작성용!AB434</f>
        <v>0</v>
      </c>
    </row>
    <row r="438" spans="1:28" s="12" customFormat="1" ht="16.5" hidden="1" customHeight="1" x14ac:dyDescent="0.3">
      <c r="A438" s="54">
        <f>작성용!AL435</f>
        <v>434</v>
      </c>
      <c r="B438" s="55" t="str">
        <f>작성용!AI435</f>
        <v>-</v>
      </c>
      <c r="C438" s="56" t="str">
        <f>작성용!AK435</f>
        <v>기초자산</v>
      </c>
      <c r="D438" s="57" t="str">
        <f>작성용!T435</f>
        <v>고려아연펀드(기초자산)</v>
      </c>
      <c r="E438" s="58" t="str">
        <f>작성용!B435</f>
        <v>디에스씨테크밸류업펀드2호</v>
      </c>
      <c r="F438" s="58" t="str">
        <f>작성용!C435</f>
        <v>재평가</v>
      </c>
      <c r="G438" s="58" t="str">
        <f>작성용!D435</f>
        <v>직방</v>
      </c>
      <c r="H438" s="59">
        <f>작성용!E435</f>
        <v>1101114475300</v>
      </c>
      <c r="I438" s="58" t="str">
        <f>작성용!F435</f>
        <v>A01</v>
      </c>
      <c r="J438" s="58">
        <f>작성용!G435</f>
        <v>0</v>
      </c>
      <c r="K438" s="58" t="str">
        <f>작성용!H435</f>
        <v>-</v>
      </c>
      <c r="L438" s="58" t="str">
        <f>작성용!N435</f>
        <v>년</v>
      </c>
      <c r="M438" s="57" t="str">
        <f>작성용!U435</f>
        <v>2024.09.30</v>
      </c>
      <c r="N438" s="57">
        <f>작성용!V435</f>
        <v>45611</v>
      </c>
      <c r="O438" s="57" t="str">
        <f>작성용!W435</f>
        <v>보고서제공X</v>
      </c>
      <c r="P438" s="57" t="str">
        <f>작성용!X435</f>
        <v>-</v>
      </c>
      <c r="Q438" s="58" t="str">
        <f>작성용!AD435</f>
        <v>조현우</v>
      </c>
      <c r="R438" s="60">
        <f>작성용!AE435</f>
        <v>0</v>
      </c>
      <c r="S438" s="58" t="str">
        <f>작성용!AF435</f>
        <v>조현우</v>
      </c>
      <c r="T438" s="61" t="str">
        <f>작성용!AG435</f>
        <v>-</v>
      </c>
      <c r="U438" s="61" t="str">
        <f>작성용!AH435</f>
        <v>-</v>
      </c>
      <c r="V438" s="56">
        <f>작성용!AA435</f>
        <v>202411</v>
      </c>
      <c r="W438" s="58" t="str">
        <f>작성용!AC435</f>
        <v>[6]기타기관펀드(기초자산)</v>
      </c>
      <c r="X438" s="58">
        <f>작성용!O435</f>
        <v>0</v>
      </c>
      <c r="Y438" s="58">
        <f>작성용!P435</f>
        <v>0</v>
      </c>
      <c r="Z438" s="58">
        <f>작성용!Q435</f>
        <v>0</v>
      </c>
      <c r="AA438" s="56" t="str">
        <f>작성용!AJ435</f>
        <v>-</v>
      </c>
      <c r="AB438" s="56">
        <f>작성용!AB435</f>
        <v>0</v>
      </c>
    </row>
    <row r="439" spans="1:28" s="12" customFormat="1" ht="16.5" hidden="1" customHeight="1" x14ac:dyDescent="0.3">
      <c r="A439" s="54">
        <f>작성용!AL436</f>
        <v>435</v>
      </c>
      <c r="B439" s="55" t="str">
        <f>작성용!AI436</f>
        <v>-</v>
      </c>
      <c r="C439" s="56" t="str">
        <f>작성용!AK436</f>
        <v>기초자산</v>
      </c>
      <c r="D439" s="57" t="str">
        <f>작성용!T436</f>
        <v>고려아연펀드(기초자산)</v>
      </c>
      <c r="E439" s="58" t="str">
        <f>작성용!B436</f>
        <v>디에스씨테크밸류업펀드2호</v>
      </c>
      <c r="F439" s="58" t="str">
        <f>작성용!C436</f>
        <v>재평가</v>
      </c>
      <c r="G439" s="58" t="str">
        <f>작성용!D436</f>
        <v>Kong Studios, INC</v>
      </c>
      <c r="H439" s="59" t="str">
        <f>작성용!E436</f>
        <v>KBP2020120164</v>
      </c>
      <c r="I439" s="58" t="str">
        <f>작성용!F436</f>
        <v>A07</v>
      </c>
      <c r="J439" s="58">
        <f>작성용!G436</f>
        <v>0</v>
      </c>
      <c r="K439" s="58" t="str">
        <f>작성용!H436</f>
        <v>-</v>
      </c>
      <c r="L439" s="58" t="str">
        <f>작성용!N436</f>
        <v>년</v>
      </c>
      <c r="M439" s="57" t="str">
        <f>작성용!U436</f>
        <v>2024.09.30</v>
      </c>
      <c r="N439" s="57">
        <f>작성용!V436</f>
        <v>45611</v>
      </c>
      <c r="O439" s="57" t="str">
        <f>작성용!W436</f>
        <v>보고서제공X</v>
      </c>
      <c r="P439" s="57" t="str">
        <f>작성용!X436</f>
        <v>-</v>
      </c>
      <c r="Q439" s="58" t="str">
        <f>작성용!AD436</f>
        <v>서동현</v>
      </c>
      <c r="R439" s="60">
        <f>작성용!AE436</f>
        <v>0</v>
      </c>
      <c r="S439" s="58" t="str">
        <f>작성용!AF436</f>
        <v>서동현</v>
      </c>
      <c r="T439" s="61" t="str">
        <f>작성용!AG436</f>
        <v>-</v>
      </c>
      <c r="U439" s="61" t="str">
        <f>작성용!AH436</f>
        <v>-</v>
      </c>
      <c r="V439" s="56">
        <f>작성용!AA436</f>
        <v>202411</v>
      </c>
      <c r="W439" s="58" t="str">
        <f>작성용!AC436</f>
        <v>[6]기타기관펀드(기초자산)</v>
      </c>
      <c r="X439" s="58">
        <f>작성용!O436</f>
        <v>0</v>
      </c>
      <c r="Y439" s="58">
        <f>작성용!P436</f>
        <v>0</v>
      </c>
      <c r="Z439" s="58">
        <f>작성용!Q436</f>
        <v>0</v>
      </c>
      <c r="AA439" s="56" t="str">
        <f>작성용!AJ436</f>
        <v>-</v>
      </c>
      <c r="AB439" s="56">
        <f>작성용!AB436</f>
        <v>0</v>
      </c>
    </row>
    <row r="440" spans="1:28" s="12" customFormat="1" ht="16.5" hidden="1" customHeight="1" x14ac:dyDescent="0.3">
      <c r="A440" s="54">
        <f>작성용!AL437</f>
        <v>436</v>
      </c>
      <c r="B440" s="55" t="str">
        <f>작성용!AI437</f>
        <v>-</v>
      </c>
      <c r="C440" s="56" t="str">
        <f>작성용!AK437</f>
        <v>기초자산</v>
      </c>
      <c r="D440" s="57" t="str">
        <f>작성용!T437</f>
        <v>고려아연펀드(기초자산)</v>
      </c>
      <c r="E440" s="58" t="str">
        <f>작성용!B437</f>
        <v>디에스씨테크밸류업펀드2호</v>
      </c>
      <c r="F440" s="58" t="str">
        <f>작성용!C437</f>
        <v>재평가</v>
      </c>
      <c r="G440" s="58" t="str">
        <f>작성용!D437</f>
        <v>엘베이스</v>
      </c>
      <c r="H440" s="59">
        <f>작성용!E437</f>
        <v>1101115886366</v>
      </c>
      <c r="I440" s="58" t="str">
        <f>작성용!F437</f>
        <v>A07</v>
      </c>
      <c r="J440" s="58">
        <f>작성용!G437</f>
        <v>0</v>
      </c>
      <c r="K440" s="58" t="str">
        <f>작성용!H437</f>
        <v>-</v>
      </c>
      <c r="L440" s="58" t="str">
        <f>작성용!N437</f>
        <v>년</v>
      </c>
      <c r="M440" s="57" t="str">
        <f>작성용!U437</f>
        <v>2024.09.30</v>
      </c>
      <c r="N440" s="57">
        <f>작성용!V437</f>
        <v>45611</v>
      </c>
      <c r="O440" s="57" t="str">
        <f>작성용!W437</f>
        <v>보고서제공X</v>
      </c>
      <c r="P440" s="57" t="str">
        <f>작성용!X437</f>
        <v>-</v>
      </c>
      <c r="Q440" s="58" t="str">
        <f>작성용!AD437</f>
        <v>오수현</v>
      </c>
      <c r="R440" s="60">
        <f>작성용!AE437</f>
        <v>0</v>
      </c>
      <c r="S440" s="58" t="str">
        <f>작성용!AF437</f>
        <v>오수현</v>
      </c>
      <c r="T440" s="61" t="str">
        <f>작성용!AG437</f>
        <v>-</v>
      </c>
      <c r="U440" s="61" t="str">
        <f>작성용!AH437</f>
        <v>-</v>
      </c>
      <c r="V440" s="56">
        <f>작성용!AA437</f>
        <v>202411</v>
      </c>
      <c r="W440" s="58" t="str">
        <f>작성용!AC437</f>
        <v>[6]기타기관펀드(기초자산)</v>
      </c>
      <c r="X440" s="58">
        <f>작성용!O437</f>
        <v>0</v>
      </c>
      <c r="Y440" s="58">
        <f>작성용!P437</f>
        <v>0</v>
      </c>
      <c r="Z440" s="58">
        <f>작성용!Q437</f>
        <v>0</v>
      </c>
      <c r="AA440" s="56" t="str">
        <f>작성용!AJ437</f>
        <v>-</v>
      </c>
      <c r="AB440" s="56">
        <f>작성용!AB437</f>
        <v>0</v>
      </c>
    </row>
    <row r="441" spans="1:28" s="12" customFormat="1" ht="16.5" hidden="1" customHeight="1" x14ac:dyDescent="0.3">
      <c r="A441" s="54">
        <f>작성용!AL438</f>
        <v>437</v>
      </c>
      <c r="B441" s="55" t="str">
        <f>작성용!AI438</f>
        <v>-</v>
      </c>
      <c r="C441" s="56" t="str">
        <f>작성용!AK438</f>
        <v>기초자산</v>
      </c>
      <c r="D441" s="57" t="str">
        <f>작성용!T438</f>
        <v>고려아연펀드(기초자산)</v>
      </c>
      <c r="E441" s="58" t="str">
        <f>작성용!B438</f>
        <v>디에스씨테크밸류업펀드2호</v>
      </c>
      <c r="F441" s="58" t="str">
        <f>작성용!C438</f>
        <v>재평가</v>
      </c>
      <c r="G441" s="58" t="str">
        <f>작성용!D438</f>
        <v>엔에이백신연구소</v>
      </c>
      <c r="H441" s="59">
        <f>작성용!E438</f>
        <v>1311110508316</v>
      </c>
      <c r="I441" s="58" t="str">
        <f>작성용!F438</f>
        <v>A01</v>
      </c>
      <c r="J441" s="58">
        <f>작성용!G438</f>
        <v>0</v>
      </c>
      <c r="K441" s="58" t="str">
        <f>작성용!H438</f>
        <v>-</v>
      </c>
      <c r="L441" s="58" t="str">
        <f>작성용!N438</f>
        <v>년</v>
      </c>
      <c r="M441" s="57" t="str">
        <f>작성용!U438</f>
        <v>2024.09.30</v>
      </c>
      <c r="N441" s="57">
        <f>작성용!V438</f>
        <v>45611</v>
      </c>
      <c r="O441" s="57" t="str">
        <f>작성용!W438</f>
        <v>보고서제공X</v>
      </c>
      <c r="P441" s="57" t="str">
        <f>작성용!X438</f>
        <v>-</v>
      </c>
      <c r="Q441" s="58" t="str">
        <f>작성용!AD438</f>
        <v>강승현</v>
      </c>
      <c r="R441" s="60">
        <f>작성용!AE438</f>
        <v>0.6</v>
      </c>
      <c r="S441" s="58" t="str">
        <f>작성용!AF438</f>
        <v>강승현</v>
      </c>
      <c r="T441" s="61" t="str">
        <f>작성용!AG438</f>
        <v>-</v>
      </c>
      <c r="U441" s="61" t="str">
        <f>작성용!AH438</f>
        <v>-</v>
      </c>
      <c r="V441" s="56">
        <f>작성용!AA438</f>
        <v>202411</v>
      </c>
      <c r="W441" s="58" t="str">
        <f>작성용!AC438</f>
        <v>[6]기타기관펀드(기초자산)</v>
      </c>
      <c r="X441" s="58">
        <f>작성용!O438</f>
        <v>0</v>
      </c>
      <c r="Y441" s="58">
        <f>작성용!P438</f>
        <v>0</v>
      </c>
      <c r="Z441" s="58">
        <f>작성용!Q438</f>
        <v>0</v>
      </c>
      <c r="AA441" s="56" t="str">
        <f>작성용!AJ438</f>
        <v>-</v>
      </c>
      <c r="AB441" s="56">
        <f>작성용!AB438</f>
        <v>0</v>
      </c>
    </row>
    <row r="442" spans="1:28" s="12" customFormat="1" ht="16.5" hidden="1" customHeight="1" x14ac:dyDescent="0.3">
      <c r="A442" s="54">
        <f>작성용!AL439</f>
        <v>438</v>
      </c>
      <c r="B442" s="55" t="str">
        <f>작성용!AI439</f>
        <v>-</v>
      </c>
      <c r="C442" s="56" t="str">
        <f>작성용!AK439</f>
        <v>기초자산</v>
      </c>
      <c r="D442" s="57" t="str">
        <f>작성용!T439</f>
        <v>고려아연펀드(기초자산)</v>
      </c>
      <c r="E442" s="58" t="str">
        <f>작성용!B439</f>
        <v>디에스씨테크밸류업펀드2호</v>
      </c>
      <c r="F442" s="58" t="str">
        <f>작성용!C439</f>
        <v>재평가</v>
      </c>
      <c r="G442" s="58" t="str">
        <f>작성용!D439</f>
        <v>엑소스템텍</v>
      </c>
      <c r="H442" s="59">
        <f>작성용!E439</f>
        <v>1314110362394</v>
      </c>
      <c r="I442" s="58" t="str">
        <f>작성용!F439</f>
        <v>A07</v>
      </c>
      <c r="J442" s="58">
        <f>작성용!G439</f>
        <v>1</v>
      </c>
      <c r="K442" s="58" t="str">
        <f>작성용!H439</f>
        <v>-</v>
      </c>
      <c r="L442" s="58" t="str">
        <f>작성용!N439</f>
        <v>년</v>
      </c>
      <c r="M442" s="57" t="str">
        <f>작성용!U439</f>
        <v>2024.09.30</v>
      </c>
      <c r="N442" s="57">
        <f>작성용!V439</f>
        <v>45611</v>
      </c>
      <c r="O442" s="57" t="str">
        <f>작성용!W439</f>
        <v>보고서제공X</v>
      </c>
      <c r="P442" s="57" t="str">
        <f>작성용!X439</f>
        <v>-</v>
      </c>
      <c r="Q442" s="58" t="str">
        <f>작성용!AD439</f>
        <v>백형진</v>
      </c>
      <c r="R442" s="60">
        <f>작성용!AE439</f>
        <v>0.6</v>
      </c>
      <c r="S442" s="58" t="str">
        <f>작성용!AF439</f>
        <v>백형진</v>
      </c>
      <c r="T442" s="61" t="str">
        <f>작성용!AG439</f>
        <v>-</v>
      </c>
      <c r="U442" s="61" t="str">
        <f>작성용!AH439</f>
        <v>-</v>
      </c>
      <c r="V442" s="56">
        <f>작성용!AA439</f>
        <v>202411</v>
      </c>
      <c r="W442" s="58" t="str">
        <f>작성용!AC439</f>
        <v>[6]기타기관펀드(기초자산)</v>
      </c>
      <c r="X442" s="58">
        <f>작성용!O439</f>
        <v>0</v>
      </c>
      <c r="Y442" s="58">
        <f>작성용!P439</f>
        <v>0</v>
      </c>
      <c r="Z442" s="58">
        <f>작성용!Q439</f>
        <v>0</v>
      </c>
      <c r="AA442" s="56" t="str">
        <f>작성용!AJ439</f>
        <v>-</v>
      </c>
      <c r="AB442" s="56">
        <f>작성용!AB439</f>
        <v>0</v>
      </c>
    </row>
    <row r="443" spans="1:28" s="12" customFormat="1" ht="16.5" hidden="1" customHeight="1" x14ac:dyDescent="0.3">
      <c r="A443" s="54">
        <f>작성용!AL440</f>
        <v>439</v>
      </c>
      <c r="B443" s="55" t="str">
        <f>작성용!AI440</f>
        <v>-</v>
      </c>
      <c r="C443" s="56" t="str">
        <f>작성용!AK440</f>
        <v>기초자산</v>
      </c>
      <c r="D443" s="57" t="str">
        <f>작성용!T440</f>
        <v>고려아연펀드(기초자산)</v>
      </c>
      <c r="E443" s="58" t="str">
        <f>작성용!B440</f>
        <v>디에스씨테크밸류업펀드2호</v>
      </c>
      <c r="F443" s="58" t="str">
        <f>작성용!C440</f>
        <v>재평가</v>
      </c>
      <c r="G443" s="58" t="str">
        <f>작성용!D440</f>
        <v>큐라미스</v>
      </c>
      <c r="H443" s="59">
        <f>작성용!E440</f>
        <v>1101116789931</v>
      </c>
      <c r="I443" s="58" t="str">
        <f>작성용!F440</f>
        <v>A05</v>
      </c>
      <c r="J443" s="58">
        <f>작성용!G440</f>
        <v>1</v>
      </c>
      <c r="K443" s="58" t="str">
        <f>작성용!H440</f>
        <v>-</v>
      </c>
      <c r="L443" s="58" t="str">
        <f>작성용!N440</f>
        <v>년</v>
      </c>
      <c r="M443" s="57" t="str">
        <f>작성용!U440</f>
        <v>2024.09.30</v>
      </c>
      <c r="N443" s="57">
        <f>작성용!V440</f>
        <v>45611</v>
      </c>
      <c r="O443" s="57" t="str">
        <f>작성용!W440</f>
        <v>보고서제공X</v>
      </c>
      <c r="P443" s="57" t="str">
        <f>작성용!X440</f>
        <v>-</v>
      </c>
      <c r="Q443" s="58" t="str">
        <f>작성용!AD440</f>
        <v>오수현</v>
      </c>
      <c r="R443" s="60">
        <f>작성용!AE440</f>
        <v>0</v>
      </c>
      <c r="S443" s="58" t="str">
        <f>작성용!AF440</f>
        <v>오수현</v>
      </c>
      <c r="T443" s="61" t="str">
        <f>작성용!AG440</f>
        <v>-</v>
      </c>
      <c r="U443" s="61" t="str">
        <f>작성용!AH440</f>
        <v>-</v>
      </c>
      <c r="V443" s="56">
        <f>작성용!AA440</f>
        <v>202411</v>
      </c>
      <c r="W443" s="58" t="str">
        <f>작성용!AC440</f>
        <v>[6]기타기관펀드(기초자산)</v>
      </c>
      <c r="X443" s="58">
        <f>작성용!O440</f>
        <v>0</v>
      </c>
      <c r="Y443" s="58">
        <f>작성용!P440</f>
        <v>0</v>
      </c>
      <c r="Z443" s="58">
        <f>작성용!Q440</f>
        <v>0</v>
      </c>
      <c r="AA443" s="56" t="str">
        <f>작성용!AJ440</f>
        <v>-</v>
      </c>
      <c r="AB443" s="56">
        <f>작성용!AB440</f>
        <v>0</v>
      </c>
    </row>
    <row r="444" spans="1:28" s="12" customFormat="1" ht="16.5" hidden="1" customHeight="1" x14ac:dyDescent="0.3">
      <c r="A444" s="54">
        <f>작성용!AL441</f>
        <v>440</v>
      </c>
      <c r="B444" s="55" t="str">
        <f>작성용!AI441</f>
        <v>-</v>
      </c>
      <c r="C444" s="56" t="str">
        <f>작성용!AK441</f>
        <v>기초자산</v>
      </c>
      <c r="D444" s="57" t="str">
        <f>작성용!T441</f>
        <v>고려아연펀드(기초자산)</v>
      </c>
      <c r="E444" s="58" t="str">
        <f>작성용!B441</f>
        <v>디에스씨테크밸류업펀드2호</v>
      </c>
      <c r="F444" s="58" t="str">
        <f>작성용!C441</f>
        <v>재평가</v>
      </c>
      <c r="G444" s="58" t="str">
        <f>작성용!D441</f>
        <v>팀프레시</v>
      </c>
      <c r="H444" s="59">
        <f>작성용!E441</f>
        <v>1101116761096</v>
      </c>
      <c r="I444" s="58" t="str">
        <f>작성용!F441</f>
        <v>A07</v>
      </c>
      <c r="J444" s="58">
        <f>작성용!G441</f>
        <v>4</v>
      </c>
      <c r="K444" s="58" t="str">
        <f>작성용!H441</f>
        <v>-</v>
      </c>
      <c r="L444" s="58" t="str">
        <f>작성용!N441</f>
        <v>년</v>
      </c>
      <c r="M444" s="57" t="str">
        <f>작성용!U441</f>
        <v>2024.09.30</v>
      </c>
      <c r="N444" s="57">
        <f>작성용!V441</f>
        <v>45611</v>
      </c>
      <c r="O444" s="57" t="str">
        <f>작성용!W441</f>
        <v>보고서제공X</v>
      </c>
      <c r="P444" s="57" t="str">
        <f>작성용!X441</f>
        <v>-</v>
      </c>
      <c r="Q444" s="58" t="str">
        <f>작성용!AD441</f>
        <v>최수민</v>
      </c>
      <c r="R444" s="60">
        <f>작성용!AE441</f>
        <v>0</v>
      </c>
      <c r="S444" s="58" t="str">
        <f>작성용!AF441</f>
        <v>변혜진</v>
      </c>
      <c r="T444" s="61" t="str">
        <f>작성용!AG441</f>
        <v>-</v>
      </c>
      <c r="U444" s="61" t="str">
        <f>작성용!AH441</f>
        <v>-</v>
      </c>
      <c r="V444" s="56">
        <f>작성용!AA441</f>
        <v>202411</v>
      </c>
      <c r="W444" s="58" t="str">
        <f>작성용!AC441</f>
        <v>[6]기타기관펀드(기초자산)</v>
      </c>
      <c r="X444" s="58">
        <f>작성용!O441</f>
        <v>0</v>
      </c>
      <c r="Y444" s="58">
        <f>작성용!P441</f>
        <v>0</v>
      </c>
      <c r="Z444" s="58">
        <f>작성용!Q441</f>
        <v>0</v>
      </c>
      <c r="AA444" s="56" t="str">
        <f>작성용!AJ441</f>
        <v>-</v>
      </c>
      <c r="AB444" s="56">
        <f>작성용!AB441</f>
        <v>0</v>
      </c>
    </row>
    <row r="445" spans="1:28" s="12" customFormat="1" ht="16.5" hidden="1" customHeight="1" x14ac:dyDescent="0.3">
      <c r="A445" s="54">
        <f>작성용!AL442</f>
        <v>441</v>
      </c>
      <c r="B445" s="55" t="str">
        <f>작성용!AI442</f>
        <v>-</v>
      </c>
      <c r="C445" s="56" t="str">
        <f>작성용!AK442</f>
        <v>기초자산</v>
      </c>
      <c r="D445" s="57" t="str">
        <f>작성용!T442</f>
        <v>고려아연펀드(기초자산)</v>
      </c>
      <c r="E445" s="58" t="str">
        <f>작성용!B442</f>
        <v>티비티오픈이노베이션투자조합</v>
      </c>
      <c r="F445" s="58" t="str">
        <f>작성용!C442</f>
        <v>재평가</v>
      </c>
      <c r="G445" s="58" t="str">
        <f>작성용!D442</f>
        <v>모토브</v>
      </c>
      <c r="H445" s="59">
        <f>작성용!E442</f>
        <v>1601110436653</v>
      </c>
      <c r="I445" s="58" t="str">
        <f>작성용!F442</f>
        <v>A05</v>
      </c>
      <c r="J445" s="58">
        <f>작성용!G442</f>
        <v>0</v>
      </c>
      <c r="K445" s="58" t="str">
        <f>작성용!H442</f>
        <v>-</v>
      </c>
      <c r="L445" s="58" t="str">
        <f>작성용!N442</f>
        <v>년</v>
      </c>
      <c r="M445" s="57" t="str">
        <f>작성용!U442</f>
        <v>2024.09.30</v>
      </c>
      <c r="N445" s="57">
        <f>작성용!V442</f>
        <v>45611</v>
      </c>
      <c r="O445" s="57" t="str">
        <f>작성용!W442</f>
        <v>보고서제공X</v>
      </c>
      <c r="P445" s="57" t="str">
        <f>작성용!X442</f>
        <v>-</v>
      </c>
      <c r="Q445" s="58" t="str">
        <f>작성용!AD442</f>
        <v>김수현</v>
      </c>
      <c r="R445" s="60">
        <f>작성용!AE442</f>
        <v>0.6</v>
      </c>
      <c r="S445" s="58" t="str">
        <f>작성용!AF442</f>
        <v>김수현</v>
      </c>
      <c r="T445" s="61" t="str">
        <f>작성용!AG442</f>
        <v>-</v>
      </c>
      <c r="U445" s="61" t="str">
        <f>작성용!AH442</f>
        <v>-</v>
      </c>
      <c r="V445" s="56">
        <f>작성용!AA442</f>
        <v>202411</v>
      </c>
      <c r="W445" s="58" t="str">
        <f>작성용!AC442</f>
        <v>[6]기타기관펀드(기초자산)</v>
      </c>
      <c r="X445" s="58">
        <f>작성용!O442</f>
        <v>0</v>
      </c>
      <c r="Y445" s="58">
        <f>작성용!P442</f>
        <v>0</v>
      </c>
      <c r="Z445" s="58">
        <f>작성용!Q442</f>
        <v>0</v>
      </c>
      <c r="AA445" s="56" t="str">
        <f>작성용!AJ442</f>
        <v>-</v>
      </c>
      <c r="AB445" s="56">
        <f>작성용!AB442</f>
        <v>0</v>
      </c>
    </row>
    <row r="446" spans="1:28" s="12" customFormat="1" ht="16.5" hidden="1" customHeight="1" x14ac:dyDescent="0.3">
      <c r="A446" s="54">
        <f>작성용!AL443</f>
        <v>442</v>
      </c>
      <c r="B446" s="55" t="str">
        <f>작성용!AI443</f>
        <v>-</v>
      </c>
      <c r="C446" s="56" t="str">
        <f>작성용!AK443</f>
        <v>기초자산</v>
      </c>
      <c r="D446" s="57" t="str">
        <f>작성용!T443</f>
        <v>고려아연펀드(기초자산)</v>
      </c>
      <c r="E446" s="58" t="str">
        <f>작성용!B443</f>
        <v>티비티오픈이노베이션투자조합</v>
      </c>
      <c r="F446" s="58" t="str">
        <f>작성용!C443</f>
        <v>재평가</v>
      </c>
      <c r="G446" s="58" t="str">
        <f>작성용!D443</f>
        <v>모노랩스</v>
      </c>
      <c r="H446" s="59">
        <f>작성용!E443</f>
        <v>1101116759174</v>
      </c>
      <c r="I446" s="58" t="str">
        <f>작성용!F443</f>
        <v>A07</v>
      </c>
      <c r="J446" s="58">
        <f>작성용!G443</f>
        <v>0</v>
      </c>
      <c r="K446" s="58" t="str">
        <f>작성용!H443</f>
        <v>-</v>
      </c>
      <c r="L446" s="58" t="str">
        <f>작성용!N443</f>
        <v>년</v>
      </c>
      <c r="M446" s="57" t="str">
        <f>작성용!U443</f>
        <v>2024.09.30</v>
      </c>
      <c r="N446" s="57">
        <f>작성용!V443</f>
        <v>45611</v>
      </c>
      <c r="O446" s="57" t="str">
        <f>작성용!W443</f>
        <v>보고서제공X</v>
      </c>
      <c r="P446" s="57" t="str">
        <f>작성용!X443</f>
        <v>-</v>
      </c>
      <c r="Q446" s="58" t="str">
        <f>작성용!AD443</f>
        <v>오수현</v>
      </c>
      <c r="R446" s="60">
        <f>작성용!AE443</f>
        <v>0</v>
      </c>
      <c r="S446" s="58" t="str">
        <f>작성용!AF443</f>
        <v>오수현</v>
      </c>
      <c r="T446" s="61" t="str">
        <f>작성용!AG443</f>
        <v>-</v>
      </c>
      <c r="U446" s="61" t="str">
        <f>작성용!AH443</f>
        <v>-</v>
      </c>
      <c r="V446" s="56">
        <f>작성용!AA443</f>
        <v>202411</v>
      </c>
      <c r="W446" s="58" t="str">
        <f>작성용!AC443</f>
        <v>[6]기타기관펀드(기초자산)</v>
      </c>
      <c r="X446" s="58">
        <f>작성용!O443</f>
        <v>0</v>
      </c>
      <c r="Y446" s="58">
        <f>작성용!P443</f>
        <v>0</v>
      </c>
      <c r="Z446" s="58">
        <f>작성용!Q443</f>
        <v>0</v>
      </c>
      <c r="AA446" s="56" t="str">
        <f>작성용!AJ443</f>
        <v>-</v>
      </c>
      <c r="AB446" s="56">
        <f>작성용!AB443</f>
        <v>0</v>
      </c>
    </row>
    <row r="447" spans="1:28" s="12" customFormat="1" ht="16.5" hidden="1" customHeight="1" x14ac:dyDescent="0.3">
      <c r="A447" s="54">
        <f>작성용!AL444</f>
        <v>443</v>
      </c>
      <c r="B447" s="55" t="str">
        <f>작성용!AI444</f>
        <v>-</v>
      </c>
      <c r="C447" s="56" t="str">
        <f>작성용!AK444</f>
        <v>기초자산</v>
      </c>
      <c r="D447" s="57" t="str">
        <f>작성용!T444</f>
        <v>고려아연펀드(기초자산)</v>
      </c>
      <c r="E447" s="58" t="str">
        <f>작성용!B444</f>
        <v>티비티오픈이노베이션투자조합</v>
      </c>
      <c r="F447" s="58" t="str">
        <f>작성용!C444</f>
        <v>재평가</v>
      </c>
      <c r="G447" s="58" t="str">
        <f>작성용!D444</f>
        <v>모노랩스</v>
      </c>
      <c r="H447" s="59">
        <f>작성용!E444</f>
        <v>1101116759174</v>
      </c>
      <c r="I447" s="58" t="str">
        <f>작성용!F444</f>
        <v>A07</v>
      </c>
      <c r="J447" s="58">
        <f>작성용!G444</f>
        <v>1</v>
      </c>
      <c r="K447" s="58" t="str">
        <f>작성용!H444</f>
        <v>-</v>
      </c>
      <c r="L447" s="58" t="str">
        <f>작성용!N444</f>
        <v>년</v>
      </c>
      <c r="M447" s="57" t="str">
        <f>작성용!U444</f>
        <v>2024.09.30</v>
      </c>
      <c r="N447" s="57">
        <f>작성용!V444</f>
        <v>45611</v>
      </c>
      <c r="O447" s="57" t="str">
        <f>작성용!W444</f>
        <v>보고서제공X</v>
      </c>
      <c r="P447" s="57" t="str">
        <f>작성용!X444</f>
        <v>-</v>
      </c>
      <c r="Q447" s="58" t="str">
        <f>작성용!AD444</f>
        <v>오수현</v>
      </c>
      <c r="R447" s="60">
        <f>작성용!AE444</f>
        <v>0</v>
      </c>
      <c r="S447" s="58" t="str">
        <f>작성용!AF444</f>
        <v>오수현</v>
      </c>
      <c r="T447" s="61" t="str">
        <f>작성용!AG444</f>
        <v>-</v>
      </c>
      <c r="U447" s="61" t="str">
        <f>작성용!AH444</f>
        <v>-</v>
      </c>
      <c r="V447" s="56">
        <f>작성용!AA444</f>
        <v>202411</v>
      </c>
      <c r="W447" s="58" t="str">
        <f>작성용!AC444</f>
        <v>[6]기타기관펀드(기초자산)</v>
      </c>
      <c r="X447" s="58">
        <f>작성용!O444</f>
        <v>0</v>
      </c>
      <c r="Y447" s="58">
        <f>작성용!P444</f>
        <v>0</v>
      </c>
      <c r="Z447" s="58">
        <f>작성용!Q444</f>
        <v>0</v>
      </c>
      <c r="AA447" s="56" t="str">
        <f>작성용!AJ444</f>
        <v>-</v>
      </c>
      <c r="AB447" s="56">
        <f>작성용!AB444</f>
        <v>0</v>
      </c>
    </row>
    <row r="448" spans="1:28" s="12" customFormat="1" ht="16.5" hidden="1" customHeight="1" x14ac:dyDescent="0.3">
      <c r="A448" s="54">
        <f>작성용!AL445</f>
        <v>444</v>
      </c>
      <c r="B448" s="55" t="str">
        <f>작성용!AI445</f>
        <v>-</v>
      </c>
      <c r="C448" s="56" t="str">
        <f>작성용!AK445</f>
        <v>기초자산</v>
      </c>
      <c r="D448" s="57" t="str">
        <f>작성용!T445</f>
        <v>고려아연펀드(기초자산)</v>
      </c>
      <c r="E448" s="58" t="str">
        <f>작성용!B445</f>
        <v>티비티오픈이노베이션투자조합</v>
      </c>
      <c r="F448" s="58" t="str">
        <f>작성용!C445</f>
        <v>재평가</v>
      </c>
      <c r="G448" s="58" t="str">
        <f>작성용!D445</f>
        <v>펄핏</v>
      </c>
      <c r="H448" s="59">
        <f>작성용!E445</f>
        <v>1601110396112</v>
      </c>
      <c r="I448" s="58" t="str">
        <f>작성용!F445</f>
        <v>A07</v>
      </c>
      <c r="J448" s="58">
        <f>작성용!G445</f>
        <v>0</v>
      </c>
      <c r="K448" s="58" t="str">
        <f>작성용!H445</f>
        <v>-</v>
      </c>
      <c r="L448" s="58" t="str">
        <f>작성용!N445</f>
        <v>년</v>
      </c>
      <c r="M448" s="57" t="str">
        <f>작성용!U445</f>
        <v>2024.09.30</v>
      </c>
      <c r="N448" s="57">
        <f>작성용!V445</f>
        <v>45611</v>
      </c>
      <c r="O448" s="57" t="str">
        <f>작성용!W445</f>
        <v>보고서제공X</v>
      </c>
      <c r="P448" s="57" t="str">
        <f>작성용!X445</f>
        <v>-</v>
      </c>
      <c r="Q448" s="58" t="str">
        <f>작성용!AD445</f>
        <v>백형진</v>
      </c>
      <c r="R448" s="60">
        <f>작성용!AE445</f>
        <v>0</v>
      </c>
      <c r="S448" s="58" t="str">
        <f>작성용!AF445</f>
        <v>백형진</v>
      </c>
      <c r="T448" s="61" t="str">
        <f>작성용!AG445</f>
        <v>-</v>
      </c>
      <c r="U448" s="61" t="str">
        <f>작성용!AH445</f>
        <v>-</v>
      </c>
      <c r="V448" s="56">
        <f>작성용!AA445</f>
        <v>202411</v>
      </c>
      <c r="W448" s="58" t="str">
        <f>작성용!AC445</f>
        <v>[6]기타기관펀드(기초자산)</v>
      </c>
      <c r="X448" s="58">
        <f>작성용!O445</f>
        <v>0</v>
      </c>
      <c r="Y448" s="58">
        <f>작성용!P445</f>
        <v>0</v>
      </c>
      <c r="Z448" s="58">
        <f>작성용!Q445</f>
        <v>0</v>
      </c>
      <c r="AA448" s="56" t="str">
        <f>작성용!AJ445</f>
        <v>-</v>
      </c>
      <c r="AB448" s="56">
        <f>작성용!AB445</f>
        <v>0</v>
      </c>
    </row>
    <row r="449" spans="1:28" s="12" customFormat="1" ht="16.5" hidden="1" customHeight="1" x14ac:dyDescent="0.3">
      <c r="A449" s="54">
        <f>작성용!AL446</f>
        <v>445</v>
      </c>
      <c r="B449" s="55" t="str">
        <f>작성용!AI446</f>
        <v>-</v>
      </c>
      <c r="C449" s="56" t="str">
        <f>작성용!AK446</f>
        <v>기초자산</v>
      </c>
      <c r="D449" s="57" t="str">
        <f>작성용!T446</f>
        <v>고려아연펀드(기초자산)</v>
      </c>
      <c r="E449" s="58" t="str">
        <f>작성용!B446</f>
        <v>티비티오픈이노베이션투자조합</v>
      </c>
      <c r="F449" s="58" t="str">
        <f>작성용!C446</f>
        <v>재평가</v>
      </c>
      <c r="G449" s="58" t="str">
        <f>작성용!D446</f>
        <v>엑스와이지(구,라운지랩)</v>
      </c>
      <c r="H449" s="59">
        <f>작성용!E446</f>
        <v>1101117122669</v>
      </c>
      <c r="I449" s="58" t="str">
        <f>작성용!F446</f>
        <v>A05</v>
      </c>
      <c r="J449" s="58">
        <f>작성용!G446</f>
        <v>0</v>
      </c>
      <c r="K449" s="58" t="str">
        <f>작성용!H446</f>
        <v>-</v>
      </c>
      <c r="L449" s="58" t="str">
        <f>작성용!N446</f>
        <v>년</v>
      </c>
      <c r="M449" s="57" t="str">
        <f>작성용!U446</f>
        <v>2024.09.30</v>
      </c>
      <c r="N449" s="57">
        <f>작성용!V446</f>
        <v>45611</v>
      </c>
      <c r="O449" s="57" t="str">
        <f>작성용!W446</f>
        <v>보고서제공X</v>
      </c>
      <c r="P449" s="57" t="str">
        <f>작성용!X446</f>
        <v>-</v>
      </c>
      <c r="Q449" s="58" t="str">
        <f>작성용!AD446</f>
        <v>백형진</v>
      </c>
      <c r="R449" s="60">
        <f>작성용!AE446</f>
        <v>0</v>
      </c>
      <c r="S449" s="58" t="str">
        <f>작성용!AF446</f>
        <v>백형진</v>
      </c>
      <c r="T449" s="61" t="str">
        <f>작성용!AG446</f>
        <v>-</v>
      </c>
      <c r="U449" s="61" t="str">
        <f>작성용!AH446</f>
        <v>-</v>
      </c>
      <c r="V449" s="56">
        <f>작성용!AA446</f>
        <v>202411</v>
      </c>
      <c r="W449" s="58" t="str">
        <f>작성용!AC446</f>
        <v>[6]기타기관펀드(기초자산)</v>
      </c>
      <c r="X449" s="58">
        <f>작성용!O446</f>
        <v>0</v>
      </c>
      <c r="Y449" s="58">
        <f>작성용!P446</f>
        <v>0</v>
      </c>
      <c r="Z449" s="58">
        <f>작성용!Q446</f>
        <v>0</v>
      </c>
      <c r="AA449" s="56" t="str">
        <f>작성용!AJ446</f>
        <v>-</v>
      </c>
      <c r="AB449" s="56">
        <f>작성용!AB446</f>
        <v>0</v>
      </c>
    </row>
    <row r="450" spans="1:28" s="12" customFormat="1" ht="16.5" hidden="1" customHeight="1" x14ac:dyDescent="0.3">
      <c r="A450" s="54">
        <f>작성용!AL447</f>
        <v>446</v>
      </c>
      <c r="B450" s="55" t="str">
        <f>작성용!AI447</f>
        <v>-</v>
      </c>
      <c r="C450" s="56" t="str">
        <f>작성용!AK447</f>
        <v>기초자산</v>
      </c>
      <c r="D450" s="57" t="str">
        <f>작성용!T447</f>
        <v>고려아연펀드(기초자산)</v>
      </c>
      <c r="E450" s="58" t="str">
        <f>작성용!B447</f>
        <v>티비티오픈이노베이션투자조합</v>
      </c>
      <c r="F450" s="58" t="str">
        <f>작성용!C447</f>
        <v>재평가</v>
      </c>
      <c r="G450" s="58" t="str">
        <f>작성용!D447</f>
        <v>쉐어그라운드</v>
      </c>
      <c r="H450" s="59">
        <f>작성용!E447</f>
        <v>1101117060306</v>
      </c>
      <c r="I450" s="58" t="str">
        <f>작성용!F447</f>
        <v>A07</v>
      </c>
      <c r="J450" s="58">
        <f>작성용!G447</f>
        <v>0</v>
      </c>
      <c r="K450" s="58" t="str">
        <f>작성용!H447</f>
        <v>-</v>
      </c>
      <c r="L450" s="58" t="str">
        <f>작성용!N447</f>
        <v>년</v>
      </c>
      <c r="M450" s="57" t="str">
        <f>작성용!U447</f>
        <v>2024.09.30</v>
      </c>
      <c r="N450" s="57">
        <f>작성용!V447</f>
        <v>45611</v>
      </c>
      <c r="O450" s="57" t="str">
        <f>작성용!W447</f>
        <v>보고서제공X</v>
      </c>
      <c r="P450" s="57" t="str">
        <f>작성용!X447</f>
        <v>-</v>
      </c>
      <c r="Q450" s="58" t="str">
        <f>작성용!AD447</f>
        <v>채동우</v>
      </c>
      <c r="R450" s="60">
        <f>작성용!AE447</f>
        <v>0</v>
      </c>
      <c r="S450" s="58" t="str">
        <f>작성용!AF447</f>
        <v>채동우</v>
      </c>
      <c r="T450" s="61" t="str">
        <f>작성용!AG447</f>
        <v>-</v>
      </c>
      <c r="U450" s="61" t="str">
        <f>작성용!AH447</f>
        <v>-</v>
      </c>
      <c r="V450" s="56">
        <f>작성용!AA447</f>
        <v>202411</v>
      </c>
      <c r="W450" s="58" t="str">
        <f>작성용!AC447</f>
        <v>[6]기타기관펀드(기초자산)</v>
      </c>
      <c r="X450" s="58">
        <f>작성용!O447</f>
        <v>0</v>
      </c>
      <c r="Y450" s="58">
        <f>작성용!P447</f>
        <v>0</v>
      </c>
      <c r="Z450" s="58">
        <f>작성용!Q447</f>
        <v>0</v>
      </c>
      <c r="AA450" s="56" t="str">
        <f>작성용!AJ447</f>
        <v>-</v>
      </c>
      <c r="AB450" s="56">
        <f>작성용!AB447</f>
        <v>0</v>
      </c>
    </row>
    <row r="451" spans="1:28" s="12" customFormat="1" ht="16.5" hidden="1" customHeight="1" x14ac:dyDescent="0.3">
      <c r="A451" s="54">
        <f>작성용!AL448</f>
        <v>447</v>
      </c>
      <c r="B451" s="55" t="str">
        <f>작성용!AI448</f>
        <v>-</v>
      </c>
      <c r="C451" s="56" t="str">
        <f>작성용!AK448</f>
        <v>기초자산</v>
      </c>
      <c r="D451" s="57" t="str">
        <f>작성용!T448</f>
        <v>고려아연펀드(기초자산)</v>
      </c>
      <c r="E451" s="58" t="str">
        <f>작성용!B448</f>
        <v>티비티오픈이노베이션투자조합</v>
      </c>
      <c r="F451" s="58" t="str">
        <f>작성용!C448</f>
        <v>재평가</v>
      </c>
      <c r="G451" s="58" t="str">
        <f>작성용!D448</f>
        <v>그렙</v>
      </c>
      <c r="H451" s="59">
        <f>작성용!E448</f>
        <v>1101115366350</v>
      </c>
      <c r="I451" s="58" t="str">
        <f>작성용!F448</f>
        <v>A07</v>
      </c>
      <c r="J451" s="58">
        <f>작성용!G448</f>
        <v>0</v>
      </c>
      <c r="K451" s="58" t="str">
        <f>작성용!H448</f>
        <v>-</v>
      </c>
      <c r="L451" s="58" t="str">
        <f>작성용!N448</f>
        <v>년</v>
      </c>
      <c r="M451" s="57" t="str">
        <f>작성용!U448</f>
        <v>2024.09.30</v>
      </c>
      <c r="N451" s="57">
        <f>작성용!V448</f>
        <v>45611</v>
      </c>
      <c r="O451" s="57" t="str">
        <f>작성용!W448</f>
        <v>보고서제공X</v>
      </c>
      <c r="P451" s="57" t="str">
        <f>작성용!X448</f>
        <v>-</v>
      </c>
      <c r="Q451" s="58" t="str">
        <f>작성용!AD448</f>
        <v>이문수</v>
      </c>
      <c r="R451" s="60">
        <f>작성용!AE448</f>
        <v>0</v>
      </c>
      <c r="S451" s="58" t="str">
        <f>작성용!AF448</f>
        <v>이문수</v>
      </c>
      <c r="T451" s="61" t="str">
        <f>작성용!AG448</f>
        <v>-</v>
      </c>
      <c r="U451" s="61" t="str">
        <f>작성용!AH448</f>
        <v>-</v>
      </c>
      <c r="V451" s="56">
        <f>작성용!AA448</f>
        <v>202411</v>
      </c>
      <c r="W451" s="58" t="str">
        <f>작성용!AC448</f>
        <v>[6]기타기관펀드(기초자산)</v>
      </c>
      <c r="X451" s="58">
        <f>작성용!O448</f>
        <v>0</v>
      </c>
      <c r="Y451" s="58">
        <f>작성용!P448</f>
        <v>0</v>
      </c>
      <c r="Z451" s="58">
        <f>작성용!Q448</f>
        <v>0</v>
      </c>
      <c r="AA451" s="56" t="str">
        <f>작성용!AJ448</f>
        <v>-</v>
      </c>
      <c r="AB451" s="56">
        <f>작성용!AB448</f>
        <v>0</v>
      </c>
    </row>
    <row r="452" spans="1:28" s="12" customFormat="1" ht="16.5" hidden="1" customHeight="1" x14ac:dyDescent="0.3">
      <c r="A452" s="54">
        <f>작성용!AL449</f>
        <v>448</v>
      </c>
      <c r="B452" s="55" t="str">
        <f>작성용!AI449</f>
        <v>-</v>
      </c>
      <c r="C452" s="56" t="str">
        <f>작성용!AK449</f>
        <v>기초자산</v>
      </c>
      <c r="D452" s="57" t="str">
        <f>작성용!T449</f>
        <v>고려아연펀드(기초자산)</v>
      </c>
      <c r="E452" s="58" t="str">
        <f>작성용!B449</f>
        <v>티비티오픈이노베이션투자조합</v>
      </c>
      <c r="F452" s="58" t="str">
        <f>작성용!C449</f>
        <v>재평가</v>
      </c>
      <c r="G452" s="58" t="str">
        <f>작성용!D449</f>
        <v>모토브</v>
      </c>
      <c r="H452" s="59">
        <f>작성용!E449</f>
        <v>1601110436653</v>
      </c>
      <c r="I452" s="58" t="str">
        <f>작성용!F449</f>
        <v>A07</v>
      </c>
      <c r="J452" s="58">
        <f>작성용!G449</f>
        <v>2</v>
      </c>
      <c r="K452" s="58" t="str">
        <f>작성용!H449</f>
        <v>-</v>
      </c>
      <c r="L452" s="58" t="str">
        <f>작성용!N449</f>
        <v>년</v>
      </c>
      <c r="M452" s="57" t="str">
        <f>작성용!U449</f>
        <v>2024.09.30</v>
      </c>
      <c r="N452" s="57">
        <f>작성용!V449</f>
        <v>45611</v>
      </c>
      <c r="O452" s="57" t="str">
        <f>작성용!W449</f>
        <v>보고서제공X</v>
      </c>
      <c r="P452" s="57" t="str">
        <f>작성용!X449</f>
        <v>-</v>
      </c>
      <c r="Q452" s="58" t="str">
        <f>작성용!AD449</f>
        <v>김수현</v>
      </c>
      <c r="R452" s="60">
        <f>작성용!AE449</f>
        <v>0</v>
      </c>
      <c r="S452" s="58" t="str">
        <f>작성용!AF449</f>
        <v>김수현</v>
      </c>
      <c r="T452" s="61" t="str">
        <f>작성용!AG449</f>
        <v>-</v>
      </c>
      <c r="U452" s="61" t="str">
        <f>작성용!AH449</f>
        <v>-</v>
      </c>
      <c r="V452" s="56">
        <f>작성용!AA449</f>
        <v>202411</v>
      </c>
      <c r="W452" s="58" t="str">
        <f>작성용!AC449</f>
        <v>[6]기타기관펀드(기초자산)</v>
      </c>
      <c r="X452" s="58">
        <f>작성용!O449</f>
        <v>0</v>
      </c>
      <c r="Y452" s="58">
        <f>작성용!P449</f>
        <v>0</v>
      </c>
      <c r="Z452" s="58">
        <f>작성용!Q449</f>
        <v>0</v>
      </c>
      <c r="AA452" s="56" t="str">
        <f>작성용!AJ449</f>
        <v>-</v>
      </c>
      <c r="AB452" s="56">
        <f>작성용!AB449</f>
        <v>0</v>
      </c>
    </row>
    <row r="453" spans="1:28" s="12" customFormat="1" ht="16.5" hidden="1" customHeight="1" x14ac:dyDescent="0.3">
      <c r="A453" s="54">
        <f>작성용!AL450</f>
        <v>449</v>
      </c>
      <c r="B453" s="55" t="str">
        <f>작성용!AI450</f>
        <v>-</v>
      </c>
      <c r="C453" s="56" t="str">
        <f>작성용!AK450</f>
        <v>기초자산</v>
      </c>
      <c r="D453" s="57" t="str">
        <f>작성용!T450</f>
        <v>고려아연펀드(기초자산)</v>
      </c>
      <c r="E453" s="58" t="str">
        <f>작성용!B450</f>
        <v>티비티오픈이노베이션투자조합</v>
      </c>
      <c r="F453" s="58" t="str">
        <f>작성용!C450</f>
        <v>재평가</v>
      </c>
      <c r="G453" s="58" t="str">
        <f>작성용!D450</f>
        <v>수퍼빈</v>
      </c>
      <c r="H453" s="59">
        <f>작성용!E450</f>
        <v>1101115770139</v>
      </c>
      <c r="I453" s="58" t="str">
        <f>작성용!F450</f>
        <v>A07</v>
      </c>
      <c r="J453" s="58">
        <f>작성용!G450</f>
        <v>0</v>
      </c>
      <c r="K453" s="58" t="str">
        <f>작성용!H450</f>
        <v>-</v>
      </c>
      <c r="L453" s="58" t="str">
        <f>작성용!N450</f>
        <v>년</v>
      </c>
      <c r="M453" s="57" t="str">
        <f>작성용!U450</f>
        <v>2024.09.30</v>
      </c>
      <c r="N453" s="57">
        <f>작성용!V450</f>
        <v>45611</v>
      </c>
      <c r="O453" s="57" t="str">
        <f>작성용!W450</f>
        <v>보고서제공X</v>
      </c>
      <c r="P453" s="57" t="str">
        <f>작성용!X450</f>
        <v>-</v>
      </c>
      <c r="Q453" s="58" t="str">
        <f>작성용!AD450</f>
        <v>김수현</v>
      </c>
      <c r="R453" s="60">
        <f>작성용!AE450</f>
        <v>0.6</v>
      </c>
      <c r="S453" s="58" t="str">
        <f>작성용!AF450</f>
        <v>김수현</v>
      </c>
      <c r="T453" s="61" t="str">
        <f>작성용!AG450</f>
        <v>-</v>
      </c>
      <c r="U453" s="61" t="str">
        <f>작성용!AH450</f>
        <v>-</v>
      </c>
      <c r="V453" s="56">
        <f>작성용!AA450</f>
        <v>202411</v>
      </c>
      <c r="W453" s="58" t="str">
        <f>작성용!AC450</f>
        <v>[6]기타기관펀드(기초자산)</v>
      </c>
      <c r="X453" s="58">
        <f>작성용!O450</f>
        <v>0</v>
      </c>
      <c r="Y453" s="58">
        <f>작성용!P450</f>
        <v>0</v>
      </c>
      <c r="Z453" s="58">
        <f>작성용!Q450</f>
        <v>0</v>
      </c>
      <c r="AA453" s="56" t="str">
        <f>작성용!AJ450</f>
        <v>-</v>
      </c>
      <c r="AB453" s="56">
        <f>작성용!AB450</f>
        <v>0</v>
      </c>
    </row>
    <row r="454" spans="1:28" s="12" customFormat="1" ht="16.5" hidden="1" customHeight="1" x14ac:dyDescent="0.3">
      <c r="A454" s="54">
        <f>작성용!AL451</f>
        <v>450</v>
      </c>
      <c r="B454" s="55" t="str">
        <f>작성용!AI451</f>
        <v>-</v>
      </c>
      <c r="C454" s="56" t="str">
        <f>작성용!AK451</f>
        <v>기초자산</v>
      </c>
      <c r="D454" s="57" t="str">
        <f>작성용!T451</f>
        <v>고려아연펀드(기초자산)</v>
      </c>
      <c r="E454" s="58" t="str">
        <f>작성용!B451</f>
        <v>티비티오픈이노베이션투자조합</v>
      </c>
      <c r="F454" s="58" t="str">
        <f>작성용!C451</f>
        <v>재평가</v>
      </c>
      <c r="G454" s="58" t="str">
        <f>작성용!D451</f>
        <v>콜라보그라운드</v>
      </c>
      <c r="H454" s="59">
        <f>작성용!E451</f>
        <v>1101116440880</v>
      </c>
      <c r="I454" s="58" t="str">
        <f>작성용!F451</f>
        <v>A07</v>
      </c>
      <c r="J454" s="58">
        <f>작성용!G451</f>
        <v>0</v>
      </c>
      <c r="K454" s="58" t="str">
        <f>작성용!H451</f>
        <v>-</v>
      </c>
      <c r="L454" s="58" t="str">
        <f>작성용!N451</f>
        <v>년</v>
      </c>
      <c r="M454" s="57" t="str">
        <f>작성용!U451</f>
        <v>2024.09.30</v>
      </c>
      <c r="N454" s="57">
        <f>작성용!V451</f>
        <v>45611</v>
      </c>
      <c r="O454" s="57" t="str">
        <f>작성용!W451</f>
        <v>보고서제공X</v>
      </c>
      <c r="P454" s="57" t="str">
        <f>작성용!X451</f>
        <v>-</v>
      </c>
      <c r="Q454" s="58" t="str">
        <f>작성용!AD451</f>
        <v>오수현</v>
      </c>
      <c r="R454" s="60">
        <f>작성용!AE451</f>
        <v>0</v>
      </c>
      <c r="S454" s="58" t="str">
        <f>작성용!AF451</f>
        <v>오수현</v>
      </c>
      <c r="T454" s="61" t="str">
        <f>작성용!AG451</f>
        <v>-</v>
      </c>
      <c r="U454" s="61" t="str">
        <f>작성용!AH451</f>
        <v>-</v>
      </c>
      <c r="V454" s="56">
        <f>작성용!AA451</f>
        <v>202411</v>
      </c>
      <c r="W454" s="58" t="str">
        <f>작성용!AC451</f>
        <v>[6]기타기관펀드(기초자산)</v>
      </c>
      <c r="X454" s="58">
        <f>작성용!O451</f>
        <v>0</v>
      </c>
      <c r="Y454" s="58">
        <f>작성용!P451</f>
        <v>0</v>
      </c>
      <c r="Z454" s="58">
        <f>작성용!Q451</f>
        <v>0</v>
      </c>
      <c r="AA454" s="56" t="str">
        <f>작성용!AJ451</f>
        <v>-</v>
      </c>
      <c r="AB454" s="56">
        <f>작성용!AB451</f>
        <v>0</v>
      </c>
    </row>
    <row r="455" spans="1:28" s="12" customFormat="1" ht="16.5" hidden="1" customHeight="1" x14ac:dyDescent="0.3">
      <c r="A455" s="54">
        <f>작성용!AL452</f>
        <v>451</v>
      </c>
      <c r="B455" s="55" t="str">
        <f>작성용!AI452</f>
        <v>-</v>
      </c>
      <c r="C455" s="56" t="str">
        <f>작성용!AK452</f>
        <v>기초자산</v>
      </c>
      <c r="D455" s="57" t="str">
        <f>작성용!T452</f>
        <v>고려아연펀드(기초자산)</v>
      </c>
      <c r="E455" s="58" t="str">
        <f>작성용!B452</f>
        <v>티비티오픈이노베이션투자조합</v>
      </c>
      <c r="F455" s="58" t="str">
        <f>작성용!C452</f>
        <v>재평가</v>
      </c>
      <c r="G455" s="58" t="str">
        <f>작성용!D452</f>
        <v>에딧메이트</v>
      </c>
      <c r="H455" s="59">
        <f>작성용!E452</f>
        <v>1101116243424</v>
      </c>
      <c r="I455" s="58" t="str">
        <f>작성용!F452</f>
        <v>A05</v>
      </c>
      <c r="J455" s="58">
        <f>작성용!G452</f>
        <v>0</v>
      </c>
      <c r="K455" s="58" t="str">
        <f>작성용!H452</f>
        <v>-</v>
      </c>
      <c r="L455" s="58" t="str">
        <f>작성용!N452</f>
        <v>년</v>
      </c>
      <c r="M455" s="57" t="str">
        <f>작성용!U452</f>
        <v>2024.09.30</v>
      </c>
      <c r="N455" s="57">
        <f>작성용!V452</f>
        <v>45611</v>
      </c>
      <c r="O455" s="57" t="str">
        <f>작성용!W452</f>
        <v>보고서제공X</v>
      </c>
      <c r="P455" s="57" t="str">
        <f>작성용!X452</f>
        <v>-</v>
      </c>
      <c r="Q455" s="58" t="str">
        <f>작성용!AD452</f>
        <v>오영석</v>
      </c>
      <c r="R455" s="60">
        <f>작성용!AE452</f>
        <v>0</v>
      </c>
      <c r="S455" s="58" t="str">
        <f>작성용!AF452</f>
        <v>서수빈</v>
      </c>
      <c r="T455" s="61" t="str">
        <f>작성용!AG452</f>
        <v>-</v>
      </c>
      <c r="U455" s="61" t="str">
        <f>작성용!AH452</f>
        <v>-</v>
      </c>
      <c r="V455" s="56">
        <f>작성용!AA452</f>
        <v>202411</v>
      </c>
      <c r="W455" s="58" t="str">
        <f>작성용!AC452</f>
        <v>[6]기타기관펀드(기초자산)</v>
      </c>
      <c r="X455" s="58">
        <f>작성용!O452</f>
        <v>0</v>
      </c>
      <c r="Y455" s="58">
        <f>작성용!P452</f>
        <v>0</v>
      </c>
      <c r="Z455" s="58">
        <f>작성용!Q452</f>
        <v>0</v>
      </c>
      <c r="AA455" s="56" t="str">
        <f>작성용!AJ452</f>
        <v>-</v>
      </c>
      <c r="AB455" s="56">
        <f>작성용!AB452</f>
        <v>0</v>
      </c>
    </row>
    <row r="456" spans="1:28" s="12" customFormat="1" ht="16.5" hidden="1" customHeight="1" x14ac:dyDescent="0.3">
      <c r="A456" s="54">
        <f>작성용!AL453</f>
        <v>452</v>
      </c>
      <c r="B456" s="55" t="str">
        <f>작성용!AI453</f>
        <v>-</v>
      </c>
      <c r="C456" s="56" t="str">
        <f>작성용!AK453</f>
        <v>기초자산</v>
      </c>
      <c r="D456" s="57" t="str">
        <f>작성용!T453</f>
        <v>고려아연펀드(기초자산)</v>
      </c>
      <c r="E456" s="58" t="str">
        <f>작성용!B453</f>
        <v>티비티오픈이노베이션투자조합</v>
      </c>
      <c r="F456" s="58" t="str">
        <f>작성용!C453</f>
        <v>재평가</v>
      </c>
      <c r="G456" s="58" t="str">
        <f>작성용!D453</f>
        <v>릴리커버</v>
      </c>
      <c r="H456" s="59">
        <f>작성용!E453</f>
        <v>1701110626400</v>
      </c>
      <c r="I456" s="58" t="str">
        <f>작성용!F453</f>
        <v>A07</v>
      </c>
      <c r="J456" s="58">
        <f>작성용!G453</f>
        <v>0</v>
      </c>
      <c r="K456" s="58" t="str">
        <f>작성용!H453</f>
        <v>-</v>
      </c>
      <c r="L456" s="58" t="str">
        <f>작성용!N453</f>
        <v>년</v>
      </c>
      <c r="M456" s="57" t="str">
        <f>작성용!U453</f>
        <v>2024.09.30</v>
      </c>
      <c r="N456" s="57">
        <f>작성용!V453</f>
        <v>45611</v>
      </c>
      <c r="O456" s="57" t="str">
        <f>작성용!W453</f>
        <v>보고서제공X</v>
      </c>
      <c r="P456" s="57" t="str">
        <f>작성용!X453</f>
        <v>-</v>
      </c>
      <c r="Q456" s="58" t="str">
        <f>작성용!AD453</f>
        <v>심태진</v>
      </c>
      <c r="R456" s="60">
        <f>작성용!AE453</f>
        <v>0</v>
      </c>
      <c r="S456" s="58" t="str">
        <f>작성용!AF453</f>
        <v>심태진</v>
      </c>
      <c r="T456" s="61" t="str">
        <f>작성용!AG453</f>
        <v>-</v>
      </c>
      <c r="U456" s="61" t="str">
        <f>작성용!AH453</f>
        <v>-</v>
      </c>
      <c r="V456" s="56">
        <f>작성용!AA453</f>
        <v>202411</v>
      </c>
      <c r="W456" s="58" t="str">
        <f>작성용!AC453</f>
        <v>[6]기타기관펀드(기초자산)</v>
      </c>
      <c r="X456" s="58">
        <f>작성용!O453</f>
        <v>0</v>
      </c>
      <c r="Y456" s="58">
        <f>작성용!P453</f>
        <v>0</v>
      </c>
      <c r="Z456" s="58">
        <f>작성용!Q453</f>
        <v>0</v>
      </c>
      <c r="AA456" s="56" t="str">
        <f>작성용!AJ453</f>
        <v>-</v>
      </c>
      <c r="AB456" s="56">
        <f>작성용!AB453</f>
        <v>0</v>
      </c>
    </row>
    <row r="457" spans="1:28" s="12" customFormat="1" ht="16.5" hidden="1" customHeight="1" x14ac:dyDescent="0.3">
      <c r="A457" s="54">
        <f>작성용!AL454</f>
        <v>453</v>
      </c>
      <c r="B457" s="55" t="str">
        <f>작성용!AI454</f>
        <v>-</v>
      </c>
      <c r="C457" s="56" t="str">
        <f>작성용!AK454</f>
        <v>기초자산</v>
      </c>
      <c r="D457" s="57" t="str">
        <f>작성용!T454</f>
        <v>고려아연펀드(기초자산)</v>
      </c>
      <c r="E457" s="58" t="str">
        <f>작성용!B454</f>
        <v>티비티오픈이노베이션투자조합</v>
      </c>
      <c r="F457" s="58" t="str">
        <f>작성용!C454</f>
        <v>재평가</v>
      </c>
      <c r="G457" s="58" t="str">
        <f>작성용!D454</f>
        <v>업스테이지</v>
      </c>
      <c r="H457" s="59">
        <f>작성용!E454</f>
        <v>1345110479962</v>
      </c>
      <c r="I457" s="58" t="str">
        <f>작성용!F454</f>
        <v>A05</v>
      </c>
      <c r="J457" s="58">
        <f>작성용!G454</f>
        <v>0</v>
      </c>
      <c r="K457" s="58" t="str">
        <f>작성용!H454</f>
        <v>-</v>
      </c>
      <c r="L457" s="58" t="str">
        <f>작성용!N454</f>
        <v>년</v>
      </c>
      <c r="M457" s="57" t="str">
        <f>작성용!U454</f>
        <v>2024.09.30</v>
      </c>
      <c r="N457" s="57">
        <f>작성용!V454</f>
        <v>45611</v>
      </c>
      <c r="O457" s="57" t="str">
        <f>작성용!W454</f>
        <v>보고서제공X</v>
      </c>
      <c r="P457" s="57" t="str">
        <f>작성용!X454</f>
        <v>-</v>
      </c>
      <c r="Q457" s="58" t="str">
        <f>작성용!AD454</f>
        <v>정은채</v>
      </c>
      <c r="R457" s="60">
        <f>작성용!AE454</f>
        <v>0</v>
      </c>
      <c r="S457" s="58" t="str">
        <f>작성용!AF454</f>
        <v>정은채</v>
      </c>
      <c r="T457" s="61" t="str">
        <f>작성용!AG454</f>
        <v>-</v>
      </c>
      <c r="U457" s="61" t="str">
        <f>작성용!AH454</f>
        <v>-</v>
      </c>
      <c r="V457" s="56">
        <f>작성용!AA454</f>
        <v>202411</v>
      </c>
      <c r="W457" s="58" t="str">
        <f>작성용!AC454</f>
        <v>[6]기타기관펀드(기초자산)</v>
      </c>
      <c r="X457" s="58">
        <f>작성용!O454</f>
        <v>0</v>
      </c>
      <c r="Y457" s="58">
        <f>작성용!P454</f>
        <v>0</v>
      </c>
      <c r="Z457" s="58">
        <f>작성용!Q454</f>
        <v>0</v>
      </c>
      <c r="AA457" s="56" t="str">
        <f>작성용!AJ454</f>
        <v>-</v>
      </c>
      <c r="AB457" s="56">
        <f>작성용!AB454</f>
        <v>0</v>
      </c>
    </row>
    <row r="458" spans="1:28" s="12" customFormat="1" ht="16.5" hidden="1" customHeight="1" x14ac:dyDescent="0.3">
      <c r="A458" s="54">
        <f>작성용!AL455</f>
        <v>454</v>
      </c>
      <c r="B458" s="55" t="str">
        <f>작성용!AI455</f>
        <v>-</v>
      </c>
      <c r="C458" s="56" t="str">
        <f>작성용!AK455</f>
        <v>기초자산</v>
      </c>
      <c r="D458" s="57" t="str">
        <f>작성용!T455</f>
        <v>고려아연펀드(기초자산)</v>
      </c>
      <c r="E458" s="58" t="str">
        <f>작성용!B455</f>
        <v>티비티오픈이노베이션투자조합</v>
      </c>
      <c r="F458" s="58" t="str">
        <f>작성용!C455</f>
        <v>재평가</v>
      </c>
      <c r="G458" s="58" t="str">
        <f>작성용!D455</f>
        <v>레몬트리</v>
      </c>
      <c r="H458" s="59">
        <f>작성용!E455</f>
        <v>1311110640168</v>
      </c>
      <c r="I458" s="58" t="str">
        <f>작성용!F455</f>
        <v>A07</v>
      </c>
      <c r="J458" s="58">
        <f>작성용!G455</f>
        <v>0</v>
      </c>
      <c r="K458" s="58" t="str">
        <f>작성용!H455</f>
        <v>-</v>
      </c>
      <c r="L458" s="58" t="str">
        <f>작성용!N455</f>
        <v>년</v>
      </c>
      <c r="M458" s="57" t="str">
        <f>작성용!U455</f>
        <v>2024.09.30</v>
      </c>
      <c r="N458" s="57">
        <f>작성용!V455</f>
        <v>45611</v>
      </c>
      <c r="O458" s="57" t="str">
        <f>작성용!W455</f>
        <v>보고서제공X</v>
      </c>
      <c r="P458" s="57" t="str">
        <f>작성용!X455</f>
        <v>-</v>
      </c>
      <c r="Q458" s="58" t="str">
        <f>작성용!AD455</f>
        <v>강성은</v>
      </c>
      <c r="R458" s="60">
        <f>작성용!AE455</f>
        <v>0</v>
      </c>
      <c r="S458" s="58" t="str">
        <f>작성용!AF455</f>
        <v>강성은</v>
      </c>
      <c r="T458" s="61" t="str">
        <f>작성용!AG455</f>
        <v>-</v>
      </c>
      <c r="U458" s="61" t="str">
        <f>작성용!AH455</f>
        <v>-</v>
      </c>
      <c r="V458" s="56">
        <f>작성용!AA455</f>
        <v>202411</v>
      </c>
      <c r="W458" s="58" t="str">
        <f>작성용!AC455</f>
        <v>[6]기타기관펀드(기초자산)</v>
      </c>
      <c r="X458" s="58">
        <f>작성용!O455</f>
        <v>0</v>
      </c>
      <c r="Y458" s="58">
        <f>작성용!P455</f>
        <v>0</v>
      </c>
      <c r="Z458" s="58">
        <f>작성용!Q455</f>
        <v>0</v>
      </c>
      <c r="AA458" s="56" t="str">
        <f>작성용!AJ455</f>
        <v>-</v>
      </c>
      <c r="AB458" s="56">
        <f>작성용!AB455</f>
        <v>0</v>
      </c>
    </row>
    <row r="459" spans="1:28" s="12" customFormat="1" ht="16.5" hidden="1" customHeight="1" x14ac:dyDescent="0.3">
      <c r="A459" s="54">
        <f>작성용!AL456</f>
        <v>455</v>
      </c>
      <c r="B459" s="55" t="str">
        <f>작성용!AI456</f>
        <v>-</v>
      </c>
      <c r="C459" s="56" t="str">
        <f>작성용!AK456</f>
        <v>기초자산</v>
      </c>
      <c r="D459" s="57" t="str">
        <f>작성용!T456</f>
        <v>고려아연펀드(기초자산)</v>
      </c>
      <c r="E459" s="58" t="str">
        <f>작성용!B456</f>
        <v>티비티오픈이노베이션투자조합</v>
      </c>
      <c r="F459" s="58" t="str">
        <f>작성용!C456</f>
        <v>재평가</v>
      </c>
      <c r="G459" s="58" t="str">
        <f>작성용!D456</f>
        <v>그립컴퍼니(구,그립)</v>
      </c>
      <c r="H459" s="59">
        <f>작성용!E456</f>
        <v>1311110526623</v>
      </c>
      <c r="I459" s="58" t="str">
        <f>작성용!F456</f>
        <v>A01</v>
      </c>
      <c r="J459" s="58">
        <f>작성용!G456</f>
        <v>0</v>
      </c>
      <c r="K459" s="58" t="str">
        <f>작성용!H456</f>
        <v>-</v>
      </c>
      <c r="L459" s="58" t="str">
        <f>작성용!N456</f>
        <v>년</v>
      </c>
      <c r="M459" s="57" t="str">
        <f>작성용!U456</f>
        <v>2024.09.30</v>
      </c>
      <c r="N459" s="57">
        <f>작성용!V456</f>
        <v>45611</v>
      </c>
      <c r="O459" s="57" t="str">
        <f>작성용!W456</f>
        <v>보고서제공X</v>
      </c>
      <c r="P459" s="57" t="str">
        <f>작성용!X456</f>
        <v>-</v>
      </c>
      <c r="Q459" s="58" t="str">
        <f>작성용!AD456</f>
        <v>백형진</v>
      </c>
      <c r="R459" s="60">
        <f>작성용!AE456</f>
        <v>0.6</v>
      </c>
      <c r="S459" s="58" t="str">
        <f>작성용!AF456</f>
        <v>백형진</v>
      </c>
      <c r="T459" s="61" t="str">
        <f>작성용!AG456</f>
        <v>-</v>
      </c>
      <c r="U459" s="61" t="str">
        <f>작성용!AH456</f>
        <v>-</v>
      </c>
      <c r="V459" s="56">
        <f>작성용!AA456</f>
        <v>202411</v>
      </c>
      <c r="W459" s="58" t="str">
        <f>작성용!AC456</f>
        <v>[6]기타기관펀드(기초자산)</v>
      </c>
      <c r="X459" s="58">
        <f>작성용!O456</f>
        <v>0</v>
      </c>
      <c r="Y459" s="58">
        <f>작성용!P456</f>
        <v>0</v>
      </c>
      <c r="Z459" s="58">
        <f>작성용!Q456</f>
        <v>0</v>
      </c>
      <c r="AA459" s="56" t="str">
        <f>작성용!AJ456</f>
        <v>-</v>
      </c>
      <c r="AB459" s="56">
        <f>작성용!AB456</f>
        <v>0</v>
      </c>
    </row>
    <row r="460" spans="1:28" s="12" customFormat="1" ht="16.5" hidden="1" customHeight="1" x14ac:dyDescent="0.3">
      <c r="A460" s="54">
        <f>작성용!AL457</f>
        <v>456</v>
      </c>
      <c r="B460" s="55" t="str">
        <f>작성용!AI457</f>
        <v>-</v>
      </c>
      <c r="C460" s="56" t="str">
        <f>작성용!AK457</f>
        <v>기초자산</v>
      </c>
      <c r="D460" s="57" t="str">
        <f>작성용!T457</f>
        <v>고려아연펀드(기초자산)</v>
      </c>
      <c r="E460" s="58" t="str">
        <f>작성용!B457</f>
        <v>티비티오픈이노베이션투자조합</v>
      </c>
      <c r="F460" s="58" t="str">
        <f>작성용!C457</f>
        <v>재평가</v>
      </c>
      <c r="G460" s="58" t="str">
        <f>작성용!D457</f>
        <v>닷</v>
      </c>
      <c r="H460" s="59">
        <f>작성용!E457</f>
        <v>1101115686279</v>
      </c>
      <c r="I460" s="58" t="str">
        <f>작성용!F457</f>
        <v>A01</v>
      </c>
      <c r="J460" s="58">
        <f>작성용!G457</f>
        <v>0</v>
      </c>
      <c r="K460" s="58" t="str">
        <f>작성용!H457</f>
        <v>-</v>
      </c>
      <c r="L460" s="58" t="str">
        <f>작성용!N457</f>
        <v>년</v>
      </c>
      <c r="M460" s="57" t="str">
        <f>작성용!U457</f>
        <v>2024.09.30</v>
      </c>
      <c r="N460" s="57">
        <f>작성용!V457</f>
        <v>45611</v>
      </c>
      <c r="O460" s="57" t="str">
        <f>작성용!W457</f>
        <v>보고서제공X</v>
      </c>
      <c r="P460" s="57" t="str">
        <f>작성용!X457</f>
        <v>-</v>
      </c>
      <c r="Q460" s="58" t="str">
        <f>작성용!AD457</f>
        <v>김에스더</v>
      </c>
      <c r="R460" s="60">
        <f>작성용!AE457</f>
        <v>0.6</v>
      </c>
      <c r="S460" s="58" t="str">
        <f>작성용!AF457</f>
        <v>김수현</v>
      </c>
      <c r="T460" s="61" t="str">
        <f>작성용!AG457</f>
        <v>-</v>
      </c>
      <c r="U460" s="61" t="str">
        <f>작성용!AH457</f>
        <v>-</v>
      </c>
      <c r="V460" s="56">
        <f>작성용!AA457</f>
        <v>202411</v>
      </c>
      <c r="W460" s="58" t="str">
        <f>작성용!AC457</f>
        <v>[6]기타기관펀드(기초자산)</v>
      </c>
      <c r="X460" s="58">
        <f>작성용!O457</f>
        <v>0</v>
      </c>
      <c r="Y460" s="58">
        <f>작성용!P457</f>
        <v>0</v>
      </c>
      <c r="Z460" s="58">
        <f>작성용!Q457</f>
        <v>0</v>
      </c>
      <c r="AA460" s="56" t="str">
        <f>작성용!AJ457</f>
        <v>-</v>
      </c>
      <c r="AB460" s="56">
        <f>작성용!AB457</f>
        <v>0</v>
      </c>
    </row>
    <row r="461" spans="1:28" s="12" customFormat="1" ht="16.5" hidden="1" customHeight="1" x14ac:dyDescent="0.3">
      <c r="A461" s="54">
        <f>작성용!AL458</f>
        <v>457</v>
      </c>
      <c r="B461" s="55" t="str">
        <f>작성용!AI458</f>
        <v>-</v>
      </c>
      <c r="C461" s="56" t="str">
        <f>작성용!AK458</f>
        <v>기초자산</v>
      </c>
      <c r="D461" s="57" t="str">
        <f>작성용!T458</f>
        <v>고려아연펀드(기초자산)</v>
      </c>
      <c r="E461" s="58" t="str">
        <f>작성용!B458</f>
        <v>티비티오픈이노베이션투자조합</v>
      </c>
      <c r="F461" s="58" t="str">
        <f>작성용!C458</f>
        <v>재평가</v>
      </c>
      <c r="G461" s="58" t="str">
        <f>작성용!D458</f>
        <v>닷</v>
      </c>
      <c r="H461" s="59">
        <f>작성용!E458</f>
        <v>1101115686279</v>
      </c>
      <c r="I461" s="58" t="str">
        <f>작성용!F458</f>
        <v>A07</v>
      </c>
      <c r="J461" s="58">
        <f>작성용!G458</f>
        <v>3</v>
      </c>
      <c r="K461" s="58" t="str">
        <f>작성용!H458</f>
        <v>-</v>
      </c>
      <c r="L461" s="58" t="str">
        <f>작성용!N458</f>
        <v>년</v>
      </c>
      <c r="M461" s="57" t="str">
        <f>작성용!U458</f>
        <v>2024.09.30</v>
      </c>
      <c r="N461" s="57">
        <f>작성용!V458</f>
        <v>45611</v>
      </c>
      <c r="O461" s="57" t="str">
        <f>작성용!W458</f>
        <v>보고서제공X</v>
      </c>
      <c r="P461" s="57" t="str">
        <f>작성용!X458</f>
        <v>-</v>
      </c>
      <c r="Q461" s="58" t="str">
        <f>작성용!AD458</f>
        <v>김에스더</v>
      </c>
      <c r="R461" s="60">
        <f>작성용!AE458</f>
        <v>0</v>
      </c>
      <c r="S461" s="58" t="str">
        <f>작성용!AF458</f>
        <v>김수현</v>
      </c>
      <c r="T461" s="61" t="str">
        <f>작성용!AG458</f>
        <v>-</v>
      </c>
      <c r="U461" s="61" t="str">
        <f>작성용!AH458</f>
        <v>-</v>
      </c>
      <c r="V461" s="56">
        <f>작성용!AA458</f>
        <v>202411</v>
      </c>
      <c r="W461" s="58" t="str">
        <f>작성용!AC458</f>
        <v>[6]기타기관펀드(기초자산)</v>
      </c>
      <c r="X461" s="58">
        <f>작성용!O458</f>
        <v>0</v>
      </c>
      <c r="Y461" s="58">
        <f>작성용!P458</f>
        <v>0</v>
      </c>
      <c r="Z461" s="58">
        <f>작성용!Q458</f>
        <v>0</v>
      </c>
      <c r="AA461" s="56" t="str">
        <f>작성용!AJ458</f>
        <v>-</v>
      </c>
      <c r="AB461" s="56">
        <f>작성용!AB458</f>
        <v>0</v>
      </c>
    </row>
    <row r="462" spans="1:28" s="12" customFormat="1" ht="16.5" hidden="1" customHeight="1" x14ac:dyDescent="0.3">
      <c r="A462" s="54">
        <f>작성용!AL459</f>
        <v>458</v>
      </c>
      <c r="B462" s="55" t="str">
        <f>작성용!AI459</f>
        <v>-</v>
      </c>
      <c r="C462" s="56" t="str">
        <f>작성용!AK459</f>
        <v>기초자산</v>
      </c>
      <c r="D462" s="57" t="str">
        <f>작성용!T459</f>
        <v>고려아연펀드(기초자산)</v>
      </c>
      <c r="E462" s="58" t="str">
        <f>작성용!B459</f>
        <v>티비티오픈이노베이션투자조합</v>
      </c>
      <c r="F462" s="58" t="str">
        <f>작성용!C459</f>
        <v>재평가</v>
      </c>
      <c r="G462" s="58" t="str">
        <f>작성용!D459</f>
        <v>그렙</v>
      </c>
      <c r="H462" s="59">
        <f>작성용!E459</f>
        <v>1101115366350</v>
      </c>
      <c r="I462" s="58" t="str">
        <f>작성용!F459</f>
        <v>A07</v>
      </c>
      <c r="J462" s="58">
        <f>작성용!G459</f>
        <v>1</v>
      </c>
      <c r="K462" s="58" t="str">
        <f>작성용!H459</f>
        <v>-</v>
      </c>
      <c r="L462" s="58" t="str">
        <f>작성용!N459</f>
        <v>년</v>
      </c>
      <c r="M462" s="57" t="str">
        <f>작성용!U459</f>
        <v>2024.09.30</v>
      </c>
      <c r="N462" s="57">
        <f>작성용!V459</f>
        <v>45611</v>
      </c>
      <c r="O462" s="57" t="str">
        <f>작성용!W459</f>
        <v>보고서제공X</v>
      </c>
      <c r="P462" s="57" t="str">
        <f>작성용!X459</f>
        <v>-</v>
      </c>
      <c r="Q462" s="58" t="str">
        <f>작성용!AD459</f>
        <v>이문수</v>
      </c>
      <c r="R462" s="60">
        <f>작성용!AE459</f>
        <v>0</v>
      </c>
      <c r="S462" s="58" t="str">
        <f>작성용!AF459</f>
        <v>이문수</v>
      </c>
      <c r="T462" s="61" t="str">
        <f>작성용!AG459</f>
        <v>-</v>
      </c>
      <c r="U462" s="61" t="str">
        <f>작성용!AH459</f>
        <v>-</v>
      </c>
      <c r="V462" s="56">
        <f>작성용!AA459</f>
        <v>202411</v>
      </c>
      <c r="W462" s="58" t="str">
        <f>작성용!AC459</f>
        <v>[6]기타기관펀드(기초자산)</v>
      </c>
      <c r="X462" s="58">
        <f>작성용!O459</f>
        <v>0</v>
      </c>
      <c r="Y462" s="58">
        <f>작성용!P459</f>
        <v>0</v>
      </c>
      <c r="Z462" s="58">
        <f>작성용!Q459</f>
        <v>0</v>
      </c>
      <c r="AA462" s="56" t="str">
        <f>작성용!AJ459</f>
        <v>-</v>
      </c>
      <c r="AB462" s="56">
        <f>작성용!AB459</f>
        <v>0</v>
      </c>
    </row>
    <row r="463" spans="1:28" s="12" customFormat="1" ht="16.5" hidden="1" customHeight="1" x14ac:dyDescent="0.3">
      <c r="A463" s="54">
        <f>작성용!AL460</f>
        <v>459</v>
      </c>
      <c r="B463" s="55" t="str">
        <f>작성용!AI460</f>
        <v>-</v>
      </c>
      <c r="C463" s="56" t="str">
        <f>작성용!AK460</f>
        <v>기초자산</v>
      </c>
      <c r="D463" s="57" t="str">
        <f>작성용!T460</f>
        <v>고려아연펀드(기초자산)</v>
      </c>
      <c r="E463" s="58" t="str">
        <f>작성용!B460</f>
        <v>티비티오픈이노베이션투자조합</v>
      </c>
      <c r="F463" s="58" t="str">
        <f>작성용!C460</f>
        <v>재평가</v>
      </c>
      <c r="G463" s="58" t="str">
        <f>작성용!D460</f>
        <v>에스랩아시아</v>
      </c>
      <c r="H463" s="59">
        <f>작성용!E460</f>
        <v>1101115595321</v>
      </c>
      <c r="I463" s="58" t="str">
        <f>작성용!F460</f>
        <v>A07</v>
      </c>
      <c r="J463" s="58">
        <f>작성용!G460</f>
        <v>0</v>
      </c>
      <c r="K463" s="58" t="str">
        <f>작성용!H460</f>
        <v>-</v>
      </c>
      <c r="L463" s="58" t="str">
        <f>작성용!N460</f>
        <v>년</v>
      </c>
      <c r="M463" s="57" t="str">
        <f>작성용!U460</f>
        <v>2024.09.30</v>
      </c>
      <c r="N463" s="57">
        <f>작성용!V460</f>
        <v>45611</v>
      </c>
      <c r="O463" s="57" t="str">
        <f>작성용!W460</f>
        <v>보고서제공X</v>
      </c>
      <c r="P463" s="57" t="str">
        <f>작성용!X460</f>
        <v>-</v>
      </c>
      <c r="Q463" s="58" t="str">
        <f>작성용!AD460</f>
        <v>채동우</v>
      </c>
      <c r="R463" s="60">
        <f>작성용!AE460</f>
        <v>0.6</v>
      </c>
      <c r="S463" s="58" t="str">
        <f>작성용!AF460</f>
        <v>채동우</v>
      </c>
      <c r="T463" s="61" t="str">
        <f>작성용!AG460</f>
        <v>-</v>
      </c>
      <c r="U463" s="61" t="str">
        <f>작성용!AH460</f>
        <v>-</v>
      </c>
      <c r="V463" s="56">
        <f>작성용!AA460</f>
        <v>202411</v>
      </c>
      <c r="W463" s="58" t="str">
        <f>작성용!AC460</f>
        <v>[6]기타기관펀드(기초자산)</v>
      </c>
      <c r="X463" s="58">
        <f>작성용!O460</f>
        <v>0</v>
      </c>
      <c r="Y463" s="58">
        <f>작성용!P460</f>
        <v>0</v>
      </c>
      <c r="Z463" s="58">
        <f>작성용!Q460</f>
        <v>0</v>
      </c>
      <c r="AA463" s="56" t="str">
        <f>작성용!AJ460</f>
        <v>-</v>
      </c>
      <c r="AB463" s="56">
        <f>작성용!AB460</f>
        <v>0</v>
      </c>
    </row>
    <row r="464" spans="1:28" s="12" customFormat="1" ht="16.5" hidden="1" customHeight="1" x14ac:dyDescent="0.3">
      <c r="A464" s="54">
        <f>작성용!AL461</f>
        <v>460</v>
      </c>
      <c r="B464" s="55" t="str">
        <f>작성용!AI461</f>
        <v>-</v>
      </c>
      <c r="C464" s="56" t="str">
        <f>작성용!AK461</f>
        <v>기초자산</v>
      </c>
      <c r="D464" s="57" t="str">
        <f>작성용!T461</f>
        <v>고려아연펀드(기초자산)</v>
      </c>
      <c r="E464" s="58" t="str">
        <f>작성용!B461</f>
        <v>티비티오픈이노베이션투자조합</v>
      </c>
      <c r="F464" s="58" t="str">
        <f>작성용!C461</f>
        <v>재평가</v>
      </c>
      <c r="G464" s="58" t="str">
        <f>작성용!D461</f>
        <v>넷스파</v>
      </c>
      <c r="H464" s="59">
        <f>작성용!E461</f>
        <v>1801111319573</v>
      </c>
      <c r="I464" s="58" t="str">
        <f>작성용!F461</f>
        <v>A07</v>
      </c>
      <c r="J464" s="58">
        <f>작성용!G461</f>
        <v>0</v>
      </c>
      <c r="K464" s="58" t="str">
        <f>작성용!H461</f>
        <v>-</v>
      </c>
      <c r="L464" s="58" t="str">
        <f>작성용!N461</f>
        <v>년</v>
      </c>
      <c r="M464" s="57" t="str">
        <f>작성용!U461</f>
        <v>2024.09.30</v>
      </c>
      <c r="N464" s="57">
        <f>작성용!V461</f>
        <v>45611</v>
      </c>
      <c r="O464" s="57" t="str">
        <f>작성용!W461</f>
        <v>보고서제공X</v>
      </c>
      <c r="P464" s="57" t="str">
        <f>작성용!X461</f>
        <v>-</v>
      </c>
      <c r="Q464" s="58" t="str">
        <f>작성용!AD461</f>
        <v>채동우</v>
      </c>
      <c r="R464" s="60">
        <f>작성용!AE461</f>
        <v>0</v>
      </c>
      <c r="S464" s="58" t="str">
        <f>작성용!AF461</f>
        <v>채동우</v>
      </c>
      <c r="T464" s="61" t="str">
        <f>작성용!AG461</f>
        <v>-</v>
      </c>
      <c r="U464" s="61" t="str">
        <f>작성용!AH461</f>
        <v>-</v>
      </c>
      <c r="V464" s="56">
        <f>작성용!AA461</f>
        <v>202411</v>
      </c>
      <c r="W464" s="58" t="str">
        <f>작성용!AC461</f>
        <v>[6]기타기관펀드(기초자산)</v>
      </c>
      <c r="X464" s="58">
        <f>작성용!O461</f>
        <v>0</v>
      </c>
      <c r="Y464" s="58">
        <f>작성용!P461</f>
        <v>0</v>
      </c>
      <c r="Z464" s="58">
        <f>작성용!Q461</f>
        <v>0</v>
      </c>
      <c r="AA464" s="56" t="str">
        <f>작성용!AJ461</f>
        <v>-</v>
      </c>
      <c r="AB464" s="56">
        <f>작성용!AB461</f>
        <v>0</v>
      </c>
    </row>
    <row r="465" spans="1:28" s="12" customFormat="1" ht="16.5" hidden="1" customHeight="1" x14ac:dyDescent="0.3">
      <c r="A465" s="54">
        <f>작성용!AL462</f>
        <v>461</v>
      </c>
      <c r="B465" s="55" t="str">
        <f>작성용!AI462</f>
        <v>-</v>
      </c>
      <c r="C465" s="56" t="str">
        <f>작성용!AK462</f>
        <v>기초자산</v>
      </c>
      <c r="D465" s="57" t="str">
        <f>작성용!T462</f>
        <v>고려아연펀드(기초자산)</v>
      </c>
      <c r="E465" s="58" t="str">
        <f>작성용!B462</f>
        <v>티비티오픈이노베이션투자조합</v>
      </c>
      <c r="F465" s="58" t="str">
        <f>작성용!C462</f>
        <v>재평가</v>
      </c>
      <c r="G465" s="58" t="str">
        <f>작성용!D462</f>
        <v>코코지</v>
      </c>
      <c r="H465" s="59">
        <f>작성용!E462</f>
        <v>1101117619624</v>
      </c>
      <c r="I465" s="58" t="str">
        <f>작성용!F462</f>
        <v>A07</v>
      </c>
      <c r="J465" s="58">
        <f>작성용!G462</f>
        <v>0</v>
      </c>
      <c r="K465" s="58" t="str">
        <f>작성용!H462</f>
        <v>-</v>
      </c>
      <c r="L465" s="58" t="str">
        <f>작성용!N462</f>
        <v>년</v>
      </c>
      <c r="M465" s="57" t="str">
        <f>작성용!U462</f>
        <v>2024.09.30</v>
      </c>
      <c r="N465" s="57">
        <f>작성용!V462</f>
        <v>45611</v>
      </c>
      <c r="O465" s="57" t="str">
        <f>작성용!W462</f>
        <v>보고서제공X</v>
      </c>
      <c r="P465" s="57" t="str">
        <f>작성용!X462</f>
        <v>-</v>
      </c>
      <c r="Q465" s="58" t="str">
        <f>작성용!AD462</f>
        <v>강성은</v>
      </c>
      <c r="R465" s="60">
        <f>작성용!AE462</f>
        <v>0</v>
      </c>
      <c r="S465" s="58" t="str">
        <f>작성용!AF462</f>
        <v>강성은</v>
      </c>
      <c r="T465" s="61" t="str">
        <f>작성용!AG462</f>
        <v>-</v>
      </c>
      <c r="U465" s="61" t="str">
        <f>작성용!AH462</f>
        <v>-</v>
      </c>
      <c r="V465" s="56">
        <f>작성용!AA462</f>
        <v>202411</v>
      </c>
      <c r="W465" s="58" t="str">
        <f>작성용!AC462</f>
        <v>[6]기타기관펀드(기초자산)</v>
      </c>
      <c r="X465" s="58">
        <f>작성용!O462</f>
        <v>0</v>
      </c>
      <c r="Y465" s="58">
        <f>작성용!P462</f>
        <v>0</v>
      </c>
      <c r="Z465" s="58">
        <f>작성용!Q462</f>
        <v>0</v>
      </c>
      <c r="AA465" s="56" t="str">
        <f>작성용!AJ462</f>
        <v>-</v>
      </c>
      <c r="AB465" s="56">
        <f>작성용!AB462</f>
        <v>0</v>
      </c>
    </row>
    <row r="466" spans="1:28" s="12" customFormat="1" ht="16.5" hidden="1" customHeight="1" x14ac:dyDescent="0.3">
      <c r="A466" s="54">
        <f>작성용!AL463</f>
        <v>462</v>
      </c>
      <c r="B466" s="55" t="str">
        <f>작성용!AI463</f>
        <v>-</v>
      </c>
      <c r="C466" s="56" t="str">
        <f>작성용!AK463</f>
        <v>기초자산</v>
      </c>
      <c r="D466" s="57" t="str">
        <f>작성용!T463</f>
        <v>고려아연펀드(기초자산)</v>
      </c>
      <c r="E466" s="58" t="str">
        <f>작성용!B463</f>
        <v>티비티오픈이노베이션투자조합</v>
      </c>
      <c r="F466" s="58" t="str">
        <f>작성용!C463</f>
        <v>재평가</v>
      </c>
      <c r="G466" s="58" t="str">
        <f>작성용!D463</f>
        <v>하이메디</v>
      </c>
      <c r="H466" s="59">
        <f>작성용!E463</f>
        <v>1101115452646</v>
      </c>
      <c r="I466" s="58" t="str">
        <f>작성용!F463</f>
        <v>A07</v>
      </c>
      <c r="J466" s="58">
        <f>작성용!G463</f>
        <v>0</v>
      </c>
      <c r="K466" s="58" t="str">
        <f>작성용!H463</f>
        <v>-</v>
      </c>
      <c r="L466" s="58" t="str">
        <f>작성용!N463</f>
        <v>년</v>
      </c>
      <c r="M466" s="57" t="str">
        <f>작성용!U463</f>
        <v>2024.09.30</v>
      </c>
      <c r="N466" s="57">
        <f>작성용!V463</f>
        <v>45611</v>
      </c>
      <c r="O466" s="57" t="str">
        <f>작성용!W463</f>
        <v>보고서제공X</v>
      </c>
      <c r="P466" s="57" t="str">
        <f>작성용!X463</f>
        <v>-</v>
      </c>
      <c r="Q466" s="58" t="str">
        <f>작성용!AD463</f>
        <v>서동현</v>
      </c>
      <c r="R466" s="60">
        <f>작성용!AE463</f>
        <v>0</v>
      </c>
      <c r="S466" s="58" t="str">
        <f>작성용!AF463</f>
        <v>서동현</v>
      </c>
      <c r="T466" s="61" t="str">
        <f>작성용!AG463</f>
        <v>-</v>
      </c>
      <c r="U466" s="61" t="str">
        <f>작성용!AH463</f>
        <v>-</v>
      </c>
      <c r="V466" s="56">
        <f>작성용!AA463</f>
        <v>202411</v>
      </c>
      <c r="W466" s="58" t="str">
        <f>작성용!AC463</f>
        <v>[6]기타기관펀드(기초자산)</v>
      </c>
      <c r="X466" s="58">
        <f>작성용!O463</f>
        <v>0</v>
      </c>
      <c r="Y466" s="58">
        <f>작성용!P463</f>
        <v>0</v>
      </c>
      <c r="Z466" s="58">
        <f>작성용!Q463</f>
        <v>0</v>
      </c>
      <c r="AA466" s="56" t="str">
        <f>작성용!AJ463</f>
        <v>-</v>
      </c>
      <c r="AB466" s="56">
        <f>작성용!AB463</f>
        <v>0</v>
      </c>
    </row>
    <row r="467" spans="1:28" s="12" customFormat="1" ht="16.5" hidden="1" customHeight="1" x14ac:dyDescent="0.3">
      <c r="A467" s="54">
        <f>작성용!AL464</f>
        <v>463</v>
      </c>
      <c r="B467" s="55" t="str">
        <f>작성용!AI464</f>
        <v>-</v>
      </c>
      <c r="C467" s="56" t="str">
        <f>작성용!AK464</f>
        <v>기초자산</v>
      </c>
      <c r="D467" s="57" t="str">
        <f>작성용!T464</f>
        <v>고려아연펀드(기초자산)</v>
      </c>
      <c r="E467" s="58" t="str">
        <f>작성용!B464</f>
        <v>티비티오픈이노베이션투자조합</v>
      </c>
      <c r="F467" s="58" t="str">
        <f>작성용!C464</f>
        <v>재평가</v>
      </c>
      <c r="G467" s="58" t="str">
        <f>작성용!D464</f>
        <v>수퍼빈</v>
      </c>
      <c r="H467" s="59">
        <f>작성용!E464</f>
        <v>1101115770139</v>
      </c>
      <c r="I467" s="58" t="str">
        <f>작성용!F464</f>
        <v>A07</v>
      </c>
      <c r="J467" s="58">
        <f>작성용!G464</f>
        <v>1</v>
      </c>
      <c r="K467" s="58" t="str">
        <f>작성용!H464</f>
        <v>-</v>
      </c>
      <c r="L467" s="58" t="str">
        <f>작성용!N464</f>
        <v>년</v>
      </c>
      <c r="M467" s="57" t="str">
        <f>작성용!U464</f>
        <v>2024.09.30</v>
      </c>
      <c r="N467" s="57">
        <f>작성용!V464</f>
        <v>45611</v>
      </c>
      <c r="O467" s="57" t="str">
        <f>작성용!W464</f>
        <v>보고서제공X</v>
      </c>
      <c r="P467" s="57" t="str">
        <f>작성용!X464</f>
        <v>-</v>
      </c>
      <c r="Q467" s="58" t="str">
        <f>작성용!AD464</f>
        <v>김수현</v>
      </c>
      <c r="R467" s="60">
        <f>작성용!AE464</f>
        <v>0</v>
      </c>
      <c r="S467" s="58" t="str">
        <f>작성용!AF464</f>
        <v>김수현</v>
      </c>
      <c r="T467" s="61" t="str">
        <f>작성용!AG464</f>
        <v>-</v>
      </c>
      <c r="U467" s="61" t="str">
        <f>작성용!AH464</f>
        <v>-</v>
      </c>
      <c r="V467" s="56">
        <f>작성용!AA464</f>
        <v>202411</v>
      </c>
      <c r="W467" s="58" t="str">
        <f>작성용!AC464</f>
        <v>[6]기타기관펀드(기초자산)</v>
      </c>
      <c r="X467" s="58">
        <f>작성용!O464</f>
        <v>0</v>
      </c>
      <c r="Y467" s="58">
        <f>작성용!P464</f>
        <v>0</v>
      </c>
      <c r="Z467" s="58">
        <f>작성용!Q464</f>
        <v>0</v>
      </c>
      <c r="AA467" s="56" t="str">
        <f>작성용!AJ464</f>
        <v>-</v>
      </c>
      <c r="AB467" s="56">
        <f>작성용!AB464</f>
        <v>0</v>
      </c>
    </row>
    <row r="468" spans="1:28" s="12" customFormat="1" ht="16.5" hidden="1" customHeight="1" x14ac:dyDescent="0.3">
      <c r="A468" s="54">
        <f>작성용!AL465</f>
        <v>464</v>
      </c>
      <c r="B468" s="55" t="str">
        <f>작성용!AI465</f>
        <v>24년 1분기 평가예정</v>
      </c>
      <c r="C468" s="56" t="str">
        <f>작성용!AK465</f>
        <v>기초자산</v>
      </c>
      <c r="D468" s="57" t="str">
        <f>작성용!T465</f>
        <v>고려아연펀드(기초자산)</v>
      </c>
      <c r="E468" s="58" t="str">
        <f>작성용!B465</f>
        <v>티비티오픈이노베이션투자조합</v>
      </c>
      <c r="F468" s="58" t="str">
        <f>작성용!C465</f>
        <v>재평가</v>
      </c>
      <c r="G468" s="58" t="str">
        <f>작성용!D465</f>
        <v>스와치온</v>
      </c>
      <c r="H468" s="59">
        <f>작성용!E465</f>
        <v>1101116536209</v>
      </c>
      <c r="I468" s="58" t="str">
        <f>작성용!F465</f>
        <v>A07</v>
      </c>
      <c r="J468" s="58">
        <f>작성용!G465</f>
        <v>0</v>
      </c>
      <c r="K468" s="58" t="str">
        <f>작성용!H465</f>
        <v>-</v>
      </c>
      <c r="L468" s="58" t="str">
        <f>작성용!N465</f>
        <v>년</v>
      </c>
      <c r="M468" s="57" t="str">
        <f>작성용!U465</f>
        <v>2024.09.30</v>
      </c>
      <c r="N468" s="57">
        <f>작성용!V465</f>
        <v>45611</v>
      </c>
      <c r="O468" s="57" t="str">
        <f>작성용!W465</f>
        <v>보고서제공X</v>
      </c>
      <c r="P468" s="57" t="str">
        <f>작성용!X465</f>
        <v>-</v>
      </c>
      <c r="Q468" s="58" t="str">
        <f>작성용!AD465</f>
        <v>이진주</v>
      </c>
      <c r="R468" s="60">
        <f>작성용!AE465</f>
        <v>0.6</v>
      </c>
      <c r="S468" s="58" t="str">
        <f>작성용!AF465</f>
        <v>서수빈</v>
      </c>
      <c r="T468" s="61" t="str">
        <f>작성용!AG465</f>
        <v>-</v>
      </c>
      <c r="U468" s="61" t="str">
        <f>작성용!AH465</f>
        <v>-</v>
      </c>
      <c r="V468" s="56">
        <f>작성용!AA465</f>
        <v>202411</v>
      </c>
      <c r="W468" s="58" t="str">
        <f>작성용!AC465</f>
        <v>[6]기타기관펀드(기초자산)</v>
      </c>
      <c r="X468" s="58">
        <f>작성용!O465</f>
        <v>0</v>
      </c>
      <c r="Y468" s="58">
        <f>작성용!P465</f>
        <v>0</v>
      </c>
      <c r="Z468" s="58">
        <f>작성용!Q465</f>
        <v>0</v>
      </c>
      <c r="AA468" s="56" t="str">
        <f>작성용!AJ465</f>
        <v>-</v>
      </c>
      <c r="AB468" s="56">
        <f>작성용!AB465</f>
        <v>0</v>
      </c>
    </row>
    <row r="469" spans="1:28" s="12" customFormat="1" ht="16.5" hidden="1" customHeight="1" x14ac:dyDescent="0.3">
      <c r="A469" s="54">
        <f>작성용!AL466</f>
        <v>465</v>
      </c>
      <c r="B469" s="55" t="str">
        <f>작성용!AI466</f>
        <v>24년 1분기 평가예정</v>
      </c>
      <c r="C469" s="56" t="str">
        <f>작성용!AK466</f>
        <v>기초자산</v>
      </c>
      <c r="D469" s="57" t="str">
        <f>작성용!T466</f>
        <v>고려아연펀드(기초자산)</v>
      </c>
      <c r="E469" s="58" t="str">
        <f>작성용!B466</f>
        <v>티비티오픈이노베이션투자조합</v>
      </c>
      <c r="F469" s="58" t="str">
        <f>작성용!C466</f>
        <v>재평가</v>
      </c>
      <c r="G469" s="58" t="str">
        <f>작성용!D466</f>
        <v>코스코페이퍼</v>
      </c>
      <c r="H469" s="59">
        <f>작성용!E466</f>
        <v>2844110080851</v>
      </c>
      <c r="I469" s="58" t="str">
        <f>작성용!F466</f>
        <v>A05</v>
      </c>
      <c r="J469" s="58">
        <f>작성용!G466</f>
        <v>0</v>
      </c>
      <c r="K469" s="58" t="str">
        <f>작성용!H466</f>
        <v>-</v>
      </c>
      <c r="L469" s="58" t="str">
        <f>작성용!N466</f>
        <v>년</v>
      </c>
      <c r="M469" s="57" t="str">
        <f>작성용!U466</f>
        <v>2024.09.30</v>
      </c>
      <c r="N469" s="57">
        <f>작성용!V466</f>
        <v>45611</v>
      </c>
      <c r="O469" s="57" t="str">
        <f>작성용!W466</f>
        <v>보고서제공X</v>
      </c>
      <c r="P469" s="57" t="str">
        <f>작성용!X466</f>
        <v>-</v>
      </c>
      <c r="Q469" s="58" t="str">
        <f>작성용!AD466</f>
        <v>백형진</v>
      </c>
      <c r="R469" s="60">
        <f>작성용!AE466</f>
        <v>0</v>
      </c>
      <c r="S469" s="58" t="str">
        <f>작성용!AF466</f>
        <v>백형진</v>
      </c>
      <c r="T469" s="61" t="str">
        <f>작성용!AG466</f>
        <v>-</v>
      </c>
      <c r="U469" s="61" t="str">
        <f>작성용!AH466</f>
        <v>-</v>
      </c>
      <c r="V469" s="56">
        <f>작성용!AA466</f>
        <v>202411</v>
      </c>
      <c r="W469" s="58" t="str">
        <f>작성용!AC466</f>
        <v>[6]기타기관펀드(기초자산)</v>
      </c>
      <c r="X469" s="58">
        <f>작성용!O466</f>
        <v>0</v>
      </c>
      <c r="Y469" s="58">
        <f>작성용!P466</f>
        <v>0</v>
      </c>
      <c r="Z469" s="58">
        <f>작성용!Q466</f>
        <v>0</v>
      </c>
      <c r="AA469" s="56" t="str">
        <f>작성용!AJ466</f>
        <v>-</v>
      </c>
      <c r="AB469" s="56">
        <f>작성용!AB466</f>
        <v>0</v>
      </c>
    </row>
    <row r="470" spans="1:28" s="12" customFormat="1" ht="16.5" hidden="1" customHeight="1" x14ac:dyDescent="0.3">
      <c r="A470" s="54">
        <f>작성용!AL467</f>
        <v>466</v>
      </c>
      <c r="B470" s="55" t="str">
        <f>작성용!AI467</f>
        <v>24년 3분기 평가예정</v>
      </c>
      <c r="C470" s="56" t="str">
        <f>작성용!AK467</f>
        <v>기초자산</v>
      </c>
      <c r="D470" s="57" t="str">
        <f>작성용!T467</f>
        <v>고려아연펀드(기초자산)</v>
      </c>
      <c r="E470" s="58" t="str">
        <f>작성용!B467</f>
        <v>티비티오픈이노베이션투자조합</v>
      </c>
      <c r="F470" s="58" t="str">
        <f>작성용!C467</f>
        <v>재평가</v>
      </c>
      <c r="G470" s="58" t="str">
        <f>작성용!D467</f>
        <v>쉐어그라운드</v>
      </c>
      <c r="H470" s="59">
        <f>작성용!E467</f>
        <v>1101117060306</v>
      </c>
      <c r="I470" s="58" t="str">
        <f>작성용!F467</f>
        <v>A07</v>
      </c>
      <c r="J470" s="58">
        <f>작성용!G467</f>
        <v>1</v>
      </c>
      <c r="K470" s="58" t="str">
        <f>작성용!H467</f>
        <v>-</v>
      </c>
      <c r="L470" s="58" t="str">
        <f>작성용!N467</f>
        <v>년</v>
      </c>
      <c r="M470" s="57" t="str">
        <f>작성용!U467</f>
        <v>2024.09.30</v>
      </c>
      <c r="N470" s="57">
        <f>작성용!V467</f>
        <v>45611</v>
      </c>
      <c r="O470" s="57" t="str">
        <f>작성용!W467</f>
        <v>보고서제공X</v>
      </c>
      <c r="P470" s="57" t="str">
        <f>작성용!X467</f>
        <v>-</v>
      </c>
      <c r="Q470" s="58" t="str">
        <f>작성용!AD467</f>
        <v>채동우</v>
      </c>
      <c r="R470" s="60">
        <f>작성용!AE467</f>
        <v>0</v>
      </c>
      <c r="S470" s="58" t="str">
        <f>작성용!AF467</f>
        <v>채동우</v>
      </c>
      <c r="T470" s="61" t="str">
        <f>작성용!AG467</f>
        <v>-</v>
      </c>
      <c r="U470" s="61" t="str">
        <f>작성용!AH467</f>
        <v>-</v>
      </c>
      <c r="V470" s="56">
        <f>작성용!AA467</f>
        <v>202411</v>
      </c>
      <c r="W470" s="58" t="str">
        <f>작성용!AC467</f>
        <v>[6]기타기관펀드(기초자산)</v>
      </c>
      <c r="X470" s="58">
        <f>작성용!O467</f>
        <v>0</v>
      </c>
      <c r="Y470" s="58">
        <f>작성용!P467</f>
        <v>0</v>
      </c>
      <c r="Z470" s="58">
        <f>작성용!Q467</f>
        <v>0</v>
      </c>
      <c r="AA470" s="56" t="str">
        <f>작성용!AJ467</f>
        <v>-</v>
      </c>
      <c r="AB470" s="56">
        <f>작성용!AB467</f>
        <v>0</v>
      </c>
    </row>
    <row r="471" spans="1:28" s="12" customFormat="1" ht="16.5" hidden="1" customHeight="1" x14ac:dyDescent="0.3">
      <c r="A471" s="54">
        <f>작성용!AL468</f>
        <v>467</v>
      </c>
      <c r="B471" s="55" t="str">
        <f>작성용!AI468</f>
        <v>-</v>
      </c>
      <c r="C471" s="56" t="str">
        <f>작성용!AK468</f>
        <v>기초자산</v>
      </c>
      <c r="D471" s="57" t="str">
        <f>작성용!T468</f>
        <v>고려아연펀드(기초자산)</v>
      </c>
      <c r="E471" s="58" t="str">
        <f>작성용!B468</f>
        <v>티비티오픈이노베이션투자조합</v>
      </c>
      <c r="F471" s="58" t="str">
        <f>작성용!C468</f>
        <v>재평가</v>
      </c>
      <c r="G471" s="58" t="str">
        <f>작성용!D468</f>
        <v>로플리</v>
      </c>
      <c r="H471" s="59">
        <f>작성용!E468</f>
        <v>1601110472912</v>
      </c>
      <c r="I471" s="58" t="str">
        <f>작성용!F468</f>
        <v>A07</v>
      </c>
      <c r="J471" s="58">
        <f>작성용!G468</f>
        <v>0</v>
      </c>
      <c r="K471" s="58" t="str">
        <f>작성용!H468</f>
        <v>-</v>
      </c>
      <c r="L471" s="58" t="str">
        <f>작성용!N468</f>
        <v>년</v>
      </c>
      <c r="M471" s="57" t="str">
        <f>작성용!U468</f>
        <v>2024.09.30</v>
      </c>
      <c r="N471" s="57">
        <f>작성용!V468</f>
        <v>45611</v>
      </c>
      <c r="O471" s="57" t="str">
        <f>작성용!W468</f>
        <v>보고서제공X</v>
      </c>
      <c r="P471" s="57" t="str">
        <f>작성용!X468</f>
        <v>-</v>
      </c>
      <c r="Q471" s="58" t="str">
        <f>작성용!AD468</f>
        <v>심태진</v>
      </c>
      <c r="R471" s="60">
        <f>작성용!AE468</f>
        <v>0</v>
      </c>
      <c r="S471" s="58" t="str">
        <f>작성용!AF468</f>
        <v>심태진</v>
      </c>
      <c r="T471" s="61" t="str">
        <f>작성용!AG468</f>
        <v>-</v>
      </c>
      <c r="U471" s="61" t="str">
        <f>작성용!AH468</f>
        <v>-</v>
      </c>
      <c r="V471" s="56">
        <f>작성용!AA468</f>
        <v>202411</v>
      </c>
      <c r="W471" s="58" t="str">
        <f>작성용!AC468</f>
        <v>[6]기타기관펀드(기초자산)</v>
      </c>
      <c r="X471" s="58">
        <f>작성용!O468</f>
        <v>0</v>
      </c>
      <c r="Y471" s="58">
        <f>작성용!P468</f>
        <v>0</v>
      </c>
      <c r="Z471" s="58">
        <f>작성용!Q468</f>
        <v>0</v>
      </c>
      <c r="AA471" s="56" t="str">
        <f>작성용!AJ468</f>
        <v>-</v>
      </c>
      <c r="AB471" s="56">
        <f>작성용!AB468</f>
        <v>0</v>
      </c>
    </row>
    <row r="472" spans="1:28" s="12" customFormat="1" ht="16.5" hidden="1" customHeight="1" x14ac:dyDescent="0.3">
      <c r="A472" s="54">
        <f>작성용!AL469</f>
        <v>468</v>
      </c>
      <c r="B472" s="55" t="str">
        <f>작성용!AI469</f>
        <v>-</v>
      </c>
      <c r="C472" s="56" t="str">
        <f>작성용!AK469</f>
        <v>기초자산</v>
      </c>
      <c r="D472" s="57" t="str">
        <f>작성용!T469</f>
        <v>고려아연펀드(기초자산)</v>
      </c>
      <c r="E472" s="58" t="str">
        <f>작성용!B469</f>
        <v>인터베스트그로스세컨더리펀드</v>
      </c>
      <c r="F472" s="58" t="str">
        <f>작성용!C469</f>
        <v>재평가</v>
      </c>
      <c r="G472" s="58" t="str">
        <f>작성용!D469</f>
        <v>스탠다임</v>
      </c>
      <c r="H472" s="59">
        <f>작성용!E469</f>
        <v>1101115714757</v>
      </c>
      <c r="I472" s="58" t="str">
        <f>작성용!F469</f>
        <v>A07</v>
      </c>
      <c r="J472" s="58">
        <f>작성용!G469</f>
        <v>1</v>
      </c>
      <c r="K472" s="58" t="str">
        <f>작성용!H469</f>
        <v>-</v>
      </c>
      <c r="L472" s="58" t="str">
        <f>작성용!N469</f>
        <v>년</v>
      </c>
      <c r="M472" s="57" t="str">
        <f>작성용!U469</f>
        <v>2024.09.30</v>
      </c>
      <c r="N472" s="57">
        <f>작성용!V469</f>
        <v>45611</v>
      </c>
      <c r="O472" s="57" t="str">
        <f>작성용!W469</f>
        <v>보고서제공X</v>
      </c>
      <c r="P472" s="57" t="str">
        <f>작성용!X469</f>
        <v>-</v>
      </c>
      <c r="Q472" s="58" t="str">
        <f>작성용!AD469</f>
        <v>이상민</v>
      </c>
      <c r="R472" s="60">
        <f>작성용!AE469</f>
        <v>0.6</v>
      </c>
      <c r="S472" s="58" t="str">
        <f>작성용!AF469</f>
        <v>조현우</v>
      </c>
      <c r="T472" s="61" t="str">
        <f>작성용!AG469</f>
        <v>-</v>
      </c>
      <c r="U472" s="61" t="str">
        <f>작성용!AH469</f>
        <v>-</v>
      </c>
      <c r="V472" s="56">
        <f>작성용!AA469</f>
        <v>202411</v>
      </c>
      <c r="W472" s="58" t="str">
        <f>작성용!AC469</f>
        <v>[X]일반기업</v>
      </c>
      <c r="X472" s="58">
        <f>작성용!O469</f>
        <v>0</v>
      </c>
      <c r="Y472" s="58">
        <f>작성용!P469</f>
        <v>0</v>
      </c>
      <c r="Z472" s="58">
        <f>작성용!Q469</f>
        <v>0</v>
      </c>
      <c r="AA472" s="56" t="str">
        <f>작성용!AJ469</f>
        <v>-</v>
      </c>
      <c r="AB472" s="56">
        <f>작성용!AB469</f>
        <v>0</v>
      </c>
    </row>
    <row r="473" spans="1:28" s="12" customFormat="1" ht="16.5" hidden="1" customHeight="1" x14ac:dyDescent="0.3">
      <c r="A473" s="54">
        <f>작성용!AL470</f>
        <v>469</v>
      </c>
      <c r="B473" s="55" t="str">
        <f>작성용!AI470</f>
        <v>-</v>
      </c>
      <c r="C473" s="56" t="str">
        <f>작성용!AK470</f>
        <v>기초자산</v>
      </c>
      <c r="D473" s="57" t="str">
        <f>작성용!T470</f>
        <v>고려아연펀드(기초자산)</v>
      </c>
      <c r="E473" s="58" t="str">
        <f>작성용!B470</f>
        <v>인터베스트그로스세컨더리펀드</v>
      </c>
      <c r="F473" s="58" t="str">
        <f>작성용!C470</f>
        <v>재평가</v>
      </c>
      <c r="G473" s="58" t="str">
        <f>작성용!D470</f>
        <v>스튜디오플럼(구,스튜디오스카이)</v>
      </c>
      <c r="H473" s="59">
        <f>작성용!E470</f>
        <v>1101115498137</v>
      </c>
      <c r="I473" s="58" t="str">
        <f>작성용!F470</f>
        <v>A07</v>
      </c>
      <c r="J473" s="58">
        <f>작성용!G470</f>
        <v>0</v>
      </c>
      <c r="K473" s="58" t="str">
        <f>작성용!H470</f>
        <v>-</v>
      </c>
      <c r="L473" s="58" t="str">
        <f>작성용!N470</f>
        <v>년</v>
      </c>
      <c r="M473" s="57" t="str">
        <f>작성용!U470</f>
        <v>2024.09.30</v>
      </c>
      <c r="N473" s="57">
        <f>작성용!V470</f>
        <v>45611</v>
      </c>
      <c r="O473" s="57" t="str">
        <f>작성용!W470</f>
        <v>보고서제공X</v>
      </c>
      <c r="P473" s="57" t="str">
        <f>작성용!X470</f>
        <v>-</v>
      </c>
      <c r="Q473" s="58" t="str">
        <f>작성용!AD470</f>
        <v>김영하</v>
      </c>
      <c r="R473" s="60">
        <f>작성용!AE470</f>
        <v>0</v>
      </c>
      <c r="S473" s="58" t="str">
        <f>작성용!AF470</f>
        <v>윤현빈</v>
      </c>
      <c r="T473" s="61" t="str">
        <f>작성용!AG470</f>
        <v>-</v>
      </c>
      <c r="U473" s="61" t="str">
        <f>작성용!AH470</f>
        <v>-</v>
      </c>
      <c r="V473" s="56">
        <f>작성용!AA470</f>
        <v>202411</v>
      </c>
      <c r="W473" s="58" t="str">
        <f>작성용!AC470</f>
        <v>[6]기타기관펀드(기초자산)</v>
      </c>
      <c r="X473" s="58">
        <f>작성용!O470</f>
        <v>0</v>
      </c>
      <c r="Y473" s="58">
        <f>작성용!P470</f>
        <v>0</v>
      </c>
      <c r="Z473" s="58">
        <f>작성용!Q470</f>
        <v>0</v>
      </c>
      <c r="AA473" s="56" t="str">
        <f>작성용!AJ470</f>
        <v>-</v>
      </c>
      <c r="AB473" s="56">
        <f>작성용!AB470</f>
        <v>0</v>
      </c>
    </row>
    <row r="474" spans="1:28" s="12" customFormat="1" ht="16.5" hidden="1" customHeight="1" x14ac:dyDescent="0.3">
      <c r="A474" s="54">
        <f>작성용!AL471</f>
        <v>470</v>
      </c>
      <c r="B474" s="55" t="str">
        <f>작성용!AI471</f>
        <v>-</v>
      </c>
      <c r="C474" s="56" t="str">
        <f>작성용!AK471</f>
        <v>기초자산</v>
      </c>
      <c r="D474" s="57" t="str">
        <f>작성용!T471</f>
        <v>고려아연펀드(기초자산)</v>
      </c>
      <c r="E474" s="58" t="str">
        <f>작성용!B471</f>
        <v>인터베스트그로스세컨더리펀드</v>
      </c>
      <c r="F474" s="58" t="str">
        <f>작성용!C471</f>
        <v>재평가</v>
      </c>
      <c r="G474" s="58" t="str">
        <f>작성용!D471</f>
        <v>스튜디오플럼(구,스튜디오스카이)</v>
      </c>
      <c r="H474" s="59">
        <f>작성용!E471</f>
        <v>1101115498137</v>
      </c>
      <c r="I474" s="58" t="str">
        <f>작성용!F471</f>
        <v>A07</v>
      </c>
      <c r="J474" s="58">
        <f>작성용!G471</f>
        <v>1</v>
      </c>
      <c r="K474" s="58" t="str">
        <f>작성용!H471</f>
        <v>-</v>
      </c>
      <c r="L474" s="58" t="str">
        <f>작성용!N471</f>
        <v>년</v>
      </c>
      <c r="M474" s="57" t="str">
        <f>작성용!U471</f>
        <v>2024.09.30</v>
      </c>
      <c r="N474" s="57">
        <f>작성용!V471</f>
        <v>45611</v>
      </c>
      <c r="O474" s="57" t="str">
        <f>작성용!W471</f>
        <v>보고서제공X</v>
      </c>
      <c r="P474" s="57" t="str">
        <f>작성용!X471</f>
        <v>-</v>
      </c>
      <c r="Q474" s="58" t="str">
        <f>작성용!AD471</f>
        <v>김영하</v>
      </c>
      <c r="R474" s="60">
        <f>작성용!AE471</f>
        <v>0</v>
      </c>
      <c r="S474" s="58" t="str">
        <f>작성용!AF471</f>
        <v>윤현빈</v>
      </c>
      <c r="T474" s="61" t="str">
        <f>작성용!AG471</f>
        <v>-</v>
      </c>
      <c r="U474" s="61" t="str">
        <f>작성용!AH471</f>
        <v>-</v>
      </c>
      <c r="V474" s="56">
        <f>작성용!AA471</f>
        <v>202411</v>
      </c>
      <c r="W474" s="58" t="str">
        <f>작성용!AC471</f>
        <v>[6]기타기관펀드(기초자산)</v>
      </c>
      <c r="X474" s="58">
        <f>작성용!O471</f>
        <v>0</v>
      </c>
      <c r="Y474" s="58">
        <f>작성용!P471</f>
        <v>0</v>
      </c>
      <c r="Z474" s="58">
        <f>작성용!Q471</f>
        <v>0</v>
      </c>
      <c r="AA474" s="56" t="str">
        <f>작성용!AJ471</f>
        <v>-</v>
      </c>
      <c r="AB474" s="56">
        <f>작성용!AB471</f>
        <v>0</v>
      </c>
    </row>
    <row r="475" spans="1:28" s="12" customFormat="1" ht="16.5" hidden="1" customHeight="1" x14ac:dyDescent="0.3">
      <c r="A475" s="54">
        <f>작성용!AL472</f>
        <v>471</v>
      </c>
      <c r="B475" s="55" t="str">
        <f>작성용!AI472</f>
        <v>-</v>
      </c>
      <c r="C475" s="56" t="str">
        <f>작성용!AK472</f>
        <v>기초자산</v>
      </c>
      <c r="D475" s="57" t="str">
        <f>작성용!T472</f>
        <v>고려아연펀드(기초자산)</v>
      </c>
      <c r="E475" s="58" t="str">
        <f>작성용!B472</f>
        <v>인터베스트그로스세컨더리펀드</v>
      </c>
      <c r="F475" s="58" t="str">
        <f>작성용!C472</f>
        <v>재평가</v>
      </c>
      <c r="G475" s="58" t="str">
        <f>작성용!D472</f>
        <v>퓨리오사에이아이</v>
      </c>
      <c r="H475" s="59">
        <f>작성용!E472</f>
        <v>1358110313494</v>
      </c>
      <c r="I475" s="58" t="str">
        <f>작성용!F472</f>
        <v>A07</v>
      </c>
      <c r="J475" s="58">
        <f>작성용!G472</f>
        <v>0</v>
      </c>
      <c r="K475" s="58" t="str">
        <f>작성용!H472</f>
        <v>-</v>
      </c>
      <c r="L475" s="58" t="str">
        <f>작성용!N472</f>
        <v>년</v>
      </c>
      <c r="M475" s="57" t="str">
        <f>작성용!U472</f>
        <v>2024.09.30</v>
      </c>
      <c r="N475" s="57">
        <f>작성용!V472</f>
        <v>45611</v>
      </c>
      <c r="O475" s="57" t="str">
        <f>작성용!W472</f>
        <v>보고서제공X</v>
      </c>
      <c r="P475" s="57" t="str">
        <f>작성용!X472</f>
        <v>-</v>
      </c>
      <c r="Q475" s="58" t="str">
        <f>작성용!AD472</f>
        <v>강승현</v>
      </c>
      <c r="R475" s="60">
        <f>작성용!AE472</f>
        <v>0</v>
      </c>
      <c r="S475" s="58" t="str">
        <f>작성용!AF472</f>
        <v>강승현</v>
      </c>
      <c r="T475" s="61" t="str">
        <f>작성용!AG472</f>
        <v>-</v>
      </c>
      <c r="U475" s="61" t="str">
        <f>작성용!AH472</f>
        <v>-</v>
      </c>
      <c r="V475" s="56">
        <f>작성용!AA472</f>
        <v>202411</v>
      </c>
      <c r="W475" s="58" t="str">
        <f>작성용!AC472</f>
        <v>[6]기타기관펀드(기초자산)</v>
      </c>
      <c r="X475" s="58">
        <f>작성용!O472</f>
        <v>0</v>
      </c>
      <c r="Y475" s="58">
        <f>작성용!P472</f>
        <v>0</v>
      </c>
      <c r="Z475" s="58">
        <f>작성용!Q472</f>
        <v>0</v>
      </c>
      <c r="AA475" s="56" t="str">
        <f>작성용!AJ472</f>
        <v>-</v>
      </c>
      <c r="AB475" s="56">
        <f>작성용!AB472</f>
        <v>0</v>
      </c>
    </row>
    <row r="476" spans="1:28" s="12" customFormat="1" ht="16.5" hidden="1" customHeight="1" x14ac:dyDescent="0.3">
      <c r="A476" s="54">
        <f>작성용!AL473</f>
        <v>472</v>
      </c>
      <c r="B476" s="55" t="str">
        <f>작성용!AI473</f>
        <v>-</v>
      </c>
      <c r="C476" s="56" t="str">
        <f>작성용!AK473</f>
        <v>기초자산</v>
      </c>
      <c r="D476" s="57" t="str">
        <f>작성용!T473</f>
        <v>고려아연펀드(기초자산)</v>
      </c>
      <c r="E476" s="58" t="str">
        <f>작성용!B473</f>
        <v>인터베스트그로스세컨더리펀드</v>
      </c>
      <c r="F476" s="58" t="str">
        <f>작성용!C473</f>
        <v>재평가</v>
      </c>
      <c r="G476" s="58" t="str">
        <f>작성용!D473</f>
        <v>에이블리코퍼레이션</v>
      </c>
      <c r="H476" s="59">
        <f>작성용!E473</f>
        <v>1101115800986</v>
      </c>
      <c r="I476" s="58" t="str">
        <f>작성용!F473</f>
        <v>A07</v>
      </c>
      <c r="J476" s="58">
        <f>작성용!G473</f>
        <v>5</v>
      </c>
      <c r="K476" s="58" t="str">
        <f>작성용!H473</f>
        <v>-</v>
      </c>
      <c r="L476" s="58" t="str">
        <f>작성용!N473</f>
        <v>년</v>
      </c>
      <c r="M476" s="57" t="str">
        <f>작성용!U473</f>
        <v>2024.09.30</v>
      </c>
      <c r="N476" s="57">
        <f>작성용!V473</f>
        <v>45611</v>
      </c>
      <c r="O476" s="57" t="str">
        <f>작성용!W473</f>
        <v>보고서제공X</v>
      </c>
      <c r="P476" s="57" t="str">
        <f>작성용!X473</f>
        <v>-</v>
      </c>
      <c r="Q476" s="58" t="str">
        <f>작성용!AD473</f>
        <v>서동현</v>
      </c>
      <c r="R476" s="60">
        <f>작성용!AE473</f>
        <v>0.6</v>
      </c>
      <c r="S476" s="58" t="str">
        <f>작성용!AF473</f>
        <v>서동현</v>
      </c>
      <c r="T476" s="61" t="str">
        <f>작성용!AG473</f>
        <v>-</v>
      </c>
      <c r="U476" s="61" t="str">
        <f>작성용!AH473</f>
        <v>-</v>
      </c>
      <c r="V476" s="56">
        <f>작성용!AA473</f>
        <v>202411</v>
      </c>
      <c r="W476" s="58" t="str">
        <f>작성용!AC473</f>
        <v>[6]기타기관펀드(기초자산)</v>
      </c>
      <c r="X476" s="58">
        <f>작성용!O473</f>
        <v>0</v>
      </c>
      <c r="Y476" s="58">
        <f>작성용!P473</f>
        <v>0</v>
      </c>
      <c r="Z476" s="58">
        <f>작성용!Q473</f>
        <v>0</v>
      </c>
      <c r="AA476" s="56" t="str">
        <f>작성용!AJ473</f>
        <v>-</v>
      </c>
      <c r="AB476" s="56">
        <f>작성용!AB473</f>
        <v>0</v>
      </c>
    </row>
    <row r="477" spans="1:28" s="12" customFormat="1" ht="16.5" hidden="1" customHeight="1" x14ac:dyDescent="0.3">
      <c r="A477" s="54">
        <f>작성용!AL474</f>
        <v>473</v>
      </c>
      <c r="B477" s="55" t="str">
        <f>작성용!AI474</f>
        <v>-</v>
      </c>
      <c r="C477" s="56" t="str">
        <f>작성용!AK474</f>
        <v>기초자산</v>
      </c>
      <c r="D477" s="57" t="str">
        <f>작성용!T474</f>
        <v>고려아연펀드(기초자산)</v>
      </c>
      <c r="E477" s="58" t="str">
        <f>작성용!B474</f>
        <v>인터베스트그로스세컨더리펀드</v>
      </c>
      <c r="F477" s="58" t="str">
        <f>작성용!C474</f>
        <v>재평가</v>
      </c>
      <c r="G477" s="58" t="str">
        <f>작성용!D474</f>
        <v>에이블리코퍼레이션</v>
      </c>
      <c r="H477" s="59">
        <f>작성용!E474</f>
        <v>1101115800986</v>
      </c>
      <c r="I477" s="58" t="str">
        <f>작성용!F474</f>
        <v>A01</v>
      </c>
      <c r="J477" s="58">
        <f>작성용!G474</f>
        <v>0</v>
      </c>
      <c r="K477" s="58" t="str">
        <f>작성용!H474</f>
        <v>-</v>
      </c>
      <c r="L477" s="58" t="str">
        <f>작성용!N474</f>
        <v>년</v>
      </c>
      <c r="M477" s="57" t="str">
        <f>작성용!U474</f>
        <v>2024.09.30</v>
      </c>
      <c r="N477" s="57">
        <f>작성용!V474</f>
        <v>45611</v>
      </c>
      <c r="O477" s="57" t="str">
        <f>작성용!W474</f>
        <v>보고서제공X</v>
      </c>
      <c r="P477" s="57" t="str">
        <f>작성용!X474</f>
        <v>-</v>
      </c>
      <c r="Q477" s="58" t="str">
        <f>작성용!AD474</f>
        <v>서동현</v>
      </c>
      <c r="R477" s="60">
        <f>작성용!AE474</f>
        <v>0</v>
      </c>
      <c r="S477" s="58" t="str">
        <f>작성용!AF474</f>
        <v>서동현</v>
      </c>
      <c r="T477" s="61" t="str">
        <f>작성용!AG474</f>
        <v>-</v>
      </c>
      <c r="U477" s="61" t="str">
        <f>작성용!AH474</f>
        <v>-</v>
      </c>
      <c r="V477" s="56">
        <f>작성용!AA474</f>
        <v>202411</v>
      </c>
      <c r="W477" s="58" t="str">
        <f>작성용!AC474</f>
        <v>[6]기타기관펀드(기초자산)</v>
      </c>
      <c r="X477" s="58">
        <f>작성용!O474</f>
        <v>0</v>
      </c>
      <c r="Y477" s="58">
        <f>작성용!P474</f>
        <v>0</v>
      </c>
      <c r="Z477" s="58">
        <f>작성용!Q474</f>
        <v>0</v>
      </c>
      <c r="AA477" s="56" t="str">
        <f>작성용!AJ474</f>
        <v>-</v>
      </c>
      <c r="AB477" s="56">
        <f>작성용!AB474</f>
        <v>0</v>
      </c>
    </row>
    <row r="478" spans="1:28" s="12" customFormat="1" ht="16.5" hidden="1" customHeight="1" x14ac:dyDescent="0.3">
      <c r="A478" s="54">
        <f>작성용!AL475</f>
        <v>474</v>
      </c>
      <c r="B478" s="55" t="str">
        <f>작성용!AI475</f>
        <v>-</v>
      </c>
      <c r="C478" s="56" t="str">
        <f>작성용!AK475</f>
        <v>기초자산</v>
      </c>
      <c r="D478" s="57" t="str">
        <f>작성용!T475</f>
        <v>고려아연펀드(기초자산)</v>
      </c>
      <c r="E478" s="58" t="str">
        <f>작성용!B475</f>
        <v>인터베스트그로스세컨더리펀드</v>
      </c>
      <c r="F478" s="58" t="str">
        <f>작성용!C475</f>
        <v>재평가</v>
      </c>
      <c r="G478" s="58" t="str">
        <f>작성용!D475</f>
        <v>엔씽</v>
      </c>
      <c r="H478" s="59">
        <f>작성용!E475</f>
        <v>1314110312464</v>
      </c>
      <c r="I478" s="58" t="str">
        <f>작성용!F475</f>
        <v>A07</v>
      </c>
      <c r="J478" s="58">
        <f>작성용!G475</f>
        <v>0</v>
      </c>
      <c r="K478" s="58" t="str">
        <f>작성용!H475</f>
        <v>-</v>
      </c>
      <c r="L478" s="58" t="str">
        <f>작성용!N475</f>
        <v>년</v>
      </c>
      <c r="M478" s="57" t="str">
        <f>작성용!U475</f>
        <v>2024.09.30</v>
      </c>
      <c r="N478" s="57">
        <f>작성용!V475</f>
        <v>45611</v>
      </c>
      <c r="O478" s="57" t="str">
        <f>작성용!W475</f>
        <v>보고서제공X</v>
      </c>
      <c r="P478" s="57" t="str">
        <f>작성용!X475</f>
        <v>-</v>
      </c>
      <c r="Q478" s="58" t="str">
        <f>작성용!AD475</f>
        <v>강승현</v>
      </c>
      <c r="R478" s="60">
        <f>작성용!AE475</f>
        <v>0.6</v>
      </c>
      <c r="S478" s="58" t="str">
        <f>작성용!AF475</f>
        <v>강승현</v>
      </c>
      <c r="T478" s="61" t="str">
        <f>작성용!AG475</f>
        <v>-</v>
      </c>
      <c r="U478" s="61" t="str">
        <f>작성용!AH475</f>
        <v>-</v>
      </c>
      <c r="V478" s="56">
        <f>작성용!AA475</f>
        <v>202411</v>
      </c>
      <c r="W478" s="58" t="str">
        <f>작성용!AC475</f>
        <v>[6]기타기관펀드(기초자산)</v>
      </c>
      <c r="X478" s="58">
        <f>작성용!O475</f>
        <v>0</v>
      </c>
      <c r="Y478" s="58">
        <f>작성용!P475</f>
        <v>0</v>
      </c>
      <c r="Z478" s="58">
        <f>작성용!Q475</f>
        <v>0</v>
      </c>
      <c r="AA478" s="56" t="str">
        <f>작성용!AJ475</f>
        <v>-</v>
      </c>
      <c r="AB478" s="56">
        <f>작성용!AB475</f>
        <v>0</v>
      </c>
    </row>
    <row r="479" spans="1:28" s="12" customFormat="1" ht="16.5" hidden="1" customHeight="1" x14ac:dyDescent="0.3">
      <c r="A479" s="54">
        <f>작성용!AL476</f>
        <v>475</v>
      </c>
      <c r="B479" s="55" t="str">
        <f>작성용!AI476</f>
        <v>-</v>
      </c>
      <c r="C479" s="56" t="str">
        <f>작성용!AK476</f>
        <v>기초자산</v>
      </c>
      <c r="D479" s="57" t="str">
        <f>작성용!T476</f>
        <v>고려아연펀드(기초자산)</v>
      </c>
      <c r="E479" s="58" t="str">
        <f>작성용!B476</f>
        <v>인터베스트그로스세컨더리펀드</v>
      </c>
      <c r="F479" s="58" t="str">
        <f>작성용!C476</f>
        <v>재평가</v>
      </c>
      <c r="G479" s="58" t="str">
        <f>작성용!D476</f>
        <v>엔씽</v>
      </c>
      <c r="H479" s="59">
        <f>작성용!E476</f>
        <v>1314110312464</v>
      </c>
      <c r="I479" s="58" t="str">
        <f>작성용!F476</f>
        <v>A07</v>
      </c>
      <c r="J479" s="58">
        <f>작성용!G476</f>
        <v>1</v>
      </c>
      <c r="K479" s="58" t="str">
        <f>작성용!H476</f>
        <v>-</v>
      </c>
      <c r="L479" s="58" t="str">
        <f>작성용!N476</f>
        <v>년</v>
      </c>
      <c r="M479" s="57" t="str">
        <f>작성용!U476</f>
        <v>2024.09.30</v>
      </c>
      <c r="N479" s="57">
        <f>작성용!V476</f>
        <v>45611</v>
      </c>
      <c r="O479" s="57" t="str">
        <f>작성용!W476</f>
        <v>보고서제공X</v>
      </c>
      <c r="P479" s="57" t="str">
        <f>작성용!X476</f>
        <v>-</v>
      </c>
      <c r="Q479" s="58" t="str">
        <f>작성용!AD476</f>
        <v>강승현</v>
      </c>
      <c r="R479" s="60">
        <f>작성용!AE476</f>
        <v>0</v>
      </c>
      <c r="S479" s="58" t="str">
        <f>작성용!AF476</f>
        <v>강승현</v>
      </c>
      <c r="T479" s="61" t="str">
        <f>작성용!AG476</f>
        <v>-</v>
      </c>
      <c r="U479" s="61" t="str">
        <f>작성용!AH476</f>
        <v>-</v>
      </c>
      <c r="V479" s="56">
        <f>작성용!AA476</f>
        <v>202411</v>
      </c>
      <c r="W479" s="58" t="str">
        <f>작성용!AC476</f>
        <v>[6]기타기관펀드(기초자산)</v>
      </c>
      <c r="X479" s="58">
        <f>작성용!O476</f>
        <v>0</v>
      </c>
      <c r="Y479" s="58">
        <f>작성용!P476</f>
        <v>0</v>
      </c>
      <c r="Z479" s="58">
        <f>작성용!Q476</f>
        <v>0</v>
      </c>
      <c r="AA479" s="56" t="str">
        <f>작성용!AJ476</f>
        <v>-</v>
      </c>
      <c r="AB479" s="56">
        <f>작성용!AB476</f>
        <v>0</v>
      </c>
    </row>
    <row r="480" spans="1:28" s="12" customFormat="1" ht="16.5" hidden="1" customHeight="1" x14ac:dyDescent="0.3">
      <c r="A480" s="54">
        <f>작성용!AL477</f>
        <v>476</v>
      </c>
      <c r="B480" s="55" t="str">
        <f>작성용!AI477</f>
        <v>-</v>
      </c>
      <c r="C480" s="56" t="str">
        <f>작성용!AK477</f>
        <v>기초자산</v>
      </c>
      <c r="D480" s="57" t="str">
        <f>작성용!T477</f>
        <v>고려아연펀드(기초자산)</v>
      </c>
      <c r="E480" s="58" t="str">
        <f>작성용!B477</f>
        <v>인터베스트그로스세컨더리펀드</v>
      </c>
      <c r="F480" s="58" t="str">
        <f>작성용!C477</f>
        <v>재평가</v>
      </c>
      <c r="G480" s="58" t="str">
        <f>작성용!D477</f>
        <v>핀다</v>
      </c>
      <c r="H480" s="59">
        <f>작성용!E477</f>
        <v>1101115848275</v>
      </c>
      <c r="I480" s="58" t="str">
        <f>작성용!F477</f>
        <v>A07</v>
      </c>
      <c r="J480" s="58">
        <f>작성용!G477</f>
        <v>0</v>
      </c>
      <c r="K480" s="58" t="str">
        <f>작성용!H477</f>
        <v>-</v>
      </c>
      <c r="L480" s="58" t="str">
        <f>작성용!N477</f>
        <v>년</v>
      </c>
      <c r="M480" s="57" t="str">
        <f>작성용!U477</f>
        <v>2024.09.30</v>
      </c>
      <c r="N480" s="57">
        <f>작성용!V477</f>
        <v>45611</v>
      </c>
      <c r="O480" s="57" t="str">
        <f>작성용!W477</f>
        <v>보고서제공X</v>
      </c>
      <c r="P480" s="57" t="str">
        <f>작성용!X477</f>
        <v>-</v>
      </c>
      <c r="Q480" s="58" t="str">
        <f>작성용!AD477</f>
        <v>김예림</v>
      </c>
      <c r="R480" s="60">
        <f>작성용!AE477</f>
        <v>0.6</v>
      </c>
      <c r="S480" s="58" t="str">
        <f>작성용!AF477</f>
        <v>김예림</v>
      </c>
      <c r="T480" s="61" t="str">
        <f>작성용!AG477</f>
        <v>-</v>
      </c>
      <c r="U480" s="61" t="str">
        <f>작성용!AH477</f>
        <v>-</v>
      </c>
      <c r="V480" s="56">
        <f>작성용!AA477</f>
        <v>202411</v>
      </c>
      <c r="W480" s="58" t="str">
        <f>작성용!AC477</f>
        <v>[6]기타기관펀드(기초자산)</v>
      </c>
      <c r="X480" s="58">
        <f>작성용!O477</f>
        <v>0</v>
      </c>
      <c r="Y480" s="58">
        <f>작성용!P477</f>
        <v>0</v>
      </c>
      <c r="Z480" s="58">
        <f>작성용!Q477</f>
        <v>0</v>
      </c>
      <c r="AA480" s="56" t="str">
        <f>작성용!AJ477</f>
        <v>-</v>
      </c>
      <c r="AB480" s="56">
        <f>작성용!AB477</f>
        <v>0</v>
      </c>
    </row>
    <row r="481" spans="1:28" s="12" customFormat="1" ht="16.5" hidden="1" customHeight="1" x14ac:dyDescent="0.3">
      <c r="A481" s="54">
        <f>작성용!AL478</f>
        <v>477</v>
      </c>
      <c r="B481" s="55" t="str">
        <f>작성용!AI478</f>
        <v>-</v>
      </c>
      <c r="C481" s="56" t="str">
        <f>작성용!AK478</f>
        <v>기초자산</v>
      </c>
      <c r="D481" s="57" t="str">
        <f>작성용!T478</f>
        <v>고려아연펀드(기초자산)</v>
      </c>
      <c r="E481" s="58" t="str">
        <f>작성용!B478</f>
        <v>인터베스트그로스세컨더리펀드</v>
      </c>
      <c r="F481" s="58" t="str">
        <f>작성용!C478</f>
        <v>재평가</v>
      </c>
      <c r="G481" s="58" t="str">
        <f>작성용!D478</f>
        <v>뤼이드</v>
      </c>
      <c r="H481" s="59">
        <f>작성용!E478</f>
        <v>1101115407568</v>
      </c>
      <c r="I481" s="58" t="str">
        <f>작성용!F478</f>
        <v>A07</v>
      </c>
      <c r="J481" s="58">
        <f>작성용!G478</f>
        <v>8</v>
      </c>
      <c r="K481" s="58" t="str">
        <f>작성용!H478</f>
        <v>-</v>
      </c>
      <c r="L481" s="58" t="str">
        <f>작성용!N478</f>
        <v>년</v>
      </c>
      <c r="M481" s="57" t="str">
        <f>작성용!U478</f>
        <v>2024.09.30</v>
      </c>
      <c r="N481" s="57">
        <f>작성용!V478</f>
        <v>45611</v>
      </c>
      <c r="O481" s="57" t="str">
        <f>작성용!W478</f>
        <v>보고서제공X</v>
      </c>
      <c r="P481" s="57" t="str">
        <f>작성용!X478</f>
        <v>-</v>
      </c>
      <c r="Q481" s="58" t="str">
        <f>작성용!AD478</f>
        <v>이문수</v>
      </c>
      <c r="R481" s="60">
        <f>작성용!AE478</f>
        <v>0.6</v>
      </c>
      <c r="S481" s="58" t="str">
        <f>작성용!AF478</f>
        <v>이문수</v>
      </c>
      <c r="T481" s="61" t="str">
        <f>작성용!AG478</f>
        <v>-</v>
      </c>
      <c r="U481" s="61" t="str">
        <f>작성용!AH478</f>
        <v>-</v>
      </c>
      <c r="V481" s="56">
        <f>작성용!AA478</f>
        <v>202411</v>
      </c>
      <c r="W481" s="58" t="str">
        <f>작성용!AC478</f>
        <v>[6]기타기관펀드(기초자산)</v>
      </c>
      <c r="X481" s="58">
        <f>작성용!O478</f>
        <v>0</v>
      </c>
      <c r="Y481" s="58">
        <f>작성용!P478</f>
        <v>0</v>
      </c>
      <c r="Z481" s="58">
        <f>작성용!Q478</f>
        <v>0</v>
      </c>
      <c r="AA481" s="56" t="str">
        <f>작성용!AJ478</f>
        <v>-</v>
      </c>
      <c r="AB481" s="56">
        <f>작성용!AB478</f>
        <v>0</v>
      </c>
    </row>
    <row r="482" spans="1:28" s="12" customFormat="1" ht="16.5" hidden="1" customHeight="1" x14ac:dyDescent="0.3">
      <c r="A482" s="54">
        <f>작성용!AL479</f>
        <v>478</v>
      </c>
      <c r="B482" s="55" t="str">
        <f>작성용!AI479</f>
        <v>-</v>
      </c>
      <c r="C482" s="56" t="str">
        <f>작성용!AK479</f>
        <v>기초자산</v>
      </c>
      <c r="D482" s="57" t="str">
        <f>작성용!T479</f>
        <v>고려아연펀드(기초자산)</v>
      </c>
      <c r="E482" s="58" t="str">
        <f>작성용!B479</f>
        <v>인터베스트그로스세컨더리펀드</v>
      </c>
      <c r="F482" s="58" t="str">
        <f>작성용!C479</f>
        <v>재평가</v>
      </c>
      <c r="G482" s="58" t="str">
        <f>작성용!D479</f>
        <v>뤼이드</v>
      </c>
      <c r="H482" s="59">
        <f>작성용!E479</f>
        <v>1101115407568</v>
      </c>
      <c r="I482" s="58" t="str">
        <f>작성용!F479</f>
        <v>A05</v>
      </c>
      <c r="J482" s="58">
        <f>작성용!G479</f>
        <v>0</v>
      </c>
      <c r="K482" s="58" t="str">
        <f>작성용!H479</f>
        <v>-</v>
      </c>
      <c r="L482" s="58" t="str">
        <f>작성용!N479</f>
        <v>년</v>
      </c>
      <c r="M482" s="57" t="str">
        <f>작성용!U479</f>
        <v>2024.09.30</v>
      </c>
      <c r="N482" s="57">
        <f>작성용!V479</f>
        <v>45611</v>
      </c>
      <c r="O482" s="57" t="str">
        <f>작성용!W479</f>
        <v>보고서제공X</v>
      </c>
      <c r="P482" s="57" t="str">
        <f>작성용!X479</f>
        <v>-</v>
      </c>
      <c r="Q482" s="58" t="str">
        <f>작성용!AD479</f>
        <v>이문수</v>
      </c>
      <c r="R482" s="60">
        <f>작성용!AE479</f>
        <v>0</v>
      </c>
      <c r="S482" s="58" t="str">
        <f>작성용!AF479</f>
        <v>이문수</v>
      </c>
      <c r="T482" s="61" t="str">
        <f>작성용!AG479</f>
        <v>-</v>
      </c>
      <c r="U482" s="61" t="str">
        <f>작성용!AH479</f>
        <v>-</v>
      </c>
      <c r="V482" s="56">
        <f>작성용!AA479</f>
        <v>202411</v>
      </c>
      <c r="W482" s="58" t="str">
        <f>작성용!AC479</f>
        <v>[6]기타기관펀드(기초자산)</v>
      </c>
      <c r="X482" s="58">
        <f>작성용!O479</f>
        <v>0</v>
      </c>
      <c r="Y482" s="58">
        <f>작성용!P479</f>
        <v>0</v>
      </c>
      <c r="Z482" s="58">
        <f>작성용!Q479</f>
        <v>0</v>
      </c>
      <c r="AA482" s="56" t="str">
        <f>작성용!AJ479</f>
        <v>-</v>
      </c>
      <c r="AB482" s="56">
        <f>작성용!AB479</f>
        <v>0</v>
      </c>
    </row>
    <row r="483" spans="1:28" s="12" customFormat="1" ht="16.5" hidden="1" customHeight="1" x14ac:dyDescent="0.3">
      <c r="A483" s="54">
        <f>작성용!AL480</f>
        <v>479</v>
      </c>
      <c r="B483" s="55" t="str">
        <f>작성용!AI480</f>
        <v>-</v>
      </c>
      <c r="C483" s="56" t="str">
        <f>작성용!AK480</f>
        <v>기초자산</v>
      </c>
      <c r="D483" s="57" t="str">
        <f>작성용!T480</f>
        <v>고려아연펀드(기초자산)</v>
      </c>
      <c r="E483" s="58" t="str">
        <f>작성용!B480</f>
        <v>인터베스트그로스세컨더리펀드</v>
      </c>
      <c r="F483" s="58" t="str">
        <f>작성용!C480</f>
        <v>재평가</v>
      </c>
      <c r="G483" s="58" t="str">
        <f>작성용!D480</f>
        <v>노타</v>
      </c>
      <c r="H483" s="59">
        <f>작성용!E480</f>
        <v>1601110397409</v>
      </c>
      <c r="I483" s="58" t="str">
        <f>작성용!F480</f>
        <v>A07</v>
      </c>
      <c r="J483" s="58">
        <f>작성용!G480</f>
        <v>0</v>
      </c>
      <c r="K483" s="58" t="str">
        <f>작성용!H480</f>
        <v>-</v>
      </c>
      <c r="L483" s="58" t="str">
        <f>작성용!N480</f>
        <v>년</v>
      </c>
      <c r="M483" s="57" t="str">
        <f>작성용!U480</f>
        <v>2024.09.30</v>
      </c>
      <c r="N483" s="57">
        <f>작성용!V480</f>
        <v>45611</v>
      </c>
      <c r="O483" s="57" t="str">
        <f>작성용!W480</f>
        <v>보고서제공X</v>
      </c>
      <c r="P483" s="57" t="str">
        <f>작성용!X480</f>
        <v>-</v>
      </c>
      <c r="Q483" s="58" t="str">
        <f>작성용!AD480</f>
        <v>채동우</v>
      </c>
      <c r="R483" s="60">
        <f>작성용!AE480</f>
        <v>0</v>
      </c>
      <c r="S483" s="58" t="str">
        <f>작성용!AF480</f>
        <v>채동우</v>
      </c>
      <c r="T483" s="61" t="str">
        <f>작성용!AG480</f>
        <v>-</v>
      </c>
      <c r="U483" s="61" t="str">
        <f>작성용!AH480</f>
        <v>-</v>
      </c>
      <c r="V483" s="56">
        <f>작성용!AA480</f>
        <v>202411</v>
      </c>
      <c r="W483" s="58" t="str">
        <f>작성용!AC480</f>
        <v>[6]기타기관펀드(기초자산)</v>
      </c>
      <c r="X483" s="58">
        <f>작성용!O480</f>
        <v>0</v>
      </c>
      <c r="Y483" s="58">
        <f>작성용!P480</f>
        <v>0</v>
      </c>
      <c r="Z483" s="58">
        <f>작성용!Q480</f>
        <v>0</v>
      </c>
      <c r="AA483" s="56" t="str">
        <f>작성용!AJ480</f>
        <v>-</v>
      </c>
      <c r="AB483" s="56">
        <f>작성용!AB480</f>
        <v>0</v>
      </c>
    </row>
    <row r="484" spans="1:28" s="12" customFormat="1" ht="16.5" hidden="1" customHeight="1" x14ac:dyDescent="0.3">
      <c r="A484" s="54">
        <f>작성용!AL481</f>
        <v>480</v>
      </c>
      <c r="B484" s="55" t="str">
        <f>작성용!AI481</f>
        <v>-</v>
      </c>
      <c r="C484" s="56" t="str">
        <f>작성용!AK481</f>
        <v>기초자산</v>
      </c>
      <c r="D484" s="57" t="str">
        <f>작성용!T481</f>
        <v>고려아연펀드(기초자산)</v>
      </c>
      <c r="E484" s="58" t="str">
        <f>작성용!B481</f>
        <v>인터베스트그로스세컨더리펀드</v>
      </c>
      <c r="F484" s="58" t="str">
        <f>작성용!C481</f>
        <v>재평가</v>
      </c>
      <c r="G484" s="58" t="str">
        <f>작성용!D481</f>
        <v>에이블리코퍼레이션</v>
      </c>
      <c r="H484" s="59">
        <f>작성용!E481</f>
        <v>1101115800986</v>
      </c>
      <c r="I484" s="58" t="str">
        <f>작성용!F481</f>
        <v>A07</v>
      </c>
      <c r="J484" s="58">
        <f>작성용!G481</f>
        <v>7</v>
      </c>
      <c r="K484" s="58" t="str">
        <f>작성용!H481</f>
        <v>-</v>
      </c>
      <c r="L484" s="58" t="str">
        <f>작성용!N481</f>
        <v>년</v>
      </c>
      <c r="M484" s="57" t="str">
        <f>작성용!U481</f>
        <v>2024.09.30</v>
      </c>
      <c r="N484" s="57">
        <f>작성용!V481</f>
        <v>45611</v>
      </c>
      <c r="O484" s="57" t="str">
        <f>작성용!W481</f>
        <v>보고서제공X</v>
      </c>
      <c r="P484" s="57" t="str">
        <f>작성용!X481</f>
        <v>-</v>
      </c>
      <c r="Q484" s="58" t="str">
        <f>작성용!AD481</f>
        <v>서동현</v>
      </c>
      <c r="R484" s="60">
        <f>작성용!AE481</f>
        <v>0</v>
      </c>
      <c r="S484" s="58" t="str">
        <f>작성용!AF481</f>
        <v>서동현</v>
      </c>
      <c r="T484" s="61" t="str">
        <f>작성용!AG481</f>
        <v>-</v>
      </c>
      <c r="U484" s="61" t="str">
        <f>작성용!AH481</f>
        <v>-</v>
      </c>
      <c r="V484" s="56">
        <f>작성용!AA481</f>
        <v>202411</v>
      </c>
      <c r="W484" s="58" t="str">
        <f>작성용!AC481</f>
        <v>[6]기타기관펀드(기초자산)</v>
      </c>
      <c r="X484" s="58">
        <f>작성용!O481</f>
        <v>0</v>
      </c>
      <c r="Y484" s="58">
        <f>작성용!P481</f>
        <v>0</v>
      </c>
      <c r="Z484" s="58">
        <f>작성용!Q481</f>
        <v>0</v>
      </c>
      <c r="AA484" s="56" t="str">
        <f>작성용!AJ481</f>
        <v>-</v>
      </c>
      <c r="AB484" s="56">
        <f>작성용!AB481</f>
        <v>0</v>
      </c>
    </row>
    <row r="485" spans="1:28" s="12" customFormat="1" ht="16.5" hidden="1" customHeight="1" x14ac:dyDescent="0.3">
      <c r="A485" s="54">
        <f>작성용!AL482</f>
        <v>481</v>
      </c>
      <c r="B485" s="55" t="str">
        <f>작성용!AI482</f>
        <v>-</v>
      </c>
      <c r="C485" s="56" t="str">
        <f>작성용!AK482</f>
        <v>기초자산</v>
      </c>
      <c r="D485" s="57" t="str">
        <f>작성용!T482</f>
        <v>고려아연펀드(기초자산)</v>
      </c>
      <c r="E485" s="58" t="str">
        <f>작성용!B482</f>
        <v>인터베스트그로스세컨더리펀드</v>
      </c>
      <c r="F485" s="58" t="str">
        <f>작성용!C482</f>
        <v>재평가</v>
      </c>
      <c r="G485" s="58" t="str">
        <f>작성용!D482</f>
        <v>PORTONE HOLDINGS PTE. LTD.(구,Chai Pay Holdings Company PTE. LTD)</v>
      </c>
      <c r="H485" s="59" t="str">
        <f>작성용!E482</f>
        <v>KBP2020030042</v>
      </c>
      <c r="I485" s="58" t="str">
        <f>작성용!F482</f>
        <v>A05</v>
      </c>
      <c r="J485" s="58">
        <f>작성용!G482</f>
        <v>0</v>
      </c>
      <c r="K485" s="58" t="str">
        <f>작성용!H482</f>
        <v>-</v>
      </c>
      <c r="L485" s="58" t="str">
        <f>작성용!N482</f>
        <v>년</v>
      </c>
      <c r="M485" s="57" t="str">
        <f>작성용!U482</f>
        <v>2024.09.30</v>
      </c>
      <c r="N485" s="57">
        <f>작성용!V482</f>
        <v>45611</v>
      </c>
      <c r="O485" s="57" t="str">
        <f>작성용!W482</f>
        <v>보고서제공X</v>
      </c>
      <c r="P485" s="57" t="str">
        <f>작성용!X482</f>
        <v>-</v>
      </c>
      <c r="Q485" s="58" t="str">
        <f>작성용!AD482</f>
        <v>김예림</v>
      </c>
      <c r="R485" s="60">
        <f>작성용!AE482</f>
        <v>0.6</v>
      </c>
      <c r="S485" s="58" t="str">
        <f>작성용!AF482</f>
        <v>김예림</v>
      </c>
      <c r="T485" s="61" t="str">
        <f>작성용!AG482</f>
        <v>-</v>
      </c>
      <c r="U485" s="61" t="str">
        <f>작성용!AH482</f>
        <v>-</v>
      </c>
      <c r="V485" s="56">
        <f>작성용!AA482</f>
        <v>202411</v>
      </c>
      <c r="W485" s="58" t="str">
        <f>작성용!AC482</f>
        <v>[6]기타기관펀드(기초자산)</v>
      </c>
      <c r="X485" s="58">
        <f>작성용!O482</f>
        <v>0</v>
      </c>
      <c r="Y485" s="58">
        <f>작성용!P482</f>
        <v>0</v>
      </c>
      <c r="Z485" s="58">
        <f>작성용!Q482</f>
        <v>0</v>
      </c>
      <c r="AA485" s="56" t="str">
        <f>작성용!AJ482</f>
        <v>-</v>
      </c>
      <c r="AB485" s="56">
        <f>작성용!AB482</f>
        <v>0</v>
      </c>
    </row>
    <row r="486" spans="1:28" s="12" customFormat="1" ht="16.5" hidden="1" customHeight="1" x14ac:dyDescent="0.3">
      <c r="A486" s="54">
        <f>작성용!AL483</f>
        <v>482</v>
      </c>
      <c r="B486" s="55" t="str">
        <f>작성용!AI483</f>
        <v>-</v>
      </c>
      <c r="C486" s="56" t="str">
        <f>작성용!AK483</f>
        <v>기초자산</v>
      </c>
      <c r="D486" s="57" t="str">
        <f>작성용!T483</f>
        <v>고려아연펀드(기초자산)</v>
      </c>
      <c r="E486" s="58" t="str">
        <f>작성용!B483</f>
        <v>인터베스트그로스세컨더리펀드</v>
      </c>
      <c r="F486" s="58" t="str">
        <f>작성용!C483</f>
        <v>재평가</v>
      </c>
      <c r="G486" s="58" t="str">
        <f>작성용!D483</f>
        <v>PORTONE HOLDINGS PTE. LTD.(구,Chai Pay Holdings Company PTE. LTD)</v>
      </c>
      <c r="H486" s="59" t="str">
        <f>작성용!E483</f>
        <v>KBP2020030042</v>
      </c>
      <c r="I486" s="58" t="str">
        <f>작성용!F483</f>
        <v>A05</v>
      </c>
      <c r="J486" s="58">
        <f>작성용!G483</f>
        <v>1</v>
      </c>
      <c r="K486" s="58" t="str">
        <f>작성용!H483</f>
        <v>-</v>
      </c>
      <c r="L486" s="58" t="str">
        <f>작성용!N483</f>
        <v>년</v>
      </c>
      <c r="M486" s="57" t="str">
        <f>작성용!U483</f>
        <v>2024.09.30</v>
      </c>
      <c r="N486" s="57">
        <f>작성용!V483</f>
        <v>45611</v>
      </c>
      <c r="O486" s="57" t="str">
        <f>작성용!W483</f>
        <v>보고서제공X</v>
      </c>
      <c r="P486" s="57" t="str">
        <f>작성용!X483</f>
        <v>-</v>
      </c>
      <c r="Q486" s="58" t="str">
        <f>작성용!AD483</f>
        <v>김예림</v>
      </c>
      <c r="R486" s="60">
        <f>작성용!AE483</f>
        <v>0</v>
      </c>
      <c r="S486" s="58" t="str">
        <f>작성용!AF483</f>
        <v>김예림</v>
      </c>
      <c r="T486" s="61" t="str">
        <f>작성용!AG483</f>
        <v>-</v>
      </c>
      <c r="U486" s="61" t="str">
        <f>작성용!AH483</f>
        <v>-</v>
      </c>
      <c r="V486" s="56">
        <f>작성용!AA483</f>
        <v>202411</v>
      </c>
      <c r="W486" s="58" t="str">
        <f>작성용!AC483</f>
        <v>[6]기타기관펀드(기초자산)</v>
      </c>
      <c r="X486" s="58">
        <f>작성용!O483</f>
        <v>0</v>
      </c>
      <c r="Y486" s="58">
        <f>작성용!P483</f>
        <v>0</v>
      </c>
      <c r="Z486" s="58">
        <f>작성용!Q483</f>
        <v>0</v>
      </c>
      <c r="AA486" s="56" t="str">
        <f>작성용!AJ483</f>
        <v>-</v>
      </c>
      <c r="AB486" s="56">
        <f>작성용!AB483</f>
        <v>0</v>
      </c>
    </row>
    <row r="487" spans="1:28" s="12" customFormat="1" ht="16.5" hidden="1" customHeight="1" x14ac:dyDescent="0.3">
      <c r="A487" s="54">
        <f>작성용!AL484</f>
        <v>483</v>
      </c>
      <c r="B487" s="55" t="str">
        <f>작성용!AI484</f>
        <v>-</v>
      </c>
      <c r="C487" s="56" t="str">
        <f>작성용!AK484</f>
        <v>기초자산</v>
      </c>
      <c r="D487" s="57" t="str">
        <f>작성용!T484</f>
        <v>고려아연펀드(기초자산)</v>
      </c>
      <c r="E487" s="58" t="str">
        <f>작성용!B484</f>
        <v>인터베스트그로스세컨더리펀드</v>
      </c>
      <c r="F487" s="58" t="str">
        <f>작성용!C484</f>
        <v>재평가</v>
      </c>
      <c r="G487" s="58" t="str">
        <f>작성용!D484</f>
        <v>노타</v>
      </c>
      <c r="H487" s="59">
        <f>작성용!E484</f>
        <v>1601110397409</v>
      </c>
      <c r="I487" s="58" t="str">
        <f>작성용!F484</f>
        <v>A01</v>
      </c>
      <c r="J487" s="58">
        <f>작성용!G484</f>
        <v>0</v>
      </c>
      <c r="K487" s="58" t="str">
        <f>작성용!H484</f>
        <v>-</v>
      </c>
      <c r="L487" s="58" t="str">
        <f>작성용!N484</f>
        <v>년</v>
      </c>
      <c r="M487" s="57" t="str">
        <f>작성용!U484</f>
        <v>2024.09.30</v>
      </c>
      <c r="N487" s="57">
        <f>작성용!V484</f>
        <v>45611</v>
      </c>
      <c r="O487" s="57" t="str">
        <f>작성용!W484</f>
        <v>보고서제공X</v>
      </c>
      <c r="P487" s="57" t="str">
        <f>작성용!X484</f>
        <v>-</v>
      </c>
      <c r="Q487" s="58" t="str">
        <f>작성용!AD484</f>
        <v>채동우</v>
      </c>
      <c r="R487" s="60">
        <f>작성용!AE484</f>
        <v>0</v>
      </c>
      <c r="S487" s="58" t="str">
        <f>작성용!AF484</f>
        <v>채동우</v>
      </c>
      <c r="T487" s="61" t="str">
        <f>작성용!AG484</f>
        <v>-</v>
      </c>
      <c r="U487" s="61" t="str">
        <f>작성용!AH484</f>
        <v>-</v>
      </c>
      <c r="V487" s="56">
        <f>작성용!AA484</f>
        <v>202411</v>
      </c>
      <c r="W487" s="58" t="str">
        <f>작성용!AC484</f>
        <v>[6]기타기관펀드(기초자산)</v>
      </c>
      <c r="X487" s="58">
        <f>작성용!O484</f>
        <v>0</v>
      </c>
      <c r="Y487" s="58">
        <f>작성용!P484</f>
        <v>0</v>
      </c>
      <c r="Z487" s="58">
        <f>작성용!Q484</f>
        <v>0</v>
      </c>
      <c r="AA487" s="56" t="str">
        <f>작성용!AJ484</f>
        <v>-</v>
      </c>
      <c r="AB487" s="56">
        <f>작성용!AB484</f>
        <v>0</v>
      </c>
    </row>
    <row r="488" spans="1:28" s="12" customFormat="1" ht="16.5" hidden="1" customHeight="1" x14ac:dyDescent="0.3">
      <c r="A488" s="54">
        <f>작성용!AL485</f>
        <v>484</v>
      </c>
      <c r="B488" s="55" t="str">
        <f>작성용!AI485</f>
        <v>-</v>
      </c>
      <c r="C488" s="56" t="str">
        <f>작성용!AK485</f>
        <v>기초자산</v>
      </c>
      <c r="D488" s="57" t="str">
        <f>작성용!T485</f>
        <v>고려아연펀드(기초자산)</v>
      </c>
      <c r="E488" s="58" t="str">
        <f>작성용!B485</f>
        <v>인터베스트그로스세컨더리펀드</v>
      </c>
      <c r="F488" s="58" t="str">
        <f>작성용!C485</f>
        <v>재평가</v>
      </c>
      <c r="G488" s="58" t="str">
        <f>작성용!D485</f>
        <v>엠오피</v>
      </c>
      <c r="H488" s="59">
        <f>작성용!E485</f>
        <v>1358110307520</v>
      </c>
      <c r="I488" s="58" t="str">
        <f>작성용!F485</f>
        <v>A01</v>
      </c>
      <c r="J488" s="58">
        <f>작성용!G485</f>
        <v>0</v>
      </c>
      <c r="K488" s="58" t="str">
        <f>작성용!H485</f>
        <v>-</v>
      </c>
      <c r="L488" s="58" t="str">
        <f>작성용!N485</f>
        <v>년</v>
      </c>
      <c r="M488" s="57" t="str">
        <f>작성용!U485</f>
        <v>2024.09.30</v>
      </c>
      <c r="N488" s="57">
        <f>작성용!V485</f>
        <v>45611</v>
      </c>
      <c r="O488" s="57" t="str">
        <f>작성용!W485</f>
        <v>보고서제공X</v>
      </c>
      <c r="P488" s="57" t="str">
        <f>작성용!X485</f>
        <v>-</v>
      </c>
      <c r="Q488" s="58" t="str">
        <f>작성용!AD485</f>
        <v>최수민</v>
      </c>
      <c r="R488" s="60">
        <f>작성용!AE485</f>
        <v>0</v>
      </c>
      <c r="S488" s="58" t="str">
        <f>작성용!AF485</f>
        <v>서수빈</v>
      </c>
      <c r="T488" s="61" t="str">
        <f>작성용!AG485</f>
        <v>-</v>
      </c>
      <c r="U488" s="61" t="str">
        <f>작성용!AH485</f>
        <v>-</v>
      </c>
      <c r="V488" s="56">
        <f>작성용!AA485</f>
        <v>202411</v>
      </c>
      <c r="W488" s="58" t="str">
        <f>작성용!AC485</f>
        <v>[6]기타기관펀드(기초자산)</v>
      </c>
      <c r="X488" s="58">
        <f>작성용!O485</f>
        <v>0</v>
      </c>
      <c r="Y488" s="58">
        <f>작성용!P485</f>
        <v>0</v>
      </c>
      <c r="Z488" s="58">
        <f>작성용!Q485</f>
        <v>0</v>
      </c>
      <c r="AA488" s="56" t="str">
        <f>작성용!AJ485</f>
        <v>-</v>
      </c>
      <c r="AB488" s="56">
        <f>작성용!AB485</f>
        <v>0</v>
      </c>
    </row>
    <row r="489" spans="1:28" s="12" customFormat="1" ht="16.5" hidden="1" customHeight="1" x14ac:dyDescent="0.3">
      <c r="A489" s="54">
        <f>작성용!AL486</f>
        <v>485</v>
      </c>
      <c r="B489" s="55" t="str">
        <f>작성용!AI486</f>
        <v>-</v>
      </c>
      <c r="C489" s="56" t="str">
        <f>작성용!AK486</f>
        <v>기초자산</v>
      </c>
      <c r="D489" s="57" t="str">
        <f>작성용!T486</f>
        <v>고려아연펀드(기초자산)</v>
      </c>
      <c r="E489" s="58" t="str">
        <f>작성용!B486</f>
        <v>인터베스트그로스세컨더리펀드</v>
      </c>
      <c r="F489" s="58" t="str">
        <f>작성용!C486</f>
        <v>재평가</v>
      </c>
      <c r="G489" s="58" t="str">
        <f>작성용!D486</f>
        <v>엠오피</v>
      </c>
      <c r="H489" s="59">
        <f>작성용!E486</f>
        <v>1358110307520</v>
      </c>
      <c r="I489" s="58" t="str">
        <f>작성용!F486</f>
        <v>A07</v>
      </c>
      <c r="J489" s="58">
        <f>작성용!G486</f>
        <v>0</v>
      </c>
      <c r="K489" s="58" t="str">
        <f>작성용!H486</f>
        <v>-</v>
      </c>
      <c r="L489" s="58" t="str">
        <f>작성용!N486</f>
        <v>년</v>
      </c>
      <c r="M489" s="57" t="str">
        <f>작성용!U486</f>
        <v>2024.09.30</v>
      </c>
      <c r="N489" s="57">
        <f>작성용!V486</f>
        <v>45611</v>
      </c>
      <c r="O489" s="57" t="str">
        <f>작성용!W486</f>
        <v>보고서제공X</v>
      </c>
      <c r="P489" s="57" t="str">
        <f>작성용!X486</f>
        <v>-</v>
      </c>
      <c r="Q489" s="58" t="str">
        <f>작성용!AD486</f>
        <v>최수민</v>
      </c>
      <c r="R489" s="60">
        <f>작성용!AE486</f>
        <v>0</v>
      </c>
      <c r="S489" s="58" t="str">
        <f>작성용!AF486</f>
        <v>서수빈</v>
      </c>
      <c r="T489" s="61" t="str">
        <f>작성용!AG486</f>
        <v>-</v>
      </c>
      <c r="U489" s="61" t="str">
        <f>작성용!AH486</f>
        <v>-</v>
      </c>
      <c r="V489" s="56">
        <f>작성용!AA486</f>
        <v>202411</v>
      </c>
      <c r="W489" s="58" t="str">
        <f>작성용!AC486</f>
        <v>[6]기타기관펀드(기초자산)</v>
      </c>
      <c r="X489" s="58">
        <f>작성용!O486</f>
        <v>0</v>
      </c>
      <c r="Y489" s="58">
        <f>작성용!P486</f>
        <v>0</v>
      </c>
      <c r="Z489" s="58">
        <f>작성용!Q486</f>
        <v>0</v>
      </c>
      <c r="AA489" s="56" t="str">
        <f>작성용!AJ486</f>
        <v>-</v>
      </c>
      <c r="AB489" s="56">
        <f>작성용!AB486</f>
        <v>0</v>
      </c>
    </row>
    <row r="490" spans="1:28" s="12" customFormat="1" ht="16.5" hidden="1" customHeight="1" x14ac:dyDescent="0.3">
      <c r="A490" s="54">
        <f>작성용!AL487</f>
        <v>486</v>
      </c>
      <c r="B490" s="55" t="str">
        <f>작성용!AI487</f>
        <v>-</v>
      </c>
      <c r="C490" s="56" t="str">
        <f>작성용!AK487</f>
        <v>기초자산</v>
      </c>
      <c r="D490" s="57" t="str">
        <f>작성용!T487</f>
        <v>고려아연펀드(기초자산)</v>
      </c>
      <c r="E490" s="58" t="str">
        <f>작성용!B487</f>
        <v>인터베스트그로스세컨더리펀드</v>
      </c>
      <c r="F490" s="58" t="str">
        <f>작성용!C487</f>
        <v>재평가</v>
      </c>
      <c r="G490" s="58" t="str">
        <f>작성용!D487</f>
        <v>아이지넷</v>
      </c>
      <c r="H490" s="59">
        <f>작성용!E487</f>
        <v>1358110248964</v>
      </c>
      <c r="I490" s="58" t="str">
        <f>작성용!F487</f>
        <v>A01</v>
      </c>
      <c r="J490" s="58">
        <f>작성용!G487</f>
        <v>0</v>
      </c>
      <c r="K490" s="58" t="str">
        <f>작성용!H487</f>
        <v>-</v>
      </c>
      <c r="L490" s="58" t="str">
        <f>작성용!N487</f>
        <v>년</v>
      </c>
      <c r="M490" s="57" t="str">
        <f>작성용!U487</f>
        <v>2024.09.30</v>
      </c>
      <c r="N490" s="57">
        <f>작성용!V487</f>
        <v>45611</v>
      </c>
      <c r="O490" s="57" t="str">
        <f>작성용!W487</f>
        <v>보고서제공X</v>
      </c>
      <c r="P490" s="57" t="str">
        <f>작성용!X487</f>
        <v>-</v>
      </c>
      <c r="Q490" s="58" t="str">
        <f>작성용!AD487</f>
        <v>강승현</v>
      </c>
      <c r="R490" s="60">
        <f>작성용!AE487</f>
        <v>0.6</v>
      </c>
      <c r="S490" s="58" t="str">
        <f>작성용!AF487</f>
        <v>강승현</v>
      </c>
      <c r="T490" s="61" t="str">
        <f>작성용!AG487</f>
        <v>-</v>
      </c>
      <c r="U490" s="61" t="str">
        <f>작성용!AH487</f>
        <v>-</v>
      </c>
      <c r="V490" s="56">
        <f>작성용!AA487</f>
        <v>202411</v>
      </c>
      <c r="W490" s="58" t="str">
        <f>작성용!AC487</f>
        <v>[6]기타기관펀드(기초자산)</v>
      </c>
      <c r="X490" s="58">
        <f>작성용!O487</f>
        <v>0</v>
      </c>
      <c r="Y490" s="58">
        <f>작성용!P487</f>
        <v>0</v>
      </c>
      <c r="Z490" s="58">
        <f>작성용!Q487</f>
        <v>0</v>
      </c>
      <c r="AA490" s="56" t="str">
        <f>작성용!AJ487</f>
        <v>-</v>
      </c>
      <c r="AB490" s="56">
        <f>작성용!AB487</f>
        <v>0</v>
      </c>
    </row>
    <row r="491" spans="1:28" s="12" customFormat="1" ht="16.5" hidden="1" customHeight="1" x14ac:dyDescent="0.3">
      <c r="A491" s="54">
        <f>작성용!AL488</f>
        <v>487</v>
      </c>
      <c r="B491" s="55" t="str">
        <f>작성용!AI488</f>
        <v>-</v>
      </c>
      <c r="C491" s="56" t="str">
        <f>작성용!AK488</f>
        <v>기초자산</v>
      </c>
      <c r="D491" s="57" t="str">
        <f>작성용!T488</f>
        <v>고려아연펀드(기초자산)</v>
      </c>
      <c r="E491" s="58" t="str">
        <f>작성용!B488</f>
        <v>인터베스트그로스세컨더리펀드</v>
      </c>
      <c r="F491" s="58" t="str">
        <f>작성용!C488</f>
        <v>재평가</v>
      </c>
      <c r="G491" s="58" t="str">
        <f>작성용!D488</f>
        <v>앱포스터</v>
      </c>
      <c r="H491" s="59">
        <f>작성용!E488</f>
        <v>1101114411049</v>
      </c>
      <c r="I491" s="58" t="str">
        <f>작성용!F488</f>
        <v>A07</v>
      </c>
      <c r="J491" s="58">
        <f>작성용!G488</f>
        <v>2</v>
      </c>
      <c r="K491" s="58" t="str">
        <f>작성용!H488</f>
        <v>-</v>
      </c>
      <c r="L491" s="58" t="str">
        <f>작성용!N488</f>
        <v>년</v>
      </c>
      <c r="M491" s="57" t="str">
        <f>작성용!U488</f>
        <v>2024.09.30</v>
      </c>
      <c r="N491" s="57">
        <f>작성용!V488</f>
        <v>45611</v>
      </c>
      <c r="O491" s="57" t="str">
        <f>작성용!W488</f>
        <v>보고서제공X</v>
      </c>
      <c r="P491" s="57" t="str">
        <f>작성용!X488</f>
        <v>-</v>
      </c>
      <c r="Q491" s="58" t="str">
        <f>작성용!AD488</f>
        <v>정재형</v>
      </c>
      <c r="R491" s="60">
        <f>작성용!AE488</f>
        <v>0.6</v>
      </c>
      <c r="S491" s="58" t="str">
        <f>작성용!AF488</f>
        <v>정재형</v>
      </c>
      <c r="T491" s="61" t="str">
        <f>작성용!AG488</f>
        <v>-</v>
      </c>
      <c r="U491" s="61" t="str">
        <f>작성용!AH488</f>
        <v>-</v>
      </c>
      <c r="V491" s="56">
        <f>작성용!AA488</f>
        <v>202411</v>
      </c>
      <c r="W491" s="58" t="str">
        <f>작성용!AC488</f>
        <v>[6]기타기관펀드(기초자산)</v>
      </c>
      <c r="X491" s="58">
        <f>작성용!O488</f>
        <v>0</v>
      </c>
      <c r="Y491" s="58">
        <f>작성용!P488</f>
        <v>0</v>
      </c>
      <c r="Z491" s="58">
        <f>작성용!Q488</f>
        <v>0</v>
      </c>
      <c r="AA491" s="56" t="str">
        <f>작성용!AJ488</f>
        <v>-</v>
      </c>
      <c r="AB491" s="56">
        <f>작성용!AB488</f>
        <v>0</v>
      </c>
    </row>
    <row r="492" spans="1:28" s="12" customFormat="1" ht="16.5" hidden="1" customHeight="1" x14ac:dyDescent="0.3">
      <c r="A492" s="54">
        <f>작성용!AL489</f>
        <v>488</v>
      </c>
      <c r="B492" s="55" t="str">
        <f>작성용!AI489</f>
        <v>-</v>
      </c>
      <c r="C492" s="56" t="str">
        <f>작성용!AK489</f>
        <v>기초자산</v>
      </c>
      <c r="D492" s="57" t="str">
        <f>작성용!T489</f>
        <v>고려아연펀드(기초자산)</v>
      </c>
      <c r="E492" s="58" t="str">
        <f>작성용!B489</f>
        <v>인터베스트그로스세컨더리펀드</v>
      </c>
      <c r="F492" s="58" t="str">
        <f>작성용!C489</f>
        <v>재평가</v>
      </c>
      <c r="G492" s="58" t="str">
        <f>작성용!D489</f>
        <v>단꿈아이</v>
      </c>
      <c r="H492" s="59">
        <f>작성용!E489</f>
        <v>1311110567990</v>
      </c>
      <c r="I492" s="58" t="str">
        <f>작성용!F489</f>
        <v>A07</v>
      </c>
      <c r="J492" s="58">
        <f>작성용!G489</f>
        <v>0</v>
      </c>
      <c r="K492" s="58" t="str">
        <f>작성용!H489</f>
        <v>-</v>
      </c>
      <c r="L492" s="58" t="str">
        <f>작성용!N489</f>
        <v>년</v>
      </c>
      <c r="M492" s="57" t="str">
        <f>작성용!U489</f>
        <v>2024.09.30</v>
      </c>
      <c r="N492" s="57">
        <f>작성용!V489</f>
        <v>45611</v>
      </c>
      <c r="O492" s="57" t="str">
        <f>작성용!W489</f>
        <v>보고서제공X</v>
      </c>
      <c r="P492" s="57" t="str">
        <f>작성용!X489</f>
        <v>-</v>
      </c>
      <c r="Q492" s="58" t="str">
        <f>작성용!AD489</f>
        <v>최수민</v>
      </c>
      <c r="R492" s="60">
        <f>작성용!AE489</f>
        <v>0.6</v>
      </c>
      <c r="S492" s="58" t="str">
        <f>작성용!AF489</f>
        <v>최수민</v>
      </c>
      <c r="T492" s="61" t="str">
        <f>작성용!AG489</f>
        <v>-</v>
      </c>
      <c r="U492" s="61" t="str">
        <f>작성용!AH489</f>
        <v>-</v>
      </c>
      <c r="V492" s="56">
        <f>작성용!AA489</f>
        <v>202411</v>
      </c>
      <c r="W492" s="58" t="str">
        <f>작성용!AC489</f>
        <v>[6]기타기관펀드(기초자산)</v>
      </c>
      <c r="X492" s="58">
        <f>작성용!O489</f>
        <v>0</v>
      </c>
      <c r="Y492" s="58">
        <f>작성용!P489</f>
        <v>0</v>
      </c>
      <c r="Z492" s="58">
        <f>작성용!Q489</f>
        <v>0</v>
      </c>
      <c r="AA492" s="56" t="str">
        <f>작성용!AJ489</f>
        <v>-</v>
      </c>
      <c r="AB492" s="56">
        <f>작성용!AB489</f>
        <v>0</v>
      </c>
    </row>
    <row r="493" spans="1:28" s="12" customFormat="1" ht="16.5" hidden="1" customHeight="1" x14ac:dyDescent="0.3">
      <c r="A493" s="54">
        <f>작성용!AL490</f>
        <v>489</v>
      </c>
      <c r="B493" s="55" t="str">
        <f>작성용!AI490</f>
        <v>-</v>
      </c>
      <c r="C493" s="56" t="str">
        <f>작성용!AK490</f>
        <v>기초자산</v>
      </c>
      <c r="D493" s="57" t="str">
        <f>작성용!T490</f>
        <v>고려아연펀드(기초자산)</v>
      </c>
      <c r="E493" s="58" t="str">
        <f>작성용!B490</f>
        <v>인터베스트그로스세컨더리펀드</v>
      </c>
      <c r="F493" s="58" t="str">
        <f>작성용!C490</f>
        <v>재평가</v>
      </c>
      <c r="G493" s="58" t="str">
        <f>작성용!D490</f>
        <v>단꿈아이</v>
      </c>
      <c r="H493" s="59">
        <f>작성용!E490</f>
        <v>1311110567990</v>
      </c>
      <c r="I493" s="58" t="str">
        <f>작성용!F490</f>
        <v>D02</v>
      </c>
      <c r="J493" s="58">
        <f>작성용!G490</f>
        <v>0</v>
      </c>
      <c r="K493" s="58" t="str">
        <f>작성용!H490</f>
        <v>-</v>
      </c>
      <c r="L493" s="58" t="str">
        <f>작성용!N490</f>
        <v>년</v>
      </c>
      <c r="M493" s="57" t="str">
        <f>작성용!U490</f>
        <v>2024.09.30</v>
      </c>
      <c r="N493" s="57">
        <f>작성용!V490</f>
        <v>45611</v>
      </c>
      <c r="O493" s="57" t="str">
        <f>작성용!W490</f>
        <v>보고서제공X</v>
      </c>
      <c r="P493" s="57" t="str">
        <f>작성용!X490</f>
        <v>-</v>
      </c>
      <c r="Q493" s="58" t="str">
        <f>작성용!AD490</f>
        <v>최수민</v>
      </c>
      <c r="R493" s="60">
        <f>작성용!AE490</f>
        <v>0</v>
      </c>
      <c r="S493" s="58" t="str">
        <f>작성용!AF490</f>
        <v>최수민</v>
      </c>
      <c r="T493" s="61" t="str">
        <f>작성용!AG490</f>
        <v>-</v>
      </c>
      <c r="U493" s="61" t="str">
        <f>작성용!AH490</f>
        <v>-</v>
      </c>
      <c r="V493" s="56">
        <f>작성용!AA490</f>
        <v>202411</v>
      </c>
      <c r="W493" s="58" t="str">
        <f>작성용!AC490</f>
        <v>[6]기타기관펀드(기초자산)</v>
      </c>
      <c r="X493" s="58">
        <f>작성용!O490</f>
        <v>0</v>
      </c>
      <c r="Y493" s="58">
        <f>작성용!P490</f>
        <v>0</v>
      </c>
      <c r="Z493" s="58">
        <f>작성용!Q490</f>
        <v>0</v>
      </c>
      <c r="AA493" s="56" t="str">
        <f>작성용!AJ490</f>
        <v>-</v>
      </c>
      <c r="AB493" s="56">
        <f>작성용!AB490</f>
        <v>0</v>
      </c>
    </row>
    <row r="494" spans="1:28" s="12" customFormat="1" ht="16.5" hidden="1" customHeight="1" x14ac:dyDescent="0.3">
      <c r="A494" s="54">
        <f>작성용!AL491</f>
        <v>490</v>
      </c>
      <c r="B494" s="55" t="str">
        <f>작성용!AI491</f>
        <v>-</v>
      </c>
      <c r="C494" s="56" t="str">
        <f>작성용!AK491</f>
        <v>기초자산</v>
      </c>
      <c r="D494" s="57" t="str">
        <f>작성용!T491</f>
        <v>고려아연펀드(기초자산)</v>
      </c>
      <c r="E494" s="58" t="str">
        <f>작성용!B491</f>
        <v>인터베스트그로스세컨더리펀드</v>
      </c>
      <c r="F494" s="58" t="str">
        <f>작성용!C491</f>
        <v>재평가</v>
      </c>
      <c r="G494" s="58" t="str">
        <f>작성용!D491</f>
        <v>더핑크퐁컴퍼니(구,스마트스터디)</v>
      </c>
      <c r="H494" s="59">
        <f>작성용!E491</f>
        <v>1101114357110</v>
      </c>
      <c r="I494" s="58" t="str">
        <f>작성용!F491</f>
        <v>A01</v>
      </c>
      <c r="J494" s="58">
        <f>작성용!G491</f>
        <v>0</v>
      </c>
      <c r="K494" s="58" t="str">
        <f>작성용!H491</f>
        <v>-</v>
      </c>
      <c r="L494" s="58" t="str">
        <f>작성용!N491</f>
        <v>년</v>
      </c>
      <c r="M494" s="57" t="str">
        <f>작성용!U491</f>
        <v>2024.09.30</v>
      </c>
      <c r="N494" s="57">
        <f>작성용!V491</f>
        <v>45611</v>
      </c>
      <c r="O494" s="57" t="str">
        <f>작성용!W491</f>
        <v>보고서제공X</v>
      </c>
      <c r="P494" s="57" t="str">
        <f>작성용!X491</f>
        <v>-</v>
      </c>
      <c r="Q494" s="58" t="str">
        <f>작성용!AD491</f>
        <v>이진주</v>
      </c>
      <c r="R494" s="60">
        <f>작성용!AE491</f>
        <v>0</v>
      </c>
      <c r="S494" s="58" t="str">
        <f>작성용!AF491</f>
        <v>이진주</v>
      </c>
      <c r="T494" s="61" t="str">
        <f>작성용!AG491</f>
        <v>-</v>
      </c>
      <c r="U494" s="61" t="str">
        <f>작성용!AH491</f>
        <v>-</v>
      </c>
      <c r="V494" s="56">
        <f>작성용!AA491</f>
        <v>202411</v>
      </c>
      <c r="W494" s="58" t="str">
        <f>작성용!AC491</f>
        <v>[6]기타기관펀드(기초자산)</v>
      </c>
      <c r="X494" s="58">
        <f>작성용!O491</f>
        <v>0</v>
      </c>
      <c r="Y494" s="58">
        <f>작성용!P491</f>
        <v>0</v>
      </c>
      <c r="Z494" s="58">
        <f>작성용!Q491</f>
        <v>0</v>
      </c>
      <c r="AA494" s="56" t="str">
        <f>작성용!AJ491</f>
        <v>-</v>
      </c>
      <c r="AB494" s="56">
        <f>작성용!AB491</f>
        <v>0</v>
      </c>
    </row>
    <row r="495" spans="1:28" s="12" customFormat="1" ht="16.5" hidden="1" customHeight="1" x14ac:dyDescent="0.3">
      <c r="A495" s="54">
        <f>작성용!AL492</f>
        <v>491</v>
      </c>
      <c r="B495" s="55" t="str">
        <f>작성용!AI492</f>
        <v>-</v>
      </c>
      <c r="C495" s="56" t="str">
        <f>작성용!AK492</f>
        <v>기초자산</v>
      </c>
      <c r="D495" s="57" t="str">
        <f>작성용!T492</f>
        <v>고려아연펀드(기초자산)</v>
      </c>
      <c r="E495" s="58" t="str">
        <f>작성용!B492</f>
        <v>인터베스트그로스세컨더리펀드</v>
      </c>
      <c r="F495" s="58" t="str">
        <f>작성용!C492</f>
        <v>재평가</v>
      </c>
      <c r="G495" s="58" t="str">
        <f>작성용!D492</f>
        <v>크레이버코퍼레이션(구,비투링크)</v>
      </c>
      <c r="H495" s="59">
        <f>작성용!E492</f>
        <v>1101115449312</v>
      </c>
      <c r="I495" s="58" t="str">
        <f>작성용!F492</f>
        <v>A01</v>
      </c>
      <c r="J495" s="58">
        <f>작성용!G492</f>
        <v>0</v>
      </c>
      <c r="K495" s="58" t="str">
        <f>작성용!H492</f>
        <v>-</v>
      </c>
      <c r="L495" s="58" t="str">
        <f>작성용!N492</f>
        <v>년</v>
      </c>
      <c r="M495" s="57" t="str">
        <f>작성용!U492</f>
        <v>2024.09.30</v>
      </c>
      <c r="N495" s="57">
        <f>작성용!V492</f>
        <v>45611</v>
      </c>
      <c r="O495" s="57" t="str">
        <f>작성용!W492</f>
        <v>보고서제공X</v>
      </c>
      <c r="P495" s="57" t="str">
        <f>작성용!X492</f>
        <v>-</v>
      </c>
      <c r="Q495" s="58" t="str">
        <f>작성용!AD492</f>
        <v>변혜진</v>
      </c>
      <c r="R495" s="60">
        <f>작성용!AE492</f>
        <v>0.6</v>
      </c>
      <c r="S495" s="58" t="str">
        <f>작성용!AF492</f>
        <v>변혜진</v>
      </c>
      <c r="T495" s="61" t="str">
        <f>작성용!AG492</f>
        <v>-</v>
      </c>
      <c r="U495" s="61" t="str">
        <f>작성용!AH492</f>
        <v>-</v>
      </c>
      <c r="V495" s="56">
        <f>작성용!AA492</f>
        <v>202411</v>
      </c>
      <c r="W495" s="58" t="str">
        <f>작성용!AC492</f>
        <v>[6]기타기관펀드(기초자산)</v>
      </c>
      <c r="X495" s="58">
        <f>작성용!O492</f>
        <v>0</v>
      </c>
      <c r="Y495" s="58">
        <f>작성용!P492</f>
        <v>0</v>
      </c>
      <c r="Z495" s="58">
        <f>작성용!Q492</f>
        <v>0</v>
      </c>
      <c r="AA495" s="56" t="str">
        <f>작성용!AJ492</f>
        <v>-</v>
      </c>
      <c r="AB495" s="56">
        <f>작성용!AB492</f>
        <v>0</v>
      </c>
    </row>
    <row r="496" spans="1:28" s="12" customFormat="1" ht="16.5" hidden="1" customHeight="1" x14ac:dyDescent="0.3">
      <c r="A496" s="54">
        <f>작성용!AL493</f>
        <v>492</v>
      </c>
      <c r="B496" s="55" t="str">
        <f>작성용!AI493</f>
        <v>-</v>
      </c>
      <c r="C496" s="56" t="str">
        <f>작성용!AK493</f>
        <v>기초자산</v>
      </c>
      <c r="D496" s="57" t="str">
        <f>작성용!T493</f>
        <v>고려아연펀드(기초자산)</v>
      </c>
      <c r="E496" s="58" t="str">
        <f>작성용!B493</f>
        <v>인터베스트그로스세컨더리펀드</v>
      </c>
      <c r="F496" s="58" t="str">
        <f>작성용!C493</f>
        <v>재평가</v>
      </c>
      <c r="G496" s="58" t="str">
        <f>작성용!D493</f>
        <v>엔씽</v>
      </c>
      <c r="H496" s="59">
        <f>작성용!E493</f>
        <v>1314110312464</v>
      </c>
      <c r="I496" s="58" t="str">
        <f>작성용!F493</f>
        <v>A07</v>
      </c>
      <c r="J496" s="58">
        <f>작성용!G493</f>
        <v>4</v>
      </c>
      <c r="K496" s="58" t="str">
        <f>작성용!H493</f>
        <v>-</v>
      </c>
      <c r="L496" s="58" t="str">
        <f>작성용!N493</f>
        <v>년</v>
      </c>
      <c r="M496" s="57" t="str">
        <f>작성용!U493</f>
        <v>2024.09.30</v>
      </c>
      <c r="N496" s="57">
        <f>작성용!V493</f>
        <v>45611</v>
      </c>
      <c r="O496" s="57" t="str">
        <f>작성용!W493</f>
        <v>보고서제공X</v>
      </c>
      <c r="P496" s="57" t="str">
        <f>작성용!X493</f>
        <v>-</v>
      </c>
      <c r="Q496" s="58" t="str">
        <f>작성용!AD493</f>
        <v>강승현</v>
      </c>
      <c r="R496" s="60">
        <f>작성용!AE493</f>
        <v>0</v>
      </c>
      <c r="S496" s="58" t="str">
        <f>작성용!AF493</f>
        <v>강승현</v>
      </c>
      <c r="T496" s="61" t="str">
        <f>작성용!AG493</f>
        <v>-</v>
      </c>
      <c r="U496" s="61" t="str">
        <f>작성용!AH493</f>
        <v>-</v>
      </c>
      <c r="V496" s="56">
        <f>작성용!AA493</f>
        <v>202411</v>
      </c>
      <c r="W496" s="58" t="str">
        <f>작성용!AC493</f>
        <v>[X]일반기업</v>
      </c>
      <c r="X496" s="58">
        <f>작성용!O493</f>
        <v>0</v>
      </c>
      <c r="Y496" s="58">
        <f>작성용!P493</f>
        <v>0</v>
      </c>
      <c r="Z496" s="58">
        <f>작성용!Q493</f>
        <v>0</v>
      </c>
      <c r="AA496" s="56" t="str">
        <f>작성용!AJ493</f>
        <v>-</v>
      </c>
      <c r="AB496" s="56">
        <f>작성용!AB493</f>
        <v>0</v>
      </c>
    </row>
    <row r="497" spans="1:28" s="12" customFormat="1" ht="16.5" hidden="1" customHeight="1" x14ac:dyDescent="0.3">
      <c r="A497" s="54">
        <f>작성용!AL494</f>
        <v>493</v>
      </c>
      <c r="B497" s="55" t="str">
        <f>작성용!AI494</f>
        <v>-</v>
      </c>
      <c r="C497" s="56" t="str">
        <f>작성용!AK494</f>
        <v>기초자산</v>
      </c>
      <c r="D497" s="57" t="str">
        <f>작성용!T494</f>
        <v>고려아연펀드(기초자산)</v>
      </c>
      <c r="E497" s="58" t="str">
        <f>작성용!B494</f>
        <v>미래에셋글로벌유니콘사모투자</v>
      </c>
      <c r="F497" s="58" t="str">
        <f>작성용!C494</f>
        <v>재평가</v>
      </c>
      <c r="G497" s="58" t="str">
        <f>작성용!D494</f>
        <v>Moloco Inc.</v>
      </c>
      <c r="H497" s="59" t="str">
        <f>작성용!E494</f>
        <v>KBP2018060019</v>
      </c>
      <c r="I497" s="58" t="str">
        <f>작성용!F494</f>
        <v>A05</v>
      </c>
      <c r="J497" s="58">
        <f>작성용!G494</f>
        <v>0</v>
      </c>
      <c r="K497" s="58" t="str">
        <f>작성용!H494</f>
        <v>-</v>
      </c>
      <c r="L497" s="58" t="str">
        <f>작성용!N494</f>
        <v>년</v>
      </c>
      <c r="M497" s="57" t="str">
        <f>작성용!U494</f>
        <v>2024.09.30</v>
      </c>
      <c r="N497" s="57">
        <f>작성용!V494</f>
        <v>45611</v>
      </c>
      <c r="O497" s="57" t="str">
        <f>작성용!W494</f>
        <v>보고서제공X</v>
      </c>
      <c r="P497" s="57" t="str">
        <f>작성용!X494</f>
        <v>-</v>
      </c>
      <c r="Q497" s="58" t="str">
        <f>작성용!AD494</f>
        <v>정은채</v>
      </c>
      <c r="R497" s="60">
        <f>작성용!AE494</f>
        <v>0.6</v>
      </c>
      <c r="S497" s="58" t="str">
        <f>작성용!AF494</f>
        <v>정은채</v>
      </c>
      <c r="T497" s="61" t="str">
        <f>작성용!AG494</f>
        <v>-</v>
      </c>
      <c r="U497" s="61" t="str">
        <f>작성용!AH494</f>
        <v>-</v>
      </c>
      <c r="V497" s="56">
        <f>작성용!AA494</f>
        <v>202411</v>
      </c>
      <c r="W497" s="58" t="str">
        <f>작성용!AC494</f>
        <v>[6]기타기관펀드(기초자산)</v>
      </c>
      <c r="X497" s="58">
        <f>작성용!O494</f>
        <v>0</v>
      </c>
      <c r="Y497" s="58">
        <f>작성용!P494</f>
        <v>0</v>
      </c>
      <c r="Z497" s="58">
        <f>작성용!Q494</f>
        <v>0</v>
      </c>
      <c r="AA497" s="56" t="str">
        <f>작성용!AJ494</f>
        <v>-</v>
      </c>
      <c r="AB497" s="56">
        <f>작성용!AB494</f>
        <v>0</v>
      </c>
    </row>
    <row r="498" spans="1:28" s="12" customFormat="1" ht="16.5" hidden="1" customHeight="1" x14ac:dyDescent="0.3">
      <c r="A498" s="54">
        <f>작성용!AL495</f>
        <v>494</v>
      </c>
      <c r="B498" s="55" t="str">
        <f>작성용!AI495</f>
        <v>-</v>
      </c>
      <c r="C498" s="56" t="str">
        <f>작성용!AK495</f>
        <v>기초자산</v>
      </c>
      <c r="D498" s="57" t="str">
        <f>작성용!T495</f>
        <v>고려아연펀드(기초자산)</v>
      </c>
      <c r="E498" s="58" t="str">
        <f>작성용!B495</f>
        <v>미래에셋글로벌유니콘사모투자</v>
      </c>
      <c r="F498" s="58" t="str">
        <f>작성용!C495</f>
        <v>재평가</v>
      </c>
      <c r="G498" s="58" t="str">
        <f>작성용!D495</f>
        <v>백두테크놀로지스</v>
      </c>
      <c r="H498" s="59">
        <f>작성용!E495</f>
        <v>1101117455630</v>
      </c>
      <c r="I498" s="58" t="str">
        <f>작성용!F495</f>
        <v>A07</v>
      </c>
      <c r="J498" s="58">
        <f>작성용!G495</f>
        <v>0</v>
      </c>
      <c r="K498" s="58" t="str">
        <f>작성용!H495</f>
        <v>-</v>
      </c>
      <c r="L498" s="58" t="str">
        <f>작성용!N495</f>
        <v>년</v>
      </c>
      <c r="M498" s="57" t="str">
        <f>작성용!U495</f>
        <v>2024.09.30</v>
      </c>
      <c r="N498" s="57">
        <f>작성용!V495</f>
        <v>45611</v>
      </c>
      <c r="O498" s="57" t="str">
        <f>작성용!W495</f>
        <v>보고서제공X</v>
      </c>
      <c r="P498" s="57" t="str">
        <f>작성용!X495</f>
        <v>-</v>
      </c>
      <c r="Q498" s="58" t="str">
        <f>작성용!AD495</f>
        <v>강성은</v>
      </c>
      <c r="R498" s="60">
        <f>작성용!AE495</f>
        <v>0</v>
      </c>
      <c r="S498" s="58" t="str">
        <f>작성용!AF495</f>
        <v>강성은</v>
      </c>
      <c r="T498" s="61" t="str">
        <f>작성용!AG495</f>
        <v>-</v>
      </c>
      <c r="U498" s="61" t="str">
        <f>작성용!AH495</f>
        <v>-</v>
      </c>
      <c r="V498" s="56">
        <f>작성용!AA495</f>
        <v>202411</v>
      </c>
      <c r="W498" s="58" t="str">
        <f>작성용!AC495</f>
        <v>[6]기타기관펀드(기초자산)</v>
      </c>
      <c r="X498" s="58">
        <f>작성용!O495</f>
        <v>0</v>
      </c>
      <c r="Y498" s="58">
        <f>작성용!P495</f>
        <v>0</v>
      </c>
      <c r="Z498" s="58">
        <f>작성용!Q495</f>
        <v>0</v>
      </c>
      <c r="AA498" s="56" t="str">
        <f>작성용!AJ495</f>
        <v>-</v>
      </c>
      <c r="AB498" s="56">
        <f>작성용!AB495</f>
        <v>0</v>
      </c>
    </row>
    <row r="499" spans="1:28" s="12" customFormat="1" ht="16.5" hidden="1" customHeight="1" x14ac:dyDescent="0.3">
      <c r="A499" s="54">
        <f>작성용!AL496</f>
        <v>495</v>
      </c>
      <c r="B499" s="55" t="str">
        <f>작성용!AI496</f>
        <v>-</v>
      </c>
      <c r="C499" s="56" t="str">
        <f>작성용!AK496</f>
        <v>기초자산</v>
      </c>
      <c r="D499" s="57" t="str">
        <f>작성용!T496</f>
        <v>고려아연펀드(기초자산)</v>
      </c>
      <c r="E499" s="58" t="str">
        <f>작성용!B496</f>
        <v>미래에셋글로벌유니콘사모투자</v>
      </c>
      <c r="F499" s="58" t="str">
        <f>작성용!C496</f>
        <v>재평가</v>
      </c>
      <c r="G499" s="58" t="str">
        <f>작성용!D496</f>
        <v>OnboardIQ, Inc.</v>
      </c>
      <c r="H499" s="59" t="str">
        <f>작성용!E496</f>
        <v>KBP2023120134</v>
      </c>
      <c r="I499" s="58" t="str">
        <f>작성용!F496</f>
        <v>A05</v>
      </c>
      <c r="J499" s="58">
        <f>작성용!G496</f>
        <v>0</v>
      </c>
      <c r="K499" s="58" t="str">
        <f>작성용!H496</f>
        <v>-</v>
      </c>
      <c r="L499" s="58" t="str">
        <f>작성용!N496</f>
        <v>년</v>
      </c>
      <c r="M499" s="57" t="str">
        <f>작성용!U496</f>
        <v>2024.09.30</v>
      </c>
      <c r="N499" s="57">
        <f>작성용!V496</f>
        <v>45611</v>
      </c>
      <c r="O499" s="57" t="str">
        <f>작성용!W496</f>
        <v>보고서제공X</v>
      </c>
      <c r="P499" s="57" t="str">
        <f>작성용!X496</f>
        <v>-</v>
      </c>
      <c r="Q499" s="58" t="str">
        <f>작성용!AD496</f>
        <v>강승현</v>
      </c>
      <c r="R499" s="60">
        <f>작성용!AE496</f>
        <v>0</v>
      </c>
      <c r="S499" s="58" t="str">
        <f>작성용!AF496</f>
        <v>강승현</v>
      </c>
      <c r="T499" s="61" t="str">
        <f>작성용!AG496</f>
        <v>-</v>
      </c>
      <c r="U499" s="61" t="str">
        <f>작성용!AH496</f>
        <v>-</v>
      </c>
      <c r="V499" s="56">
        <f>작성용!AA496</f>
        <v>202411</v>
      </c>
      <c r="W499" s="58" t="str">
        <f>작성용!AC496</f>
        <v>[6]기타기관펀드(기초자산)</v>
      </c>
      <c r="X499" s="58">
        <f>작성용!O496</f>
        <v>0</v>
      </c>
      <c r="Y499" s="58">
        <f>작성용!P496</f>
        <v>0</v>
      </c>
      <c r="Z499" s="58">
        <f>작성용!Q496</f>
        <v>0</v>
      </c>
      <c r="AA499" s="56" t="str">
        <f>작성용!AJ496</f>
        <v>-</v>
      </c>
      <c r="AB499" s="56">
        <f>작성용!AB496</f>
        <v>0</v>
      </c>
    </row>
    <row r="500" spans="1:28" s="12" customFormat="1" ht="16.5" hidden="1" customHeight="1" x14ac:dyDescent="0.3">
      <c r="A500" s="54">
        <f>작성용!AL497</f>
        <v>496</v>
      </c>
      <c r="B500" s="55" t="str">
        <f>작성용!AI497</f>
        <v>-</v>
      </c>
      <c r="C500" s="56" t="str">
        <f>작성용!AK497</f>
        <v>기초자산</v>
      </c>
      <c r="D500" s="57" t="str">
        <f>작성용!T497</f>
        <v>고려아연펀드(기초자산)</v>
      </c>
      <c r="E500" s="58" t="str">
        <f>작성용!B497</f>
        <v>미래에셋글로벌유니콘사모투자</v>
      </c>
      <c r="F500" s="58" t="str">
        <f>작성용!C497</f>
        <v>재평가</v>
      </c>
      <c r="G500" s="58" t="str">
        <f>작성용!D497</f>
        <v>The ON Platform Inc.</v>
      </c>
      <c r="H500" s="59" t="str">
        <f>작성용!E497</f>
        <v>KBP2023120135</v>
      </c>
      <c r="I500" s="58" t="str">
        <f>작성용!F497</f>
        <v>A05</v>
      </c>
      <c r="J500" s="58">
        <f>작성용!G497</f>
        <v>0</v>
      </c>
      <c r="K500" s="58" t="str">
        <f>작성용!H497</f>
        <v>-</v>
      </c>
      <c r="L500" s="58" t="str">
        <f>작성용!N497</f>
        <v>년</v>
      </c>
      <c r="M500" s="57" t="str">
        <f>작성용!U497</f>
        <v>2024.09.30</v>
      </c>
      <c r="N500" s="57">
        <f>작성용!V497</f>
        <v>45611</v>
      </c>
      <c r="O500" s="57" t="str">
        <f>작성용!W497</f>
        <v>보고서제공X</v>
      </c>
      <c r="P500" s="57" t="str">
        <f>작성용!X497</f>
        <v>-</v>
      </c>
      <c r="Q500" s="58" t="str">
        <f>작성용!AD497</f>
        <v>오수현</v>
      </c>
      <c r="R500" s="60">
        <f>작성용!AE497</f>
        <v>0</v>
      </c>
      <c r="S500" s="58" t="str">
        <f>작성용!AF497</f>
        <v>오수현</v>
      </c>
      <c r="T500" s="61" t="str">
        <f>작성용!AG497</f>
        <v>-</v>
      </c>
      <c r="U500" s="61" t="str">
        <f>작성용!AH497</f>
        <v>-</v>
      </c>
      <c r="V500" s="56">
        <f>작성용!AA497</f>
        <v>202411</v>
      </c>
      <c r="W500" s="58" t="str">
        <f>작성용!AC497</f>
        <v>[6]기타기관펀드(기초자산)</v>
      </c>
      <c r="X500" s="58">
        <f>작성용!O497</f>
        <v>0</v>
      </c>
      <c r="Y500" s="58">
        <f>작성용!P497</f>
        <v>0</v>
      </c>
      <c r="Z500" s="58">
        <f>작성용!Q497</f>
        <v>0</v>
      </c>
      <c r="AA500" s="56" t="str">
        <f>작성용!AJ497</f>
        <v>-</v>
      </c>
      <c r="AB500" s="56">
        <f>작성용!AB497</f>
        <v>0</v>
      </c>
    </row>
    <row r="501" spans="1:28" s="12" customFormat="1" ht="16.5" hidden="1" customHeight="1" x14ac:dyDescent="0.3">
      <c r="A501" s="54">
        <f>작성용!AL498</f>
        <v>497</v>
      </c>
      <c r="B501" s="55" t="str">
        <f>작성용!AI498</f>
        <v>-</v>
      </c>
      <c r="C501" s="56" t="str">
        <f>작성용!AK498</f>
        <v>기초자산</v>
      </c>
      <c r="D501" s="57" t="str">
        <f>작성용!T498</f>
        <v>고려아연펀드(기초자산)</v>
      </c>
      <c r="E501" s="58" t="str">
        <f>작성용!B498</f>
        <v>미래에셋글로벌유니콘사모투자</v>
      </c>
      <c r="F501" s="58" t="str">
        <f>작성용!C498</f>
        <v>재평가</v>
      </c>
      <c r="G501" s="58" t="str">
        <f>작성용!D498</f>
        <v>MPN Marketplace Networks Gmbh</v>
      </c>
      <c r="H501" s="59" t="str">
        <f>작성용!E498</f>
        <v>KBP2020090056</v>
      </c>
      <c r="I501" s="58" t="str">
        <f>작성용!F498</f>
        <v>A05</v>
      </c>
      <c r="J501" s="58">
        <f>작성용!G498</f>
        <v>0</v>
      </c>
      <c r="K501" s="58" t="str">
        <f>작성용!H498</f>
        <v>-</v>
      </c>
      <c r="L501" s="58" t="str">
        <f>작성용!N498</f>
        <v>년</v>
      </c>
      <c r="M501" s="57" t="str">
        <f>작성용!U498</f>
        <v>2024.09.30</v>
      </c>
      <c r="N501" s="57">
        <f>작성용!V498</f>
        <v>45611</v>
      </c>
      <c r="O501" s="57" t="str">
        <f>작성용!W498</f>
        <v>보고서제공X</v>
      </c>
      <c r="P501" s="57" t="str">
        <f>작성용!X498</f>
        <v>-</v>
      </c>
      <c r="Q501" s="58" t="str">
        <f>작성용!AD498</f>
        <v>서동현</v>
      </c>
      <c r="R501" s="60">
        <f>작성용!AE498</f>
        <v>0</v>
      </c>
      <c r="S501" s="58" t="str">
        <f>작성용!AF498</f>
        <v>서동현</v>
      </c>
      <c r="T501" s="61" t="str">
        <f>작성용!AG498</f>
        <v>-</v>
      </c>
      <c r="U501" s="61" t="str">
        <f>작성용!AH498</f>
        <v>-</v>
      </c>
      <c r="V501" s="56">
        <f>작성용!AA498</f>
        <v>202411</v>
      </c>
      <c r="W501" s="58" t="str">
        <f>작성용!AC498</f>
        <v>[6]기타기관펀드(기초자산)</v>
      </c>
      <c r="X501" s="58">
        <f>작성용!O498</f>
        <v>0</v>
      </c>
      <c r="Y501" s="58">
        <f>작성용!P498</f>
        <v>0</v>
      </c>
      <c r="Z501" s="58">
        <f>작성용!Q498</f>
        <v>0</v>
      </c>
      <c r="AA501" s="56" t="str">
        <f>작성용!AJ498</f>
        <v>-</v>
      </c>
      <c r="AB501" s="56">
        <f>작성용!AB498</f>
        <v>0</v>
      </c>
    </row>
    <row r="502" spans="1:28" s="12" customFormat="1" ht="16.5" hidden="1" customHeight="1" x14ac:dyDescent="0.3">
      <c r="A502" s="54">
        <f>작성용!AL499</f>
        <v>498</v>
      </c>
      <c r="B502" s="55" t="str">
        <f>작성용!AI499</f>
        <v>-</v>
      </c>
      <c r="C502" s="56" t="str">
        <f>작성용!AK499</f>
        <v>기초자산</v>
      </c>
      <c r="D502" s="57" t="str">
        <f>작성용!T499</f>
        <v>고려아연펀드(기초자산)</v>
      </c>
      <c r="E502" s="58" t="str">
        <f>작성용!B499</f>
        <v>미래에셋글로벌유니콘사모투자</v>
      </c>
      <c r="F502" s="58" t="str">
        <f>작성용!C499</f>
        <v>재평가</v>
      </c>
      <c r="G502" s="58" t="str">
        <f>작성용!D499</f>
        <v>Beijing TikinMedia Technology Co., Ltd</v>
      </c>
      <c r="H502" s="59" t="str">
        <f>작성용!E499</f>
        <v>KBP2023120136</v>
      </c>
      <c r="I502" s="58" t="str">
        <f>작성용!F499</f>
        <v>A05</v>
      </c>
      <c r="J502" s="58">
        <f>작성용!G499</f>
        <v>0</v>
      </c>
      <c r="K502" s="58" t="str">
        <f>작성용!H499</f>
        <v>-</v>
      </c>
      <c r="L502" s="58" t="str">
        <f>작성용!N499</f>
        <v>년</v>
      </c>
      <c r="M502" s="57" t="str">
        <f>작성용!U499</f>
        <v>2024.09.30</v>
      </c>
      <c r="N502" s="57">
        <f>작성용!V499</f>
        <v>45611</v>
      </c>
      <c r="O502" s="57" t="str">
        <f>작성용!W499</f>
        <v>보고서제공X</v>
      </c>
      <c r="P502" s="57" t="str">
        <f>작성용!X499</f>
        <v>-</v>
      </c>
      <c r="Q502" s="58" t="str">
        <f>작성용!AD499</f>
        <v>강승현</v>
      </c>
      <c r="R502" s="60">
        <f>작성용!AE499</f>
        <v>0</v>
      </c>
      <c r="S502" s="58" t="str">
        <f>작성용!AF499</f>
        <v>강승현</v>
      </c>
      <c r="T502" s="61" t="str">
        <f>작성용!AG499</f>
        <v>-</v>
      </c>
      <c r="U502" s="61" t="str">
        <f>작성용!AH499</f>
        <v>-</v>
      </c>
      <c r="V502" s="56">
        <f>작성용!AA499</f>
        <v>202411</v>
      </c>
      <c r="W502" s="58" t="str">
        <f>작성용!AC499</f>
        <v>[6]기타기관펀드(기초자산)</v>
      </c>
      <c r="X502" s="58">
        <f>작성용!O499</f>
        <v>0</v>
      </c>
      <c r="Y502" s="58">
        <f>작성용!P499</f>
        <v>0</v>
      </c>
      <c r="Z502" s="58">
        <f>작성용!Q499</f>
        <v>0</v>
      </c>
      <c r="AA502" s="56" t="str">
        <f>작성용!AJ499</f>
        <v>-</v>
      </c>
      <c r="AB502" s="56">
        <f>작성용!AB499</f>
        <v>0</v>
      </c>
    </row>
    <row r="503" spans="1:28" s="12" customFormat="1" ht="16.5" hidden="1" customHeight="1" x14ac:dyDescent="0.3">
      <c r="A503" s="54">
        <f>작성용!AL500</f>
        <v>499</v>
      </c>
      <c r="B503" s="55" t="str">
        <f>작성용!AI500</f>
        <v>-</v>
      </c>
      <c r="C503" s="56" t="str">
        <f>작성용!AK500</f>
        <v>기초자산</v>
      </c>
      <c r="D503" s="57" t="str">
        <f>작성용!T500</f>
        <v>고려아연펀드(기초자산)</v>
      </c>
      <c r="E503" s="58" t="str">
        <f>작성용!B500</f>
        <v>미래에셋글로벌유니콘사모투자</v>
      </c>
      <c r="F503" s="58" t="str">
        <f>작성용!C500</f>
        <v>재평가</v>
      </c>
      <c r="G503" s="58" t="str">
        <f>작성용!D500</f>
        <v>Beijing TikinMedia Technology Co., Ltd</v>
      </c>
      <c r="H503" s="59" t="str">
        <f>작성용!E500</f>
        <v>KBP2023120136</v>
      </c>
      <c r="I503" s="58" t="str">
        <f>작성용!F500</f>
        <v>A05</v>
      </c>
      <c r="J503" s="58">
        <f>작성용!G500</f>
        <v>0</v>
      </c>
      <c r="K503" s="58" t="str">
        <f>작성용!H500</f>
        <v>-</v>
      </c>
      <c r="L503" s="58" t="str">
        <f>작성용!N500</f>
        <v>년</v>
      </c>
      <c r="M503" s="57" t="str">
        <f>작성용!U500</f>
        <v>2024.09.30</v>
      </c>
      <c r="N503" s="57">
        <f>작성용!V500</f>
        <v>45611</v>
      </c>
      <c r="O503" s="57" t="str">
        <f>작성용!W500</f>
        <v>보고서제공X</v>
      </c>
      <c r="P503" s="57" t="str">
        <f>작성용!X500</f>
        <v>-</v>
      </c>
      <c r="Q503" s="58" t="str">
        <f>작성용!AD500</f>
        <v>강승현</v>
      </c>
      <c r="R503" s="60">
        <f>작성용!AE500</f>
        <v>0</v>
      </c>
      <c r="S503" s="58" t="str">
        <f>작성용!AF500</f>
        <v>강승현</v>
      </c>
      <c r="T503" s="61" t="str">
        <f>작성용!AG500</f>
        <v>-</v>
      </c>
      <c r="U503" s="61" t="str">
        <f>작성용!AH500</f>
        <v>-</v>
      </c>
      <c r="V503" s="56">
        <f>작성용!AA500</f>
        <v>202411</v>
      </c>
      <c r="W503" s="58" t="str">
        <f>작성용!AC500</f>
        <v>[6]기타기관펀드(기초자산)</v>
      </c>
      <c r="X503" s="58">
        <f>작성용!O500</f>
        <v>0</v>
      </c>
      <c r="Y503" s="58">
        <f>작성용!P500</f>
        <v>0</v>
      </c>
      <c r="Z503" s="58">
        <f>작성용!Q500</f>
        <v>0</v>
      </c>
      <c r="AA503" s="56" t="str">
        <f>작성용!AJ500</f>
        <v>-</v>
      </c>
      <c r="AB503" s="56">
        <f>작성용!AB500</f>
        <v>0</v>
      </c>
    </row>
    <row r="504" spans="1:28" s="12" customFormat="1" ht="16.5" hidden="1" customHeight="1" x14ac:dyDescent="0.3">
      <c r="A504" s="54">
        <f>작성용!AL501</f>
        <v>500</v>
      </c>
      <c r="B504" s="55" t="str">
        <f>작성용!AI501</f>
        <v>-</v>
      </c>
      <c r="C504" s="56" t="str">
        <f>작성용!AK501</f>
        <v>기초자산</v>
      </c>
      <c r="D504" s="57" t="str">
        <f>작성용!T501</f>
        <v>고려아연펀드(기초자산)</v>
      </c>
      <c r="E504" s="58" t="str">
        <f>작성용!B501</f>
        <v>미래에셋글로벌유니콘사모투자</v>
      </c>
      <c r="F504" s="58" t="str">
        <f>작성용!C501</f>
        <v>재평가</v>
      </c>
      <c r="G504" s="58" t="str">
        <f>작성용!D501</f>
        <v>레드그레이</v>
      </c>
      <c r="H504" s="59">
        <f>작성용!E501</f>
        <v>1101116198570</v>
      </c>
      <c r="I504" s="58" t="str">
        <f>작성용!F501</f>
        <v>A01</v>
      </c>
      <c r="J504" s="58">
        <f>작성용!G501</f>
        <v>0</v>
      </c>
      <c r="K504" s="58" t="str">
        <f>작성용!H501</f>
        <v>-</v>
      </c>
      <c r="L504" s="58" t="str">
        <f>작성용!N501</f>
        <v>년</v>
      </c>
      <c r="M504" s="57" t="str">
        <f>작성용!U501</f>
        <v>2024.09.30</v>
      </c>
      <c r="N504" s="57">
        <f>작성용!V501</f>
        <v>45611</v>
      </c>
      <c r="O504" s="57" t="str">
        <f>작성용!W501</f>
        <v>보고서제공X</v>
      </c>
      <c r="P504" s="57" t="str">
        <f>작성용!X501</f>
        <v>-</v>
      </c>
      <c r="Q504" s="58" t="str">
        <f>작성용!AD501</f>
        <v>백형진</v>
      </c>
      <c r="R504" s="60">
        <f>작성용!AE501</f>
        <v>0</v>
      </c>
      <c r="S504" s="58" t="str">
        <f>작성용!AF501</f>
        <v>백형진</v>
      </c>
      <c r="T504" s="61" t="str">
        <f>작성용!AG501</f>
        <v>-</v>
      </c>
      <c r="U504" s="61" t="str">
        <f>작성용!AH501</f>
        <v>-</v>
      </c>
      <c r="V504" s="56">
        <f>작성용!AA501</f>
        <v>202411</v>
      </c>
      <c r="W504" s="58" t="str">
        <f>작성용!AC501</f>
        <v>[6]기타기관펀드(기초자산)</v>
      </c>
      <c r="X504" s="58">
        <f>작성용!O501</f>
        <v>0</v>
      </c>
      <c r="Y504" s="58">
        <f>작성용!P501</f>
        <v>0</v>
      </c>
      <c r="Z504" s="58">
        <f>작성용!Q501</f>
        <v>0</v>
      </c>
      <c r="AA504" s="56" t="str">
        <f>작성용!AJ501</f>
        <v>-</v>
      </c>
      <c r="AB504" s="56">
        <f>작성용!AB501</f>
        <v>0</v>
      </c>
    </row>
    <row r="505" spans="1:28" s="12" customFormat="1" ht="16.5" hidden="1" customHeight="1" x14ac:dyDescent="0.3">
      <c r="A505" s="54">
        <f>작성용!AL502</f>
        <v>501</v>
      </c>
      <c r="B505" s="55" t="str">
        <f>작성용!AI502</f>
        <v>-</v>
      </c>
      <c r="C505" s="56" t="str">
        <f>작성용!AK502</f>
        <v>기초자산</v>
      </c>
      <c r="D505" s="57" t="str">
        <f>작성용!T502</f>
        <v>고려아연펀드(기초자산)</v>
      </c>
      <c r="E505" s="58" t="str">
        <f>작성용!B502</f>
        <v>미래에셋글로벌유니콘사모투자</v>
      </c>
      <c r="F505" s="58" t="str">
        <f>작성용!C502</f>
        <v>재평가</v>
      </c>
      <c r="G505" s="58" t="str">
        <f>작성용!D502</f>
        <v>레드그레이</v>
      </c>
      <c r="H505" s="59">
        <f>작성용!E502</f>
        <v>1101116198570</v>
      </c>
      <c r="I505" s="58" t="str">
        <f>작성용!F502</f>
        <v>A07</v>
      </c>
      <c r="J505" s="58">
        <f>작성용!G502</f>
        <v>0</v>
      </c>
      <c r="K505" s="58" t="str">
        <f>작성용!H502</f>
        <v>-</v>
      </c>
      <c r="L505" s="58" t="str">
        <f>작성용!N502</f>
        <v>년</v>
      </c>
      <c r="M505" s="57" t="str">
        <f>작성용!U502</f>
        <v>2024.09.30</v>
      </c>
      <c r="N505" s="57">
        <f>작성용!V502</f>
        <v>45611</v>
      </c>
      <c r="O505" s="57" t="str">
        <f>작성용!W502</f>
        <v>보고서제공X</v>
      </c>
      <c r="P505" s="57" t="str">
        <f>작성용!X502</f>
        <v>-</v>
      </c>
      <c r="Q505" s="58" t="str">
        <f>작성용!AD502</f>
        <v>백형진</v>
      </c>
      <c r="R505" s="60">
        <f>작성용!AE502</f>
        <v>0</v>
      </c>
      <c r="S505" s="58" t="str">
        <f>작성용!AF502</f>
        <v>백형진</v>
      </c>
      <c r="T505" s="61" t="str">
        <f>작성용!AG502</f>
        <v>-</v>
      </c>
      <c r="U505" s="61" t="str">
        <f>작성용!AH502</f>
        <v>-</v>
      </c>
      <c r="V505" s="56">
        <f>작성용!AA502</f>
        <v>202411</v>
      </c>
      <c r="W505" s="58" t="str">
        <f>작성용!AC502</f>
        <v>[6]기타기관펀드(기초자산)</v>
      </c>
      <c r="X505" s="58">
        <f>작성용!O502</f>
        <v>0</v>
      </c>
      <c r="Y505" s="58">
        <f>작성용!P502</f>
        <v>0</v>
      </c>
      <c r="Z505" s="58">
        <f>작성용!Q502</f>
        <v>0</v>
      </c>
      <c r="AA505" s="56" t="str">
        <f>작성용!AJ502</f>
        <v>-</v>
      </c>
      <c r="AB505" s="56">
        <f>작성용!AB502</f>
        <v>0</v>
      </c>
    </row>
    <row r="506" spans="1:28" s="12" customFormat="1" ht="16.5" hidden="1" customHeight="1" x14ac:dyDescent="0.3">
      <c r="A506" s="54">
        <f>작성용!AL503</f>
        <v>502</v>
      </c>
      <c r="B506" s="55" t="str">
        <f>작성용!AI503</f>
        <v>-</v>
      </c>
      <c r="C506" s="56" t="str">
        <f>작성용!AK503</f>
        <v>기초자산</v>
      </c>
      <c r="D506" s="57" t="str">
        <f>작성용!T503</f>
        <v>고려아연펀드(기초자산)</v>
      </c>
      <c r="E506" s="58" t="str">
        <f>작성용!B503</f>
        <v>미래에셋글로벌유니콘사모투자</v>
      </c>
      <c r="F506" s="58" t="str">
        <f>작성용!C503</f>
        <v>재평가</v>
      </c>
      <c r="G506" s="58" t="str">
        <f>작성용!D503</f>
        <v>널리소프트</v>
      </c>
      <c r="H506" s="59">
        <f>작성용!E503</f>
        <v>1101115460087</v>
      </c>
      <c r="I506" s="58" t="str">
        <f>작성용!F503</f>
        <v>A05</v>
      </c>
      <c r="J506" s="58">
        <f>작성용!G503</f>
        <v>0</v>
      </c>
      <c r="K506" s="58" t="str">
        <f>작성용!H503</f>
        <v>-</v>
      </c>
      <c r="L506" s="58" t="str">
        <f>작성용!N503</f>
        <v>년</v>
      </c>
      <c r="M506" s="57" t="str">
        <f>작성용!U503</f>
        <v>2024.09.30</v>
      </c>
      <c r="N506" s="57">
        <f>작성용!V503</f>
        <v>45611</v>
      </c>
      <c r="O506" s="57" t="str">
        <f>작성용!W503</f>
        <v>보고서제공X</v>
      </c>
      <c r="P506" s="57" t="str">
        <f>작성용!X503</f>
        <v>-</v>
      </c>
      <c r="Q506" s="58" t="str">
        <f>작성용!AD503</f>
        <v>김에스더</v>
      </c>
      <c r="R506" s="60">
        <f>작성용!AE503</f>
        <v>0.6</v>
      </c>
      <c r="S506" s="58" t="str">
        <f>작성용!AF503</f>
        <v>윤현빈</v>
      </c>
      <c r="T506" s="61" t="str">
        <f>작성용!AG503</f>
        <v>-</v>
      </c>
      <c r="U506" s="61" t="str">
        <f>작성용!AH503</f>
        <v>-</v>
      </c>
      <c r="V506" s="56">
        <f>작성용!AA503</f>
        <v>202411</v>
      </c>
      <c r="W506" s="58" t="str">
        <f>작성용!AC503</f>
        <v>[6]기타기관펀드(기초자산)</v>
      </c>
      <c r="X506" s="58">
        <f>작성용!O503</f>
        <v>0</v>
      </c>
      <c r="Y506" s="58">
        <f>작성용!P503</f>
        <v>0</v>
      </c>
      <c r="Z506" s="58">
        <f>작성용!Q503</f>
        <v>0</v>
      </c>
      <c r="AA506" s="56" t="str">
        <f>작성용!AJ503</f>
        <v>-</v>
      </c>
      <c r="AB506" s="56">
        <f>작성용!AB503</f>
        <v>0</v>
      </c>
    </row>
    <row r="507" spans="1:28" s="12" customFormat="1" ht="16.5" hidden="1" customHeight="1" x14ac:dyDescent="0.3">
      <c r="A507" s="54">
        <f>작성용!AL504</f>
        <v>503</v>
      </c>
      <c r="B507" s="55" t="str">
        <f>작성용!AI504</f>
        <v>-</v>
      </c>
      <c r="C507" s="56" t="str">
        <f>작성용!AK504</f>
        <v>기초자산</v>
      </c>
      <c r="D507" s="57" t="str">
        <f>작성용!T504</f>
        <v>고려아연펀드(기초자산)</v>
      </c>
      <c r="E507" s="58" t="str">
        <f>작성용!B504</f>
        <v>아이엠엠살루스벤처펀드</v>
      </c>
      <c r="F507" s="58" t="str">
        <f>작성용!C504</f>
        <v>재평가</v>
      </c>
      <c r="G507" s="58" t="str">
        <f>작성용!D504</f>
        <v>아이엠바이오로직스</v>
      </c>
      <c r="H507" s="59">
        <f>작성용!E504</f>
        <v>1311110601384</v>
      </c>
      <c r="I507" s="58" t="str">
        <f>작성용!F504</f>
        <v>A07</v>
      </c>
      <c r="J507" s="58">
        <f>작성용!G504</f>
        <v>3</v>
      </c>
      <c r="K507" s="58" t="str">
        <f>작성용!H504</f>
        <v>-</v>
      </c>
      <c r="L507" s="58" t="str">
        <f>작성용!N504</f>
        <v>년</v>
      </c>
      <c r="M507" s="57" t="str">
        <f>작성용!U504</f>
        <v>2024.09.30</v>
      </c>
      <c r="N507" s="57">
        <f>작성용!V504</f>
        <v>45611</v>
      </c>
      <c r="O507" s="57" t="str">
        <f>작성용!W504</f>
        <v>보고서제공X</v>
      </c>
      <c r="P507" s="57" t="str">
        <f>작성용!X504</f>
        <v>-</v>
      </c>
      <c r="Q507" s="58" t="str">
        <f>작성용!AD504</f>
        <v>채동우</v>
      </c>
      <c r="R507" s="60">
        <f>작성용!AE504</f>
        <v>0</v>
      </c>
      <c r="S507" s="58" t="str">
        <f>작성용!AF504</f>
        <v>채동우</v>
      </c>
      <c r="T507" s="61" t="str">
        <f>작성용!AG504</f>
        <v>-</v>
      </c>
      <c r="U507" s="61" t="str">
        <f>작성용!AH504</f>
        <v>-</v>
      </c>
      <c r="V507" s="56">
        <f>작성용!AA504</f>
        <v>202411</v>
      </c>
      <c r="W507" s="58" t="str">
        <f>작성용!AC504</f>
        <v>[6]기타기관펀드(기초자산)</v>
      </c>
      <c r="X507" s="58">
        <f>작성용!O504</f>
        <v>0</v>
      </c>
      <c r="Y507" s="58">
        <f>작성용!P504</f>
        <v>0</v>
      </c>
      <c r="Z507" s="58">
        <f>작성용!Q504</f>
        <v>0</v>
      </c>
      <c r="AA507" s="56" t="str">
        <f>작성용!AJ504</f>
        <v>-</v>
      </c>
      <c r="AB507" s="56">
        <f>작성용!AB504</f>
        <v>0</v>
      </c>
    </row>
    <row r="508" spans="1:28" s="12" customFormat="1" ht="16.5" hidden="1" customHeight="1" x14ac:dyDescent="0.3">
      <c r="A508" s="54">
        <f>작성용!AL505</f>
        <v>504</v>
      </c>
      <c r="B508" s="55" t="str">
        <f>작성용!AI505</f>
        <v>-</v>
      </c>
      <c r="C508" s="56" t="str">
        <f>작성용!AK505</f>
        <v>기초자산</v>
      </c>
      <c r="D508" s="57" t="str">
        <f>작성용!T505</f>
        <v>고려아연펀드(기초자산)</v>
      </c>
      <c r="E508" s="58" t="str">
        <f>작성용!B505</f>
        <v>아이엠엠살루스벤처펀드</v>
      </c>
      <c r="F508" s="58" t="str">
        <f>작성용!C505</f>
        <v>재평가</v>
      </c>
      <c r="G508" s="58" t="str">
        <f>작성용!D505</f>
        <v>이뮤니크</v>
      </c>
      <c r="H508" s="59">
        <f>작성용!E505</f>
        <v>1311110626481</v>
      </c>
      <c r="I508" s="58" t="str">
        <f>작성용!F505</f>
        <v>A01</v>
      </c>
      <c r="J508" s="58">
        <f>작성용!G505</f>
        <v>0</v>
      </c>
      <c r="K508" s="58" t="str">
        <f>작성용!H505</f>
        <v>-</v>
      </c>
      <c r="L508" s="58" t="str">
        <f>작성용!N505</f>
        <v>년</v>
      </c>
      <c r="M508" s="57" t="str">
        <f>작성용!U505</f>
        <v>2024.09.30</v>
      </c>
      <c r="N508" s="57">
        <f>작성용!V505</f>
        <v>45611</v>
      </c>
      <c r="O508" s="57" t="str">
        <f>작성용!W505</f>
        <v>보고서제공X</v>
      </c>
      <c r="P508" s="57" t="str">
        <f>작성용!X505</f>
        <v>-</v>
      </c>
      <c r="Q508" s="58" t="str">
        <f>작성용!AD505</f>
        <v>심태진</v>
      </c>
      <c r="R508" s="60">
        <f>작성용!AE505</f>
        <v>0</v>
      </c>
      <c r="S508" s="58" t="str">
        <f>작성용!AF505</f>
        <v>고명주</v>
      </c>
      <c r="T508" s="61" t="str">
        <f>작성용!AG505</f>
        <v>-</v>
      </c>
      <c r="U508" s="61" t="str">
        <f>작성용!AH505</f>
        <v>-</v>
      </c>
      <c r="V508" s="56">
        <f>작성용!AA505</f>
        <v>202411</v>
      </c>
      <c r="W508" s="58" t="str">
        <f>작성용!AC505</f>
        <v>[6]기타기관펀드(기초자산)</v>
      </c>
      <c r="X508" s="58">
        <f>작성용!O505</f>
        <v>0</v>
      </c>
      <c r="Y508" s="58">
        <f>작성용!P505</f>
        <v>0</v>
      </c>
      <c r="Z508" s="58">
        <f>작성용!Q505</f>
        <v>0</v>
      </c>
      <c r="AA508" s="56" t="str">
        <f>작성용!AJ505</f>
        <v>-</v>
      </c>
      <c r="AB508" s="56">
        <f>작성용!AB505</f>
        <v>0</v>
      </c>
    </row>
    <row r="509" spans="1:28" s="12" customFormat="1" ht="16.5" hidden="1" customHeight="1" x14ac:dyDescent="0.3">
      <c r="A509" s="54">
        <f>작성용!AL506</f>
        <v>505</v>
      </c>
      <c r="B509" s="55" t="str">
        <f>작성용!AI506</f>
        <v>-</v>
      </c>
      <c r="C509" s="56" t="str">
        <f>작성용!AK506</f>
        <v>기초자산</v>
      </c>
      <c r="D509" s="57" t="str">
        <f>작성용!T506</f>
        <v>고려아연펀드(기초자산)</v>
      </c>
      <c r="E509" s="58" t="str">
        <f>작성용!B506</f>
        <v>아이엠엠살루스벤처펀드</v>
      </c>
      <c r="F509" s="58" t="str">
        <f>작성용!C506</f>
        <v>재평가</v>
      </c>
      <c r="G509" s="58" t="str">
        <f>작성용!D506</f>
        <v>터울</v>
      </c>
      <c r="H509" s="59">
        <f>작성용!E506</f>
        <v>1101117031729</v>
      </c>
      <c r="I509" s="58" t="str">
        <f>작성용!F506</f>
        <v>A01</v>
      </c>
      <c r="J509" s="58">
        <f>작성용!G506</f>
        <v>0</v>
      </c>
      <c r="K509" s="58" t="str">
        <f>작성용!H506</f>
        <v>-</v>
      </c>
      <c r="L509" s="58" t="str">
        <f>작성용!N506</f>
        <v>년</v>
      </c>
      <c r="M509" s="57" t="str">
        <f>작성용!U506</f>
        <v>2024.09.30</v>
      </c>
      <c r="N509" s="57">
        <f>작성용!V506</f>
        <v>45611</v>
      </c>
      <c r="O509" s="57" t="str">
        <f>작성용!W506</f>
        <v>보고서제공X</v>
      </c>
      <c r="P509" s="57" t="str">
        <f>작성용!X506</f>
        <v>-</v>
      </c>
      <c r="Q509" s="58" t="str">
        <f>작성용!AD506</f>
        <v>강승현</v>
      </c>
      <c r="R509" s="60">
        <f>작성용!AE506</f>
        <v>0</v>
      </c>
      <c r="S509" s="58" t="str">
        <f>작성용!AF506</f>
        <v>강승현</v>
      </c>
      <c r="T509" s="61" t="str">
        <f>작성용!AG506</f>
        <v>-</v>
      </c>
      <c r="U509" s="61" t="str">
        <f>작성용!AH506</f>
        <v>-</v>
      </c>
      <c r="V509" s="56">
        <f>작성용!AA506</f>
        <v>202411</v>
      </c>
      <c r="W509" s="58" t="str">
        <f>작성용!AC506</f>
        <v>[6]기타기관펀드(기초자산)</v>
      </c>
      <c r="X509" s="58">
        <f>작성용!O506</f>
        <v>0</v>
      </c>
      <c r="Y509" s="58">
        <f>작성용!P506</f>
        <v>0</v>
      </c>
      <c r="Z509" s="58">
        <f>작성용!Q506</f>
        <v>0</v>
      </c>
      <c r="AA509" s="56" t="str">
        <f>작성용!AJ506</f>
        <v>-</v>
      </c>
      <c r="AB509" s="56">
        <f>작성용!AB506</f>
        <v>0</v>
      </c>
    </row>
    <row r="510" spans="1:28" s="12" customFormat="1" ht="16.5" hidden="1" customHeight="1" x14ac:dyDescent="0.3">
      <c r="A510" s="54">
        <f>작성용!AL507</f>
        <v>506</v>
      </c>
      <c r="B510" s="55" t="str">
        <f>작성용!AI507</f>
        <v>-</v>
      </c>
      <c r="C510" s="56" t="str">
        <f>작성용!AK507</f>
        <v>기초자산</v>
      </c>
      <c r="D510" s="57" t="str">
        <f>작성용!T507</f>
        <v>고려아연펀드(기초자산)</v>
      </c>
      <c r="E510" s="58" t="str">
        <f>작성용!B507</f>
        <v>아이엠엠살루스벤처펀드</v>
      </c>
      <c r="F510" s="58" t="str">
        <f>작성용!C507</f>
        <v>재평가</v>
      </c>
      <c r="G510" s="58" t="str">
        <f>작성용!D507</f>
        <v>터울</v>
      </c>
      <c r="H510" s="59">
        <f>작성용!E507</f>
        <v>1101117031729</v>
      </c>
      <c r="I510" s="58" t="str">
        <f>작성용!F507</f>
        <v>A07</v>
      </c>
      <c r="J510" s="58">
        <f>작성용!G507</f>
        <v>0</v>
      </c>
      <c r="K510" s="58" t="str">
        <f>작성용!H507</f>
        <v>-</v>
      </c>
      <c r="L510" s="58" t="str">
        <f>작성용!N507</f>
        <v>년</v>
      </c>
      <c r="M510" s="57" t="str">
        <f>작성용!U507</f>
        <v>2024.09.30</v>
      </c>
      <c r="N510" s="57">
        <f>작성용!V507</f>
        <v>45611</v>
      </c>
      <c r="O510" s="57" t="str">
        <f>작성용!W507</f>
        <v>보고서제공X</v>
      </c>
      <c r="P510" s="57" t="str">
        <f>작성용!X507</f>
        <v>-</v>
      </c>
      <c r="Q510" s="58" t="str">
        <f>작성용!AD507</f>
        <v>강승현</v>
      </c>
      <c r="R510" s="60">
        <f>작성용!AE507</f>
        <v>0</v>
      </c>
      <c r="S510" s="58" t="str">
        <f>작성용!AF507</f>
        <v>강승현</v>
      </c>
      <c r="T510" s="61" t="str">
        <f>작성용!AG507</f>
        <v>-</v>
      </c>
      <c r="U510" s="61" t="str">
        <f>작성용!AH507</f>
        <v>-</v>
      </c>
      <c r="V510" s="56">
        <f>작성용!AA507</f>
        <v>202411</v>
      </c>
      <c r="W510" s="58" t="str">
        <f>작성용!AC507</f>
        <v>[6]기타기관펀드(기초자산)</v>
      </c>
      <c r="X510" s="58">
        <f>작성용!O507</f>
        <v>0</v>
      </c>
      <c r="Y510" s="58">
        <f>작성용!P507</f>
        <v>0</v>
      </c>
      <c r="Z510" s="58">
        <f>작성용!Q507</f>
        <v>0</v>
      </c>
      <c r="AA510" s="56" t="str">
        <f>작성용!AJ507</f>
        <v>-</v>
      </c>
      <c r="AB510" s="56">
        <f>작성용!AB507</f>
        <v>0</v>
      </c>
    </row>
    <row r="511" spans="1:28" s="12" customFormat="1" ht="16.5" hidden="1" customHeight="1" x14ac:dyDescent="0.3">
      <c r="A511" s="54">
        <f>작성용!AL508</f>
        <v>507</v>
      </c>
      <c r="B511" s="55" t="str">
        <f>작성용!AI508</f>
        <v>-</v>
      </c>
      <c r="C511" s="56" t="str">
        <f>작성용!AK508</f>
        <v>기초자산</v>
      </c>
      <c r="D511" s="57" t="str">
        <f>작성용!T508</f>
        <v>고려아연펀드(기초자산)</v>
      </c>
      <c r="E511" s="58" t="str">
        <f>작성용!B508</f>
        <v>아이엠엠살루스벤처펀드</v>
      </c>
      <c r="F511" s="58" t="str">
        <f>작성용!C508</f>
        <v>재평가</v>
      </c>
      <c r="G511" s="58" t="str">
        <f>작성용!D508</f>
        <v>큐티스바이오</v>
      </c>
      <c r="H511" s="59">
        <f>작성용!E508</f>
        <v>1101117537842</v>
      </c>
      <c r="I511" s="58" t="str">
        <f>작성용!F508</f>
        <v>A07</v>
      </c>
      <c r="J511" s="58">
        <f>작성용!G508</f>
        <v>0</v>
      </c>
      <c r="K511" s="58" t="str">
        <f>작성용!H508</f>
        <v>-</v>
      </c>
      <c r="L511" s="58" t="str">
        <f>작성용!N508</f>
        <v>년</v>
      </c>
      <c r="M511" s="57" t="str">
        <f>작성용!U508</f>
        <v>2024.09.30</v>
      </c>
      <c r="N511" s="57">
        <f>작성용!V508</f>
        <v>45611</v>
      </c>
      <c r="O511" s="57" t="str">
        <f>작성용!W508</f>
        <v>보고서제공X</v>
      </c>
      <c r="P511" s="57" t="str">
        <f>작성용!X508</f>
        <v>-</v>
      </c>
      <c r="Q511" s="58" t="str">
        <f>작성용!AD508</f>
        <v>유재호</v>
      </c>
      <c r="R511" s="60">
        <f>작성용!AE508</f>
        <v>0.6</v>
      </c>
      <c r="S511" s="58" t="str">
        <f>작성용!AF508</f>
        <v>유재호</v>
      </c>
      <c r="T511" s="61" t="str">
        <f>작성용!AG508</f>
        <v>-</v>
      </c>
      <c r="U511" s="61" t="str">
        <f>작성용!AH508</f>
        <v>-</v>
      </c>
      <c r="V511" s="56">
        <f>작성용!AA508</f>
        <v>202411</v>
      </c>
      <c r="W511" s="58" t="str">
        <f>작성용!AC508</f>
        <v>[6]기타기관펀드(기초자산)</v>
      </c>
      <c r="X511" s="58">
        <f>작성용!O508</f>
        <v>0</v>
      </c>
      <c r="Y511" s="58">
        <f>작성용!P508</f>
        <v>0</v>
      </c>
      <c r="Z511" s="58">
        <f>작성용!Q508</f>
        <v>0</v>
      </c>
      <c r="AA511" s="56" t="str">
        <f>작성용!AJ508</f>
        <v>-</v>
      </c>
      <c r="AB511" s="56">
        <f>작성용!AB508</f>
        <v>0</v>
      </c>
    </row>
    <row r="512" spans="1:28" s="12" customFormat="1" ht="16.5" hidden="1" customHeight="1" x14ac:dyDescent="0.3">
      <c r="A512" s="54">
        <f>작성용!AL509</f>
        <v>508</v>
      </c>
      <c r="B512" s="55" t="str">
        <f>작성용!AI509</f>
        <v>-</v>
      </c>
      <c r="C512" s="56" t="str">
        <f>작성용!AK509</f>
        <v>기초자산</v>
      </c>
      <c r="D512" s="57" t="str">
        <f>작성용!T509</f>
        <v>고려아연펀드(기초자산)</v>
      </c>
      <c r="E512" s="58" t="str">
        <f>작성용!B509</f>
        <v>아이엠엠살루스벤처펀드</v>
      </c>
      <c r="F512" s="58" t="str">
        <f>작성용!C509</f>
        <v>재평가</v>
      </c>
      <c r="G512" s="58" t="str">
        <f>작성용!D509</f>
        <v>오름테라퓨틱</v>
      </c>
      <c r="H512" s="59">
        <f>작성용!E509</f>
        <v>1601110433518</v>
      </c>
      <c r="I512" s="58" t="str">
        <f>작성용!F509</f>
        <v>A01</v>
      </c>
      <c r="J512" s="58">
        <f>작성용!G509</f>
        <v>0</v>
      </c>
      <c r="K512" s="58" t="str">
        <f>작성용!H509</f>
        <v>-</v>
      </c>
      <c r="L512" s="58" t="str">
        <f>작성용!N509</f>
        <v>년</v>
      </c>
      <c r="M512" s="57" t="str">
        <f>작성용!U509</f>
        <v>2024.09.30</v>
      </c>
      <c r="N512" s="57">
        <f>작성용!V509</f>
        <v>45611</v>
      </c>
      <c r="O512" s="57" t="str">
        <f>작성용!W509</f>
        <v>보고서제공X</v>
      </c>
      <c r="P512" s="57" t="str">
        <f>작성용!X509</f>
        <v>-</v>
      </c>
      <c r="Q512" s="58" t="str">
        <f>작성용!AD509</f>
        <v>이상민</v>
      </c>
      <c r="R512" s="60">
        <f>작성용!AE509</f>
        <v>0.6</v>
      </c>
      <c r="S512" s="58" t="str">
        <f>작성용!AF509</f>
        <v>서수빈</v>
      </c>
      <c r="T512" s="61" t="str">
        <f>작성용!AG509</f>
        <v>-</v>
      </c>
      <c r="U512" s="61" t="str">
        <f>작성용!AH509</f>
        <v>-</v>
      </c>
      <c r="V512" s="56">
        <f>작성용!AA509</f>
        <v>202411</v>
      </c>
      <c r="W512" s="58" t="str">
        <f>작성용!AC509</f>
        <v>[6]기타기관펀드(기초자산)</v>
      </c>
      <c r="X512" s="58">
        <f>작성용!O509</f>
        <v>0</v>
      </c>
      <c r="Y512" s="58">
        <f>작성용!P509</f>
        <v>0</v>
      </c>
      <c r="Z512" s="58">
        <f>작성용!Q509</f>
        <v>0</v>
      </c>
      <c r="AA512" s="56" t="str">
        <f>작성용!AJ509</f>
        <v>-</v>
      </c>
      <c r="AB512" s="56">
        <f>작성용!AB509</f>
        <v>0</v>
      </c>
    </row>
    <row r="513" spans="1:28" s="12" customFormat="1" ht="16.5" hidden="1" customHeight="1" x14ac:dyDescent="0.3">
      <c r="A513" s="54">
        <f>작성용!AL510</f>
        <v>509</v>
      </c>
      <c r="B513" s="55" t="str">
        <f>작성용!AI510</f>
        <v>-</v>
      </c>
      <c r="C513" s="56" t="str">
        <f>작성용!AK510</f>
        <v>기초자산</v>
      </c>
      <c r="D513" s="57" t="str">
        <f>작성용!T510</f>
        <v>고려아연펀드(기초자산)</v>
      </c>
      <c r="E513" s="58" t="str">
        <f>작성용!B510</f>
        <v>아이엠엠살루스벤처펀드</v>
      </c>
      <c r="F513" s="58" t="str">
        <f>작성용!C510</f>
        <v>재평가</v>
      </c>
      <c r="G513" s="58" t="str">
        <f>작성용!D510</f>
        <v>에이럭스</v>
      </c>
      <c r="H513" s="59">
        <f>작성용!E510</f>
        <v>1101115894492</v>
      </c>
      <c r="I513" s="58" t="str">
        <f>작성용!F510</f>
        <v>A01</v>
      </c>
      <c r="J513" s="58">
        <f>작성용!G510</f>
        <v>0</v>
      </c>
      <c r="K513" s="58" t="str">
        <f>작성용!H510</f>
        <v>-</v>
      </c>
      <c r="L513" s="58" t="str">
        <f>작성용!N510</f>
        <v>년</v>
      </c>
      <c r="M513" s="57" t="str">
        <f>작성용!U510</f>
        <v>2024.09.30</v>
      </c>
      <c r="N513" s="57">
        <f>작성용!V510</f>
        <v>45611</v>
      </c>
      <c r="O513" s="57" t="str">
        <f>작성용!W510</f>
        <v>보고서제공X</v>
      </c>
      <c r="P513" s="57" t="str">
        <f>작성용!X510</f>
        <v>-</v>
      </c>
      <c r="Q513" s="58" t="str">
        <f>작성용!AD510</f>
        <v>정은채</v>
      </c>
      <c r="R513" s="60">
        <f>작성용!AE510</f>
        <v>0.6</v>
      </c>
      <c r="S513" s="58" t="str">
        <f>작성용!AF510</f>
        <v>정은채</v>
      </c>
      <c r="T513" s="61" t="str">
        <f>작성용!AG510</f>
        <v>-</v>
      </c>
      <c r="U513" s="61" t="str">
        <f>작성용!AH510</f>
        <v>-</v>
      </c>
      <c r="V513" s="56">
        <f>작성용!AA510</f>
        <v>202411</v>
      </c>
      <c r="W513" s="58" t="str">
        <f>작성용!AC510</f>
        <v>[6]기타기관펀드(기초자산)</v>
      </c>
      <c r="X513" s="58">
        <f>작성용!O510</f>
        <v>0</v>
      </c>
      <c r="Y513" s="58">
        <f>작성용!P510</f>
        <v>0</v>
      </c>
      <c r="Z513" s="58">
        <f>작성용!Q510</f>
        <v>0</v>
      </c>
      <c r="AA513" s="56" t="str">
        <f>작성용!AJ510</f>
        <v>-</v>
      </c>
      <c r="AB513" s="56">
        <f>작성용!AB510</f>
        <v>0</v>
      </c>
    </row>
    <row r="514" spans="1:28" s="12" customFormat="1" ht="16.5" hidden="1" customHeight="1" x14ac:dyDescent="0.3">
      <c r="A514" s="54">
        <f>작성용!AL511</f>
        <v>510</v>
      </c>
      <c r="B514" s="55" t="str">
        <f>작성용!AI511</f>
        <v>-</v>
      </c>
      <c r="C514" s="56" t="str">
        <f>작성용!AK511</f>
        <v>기초자산</v>
      </c>
      <c r="D514" s="57" t="str">
        <f>작성용!T511</f>
        <v>고려아연펀드(기초자산)</v>
      </c>
      <c r="E514" s="58" t="str">
        <f>작성용!B511</f>
        <v>아이엠엠살루스벤처펀드</v>
      </c>
      <c r="F514" s="58" t="str">
        <f>작성용!C511</f>
        <v>재평가</v>
      </c>
      <c r="G514" s="58" t="str">
        <f>작성용!D511</f>
        <v>웰트</v>
      </c>
      <c r="H514" s="59">
        <f>작성용!E511</f>
        <v>1101116105872</v>
      </c>
      <c r="I514" s="58" t="str">
        <f>작성용!F511</f>
        <v>A07</v>
      </c>
      <c r="J514" s="58">
        <f>작성용!G511</f>
        <v>0</v>
      </c>
      <c r="K514" s="58" t="str">
        <f>작성용!H511</f>
        <v>-</v>
      </c>
      <c r="L514" s="58" t="str">
        <f>작성용!N511</f>
        <v>년</v>
      </c>
      <c r="M514" s="57" t="str">
        <f>작성용!U511</f>
        <v>2024.09.30</v>
      </c>
      <c r="N514" s="57">
        <f>작성용!V511</f>
        <v>45611</v>
      </c>
      <c r="O514" s="57" t="str">
        <f>작성용!W511</f>
        <v>보고서제공X</v>
      </c>
      <c r="P514" s="57" t="str">
        <f>작성용!X511</f>
        <v>-</v>
      </c>
      <c r="Q514" s="58" t="str">
        <f>작성용!AD511</f>
        <v>변혜진</v>
      </c>
      <c r="R514" s="60">
        <f>작성용!AE511</f>
        <v>0</v>
      </c>
      <c r="S514" s="58" t="str">
        <f>작성용!AF511</f>
        <v>변혜진</v>
      </c>
      <c r="T514" s="61" t="str">
        <f>작성용!AG511</f>
        <v>-</v>
      </c>
      <c r="U514" s="61" t="str">
        <f>작성용!AH511</f>
        <v>-</v>
      </c>
      <c r="V514" s="56">
        <f>작성용!AA511</f>
        <v>202411</v>
      </c>
      <c r="W514" s="58" t="str">
        <f>작성용!AC511</f>
        <v>[6]기타기관펀드(기초자산)</v>
      </c>
      <c r="X514" s="58">
        <f>작성용!O511</f>
        <v>0</v>
      </c>
      <c r="Y514" s="58">
        <f>작성용!P511</f>
        <v>0</v>
      </c>
      <c r="Z514" s="58">
        <f>작성용!Q511</f>
        <v>0</v>
      </c>
      <c r="AA514" s="56" t="str">
        <f>작성용!AJ511</f>
        <v>-</v>
      </c>
      <c r="AB514" s="56">
        <f>작성용!AB511</f>
        <v>0</v>
      </c>
    </row>
    <row r="515" spans="1:28" s="12" customFormat="1" ht="16.5" hidden="1" customHeight="1" x14ac:dyDescent="0.3">
      <c r="A515" s="54">
        <f>작성용!AL512</f>
        <v>511</v>
      </c>
      <c r="B515" s="55" t="str">
        <f>작성용!AI512</f>
        <v>-</v>
      </c>
      <c r="C515" s="56" t="str">
        <f>작성용!AK512</f>
        <v>기초자산</v>
      </c>
      <c r="D515" s="57" t="str">
        <f>작성용!T512</f>
        <v>고려아연펀드(기초자산)</v>
      </c>
      <c r="E515" s="58" t="str">
        <f>작성용!B512</f>
        <v>아이엠엠살루스벤처펀드</v>
      </c>
      <c r="F515" s="58" t="str">
        <f>작성용!C512</f>
        <v>재평가</v>
      </c>
      <c r="G515" s="58" t="str">
        <f>작성용!D512</f>
        <v>패쓰</v>
      </c>
      <c r="H515" s="59">
        <f>작성용!E512</f>
        <v>1101118075495</v>
      </c>
      <c r="I515" s="58" t="str">
        <f>작성용!F512</f>
        <v>A05</v>
      </c>
      <c r="J515" s="58">
        <f>작성용!G512</f>
        <v>0</v>
      </c>
      <c r="K515" s="58" t="str">
        <f>작성용!H512</f>
        <v>-</v>
      </c>
      <c r="L515" s="58" t="str">
        <f>작성용!N512</f>
        <v>년</v>
      </c>
      <c r="M515" s="57" t="str">
        <f>작성용!U512</f>
        <v>2024.09.30</v>
      </c>
      <c r="N515" s="57">
        <f>작성용!V512</f>
        <v>45611</v>
      </c>
      <c r="O515" s="57" t="str">
        <f>작성용!W512</f>
        <v>보고서제공X</v>
      </c>
      <c r="P515" s="57" t="str">
        <f>작성용!X512</f>
        <v>-</v>
      </c>
      <c r="Q515" s="58" t="str">
        <f>작성용!AD512</f>
        <v>채동우</v>
      </c>
      <c r="R515" s="60">
        <f>작성용!AE512</f>
        <v>0</v>
      </c>
      <c r="S515" s="58" t="str">
        <f>작성용!AF512</f>
        <v>김범준</v>
      </c>
      <c r="T515" s="61" t="str">
        <f>작성용!AG512</f>
        <v>-</v>
      </c>
      <c r="U515" s="61" t="str">
        <f>작성용!AH512</f>
        <v>-</v>
      </c>
      <c r="V515" s="56">
        <f>작성용!AA512</f>
        <v>202411</v>
      </c>
      <c r="W515" s="58" t="str">
        <f>작성용!AC512</f>
        <v>[6]기타기관펀드(기초자산)</v>
      </c>
      <c r="X515" s="58">
        <f>작성용!O512</f>
        <v>0</v>
      </c>
      <c r="Y515" s="58">
        <f>작성용!P512</f>
        <v>0</v>
      </c>
      <c r="Z515" s="58">
        <f>작성용!Q512</f>
        <v>0</v>
      </c>
      <c r="AA515" s="56" t="str">
        <f>작성용!AJ512</f>
        <v>-</v>
      </c>
      <c r="AB515" s="56">
        <f>작성용!AB512</f>
        <v>0</v>
      </c>
    </row>
    <row r="516" spans="1:28" s="12" customFormat="1" ht="16.5" hidden="1" customHeight="1" x14ac:dyDescent="0.3">
      <c r="A516" s="54">
        <f>작성용!AL513</f>
        <v>512</v>
      </c>
      <c r="B516" s="55" t="str">
        <f>작성용!AI513</f>
        <v>-</v>
      </c>
      <c r="C516" s="56" t="str">
        <f>작성용!AK513</f>
        <v>기초자산</v>
      </c>
      <c r="D516" s="57" t="str">
        <f>작성용!T513</f>
        <v>고려아연펀드(기초자산)</v>
      </c>
      <c r="E516" s="58" t="str">
        <f>작성용!B513</f>
        <v>아이엠엠살루스벤처펀드</v>
      </c>
      <c r="F516" s="58" t="str">
        <f>작성용!C513</f>
        <v>재평가</v>
      </c>
      <c r="G516" s="58" t="str">
        <f>작성용!D513</f>
        <v>휴톰</v>
      </c>
      <c r="H516" s="59">
        <f>작성용!E513</f>
        <v>1101116401684</v>
      </c>
      <c r="I516" s="58" t="str">
        <f>작성용!F513</f>
        <v>A07</v>
      </c>
      <c r="J516" s="58">
        <f>작성용!G513</f>
        <v>1</v>
      </c>
      <c r="K516" s="58" t="str">
        <f>작성용!H513</f>
        <v>-</v>
      </c>
      <c r="L516" s="58" t="str">
        <f>작성용!N513</f>
        <v>년</v>
      </c>
      <c r="M516" s="57" t="str">
        <f>작성용!U513</f>
        <v>2024.09.30</v>
      </c>
      <c r="N516" s="57">
        <f>작성용!V513</f>
        <v>45611</v>
      </c>
      <c r="O516" s="57" t="str">
        <f>작성용!W513</f>
        <v>보고서제공X</v>
      </c>
      <c r="P516" s="57" t="str">
        <f>작성용!X513</f>
        <v>-</v>
      </c>
      <c r="Q516" s="58" t="str">
        <f>작성용!AD513</f>
        <v>김수현</v>
      </c>
      <c r="R516" s="60">
        <f>작성용!AE513</f>
        <v>0.6</v>
      </c>
      <c r="S516" s="58" t="str">
        <f>작성용!AF513</f>
        <v>김수현</v>
      </c>
      <c r="T516" s="61" t="str">
        <f>작성용!AG513</f>
        <v>-</v>
      </c>
      <c r="U516" s="61" t="str">
        <f>작성용!AH513</f>
        <v>-</v>
      </c>
      <c r="V516" s="56">
        <f>작성용!AA513</f>
        <v>202411</v>
      </c>
      <c r="W516" s="58" t="str">
        <f>작성용!AC513</f>
        <v>[6]기타기관펀드(기초자산)</v>
      </c>
      <c r="X516" s="58">
        <f>작성용!O513</f>
        <v>0</v>
      </c>
      <c r="Y516" s="58">
        <f>작성용!P513</f>
        <v>0</v>
      </c>
      <c r="Z516" s="58">
        <f>작성용!Q513</f>
        <v>0</v>
      </c>
      <c r="AA516" s="56" t="str">
        <f>작성용!AJ513</f>
        <v>-</v>
      </c>
      <c r="AB516" s="56">
        <f>작성용!AB513</f>
        <v>0</v>
      </c>
    </row>
    <row r="517" spans="1:28" s="12" customFormat="1" ht="16.5" hidden="1" customHeight="1" x14ac:dyDescent="0.3">
      <c r="A517" s="54">
        <f>작성용!AL514</f>
        <v>513</v>
      </c>
      <c r="B517" s="55" t="str">
        <f>작성용!AI514</f>
        <v>-</v>
      </c>
      <c r="C517" s="56" t="str">
        <f>작성용!AK514</f>
        <v>기초자산</v>
      </c>
      <c r="D517" s="57" t="str">
        <f>작성용!T514</f>
        <v>고려아연펀드(기초자산)</v>
      </c>
      <c r="E517" s="58" t="str">
        <f>작성용!B514</f>
        <v>아이엠엠살루스벤처펀드</v>
      </c>
      <c r="F517" s="58" t="str">
        <f>작성용!C514</f>
        <v>재평가</v>
      </c>
      <c r="G517" s="58" t="str">
        <f>작성용!D514</f>
        <v>두나무</v>
      </c>
      <c r="H517" s="59">
        <f>작성용!E514</f>
        <v>1101114834853</v>
      </c>
      <c r="I517" s="58" t="str">
        <f>작성용!F514</f>
        <v>A01</v>
      </c>
      <c r="J517" s="58">
        <f>작성용!G514</f>
        <v>0</v>
      </c>
      <c r="K517" s="58" t="str">
        <f>작성용!H514</f>
        <v>-</v>
      </c>
      <c r="L517" s="58" t="str">
        <f>작성용!N514</f>
        <v>년</v>
      </c>
      <c r="M517" s="57" t="str">
        <f>작성용!U514</f>
        <v>2024.09.30</v>
      </c>
      <c r="N517" s="57">
        <f>작성용!V514</f>
        <v>45611</v>
      </c>
      <c r="O517" s="57" t="str">
        <f>작성용!W514</f>
        <v>보고서제공X</v>
      </c>
      <c r="P517" s="57" t="str">
        <f>작성용!X514</f>
        <v>-</v>
      </c>
      <c r="Q517" s="58" t="str">
        <f>작성용!AD514</f>
        <v>김수현</v>
      </c>
      <c r="R517" s="60">
        <f>작성용!AE514</f>
        <v>0</v>
      </c>
      <c r="S517" s="58" t="str">
        <f>작성용!AF514</f>
        <v>김수현</v>
      </c>
      <c r="T517" s="61" t="str">
        <f>작성용!AG514</f>
        <v>-</v>
      </c>
      <c r="U517" s="61" t="str">
        <f>작성용!AH514</f>
        <v>-</v>
      </c>
      <c r="V517" s="56">
        <f>작성용!AA514</f>
        <v>202411</v>
      </c>
      <c r="W517" s="58" t="str">
        <f>작성용!AC514</f>
        <v>[6]기타기관펀드(기초자산)</v>
      </c>
      <c r="X517" s="58">
        <f>작성용!O514</f>
        <v>0</v>
      </c>
      <c r="Y517" s="58">
        <f>작성용!P514</f>
        <v>0</v>
      </c>
      <c r="Z517" s="58">
        <f>작성용!Q514</f>
        <v>0</v>
      </c>
      <c r="AA517" s="56" t="str">
        <f>작성용!AJ514</f>
        <v>-</v>
      </c>
      <c r="AB517" s="56">
        <f>작성용!AB514</f>
        <v>0</v>
      </c>
    </row>
    <row r="518" spans="1:28" s="12" customFormat="1" ht="16.5" hidden="1" customHeight="1" x14ac:dyDescent="0.3">
      <c r="A518" s="54">
        <f>작성용!AL515</f>
        <v>514</v>
      </c>
      <c r="B518" s="55" t="str">
        <f>작성용!AI515</f>
        <v>-</v>
      </c>
      <c r="C518" s="56" t="str">
        <f>작성용!AK515</f>
        <v>기초자산</v>
      </c>
      <c r="D518" s="57" t="str">
        <f>작성용!T515</f>
        <v>고려아연펀드(기초자산)</v>
      </c>
      <c r="E518" s="58" t="str">
        <f>작성용!B515</f>
        <v>아이엠엠살루스벤처펀드</v>
      </c>
      <c r="F518" s="58" t="str">
        <f>작성용!C515</f>
        <v>재평가</v>
      </c>
      <c r="G518" s="58" t="str">
        <f>작성용!D515</f>
        <v>스파크바이오파마</v>
      </c>
      <c r="H518" s="59">
        <f>작성용!E515</f>
        <v>1101115956482</v>
      </c>
      <c r="I518" s="58" t="str">
        <f>작성용!F515</f>
        <v>A07</v>
      </c>
      <c r="J518" s="58">
        <f>작성용!G515</f>
        <v>2</v>
      </c>
      <c r="K518" s="58" t="str">
        <f>작성용!H515</f>
        <v>-</v>
      </c>
      <c r="L518" s="58" t="str">
        <f>작성용!N515</f>
        <v>년</v>
      </c>
      <c r="M518" s="57" t="str">
        <f>작성용!U515</f>
        <v>2024.09.30</v>
      </c>
      <c r="N518" s="57">
        <f>작성용!V515</f>
        <v>45611</v>
      </c>
      <c r="O518" s="57" t="str">
        <f>작성용!W515</f>
        <v>보고서제공X</v>
      </c>
      <c r="P518" s="57" t="str">
        <f>작성용!X515</f>
        <v>-</v>
      </c>
      <c r="Q518" s="58" t="str">
        <f>작성용!AD515</f>
        <v>김수현</v>
      </c>
      <c r="R518" s="60">
        <f>작성용!AE515</f>
        <v>0.6</v>
      </c>
      <c r="S518" s="58" t="str">
        <f>작성용!AF515</f>
        <v>김수현</v>
      </c>
      <c r="T518" s="61" t="str">
        <f>작성용!AG515</f>
        <v>-</v>
      </c>
      <c r="U518" s="61" t="str">
        <f>작성용!AH515</f>
        <v>-</v>
      </c>
      <c r="V518" s="56">
        <f>작성용!AA515</f>
        <v>202411</v>
      </c>
      <c r="W518" s="58" t="str">
        <f>작성용!AC515</f>
        <v>[6]기타기관펀드(기초자산)</v>
      </c>
      <c r="X518" s="58">
        <f>작성용!O515</f>
        <v>0</v>
      </c>
      <c r="Y518" s="58">
        <f>작성용!P515</f>
        <v>0</v>
      </c>
      <c r="Z518" s="58">
        <f>작성용!Q515</f>
        <v>0</v>
      </c>
      <c r="AA518" s="56" t="str">
        <f>작성용!AJ515</f>
        <v>-</v>
      </c>
      <c r="AB518" s="56">
        <f>작성용!AB515</f>
        <v>0</v>
      </c>
    </row>
    <row r="519" spans="1:28" s="12" customFormat="1" ht="16.5" hidden="1" customHeight="1" x14ac:dyDescent="0.3">
      <c r="A519" s="54">
        <f>작성용!AL516</f>
        <v>515</v>
      </c>
      <c r="B519" s="55" t="str">
        <f>작성용!AI516</f>
        <v>-</v>
      </c>
      <c r="C519" s="56" t="str">
        <f>작성용!AK516</f>
        <v>기초자산</v>
      </c>
      <c r="D519" s="57" t="str">
        <f>작성용!T516</f>
        <v>고려아연펀드(기초자산)</v>
      </c>
      <c r="E519" s="58" t="str">
        <f>작성용!B516</f>
        <v>아이엠엠살루스벤처펀드</v>
      </c>
      <c r="F519" s="58" t="str">
        <f>작성용!C516</f>
        <v>재평가</v>
      </c>
      <c r="G519" s="58" t="str">
        <f>작성용!D516</f>
        <v>트리오어</v>
      </c>
      <c r="H519" s="59">
        <f>작성용!E516</f>
        <v>1601110577431</v>
      </c>
      <c r="I519" s="58" t="str">
        <f>작성용!F516</f>
        <v>A05</v>
      </c>
      <c r="J519" s="58">
        <f>작성용!G516</f>
        <v>0</v>
      </c>
      <c r="K519" s="58" t="str">
        <f>작성용!H516</f>
        <v>-</v>
      </c>
      <c r="L519" s="58" t="str">
        <f>작성용!N516</f>
        <v>년</v>
      </c>
      <c r="M519" s="57" t="str">
        <f>작성용!U516</f>
        <v>2024.09.30</v>
      </c>
      <c r="N519" s="57">
        <f>작성용!V516</f>
        <v>45611</v>
      </c>
      <c r="O519" s="57" t="str">
        <f>작성용!W516</f>
        <v>보고서제공X</v>
      </c>
      <c r="P519" s="57" t="str">
        <f>작성용!X516</f>
        <v>-</v>
      </c>
      <c r="Q519" s="58" t="str">
        <f>작성용!AD516</f>
        <v>이상민</v>
      </c>
      <c r="R519" s="60">
        <f>작성용!AE516</f>
        <v>0</v>
      </c>
      <c r="S519" s="58" t="str">
        <f>작성용!AF516</f>
        <v>정재형</v>
      </c>
      <c r="T519" s="61" t="str">
        <f>작성용!AG516</f>
        <v>-</v>
      </c>
      <c r="U519" s="61" t="str">
        <f>작성용!AH516</f>
        <v>-</v>
      </c>
      <c r="V519" s="56">
        <f>작성용!AA516</f>
        <v>202411</v>
      </c>
      <c r="W519" s="58" t="str">
        <f>작성용!AC516</f>
        <v>[6]기타기관펀드(기초자산)</v>
      </c>
      <c r="X519" s="58">
        <f>작성용!O516</f>
        <v>0</v>
      </c>
      <c r="Y519" s="58">
        <f>작성용!P516</f>
        <v>0</v>
      </c>
      <c r="Z519" s="58">
        <f>작성용!Q516</f>
        <v>0</v>
      </c>
      <c r="AA519" s="56" t="str">
        <f>작성용!AJ516</f>
        <v>-</v>
      </c>
      <c r="AB519" s="56">
        <f>작성용!AB516</f>
        <v>0</v>
      </c>
    </row>
    <row r="520" spans="1:28" s="12" customFormat="1" ht="16.5" hidden="1" customHeight="1" x14ac:dyDescent="0.3">
      <c r="A520" s="54">
        <f>작성용!AL517</f>
        <v>516</v>
      </c>
      <c r="B520" s="55" t="str">
        <f>작성용!AI517</f>
        <v>-</v>
      </c>
      <c r="C520" s="56" t="str">
        <f>작성용!AK517</f>
        <v>기초자산</v>
      </c>
      <c r="D520" s="57" t="str">
        <f>작성용!T517</f>
        <v>고려아연펀드(기초자산)</v>
      </c>
      <c r="E520" s="58" t="str">
        <f>작성용!B517</f>
        <v>아이엠엠살루스벤처펀드</v>
      </c>
      <c r="F520" s="58" t="str">
        <f>작성용!C517</f>
        <v>재평가</v>
      </c>
      <c r="G520" s="58" t="str">
        <f>작성용!D517</f>
        <v>루먼랩</v>
      </c>
      <c r="H520" s="59">
        <f>작성용!E517</f>
        <v>1101117974151</v>
      </c>
      <c r="I520" s="58" t="str">
        <f>작성용!F517</f>
        <v>A07</v>
      </c>
      <c r="J520" s="58">
        <f>작성용!G517</f>
        <v>1</v>
      </c>
      <c r="K520" s="58" t="str">
        <f>작성용!H517</f>
        <v>-</v>
      </c>
      <c r="L520" s="58" t="str">
        <f>작성용!N517</f>
        <v>년</v>
      </c>
      <c r="M520" s="57" t="str">
        <f>작성용!U517</f>
        <v>2024.09.30</v>
      </c>
      <c r="N520" s="57">
        <f>작성용!V517</f>
        <v>45611</v>
      </c>
      <c r="O520" s="57" t="str">
        <f>작성용!W517</f>
        <v>보고서제공X</v>
      </c>
      <c r="P520" s="57" t="str">
        <f>작성용!X517</f>
        <v>-</v>
      </c>
      <c r="Q520" s="58" t="str">
        <f>작성용!AD517</f>
        <v>정재형</v>
      </c>
      <c r="R520" s="60">
        <f>작성용!AE517</f>
        <v>0</v>
      </c>
      <c r="S520" s="58" t="str">
        <f>작성용!AF517</f>
        <v>정재형</v>
      </c>
      <c r="T520" s="61" t="str">
        <f>작성용!AG517</f>
        <v>-</v>
      </c>
      <c r="U520" s="61" t="str">
        <f>작성용!AH517</f>
        <v>-</v>
      </c>
      <c r="V520" s="56">
        <f>작성용!AA517</f>
        <v>202411</v>
      </c>
      <c r="W520" s="58" t="str">
        <f>작성용!AC517</f>
        <v>[6]기타기관펀드(기초자산)</v>
      </c>
      <c r="X520" s="58">
        <f>작성용!O517</f>
        <v>0</v>
      </c>
      <c r="Y520" s="58">
        <f>작성용!P517</f>
        <v>0</v>
      </c>
      <c r="Z520" s="58">
        <f>작성용!Q517</f>
        <v>0</v>
      </c>
      <c r="AA520" s="56" t="str">
        <f>작성용!AJ517</f>
        <v>-</v>
      </c>
      <c r="AB520" s="56">
        <f>작성용!AB517</f>
        <v>0</v>
      </c>
    </row>
    <row r="521" spans="1:28" s="12" customFormat="1" ht="16.5" hidden="1" customHeight="1" x14ac:dyDescent="0.3">
      <c r="A521" s="54">
        <f>작성용!AL518</f>
        <v>517</v>
      </c>
      <c r="B521" s="55" t="str">
        <f>작성용!AI518</f>
        <v>-</v>
      </c>
      <c r="C521" s="56" t="str">
        <f>작성용!AK518</f>
        <v>기초자산</v>
      </c>
      <c r="D521" s="57" t="str">
        <f>작성용!T518</f>
        <v>고려아연펀드(기초자산)</v>
      </c>
      <c r="E521" s="58" t="str">
        <f>작성용!B518</f>
        <v>아이엠엠살루스벤처펀드</v>
      </c>
      <c r="F521" s="58" t="str">
        <f>작성용!C518</f>
        <v>재평가</v>
      </c>
      <c r="G521" s="58" t="str">
        <f>작성용!D518</f>
        <v>이솔</v>
      </c>
      <c r="H521" s="59">
        <f>작성용!E518</f>
        <v>1348110433615</v>
      </c>
      <c r="I521" s="58" t="str">
        <f>작성용!F518</f>
        <v>A07</v>
      </c>
      <c r="J521" s="58">
        <f>작성용!G518</f>
        <v>0</v>
      </c>
      <c r="K521" s="58" t="str">
        <f>작성용!H518</f>
        <v>-</v>
      </c>
      <c r="L521" s="58" t="str">
        <f>작성용!N518</f>
        <v>년</v>
      </c>
      <c r="M521" s="57" t="str">
        <f>작성용!U518</f>
        <v>2024.09.30</v>
      </c>
      <c r="N521" s="57">
        <f>작성용!V518</f>
        <v>45611</v>
      </c>
      <c r="O521" s="57" t="str">
        <f>작성용!W518</f>
        <v>보고서제공X</v>
      </c>
      <c r="P521" s="57" t="str">
        <f>작성용!X518</f>
        <v>-</v>
      </c>
      <c r="Q521" s="58" t="str">
        <f>작성용!AD518</f>
        <v>심태진</v>
      </c>
      <c r="R521" s="60">
        <f>작성용!AE518</f>
        <v>0</v>
      </c>
      <c r="S521" s="58" t="str">
        <f>작성용!AF518</f>
        <v>심태진</v>
      </c>
      <c r="T521" s="61" t="str">
        <f>작성용!AG518</f>
        <v>-</v>
      </c>
      <c r="U521" s="61" t="str">
        <f>작성용!AH518</f>
        <v>-</v>
      </c>
      <c r="V521" s="56">
        <f>작성용!AA518</f>
        <v>202411</v>
      </c>
      <c r="W521" s="58" t="str">
        <f>작성용!AC518</f>
        <v>[6]기타기관펀드(기초자산)</v>
      </c>
      <c r="X521" s="58">
        <f>작성용!O518</f>
        <v>0</v>
      </c>
      <c r="Y521" s="58">
        <f>작성용!P518</f>
        <v>0</v>
      </c>
      <c r="Z521" s="58">
        <f>작성용!Q518</f>
        <v>0</v>
      </c>
      <c r="AA521" s="56" t="str">
        <f>작성용!AJ518</f>
        <v>-</v>
      </c>
      <c r="AB521" s="56">
        <f>작성용!AB518</f>
        <v>0</v>
      </c>
    </row>
    <row r="522" spans="1:28" s="12" customFormat="1" ht="16.5" hidden="1" customHeight="1" x14ac:dyDescent="0.3">
      <c r="A522" s="54">
        <f>작성용!AL519</f>
        <v>518</v>
      </c>
      <c r="B522" s="55" t="str">
        <f>작성용!AI519</f>
        <v>CROSSANGLE PTE. LTD. 평가자 일치.(종속기업)</v>
      </c>
      <c r="C522" s="56" t="str">
        <f>작성용!AK519</f>
        <v>기초자산</v>
      </c>
      <c r="D522" s="57" t="str">
        <f>작성용!T519</f>
        <v>고려아연펀드(기초자산)</v>
      </c>
      <c r="E522" s="58" t="str">
        <f>작성용!B519</f>
        <v>아이엠엠살루스벤처펀드</v>
      </c>
      <c r="F522" s="58" t="str">
        <f>작성용!C519</f>
        <v>재평가</v>
      </c>
      <c r="G522" s="58" t="str">
        <f>작성용!D519</f>
        <v>크로스앵글</v>
      </c>
      <c r="H522" s="59">
        <f>작성용!E519</f>
        <v>1101116911352</v>
      </c>
      <c r="I522" s="58" t="str">
        <f>작성용!F519</f>
        <v>A05</v>
      </c>
      <c r="J522" s="58">
        <f>작성용!G519</f>
        <v>0</v>
      </c>
      <c r="K522" s="58" t="str">
        <f>작성용!H519</f>
        <v>-</v>
      </c>
      <c r="L522" s="58" t="str">
        <f>작성용!N519</f>
        <v>년</v>
      </c>
      <c r="M522" s="57" t="str">
        <f>작성용!U519</f>
        <v>2024.09.30</v>
      </c>
      <c r="N522" s="57">
        <f>작성용!V519</f>
        <v>45611</v>
      </c>
      <c r="O522" s="57" t="str">
        <f>작성용!W519</f>
        <v>보고서제공X</v>
      </c>
      <c r="P522" s="57" t="str">
        <f>작성용!X519</f>
        <v>-</v>
      </c>
      <c r="Q522" s="58" t="str">
        <f>작성용!AD519</f>
        <v>신원준</v>
      </c>
      <c r="R522" s="60">
        <f>작성용!AE519</f>
        <v>0</v>
      </c>
      <c r="S522" s="58" t="str">
        <f>작성용!AF519</f>
        <v>백형진</v>
      </c>
      <c r="T522" s="61" t="str">
        <f>작성용!AG519</f>
        <v>-</v>
      </c>
      <c r="U522" s="61" t="str">
        <f>작성용!AH519</f>
        <v>-</v>
      </c>
      <c r="V522" s="56">
        <f>작성용!AA519</f>
        <v>202411</v>
      </c>
      <c r="W522" s="58" t="str">
        <f>작성용!AC519</f>
        <v>[6]기타기관펀드(기초자산)</v>
      </c>
      <c r="X522" s="58">
        <f>작성용!O519</f>
        <v>0</v>
      </c>
      <c r="Y522" s="58">
        <f>작성용!P519</f>
        <v>0</v>
      </c>
      <c r="Z522" s="58">
        <f>작성용!Q519</f>
        <v>0</v>
      </c>
      <c r="AA522" s="56" t="str">
        <f>작성용!AJ519</f>
        <v>-</v>
      </c>
      <c r="AB522" s="56">
        <f>작성용!AB519</f>
        <v>0</v>
      </c>
    </row>
    <row r="523" spans="1:28" s="12" customFormat="1" ht="16.5" hidden="1" customHeight="1" x14ac:dyDescent="0.3">
      <c r="A523" s="54">
        <f>작성용!AL520</f>
        <v>519</v>
      </c>
      <c r="B523" s="55" t="str">
        <f>작성용!AI520</f>
        <v>-</v>
      </c>
      <c r="C523" s="56" t="str">
        <f>작성용!AK520</f>
        <v>기초자산</v>
      </c>
      <c r="D523" s="57" t="str">
        <f>작성용!T520</f>
        <v>고려아연펀드(기초자산)</v>
      </c>
      <c r="E523" s="58" t="str">
        <f>작성용!B520</f>
        <v>아이엠엠살루스벤처펀드</v>
      </c>
      <c r="F523" s="58" t="str">
        <f>작성용!C520</f>
        <v>재평가</v>
      </c>
      <c r="G523" s="58" t="str">
        <f>작성용!D520</f>
        <v>리벨리온</v>
      </c>
      <c r="H523" s="59">
        <f>작성용!E520</f>
        <v>1311110596452</v>
      </c>
      <c r="I523" s="58" t="str">
        <f>작성용!F520</f>
        <v>A07</v>
      </c>
      <c r="J523" s="58">
        <f>작성용!G520</f>
        <v>0</v>
      </c>
      <c r="K523" s="58" t="str">
        <f>작성용!H520</f>
        <v>-</v>
      </c>
      <c r="L523" s="58" t="str">
        <f>작성용!N520</f>
        <v>년</v>
      </c>
      <c r="M523" s="57" t="str">
        <f>작성용!U520</f>
        <v>2024.09.30</v>
      </c>
      <c r="N523" s="57">
        <f>작성용!V520</f>
        <v>45611</v>
      </c>
      <c r="O523" s="57" t="str">
        <f>작성용!W520</f>
        <v>보고서제공X</v>
      </c>
      <c r="P523" s="57" t="str">
        <f>작성용!X520</f>
        <v>-</v>
      </c>
      <c r="Q523" s="58" t="str">
        <f>작성용!AD520</f>
        <v>이문수</v>
      </c>
      <c r="R523" s="60">
        <f>작성용!AE520</f>
        <v>0</v>
      </c>
      <c r="S523" s="58" t="str">
        <f>작성용!AF520</f>
        <v>이문수</v>
      </c>
      <c r="T523" s="61" t="str">
        <f>작성용!AG520</f>
        <v>-</v>
      </c>
      <c r="U523" s="61" t="str">
        <f>작성용!AH520</f>
        <v>-</v>
      </c>
      <c r="V523" s="56">
        <f>작성용!AA520</f>
        <v>202411</v>
      </c>
      <c r="W523" s="58" t="str">
        <f>작성용!AC520</f>
        <v>[6]기타기관펀드(기초자산)</v>
      </c>
      <c r="X523" s="58">
        <f>작성용!O520</f>
        <v>0</v>
      </c>
      <c r="Y523" s="58">
        <f>작성용!P520</f>
        <v>0</v>
      </c>
      <c r="Z523" s="58">
        <f>작성용!Q520</f>
        <v>0</v>
      </c>
      <c r="AA523" s="56" t="str">
        <f>작성용!AJ520</f>
        <v>-</v>
      </c>
      <c r="AB523" s="56">
        <f>작성용!AB520</f>
        <v>0</v>
      </c>
    </row>
    <row r="524" spans="1:28" s="12" customFormat="1" ht="16.5" hidden="1" customHeight="1" x14ac:dyDescent="0.3">
      <c r="A524" s="54">
        <f>작성용!AL521</f>
        <v>520</v>
      </c>
      <c r="B524" s="55" t="str">
        <f>작성용!AI521</f>
        <v>-</v>
      </c>
      <c r="C524" s="56" t="str">
        <f>작성용!AK521</f>
        <v>기초자산</v>
      </c>
      <c r="D524" s="57" t="str">
        <f>작성용!T521</f>
        <v>고려아연펀드(기초자산)</v>
      </c>
      <c r="E524" s="58" t="str">
        <f>작성용!B521</f>
        <v>아이엠엠살루스벤처펀드</v>
      </c>
      <c r="F524" s="58" t="str">
        <f>작성용!C521</f>
        <v>재평가</v>
      </c>
      <c r="G524" s="58" t="str">
        <f>작성용!D521</f>
        <v>Noom, Inc.</v>
      </c>
      <c r="H524" s="59" t="str">
        <f>작성용!E521</f>
        <v>KBP2016060408</v>
      </c>
      <c r="I524" s="58" t="str">
        <f>작성용!F521</f>
        <v>A01</v>
      </c>
      <c r="J524" s="58">
        <f>작성용!G521</f>
        <v>0</v>
      </c>
      <c r="K524" s="58" t="str">
        <f>작성용!H521</f>
        <v>-</v>
      </c>
      <c r="L524" s="58" t="str">
        <f>작성용!N521</f>
        <v>년</v>
      </c>
      <c r="M524" s="57" t="str">
        <f>작성용!U521</f>
        <v>2024.09.30</v>
      </c>
      <c r="N524" s="57">
        <f>작성용!V521</f>
        <v>45611</v>
      </c>
      <c r="O524" s="57" t="str">
        <f>작성용!W521</f>
        <v>보고서제공X</v>
      </c>
      <c r="P524" s="57" t="str">
        <f>작성용!X521</f>
        <v>-</v>
      </c>
      <c r="Q524" s="58" t="str">
        <f>작성용!AD521</f>
        <v>신원준</v>
      </c>
      <c r="R524" s="60">
        <f>작성용!AE521</f>
        <v>0</v>
      </c>
      <c r="S524" s="58" t="str">
        <f>작성용!AF521</f>
        <v>서수빈</v>
      </c>
      <c r="T524" s="61" t="str">
        <f>작성용!AG521</f>
        <v>-</v>
      </c>
      <c r="U524" s="61" t="str">
        <f>작성용!AH521</f>
        <v>-</v>
      </c>
      <c r="V524" s="56">
        <f>작성용!AA521</f>
        <v>202411</v>
      </c>
      <c r="W524" s="58" t="str">
        <f>작성용!AC521</f>
        <v>[6]기타기관펀드(기초자산)</v>
      </c>
      <c r="X524" s="58">
        <f>작성용!O521</f>
        <v>0</v>
      </c>
      <c r="Y524" s="58">
        <f>작성용!P521</f>
        <v>0</v>
      </c>
      <c r="Z524" s="58">
        <f>작성용!Q521</f>
        <v>0</v>
      </c>
      <c r="AA524" s="56" t="str">
        <f>작성용!AJ521</f>
        <v>-</v>
      </c>
      <c r="AB524" s="56">
        <f>작성용!AB521</f>
        <v>0</v>
      </c>
    </row>
    <row r="525" spans="1:28" s="12" customFormat="1" ht="16.5" hidden="1" customHeight="1" x14ac:dyDescent="0.3">
      <c r="A525" s="54">
        <f>작성용!AL522</f>
        <v>521</v>
      </c>
      <c r="B525" s="55" t="str">
        <f>작성용!AI522</f>
        <v>-</v>
      </c>
      <c r="C525" s="56" t="str">
        <f>작성용!AK522</f>
        <v>기초자산</v>
      </c>
      <c r="D525" s="57" t="str">
        <f>작성용!T522</f>
        <v>고려아연펀드(기초자산)</v>
      </c>
      <c r="E525" s="58" t="str">
        <f>작성용!B522</f>
        <v>아이엠엠살루스벤처펀드</v>
      </c>
      <c r="F525" s="58" t="str">
        <f>작성용!C522</f>
        <v>재평가</v>
      </c>
      <c r="G525" s="58" t="str">
        <f>작성용!D522</f>
        <v>GenEdit Inc</v>
      </c>
      <c r="H525" s="59" t="str">
        <f>작성용!E522</f>
        <v>KBP2020120172</v>
      </c>
      <c r="I525" s="58" t="str">
        <f>작성용!F522</f>
        <v>A05</v>
      </c>
      <c r="J525" s="58">
        <f>작성용!G522</f>
        <v>6</v>
      </c>
      <c r="K525" s="58" t="str">
        <f>작성용!H522</f>
        <v>-</v>
      </c>
      <c r="L525" s="58" t="str">
        <f>작성용!N522</f>
        <v>년</v>
      </c>
      <c r="M525" s="57" t="str">
        <f>작성용!U522</f>
        <v>2024.09.30</v>
      </c>
      <c r="N525" s="57">
        <f>작성용!V522</f>
        <v>45611</v>
      </c>
      <c r="O525" s="57" t="str">
        <f>작성용!W522</f>
        <v>보고서제공X</v>
      </c>
      <c r="P525" s="57" t="str">
        <f>작성용!X522</f>
        <v>-</v>
      </c>
      <c r="Q525" s="58" t="str">
        <f>작성용!AD522</f>
        <v>서동현</v>
      </c>
      <c r="R525" s="60">
        <f>작성용!AE522</f>
        <v>0.6</v>
      </c>
      <c r="S525" s="58" t="str">
        <f>작성용!AF522</f>
        <v>서동현</v>
      </c>
      <c r="T525" s="61" t="str">
        <f>작성용!AG522</f>
        <v>-</v>
      </c>
      <c r="U525" s="61" t="str">
        <f>작성용!AH522</f>
        <v>-</v>
      </c>
      <c r="V525" s="56">
        <f>작성용!AA522</f>
        <v>202411</v>
      </c>
      <c r="W525" s="58" t="str">
        <f>작성용!AC522</f>
        <v>[6]기타기관펀드(기초자산)</v>
      </c>
      <c r="X525" s="58">
        <f>작성용!O522</f>
        <v>0</v>
      </c>
      <c r="Y525" s="58">
        <f>작성용!P522</f>
        <v>0</v>
      </c>
      <c r="Z525" s="58">
        <f>작성용!Q522</f>
        <v>0</v>
      </c>
      <c r="AA525" s="56" t="str">
        <f>작성용!AJ522</f>
        <v>-</v>
      </c>
      <c r="AB525" s="56">
        <f>작성용!AB522</f>
        <v>0</v>
      </c>
    </row>
    <row r="526" spans="1:28" s="12" customFormat="1" ht="16.5" hidden="1" customHeight="1" x14ac:dyDescent="0.3">
      <c r="A526" s="54">
        <f>작성용!AL523</f>
        <v>522</v>
      </c>
      <c r="B526" s="55" t="str">
        <f>작성용!AI523</f>
        <v>-</v>
      </c>
      <c r="C526" s="56" t="str">
        <f>작성용!AK523</f>
        <v>기초자산</v>
      </c>
      <c r="D526" s="57" t="str">
        <f>작성용!T523</f>
        <v>고려아연펀드(기초자산)</v>
      </c>
      <c r="E526" s="58" t="str">
        <f>작성용!B523</f>
        <v>아이엠엠살루스벤처펀드</v>
      </c>
      <c r="F526" s="58" t="str">
        <f>작성용!C523</f>
        <v>재평가</v>
      </c>
      <c r="G526" s="58" t="str">
        <f>작성용!D523</f>
        <v>메디르</v>
      </c>
      <c r="H526" s="59">
        <f>작성용!E523</f>
        <v>1101117963641</v>
      </c>
      <c r="I526" s="58" t="str">
        <f>작성용!F523</f>
        <v>A07</v>
      </c>
      <c r="J526" s="58">
        <f>작성용!G523</f>
        <v>0</v>
      </c>
      <c r="K526" s="58" t="str">
        <f>작성용!H523</f>
        <v>-</v>
      </c>
      <c r="L526" s="58" t="str">
        <f>작성용!N523</f>
        <v>년</v>
      </c>
      <c r="M526" s="57" t="str">
        <f>작성용!U523</f>
        <v>2024.09.30</v>
      </c>
      <c r="N526" s="57">
        <f>작성용!V523</f>
        <v>45611</v>
      </c>
      <c r="O526" s="57" t="str">
        <f>작성용!W523</f>
        <v>보고서제공X</v>
      </c>
      <c r="P526" s="57" t="str">
        <f>작성용!X523</f>
        <v>-</v>
      </c>
      <c r="Q526" s="58" t="str">
        <f>작성용!AD523</f>
        <v>정재형</v>
      </c>
      <c r="R526" s="60">
        <f>작성용!AE523</f>
        <v>0</v>
      </c>
      <c r="S526" s="58" t="str">
        <f>작성용!AF523</f>
        <v>정재형</v>
      </c>
      <c r="T526" s="61" t="str">
        <f>작성용!AG523</f>
        <v>-</v>
      </c>
      <c r="U526" s="61" t="str">
        <f>작성용!AH523</f>
        <v>-</v>
      </c>
      <c r="V526" s="56">
        <f>작성용!AA523</f>
        <v>202411</v>
      </c>
      <c r="W526" s="58" t="str">
        <f>작성용!AC523</f>
        <v>[6]기타기관펀드(기초자산)</v>
      </c>
      <c r="X526" s="58">
        <f>작성용!O523</f>
        <v>0</v>
      </c>
      <c r="Y526" s="58">
        <f>작성용!P523</f>
        <v>0</v>
      </c>
      <c r="Z526" s="58">
        <f>작성용!Q523</f>
        <v>0</v>
      </c>
      <c r="AA526" s="56" t="str">
        <f>작성용!AJ523</f>
        <v>-</v>
      </c>
      <c r="AB526" s="56">
        <f>작성용!AB523</f>
        <v>0</v>
      </c>
    </row>
    <row r="527" spans="1:28" s="12" customFormat="1" ht="16.5" hidden="1" customHeight="1" x14ac:dyDescent="0.3">
      <c r="A527" s="54">
        <f>작성용!AL524</f>
        <v>523</v>
      </c>
      <c r="B527" s="55" t="str">
        <f>작성용!AI524</f>
        <v>-</v>
      </c>
      <c r="C527" s="56" t="str">
        <f>작성용!AK524</f>
        <v>기초자산</v>
      </c>
      <c r="D527" s="57" t="str">
        <f>작성용!T524</f>
        <v>고려아연펀드(기초자산)</v>
      </c>
      <c r="E527" s="58" t="str">
        <f>작성용!B524</f>
        <v>아이엠엠살루스벤처펀드</v>
      </c>
      <c r="F527" s="58" t="str">
        <f>작성용!C524</f>
        <v>재평가</v>
      </c>
      <c r="G527" s="58" t="str">
        <f>작성용!D524</f>
        <v>Neuroglee</v>
      </c>
      <c r="H527" s="59" t="str">
        <f>작성용!E524</f>
        <v>KBP2023120059</v>
      </c>
      <c r="I527" s="58" t="str">
        <f>작성용!F524</f>
        <v>D02</v>
      </c>
      <c r="J527" s="58">
        <f>작성용!G524</f>
        <v>0</v>
      </c>
      <c r="K527" s="58" t="str">
        <f>작성용!H524</f>
        <v>-</v>
      </c>
      <c r="L527" s="58" t="str">
        <f>작성용!N524</f>
        <v>년</v>
      </c>
      <c r="M527" s="57" t="str">
        <f>작성용!U524</f>
        <v>2024.09.30</v>
      </c>
      <c r="N527" s="57">
        <f>작성용!V524</f>
        <v>45611</v>
      </c>
      <c r="O527" s="57" t="str">
        <f>작성용!W524</f>
        <v>보고서제공X</v>
      </c>
      <c r="P527" s="57" t="str">
        <f>작성용!X524</f>
        <v>-</v>
      </c>
      <c r="Q527" s="58" t="str">
        <f>작성용!AD524</f>
        <v>심태진</v>
      </c>
      <c r="R527" s="60">
        <f>작성용!AE524</f>
        <v>0</v>
      </c>
      <c r="S527" s="58" t="str">
        <f>작성용!AF524</f>
        <v>심태진</v>
      </c>
      <c r="T527" s="61" t="str">
        <f>작성용!AG524</f>
        <v>-</v>
      </c>
      <c r="U527" s="61" t="str">
        <f>작성용!AH524</f>
        <v>-</v>
      </c>
      <c r="V527" s="56">
        <f>작성용!AA524</f>
        <v>202411</v>
      </c>
      <c r="W527" s="58" t="str">
        <f>작성용!AC524</f>
        <v>[6]기타기관펀드(기초자산)</v>
      </c>
      <c r="X527" s="58">
        <f>작성용!O524</f>
        <v>0</v>
      </c>
      <c r="Y527" s="58">
        <f>작성용!P524</f>
        <v>0</v>
      </c>
      <c r="Z527" s="58">
        <f>작성용!Q524</f>
        <v>0</v>
      </c>
      <c r="AA527" s="56" t="str">
        <f>작성용!AJ524</f>
        <v>-</v>
      </c>
      <c r="AB527" s="56">
        <f>작성용!AB524</f>
        <v>0</v>
      </c>
    </row>
    <row r="528" spans="1:28" s="12" customFormat="1" ht="16.5" hidden="1" customHeight="1" x14ac:dyDescent="0.3">
      <c r="A528" s="54">
        <f>작성용!AL525</f>
        <v>524</v>
      </c>
      <c r="B528" s="55" t="str">
        <f>작성용!AI525</f>
        <v>-</v>
      </c>
      <c r="C528" s="56" t="str">
        <f>작성용!AK525</f>
        <v>기초자산</v>
      </c>
      <c r="D528" s="57" t="str">
        <f>작성용!T525</f>
        <v>고려아연펀드(기초자산)</v>
      </c>
      <c r="E528" s="58" t="str">
        <f>작성용!B525</f>
        <v>아이엠엠살루스벤처펀드</v>
      </c>
      <c r="F528" s="58" t="str">
        <f>작성용!C525</f>
        <v>재평가</v>
      </c>
      <c r="G528" s="58" t="str">
        <f>작성용!D525</f>
        <v>피노바이오(구,바이오네틱스)</v>
      </c>
      <c r="H528" s="59">
        <f>작성용!E525</f>
        <v>1601110447824</v>
      </c>
      <c r="I528" s="58" t="str">
        <f>작성용!F525</f>
        <v>A01</v>
      </c>
      <c r="J528" s="58">
        <f>작성용!G525</f>
        <v>0</v>
      </c>
      <c r="K528" s="58" t="str">
        <f>작성용!H525</f>
        <v>-</v>
      </c>
      <c r="L528" s="58" t="str">
        <f>작성용!N525</f>
        <v>년</v>
      </c>
      <c r="M528" s="57" t="str">
        <f>작성용!U525</f>
        <v>2024.09.30</v>
      </c>
      <c r="N528" s="57">
        <f>작성용!V525</f>
        <v>45611</v>
      </c>
      <c r="O528" s="57" t="str">
        <f>작성용!W525</f>
        <v>보고서제공X</v>
      </c>
      <c r="P528" s="57" t="str">
        <f>작성용!X525</f>
        <v>-</v>
      </c>
      <c r="Q528" s="58" t="str">
        <f>작성용!AD525</f>
        <v>이현승</v>
      </c>
      <c r="R528" s="60">
        <f>작성용!AE525</f>
        <v>0.6</v>
      </c>
      <c r="S528" s="58" t="str">
        <f>작성용!AF525</f>
        <v>이현승</v>
      </c>
      <c r="T528" s="61" t="str">
        <f>작성용!AG525</f>
        <v>-</v>
      </c>
      <c r="U528" s="61" t="str">
        <f>작성용!AH525</f>
        <v>-</v>
      </c>
      <c r="V528" s="56">
        <f>작성용!AA525</f>
        <v>202411</v>
      </c>
      <c r="W528" s="58" t="str">
        <f>작성용!AC525</f>
        <v>[6]기타기관펀드(기초자산)</v>
      </c>
      <c r="X528" s="58">
        <f>작성용!O525</f>
        <v>0</v>
      </c>
      <c r="Y528" s="58">
        <f>작성용!P525</f>
        <v>0</v>
      </c>
      <c r="Z528" s="58">
        <f>작성용!Q525</f>
        <v>0</v>
      </c>
      <c r="AA528" s="56" t="str">
        <f>작성용!AJ525</f>
        <v>-</v>
      </c>
      <c r="AB528" s="56">
        <f>작성용!AB525</f>
        <v>0</v>
      </c>
    </row>
    <row r="529" spans="1:28" s="12" customFormat="1" ht="16.5" hidden="1" customHeight="1" x14ac:dyDescent="0.3">
      <c r="A529" s="54">
        <f>작성용!AL526</f>
        <v>525</v>
      </c>
      <c r="B529" s="55" t="str">
        <f>작성용!AI526</f>
        <v>-</v>
      </c>
      <c r="C529" s="56" t="str">
        <f>작성용!AK526</f>
        <v>기초자산</v>
      </c>
      <c r="D529" s="57" t="str">
        <f>작성용!T526</f>
        <v>고려아연펀드(기초자산)</v>
      </c>
      <c r="E529" s="58" t="str">
        <f>작성용!B526</f>
        <v>아이엠엠살루스벤처펀드</v>
      </c>
      <c r="F529" s="58" t="str">
        <f>작성용!C526</f>
        <v>재평가</v>
      </c>
      <c r="G529" s="58" t="str">
        <f>작성용!D526</f>
        <v>팀블랙버드</v>
      </c>
      <c r="H529" s="59">
        <f>작성용!E526</f>
        <v>1101116880151</v>
      </c>
      <c r="I529" s="58" t="str">
        <f>작성용!F526</f>
        <v>A05</v>
      </c>
      <c r="J529" s="58">
        <f>작성용!G526</f>
        <v>0</v>
      </c>
      <c r="K529" s="58" t="str">
        <f>작성용!H526</f>
        <v>-</v>
      </c>
      <c r="L529" s="58" t="str">
        <f>작성용!N526</f>
        <v>년</v>
      </c>
      <c r="M529" s="57" t="str">
        <f>작성용!U526</f>
        <v>2024.09.30</v>
      </c>
      <c r="N529" s="57">
        <f>작성용!V526</f>
        <v>45611</v>
      </c>
      <c r="O529" s="57" t="str">
        <f>작성용!W526</f>
        <v>보고서제공X</v>
      </c>
      <c r="P529" s="57" t="str">
        <f>작성용!X526</f>
        <v>-</v>
      </c>
      <c r="Q529" s="58" t="str">
        <f>작성용!AD526</f>
        <v>정은채</v>
      </c>
      <c r="R529" s="60">
        <f>작성용!AE526</f>
        <v>0</v>
      </c>
      <c r="S529" s="58" t="str">
        <f>작성용!AF526</f>
        <v>정은채</v>
      </c>
      <c r="T529" s="61" t="str">
        <f>작성용!AG526</f>
        <v>-</v>
      </c>
      <c r="U529" s="61" t="str">
        <f>작성용!AH526</f>
        <v>-</v>
      </c>
      <c r="V529" s="56">
        <f>작성용!AA526</f>
        <v>202411</v>
      </c>
      <c r="W529" s="58" t="str">
        <f>작성용!AC526</f>
        <v>[6]기타기관펀드(기초자산)</v>
      </c>
      <c r="X529" s="58">
        <f>작성용!O526</f>
        <v>0</v>
      </c>
      <c r="Y529" s="58">
        <f>작성용!P526</f>
        <v>0</v>
      </c>
      <c r="Z529" s="58">
        <f>작성용!Q526</f>
        <v>0</v>
      </c>
      <c r="AA529" s="56" t="str">
        <f>작성용!AJ526</f>
        <v>-</v>
      </c>
      <c r="AB529" s="56">
        <f>작성용!AB526</f>
        <v>0</v>
      </c>
    </row>
    <row r="530" spans="1:28" s="12" customFormat="1" ht="16.5" hidden="1" customHeight="1" x14ac:dyDescent="0.3">
      <c r="A530" s="54">
        <f>작성용!AL527</f>
        <v>526</v>
      </c>
      <c r="B530" s="55" t="str">
        <f>작성용!AI527</f>
        <v>-</v>
      </c>
      <c r="C530" s="56" t="str">
        <f>작성용!AK527</f>
        <v>기초자산</v>
      </c>
      <c r="D530" s="57" t="str">
        <f>작성용!T527</f>
        <v>고려아연펀드(기초자산)</v>
      </c>
      <c r="E530" s="58" t="str">
        <f>작성용!B527</f>
        <v>아이엠엠살루스벤처펀드</v>
      </c>
      <c r="F530" s="58" t="str">
        <f>작성용!C527</f>
        <v>재평가</v>
      </c>
      <c r="G530" s="58" t="str">
        <f>작성용!D527</f>
        <v>휴톰</v>
      </c>
      <c r="H530" s="59">
        <f>작성용!E527</f>
        <v>1101116401684</v>
      </c>
      <c r="I530" s="58" t="str">
        <f>작성용!F527</f>
        <v>A01</v>
      </c>
      <c r="J530" s="58">
        <f>작성용!G527</f>
        <v>0</v>
      </c>
      <c r="K530" s="58" t="str">
        <f>작성용!H527</f>
        <v>-</v>
      </c>
      <c r="L530" s="58" t="str">
        <f>작성용!N527</f>
        <v>년</v>
      </c>
      <c r="M530" s="57" t="str">
        <f>작성용!U527</f>
        <v>2024.09.30</v>
      </c>
      <c r="N530" s="57">
        <f>작성용!V527</f>
        <v>45611</v>
      </c>
      <c r="O530" s="57" t="str">
        <f>작성용!W527</f>
        <v>보고서제공X</v>
      </c>
      <c r="P530" s="57" t="str">
        <f>작성용!X527</f>
        <v>-</v>
      </c>
      <c r="Q530" s="58" t="str">
        <f>작성용!AD527</f>
        <v>김수현</v>
      </c>
      <c r="R530" s="60">
        <f>작성용!AE527</f>
        <v>0</v>
      </c>
      <c r="S530" s="58" t="str">
        <f>작성용!AF527</f>
        <v>김수현</v>
      </c>
      <c r="T530" s="61" t="str">
        <f>작성용!AG527</f>
        <v>-</v>
      </c>
      <c r="U530" s="61" t="str">
        <f>작성용!AH527</f>
        <v>-</v>
      </c>
      <c r="V530" s="56">
        <f>작성용!AA527</f>
        <v>202411</v>
      </c>
      <c r="W530" s="58" t="str">
        <f>작성용!AC527</f>
        <v>[6]기타기관펀드(기초자산)</v>
      </c>
      <c r="X530" s="58">
        <f>작성용!O527</f>
        <v>0</v>
      </c>
      <c r="Y530" s="58">
        <f>작성용!P527</f>
        <v>0</v>
      </c>
      <c r="Z530" s="58">
        <f>작성용!Q527</f>
        <v>0</v>
      </c>
      <c r="AA530" s="56" t="str">
        <f>작성용!AJ527</f>
        <v>-</v>
      </c>
      <c r="AB530" s="56">
        <f>작성용!AB527</f>
        <v>0</v>
      </c>
    </row>
    <row r="531" spans="1:28" s="12" customFormat="1" ht="16.5" hidden="1" customHeight="1" x14ac:dyDescent="0.3">
      <c r="A531" s="54">
        <f>작성용!AL528</f>
        <v>527</v>
      </c>
      <c r="B531" s="55" t="str">
        <f>작성용!AI528</f>
        <v>-</v>
      </c>
      <c r="C531" s="56" t="str">
        <f>작성용!AK528</f>
        <v>기초자산</v>
      </c>
      <c r="D531" s="57" t="str">
        <f>작성용!T528</f>
        <v>고려아연펀드(기초자산)</v>
      </c>
      <c r="E531" s="58" t="str">
        <f>작성용!B528</f>
        <v>아이엠엠살루스벤처펀드</v>
      </c>
      <c r="F531" s="58" t="str">
        <f>작성용!C528</f>
        <v>재평가</v>
      </c>
      <c r="G531" s="58" t="str">
        <f>작성용!D528</f>
        <v>루닛케어</v>
      </c>
      <c r="H531" s="59">
        <f>작성용!E528</f>
        <v>1101118452445</v>
      </c>
      <c r="I531" s="58" t="str">
        <f>작성용!F528</f>
        <v>A05</v>
      </c>
      <c r="J531" s="58">
        <f>작성용!G528</f>
        <v>0</v>
      </c>
      <c r="K531" s="58" t="str">
        <f>작성용!H528</f>
        <v>-</v>
      </c>
      <c r="L531" s="58" t="str">
        <f>작성용!N528</f>
        <v>년</v>
      </c>
      <c r="M531" s="57" t="str">
        <f>작성용!U528</f>
        <v>2024.09.30</v>
      </c>
      <c r="N531" s="57">
        <f>작성용!V528</f>
        <v>45611</v>
      </c>
      <c r="O531" s="57" t="str">
        <f>작성용!W528</f>
        <v>보고서제공X</v>
      </c>
      <c r="P531" s="57" t="str">
        <f>작성용!X528</f>
        <v>-</v>
      </c>
      <c r="Q531" s="58" t="str">
        <f>작성용!AD528</f>
        <v>채동우</v>
      </c>
      <c r="R531" s="60">
        <f>작성용!AE528</f>
        <v>0</v>
      </c>
      <c r="S531" s="58" t="str">
        <f>작성용!AF528</f>
        <v>채동우</v>
      </c>
      <c r="T531" s="61" t="str">
        <f>작성용!AG528</f>
        <v>-</v>
      </c>
      <c r="U531" s="61" t="str">
        <f>작성용!AH528</f>
        <v>-</v>
      </c>
      <c r="V531" s="56">
        <f>작성용!AA528</f>
        <v>202411</v>
      </c>
      <c r="W531" s="58" t="str">
        <f>작성용!AC528</f>
        <v>[6]기타기관펀드(기초자산)</v>
      </c>
      <c r="X531" s="58">
        <f>작성용!O528</f>
        <v>0</v>
      </c>
      <c r="Y531" s="58">
        <f>작성용!P528</f>
        <v>0</v>
      </c>
      <c r="Z531" s="58">
        <f>작성용!Q528</f>
        <v>0</v>
      </c>
      <c r="AA531" s="56" t="str">
        <f>작성용!AJ528</f>
        <v>-</v>
      </c>
      <c r="AB531" s="56">
        <f>작성용!AB528</f>
        <v>0</v>
      </c>
    </row>
    <row r="532" spans="1:28" s="12" customFormat="1" ht="16.5" hidden="1" customHeight="1" x14ac:dyDescent="0.3">
      <c r="A532" s="54">
        <f>작성용!AL529</f>
        <v>528</v>
      </c>
      <c r="B532" s="55" t="str">
        <f>작성용!AI529</f>
        <v>-</v>
      </c>
      <c r="C532" s="56" t="str">
        <f>작성용!AK529</f>
        <v>기초자산</v>
      </c>
      <c r="D532" s="57" t="str">
        <f>작성용!T529</f>
        <v>고려아연펀드(기초자산)</v>
      </c>
      <c r="E532" s="58" t="str">
        <f>작성용!B529</f>
        <v>아이엠엠살루스벤처펀드</v>
      </c>
      <c r="F532" s="58" t="str">
        <f>작성용!C529</f>
        <v>재평가</v>
      </c>
      <c r="G532" s="58" t="str">
        <f>작성용!D529</f>
        <v>MangoBoost, Inc.</v>
      </c>
      <c r="H532" s="59" t="str">
        <f>작성용!E529</f>
        <v>KBP2023120060</v>
      </c>
      <c r="I532" s="58" t="str">
        <f>작성용!F529</f>
        <v>A05</v>
      </c>
      <c r="J532" s="58">
        <f>작성용!G529</f>
        <v>0</v>
      </c>
      <c r="K532" s="58" t="str">
        <f>작성용!H529</f>
        <v>-</v>
      </c>
      <c r="L532" s="58" t="str">
        <f>작성용!N529</f>
        <v>년</v>
      </c>
      <c r="M532" s="57" t="str">
        <f>작성용!U529</f>
        <v>2024.09.30</v>
      </c>
      <c r="N532" s="57">
        <f>작성용!V529</f>
        <v>45611</v>
      </c>
      <c r="O532" s="57" t="str">
        <f>작성용!W529</f>
        <v>보고서제공X</v>
      </c>
      <c r="P532" s="57" t="str">
        <f>작성용!X529</f>
        <v>-</v>
      </c>
      <c r="Q532" s="58" t="str">
        <f>작성용!AD529</f>
        <v>백형진</v>
      </c>
      <c r="R532" s="60">
        <f>작성용!AE529</f>
        <v>0</v>
      </c>
      <c r="S532" s="58" t="str">
        <f>작성용!AF529</f>
        <v>백형진</v>
      </c>
      <c r="T532" s="61" t="str">
        <f>작성용!AG529</f>
        <v>-</v>
      </c>
      <c r="U532" s="61" t="str">
        <f>작성용!AH529</f>
        <v>-</v>
      </c>
      <c r="V532" s="56">
        <f>작성용!AA529</f>
        <v>202411</v>
      </c>
      <c r="W532" s="58" t="str">
        <f>작성용!AC529</f>
        <v>[6]기타기관펀드(기초자산)</v>
      </c>
      <c r="X532" s="58">
        <f>작성용!O529</f>
        <v>0</v>
      </c>
      <c r="Y532" s="58">
        <f>작성용!P529</f>
        <v>0</v>
      </c>
      <c r="Z532" s="58">
        <f>작성용!Q529</f>
        <v>0</v>
      </c>
      <c r="AA532" s="56" t="str">
        <f>작성용!AJ529</f>
        <v>-</v>
      </c>
      <c r="AB532" s="56">
        <f>작성용!AB529</f>
        <v>0</v>
      </c>
    </row>
    <row r="533" spans="1:28" s="12" customFormat="1" ht="16.5" hidden="1" customHeight="1" x14ac:dyDescent="0.3">
      <c r="A533" s="54">
        <f>작성용!AL530</f>
        <v>529</v>
      </c>
      <c r="B533" s="55" t="str">
        <f>작성용!AI530</f>
        <v>-</v>
      </c>
      <c r="C533" s="56" t="str">
        <f>작성용!AK530</f>
        <v>기초자산</v>
      </c>
      <c r="D533" s="57" t="str">
        <f>작성용!T530</f>
        <v>고려아연펀드(기초자산)</v>
      </c>
      <c r="E533" s="58" t="str">
        <f>작성용!B530</f>
        <v>티비티글로벌성장제3호투자조합</v>
      </c>
      <c r="F533" s="58" t="str">
        <f>작성용!C530</f>
        <v>재평가</v>
      </c>
      <c r="G533" s="58" t="str">
        <f>작성용!D530</f>
        <v>브이투브이</v>
      </c>
      <c r="H533" s="59">
        <f>작성용!E530</f>
        <v>1101117852026</v>
      </c>
      <c r="I533" s="58" t="str">
        <f>작성용!F530</f>
        <v>A07</v>
      </c>
      <c r="J533" s="58">
        <f>작성용!G530</f>
        <v>0</v>
      </c>
      <c r="K533" s="58" t="str">
        <f>작성용!H530</f>
        <v>-</v>
      </c>
      <c r="L533" s="58" t="str">
        <f>작성용!N530</f>
        <v>년</v>
      </c>
      <c r="M533" s="57" t="str">
        <f>작성용!U530</f>
        <v>2024.09.30</v>
      </c>
      <c r="N533" s="57">
        <f>작성용!V530</f>
        <v>45611</v>
      </c>
      <c r="O533" s="57" t="str">
        <f>작성용!W530</f>
        <v>보고서제공X</v>
      </c>
      <c r="P533" s="57" t="str">
        <f>작성용!X530</f>
        <v>-</v>
      </c>
      <c r="Q533" s="58" t="str">
        <f>작성용!AD530</f>
        <v>백형진</v>
      </c>
      <c r="R533" s="60">
        <f>작성용!AE530</f>
        <v>0</v>
      </c>
      <c r="S533" s="58" t="str">
        <f>작성용!AF530</f>
        <v>백형진</v>
      </c>
      <c r="T533" s="61" t="str">
        <f>작성용!AG530</f>
        <v>-</v>
      </c>
      <c r="U533" s="61" t="str">
        <f>작성용!AH530</f>
        <v>-</v>
      </c>
      <c r="V533" s="56">
        <f>작성용!AA530</f>
        <v>202411</v>
      </c>
      <c r="W533" s="58" t="str">
        <f>작성용!AC530</f>
        <v>[6]기타기관펀드(기초자산)</v>
      </c>
      <c r="X533" s="58">
        <f>작성용!O530</f>
        <v>0</v>
      </c>
      <c r="Y533" s="58">
        <f>작성용!P530</f>
        <v>0</v>
      </c>
      <c r="Z533" s="58">
        <f>작성용!Q530</f>
        <v>0</v>
      </c>
      <c r="AA533" s="56" t="str">
        <f>작성용!AJ530</f>
        <v>-</v>
      </c>
      <c r="AB533" s="56">
        <f>작성용!AB530</f>
        <v>0</v>
      </c>
    </row>
    <row r="534" spans="1:28" s="12" customFormat="1" ht="16.5" hidden="1" customHeight="1" x14ac:dyDescent="0.3">
      <c r="A534" s="54">
        <f>작성용!AL531</f>
        <v>530</v>
      </c>
      <c r="B534" s="55" t="str">
        <f>작성용!AI531</f>
        <v>-</v>
      </c>
      <c r="C534" s="56" t="str">
        <f>작성용!AK531</f>
        <v>기초자산</v>
      </c>
      <c r="D534" s="57" t="str">
        <f>작성용!T531</f>
        <v>고려아연펀드(기초자산)</v>
      </c>
      <c r="E534" s="58" t="str">
        <f>작성용!B531</f>
        <v>티비티글로벌성장제3호투자조합</v>
      </c>
      <c r="F534" s="58" t="str">
        <f>작성용!C531</f>
        <v>재평가</v>
      </c>
      <c r="G534" s="58" t="str">
        <f>작성용!D531</f>
        <v>센트비</v>
      </c>
      <c r="H534" s="59">
        <f>작성용!E531</f>
        <v>1101115845221</v>
      </c>
      <c r="I534" s="58" t="str">
        <f>작성용!F531</f>
        <v>A07</v>
      </c>
      <c r="J534" s="58">
        <f>작성용!G531</f>
        <v>0</v>
      </c>
      <c r="K534" s="58" t="str">
        <f>작성용!H531</f>
        <v>-</v>
      </c>
      <c r="L534" s="58" t="str">
        <f>작성용!N531</f>
        <v>년</v>
      </c>
      <c r="M534" s="57" t="str">
        <f>작성용!U531</f>
        <v>2024.09.30</v>
      </c>
      <c r="N534" s="57">
        <f>작성용!V531</f>
        <v>45611</v>
      </c>
      <c r="O534" s="57" t="str">
        <f>작성용!W531</f>
        <v>보고서제공X</v>
      </c>
      <c r="P534" s="57" t="str">
        <f>작성용!X531</f>
        <v>-</v>
      </c>
      <c r="Q534" s="58" t="str">
        <f>작성용!AD531</f>
        <v>김예림</v>
      </c>
      <c r="R534" s="60">
        <f>작성용!AE531</f>
        <v>0</v>
      </c>
      <c r="S534" s="58" t="str">
        <f>작성용!AF531</f>
        <v>김예림</v>
      </c>
      <c r="T534" s="61" t="str">
        <f>작성용!AG531</f>
        <v>-</v>
      </c>
      <c r="U534" s="61" t="str">
        <f>작성용!AH531</f>
        <v>-</v>
      </c>
      <c r="V534" s="56">
        <f>작성용!AA531</f>
        <v>202411</v>
      </c>
      <c r="W534" s="58" t="str">
        <f>작성용!AC531</f>
        <v>[6]기타기관펀드(기초자산)</v>
      </c>
      <c r="X534" s="58">
        <f>작성용!O531</f>
        <v>0</v>
      </c>
      <c r="Y534" s="58">
        <f>작성용!P531</f>
        <v>0</v>
      </c>
      <c r="Z534" s="58">
        <f>작성용!Q531</f>
        <v>0</v>
      </c>
      <c r="AA534" s="56" t="str">
        <f>작성용!AJ531</f>
        <v>-</v>
      </c>
      <c r="AB534" s="56">
        <f>작성용!AB531</f>
        <v>0</v>
      </c>
    </row>
    <row r="535" spans="1:28" s="12" customFormat="1" ht="16.5" hidden="1" customHeight="1" x14ac:dyDescent="0.3">
      <c r="A535" s="54">
        <f>작성용!AL532</f>
        <v>531</v>
      </c>
      <c r="B535" s="55" t="str">
        <f>작성용!AI532</f>
        <v>-</v>
      </c>
      <c r="C535" s="56" t="str">
        <f>작성용!AK532</f>
        <v>기초자산</v>
      </c>
      <c r="D535" s="57" t="str">
        <f>작성용!T532</f>
        <v>고려아연펀드(기초자산)</v>
      </c>
      <c r="E535" s="58" t="str">
        <f>작성용!B532</f>
        <v>티비티글로벌성장제3호투자조합</v>
      </c>
      <c r="F535" s="58" t="str">
        <f>작성용!C532</f>
        <v>재평가</v>
      </c>
      <c r="G535" s="58" t="str">
        <f>작성용!D532</f>
        <v>디에스알브이랩스</v>
      </c>
      <c r="H535" s="59">
        <f>작성용!E532</f>
        <v>1101117233739</v>
      </c>
      <c r="I535" s="58" t="str">
        <f>작성용!F532</f>
        <v>A05</v>
      </c>
      <c r="J535" s="58">
        <f>작성용!G532</f>
        <v>0</v>
      </c>
      <c r="K535" s="58" t="str">
        <f>작성용!H532</f>
        <v>-</v>
      </c>
      <c r="L535" s="58" t="str">
        <f>작성용!N532</f>
        <v>년</v>
      </c>
      <c r="M535" s="57" t="str">
        <f>작성용!U532</f>
        <v>2024.09.30</v>
      </c>
      <c r="N535" s="57">
        <f>작성용!V532</f>
        <v>45611</v>
      </c>
      <c r="O535" s="57" t="str">
        <f>작성용!W532</f>
        <v>보고서제공X</v>
      </c>
      <c r="P535" s="57" t="str">
        <f>작성용!X532</f>
        <v>-</v>
      </c>
      <c r="Q535" s="58" t="str">
        <f>작성용!AD532</f>
        <v>윤광일</v>
      </c>
      <c r="R535" s="60">
        <f>작성용!AE532</f>
        <v>0</v>
      </c>
      <c r="S535" s="58" t="str">
        <f>작성용!AF532</f>
        <v>서수빈</v>
      </c>
      <c r="T535" s="61" t="str">
        <f>작성용!AG532</f>
        <v>-</v>
      </c>
      <c r="U535" s="61" t="str">
        <f>작성용!AH532</f>
        <v>-</v>
      </c>
      <c r="V535" s="56">
        <f>작성용!AA532</f>
        <v>202411</v>
      </c>
      <c r="W535" s="58" t="str">
        <f>작성용!AC532</f>
        <v>[6]기타기관펀드(기초자산)</v>
      </c>
      <c r="X535" s="58">
        <f>작성용!O532</f>
        <v>0</v>
      </c>
      <c r="Y535" s="58">
        <f>작성용!P532</f>
        <v>0</v>
      </c>
      <c r="Z535" s="58">
        <f>작성용!Q532</f>
        <v>0</v>
      </c>
      <c r="AA535" s="56" t="str">
        <f>작성용!AJ532</f>
        <v>-</v>
      </c>
      <c r="AB535" s="56">
        <f>작성용!AB532</f>
        <v>0</v>
      </c>
    </row>
    <row r="536" spans="1:28" s="12" customFormat="1" ht="16.5" hidden="1" customHeight="1" x14ac:dyDescent="0.3">
      <c r="A536" s="54">
        <f>작성용!AL533</f>
        <v>532</v>
      </c>
      <c r="B536" s="55" t="str">
        <f>작성용!AI533</f>
        <v>-</v>
      </c>
      <c r="C536" s="56" t="str">
        <f>작성용!AK533</f>
        <v>기초자산</v>
      </c>
      <c r="D536" s="57" t="str">
        <f>작성용!T533</f>
        <v>고려아연펀드(기초자산)</v>
      </c>
      <c r="E536" s="58" t="str">
        <f>작성용!B533</f>
        <v>티비티글로벌성장제3호투자조합</v>
      </c>
      <c r="F536" s="58" t="str">
        <f>작성용!C533</f>
        <v>재평가</v>
      </c>
      <c r="G536" s="58" t="str">
        <f>작성용!D533</f>
        <v>인티그레이션</v>
      </c>
      <c r="H536" s="59">
        <f>작성용!E533</f>
        <v>1101116997617</v>
      </c>
      <c r="I536" s="58" t="str">
        <f>작성용!F533</f>
        <v>A07</v>
      </c>
      <c r="J536" s="58">
        <f>작성용!G533</f>
        <v>0</v>
      </c>
      <c r="K536" s="58" t="str">
        <f>작성용!H533</f>
        <v>-</v>
      </c>
      <c r="L536" s="58" t="str">
        <f>작성용!N533</f>
        <v>년</v>
      </c>
      <c r="M536" s="57" t="str">
        <f>작성용!U533</f>
        <v>2024.09.30</v>
      </c>
      <c r="N536" s="57">
        <f>작성용!V533</f>
        <v>45611</v>
      </c>
      <c r="O536" s="57" t="str">
        <f>작성용!W533</f>
        <v>보고서제공X</v>
      </c>
      <c r="P536" s="57" t="str">
        <f>작성용!X533</f>
        <v>-</v>
      </c>
      <c r="Q536" s="58" t="str">
        <f>작성용!AD533</f>
        <v>채동우</v>
      </c>
      <c r="R536" s="60">
        <f>작성용!AE533</f>
        <v>0</v>
      </c>
      <c r="S536" s="58" t="str">
        <f>작성용!AF533</f>
        <v>채동우</v>
      </c>
      <c r="T536" s="61" t="str">
        <f>작성용!AG533</f>
        <v>-</v>
      </c>
      <c r="U536" s="61" t="str">
        <f>작성용!AH533</f>
        <v>-</v>
      </c>
      <c r="V536" s="56">
        <f>작성용!AA533</f>
        <v>202411</v>
      </c>
      <c r="W536" s="58" t="str">
        <f>작성용!AC533</f>
        <v>[6]기타기관펀드(기초자산)</v>
      </c>
      <c r="X536" s="58">
        <f>작성용!O533</f>
        <v>0</v>
      </c>
      <c r="Y536" s="58">
        <f>작성용!P533</f>
        <v>0</v>
      </c>
      <c r="Z536" s="58">
        <f>작성용!Q533</f>
        <v>0</v>
      </c>
      <c r="AA536" s="56" t="str">
        <f>작성용!AJ533</f>
        <v>-</v>
      </c>
      <c r="AB536" s="56">
        <f>작성용!AB533</f>
        <v>0</v>
      </c>
    </row>
    <row r="537" spans="1:28" s="12" customFormat="1" ht="16.5" hidden="1" customHeight="1" x14ac:dyDescent="0.3">
      <c r="A537" s="54">
        <f>작성용!AL534</f>
        <v>533</v>
      </c>
      <c r="B537" s="55" t="str">
        <f>작성용!AI534</f>
        <v>-</v>
      </c>
      <c r="C537" s="56" t="str">
        <f>작성용!AK534</f>
        <v>기초자산</v>
      </c>
      <c r="D537" s="57" t="str">
        <f>작성용!T534</f>
        <v>고려아연펀드(기초자산)</v>
      </c>
      <c r="E537" s="58" t="str">
        <f>작성용!B534</f>
        <v>티비티글로벌성장제3호투자조합</v>
      </c>
      <c r="F537" s="58" t="str">
        <f>작성용!C534</f>
        <v>재평가</v>
      </c>
      <c r="G537" s="58" t="str">
        <f>작성용!D534</f>
        <v>키햐</v>
      </c>
      <c r="H537" s="59">
        <f>작성용!E534</f>
        <v>1101118272108</v>
      </c>
      <c r="I537" s="58" t="str">
        <f>작성용!F534</f>
        <v>A07</v>
      </c>
      <c r="J537" s="58">
        <f>작성용!G534</f>
        <v>0</v>
      </c>
      <c r="K537" s="58" t="str">
        <f>작성용!H534</f>
        <v>-</v>
      </c>
      <c r="L537" s="58" t="str">
        <f>작성용!N534</f>
        <v>년</v>
      </c>
      <c r="M537" s="57" t="str">
        <f>작성용!U534</f>
        <v>2024.09.30</v>
      </c>
      <c r="N537" s="57">
        <f>작성용!V534</f>
        <v>45611</v>
      </c>
      <c r="O537" s="57" t="str">
        <f>작성용!W534</f>
        <v>보고서제공X</v>
      </c>
      <c r="P537" s="57" t="str">
        <f>작성용!X534</f>
        <v>-</v>
      </c>
      <c r="Q537" s="58" t="str">
        <f>작성용!AD534</f>
        <v>심태진</v>
      </c>
      <c r="R537" s="60">
        <f>작성용!AE534</f>
        <v>0</v>
      </c>
      <c r="S537" s="58" t="str">
        <f>작성용!AF534</f>
        <v>심태진</v>
      </c>
      <c r="T537" s="61" t="str">
        <f>작성용!AG534</f>
        <v>-</v>
      </c>
      <c r="U537" s="61" t="str">
        <f>작성용!AH534</f>
        <v>-</v>
      </c>
      <c r="V537" s="56">
        <f>작성용!AA534</f>
        <v>202411</v>
      </c>
      <c r="W537" s="58" t="str">
        <f>작성용!AC534</f>
        <v>[6]기타기관펀드(기초자산)</v>
      </c>
      <c r="X537" s="58">
        <f>작성용!O534</f>
        <v>0</v>
      </c>
      <c r="Y537" s="58">
        <f>작성용!P534</f>
        <v>0</v>
      </c>
      <c r="Z537" s="58">
        <f>작성용!Q534</f>
        <v>0</v>
      </c>
      <c r="AA537" s="56" t="str">
        <f>작성용!AJ534</f>
        <v>-</v>
      </c>
      <c r="AB537" s="56">
        <f>작성용!AB534</f>
        <v>0</v>
      </c>
    </row>
    <row r="538" spans="1:28" s="12" customFormat="1" ht="16.5" hidden="1" customHeight="1" x14ac:dyDescent="0.3">
      <c r="A538" s="54">
        <f>작성용!AL535</f>
        <v>534</v>
      </c>
      <c r="B538" s="55" t="str">
        <f>작성용!AI535</f>
        <v>-</v>
      </c>
      <c r="C538" s="56" t="str">
        <f>작성용!AK535</f>
        <v>기초자산</v>
      </c>
      <c r="D538" s="57" t="str">
        <f>작성용!T535</f>
        <v>고려아연펀드(기초자산)</v>
      </c>
      <c r="E538" s="58" t="str">
        <f>작성용!B535</f>
        <v>티비티글로벌성장제3호투자조합</v>
      </c>
      <c r="F538" s="58" t="str">
        <f>작성용!C535</f>
        <v>재평가</v>
      </c>
      <c r="G538" s="58" t="str">
        <f>작성용!D535</f>
        <v>에이치티비욘드</v>
      </c>
      <c r="H538" s="59">
        <f>작성용!E535</f>
        <v>1101115886275</v>
      </c>
      <c r="I538" s="58" t="str">
        <f>작성용!F535</f>
        <v>A01</v>
      </c>
      <c r="J538" s="58">
        <f>작성용!G535</f>
        <v>0</v>
      </c>
      <c r="K538" s="58" t="str">
        <f>작성용!H535</f>
        <v>-</v>
      </c>
      <c r="L538" s="58" t="str">
        <f>작성용!N535</f>
        <v>년</v>
      </c>
      <c r="M538" s="57" t="str">
        <f>작성용!U535</f>
        <v>2024.09.30</v>
      </c>
      <c r="N538" s="57">
        <f>작성용!V535</f>
        <v>45611</v>
      </c>
      <c r="O538" s="57" t="str">
        <f>작성용!W535</f>
        <v>보고서제공X</v>
      </c>
      <c r="P538" s="57" t="str">
        <f>작성용!X535</f>
        <v>-</v>
      </c>
      <c r="Q538" s="58" t="str">
        <f>작성용!AD535</f>
        <v>오영석</v>
      </c>
      <c r="R538" s="60">
        <f>작성용!AE535</f>
        <v>0</v>
      </c>
      <c r="S538" s="58" t="str">
        <f>작성용!AF535</f>
        <v>서수빈</v>
      </c>
      <c r="T538" s="61" t="str">
        <f>작성용!AG535</f>
        <v>-</v>
      </c>
      <c r="U538" s="61" t="str">
        <f>작성용!AH535</f>
        <v>-</v>
      </c>
      <c r="V538" s="56">
        <f>작성용!AA535</f>
        <v>202411</v>
      </c>
      <c r="W538" s="58" t="str">
        <f>작성용!AC535</f>
        <v>[6]기타기관펀드(기초자산)</v>
      </c>
      <c r="X538" s="58">
        <f>작성용!O535</f>
        <v>0</v>
      </c>
      <c r="Y538" s="58">
        <f>작성용!P535</f>
        <v>0</v>
      </c>
      <c r="Z538" s="58">
        <f>작성용!Q535</f>
        <v>0</v>
      </c>
      <c r="AA538" s="56" t="str">
        <f>작성용!AJ535</f>
        <v>-</v>
      </c>
      <c r="AB538" s="56">
        <f>작성용!AB535</f>
        <v>0</v>
      </c>
    </row>
    <row r="539" spans="1:28" s="12" customFormat="1" ht="16.5" hidden="1" customHeight="1" x14ac:dyDescent="0.3">
      <c r="A539" s="54">
        <f>작성용!AL536</f>
        <v>535</v>
      </c>
      <c r="B539" s="55" t="str">
        <f>작성용!AI536</f>
        <v>-</v>
      </c>
      <c r="C539" s="56" t="str">
        <f>작성용!AK536</f>
        <v>기초자산</v>
      </c>
      <c r="D539" s="57" t="str">
        <f>작성용!T536</f>
        <v>고려아연펀드(기초자산)</v>
      </c>
      <c r="E539" s="58" t="str">
        <f>작성용!B536</f>
        <v>티비티글로벌성장제3호투자조합</v>
      </c>
      <c r="F539" s="58" t="str">
        <f>작성용!C536</f>
        <v>재평가</v>
      </c>
      <c r="G539" s="58" t="str">
        <f>작성용!D536</f>
        <v>에이치티비욘드</v>
      </c>
      <c r="H539" s="59">
        <f>작성용!E536</f>
        <v>1101115886275</v>
      </c>
      <c r="I539" s="58" t="str">
        <f>작성용!F536</f>
        <v>A07</v>
      </c>
      <c r="J539" s="58">
        <f>작성용!G536</f>
        <v>0</v>
      </c>
      <c r="K539" s="58" t="str">
        <f>작성용!H536</f>
        <v>-</v>
      </c>
      <c r="L539" s="58" t="str">
        <f>작성용!N536</f>
        <v>년</v>
      </c>
      <c r="M539" s="57" t="str">
        <f>작성용!U536</f>
        <v>2024.09.30</v>
      </c>
      <c r="N539" s="57">
        <f>작성용!V536</f>
        <v>45611</v>
      </c>
      <c r="O539" s="57" t="str">
        <f>작성용!W536</f>
        <v>보고서제공X</v>
      </c>
      <c r="P539" s="57" t="str">
        <f>작성용!X536</f>
        <v>-</v>
      </c>
      <c r="Q539" s="58" t="str">
        <f>작성용!AD536</f>
        <v>오영석</v>
      </c>
      <c r="R539" s="60">
        <f>작성용!AE536</f>
        <v>0</v>
      </c>
      <c r="S539" s="58" t="str">
        <f>작성용!AF536</f>
        <v>서수빈</v>
      </c>
      <c r="T539" s="61" t="str">
        <f>작성용!AG536</f>
        <v>-</v>
      </c>
      <c r="U539" s="61" t="str">
        <f>작성용!AH536</f>
        <v>-</v>
      </c>
      <c r="V539" s="56">
        <f>작성용!AA536</f>
        <v>202411</v>
      </c>
      <c r="W539" s="58" t="str">
        <f>작성용!AC536</f>
        <v>[6]기타기관펀드(기초자산)</v>
      </c>
      <c r="X539" s="58">
        <f>작성용!O536</f>
        <v>0</v>
      </c>
      <c r="Y539" s="58">
        <f>작성용!P536</f>
        <v>0</v>
      </c>
      <c r="Z539" s="58">
        <f>작성용!Q536</f>
        <v>0</v>
      </c>
      <c r="AA539" s="56" t="str">
        <f>작성용!AJ536</f>
        <v>-</v>
      </c>
      <c r="AB539" s="56">
        <f>작성용!AB536</f>
        <v>0</v>
      </c>
    </row>
    <row r="540" spans="1:28" s="12" customFormat="1" ht="16.5" hidden="1" customHeight="1" x14ac:dyDescent="0.3">
      <c r="A540" s="54">
        <f>작성용!AL537</f>
        <v>536</v>
      </c>
      <c r="B540" s="55" t="str">
        <f>작성용!AI537</f>
        <v>-</v>
      </c>
      <c r="C540" s="56" t="str">
        <f>작성용!AK537</f>
        <v>기초자산</v>
      </c>
      <c r="D540" s="57" t="str">
        <f>작성용!T537</f>
        <v>고려아연펀드(기초자산)</v>
      </c>
      <c r="E540" s="58" t="str">
        <f>작성용!B537</f>
        <v>티비티글로벌성장제3호투자조합</v>
      </c>
      <c r="F540" s="58" t="str">
        <f>작성용!C537</f>
        <v>재평가</v>
      </c>
      <c r="G540" s="58" t="str">
        <f>작성용!D537</f>
        <v>언컷젬스컴퍼니</v>
      </c>
      <c r="H540" s="59">
        <f>작성용!E537</f>
        <v>1101118411574</v>
      </c>
      <c r="I540" s="58" t="str">
        <f>작성용!F537</f>
        <v>A05</v>
      </c>
      <c r="J540" s="58">
        <f>작성용!G537</f>
        <v>0</v>
      </c>
      <c r="K540" s="58" t="str">
        <f>작성용!H537</f>
        <v>-</v>
      </c>
      <c r="L540" s="58" t="str">
        <f>작성용!N537</f>
        <v>년</v>
      </c>
      <c r="M540" s="57" t="str">
        <f>작성용!U537</f>
        <v>2024.09.30</v>
      </c>
      <c r="N540" s="57">
        <f>작성용!V537</f>
        <v>45611</v>
      </c>
      <c r="O540" s="57" t="str">
        <f>작성용!W537</f>
        <v>보고서제공X</v>
      </c>
      <c r="P540" s="57" t="str">
        <f>작성용!X537</f>
        <v>-</v>
      </c>
      <c r="Q540" s="58" t="str">
        <f>작성용!AD537</f>
        <v>정재형</v>
      </c>
      <c r="R540" s="60">
        <f>작성용!AE537</f>
        <v>0</v>
      </c>
      <c r="S540" s="58" t="str">
        <f>작성용!AF537</f>
        <v>정재형</v>
      </c>
      <c r="T540" s="61" t="str">
        <f>작성용!AG537</f>
        <v>-</v>
      </c>
      <c r="U540" s="61" t="str">
        <f>작성용!AH537</f>
        <v>-</v>
      </c>
      <c r="V540" s="56">
        <f>작성용!AA537</f>
        <v>202411</v>
      </c>
      <c r="W540" s="58" t="str">
        <f>작성용!AC537</f>
        <v>[6]기타기관펀드(기초자산)</v>
      </c>
      <c r="X540" s="58">
        <f>작성용!O537</f>
        <v>0</v>
      </c>
      <c r="Y540" s="58">
        <f>작성용!P537</f>
        <v>0</v>
      </c>
      <c r="Z540" s="58">
        <f>작성용!Q537</f>
        <v>0</v>
      </c>
      <c r="AA540" s="56" t="str">
        <f>작성용!AJ537</f>
        <v>-</v>
      </c>
      <c r="AB540" s="56">
        <f>작성용!AB537</f>
        <v>0</v>
      </c>
    </row>
    <row r="541" spans="1:28" s="12" customFormat="1" ht="16.5" hidden="1" customHeight="1" x14ac:dyDescent="0.3">
      <c r="A541" s="54">
        <f>작성용!AL538</f>
        <v>537</v>
      </c>
      <c r="B541" s="55" t="str">
        <f>작성용!AI538</f>
        <v>-</v>
      </c>
      <c r="C541" s="56" t="str">
        <f>작성용!AK538</f>
        <v>기초자산</v>
      </c>
      <c r="D541" s="57" t="str">
        <f>작성용!T538</f>
        <v>고려아연펀드(기초자산)</v>
      </c>
      <c r="E541" s="58" t="str">
        <f>작성용!B538</f>
        <v>티비티글로벌성장제3호투자조합</v>
      </c>
      <c r="F541" s="58" t="str">
        <f>작성용!C538</f>
        <v>재평가</v>
      </c>
      <c r="G541" s="58" t="str">
        <f>작성용!D538</f>
        <v>투슬래시포</v>
      </c>
      <c r="H541" s="59">
        <f>작성용!E538</f>
        <v>1101118484125</v>
      </c>
      <c r="I541" s="58" t="str">
        <f>작성용!F538</f>
        <v>A07</v>
      </c>
      <c r="J541" s="58">
        <f>작성용!G538</f>
        <v>0</v>
      </c>
      <c r="K541" s="58" t="str">
        <f>작성용!H538</f>
        <v>-</v>
      </c>
      <c r="L541" s="58" t="str">
        <f>작성용!N538</f>
        <v>년</v>
      </c>
      <c r="M541" s="57" t="str">
        <f>작성용!U538</f>
        <v>2024.09.30</v>
      </c>
      <c r="N541" s="57">
        <f>작성용!V538</f>
        <v>45611</v>
      </c>
      <c r="O541" s="57" t="str">
        <f>작성용!W538</f>
        <v>보고서제공X</v>
      </c>
      <c r="P541" s="57" t="str">
        <f>작성용!X538</f>
        <v>-</v>
      </c>
      <c r="Q541" s="58" t="str">
        <f>작성용!AD538</f>
        <v>정은채</v>
      </c>
      <c r="R541" s="60">
        <f>작성용!AE538</f>
        <v>0</v>
      </c>
      <c r="S541" s="58" t="str">
        <f>작성용!AF538</f>
        <v>정은채</v>
      </c>
      <c r="T541" s="61" t="str">
        <f>작성용!AG538</f>
        <v>-</v>
      </c>
      <c r="U541" s="61" t="str">
        <f>작성용!AH538</f>
        <v>-</v>
      </c>
      <c r="V541" s="56">
        <f>작성용!AA538</f>
        <v>202411</v>
      </c>
      <c r="W541" s="58" t="str">
        <f>작성용!AC538</f>
        <v>[6]기타기관펀드(기초자산)</v>
      </c>
      <c r="X541" s="58">
        <f>작성용!O538</f>
        <v>0</v>
      </c>
      <c r="Y541" s="58">
        <f>작성용!P538</f>
        <v>0</v>
      </c>
      <c r="Z541" s="58">
        <f>작성용!Q538</f>
        <v>0</v>
      </c>
      <c r="AA541" s="56" t="str">
        <f>작성용!AJ538</f>
        <v>-</v>
      </c>
      <c r="AB541" s="56">
        <f>작성용!AB538</f>
        <v>0</v>
      </c>
    </row>
    <row r="542" spans="1:28" s="12" customFormat="1" ht="16.5" hidden="1" customHeight="1" x14ac:dyDescent="0.3">
      <c r="A542" s="54">
        <f>작성용!AL539</f>
        <v>538</v>
      </c>
      <c r="B542" s="55" t="str">
        <f>작성용!AI539</f>
        <v>-</v>
      </c>
      <c r="C542" s="56" t="str">
        <f>작성용!AK539</f>
        <v>기초자산</v>
      </c>
      <c r="D542" s="57" t="str">
        <f>작성용!T539</f>
        <v>고려아연펀드(기초자산)</v>
      </c>
      <c r="E542" s="58" t="str">
        <f>작성용!B539</f>
        <v>티비티글로벌성장제3호투자조합</v>
      </c>
      <c r="F542" s="58" t="str">
        <f>작성용!C539</f>
        <v>재평가</v>
      </c>
      <c r="G542" s="58" t="str">
        <f>작성용!D539</f>
        <v>베터리얼</v>
      </c>
      <c r="H542" s="59">
        <f>작성용!E539</f>
        <v>1101117643128</v>
      </c>
      <c r="I542" s="58" t="str">
        <f>작성용!F539</f>
        <v>A07</v>
      </c>
      <c r="J542" s="58">
        <f>작성용!G539</f>
        <v>0</v>
      </c>
      <c r="K542" s="58" t="str">
        <f>작성용!H539</f>
        <v>-</v>
      </c>
      <c r="L542" s="58" t="str">
        <f>작성용!N539</f>
        <v>년</v>
      </c>
      <c r="M542" s="57" t="str">
        <f>작성용!U539</f>
        <v>2024.09.30</v>
      </c>
      <c r="N542" s="57">
        <f>작성용!V539</f>
        <v>45611</v>
      </c>
      <c r="O542" s="57" t="str">
        <f>작성용!W539</f>
        <v>보고서제공X</v>
      </c>
      <c r="P542" s="57" t="str">
        <f>작성용!X539</f>
        <v>-</v>
      </c>
      <c r="Q542" s="58" t="str">
        <f>작성용!AD539</f>
        <v>이문수</v>
      </c>
      <c r="R542" s="60">
        <f>작성용!AE539</f>
        <v>0</v>
      </c>
      <c r="S542" s="58" t="str">
        <f>작성용!AF539</f>
        <v>이문수</v>
      </c>
      <c r="T542" s="61" t="str">
        <f>작성용!AG539</f>
        <v>-</v>
      </c>
      <c r="U542" s="61" t="str">
        <f>작성용!AH539</f>
        <v>-</v>
      </c>
      <c r="V542" s="56">
        <f>작성용!AA539</f>
        <v>202411</v>
      </c>
      <c r="W542" s="58" t="str">
        <f>작성용!AC539</f>
        <v>[6]기타기관펀드(기초자산)</v>
      </c>
      <c r="X542" s="58">
        <f>작성용!O539</f>
        <v>0</v>
      </c>
      <c r="Y542" s="58">
        <f>작성용!P539</f>
        <v>0</v>
      </c>
      <c r="Z542" s="58">
        <f>작성용!Q539</f>
        <v>0</v>
      </c>
      <c r="AA542" s="56" t="str">
        <f>작성용!AJ539</f>
        <v>-</v>
      </c>
      <c r="AB542" s="56">
        <f>작성용!AB539</f>
        <v>0</v>
      </c>
    </row>
    <row r="543" spans="1:28" s="12" customFormat="1" ht="16.5" hidden="1" customHeight="1" x14ac:dyDescent="0.3">
      <c r="A543" s="54">
        <f>작성용!AL540</f>
        <v>539</v>
      </c>
      <c r="B543" s="55" t="str">
        <f>작성용!AI540</f>
        <v>-</v>
      </c>
      <c r="C543" s="56" t="str">
        <f>작성용!AK540</f>
        <v>기초자산</v>
      </c>
      <c r="D543" s="57" t="str">
        <f>작성용!T540</f>
        <v>고려아연펀드(기초자산)</v>
      </c>
      <c r="E543" s="58" t="str">
        <f>작성용!B540</f>
        <v>티비티글로벌성장제3호투자조합</v>
      </c>
      <c r="F543" s="58" t="str">
        <f>작성용!C540</f>
        <v>재평가</v>
      </c>
      <c r="G543" s="58" t="str">
        <f>작성용!D540</f>
        <v>베터리얼</v>
      </c>
      <c r="H543" s="59">
        <f>작성용!E540</f>
        <v>1101117643128</v>
      </c>
      <c r="I543" s="58" t="str">
        <f>작성용!F540</f>
        <v>A07</v>
      </c>
      <c r="J543" s="58">
        <f>작성용!G540</f>
        <v>1</v>
      </c>
      <c r="K543" s="58" t="str">
        <f>작성용!H540</f>
        <v>-</v>
      </c>
      <c r="L543" s="58" t="str">
        <f>작성용!N540</f>
        <v>년</v>
      </c>
      <c r="M543" s="57" t="str">
        <f>작성용!U540</f>
        <v>2024.09.30</v>
      </c>
      <c r="N543" s="57">
        <f>작성용!V540</f>
        <v>45611</v>
      </c>
      <c r="O543" s="57" t="str">
        <f>작성용!W540</f>
        <v>보고서제공X</v>
      </c>
      <c r="P543" s="57" t="str">
        <f>작성용!X540</f>
        <v>-</v>
      </c>
      <c r="Q543" s="58" t="str">
        <f>작성용!AD540</f>
        <v>이문수</v>
      </c>
      <c r="R543" s="60">
        <f>작성용!AE540</f>
        <v>0</v>
      </c>
      <c r="S543" s="58" t="str">
        <f>작성용!AF540</f>
        <v>이문수</v>
      </c>
      <c r="T543" s="61" t="str">
        <f>작성용!AG540</f>
        <v>-</v>
      </c>
      <c r="U543" s="61" t="str">
        <f>작성용!AH540</f>
        <v>-</v>
      </c>
      <c r="V543" s="56">
        <f>작성용!AA540</f>
        <v>202411</v>
      </c>
      <c r="W543" s="58" t="str">
        <f>작성용!AC540</f>
        <v>[6]기타기관펀드(기초자산)</v>
      </c>
      <c r="X543" s="58">
        <f>작성용!O540</f>
        <v>0</v>
      </c>
      <c r="Y543" s="58">
        <f>작성용!P540</f>
        <v>0</v>
      </c>
      <c r="Z543" s="58">
        <f>작성용!Q540</f>
        <v>0</v>
      </c>
      <c r="AA543" s="56" t="str">
        <f>작성용!AJ540</f>
        <v>-</v>
      </c>
      <c r="AB543" s="56">
        <f>작성용!AB540</f>
        <v>0</v>
      </c>
    </row>
    <row r="544" spans="1:28" s="12" customFormat="1" ht="16.5" hidden="1" customHeight="1" x14ac:dyDescent="0.3">
      <c r="A544" s="54">
        <f>작성용!AL541</f>
        <v>540</v>
      </c>
      <c r="B544" s="55" t="str">
        <f>작성용!AI541</f>
        <v>-</v>
      </c>
      <c r="C544" s="56" t="str">
        <f>작성용!AK541</f>
        <v>기초자산</v>
      </c>
      <c r="D544" s="57" t="str">
        <f>작성용!T541</f>
        <v>고려아연펀드(기초자산)</v>
      </c>
      <c r="E544" s="58" t="str">
        <f>작성용!B541</f>
        <v>티비티글로벌성장제3호투자조합</v>
      </c>
      <c r="F544" s="58" t="str">
        <f>작성용!C541</f>
        <v>재평가</v>
      </c>
      <c r="G544" s="58" t="str">
        <f>작성용!D541</f>
        <v>디폰</v>
      </c>
      <c r="H544" s="59">
        <f>작성용!E541</f>
        <v>1341110582838</v>
      </c>
      <c r="I544" s="58" t="str">
        <f>작성용!F541</f>
        <v>A07</v>
      </c>
      <c r="J544" s="58">
        <f>작성용!G541</f>
        <v>0</v>
      </c>
      <c r="K544" s="58" t="str">
        <f>작성용!H541</f>
        <v>-</v>
      </c>
      <c r="L544" s="58" t="str">
        <f>작성용!N541</f>
        <v>년</v>
      </c>
      <c r="M544" s="57" t="str">
        <f>작성용!U541</f>
        <v>2024.09.30</v>
      </c>
      <c r="N544" s="57">
        <f>작성용!V541</f>
        <v>45611</v>
      </c>
      <c r="O544" s="57" t="str">
        <f>작성용!W541</f>
        <v>보고서제공X</v>
      </c>
      <c r="P544" s="57" t="str">
        <f>작성용!X541</f>
        <v>-</v>
      </c>
      <c r="Q544" s="58" t="str">
        <f>작성용!AD541</f>
        <v>강승현</v>
      </c>
      <c r="R544" s="60">
        <f>작성용!AE541</f>
        <v>0</v>
      </c>
      <c r="S544" s="58" t="str">
        <f>작성용!AF541</f>
        <v>강승현</v>
      </c>
      <c r="T544" s="61" t="str">
        <f>작성용!AG541</f>
        <v>-</v>
      </c>
      <c r="U544" s="61" t="str">
        <f>작성용!AH541</f>
        <v>-</v>
      </c>
      <c r="V544" s="56">
        <f>작성용!AA541</f>
        <v>202411</v>
      </c>
      <c r="W544" s="58" t="str">
        <f>작성용!AC541</f>
        <v>[6]기타기관펀드(기초자산)</v>
      </c>
      <c r="X544" s="58">
        <f>작성용!O541</f>
        <v>0</v>
      </c>
      <c r="Y544" s="58">
        <f>작성용!P541</f>
        <v>0</v>
      </c>
      <c r="Z544" s="58">
        <f>작성용!Q541</f>
        <v>0</v>
      </c>
      <c r="AA544" s="56" t="str">
        <f>작성용!AJ541</f>
        <v>-</v>
      </c>
      <c r="AB544" s="56">
        <f>작성용!AB541</f>
        <v>0</v>
      </c>
    </row>
    <row r="545" spans="1:28" s="12" customFormat="1" ht="16.5" hidden="1" customHeight="1" x14ac:dyDescent="0.3">
      <c r="A545" s="54">
        <f>작성용!AL542</f>
        <v>541</v>
      </c>
      <c r="B545" s="55" t="str">
        <f>작성용!AI542</f>
        <v>-</v>
      </c>
      <c r="C545" s="56" t="str">
        <f>작성용!AK542</f>
        <v>기초자산</v>
      </c>
      <c r="D545" s="57" t="str">
        <f>작성용!T542</f>
        <v>고려아연펀드(기초자산)</v>
      </c>
      <c r="E545" s="58" t="str">
        <f>작성용!B542</f>
        <v>키움뉴히어로6호창업초기펀드</v>
      </c>
      <c r="F545" s="58" t="str">
        <f>작성용!C542</f>
        <v>재평가</v>
      </c>
      <c r="G545" s="58" t="str">
        <f>작성용!D542</f>
        <v>에스알파테라퓨틱스</v>
      </c>
      <c r="H545" s="59">
        <f>작성용!E542</f>
        <v>1348110506579</v>
      </c>
      <c r="I545" s="58" t="str">
        <f>작성용!F542</f>
        <v>A07</v>
      </c>
      <c r="J545" s="58">
        <f>작성용!G542</f>
        <v>1</v>
      </c>
      <c r="K545" s="58" t="str">
        <f>작성용!H542</f>
        <v>-</v>
      </c>
      <c r="L545" s="58" t="str">
        <f>작성용!N542</f>
        <v>년</v>
      </c>
      <c r="M545" s="57" t="str">
        <f>작성용!U542</f>
        <v>2024.09.30</v>
      </c>
      <c r="N545" s="57">
        <f>작성용!V542</f>
        <v>45611</v>
      </c>
      <c r="O545" s="57" t="str">
        <f>작성용!W542</f>
        <v>보고서제공X</v>
      </c>
      <c r="P545" s="57" t="str">
        <f>작성용!X542</f>
        <v>-</v>
      </c>
      <c r="Q545" s="58" t="str">
        <f>작성용!AD542</f>
        <v>이진주</v>
      </c>
      <c r="R545" s="60">
        <f>작성용!AE542</f>
        <v>0</v>
      </c>
      <c r="S545" s="58" t="str">
        <f>작성용!AF542</f>
        <v>이진주</v>
      </c>
      <c r="T545" s="61" t="str">
        <f>작성용!AG542</f>
        <v>-</v>
      </c>
      <c r="U545" s="61" t="str">
        <f>작성용!AH542</f>
        <v>-</v>
      </c>
      <c r="V545" s="56">
        <f>작성용!AA542</f>
        <v>202411</v>
      </c>
      <c r="W545" s="58" t="str">
        <f>작성용!AC542</f>
        <v>[6]기타기관펀드(기초자산)</v>
      </c>
      <c r="X545" s="58">
        <f>작성용!O542</f>
        <v>0</v>
      </c>
      <c r="Y545" s="58">
        <f>작성용!P542</f>
        <v>0</v>
      </c>
      <c r="Z545" s="58">
        <f>작성용!Q542</f>
        <v>0</v>
      </c>
      <c r="AA545" s="56" t="str">
        <f>작성용!AJ542</f>
        <v>-</v>
      </c>
      <c r="AB545" s="56">
        <f>작성용!AB542</f>
        <v>0</v>
      </c>
    </row>
    <row r="546" spans="1:28" s="12" customFormat="1" ht="16.5" hidden="1" customHeight="1" x14ac:dyDescent="0.3">
      <c r="A546" s="54">
        <f>작성용!AL543</f>
        <v>542</v>
      </c>
      <c r="B546" s="55" t="str">
        <f>작성용!AI543</f>
        <v>-</v>
      </c>
      <c r="C546" s="56" t="str">
        <f>작성용!AK543</f>
        <v>기초자산</v>
      </c>
      <c r="D546" s="57" t="str">
        <f>작성용!T543</f>
        <v>고려아연펀드(기초자산)</v>
      </c>
      <c r="E546" s="58" t="str">
        <f>작성용!B543</f>
        <v>키움뉴히어로6호창업초기펀드</v>
      </c>
      <c r="F546" s="58" t="str">
        <f>작성용!C543</f>
        <v>재평가</v>
      </c>
      <c r="G546" s="58" t="str">
        <f>작성용!D543</f>
        <v>티랩스</v>
      </c>
      <c r="H546" s="59">
        <f>작성용!E543</f>
        <v>1101116333019</v>
      </c>
      <c r="I546" s="58" t="str">
        <f>작성용!F543</f>
        <v>A07</v>
      </c>
      <c r="J546" s="58">
        <f>작성용!G543</f>
        <v>1</v>
      </c>
      <c r="K546" s="58" t="str">
        <f>작성용!H543</f>
        <v>-</v>
      </c>
      <c r="L546" s="58" t="str">
        <f>작성용!N543</f>
        <v>년</v>
      </c>
      <c r="M546" s="57" t="str">
        <f>작성용!U543</f>
        <v>2024.09.30</v>
      </c>
      <c r="N546" s="57">
        <f>작성용!V543</f>
        <v>45611</v>
      </c>
      <c r="O546" s="57" t="str">
        <f>작성용!W543</f>
        <v>보고서제공X</v>
      </c>
      <c r="P546" s="57" t="str">
        <f>작성용!X543</f>
        <v>-</v>
      </c>
      <c r="Q546" s="58" t="str">
        <f>작성용!AD543</f>
        <v>이진주</v>
      </c>
      <c r="R546" s="60">
        <f>작성용!AE543</f>
        <v>0.6</v>
      </c>
      <c r="S546" s="58" t="str">
        <f>작성용!AF543</f>
        <v>이진주</v>
      </c>
      <c r="T546" s="61" t="str">
        <f>작성용!AG543</f>
        <v>-</v>
      </c>
      <c r="U546" s="61" t="str">
        <f>작성용!AH543</f>
        <v>-</v>
      </c>
      <c r="V546" s="56">
        <f>작성용!AA543</f>
        <v>202411</v>
      </c>
      <c r="W546" s="58" t="str">
        <f>작성용!AC543</f>
        <v>[6]기타기관펀드(기초자산)</v>
      </c>
      <c r="X546" s="58">
        <f>작성용!O543</f>
        <v>0</v>
      </c>
      <c r="Y546" s="58">
        <f>작성용!P543</f>
        <v>0</v>
      </c>
      <c r="Z546" s="58">
        <f>작성용!Q543</f>
        <v>0</v>
      </c>
      <c r="AA546" s="56" t="str">
        <f>작성용!AJ543</f>
        <v>-</v>
      </c>
      <c r="AB546" s="56">
        <f>작성용!AB543</f>
        <v>0</v>
      </c>
    </row>
    <row r="547" spans="1:28" s="12" customFormat="1" ht="16.5" hidden="1" customHeight="1" x14ac:dyDescent="0.3">
      <c r="A547" s="54">
        <f>작성용!AL544</f>
        <v>543</v>
      </c>
      <c r="B547" s="55" t="str">
        <f>작성용!AI544</f>
        <v>-</v>
      </c>
      <c r="C547" s="56" t="str">
        <f>작성용!AK544</f>
        <v>기초자산</v>
      </c>
      <c r="D547" s="57" t="str">
        <f>작성용!T544</f>
        <v>고려아연펀드(기초자산)</v>
      </c>
      <c r="E547" s="58" t="str">
        <f>작성용!B544</f>
        <v>키움뉴히어로6호창업초기펀드</v>
      </c>
      <c r="F547" s="58" t="str">
        <f>작성용!C544</f>
        <v>재평가</v>
      </c>
      <c r="G547" s="58" t="str">
        <f>작성용!D544</f>
        <v>디오리진</v>
      </c>
      <c r="H547" s="59">
        <f>작성용!E544</f>
        <v>1101117884110</v>
      </c>
      <c r="I547" s="58" t="str">
        <f>작성용!F544</f>
        <v>A07</v>
      </c>
      <c r="J547" s="58">
        <f>작성용!G544</f>
        <v>1</v>
      </c>
      <c r="K547" s="58" t="str">
        <f>작성용!H544</f>
        <v>-</v>
      </c>
      <c r="L547" s="58" t="str">
        <f>작성용!N544</f>
        <v>년</v>
      </c>
      <c r="M547" s="57" t="str">
        <f>작성용!U544</f>
        <v>2024.09.30</v>
      </c>
      <c r="N547" s="57">
        <f>작성용!V544</f>
        <v>45611</v>
      </c>
      <c r="O547" s="57" t="str">
        <f>작성용!W544</f>
        <v>보고서제공X</v>
      </c>
      <c r="P547" s="57" t="str">
        <f>작성용!X544</f>
        <v>-</v>
      </c>
      <c r="Q547" s="58" t="str">
        <f>작성용!AD544</f>
        <v>백형진</v>
      </c>
      <c r="R547" s="60">
        <f>작성용!AE544</f>
        <v>0</v>
      </c>
      <c r="S547" s="58" t="str">
        <f>작성용!AF544</f>
        <v>백형진</v>
      </c>
      <c r="T547" s="61" t="str">
        <f>작성용!AG544</f>
        <v>-</v>
      </c>
      <c r="U547" s="61" t="str">
        <f>작성용!AH544</f>
        <v>-</v>
      </c>
      <c r="V547" s="56">
        <f>작성용!AA544</f>
        <v>202411</v>
      </c>
      <c r="W547" s="58" t="str">
        <f>작성용!AC544</f>
        <v>[6]기타기관펀드(기초자산)</v>
      </c>
      <c r="X547" s="58">
        <f>작성용!O544</f>
        <v>0</v>
      </c>
      <c r="Y547" s="58">
        <f>작성용!P544</f>
        <v>0</v>
      </c>
      <c r="Z547" s="58">
        <f>작성용!Q544</f>
        <v>0</v>
      </c>
      <c r="AA547" s="56" t="str">
        <f>작성용!AJ544</f>
        <v>-</v>
      </c>
      <c r="AB547" s="56">
        <f>작성용!AB544</f>
        <v>0</v>
      </c>
    </row>
    <row r="548" spans="1:28" s="12" customFormat="1" ht="16.5" hidden="1" customHeight="1" x14ac:dyDescent="0.3">
      <c r="A548" s="54">
        <f>작성용!AL545</f>
        <v>544</v>
      </c>
      <c r="B548" s="55" t="str">
        <f>작성용!AI545</f>
        <v>-</v>
      </c>
      <c r="C548" s="56" t="str">
        <f>작성용!AK545</f>
        <v>기초자산</v>
      </c>
      <c r="D548" s="57" t="str">
        <f>작성용!T545</f>
        <v>고려아연펀드(기초자산)</v>
      </c>
      <c r="E548" s="58" t="str">
        <f>작성용!B545</f>
        <v>키움뉴히어로6호창업초기펀드</v>
      </c>
      <c r="F548" s="58" t="str">
        <f>작성용!C545</f>
        <v>재평가</v>
      </c>
      <c r="G548" s="58" t="str">
        <f>작성용!D545</f>
        <v>지티아이바이오사이언스</v>
      </c>
      <c r="H548" s="59">
        <f>작성용!E545</f>
        <v>1101117396248</v>
      </c>
      <c r="I548" s="58" t="str">
        <f>작성용!F545</f>
        <v>A07</v>
      </c>
      <c r="J548" s="58">
        <f>작성용!G545</f>
        <v>0</v>
      </c>
      <c r="K548" s="58" t="str">
        <f>작성용!H545</f>
        <v>-</v>
      </c>
      <c r="L548" s="58" t="str">
        <f>작성용!N545</f>
        <v>년</v>
      </c>
      <c r="M548" s="57" t="str">
        <f>작성용!U545</f>
        <v>2024.09.30</v>
      </c>
      <c r="N548" s="57">
        <f>작성용!V545</f>
        <v>45611</v>
      </c>
      <c r="O548" s="57" t="str">
        <f>작성용!W545</f>
        <v>보고서제공X</v>
      </c>
      <c r="P548" s="57" t="str">
        <f>작성용!X545</f>
        <v>-</v>
      </c>
      <c r="Q548" s="58" t="str">
        <f>작성용!AD545</f>
        <v>이진주</v>
      </c>
      <c r="R548" s="60">
        <f>작성용!AE545</f>
        <v>0.6</v>
      </c>
      <c r="S548" s="58" t="str">
        <f>작성용!AF545</f>
        <v>이진주</v>
      </c>
      <c r="T548" s="61" t="str">
        <f>작성용!AG545</f>
        <v>-</v>
      </c>
      <c r="U548" s="61" t="str">
        <f>작성용!AH545</f>
        <v>-</v>
      </c>
      <c r="V548" s="56">
        <f>작성용!AA545</f>
        <v>202411</v>
      </c>
      <c r="W548" s="58" t="str">
        <f>작성용!AC545</f>
        <v>[6]기타기관펀드(기초자산)</v>
      </c>
      <c r="X548" s="58">
        <f>작성용!O545</f>
        <v>0</v>
      </c>
      <c r="Y548" s="58">
        <f>작성용!P545</f>
        <v>0</v>
      </c>
      <c r="Z548" s="58">
        <f>작성용!Q545</f>
        <v>0</v>
      </c>
      <c r="AA548" s="56" t="str">
        <f>작성용!AJ545</f>
        <v>-</v>
      </c>
      <c r="AB548" s="56">
        <f>작성용!AB545</f>
        <v>0</v>
      </c>
    </row>
    <row r="549" spans="1:28" s="12" customFormat="1" ht="16.5" hidden="1" customHeight="1" x14ac:dyDescent="0.3">
      <c r="A549" s="54">
        <f>작성용!AL546</f>
        <v>545</v>
      </c>
      <c r="B549" s="55" t="str">
        <f>작성용!AI546</f>
        <v>-</v>
      </c>
      <c r="C549" s="56" t="str">
        <f>작성용!AK546</f>
        <v>기초자산</v>
      </c>
      <c r="D549" s="57" t="str">
        <f>작성용!T546</f>
        <v>고려아연펀드(기초자산)</v>
      </c>
      <c r="E549" s="58" t="str">
        <f>작성용!B546</f>
        <v>키움뉴히어로6호창업초기펀드</v>
      </c>
      <c r="F549" s="58" t="str">
        <f>작성용!C546</f>
        <v>재평가</v>
      </c>
      <c r="G549" s="58" t="str">
        <f>작성용!D546</f>
        <v>트리오어</v>
      </c>
      <c r="H549" s="59">
        <f>작성용!E546</f>
        <v>1601110577431</v>
      </c>
      <c r="I549" s="58" t="str">
        <f>작성용!F546</f>
        <v>A05</v>
      </c>
      <c r="J549" s="58">
        <f>작성용!G546</f>
        <v>1</v>
      </c>
      <c r="K549" s="58" t="str">
        <f>작성용!H546</f>
        <v>-</v>
      </c>
      <c r="L549" s="58" t="str">
        <f>작성용!N546</f>
        <v>년</v>
      </c>
      <c r="M549" s="57" t="str">
        <f>작성용!U546</f>
        <v>2024.09.30</v>
      </c>
      <c r="N549" s="57">
        <f>작성용!V546</f>
        <v>45611</v>
      </c>
      <c r="O549" s="57" t="str">
        <f>작성용!W546</f>
        <v>보고서제공X</v>
      </c>
      <c r="P549" s="57" t="str">
        <f>작성용!X546</f>
        <v>-</v>
      </c>
      <c r="Q549" s="58" t="str">
        <f>작성용!AD546</f>
        <v>이상민</v>
      </c>
      <c r="R549" s="60">
        <f>작성용!AE546</f>
        <v>0</v>
      </c>
      <c r="S549" s="58" t="str">
        <f>작성용!AF546</f>
        <v>이상민</v>
      </c>
      <c r="T549" s="61" t="str">
        <f>작성용!AG546</f>
        <v>-</v>
      </c>
      <c r="U549" s="61" t="str">
        <f>작성용!AH546</f>
        <v>-</v>
      </c>
      <c r="V549" s="56">
        <f>작성용!AA546</f>
        <v>202411</v>
      </c>
      <c r="W549" s="58" t="str">
        <f>작성용!AC546</f>
        <v>[6]기타기관펀드(기초자산)</v>
      </c>
      <c r="X549" s="58">
        <f>작성용!O546</f>
        <v>0</v>
      </c>
      <c r="Y549" s="58">
        <f>작성용!P546</f>
        <v>0</v>
      </c>
      <c r="Z549" s="58">
        <f>작성용!Q546</f>
        <v>0</v>
      </c>
      <c r="AA549" s="56" t="str">
        <f>작성용!AJ546</f>
        <v>-</v>
      </c>
      <c r="AB549" s="56">
        <f>작성용!AB546</f>
        <v>0</v>
      </c>
    </row>
    <row r="550" spans="1:28" s="12" customFormat="1" ht="16.5" hidden="1" customHeight="1" x14ac:dyDescent="0.3">
      <c r="A550" s="54">
        <f>작성용!AL547</f>
        <v>546</v>
      </c>
      <c r="B550" s="55" t="str">
        <f>작성용!AI547</f>
        <v>-</v>
      </c>
      <c r="C550" s="56" t="str">
        <f>작성용!AK547</f>
        <v>기초자산</v>
      </c>
      <c r="D550" s="57" t="str">
        <f>작성용!T547</f>
        <v>고려아연펀드(기초자산)</v>
      </c>
      <c r="E550" s="58" t="str">
        <f>작성용!B547</f>
        <v>키움뉴히어로6호창업초기펀드</v>
      </c>
      <c r="F550" s="58" t="str">
        <f>작성용!C547</f>
        <v>재평가</v>
      </c>
      <c r="G550" s="58" t="str">
        <f>작성용!D547</f>
        <v>블럭나인</v>
      </c>
      <c r="H550" s="59">
        <f>작성용!E547</f>
        <v>1341110529715</v>
      </c>
      <c r="I550" s="58" t="str">
        <f>작성용!F547</f>
        <v>A07</v>
      </c>
      <c r="J550" s="58">
        <f>작성용!G547</f>
        <v>1</v>
      </c>
      <c r="K550" s="58" t="str">
        <f>작성용!H547</f>
        <v>-</v>
      </c>
      <c r="L550" s="58" t="str">
        <f>작성용!N547</f>
        <v>년</v>
      </c>
      <c r="M550" s="57" t="str">
        <f>작성용!U547</f>
        <v>2024.09.30</v>
      </c>
      <c r="N550" s="57">
        <f>작성용!V547</f>
        <v>45611</v>
      </c>
      <c r="O550" s="57" t="str">
        <f>작성용!W547</f>
        <v>보고서제공X</v>
      </c>
      <c r="P550" s="57" t="str">
        <f>작성용!X547</f>
        <v>-</v>
      </c>
      <c r="Q550" s="58" t="str">
        <f>작성용!AD547</f>
        <v>강성은</v>
      </c>
      <c r="R550" s="60">
        <f>작성용!AE547</f>
        <v>0</v>
      </c>
      <c r="S550" s="58" t="str">
        <f>작성용!AF547</f>
        <v>강성은</v>
      </c>
      <c r="T550" s="61" t="str">
        <f>작성용!AG547</f>
        <v>-</v>
      </c>
      <c r="U550" s="61" t="str">
        <f>작성용!AH547</f>
        <v>-</v>
      </c>
      <c r="V550" s="56">
        <f>작성용!AA547</f>
        <v>202411</v>
      </c>
      <c r="W550" s="58" t="str">
        <f>작성용!AC547</f>
        <v>[6]기타기관펀드(기초자산)</v>
      </c>
      <c r="X550" s="58">
        <f>작성용!O547</f>
        <v>0</v>
      </c>
      <c r="Y550" s="58">
        <f>작성용!P547</f>
        <v>0</v>
      </c>
      <c r="Z550" s="58">
        <f>작성용!Q547</f>
        <v>0</v>
      </c>
      <c r="AA550" s="56" t="str">
        <f>작성용!AJ547</f>
        <v>-</v>
      </c>
      <c r="AB550" s="56">
        <f>작성용!AB547</f>
        <v>0</v>
      </c>
    </row>
    <row r="551" spans="1:28" s="12" customFormat="1" ht="16.5" hidden="1" customHeight="1" x14ac:dyDescent="0.3">
      <c r="A551" s="54">
        <f>작성용!AL548</f>
        <v>547</v>
      </c>
      <c r="B551" s="55" t="str">
        <f>작성용!AI548</f>
        <v>-</v>
      </c>
      <c r="C551" s="56" t="str">
        <f>작성용!AK548</f>
        <v>기초자산</v>
      </c>
      <c r="D551" s="57" t="str">
        <f>작성용!T548</f>
        <v>고려아연펀드(기초자산)</v>
      </c>
      <c r="E551" s="58" t="str">
        <f>작성용!B548</f>
        <v>키움뉴히어로6호창업초기펀드</v>
      </c>
      <c r="F551" s="58" t="str">
        <f>작성용!C548</f>
        <v>재평가</v>
      </c>
      <c r="G551" s="58" t="str">
        <f>작성용!D548</f>
        <v>러닝스푼즈</v>
      </c>
      <c r="H551" s="59">
        <f>작성용!E548</f>
        <v>1101116391786</v>
      </c>
      <c r="I551" s="58" t="str">
        <f>작성용!F548</f>
        <v>A07</v>
      </c>
      <c r="J551" s="58">
        <f>작성용!G548</f>
        <v>1</v>
      </c>
      <c r="K551" s="58" t="str">
        <f>작성용!H548</f>
        <v>-</v>
      </c>
      <c r="L551" s="58" t="str">
        <f>작성용!N548</f>
        <v>년</v>
      </c>
      <c r="M551" s="57" t="str">
        <f>작성용!U548</f>
        <v>2024.09.30</v>
      </c>
      <c r="N551" s="57">
        <f>작성용!V548</f>
        <v>45611</v>
      </c>
      <c r="O551" s="57" t="str">
        <f>작성용!W548</f>
        <v>보고서제공X</v>
      </c>
      <c r="P551" s="57" t="str">
        <f>작성용!X548</f>
        <v>-</v>
      </c>
      <c r="Q551" s="58" t="str">
        <f>작성용!AD548</f>
        <v>김에스더</v>
      </c>
      <c r="R551" s="60">
        <f>작성용!AE548</f>
        <v>0</v>
      </c>
      <c r="S551" s="58" t="str">
        <f>작성용!AF548</f>
        <v>김에스더</v>
      </c>
      <c r="T551" s="61" t="str">
        <f>작성용!AG548</f>
        <v>-</v>
      </c>
      <c r="U551" s="61" t="str">
        <f>작성용!AH548</f>
        <v>-</v>
      </c>
      <c r="V551" s="56">
        <f>작성용!AA548</f>
        <v>202411</v>
      </c>
      <c r="W551" s="58" t="str">
        <f>작성용!AC548</f>
        <v>[6]기타기관펀드(기초자산)</v>
      </c>
      <c r="X551" s="58">
        <f>작성용!O548</f>
        <v>0</v>
      </c>
      <c r="Y551" s="58">
        <f>작성용!P548</f>
        <v>0</v>
      </c>
      <c r="Z551" s="58">
        <f>작성용!Q548</f>
        <v>0</v>
      </c>
      <c r="AA551" s="56" t="str">
        <f>작성용!AJ548</f>
        <v>-</v>
      </c>
      <c r="AB551" s="56">
        <f>작성용!AB548</f>
        <v>0</v>
      </c>
    </row>
    <row r="552" spans="1:28" s="12" customFormat="1" ht="16.5" hidden="1" customHeight="1" x14ac:dyDescent="0.3">
      <c r="A552" s="54">
        <f>작성용!AL549</f>
        <v>548</v>
      </c>
      <c r="B552" s="55" t="str">
        <f>작성용!AI549</f>
        <v>-</v>
      </c>
      <c r="C552" s="56" t="str">
        <f>작성용!AK549</f>
        <v>기초자산</v>
      </c>
      <c r="D552" s="57" t="str">
        <f>작성용!T549</f>
        <v>고려아연펀드(기초자산)</v>
      </c>
      <c r="E552" s="58" t="str">
        <f>작성용!B549</f>
        <v>키움뉴히어로6호창업초기펀드</v>
      </c>
      <c r="F552" s="58" t="str">
        <f>작성용!C549</f>
        <v>재평가</v>
      </c>
      <c r="G552" s="58" t="str">
        <f>작성용!D549</f>
        <v>바스플렉스</v>
      </c>
      <c r="H552" s="59">
        <f>작성용!E549</f>
        <v>1747110054283</v>
      </c>
      <c r="I552" s="58" t="str">
        <f>작성용!F549</f>
        <v>A07</v>
      </c>
      <c r="J552" s="58">
        <f>작성용!G549</f>
        <v>0</v>
      </c>
      <c r="K552" s="58" t="str">
        <f>작성용!H549</f>
        <v>-</v>
      </c>
      <c r="L552" s="58" t="str">
        <f>작성용!N549</f>
        <v>년</v>
      </c>
      <c r="M552" s="57" t="str">
        <f>작성용!U549</f>
        <v>2024.09.30</v>
      </c>
      <c r="N552" s="57">
        <f>작성용!V549</f>
        <v>45611</v>
      </c>
      <c r="O552" s="57" t="str">
        <f>작성용!W549</f>
        <v>보고서제공X</v>
      </c>
      <c r="P552" s="57" t="str">
        <f>작성용!X549</f>
        <v>-</v>
      </c>
      <c r="Q552" s="58" t="str">
        <f>작성용!AD549</f>
        <v>백형진</v>
      </c>
      <c r="R552" s="60">
        <f>작성용!AE549</f>
        <v>0</v>
      </c>
      <c r="S552" s="58" t="str">
        <f>작성용!AF549</f>
        <v>백형진</v>
      </c>
      <c r="T552" s="61" t="str">
        <f>작성용!AG549</f>
        <v>-</v>
      </c>
      <c r="U552" s="61" t="str">
        <f>작성용!AH549</f>
        <v>-</v>
      </c>
      <c r="V552" s="56">
        <f>작성용!AA549</f>
        <v>202411</v>
      </c>
      <c r="W552" s="58" t="str">
        <f>작성용!AC549</f>
        <v>[6]기타기관펀드(기초자산)</v>
      </c>
      <c r="X552" s="58">
        <f>작성용!O549</f>
        <v>0</v>
      </c>
      <c r="Y552" s="58">
        <f>작성용!P549</f>
        <v>0</v>
      </c>
      <c r="Z552" s="58">
        <f>작성용!Q549</f>
        <v>0</v>
      </c>
      <c r="AA552" s="56" t="str">
        <f>작성용!AJ549</f>
        <v>-</v>
      </c>
      <c r="AB552" s="56">
        <f>작성용!AB549</f>
        <v>0</v>
      </c>
    </row>
    <row r="553" spans="1:28" s="12" customFormat="1" ht="16.5" hidden="1" customHeight="1" x14ac:dyDescent="0.3">
      <c r="A553" s="54">
        <f>작성용!AL550</f>
        <v>549</v>
      </c>
      <c r="B553" s="55" t="str">
        <f>작성용!AI550</f>
        <v>-</v>
      </c>
      <c r="C553" s="56" t="str">
        <f>작성용!AK550</f>
        <v>기초자산</v>
      </c>
      <c r="D553" s="57" t="str">
        <f>작성용!T550</f>
        <v>고려아연펀드(기초자산)</v>
      </c>
      <c r="E553" s="58" t="str">
        <f>작성용!B550</f>
        <v>키움뉴히어로6호창업초기펀드</v>
      </c>
      <c r="F553" s="58" t="str">
        <f>작성용!C550</f>
        <v>재평가</v>
      </c>
      <c r="G553" s="58" t="str">
        <f>작성용!D550</f>
        <v>세진식품</v>
      </c>
      <c r="H553" s="59">
        <f>작성용!E550</f>
        <v>1648110014229</v>
      </c>
      <c r="I553" s="58" t="str">
        <f>작성용!F550</f>
        <v>D02</v>
      </c>
      <c r="J553" s="58">
        <f>작성용!G550</f>
        <v>0</v>
      </c>
      <c r="K553" s="58" t="str">
        <f>작성용!H550</f>
        <v>-</v>
      </c>
      <c r="L553" s="58" t="str">
        <f>작성용!N550</f>
        <v>년</v>
      </c>
      <c r="M553" s="57" t="str">
        <f>작성용!U550</f>
        <v>2024.09.30</v>
      </c>
      <c r="N553" s="57">
        <f>작성용!V550</f>
        <v>45611</v>
      </c>
      <c r="O553" s="57" t="str">
        <f>작성용!W550</f>
        <v>보고서제공X</v>
      </c>
      <c r="P553" s="57" t="str">
        <f>작성용!X550</f>
        <v>-</v>
      </c>
      <c r="Q553" s="58" t="str">
        <f>작성용!AD550</f>
        <v>최수민</v>
      </c>
      <c r="R553" s="60">
        <f>작성용!AE550</f>
        <v>0.6</v>
      </c>
      <c r="S553" s="58" t="str">
        <f>작성용!AF550</f>
        <v>최수민</v>
      </c>
      <c r="T553" s="61" t="str">
        <f>작성용!AG550</f>
        <v>-</v>
      </c>
      <c r="U553" s="61" t="str">
        <f>작성용!AH550</f>
        <v>-</v>
      </c>
      <c r="V553" s="56">
        <f>작성용!AA550</f>
        <v>202411</v>
      </c>
      <c r="W553" s="58" t="str">
        <f>작성용!AC550</f>
        <v>[6]기타기관펀드(기초자산)</v>
      </c>
      <c r="X553" s="58">
        <f>작성용!O550</f>
        <v>0</v>
      </c>
      <c r="Y553" s="58">
        <f>작성용!P550</f>
        <v>0</v>
      </c>
      <c r="Z553" s="58">
        <f>작성용!Q550</f>
        <v>0</v>
      </c>
      <c r="AA553" s="56" t="str">
        <f>작성용!AJ550</f>
        <v>-</v>
      </c>
      <c r="AB553" s="56">
        <f>작성용!AB550</f>
        <v>0</v>
      </c>
    </row>
    <row r="554" spans="1:28" s="12" customFormat="1" ht="16.5" hidden="1" customHeight="1" x14ac:dyDescent="0.3">
      <c r="A554" s="54">
        <f>작성용!AL551</f>
        <v>550</v>
      </c>
      <c r="B554" s="55" t="str">
        <f>작성용!AI551</f>
        <v>-</v>
      </c>
      <c r="C554" s="56" t="str">
        <f>작성용!AK551</f>
        <v>기초자산</v>
      </c>
      <c r="D554" s="57" t="str">
        <f>작성용!T551</f>
        <v>고려아연펀드(기초자산)</v>
      </c>
      <c r="E554" s="58" t="str">
        <f>작성용!B551</f>
        <v>키움뉴히어로6호창업초기펀드</v>
      </c>
      <c r="F554" s="58" t="str">
        <f>작성용!C551</f>
        <v>재평가</v>
      </c>
      <c r="G554" s="58" t="str">
        <f>작성용!D551</f>
        <v>마이크로트</v>
      </c>
      <c r="H554" s="59">
        <f>작성용!E551</f>
        <v>1101117334355</v>
      </c>
      <c r="I554" s="58" t="str">
        <f>작성용!F551</f>
        <v>A07</v>
      </c>
      <c r="J554" s="58">
        <f>작성용!G551</f>
        <v>0</v>
      </c>
      <c r="K554" s="58" t="str">
        <f>작성용!H551</f>
        <v>-</v>
      </c>
      <c r="L554" s="58" t="str">
        <f>작성용!N551</f>
        <v>년</v>
      </c>
      <c r="M554" s="57" t="str">
        <f>작성용!U551</f>
        <v>2024.09.30</v>
      </c>
      <c r="N554" s="57">
        <f>작성용!V551</f>
        <v>45611</v>
      </c>
      <c r="O554" s="57" t="str">
        <f>작성용!W551</f>
        <v>보고서제공X</v>
      </c>
      <c r="P554" s="57" t="str">
        <f>작성용!X551</f>
        <v>-</v>
      </c>
      <c r="Q554" s="58" t="str">
        <f>작성용!AD551</f>
        <v>이상민</v>
      </c>
      <c r="R554" s="60">
        <f>작성용!AE551</f>
        <v>0</v>
      </c>
      <c r="S554" s="58" t="str">
        <f>작성용!AF551</f>
        <v>이상민</v>
      </c>
      <c r="T554" s="61" t="str">
        <f>작성용!AG551</f>
        <v>-</v>
      </c>
      <c r="U554" s="61" t="str">
        <f>작성용!AH551</f>
        <v>-</v>
      </c>
      <c r="V554" s="56">
        <f>작성용!AA551</f>
        <v>202411</v>
      </c>
      <c r="W554" s="58" t="str">
        <f>작성용!AC551</f>
        <v>[6]기타기관펀드(기초자산)</v>
      </c>
      <c r="X554" s="58">
        <f>작성용!O551</f>
        <v>0</v>
      </c>
      <c r="Y554" s="58">
        <f>작성용!P551</f>
        <v>0</v>
      </c>
      <c r="Z554" s="58">
        <f>작성용!Q551</f>
        <v>0</v>
      </c>
      <c r="AA554" s="56" t="str">
        <f>작성용!AJ551</f>
        <v>-</v>
      </c>
      <c r="AB554" s="56">
        <f>작성용!AB551</f>
        <v>0</v>
      </c>
    </row>
    <row r="555" spans="1:28" s="12" customFormat="1" ht="16.5" hidden="1" customHeight="1" x14ac:dyDescent="0.3">
      <c r="A555" s="54">
        <f>작성용!AL552</f>
        <v>551</v>
      </c>
      <c r="B555" s="55" t="str">
        <f>작성용!AI552</f>
        <v>-</v>
      </c>
      <c r="C555" s="56" t="str">
        <f>작성용!AK552</f>
        <v>기초자산</v>
      </c>
      <c r="D555" s="57" t="str">
        <f>작성용!T552</f>
        <v>고려아연펀드(기초자산)</v>
      </c>
      <c r="E555" s="58" t="str">
        <f>작성용!B552</f>
        <v>키움뉴히어로6호창업초기펀드</v>
      </c>
      <c r="F555" s="58" t="str">
        <f>작성용!C552</f>
        <v>재평가</v>
      </c>
      <c r="G555" s="58" t="str">
        <f>작성용!D552</f>
        <v>서지넥스</v>
      </c>
      <c r="H555" s="59">
        <f>작성용!E552</f>
        <v>1101117616315</v>
      </c>
      <c r="I555" s="58" t="str">
        <f>작성용!F552</f>
        <v>A07</v>
      </c>
      <c r="J555" s="58">
        <f>작성용!G552</f>
        <v>0</v>
      </c>
      <c r="K555" s="58" t="str">
        <f>작성용!H552</f>
        <v>-</v>
      </c>
      <c r="L555" s="58" t="str">
        <f>작성용!N552</f>
        <v>년</v>
      </c>
      <c r="M555" s="57" t="str">
        <f>작성용!U552</f>
        <v>2024.09.30</v>
      </c>
      <c r="N555" s="57">
        <f>작성용!V552</f>
        <v>45611</v>
      </c>
      <c r="O555" s="57" t="str">
        <f>작성용!W552</f>
        <v>보고서제공X</v>
      </c>
      <c r="P555" s="57" t="str">
        <f>작성용!X552</f>
        <v>-</v>
      </c>
      <c r="Q555" s="58" t="str">
        <f>작성용!AD552</f>
        <v>이상민</v>
      </c>
      <c r="R555" s="60">
        <f>작성용!AE552</f>
        <v>0</v>
      </c>
      <c r="S555" s="58" t="str">
        <f>작성용!AF552</f>
        <v>이상민</v>
      </c>
      <c r="T555" s="61" t="str">
        <f>작성용!AG552</f>
        <v>-</v>
      </c>
      <c r="U555" s="61" t="str">
        <f>작성용!AH552</f>
        <v>-</v>
      </c>
      <c r="V555" s="56">
        <f>작성용!AA552</f>
        <v>202411</v>
      </c>
      <c r="W555" s="58" t="str">
        <f>작성용!AC552</f>
        <v>[6]기타기관펀드(기초자산)</v>
      </c>
      <c r="X555" s="58">
        <f>작성용!O552</f>
        <v>0</v>
      </c>
      <c r="Y555" s="58">
        <f>작성용!P552</f>
        <v>0</v>
      </c>
      <c r="Z555" s="58">
        <f>작성용!Q552</f>
        <v>0</v>
      </c>
      <c r="AA555" s="56" t="str">
        <f>작성용!AJ552</f>
        <v>-</v>
      </c>
      <c r="AB555" s="56">
        <f>작성용!AB552</f>
        <v>0</v>
      </c>
    </row>
    <row r="556" spans="1:28" s="12" customFormat="1" ht="16.5" hidden="1" customHeight="1" x14ac:dyDescent="0.3">
      <c r="A556" s="54">
        <f>작성용!AL553</f>
        <v>552</v>
      </c>
      <c r="B556" s="55" t="str">
        <f>작성용!AI553</f>
        <v>-</v>
      </c>
      <c r="C556" s="56" t="str">
        <f>작성용!AK553</f>
        <v>기초자산</v>
      </c>
      <c r="D556" s="57" t="str">
        <f>작성용!T553</f>
        <v>고려아연펀드(기초자산)</v>
      </c>
      <c r="E556" s="58" t="str">
        <f>작성용!B553</f>
        <v>타임폴리오바이오육성투자조합</v>
      </c>
      <c r="F556" s="58" t="str">
        <f>작성용!C553</f>
        <v>재평가</v>
      </c>
      <c r="G556" s="58" t="str">
        <f>작성용!D553</f>
        <v>매직불릿테라퓨틱스</v>
      </c>
      <c r="H556" s="59">
        <f>작성용!E553</f>
        <v>1101118283957</v>
      </c>
      <c r="I556" s="58" t="str">
        <f>작성용!F553</f>
        <v>A07</v>
      </c>
      <c r="J556" s="58">
        <f>작성용!G553</f>
        <v>0</v>
      </c>
      <c r="K556" s="58" t="str">
        <f>작성용!H553</f>
        <v>-</v>
      </c>
      <c r="L556" s="58" t="str">
        <f>작성용!N553</f>
        <v>년</v>
      </c>
      <c r="M556" s="57" t="str">
        <f>작성용!U553</f>
        <v>2024.09.30</v>
      </c>
      <c r="N556" s="57">
        <f>작성용!V553</f>
        <v>45611</v>
      </c>
      <c r="O556" s="57" t="str">
        <f>작성용!W553</f>
        <v>보고서제공X</v>
      </c>
      <c r="P556" s="57" t="str">
        <f>작성용!X553</f>
        <v>-</v>
      </c>
      <c r="Q556" s="58" t="str">
        <f>작성용!AD553</f>
        <v>오수현</v>
      </c>
      <c r="R556" s="60">
        <f>작성용!AE553</f>
        <v>0</v>
      </c>
      <c r="S556" s="58" t="str">
        <f>작성용!AF553</f>
        <v>오수현</v>
      </c>
      <c r="T556" s="61" t="str">
        <f>작성용!AG553</f>
        <v>-</v>
      </c>
      <c r="U556" s="61" t="str">
        <f>작성용!AH553</f>
        <v>-</v>
      </c>
      <c r="V556" s="56">
        <f>작성용!AA553</f>
        <v>202411</v>
      </c>
      <c r="W556" s="58" t="str">
        <f>작성용!AC553</f>
        <v>[6]기타기관펀드(기초자산)</v>
      </c>
      <c r="X556" s="58">
        <f>작성용!O553</f>
        <v>0</v>
      </c>
      <c r="Y556" s="58">
        <f>작성용!P553</f>
        <v>0</v>
      </c>
      <c r="Z556" s="58">
        <f>작성용!Q553</f>
        <v>0</v>
      </c>
      <c r="AA556" s="56" t="str">
        <f>작성용!AJ553</f>
        <v>-</v>
      </c>
      <c r="AB556" s="56">
        <f>작성용!AB553</f>
        <v>0</v>
      </c>
    </row>
    <row r="557" spans="1:28" s="12" customFormat="1" ht="16.5" hidden="1" customHeight="1" x14ac:dyDescent="0.3">
      <c r="A557" s="54">
        <f>작성용!AL554</f>
        <v>553</v>
      </c>
      <c r="B557" s="55" t="str">
        <f>작성용!AI554</f>
        <v>-</v>
      </c>
      <c r="C557" s="56" t="str">
        <f>작성용!AK554</f>
        <v>기초자산</v>
      </c>
      <c r="D557" s="57" t="str">
        <f>작성용!T554</f>
        <v>고려아연펀드(기초자산)</v>
      </c>
      <c r="E557" s="58" t="str">
        <f>작성용!B554</f>
        <v>타임폴리오바이오육성투자조합</v>
      </c>
      <c r="F557" s="58" t="str">
        <f>작성용!C554</f>
        <v>재평가</v>
      </c>
      <c r="G557" s="58" t="str">
        <f>작성용!D554</f>
        <v>아이엠바이오로직스</v>
      </c>
      <c r="H557" s="59">
        <f>작성용!E554</f>
        <v>1311110601384</v>
      </c>
      <c r="I557" s="58" t="str">
        <f>작성용!F554</f>
        <v>A07</v>
      </c>
      <c r="J557" s="58">
        <f>작성용!G554</f>
        <v>0</v>
      </c>
      <c r="K557" s="58" t="str">
        <f>작성용!H554</f>
        <v>-</v>
      </c>
      <c r="L557" s="58" t="str">
        <f>작성용!N554</f>
        <v>년</v>
      </c>
      <c r="M557" s="57" t="str">
        <f>작성용!U554</f>
        <v>2024.09.30</v>
      </c>
      <c r="N557" s="57">
        <f>작성용!V554</f>
        <v>45611</v>
      </c>
      <c r="O557" s="57" t="str">
        <f>작성용!W554</f>
        <v>보고서제공X</v>
      </c>
      <c r="P557" s="57" t="str">
        <f>작성용!X554</f>
        <v>-</v>
      </c>
      <c r="Q557" s="58" t="str">
        <f>작성용!AD554</f>
        <v>채동우</v>
      </c>
      <c r="R557" s="60">
        <f>작성용!AE554</f>
        <v>0.6</v>
      </c>
      <c r="S557" s="58" t="str">
        <f>작성용!AF554</f>
        <v>채동우</v>
      </c>
      <c r="T557" s="61" t="str">
        <f>작성용!AG554</f>
        <v>-</v>
      </c>
      <c r="U557" s="61" t="str">
        <f>작성용!AH554</f>
        <v>-</v>
      </c>
      <c r="V557" s="56">
        <f>작성용!AA554</f>
        <v>202411</v>
      </c>
      <c r="W557" s="58" t="str">
        <f>작성용!AC554</f>
        <v>[6]기타기관펀드(기초자산)</v>
      </c>
      <c r="X557" s="58">
        <f>작성용!O554</f>
        <v>0</v>
      </c>
      <c r="Y557" s="58">
        <f>작성용!P554</f>
        <v>0</v>
      </c>
      <c r="Z557" s="58">
        <f>작성용!Q554</f>
        <v>0</v>
      </c>
      <c r="AA557" s="56" t="str">
        <f>작성용!AJ554</f>
        <v>-</v>
      </c>
      <c r="AB557" s="56">
        <f>작성용!AB554</f>
        <v>0</v>
      </c>
    </row>
    <row r="558" spans="1:28" s="12" customFormat="1" ht="16.5" hidden="1" customHeight="1" x14ac:dyDescent="0.3">
      <c r="A558" s="54">
        <f>작성용!AL555</f>
        <v>554</v>
      </c>
      <c r="B558" s="55" t="str">
        <f>작성용!AI555</f>
        <v>-</v>
      </c>
      <c r="C558" s="56" t="str">
        <f>작성용!AK555</f>
        <v>기초자산</v>
      </c>
      <c r="D558" s="57" t="str">
        <f>작성용!T555</f>
        <v>고려아연펀드(기초자산)</v>
      </c>
      <c r="E558" s="58" t="str">
        <f>작성용!B555</f>
        <v>Primer Sazze Fund II</v>
      </c>
      <c r="F558" s="58" t="str">
        <f>작성용!C555</f>
        <v>재평가</v>
      </c>
      <c r="G558" s="58" t="str">
        <f>작성용!D555</f>
        <v>Medic Life Sciences</v>
      </c>
      <c r="H558" s="59" t="str">
        <f>작성용!E555</f>
        <v>KBP2023120081</v>
      </c>
      <c r="I558" s="58" t="str">
        <f>작성용!F555</f>
        <v>A04</v>
      </c>
      <c r="J558" s="58">
        <f>작성용!G555</f>
        <v>0</v>
      </c>
      <c r="K558" s="58" t="str">
        <f>작성용!H555</f>
        <v>-</v>
      </c>
      <c r="L558" s="58" t="str">
        <f>작성용!N555</f>
        <v>년</v>
      </c>
      <c r="M558" s="57" t="str">
        <f>작성용!U555</f>
        <v>2024.09.30</v>
      </c>
      <c r="N558" s="57">
        <f>작성용!V555</f>
        <v>45611</v>
      </c>
      <c r="O558" s="57" t="str">
        <f>작성용!W555</f>
        <v>보고서제공X</v>
      </c>
      <c r="P558" s="57" t="str">
        <f>작성용!X555</f>
        <v>-</v>
      </c>
      <c r="Q558" s="58" t="str">
        <f>작성용!AD555</f>
        <v>백형진</v>
      </c>
      <c r="R558" s="60">
        <f>작성용!AE555</f>
        <v>0</v>
      </c>
      <c r="S558" s="58" t="str">
        <f>작성용!AF555</f>
        <v>백형진</v>
      </c>
      <c r="T558" s="61" t="str">
        <f>작성용!AG555</f>
        <v>-</v>
      </c>
      <c r="U558" s="61" t="str">
        <f>작성용!AH555</f>
        <v>-</v>
      </c>
      <c r="V558" s="56">
        <f>작성용!AA555</f>
        <v>202411</v>
      </c>
      <c r="W558" s="58" t="str">
        <f>작성용!AC555</f>
        <v>[6]기타기관펀드(기초자산)</v>
      </c>
      <c r="X558" s="58">
        <f>작성용!O555</f>
        <v>0</v>
      </c>
      <c r="Y558" s="58">
        <f>작성용!P555</f>
        <v>0</v>
      </c>
      <c r="Z558" s="58">
        <f>작성용!Q555</f>
        <v>0</v>
      </c>
      <c r="AA558" s="56" t="str">
        <f>작성용!AJ555</f>
        <v>-</v>
      </c>
      <c r="AB558" s="56">
        <f>작성용!AB555</f>
        <v>0</v>
      </c>
    </row>
    <row r="559" spans="1:28" s="12" customFormat="1" ht="16.5" hidden="1" customHeight="1" x14ac:dyDescent="0.3">
      <c r="A559" s="54">
        <f>작성용!AL556</f>
        <v>555</v>
      </c>
      <c r="B559" s="55" t="str">
        <f>작성용!AI556</f>
        <v>-</v>
      </c>
      <c r="C559" s="56" t="str">
        <f>작성용!AK556</f>
        <v>기초자산</v>
      </c>
      <c r="D559" s="57" t="str">
        <f>작성용!T556</f>
        <v>고려아연펀드(기초자산)</v>
      </c>
      <c r="E559" s="58" t="str">
        <f>작성용!B556</f>
        <v>Primer Sazze Fund II</v>
      </c>
      <c r="F559" s="58" t="str">
        <f>작성용!C556</f>
        <v>재평가</v>
      </c>
      <c r="G559" s="58" t="str">
        <f>작성용!D556</f>
        <v>Swit Technologies, Inc.</v>
      </c>
      <c r="H559" s="59" t="str">
        <f>작성용!E556</f>
        <v>KBP2021120259</v>
      </c>
      <c r="I559" s="58" t="str">
        <f>작성용!F556</f>
        <v>D06</v>
      </c>
      <c r="J559" s="58">
        <f>작성용!G556</f>
        <v>0</v>
      </c>
      <c r="K559" s="58" t="str">
        <f>작성용!H556</f>
        <v>-</v>
      </c>
      <c r="L559" s="58" t="str">
        <f>작성용!N556</f>
        <v>년</v>
      </c>
      <c r="M559" s="57" t="str">
        <f>작성용!U556</f>
        <v>2024.09.30</v>
      </c>
      <c r="N559" s="57">
        <f>작성용!V556</f>
        <v>45611</v>
      </c>
      <c r="O559" s="57" t="str">
        <f>작성용!W556</f>
        <v>보고서제공X</v>
      </c>
      <c r="P559" s="57" t="str">
        <f>작성용!X556</f>
        <v>-</v>
      </c>
      <c r="Q559" s="58" t="str">
        <f>작성용!AD556</f>
        <v>원정우</v>
      </c>
      <c r="R559" s="60">
        <f>작성용!AE556</f>
        <v>0</v>
      </c>
      <c r="S559" s="58" t="str">
        <f>작성용!AF556</f>
        <v>김범준</v>
      </c>
      <c r="T559" s="61" t="str">
        <f>작성용!AG556</f>
        <v>-</v>
      </c>
      <c r="U559" s="61" t="str">
        <f>작성용!AH556</f>
        <v>-</v>
      </c>
      <c r="V559" s="56">
        <f>작성용!AA556</f>
        <v>202411</v>
      </c>
      <c r="W559" s="58" t="str">
        <f>작성용!AC556</f>
        <v>[6]기타기관펀드(기초자산)</v>
      </c>
      <c r="X559" s="58">
        <f>작성용!O556</f>
        <v>0</v>
      </c>
      <c r="Y559" s="58">
        <f>작성용!P556</f>
        <v>0</v>
      </c>
      <c r="Z559" s="58">
        <f>작성용!Q556</f>
        <v>0</v>
      </c>
      <c r="AA559" s="56" t="str">
        <f>작성용!AJ556</f>
        <v>-</v>
      </c>
      <c r="AB559" s="56">
        <f>작성용!AB556</f>
        <v>0</v>
      </c>
    </row>
    <row r="560" spans="1:28" s="12" customFormat="1" ht="16.5" hidden="1" customHeight="1" x14ac:dyDescent="0.3">
      <c r="A560" s="54">
        <f>작성용!AL557</f>
        <v>556</v>
      </c>
      <c r="B560" s="55" t="str">
        <f>작성용!AI557</f>
        <v>-</v>
      </c>
      <c r="C560" s="56" t="str">
        <f>작성용!AK557</f>
        <v>기초자산</v>
      </c>
      <c r="D560" s="57" t="str">
        <f>작성용!T557</f>
        <v>고려아연펀드(기초자산)</v>
      </c>
      <c r="E560" s="58" t="str">
        <f>작성용!B557</f>
        <v>Primer Sazze Fund II</v>
      </c>
      <c r="F560" s="58" t="str">
        <f>작성용!C557</f>
        <v>재평가</v>
      </c>
      <c r="G560" s="58" t="str">
        <f>작성용!D557</f>
        <v>Tamade(Flowly)</v>
      </c>
      <c r="H560" s="59" t="str">
        <f>작성용!E557</f>
        <v>KBP2023120082</v>
      </c>
      <c r="I560" s="58" t="str">
        <f>작성용!F557</f>
        <v>D06</v>
      </c>
      <c r="J560" s="58">
        <f>작성용!G557</f>
        <v>0</v>
      </c>
      <c r="K560" s="58" t="str">
        <f>작성용!H557</f>
        <v>-</v>
      </c>
      <c r="L560" s="58" t="str">
        <f>작성용!N557</f>
        <v>년</v>
      </c>
      <c r="M560" s="57" t="str">
        <f>작성용!U557</f>
        <v>2024.09.30</v>
      </c>
      <c r="N560" s="57">
        <f>작성용!V557</f>
        <v>45611</v>
      </c>
      <c r="O560" s="57" t="str">
        <f>작성용!W557</f>
        <v>보고서제공X</v>
      </c>
      <c r="P560" s="57" t="str">
        <f>작성용!X557</f>
        <v>-</v>
      </c>
      <c r="Q560" s="58" t="str">
        <f>작성용!AD557</f>
        <v>서동현</v>
      </c>
      <c r="R560" s="60">
        <f>작성용!AE557</f>
        <v>0</v>
      </c>
      <c r="S560" s="58" t="str">
        <f>작성용!AF557</f>
        <v>서동현</v>
      </c>
      <c r="T560" s="61" t="str">
        <f>작성용!AG557</f>
        <v>-</v>
      </c>
      <c r="U560" s="61" t="str">
        <f>작성용!AH557</f>
        <v>-</v>
      </c>
      <c r="V560" s="56">
        <f>작성용!AA557</f>
        <v>202411</v>
      </c>
      <c r="W560" s="58" t="str">
        <f>작성용!AC557</f>
        <v>[6]기타기관펀드(기초자산)</v>
      </c>
      <c r="X560" s="58">
        <f>작성용!O557</f>
        <v>0</v>
      </c>
      <c r="Y560" s="58">
        <f>작성용!P557</f>
        <v>0</v>
      </c>
      <c r="Z560" s="58">
        <f>작성용!Q557</f>
        <v>0</v>
      </c>
      <c r="AA560" s="56" t="str">
        <f>작성용!AJ557</f>
        <v>-</v>
      </c>
      <c r="AB560" s="56">
        <f>작성용!AB557</f>
        <v>0</v>
      </c>
    </row>
    <row r="561" spans="1:28" s="12" customFormat="1" ht="16.5" hidden="1" customHeight="1" x14ac:dyDescent="0.3">
      <c r="A561" s="54">
        <f>작성용!AL558</f>
        <v>557</v>
      </c>
      <c r="B561" s="55" t="str">
        <f>작성용!AI558</f>
        <v>-</v>
      </c>
      <c r="C561" s="56" t="str">
        <f>작성용!AK558</f>
        <v>기초자산</v>
      </c>
      <c r="D561" s="57" t="str">
        <f>작성용!T558</f>
        <v>고려아연펀드(기초자산)</v>
      </c>
      <c r="E561" s="58" t="str">
        <f>작성용!B558</f>
        <v>Primer Sazze Fund II</v>
      </c>
      <c r="F561" s="58" t="str">
        <f>작성용!C558</f>
        <v>재평가</v>
      </c>
      <c r="G561" s="58" t="str">
        <f>작성용!D558</f>
        <v>클래스유</v>
      </c>
      <c r="H561" s="59">
        <f>작성용!E558</f>
        <v>1101116124666</v>
      </c>
      <c r="I561" s="58" t="str">
        <f>작성용!F558</f>
        <v>A01</v>
      </c>
      <c r="J561" s="58">
        <f>작성용!G558</f>
        <v>0</v>
      </c>
      <c r="K561" s="58" t="str">
        <f>작성용!H558</f>
        <v>-</v>
      </c>
      <c r="L561" s="58" t="str">
        <f>작성용!N558</f>
        <v>년</v>
      </c>
      <c r="M561" s="57" t="str">
        <f>작성용!U558</f>
        <v>2024.09.30</v>
      </c>
      <c r="N561" s="57">
        <f>작성용!V558</f>
        <v>45611</v>
      </c>
      <c r="O561" s="57" t="str">
        <f>작성용!W558</f>
        <v>보고서제공X</v>
      </c>
      <c r="P561" s="57" t="str">
        <f>작성용!X558</f>
        <v>-</v>
      </c>
      <c r="Q561" s="58" t="str">
        <f>작성용!AD558</f>
        <v>김수현</v>
      </c>
      <c r="R561" s="60">
        <f>작성용!AE558</f>
        <v>0</v>
      </c>
      <c r="S561" s="58" t="str">
        <f>작성용!AF558</f>
        <v>김수현</v>
      </c>
      <c r="T561" s="61" t="str">
        <f>작성용!AG558</f>
        <v>-</v>
      </c>
      <c r="U561" s="61" t="str">
        <f>작성용!AH558</f>
        <v>-</v>
      </c>
      <c r="V561" s="56">
        <f>작성용!AA558</f>
        <v>202411</v>
      </c>
      <c r="W561" s="58" t="str">
        <f>작성용!AC558</f>
        <v>[6]기타기관펀드(기초자산)</v>
      </c>
      <c r="X561" s="58">
        <f>작성용!O558</f>
        <v>0</v>
      </c>
      <c r="Y561" s="58">
        <f>작성용!P558</f>
        <v>0</v>
      </c>
      <c r="Z561" s="58">
        <f>작성용!Q558</f>
        <v>0</v>
      </c>
      <c r="AA561" s="56" t="str">
        <f>작성용!AJ558</f>
        <v>-</v>
      </c>
      <c r="AB561" s="56">
        <f>작성용!AB558</f>
        <v>0</v>
      </c>
    </row>
    <row r="562" spans="1:28" s="12" customFormat="1" ht="16.5" hidden="1" customHeight="1" x14ac:dyDescent="0.3">
      <c r="A562" s="54">
        <f>작성용!AL559</f>
        <v>558</v>
      </c>
      <c r="B562" s="55" t="str">
        <f>작성용!AI559</f>
        <v>-</v>
      </c>
      <c r="C562" s="56" t="str">
        <f>작성용!AK559</f>
        <v>기초자산</v>
      </c>
      <c r="D562" s="57" t="str">
        <f>작성용!T559</f>
        <v>고려아연펀드(기초자산)</v>
      </c>
      <c r="E562" s="58" t="str">
        <f>작성용!B559</f>
        <v>Primer Sazze Fund II</v>
      </c>
      <c r="F562" s="58" t="str">
        <f>작성용!C559</f>
        <v>재평가</v>
      </c>
      <c r="G562" s="58" t="str">
        <f>작성용!D559</f>
        <v>Chartmetric</v>
      </c>
      <c r="H562" s="59" t="str">
        <f>작성용!E559</f>
        <v>KBP2023120083</v>
      </c>
      <c r="I562" s="58" t="str">
        <f>작성용!F559</f>
        <v>A01</v>
      </c>
      <c r="J562" s="58">
        <f>작성용!G559</f>
        <v>0</v>
      </c>
      <c r="K562" s="58" t="str">
        <f>작성용!H559</f>
        <v>-</v>
      </c>
      <c r="L562" s="58" t="str">
        <f>작성용!N559</f>
        <v>년</v>
      </c>
      <c r="M562" s="57" t="str">
        <f>작성용!U559</f>
        <v>2024.09.30</v>
      </c>
      <c r="N562" s="57">
        <f>작성용!V559</f>
        <v>45611</v>
      </c>
      <c r="O562" s="57" t="str">
        <f>작성용!W559</f>
        <v>보고서제공X</v>
      </c>
      <c r="P562" s="57" t="str">
        <f>작성용!X559</f>
        <v>-</v>
      </c>
      <c r="Q562" s="58" t="str">
        <f>작성용!AD559</f>
        <v>오수현</v>
      </c>
      <c r="R562" s="60">
        <f>작성용!AE559</f>
        <v>0</v>
      </c>
      <c r="S562" s="58" t="str">
        <f>작성용!AF559</f>
        <v>오수현</v>
      </c>
      <c r="T562" s="61" t="str">
        <f>작성용!AG559</f>
        <v>-</v>
      </c>
      <c r="U562" s="61" t="str">
        <f>작성용!AH559</f>
        <v>-</v>
      </c>
      <c r="V562" s="56">
        <f>작성용!AA559</f>
        <v>202411</v>
      </c>
      <c r="W562" s="58" t="str">
        <f>작성용!AC559</f>
        <v>[6]기타기관펀드(기초자산)</v>
      </c>
      <c r="X562" s="58">
        <f>작성용!O559</f>
        <v>0</v>
      </c>
      <c r="Y562" s="58">
        <f>작성용!P559</f>
        <v>0</v>
      </c>
      <c r="Z562" s="58">
        <f>작성용!Q559</f>
        <v>0</v>
      </c>
      <c r="AA562" s="56" t="str">
        <f>작성용!AJ559</f>
        <v>-</v>
      </c>
      <c r="AB562" s="56">
        <f>작성용!AB559</f>
        <v>0</v>
      </c>
    </row>
    <row r="563" spans="1:28" s="12" customFormat="1" ht="16.5" hidden="1" customHeight="1" x14ac:dyDescent="0.3">
      <c r="A563" s="54">
        <f>작성용!AL560</f>
        <v>559</v>
      </c>
      <c r="B563" s="55" t="str">
        <f>작성용!AI560</f>
        <v>-</v>
      </c>
      <c r="C563" s="56" t="str">
        <f>작성용!AK560</f>
        <v>기초자산</v>
      </c>
      <c r="D563" s="57" t="str">
        <f>작성용!T560</f>
        <v>고려아연펀드(기초자산)</v>
      </c>
      <c r="E563" s="58" t="str">
        <f>작성용!B560</f>
        <v>Primer Sazze Fund II</v>
      </c>
      <c r="F563" s="58" t="str">
        <f>작성용!C560</f>
        <v>재평가</v>
      </c>
      <c r="G563" s="58" t="str">
        <f>작성용!D560</f>
        <v>Glassdome, Inc</v>
      </c>
      <c r="H563" s="59" t="str">
        <f>작성용!E560</f>
        <v>KBP2023060092</v>
      </c>
      <c r="I563" s="58" t="str">
        <f>작성용!F560</f>
        <v>A04</v>
      </c>
      <c r="J563" s="58">
        <f>작성용!G560</f>
        <v>0</v>
      </c>
      <c r="K563" s="58" t="str">
        <f>작성용!H560</f>
        <v>-</v>
      </c>
      <c r="L563" s="58" t="str">
        <f>작성용!N560</f>
        <v>년</v>
      </c>
      <c r="M563" s="57" t="str">
        <f>작성용!U560</f>
        <v>2024.09.30</v>
      </c>
      <c r="N563" s="57">
        <f>작성용!V560</f>
        <v>45611</v>
      </c>
      <c r="O563" s="57" t="str">
        <f>작성용!W560</f>
        <v>보고서제공X</v>
      </c>
      <c r="P563" s="57" t="str">
        <f>작성용!X560</f>
        <v>-</v>
      </c>
      <c r="Q563" s="58" t="str">
        <f>작성용!AD560</f>
        <v>강승현</v>
      </c>
      <c r="R563" s="60">
        <f>작성용!AE560</f>
        <v>0</v>
      </c>
      <c r="S563" s="58" t="str">
        <f>작성용!AF560</f>
        <v>강승현</v>
      </c>
      <c r="T563" s="61" t="str">
        <f>작성용!AG560</f>
        <v>-</v>
      </c>
      <c r="U563" s="61" t="str">
        <f>작성용!AH560</f>
        <v>-</v>
      </c>
      <c r="V563" s="56">
        <f>작성용!AA560</f>
        <v>202411</v>
      </c>
      <c r="W563" s="58" t="str">
        <f>작성용!AC560</f>
        <v>[6]기타기관펀드(기초자산)</v>
      </c>
      <c r="X563" s="58">
        <f>작성용!O560</f>
        <v>0</v>
      </c>
      <c r="Y563" s="58">
        <f>작성용!P560</f>
        <v>0</v>
      </c>
      <c r="Z563" s="58">
        <f>작성용!Q560</f>
        <v>0</v>
      </c>
      <c r="AA563" s="56" t="str">
        <f>작성용!AJ560</f>
        <v>-</v>
      </c>
      <c r="AB563" s="56">
        <f>작성용!AB560</f>
        <v>0</v>
      </c>
    </row>
    <row r="564" spans="1:28" s="12" customFormat="1" ht="16.5" hidden="1" customHeight="1" x14ac:dyDescent="0.3">
      <c r="A564" s="54">
        <f>작성용!AL561</f>
        <v>560</v>
      </c>
      <c r="B564" s="55" t="str">
        <f>작성용!AI561</f>
        <v>-</v>
      </c>
      <c r="C564" s="56" t="str">
        <f>작성용!AK561</f>
        <v>기초자산</v>
      </c>
      <c r="D564" s="57" t="str">
        <f>작성용!T561</f>
        <v>고려아연펀드(기초자산)</v>
      </c>
      <c r="E564" s="58" t="str">
        <f>작성용!B561</f>
        <v>Primer Sazze Fund II</v>
      </c>
      <c r="F564" s="58" t="str">
        <f>작성용!C561</f>
        <v>재평가</v>
      </c>
      <c r="G564" s="58" t="str">
        <f>작성용!D561</f>
        <v>Luckmon</v>
      </c>
      <c r="H564" s="59" t="str">
        <f>작성용!E561</f>
        <v>KBP2023120084</v>
      </c>
      <c r="I564" s="58" t="str">
        <f>작성용!F561</f>
        <v>D06</v>
      </c>
      <c r="J564" s="58">
        <f>작성용!G561</f>
        <v>0</v>
      </c>
      <c r="K564" s="58" t="str">
        <f>작성용!H561</f>
        <v>-</v>
      </c>
      <c r="L564" s="58" t="str">
        <f>작성용!N561</f>
        <v>년</v>
      </c>
      <c r="M564" s="57" t="str">
        <f>작성용!U561</f>
        <v>2024.09.30</v>
      </c>
      <c r="N564" s="57">
        <f>작성용!V561</f>
        <v>45611</v>
      </c>
      <c r="O564" s="57" t="str">
        <f>작성용!W561</f>
        <v>보고서제공X</v>
      </c>
      <c r="P564" s="57" t="str">
        <f>작성용!X561</f>
        <v>-</v>
      </c>
      <c r="Q564" s="58" t="str">
        <f>작성용!AD561</f>
        <v>이문수</v>
      </c>
      <c r="R564" s="60">
        <f>작성용!AE561</f>
        <v>0</v>
      </c>
      <c r="S564" s="58" t="str">
        <f>작성용!AF561</f>
        <v>이문수</v>
      </c>
      <c r="T564" s="61" t="str">
        <f>작성용!AG561</f>
        <v>-</v>
      </c>
      <c r="U564" s="61" t="str">
        <f>작성용!AH561</f>
        <v>-</v>
      </c>
      <c r="V564" s="56">
        <f>작성용!AA561</f>
        <v>202411</v>
      </c>
      <c r="W564" s="58" t="str">
        <f>작성용!AC561</f>
        <v>[6]기타기관펀드(기초자산)</v>
      </c>
      <c r="X564" s="58">
        <f>작성용!O561</f>
        <v>0</v>
      </c>
      <c r="Y564" s="58">
        <f>작성용!P561</f>
        <v>0</v>
      </c>
      <c r="Z564" s="58">
        <f>작성용!Q561</f>
        <v>0</v>
      </c>
      <c r="AA564" s="56" t="str">
        <f>작성용!AJ561</f>
        <v>-</v>
      </c>
      <c r="AB564" s="56">
        <f>작성용!AB561</f>
        <v>0</v>
      </c>
    </row>
    <row r="565" spans="1:28" s="12" customFormat="1" ht="16.5" hidden="1" customHeight="1" x14ac:dyDescent="0.3">
      <c r="A565" s="54">
        <f>작성용!AL562</f>
        <v>561</v>
      </c>
      <c r="B565" s="55" t="str">
        <f>작성용!AI562</f>
        <v>-</v>
      </c>
      <c r="C565" s="56" t="str">
        <f>작성용!AK562</f>
        <v>기초자산</v>
      </c>
      <c r="D565" s="57" t="str">
        <f>작성용!T562</f>
        <v>고려아연펀드(기초자산)</v>
      </c>
      <c r="E565" s="58" t="str">
        <f>작성용!B562</f>
        <v>Primer Sazze Fund II</v>
      </c>
      <c r="F565" s="58" t="str">
        <f>작성용!C562</f>
        <v>재평가</v>
      </c>
      <c r="G565" s="58" t="str">
        <f>작성용!D562</f>
        <v>OpenAxis</v>
      </c>
      <c r="H565" s="59" t="str">
        <f>작성용!E562</f>
        <v>KBP2023120085</v>
      </c>
      <c r="I565" s="58" t="str">
        <f>작성용!F562</f>
        <v>D06</v>
      </c>
      <c r="J565" s="58">
        <f>작성용!G562</f>
        <v>0</v>
      </c>
      <c r="K565" s="58" t="str">
        <f>작성용!H562</f>
        <v>-</v>
      </c>
      <c r="L565" s="58" t="str">
        <f>작성용!N562</f>
        <v>년</v>
      </c>
      <c r="M565" s="57" t="str">
        <f>작성용!U562</f>
        <v>2024.09.30</v>
      </c>
      <c r="N565" s="57">
        <f>작성용!V562</f>
        <v>45611</v>
      </c>
      <c r="O565" s="57" t="str">
        <f>작성용!W562</f>
        <v>보고서제공X</v>
      </c>
      <c r="P565" s="57" t="str">
        <f>작성용!X562</f>
        <v>-</v>
      </c>
      <c r="Q565" s="58" t="str">
        <f>작성용!AD562</f>
        <v>이상민</v>
      </c>
      <c r="R565" s="60">
        <f>작성용!AE562</f>
        <v>0</v>
      </c>
      <c r="S565" s="58" t="str">
        <f>작성용!AF562</f>
        <v>고명주</v>
      </c>
      <c r="T565" s="61" t="str">
        <f>작성용!AG562</f>
        <v>-</v>
      </c>
      <c r="U565" s="61" t="str">
        <f>작성용!AH562</f>
        <v>-</v>
      </c>
      <c r="V565" s="56">
        <f>작성용!AA562</f>
        <v>202411</v>
      </c>
      <c r="W565" s="58" t="str">
        <f>작성용!AC562</f>
        <v>[6]기타기관펀드(기초자산)</v>
      </c>
      <c r="X565" s="58">
        <f>작성용!O562</f>
        <v>0</v>
      </c>
      <c r="Y565" s="58">
        <f>작성용!P562</f>
        <v>0</v>
      </c>
      <c r="Z565" s="58">
        <f>작성용!Q562</f>
        <v>0</v>
      </c>
      <c r="AA565" s="56" t="str">
        <f>작성용!AJ562</f>
        <v>-</v>
      </c>
      <c r="AB565" s="56">
        <f>작성용!AB562</f>
        <v>0</v>
      </c>
    </row>
    <row r="566" spans="1:28" s="12" customFormat="1" ht="16.5" hidden="1" customHeight="1" x14ac:dyDescent="0.3">
      <c r="A566" s="54">
        <f>작성용!AL563</f>
        <v>562</v>
      </c>
      <c r="B566" s="55" t="str">
        <f>작성용!AI563</f>
        <v>-</v>
      </c>
      <c r="C566" s="56" t="str">
        <f>작성용!AK563</f>
        <v>기초자산</v>
      </c>
      <c r="D566" s="57" t="str">
        <f>작성용!T563</f>
        <v>고려아연펀드(기초자산)</v>
      </c>
      <c r="E566" s="58" t="str">
        <f>작성용!B563</f>
        <v>Primer Sazze Fund II</v>
      </c>
      <c r="F566" s="58" t="str">
        <f>작성용!C563</f>
        <v>재평가</v>
      </c>
      <c r="G566" s="58" t="str">
        <f>작성용!D563</f>
        <v>en-dolphin corp.</v>
      </c>
      <c r="H566" s="59" t="str">
        <f>작성용!E563</f>
        <v>KBP2023060083</v>
      </c>
      <c r="I566" s="58" t="str">
        <f>작성용!F563</f>
        <v>A04</v>
      </c>
      <c r="J566" s="58">
        <f>작성용!G563</f>
        <v>0</v>
      </c>
      <c r="K566" s="58" t="str">
        <f>작성용!H563</f>
        <v>-</v>
      </c>
      <c r="L566" s="58" t="str">
        <f>작성용!N563</f>
        <v>년</v>
      </c>
      <c r="M566" s="57" t="str">
        <f>작성용!U563</f>
        <v>2024.09.30</v>
      </c>
      <c r="N566" s="57">
        <f>작성용!V563</f>
        <v>45611</v>
      </c>
      <c r="O566" s="57" t="str">
        <f>작성용!W563</f>
        <v>보고서제공X</v>
      </c>
      <c r="P566" s="57" t="str">
        <f>작성용!X563</f>
        <v>-</v>
      </c>
      <c r="Q566" s="58" t="str">
        <f>작성용!AD563</f>
        <v>정재형</v>
      </c>
      <c r="R566" s="60">
        <f>작성용!AE563</f>
        <v>0.6</v>
      </c>
      <c r="S566" s="58" t="str">
        <f>작성용!AF563</f>
        <v>정재형</v>
      </c>
      <c r="T566" s="61" t="str">
        <f>작성용!AG563</f>
        <v>-</v>
      </c>
      <c r="U566" s="61" t="str">
        <f>작성용!AH563</f>
        <v>-</v>
      </c>
      <c r="V566" s="56">
        <f>작성용!AA563</f>
        <v>202411</v>
      </c>
      <c r="W566" s="58" t="str">
        <f>작성용!AC563</f>
        <v>[6]기타기관펀드(기초자산)</v>
      </c>
      <c r="X566" s="58">
        <f>작성용!O563</f>
        <v>0</v>
      </c>
      <c r="Y566" s="58">
        <f>작성용!P563</f>
        <v>0</v>
      </c>
      <c r="Z566" s="58">
        <f>작성용!Q563</f>
        <v>0</v>
      </c>
      <c r="AA566" s="56" t="str">
        <f>작성용!AJ563</f>
        <v>-</v>
      </c>
      <c r="AB566" s="56">
        <f>작성용!AB563</f>
        <v>0</v>
      </c>
    </row>
    <row r="567" spans="1:28" s="12" customFormat="1" ht="16.5" hidden="1" customHeight="1" x14ac:dyDescent="0.3">
      <c r="A567" s="54">
        <f>작성용!AL564</f>
        <v>563</v>
      </c>
      <c r="B567" s="55" t="str">
        <f>작성용!AI564</f>
        <v>-</v>
      </c>
      <c r="C567" s="56" t="str">
        <f>작성용!AK564</f>
        <v>기초자산</v>
      </c>
      <c r="D567" s="57" t="str">
        <f>작성용!T564</f>
        <v>고려아연펀드(기초자산)</v>
      </c>
      <c r="E567" s="58" t="str">
        <f>작성용!B564</f>
        <v>Primer Sazze Fund II</v>
      </c>
      <c r="F567" s="58" t="str">
        <f>작성용!C564</f>
        <v>재평가</v>
      </c>
      <c r="G567" s="58" t="str">
        <f>작성용!D564</f>
        <v>Chequer Global, Inc.</v>
      </c>
      <c r="H567" s="59" t="str">
        <f>작성용!E564</f>
        <v>KBP2022030084</v>
      </c>
      <c r="I567" s="58" t="str">
        <f>작성용!F564</f>
        <v>A04</v>
      </c>
      <c r="J567" s="58">
        <f>작성용!G564</f>
        <v>0</v>
      </c>
      <c r="K567" s="58" t="str">
        <f>작성용!H564</f>
        <v>-</v>
      </c>
      <c r="L567" s="58" t="str">
        <f>작성용!N564</f>
        <v>년</v>
      </c>
      <c r="M567" s="57" t="str">
        <f>작성용!U564</f>
        <v>2024.09.30</v>
      </c>
      <c r="N567" s="57">
        <f>작성용!V564</f>
        <v>45611</v>
      </c>
      <c r="O567" s="57" t="str">
        <f>작성용!W564</f>
        <v>보고서제공X</v>
      </c>
      <c r="P567" s="57" t="str">
        <f>작성용!X564</f>
        <v>-</v>
      </c>
      <c r="Q567" s="58" t="str">
        <f>작성용!AD564</f>
        <v>이진주</v>
      </c>
      <c r="R567" s="60">
        <f>작성용!AE564</f>
        <v>0.6</v>
      </c>
      <c r="S567" s="58" t="str">
        <f>작성용!AF564</f>
        <v>김범준</v>
      </c>
      <c r="T567" s="61" t="str">
        <f>작성용!AG564</f>
        <v>-</v>
      </c>
      <c r="U567" s="61" t="str">
        <f>작성용!AH564</f>
        <v>-</v>
      </c>
      <c r="V567" s="56">
        <f>작성용!AA564</f>
        <v>202411</v>
      </c>
      <c r="W567" s="58" t="str">
        <f>작성용!AC564</f>
        <v>[6]기타기관펀드(기초자산)</v>
      </c>
      <c r="X567" s="58">
        <f>작성용!O564</f>
        <v>0</v>
      </c>
      <c r="Y567" s="58">
        <f>작성용!P564</f>
        <v>0</v>
      </c>
      <c r="Z567" s="58">
        <f>작성용!Q564</f>
        <v>0</v>
      </c>
      <c r="AA567" s="56" t="str">
        <f>작성용!AJ564</f>
        <v>-</v>
      </c>
      <c r="AB567" s="56">
        <f>작성용!AB564</f>
        <v>0</v>
      </c>
    </row>
    <row r="568" spans="1:28" s="12" customFormat="1" ht="16.5" hidden="1" customHeight="1" x14ac:dyDescent="0.3">
      <c r="A568" s="54">
        <f>작성용!AL565</f>
        <v>564</v>
      </c>
      <c r="B568" s="55" t="str">
        <f>작성용!AI565</f>
        <v>-</v>
      </c>
      <c r="C568" s="56" t="str">
        <f>작성용!AK565</f>
        <v>기초자산</v>
      </c>
      <c r="D568" s="57" t="str">
        <f>작성용!T565</f>
        <v>고려아연펀드(기초자산)</v>
      </c>
      <c r="E568" s="58" t="str">
        <f>작성용!B565</f>
        <v>Primer Sazze Fund II</v>
      </c>
      <c r="F568" s="58" t="str">
        <f>작성용!C565</f>
        <v>재평가</v>
      </c>
      <c r="G568" s="58" t="str">
        <f>작성용!D565</f>
        <v>Nitra</v>
      </c>
      <c r="H568" s="59" t="str">
        <f>작성용!E565</f>
        <v>KBP2023120086</v>
      </c>
      <c r="I568" s="58" t="str">
        <f>작성용!F565</f>
        <v>D06</v>
      </c>
      <c r="J568" s="58">
        <f>작성용!G565</f>
        <v>0</v>
      </c>
      <c r="K568" s="58" t="str">
        <f>작성용!H565</f>
        <v>-</v>
      </c>
      <c r="L568" s="58" t="str">
        <f>작성용!N565</f>
        <v>년</v>
      </c>
      <c r="M568" s="57" t="str">
        <f>작성용!U565</f>
        <v>2024.09.30</v>
      </c>
      <c r="N568" s="57">
        <f>작성용!V565</f>
        <v>45611</v>
      </c>
      <c r="O568" s="57" t="str">
        <f>작성용!W565</f>
        <v>보고서제공X</v>
      </c>
      <c r="P568" s="57" t="str">
        <f>작성용!X565</f>
        <v>-</v>
      </c>
      <c r="Q568" s="58" t="str">
        <f>작성용!AD565</f>
        <v>정재형</v>
      </c>
      <c r="R568" s="60">
        <f>작성용!AE565</f>
        <v>0</v>
      </c>
      <c r="S568" s="58" t="str">
        <f>작성용!AF565</f>
        <v>정재형</v>
      </c>
      <c r="T568" s="61" t="str">
        <f>작성용!AG565</f>
        <v>-</v>
      </c>
      <c r="U568" s="61" t="str">
        <f>작성용!AH565</f>
        <v>-</v>
      </c>
      <c r="V568" s="56">
        <f>작성용!AA565</f>
        <v>202411</v>
      </c>
      <c r="W568" s="58" t="str">
        <f>작성용!AC565</f>
        <v>[6]기타기관펀드(기초자산)</v>
      </c>
      <c r="X568" s="58">
        <f>작성용!O565</f>
        <v>0</v>
      </c>
      <c r="Y568" s="58">
        <f>작성용!P565</f>
        <v>0</v>
      </c>
      <c r="Z568" s="58">
        <f>작성용!Q565</f>
        <v>0</v>
      </c>
      <c r="AA568" s="56" t="str">
        <f>작성용!AJ565</f>
        <v>-</v>
      </c>
      <c r="AB568" s="56">
        <f>작성용!AB565</f>
        <v>0</v>
      </c>
    </row>
    <row r="569" spans="1:28" s="12" customFormat="1" ht="16.5" hidden="1" customHeight="1" x14ac:dyDescent="0.3">
      <c r="A569" s="54">
        <f>작성용!AL566</f>
        <v>565</v>
      </c>
      <c r="B569" s="55" t="str">
        <f>작성용!AI566</f>
        <v>-</v>
      </c>
      <c r="C569" s="56" t="str">
        <f>작성용!AK566</f>
        <v>기초자산</v>
      </c>
      <c r="D569" s="57" t="str">
        <f>작성용!T566</f>
        <v>고려아연펀드(기초자산)</v>
      </c>
      <c r="E569" s="58" t="str">
        <f>작성용!B566</f>
        <v>Primer Sazze Fund II</v>
      </c>
      <c r="F569" s="58" t="str">
        <f>작성용!C566</f>
        <v>재평가</v>
      </c>
      <c r="G569" s="58" t="str">
        <f>작성용!D566</f>
        <v>지구인컴퍼니</v>
      </c>
      <c r="H569" s="59">
        <f>작성용!E566</f>
        <v>1101116472924</v>
      </c>
      <c r="I569" s="58" t="str">
        <f>작성용!F566</f>
        <v>A07</v>
      </c>
      <c r="J569" s="58">
        <f>작성용!G566</f>
        <v>4</v>
      </c>
      <c r="K569" s="58" t="str">
        <f>작성용!H566</f>
        <v>-</v>
      </c>
      <c r="L569" s="58" t="str">
        <f>작성용!N566</f>
        <v>년</v>
      </c>
      <c r="M569" s="57" t="str">
        <f>작성용!U566</f>
        <v>2024.09.30</v>
      </c>
      <c r="N569" s="57">
        <f>작성용!V566</f>
        <v>45611</v>
      </c>
      <c r="O569" s="57" t="str">
        <f>작성용!W566</f>
        <v>보고서제공X</v>
      </c>
      <c r="P569" s="57" t="str">
        <f>작성용!X566</f>
        <v>-</v>
      </c>
      <c r="Q569" s="58" t="str">
        <f>작성용!AD566</f>
        <v>정은채</v>
      </c>
      <c r="R569" s="60">
        <f>작성용!AE566</f>
        <v>0.4</v>
      </c>
      <c r="S569" s="58" t="str">
        <f>작성용!AF566</f>
        <v>정은채</v>
      </c>
      <c r="T569" s="61" t="str">
        <f>작성용!AG566</f>
        <v>-</v>
      </c>
      <c r="U569" s="61" t="str">
        <f>작성용!AH566</f>
        <v>-</v>
      </c>
      <c r="V569" s="56">
        <f>작성용!AA566</f>
        <v>202411</v>
      </c>
      <c r="W569" s="58" t="str">
        <f>작성용!AC566</f>
        <v>[6]기타기관펀드(기초자산)</v>
      </c>
      <c r="X569" s="58">
        <f>작성용!O566</f>
        <v>0</v>
      </c>
      <c r="Y569" s="58">
        <f>작성용!P566</f>
        <v>0</v>
      </c>
      <c r="Z569" s="58">
        <f>작성용!Q566</f>
        <v>0</v>
      </c>
      <c r="AA569" s="56" t="str">
        <f>작성용!AJ566</f>
        <v>-</v>
      </c>
      <c r="AB569" s="56">
        <f>작성용!AB566</f>
        <v>0</v>
      </c>
    </row>
    <row r="570" spans="1:28" s="12" customFormat="1" ht="16.5" hidden="1" customHeight="1" x14ac:dyDescent="0.3">
      <c r="A570" s="54">
        <f>작성용!AL567</f>
        <v>566</v>
      </c>
      <c r="B570" s="55" t="str">
        <f>작성용!AI567</f>
        <v>-</v>
      </c>
      <c r="C570" s="56" t="str">
        <f>작성용!AK567</f>
        <v>기초자산</v>
      </c>
      <c r="D570" s="57" t="str">
        <f>작성용!T567</f>
        <v>고려아연펀드(기초자산)</v>
      </c>
      <c r="E570" s="58" t="str">
        <f>작성용!B567</f>
        <v>Primer Sazze Fund II</v>
      </c>
      <c r="F570" s="58" t="str">
        <f>작성용!C567</f>
        <v>재평가</v>
      </c>
      <c r="G570" s="58" t="str">
        <f>작성용!D567</f>
        <v>콘텐츠홀딩스</v>
      </c>
      <c r="H570" s="59">
        <f>작성용!E567</f>
        <v>1101117451993</v>
      </c>
      <c r="I570" s="58" t="str">
        <f>작성용!F567</f>
        <v>A04</v>
      </c>
      <c r="J570" s="58">
        <f>작성용!G567</f>
        <v>0</v>
      </c>
      <c r="K570" s="58" t="str">
        <f>작성용!H567</f>
        <v>-</v>
      </c>
      <c r="L570" s="58" t="str">
        <f>작성용!N567</f>
        <v>년</v>
      </c>
      <c r="M570" s="57" t="str">
        <f>작성용!U567</f>
        <v>2024.09.30</v>
      </c>
      <c r="N570" s="57">
        <f>작성용!V567</f>
        <v>45611</v>
      </c>
      <c r="O570" s="57" t="str">
        <f>작성용!W567</f>
        <v>보고서제공X</v>
      </c>
      <c r="P570" s="57" t="str">
        <f>작성용!X567</f>
        <v>-</v>
      </c>
      <c r="Q570" s="58" t="str">
        <f>작성용!AD567</f>
        <v>백형진</v>
      </c>
      <c r="R570" s="60">
        <f>작성용!AE567</f>
        <v>0</v>
      </c>
      <c r="S570" s="58" t="str">
        <f>작성용!AF567</f>
        <v>서수빈</v>
      </c>
      <c r="T570" s="61" t="str">
        <f>작성용!AG567</f>
        <v>-</v>
      </c>
      <c r="U570" s="61" t="str">
        <f>작성용!AH567</f>
        <v>-</v>
      </c>
      <c r="V570" s="56">
        <f>작성용!AA567</f>
        <v>202411</v>
      </c>
      <c r="W570" s="58" t="str">
        <f>작성용!AC567</f>
        <v>[6]기타기관펀드(기초자산)</v>
      </c>
      <c r="X570" s="58">
        <f>작성용!O567</f>
        <v>0</v>
      </c>
      <c r="Y570" s="58">
        <f>작성용!P567</f>
        <v>0</v>
      </c>
      <c r="Z570" s="58">
        <f>작성용!Q567</f>
        <v>0</v>
      </c>
      <c r="AA570" s="56" t="str">
        <f>작성용!AJ567</f>
        <v>-</v>
      </c>
      <c r="AB570" s="56">
        <f>작성용!AB567</f>
        <v>0</v>
      </c>
    </row>
    <row r="571" spans="1:28" s="12" customFormat="1" ht="16.5" hidden="1" customHeight="1" x14ac:dyDescent="0.3">
      <c r="A571" s="54">
        <f>작성용!AL568</f>
        <v>567</v>
      </c>
      <c r="B571" s="55" t="str">
        <f>작성용!AI568</f>
        <v>-</v>
      </c>
      <c r="C571" s="56" t="str">
        <f>작성용!AK568</f>
        <v>기초자산</v>
      </c>
      <c r="D571" s="57" t="str">
        <f>작성용!T568</f>
        <v>고려아연펀드(기초자산)</v>
      </c>
      <c r="E571" s="58" t="str">
        <f>작성용!B568</f>
        <v>Primer Sazze Fund II</v>
      </c>
      <c r="F571" s="58" t="str">
        <f>작성용!C568</f>
        <v>재평가</v>
      </c>
      <c r="G571" s="58" t="str">
        <f>작성용!D568</f>
        <v>Fliption</v>
      </c>
      <c r="H571" s="59" t="str">
        <f>작성용!E568</f>
        <v>KBP2023120087</v>
      </c>
      <c r="I571" s="58" t="str">
        <f>작성용!F568</f>
        <v>D06</v>
      </c>
      <c r="J571" s="58">
        <f>작성용!G568</f>
        <v>0</v>
      </c>
      <c r="K571" s="58" t="str">
        <f>작성용!H568</f>
        <v>-</v>
      </c>
      <c r="L571" s="58" t="str">
        <f>작성용!N568</f>
        <v>년</v>
      </c>
      <c r="M571" s="57" t="str">
        <f>작성용!U568</f>
        <v>2024.09.30</v>
      </c>
      <c r="N571" s="57">
        <f>작성용!V568</f>
        <v>45611</v>
      </c>
      <c r="O571" s="57" t="str">
        <f>작성용!W568</f>
        <v>보고서제공X</v>
      </c>
      <c r="P571" s="57" t="str">
        <f>작성용!X568</f>
        <v>-</v>
      </c>
      <c r="Q571" s="58" t="str">
        <f>작성용!AD568</f>
        <v>채동우</v>
      </c>
      <c r="R571" s="60">
        <f>작성용!AE568</f>
        <v>0</v>
      </c>
      <c r="S571" s="58" t="str">
        <f>작성용!AF568</f>
        <v>채동우</v>
      </c>
      <c r="T571" s="61" t="str">
        <f>작성용!AG568</f>
        <v>-</v>
      </c>
      <c r="U571" s="61" t="str">
        <f>작성용!AH568</f>
        <v>-</v>
      </c>
      <c r="V571" s="56">
        <f>작성용!AA568</f>
        <v>202411</v>
      </c>
      <c r="W571" s="58" t="str">
        <f>작성용!AC568</f>
        <v>[6]기타기관펀드(기초자산)</v>
      </c>
      <c r="X571" s="58">
        <f>작성용!O568</f>
        <v>0</v>
      </c>
      <c r="Y571" s="58">
        <f>작성용!P568</f>
        <v>0</v>
      </c>
      <c r="Z571" s="58">
        <f>작성용!Q568</f>
        <v>0</v>
      </c>
      <c r="AA571" s="56" t="str">
        <f>작성용!AJ568</f>
        <v>-</v>
      </c>
      <c r="AB571" s="56">
        <f>작성용!AB568</f>
        <v>0</v>
      </c>
    </row>
    <row r="572" spans="1:28" s="12" customFormat="1" ht="16.5" hidden="1" customHeight="1" x14ac:dyDescent="0.3">
      <c r="A572" s="54">
        <f>작성용!AL569</f>
        <v>568</v>
      </c>
      <c r="B572" s="55" t="str">
        <f>작성용!AI569</f>
        <v>-</v>
      </c>
      <c r="C572" s="56" t="str">
        <f>작성용!AK569</f>
        <v>기초자산</v>
      </c>
      <c r="D572" s="57" t="str">
        <f>작성용!T569</f>
        <v>고려아연펀드(기초자산)</v>
      </c>
      <c r="E572" s="58" t="str">
        <f>작성용!B569</f>
        <v>Primer Sazze Fund II</v>
      </c>
      <c r="F572" s="58" t="str">
        <f>작성용!C569</f>
        <v>재평가</v>
      </c>
      <c r="G572" s="58" t="str">
        <f>작성용!D569</f>
        <v>museLive</v>
      </c>
      <c r="H572" s="59" t="str">
        <f>작성용!E569</f>
        <v>KBP2023120088</v>
      </c>
      <c r="I572" s="58" t="str">
        <f>작성용!F569</f>
        <v>D06</v>
      </c>
      <c r="J572" s="58">
        <f>작성용!G569</f>
        <v>0</v>
      </c>
      <c r="K572" s="58" t="str">
        <f>작성용!H569</f>
        <v>-</v>
      </c>
      <c r="L572" s="58" t="str">
        <f>작성용!N569</f>
        <v>년</v>
      </c>
      <c r="M572" s="57" t="str">
        <f>작성용!U569</f>
        <v>2024.09.30</v>
      </c>
      <c r="N572" s="57">
        <f>작성용!V569</f>
        <v>45611</v>
      </c>
      <c r="O572" s="57" t="str">
        <f>작성용!W569</f>
        <v>보고서제공X</v>
      </c>
      <c r="P572" s="57" t="str">
        <f>작성용!X569</f>
        <v>-</v>
      </c>
      <c r="Q572" s="58" t="str">
        <f>작성용!AD569</f>
        <v>조현우</v>
      </c>
      <c r="R572" s="60">
        <f>작성용!AE569</f>
        <v>0</v>
      </c>
      <c r="S572" s="58" t="str">
        <f>작성용!AF569</f>
        <v>조현우</v>
      </c>
      <c r="T572" s="61" t="str">
        <f>작성용!AG569</f>
        <v>-</v>
      </c>
      <c r="U572" s="61" t="str">
        <f>작성용!AH569</f>
        <v>-</v>
      </c>
      <c r="V572" s="56">
        <f>작성용!AA569</f>
        <v>202411</v>
      </c>
      <c r="W572" s="58" t="str">
        <f>작성용!AC569</f>
        <v>[6]기타기관펀드(기초자산)</v>
      </c>
      <c r="X572" s="58">
        <f>작성용!O569</f>
        <v>0</v>
      </c>
      <c r="Y572" s="58">
        <f>작성용!P569</f>
        <v>0</v>
      </c>
      <c r="Z572" s="58">
        <f>작성용!Q569</f>
        <v>0</v>
      </c>
      <c r="AA572" s="56" t="str">
        <f>작성용!AJ569</f>
        <v>-</v>
      </c>
      <c r="AB572" s="56">
        <f>작성용!AB569</f>
        <v>0</v>
      </c>
    </row>
    <row r="573" spans="1:28" s="12" customFormat="1" ht="16.5" hidden="1" customHeight="1" x14ac:dyDescent="0.3">
      <c r="A573" s="54">
        <f>작성용!AL570</f>
        <v>569</v>
      </c>
      <c r="B573" s="55" t="str">
        <f>작성용!AI570</f>
        <v>-</v>
      </c>
      <c r="C573" s="56" t="str">
        <f>작성용!AK570</f>
        <v>기초자산</v>
      </c>
      <c r="D573" s="57" t="str">
        <f>작성용!T570</f>
        <v>고려아연펀드(기초자산)</v>
      </c>
      <c r="E573" s="58" t="str">
        <f>작성용!B570</f>
        <v>Primer Sazze Fund II</v>
      </c>
      <c r="F573" s="58" t="str">
        <f>작성용!C570</f>
        <v>재평가</v>
      </c>
      <c r="G573" s="58" t="str">
        <f>작성용!D570</f>
        <v>보딩패스</v>
      </c>
      <c r="H573" s="59">
        <f>작성용!E570</f>
        <v>1101117938363</v>
      </c>
      <c r="I573" s="58" t="str">
        <f>작성용!F570</f>
        <v>A04</v>
      </c>
      <c r="J573" s="58">
        <f>작성용!G570</f>
        <v>0</v>
      </c>
      <c r="K573" s="58" t="str">
        <f>작성용!H570</f>
        <v>-</v>
      </c>
      <c r="L573" s="58" t="str">
        <f>작성용!N570</f>
        <v>년</v>
      </c>
      <c r="M573" s="57" t="str">
        <f>작성용!U570</f>
        <v>2024.09.30</v>
      </c>
      <c r="N573" s="57">
        <f>작성용!V570</f>
        <v>45611</v>
      </c>
      <c r="O573" s="57" t="str">
        <f>작성용!W570</f>
        <v>보고서제공X</v>
      </c>
      <c r="P573" s="57" t="str">
        <f>작성용!X570</f>
        <v>-</v>
      </c>
      <c r="Q573" s="58" t="str">
        <f>작성용!AD570</f>
        <v>김예림</v>
      </c>
      <c r="R573" s="60">
        <f>작성용!AE570</f>
        <v>0</v>
      </c>
      <c r="S573" s="58" t="str">
        <f>작성용!AF570</f>
        <v>김예림</v>
      </c>
      <c r="T573" s="61" t="str">
        <f>작성용!AG570</f>
        <v>-</v>
      </c>
      <c r="U573" s="61" t="str">
        <f>작성용!AH570</f>
        <v>-</v>
      </c>
      <c r="V573" s="56">
        <f>작성용!AA570</f>
        <v>202411</v>
      </c>
      <c r="W573" s="58" t="str">
        <f>작성용!AC570</f>
        <v>[6]기타기관펀드(기초자산)</v>
      </c>
      <c r="X573" s="58">
        <f>작성용!O570</f>
        <v>0</v>
      </c>
      <c r="Y573" s="58">
        <f>작성용!P570</f>
        <v>0</v>
      </c>
      <c r="Z573" s="58">
        <f>작성용!Q570</f>
        <v>0</v>
      </c>
      <c r="AA573" s="56" t="str">
        <f>작성용!AJ570</f>
        <v>-</v>
      </c>
      <c r="AB573" s="56">
        <f>작성용!AB570</f>
        <v>0</v>
      </c>
    </row>
    <row r="574" spans="1:28" s="12" customFormat="1" ht="16.5" hidden="1" customHeight="1" x14ac:dyDescent="0.3">
      <c r="A574" s="54">
        <f>작성용!AL571</f>
        <v>570</v>
      </c>
      <c r="B574" s="55" t="str">
        <f>작성용!AI571</f>
        <v>-</v>
      </c>
      <c r="C574" s="56" t="str">
        <f>작성용!AK571</f>
        <v>기초자산</v>
      </c>
      <c r="D574" s="57" t="str">
        <f>작성용!T571</f>
        <v>고려아연펀드(기초자산)</v>
      </c>
      <c r="E574" s="58" t="str">
        <f>작성용!B571</f>
        <v>Primer Sazze Fund II</v>
      </c>
      <c r="F574" s="58" t="str">
        <f>작성용!C571</f>
        <v>재평가</v>
      </c>
      <c r="G574" s="58" t="str">
        <f>작성용!D571</f>
        <v>그룹바이에이치알</v>
      </c>
      <c r="H574" s="59">
        <f>작성용!E571</f>
        <v>1101118266359</v>
      </c>
      <c r="I574" s="58" t="str">
        <f>작성용!F571</f>
        <v>A05</v>
      </c>
      <c r="J574" s="58">
        <f>작성용!G571</f>
        <v>0</v>
      </c>
      <c r="K574" s="58" t="str">
        <f>작성용!H571</f>
        <v>-</v>
      </c>
      <c r="L574" s="58" t="str">
        <f>작성용!N571</f>
        <v>년</v>
      </c>
      <c r="M574" s="57" t="str">
        <f>작성용!U571</f>
        <v>2024.09.30</v>
      </c>
      <c r="N574" s="57">
        <f>작성용!V571</f>
        <v>45611</v>
      </c>
      <c r="O574" s="57" t="str">
        <f>작성용!W571</f>
        <v>보고서제공X</v>
      </c>
      <c r="P574" s="57" t="str">
        <f>작성용!X571</f>
        <v>-</v>
      </c>
      <c r="Q574" s="58" t="str">
        <f>작성용!AD571</f>
        <v>오영석</v>
      </c>
      <c r="R574" s="60">
        <f>작성용!AE571</f>
        <v>0</v>
      </c>
      <c r="S574" s="58" t="str">
        <f>작성용!AF571</f>
        <v>김범준</v>
      </c>
      <c r="T574" s="61" t="str">
        <f>작성용!AG571</f>
        <v>-</v>
      </c>
      <c r="U574" s="61" t="str">
        <f>작성용!AH571</f>
        <v>-</v>
      </c>
      <c r="V574" s="56">
        <f>작성용!AA571</f>
        <v>202411</v>
      </c>
      <c r="W574" s="58" t="str">
        <f>작성용!AC571</f>
        <v>[6]기타기관펀드(기초자산)</v>
      </c>
      <c r="X574" s="58">
        <f>작성용!O571</f>
        <v>0</v>
      </c>
      <c r="Y574" s="58">
        <f>작성용!P571</f>
        <v>0</v>
      </c>
      <c r="Z574" s="58">
        <f>작성용!Q571</f>
        <v>0</v>
      </c>
      <c r="AA574" s="56" t="str">
        <f>작성용!AJ571</f>
        <v>-</v>
      </c>
      <c r="AB574" s="56">
        <f>작성용!AB571</f>
        <v>0</v>
      </c>
    </row>
    <row r="575" spans="1:28" s="12" customFormat="1" ht="16.5" hidden="1" customHeight="1" x14ac:dyDescent="0.3">
      <c r="A575" s="54">
        <f>작성용!AL572</f>
        <v>571</v>
      </c>
      <c r="B575" s="55" t="str">
        <f>작성용!AI572</f>
        <v>-</v>
      </c>
      <c r="C575" s="56" t="str">
        <f>작성용!AK572</f>
        <v>기초자산</v>
      </c>
      <c r="D575" s="57" t="str">
        <f>작성용!T572</f>
        <v>고려아연펀드(기초자산)</v>
      </c>
      <c r="E575" s="58" t="str">
        <f>작성용!B572</f>
        <v>Primer Sazze Fund II</v>
      </c>
      <c r="F575" s="58" t="str">
        <f>작성용!C572</f>
        <v>재평가</v>
      </c>
      <c r="G575" s="58" t="str">
        <f>작성용!D572</f>
        <v>Center Stage Hobby</v>
      </c>
      <c r="H575" s="59" t="str">
        <f>작성용!E572</f>
        <v>KBP2023120089</v>
      </c>
      <c r="I575" s="58" t="str">
        <f>작성용!F572</f>
        <v>D06</v>
      </c>
      <c r="J575" s="58">
        <f>작성용!G572</f>
        <v>0</v>
      </c>
      <c r="K575" s="58" t="str">
        <f>작성용!H572</f>
        <v>-</v>
      </c>
      <c r="L575" s="58" t="str">
        <f>작성용!N572</f>
        <v>년</v>
      </c>
      <c r="M575" s="57" t="str">
        <f>작성용!U572</f>
        <v>2024.09.30</v>
      </c>
      <c r="N575" s="57">
        <f>작성용!V572</f>
        <v>45611</v>
      </c>
      <c r="O575" s="57" t="str">
        <f>작성용!W572</f>
        <v>보고서제공X</v>
      </c>
      <c r="P575" s="57" t="str">
        <f>작성용!X572</f>
        <v>-</v>
      </c>
      <c r="Q575" s="58" t="str">
        <f>작성용!AD572</f>
        <v>강성은</v>
      </c>
      <c r="R575" s="60">
        <f>작성용!AE572</f>
        <v>0</v>
      </c>
      <c r="S575" s="58" t="str">
        <f>작성용!AF572</f>
        <v>강성은</v>
      </c>
      <c r="T575" s="61" t="str">
        <f>작성용!AG572</f>
        <v>-</v>
      </c>
      <c r="U575" s="61" t="str">
        <f>작성용!AH572</f>
        <v>-</v>
      </c>
      <c r="V575" s="56">
        <f>작성용!AA572</f>
        <v>202411</v>
      </c>
      <c r="W575" s="58" t="str">
        <f>작성용!AC572</f>
        <v>[6]기타기관펀드(기초자산)</v>
      </c>
      <c r="X575" s="58">
        <f>작성용!O572</f>
        <v>0</v>
      </c>
      <c r="Y575" s="58">
        <f>작성용!P572</f>
        <v>0</v>
      </c>
      <c r="Z575" s="58">
        <f>작성용!Q572</f>
        <v>0</v>
      </c>
      <c r="AA575" s="56" t="str">
        <f>작성용!AJ572</f>
        <v>-</v>
      </c>
      <c r="AB575" s="56">
        <f>작성용!AB572</f>
        <v>0</v>
      </c>
    </row>
    <row r="576" spans="1:28" s="12" customFormat="1" ht="16.5" hidden="1" customHeight="1" x14ac:dyDescent="0.3">
      <c r="A576" s="54">
        <f>작성용!AL573</f>
        <v>572</v>
      </c>
      <c r="B576" s="55" t="str">
        <f>작성용!AI573</f>
        <v>-</v>
      </c>
      <c r="C576" s="56" t="str">
        <f>작성용!AK573</f>
        <v>기초자산</v>
      </c>
      <c r="D576" s="57" t="str">
        <f>작성용!T573</f>
        <v>고려아연펀드(기초자산)</v>
      </c>
      <c r="E576" s="58" t="str">
        <f>작성용!B573</f>
        <v>Primer Sazze Fund II</v>
      </c>
      <c r="F576" s="58" t="str">
        <f>작성용!C573</f>
        <v>재평가</v>
      </c>
      <c r="G576" s="58" t="str">
        <f>작성용!D573</f>
        <v>닥터나우</v>
      </c>
      <c r="H576" s="59">
        <f>작성용!E573</f>
        <v>2850110418398</v>
      </c>
      <c r="I576" s="58" t="str">
        <f>작성용!F573</f>
        <v>A01</v>
      </c>
      <c r="J576" s="58">
        <f>작성용!G573</f>
        <v>0</v>
      </c>
      <c r="K576" s="58" t="str">
        <f>작성용!H573</f>
        <v>-</v>
      </c>
      <c r="L576" s="58" t="str">
        <f>작성용!N573</f>
        <v>년</v>
      </c>
      <c r="M576" s="57" t="str">
        <f>작성용!U573</f>
        <v>2024.09.30</v>
      </c>
      <c r="N576" s="57">
        <f>작성용!V573</f>
        <v>45611</v>
      </c>
      <c r="O576" s="57" t="str">
        <f>작성용!W573</f>
        <v>보고서제공X</v>
      </c>
      <c r="P576" s="57" t="str">
        <f>작성용!X573</f>
        <v>-</v>
      </c>
      <c r="Q576" s="58" t="str">
        <f>작성용!AD573</f>
        <v>변혜진</v>
      </c>
      <c r="R576" s="60">
        <f>작성용!AE573</f>
        <v>0</v>
      </c>
      <c r="S576" s="58" t="str">
        <f>작성용!AF573</f>
        <v>변혜진</v>
      </c>
      <c r="T576" s="61" t="str">
        <f>작성용!AG573</f>
        <v>-</v>
      </c>
      <c r="U576" s="61" t="str">
        <f>작성용!AH573</f>
        <v>-</v>
      </c>
      <c r="V576" s="56">
        <f>작성용!AA573</f>
        <v>202411</v>
      </c>
      <c r="W576" s="58" t="str">
        <f>작성용!AC573</f>
        <v>[6]기타기관펀드(기초자산)</v>
      </c>
      <c r="X576" s="58">
        <f>작성용!O573</f>
        <v>0</v>
      </c>
      <c r="Y576" s="58">
        <f>작성용!P573</f>
        <v>0</v>
      </c>
      <c r="Z576" s="58">
        <f>작성용!Q573</f>
        <v>0</v>
      </c>
      <c r="AA576" s="56" t="str">
        <f>작성용!AJ573</f>
        <v>-</v>
      </c>
      <c r="AB576" s="56">
        <f>작성용!AB573</f>
        <v>0</v>
      </c>
    </row>
    <row r="577" spans="1:28" s="12" customFormat="1" ht="16.5" hidden="1" customHeight="1" x14ac:dyDescent="0.3">
      <c r="A577" s="54">
        <f>작성용!AL574</f>
        <v>573</v>
      </c>
      <c r="B577" s="55" t="str">
        <f>작성용!AI574</f>
        <v>-</v>
      </c>
      <c r="C577" s="56" t="str">
        <f>작성용!AK574</f>
        <v>기초자산</v>
      </c>
      <c r="D577" s="57" t="str">
        <f>작성용!T574</f>
        <v>고려아연펀드(기초자산)</v>
      </c>
      <c r="E577" s="58" t="str">
        <f>작성용!B574</f>
        <v>Primer Sazze Fund II</v>
      </c>
      <c r="F577" s="58" t="str">
        <f>작성용!C574</f>
        <v>재평가</v>
      </c>
      <c r="G577" s="58" t="str">
        <f>작성용!D574</f>
        <v>닥터나우</v>
      </c>
      <c r="H577" s="59">
        <f>작성용!E574</f>
        <v>2850110418398</v>
      </c>
      <c r="I577" s="58" t="str">
        <f>작성용!F574</f>
        <v>A05</v>
      </c>
      <c r="J577" s="58">
        <f>작성용!G574</f>
        <v>0</v>
      </c>
      <c r="K577" s="58" t="str">
        <f>작성용!H574</f>
        <v>-</v>
      </c>
      <c r="L577" s="58" t="str">
        <f>작성용!N574</f>
        <v>년</v>
      </c>
      <c r="M577" s="57" t="str">
        <f>작성용!U574</f>
        <v>2024.09.30</v>
      </c>
      <c r="N577" s="57">
        <f>작성용!V574</f>
        <v>45611</v>
      </c>
      <c r="O577" s="57" t="str">
        <f>작성용!W574</f>
        <v>보고서제공X</v>
      </c>
      <c r="P577" s="57" t="str">
        <f>작성용!X574</f>
        <v>-</v>
      </c>
      <c r="Q577" s="58" t="str">
        <f>작성용!AD574</f>
        <v>변혜진</v>
      </c>
      <c r="R577" s="60">
        <f>작성용!AE574</f>
        <v>0</v>
      </c>
      <c r="S577" s="58" t="str">
        <f>작성용!AF574</f>
        <v>변혜진</v>
      </c>
      <c r="T577" s="61" t="str">
        <f>작성용!AG574</f>
        <v>-</v>
      </c>
      <c r="U577" s="61" t="str">
        <f>작성용!AH574</f>
        <v>-</v>
      </c>
      <c r="V577" s="56">
        <f>작성용!AA574</f>
        <v>202411</v>
      </c>
      <c r="W577" s="58" t="str">
        <f>작성용!AC574</f>
        <v>[6]기타기관펀드(기초자산)</v>
      </c>
      <c r="X577" s="58">
        <f>작성용!O574</f>
        <v>0</v>
      </c>
      <c r="Y577" s="58">
        <f>작성용!P574</f>
        <v>0</v>
      </c>
      <c r="Z577" s="58">
        <f>작성용!Q574</f>
        <v>0</v>
      </c>
      <c r="AA577" s="56" t="str">
        <f>작성용!AJ574</f>
        <v>-</v>
      </c>
      <c r="AB577" s="56">
        <f>작성용!AB574</f>
        <v>0</v>
      </c>
    </row>
    <row r="578" spans="1:28" s="12" customFormat="1" ht="16.5" hidden="1" customHeight="1" x14ac:dyDescent="0.3">
      <c r="A578" s="54">
        <f>작성용!AL575</f>
        <v>574</v>
      </c>
      <c r="B578" s="55" t="str">
        <f>작성용!AI575</f>
        <v>-</v>
      </c>
      <c r="C578" s="56" t="str">
        <f>작성용!AK575</f>
        <v>기초자산</v>
      </c>
      <c r="D578" s="57" t="str">
        <f>작성용!T575</f>
        <v>고려아연펀드(기초자산)</v>
      </c>
      <c r="E578" s="58" t="str">
        <f>작성용!B575</f>
        <v>Primer Sazze Fund II</v>
      </c>
      <c r="F578" s="58" t="str">
        <f>작성용!C575</f>
        <v>재평가</v>
      </c>
      <c r="G578" s="58" t="str">
        <f>작성용!D575</f>
        <v>Wooltari USA</v>
      </c>
      <c r="H578" s="59" t="str">
        <f>작성용!E575</f>
        <v>KBP2023120090</v>
      </c>
      <c r="I578" s="58" t="str">
        <f>작성용!F575</f>
        <v>A01</v>
      </c>
      <c r="J578" s="58">
        <f>작성용!G575</f>
        <v>0</v>
      </c>
      <c r="K578" s="58" t="str">
        <f>작성용!H575</f>
        <v>-</v>
      </c>
      <c r="L578" s="58" t="str">
        <f>작성용!N575</f>
        <v>년</v>
      </c>
      <c r="M578" s="57" t="str">
        <f>작성용!U575</f>
        <v>2024.09.30</v>
      </c>
      <c r="N578" s="57">
        <f>작성용!V575</f>
        <v>45611</v>
      </c>
      <c r="O578" s="57" t="str">
        <f>작성용!W575</f>
        <v>보고서제공X</v>
      </c>
      <c r="P578" s="57" t="str">
        <f>작성용!X575</f>
        <v>-</v>
      </c>
      <c r="Q578" s="58" t="str">
        <f>작성용!AD575</f>
        <v>변혜진</v>
      </c>
      <c r="R578" s="60">
        <f>작성용!AE575</f>
        <v>0</v>
      </c>
      <c r="S578" s="58" t="str">
        <f>작성용!AF575</f>
        <v>변혜진</v>
      </c>
      <c r="T578" s="61" t="str">
        <f>작성용!AG575</f>
        <v>-</v>
      </c>
      <c r="U578" s="61" t="str">
        <f>작성용!AH575</f>
        <v>-</v>
      </c>
      <c r="V578" s="56">
        <f>작성용!AA575</f>
        <v>202411</v>
      </c>
      <c r="W578" s="58" t="str">
        <f>작성용!AC575</f>
        <v>[6]기타기관펀드(기초자산)</v>
      </c>
      <c r="X578" s="58">
        <f>작성용!O575</f>
        <v>0</v>
      </c>
      <c r="Y578" s="58">
        <f>작성용!P575</f>
        <v>0</v>
      </c>
      <c r="Z578" s="58">
        <f>작성용!Q575</f>
        <v>0</v>
      </c>
      <c r="AA578" s="56" t="str">
        <f>작성용!AJ575</f>
        <v>-</v>
      </c>
      <c r="AB578" s="56">
        <f>작성용!AB575</f>
        <v>0</v>
      </c>
    </row>
    <row r="579" spans="1:28" s="12" customFormat="1" ht="16.5" hidden="1" customHeight="1" x14ac:dyDescent="0.3">
      <c r="A579" s="54">
        <f>작성용!AL576</f>
        <v>575</v>
      </c>
      <c r="B579" s="55" t="str">
        <f>작성용!AI576</f>
        <v>-</v>
      </c>
      <c r="C579" s="56" t="str">
        <f>작성용!AK576</f>
        <v>기초자산</v>
      </c>
      <c r="D579" s="57" t="str">
        <f>작성용!T576</f>
        <v>고려아연펀드(기초자산)</v>
      </c>
      <c r="E579" s="58" t="str">
        <f>작성용!B576</f>
        <v>Primer Sazze Fund II</v>
      </c>
      <c r="F579" s="58" t="str">
        <f>작성용!C576</f>
        <v>재평가</v>
      </c>
      <c r="G579" s="58" t="str">
        <f>작성용!D576</f>
        <v>Wooltari USA</v>
      </c>
      <c r="H579" s="59" t="str">
        <f>작성용!E576</f>
        <v>KBP2023120090</v>
      </c>
      <c r="I579" s="58" t="str">
        <f>작성용!F576</f>
        <v>A04</v>
      </c>
      <c r="J579" s="58">
        <f>작성용!G576</f>
        <v>0</v>
      </c>
      <c r="K579" s="58" t="str">
        <f>작성용!H576</f>
        <v>-</v>
      </c>
      <c r="L579" s="58" t="str">
        <f>작성용!N576</f>
        <v>년</v>
      </c>
      <c r="M579" s="57" t="str">
        <f>작성용!U576</f>
        <v>2024.09.30</v>
      </c>
      <c r="N579" s="57">
        <f>작성용!V576</f>
        <v>45611</v>
      </c>
      <c r="O579" s="57" t="str">
        <f>작성용!W576</f>
        <v>보고서제공X</v>
      </c>
      <c r="P579" s="57" t="str">
        <f>작성용!X576</f>
        <v>-</v>
      </c>
      <c r="Q579" s="58" t="str">
        <f>작성용!AD576</f>
        <v>변혜진</v>
      </c>
      <c r="R579" s="60">
        <f>작성용!AE576</f>
        <v>0</v>
      </c>
      <c r="S579" s="58" t="str">
        <f>작성용!AF576</f>
        <v>변혜진</v>
      </c>
      <c r="T579" s="61" t="str">
        <f>작성용!AG576</f>
        <v>-</v>
      </c>
      <c r="U579" s="61" t="str">
        <f>작성용!AH576</f>
        <v>-</v>
      </c>
      <c r="V579" s="56">
        <f>작성용!AA576</f>
        <v>202411</v>
      </c>
      <c r="W579" s="58" t="str">
        <f>작성용!AC576</f>
        <v>[6]기타기관펀드(기초자산)</v>
      </c>
      <c r="X579" s="58">
        <f>작성용!O576</f>
        <v>0</v>
      </c>
      <c r="Y579" s="58">
        <f>작성용!P576</f>
        <v>0</v>
      </c>
      <c r="Z579" s="58">
        <f>작성용!Q576</f>
        <v>0</v>
      </c>
      <c r="AA579" s="56" t="str">
        <f>작성용!AJ576</f>
        <v>-</v>
      </c>
      <c r="AB579" s="56">
        <f>작성용!AB576</f>
        <v>0</v>
      </c>
    </row>
    <row r="580" spans="1:28" s="12" customFormat="1" ht="16.5" hidden="1" customHeight="1" x14ac:dyDescent="0.3">
      <c r="A580" s="54">
        <f>작성용!AL577</f>
        <v>576</v>
      </c>
      <c r="B580" s="55" t="str">
        <f>작성용!AI577</f>
        <v>-</v>
      </c>
      <c r="C580" s="56" t="str">
        <f>작성용!AK577</f>
        <v>기초자산</v>
      </c>
      <c r="D580" s="57" t="str">
        <f>작성용!T577</f>
        <v>고려아연펀드(기초자산)</v>
      </c>
      <c r="E580" s="58" t="str">
        <f>작성용!B577</f>
        <v>Primer Sazze Fund II</v>
      </c>
      <c r="F580" s="58" t="str">
        <f>작성용!C577</f>
        <v>재평가</v>
      </c>
      <c r="G580" s="58" t="str">
        <f>작성용!D577</f>
        <v>어이사컴퍼니</v>
      </c>
      <c r="H580" s="59">
        <f>작성용!E577</f>
        <v>1452110024736</v>
      </c>
      <c r="I580" s="58" t="str">
        <f>작성용!F577</f>
        <v>A01</v>
      </c>
      <c r="J580" s="58">
        <f>작성용!G577</f>
        <v>0</v>
      </c>
      <c r="K580" s="58" t="str">
        <f>작성용!H577</f>
        <v>-</v>
      </c>
      <c r="L580" s="58" t="str">
        <f>작성용!N577</f>
        <v>년</v>
      </c>
      <c r="M580" s="57" t="str">
        <f>작성용!U577</f>
        <v>2024.09.30</v>
      </c>
      <c r="N580" s="57">
        <f>작성용!V577</f>
        <v>45611</v>
      </c>
      <c r="O580" s="57" t="str">
        <f>작성용!W577</f>
        <v>보고서제공X</v>
      </c>
      <c r="P580" s="57" t="str">
        <f>작성용!X577</f>
        <v>-</v>
      </c>
      <c r="Q580" s="58" t="str">
        <f>작성용!AD577</f>
        <v>강승현</v>
      </c>
      <c r="R580" s="60">
        <f>작성용!AE577</f>
        <v>0</v>
      </c>
      <c r="S580" s="58" t="str">
        <f>작성용!AF577</f>
        <v>강승현</v>
      </c>
      <c r="T580" s="61" t="str">
        <f>작성용!AG577</f>
        <v>-</v>
      </c>
      <c r="U580" s="61" t="str">
        <f>작성용!AH577</f>
        <v>-</v>
      </c>
      <c r="V580" s="56">
        <f>작성용!AA577</f>
        <v>202411</v>
      </c>
      <c r="W580" s="58" t="str">
        <f>작성용!AC577</f>
        <v>[6]기타기관펀드(기초자산)</v>
      </c>
      <c r="X580" s="58">
        <f>작성용!O577</f>
        <v>0</v>
      </c>
      <c r="Y580" s="58">
        <f>작성용!P577</f>
        <v>0</v>
      </c>
      <c r="Z580" s="58">
        <f>작성용!Q577</f>
        <v>0</v>
      </c>
      <c r="AA580" s="56" t="str">
        <f>작성용!AJ577</f>
        <v>-</v>
      </c>
      <c r="AB580" s="56">
        <f>작성용!AB577</f>
        <v>0</v>
      </c>
    </row>
    <row r="581" spans="1:28" s="12" customFormat="1" ht="16.5" hidden="1" customHeight="1" x14ac:dyDescent="0.3">
      <c r="A581" s="54">
        <f>작성용!AL578</f>
        <v>577</v>
      </c>
      <c r="B581" s="55" t="str">
        <f>작성용!AI578</f>
        <v>-</v>
      </c>
      <c r="C581" s="56" t="str">
        <f>작성용!AK578</f>
        <v>기초자산</v>
      </c>
      <c r="D581" s="57" t="str">
        <f>작성용!T578</f>
        <v>고려아연펀드(기초자산)</v>
      </c>
      <c r="E581" s="58" t="str">
        <f>작성용!B578</f>
        <v>Primer Sazze Fund II</v>
      </c>
      <c r="F581" s="58" t="str">
        <f>작성용!C578</f>
        <v>재평가</v>
      </c>
      <c r="G581" s="58" t="str">
        <f>작성용!D578</f>
        <v>어이사컴퍼니</v>
      </c>
      <c r="H581" s="59">
        <f>작성용!E578</f>
        <v>1452110024736</v>
      </c>
      <c r="I581" s="58" t="str">
        <f>작성용!F578</f>
        <v>A05</v>
      </c>
      <c r="J581" s="58">
        <f>작성용!G578</f>
        <v>0</v>
      </c>
      <c r="K581" s="58" t="str">
        <f>작성용!H578</f>
        <v>-</v>
      </c>
      <c r="L581" s="58" t="str">
        <f>작성용!N578</f>
        <v>년</v>
      </c>
      <c r="M581" s="57" t="str">
        <f>작성용!U578</f>
        <v>2024.09.30</v>
      </c>
      <c r="N581" s="57">
        <f>작성용!V578</f>
        <v>45611</v>
      </c>
      <c r="O581" s="57" t="str">
        <f>작성용!W578</f>
        <v>보고서제공X</v>
      </c>
      <c r="P581" s="57" t="str">
        <f>작성용!X578</f>
        <v>-</v>
      </c>
      <c r="Q581" s="58" t="str">
        <f>작성용!AD578</f>
        <v>강승현</v>
      </c>
      <c r="R581" s="60">
        <f>작성용!AE578</f>
        <v>0</v>
      </c>
      <c r="S581" s="58" t="str">
        <f>작성용!AF578</f>
        <v>강승현</v>
      </c>
      <c r="T581" s="61" t="str">
        <f>작성용!AG578</f>
        <v>-</v>
      </c>
      <c r="U581" s="61" t="str">
        <f>작성용!AH578</f>
        <v>-</v>
      </c>
      <c r="V581" s="56">
        <f>작성용!AA578</f>
        <v>202411</v>
      </c>
      <c r="W581" s="58" t="str">
        <f>작성용!AC578</f>
        <v>[6]기타기관펀드(기초자산)</v>
      </c>
      <c r="X581" s="58">
        <f>작성용!O578</f>
        <v>0</v>
      </c>
      <c r="Y581" s="58">
        <f>작성용!P578</f>
        <v>0</v>
      </c>
      <c r="Z581" s="58">
        <f>작성용!Q578</f>
        <v>0</v>
      </c>
      <c r="AA581" s="56" t="str">
        <f>작성용!AJ578</f>
        <v>-</v>
      </c>
      <c r="AB581" s="56">
        <f>작성용!AB578</f>
        <v>0</v>
      </c>
    </row>
    <row r="582" spans="1:28" s="12" customFormat="1" ht="16.5" hidden="1" customHeight="1" x14ac:dyDescent="0.3">
      <c r="A582" s="54">
        <f>작성용!AL579</f>
        <v>578</v>
      </c>
      <c r="B582" s="55" t="str">
        <f>작성용!AI579</f>
        <v>-</v>
      </c>
      <c r="C582" s="56" t="str">
        <f>작성용!AK579</f>
        <v>기초자산</v>
      </c>
      <c r="D582" s="57" t="str">
        <f>작성용!T579</f>
        <v>고려아연펀드(기초자산)</v>
      </c>
      <c r="E582" s="58" t="str">
        <f>작성용!B579</f>
        <v>Primer Sazze Fund II</v>
      </c>
      <c r="F582" s="58" t="str">
        <f>작성용!C579</f>
        <v>재평가</v>
      </c>
      <c r="G582" s="58" t="str">
        <f>작성용!D579</f>
        <v>에피소든</v>
      </c>
      <c r="H582" s="59">
        <f>작성용!E579</f>
        <v>1101117769495</v>
      </c>
      <c r="I582" s="58" t="str">
        <f>작성용!F579</f>
        <v>A01</v>
      </c>
      <c r="J582" s="58">
        <f>작성용!G579</f>
        <v>0</v>
      </c>
      <c r="K582" s="58" t="str">
        <f>작성용!H579</f>
        <v>-</v>
      </c>
      <c r="L582" s="58" t="str">
        <f>작성용!N579</f>
        <v>년</v>
      </c>
      <c r="M582" s="57" t="str">
        <f>작성용!U579</f>
        <v>2024.09.30</v>
      </c>
      <c r="N582" s="57">
        <f>작성용!V579</f>
        <v>45611</v>
      </c>
      <c r="O582" s="57" t="str">
        <f>작성용!W579</f>
        <v>보고서제공X</v>
      </c>
      <c r="P582" s="57" t="str">
        <f>작성용!X579</f>
        <v>-</v>
      </c>
      <c r="Q582" s="58" t="str">
        <f>작성용!AD579</f>
        <v>심태진</v>
      </c>
      <c r="R582" s="60">
        <f>작성용!AE579</f>
        <v>0</v>
      </c>
      <c r="S582" s="58" t="str">
        <f>작성용!AF579</f>
        <v>심태진</v>
      </c>
      <c r="T582" s="61" t="str">
        <f>작성용!AG579</f>
        <v>-</v>
      </c>
      <c r="U582" s="61" t="str">
        <f>작성용!AH579</f>
        <v>-</v>
      </c>
      <c r="V582" s="56">
        <f>작성용!AA579</f>
        <v>202411</v>
      </c>
      <c r="W582" s="58" t="str">
        <f>작성용!AC579</f>
        <v>[6]기타기관펀드(기초자산)</v>
      </c>
      <c r="X582" s="58">
        <f>작성용!O579</f>
        <v>0</v>
      </c>
      <c r="Y582" s="58">
        <f>작성용!P579</f>
        <v>0</v>
      </c>
      <c r="Z582" s="58">
        <f>작성용!Q579</f>
        <v>0</v>
      </c>
      <c r="AA582" s="56" t="str">
        <f>작성용!AJ579</f>
        <v>-</v>
      </c>
      <c r="AB582" s="56">
        <f>작성용!AB579</f>
        <v>0</v>
      </c>
    </row>
    <row r="583" spans="1:28" s="12" customFormat="1" ht="16.5" hidden="1" customHeight="1" x14ac:dyDescent="0.3">
      <c r="A583" s="54">
        <f>작성용!AL580</f>
        <v>579</v>
      </c>
      <c r="B583" s="55" t="str">
        <f>작성용!AI580</f>
        <v>-</v>
      </c>
      <c r="C583" s="56" t="str">
        <f>작성용!AK580</f>
        <v>기초자산</v>
      </c>
      <c r="D583" s="57" t="str">
        <f>작성용!T580</f>
        <v>고려아연펀드(기초자산)</v>
      </c>
      <c r="E583" s="58" t="str">
        <f>작성용!B580</f>
        <v>Primer Sazze Fund II</v>
      </c>
      <c r="F583" s="58" t="str">
        <f>작성용!C580</f>
        <v>재평가</v>
      </c>
      <c r="G583" s="58" t="str">
        <f>작성용!D580</f>
        <v>에피소든</v>
      </c>
      <c r="H583" s="59">
        <f>작성용!E580</f>
        <v>1101117769495</v>
      </c>
      <c r="I583" s="58" t="str">
        <f>작성용!F580</f>
        <v>A05</v>
      </c>
      <c r="J583" s="58">
        <f>작성용!G580</f>
        <v>0</v>
      </c>
      <c r="K583" s="58" t="str">
        <f>작성용!H580</f>
        <v>-</v>
      </c>
      <c r="L583" s="58" t="str">
        <f>작성용!N580</f>
        <v>년</v>
      </c>
      <c r="M583" s="57" t="str">
        <f>작성용!U580</f>
        <v>2024.09.30</v>
      </c>
      <c r="N583" s="57">
        <f>작성용!V580</f>
        <v>45611</v>
      </c>
      <c r="O583" s="57" t="str">
        <f>작성용!W580</f>
        <v>보고서제공X</v>
      </c>
      <c r="P583" s="57" t="str">
        <f>작성용!X580</f>
        <v>-</v>
      </c>
      <c r="Q583" s="58" t="str">
        <f>작성용!AD580</f>
        <v>심태진</v>
      </c>
      <c r="R583" s="60">
        <f>작성용!AE580</f>
        <v>0</v>
      </c>
      <c r="S583" s="58" t="str">
        <f>작성용!AF580</f>
        <v>심태진</v>
      </c>
      <c r="T583" s="61" t="str">
        <f>작성용!AG580</f>
        <v>-</v>
      </c>
      <c r="U583" s="61" t="str">
        <f>작성용!AH580</f>
        <v>-</v>
      </c>
      <c r="V583" s="56">
        <f>작성용!AA580</f>
        <v>202411</v>
      </c>
      <c r="W583" s="58" t="str">
        <f>작성용!AC580</f>
        <v>[6]기타기관펀드(기초자산)</v>
      </c>
      <c r="X583" s="58">
        <f>작성용!O580</f>
        <v>0</v>
      </c>
      <c r="Y583" s="58">
        <f>작성용!P580</f>
        <v>0</v>
      </c>
      <c r="Z583" s="58">
        <f>작성용!Q580</f>
        <v>0</v>
      </c>
      <c r="AA583" s="56" t="str">
        <f>작성용!AJ580</f>
        <v>-</v>
      </c>
      <c r="AB583" s="56">
        <f>작성용!AB580</f>
        <v>0</v>
      </c>
    </row>
    <row r="584" spans="1:28" s="12" customFormat="1" ht="16.5" hidden="1" customHeight="1" x14ac:dyDescent="0.3">
      <c r="A584" s="54">
        <f>작성용!AL581</f>
        <v>580</v>
      </c>
      <c r="B584" s="55" t="str">
        <f>작성용!AI581</f>
        <v>-</v>
      </c>
      <c r="C584" s="56" t="str">
        <f>작성용!AK581</f>
        <v>기초자산</v>
      </c>
      <c r="D584" s="57" t="str">
        <f>작성용!T581</f>
        <v>고려아연펀드(기초자산)</v>
      </c>
      <c r="E584" s="58" t="str">
        <f>작성용!B581</f>
        <v>Primer Sazze Fund II</v>
      </c>
      <c r="F584" s="58" t="str">
        <f>작성용!C581</f>
        <v>재평가</v>
      </c>
      <c r="G584" s="58" t="str">
        <f>작성용!D581</f>
        <v>Build Block</v>
      </c>
      <c r="H584" s="59" t="str">
        <f>작성용!E581</f>
        <v>KBP2023120091</v>
      </c>
      <c r="I584" s="58" t="str">
        <f>작성용!F581</f>
        <v>A04</v>
      </c>
      <c r="J584" s="58">
        <f>작성용!G581</f>
        <v>0</v>
      </c>
      <c r="K584" s="58" t="str">
        <f>작성용!H581</f>
        <v>-</v>
      </c>
      <c r="L584" s="58" t="str">
        <f>작성용!N581</f>
        <v>년</v>
      </c>
      <c r="M584" s="57" t="str">
        <f>작성용!U581</f>
        <v>2024.09.30</v>
      </c>
      <c r="N584" s="57">
        <f>작성용!V581</f>
        <v>45611</v>
      </c>
      <c r="O584" s="57" t="str">
        <f>작성용!W581</f>
        <v>보고서제공X</v>
      </c>
      <c r="P584" s="57" t="str">
        <f>작성용!X581</f>
        <v>-</v>
      </c>
      <c r="Q584" s="58" t="str">
        <f>작성용!AD581</f>
        <v>서동현</v>
      </c>
      <c r="R584" s="60">
        <f>작성용!AE581</f>
        <v>0</v>
      </c>
      <c r="S584" s="58" t="str">
        <f>작성용!AF581</f>
        <v>서동현</v>
      </c>
      <c r="T584" s="61" t="str">
        <f>작성용!AG581</f>
        <v>-</v>
      </c>
      <c r="U584" s="61" t="str">
        <f>작성용!AH581</f>
        <v>-</v>
      </c>
      <c r="V584" s="56">
        <f>작성용!AA581</f>
        <v>202411</v>
      </c>
      <c r="W584" s="58" t="str">
        <f>작성용!AC581</f>
        <v>[6]기타기관펀드(기초자산)</v>
      </c>
      <c r="X584" s="58">
        <f>작성용!O581</f>
        <v>0</v>
      </c>
      <c r="Y584" s="58">
        <f>작성용!P581</f>
        <v>0</v>
      </c>
      <c r="Z584" s="58">
        <f>작성용!Q581</f>
        <v>0</v>
      </c>
      <c r="AA584" s="56" t="str">
        <f>작성용!AJ581</f>
        <v>-</v>
      </c>
      <c r="AB584" s="56">
        <f>작성용!AB581</f>
        <v>0</v>
      </c>
    </row>
    <row r="585" spans="1:28" s="12" customFormat="1" ht="16.5" hidden="1" customHeight="1" x14ac:dyDescent="0.3">
      <c r="A585" s="54">
        <f>작성용!AL582</f>
        <v>581</v>
      </c>
      <c r="B585" s="55" t="str">
        <f>작성용!AI582</f>
        <v>-</v>
      </c>
      <c r="C585" s="56" t="str">
        <f>작성용!AK582</f>
        <v>기초자산</v>
      </c>
      <c r="D585" s="57" t="str">
        <f>작성용!T582</f>
        <v>고려아연펀드(기초자산)</v>
      </c>
      <c r="E585" s="58" t="str">
        <f>작성용!B582</f>
        <v>Primer Sazze Fund II</v>
      </c>
      <c r="F585" s="58" t="str">
        <f>작성용!C582</f>
        <v>재평가</v>
      </c>
      <c r="G585" s="58" t="str">
        <f>작성용!D582</f>
        <v>미스테리코</v>
      </c>
      <c r="H585" s="59">
        <f>작성용!E582</f>
        <v>1101116872223</v>
      </c>
      <c r="I585" s="58" t="str">
        <f>작성용!F582</f>
        <v>A05</v>
      </c>
      <c r="J585" s="58">
        <f>작성용!G582</f>
        <v>0</v>
      </c>
      <c r="K585" s="58" t="str">
        <f>작성용!H582</f>
        <v>-</v>
      </c>
      <c r="L585" s="58" t="str">
        <f>작성용!N582</f>
        <v>년</v>
      </c>
      <c r="M585" s="57" t="str">
        <f>작성용!U582</f>
        <v>2024.09.30</v>
      </c>
      <c r="N585" s="57">
        <f>작성용!V582</f>
        <v>45611</v>
      </c>
      <c r="O585" s="57" t="str">
        <f>작성용!W582</f>
        <v>보고서제공X</v>
      </c>
      <c r="P585" s="57" t="str">
        <f>작성용!X582</f>
        <v>-</v>
      </c>
      <c r="Q585" s="58" t="str">
        <f>작성용!AD582</f>
        <v>김수현</v>
      </c>
      <c r="R585" s="60">
        <f>작성용!AE582</f>
        <v>0</v>
      </c>
      <c r="S585" s="58" t="str">
        <f>작성용!AF582</f>
        <v>김수현</v>
      </c>
      <c r="T585" s="61" t="str">
        <f>작성용!AG582</f>
        <v>-</v>
      </c>
      <c r="U585" s="61" t="str">
        <f>작성용!AH582</f>
        <v>-</v>
      </c>
      <c r="V585" s="56">
        <f>작성용!AA582</f>
        <v>202411</v>
      </c>
      <c r="W585" s="58" t="str">
        <f>작성용!AC582</f>
        <v>[6]기타기관펀드(기초자산)</v>
      </c>
      <c r="X585" s="58">
        <f>작성용!O582</f>
        <v>0</v>
      </c>
      <c r="Y585" s="58">
        <f>작성용!P582</f>
        <v>0</v>
      </c>
      <c r="Z585" s="58">
        <f>작성용!Q582</f>
        <v>0</v>
      </c>
      <c r="AA585" s="56" t="str">
        <f>작성용!AJ582</f>
        <v>-</v>
      </c>
      <c r="AB585" s="56">
        <f>작성용!AB582</f>
        <v>0</v>
      </c>
    </row>
    <row r="586" spans="1:28" s="12" customFormat="1" ht="16.5" hidden="1" customHeight="1" x14ac:dyDescent="0.3">
      <c r="A586" s="54">
        <f>작성용!AL583</f>
        <v>582</v>
      </c>
      <c r="B586" s="55" t="str">
        <f>작성용!AI583</f>
        <v>-</v>
      </c>
      <c r="C586" s="56" t="str">
        <f>작성용!AK583</f>
        <v>기초자산</v>
      </c>
      <c r="D586" s="57" t="str">
        <f>작성용!T583</f>
        <v>고려아연펀드(기초자산)</v>
      </c>
      <c r="E586" s="58" t="str">
        <f>작성용!B583</f>
        <v>Primer Sazze Fund II</v>
      </c>
      <c r="F586" s="58" t="str">
        <f>작성용!C583</f>
        <v>재평가</v>
      </c>
      <c r="G586" s="58" t="str">
        <f>작성용!D583</f>
        <v>타인에이아이</v>
      </c>
      <c r="H586" s="59">
        <f>작성용!E583</f>
        <v>1101117510046</v>
      </c>
      <c r="I586" s="58" t="str">
        <f>작성용!F583</f>
        <v>A07</v>
      </c>
      <c r="J586" s="58">
        <f>작성용!G583</f>
        <v>0</v>
      </c>
      <c r="K586" s="58" t="str">
        <f>작성용!H583</f>
        <v>-</v>
      </c>
      <c r="L586" s="58" t="str">
        <f>작성용!N583</f>
        <v>년</v>
      </c>
      <c r="M586" s="57" t="str">
        <f>작성용!U583</f>
        <v>2024.09.30</v>
      </c>
      <c r="N586" s="57">
        <f>작성용!V583</f>
        <v>45611</v>
      </c>
      <c r="O586" s="57" t="str">
        <f>작성용!W583</f>
        <v>보고서제공X</v>
      </c>
      <c r="P586" s="57" t="str">
        <f>작성용!X583</f>
        <v>-</v>
      </c>
      <c r="Q586" s="58" t="str">
        <f>작성용!AD583</f>
        <v>김예림</v>
      </c>
      <c r="R586" s="60">
        <f>작성용!AE583</f>
        <v>0</v>
      </c>
      <c r="S586" s="58" t="str">
        <f>작성용!AF583</f>
        <v>김예림</v>
      </c>
      <c r="T586" s="61" t="str">
        <f>작성용!AG583</f>
        <v>-</v>
      </c>
      <c r="U586" s="61" t="str">
        <f>작성용!AH583</f>
        <v>-</v>
      </c>
      <c r="V586" s="56">
        <f>작성용!AA583</f>
        <v>202411</v>
      </c>
      <c r="W586" s="58" t="str">
        <f>작성용!AC583</f>
        <v>[6]기타기관펀드(기초자산)</v>
      </c>
      <c r="X586" s="58">
        <f>작성용!O583</f>
        <v>0</v>
      </c>
      <c r="Y586" s="58">
        <f>작성용!P583</f>
        <v>0</v>
      </c>
      <c r="Z586" s="58">
        <f>작성용!Q583</f>
        <v>0</v>
      </c>
      <c r="AA586" s="56" t="str">
        <f>작성용!AJ583</f>
        <v>-</v>
      </c>
      <c r="AB586" s="56">
        <f>작성용!AB583</f>
        <v>0</v>
      </c>
    </row>
    <row r="587" spans="1:28" s="12" customFormat="1" ht="16.5" hidden="1" customHeight="1" x14ac:dyDescent="0.3">
      <c r="A587" s="54">
        <f>작성용!AL584</f>
        <v>583</v>
      </c>
      <c r="B587" s="55" t="str">
        <f>작성용!AI584</f>
        <v>-</v>
      </c>
      <c r="C587" s="56" t="str">
        <f>작성용!AK584</f>
        <v>기초자산</v>
      </c>
      <c r="D587" s="57" t="str">
        <f>작성용!T584</f>
        <v>고려아연펀드(기초자산)</v>
      </c>
      <c r="E587" s="58" t="str">
        <f>작성용!B584</f>
        <v>Primer Sazze Fund II</v>
      </c>
      <c r="F587" s="58" t="str">
        <f>작성용!C584</f>
        <v>재평가</v>
      </c>
      <c r="G587" s="58" t="str">
        <f>작성용!D584</f>
        <v>Fridays Lab</v>
      </c>
      <c r="H587" s="59" t="str">
        <f>작성용!E584</f>
        <v>KBP2023120092</v>
      </c>
      <c r="I587" s="58" t="str">
        <f>작성용!F584</f>
        <v>D06</v>
      </c>
      <c r="J587" s="58">
        <f>작성용!G584</f>
        <v>0</v>
      </c>
      <c r="K587" s="58" t="str">
        <f>작성용!H584</f>
        <v>-</v>
      </c>
      <c r="L587" s="58" t="str">
        <f>작성용!N584</f>
        <v>년</v>
      </c>
      <c r="M587" s="57" t="str">
        <f>작성용!U584</f>
        <v>2024.09.30</v>
      </c>
      <c r="N587" s="57">
        <f>작성용!V584</f>
        <v>45611</v>
      </c>
      <c r="O587" s="57" t="str">
        <f>작성용!W584</f>
        <v>보고서제공X</v>
      </c>
      <c r="P587" s="57" t="str">
        <f>작성용!X584</f>
        <v>-</v>
      </c>
      <c r="Q587" s="58" t="str">
        <f>작성용!AD584</f>
        <v>오수현</v>
      </c>
      <c r="R587" s="60">
        <f>작성용!AE584</f>
        <v>0</v>
      </c>
      <c r="S587" s="58" t="str">
        <f>작성용!AF584</f>
        <v>오수현</v>
      </c>
      <c r="T587" s="61" t="str">
        <f>작성용!AG584</f>
        <v>-</v>
      </c>
      <c r="U587" s="61" t="str">
        <f>작성용!AH584</f>
        <v>-</v>
      </c>
      <c r="V587" s="56">
        <f>작성용!AA584</f>
        <v>202411</v>
      </c>
      <c r="W587" s="58" t="str">
        <f>작성용!AC584</f>
        <v>[6]기타기관펀드(기초자산)</v>
      </c>
      <c r="X587" s="58">
        <f>작성용!O584</f>
        <v>0</v>
      </c>
      <c r="Y587" s="58">
        <f>작성용!P584</f>
        <v>0</v>
      </c>
      <c r="Z587" s="58">
        <f>작성용!Q584</f>
        <v>0</v>
      </c>
      <c r="AA587" s="56" t="str">
        <f>작성용!AJ584</f>
        <v>-</v>
      </c>
      <c r="AB587" s="56">
        <f>작성용!AB584</f>
        <v>0</v>
      </c>
    </row>
    <row r="588" spans="1:28" s="12" customFormat="1" ht="16.5" hidden="1" customHeight="1" x14ac:dyDescent="0.3">
      <c r="A588" s="54">
        <f>작성용!AL585</f>
        <v>584</v>
      </c>
      <c r="B588" s="55" t="str">
        <f>작성용!AI585</f>
        <v>-</v>
      </c>
      <c r="C588" s="56" t="str">
        <f>작성용!AK585</f>
        <v>기초자산</v>
      </c>
      <c r="D588" s="57" t="str">
        <f>작성용!T585</f>
        <v>고려아연펀드(기초자산)</v>
      </c>
      <c r="E588" s="58" t="str">
        <f>작성용!B585</f>
        <v>Primer Sazze Fund II</v>
      </c>
      <c r="F588" s="58" t="str">
        <f>작성용!C585</f>
        <v>재평가</v>
      </c>
      <c r="G588" s="58" t="str">
        <f>작성용!D585</f>
        <v>제트에이아이</v>
      </c>
      <c r="H588" s="59">
        <f>작성용!E585</f>
        <v>1101118128913</v>
      </c>
      <c r="I588" s="58" t="str">
        <f>작성용!F585</f>
        <v>A05</v>
      </c>
      <c r="J588" s="58">
        <f>작성용!G585</f>
        <v>0</v>
      </c>
      <c r="K588" s="58" t="str">
        <f>작성용!H585</f>
        <v>-</v>
      </c>
      <c r="L588" s="58" t="str">
        <f>작성용!N585</f>
        <v>년</v>
      </c>
      <c r="M588" s="57" t="str">
        <f>작성용!U585</f>
        <v>2024.09.30</v>
      </c>
      <c r="N588" s="57">
        <f>작성용!V585</f>
        <v>45611</v>
      </c>
      <c r="O588" s="57" t="str">
        <f>작성용!W585</f>
        <v>보고서제공X</v>
      </c>
      <c r="P588" s="57" t="str">
        <f>작성용!X585</f>
        <v>-</v>
      </c>
      <c r="Q588" s="58" t="str">
        <f>작성용!AD585</f>
        <v>백형진</v>
      </c>
      <c r="R588" s="60">
        <f>작성용!AE585</f>
        <v>0</v>
      </c>
      <c r="S588" s="58" t="str">
        <f>작성용!AF585</f>
        <v>백형진</v>
      </c>
      <c r="T588" s="61" t="str">
        <f>작성용!AG585</f>
        <v>-</v>
      </c>
      <c r="U588" s="61" t="str">
        <f>작성용!AH585</f>
        <v>-</v>
      </c>
      <c r="V588" s="56">
        <f>작성용!AA585</f>
        <v>202411</v>
      </c>
      <c r="W588" s="58" t="str">
        <f>작성용!AC585</f>
        <v>[6]기타기관펀드(기초자산)</v>
      </c>
      <c r="X588" s="58">
        <f>작성용!O585</f>
        <v>0</v>
      </c>
      <c r="Y588" s="58">
        <f>작성용!P585</f>
        <v>0</v>
      </c>
      <c r="Z588" s="58">
        <f>작성용!Q585</f>
        <v>0</v>
      </c>
      <c r="AA588" s="56" t="str">
        <f>작성용!AJ585</f>
        <v>-</v>
      </c>
      <c r="AB588" s="56">
        <f>작성용!AB585</f>
        <v>0</v>
      </c>
    </row>
    <row r="589" spans="1:28" s="12" customFormat="1" ht="16.5" hidden="1" customHeight="1" x14ac:dyDescent="0.3">
      <c r="A589" s="54">
        <f>작성용!AL586</f>
        <v>585</v>
      </c>
      <c r="B589" s="55" t="str">
        <f>작성용!AI586</f>
        <v>-</v>
      </c>
      <c r="C589" s="56" t="str">
        <f>작성용!AK586</f>
        <v>기초자산</v>
      </c>
      <c r="D589" s="57" t="str">
        <f>작성용!T586</f>
        <v>고려아연펀드(기초자산)</v>
      </c>
      <c r="E589" s="58" t="str">
        <f>작성용!B586</f>
        <v>Primer Sazze Fund II</v>
      </c>
      <c r="F589" s="58" t="str">
        <f>작성용!C586</f>
        <v>재평가</v>
      </c>
      <c r="G589" s="58" t="str">
        <f>작성용!D586</f>
        <v>웨이커</v>
      </c>
      <c r="H589" s="59">
        <f>작성용!E586</f>
        <v>1101117360417</v>
      </c>
      <c r="I589" s="58" t="str">
        <f>작성용!F586</f>
        <v>A07</v>
      </c>
      <c r="J589" s="58">
        <f>작성용!G586</f>
        <v>0</v>
      </c>
      <c r="K589" s="58" t="str">
        <f>작성용!H586</f>
        <v>-</v>
      </c>
      <c r="L589" s="58" t="str">
        <f>작성용!N586</f>
        <v>년</v>
      </c>
      <c r="M589" s="57" t="str">
        <f>작성용!U586</f>
        <v>2024.09.30</v>
      </c>
      <c r="N589" s="57">
        <f>작성용!V586</f>
        <v>45611</v>
      </c>
      <c r="O589" s="57" t="str">
        <f>작성용!W586</f>
        <v>보고서제공X</v>
      </c>
      <c r="P589" s="57" t="str">
        <f>작성용!X586</f>
        <v>-</v>
      </c>
      <c r="Q589" s="58" t="str">
        <f>작성용!AD586</f>
        <v>이문수</v>
      </c>
      <c r="R589" s="60">
        <f>작성용!AE586</f>
        <v>0</v>
      </c>
      <c r="S589" s="58" t="str">
        <f>작성용!AF586</f>
        <v>이문수</v>
      </c>
      <c r="T589" s="61" t="str">
        <f>작성용!AG586</f>
        <v>-</v>
      </c>
      <c r="U589" s="61" t="str">
        <f>작성용!AH586</f>
        <v>-</v>
      </c>
      <c r="V589" s="56">
        <f>작성용!AA586</f>
        <v>202411</v>
      </c>
      <c r="W589" s="58" t="str">
        <f>작성용!AC586</f>
        <v>[6]기타기관펀드(기초자산)</v>
      </c>
      <c r="X589" s="58">
        <f>작성용!O586</f>
        <v>0</v>
      </c>
      <c r="Y589" s="58">
        <f>작성용!P586</f>
        <v>0</v>
      </c>
      <c r="Z589" s="58">
        <f>작성용!Q586</f>
        <v>0</v>
      </c>
      <c r="AA589" s="56" t="str">
        <f>작성용!AJ586</f>
        <v>-</v>
      </c>
      <c r="AB589" s="56">
        <f>작성용!AB586</f>
        <v>0</v>
      </c>
    </row>
    <row r="590" spans="1:28" s="12" customFormat="1" ht="16.5" hidden="1" customHeight="1" x14ac:dyDescent="0.3">
      <c r="A590" s="54">
        <f>작성용!AL587</f>
        <v>586</v>
      </c>
      <c r="B590" s="55" t="str">
        <f>작성용!AI587</f>
        <v>-</v>
      </c>
      <c r="C590" s="56" t="str">
        <f>작성용!AK587</f>
        <v>기초자산</v>
      </c>
      <c r="D590" s="57" t="str">
        <f>작성용!T587</f>
        <v>고려아연펀드(기초자산)</v>
      </c>
      <c r="E590" s="58" t="str">
        <f>작성용!B587</f>
        <v>Primer Sazze Fund II</v>
      </c>
      <c r="F590" s="58" t="str">
        <f>작성용!C587</f>
        <v>재평가</v>
      </c>
      <c r="G590" s="58" t="str">
        <f>작성용!D587</f>
        <v>지로</v>
      </c>
      <c r="H590" s="59">
        <f>작성용!E587</f>
        <v>1101117508322</v>
      </c>
      <c r="I590" s="58" t="str">
        <f>작성용!F587</f>
        <v>A05</v>
      </c>
      <c r="J590" s="58">
        <f>작성용!G587</f>
        <v>0</v>
      </c>
      <c r="K590" s="58" t="str">
        <f>작성용!H587</f>
        <v>-</v>
      </c>
      <c r="L590" s="58" t="str">
        <f>작성용!N587</f>
        <v>년</v>
      </c>
      <c r="M590" s="57" t="str">
        <f>작성용!U587</f>
        <v>2024.09.30</v>
      </c>
      <c r="N590" s="57">
        <f>작성용!V587</f>
        <v>45611</v>
      </c>
      <c r="O590" s="57" t="str">
        <f>작성용!W587</f>
        <v>보고서제공X</v>
      </c>
      <c r="P590" s="57" t="str">
        <f>작성용!X587</f>
        <v>-</v>
      </c>
      <c r="Q590" s="58" t="str">
        <f>작성용!AD587</f>
        <v>신원준</v>
      </c>
      <c r="R590" s="60">
        <f>작성용!AE587</f>
        <v>0</v>
      </c>
      <c r="S590" s="58" t="str">
        <f>작성용!AF587</f>
        <v>고명주</v>
      </c>
      <c r="T590" s="61" t="str">
        <f>작성용!AG587</f>
        <v>-</v>
      </c>
      <c r="U590" s="61" t="str">
        <f>작성용!AH587</f>
        <v>-</v>
      </c>
      <c r="V590" s="56">
        <f>작성용!AA587</f>
        <v>202411</v>
      </c>
      <c r="W590" s="58" t="str">
        <f>작성용!AC587</f>
        <v>[6]기타기관펀드(기초자산)</v>
      </c>
      <c r="X590" s="58">
        <f>작성용!O587</f>
        <v>0</v>
      </c>
      <c r="Y590" s="58">
        <f>작성용!P587</f>
        <v>0</v>
      </c>
      <c r="Z590" s="58">
        <f>작성용!Q587</f>
        <v>0</v>
      </c>
      <c r="AA590" s="56" t="str">
        <f>작성용!AJ587</f>
        <v>-</v>
      </c>
      <c r="AB590" s="56">
        <f>작성용!AB587</f>
        <v>0</v>
      </c>
    </row>
    <row r="591" spans="1:28" s="12" customFormat="1" ht="16.5" hidden="1" customHeight="1" x14ac:dyDescent="0.3">
      <c r="A591" s="54">
        <f>작성용!AL588</f>
        <v>587</v>
      </c>
      <c r="B591" s="55" t="str">
        <f>작성용!AI588</f>
        <v>-</v>
      </c>
      <c r="C591" s="56" t="str">
        <f>작성용!AK588</f>
        <v>기초자산</v>
      </c>
      <c r="D591" s="57" t="str">
        <f>작성용!T588</f>
        <v>고려아연펀드(기초자산)</v>
      </c>
      <c r="E591" s="58" t="str">
        <f>작성용!B588</f>
        <v>Primer Sazze Fund II</v>
      </c>
      <c r="F591" s="58" t="str">
        <f>작성용!C588</f>
        <v>재평가</v>
      </c>
      <c r="G591" s="58" t="str">
        <f>작성용!D588</f>
        <v>스텝페이</v>
      </c>
      <c r="H591" s="59">
        <f>작성용!E588</f>
        <v>1101117235925</v>
      </c>
      <c r="I591" s="58" t="str">
        <f>작성용!F588</f>
        <v>A05</v>
      </c>
      <c r="J591" s="58">
        <f>작성용!G588</f>
        <v>0</v>
      </c>
      <c r="K591" s="58" t="str">
        <f>작성용!H588</f>
        <v>-</v>
      </c>
      <c r="L591" s="58" t="str">
        <f>작성용!N588</f>
        <v>년</v>
      </c>
      <c r="M591" s="57" t="str">
        <f>작성용!U588</f>
        <v>2024.09.30</v>
      </c>
      <c r="N591" s="57">
        <f>작성용!V588</f>
        <v>45611</v>
      </c>
      <c r="O591" s="57" t="str">
        <f>작성용!W588</f>
        <v>보고서제공X</v>
      </c>
      <c r="P591" s="57" t="str">
        <f>작성용!X588</f>
        <v>-</v>
      </c>
      <c r="Q591" s="58" t="str">
        <f>작성용!AD588</f>
        <v>정재형</v>
      </c>
      <c r="R591" s="60">
        <f>작성용!AE588</f>
        <v>0</v>
      </c>
      <c r="S591" s="58" t="str">
        <f>작성용!AF588</f>
        <v>정재형</v>
      </c>
      <c r="T591" s="61" t="str">
        <f>작성용!AG588</f>
        <v>-</v>
      </c>
      <c r="U591" s="61" t="str">
        <f>작성용!AH588</f>
        <v>-</v>
      </c>
      <c r="V591" s="56">
        <f>작성용!AA588</f>
        <v>202411</v>
      </c>
      <c r="W591" s="58" t="str">
        <f>작성용!AC588</f>
        <v>[6]기타기관펀드(기초자산)</v>
      </c>
      <c r="X591" s="58">
        <f>작성용!O588</f>
        <v>0</v>
      </c>
      <c r="Y591" s="58">
        <f>작성용!P588</f>
        <v>0</v>
      </c>
      <c r="Z591" s="58">
        <f>작성용!Q588</f>
        <v>0</v>
      </c>
      <c r="AA591" s="56" t="str">
        <f>작성용!AJ588</f>
        <v>-</v>
      </c>
      <c r="AB591" s="56">
        <f>작성용!AB588</f>
        <v>0</v>
      </c>
    </row>
    <row r="592" spans="1:28" s="12" customFormat="1" ht="16.5" hidden="1" customHeight="1" x14ac:dyDescent="0.3">
      <c r="A592" s="54">
        <f>작성용!AL589</f>
        <v>588</v>
      </c>
      <c r="B592" s="55" t="str">
        <f>작성용!AI589</f>
        <v>-</v>
      </c>
      <c r="C592" s="56" t="str">
        <f>작성용!AK589</f>
        <v>기초자산</v>
      </c>
      <c r="D592" s="57" t="str">
        <f>작성용!T589</f>
        <v>고려아연펀드(기초자산)</v>
      </c>
      <c r="E592" s="58" t="str">
        <f>작성용!B589</f>
        <v>Primer Sazze Fund II</v>
      </c>
      <c r="F592" s="58" t="str">
        <f>작성용!C589</f>
        <v>재평가</v>
      </c>
      <c r="G592" s="58" t="str">
        <f>작성용!D589</f>
        <v>아리아스튜디오</v>
      </c>
      <c r="H592" s="59">
        <f>작성용!E589</f>
        <v>1349110113687</v>
      </c>
      <c r="I592" s="58" t="str">
        <f>작성용!F589</f>
        <v>A05</v>
      </c>
      <c r="J592" s="58">
        <f>작성용!G589</f>
        <v>0</v>
      </c>
      <c r="K592" s="58" t="str">
        <f>작성용!H589</f>
        <v>-</v>
      </c>
      <c r="L592" s="58" t="str">
        <f>작성용!N589</f>
        <v>년</v>
      </c>
      <c r="M592" s="57" t="str">
        <f>작성용!U589</f>
        <v>2024.09.30</v>
      </c>
      <c r="N592" s="57">
        <f>작성용!V589</f>
        <v>45611</v>
      </c>
      <c r="O592" s="57" t="str">
        <f>작성용!W589</f>
        <v>보고서제공X</v>
      </c>
      <c r="P592" s="57" t="str">
        <f>작성용!X589</f>
        <v>-</v>
      </c>
      <c r="Q592" s="58" t="str">
        <f>작성용!AD589</f>
        <v>정은채</v>
      </c>
      <c r="R592" s="60">
        <f>작성용!AE589</f>
        <v>0</v>
      </c>
      <c r="S592" s="58" t="str">
        <f>작성용!AF589</f>
        <v>정은채</v>
      </c>
      <c r="T592" s="61" t="str">
        <f>작성용!AG589</f>
        <v>-</v>
      </c>
      <c r="U592" s="61" t="str">
        <f>작성용!AH589</f>
        <v>-</v>
      </c>
      <c r="V592" s="56">
        <f>작성용!AA589</f>
        <v>202411</v>
      </c>
      <c r="W592" s="58" t="str">
        <f>작성용!AC589</f>
        <v>[6]기타기관펀드(기초자산)</v>
      </c>
      <c r="X592" s="58">
        <f>작성용!O589</f>
        <v>0</v>
      </c>
      <c r="Y592" s="58">
        <f>작성용!P589</f>
        <v>0</v>
      </c>
      <c r="Z592" s="58">
        <f>작성용!Q589</f>
        <v>0</v>
      </c>
      <c r="AA592" s="56" t="str">
        <f>작성용!AJ589</f>
        <v>-</v>
      </c>
      <c r="AB592" s="56">
        <f>작성용!AB589</f>
        <v>0</v>
      </c>
    </row>
    <row r="593" spans="1:28" s="12" customFormat="1" ht="16.5" hidden="1" customHeight="1" x14ac:dyDescent="0.3">
      <c r="A593" s="54">
        <f>작성용!AL590</f>
        <v>589</v>
      </c>
      <c r="B593" s="55" t="str">
        <f>작성용!AI590</f>
        <v>-</v>
      </c>
      <c r="C593" s="56" t="str">
        <f>작성용!AK590</f>
        <v>기초자산</v>
      </c>
      <c r="D593" s="57" t="str">
        <f>작성용!T590</f>
        <v>고려아연펀드(기초자산)</v>
      </c>
      <c r="E593" s="58" t="str">
        <f>작성용!B590</f>
        <v>Primer Sazze Fund II</v>
      </c>
      <c r="F593" s="58" t="str">
        <f>작성용!C590</f>
        <v>재평가</v>
      </c>
      <c r="G593" s="58" t="str">
        <f>작성용!D590</f>
        <v>엑소스피어랩스</v>
      </c>
      <c r="H593" s="59">
        <f>작성용!E590</f>
        <v>1101117133062</v>
      </c>
      <c r="I593" s="58" t="str">
        <f>작성용!F590</f>
        <v>A05</v>
      </c>
      <c r="J593" s="58">
        <f>작성용!G590</f>
        <v>0</v>
      </c>
      <c r="K593" s="58" t="str">
        <f>작성용!H590</f>
        <v>-</v>
      </c>
      <c r="L593" s="58" t="str">
        <f>작성용!N590</f>
        <v>년</v>
      </c>
      <c r="M593" s="57" t="str">
        <f>작성용!U590</f>
        <v>2024.09.30</v>
      </c>
      <c r="N593" s="57">
        <f>작성용!V590</f>
        <v>45611</v>
      </c>
      <c r="O593" s="57" t="str">
        <f>작성용!W590</f>
        <v>보고서제공X</v>
      </c>
      <c r="P593" s="57" t="str">
        <f>작성용!X590</f>
        <v>-</v>
      </c>
      <c r="Q593" s="58" t="str">
        <f>작성용!AD590</f>
        <v>조현우</v>
      </c>
      <c r="R593" s="60">
        <f>작성용!AE590</f>
        <v>0</v>
      </c>
      <c r="S593" s="58" t="str">
        <f>작성용!AF590</f>
        <v>조현우</v>
      </c>
      <c r="T593" s="61" t="str">
        <f>작성용!AG590</f>
        <v>-</v>
      </c>
      <c r="U593" s="61" t="str">
        <f>작성용!AH590</f>
        <v>-</v>
      </c>
      <c r="V593" s="56">
        <f>작성용!AA590</f>
        <v>202411</v>
      </c>
      <c r="W593" s="58" t="str">
        <f>작성용!AC590</f>
        <v>[6]기타기관펀드(기초자산)</v>
      </c>
      <c r="X593" s="58">
        <f>작성용!O590</f>
        <v>0</v>
      </c>
      <c r="Y593" s="58">
        <f>작성용!P590</f>
        <v>0</v>
      </c>
      <c r="Z593" s="58">
        <f>작성용!Q590</f>
        <v>0</v>
      </c>
      <c r="AA593" s="56" t="str">
        <f>작성용!AJ590</f>
        <v>-</v>
      </c>
      <c r="AB593" s="56">
        <f>작성용!AB590</f>
        <v>0</v>
      </c>
    </row>
    <row r="594" spans="1:28" s="12" customFormat="1" ht="16.5" hidden="1" customHeight="1" x14ac:dyDescent="0.3">
      <c r="A594" s="54">
        <f>작성용!AL591</f>
        <v>590</v>
      </c>
      <c r="B594" s="55" t="str">
        <f>작성용!AI591</f>
        <v>-</v>
      </c>
      <c r="C594" s="56" t="str">
        <f>작성용!AK591</f>
        <v>기초자산</v>
      </c>
      <c r="D594" s="57" t="str">
        <f>작성용!T591</f>
        <v>고려아연펀드(기초자산)</v>
      </c>
      <c r="E594" s="58" t="str">
        <f>작성용!B591</f>
        <v>Primer Sazze Fund II</v>
      </c>
      <c r="F594" s="58" t="str">
        <f>작성용!C591</f>
        <v>재평가</v>
      </c>
      <c r="G594" s="58" t="str">
        <f>작성용!D591</f>
        <v>플레어랩스</v>
      </c>
      <c r="H594" s="59">
        <f>작성용!E591</f>
        <v>1101118267539</v>
      </c>
      <c r="I594" s="58" t="str">
        <f>작성용!F591</f>
        <v>A05</v>
      </c>
      <c r="J594" s="58">
        <f>작성용!G591</f>
        <v>0</v>
      </c>
      <c r="K594" s="58" t="str">
        <f>작성용!H591</f>
        <v>-</v>
      </c>
      <c r="L594" s="58" t="str">
        <f>작성용!N591</f>
        <v>년</v>
      </c>
      <c r="M594" s="57" t="str">
        <f>작성용!U591</f>
        <v>2024.09.30</v>
      </c>
      <c r="N594" s="57">
        <f>작성용!V591</f>
        <v>45611</v>
      </c>
      <c r="O594" s="57" t="str">
        <f>작성용!W591</f>
        <v>보고서제공X</v>
      </c>
      <c r="P594" s="57" t="str">
        <f>작성용!X591</f>
        <v>-</v>
      </c>
      <c r="Q594" s="58" t="str">
        <f>작성용!AD591</f>
        <v>김예림</v>
      </c>
      <c r="R594" s="60">
        <f>작성용!AE591</f>
        <v>0</v>
      </c>
      <c r="S594" s="58" t="str">
        <f>작성용!AF591</f>
        <v>김예림</v>
      </c>
      <c r="T594" s="61" t="str">
        <f>작성용!AG591</f>
        <v>-</v>
      </c>
      <c r="U594" s="61" t="str">
        <f>작성용!AH591</f>
        <v>-</v>
      </c>
      <c r="V594" s="56">
        <f>작성용!AA591</f>
        <v>202411</v>
      </c>
      <c r="W594" s="58" t="str">
        <f>작성용!AC591</f>
        <v>[6]기타기관펀드(기초자산)</v>
      </c>
      <c r="X594" s="58">
        <f>작성용!O591</f>
        <v>0</v>
      </c>
      <c r="Y594" s="58">
        <f>작성용!P591</f>
        <v>0</v>
      </c>
      <c r="Z594" s="58">
        <f>작성용!Q591</f>
        <v>0</v>
      </c>
      <c r="AA594" s="56" t="str">
        <f>작성용!AJ591</f>
        <v>-</v>
      </c>
      <c r="AB594" s="56">
        <f>작성용!AB591</f>
        <v>0</v>
      </c>
    </row>
    <row r="595" spans="1:28" s="12" customFormat="1" ht="16.5" hidden="1" customHeight="1" x14ac:dyDescent="0.3">
      <c r="A595" s="54">
        <f>작성용!AL592</f>
        <v>591</v>
      </c>
      <c r="B595" s="55" t="str">
        <f>작성용!AI592</f>
        <v>-</v>
      </c>
      <c r="C595" s="56" t="str">
        <f>작성용!AK592</f>
        <v>기초자산</v>
      </c>
      <c r="D595" s="57" t="str">
        <f>작성용!T592</f>
        <v>고려아연펀드(기초자산)</v>
      </c>
      <c r="E595" s="58" t="str">
        <f>작성용!B592</f>
        <v>Primer Sazze Fund II</v>
      </c>
      <c r="F595" s="58" t="str">
        <f>작성용!C592</f>
        <v>재평가</v>
      </c>
      <c r="G595" s="58" t="str">
        <f>작성용!D592</f>
        <v>페이워크</v>
      </c>
      <c r="H595" s="59">
        <f>작성용!E592</f>
        <v>1101117254933</v>
      </c>
      <c r="I595" s="58" t="str">
        <f>작성용!F592</f>
        <v>A05</v>
      </c>
      <c r="J595" s="58">
        <f>작성용!G592</f>
        <v>0</v>
      </c>
      <c r="K595" s="58" t="str">
        <f>작성용!H592</f>
        <v>-</v>
      </c>
      <c r="L595" s="58" t="str">
        <f>작성용!N592</f>
        <v>년</v>
      </c>
      <c r="M595" s="57" t="str">
        <f>작성용!U592</f>
        <v>2024.09.30</v>
      </c>
      <c r="N595" s="57">
        <f>작성용!V592</f>
        <v>45611</v>
      </c>
      <c r="O595" s="57" t="str">
        <f>작성용!W592</f>
        <v>보고서제공X</v>
      </c>
      <c r="P595" s="57" t="str">
        <f>작성용!X592</f>
        <v>-</v>
      </c>
      <c r="Q595" s="58" t="str">
        <f>작성용!AD592</f>
        <v>김에스더</v>
      </c>
      <c r="R595" s="60">
        <f>작성용!AE592</f>
        <v>0</v>
      </c>
      <c r="S595" s="58" t="str">
        <f>작성용!AF592</f>
        <v>김범준</v>
      </c>
      <c r="T595" s="61" t="str">
        <f>작성용!AG592</f>
        <v>-</v>
      </c>
      <c r="U595" s="61" t="str">
        <f>작성용!AH592</f>
        <v>-</v>
      </c>
      <c r="V595" s="56">
        <f>작성용!AA592</f>
        <v>202411</v>
      </c>
      <c r="W595" s="58" t="str">
        <f>작성용!AC592</f>
        <v>[6]기타기관펀드(기초자산)</v>
      </c>
      <c r="X595" s="58">
        <f>작성용!O592</f>
        <v>0</v>
      </c>
      <c r="Y595" s="58">
        <f>작성용!P592</f>
        <v>0</v>
      </c>
      <c r="Z595" s="58">
        <f>작성용!Q592</f>
        <v>0</v>
      </c>
      <c r="AA595" s="56" t="str">
        <f>작성용!AJ592</f>
        <v>-</v>
      </c>
      <c r="AB595" s="56">
        <f>작성용!AB592</f>
        <v>0</v>
      </c>
    </row>
    <row r="596" spans="1:28" s="12" customFormat="1" ht="16.5" hidden="1" customHeight="1" x14ac:dyDescent="0.3">
      <c r="A596" s="54">
        <f>작성용!AL593</f>
        <v>592</v>
      </c>
      <c r="B596" s="55" t="str">
        <f>작성용!AI593</f>
        <v>-</v>
      </c>
      <c r="C596" s="56" t="str">
        <f>작성용!AK593</f>
        <v>기초자산</v>
      </c>
      <c r="D596" s="57" t="str">
        <f>작성용!T593</f>
        <v>고려아연펀드(기초자산)</v>
      </c>
      <c r="E596" s="58" t="str">
        <f>작성용!B593</f>
        <v>Primer Sazze Fund II</v>
      </c>
      <c r="F596" s="58" t="str">
        <f>작성용!C593</f>
        <v>재평가</v>
      </c>
      <c r="G596" s="58" t="str">
        <f>작성용!D593</f>
        <v>파일러니어</v>
      </c>
      <c r="H596" s="59">
        <f>작성용!E593</f>
        <v>1101118450689</v>
      </c>
      <c r="I596" s="58" t="str">
        <f>작성용!F593</f>
        <v>D06</v>
      </c>
      <c r="J596" s="58">
        <f>작성용!G593</f>
        <v>0</v>
      </c>
      <c r="K596" s="58" t="str">
        <f>작성용!H593</f>
        <v>-</v>
      </c>
      <c r="L596" s="58" t="str">
        <f>작성용!N593</f>
        <v>년</v>
      </c>
      <c r="M596" s="57" t="str">
        <f>작성용!U593</f>
        <v>2024.09.30</v>
      </c>
      <c r="N596" s="57">
        <f>작성용!V593</f>
        <v>45611</v>
      </c>
      <c r="O596" s="57" t="str">
        <f>작성용!W593</f>
        <v>보고서제공X</v>
      </c>
      <c r="P596" s="57" t="str">
        <f>작성용!X593</f>
        <v>-</v>
      </c>
      <c r="Q596" s="58" t="str">
        <f>작성용!AD593</f>
        <v>강성은</v>
      </c>
      <c r="R596" s="60">
        <f>작성용!AE593</f>
        <v>0</v>
      </c>
      <c r="S596" s="58" t="str">
        <f>작성용!AF593</f>
        <v>강성은</v>
      </c>
      <c r="T596" s="61" t="str">
        <f>작성용!AG593</f>
        <v>-</v>
      </c>
      <c r="U596" s="61" t="str">
        <f>작성용!AH593</f>
        <v>-</v>
      </c>
      <c r="V596" s="56">
        <f>작성용!AA593</f>
        <v>202411</v>
      </c>
      <c r="W596" s="58" t="str">
        <f>작성용!AC593</f>
        <v>[6]기타기관펀드(기초자산)</v>
      </c>
      <c r="X596" s="58">
        <f>작성용!O593</f>
        <v>0</v>
      </c>
      <c r="Y596" s="58">
        <f>작성용!P593</f>
        <v>0</v>
      </c>
      <c r="Z596" s="58">
        <f>작성용!Q593</f>
        <v>0</v>
      </c>
      <c r="AA596" s="56" t="str">
        <f>작성용!AJ593</f>
        <v>-</v>
      </c>
      <c r="AB596" s="56">
        <f>작성용!AB593</f>
        <v>0</v>
      </c>
    </row>
    <row r="597" spans="1:28" s="12" customFormat="1" ht="16.5" hidden="1" customHeight="1" x14ac:dyDescent="0.3">
      <c r="A597" s="54">
        <f>작성용!AL594</f>
        <v>593</v>
      </c>
      <c r="B597" s="55" t="str">
        <f>작성용!AI594</f>
        <v>-</v>
      </c>
      <c r="C597" s="56" t="str">
        <f>작성용!AK594</f>
        <v>기초자산</v>
      </c>
      <c r="D597" s="57" t="str">
        <f>작성용!T594</f>
        <v>고려아연펀드(기초자산)</v>
      </c>
      <c r="E597" s="58" t="str">
        <f>작성용!B594</f>
        <v>Primer Sazze Fund II</v>
      </c>
      <c r="F597" s="58" t="str">
        <f>작성용!C594</f>
        <v>재평가</v>
      </c>
      <c r="G597" s="58" t="str">
        <f>작성용!D594</f>
        <v>프로젝트노아</v>
      </c>
      <c r="H597" s="59">
        <f>작성용!E594</f>
        <v>1101115481132</v>
      </c>
      <c r="I597" s="58" t="str">
        <f>작성용!F594</f>
        <v>A07</v>
      </c>
      <c r="J597" s="58">
        <f>작성용!G594</f>
        <v>0</v>
      </c>
      <c r="K597" s="58" t="str">
        <f>작성용!H594</f>
        <v>-</v>
      </c>
      <c r="L597" s="58" t="str">
        <f>작성용!N594</f>
        <v>년</v>
      </c>
      <c r="M597" s="57" t="str">
        <f>작성용!U594</f>
        <v>2024.09.30</v>
      </c>
      <c r="N597" s="57">
        <f>작성용!V594</f>
        <v>45611</v>
      </c>
      <c r="O597" s="57" t="str">
        <f>작성용!W594</f>
        <v>보고서제공X</v>
      </c>
      <c r="P597" s="57" t="str">
        <f>작성용!X594</f>
        <v>-</v>
      </c>
      <c r="Q597" s="58" t="str">
        <f>작성용!AD594</f>
        <v>변혜진</v>
      </c>
      <c r="R597" s="60">
        <f>작성용!AE594</f>
        <v>0</v>
      </c>
      <c r="S597" s="58" t="str">
        <f>작성용!AF594</f>
        <v>변혜진</v>
      </c>
      <c r="T597" s="61" t="str">
        <f>작성용!AG594</f>
        <v>-</v>
      </c>
      <c r="U597" s="61" t="str">
        <f>작성용!AH594</f>
        <v>-</v>
      </c>
      <c r="V597" s="56">
        <f>작성용!AA594</f>
        <v>202411</v>
      </c>
      <c r="W597" s="58" t="str">
        <f>작성용!AC594</f>
        <v>[6]기타기관펀드(기초자산)</v>
      </c>
      <c r="X597" s="58">
        <f>작성용!O594</f>
        <v>0</v>
      </c>
      <c r="Y597" s="58">
        <f>작성용!P594</f>
        <v>0</v>
      </c>
      <c r="Z597" s="58">
        <f>작성용!Q594</f>
        <v>0</v>
      </c>
      <c r="AA597" s="56" t="str">
        <f>작성용!AJ594</f>
        <v>-</v>
      </c>
      <c r="AB597" s="56">
        <f>작성용!AB594</f>
        <v>0</v>
      </c>
    </row>
    <row r="598" spans="1:28" s="12" customFormat="1" ht="16.5" hidden="1" customHeight="1" x14ac:dyDescent="0.3">
      <c r="A598" s="54">
        <f>작성용!AL595</f>
        <v>594</v>
      </c>
      <c r="B598" s="55" t="str">
        <f>작성용!AI595</f>
        <v>-</v>
      </c>
      <c r="C598" s="56" t="str">
        <f>작성용!AK595</f>
        <v>기초자산</v>
      </c>
      <c r="D598" s="57" t="str">
        <f>작성용!T595</f>
        <v>고려아연펀드(기초자산)</v>
      </c>
      <c r="E598" s="58" t="str">
        <f>작성용!B595</f>
        <v>Primer Sazze Fund II</v>
      </c>
      <c r="F598" s="58" t="str">
        <f>작성용!C595</f>
        <v>재평가</v>
      </c>
      <c r="G598" s="58" t="str">
        <f>작성용!D595</f>
        <v>Paraform</v>
      </c>
      <c r="H598" s="59" t="str">
        <f>작성용!E595</f>
        <v>KBP2023120093</v>
      </c>
      <c r="I598" s="58" t="str">
        <f>작성용!F595</f>
        <v>D06</v>
      </c>
      <c r="J598" s="58">
        <f>작성용!G595</f>
        <v>0</v>
      </c>
      <c r="K598" s="58" t="str">
        <f>작성용!H595</f>
        <v>-</v>
      </c>
      <c r="L598" s="58" t="str">
        <f>작성용!N595</f>
        <v>년</v>
      </c>
      <c r="M598" s="57" t="str">
        <f>작성용!U595</f>
        <v>2024.09.30</v>
      </c>
      <c r="N598" s="57">
        <f>작성용!V595</f>
        <v>45611</v>
      </c>
      <c r="O598" s="57" t="str">
        <f>작성용!W595</f>
        <v>보고서제공X</v>
      </c>
      <c r="P598" s="57" t="str">
        <f>작성용!X595</f>
        <v>-</v>
      </c>
      <c r="Q598" s="58" t="str">
        <f>작성용!AD595</f>
        <v>강승현</v>
      </c>
      <c r="R598" s="60">
        <f>작성용!AE595</f>
        <v>0</v>
      </c>
      <c r="S598" s="58" t="str">
        <f>작성용!AF595</f>
        <v>강승현</v>
      </c>
      <c r="T598" s="61" t="str">
        <f>작성용!AG595</f>
        <v>-</v>
      </c>
      <c r="U598" s="61" t="str">
        <f>작성용!AH595</f>
        <v>-</v>
      </c>
      <c r="V598" s="56">
        <f>작성용!AA595</f>
        <v>202411</v>
      </c>
      <c r="W598" s="58" t="str">
        <f>작성용!AC595</f>
        <v>[6]기타기관펀드(기초자산)</v>
      </c>
      <c r="X598" s="58">
        <f>작성용!O595</f>
        <v>0</v>
      </c>
      <c r="Y598" s="58">
        <f>작성용!P595</f>
        <v>0</v>
      </c>
      <c r="Z598" s="58">
        <f>작성용!Q595</f>
        <v>0</v>
      </c>
      <c r="AA598" s="56" t="str">
        <f>작성용!AJ595</f>
        <v>-</v>
      </c>
      <c r="AB598" s="56">
        <f>작성용!AB595</f>
        <v>0</v>
      </c>
    </row>
    <row r="599" spans="1:28" s="12" customFormat="1" ht="16.5" hidden="1" customHeight="1" x14ac:dyDescent="0.3">
      <c r="A599" s="54">
        <f>작성용!AL596</f>
        <v>595</v>
      </c>
      <c r="B599" s="55" t="str">
        <f>작성용!AI596</f>
        <v>-</v>
      </c>
      <c r="C599" s="56" t="str">
        <f>작성용!AK596</f>
        <v>기초자산</v>
      </c>
      <c r="D599" s="57" t="str">
        <f>작성용!T596</f>
        <v>고려아연펀드(기초자산)</v>
      </c>
      <c r="E599" s="58" t="str">
        <f>작성용!B596</f>
        <v>Primer Sazze Fund II</v>
      </c>
      <c r="F599" s="58" t="str">
        <f>작성용!C596</f>
        <v>재평가</v>
      </c>
      <c r="G599" s="58" t="str">
        <f>작성용!D596</f>
        <v>이오스튜디오</v>
      </c>
      <c r="H599" s="59">
        <f>작성용!E596</f>
        <v>1101117470563</v>
      </c>
      <c r="I599" s="58" t="str">
        <f>작성용!F596</f>
        <v>A05</v>
      </c>
      <c r="J599" s="58">
        <f>작성용!G596</f>
        <v>0</v>
      </c>
      <c r="K599" s="58" t="str">
        <f>작성용!H596</f>
        <v>-</v>
      </c>
      <c r="L599" s="58" t="str">
        <f>작성용!N596</f>
        <v>년</v>
      </c>
      <c r="M599" s="57" t="str">
        <f>작성용!U596</f>
        <v>2024.09.30</v>
      </c>
      <c r="N599" s="57">
        <f>작성용!V596</f>
        <v>45611</v>
      </c>
      <c r="O599" s="57" t="str">
        <f>작성용!W596</f>
        <v>보고서제공X</v>
      </c>
      <c r="P599" s="57" t="str">
        <f>작성용!X596</f>
        <v>-</v>
      </c>
      <c r="Q599" s="58" t="str">
        <f>작성용!AD596</f>
        <v>심태진</v>
      </c>
      <c r="R599" s="60">
        <f>작성용!AE596</f>
        <v>0</v>
      </c>
      <c r="S599" s="58" t="str">
        <f>작성용!AF596</f>
        <v>심태진</v>
      </c>
      <c r="T599" s="61" t="str">
        <f>작성용!AG596</f>
        <v>-</v>
      </c>
      <c r="U599" s="61" t="str">
        <f>작성용!AH596</f>
        <v>-</v>
      </c>
      <c r="V599" s="56">
        <f>작성용!AA596</f>
        <v>202411</v>
      </c>
      <c r="W599" s="58" t="str">
        <f>작성용!AC596</f>
        <v>[6]기타기관펀드(기초자산)</v>
      </c>
      <c r="X599" s="58">
        <f>작성용!O596</f>
        <v>0</v>
      </c>
      <c r="Y599" s="58">
        <f>작성용!P596</f>
        <v>0</v>
      </c>
      <c r="Z599" s="58">
        <f>작성용!Q596</f>
        <v>0</v>
      </c>
      <c r="AA599" s="56" t="str">
        <f>작성용!AJ596</f>
        <v>-</v>
      </c>
      <c r="AB599" s="56">
        <f>작성용!AB596</f>
        <v>0</v>
      </c>
    </row>
    <row r="600" spans="1:28" s="12" customFormat="1" ht="16.5" hidden="1" customHeight="1" x14ac:dyDescent="0.3">
      <c r="A600" s="54">
        <f>작성용!AL597</f>
        <v>596</v>
      </c>
      <c r="B600" s="55" t="str">
        <f>작성용!AI597</f>
        <v>-</v>
      </c>
      <c r="C600" s="56" t="str">
        <f>작성용!AK597</f>
        <v>기초자산</v>
      </c>
      <c r="D600" s="57" t="str">
        <f>작성용!T597</f>
        <v>고려아연펀드(기초자산)</v>
      </c>
      <c r="E600" s="58" t="str">
        <f>작성용!B597</f>
        <v>Primer Sazze Fund II</v>
      </c>
      <c r="F600" s="58" t="str">
        <f>작성용!C597</f>
        <v>재평가</v>
      </c>
      <c r="G600" s="58" t="str">
        <f>작성용!D597</f>
        <v>Kaigene</v>
      </c>
      <c r="H600" s="59" t="str">
        <f>작성용!E597</f>
        <v>KBP2023120094</v>
      </c>
      <c r="I600" s="58" t="str">
        <f>작성용!F597</f>
        <v>D06</v>
      </c>
      <c r="J600" s="58">
        <f>작성용!G597</f>
        <v>0</v>
      </c>
      <c r="K600" s="58" t="str">
        <f>작성용!H597</f>
        <v>-</v>
      </c>
      <c r="L600" s="58" t="str">
        <f>작성용!N597</f>
        <v>년</v>
      </c>
      <c r="M600" s="57" t="str">
        <f>작성용!U597</f>
        <v>2024.09.30</v>
      </c>
      <c r="N600" s="57">
        <f>작성용!V597</f>
        <v>45611</v>
      </c>
      <c r="O600" s="57" t="str">
        <f>작성용!W597</f>
        <v>보고서제공X</v>
      </c>
      <c r="P600" s="57" t="str">
        <f>작성용!X597</f>
        <v>-</v>
      </c>
      <c r="Q600" s="58" t="str">
        <f>작성용!AD597</f>
        <v>윤광일</v>
      </c>
      <c r="R600" s="60">
        <f>작성용!AE597</f>
        <v>0</v>
      </c>
      <c r="S600" s="58" t="str">
        <f>작성용!AF597</f>
        <v>서수빈</v>
      </c>
      <c r="T600" s="61" t="str">
        <f>작성용!AG597</f>
        <v>-</v>
      </c>
      <c r="U600" s="61" t="str">
        <f>작성용!AH597</f>
        <v>-</v>
      </c>
      <c r="V600" s="56">
        <f>작성용!AA597</f>
        <v>202411</v>
      </c>
      <c r="W600" s="58" t="str">
        <f>작성용!AC597</f>
        <v>[6]기타기관펀드(기초자산)</v>
      </c>
      <c r="X600" s="58">
        <f>작성용!O597</f>
        <v>0</v>
      </c>
      <c r="Y600" s="58">
        <f>작성용!P597</f>
        <v>0</v>
      </c>
      <c r="Z600" s="58">
        <f>작성용!Q597</f>
        <v>0</v>
      </c>
      <c r="AA600" s="56" t="str">
        <f>작성용!AJ597</f>
        <v>-</v>
      </c>
      <c r="AB600" s="56">
        <f>작성용!AB597</f>
        <v>0</v>
      </c>
    </row>
    <row r="601" spans="1:28" s="12" customFormat="1" ht="16.5" hidden="1" customHeight="1" x14ac:dyDescent="0.3">
      <c r="A601" s="54">
        <f>작성용!AL598</f>
        <v>597</v>
      </c>
      <c r="B601" s="55" t="str">
        <f>작성용!AI598</f>
        <v>-</v>
      </c>
      <c r="C601" s="56" t="str">
        <f>작성용!AK598</f>
        <v>기초자산</v>
      </c>
      <c r="D601" s="57" t="str">
        <f>작성용!T598</f>
        <v>고려아연펀드(기초자산)</v>
      </c>
      <c r="E601" s="58" t="str">
        <f>작성용!B598</f>
        <v>Primer Sazze Fund II</v>
      </c>
      <c r="F601" s="58" t="str">
        <f>작성용!C598</f>
        <v>재평가</v>
      </c>
      <c r="G601" s="58" t="str">
        <f>작성용!D598</f>
        <v>카본사우루스</v>
      </c>
      <c r="H601" s="59">
        <f>작성용!E598</f>
        <v>1101118476841</v>
      </c>
      <c r="I601" s="58" t="str">
        <f>작성용!F598</f>
        <v>A05</v>
      </c>
      <c r="J601" s="58">
        <f>작성용!G598</f>
        <v>0</v>
      </c>
      <c r="K601" s="58" t="str">
        <f>작성용!H598</f>
        <v>-</v>
      </c>
      <c r="L601" s="58" t="str">
        <f>작성용!N598</f>
        <v>년</v>
      </c>
      <c r="M601" s="57" t="str">
        <f>작성용!U598</f>
        <v>2024.09.30</v>
      </c>
      <c r="N601" s="57">
        <f>작성용!V598</f>
        <v>45611</v>
      </c>
      <c r="O601" s="57" t="str">
        <f>작성용!W598</f>
        <v>보고서제공X</v>
      </c>
      <c r="P601" s="57" t="str">
        <f>작성용!X598</f>
        <v>-</v>
      </c>
      <c r="Q601" s="58" t="str">
        <f>작성용!AD598</f>
        <v>채동우</v>
      </c>
      <c r="R601" s="60">
        <f>작성용!AE598</f>
        <v>0</v>
      </c>
      <c r="S601" s="58" t="str">
        <f>작성용!AF598</f>
        <v>채동우</v>
      </c>
      <c r="T601" s="61" t="str">
        <f>작성용!AG598</f>
        <v>-</v>
      </c>
      <c r="U601" s="61" t="str">
        <f>작성용!AH598</f>
        <v>-</v>
      </c>
      <c r="V601" s="56">
        <f>작성용!AA598</f>
        <v>202411</v>
      </c>
      <c r="W601" s="58" t="str">
        <f>작성용!AC598</f>
        <v>[6]기타기관펀드(기초자산)</v>
      </c>
      <c r="X601" s="58">
        <f>작성용!O598</f>
        <v>0</v>
      </c>
      <c r="Y601" s="58">
        <f>작성용!P598</f>
        <v>0</v>
      </c>
      <c r="Z601" s="58">
        <f>작성용!Q598</f>
        <v>0</v>
      </c>
      <c r="AA601" s="56" t="str">
        <f>작성용!AJ598</f>
        <v>-</v>
      </c>
      <c r="AB601" s="56">
        <f>작성용!AB598</f>
        <v>0</v>
      </c>
    </row>
    <row r="602" spans="1:28" s="12" customFormat="1" ht="16.5" hidden="1" customHeight="1" x14ac:dyDescent="0.3">
      <c r="A602" s="54">
        <f>작성용!AL599</f>
        <v>598</v>
      </c>
      <c r="B602" s="55" t="str">
        <f>작성용!AI599</f>
        <v>-</v>
      </c>
      <c r="C602" s="56" t="str">
        <f>작성용!AK599</f>
        <v>기초자산</v>
      </c>
      <c r="D602" s="57" t="str">
        <f>작성용!T599</f>
        <v>고려아연펀드(기초자산)</v>
      </c>
      <c r="E602" s="58" t="str">
        <f>작성용!B599</f>
        <v>Primer Sazze Fund II</v>
      </c>
      <c r="F602" s="58" t="str">
        <f>작성용!C599</f>
        <v>재평가</v>
      </c>
      <c r="G602" s="58" t="str">
        <f>작성용!D599</f>
        <v>달파</v>
      </c>
      <c r="H602" s="59">
        <f>작성용!E599</f>
        <v>1101118517950</v>
      </c>
      <c r="I602" s="58" t="str">
        <f>작성용!F599</f>
        <v>D06</v>
      </c>
      <c r="J602" s="58">
        <f>작성용!G599</f>
        <v>0</v>
      </c>
      <c r="K602" s="58" t="str">
        <f>작성용!H599</f>
        <v>-</v>
      </c>
      <c r="L602" s="58" t="str">
        <f>작성용!N599</f>
        <v>년</v>
      </c>
      <c r="M602" s="57" t="str">
        <f>작성용!U599</f>
        <v>2024.09.30</v>
      </c>
      <c r="N602" s="57">
        <f>작성용!V599</f>
        <v>45611</v>
      </c>
      <c r="O602" s="57" t="str">
        <f>작성용!W599</f>
        <v>보고서제공X</v>
      </c>
      <c r="P602" s="57" t="str">
        <f>작성용!X599</f>
        <v>-</v>
      </c>
      <c r="Q602" s="58" t="str">
        <f>작성용!AD599</f>
        <v>오수현</v>
      </c>
      <c r="R602" s="60">
        <f>작성용!AE599</f>
        <v>0</v>
      </c>
      <c r="S602" s="58" t="str">
        <f>작성용!AF599</f>
        <v>오수현</v>
      </c>
      <c r="T602" s="61" t="str">
        <f>작성용!AG599</f>
        <v>-</v>
      </c>
      <c r="U602" s="61" t="str">
        <f>작성용!AH599</f>
        <v>-</v>
      </c>
      <c r="V602" s="56">
        <f>작성용!AA599</f>
        <v>202411</v>
      </c>
      <c r="W602" s="58" t="str">
        <f>작성용!AC599</f>
        <v>[6]기타기관펀드(기초자산)</v>
      </c>
      <c r="X602" s="58">
        <f>작성용!O599</f>
        <v>0</v>
      </c>
      <c r="Y602" s="58">
        <f>작성용!P599</f>
        <v>0</v>
      </c>
      <c r="Z602" s="58">
        <f>작성용!Q599</f>
        <v>0</v>
      </c>
      <c r="AA602" s="56" t="str">
        <f>작성용!AJ599</f>
        <v>-</v>
      </c>
      <c r="AB602" s="56">
        <f>작성용!AB599</f>
        <v>0</v>
      </c>
    </row>
    <row r="603" spans="1:28" s="12" customFormat="1" ht="16.5" hidden="1" customHeight="1" x14ac:dyDescent="0.3">
      <c r="A603" s="54">
        <f>작성용!AL600</f>
        <v>599</v>
      </c>
      <c r="B603" s="55" t="str">
        <f>작성용!AI600</f>
        <v>-</v>
      </c>
      <c r="C603" s="56" t="str">
        <f>작성용!AK600</f>
        <v>기초자산</v>
      </c>
      <c r="D603" s="57" t="str">
        <f>작성용!T600</f>
        <v>고려아연펀드(기초자산)</v>
      </c>
      <c r="E603" s="58" t="str">
        <f>작성용!B600</f>
        <v>Primer Sazze Fund II</v>
      </c>
      <c r="F603" s="58" t="str">
        <f>작성용!C600</f>
        <v>재평가</v>
      </c>
      <c r="G603" s="58" t="str">
        <f>작성용!D600</f>
        <v>볼라</v>
      </c>
      <c r="H603" s="59">
        <f>작성용!E600</f>
        <v>1101117391058</v>
      </c>
      <c r="I603" s="58" t="str">
        <f>작성용!F600</f>
        <v>A05</v>
      </c>
      <c r="J603" s="58">
        <f>작성용!G600</f>
        <v>0</v>
      </c>
      <c r="K603" s="58" t="str">
        <f>작성용!H600</f>
        <v>-</v>
      </c>
      <c r="L603" s="58" t="str">
        <f>작성용!N600</f>
        <v>년</v>
      </c>
      <c r="M603" s="57" t="str">
        <f>작성용!U600</f>
        <v>2024.09.30</v>
      </c>
      <c r="N603" s="57">
        <f>작성용!V600</f>
        <v>45611</v>
      </c>
      <c r="O603" s="57" t="str">
        <f>작성용!W600</f>
        <v>보고서제공X</v>
      </c>
      <c r="P603" s="57" t="str">
        <f>작성용!X600</f>
        <v>-</v>
      </c>
      <c r="Q603" s="58" t="str">
        <f>작성용!AD600</f>
        <v>정은채</v>
      </c>
      <c r="R603" s="60">
        <f>작성용!AE600</f>
        <v>0</v>
      </c>
      <c r="S603" s="58" t="str">
        <f>작성용!AF600</f>
        <v>정은채</v>
      </c>
      <c r="T603" s="61" t="str">
        <f>작성용!AG600</f>
        <v>-</v>
      </c>
      <c r="U603" s="61" t="str">
        <f>작성용!AH600</f>
        <v>-</v>
      </c>
      <c r="V603" s="56">
        <f>작성용!AA600</f>
        <v>202411</v>
      </c>
      <c r="W603" s="58" t="str">
        <f>작성용!AC600</f>
        <v>[6]기타기관펀드(기초자산)</v>
      </c>
      <c r="X603" s="58">
        <f>작성용!O600</f>
        <v>0</v>
      </c>
      <c r="Y603" s="58">
        <f>작성용!P600</f>
        <v>0</v>
      </c>
      <c r="Z603" s="58">
        <f>작성용!Q600</f>
        <v>0</v>
      </c>
      <c r="AA603" s="56" t="str">
        <f>작성용!AJ600</f>
        <v>-</v>
      </c>
      <c r="AB603" s="56">
        <f>작성용!AB600</f>
        <v>0</v>
      </c>
    </row>
    <row r="604" spans="1:28" s="12" customFormat="1" ht="16.5" hidden="1" customHeight="1" x14ac:dyDescent="0.3">
      <c r="A604" s="54">
        <f>작성용!AL601</f>
        <v>600</v>
      </c>
      <c r="B604" s="55" t="str">
        <f>작성용!AI601</f>
        <v>-</v>
      </c>
      <c r="C604" s="56" t="str">
        <f>작성용!AK601</f>
        <v>기초자산</v>
      </c>
      <c r="D604" s="57" t="str">
        <f>작성용!T601</f>
        <v>고려아연펀드(기초자산)</v>
      </c>
      <c r="E604" s="58" t="str">
        <f>작성용!B601</f>
        <v>Primer Sazze Fund II</v>
      </c>
      <c r="F604" s="58" t="str">
        <f>작성용!C601</f>
        <v>재평가</v>
      </c>
      <c r="G604" s="58" t="str">
        <f>작성용!D601</f>
        <v>Amber Technologies</v>
      </c>
      <c r="H604" s="59" t="str">
        <f>작성용!E601</f>
        <v>KBP2023120095</v>
      </c>
      <c r="I604" s="58" t="str">
        <f>작성용!F601</f>
        <v>D06</v>
      </c>
      <c r="J604" s="58">
        <f>작성용!G601</f>
        <v>0</v>
      </c>
      <c r="K604" s="58" t="str">
        <f>작성용!H601</f>
        <v>-</v>
      </c>
      <c r="L604" s="58" t="str">
        <f>작성용!N601</f>
        <v>년</v>
      </c>
      <c r="M604" s="57" t="str">
        <f>작성용!U601</f>
        <v>2024.09.30</v>
      </c>
      <c r="N604" s="57">
        <f>작성용!V601</f>
        <v>45611</v>
      </c>
      <c r="O604" s="57" t="str">
        <f>작성용!W601</f>
        <v>보고서제공X</v>
      </c>
      <c r="P604" s="57" t="str">
        <f>작성용!X601</f>
        <v>-</v>
      </c>
      <c r="Q604" s="58" t="str">
        <f>작성용!AD601</f>
        <v>정재형</v>
      </c>
      <c r="R604" s="60">
        <f>작성용!AE601</f>
        <v>0</v>
      </c>
      <c r="S604" s="58" t="str">
        <f>작성용!AF601</f>
        <v>정재형</v>
      </c>
      <c r="T604" s="61" t="str">
        <f>작성용!AG601</f>
        <v>-</v>
      </c>
      <c r="U604" s="61" t="str">
        <f>작성용!AH601</f>
        <v>-</v>
      </c>
      <c r="V604" s="56">
        <f>작성용!AA601</f>
        <v>202411</v>
      </c>
      <c r="W604" s="58" t="str">
        <f>작성용!AC601</f>
        <v>[6]기타기관펀드(기초자산)</v>
      </c>
      <c r="X604" s="58">
        <f>작성용!O601</f>
        <v>0</v>
      </c>
      <c r="Y604" s="58">
        <f>작성용!P601</f>
        <v>0</v>
      </c>
      <c r="Z604" s="58">
        <f>작성용!Q601</f>
        <v>0</v>
      </c>
      <c r="AA604" s="56" t="str">
        <f>작성용!AJ601</f>
        <v>-</v>
      </c>
      <c r="AB604" s="56">
        <f>작성용!AB601</f>
        <v>0</v>
      </c>
    </row>
    <row r="605" spans="1:28" s="12" customFormat="1" ht="16.5" hidden="1" customHeight="1" x14ac:dyDescent="0.3">
      <c r="A605" s="54">
        <f>작성용!AL602</f>
        <v>601</v>
      </c>
      <c r="B605" s="55" t="str">
        <f>작성용!AI602</f>
        <v>-</v>
      </c>
      <c r="C605" s="56" t="str">
        <f>작성용!AK602</f>
        <v>기초자산</v>
      </c>
      <c r="D605" s="57" t="str">
        <f>작성용!T602</f>
        <v>고려아연펀드(기초자산)</v>
      </c>
      <c r="E605" s="58" t="str">
        <f>작성용!B602</f>
        <v>Primer Sazze Fund II</v>
      </c>
      <c r="F605" s="58" t="str">
        <f>작성용!C602</f>
        <v>재평가</v>
      </c>
      <c r="G605" s="58" t="str">
        <f>작성용!D602</f>
        <v>더스윙</v>
      </c>
      <c r="H605" s="59">
        <f>작성용!E602</f>
        <v>1101116969161</v>
      </c>
      <c r="I605" s="58" t="str">
        <f>작성용!F602</f>
        <v>A01</v>
      </c>
      <c r="J605" s="58">
        <f>작성용!G602</f>
        <v>0</v>
      </c>
      <c r="K605" s="58" t="str">
        <f>작성용!H602</f>
        <v>-</v>
      </c>
      <c r="L605" s="58" t="str">
        <f>작성용!N602</f>
        <v>년</v>
      </c>
      <c r="M605" s="57" t="str">
        <f>작성용!U602</f>
        <v>2024.09.30</v>
      </c>
      <c r="N605" s="57">
        <f>작성용!V602</f>
        <v>45611</v>
      </c>
      <c r="O605" s="57" t="str">
        <f>작성용!W602</f>
        <v>보고서제공X</v>
      </c>
      <c r="P605" s="57" t="str">
        <f>작성용!X602</f>
        <v>-</v>
      </c>
      <c r="Q605" s="58" t="str">
        <f>작성용!AD602</f>
        <v>이문수</v>
      </c>
      <c r="R605" s="60">
        <f>작성용!AE602</f>
        <v>0</v>
      </c>
      <c r="S605" s="58" t="str">
        <f>작성용!AF602</f>
        <v>이문수</v>
      </c>
      <c r="T605" s="61" t="str">
        <f>작성용!AG602</f>
        <v>-</v>
      </c>
      <c r="U605" s="61" t="str">
        <f>작성용!AH602</f>
        <v>-</v>
      </c>
      <c r="V605" s="56">
        <f>작성용!AA602</f>
        <v>202411</v>
      </c>
      <c r="W605" s="58" t="str">
        <f>작성용!AC602</f>
        <v>[6]기타기관펀드(기초자산)</v>
      </c>
      <c r="X605" s="58">
        <f>작성용!O602</f>
        <v>0</v>
      </c>
      <c r="Y605" s="58">
        <f>작성용!P602</f>
        <v>0</v>
      </c>
      <c r="Z605" s="58">
        <f>작성용!Q602</f>
        <v>0</v>
      </c>
      <c r="AA605" s="56" t="str">
        <f>작성용!AJ602</f>
        <v>-</v>
      </c>
      <c r="AB605" s="56">
        <f>작성용!AB602</f>
        <v>0</v>
      </c>
    </row>
    <row r="606" spans="1:28" s="12" customFormat="1" ht="16.5" hidden="1" customHeight="1" x14ac:dyDescent="0.3">
      <c r="A606" s="54">
        <f>작성용!AL603</f>
        <v>602</v>
      </c>
      <c r="B606" s="55" t="str">
        <f>작성용!AI603</f>
        <v>-</v>
      </c>
      <c r="C606" s="56" t="str">
        <f>작성용!AK603</f>
        <v>기초자산</v>
      </c>
      <c r="D606" s="57" t="str">
        <f>작성용!T603</f>
        <v>고려아연펀드(기초자산)</v>
      </c>
      <c r="E606" s="58" t="str">
        <f>작성용!B603</f>
        <v>Primer Sazze Fund II</v>
      </c>
      <c r="F606" s="58" t="str">
        <f>작성용!C603</f>
        <v>재평가</v>
      </c>
      <c r="G606" s="58" t="str">
        <f>작성용!D603</f>
        <v>더스윙</v>
      </c>
      <c r="H606" s="59">
        <f>작성용!E603</f>
        <v>1101116969161</v>
      </c>
      <c r="I606" s="58" t="str">
        <f>작성용!F603</f>
        <v>A05</v>
      </c>
      <c r="J606" s="58">
        <f>작성용!G603</f>
        <v>0</v>
      </c>
      <c r="K606" s="58" t="str">
        <f>작성용!H603</f>
        <v>-</v>
      </c>
      <c r="L606" s="58" t="str">
        <f>작성용!N603</f>
        <v>년</v>
      </c>
      <c r="M606" s="57" t="str">
        <f>작성용!U603</f>
        <v>2024.09.30</v>
      </c>
      <c r="N606" s="57">
        <f>작성용!V603</f>
        <v>45611</v>
      </c>
      <c r="O606" s="57" t="str">
        <f>작성용!W603</f>
        <v>보고서제공X</v>
      </c>
      <c r="P606" s="57" t="str">
        <f>작성용!X603</f>
        <v>-</v>
      </c>
      <c r="Q606" s="58" t="str">
        <f>작성용!AD603</f>
        <v>이문수</v>
      </c>
      <c r="R606" s="60">
        <f>작성용!AE603</f>
        <v>0</v>
      </c>
      <c r="S606" s="58" t="str">
        <f>작성용!AF603</f>
        <v>이문수</v>
      </c>
      <c r="T606" s="61" t="str">
        <f>작성용!AG603</f>
        <v>-</v>
      </c>
      <c r="U606" s="61" t="str">
        <f>작성용!AH603</f>
        <v>-</v>
      </c>
      <c r="V606" s="56">
        <f>작성용!AA603</f>
        <v>202411</v>
      </c>
      <c r="W606" s="58" t="str">
        <f>작성용!AC603</f>
        <v>[6]기타기관펀드(기초자산)</v>
      </c>
      <c r="X606" s="58">
        <f>작성용!O603</f>
        <v>0</v>
      </c>
      <c r="Y606" s="58">
        <f>작성용!P603</f>
        <v>0</v>
      </c>
      <c r="Z606" s="58">
        <f>작성용!Q603</f>
        <v>0</v>
      </c>
      <c r="AA606" s="56" t="str">
        <f>작성용!AJ603</f>
        <v>-</v>
      </c>
      <c r="AB606" s="56">
        <f>작성용!AB603</f>
        <v>0</v>
      </c>
    </row>
    <row r="607" spans="1:28" s="12" customFormat="1" ht="16.5" hidden="1" customHeight="1" x14ac:dyDescent="0.3">
      <c r="A607" s="54">
        <f>작성용!AL604</f>
        <v>603</v>
      </c>
      <c r="B607" s="55" t="str">
        <f>작성용!AI604</f>
        <v>-</v>
      </c>
      <c r="C607" s="56" t="str">
        <f>작성용!AK604</f>
        <v>기초자산</v>
      </c>
      <c r="D607" s="57" t="str">
        <f>작성용!T604</f>
        <v>고려아연펀드(기초자산)</v>
      </c>
      <c r="E607" s="58" t="str">
        <f>작성용!B604</f>
        <v>Primer Sazze Fund II</v>
      </c>
      <c r="F607" s="58" t="str">
        <f>작성용!C604</f>
        <v>재평가</v>
      </c>
      <c r="G607" s="58" t="str">
        <f>작성용!D604</f>
        <v>나노내</v>
      </c>
      <c r="H607" s="59">
        <f>작성용!E604</f>
        <v>1101118251037</v>
      </c>
      <c r="I607" s="58" t="str">
        <f>작성용!F604</f>
        <v>A05</v>
      </c>
      <c r="J607" s="58">
        <f>작성용!G604</f>
        <v>0</v>
      </c>
      <c r="K607" s="58" t="str">
        <f>작성용!H604</f>
        <v>-</v>
      </c>
      <c r="L607" s="58" t="str">
        <f>작성용!N604</f>
        <v>년</v>
      </c>
      <c r="M607" s="57" t="str">
        <f>작성용!U604</f>
        <v>2024.09.30</v>
      </c>
      <c r="N607" s="57">
        <f>작성용!V604</f>
        <v>45611</v>
      </c>
      <c r="O607" s="57" t="str">
        <f>작성용!W604</f>
        <v>보고서제공X</v>
      </c>
      <c r="P607" s="57" t="str">
        <f>작성용!X604</f>
        <v>-</v>
      </c>
      <c r="Q607" s="58" t="str">
        <f>작성용!AD604</f>
        <v>강승현</v>
      </c>
      <c r="R607" s="60">
        <f>작성용!AE604</f>
        <v>0</v>
      </c>
      <c r="S607" s="58" t="str">
        <f>작성용!AF604</f>
        <v>강승현</v>
      </c>
      <c r="T607" s="61" t="str">
        <f>작성용!AG604</f>
        <v>-</v>
      </c>
      <c r="U607" s="61" t="str">
        <f>작성용!AH604</f>
        <v>-</v>
      </c>
      <c r="V607" s="56">
        <f>작성용!AA604</f>
        <v>202411</v>
      </c>
      <c r="W607" s="58" t="str">
        <f>작성용!AC604</f>
        <v>[6]기타기관펀드(기초자산)</v>
      </c>
      <c r="X607" s="58">
        <f>작성용!O604</f>
        <v>0</v>
      </c>
      <c r="Y607" s="58">
        <f>작성용!P604</f>
        <v>0</v>
      </c>
      <c r="Z607" s="58">
        <f>작성용!Q604</f>
        <v>0</v>
      </c>
      <c r="AA607" s="56" t="str">
        <f>작성용!AJ604</f>
        <v>-</v>
      </c>
      <c r="AB607" s="56">
        <f>작성용!AB604</f>
        <v>0</v>
      </c>
    </row>
    <row r="608" spans="1:28" s="12" customFormat="1" ht="16.5" hidden="1" customHeight="1" x14ac:dyDescent="0.3">
      <c r="A608" s="54">
        <f>작성용!AL605</f>
        <v>604</v>
      </c>
      <c r="B608" s="55" t="str">
        <f>작성용!AI605</f>
        <v>-</v>
      </c>
      <c r="C608" s="56" t="str">
        <f>작성용!AK605</f>
        <v>기초자산</v>
      </c>
      <c r="D608" s="57" t="str">
        <f>작성용!T605</f>
        <v>고려아연펀드(기초자산)</v>
      </c>
      <c r="E608" s="58" t="str">
        <f>작성용!B605</f>
        <v>Primer Sazze Fund II</v>
      </c>
      <c r="F608" s="58" t="str">
        <f>작성용!C605</f>
        <v>재평가</v>
      </c>
      <c r="G608" s="58" t="str">
        <f>작성용!D605</f>
        <v>로브로스</v>
      </c>
      <c r="H608" s="59">
        <f>작성용!E605</f>
        <v>1341110561072</v>
      </c>
      <c r="I608" s="58" t="str">
        <f>작성용!F605</f>
        <v>A07</v>
      </c>
      <c r="J608" s="58">
        <f>작성용!G605</f>
        <v>0</v>
      </c>
      <c r="K608" s="58" t="str">
        <f>작성용!H605</f>
        <v>-</v>
      </c>
      <c r="L608" s="58" t="str">
        <f>작성용!N605</f>
        <v>년</v>
      </c>
      <c r="M608" s="57" t="str">
        <f>작성용!U605</f>
        <v>2024.09.30</v>
      </c>
      <c r="N608" s="57">
        <f>작성용!V605</f>
        <v>45611</v>
      </c>
      <c r="O608" s="57" t="str">
        <f>작성용!W605</f>
        <v>보고서제공X</v>
      </c>
      <c r="P608" s="57" t="str">
        <f>작성용!X605</f>
        <v>-</v>
      </c>
      <c r="Q608" s="58" t="str">
        <f>작성용!AD605</f>
        <v>심태진</v>
      </c>
      <c r="R608" s="60">
        <f>작성용!AE605</f>
        <v>0</v>
      </c>
      <c r="S608" s="58" t="str">
        <f>작성용!AF605</f>
        <v>심태진</v>
      </c>
      <c r="T608" s="61" t="str">
        <f>작성용!AG605</f>
        <v>-</v>
      </c>
      <c r="U608" s="61" t="str">
        <f>작성용!AH605</f>
        <v>-</v>
      </c>
      <c r="V608" s="56">
        <f>작성용!AA605</f>
        <v>202411</v>
      </c>
      <c r="W608" s="58" t="str">
        <f>작성용!AC605</f>
        <v>[6]기타기관펀드(기초자산)</v>
      </c>
      <c r="X608" s="58">
        <f>작성용!O605</f>
        <v>0</v>
      </c>
      <c r="Y608" s="58">
        <f>작성용!P605</f>
        <v>0</v>
      </c>
      <c r="Z608" s="58">
        <f>작성용!Q605</f>
        <v>0</v>
      </c>
      <c r="AA608" s="56" t="str">
        <f>작성용!AJ605</f>
        <v>-</v>
      </c>
      <c r="AB608" s="56">
        <f>작성용!AB605</f>
        <v>0</v>
      </c>
    </row>
    <row r="609" spans="1:28" s="12" customFormat="1" ht="16.5" hidden="1" customHeight="1" x14ac:dyDescent="0.3">
      <c r="A609" s="54">
        <f>작성용!AL606</f>
        <v>605</v>
      </c>
      <c r="B609" s="55" t="str">
        <f>작성용!AI606</f>
        <v>-</v>
      </c>
      <c r="C609" s="56" t="str">
        <f>작성용!AK606</f>
        <v>기초자산</v>
      </c>
      <c r="D609" s="57" t="str">
        <f>작성용!T606</f>
        <v>고려아연펀드(기초자산)</v>
      </c>
      <c r="E609" s="58" t="str">
        <f>작성용!B606</f>
        <v>Primer Sazze Fund II</v>
      </c>
      <c r="F609" s="58" t="str">
        <f>작성용!C606</f>
        <v>재평가</v>
      </c>
      <c r="G609" s="58" t="str">
        <f>작성용!D606</f>
        <v>북아이피스</v>
      </c>
      <c r="H609" s="59">
        <f>작성용!E606</f>
        <v>1101117727360</v>
      </c>
      <c r="I609" s="58" t="str">
        <f>작성용!F606</f>
        <v>A07</v>
      </c>
      <c r="J609" s="58">
        <f>작성용!G606</f>
        <v>0</v>
      </c>
      <c r="K609" s="58" t="str">
        <f>작성용!H606</f>
        <v>-</v>
      </c>
      <c r="L609" s="58" t="str">
        <f>작성용!N606</f>
        <v>년</v>
      </c>
      <c r="M609" s="57" t="str">
        <f>작성용!U606</f>
        <v>2024.09.30</v>
      </c>
      <c r="N609" s="57">
        <f>작성용!V606</f>
        <v>45611</v>
      </c>
      <c r="O609" s="57" t="str">
        <f>작성용!W606</f>
        <v>보고서제공X</v>
      </c>
      <c r="P609" s="57" t="str">
        <f>작성용!X606</f>
        <v>-</v>
      </c>
      <c r="Q609" s="58" t="str">
        <f>작성용!AD606</f>
        <v>이진주</v>
      </c>
      <c r="R609" s="60">
        <f>작성용!AE606</f>
        <v>0</v>
      </c>
      <c r="S609" s="58" t="str">
        <f>작성용!AF606</f>
        <v>서수빈</v>
      </c>
      <c r="T609" s="61" t="str">
        <f>작성용!AG606</f>
        <v>-</v>
      </c>
      <c r="U609" s="61" t="str">
        <f>작성용!AH606</f>
        <v>-</v>
      </c>
      <c r="V609" s="56">
        <f>작성용!AA606</f>
        <v>202411</v>
      </c>
      <c r="W609" s="58" t="str">
        <f>작성용!AC606</f>
        <v>[6]기타기관펀드(기초자산)</v>
      </c>
      <c r="X609" s="58">
        <f>작성용!O606</f>
        <v>0</v>
      </c>
      <c r="Y609" s="58">
        <f>작성용!P606</f>
        <v>0</v>
      </c>
      <c r="Z609" s="58">
        <f>작성용!Q606</f>
        <v>0</v>
      </c>
      <c r="AA609" s="56" t="str">
        <f>작성용!AJ606</f>
        <v>-</v>
      </c>
      <c r="AB609" s="56">
        <f>작성용!AB606</f>
        <v>0</v>
      </c>
    </row>
    <row r="610" spans="1:28" s="12" customFormat="1" ht="16.5" hidden="1" customHeight="1" x14ac:dyDescent="0.3">
      <c r="A610" s="54">
        <f>작성용!AL607</f>
        <v>606</v>
      </c>
      <c r="B610" s="55" t="str">
        <f>작성용!AI607</f>
        <v>-</v>
      </c>
      <c r="C610" s="56" t="str">
        <f>작성용!AK607</f>
        <v>기초자산</v>
      </c>
      <c r="D610" s="57" t="str">
        <f>작성용!T607</f>
        <v>고려아연펀드(기초자산)</v>
      </c>
      <c r="E610" s="58" t="str">
        <f>작성용!B607</f>
        <v>Primer Sazze Fund II</v>
      </c>
      <c r="F610" s="58" t="str">
        <f>작성용!C607</f>
        <v>재평가</v>
      </c>
      <c r="G610" s="58" t="str">
        <f>작성용!D607</f>
        <v>피에로컴퍼니</v>
      </c>
      <c r="H610" s="59">
        <f>작성용!E607</f>
        <v>1343110042250</v>
      </c>
      <c r="I610" s="58" t="str">
        <f>작성용!F607</f>
        <v>A05</v>
      </c>
      <c r="J610" s="58">
        <f>작성용!G607</f>
        <v>0</v>
      </c>
      <c r="K610" s="58" t="str">
        <f>작성용!H607</f>
        <v>-</v>
      </c>
      <c r="L610" s="58" t="str">
        <f>작성용!N607</f>
        <v>년</v>
      </c>
      <c r="M610" s="57" t="str">
        <f>작성용!U607</f>
        <v>2024.09.30</v>
      </c>
      <c r="N610" s="57">
        <f>작성용!V607</f>
        <v>45611</v>
      </c>
      <c r="O610" s="57" t="str">
        <f>작성용!W607</f>
        <v>보고서제공X</v>
      </c>
      <c r="P610" s="57" t="str">
        <f>작성용!X607</f>
        <v>-</v>
      </c>
      <c r="Q610" s="58" t="str">
        <f>작성용!AD607</f>
        <v>백형진</v>
      </c>
      <c r="R610" s="60">
        <f>작성용!AE607</f>
        <v>0</v>
      </c>
      <c r="S610" s="58" t="str">
        <f>작성용!AF607</f>
        <v>백형진</v>
      </c>
      <c r="T610" s="61" t="str">
        <f>작성용!AG607</f>
        <v>-</v>
      </c>
      <c r="U610" s="61" t="str">
        <f>작성용!AH607</f>
        <v>-</v>
      </c>
      <c r="V610" s="56">
        <f>작성용!AA607</f>
        <v>202411</v>
      </c>
      <c r="W610" s="58" t="str">
        <f>작성용!AC607</f>
        <v>[6]기타기관펀드(기초자산)</v>
      </c>
      <c r="X610" s="58">
        <f>작성용!O607</f>
        <v>0</v>
      </c>
      <c r="Y610" s="58">
        <f>작성용!P607</f>
        <v>0</v>
      </c>
      <c r="Z610" s="58">
        <f>작성용!Q607</f>
        <v>0</v>
      </c>
      <c r="AA610" s="56" t="str">
        <f>작성용!AJ607</f>
        <v>-</v>
      </c>
      <c r="AB610" s="56">
        <f>작성용!AB607</f>
        <v>0</v>
      </c>
    </row>
    <row r="611" spans="1:28" s="12" customFormat="1" ht="16.5" hidden="1" customHeight="1" x14ac:dyDescent="0.3">
      <c r="A611" s="54">
        <f>작성용!AL608</f>
        <v>607</v>
      </c>
      <c r="B611" s="55" t="str">
        <f>작성용!AI608</f>
        <v>-</v>
      </c>
      <c r="C611" s="56" t="str">
        <f>작성용!AK608</f>
        <v>기초자산</v>
      </c>
      <c r="D611" s="57" t="str">
        <f>작성용!T608</f>
        <v>고려아연펀드(기초자산)</v>
      </c>
      <c r="E611" s="58" t="str">
        <f>작성용!B608</f>
        <v>Primer Sazze Fund II</v>
      </c>
      <c r="F611" s="58" t="str">
        <f>작성용!C608</f>
        <v>재평가</v>
      </c>
      <c r="G611" s="58" t="str">
        <f>작성용!D608</f>
        <v>브이씨소프트</v>
      </c>
      <c r="H611" s="59">
        <f>작성용!E608</f>
        <v>1101118239025</v>
      </c>
      <c r="I611" s="58" t="str">
        <f>작성용!F608</f>
        <v>A05</v>
      </c>
      <c r="J611" s="58">
        <f>작성용!G608</f>
        <v>0</v>
      </c>
      <c r="K611" s="58" t="str">
        <f>작성용!H608</f>
        <v>-</v>
      </c>
      <c r="L611" s="58" t="str">
        <f>작성용!N608</f>
        <v>년</v>
      </c>
      <c r="M611" s="57" t="str">
        <f>작성용!U608</f>
        <v>2024.09.30</v>
      </c>
      <c r="N611" s="57">
        <f>작성용!V608</f>
        <v>45611</v>
      </c>
      <c r="O611" s="57" t="str">
        <f>작성용!W608</f>
        <v>보고서제공X</v>
      </c>
      <c r="P611" s="57" t="str">
        <f>작성용!X608</f>
        <v>-</v>
      </c>
      <c r="Q611" s="58" t="str">
        <f>작성용!AD608</f>
        <v>채동우</v>
      </c>
      <c r="R611" s="60">
        <f>작성용!AE608</f>
        <v>0</v>
      </c>
      <c r="S611" s="58" t="str">
        <f>작성용!AF608</f>
        <v>채동우</v>
      </c>
      <c r="T611" s="61" t="str">
        <f>작성용!AG608</f>
        <v>-</v>
      </c>
      <c r="U611" s="61" t="str">
        <f>작성용!AH608</f>
        <v>-</v>
      </c>
      <c r="V611" s="56">
        <f>작성용!AA608</f>
        <v>202411</v>
      </c>
      <c r="W611" s="58" t="str">
        <f>작성용!AC608</f>
        <v>[6]기타기관펀드(기초자산)</v>
      </c>
      <c r="X611" s="58">
        <f>작성용!O608</f>
        <v>0</v>
      </c>
      <c r="Y611" s="58">
        <f>작성용!P608</f>
        <v>0</v>
      </c>
      <c r="Z611" s="58">
        <f>작성용!Q608</f>
        <v>0</v>
      </c>
      <c r="AA611" s="56" t="str">
        <f>작성용!AJ608</f>
        <v>-</v>
      </c>
      <c r="AB611" s="56">
        <f>작성용!AB608</f>
        <v>0</v>
      </c>
    </row>
    <row r="612" spans="1:28" s="12" customFormat="1" ht="16.5" hidden="1" customHeight="1" x14ac:dyDescent="0.3">
      <c r="A612" s="54">
        <f>작성용!AL609</f>
        <v>608</v>
      </c>
      <c r="B612" s="55" t="str">
        <f>작성용!AI609</f>
        <v>-</v>
      </c>
      <c r="C612" s="56" t="str">
        <f>작성용!AK609</f>
        <v>기초자산</v>
      </c>
      <c r="D612" s="57" t="str">
        <f>작성용!T609</f>
        <v>고려아연펀드(기초자산)</v>
      </c>
      <c r="E612" s="58" t="str">
        <f>작성용!B609</f>
        <v>Primer Sazze Fund II</v>
      </c>
      <c r="F612" s="58" t="str">
        <f>작성용!C609</f>
        <v>재평가</v>
      </c>
      <c r="G612" s="58" t="str">
        <f>작성용!D609</f>
        <v>카페노노</v>
      </c>
      <c r="H612" s="59">
        <f>작성용!E609</f>
        <v>1311110629906</v>
      </c>
      <c r="I612" s="58" t="str">
        <f>작성용!F609</f>
        <v>D06</v>
      </c>
      <c r="J612" s="58">
        <f>작성용!G609</f>
        <v>0</v>
      </c>
      <c r="K612" s="58" t="str">
        <f>작성용!H609</f>
        <v>-</v>
      </c>
      <c r="L612" s="58" t="str">
        <f>작성용!N609</f>
        <v>년</v>
      </c>
      <c r="M612" s="57" t="str">
        <f>작성용!U609</f>
        <v>2024.09.30</v>
      </c>
      <c r="N612" s="57">
        <f>작성용!V609</f>
        <v>45611</v>
      </c>
      <c r="O612" s="57" t="str">
        <f>작성용!W609</f>
        <v>보고서제공X</v>
      </c>
      <c r="P612" s="57" t="str">
        <f>작성용!X609</f>
        <v>-</v>
      </c>
      <c r="Q612" s="58" t="str">
        <f>작성용!AD609</f>
        <v>이상민</v>
      </c>
      <c r="R612" s="60">
        <f>작성용!AE609</f>
        <v>0</v>
      </c>
      <c r="S612" s="58" t="str">
        <f>작성용!AF609</f>
        <v>김범준</v>
      </c>
      <c r="T612" s="61" t="str">
        <f>작성용!AG609</f>
        <v>-</v>
      </c>
      <c r="U612" s="61" t="str">
        <f>작성용!AH609</f>
        <v>-</v>
      </c>
      <c r="V612" s="56">
        <f>작성용!AA609</f>
        <v>202411</v>
      </c>
      <c r="W612" s="58" t="str">
        <f>작성용!AC609</f>
        <v>[6]기타기관펀드(기초자산)</v>
      </c>
      <c r="X612" s="58">
        <f>작성용!O609</f>
        <v>0</v>
      </c>
      <c r="Y612" s="58">
        <f>작성용!P609</f>
        <v>0</v>
      </c>
      <c r="Z612" s="58">
        <f>작성용!Q609</f>
        <v>0</v>
      </c>
      <c r="AA612" s="56" t="str">
        <f>작성용!AJ609</f>
        <v>-</v>
      </c>
      <c r="AB612" s="56">
        <f>작성용!AB609</f>
        <v>0</v>
      </c>
    </row>
    <row r="613" spans="1:28" s="12" customFormat="1" ht="16.5" hidden="1" customHeight="1" x14ac:dyDescent="0.3">
      <c r="A613" s="54">
        <f>작성용!AL610</f>
        <v>609</v>
      </c>
      <c r="B613" s="55" t="str">
        <f>작성용!AI610</f>
        <v>-</v>
      </c>
      <c r="C613" s="56" t="str">
        <f>작성용!AK610</f>
        <v>기초자산</v>
      </c>
      <c r="D613" s="57" t="str">
        <f>작성용!T610</f>
        <v>고려아연펀드(기초자산)</v>
      </c>
      <c r="E613" s="58" t="str">
        <f>작성용!B610</f>
        <v>Primer Sazze Fund II</v>
      </c>
      <c r="F613" s="58" t="str">
        <f>작성용!C610</f>
        <v>재평가</v>
      </c>
      <c r="G613" s="58" t="str">
        <f>작성용!D610</f>
        <v>에이피그린</v>
      </c>
      <c r="H613" s="59">
        <f>작성용!E610</f>
        <v>1314110516363</v>
      </c>
      <c r="I613" s="58" t="str">
        <f>작성용!F610</f>
        <v>A05</v>
      </c>
      <c r="J613" s="58">
        <f>작성용!G610</f>
        <v>0</v>
      </c>
      <c r="K613" s="58" t="str">
        <f>작성용!H610</f>
        <v>-</v>
      </c>
      <c r="L613" s="58" t="str">
        <f>작성용!N610</f>
        <v>년</v>
      </c>
      <c r="M613" s="57" t="str">
        <f>작성용!U610</f>
        <v>2024.09.30</v>
      </c>
      <c r="N613" s="57">
        <f>작성용!V610</f>
        <v>45611</v>
      </c>
      <c r="O613" s="57" t="str">
        <f>작성용!W610</f>
        <v>보고서제공X</v>
      </c>
      <c r="P613" s="57" t="str">
        <f>작성용!X610</f>
        <v>-</v>
      </c>
      <c r="Q613" s="58" t="str">
        <f>작성용!AD610</f>
        <v>이문수</v>
      </c>
      <c r="R613" s="60">
        <f>작성용!AE610</f>
        <v>0</v>
      </c>
      <c r="S613" s="58" t="str">
        <f>작성용!AF610</f>
        <v>이문수</v>
      </c>
      <c r="T613" s="61" t="str">
        <f>작성용!AG610</f>
        <v>-</v>
      </c>
      <c r="U613" s="61" t="str">
        <f>작성용!AH610</f>
        <v>-</v>
      </c>
      <c r="V613" s="56">
        <f>작성용!AA610</f>
        <v>202411</v>
      </c>
      <c r="W613" s="58" t="str">
        <f>작성용!AC610</f>
        <v>[6]기타기관펀드(기초자산)</v>
      </c>
      <c r="X613" s="58">
        <f>작성용!O610</f>
        <v>0</v>
      </c>
      <c r="Y613" s="58">
        <f>작성용!P610</f>
        <v>0</v>
      </c>
      <c r="Z613" s="58">
        <f>작성용!Q610</f>
        <v>0</v>
      </c>
      <c r="AA613" s="56" t="str">
        <f>작성용!AJ610</f>
        <v>-</v>
      </c>
      <c r="AB613" s="56">
        <f>작성용!AB610</f>
        <v>0</v>
      </c>
    </row>
    <row r="614" spans="1:28" s="12" customFormat="1" ht="16.5" hidden="1" customHeight="1" x14ac:dyDescent="0.3">
      <c r="A614" s="54">
        <f>작성용!AL611</f>
        <v>610</v>
      </c>
      <c r="B614" s="55" t="str">
        <f>작성용!AI611</f>
        <v>-</v>
      </c>
      <c r="C614" s="56" t="str">
        <f>작성용!AK611</f>
        <v>기초자산</v>
      </c>
      <c r="D614" s="57" t="str">
        <f>작성용!T611</f>
        <v>고려아연펀드(기초자산)</v>
      </c>
      <c r="E614" s="58" t="str">
        <f>작성용!B611</f>
        <v>Primer Sazze Fund II</v>
      </c>
      <c r="F614" s="58" t="str">
        <f>작성용!C611</f>
        <v>재평가</v>
      </c>
      <c r="G614" s="58" t="str">
        <f>작성용!D611</f>
        <v>고레로보틱스</v>
      </c>
      <c r="H614" s="59">
        <f>작성용!E611</f>
        <v>1101118726999</v>
      </c>
      <c r="I614" s="58" t="str">
        <f>작성용!F611</f>
        <v>A05</v>
      </c>
      <c r="J614" s="58">
        <f>작성용!G611</f>
        <v>0</v>
      </c>
      <c r="K614" s="58" t="str">
        <f>작성용!H611</f>
        <v>-</v>
      </c>
      <c r="L614" s="58" t="str">
        <f>작성용!N611</f>
        <v>년</v>
      </c>
      <c r="M614" s="57" t="str">
        <f>작성용!U611</f>
        <v>2024.09.30</v>
      </c>
      <c r="N614" s="57">
        <f>작성용!V611</f>
        <v>45611</v>
      </c>
      <c r="O614" s="57" t="str">
        <f>작성용!W611</f>
        <v>보고서제공X</v>
      </c>
      <c r="P614" s="57" t="str">
        <f>작성용!X611</f>
        <v>-</v>
      </c>
      <c r="Q614" s="58" t="str">
        <f>작성용!AD611</f>
        <v>원정우</v>
      </c>
      <c r="R614" s="60">
        <f>작성용!AE611</f>
        <v>0</v>
      </c>
      <c r="S614" s="58" t="str">
        <f>작성용!AF611</f>
        <v>고명주</v>
      </c>
      <c r="T614" s="61" t="str">
        <f>작성용!AG611</f>
        <v>-</v>
      </c>
      <c r="U614" s="61" t="str">
        <f>작성용!AH611</f>
        <v>-</v>
      </c>
      <c r="V614" s="56">
        <f>작성용!AA611</f>
        <v>202411</v>
      </c>
      <c r="W614" s="58" t="str">
        <f>작성용!AC611</f>
        <v>[6]기타기관펀드(기초자산)</v>
      </c>
      <c r="X614" s="58">
        <f>작성용!O611</f>
        <v>0</v>
      </c>
      <c r="Y614" s="58">
        <f>작성용!P611</f>
        <v>0</v>
      </c>
      <c r="Z614" s="58">
        <f>작성용!Q611</f>
        <v>0</v>
      </c>
      <c r="AA614" s="56" t="str">
        <f>작성용!AJ611</f>
        <v>-</v>
      </c>
      <c r="AB614" s="56">
        <f>작성용!AB611</f>
        <v>0</v>
      </c>
    </row>
    <row r="615" spans="1:28" s="12" customFormat="1" ht="16.5" hidden="1" customHeight="1" x14ac:dyDescent="0.3">
      <c r="A615" s="54">
        <f>작성용!AL612</f>
        <v>611</v>
      </c>
      <c r="B615" s="55" t="str">
        <f>작성용!AI612</f>
        <v>-</v>
      </c>
      <c r="C615" s="56" t="str">
        <f>작성용!AK612</f>
        <v>기초자산</v>
      </c>
      <c r="D615" s="57" t="str">
        <f>작성용!T612</f>
        <v>고려아연펀드(기초자산)</v>
      </c>
      <c r="E615" s="58" t="str">
        <f>작성용!B612</f>
        <v>Primer Sazze Fund II</v>
      </c>
      <c r="F615" s="58" t="str">
        <f>작성용!C612</f>
        <v>재평가</v>
      </c>
      <c r="G615" s="58" t="str">
        <f>작성용!D612</f>
        <v>트립소다</v>
      </c>
      <c r="H615" s="59">
        <f>작성용!E612</f>
        <v>1101118205604</v>
      </c>
      <c r="I615" s="58" t="str">
        <f>작성용!F612</f>
        <v>A05</v>
      </c>
      <c r="J615" s="58">
        <f>작성용!G612</f>
        <v>0</v>
      </c>
      <c r="K615" s="58" t="str">
        <f>작성용!H612</f>
        <v>-</v>
      </c>
      <c r="L615" s="58" t="str">
        <f>작성용!N612</f>
        <v>년</v>
      </c>
      <c r="M615" s="57" t="str">
        <f>작성용!U612</f>
        <v>2024.09.30</v>
      </c>
      <c r="N615" s="57">
        <f>작성용!V612</f>
        <v>45611</v>
      </c>
      <c r="O615" s="57" t="str">
        <f>작성용!W612</f>
        <v>보고서제공X</v>
      </c>
      <c r="P615" s="57" t="str">
        <f>작성용!X612</f>
        <v>-</v>
      </c>
      <c r="Q615" s="58" t="str">
        <f>작성용!AD612</f>
        <v>김예림</v>
      </c>
      <c r="R615" s="60">
        <f>작성용!AE612</f>
        <v>0</v>
      </c>
      <c r="S615" s="58" t="str">
        <f>작성용!AF612</f>
        <v>김예림</v>
      </c>
      <c r="T615" s="61" t="str">
        <f>작성용!AG612</f>
        <v>-</v>
      </c>
      <c r="U615" s="61" t="str">
        <f>작성용!AH612</f>
        <v>-</v>
      </c>
      <c r="V615" s="56">
        <f>작성용!AA612</f>
        <v>202411</v>
      </c>
      <c r="W615" s="58" t="str">
        <f>작성용!AC612</f>
        <v>[6]기타기관펀드(기초자산)</v>
      </c>
      <c r="X615" s="58">
        <f>작성용!O612</f>
        <v>0</v>
      </c>
      <c r="Y615" s="58">
        <f>작성용!P612</f>
        <v>0</v>
      </c>
      <c r="Z615" s="58">
        <f>작성용!Q612</f>
        <v>0</v>
      </c>
      <c r="AA615" s="56" t="str">
        <f>작성용!AJ612</f>
        <v>-</v>
      </c>
      <c r="AB615" s="56">
        <f>작성용!AB612</f>
        <v>0</v>
      </c>
    </row>
    <row r="616" spans="1:28" s="12" customFormat="1" ht="16.5" hidden="1" customHeight="1" x14ac:dyDescent="0.3">
      <c r="A616" s="54">
        <f>작성용!AL613</f>
        <v>612</v>
      </c>
      <c r="B616" s="55" t="str">
        <f>작성용!AI613</f>
        <v>-</v>
      </c>
      <c r="C616" s="56" t="str">
        <f>작성용!AK613</f>
        <v>기초자산</v>
      </c>
      <c r="D616" s="57" t="str">
        <f>작성용!T613</f>
        <v>고려아연펀드(기초자산)</v>
      </c>
      <c r="E616" s="58" t="str">
        <f>작성용!B613</f>
        <v>Primer Sazze Fund II</v>
      </c>
      <c r="F616" s="58" t="str">
        <f>작성용!C613</f>
        <v>재평가</v>
      </c>
      <c r="G616" s="58" t="str">
        <f>작성용!D613</f>
        <v>넥서스에이아이</v>
      </c>
      <c r="H616" s="59">
        <f>작성용!E613</f>
        <v>1101118633772</v>
      </c>
      <c r="I616" s="58" t="str">
        <f>작성용!F613</f>
        <v>A05</v>
      </c>
      <c r="J616" s="58">
        <f>작성용!G613</f>
        <v>0</v>
      </c>
      <c r="K616" s="58" t="str">
        <f>작성용!H613</f>
        <v>-</v>
      </c>
      <c r="L616" s="58" t="str">
        <f>작성용!N613</f>
        <v>년</v>
      </c>
      <c r="M616" s="57" t="str">
        <f>작성용!U613</f>
        <v>2024.09.30</v>
      </c>
      <c r="N616" s="57">
        <f>작성용!V613</f>
        <v>45611</v>
      </c>
      <c r="O616" s="57" t="str">
        <f>작성용!W613</f>
        <v>보고서제공X</v>
      </c>
      <c r="P616" s="57" t="str">
        <f>작성용!X613</f>
        <v>-</v>
      </c>
      <c r="Q616" s="58" t="str">
        <f>작성용!AD613</f>
        <v>강성은</v>
      </c>
      <c r="R616" s="60">
        <f>작성용!AE613</f>
        <v>0</v>
      </c>
      <c r="S616" s="58" t="str">
        <f>작성용!AF613</f>
        <v>강성은</v>
      </c>
      <c r="T616" s="61" t="str">
        <f>작성용!AG613</f>
        <v>-</v>
      </c>
      <c r="U616" s="61" t="str">
        <f>작성용!AH613</f>
        <v>-</v>
      </c>
      <c r="V616" s="56">
        <f>작성용!AA613</f>
        <v>202411</v>
      </c>
      <c r="W616" s="58" t="str">
        <f>작성용!AC613</f>
        <v>[6]기타기관펀드(기초자산)</v>
      </c>
      <c r="X616" s="58">
        <f>작성용!O613</f>
        <v>0</v>
      </c>
      <c r="Y616" s="58">
        <f>작성용!P613</f>
        <v>0</v>
      </c>
      <c r="Z616" s="58">
        <f>작성용!Q613</f>
        <v>0</v>
      </c>
      <c r="AA616" s="56" t="str">
        <f>작성용!AJ613</f>
        <v>-</v>
      </c>
      <c r="AB616" s="56">
        <f>작성용!AB613</f>
        <v>0</v>
      </c>
    </row>
    <row r="617" spans="1:28" s="12" customFormat="1" ht="16.5" hidden="1" customHeight="1" x14ac:dyDescent="0.3">
      <c r="A617" s="54">
        <f>작성용!AL614</f>
        <v>613</v>
      </c>
      <c r="B617" s="55" t="str">
        <f>작성용!AI614</f>
        <v>-</v>
      </c>
      <c r="C617" s="56" t="str">
        <f>작성용!AK614</f>
        <v>개별종목</v>
      </c>
      <c r="D617" s="57">
        <f>작성용!T614</f>
        <v>45579</v>
      </c>
      <c r="E617" s="58" t="str">
        <f>작성용!B614</f>
        <v>에스지프라이빗에쿼티</v>
      </c>
      <c r="F617" s="58" t="str">
        <f>작성용!C614</f>
        <v>재평가</v>
      </c>
      <c r="G617" s="58" t="str">
        <f>작성용!D614</f>
        <v>한국금거래소디지털에셋</v>
      </c>
      <c r="H617" s="59">
        <f>작성용!E614</f>
        <v>1101117055638</v>
      </c>
      <c r="I617" s="58" t="str">
        <f>작성용!F614</f>
        <v>A01</v>
      </c>
      <c r="J617" s="58">
        <f>작성용!G614</f>
        <v>0</v>
      </c>
      <c r="K617" s="58" t="str">
        <f>작성용!H614</f>
        <v>-</v>
      </c>
      <c r="L617" s="58" t="str">
        <f>작성용!N614</f>
        <v xml:space="preserve">반기 </v>
      </c>
      <c r="M617" s="57" t="str">
        <f>작성용!U614</f>
        <v>2024.09.30</v>
      </c>
      <c r="N617" s="57">
        <f>작성용!V614</f>
        <v>45608</v>
      </c>
      <c r="O617" s="57">
        <f>작성용!W614</f>
        <v>45611</v>
      </c>
      <c r="P617" s="57" t="str">
        <f>작성용!X614</f>
        <v>-</v>
      </c>
      <c r="Q617" s="58" t="str">
        <f>작성용!AD614</f>
        <v>이문수</v>
      </c>
      <c r="R617" s="60">
        <f>작성용!AE614</f>
        <v>1</v>
      </c>
      <c r="S617" s="58" t="str">
        <f>작성용!AF614</f>
        <v>이문수</v>
      </c>
      <c r="T617" s="61" t="str">
        <f>작성용!AG614</f>
        <v>서경덕</v>
      </c>
      <c r="U617" s="61" t="str">
        <f>작성용!AH614</f>
        <v>서경덕</v>
      </c>
      <c r="V617" s="56">
        <f>작성용!AA614</f>
        <v>202411</v>
      </c>
      <c r="W617" s="58" t="str">
        <f>작성용!AC614</f>
        <v>[Y]금융기관</v>
      </c>
      <c r="X617" s="58" t="str">
        <f>작성용!O614</f>
        <v>김은정상무</v>
      </c>
      <c r="Y617" s="58" t="str">
        <f>작성용!P614</f>
        <v>02-6090-1308, 010-9009-3544</v>
      </c>
      <c r="Z617" s="58" t="str">
        <f>작성용!Q614</f>
        <v xml:space="preserve">ejkim@sgpef.com </v>
      </c>
      <c r="AA617" s="56" t="str">
        <f>작성용!AJ614</f>
        <v>국민연금제출</v>
      </c>
      <c r="AB617" s="56">
        <f>작성용!AB614</f>
        <v>0</v>
      </c>
    </row>
    <row r="618" spans="1:28" s="12" customFormat="1" ht="16.5" hidden="1" customHeight="1" x14ac:dyDescent="0.3">
      <c r="A618" s="54">
        <f>작성용!AL615</f>
        <v>614</v>
      </c>
      <c r="B618" s="55" t="str">
        <f>작성용!AI615</f>
        <v>-</v>
      </c>
      <c r="C618" s="56" t="str">
        <f>작성용!AK615</f>
        <v>개별종목</v>
      </c>
      <c r="D618" s="57">
        <f>작성용!T615</f>
        <v>45579</v>
      </c>
      <c r="E618" s="58" t="str">
        <f>작성용!B615</f>
        <v>에스지프라이빗에쿼티</v>
      </c>
      <c r="F618" s="58" t="str">
        <f>작성용!C615</f>
        <v>재평가</v>
      </c>
      <c r="G618" s="58" t="str">
        <f>작성용!D615</f>
        <v>윈큐브마케팅</v>
      </c>
      <c r="H618" s="59">
        <f>작성용!E615</f>
        <v>1101114613778</v>
      </c>
      <c r="I618" s="58" t="str">
        <f>작성용!F615</f>
        <v>A01</v>
      </c>
      <c r="J618" s="58">
        <f>작성용!G615</f>
        <v>0</v>
      </c>
      <c r="K618" s="58" t="str">
        <f>작성용!H615</f>
        <v>-</v>
      </c>
      <c r="L618" s="58" t="str">
        <f>작성용!N615</f>
        <v xml:space="preserve">반기 </v>
      </c>
      <c r="M618" s="57" t="str">
        <f>작성용!U615</f>
        <v>2024.09.30</v>
      </c>
      <c r="N618" s="57">
        <f>작성용!V615</f>
        <v>45608</v>
      </c>
      <c r="O618" s="57">
        <f>작성용!W615</f>
        <v>45611</v>
      </c>
      <c r="P618" s="57" t="str">
        <f>작성용!X615</f>
        <v>-</v>
      </c>
      <c r="Q618" s="58" t="str">
        <f>작성용!AD615</f>
        <v>정은채</v>
      </c>
      <c r="R618" s="60">
        <f>작성용!AE615</f>
        <v>1</v>
      </c>
      <c r="S618" s="58" t="str">
        <f>작성용!AF615</f>
        <v>정은채</v>
      </c>
      <c r="T618" s="61" t="str">
        <f>작성용!AG615</f>
        <v>서경덕</v>
      </c>
      <c r="U618" s="61" t="str">
        <f>작성용!AH615</f>
        <v>서경덕</v>
      </c>
      <c r="V618" s="56">
        <f>작성용!AA615</f>
        <v>202411</v>
      </c>
      <c r="W618" s="58" t="str">
        <f>작성용!AC615</f>
        <v>[Y]금융기관</v>
      </c>
      <c r="X618" s="58" t="str">
        <f>작성용!O615</f>
        <v>김은정상무</v>
      </c>
      <c r="Y618" s="58" t="str">
        <f>작성용!P615</f>
        <v>02-6090-1308, 010-9009-3544</v>
      </c>
      <c r="Z618" s="58" t="str">
        <f>작성용!Q615</f>
        <v xml:space="preserve">ejkim@sgpef.com </v>
      </c>
      <c r="AA618" s="56" t="str">
        <f>작성용!AJ615</f>
        <v>국민연금제출</v>
      </c>
      <c r="AB618" s="56">
        <f>작성용!AB615</f>
        <v>0</v>
      </c>
    </row>
    <row r="619" spans="1:28" s="12" customFormat="1" ht="16.5" hidden="1" customHeight="1" x14ac:dyDescent="0.3">
      <c r="A619" s="54">
        <f>작성용!AL616</f>
        <v>615</v>
      </c>
      <c r="B619" s="55" t="str">
        <f>작성용!AI616</f>
        <v>-</v>
      </c>
      <c r="C619" s="56" t="str">
        <f>작성용!AK616</f>
        <v>개별종목</v>
      </c>
      <c r="D619" s="57">
        <f>작성용!T616</f>
        <v>45579</v>
      </c>
      <c r="E619" s="58" t="str">
        <f>작성용!B616</f>
        <v>에스지프라이빗에쿼티</v>
      </c>
      <c r="F619" s="58" t="str">
        <f>작성용!C616</f>
        <v>재평가</v>
      </c>
      <c r="G619" s="58" t="str">
        <f>작성용!D616</f>
        <v>윈큐브마케팅</v>
      </c>
      <c r="H619" s="59">
        <f>작성용!E616</f>
        <v>1101114613778</v>
      </c>
      <c r="I619" s="58" t="str">
        <f>작성용!F616</f>
        <v>A07</v>
      </c>
      <c r="J619" s="58">
        <f>작성용!G616</f>
        <v>0</v>
      </c>
      <c r="K619" s="58" t="str">
        <f>작성용!H616</f>
        <v>-</v>
      </c>
      <c r="L619" s="58" t="str">
        <f>작성용!N616</f>
        <v xml:space="preserve">반기 </v>
      </c>
      <c r="M619" s="57" t="str">
        <f>작성용!U616</f>
        <v>2024.09.30</v>
      </c>
      <c r="N619" s="57">
        <f>작성용!V616</f>
        <v>45608</v>
      </c>
      <c r="O619" s="57">
        <f>작성용!W616</f>
        <v>45611</v>
      </c>
      <c r="P619" s="57" t="str">
        <f>작성용!X616</f>
        <v>-</v>
      </c>
      <c r="Q619" s="58" t="str">
        <f>작성용!AD616</f>
        <v>정은채</v>
      </c>
      <c r="R619" s="60">
        <f>작성용!AE616</f>
        <v>0</v>
      </c>
      <c r="S619" s="58" t="str">
        <f>작성용!AF616</f>
        <v>정은채</v>
      </c>
      <c r="T619" s="61" t="str">
        <f>작성용!AG616</f>
        <v>서경덕</v>
      </c>
      <c r="U619" s="61" t="str">
        <f>작성용!AH616</f>
        <v>서경덕</v>
      </c>
      <c r="V619" s="56">
        <f>작성용!AA616</f>
        <v>202411</v>
      </c>
      <c r="W619" s="58" t="str">
        <f>작성용!AC616</f>
        <v>[Y]금융기관</v>
      </c>
      <c r="X619" s="58" t="str">
        <f>작성용!O616</f>
        <v>김은정상무</v>
      </c>
      <c r="Y619" s="58" t="str">
        <f>작성용!P616</f>
        <v>02-6090-1308, 010-9009-3544</v>
      </c>
      <c r="Z619" s="58" t="str">
        <f>작성용!Q616</f>
        <v xml:space="preserve">ejkim@sgpef.com </v>
      </c>
      <c r="AA619" s="56" t="str">
        <f>작성용!AJ616</f>
        <v>국민연금제출</v>
      </c>
      <c r="AB619" s="56">
        <f>작성용!AB616</f>
        <v>0</v>
      </c>
    </row>
    <row r="620" spans="1:28" s="12" customFormat="1" ht="16.5" hidden="1" customHeight="1" x14ac:dyDescent="0.3">
      <c r="A620" s="54">
        <f>작성용!AL617</f>
        <v>616</v>
      </c>
      <c r="B620" s="55" t="str">
        <f>작성용!AI617</f>
        <v>-</v>
      </c>
      <c r="C620" s="56" t="str">
        <f>작성용!AK617</f>
        <v>개별종목</v>
      </c>
      <c r="D620" s="57">
        <f>작성용!T617</f>
        <v>45579</v>
      </c>
      <c r="E620" s="58" t="str">
        <f>작성용!B617</f>
        <v>에스지프라이빗에쿼티</v>
      </c>
      <c r="F620" s="58" t="str">
        <f>작성용!C617</f>
        <v>재평가</v>
      </c>
      <c r="G620" s="58" t="str">
        <f>작성용!D617</f>
        <v>창원에너텍</v>
      </c>
      <c r="H620" s="59">
        <f>작성용!E617</f>
        <v>1942110225434</v>
      </c>
      <c r="I620" s="58" t="str">
        <f>작성용!F617</f>
        <v>A01</v>
      </c>
      <c r="J620" s="58">
        <f>작성용!G617</f>
        <v>0</v>
      </c>
      <c r="K620" s="58" t="str">
        <f>작성용!H617</f>
        <v>-</v>
      </c>
      <c r="L620" s="58" t="str">
        <f>작성용!N617</f>
        <v xml:space="preserve">반기 </v>
      </c>
      <c r="M620" s="57" t="str">
        <f>작성용!U617</f>
        <v>2024.09.30</v>
      </c>
      <c r="N620" s="57">
        <f>작성용!V617</f>
        <v>45608</v>
      </c>
      <c r="O620" s="57">
        <f>작성용!W617</f>
        <v>45611</v>
      </c>
      <c r="P620" s="57" t="str">
        <f>작성용!X617</f>
        <v>-</v>
      </c>
      <c r="Q620" s="58" t="str">
        <f>작성용!AD617</f>
        <v>변혜진</v>
      </c>
      <c r="R620" s="60">
        <f>작성용!AE617</f>
        <v>1</v>
      </c>
      <c r="S620" s="58" t="str">
        <f>작성용!AF617</f>
        <v>변혜진</v>
      </c>
      <c r="T620" s="61" t="str">
        <f>작성용!AG617</f>
        <v>서경덕</v>
      </c>
      <c r="U620" s="61" t="str">
        <f>작성용!AH617</f>
        <v>서경덕</v>
      </c>
      <c r="V620" s="56">
        <f>작성용!AA617</f>
        <v>202411</v>
      </c>
      <c r="W620" s="58" t="str">
        <f>작성용!AC617</f>
        <v>[Y]금융기관</v>
      </c>
      <c r="X620" s="58" t="str">
        <f>작성용!O617</f>
        <v>김은정상무</v>
      </c>
      <c r="Y620" s="58" t="str">
        <f>작성용!P617</f>
        <v>02-6090-1308, 010-9009-3544</v>
      </c>
      <c r="Z620" s="58" t="str">
        <f>작성용!Q617</f>
        <v xml:space="preserve">ejkim@sgpef.com </v>
      </c>
      <c r="AA620" s="56" t="str">
        <f>작성용!AJ617</f>
        <v>국민연금제출</v>
      </c>
      <c r="AB620" s="56">
        <f>작성용!AB617</f>
        <v>0</v>
      </c>
    </row>
    <row r="621" spans="1:28" s="12" customFormat="1" ht="16.5" hidden="1" customHeight="1" x14ac:dyDescent="0.3">
      <c r="A621" s="54">
        <f>작성용!AL618</f>
        <v>617</v>
      </c>
      <c r="B621" s="55" t="str">
        <f>작성용!AI618</f>
        <v>-</v>
      </c>
      <c r="C621" s="56" t="str">
        <f>작성용!AK618</f>
        <v>개별종목</v>
      </c>
      <c r="D621" s="57">
        <f>작성용!T618</f>
        <v>45579</v>
      </c>
      <c r="E621" s="58" t="str">
        <f>작성용!B618</f>
        <v>에스지프라이빗에쿼티</v>
      </c>
      <c r="F621" s="58" t="str">
        <f>작성용!C618</f>
        <v>재평가</v>
      </c>
      <c r="G621" s="58" t="str">
        <f>작성용!D618</f>
        <v>케이씨산업</v>
      </c>
      <c r="H621" s="59">
        <f>작성용!E618</f>
        <v>1312110004403</v>
      </c>
      <c r="I621" s="58" t="str">
        <f>작성용!F618</f>
        <v>D03</v>
      </c>
      <c r="J621" s="58">
        <f>작성용!G618</f>
        <v>0</v>
      </c>
      <c r="K621" s="58" t="str">
        <f>작성용!H618</f>
        <v>-</v>
      </c>
      <c r="L621" s="58" t="str">
        <f>작성용!N618</f>
        <v xml:space="preserve">반기 </v>
      </c>
      <c r="M621" s="57" t="str">
        <f>작성용!U618</f>
        <v>2024.09.30</v>
      </c>
      <c r="N621" s="57">
        <f>작성용!V618</f>
        <v>45608</v>
      </c>
      <c r="O621" s="57">
        <f>작성용!W618</f>
        <v>45611</v>
      </c>
      <c r="P621" s="57" t="str">
        <f>작성용!X618</f>
        <v>-</v>
      </c>
      <c r="Q621" s="58" t="str">
        <f>작성용!AD618</f>
        <v>주식옵션팀</v>
      </c>
      <c r="R621" s="60">
        <f>작성용!AE618</f>
        <v>0</v>
      </c>
      <c r="S621" s="58" t="str">
        <f>작성용!AF618</f>
        <v>주식옵션팀</v>
      </c>
      <c r="T621" s="61" t="str">
        <f>작성용!AG618</f>
        <v>서경덕</v>
      </c>
      <c r="U621" s="61" t="str">
        <f>작성용!AH618</f>
        <v>서경덕</v>
      </c>
      <c r="V621" s="56">
        <f>작성용!AA618</f>
        <v>202411</v>
      </c>
      <c r="W621" s="58" t="str">
        <f>작성용!AC618</f>
        <v>[Y]금융기관</v>
      </c>
      <c r="X621" s="58" t="str">
        <f>작성용!O618</f>
        <v>김은정상무</v>
      </c>
      <c r="Y621" s="58" t="str">
        <f>작성용!P618</f>
        <v>02-6090-1308, 010-9009-3544</v>
      </c>
      <c r="Z621" s="58" t="str">
        <f>작성용!Q618</f>
        <v xml:space="preserve">ejkim@sgpef.com </v>
      </c>
      <c r="AA621" s="56" t="str">
        <f>작성용!AJ618</f>
        <v>국민연금제출</v>
      </c>
      <c r="AB621" s="56">
        <f>작성용!AB618</f>
        <v>0</v>
      </c>
    </row>
    <row r="622" spans="1:28" s="12" customFormat="1" ht="16.5" hidden="1" customHeight="1" x14ac:dyDescent="0.3">
      <c r="A622" s="54">
        <f>작성용!AL619</f>
        <v>618</v>
      </c>
      <c r="B622" s="55" t="str">
        <f>작성용!AI619</f>
        <v>-</v>
      </c>
      <c r="C622" s="56" t="str">
        <f>작성용!AK619</f>
        <v>개별종목</v>
      </c>
      <c r="D622" s="57">
        <f>작성용!T619</f>
        <v>45579</v>
      </c>
      <c r="E622" s="58" t="str">
        <f>작성용!B619</f>
        <v>에스지프라이빗에쿼티</v>
      </c>
      <c r="F622" s="58" t="str">
        <f>작성용!C619</f>
        <v>재평가</v>
      </c>
      <c r="G622" s="58" t="str">
        <f>작성용!D619</f>
        <v>케이씨산업</v>
      </c>
      <c r="H622" s="59">
        <f>작성용!E619</f>
        <v>1312110004403</v>
      </c>
      <c r="I622" s="58" t="str">
        <f>작성용!F619</f>
        <v>D02</v>
      </c>
      <c r="J622" s="58">
        <f>작성용!G619</f>
        <v>0</v>
      </c>
      <c r="K622" s="58" t="str">
        <f>작성용!H619</f>
        <v>-</v>
      </c>
      <c r="L622" s="58" t="str">
        <f>작성용!N619</f>
        <v xml:space="preserve">반기 </v>
      </c>
      <c r="M622" s="57" t="str">
        <f>작성용!U619</f>
        <v>2024.09.30</v>
      </c>
      <c r="N622" s="57">
        <f>작성용!V619</f>
        <v>45608</v>
      </c>
      <c r="O622" s="57">
        <f>작성용!W619</f>
        <v>45611</v>
      </c>
      <c r="P622" s="57" t="str">
        <f>작성용!X619</f>
        <v>-</v>
      </c>
      <c r="Q622" s="58" t="str">
        <f>작성용!AD619</f>
        <v>주식옵션팀</v>
      </c>
      <c r="R622" s="60">
        <f>작성용!AE619</f>
        <v>0</v>
      </c>
      <c r="S622" s="58" t="str">
        <f>작성용!AF619</f>
        <v>주식옵션팀</v>
      </c>
      <c r="T622" s="61" t="str">
        <f>작성용!AG619</f>
        <v>서경덕</v>
      </c>
      <c r="U622" s="61" t="str">
        <f>작성용!AH619</f>
        <v>서경덕</v>
      </c>
      <c r="V622" s="56">
        <f>작성용!AA619</f>
        <v>202411</v>
      </c>
      <c r="W622" s="58" t="str">
        <f>작성용!AC619</f>
        <v>[Y]금융기관</v>
      </c>
      <c r="X622" s="58" t="str">
        <f>작성용!O619</f>
        <v>김은정상무</v>
      </c>
      <c r="Y622" s="58" t="str">
        <f>작성용!P619</f>
        <v>02-6090-1308, 010-9009-3544</v>
      </c>
      <c r="Z622" s="58" t="str">
        <f>작성용!Q619</f>
        <v xml:space="preserve">ejkim@sgpef.com </v>
      </c>
      <c r="AA622" s="56" t="str">
        <f>작성용!AJ619</f>
        <v>국민연금제출</v>
      </c>
      <c r="AB622" s="56">
        <f>작성용!AB619</f>
        <v>0</v>
      </c>
    </row>
    <row r="623" spans="1:28" s="12" customFormat="1" ht="16.5" hidden="1" customHeight="1" x14ac:dyDescent="0.3">
      <c r="A623" s="54">
        <f>작성용!AL620</f>
        <v>619</v>
      </c>
      <c r="B623" s="55" t="str">
        <f>작성용!AI620</f>
        <v>-</v>
      </c>
      <c r="C623" s="56" t="str">
        <f>작성용!AK620</f>
        <v>개별종목</v>
      </c>
      <c r="D623" s="57">
        <f>작성용!T620</f>
        <v>45579</v>
      </c>
      <c r="E623" s="58" t="str">
        <f>작성용!B620</f>
        <v>에스지프라이빗에쿼티</v>
      </c>
      <c r="F623" s="58" t="str">
        <f>작성용!C620</f>
        <v>재평가</v>
      </c>
      <c r="G623" s="58" t="str">
        <f>작성용!D620</f>
        <v>테이크원컴퍼니</v>
      </c>
      <c r="H623" s="59">
        <f>작성용!E620</f>
        <v>1101115964469</v>
      </c>
      <c r="I623" s="58" t="str">
        <f>작성용!F620</f>
        <v>A01</v>
      </c>
      <c r="J623" s="58">
        <f>작성용!G620</f>
        <v>0</v>
      </c>
      <c r="K623" s="58" t="str">
        <f>작성용!H620</f>
        <v>-</v>
      </c>
      <c r="L623" s="58" t="str">
        <f>작성용!N620</f>
        <v xml:space="preserve">반기 </v>
      </c>
      <c r="M623" s="57" t="str">
        <f>작성용!U620</f>
        <v>2024.09.30</v>
      </c>
      <c r="N623" s="57">
        <f>작성용!V620</f>
        <v>45608</v>
      </c>
      <c r="O623" s="57">
        <f>작성용!W620</f>
        <v>45611</v>
      </c>
      <c r="P623" s="57" t="str">
        <f>작성용!X620</f>
        <v>-</v>
      </c>
      <c r="Q623" s="58" t="str">
        <f>작성용!AD620</f>
        <v>최수민</v>
      </c>
      <c r="R623" s="60">
        <f>작성용!AE620</f>
        <v>1</v>
      </c>
      <c r="S623" s="58" t="str">
        <f>작성용!AF620</f>
        <v>최수민</v>
      </c>
      <c r="T623" s="61" t="str">
        <f>작성용!AG620</f>
        <v>서경덕</v>
      </c>
      <c r="U623" s="61" t="str">
        <f>작성용!AH620</f>
        <v>서경덕</v>
      </c>
      <c r="V623" s="56">
        <f>작성용!AA620</f>
        <v>202411</v>
      </c>
      <c r="W623" s="58" t="str">
        <f>작성용!AC620</f>
        <v>[Y]금융기관</v>
      </c>
      <c r="X623" s="58" t="str">
        <f>작성용!O620</f>
        <v>김은정상무</v>
      </c>
      <c r="Y623" s="58" t="str">
        <f>작성용!P620</f>
        <v>02-6090-1308, 010-9009-3544</v>
      </c>
      <c r="Z623" s="58" t="str">
        <f>작성용!Q620</f>
        <v xml:space="preserve">ejkim@sgpef.com </v>
      </c>
      <c r="AA623" s="56" t="str">
        <f>작성용!AJ620</f>
        <v>국민연금제출</v>
      </c>
      <c r="AB623" s="56">
        <f>작성용!AB620</f>
        <v>0</v>
      </c>
    </row>
    <row r="624" spans="1:28" s="12" customFormat="1" ht="16.5" hidden="1" customHeight="1" x14ac:dyDescent="0.3">
      <c r="A624" s="54">
        <f>작성용!AL621</f>
        <v>620</v>
      </c>
      <c r="B624" s="55" t="str">
        <f>작성용!AI621</f>
        <v>-</v>
      </c>
      <c r="C624" s="56" t="str">
        <f>작성용!AK621</f>
        <v>개별종목</v>
      </c>
      <c r="D624" s="57">
        <f>작성용!T621</f>
        <v>45579</v>
      </c>
      <c r="E624" s="58" t="str">
        <f>작성용!B621</f>
        <v>에스지프라이빗에쿼티</v>
      </c>
      <c r="F624" s="58" t="str">
        <f>작성용!C621</f>
        <v>재평가</v>
      </c>
      <c r="G624" s="58" t="str">
        <f>작성용!D621</f>
        <v>엑심베이</v>
      </c>
      <c r="H624" s="59">
        <f>작성용!E621</f>
        <v>1101114299693</v>
      </c>
      <c r="I624" s="58" t="str">
        <f>작성용!F621</f>
        <v>A07</v>
      </c>
      <c r="J624" s="58">
        <f>작성용!G621</f>
        <v>0</v>
      </c>
      <c r="K624" s="58" t="str">
        <f>작성용!H621</f>
        <v>-</v>
      </c>
      <c r="L624" s="58" t="str">
        <f>작성용!N621</f>
        <v xml:space="preserve">반기 </v>
      </c>
      <c r="M624" s="57" t="str">
        <f>작성용!U621</f>
        <v>2024.09.30</v>
      </c>
      <c r="N624" s="57">
        <f>작성용!V621</f>
        <v>45608</v>
      </c>
      <c r="O624" s="57">
        <f>작성용!W621</f>
        <v>45611</v>
      </c>
      <c r="P624" s="57" t="str">
        <f>작성용!X621</f>
        <v>-</v>
      </c>
      <c r="Q624" s="58" t="str">
        <f>작성용!AD621</f>
        <v>강승현</v>
      </c>
      <c r="R624" s="60">
        <f>작성용!AE621</f>
        <v>1</v>
      </c>
      <c r="S624" s="58" t="str">
        <f>작성용!AF621</f>
        <v>강승현</v>
      </c>
      <c r="T624" s="61" t="str">
        <f>작성용!AG621</f>
        <v>서경덕</v>
      </c>
      <c r="U624" s="61" t="str">
        <f>작성용!AH621</f>
        <v>서경덕</v>
      </c>
      <c r="V624" s="56">
        <f>작성용!AA621</f>
        <v>202411</v>
      </c>
      <c r="W624" s="58" t="str">
        <f>작성용!AC621</f>
        <v>[Y]금융기관</v>
      </c>
      <c r="X624" s="58" t="str">
        <f>작성용!O621</f>
        <v>김은정상무</v>
      </c>
      <c r="Y624" s="58" t="str">
        <f>작성용!P621</f>
        <v>02-6090-1308, 010-9009-3544</v>
      </c>
      <c r="Z624" s="58" t="str">
        <f>작성용!Q621</f>
        <v xml:space="preserve">ejkim@sgpef.com </v>
      </c>
      <c r="AA624" s="56" t="str">
        <f>작성용!AJ621</f>
        <v>국민연금제출</v>
      </c>
      <c r="AB624" s="56">
        <f>작성용!AB621</f>
        <v>0</v>
      </c>
    </row>
    <row r="625" spans="1:28" s="12" customFormat="1" ht="16.5" hidden="1" customHeight="1" x14ac:dyDescent="0.3">
      <c r="A625" s="54">
        <f>작성용!AL622</f>
        <v>621</v>
      </c>
      <c r="B625" s="55" t="str">
        <f>작성용!AI622</f>
        <v>-</v>
      </c>
      <c r="C625" s="56" t="str">
        <f>작성용!AK622</f>
        <v>개별종목</v>
      </c>
      <c r="D625" s="57">
        <f>작성용!T622</f>
        <v>45579</v>
      </c>
      <c r="E625" s="58" t="str">
        <f>작성용!B622</f>
        <v>에스지프라이빗에쿼티</v>
      </c>
      <c r="F625" s="58" t="str">
        <f>작성용!C622</f>
        <v>재평가</v>
      </c>
      <c r="G625" s="58" t="str">
        <f>작성용!D622</f>
        <v>엑심베이</v>
      </c>
      <c r="H625" s="59">
        <f>작성용!E622</f>
        <v>1101114299693</v>
      </c>
      <c r="I625" s="58" t="str">
        <f>작성용!F622</f>
        <v>D02</v>
      </c>
      <c r="J625" s="58">
        <f>작성용!G622</f>
        <v>0</v>
      </c>
      <c r="K625" s="58" t="str">
        <f>작성용!H622</f>
        <v>-</v>
      </c>
      <c r="L625" s="58" t="str">
        <f>작성용!N622</f>
        <v xml:space="preserve">반기 </v>
      </c>
      <c r="M625" s="57" t="str">
        <f>작성용!U622</f>
        <v>2024.09.30</v>
      </c>
      <c r="N625" s="57">
        <f>작성용!V622</f>
        <v>45608</v>
      </c>
      <c r="O625" s="57">
        <f>작성용!W622</f>
        <v>45611</v>
      </c>
      <c r="P625" s="57" t="str">
        <f>작성용!X622</f>
        <v>-</v>
      </c>
      <c r="Q625" s="58" t="str">
        <f>작성용!AD622</f>
        <v>강승현</v>
      </c>
      <c r="R625" s="60">
        <f>작성용!AE622</f>
        <v>0</v>
      </c>
      <c r="S625" s="58" t="str">
        <f>작성용!AF622</f>
        <v>강승현</v>
      </c>
      <c r="T625" s="61" t="str">
        <f>작성용!AG622</f>
        <v>서경덕</v>
      </c>
      <c r="U625" s="61" t="str">
        <f>작성용!AH622</f>
        <v>서경덕</v>
      </c>
      <c r="V625" s="56">
        <f>작성용!AA622</f>
        <v>202411</v>
      </c>
      <c r="W625" s="58" t="str">
        <f>작성용!AC622</f>
        <v>[Y]금융기관</v>
      </c>
      <c r="X625" s="58" t="str">
        <f>작성용!O622</f>
        <v>김은정상무</v>
      </c>
      <c r="Y625" s="58" t="str">
        <f>작성용!P622</f>
        <v>02-6090-1308, 010-9009-3544</v>
      </c>
      <c r="Z625" s="58" t="str">
        <f>작성용!Q622</f>
        <v xml:space="preserve">ejkim@sgpef.com </v>
      </c>
      <c r="AA625" s="56" t="str">
        <f>작성용!AJ622</f>
        <v>국민연금제출</v>
      </c>
      <c r="AB625" s="56">
        <f>작성용!AB622</f>
        <v>0</v>
      </c>
    </row>
    <row r="626" spans="1:28" s="12" customFormat="1" ht="16.5" hidden="1" customHeight="1" x14ac:dyDescent="0.3">
      <c r="A626" s="54">
        <f>작성용!AL623</f>
        <v>622</v>
      </c>
      <c r="B626" s="55" t="str">
        <f>작성용!AI623</f>
        <v>-</v>
      </c>
      <c r="C626" s="56" t="str">
        <f>작성용!AK623</f>
        <v>개별종목</v>
      </c>
      <c r="D626" s="57">
        <f>작성용!T623</f>
        <v>45579</v>
      </c>
      <c r="E626" s="58" t="str">
        <f>작성용!B623</f>
        <v>에스지프라이빗에쿼티</v>
      </c>
      <c r="F626" s="58" t="str">
        <f>작성용!C623</f>
        <v>재평가</v>
      </c>
      <c r="G626" s="58" t="str">
        <f>작성용!D623</f>
        <v>엑심베이</v>
      </c>
      <c r="H626" s="59">
        <f>작성용!E623</f>
        <v>1101114299693</v>
      </c>
      <c r="I626" s="58" t="str">
        <f>작성용!F623</f>
        <v>A01</v>
      </c>
      <c r="J626" s="58">
        <f>작성용!G623</f>
        <v>0</v>
      </c>
      <c r="K626" s="58" t="str">
        <f>작성용!H623</f>
        <v>-</v>
      </c>
      <c r="L626" s="58" t="str">
        <f>작성용!N623</f>
        <v xml:space="preserve">반기 </v>
      </c>
      <c r="M626" s="57" t="str">
        <f>작성용!U623</f>
        <v>2024.09.30</v>
      </c>
      <c r="N626" s="57">
        <f>작성용!V623</f>
        <v>45608</v>
      </c>
      <c r="O626" s="57">
        <f>작성용!W623</f>
        <v>45611</v>
      </c>
      <c r="P626" s="57" t="str">
        <f>작성용!X623</f>
        <v>-</v>
      </c>
      <c r="Q626" s="58" t="str">
        <f>작성용!AD623</f>
        <v>강승현</v>
      </c>
      <c r="R626" s="60">
        <f>작성용!AE623</f>
        <v>0</v>
      </c>
      <c r="S626" s="58" t="str">
        <f>작성용!AF623</f>
        <v>강승현</v>
      </c>
      <c r="T626" s="61" t="str">
        <f>작성용!AG623</f>
        <v>서경덕</v>
      </c>
      <c r="U626" s="61" t="str">
        <f>작성용!AH623</f>
        <v>서경덕</v>
      </c>
      <c r="V626" s="56">
        <f>작성용!AA623</f>
        <v>202411</v>
      </c>
      <c r="W626" s="58" t="str">
        <f>작성용!AC623</f>
        <v>[Y]금융기관</v>
      </c>
      <c r="X626" s="58" t="str">
        <f>작성용!O623</f>
        <v>김은정상무</v>
      </c>
      <c r="Y626" s="58" t="str">
        <f>작성용!P623</f>
        <v>02-6090-1308, 010-9009-3544</v>
      </c>
      <c r="Z626" s="58" t="str">
        <f>작성용!Q623</f>
        <v xml:space="preserve">ejkim@sgpef.com </v>
      </c>
      <c r="AA626" s="56" t="str">
        <f>작성용!AJ623</f>
        <v>국민연금제출</v>
      </c>
      <c r="AB626" s="56">
        <f>작성용!AB623</f>
        <v>0</v>
      </c>
    </row>
    <row r="627" spans="1:28" s="12" customFormat="1" ht="16.5" hidden="1" customHeight="1" x14ac:dyDescent="0.3">
      <c r="A627" s="54">
        <f>작성용!AL624</f>
        <v>623</v>
      </c>
      <c r="B627" s="55" t="str">
        <f>작성용!AI624</f>
        <v>-</v>
      </c>
      <c r="C627" s="56" t="str">
        <f>작성용!AK624</f>
        <v>개별종목</v>
      </c>
      <c r="D627" s="57">
        <f>작성용!T624</f>
        <v>45579</v>
      </c>
      <c r="E627" s="58" t="str">
        <f>작성용!B624</f>
        <v>에스지프라이빗에쿼티</v>
      </c>
      <c r="F627" s="58" t="str">
        <f>작성용!C624</f>
        <v>재평가</v>
      </c>
      <c r="G627" s="58" t="str">
        <f>작성용!D624</f>
        <v>하이그라운드</v>
      </c>
      <c r="H627" s="59">
        <f>작성용!E624</f>
        <v>1101115425312</v>
      </c>
      <c r="I627" s="58" t="str">
        <f>작성용!F624</f>
        <v>A05</v>
      </c>
      <c r="J627" s="58">
        <f>작성용!G624</f>
        <v>0</v>
      </c>
      <c r="K627" s="58" t="str">
        <f>작성용!H624</f>
        <v>-</v>
      </c>
      <c r="L627" s="58" t="str">
        <f>작성용!N624</f>
        <v xml:space="preserve">반기 </v>
      </c>
      <c r="M627" s="57" t="str">
        <f>작성용!U624</f>
        <v>2024.09.30</v>
      </c>
      <c r="N627" s="57">
        <f>작성용!V624</f>
        <v>45608</v>
      </c>
      <c r="O627" s="57">
        <f>작성용!W624</f>
        <v>45611</v>
      </c>
      <c r="P627" s="57" t="str">
        <f>작성용!X624</f>
        <v>-</v>
      </c>
      <c r="Q627" s="58" t="str">
        <f>작성용!AD624</f>
        <v>서경덕</v>
      </c>
      <c r="R627" s="60">
        <f>작성용!AE624</f>
        <v>1</v>
      </c>
      <c r="S627" s="58" t="str">
        <f>작성용!AF624</f>
        <v>서경덕</v>
      </c>
      <c r="T627" s="61" t="str">
        <f>작성용!AG624</f>
        <v>서경덕</v>
      </c>
      <c r="U627" s="61" t="str">
        <f>작성용!AH624</f>
        <v>서경덕</v>
      </c>
      <c r="V627" s="56">
        <f>작성용!AA624</f>
        <v>202411</v>
      </c>
      <c r="W627" s="58" t="str">
        <f>작성용!AC624</f>
        <v>[Y]금융기관</v>
      </c>
      <c r="X627" s="58" t="str">
        <f>작성용!O624</f>
        <v>김은정상무</v>
      </c>
      <c r="Y627" s="58" t="str">
        <f>작성용!P624</f>
        <v>02-6090-1308, 010-9009-3544</v>
      </c>
      <c r="Z627" s="58" t="str">
        <f>작성용!Q624</f>
        <v xml:space="preserve">ejkim@sgpef.com </v>
      </c>
      <c r="AA627" s="56" t="str">
        <f>작성용!AJ624</f>
        <v>국민연금제출</v>
      </c>
      <c r="AB627" s="56">
        <f>작성용!AB624</f>
        <v>0</v>
      </c>
    </row>
    <row r="628" spans="1:28" s="12" customFormat="1" ht="16.5" hidden="1" customHeight="1" x14ac:dyDescent="0.3">
      <c r="A628" s="54">
        <f>작성용!AL625</f>
        <v>624</v>
      </c>
      <c r="B628" s="55" t="str">
        <f>작성용!AI625</f>
        <v>-</v>
      </c>
      <c r="C628" s="56" t="str">
        <f>작성용!AK625</f>
        <v>개별종목</v>
      </c>
      <c r="D628" s="57">
        <f>작성용!T625</f>
        <v>45579</v>
      </c>
      <c r="E628" s="58" t="str">
        <f>작성용!B625</f>
        <v>에스지프라이빗에쿼티</v>
      </c>
      <c r="F628" s="58" t="str">
        <f>작성용!C625</f>
        <v>재평가</v>
      </c>
      <c r="G628" s="58" t="str">
        <f>작성용!D625</f>
        <v>상우기업</v>
      </c>
      <c r="H628" s="59">
        <f>작성용!E625</f>
        <v>1301110045690</v>
      </c>
      <c r="I628" s="58" t="str">
        <f>작성용!F625</f>
        <v>A01</v>
      </c>
      <c r="J628" s="58">
        <f>작성용!G625</f>
        <v>0</v>
      </c>
      <c r="K628" s="58" t="str">
        <f>작성용!H625</f>
        <v>-</v>
      </c>
      <c r="L628" s="58" t="str">
        <f>작성용!N625</f>
        <v xml:space="preserve">반기 </v>
      </c>
      <c r="M628" s="57" t="str">
        <f>작성용!U625</f>
        <v>2024.09.30</v>
      </c>
      <c r="N628" s="57">
        <f>작성용!V625</f>
        <v>45608</v>
      </c>
      <c r="O628" s="57">
        <f>작성용!W625</f>
        <v>45611</v>
      </c>
      <c r="P628" s="57" t="str">
        <f>작성용!X625</f>
        <v>-</v>
      </c>
      <c r="Q628" s="58" t="str">
        <f>작성용!AD625</f>
        <v>심태진</v>
      </c>
      <c r="R628" s="60">
        <f>작성용!AE625</f>
        <v>1</v>
      </c>
      <c r="S628" s="58" t="str">
        <f>작성용!AF625</f>
        <v>심태진</v>
      </c>
      <c r="T628" s="61" t="str">
        <f>작성용!AG625</f>
        <v>서경덕</v>
      </c>
      <c r="U628" s="61" t="str">
        <f>작성용!AH625</f>
        <v>서경덕</v>
      </c>
      <c r="V628" s="56">
        <f>작성용!AA625</f>
        <v>202411</v>
      </c>
      <c r="W628" s="58" t="str">
        <f>작성용!AC625</f>
        <v>[Y]금융기관</v>
      </c>
      <c r="X628" s="58" t="str">
        <f>작성용!O625</f>
        <v>김은정상무</v>
      </c>
      <c r="Y628" s="58" t="str">
        <f>작성용!P625</f>
        <v>02-6090-1308, 010-9009-3544</v>
      </c>
      <c r="Z628" s="58" t="str">
        <f>작성용!Q625</f>
        <v xml:space="preserve">ejkim@sgpef.com </v>
      </c>
      <c r="AA628" s="56" t="str">
        <f>작성용!AJ625</f>
        <v>국민연금제출</v>
      </c>
      <c r="AB628" s="56">
        <f>작성용!AB625</f>
        <v>0</v>
      </c>
    </row>
    <row r="629" spans="1:28" s="12" customFormat="1" ht="16.5" hidden="1" customHeight="1" x14ac:dyDescent="0.3">
      <c r="A629" s="54">
        <f>작성용!AL626</f>
        <v>625</v>
      </c>
      <c r="B629" s="55" t="str">
        <f>작성용!AI626</f>
        <v>-</v>
      </c>
      <c r="C629" s="56" t="str">
        <f>작성용!AK626</f>
        <v>개별종목</v>
      </c>
      <c r="D629" s="57">
        <f>작성용!T626</f>
        <v>45579</v>
      </c>
      <c r="E629" s="58" t="str">
        <f>작성용!B626</f>
        <v>에스지프라이빗에쿼티</v>
      </c>
      <c r="F629" s="58" t="str">
        <f>작성용!C626</f>
        <v>재평가</v>
      </c>
      <c r="G629" s="58" t="str">
        <f>작성용!D626</f>
        <v>Kong Studios, INC</v>
      </c>
      <c r="H629" s="59" t="str">
        <f>작성용!E626</f>
        <v>KBP2020120164</v>
      </c>
      <c r="I629" s="58" t="str">
        <f>작성용!F626</f>
        <v>A07</v>
      </c>
      <c r="J629" s="58">
        <f>작성용!G626</f>
        <v>0</v>
      </c>
      <c r="K629" s="58" t="str">
        <f>작성용!H626</f>
        <v>-</v>
      </c>
      <c r="L629" s="58" t="str">
        <f>작성용!N626</f>
        <v xml:space="preserve">반기 </v>
      </c>
      <c r="M629" s="57" t="str">
        <f>작성용!U626</f>
        <v>2024.09.30</v>
      </c>
      <c r="N629" s="57">
        <f>작성용!V626</f>
        <v>45608</v>
      </c>
      <c r="O629" s="57">
        <f>작성용!W626</f>
        <v>45611</v>
      </c>
      <c r="P629" s="57" t="str">
        <f>작성용!X626</f>
        <v>-</v>
      </c>
      <c r="Q629" s="58" t="str">
        <f>작성용!AD626</f>
        <v>서동현</v>
      </c>
      <c r="R629" s="60">
        <f>작성용!AE626</f>
        <v>1</v>
      </c>
      <c r="S629" s="58" t="str">
        <f>작성용!AF626</f>
        <v>서동현</v>
      </c>
      <c r="T629" s="61" t="str">
        <f>작성용!AG626</f>
        <v>서경덕</v>
      </c>
      <c r="U629" s="61" t="str">
        <f>작성용!AH626</f>
        <v>서경덕</v>
      </c>
      <c r="V629" s="56">
        <f>작성용!AA626</f>
        <v>202411</v>
      </c>
      <c r="W629" s="58" t="str">
        <f>작성용!AC626</f>
        <v>[Y]금융기관</v>
      </c>
      <c r="X629" s="58" t="str">
        <f>작성용!O626</f>
        <v>김은정상무</v>
      </c>
      <c r="Y629" s="58" t="str">
        <f>작성용!P626</f>
        <v>02-6090-1308, 010-9009-3544</v>
      </c>
      <c r="Z629" s="58" t="str">
        <f>작성용!Q626</f>
        <v xml:space="preserve">ejkim@sgpef.com </v>
      </c>
      <c r="AA629" s="56" t="str">
        <f>작성용!AJ626</f>
        <v>국민연금제출</v>
      </c>
      <c r="AB629" s="56">
        <f>작성용!AB626</f>
        <v>0</v>
      </c>
    </row>
    <row r="630" spans="1:28" s="12" customFormat="1" ht="16.5" hidden="1" customHeight="1" x14ac:dyDescent="0.3">
      <c r="A630" s="54">
        <f>작성용!AL627</f>
        <v>626</v>
      </c>
      <c r="B630" s="55" t="str">
        <f>작성용!AI627</f>
        <v>-</v>
      </c>
      <c r="C630" s="56" t="str">
        <f>작성용!AK627</f>
        <v>개별종목</v>
      </c>
      <c r="D630" s="57">
        <f>작성용!T627</f>
        <v>45579</v>
      </c>
      <c r="E630" s="58" t="str">
        <f>작성용!B627</f>
        <v>에스지프라이빗에쿼티</v>
      </c>
      <c r="F630" s="58" t="str">
        <f>작성용!C627</f>
        <v>재평가</v>
      </c>
      <c r="G630" s="58" t="str">
        <f>작성용!D627</f>
        <v>신흥에스이씨</v>
      </c>
      <c r="H630" s="59">
        <f>작성용!E627</f>
        <v>1348110178873</v>
      </c>
      <c r="I630" s="58" t="str">
        <f>작성용!F627</f>
        <v>A05</v>
      </c>
      <c r="J630" s="58">
        <f>작성용!G627</f>
        <v>0</v>
      </c>
      <c r="K630" s="58" t="str">
        <f>작성용!H627</f>
        <v>-</v>
      </c>
      <c r="L630" s="58" t="str">
        <f>작성용!N627</f>
        <v xml:space="preserve">반기 </v>
      </c>
      <c r="M630" s="57" t="str">
        <f>작성용!U627</f>
        <v>2024.09.30</v>
      </c>
      <c r="N630" s="57">
        <f>작성용!V627</f>
        <v>45608</v>
      </c>
      <c r="O630" s="57">
        <f>작성용!W627</f>
        <v>45611</v>
      </c>
      <c r="P630" s="57" t="str">
        <f>작성용!X627</f>
        <v>-</v>
      </c>
      <c r="Q630" s="58" t="str">
        <f>작성용!AD627</f>
        <v>상장</v>
      </c>
      <c r="R630" s="60">
        <f>작성용!AE627</f>
        <v>0</v>
      </c>
      <c r="S630" s="58" t="str">
        <f>작성용!AF627</f>
        <v>상장</v>
      </c>
      <c r="T630" s="61" t="str">
        <f>작성용!AG627</f>
        <v>서경덕</v>
      </c>
      <c r="U630" s="61" t="str">
        <f>작성용!AH627</f>
        <v>서경덕</v>
      </c>
      <c r="V630" s="56">
        <f>작성용!AA627</f>
        <v>202411</v>
      </c>
      <c r="W630" s="58" t="str">
        <f>작성용!AC627</f>
        <v>[Y]금융기관</v>
      </c>
      <c r="X630" s="58" t="str">
        <f>작성용!O627</f>
        <v>김은정상무</v>
      </c>
      <c r="Y630" s="58" t="str">
        <f>작성용!P627</f>
        <v>02-6090-1308, 010-9009-3544</v>
      </c>
      <c r="Z630" s="58" t="str">
        <f>작성용!Q627</f>
        <v xml:space="preserve">ejkim@sgpef.com </v>
      </c>
      <c r="AA630" s="56" t="str">
        <f>작성용!AJ627</f>
        <v>국민연금제출</v>
      </c>
      <c r="AB630" s="56">
        <f>작성용!AB627</f>
        <v>0</v>
      </c>
    </row>
    <row r="631" spans="1:28" s="12" customFormat="1" ht="16.5" hidden="1" customHeight="1" x14ac:dyDescent="0.3">
      <c r="A631" s="54">
        <f>작성용!AL628</f>
        <v>627</v>
      </c>
      <c r="B631" s="55" t="str">
        <f>작성용!AI628</f>
        <v>-</v>
      </c>
      <c r="C631" s="56" t="str">
        <f>작성용!AK628</f>
        <v>개별종목</v>
      </c>
      <c r="D631" s="57">
        <f>작성용!T628</f>
        <v>45579</v>
      </c>
      <c r="E631" s="58" t="str">
        <f>작성용!B628</f>
        <v>에스지프라이빗에쿼티</v>
      </c>
      <c r="F631" s="58" t="str">
        <f>작성용!C628</f>
        <v>재평가</v>
      </c>
      <c r="G631" s="58" t="str">
        <f>작성용!D628</f>
        <v>네패스라웨</v>
      </c>
      <c r="H631" s="59">
        <f>작성용!E628</f>
        <v>1501110282058</v>
      </c>
      <c r="I631" s="58" t="str">
        <f>작성용!F628</f>
        <v>A05</v>
      </c>
      <c r="J631" s="58">
        <f>작성용!G628</f>
        <v>1</v>
      </c>
      <c r="K631" s="58" t="str">
        <f>작성용!H628</f>
        <v>-</v>
      </c>
      <c r="L631" s="58" t="str">
        <f>작성용!N628</f>
        <v xml:space="preserve">반기 </v>
      </c>
      <c r="M631" s="57" t="str">
        <f>작성용!U628</f>
        <v>2024.09.30</v>
      </c>
      <c r="N631" s="57">
        <f>작성용!V628</f>
        <v>45608</v>
      </c>
      <c r="O631" s="57">
        <f>작성용!W628</f>
        <v>45611</v>
      </c>
      <c r="P631" s="57" t="str">
        <f>작성용!X628</f>
        <v>-</v>
      </c>
      <c r="Q631" s="58" t="str">
        <f>작성용!AD628</f>
        <v>이진주</v>
      </c>
      <c r="R631" s="60">
        <f>작성용!AE628</f>
        <v>1</v>
      </c>
      <c r="S631" s="58" t="str">
        <f>작성용!AF628</f>
        <v>이진주</v>
      </c>
      <c r="T631" s="61" t="str">
        <f>작성용!AG628</f>
        <v>서경덕</v>
      </c>
      <c r="U631" s="61" t="str">
        <f>작성용!AH628</f>
        <v>서경덕</v>
      </c>
      <c r="V631" s="56">
        <f>작성용!AA628</f>
        <v>202411</v>
      </c>
      <c r="W631" s="58" t="str">
        <f>작성용!AC628</f>
        <v>[Y]금융기관</v>
      </c>
      <c r="X631" s="58" t="str">
        <f>작성용!O628</f>
        <v>김은정상무</v>
      </c>
      <c r="Y631" s="58" t="str">
        <f>작성용!P628</f>
        <v>02-6090-1308, 010-9009-3544</v>
      </c>
      <c r="Z631" s="58" t="str">
        <f>작성용!Q628</f>
        <v xml:space="preserve">ejkim@sgpef.com </v>
      </c>
      <c r="AA631" s="56" t="str">
        <f>작성용!AJ628</f>
        <v>국민연금제출</v>
      </c>
      <c r="AB631" s="56">
        <f>작성용!AB628</f>
        <v>0</v>
      </c>
    </row>
    <row r="632" spans="1:28" s="12" customFormat="1" ht="16.5" hidden="1" customHeight="1" x14ac:dyDescent="0.3">
      <c r="A632" s="54">
        <f>작성용!AL629</f>
        <v>628</v>
      </c>
      <c r="B632" s="55" t="str">
        <f>작성용!AI629</f>
        <v>-</v>
      </c>
      <c r="C632" s="56" t="str">
        <f>작성용!AK629</f>
        <v>개별종목</v>
      </c>
      <c r="D632" s="57">
        <f>작성용!T629</f>
        <v>45579</v>
      </c>
      <c r="E632" s="58" t="str">
        <f>작성용!B629</f>
        <v>에스지프라이빗에쿼티</v>
      </c>
      <c r="F632" s="58" t="str">
        <f>작성용!C629</f>
        <v>재평가</v>
      </c>
      <c r="G632" s="58" t="str">
        <f>작성용!D629</f>
        <v>에이클라미디어그룹</v>
      </c>
      <c r="H632" s="59">
        <f>작성용!E629</f>
        <v>1101117736957</v>
      </c>
      <c r="I632" s="58" t="str">
        <f>작성용!F629</f>
        <v>D02</v>
      </c>
      <c r="J632" s="58">
        <f>작성용!G629</f>
        <v>0</v>
      </c>
      <c r="K632" s="58" t="str">
        <f>작성용!H629</f>
        <v>-</v>
      </c>
      <c r="L632" s="58" t="str">
        <f>작성용!N629</f>
        <v xml:space="preserve">반기 </v>
      </c>
      <c r="M632" s="57" t="str">
        <f>작성용!U629</f>
        <v>2024.09.30</v>
      </c>
      <c r="N632" s="57">
        <f>작성용!V629</f>
        <v>45608</v>
      </c>
      <c r="O632" s="57">
        <f>작성용!W629</f>
        <v>45611</v>
      </c>
      <c r="P632" s="57" t="str">
        <f>작성용!X629</f>
        <v>-</v>
      </c>
      <c r="Q632" s="58" t="str">
        <f>작성용!AD629</f>
        <v>변혜진</v>
      </c>
      <c r="R632" s="60">
        <f>작성용!AE629</f>
        <v>1</v>
      </c>
      <c r="S632" s="58" t="str">
        <f>작성용!AF629</f>
        <v>변혜진</v>
      </c>
      <c r="T632" s="61" t="str">
        <f>작성용!AG629</f>
        <v>서경덕</v>
      </c>
      <c r="U632" s="61" t="str">
        <f>작성용!AH629</f>
        <v>서경덕</v>
      </c>
      <c r="V632" s="56">
        <f>작성용!AA629</f>
        <v>202411</v>
      </c>
      <c r="W632" s="58" t="str">
        <f>작성용!AC629</f>
        <v>[Y]금융기관</v>
      </c>
      <c r="X632" s="58" t="str">
        <f>작성용!O629</f>
        <v>김은정상무</v>
      </c>
      <c r="Y632" s="58" t="str">
        <f>작성용!P629</f>
        <v>02-6090-1308, 010-9009-3544</v>
      </c>
      <c r="Z632" s="58" t="str">
        <f>작성용!Q629</f>
        <v xml:space="preserve">ejkim@sgpef.com </v>
      </c>
      <c r="AA632" s="56" t="str">
        <f>작성용!AJ629</f>
        <v>국민연금제출</v>
      </c>
      <c r="AB632" s="56">
        <f>작성용!AB629</f>
        <v>0</v>
      </c>
    </row>
    <row r="633" spans="1:28" s="12" customFormat="1" ht="16.5" hidden="1" customHeight="1" x14ac:dyDescent="0.3">
      <c r="A633" s="54">
        <f>작성용!AL630</f>
        <v>629</v>
      </c>
      <c r="B633" s="55" t="str">
        <f>작성용!AI630</f>
        <v>-</v>
      </c>
      <c r="C633" s="56" t="str">
        <f>작성용!AK630</f>
        <v>개별종목</v>
      </c>
      <c r="D633" s="57">
        <f>작성용!T630</f>
        <v>45579</v>
      </c>
      <c r="E633" s="58" t="str">
        <f>작성용!B630</f>
        <v>에스지프라이빗에쿼티</v>
      </c>
      <c r="F633" s="58" t="str">
        <f>작성용!C630</f>
        <v>재평가</v>
      </c>
      <c r="G633" s="58" t="str">
        <f>작성용!D630</f>
        <v>GCT Semiconductor, Inc.</v>
      </c>
      <c r="H633" s="59" t="str">
        <f>작성용!E630</f>
        <v>KBP2011120050</v>
      </c>
      <c r="I633" s="58" t="str">
        <f>작성용!F630</f>
        <v>A01</v>
      </c>
      <c r="J633" s="58">
        <f>작성용!G630</f>
        <v>0</v>
      </c>
      <c r="K633" s="58" t="str">
        <f>작성용!H630</f>
        <v>-</v>
      </c>
      <c r="L633" s="58" t="str">
        <f>작성용!N630</f>
        <v xml:space="preserve">반기 </v>
      </c>
      <c r="M633" s="57" t="str">
        <f>작성용!U630</f>
        <v>2024.09.30</v>
      </c>
      <c r="N633" s="57">
        <f>작성용!V630</f>
        <v>45608</v>
      </c>
      <c r="O633" s="57">
        <f>작성용!W630</f>
        <v>45611</v>
      </c>
      <c r="P633" s="57" t="str">
        <f>작성용!X630</f>
        <v>-</v>
      </c>
      <c r="Q633" s="58" t="str">
        <f>작성용!AD630</f>
        <v>강승현</v>
      </c>
      <c r="R633" s="60">
        <f>작성용!AE630</f>
        <v>1</v>
      </c>
      <c r="S633" s="58" t="str">
        <f>작성용!AF630</f>
        <v>강승현</v>
      </c>
      <c r="T633" s="61" t="str">
        <f>작성용!AG630</f>
        <v>서경덕</v>
      </c>
      <c r="U633" s="61" t="str">
        <f>작성용!AH630</f>
        <v>서경덕</v>
      </c>
      <c r="V633" s="56">
        <f>작성용!AA630</f>
        <v>202411</v>
      </c>
      <c r="W633" s="58" t="str">
        <f>작성용!AC630</f>
        <v>[Y]금융기관</v>
      </c>
      <c r="X633" s="58" t="str">
        <f>작성용!O630</f>
        <v>김은정상무</v>
      </c>
      <c r="Y633" s="58" t="str">
        <f>작성용!P630</f>
        <v>02-6090-1308, 010-9009-3544</v>
      </c>
      <c r="Z633" s="58" t="str">
        <f>작성용!Q630</f>
        <v xml:space="preserve">ejkim@sgpef.com </v>
      </c>
      <c r="AA633" s="56" t="str">
        <f>작성용!AJ630</f>
        <v>국민연금제출</v>
      </c>
      <c r="AB633" s="56">
        <f>작성용!AB630</f>
        <v>0</v>
      </c>
    </row>
    <row r="634" spans="1:28" s="12" customFormat="1" ht="16.5" hidden="1" customHeight="1" x14ac:dyDescent="0.3">
      <c r="A634" s="54">
        <f>작성용!AL631</f>
        <v>630</v>
      </c>
      <c r="B634" s="55" t="str">
        <f>작성용!AI631</f>
        <v>-</v>
      </c>
      <c r="C634" s="56" t="str">
        <f>작성용!AK631</f>
        <v>개별종목</v>
      </c>
      <c r="D634" s="57">
        <f>작성용!T631</f>
        <v>45579</v>
      </c>
      <c r="E634" s="58" t="str">
        <f>작성용!B631</f>
        <v>에스지프라이빗에쿼티</v>
      </c>
      <c r="F634" s="58" t="str">
        <f>작성용!C631</f>
        <v>재평가</v>
      </c>
      <c r="G634" s="58" t="str">
        <f>작성용!D631</f>
        <v>웨이비스</v>
      </c>
      <c r="H634" s="59">
        <f>작성용!E631</f>
        <v>1348110407800</v>
      </c>
      <c r="I634" s="58" t="str">
        <f>작성용!F631</f>
        <v>A01</v>
      </c>
      <c r="J634" s="58">
        <f>작성용!G631</f>
        <v>0</v>
      </c>
      <c r="K634" s="58" t="str">
        <f>작성용!H631</f>
        <v>-</v>
      </c>
      <c r="L634" s="58" t="str">
        <f>작성용!N631</f>
        <v xml:space="preserve">반기 </v>
      </c>
      <c r="M634" s="57" t="str">
        <f>작성용!U631</f>
        <v>2024.09.30</v>
      </c>
      <c r="N634" s="57">
        <f>작성용!V631</f>
        <v>45608</v>
      </c>
      <c r="O634" s="57">
        <f>작성용!W631</f>
        <v>45611</v>
      </c>
      <c r="P634" s="57" t="str">
        <f>작성용!X631</f>
        <v>-</v>
      </c>
      <c r="Q634" s="58" t="str">
        <f>작성용!AD631</f>
        <v>서동현</v>
      </c>
      <c r="R634" s="60">
        <f>작성용!AE631</f>
        <v>1</v>
      </c>
      <c r="S634" s="58" t="str">
        <f>작성용!AF631</f>
        <v>서동현</v>
      </c>
      <c r="T634" s="61" t="str">
        <f>작성용!AG631</f>
        <v>서경덕</v>
      </c>
      <c r="U634" s="61" t="str">
        <f>작성용!AH631</f>
        <v>서경덕</v>
      </c>
      <c r="V634" s="56">
        <f>작성용!AA631</f>
        <v>202411</v>
      </c>
      <c r="W634" s="58" t="str">
        <f>작성용!AC631</f>
        <v>[Y]금융기관</v>
      </c>
      <c r="X634" s="58" t="str">
        <f>작성용!O631</f>
        <v>김은정상무</v>
      </c>
      <c r="Y634" s="58" t="str">
        <f>작성용!P631</f>
        <v>02-6090-1308, 010-9009-3544</v>
      </c>
      <c r="Z634" s="58" t="str">
        <f>작성용!Q631</f>
        <v xml:space="preserve">ejkim@sgpef.com </v>
      </c>
      <c r="AA634" s="56" t="str">
        <f>작성용!AJ631</f>
        <v>국민연금제출</v>
      </c>
      <c r="AB634" s="56">
        <f>작성용!AB631</f>
        <v>0</v>
      </c>
    </row>
    <row r="635" spans="1:28" s="12" customFormat="1" ht="16.5" hidden="1" customHeight="1" x14ac:dyDescent="0.3">
      <c r="A635" s="54">
        <f>작성용!AL632</f>
        <v>631</v>
      </c>
      <c r="B635" s="55" t="str">
        <f>작성용!AI632</f>
        <v>-</v>
      </c>
      <c r="C635" s="56" t="str">
        <f>작성용!AK632</f>
        <v>개별종목</v>
      </c>
      <c r="D635" s="57">
        <f>작성용!T632</f>
        <v>45579</v>
      </c>
      <c r="E635" s="58" t="str">
        <f>작성용!B632</f>
        <v>에스지프라이빗에쿼티</v>
      </c>
      <c r="F635" s="58" t="str">
        <f>작성용!C632</f>
        <v>재평가</v>
      </c>
      <c r="G635" s="58" t="str">
        <f>작성용!D632</f>
        <v>한국금거래소쓰리엠</v>
      </c>
      <c r="H635" s="59">
        <f>작성용!E632</f>
        <v>1101113146746</v>
      </c>
      <c r="I635" s="58" t="str">
        <f>작성용!F632</f>
        <v>A01</v>
      </c>
      <c r="J635" s="58">
        <f>작성용!G632</f>
        <v>0</v>
      </c>
      <c r="K635" s="58" t="str">
        <f>작성용!H632</f>
        <v>-</v>
      </c>
      <c r="L635" s="58" t="str">
        <f>작성용!N632</f>
        <v xml:space="preserve">반기 </v>
      </c>
      <c r="M635" s="57" t="str">
        <f>작성용!U632</f>
        <v>2024.09.30</v>
      </c>
      <c r="N635" s="57">
        <f>작성용!V632</f>
        <v>45608</v>
      </c>
      <c r="O635" s="57">
        <f>작성용!W632</f>
        <v>45611</v>
      </c>
      <c r="P635" s="57" t="str">
        <f>작성용!X632</f>
        <v>-</v>
      </c>
      <c r="Q635" s="58" t="str">
        <f>작성용!AD632</f>
        <v>윤광일</v>
      </c>
      <c r="R635" s="60">
        <f>작성용!AE632</f>
        <v>1</v>
      </c>
      <c r="S635" s="58" t="str">
        <f>작성용!AF632</f>
        <v>윤광일</v>
      </c>
      <c r="T635" s="61" t="str">
        <f>작성용!AG632</f>
        <v>서경덕</v>
      </c>
      <c r="U635" s="61" t="str">
        <f>작성용!AH632</f>
        <v>서경덕</v>
      </c>
      <c r="V635" s="56">
        <f>작성용!AA632</f>
        <v>202411</v>
      </c>
      <c r="W635" s="58" t="str">
        <f>작성용!AC632</f>
        <v>[Y]금융기관</v>
      </c>
      <c r="X635" s="58" t="str">
        <f>작성용!O632</f>
        <v>김은정상무</v>
      </c>
      <c r="Y635" s="58" t="str">
        <f>작성용!P632</f>
        <v>02-6090-1308, 010-9009-3544</v>
      </c>
      <c r="Z635" s="58" t="str">
        <f>작성용!Q632</f>
        <v xml:space="preserve">ejkim@sgpef.com </v>
      </c>
      <c r="AA635" s="56" t="str">
        <f>작성용!AJ632</f>
        <v>국민연금제출</v>
      </c>
      <c r="AB635" s="56">
        <f>작성용!AB632</f>
        <v>0</v>
      </c>
    </row>
    <row r="636" spans="1:28" s="12" customFormat="1" ht="16.5" hidden="1" customHeight="1" x14ac:dyDescent="0.3">
      <c r="A636" s="54">
        <f>작성용!AL633</f>
        <v>632</v>
      </c>
      <c r="B636" s="55" t="str">
        <f>작성용!AI633</f>
        <v>-</v>
      </c>
      <c r="C636" s="56" t="str">
        <f>작성용!AK633</f>
        <v>개별종목</v>
      </c>
      <c r="D636" s="57">
        <f>작성용!T633</f>
        <v>45579</v>
      </c>
      <c r="E636" s="58" t="str">
        <f>작성용!B633</f>
        <v>에스지프라이빗에쿼티</v>
      </c>
      <c r="F636" s="58" t="str">
        <f>작성용!C633</f>
        <v>재평가</v>
      </c>
      <c r="G636" s="58" t="str">
        <f>작성용!D633</f>
        <v>마제스티골프코리아</v>
      </c>
      <c r="H636" s="59">
        <f>작성용!E633</f>
        <v>1311110093953</v>
      </c>
      <c r="I636" s="58" t="str">
        <f>작성용!F633</f>
        <v>A01</v>
      </c>
      <c r="J636" s="58">
        <f>작성용!G633</f>
        <v>0</v>
      </c>
      <c r="K636" s="58" t="str">
        <f>작성용!H633</f>
        <v>-</v>
      </c>
      <c r="L636" s="58" t="str">
        <f>작성용!N633</f>
        <v xml:space="preserve">반기 </v>
      </c>
      <c r="M636" s="57" t="str">
        <f>작성용!U633</f>
        <v>2024.09.30</v>
      </c>
      <c r="N636" s="57">
        <f>작성용!V633</f>
        <v>45608</v>
      </c>
      <c r="O636" s="57">
        <f>작성용!W633</f>
        <v>45611</v>
      </c>
      <c r="P636" s="57" t="str">
        <f>작성용!X633</f>
        <v>-</v>
      </c>
      <c r="Q636" s="58" t="str">
        <f>작성용!AD633</f>
        <v>이현승</v>
      </c>
      <c r="R636" s="60">
        <f>작성용!AE633</f>
        <v>1</v>
      </c>
      <c r="S636" s="58" t="str">
        <f>작성용!AF633</f>
        <v>이현승</v>
      </c>
      <c r="T636" s="61" t="str">
        <f>작성용!AG633</f>
        <v>서경덕</v>
      </c>
      <c r="U636" s="61" t="str">
        <f>작성용!AH633</f>
        <v>서경덕</v>
      </c>
      <c r="V636" s="56">
        <f>작성용!AA633</f>
        <v>202411</v>
      </c>
      <c r="W636" s="58" t="str">
        <f>작성용!AC633</f>
        <v>[Y]금융기관</v>
      </c>
      <c r="X636" s="58" t="str">
        <f>작성용!O633</f>
        <v>김은정상무</v>
      </c>
      <c r="Y636" s="58" t="str">
        <f>작성용!P633</f>
        <v>02-6090-1308, 010-9009-3544</v>
      </c>
      <c r="Z636" s="58" t="str">
        <f>작성용!Q633</f>
        <v xml:space="preserve">ejkim@sgpef.com </v>
      </c>
      <c r="AA636" s="56" t="str">
        <f>작성용!AJ633</f>
        <v>국민연금제출</v>
      </c>
      <c r="AB636" s="56">
        <f>작성용!AB633</f>
        <v>0</v>
      </c>
    </row>
    <row r="637" spans="1:28" s="12" customFormat="1" ht="16.5" hidden="1" customHeight="1" x14ac:dyDescent="0.3">
      <c r="A637" s="54">
        <f>작성용!AL634</f>
        <v>633</v>
      </c>
      <c r="B637" s="55" t="str">
        <f>작성용!AI634</f>
        <v>-</v>
      </c>
      <c r="C637" s="56" t="str">
        <f>작성용!AK634</f>
        <v>개별종목</v>
      </c>
      <c r="D637" s="57">
        <f>작성용!T634</f>
        <v>45579</v>
      </c>
      <c r="E637" s="58" t="str">
        <f>작성용!B634</f>
        <v>에스지프라이빗에쿼티</v>
      </c>
      <c r="F637" s="58" t="str">
        <f>작성용!C634</f>
        <v>재평가</v>
      </c>
      <c r="G637" s="58" t="str">
        <f>작성용!D634</f>
        <v>마제스티골프코리아</v>
      </c>
      <c r="H637" s="59">
        <f>작성용!E634</f>
        <v>1311110093953</v>
      </c>
      <c r="I637" s="58" t="str">
        <f>작성용!F634</f>
        <v>E01</v>
      </c>
      <c r="J637" s="58">
        <f>작성용!G634</f>
        <v>0</v>
      </c>
      <c r="K637" s="58" t="str">
        <f>작성용!H634</f>
        <v>-</v>
      </c>
      <c r="L637" s="58" t="str">
        <f>작성용!N634</f>
        <v xml:space="preserve">반기 </v>
      </c>
      <c r="M637" s="57" t="str">
        <f>작성용!U634</f>
        <v>2024.09.30</v>
      </c>
      <c r="N637" s="57">
        <f>작성용!V634</f>
        <v>45608</v>
      </c>
      <c r="O637" s="57">
        <f>작성용!W634</f>
        <v>45611</v>
      </c>
      <c r="P637" s="57" t="str">
        <f>작성용!X634</f>
        <v>-</v>
      </c>
      <c r="Q637" s="58" t="str">
        <f>작성용!AD634</f>
        <v>대체평가3사업본부</v>
      </c>
      <c r="R637" s="60">
        <f>작성용!AE634</f>
        <v>0</v>
      </c>
      <c r="S637" s="58" t="str">
        <f>작성용!AF634</f>
        <v>대체평가3사업본부</v>
      </c>
      <c r="T637" s="61" t="str">
        <f>작성용!AG634</f>
        <v>서경덕</v>
      </c>
      <c r="U637" s="61" t="str">
        <f>작성용!AH634</f>
        <v>서경덕</v>
      </c>
      <c r="V637" s="56">
        <f>작성용!AA634</f>
        <v>202411</v>
      </c>
      <c r="W637" s="58" t="str">
        <f>작성용!AC634</f>
        <v>[Y]금융기관</v>
      </c>
      <c r="X637" s="58" t="str">
        <f>작성용!O634</f>
        <v>김은정상무</v>
      </c>
      <c r="Y637" s="58" t="str">
        <f>작성용!P634</f>
        <v>02-6090-1308, 010-9009-3544</v>
      </c>
      <c r="Z637" s="58" t="str">
        <f>작성용!Q634</f>
        <v xml:space="preserve">ejkim@sgpef.com </v>
      </c>
      <c r="AA637" s="56" t="str">
        <f>작성용!AJ634</f>
        <v>국민연금제출</v>
      </c>
      <c r="AB637" s="56">
        <f>작성용!AB634</f>
        <v>0</v>
      </c>
    </row>
    <row r="638" spans="1:28" s="12" customFormat="1" ht="16.5" hidden="1" customHeight="1" x14ac:dyDescent="0.3">
      <c r="A638" s="54">
        <f>작성용!AL635</f>
        <v>634</v>
      </c>
      <c r="B638" s="55" t="str">
        <f>작성용!AI635</f>
        <v>-</v>
      </c>
      <c r="C638" s="56" t="str">
        <f>작성용!AK635</f>
        <v>개별종목</v>
      </c>
      <c r="D638" s="57">
        <f>작성용!T635</f>
        <v>45579</v>
      </c>
      <c r="E638" s="58" t="str">
        <f>작성용!B635</f>
        <v>에스지프라이빗에쿼티</v>
      </c>
      <c r="F638" s="58" t="str">
        <f>작성용!C635</f>
        <v>재평가</v>
      </c>
      <c r="G638" s="58" t="str">
        <f>작성용!D635</f>
        <v>스마트스코어</v>
      </c>
      <c r="H638" s="59">
        <f>작성용!E635</f>
        <v>1101115534337</v>
      </c>
      <c r="I638" s="58" t="str">
        <f>작성용!F635</f>
        <v>D02</v>
      </c>
      <c r="J638" s="58">
        <f>작성용!G635</f>
        <v>0</v>
      </c>
      <c r="K638" s="58" t="str">
        <f>작성용!H635</f>
        <v>-</v>
      </c>
      <c r="L638" s="58" t="str">
        <f>작성용!N635</f>
        <v xml:space="preserve">반기 </v>
      </c>
      <c r="M638" s="57" t="str">
        <f>작성용!U635</f>
        <v>2024.09.30</v>
      </c>
      <c r="N638" s="57">
        <f>작성용!V635</f>
        <v>45608</v>
      </c>
      <c r="O638" s="57">
        <f>작성용!W635</f>
        <v>45611</v>
      </c>
      <c r="P638" s="57" t="str">
        <f>작성용!X635</f>
        <v>-</v>
      </c>
      <c r="Q638" s="58" t="str">
        <f>작성용!AD635</f>
        <v>이진주</v>
      </c>
      <c r="R638" s="60">
        <f>작성용!AE635</f>
        <v>1</v>
      </c>
      <c r="S638" s="58" t="str">
        <f>작성용!AF635</f>
        <v>이진주</v>
      </c>
      <c r="T638" s="61" t="str">
        <f>작성용!AG635</f>
        <v>서경덕</v>
      </c>
      <c r="U638" s="61" t="str">
        <f>작성용!AH635</f>
        <v>서경덕</v>
      </c>
      <c r="V638" s="56">
        <f>작성용!AA635</f>
        <v>202411</v>
      </c>
      <c r="W638" s="58" t="str">
        <f>작성용!AC635</f>
        <v>[Y]금융기관</v>
      </c>
      <c r="X638" s="58" t="str">
        <f>작성용!O635</f>
        <v>김은정상무</v>
      </c>
      <c r="Y638" s="58" t="str">
        <f>작성용!P635</f>
        <v>02-6090-1308, 010-9009-3544</v>
      </c>
      <c r="Z638" s="58" t="str">
        <f>작성용!Q635</f>
        <v xml:space="preserve">ejkim@sgpef.com </v>
      </c>
      <c r="AA638" s="56" t="str">
        <f>작성용!AJ635</f>
        <v>국민연금제출</v>
      </c>
      <c r="AB638" s="56">
        <f>작성용!AB635</f>
        <v>0</v>
      </c>
    </row>
    <row r="639" spans="1:28" s="12" customFormat="1" ht="16.5" hidden="1" customHeight="1" x14ac:dyDescent="0.3">
      <c r="A639" s="54">
        <f>작성용!AL636</f>
        <v>635</v>
      </c>
      <c r="B639" s="55" t="str">
        <f>작성용!AI636</f>
        <v>-</v>
      </c>
      <c r="C639" s="56" t="str">
        <f>작성용!AK636</f>
        <v>개별종목</v>
      </c>
      <c r="D639" s="57">
        <f>작성용!T636</f>
        <v>45579</v>
      </c>
      <c r="E639" s="58" t="str">
        <f>작성용!B636</f>
        <v>에스지프라이빗에쿼티</v>
      </c>
      <c r="F639" s="58" t="str">
        <f>작성용!C636</f>
        <v>재평가</v>
      </c>
      <c r="G639" s="58" t="str">
        <f>작성용!D636</f>
        <v>한국특수가스</v>
      </c>
      <c r="H639" s="59">
        <f>작성용!E636</f>
        <v>2149110007099</v>
      </c>
      <c r="I639" s="58" t="str">
        <f>작성용!F636</f>
        <v>A01</v>
      </c>
      <c r="J639" s="58">
        <f>작성용!G636</f>
        <v>0</v>
      </c>
      <c r="K639" s="58" t="str">
        <f>작성용!H636</f>
        <v>-</v>
      </c>
      <c r="L639" s="58" t="str">
        <f>작성용!N636</f>
        <v xml:space="preserve">반기 </v>
      </c>
      <c r="M639" s="57" t="str">
        <f>작성용!U636</f>
        <v>2024.09.30</v>
      </c>
      <c r="N639" s="57">
        <f>작성용!V636</f>
        <v>45608</v>
      </c>
      <c r="O639" s="57">
        <f>작성용!W636</f>
        <v>45611</v>
      </c>
      <c r="P639" s="57" t="str">
        <f>작성용!X636</f>
        <v>-</v>
      </c>
      <c r="Q639" s="58" t="str">
        <f>작성용!AD636</f>
        <v>윤광일</v>
      </c>
      <c r="R639" s="60">
        <f>작성용!AE636</f>
        <v>1</v>
      </c>
      <c r="S639" s="58" t="str">
        <f>작성용!AF636</f>
        <v>윤광일</v>
      </c>
      <c r="T639" s="61" t="str">
        <f>작성용!AG636</f>
        <v>서경덕</v>
      </c>
      <c r="U639" s="61" t="str">
        <f>작성용!AH636</f>
        <v>서경덕</v>
      </c>
      <c r="V639" s="56">
        <f>작성용!AA636</f>
        <v>202411</v>
      </c>
      <c r="W639" s="58" t="str">
        <f>작성용!AC636</f>
        <v>[Y]금융기관</v>
      </c>
      <c r="X639" s="58" t="str">
        <f>작성용!O636</f>
        <v>김은정상무</v>
      </c>
      <c r="Y639" s="58" t="str">
        <f>작성용!P636</f>
        <v>02-6090-1308, 010-9009-3544</v>
      </c>
      <c r="Z639" s="58" t="str">
        <f>작성용!Q636</f>
        <v xml:space="preserve">ejkim@sgpef.com </v>
      </c>
      <c r="AA639" s="56" t="str">
        <f>작성용!AJ636</f>
        <v>국민연금제출</v>
      </c>
      <c r="AB639" s="56">
        <f>작성용!AB636</f>
        <v>0</v>
      </c>
    </row>
    <row r="640" spans="1:28" s="12" customFormat="1" ht="16.5" hidden="1" customHeight="1" x14ac:dyDescent="0.3">
      <c r="A640" s="54">
        <f>작성용!AL637</f>
        <v>636</v>
      </c>
      <c r="B640" s="55" t="str">
        <f>작성용!AI637</f>
        <v>-</v>
      </c>
      <c r="C640" s="56" t="str">
        <f>작성용!AK637</f>
        <v>개별종목</v>
      </c>
      <c r="D640" s="57">
        <f>작성용!T637</f>
        <v>45579</v>
      </c>
      <c r="E640" s="58" t="str">
        <f>작성용!B637</f>
        <v>에스지프라이빗에쿼티</v>
      </c>
      <c r="F640" s="58" t="str">
        <f>작성용!C637</f>
        <v>재평가</v>
      </c>
      <c r="G640" s="58" t="str">
        <f>작성용!D637</f>
        <v>한국가스켐</v>
      </c>
      <c r="H640" s="59">
        <f>작성용!E637</f>
        <v>2111110024216</v>
      </c>
      <c r="I640" s="58" t="str">
        <f>작성용!F637</f>
        <v>A01</v>
      </c>
      <c r="J640" s="58">
        <f>작성용!G637</f>
        <v>0</v>
      </c>
      <c r="K640" s="58" t="str">
        <f>작성용!H637</f>
        <v>-</v>
      </c>
      <c r="L640" s="58" t="str">
        <f>작성용!N637</f>
        <v xml:space="preserve">반기 </v>
      </c>
      <c r="M640" s="57" t="str">
        <f>작성용!U637</f>
        <v>2024.09.30</v>
      </c>
      <c r="N640" s="57">
        <f>작성용!V637</f>
        <v>45608</v>
      </c>
      <c r="O640" s="57">
        <f>작성용!W637</f>
        <v>45611</v>
      </c>
      <c r="P640" s="57" t="str">
        <f>작성용!X637</f>
        <v>-</v>
      </c>
      <c r="Q640" s="58" t="str">
        <f>작성용!AD637</f>
        <v>김에스더</v>
      </c>
      <c r="R640" s="60">
        <f>작성용!AE637</f>
        <v>1</v>
      </c>
      <c r="S640" s="58" t="str">
        <f>작성용!AF637</f>
        <v>김에스더</v>
      </c>
      <c r="T640" s="61" t="str">
        <f>작성용!AG637</f>
        <v>서경덕</v>
      </c>
      <c r="U640" s="61" t="str">
        <f>작성용!AH637</f>
        <v>서경덕</v>
      </c>
      <c r="V640" s="56">
        <f>작성용!AA637</f>
        <v>202411</v>
      </c>
      <c r="W640" s="58" t="str">
        <f>작성용!AC637</f>
        <v>[Y]금융기관</v>
      </c>
      <c r="X640" s="58" t="str">
        <f>작성용!O637</f>
        <v>김은정상무</v>
      </c>
      <c r="Y640" s="58" t="str">
        <f>작성용!P637</f>
        <v>02-6090-1308, 010-9009-3544</v>
      </c>
      <c r="Z640" s="58" t="str">
        <f>작성용!Q637</f>
        <v xml:space="preserve">ejkim@sgpef.com </v>
      </c>
      <c r="AA640" s="56" t="str">
        <f>작성용!AJ637</f>
        <v>국민연금제출</v>
      </c>
      <c r="AB640" s="56">
        <f>작성용!AB637</f>
        <v>0</v>
      </c>
    </row>
    <row r="641" spans="1:28" s="12" customFormat="1" ht="16.5" hidden="1" customHeight="1" x14ac:dyDescent="0.3">
      <c r="A641" s="54">
        <f>작성용!AL638</f>
        <v>637</v>
      </c>
      <c r="B641" s="55" t="str">
        <f>작성용!AI638</f>
        <v>SPC</v>
      </c>
      <c r="C641" s="56" t="str">
        <f>작성용!AK638</f>
        <v>개별종목</v>
      </c>
      <c r="D641" s="57">
        <f>작성용!T638</f>
        <v>45579</v>
      </c>
      <c r="E641" s="58" t="str">
        <f>작성용!B638</f>
        <v>에스지프라이빗에쿼티</v>
      </c>
      <c r="F641" s="58" t="str">
        <f>작성용!C638</f>
        <v>재평가</v>
      </c>
      <c r="G641" s="58" t="str">
        <f>작성용!D638</f>
        <v>에스지코어</v>
      </c>
      <c r="H641" s="59">
        <f>작성용!E638</f>
        <v>1101140262771</v>
      </c>
      <c r="I641" s="58" t="str">
        <f>작성용!F638</f>
        <v>A01</v>
      </c>
      <c r="J641" s="58">
        <f>작성용!G638</f>
        <v>0</v>
      </c>
      <c r="K641" s="58" t="str">
        <f>작성용!H638</f>
        <v>-</v>
      </c>
      <c r="L641" s="58" t="str">
        <f>작성용!N638</f>
        <v xml:space="preserve">반기 </v>
      </c>
      <c r="M641" s="57" t="str">
        <f>작성용!U638</f>
        <v>2024.12.31</v>
      </c>
      <c r="N641" s="57">
        <f>작성용!V638</f>
        <v>45663</v>
      </c>
      <c r="O641" s="57">
        <f>작성용!W638</f>
        <v>45663</v>
      </c>
      <c r="P641" s="57" t="str">
        <f>작성용!X638</f>
        <v>-</v>
      </c>
      <c r="Q641" s="58" t="str">
        <f>작성용!AD638</f>
        <v>서동현</v>
      </c>
      <c r="R641" s="60">
        <f>작성용!AE638</f>
        <v>1</v>
      </c>
      <c r="S641" s="58" t="str">
        <f>작성용!AF638</f>
        <v>서동현</v>
      </c>
      <c r="T641" s="61" t="str">
        <f>작성용!AG638</f>
        <v>서경덕</v>
      </c>
      <c r="U641" s="61" t="str">
        <f>작성용!AH638</f>
        <v>서경덕</v>
      </c>
      <c r="V641" s="56">
        <f>작성용!AA638</f>
        <v>202412</v>
      </c>
      <c r="W641" s="58" t="str">
        <f>작성용!AC638</f>
        <v>[Y]금융기관</v>
      </c>
      <c r="X641" s="58" t="str">
        <f>작성용!O638</f>
        <v>김은정상무</v>
      </c>
      <c r="Y641" s="58" t="str">
        <f>작성용!P638</f>
        <v>02-6090-1308, 010-9009-3544</v>
      </c>
      <c r="Z641" s="58" t="str">
        <f>작성용!Q638</f>
        <v xml:space="preserve">ejkim@sgpef.com </v>
      </c>
      <c r="AA641" s="56" t="str">
        <f>작성용!AJ638</f>
        <v>LP제출</v>
      </c>
      <c r="AB641" s="56">
        <f>작성용!AB638</f>
        <v>0</v>
      </c>
    </row>
    <row r="642" spans="1:28" s="12" customFormat="1" ht="16.5" hidden="1" customHeight="1" x14ac:dyDescent="0.3">
      <c r="A642" s="54">
        <f>작성용!AL639</f>
        <v>638</v>
      </c>
      <c r="B642" s="55" t="str">
        <f>작성용!AI639</f>
        <v>SPC</v>
      </c>
      <c r="C642" s="56" t="str">
        <f>작성용!AK639</f>
        <v>개별종목</v>
      </c>
      <c r="D642" s="57">
        <f>작성용!T639</f>
        <v>45579</v>
      </c>
      <c r="E642" s="58" t="str">
        <f>작성용!B639</f>
        <v>에스지프라이빗에쿼티</v>
      </c>
      <c r="F642" s="58" t="str">
        <f>작성용!C639</f>
        <v>재평가</v>
      </c>
      <c r="G642" s="58" t="str">
        <f>작성용!D639</f>
        <v>마제스티홀딩스</v>
      </c>
      <c r="H642" s="59">
        <f>작성용!E639</f>
        <v>1101118121727</v>
      </c>
      <c r="I642" s="58" t="str">
        <f>작성용!F639</f>
        <v>A07</v>
      </c>
      <c r="J642" s="58">
        <f>작성용!G639</f>
        <v>0</v>
      </c>
      <c r="K642" s="58" t="str">
        <f>작성용!H639</f>
        <v>-</v>
      </c>
      <c r="L642" s="58" t="str">
        <f>작성용!N639</f>
        <v xml:space="preserve">반기 </v>
      </c>
      <c r="M642" s="57" t="str">
        <f>작성용!U639</f>
        <v>2024.12.31</v>
      </c>
      <c r="N642" s="57">
        <f>작성용!V639</f>
        <v>45663</v>
      </c>
      <c r="O642" s="57">
        <f>작성용!W639</f>
        <v>45663</v>
      </c>
      <c r="P642" s="57" t="str">
        <f>작성용!X639</f>
        <v>-</v>
      </c>
      <c r="Q642" s="58" t="str">
        <f>작성용!AD639</f>
        <v>강성은</v>
      </c>
      <c r="R642" s="60">
        <f>작성용!AE639</f>
        <v>1</v>
      </c>
      <c r="S642" s="58" t="str">
        <f>작성용!AF639</f>
        <v>강성은</v>
      </c>
      <c r="T642" s="61" t="str">
        <f>작성용!AG639</f>
        <v>서경덕</v>
      </c>
      <c r="U642" s="61" t="str">
        <f>작성용!AH639</f>
        <v>서경덕</v>
      </c>
      <c r="V642" s="56">
        <f>작성용!AA639</f>
        <v>202412</v>
      </c>
      <c r="W642" s="58" t="str">
        <f>작성용!AC639</f>
        <v>[Y]금융기관</v>
      </c>
      <c r="X642" s="58" t="str">
        <f>작성용!O639</f>
        <v>김은정상무</v>
      </c>
      <c r="Y642" s="58" t="str">
        <f>작성용!P639</f>
        <v>02-6090-1308, 010-9009-3544</v>
      </c>
      <c r="Z642" s="58" t="str">
        <f>작성용!Q639</f>
        <v xml:space="preserve">ejkim@sgpef.com </v>
      </c>
      <c r="AA642" s="56" t="str">
        <f>작성용!AJ639</f>
        <v>LP제출</v>
      </c>
      <c r="AB642" s="56">
        <f>작성용!AB639</f>
        <v>0</v>
      </c>
    </row>
    <row r="643" spans="1:28" s="12" customFormat="1" ht="16.5" hidden="1" customHeight="1" x14ac:dyDescent="0.3">
      <c r="A643" s="54">
        <f>작성용!AL640</f>
        <v>639</v>
      </c>
      <c r="B643" s="55" t="str">
        <f>작성용!AI640</f>
        <v>-</v>
      </c>
      <c r="C643" s="56" t="str">
        <f>작성용!AK640</f>
        <v>개별종목</v>
      </c>
      <c r="D643" s="57">
        <f>작성용!T640</f>
        <v>45579</v>
      </c>
      <c r="E643" s="58" t="str">
        <f>작성용!B640</f>
        <v>에스지프라이빗에쿼티</v>
      </c>
      <c r="F643" s="58" t="str">
        <f>작성용!C640</f>
        <v>재평가</v>
      </c>
      <c r="G643" s="58" t="str">
        <f>작성용!D640</f>
        <v>상우기업</v>
      </c>
      <c r="H643" s="59">
        <f>작성용!E640</f>
        <v>1301110045690</v>
      </c>
      <c r="I643" s="58" t="str">
        <f>작성용!F640</f>
        <v>A01</v>
      </c>
      <c r="J643" s="58">
        <f>작성용!G640</f>
        <v>0</v>
      </c>
      <c r="K643" s="58" t="str">
        <f>작성용!H640</f>
        <v>-</v>
      </c>
      <c r="L643" s="58" t="str">
        <f>작성용!N640</f>
        <v xml:space="preserve">반기 </v>
      </c>
      <c r="M643" s="57" t="str">
        <f>작성용!U640</f>
        <v>2024.12.31</v>
      </c>
      <c r="N643" s="57">
        <f>작성용!V640</f>
        <v>45663</v>
      </c>
      <c r="O643" s="57">
        <f>작성용!W640</f>
        <v>45663</v>
      </c>
      <c r="P643" s="57" t="str">
        <f>작성용!X640</f>
        <v>-</v>
      </c>
      <c r="Q643" s="58" t="str">
        <f>작성용!AD640</f>
        <v>심태진</v>
      </c>
      <c r="R643" s="60">
        <f>작성용!AE640</f>
        <v>1</v>
      </c>
      <c r="S643" s="58" t="str">
        <f>작성용!AF640</f>
        <v>심태진</v>
      </c>
      <c r="T643" s="61" t="str">
        <f>작성용!AG640</f>
        <v>서경덕</v>
      </c>
      <c r="U643" s="61" t="str">
        <f>작성용!AH640</f>
        <v>서경덕</v>
      </c>
      <c r="V643" s="56">
        <f>작성용!AA640</f>
        <v>202412</v>
      </c>
      <c r="W643" s="58" t="str">
        <f>작성용!AC640</f>
        <v>[Y]금융기관</v>
      </c>
      <c r="X643" s="58" t="str">
        <f>작성용!O640</f>
        <v>김은정상무</v>
      </c>
      <c r="Y643" s="58" t="str">
        <f>작성용!P640</f>
        <v>02-6090-1308, 010-9009-3544</v>
      </c>
      <c r="Z643" s="58" t="str">
        <f>작성용!Q640</f>
        <v xml:space="preserve">ejkim@sgpef.com </v>
      </c>
      <c r="AA643" s="56" t="str">
        <f>작성용!AJ640</f>
        <v>LP제출</v>
      </c>
      <c r="AB643" s="56">
        <f>작성용!AB640</f>
        <v>0</v>
      </c>
    </row>
    <row r="644" spans="1:28" s="12" customFormat="1" ht="16.5" hidden="1" customHeight="1" x14ac:dyDescent="0.3">
      <c r="A644" s="54">
        <f>작성용!AL641</f>
        <v>640</v>
      </c>
      <c r="B644" s="55" t="str">
        <f>작성용!AI641</f>
        <v>-</v>
      </c>
      <c r="C644" s="56" t="str">
        <f>작성용!AK641</f>
        <v>개별종목</v>
      </c>
      <c r="D644" s="57">
        <f>작성용!T641</f>
        <v>45579</v>
      </c>
      <c r="E644" s="58" t="str">
        <f>작성용!B641</f>
        <v>에스지프라이빗에쿼티</v>
      </c>
      <c r="F644" s="58" t="str">
        <f>작성용!C641</f>
        <v>재평가</v>
      </c>
      <c r="G644" s="58" t="str">
        <f>작성용!D641</f>
        <v>Kong Studios, INC</v>
      </c>
      <c r="H644" s="59" t="str">
        <f>작성용!E641</f>
        <v>KBP2020120164</v>
      </c>
      <c r="I644" s="58" t="str">
        <f>작성용!F641</f>
        <v>A07</v>
      </c>
      <c r="J644" s="58">
        <f>작성용!G641</f>
        <v>0</v>
      </c>
      <c r="K644" s="58" t="str">
        <f>작성용!H641</f>
        <v>-</v>
      </c>
      <c r="L644" s="58" t="str">
        <f>작성용!N641</f>
        <v xml:space="preserve">반기 </v>
      </c>
      <c r="M644" s="57" t="str">
        <f>작성용!U641</f>
        <v>2024.12.31</v>
      </c>
      <c r="N644" s="57">
        <f>작성용!V641</f>
        <v>45663</v>
      </c>
      <c r="O644" s="57">
        <f>작성용!W641</f>
        <v>45663</v>
      </c>
      <c r="P644" s="57" t="str">
        <f>작성용!X641</f>
        <v>-</v>
      </c>
      <c r="Q644" s="58" t="str">
        <f>작성용!AD641</f>
        <v>서동현</v>
      </c>
      <c r="R644" s="60">
        <f>작성용!AE641</f>
        <v>1</v>
      </c>
      <c r="S644" s="58" t="str">
        <f>작성용!AF641</f>
        <v>서동현</v>
      </c>
      <c r="T644" s="61" t="str">
        <f>작성용!AG641</f>
        <v>서경덕</v>
      </c>
      <c r="U644" s="61" t="str">
        <f>작성용!AH641</f>
        <v>서경덕</v>
      </c>
      <c r="V644" s="56">
        <f>작성용!AA641</f>
        <v>202412</v>
      </c>
      <c r="W644" s="58" t="str">
        <f>작성용!AC641</f>
        <v>[Y]금융기관</v>
      </c>
      <c r="X644" s="58" t="str">
        <f>작성용!O641</f>
        <v>김은정상무</v>
      </c>
      <c r="Y644" s="58" t="str">
        <f>작성용!P641</f>
        <v>02-6090-1308, 010-9009-3544</v>
      </c>
      <c r="Z644" s="58" t="str">
        <f>작성용!Q641</f>
        <v xml:space="preserve">ejkim@sgpef.com </v>
      </c>
      <c r="AA644" s="56" t="str">
        <f>작성용!AJ641</f>
        <v>LP제출</v>
      </c>
      <c r="AB644" s="56">
        <f>작성용!AB641</f>
        <v>0</v>
      </c>
    </row>
    <row r="645" spans="1:28" s="12" customFormat="1" ht="16.5" hidden="1" customHeight="1" x14ac:dyDescent="0.3">
      <c r="A645" s="54">
        <f>작성용!AL642</f>
        <v>641</v>
      </c>
      <c r="B645" s="55" t="str">
        <f>작성용!AI642</f>
        <v>-</v>
      </c>
      <c r="C645" s="56" t="str">
        <f>작성용!AK642</f>
        <v>개별종목</v>
      </c>
      <c r="D645" s="57">
        <f>작성용!T642</f>
        <v>45579</v>
      </c>
      <c r="E645" s="58" t="str">
        <f>작성용!B642</f>
        <v>에스지프라이빗에쿼티</v>
      </c>
      <c r="F645" s="58" t="str">
        <f>작성용!C642</f>
        <v>재평가</v>
      </c>
      <c r="G645" s="58" t="str">
        <f>작성용!D642</f>
        <v>신흥에스이씨</v>
      </c>
      <c r="H645" s="59">
        <f>작성용!E642</f>
        <v>1348110178873</v>
      </c>
      <c r="I645" s="58" t="str">
        <f>작성용!F642</f>
        <v>A05</v>
      </c>
      <c r="J645" s="58">
        <f>작성용!G642</f>
        <v>0</v>
      </c>
      <c r="K645" s="58" t="str">
        <f>작성용!H642</f>
        <v>-</v>
      </c>
      <c r="L645" s="58" t="str">
        <f>작성용!N642</f>
        <v xml:space="preserve">반기 </v>
      </c>
      <c r="M645" s="57" t="str">
        <f>작성용!U642</f>
        <v>2024.12.31</v>
      </c>
      <c r="N645" s="57">
        <f>작성용!V642</f>
        <v>45663</v>
      </c>
      <c r="O645" s="57">
        <f>작성용!W642</f>
        <v>45663</v>
      </c>
      <c r="P645" s="57" t="str">
        <f>작성용!X642</f>
        <v>-</v>
      </c>
      <c r="Q645" s="58" t="str">
        <f>작성용!AD642</f>
        <v>상장</v>
      </c>
      <c r="R645" s="60">
        <f>작성용!AE642</f>
        <v>0</v>
      </c>
      <c r="S645" s="58" t="str">
        <f>작성용!AF642</f>
        <v>상장</v>
      </c>
      <c r="T645" s="61" t="str">
        <f>작성용!AG642</f>
        <v>서경덕</v>
      </c>
      <c r="U645" s="61" t="str">
        <f>작성용!AH642</f>
        <v>서경덕</v>
      </c>
      <c r="V645" s="56">
        <f>작성용!AA642</f>
        <v>202412</v>
      </c>
      <c r="W645" s="58" t="str">
        <f>작성용!AC642</f>
        <v>[Y]금융기관</v>
      </c>
      <c r="X645" s="58" t="str">
        <f>작성용!O642</f>
        <v>김은정상무</v>
      </c>
      <c r="Y645" s="58" t="str">
        <f>작성용!P642</f>
        <v>02-6090-1308, 010-9009-3544</v>
      </c>
      <c r="Z645" s="58" t="str">
        <f>작성용!Q642</f>
        <v xml:space="preserve">ejkim@sgpef.com </v>
      </c>
      <c r="AA645" s="56" t="str">
        <f>작성용!AJ642</f>
        <v>LP제출</v>
      </c>
      <c r="AB645" s="56">
        <f>작성용!AB642</f>
        <v>0</v>
      </c>
    </row>
    <row r="646" spans="1:28" s="12" customFormat="1" ht="16.5" hidden="1" customHeight="1" x14ac:dyDescent="0.3">
      <c r="A646" s="54">
        <f>작성용!AL643</f>
        <v>642</v>
      </c>
      <c r="B646" s="55" t="str">
        <f>작성용!AI643</f>
        <v>-</v>
      </c>
      <c r="C646" s="56" t="str">
        <f>작성용!AK643</f>
        <v>개별종목</v>
      </c>
      <c r="D646" s="57">
        <f>작성용!T643</f>
        <v>45579</v>
      </c>
      <c r="E646" s="58" t="str">
        <f>작성용!B643</f>
        <v>에스지프라이빗에쿼티</v>
      </c>
      <c r="F646" s="58" t="str">
        <f>작성용!C643</f>
        <v>재평가</v>
      </c>
      <c r="G646" s="58" t="str">
        <f>작성용!D643</f>
        <v>네패스라웨</v>
      </c>
      <c r="H646" s="59">
        <f>작성용!E643</f>
        <v>1501110282058</v>
      </c>
      <c r="I646" s="58" t="str">
        <f>작성용!F643</f>
        <v>A05</v>
      </c>
      <c r="J646" s="58">
        <f>작성용!G643</f>
        <v>0</v>
      </c>
      <c r="K646" s="58" t="str">
        <f>작성용!H643</f>
        <v>-</v>
      </c>
      <c r="L646" s="58" t="str">
        <f>작성용!N643</f>
        <v xml:space="preserve">반기 </v>
      </c>
      <c r="M646" s="57" t="str">
        <f>작성용!U643</f>
        <v>2024.12.31</v>
      </c>
      <c r="N646" s="57">
        <f>작성용!V643</f>
        <v>45663</v>
      </c>
      <c r="O646" s="57">
        <f>작성용!W643</f>
        <v>45663</v>
      </c>
      <c r="P646" s="57" t="str">
        <f>작성용!X643</f>
        <v>-</v>
      </c>
      <c r="Q646" s="58" t="str">
        <f>작성용!AD643</f>
        <v>이진주</v>
      </c>
      <c r="R646" s="60">
        <f>작성용!AE643</f>
        <v>1</v>
      </c>
      <c r="S646" s="58" t="str">
        <f>작성용!AF643</f>
        <v>김범준</v>
      </c>
      <c r="T646" s="61" t="str">
        <f>작성용!AG643</f>
        <v>서경덕</v>
      </c>
      <c r="U646" s="61" t="str">
        <f>작성용!AH643</f>
        <v>서경덕</v>
      </c>
      <c r="V646" s="56">
        <f>작성용!AA643</f>
        <v>202412</v>
      </c>
      <c r="W646" s="58" t="str">
        <f>작성용!AC643</f>
        <v>[Y]금융기관</v>
      </c>
      <c r="X646" s="58" t="str">
        <f>작성용!O643</f>
        <v>김은정상무</v>
      </c>
      <c r="Y646" s="58" t="str">
        <f>작성용!P643</f>
        <v>02-6090-1308, 010-9009-3544</v>
      </c>
      <c r="Z646" s="58" t="str">
        <f>작성용!Q643</f>
        <v xml:space="preserve">ejkim@sgpef.com </v>
      </c>
      <c r="AA646" s="56" t="str">
        <f>작성용!AJ643</f>
        <v>LP제출</v>
      </c>
      <c r="AB646" s="56">
        <f>작성용!AB643</f>
        <v>0</v>
      </c>
    </row>
    <row r="647" spans="1:28" s="12" customFormat="1" ht="16.5" hidden="1" customHeight="1" x14ac:dyDescent="0.3">
      <c r="A647" s="54">
        <f>작성용!AL644</f>
        <v>643</v>
      </c>
      <c r="B647" s="55" t="str">
        <f>작성용!AI644</f>
        <v>-</v>
      </c>
      <c r="C647" s="56" t="str">
        <f>작성용!AK644</f>
        <v>개별종목</v>
      </c>
      <c r="D647" s="57">
        <f>작성용!T644</f>
        <v>45579</v>
      </c>
      <c r="E647" s="58" t="str">
        <f>작성용!B644</f>
        <v>에스지프라이빗에쿼티</v>
      </c>
      <c r="F647" s="58" t="str">
        <f>작성용!C644</f>
        <v>재평가</v>
      </c>
      <c r="G647" s="58" t="str">
        <f>작성용!D644</f>
        <v>스마트스코어</v>
      </c>
      <c r="H647" s="59">
        <f>작성용!E644</f>
        <v>1101115534337</v>
      </c>
      <c r="I647" s="58" t="str">
        <f>작성용!F644</f>
        <v>D02</v>
      </c>
      <c r="J647" s="58">
        <f>작성용!G644</f>
        <v>0</v>
      </c>
      <c r="K647" s="58" t="str">
        <f>작성용!H644</f>
        <v>-</v>
      </c>
      <c r="L647" s="58" t="str">
        <f>작성용!N644</f>
        <v xml:space="preserve">반기 </v>
      </c>
      <c r="M647" s="57" t="str">
        <f>작성용!U644</f>
        <v>2024.12.31</v>
      </c>
      <c r="N647" s="57">
        <f>작성용!V644</f>
        <v>45663</v>
      </c>
      <c r="O647" s="57">
        <f>작성용!W644</f>
        <v>45663</v>
      </c>
      <c r="P647" s="57" t="str">
        <f>작성용!X644</f>
        <v>-</v>
      </c>
      <c r="Q647" s="58" t="str">
        <f>작성용!AD644</f>
        <v>이진주</v>
      </c>
      <c r="R647" s="60">
        <f>작성용!AE644</f>
        <v>1</v>
      </c>
      <c r="S647" s="58" t="str">
        <f>작성용!AF644</f>
        <v>이진주</v>
      </c>
      <c r="T647" s="61" t="str">
        <f>작성용!AG644</f>
        <v>서경덕</v>
      </c>
      <c r="U647" s="61" t="str">
        <f>작성용!AH644</f>
        <v>서경덕</v>
      </c>
      <c r="V647" s="56">
        <f>작성용!AA644</f>
        <v>202412</v>
      </c>
      <c r="W647" s="58" t="str">
        <f>작성용!AC644</f>
        <v>[Y]금융기관</v>
      </c>
      <c r="X647" s="58" t="str">
        <f>작성용!O644</f>
        <v>김은정상무</v>
      </c>
      <c r="Y647" s="58" t="str">
        <f>작성용!P644</f>
        <v>02-6090-1308, 010-9009-3544</v>
      </c>
      <c r="Z647" s="58" t="str">
        <f>작성용!Q644</f>
        <v xml:space="preserve">ejkim@sgpef.com </v>
      </c>
      <c r="AA647" s="56" t="str">
        <f>작성용!AJ644</f>
        <v>LP제출</v>
      </c>
      <c r="AB647" s="56">
        <f>작성용!AB644</f>
        <v>0</v>
      </c>
    </row>
    <row r="648" spans="1:28" s="12" customFormat="1" ht="16.5" hidden="1" customHeight="1" x14ac:dyDescent="0.3">
      <c r="A648" s="54">
        <f>작성용!AL645</f>
        <v>644</v>
      </c>
      <c r="B648" s="55" t="str">
        <f>작성용!AI645</f>
        <v>-</v>
      </c>
      <c r="C648" s="56" t="str">
        <f>작성용!AK645</f>
        <v>개별종목</v>
      </c>
      <c r="D648" s="57">
        <f>작성용!T645</f>
        <v>45579</v>
      </c>
      <c r="E648" s="58" t="str">
        <f>작성용!B645</f>
        <v>에스지프라이빗에쿼티</v>
      </c>
      <c r="F648" s="58" t="str">
        <f>작성용!C645</f>
        <v>재평가</v>
      </c>
      <c r="G648" s="58" t="str">
        <f>작성용!D645</f>
        <v>에이클라미디어그룹</v>
      </c>
      <c r="H648" s="59">
        <f>작성용!E645</f>
        <v>1101117736957</v>
      </c>
      <c r="I648" s="58" t="str">
        <f>작성용!F645</f>
        <v>D02</v>
      </c>
      <c r="J648" s="58">
        <f>작성용!G645</f>
        <v>0</v>
      </c>
      <c r="K648" s="58" t="str">
        <f>작성용!H645</f>
        <v>-</v>
      </c>
      <c r="L648" s="58" t="str">
        <f>작성용!N645</f>
        <v xml:space="preserve">반기 </v>
      </c>
      <c r="M648" s="57" t="str">
        <f>작성용!U645</f>
        <v>2024.12.31</v>
      </c>
      <c r="N648" s="57">
        <f>작성용!V645</f>
        <v>45663</v>
      </c>
      <c r="O648" s="57">
        <f>작성용!W645</f>
        <v>45663</v>
      </c>
      <c r="P648" s="57" t="str">
        <f>작성용!X645</f>
        <v>-</v>
      </c>
      <c r="Q648" s="58" t="str">
        <f>작성용!AD645</f>
        <v>변혜진</v>
      </c>
      <c r="R648" s="60">
        <f>작성용!AE645</f>
        <v>1</v>
      </c>
      <c r="S648" s="58" t="str">
        <f>작성용!AF645</f>
        <v>변혜진</v>
      </c>
      <c r="T648" s="61" t="str">
        <f>작성용!AG645</f>
        <v>서경덕</v>
      </c>
      <c r="U648" s="61" t="str">
        <f>작성용!AH645</f>
        <v>서경덕</v>
      </c>
      <c r="V648" s="56">
        <f>작성용!AA645</f>
        <v>202412</v>
      </c>
      <c r="W648" s="58" t="str">
        <f>작성용!AC645</f>
        <v>[Y]금융기관</v>
      </c>
      <c r="X648" s="58" t="str">
        <f>작성용!O645</f>
        <v>김은정상무</v>
      </c>
      <c r="Y648" s="58" t="str">
        <f>작성용!P645</f>
        <v>02-6090-1308, 010-9009-3544</v>
      </c>
      <c r="Z648" s="58" t="str">
        <f>작성용!Q645</f>
        <v xml:space="preserve">ejkim@sgpef.com </v>
      </c>
      <c r="AA648" s="56" t="str">
        <f>작성용!AJ645</f>
        <v>LP제출</v>
      </c>
      <c r="AB648" s="56">
        <f>작성용!AB645</f>
        <v>0</v>
      </c>
    </row>
    <row r="649" spans="1:28" s="12" customFormat="1" ht="16.5" hidden="1" customHeight="1" x14ac:dyDescent="0.3">
      <c r="A649" s="54">
        <f>작성용!AL646</f>
        <v>645</v>
      </c>
      <c r="B649" s="55" t="str">
        <f>작성용!AI646</f>
        <v>-</v>
      </c>
      <c r="C649" s="56" t="str">
        <f>작성용!AK646</f>
        <v>개별종목</v>
      </c>
      <c r="D649" s="57">
        <f>작성용!T646</f>
        <v>45579</v>
      </c>
      <c r="E649" s="58" t="str">
        <f>작성용!B646</f>
        <v>에스지프라이빗에쿼티</v>
      </c>
      <c r="F649" s="58" t="str">
        <f>작성용!C646</f>
        <v>재평가</v>
      </c>
      <c r="G649" s="58" t="str">
        <f>작성용!D646</f>
        <v>마제스티골프코리아</v>
      </c>
      <c r="H649" s="59">
        <f>작성용!E646</f>
        <v>1311110093953</v>
      </c>
      <c r="I649" s="58" t="str">
        <f>작성용!F646</f>
        <v>A01</v>
      </c>
      <c r="J649" s="58">
        <f>작성용!G646</f>
        <v>0</v>
      </c>
      <c r="K649" s="58" t="str">
        <f>작성용!H646</f>
        <v>-</v>
      </c>
      <c r="L649" s="58" t="str">
        <f>작성용!N646</f>
        <v xml:space="preserve">반기 </v>
      </c>
      <c r="M649" s="57" t="str">
        <f>작성용!U646</f>
        <v>2024.12.31</v>
      </c>
      <c r="N649" s="57">
        <f>작성용!V646</f>
        <v>45663</v>
      </c>
      <c r="O649" s="57">
        <f>작성용!W646</f>
        <v>45663</v>
      </c>
      <c r="P649" s="57" t="str">
        <f>작성용!X646</f>
        <v>-</v>
      </c>
      <c r="Q649" s="58" t="str">
        <f>작성용!AD646</f>
        <v>이현승</v>
      </c>
      <c r="R649" s="60">
        <f>작성용!AE646</f>
        <v>1</v>
      </c>
      <c r="S649" s="58" t="str">
        <f>작성용!AF646</f>
        <v>이현승</v>
      </c>
      <c r="T649" s="61" t="str">
        <f>작성용!AG646</f>
        <v>서경덕</v>
      </c>
      <c r="U649" s="61" t="str">
        <f>작성용!AH646</f>
        <v>서경덕</v>
      </c>
      <c r="V649" s="56">
        <f>작성용!AA646</f>
        <v>202412</v>
      </c>
      <c r="W649" s="58" t="str">
        <f>작성용!AC646</f>
        <v>[Y]금융기관</v>
      </c>
      <c r="X649" s="58" t="str">
        <f>작성용!O646</f>
        <v>김은정상무</v>
      </c>
      <c r="Y649" s="58" t="str">
        <f>작성용!P646</f>
        <v>02-6090-1308, 010-9009-3544</v>
      </c>
      <c r="Z649" s="58" t="str">
        <f>작성용!Q646</f>
        <v xml:space="preserve">ejkim@sgpef.com </v>
      </c>
      <c r="AA649" s="56" t="str">
        <f>작성용!AJ646</f>
        <v>LP제출</v>
      </c>
      <c r="AB649" s="56">
        <f>작성용!AB646</f>
        <v>0</v>
      </c>
    </row>
    <row r="650" spans="1:28" s="12" customFormat="1" ht="16.5" hidden="1" customHeight="1" x14ac:dyDescent="0.3">
      <c r="A650" s="54">
        <f>작성용!AL647</f>
        <v>646</v>
      </c>
      <c r="B650" s="55" t="str">
        <f>작성용!AI647</f>
        <v>-</v>
      </c>
      <c r="C650" s="56" t="str">
        <f>작성용!AK647</f>
        <v>개별종목</v>
      </c>
      <c r="D650" s="57">
        <f>작성용!T647</f>
        <v>45579</v>
      </c>
      <c r="E650" s="58" t="str">
        <f>작성용!B647</f>
        <v>에스지프라이빗에쿼티</v>
      </c>
      <c r="F650" s="58" t="str">
        <f>작성용!C647</f>
        <v>재평가</v>
      </c>
      <c r="G650" s="58" t="str">
        <f>작성용!D647</f>
        <v>마제스티골프코리아</v>
      </c>
      <c r="H650" s="59">
        <f>작성용!E647</f>
        <v>1311110093953</v>
      </c>
      <c r="I650" s="58" t="str">
        <f>작성용!F647</f>
        <v>E01</v>
      </c>
      <c r="J650" s="58">
        <f>작성용!G647</f>
        <v>0</v>
      </c>
      <c r="K650" s="58" t="str">
        <f>작성용!H647</f>
        <v>-</v>
      </c>
      <c r="L650" s="58" t="str">
        <f>작성용!N647</f>
        <v xml:space="preserve">반기 </v>
      </c>
      <c r="M650" s="57" t="str">
        <f>작성용!U647</f>
        <v>2024.12.31</v>
      </c>
      <c r="N650" s="57">
        <f>작성용!V647</f>
        <v>45663</v>
      </c>
      <c r="O650" s="57">
        <f>작성용!W647</f>
        <v>45663</v>
      </c>
      <c r="P650" s="57" t="str">
        <f>작성용!X647</f>
        <v>-</v>
      </c>
      <c r="Q650" s="58" t="str">
        <f>작성용!AD647</f>
        <v>대체평가3사업본부</v>
      </c>
      <c r="R650" s="60">
        <f>작성용!AE647</f>
        <v>0</v>
      </c>
      <c r="S650" s="58" t="str">
        <f>작성용!AF647</f>
        <v>대체평가3사업본부</v>
      </c>
      <c r="T650" s="61" t="str">
        <f>작성용!AG647</f>
        <v>서경덕</v>
      </c>
      <c r="U650" s="61" t="str">
        <f>작성용!AH647</f>
        <v>서경덕</v>
      </c>
      <c r="V650" s="56">
        <f>작성용!AA647</f>
        <v>202412</v>
      </c>
      <c r="W650" s="58" t="str">
        <f>작성용!AC647</f>
        <v>[Y]금융기관</v>
      </c>
      <c r="X650" s="58" t="str">
        <f>작성용!O647</f>
        <v>김은정상무</v>
      </c>
      <c r="Y650" s="58" t="str">
        <f>작성용!P647</f>
        <v>02-6090-1308, 010-9009-3544</v>
      </c>
      <c r="Z650" s="58" t="str">
        <f>작성용!Q647</f>
        <v xml:space="preserve">ejkim@sgpef.com </v>
      </c>
      <c r="AA650" s="56" t="str">
        <f>작성용!AJ647</f>
        <v>LP제출</v>
      </c>
      <c r="AB650" s="56">
        <f>작성용!AB647</f>
        <v>0</v>
      </c>
    </row>
    <row r="651" spans="1:28" s="12" customFormat="1" ht="16.5" hidden="1" customHeight="1" x14ac:dyDescent="0.3">
      <c r="A651" s="54">
        <f>작성용!AL648</f>
        <v>647</v>
      </c>
      <c r="B651" s="55" t="str">
        <f>작성용!AI648</f>
        <v>SPC</v>
      </c>
      <c r="C651" s="56" t="str">
        <f>작성용!AK648</f>
        <v>개별종목</v>
      </c>
      <c r="D651" s="57">
        <f>작성용!T648</f>
        <v>45579</v>
      </c>
      <c r="E651" s="58" t="str">
        <f>작성용!B648</f>
        <v>에스지프라이빗에쿼티</v>
      </c>
      <c r="F651" s="58" t="str">
        <f>작성용!C648</f>
        <v>재평가</v>
      </c>
      <c r="G651" s="58" t="str">
        <f>작성용!D648</f>
        <v>에스지데카</v>
      </c>
      <c r="H651" s="59">
        <f>작성용!E648</f>
        <v>1101140309961</v>
      </c>
      <c r="I651" s="58" t="str">
        <f>작성용!F648</f>
        <v>A01</v>
      </c>
      <c r="J651" s="58">
        <f>작성용!G648</f>
        <v>0</v>
      </c>
      <c r="K651" s="58" t="str">
        <f>작성용!H648</f>
        <v>-</v>
      </c>
      <c r="L651" s="58" t="str">
        <f>작성용!N648</f>
        <v xml:space="preserve">반기 </v>
      </c>
      <c r="M651" s="57" t="str">
        <f>작성용!U648</f>
        <v>2024.12.31</v>
      </c>
      <c r="N651" s="57">
        <f>작성용!V648</f>
        <v>45663</v>
      </c>
      <c r="O651" s="57">
        <f>작성용!W648</f>
        <v>45663</v>
      </c>
      <c r="P651" s="57" t="str">
        <f>작성용!X648</f>
        <v>-</v>
      </c>
      <c r="Q651" s="58" t="str">
        <f>작성용!AD648</f>
        <v>서경덕</v>
      </c>
      <c r="R651" s="60">
        <f>작성용!AE648</f>
        <v>1</v>
      </c>
      <c r="S651" s="58" t="str">
        <f>작성용!AF648</f>
        <v>서경덕</v>
      </c>
      <c r="T651" s="61" t="str">
        <f>작성용!AG648</f>
        <v>서경덕</v>
      </c>
      <c r="U651" s="61" t="str">
        <f>작성용!AH648</f>
        <v>서경덕</v>
      </c>
      <c r="V651" s="56">
        <f>작성용!AA648</f>
        <v>202412</v>
      </c>
      <c r="W651" s="58" t="str">
        <f>작성용!AC648</f>
        <v>[Y]금융기관</v>
      </c>
      <c r="X651" s="58" t="str">
        <f>작성용!O648</f>
        <v>김은정상무</v>
      </c>
      <c r="Y651" s="58" t="str">
        <f>작성용!P648</f>
        <v>02-6090-1308, 010-9009-3544</v>
      </c>
      <c r="Z651" s="58" t="str">
        <f>작성용!Q648</f>
        <v xml:space="preserve">ejkim@sgpef.com </v>
      </c>
      <c r="AA651" s="56" t="str">
        <f>작성용!AJ648</f>
        <v>LP제출</v>
      </c>
      <c r="AB651" s="56">
        <f>작성용!AB648</f>
        <v>0</v>
      </c>
    </row>
    <row r="652" spans="1:28" s="12" customFormat="1" ht="16.5" hidden="1" customHeight="1" x14ac:dyDescent="0.3">
      <c r="A652" s="54">
        <f>작성용!AL649</f>
        <v>648</v>
      </c>
      <c r="B652" s="55" t="str">
        <f>작성용!AI649</f>
        <v>SPC</v>
      </c>
      <c r="C652" s="56" t="str">
        <f>작성용!AK649</f>
        <v>개별종목</v>
      </c>
      <c r="D652" s="57">
        <f>작성용!T649</f>
        <v>45579</v>
      </c>
      <c r="E652" s="58" t="str">
        <f>작성용!B649</f>
        <v>에스지프라이빗에쿼티</v>
      </c>
      <c r="F652" s="58" t="str">
        <f>작성용!C649</f>
        <v>신규</v>
      </c>
      <c r="G652" s="58" t="str">
        <f>작성용!D649</f>
        <v>에스지이터널홀딩스</v>
      </c>
      <c r="H652" s="59" t="str">
        <f>작성용!E649</f>
        <v>KBP2024120001</v>
      </c>
      <c r="I652" s="58" t="str">
        <f>작성용!F649</f>
        <v>A01</v>
      </c>
      <c r="J652" s="58">
        <f>작성용!G649</f>
        <v>0</v>
      </c>
      <c r="K652" s="58" t="str">
        <f>작성용!H649</f>
        <v>-</v>
      </c>
      <c r="L652" s="58" t="str">
        <f>작성용!N649</f>
        <v xml:space="preserve">반기 </v>
      </c>
      <c r="M652" s="57" t="str">
        <f>작성용!U649</f>
        <v>2024.12.31</v>
      </c>
      <c r="N652" s="57">
        <f>작성용!V649</f>
        <v>45663</v>
      </c>
      <c r="O652" s="57">
        <f>작성용!W649</f>
        <v>45663</v>
      </c>
      <c r="P652" s="57" t="str">
        <f>작성용!X649</f>
        <v>-</v>
      </c>
      <c r="Q652" s="58" t="str">
        <f>작성용!AD649</f>
        <v>김에스더</v>
      </c>
      <c r="R652" s="60">
        <f>작성용!AE649</f>
        <v>1</v>
      </c>
      <c r="S652" s="58" t="str">
        <f>작성용!AF649</f>
        <v>신규</v>
      </c>
      <c r="T652" s="61" t="str">
        <f>작성용!AG649</f>
        <v>서경덕</v>
      </c>
      <c r="U652" s="61" t="str">
        <f>작성용!AH649</f>
        <v>서경덕</v>
      </c>
      <c r="V652" s="56">
        <f>작성용!AA649</f>
        <v>202412</v>
      </c>
      <c r="W652" s="58" t="str">
        <f>작성용!AC649</f>
        <v>[Y]금융기관</v>
      </c>
      <c r="X652" s="58" t="str">
        <f>작성용!O649</f>
        <v>김은정상무</v>
      </c>
      <c r="Y652" s="58" t="str">
        <f>작성용!P649</f>
        <v>02-6090-1308, 010-9009-3544</v>
      </c>
      <c r="Z652" s="58" t="str">
        <f>작성용!Q649</f>
        <v xml:space="preserve">ejkim@sgpef.com </v>
      </c>
      <c r="AA652" s="56" t="str">
        <f>작성용!AJ649</f>
        <v>LP제출</v>
      </c>
      <c r="AB652" s="56">
        <f>작성용!AB649</f>
        <v>0</v>
      </c>
    </row>
    <row r="653" spans="1:28" s="12" customFormat="1" ht="16.5" hidden="1" customHeight="1" x14ac:dyDescent="0.3">
      <c r="A653" s="54">
        <f>작성용!AL650</f>
        <v>649</v>
      </c>
      <c r="B653" s="55" t="str">
        <f>작성용!AI650</f>
        <v>SPC</v>
      </c>
      <c r="C653" s="56" t="str">
        <f>작성용!AK650</f>
        <v>개별종목</v>
      </c>
      <c r="D653" s="57">
        <f>작성용!T650</f>
        <v>45579</v>
      </c>
      <c r="E653" s="58" t="str">
        <f>작성용!B650</f>
        <v>에스지프라이빗에쿼티</v>
      </c>
      <c r="F653" s="58" t="str">
        <f>작성용!C650</f>
        <v>재평가</v>
      </c>
      <c r="G653" s="58" t="str">
        <f>작성용!D650</f>
        <v>에이치티지</v>
      </c>
      <c r="H653" s="59">
        <f>작성용!E650</f>
        <v>1101140309888</v>
      </c>
      <c r="I653" s="58" t="str">
        <f>작성용!F650</f>
        <v>A01</v>
      </c>
      <c r="J653" s="58">
        <f>작성용!G650</f>
        <v>0</v>
      </c>
      <c r="K653" s="58" t="str">
        <f>작성용!H650</f>
        <v>-</v>
      </c>
      <c r="L653" s="58" t="str">
        <f>작성용!N650</f>
        <v xml:space="preserve">반기 </v>
      </c>
      <c r="M653" s="57" t="str">
        <f>작성용!U650</f>
        <v>2024.12.31</v>
      </c>
      <c r="N653" s="57">
        <f>작성용!V650</f>
        <v>45663</v>
      </c>
      <c r="O653" s="57">
        <f>작성용!W650</f>
        <v>45663</v>
      </c>
      <c r="P653" s="57" t="str">
        <f>작성용!X650</f>
        <v>-</v>
      </c>
      <c r="Q653" s="58" t="str">
        <f>작성용!AD650</f>
        <v>서경덕</v>
      </c>
      <c r="R653" s="60">
        <f>작성용!AE650</f>
        <v>1</v>
      </c>
      <c r="S653" s="58" t="str">
        <f>작성용!AF650</f>
        <v>서경덕</v>
      </c>
      <c r="T653" s="61" t="str">
        <f>작성용!AG650</f>
        <v>서경덕</v>
      </c>
      <c r="U653" s="61" t="str">
        <f>작성용!AH650</f>
        <v>서경덕</v>
      </c>
      <c r="V653" s="56">
        <f>작성용!AA650</f>
        <v>202412</v>
      </c>
      <c r="W653" s="58" t="str">
        <f>작성용!AC650</f>
        <v>[Y]금융기관</v>
      </c>
      <c r="X653" s="58" t="str">
        <f>작성용!O650</f>
        <v>김은정상무</v>
      </c>
      <c r="Y653" s="58" t="str">
        <f>작성용!P650</f>
        <v>02-6090-1308, 010-9009-3544</v>
      </c>
      <c r="Z653" s="58" t="str">
        <f>작성용!Q650</f>
        <v xml:space="preserve">ejkim@sgpef.com </v>
      </c>
      <c r="AA653" s="56" t="str">
        <f>작성용!AJ650</f>
        <v>LP제출</v>
      </c>
      <c r="AB653" s="56">
        <f>작성용!AB650</f>
        <v>0</v>
      </c>
    </row>
    <row r="654" spans="1:28" s="12" customFormat="1" ht="16.5" hidden="1" customHeight="1" x14ac:dyDescent="0.3">
      <c r="A654" s="54">
        <f>작성용!AL651</f>
        <v>650</v>
      </c>
      <c r="B654" s="55" t="str">
        <f>작성용!AI651</f>
        <v>-</v>
      </c>
      <c r="C654" s="56" t="str">
        <f>작성용!AK651</f>
        <v>개별종목</v>
      </c>
      <c r="D654" s="57">
        <f>작성용!T651</f>
        <v>45579</v>
      </c>
      <c r="E654" s="58" t="str">
        <f>작성용!B651</f>
        <v>에스지프라이빗에쿼티</v>
      </c>
      <c r="F654" s="58" t="str">
        <f>작성용!C651</f>
        <v>재평가</v>
      </c>
      <c r="G654" s="58" t="str">
        <f>작성용!D651</f>
        <v>한국특수가스</v>
      </c>
      <c r="H654" s="59">
        <f>작성용!E651</f>
        <v>2149110007099</v>
      </c>
      <c r="I654" s="58" t="str">
        <f>작성용!F651</f>
        <v>A01</v>
      </c>
      <c r="J654" s="58">
        <f>작성용!G651</f>
        <v>0</v>
      </c>
      <c r="K654" s="58" t="str">
        <f>작성용!H651</f>
        <v>-</v>
      </c>
      <c r="L654" s="58" t="str">
        <f>작성용!N651</f>
        <v xml:space="preserve">반기 </v>
      </c>
      <c r="M654" s="57" t="str">
        <f>작성용!U651</f>
        <v>2024.12.31</v>
      </c>
      <c r="N654" s="57">
        <f>작성용!V651</f>
        <v>45663</v>
      </c>
      <c r="O654" s="57">
        <f>작성용!W651</f>
        <v>45663</v>
      </c>
      <c r="P654" s="57" t="str">
        <f>작성용!X651</f>
        <v>-</v>
      </c>
      <c r="Q654" s="58" t="str">
        <f>작성용!AD651</f>
        <v>윤광일</v>
      </c>
      <c r="R654" s="60">
        <f>작성용!AE651</f>
        <v>1</v>
      </c>
      <c r="S654" s="58" t="str">
        <f>작성용!AF651</f>
        <v>윤광일</v>
      </c>
      <c r="T654" s="61" t="str">
        <f>작성용!AG651</f>
        <v>서경덕</v>
      </c>
      <c r="U654" s="61" t="str">
        <f>작성용!AH651</f>
        <v>서경덕</v>
      </c>
      <c r="V654" s="56">
        <f>작성용!AA651</f>
        <v>202412</v>
      </c>
      <c r="W654" s="58" t="str">
        <f>작성용!AC651</f>
        <v>[Y]금융기관</v>
      </c>
      <c r="X654" s="58" t="str">
        <f>작성용!O651</f>
        <v>김은정상무</v>
      </c>
      <c r="Y654" s="58" t="str">
        <f>작성용!P651</f>
        <v>02-6090-1308, 010-9009-3544</v>
      </c>
      <c r="Z654" s="58" t="str">
        <f>작성용!Q651</f>
        <v xml:space="preserve">ejkim@sgpef.com </v>
      </c>
      <c r="AA654" s="56" t="str">
        <f>작성용!AJ651</f>
        <v>LP제출</v>
      </c>
      <c r="AB654" s="56">
        <f>작성용!AB651</f>
        <v>0</v>
      </c>
    </row>
    <row r="655" spans="1:28" s="12" customFormat="1" ht="16.5" hidden="1" customHeight="1" x14ac:dyDescent="0.3">
      <c r="A655" s="54">
        <f>작성용!AL652</f>
        <v>651</v>
      </c>
      <c r="B655" s="55" t="str">
        <f>작성용!AI652</f>
        <v>-</v>
      </c>
      <c r="C655" s="56" t="str">
        <f>작성용!AK652</f>
        <v>개별종목</v>
      </c>
      <c r="D655" s="57">
        <f>작성용!T652</f>
        <v>45579</v>
      </c>
      <c r="E655" s="58" t="str">
        <f>작성용!B652</f>
        <v>에스지프라이빗에쿼티</v>
      </c>
      <c r="F655" s="58" t="str">
        <f>작성용!C652</f>
        <v>재평가</v>
      </c>
      <c r="G655" s="58" t="str">
        <f>작성용!D652</f>
        <v>한국가스켐</v>
      </c>
      <c r="H655" s="59">
        <f>작성용!E652</f>
        <v>2111110024216</v>
      </c>
      <c r="I655" s="58" t="str">
        <f>작성용!F652</f>
        <v>A01</v>
      </c>
      <c r="J655" s="58">
        <f>작성용!G652</f>
        <v>0</v>
      </c>
      <c r="K655" s="58" t="str">
        <f>작성용!H652</f>
        <v>-</v>
      </c>
      <c r="L655" s="58" t="str">
        <f>작성용!N652</f>
        <v xml:space="preserve">반기 </v>
      </c>
      <c r="M655" s="57" t="str">
        <f>작성용!U652</f>
        <v>2024.12.31</v>
      </c>
      <c r="N655" s="57">
        <f>작성용!V652</f>
        <v>45663</v>
      </c>
      <c r="O655" s="57">
        <f>작성용!W652</f>
        <v>45663</v>
      </c>
      <c r="P655" s="57" t="str">
        <f>작성용!X652</f>
        <v>-</v>
      </c>
      <c r="Q655" s="58" t="str">
        <f>작성용!AD652</f>
        <v>김에스더</v>
      </c>
      <c r="R655" s="60">
        <f>작성용!AE652</f>
        <v>1</v>
      </c>
      <c r="S655" s="58" t="str">
        <f>작성용!AF652</f>
        <v>김에스더</v>
      </c>
      <c r="T655" s="61" t="str">
        <f>작성용!AG652</f>
        <v>서경덕</v>
      </c>
      <c r="U655" s="61" t="str">
        <f>작성용!AH652</f>
        <v>서경덕</v>
      </c>
      <c r="V655" s="56">
        <f>작성용!AA652</f>
        <v>202412</v>
      </c>
      <c r="W655" s="58" t="str">
        <f>작성용!AC652</f>
        <v>[Y]금융기관</v>
      </c>
      <c r="X655" s="58" t="str">
        <f>작성용!O652</f>
        <v>김은정상무</v>
      </c>
      <c r="Y655" s="58" t="str">
        <f>작성용!P652</f>
        <v>02-6090-1308, 010-9009-3544</v>
      </c>
      <c r="Z655" s="58" t="str">
        <f>작성용!Q652</f>
        <v xml:space="preserve">ejkim@sgpef.com </v>
      </c>
      <c r="AA655" s="56" t="str">
        <f>작성용!AJ652</f>
        <v>LP제출</v>
      </c>
      <c r="AB655" s="56">
        <f>작성용!AB652</f>
        <v>0</v>
      </c>
    </row>
    <row r="656" spans="1:28" s="12" customFormat="1" ht="16.5" hidden="1" customHeight="1" x14ac:dyDescent="0.3">
      <c r="A656" s="54">
        <f>작성용!AL653</f>
        <v>652</v>
      </c>
      <c r="B656" s="55" t="str">
        <f>작성용!AI653</f>
        <v>-</v>
      </c>
      <c r="C656" s="56" t="str">
        <f>작성용!AK653</f>
        <v>개별종목</v>
      </c>
      <c r="D656" s="57">
        <f>작성용!T653</f>
        <v>45579</v>
      </c>
      <c r="E656" s="58" t="str">
        <f>작성용!B653</f>
        <v>에스지프라이빗에쿼티</v>
      </c>
      <c r="F656" s="58" t="str">
        <f>작성용!C653</f>
        <v>신규</v>
      </c>
      <c r="G656" s="58" t="str">
        <f>작성용!D653</f>
        <v>진이어스</v>
      </c>
      <c r="H656" s="59">
        <f>작성용!E653</f>
        <v>1101116515930</v>
      </c>
      <c r="I656" s="58" t="str">
        <f>작성용!F653</f>
        <v>A01</v>
      </c>
      <c r="J656" s="58">
        <f>작성용!G653</f>
        <v>0</v>
      </c>
      <c r="K656" s="58" t="str">
        <f>작성용!H653</f>
        <v>-</v>
      </c>
      <c r="L656" s="58" t="str">
        <f>작성용!N653</f>
        <v xml:space="preserve">반기 </v>
      </c>
      <c r="M656" s="57" t="str">
        <f>작성용!U653</f>
        <v>2024.12.31</v>
      </c>
      <c r="N656" s="57">
        <f>작성용!V653</f>
        <v>45663</v>
      </c>
      <c r="O656" s="57">
        <f>작성용!W653</f>
        <v>45663</v>
      </c>
      <c r="P656" s="57" t="str">
        <f>작성용!X653</f>
        <v>-</v>
      </c>
      <c r="Q656" s="58" t="str">
        <f>작성용!AD653</f>
        <v>채동우</v>
      </c>
      <c r="R656" s="60">
        <f>작성용!AE653</f>
        <v>1</v>
      </c>
      <c r="S656" s="58" t="str">
        <f>작성용!AF653</f>
        <v>신규</v>
      </c>
      <c r="T656" s="61" t="str">
        <f>작성용!AG653</f>
        <v>서경덕</v>
      </c>
      <c r="U656" s="61" t="str">
        <f>작성용!AH653</f>
        <v>서경덕</v>
      </c>
      <c r="V656" s="56">
        <f>작성용!AA653</f>
        <v>202412</v>
      </c>
      <c r="W656" s="58" t="str">
        <f>작성용!AC653</f>
        <v>[Y]금융기관</v>
      </c>
      <c r="X656" s="58" t="str">
        <f>작성용!O653</f>
        <v>김은정상무</v>
      </c>
      <c r="Y656" s="58" t="str">
        <f>작성용!P653</f>
        <v>02-6090-1308, 010-9009-3544</v>
      </c>
      <c r="Z656" s="58" t="str">
        <f>작성용!Q653</f>
        <v xml:space="preserve">ejkim@sgpef.com </v>
      </c>
      <c r="AA656" s="56" t="str">
        <f>작성용!AJ653</f>
        <v>LP제출</v>
      </c>
      <c r="AB656" s="56">
        <f>작성용!AB653</f>
        <v>0</v>
      </c>
    </row>
    <row r="657" spans="1:28" s="12" customFormat="1" ht="16.5" hidden="1" customHeight="1" x14ac:dyDescent="0.3">
      <c r="A657" s="54">
        <f>작성용!AL654</f>
        <v>653</v>
      </c>
      <c r="B657" s="55" t="str">
        <f>작성용!AI654</f>
        <v>-</v>
      </c>
      <c r="C657" s="56" t="str">
        <f>작성용!AK654</f>
        <v>개별종목</v>
      </c>
      <c r="D657" s="57">
        <f>작성용!T654</f>
        <v>45579</v>
      </c>
      <c r="E657" s="58" t="str">
        <f>작성용!B654</f>
        <v>에스지프라이빗에쿼티</v>
      </c>
      <c r="F657" s="58" t="str">
        <f>작성용!C654</f>
        <v>신규</v>
      </c>
      <c r="G657" s="58" t="str">
        <f>작성용!D654</f>
        <v>진이어스</v>
      </c>
      <c r="H657" s="59">
        <f>작성용!E654</f>
        <v>1101116515930</v>
      </c>
      <c r="I657" s="58" t="str">
        <f>작성용!F654</f>
        <v>D02</v>
      </c>
      <c r="J657" s="58">
        <f>작성용!G654</f>
        <v>0</v>
      </c>
      <c r="K657" s="58" t="str">
        <f>작성용!H654</f>
        <v>-</v>
      </c>
      <c r="L657" s="58" t="str">
        <f>작성용!N654</f>
        <v xml:space="preserve">반기 </v>
      </c>
      <c r="M657" s="57" t="str">
        <f>작성용!U654</f>
        <v>2024.12.31</v>
      </c>
      <c r="N657" s="57">
        <f>작성용!V654</f>
        <v>45663</v>
      </c>
      <c r="O657" s="57">
        <f>작성용!W654</f>
        <v>45663</v>
      </c>
      <c r="P657" s="57" t="str">
        <f>작성용!X654</f>
        <v>-</v>
      </c>
      <c r="Q657" s="58" t="str">
        <f>작성용!AD654</f>
        <v>채동우</v>
      </c>
      <c r="R657" s="60">
        <f>작성용!AE654</f>
        <v>0</v>
      </c>
      <c r="S657" s="58" t="str">
        <f>작성용!AF654</f>
        <v>신규</v>
      </c>
      <c r="T657" s="61" t="str">
        <f>작성용!AG654</f>
        <v>서경덕</v>
      </c>
      <c r="U657" s="61" t="str">
        <f>작성용!AH654</f>
        <v>서경덕</v>
      </c>
      <c r="V657" s="56">
        <f>작성용!AA654</f>
        <v>202412</v>
      </c>
      <c r="W657" s="58" t="str">
        <f>작성용!AC654</f>
        <v>[Y]금융기관</v>
      </c>
      <c r="X657" s="58" t="str">
        <f>작성용!O654</f>
        <v>김은정상무</v>
      </c>
      <c r="Y657" s="58" t="str">
        <f>작성용!P654</f>
        <v>02-6090-1308, 010-9009-3544</v>
      </c>
      <c r="Z657" s="58" t="str">
        <f>작성용!Q654</f>
        <v xml:space="preserve">ejkim@sgpef.com </v>
      </c>
      <c r="AA657" s="56" t="str">
        <f>작성용!AJ654</f>
        <v>LP제출</v>
      </c>
      <c r="AB657" s="56">
        <f>작성용!AB654</f>
        <v>0</v>
      </c>
    </row>
    <row r="658" spans="1:28" s="12" customFormat="1" ht="16.5" hidden="1" customHeight="1" x14ac:dyDescent="0.3">
      <c r="A658" s="54">
        <f>작성용!AL655</f>
        <v>654</v>
      </c>
      <c r="B658" s="55" t="str">
        <f>작성용!AI655</f>
        <v>-</v>
      </c>
      <c r="C658" s="56" t="str">
        <f>작성용!AK655</f>
        <v>개별종목</v>
      </c>
      <c r="D658" s="57">
        <f>작성용!T655</f>
        <v>45579</v>
      </c>
      <c r="E658" s="58" t="str">
        <f>작성용!B655</f>
        <v>에스지프라이빗에쿼티</v>
      </c>
      <c r="F658" s="58" t="str">
        <f>작성용!C655</f>
        <v>신규</v>
      </c>
      <c r="G658" s="58" t="str">
        <f>작성용!D655</f>
        <v>코리아컴포지트</v>
      </c>
      <c r="H658" s="59">
        <f>작성용!E655</f>
        <v>1846110031348</v>
      </c>
      <c r="I658" s="58" t="str">
        <f>작성용!F655</f>
        <v>A01</v>
      </c>
      <c r="J658" s="58">
        <f>작성용!G655</f>
        <v>0</v>
      </c>
      <c r="K658" s="58" t="str">
        <f>작성용!H655</f>
        <v>-</v>
      </c>
      <c r="L658" s="58" t="str">
        <f>작성용!N655</f>
        <v xml:space="preserve">반기 </v>
      </c>
      <c r="M658" s="57" t="str">
        <f>작성용!U655</f>
        <v>2024.12.31</v>
      </c>
      <c r="N658" s="57">
        <f>작성용!V655</f>
        <v>45663</v>
      </c>
      <c r="O658" s="57">
        <f>작성용!W655</f>
        <v>45663</v>
      </c>
      <c r="P658" s="57" t="str">
        <f>작성용!X655</f>
        <v>-</v>
      </c>
      <c r="Q658" s="58" t="str">
        <f>작성용!AD655</f>
        <v>김영하</v>
      </c>
      <c r="R658" s="60">
        <f>작성용!AE655</f>
        <v>1</v>
      </c>
      <c r="S658" s="58" t="str">
        <f>작성용!AF655</f>
        <v>신규</v>
      </c>
      <c r="T658" s="61" t="str">
        <f>작성용!AG655</f>
        <v>서경덕</v>
      </c>
      <c r="U658" s="61" t="str">
        <f>작성용!AH655</f>
        <v>서경덕</v>
      </c>
      <c r="V658" s="56">
        <f>작성용!AA655</f>
        <v>202412</v>
      </c>
      <c r="W658" s="58" t="str">
        <f>작성용!AC655</f>
        <v>[Y]금융기관</v>
      </c>
      <c r="X658" s="58" t="str">
        <f>작성용!O655</f>
        <v>김은정상무</v>
      </c>
      <c r="Y658" s="58" t="str">
        <f>작성용!P655</f>
        <v>02-6090-1308, 010-9009-3544</v>
      </c>
      <c r="Z658" s="58" t="str">
        <f>작성용!Q655</f>
        <v xml:space="preserve">ejkim@sgpef.com </v>
      </c>
      <c r="AA658" s="56" t="str">
        <f>작성용!AJ655</f>
        <v>LP제출</v>
      </c>
      <c r="AB658" s="56">
        <f>작성용!AB655</f>
        <v>0</v>
      </c>
    </row>
    <row r="659" spans="1:28" s="12" customFormat="1" ht="16.5" hidden="1" customHeight="1" x14ac:dyDescent="0.3">
      <c r="A659" s="54">
        <f>작성용!AL656</f>
        <v>655</v>
      </c>
      <c r="B659" s="55" t="str">
        <f>작성용!AI656</f>
        <v>-</v>
      </c>
      <c r="C659" s="56" t="str">
        <f>작성용!AK656</f>
        <v>개별종목</v>
      </c>
      <c r="D659" s="57">
        <f>작성용!T656</f>
        <v>45579</v>
      </c>
      <c r="E659" s="58" t="str">
        <f>작성용!B656</f>
        <v>에스지프라이빗에쿼티</v>
      </c>
      <c r="F659" s="58" t="str">
        <f>작성용!C656</f>
        <v>신규</v>
      </c>
      <c r="G659" s="58" t="str">
        <f>작성용!D656</f>
        <v>이테크시스템</v>
      </c>
      <c r="H659" s="59">
        <f>작성용!E656</f>
        <v>1101114216704</v>
      </c>
      <c r="I659" s="58" t="str">
        <f>작성용!F656</f>
        <v>A01</v>
      </c>
      <c r="J659" s="58">
        <f>작성용!G656</f>
        <v>0</v>
      </c>
      <c r="K659" s="58" t="str">
        <f>작성용!H656</f>
        <v>-</v>
      </c>
      <c r="L659" s="58" t="str">
        <f>작성용!N656</f>
        <v xml:space="preserve">반기 </v>
      </c>
      <c r="M659" s="57" t="str">
        <f>작성용!U656</f>
        <v>2024.12.31</v>
      </c>
      <c r="N659" s="57">
        <f>작성용!V656</f>
        <v>45663</v>
      </c>
      <c r="O659" s="57">
        <f>작성용!W656</f>
        <v>45663</v>
      </c>
      <c r="P659" s="57" t="str">
        <f>작성용!X656</f>
        <v>-</v>
      </c>
      <c r="Q659" s="58" t="str">
        <f>작성용!AD656</f>
        <v>오영석</v>
      </c>
      <c r="R659" s="60">
        <f>작성용!AE656</f>
        <v>1</v>
      </c>
      <c r="S659" s="58" t="str">
        <f>작성용!AF656</f>
        <v>신규</v>
      </c>
      <c r="T659" s="61" t="str">
        <f>작성용!AG656</f>
        <v>서경덕</v>
      </c>
      <c r="U659" s="61" t="str">
        <f>작성용!AH656</f>
        <v>서경덕</v>
      </c>
      <c r="V659" s="56">
        <f>작성용!AA656</f>
        <v>202412</v>
      </c>
      <c r="W659" s="58" t="str">
        <f>작성용!AC656</f>
        <v>[Y]금융기관</v>
      </c>
      <c r="X659" s="58" t="str">
        <f>작성용!O656</f>
        <v>김은정상무</v>
      </c>
      <c r="Y659" s="58" t="str">
        <f>작성용!P656</f>
        <v>02-6090-1308, 010-9009-3544</v>
      </c>
      <c r="Z659" s="58" t="str">
        <f>작성용!Q656</f>
        <v xml:space="preserve">ejkim@sgpef.com </v>
      </c>
      <c r="AA659" s="56" t="str">
        <f>작성용!AJ656</f>
        <v>LP제출</v>
      </c>
      <c r="AB659" s="56">
        <f>작성용!AB656</f>
        <v>0</v>
      </c>
    </row>
    <row r="660" spans="1:28" s="12" customFormat="1" ht="16.5" hidden="1" customHeight="1" x14ac:dyDescent="0.3">
      <c r="A660" s="54">
        <f>작성용!AL657</f>
        <v>656</v>
      </c>
      <c r="B660" s="55" t="str">
        <f>작성용!AI657</f>
        <v>-</v>
      </c>
      <c r="C660" s="56" t="str">
        <f>작성용!AK657</f>
        <v>개별종목</v>
      </c>
      <c r="D660" s="57">
        <f>작성용!T657</f>
        <v>45579</v>
      </c>
      <c r="E660" s="58" t="str">
        <f>작성용!B657</f>
        <v>에스지프라이빗에쿼티</v>
      </c>
      <c r="F660" s="58" t="str">
        <f>작성용!C657</f>
        <v>신규</v>
      </c>
      <c r="G660" s="58" t="str">
        <f>작성용!D657</f>
        <v>이테크시스템</v>
      </c>
      <c r="H660" s="59">
        <f>작성용!E657</f>
        <v>1101114216704</v>
      </c>
      <c r="I660" s="58" t="str">
        <f>작성용!F657</f>
        <v>A07</v>
      </c>
      <c r="J660" s="58">
        <f>작성용!G657</f>
        <v>0</v>
      </c>
      <c r="K660" s="58" t="str">
        <f>작성용!H657</f>
        <v>-</v>
      </c>
      <c r="L660" s="58" t="str">
        <f>작성용!N657</f>
        <v xml:space="preserve">반기 </v>
      </c>
      <c r="M660" s="57" t="str">
        <f>작성용!U657</f>
        <v>2024.12.31</v>
      </c>
      <c r="N660" s="57">
        <f>작성용!V657</f>
        <v>45663</v>
      </c>
      <c r="O660" s="57">
        <f>작성용!W657</f>
        <v>45663</v>
      </c>
      <c r="P660" s="57" t="str">
        <f>작성용!X657</f>
        <v>-</v>
      </c>
      <c r="Q660" s="58" t="str">
        <f>작성용!AD657</f>
        <v>오영석</v>
      </c>
      <c r="R660" s="60">
        <f>작성용!AE657</f>
        <v>0</v>
      </c>
      <c r="S660" s="58" t="str">
        <f>작성용!AF657</f>
        <v>신규</v>
      </c>
      <c r="T660" s="61" t="str">
        <f>작성용!AG657</f>
        <v>서경덕</v>
      </c>
      <c r="U660" s="61" t="str">
        <f>작성용!AH657</f>
        <v>서경덕</v>
      </c>
      <c r="V660" s="56">
        <f>작성용!AA657</f>
        <v>202412</v>
      </c>
      <c r="W660" s="58" t="str">
        <f>작성용!AC657</f>
        <v>[Y]금융기관</v>
      </c>
      <c r="X660" s="58" t="str">
        <f>작성용!O657</f>
        <v>김은정상무</v>
      </c>
      <c r="Y660" s="58" t="str">
        <f>작성용!P657</f>
        <v>02-6090-1308, 010-9009-3544</v>
      </c>
      <c r="Z660" s="58" t="str">
        <f>작성용!Q657</f>
        <v xml:space="preserve">ejkim@sgpef.com </v>
      </c>
      <c r="AA660" s="56" t="str">
        <f>작성용!AJ657</f>
        <v>LP제출</v>
      </c>
      <c r="AB660" s="56">
        <f>작성용!AB657</f>
        <v>0</v>
      </c>
    </row>
    <row r="661" spans="1:28" s="12" customFormat="1" ht="16.5" hidden="1" customHeight="1" x14ac:dyDescent="0.3">
      <c r="A661" s="54">
        <f>작성용!AL658</f>
        <v>657</v>
      </c>
      <c r="B661" s="55" t="str">
        <f>작성용!AI658</f>
        <v>-</v>
      </c>
      <c r="C661" s="56" t="str">
        <f>작성용!AK658</f>
        <v>개별종목</v>
      </c>
      <c r="D661" s="57">
        <f>작성용!T658</f>
        <v>45580</v>
      </c>
      <c r="E661" s="58" t="str">
        <f>작성용!B658</f>
        <v>케이에스넷</v>
      </c>
      <c r="F661" s="58" t="str">
        <f>작성용!C658</f>
        <v>재평가</v>
      </c>
      <c r="G661" s="58" t="str">
        <f>작성용!D658</f>
        <v>포비즈코리아</v>
      </c>
      <c r="H661" s="59">
        <f>작성용!E658</f>
        <v>1101114472976</v>
      </c>
      <c r="I661" s="58" t="str">
        <f>작성용!F658</f>
        <v>A00</v>
      </c>
      <c r="J661" s="58">
        <f>작성용!G658</f>
        <v>0</v>
      </c>
      <c r="K661" s="58" t="str">
        <f>작성용!H658</f>
        <v>-</v>
      </c>
      <c r="L661" s="58" t="str">
        <f>작성용!N658</f>
        <v>년</v>
      </c>
      <c r="M661" s="57" t="str">
        <f>작성용!U658</f>
        <v>2024.06.30</v>
      </c>
      <c r="N661" s="57">
        <f>작성용!V658</f>
        <v>45624</v>
      </c>
      <c r="O661" s="57">
        <f>작성용!W658</f>
        <v>45631</v>
      </c>
      <c r="P661" s="57" t="str">
        <f>작성용!X658</f>
        <v>-</v>
      </c>
      <c r="Q661" s="58" t="str">
        <f>작성용!AD658</f>
        <v>신원준</v>
      </c>
      <c r="R661" s="60">
        <f>작성용!AE658</f>
        <v>0</v>
      </c>
      <c r="S661" s="58" t="str">
        <f>작성용!AF658</f>
        <v>정준엽</v>
      </c>
      <c r="T661" s="61" t="str">
        <f>작성용!AG658</f>
        <v>-</v>
      </c>
      <c r="U661" s="61" t="str">
        <f>작성용!AH658</f>
        <v>-</v>
      </c>
      <c r="V661" s="56">
        <f>작성용!AA658</f>
        <v>202410</v>
      </c>
      <c r="W661" s="58" t="str">
        <f>작성용!AC658</f>
        <v>[X]일반기업</v>
      </c>
      <c r="X661" s="58" t="str">
        <f>작성용!O658</f>
        <v>정건구담당자</v>
      </c>
      <c r="Y661" s="58" t="str">
        <f>작성용!P658</f>
        <v>02-3420-6814</v>
      </c>
      <c r="Z661" s="58" t="str">
        <f>작성용!Q658</f>
        <v>jkk9911@ksnet.co.kr</v>
      </c>
      <c r="AA661" s="56" t="str">
        <f>작성용!AJ658</f>
        <v>-</v>
      </c>
      <c r="AB661" s="56">
        <f>작성용!AB658</f>
        <v>0</v>
      </c>
    </row>
    <row r="662" spans="1:28" s="12" customFormat="1" ht="16.5" hidden="1" customHeight="1" x14ac:dyDescent="0.3">
      <c r="A662" s="54">
        <f>작성용!AL659</f>
        <v>658</v>
      </c>
      <c r="B662" s="55" t="str">
        <f>작성용!AI659</f>
        <v>-</v>
      </c>
      <c r="C662" s="56" t="str">
        <f>작성용!AK659</f>
        <v>개별종목</v>
      </c>
      <c r="D662" s="57">
        <f>작성용!T659</f>
        <v>45580</v>
      </c>
      <c r="E662" s="58" t="str">
        <f>작성용!B659</f>
        <v>케이에스넷</v>
      </c>
      <c r="F662" s="58" t="str">
        <f>작성용!C659</f>
        <v>재평가</v>
      </c>
      <c r="G662" s="58" t="str">
        <f>작성용!D659</f>
        <v>포비즈코리아</v>
      </c>
      <c r="H662" s="59">
        <f>작성용!E659</f>
        <v>1101114472976</v>
      </c>
      <c r="I662" s="58" t="str">
        <f>작성용!F659</f>
        <v>A07</v>
      </c>
      <c r="J662" s="58">
        <f>작성용!G659</f>
        <v>0</v>
      </c>
      <c r="K662" s="58" t="str">
        <f>작성용!H659</f>
        <v>-</v>
      </c>
      <c r="L662" s="58" t="str">
        <f>작성용!N659</f>
        <v>년</v>
      </c>
      <c r="M662" s="57" t="str">
        <f>작성용!U659</f>
        <v>2024.06.30</v>
      </c>
      <c r="N662" s="57">
        <f>작성용!V659</f>
        <v>45624</v>
      </c>
      <c r="O662" s="57">
        <f>작성용!W659</f>
        <v>45631</v>
      </c>
      <c r="P662" s="57" t="str">
        <f>작성용!X659</f>
        <v>-</v>
      </c>
      <c r="Q662" s="58" t="str">
        <f>작성용!AD659</f>
        <v>신원준</v>
      </c>
      <c r="R662" s="60">
        <f>작성용!AE659</f>
        <v>1</v>
      </c>
      <c r="S662" s="58" t="str">
        <f>작성용!AF659</f>
        <v>정준엽</v>
      </c>
      <c r="T662" s="61" t="str">
        <f>작성용!AG659</f>
        <v>-</v>
      </c>
      <c r="U662" s="61" t="str">
        <f>작성용!AH659</f>
        <v>-</v>
      </c>
      <c r="V662" s="56">
        <f>작성용!AA659</f>
        <v>202410</v>
      </c>
      <c r="W662" s="58" t="str">
        <f>작성용!AC659</f>
        <v>[X]일반기업</v>
      </c>
      <c r="X662" s="58" t="str">
        <f>작성용!O659</f>
        <v>정건구담당자</v>
      </c>
      <c r="Y662" s="58" t="str">
        <f>작성용!P659</f>
        <v>02-3420-6814</v>
      </c>
      <c r="Z662" s="58" t="str">
        <f>작성용!Q659</f>
        <v>jkk9911@ksnet.co.kr</v>
      </c>
      <c r="AA662" s="56" t="str">
        <f>작성용!AJ659</f>
        <v>-</v>
      </c>
      <c r="AB662" s="56">
        <f>작성용!AB659</f>
        <v>0</v>
      </c>
    </row>
    <row r="663" spans="1:28" s="12" customFormat="1" ht="16.5" hidden="1" customHeight="1" x14ac:dyDescent="0.3">
      <c r="A663" s="54">
        <f>작성용!AL660</f>
        <v>659</v>
      </c>
      <c r="B663" s="55" t="str">
        <f>작성용!AI660</f>
        <v>-</v>
      </c>
      <c r="C663" s="56" t="str">
        <f>작성용!AK660</f>
        <v>개별종목</v>
      </c>
      <c r="D663" s="57">
        <f>작성용!T660</f>
        <v>45580</v>
      </c>
      <c r="E663" s="58" t="str">
        <f>작성용!B660</f>
        <v>스노우</v>
      </c>
      <c r="F663" s="58" t="str">
        <f>작성용!C660</f>
        <v>신규</v>
      </c>
      <c r="G663" s="58" t="str">
        <f>작성용!D660</f>
        <v>펄핏</v>
      </c>
      <c r="H663" s="59">
        <f>작성용!E660</f>
        <v>1601110396112</v>
      </c>
      <c r="I663" s="58" t="str">
        <f>작성용!F660</f>
        <v>A01</v>
      </c>
      <c r="J663" s="58">
        <f>작성용!G660</f>
        <v>0</v>
      </c>
      <c r="K663" s="58" t="str">
        <f>작성용!H660</f>
        <v>-</v>
      </c>
      <c r="L663" s="58" t="str">
        <f>작성용!N660</f>
        <v>미정</v>
      </c>
      <c r="M663" s="57" t="str">
        <f>작성용!U660</f>
        <v>2024.10.31</v>
      </c>
      <c r="N663" s="57">
        <f>작성용!V660</f>
        <v>45642</v>
      </c>
      <c r="O663" s="57">
        <f>작성용!W660</f>
        <v>45649</v>
      </c>
      <c r="P663" s="57" t="str">
        <f>작성용!X660</f>
        <v>-</v>
      </c>
      <c r="Q663" s="58" t="str">
        <f>작성용!AD660</f>
        <v>백형진</v>
      </c>
      <c r="R663" s="60">
        <f>작성용!AE660</f>
        <v>0</v>
      </c>
      <c r="S663" s="58" t="str">
        <f>작성용!AF660</f>
        <v>백형진</v>
      </c>
      <c r="T663" s="61" t="str">
        <f>작성용!AG660</f>
        <v>백형진</v>
      </c>
      <c r="U663" s="61" t="str">
        <f>작성용!AH660</f>
        <v>백형진</v>
      </c>
      <c r="V663" s="56">
        <f>작성용!AA660</f>
        <v>202410</v>
      </c>
      <c r="W663" s="58" t="str">
        <f>작성용!AC660</f>
        <v>[X]일반기업</v>
      </c>
      <c r="X663" s="58" t="str">
        <f>작성용!O660</f>
        <v>김소영,이승민</v>
      </c>
      <c r="Y663" s="58" t="str">
        <f>작성용!P660</f>
        <v>010-3153-1051, 010-2467-1403</v>
      </c>
      <c r="Z663" s="58" t="str">
        <f>작성용!Q660</f>
        <v>soyoung.k@snowcorp.com; seungminlee.kr@snowcorp.com;</v>
      </c>
      <c r="AA663" s="56" t="str">
        <f>작성용!AJ660</f>
        <v>회계반영</v>
      </c>
      <c r="AB663" s="56">
        <f>작성용!AB660</f>
        <v>0</v>
      </c>
    </row>
    <row r="664" spans="1:28" s="12" customFormat="1" ht="16.5" hidden="1" customHeight="1" x14ac:dyDescent="0.3">
      <c r="A664" s="54">
        <f>작성용!AL661</f>
        <v>660</v>
      </c>
      <c r="B664" s="55" t="str">
        <f>작성용!AI661</f>
        <v>-</v>
      </c>
      <c r="C664" s="56" t="str">
        <f>작성용!AK661</f>
        <v>개별종목</v>
      </c>
      <c r="D664" s="57">
        <f>작성용!T661</f>
        <v>45580</v>
      </c>
      <c r="E664" s="58" t="str">
        <f>작성용!B661</f>
        <v>스노우</v>
      </c>
      <c r="F664" s="58" t="str">
        <f>작성용!C661</f>
        <v>신규</v>
      </c>
      <c r="G664" s="58" t="str">
        <f>작성용!D661</f>
        <v>펄핏</v>
      </c>
      <c r="H664" s="59">
        <f>작성용!E661</f>
        <v>1601110396112</v>
      </c>
      <c r="I664" s="58" t="str">
        <f>작성용!F661</f>
        <v>A07</v>
      </c>
      <c r="J664" s="58">
        <f>작성용!G661</f>
        <v>1</v>
      </c>
      <c r="K664" s="58" t="str">
        <f>작성용!H661</f>
        <v>-</v>
      </c>
      <c r="L664" s="58" t="str">
        <f>작성용!N661</f>
        <v>미정</v>
      </c>
      <c r="M664" s="57" t="str">
        <f>작성용!U661</f>
        <v>2024.10.31</v>
      </c>
      <c r="N664" s="57">
        <f>작성용!V661</f>
        <v>45642</v>
      </c>
      <c r="O664" s="57">
        <f>작성용!W661</f>
        <v>45649</v>
      </c>
      <c r="P664" s="57" t="str">
        <f>작성용!X661</f>
        <v>-</v>
      </c>
      <c r="Q664" s="58" t="str">
        <f>작성용!AD661</f>
        <v>백형진</v>
      </c>
      <c r="R664" s="60">
        <f>작성용!AE661</f>
        <v>1</v>
      </c>
      <c r="S664" s="58" t="str">
        <f>작성용!AF661</f>
        <v>백형진</v>
      </c>
      <c r="T664" s="61" t="str">
        <f>작성용!AG661</f>
        <v>백형진</v>
      </c>
      <c r="U664" s="61" t="str">
        <f>작성용!AH661</f>
        <v>백형진</v>
      </c>
      <c r="V664" s="56">
        <f>작성용!AA661</f>
        <v>202410</v>
      </c>
      <c r="W664" s="58" t="str">
        <f>작성용!AC661</f>
        <v>[X]일반기업</v>
      </c>
      <c r="X664" s="58" t="str">
        <f>작성용!O661</f>
        <v>김소영,이승민</v>
      </c>
      <c r="Y664" s="58" t="str">
        <f>작성용!P661</f>
        <v>010-3153-1051, 010-2467-1403</v>
      </c>
      <c r="Z664" s="58" t="str">
        <f>작성용!Q661</f>
        <v>soyoung.k@snowcorp.com; seungminlee.kr@snowcorp.com;</v>
      </c>
      <c r="AA664" s="56" t="str">
        <f>작성용!AJ661</f>
        <v>회계반영</v>
      </c>
      <c r="AB664" s="56">
        <f>작성용!AB661</f>
        <v>0</v>
      </c>
    </row>
    <row r="665" spans="1:28" s="12" customFormat="1" ht="16.5" hidden="1" customHeight="1" x14ac:dyDescent="0.3">
      <c r="A665" s="54">
        <f>작성용!AL662</f>
        <v>661</v>
      </c>
      <c r="B665" s="55" t="str">
        <f>작성용!AI662</f>
        <v>-</v>
      </c>
      <c r="C665" s="56" t="str">
        <f>작성용!AK662</f>
        <v>개별종목</v>
      </c>
      <c r="D665" s="57">
        <f>작성용!T662</f>
        <v>45580</v>
      </c>
      <c r="E665" s="58" t="str">
        <f>작성용!B662</f>
        <v>스노우</v>
      </c>
      <c r="F665" s="58" t="str">
        <f>작성용!C662</f>
        <v>재평가</v>
      </c>
      <c r="G665" s="58" t="str">
        <f>작성용!D662</f>
        <v>메이크스타</v>
      </c>
      <c r="H665" s="59">
        <f>작성용!E662</f>
        <v>1101115615111</v>
      </c>
      <c r="I665" s="58" t="str">
        <f>작성용!F662</f>
        <v>A01</v>
      </c>
      <c r="J665" s="58">
        <f>작성용!G662</f>
        <v>0</v>
      </c>
      <c r="K665" s="58" t="str">
        <f>작성용!H662</f>
        <v>-</v>
      </c>
      <c r="L665" s="58" t="str">
        <f>작성용!N662</f>
        <v>미정</v>
      </c>
      <c r="M665" s="57" t="str">
        <f>작성용!U662</f>
        <v>2024.10.31</v>
      </c>
      <c r="N665" s="57">
        <f>작성용!V662</f>
        <v>45642</v>
      </c>
      <c r="O665" s="57">
        <f>작성용!W662</f>
        <v>45649</v>
      </c>
      <c r="P665" s="57" t="str">
        <f>작성용!X662</f>
        <v>-</v>
      </c>
      <c r="Q665" s="58" t="str">
        <f>작성용!AD662</f>
        <v>채동우</v>
      </c>
      <c r="R665" s="60">
        <f>작성용!AE662</f>
        <v>0</v>
      </c>
      <c r="S665" s="58" t="str">
        <f>작성용!AF662</f>
        <v>채동우</v>
      </c>
      <c r="T665" s="61" t="str">
        <f>작성용!AG662</f>
        <v>백형진</v>
      </c>
      <c r="U665" s="61" t="str">
        <f>작성용!AH662</f>
        <v>백형진</v>
      </c>
      <c r="V665" s="56">
        <f>작성용!AA662</f>
        <v>202410</v>
      </c>
      <c r="W665" s="58" t="str">
        <f>작성용!AC662</f>
        <v>[X]일반기업</v>
      </c>
      <c r="X665" s="58" t="str">
        <f>작성용!O662</f>
        <v>김소영,이승민</v>
      </c>
      <c r="Y665" s="58" t="str">
        <f>작성용!P662</f>
        <v>010-3153-1051, 010-2467-1403</v>
      </c>
      <c r="Z665" s="58" t="str">
        <f>작성용!Q662</f>
        <v>soyoung.k@snowcorp.com; seungminlee.kr@snowcorp.com;</v>
      </c>
      <c r="AA665" s="56" t="str">
        <f>작성용!AJ662</f>
        <v>회계반영</v>
      </c>
      <c r="AB665" s="56">
        <f>작성용!AB662</f>
        <v>0</v>
      </c>
    </row>
    <row r="666" spans="1:28" s="12" customFormat="1" ht="16.5" hidden="1" customHeight="1" x14ac:dyDescent="0.3">
      <c r="A666" s="54">
        <f>작성용!AL663</f>
        <v>662</v>
      </c>
      <c r="B666" s="55" t="str">
        <f>작성용!AI663</f>
        <v>-</v>
      </c>
      <c r="C666" s="56" t="str">
        <f>작성용!AK663</f>
        <v>개별종목</v>
      </c>
      <c r="D666" s="57">
        <f>작성용!T663</f>
        <v>45580</v>
      </c>
      <c r="E666" s="58" t="str">
        <f>작성용!B663</f>
        <v>스노우</v>
      </c>
      <c r="F666" s="58" t="str">
        <f>작성용!C663</f>
        <v>재평가</v>
      </c>
      <c r="G666" s="58" t="str">
        <f>작성용!D663</f>
        <v>메이크스타</v>
      </c>
      <c r="H666" s="59">
        <f>작성용!E663</f>
        <v>1101115615111</v>
      </c>
      <c r="I666" s="58" t="str">
        <f>작성용!F663</f>
        <v>A07</v>
      </c>
      <c r="J666" s="58">
        <f>작성용!G663</f>
        <v>0</v>
      </c>
      <c r="K666" s="58" t="str">
        <f>작성용!H663</f>
        <v>-</v>
      </c>
      <c r="L666" s="58" t="str">
        <f>작성용!N663</f>
        <v>미정</v>
      </c>
      <c r="M666" s="57" t="str">
        <f>작성용!U663</f>
        <v>2024.10.31</v>
      </c>
      <c r="N666" s="57">
        <f>작성용!V663</f>
        <v>45642</v>
      </c>
      <c r="O666" s="57">
        <f>작성용!W663</f>
        <v>45649</v>
      </c>
      <c r="P666" s="57" t="str">
        <f>작성용!X663</f>
        <v>-</v>
      </c>
      <c r="Q666" s="58" t="str">
        <f>작성용!AD663</f>
        <v>채동우</v>
      </c>
      <c r="R666" s="60">
        <f>작성용!AE663</f>
        <v>1</v>
      </c>
      <c r="S666" s="58" t="str">
        <f>작성용!AF663</f>
        <v>채동우</v>
      </c>
      <c r="T666" s="61" t="str">
        <f>작성용!AG663</f>
        <v>백형진</v>
      </c>
      <c r="U666" s="61" t="str">
        <f>작성용!AH663</f>
        <v>백형진</v>
      </c>
      <c r="V666" s="56">
        <f>작성용!AA663</f>
        <v>202410</v>
      </c>
      <c r="W666" s="58" t="str">
        <f>작성용!AC663</f>
        <v>[X]일반기업</v>
      </c>
      <c r="X666" s="58" t="str">
        <f>작성용!O663</f>
        <v>김소영,이승민</v>
      </c>
      <c r="Y666" s="58" t="str">
        <f>작성용!P663</f>
        <v>010-3153-1051, 010-2467-1403</v>
      </c>
      <c r="Z666" s="58" t="str">
        <f>작성용!Q663</f>
        <v>soyoung.k@snowcorp.com; seungminlee.kr@snowcorp.com;</v>
      </c>
      <c r="AA666" s="56" t="str">
        <f>작성용!AJ663</f>
        <v>회계반영</v>
      </c>
      <c r="AB666" s="56">
        <f>작성용!AB663</f>
        <v>0</v>
      </c>
    </row>
    <row r="667" spans="1:28" s="12" customFormat="1" ht="16.5" hidden="1" customHeight="1" x14ac:dyDescent="0.3">
      <c r="A667" s="54">
        <f>작성용!AL664</f>
        <v>663</v>
      </c>
      <c r="B667" s="55" t="str">
        <f>작성용!AI664</f>
        <v>-</v>
      </c>
      <c r="C667" s="56" t="str">
        <f>작성용!AK664</f>
        <v>기초자산</v>
      </c>
      <c r="D667" s="57" t="str">
        <f>작성용!T664</f>
        <v>제이케이엘파트너스펀드(기초자산)</v>
      </c>
      <c r="E667" s="58" t="str">
        <f>작성용!B664</f>
        <v>페트라7호사모투자</v>
      </c>
      <c r="F667" s="58" t="str">
        <f>작성용!C664</f>
        <v>재평가</v>
      </c>
      <c r="G667" s="58" t="str">
        <f>작성용!D664</f>
        <v>겟스마트</v>
      </c>
      <c r="H667" s="59">
        <f>작성용!E664</f>
        <v>1101118490792</v>
      </c>
      <c r="I667" s="58" t="str">
        <f>작성용!F664</f>
        <v>A01</v>
      </c>
      <c r="J667" s="58">
        <f>작성용!G664</f>
        <v>0</v>
      </c>
      <c r="K667" s="58" t="str">
        <f>작성용!H664</f>
        <v>-</v>
      </c>
      <c r="L667" s="58" t="str">
        <f>작성용!N664</f>
        <v>년</v>
      </c>
      <c r="M667" s="57" t="str">
        <f>작성용!U664</f>
        <v>2024.09.30</v>
      </c>
      <c r="N667" s="57">
        <f>작성용!V664</f>
        <v>45601</v>
      </c>
      <c r="O667" s="57" t="str">
        <f>작성용!W664</f>
        <v>보고서제공X</v>
      </c>
      <c r="P667" s="57" t="str">
        <f>작성용!X664</f>
        <v>-</v>
      </c>
      <c r="Q667" s="58" t="str">
        <f>작성용!AD664</f>
        <v>강승현</v>
      </c>
      <c r="R667" s="60">
        <f>작성용!AE664</f>
        <v>0.4</v>
      </c>
      <c r="S667" s="58" t="str">
        <f>작성용!AF664</f>
        <v>강승현</v>
      </c>
      <c r="T667" s="61" t="str">
        <f>작성용!AG664</f>
        <v>-</v>
      </c>
      <c r="U667" s="61" t="str">
        <f>작성용!AH664</f>
        <v>-</v>
      </c>
      <c r="V667" s="56">
        <f>작성용!AA664</f>
        <v>202411</v>
      </c>
      <c r="W667" s="58" t="str">
        <f>작성용!AC664</f>
        <v>[6]기타기관펀드(기초자산)</v>
      </c>
      <c r="X667" s="58">
        <f>작성용!O664</f>
        <v>0</v>
      </c>
      <c r="Y667" s="58">
        <f>작성용!P664</f>
        <v>0</v>
      </c>
      <c r="Z667" s="58">
        <f>작성용!Q664</f>
        <v>0</v>
      </c>
      <c r="AA667" s="56" t="str">
        <f>작성용!AJ664</f>
        <v>-</v>
      </c>
      <c r="AB667" s="56">
        <f>작성용!AB664</f>
        <v>0</v>
      </c>
    </row>
    <row r="668" spans="1:28" s="12" customFormat="1" ht="16.5" hidden="1" customHeight="1" x14ac:dyDescent="0.3">
      <c r="A668" s="54">
        <f>작성용!AL665</f>
        <v>664</v>
      </c>
      <c r="B668" s="55" t="str">
        <f>작성용!AI665</f>
        <v>-</v>
      </c>
      <c r="C668" s="56" t="str">
        <f>작성용!AK665</f>
        <v>기초자산</v>
      </c>
      <c r="D668" s="57" t="str">
        <f>작성용!T665</f>
        <v>제이케이엘파트너스펀드(기초자산)</v>
      </c>
      <c r="E668" s="58" t="str">
        <f>작성용!B665</f>
        <v>페트라7호사모투자</v>
      </c>
      <c r="F668" s="58" t="str">
        <f>작성용!C665</f>
        <v>재평가</v>
      </c>
      <c r="G668" s="58" t="str">
        <f>작성용!D665</f>
        <v>겟스마트</v>
      </c>
      <c r="H668" s="59">
        <f>작성용!E665</f>
        <v>1101118490792</v>
      </c>
      <c r="I668" s="58" t="str">
        <f>작성용!F665</f>
        <v>A07</v>
      </c>
      <c r="J668" s="58">
        <f>작성용!G665</f>
        <v>0</v>
      </c>
      <c r="K668" s="58" t="str">
        <f>작성용!H665</f>
        <v>-</v>
      </c>
      <c r="L668" s="58" t="str">
        <f>작성용!N665</f>
        <v>년</v>
      </c>
      <c r="M668" s="57" t="str">
        <f>작성용!U665</f>
        <v>2024.09.30</v>
      </c>
      <c r="N668" s="57">
        <f>작성용!V665</f>
        <v>45601</v>
      </c>
      <c r="O668" s="57" t="str">
        <f>작성용!W665</f>
        <v>보고서제공X</v>
      </c>
      <c r="P668" s="57" t="str">
        <f>작성용!X665</f>
        <v>-</v>
      </c>
      <c r="Q668" s="58" t="str">
        <f>작성용!AD665</f>
        <v>강승현</v>
      </c>
      <c r="R668" s="60">
        <f>작성용!AE665</f>
        <v>0</v>
      </c>
      <c r="S668" s="58" t="str">
        <f>작성용!AF665</f>
        <v>강승현</v>
      </c>
      <c r="T668" s="61" t="str">
        <f>작성용!AG665</f>
        <v>-</v>
      </c>
      <c r="U668" s="61" t="str">
        <f>작성용!AH665</f>
        <v>-</v>
      </c>
      <c r="V668" s="56">
        <f>작성용!AA665</f>
        <v>202411</v>
      </c>
      <c r="W668" s="58" t="str">
        <f>작성용!AC665</f>
        <v>[6]기타기관펀드(기초자산)</v>
      </c>
      <c r="X668" s="58">
        <f>작성용!O665</f>
        <v>0</v>
      </c>
      <c r="Y668" s="58">
        <f>작성용!P665</f>
        <v>0</v>
      </c>
      <c r="Z668" s="58">
        <f>작성용!Q665</f>
        <v>0</v>
      </c>
      <c r="AA668" s="56" t="str">
        <f>작성용!AJ665</f>
        <v>-</v>
      </c>
      <c r="AB668" s="56">
        <f>작성용!AB665</f>
        <v>0</v>
      </c>
    </row>
    <row r="669" spans="1:28" s="12" customFormat="1" ht="16.5" hidden="1" customHeight="1" x14ac:dyDescent="0.3">
      <c r="A669" s="54">
        <f>작성용!AL666</f>
        <v>665</v>
      </c>
      <c r="B669" s="55" t="str">
        <f>작성용!AI666</f>
        <v>-</v>
      </c>
      <c r="C669" s="56" t="str">
        <f>작성용!AK666</f>
        <v>개별종목</v>
      </c>
      <c r="D669" s="57">
        <f>작성용!T666</f>
        <v>45580</v>
      </c>
      <c r="E669" s="58" t="str">
        <f>작성용!B666</f>
        <v>한국투자프라이빗에쿼티(구,이큐파트너스)</v>
      </c>
      <c r="F669" s="58" t="str">
        <f>작성용!C666</f>
        <v>재평가</v>
      </c>
      <c r="G669" s="58" t="str">
        <f>작성용!D666</f>
        <v>CBMM</v>
      </c>
      <c r="H669" s="59" t="str">
        <f>작성용!E666</f>
        <v>KBP2020090118</v>
      </c>
      <c r="I669" s="58" t="str">
        <f>작성용!F666</f>
        <v>A01</v>
      </c>
      <c r="J669" s="58">
        <f>작성용!G666</f>
        <v>0</v>
      </c>
      <c r="K669" s="58" t="str">
        <f>작성용!H666</f>
        <v>-</v>
      </c>
      <c r="L669" s="58" t="str">
        <f>작성용!N666</f>
        <v>년</v>
      </c>
      <c r="M669" s="57" t="str">
        <f>작성용!U666</f>
        <v>2024.09.30</v>
      </c>
      <c r="N669" s="57">
        <f>작성용!V666</f>
        <v>45614</v>
      </c>
      <c r="O669" s="57">
        <f>작성용!W666</f>
        <v>45616</v>
      </c>
      <c r="P669" s="57" t="str">
        <f>작성용!X666</f>
        <v>-</v>
      </c>
      <c r="Q669" s="58" t="str">
        <f>작성용!AD666</f>
        <v>조현우</v>
      </c>
      <c r="R669" s="60">
        <f>작성용!AE666</f>
        <v>1</v>
      </c>
      <c r="S669" s="58" t="str">
        <f>작성용!AF666</f>
        <v>조현우</v>
      </c>
      <c r="T669" s="61" t="str">
        <f>작성용!AG666</f>
        <v>조현우</v>
      </c>
      <c r="U669" s="61" t="str">
        <f>작성용!AH666</f>
        <v>조현우</v>
      </c>
      <c r="V669" s="56">
        <f>작성용!AA666</f>
        <v>202411</v>
      </c>
      <c r="W669" s="58" t="str">
        <f>작성용!AC666</f>
        <v>[Y]금융기관</v>
      </c>
      <c r="X669" s="58" t="str">
        <f>작성용!O666</f>
        <v>김민희차장</v>
      </c>
      <c r="Y669" s="58" t="str">
        <f>작성용!P666</f>
        <v>02-6951-4419, 010-9217-7125</v>
      </c>
      <c r="Z669" s="58" t="str">
        <f>작성용!Q666</f>
        <v>mhkim@koreainvestmentpe.com</v>
      </c>
      <c r="AA669" s="56" t="str">
        <f>작성용!AJ666</f>
        <v>국민연금제출</v>
      </c>
      <c r="AB669" s="56">
        <f>작성용!AB666</f>
        <v>0</v>
      </c>
    </row>
    <row r="670" spans="1:28" s="12" customFormat="1" ht="16.5" hidden="1" customHeight="1" x14ac:dyDescent="0.3">
      <c r="A670" s="54">
        <f>작성용!AL667</f>
        <v>666</v>
      </c>
      <c r="B670" s="55" t="str">
        <f>작성용!AI667</f>
        <v>-</v>
      </c>
      <c r="C670" s="56" t="str">
        <f>작성용!AK667</f>
        <v>개별종목</v>
      </c>
      <c r="D670" s="57">
        <f>작성용!T667</f>
        <v>45580</v>
      </c>
      <c r="E670" s="58" t="str">
        <f>작성용!B667</f>
        <v>케이엘앤파트너스</v>
      </c>
      <c r="F670" s="58" t="str">
        <f>작성용!C667</f>
        <v>재평가</v>
      </c>
      <c r="G670" s="58" t="str">
        <f>작성용!D667</f>
        <v>맘스터치앤컴퍼니(구,해마로푸드서비스)</v>
      </c>
      <c r="H670" s="59">
        <f>작성용!E667</f>
        <v>1101115727396</v>
      </c>
      <c r="I670" s="58" t="str">
        <f>작성용!F667</f>
        <v>A01</v>
      </c>
      <c r="J670" s="58">
        <f>작성용!G667</f>
        <v>0</v>
      </c>
      <c r="K670" s="58" t="str">
        <f>작성용!H667</f>
        <v>-</v>
      </c>
      <c r="L670" s="58" t="str">
        <f>작성용!N667</f>
        <v>년</v>
      </c>
      <c r="M670" s="57" t="str">
        <f>작성용!U667</f>
        <v>2024.09.30</v>
      </c>
      <c r="N670" s="57">
        <f>작성용!V667</f>
        <v>45611</v>
      </c>
      <c r="O670" s="57">
        <f>작성용!W667</f>
        <v>45615</v>
      </c>
      <c r="P670" s="57" t="str">
        <f>작성용!X667</f>
        <v>-</v>
      </c>
      <c r="Q670" s="58" t="str">
        <f>작성용!AD667</f>
        <v>오영석</v>
      </c>
      <c r="R670" s="60">
        <f>작성용!AE667</f>
        <v>1</v>
      </c>
      <c r="S670" s="58" t="str">
        <f>작성용!AF667</f>
        <v>서수빈</v>
      </c>
      <c r="T670" s="61" t="str">
        <f>작성용!AG667</f>
        <v>오영석</v>
      </c>
      <c r="U670" s="61" t="str">
        <f>작성용!AH667</f>
        <v>오영석</v>
      </c>
      <c r="V670" s="56">
        <f>작성용!AA667</f>
        <v>202411</v>
      </c>
      <c r="W670" s="58" t="str">
        <f>작성용!AC667</f>
        <v>[Y]금융기관</v>
      </c>
      <c r="X670" s="58" t="str">
        <f>작성용!O667</f>
        <v>이효준부장</v>
      </c>
      <c r="Y670" s="58" t="str">
        <f>작성용!P667</f>
        <v>02-3453-8645 / 010-2507-9428</v>
      </c>
      <c r="Z670" s="58" t="str">
        <f>작성용!Q667</f>
        <v>hyojoon.lee@klnpartnerslp.com</v>
      </c>
      <c r="AA670" s="56" t="str">
        <f>작성용!AJ667</f>
        <v>국민연금제출</v>
      </c>
      <c r="AB670" s="56">
        <f>작성용!AB667</f>
        <v>0</v>
      </c>
    </row>
    <row r="671" spans="1:28" s="12" customFormat="1" ht="16.5" hidden="1" customHeight="1" x14ac:dyDescent="0.3">
      <c r="A671" s="54">
        <f>작성용!AL668</f>
        <v>667</v>
      </c>
      <c r="B671" s="55" t="str">
        <f>작성용!AI668</f>
        <v>-</v>
      </c>
      <c r="C671" s="56" t="str">
        <f>작성용!AK668</f>
        <v>개별종목</v>
      </c>
      <c r="D671" s="57">
        <f>작성용!T668</f>
        <v>45580</v>
      </c>
      <c r="E671" s="58" t="str">
        <f>작성용!B668</f>
        <v>나우아이비캐피탈</v>
      </c>
      <c r="F671" s="58" t="str">
        <f>작성용!C668</f>
        <v>재평가</v>
      </c>
      <c r="G671" s="58" t="str">
        <f>작성용!D668</f>
        <v>하이게인안테나</v>
      </c>
      <c r="H671" s="59">
        <f>작성용!E668</f>
        <v>1350110024823</v>
      </c>
      <c r="I671" s="58" t="str">
        <f>작성용!F668</f>
        <v>D02</v>
      </c>
      <c r="J671" s="58">
        <f>작성용!G668</f>
        <v>0</v>
      </c>
      <c r="K671" s="58" t="str">
        <f>작성용!H668</f>
        <v>-</v>
      </c>
      <c r="L671" s="58" t="str">
        <f>작성용!N668</f>
        <v xml:space="preserve">반기 </v>
      </c>
      <c r="M671" s="57" t="str">
        <f>작성용!U668</f>
        <v>2024.09.30</v>
      </c>
      <c r="N671" s="57">
        <f>작성용!V668</f>
        <v>45607</v>
      </c>
      <c r="O671" s="57">
        <f>작성용!W668</f>
        <v>45611</v>
      </c>
      <c r="P671" s="57" t="str">
        <f>작성용!X668</f>
        <v>-</v>
      </c>
      <c r="Q671" s="58" t="str">
        <f>작성용!AD668</f>
        <v>강성은</v>
      </c>
      <c r="R671" s="60">
        <f>작성용!AE668</f>
        <v>1</v>
      </c>
      <c r="S671" s="58" t="str">
        <f>작성용!AF668</f>
        <v>강성은</v>
      </c>
      <c r="T671" s="61" t="str">
        <f>작성용!AG668</f>
        <v>유재호</v>
      </c>
      <c r="U671" s="61" t="str">
        <f>작성용!AH668</f>
        <v>유재호</v>
      </c>
      <c r="V671" s="56">
        <f>작성용!AA668</f>
        <v>202411</v>
      </c>
      <c r="W671" s="58" t="str">
        <f>작성용!AC668</f>
        <v>[Y]금융기관</v>
      </c>
      <c r="X671" s="58" t="str">
        <f>작성용!O668</f>
        <v>김혜진대리</v>
      </c>
      <c r="Y671" s="58" t="str">
        <f>작성용!P668</f>
        <v>02-565-0739</v>
      </c>
      <c r="Z671" s="58" t="str">
        <f>작성용!Q668</f>
        <v>hjkim@nauib.com</v>
      </c>
      <c r="AA671" s="56" t="str">
        <f>작성용!AJ668</f>
        <v>국민연금제출</v>
      </c>
      <c r="AB671" s="56">
        <f>작성용!AB668</f>
        <v>0</v>
      </c>
    </row>
    <row r="672" spans="1:28" s="12" customFormat="1" ht="16.5" hidden="1" customHeight="1" x14ac:dyDescent="0.3">
      <c r="A672" s="54">
        <f>작성용!AL669</f>
        <v>668</v>
      </c>
      <c r="B672" s="55" t="str">
        <f>작성용!AI669</f>
        <v>-</v>
      </c>
      <c r="C672" s="56" t="str">
        <f>작성용!AK669</f>
        <v>개별종목</v>
      </c>
      <c r="D672" s="57">
        <f>작성용!T669</f>
        <v>45580</v>
      </c>
      <c r="E672" s="58" t="str">
        <f>작성용!B669</f>
        <v>나우아이비캐피탈</v>
      </c>
      <c r="F672" s="58" t="str">
        <f>작성용!C669</f>
        <v>재평가</v>
      </c>
      <c r="G672" s="58" t="str">
        <f>작성용!D669</f>
        <v>나이스엘엠에스</v>
      </c>
      <c r="H672" s="59">
        <f>작성용!E669</f>
        <v>1348110034942</v>
      </c>
      <c r="I672" s="58" t="str">
        <f>작성용!F669</f>
        <v>D02</v>
      </c>
      <c r="J672" s="58">
        <f>작성용!G669</f>
        <v>0</v>
      </c>
      <c r="K672" s="58" t="str">
        <f>작성용!H669</f>
        <v>-</v>
      </c>
      <c r="L672" s="58" t="str">
        <f>작성용!N669</f>
        <v xml:space="preserve">반기 </v>
      </c>
      <c r="M672" s="57" t="str">
        <f>작성용!U669</f>
        <v>2024.09.30</v>
      </c>
      <c r="N672" s="57">
        <f>작성용!V669</f>
        <v>45607</v>
      </c>
      <c r="O672" s="57">
        <f>작성용!W669</f>
        <v>45611</v>
      </c>
      <c r="P672" s="57" t="str">
        <f>작성용!X669</f>
        <v>-</v>
      </c>
      <c r="Q672" s="58" t="str">
        <f>작성용!AD669</f>
        <v>김예림</v>
      </c>
      <c r="R672" s="60">
        <f>작성용!AE669</f>
        <v>1</v>
      </c>
      <c r="S672" s="58" t="str">
        <f>작성용!AF669</f>
        <v>김예림</v>
      </c>
      <c r="T672" s="61" t="str">
        <f>작성용!AG669</f>
        <v>유재호</v>
      </c>
      <c r="U672" s="61" t="str">
        <f>작성용!AH669</f>
        <v>유재호</v>
      </c>
      <c r="V672" s="56">
        <f>작성용!AA669</f>
        <v>202411</v>
      </c>
      <c r="W672" s="58" t="str">
        <f>작성용!AC669</f>
        <v>[Y]금융기관</v>
      </c>
      <c r="X672" s="58" t="str">
        <f>작성용!O669</f>
        <v>김혜진대리</v>
      </c>
      <c r="Y672" s="58" t="str">
        <f>작성용!P669</f>
        <v>02-565-0739</v>
      </c>
      <c r="Z672" s="58" t="str">
        <f>작성용!Q669</f>
        <v>hjkim@nauib.com</v>
      </c>
      <c r="AA672" s="56" t="str">
        <f>작성용!AJ669</f>
        <v>국민연금제출</v>
      </c>
      <c r="AB672" s="56">
        <f>작성용!AB669</f>
        <v>0</v>
      </c>
    </row>
    <row r="673" spans="1:28" s="12" customFormat="1" ht="16.5" hidden="1" customHeight="1" x14ac:dyDescent="0.3">
      <c r="A673" s="54">
        <f>작성용!AL670</f>
        <v>669</v>
      </c>
      <c r="B673" s="55" t="str">
        <f>작성용!AI670</f>
        <v>-</v>
      </c>
      <c r="C673" s="56" t="str">
        <f>작성용!AK670</f>
        <v>개별종목</v>
      </c>
      <c r="D673" s="57">
        <f>작성용!T670</f>
        <v>45580</v>
      </c>
      <c r="E673" s="58" t="str">
        <f>작성용!B670</f>
        <v>나우아이비캐피탈</v>
      </c>
      <c r="F673" s="58" t="str">
        <f>작성용!C670</f>
        <v>재평가</v>
      </c>
      <c r="G673" s="58" t="str">
        <f>작성용!D670</f>
        <v>대한조선</v>
      </c>
      <c r="H673" s="59">
        <f>작성용!E670</f>
        <v>2047110003887</v>
      </c>
      <c r="I673" s="58" t="str">
        <f>작성용!F670</f>
        <v>D02</v>
      </c>
      <c r="J673" s="58">
        <f>작성용!G670</f>
        <v>2</v>
      </c>
      <c r="K673" s="58" t="str">
        <f>작성용!H670</f>
        <v>-</v>
      </c>
      <c r="L673" s="58" t="str">
        <f>작성용!N670</f>
        <v xml:space="preserve">반기 </v>
      </c>
      <c r="M673" s="57" t="str">
        <f>작성용!U670</f>
        <v>2024.09.30</v>
      </c>
      <c r="N673" s="57">
        <f>작성용!V670</f>
        <v>45607</v>
      </c>
      <c r="O673" s="57">
        <f>작성용!W670</f>
        <v>45611</v>
      </c>
      <c r="P673" s="57" t="str">
        <f>작성용!X670</f>
        <v>-</v>
      </c>
      <c r="Q673" s="58" t="str">
        <f>작성용!AD670</f>
        <v>오수현</v>
      </c>
      <c r="R673" s="60">
        <f>작성용!AE670</f>
        <v>1</v>
      </c>
      <c r="S673" s="58" t="str">
        <f>작성용!AF670</f>
        <v>오수현</v>
      </c>
      <c r="T673" s="61" t="str">
        <f>작성용!AG670</f>
        <v>유재호</v>
      </c>
      <c r="U673" s="61" t="str">
        <f>작성용!AH670</f>
        <v>유재호</v>
      </c>
      <c r="V673" s="56">
        <f>작성용!AA670</f>
        <v>202411</v>
      </c>
      <c r="W673" s="58" t="str">
        <f>작성용!AC670</f>
        <v>[Y]금융기관</v>
      </c>
      <c r="X673" s="58" t="str">
        <f>작성용!O670</f>
        <v>김혜진대리</v>
      </c>
      <c r="Y673" s="58" t="str">
        <f>작성용!P670</f>
        <v>02-565-0739</v>
      </c>
      <c r="Z673" s="58" t="str">
        <f>작성용!Q670</f>
        <v>hjkim@nauib.com</v>
      </c>
      <c r="AA673" s="56" t="str">
        <f>작성용!AJ670</f>
        <v>국민연금제출</v>
      </c>
      <c r="AB673" s="56">
        <f>작성용!AB670</f>
        <v>0</v>
      </c>
    </row>
    <row r="674" spans="1:28" s="12" customFormat="1" ht="16.5" hidden="1" customHeight="1" x14ac:dyDescent="0.3">
      <c r="A674" s="54">
        <f>작성용!AL671</f>
        <v>670</v>
      </c>
      <c r="B674" s="55" t="str">
        <f>작성용!AI671</f>
        <v>-</v>
      </c>
      <c r="C674" s="56" t="str">
        <f>작성용!AK671</f>
        <v>개별종목</v>
      </c>
      <c r="D674" s="57">
        <f>작성용!T671</f>
        <v>45580</v>
      </c>
      <c r="E674" s="58" t="str">
        <f>작성용!B671</f>
        <v>나우아이비캐피탈</v>
      </c>
      <c r="F674" s="58" t="str">
        <f>작성용!C671</f>
        <v>재평가</v>
      </c>
      <c r="G674" s="58" t="str">
        <f>작성용!D671</f>
        <v>카카오게임즈</v>
      </c>
      <c r="H674" s="59">
        <f>작성용!E671</f>
        <v>1311110351682</v>
      </c>
      <c r="I674" s="58" t="str">
        <f>작성용!F671</f>
        <v>D02</v>
      </c>
      <c r="J674" s="58">
        <f>작성용!G671</f>
        <v>0</v>
      </c>
      <c r="K674" s="58" t="str">
        <f>작성용!H671</f>
        <v>-</v>
      </c>
      <c r="L674" s="58" t="str">
        <f>작성용!N671</f>
        <v xml:space="preserve">반기 </v>
      </c>
      <c r="M674" s="57" t="str">
        <f>작성용!U671</f>
        <v>2024.09.30</v>
      </c>
      <c r="N674" s="57">
        <f>작성용!V671</f>
        <v>45607</v>
      </c>
      <c r="O674" s="57">
        <f>작성용!W671</f>
        <v>45611</v>
      </c>
      <c r="P674" s="57" t="str">
        <f>작성용!X671</f>
        <v>-</v>
      </c>
      <c r="Q674" s="58" t="str">
        <f>작성용!AD671</f>
        <v>상장</v>
      </c>
      <c r="R674" s="60">
        <f>작성용!AE671</f>
        <v>0</v>
      </c>
      <c r="S674" s="58" t="str">
        <f>작성용!AF671</f>
        <v>상장</v>
      </c>
      <c r="T674" s="61" t="str">
        <f>작성용!AG671</f>
        <v>유재호</v>
      </c>
      <c r="U674" s="61" t="str">
        <f>작성용!AH671</f>
        <v>유재호</v>
      </c>
      <c r="V674" s="56">
        <f>작성용!AA671</f>
        <v>202411</v>
      </c>
      <c r="W674" s="58" t="str">
        <f>작성용!AC671</f>
        <v>[Y]금융기관</v>
      </c>
      <c r="X674" s="58" t="str">
        <f>작성용!O671</f>
        <v>김혜진대리</v>
      </c>
      <c r="Y674" s="58" t="str">
        <f>작성용!P671</f>
        <v>02-565-0739</v>
      </c>
      <c r="Z674" s="58" t="str">
        <f>작성용!Q671</f>
        <v>hjkim@nauib.com</v>
      </c>
      <c r="AA674" s="56" t="str">
        <f>작성용!AJ671</f>
        <v>국민연금제출</v>
      </c>
      <c r="AB674" s="56">
        <f>작성용!AB671</f>
        <v>0</v>
      </c>
    </row>
    <row r="675" spans="1:28" s="12" customFormat="1" ht="16.5" hidden="1" customHeight="1" x14ac:dyDescent="0.3">
      <c r="A675" s="54">
        <f>작성용!AL672</f>
        <v>671</v>
      </c>
      <c r="B675" s="55" t="str">
        <f>작성용!AI672</f>
        <v>-</v>
      </c>
      <c r="C675" s="56" t="str">
        <f>작성용!AK672</f>
        <v>개별종목</v>
      </c>
      <c r="D675" s="57">
        <f>작성용!T672</f>
        <v>45580</v>
      </c>
      <c r="E675" s="58" t="str">
        <f>작성용!B672</f>
        <v>나우아이비캐피탈</v>
      </c>
      <c r="F675" s="58" t="str">
        <f>작성용!C672</f>
        <v>재평가</v>
      </c>
      <c r="G675" s="58" t="str">
        <f>작성용!D672</f>
        <v>한투에스지제삼호</v>
      </c>
      <c r="H675" s="59">
        <f>작성용!E672</f>
        <v>1101140297760</v>
      </c>
      <c r="I675" s="58" t="str">
        <f>작성용!F672</f>
        <v>A01</v>
      </c>
      <c r="J675" s="58">
        <f>작성용!G672</f>
        <v>0</v>
      </c>
      <c r="K675" s="58" t="str">
        <f>작성용!H672</f>
        <v>-</v>
      </c>
      <c r="L675" s="58" t="str">
        <f>작성용!N672</f>
        <v xml:space="preserve">반기 </v>
      </c>
      <c r="M675" s="57" t="str">
        <f>작성용!U672</f>
        <v>2024.09.30</v>
      </c>
      <c r="N675" s="57">
        <f>작성용!V672</f>
        <v>45607</v>
      </c>
      <c r="O675" s="57">
        <f>작성용!W672</f>
        <v>45611</v>
      </c>
      <c r="P675" s="57" t="str">
        <f>작성용!X672</f>
        <v>-</v>
      </c>
      <c r="Q675" s="58" t="str">
        <f>작성용!AD672</f>
        <v>서동현</v>
      </c>
      <c r="R675" s="60">
        <f>작성용!AE672</f>
        <v>1</v>
      </c>
      <c r="S675" s="58" t="str">
        <f>작성용!AF672</f>
        <v>서동현</v>
      </c>
      <c r="T675" s="61" t="str">
        <f>작성용!AG672</f>
        <v>유재호</v>
      </c>
      <c r="U675" s="61" t="str">
        <f>작성용!AH672</f>
        <v>유재호</v>
      </c>
      <c r="V675" s="56">
        <f>작성용!AA672</f>
        <v>202411</v>
      </c>
      <c r="W675" s="58" t="str">
        <f>작성용!AC672</f>
        <v>[Y]금융기관</v>
      </c>
      <c r="X675" s="58" t="str">
        <f>작성용!O672</f>
        <v>김혜진대리</v>
      </c>
      <c r="Y675" s="58" t="str">
        <f>작성용!P672</f>
        <v>02-565-0739</v>
      </c>
      <c r="Z675" s="58" t="str">
        <f>작성용!Q672</f>
        <v>hjkim@nauib.com</v>
      </c>
      <c r="AA675" s="56" t="str">
        <f>작성용!AJ672</f>
        <v>국민연금제출</v>
      </c>
      <c r="AB675" s="56">
        <f>작성용!AB672</f>
        <v>0</v>
      </c>
    </row>
    <row r="676" spans="1:28" s="12" customFormat="1" ht="16.5" hidden="1" customHeight="1" x14ac:dyDescent="0.3">
      <c r="A676" s="54">
        <f>작성용!AL673</f>
        <v>672</v>
      </c>
      <c r="B676" s="55" t="str">
        <f>작성용!AI673</f>
        <v>-</v>
      </c>
      <c r="C676" s="56" t="str">
        <f>작성용!AK673</f>
        <v>개별종목</v>
      </c>
      <c r="D676" s="57">
        <f>작성용!T673</f>
        <v>45580</v>
      </c>
      <c r="E676" s="58" t="str">
        <f>작성용!B673</f>
        <v>나우아이비캐피탈</v>
      </c>
      <c r="F676" s="58" t="str">
        <f>작성용!C673</f>
        <v>재평가</v>
      </c>
      <c r="G676" s="58" t="str">
        <f>작성용!D673</f>
        <v>삼진식품</v>
      </c>
      <c r="H676" s="59">
        <f>작성용!E673</f>
        <v>1801110991314</v>
      </c>
      <c r="I676" s="58" t="str">
        <f>작성용!F673</f>
        <v>A07</v>
      </c>
      <c r="J676" s="58">
        <f>작성용!G673</f>
        <v>0</v>
      </c>
      <c r="K676" s="58" t="str">
        <f>작성용!H673</f>
        <v>-</v>
      </c>
      <c r="L676" s="58" t="str">
        <f>작성용!N673</f>
        <v xml:space="preserve">반기 </v>
      </c>
      <c r="M676" s="57" t="str">
        <f>작성용!U673</f>
        <v>2024.09.30</v>
      </c>
      <c r="N676" s="57">
        <f>작성용!V673</f>
        <v>45607</v>
      </c>
      <c r="O676" s="57">
        <f>작성용!W673</f>
        <v>45611</v>
      </c>
      <c r="P676" s="57" t="str">
        <f>작성용!X673</f>
        <v>-</v>
      </c>
      <c r="Q676" s="58" t="str">
        <f>작성용!AD673</f>
        <v>서동현</v>
      </c>
      <c r="R676" s="60">
        <f>작성용!AE673</f>
        <v>0</v>
      </c>
      <c r="S676" s="58" t="str">
        <f>작성용!AF673</f>
        <v>서동현</v>
      </c>
      <c r="T676" s="61" t="str">
        <f>작성용!AG673</f>
        <v>유재호</v>
      </c>
      <c r="U676" s="61" t="str">
        <f>작성용!AH673</f>
        <v>유재호</v>
      </c>
      <c r="V676" s="56">
        <f>작성용!AA673</f>
        <v>202411</v>
      </c>
      <c r="W676" s="58" t="str">
        <f>작성용!AC673</f>
        <v>[Y]금융기관</v>
      </c>
      <c r="X676" s="58" t="str">
        <f>작성용!O673</f>
        <v>김혜진대리</v>
      </c>
      <c r="Y676" s="58" t="str">
        <f>작성용!P673</f>
        <v>02-565-0739</v>
      </c>
      <c r="Z676" s="58" t="str">
        <f>작성용!Q673</f>
        <v>hjkim@nauib.com</v>
      </c>
      <c r="AA676" s="56" t="str">
        <f>작성용!AJ673</f>
        <v>국민연금제출</v>
      </c>
      <c r="AB676" s="56">
        <f>작성용!AB673</f>
        <v>0</v>
      </c>
    </row>
    <row r="677" spans="1:28" s="12" customFormat="1" ht="16.5" hidden="1" customHeight="1" x14ac:dyDescent="0.3">
      <c r="A677" s="54">
        <f>작성용!AL674</f>
        <v>673</v>
      </c>
      <c r="B677" s="55" t="str">
        <f>작성용!AI674</f>
        <v>-</v>
      </c>
      <c r="C677" s="56" t="str">
        <f>작성용!AK674</f>
        <v>개별종목</v>
      </c>
      <c r="D677" s="57">
        <f>작성용!T674</f>
        <v>45580</v>
      </c>
      <c r="E677" s="58" t="str">
        <f>작성용!B674</f>
        <v>나우아이비캐피탈</v>
      </c>
      <c r="F677" s="58" t="str">
        <f>작성용!C674</f>
        <v>재평가</v>
      </c>
      <c r="G677" s="58" t="str">
        <f>작성용!D674</f>
        <v>대한조선</v>
      </c>
      <c r="H677" s="59">
        <f>작성용!E674</f>
        <v>2047110003887</v>
      </c>
      <c r="I677" s="58" t="str">
        <f>작성용!F674</f>
        <v>D02</v>
      </c>
      <c r="J677" s="58">
        <f>작성용!G674</f>
        <v>3</v>
      </c>
      <c r="K677" s="58" t="str">
        <f>작성용!H674</f>
        <v>-</v>
      </c>
      <c r="L677" s="58" t="str">
        <f>작성용!N674</f>
        <v xml:space="preserve">반기 </v>
      </c>
      <c r="M677" s="57" t="str">
        <f>작성용!U674</f>
        <v>2024.09.30</v>
      </c>
      <c r="N677" s="57">
        <f>작성용!V674</f>
        <v>45607</v>
      </c>
      <c r="O677" s="57">
        <f>작성용!W674</f>
        <v>45611</v>
      </c>
      <c r="P677" s="57" t="str">
        <f>작성용!X674</f>
        <v>-</v>
      </c>
      <c r="Q677" s="58" t="str">
        <f>작성용!AD674</f>
        <v>오수현</v>
      </c>
      <c r="R677" s="60">
        <f>작성용!AE674</f>
        <v>0</v>
      </c>
      <c r="S677" s="58" t="str">
        <f>작성용!AF674</f>
        <v>오수현</v>
      </c>
      <c r="T677" s="61" t="str">
        <f>작성용!AG674</f>
        <v>유재호</v>
      </c>
      <c r="U677" s="61" t="str">
        <f>작성용!AH674</f>
        <v>유재호</v>
      </c>
      <c r="V677" s="56">
        <f>작성용!AA674</f>
        <v>202411</v>
      </c>
      <c r="W677" s="58" t="str">
        <f>작성용!AC674</f>
        <v>[Y]금융기관</v>
      </c>
      <c r="X677" s="58" t="str">
        <f>작성용!O674</f>
        <v>김혜진대리</v>
      </c>
      <c r="Y677" s="58" t="str">
        <f>작성용!P674</f>
        <v>02-565-0739</v>
      </c>
      <c r="Z677" s="58" t="str">
        <f>작성용!Q674</f>
        <v>hjkim@nauib.com</v>
      </c>
      <c r="AA677" s="56" t="str">
        <f>작성용!AJ674</f>
        <v>국민연금제출</v>
      </c>
      <c r="AB677" s="56">
        <f>작성용!AB674</f>
        <v>0</v>
      </c>
    </row>
    <row r="678" spans="1:28" s="12" customFormat="1" ht="16.5" hidden="1" customHeight="1" x14ac:dyDescent="0.3">
      <c r="A678" s="54">
        <f>작성용!AL675</f>
        <v>674</v>
      </c>
      <c r="B678" s="55" t="str">
        <f>작성용!AI675</f>
        <v>-</v>
      </c>
      <c r="C678" s="56" t="str">
        <f>작성용!AK675</f>
        <v>개별종목</v>
      </c>
      <c r="D678" s="57">
        <f>작성용!T675</f>
        <v>45580</v>
      </c>
      <c r="E678" s="58" t="str">
        <f>작성용!B675</f>
        <v>나우아이비캐피탈</v>
      </c>
      <c r="F678" s="58" t="str">
        <f>작성용!C675</f>
        <v>재평가</v>
      </c>
      <c r="G678" s="58" t="str">
        <f>작성용!D675</f>
        <v>센서텍</v>
      </c>
      <c r="H678" s="59">
        <f>작성용!E675</f>
        <v>1355110118072</v>
      </c>
      <c r="I678" s="58" t="str">
        <f>작성용!F675</f>
        <v>A01</v>
      </c>
      <c r="J678" s="58">
        <f>작성용!G675</f>
        <v>0</v>
      </c>
      <c r="K678" s="58" t="str">
        <f>작성용!H675</f>
        <v>-</v>
      </c>
      <c r="L678" s="58" t="str">
        <f>작성용!N675</f>
        <v xml:space="preserve">반기 </v>
      </c>
      <c r="M678" s="57" t="str">
        <f>작성용!U675</f>
        <v>2024.09.30</v>
      </c>
      <c r="N678" s="57">
        <f>작성용!V675</f>
        <v>45607</v>
      </c>
      <c r="O678" s="57">
        <f>작성용!W675</f>
        <v>45611</v>
      </c>
      <c r="P678" s="57" t="str">
        <f>작성용!X675</f>
        <v>-</v>
      </c>
      <c r="Q678" s="58" t="str">
        <f>작성용!AD675</f>
        <v>정은채</v>
      </c>
      <c r="R678" s="60">
        <f>작성용!AE675</f>
        <v>1</v>
      </c>
      <c r="S678" s="58" t="str">
        <f>작성용!AF675</f>
        <v>정은채</v>
      </c>
      <c r="T678" s="61" t="str">
        <f>작성용!AG675</f>
        <v>유재호</v>
      </c>
      <c r="U678" s="61" t="str">
        <f>작성용!AH675</f>
        <v>유재호</v>
      </c>
      <c r="V678" s="56">
        <f>작성용!AA675</f>
        <v>202411</v>
      </c>
      <c r="W678" s="58" t="str">
        <f>작성용!AC675</f>
        <v>[Y]금융기관</v>
      </c>
      <c r="X678" s="58" t="str">
        <f>작성용!O675</f>
        <v>김혜진대리</v>
      </c>
      <c r="Y678" s="58" t="str">
        <f>작성용!P675</f>
        <v>02-565-0739</v>
      </c>
      <c r="Z678" s="58" t="str">
        <f>작성용!Q675</f>
        <v>hjkim@nauib.com</v>
      </c>
      <c r="AA678" s="56" t="str">
        <f>작성용!AJ675</f>
        <v>국민연금제출</v>
      </c>
      <c r="AB678" s="56">
        <f>작성용!AB675</f>
        <v>0</v>
      </c>
    </row>
    <row r="679" spans="1:28" s="12" customFormat="1" ht="16.5" hidden="1" customHeight="1" x14ac:dyDescent="0.3">
      <c r="A679" s="54">
        <f>작성용!AL676</f>
        <v>675</v>
      </c>
      <c r="B679" s="55" t="str">
        <f>작성용!AI676</f>
        <v>-</v>
      </c>
      <c r="C679" s="56" t="str">
        <f>작성용!AK676</f>
        <v>개별종목</v>
      </c>
      <c r="D679" s="57">
        <f>작성용!T676</f>
        <v>45580</v>
      </c>
      <c r="E679" s="58" t="str">
        <f>작성용!B676</f>
        <v>나우아이비캐피탈</v>
      </c>
      <c r="F679" s="58" t="str">
        <f>작성용!C676</f>
        <v>재평가</v>
      </c>
      <c r="G679" s="58" t="str">
        <f>작성용!D676</f>
        <v>메가존클라우드</v>
      </c>
      <c r="H679" s="59">
        <f>작성용!E676</f>
        <v>1101116803400</v>
      </c>
      <c r="I679" s="58" t="str">
        <f>작성용!F676</f>
        <v>A05</v>
      </c>
      <c r="J679" s="58">
        <f>작성용!G676</f>
        <v>5</v>
      </c>
      <c r="K679" s="58" t="str">
        <f>작성용!H676</f>
        <v>-</v>
      </c>
      <c r="L679" s="58" t="str">
        <f>작성용!N676</f>
        <v xml:space="preserve">반기 </v>
      </c>
      <c r="M679" s="57" t="str">
        <f>작성용!U676</f>
        <v>2024.09.30</v>
      </c>
      <c r="N679" s="57">
        <f>작성용!V676</f>
        <v>45607</v>
      </c>
      <c r="O679" s="57">
        <f>작성용!W676</f>
        <v>45611</v>
      </c>
      <c r="P679" s="57" t="str">
        <f>작성용!X676</f>
        <v>-</v>
      </c>
      <c r="Q679" s="58" t="str">
        <f>작성용!AD676</f>
        <v>심태진</v>
      </c>
      <c r="R679" s="60">
        <f>작성용!AE676</f>
        <v>0</v>
      </c>
      <c r="S679" s="58" t="str">
        <f>작성용!AF676</f>
        <v>심태진</v>
      </c>
      <c r="T679" s="61" t="str">
        <f>작성용!AG676</f>
        <v>유재호</v>
      </c>
      <c r="U679" s="61" t="str">
        <f>작성용!AH676</f>
        <v>유재호</v>
      </c>
      <c r="V679" s="56">
        <f>작성용!AA676</f>
        <v>202411</v>
      </c>
      <c r="W679" s="58" t="str">
        <f>작성용!AC676</f>
        <v>[Y]금융기관</v>
      </c>
      <c r="X679" s="58" t="str">
        <f>작성용!O676</f>
        <v>김혜진대리</v>
      </c>
      <c r="Y679" s="58" t="str">
        <f>작성용!P676</f>
        <v>02-565-0739</v>
      </c>
      <c r="Z679" s="58" t="str">
        <f>작성용!Q676</f>
        <v>hjkim@nauib.com</v>
      </c>
      <c r="AA679" s="56" t="str">
        <f>작성용!AJ676</f>
        <v>국민연금제출</v>
      </c>
      <c r="AB679" s="56">
        <f>작성용!AB676</f>
        <v>0</v>
      </c>
    </row>
    <row r="680" spans="1:28" s="12" customFormat="1" ht="16.5" hidden="1" customHeight="1" x14ac:dyDescent="0.3">
      <c r="A680" s="54">
        <f>작성용!AL677</f>
        <v>676</v>
      </c>
      <c r="B680" s="55" t="str">
        <f>작성용!AI677</f>
        <v>-</v>
      </c>
      <c r="C680" s="56" t="str">
        <f>작성용!AK677</f>
        <v>개별종목</v>
      </c>
      <c r="D680" s="57">
        <f>작성용!T677</f>
        <v>45580</v>
      </c>
      <c r="E680" s="58" t="str">
        <f>작성용!B677</f>
        <v>나우아이비캐피탈</v>
      </c>
      <c r="F680" s="58" t="str">
        <f>작성용!C677</f>
        <v>재평가</v>
      </c>
      <c r="G680" s="58" t="str">
        <f>작성용!D677</f>
        <v>비앤에이치코스메틱</v>
      </c>
      <c r="H680" s="59">
        <f>작성용!E677</f>
        <v>1101114188846</v>
      </c>
      <c r="I680" s="58" t="str">
        <f>작성용!F677</f>
        <v>A01</v>
      </c>
      <c r="J680" s="58">
        <f>작성용!G677</f>
        <v>0</v>
      </c>
      <c r="K680" s="58" t="str">
        <f>작성용!H677</f>
        <v>-</v>
      </c>
      <c r="L680" s="58" t="str">
        <f>작성용!N677</f>
        <v xml:space="preserve">반기 </v>
      </c>
      <c r="M680" s="57" t="str">
        <f>작성용!U677</f>
        <v>2024.09.30</v>
      </c>
      <c r="N680" s="57">
        <f>작성용!V677</f>
        <v>45607</v>
      </c>
      <c r="O680" s="57">
        <f>작성용!W677</f>
        <v>45611</v>
      </c>
      <c r="P680" s="57" t="str">
        <f>작성용!X677</f>
        <v>-</v>
      </c>
      <c r="Q680" s="58" t="str">
        <f>작성용!AD677</f>
        <v>김영하</v>
      </c>
      <c r="R680" s="60">
        <f>작성용!AE677</f>
        <v>1</v>
      </c>
      <c r="S680" s="58" t="str">
        <f>작성용!AF677</f>
        <v>김영하</v>
      </c>
      <c r="T680" s="61" t="str">
        <f>작성용!AG677</f>
        <v>유재호</v>
      </c>
      <c r="U680" s="61" t="str">
        <f>작성용!AH677</f>
        <v>유재호</v>
      </c>
      <c r="V680" s="56">
        <f>작성용!AA677</f>
        <v>202411</v>
      </c>
      <c r="W680" s="58" t="str">
        <f>작성용!AC677</f>
        <v>[Y]금융기관</v>
      </c>
      <c r="X680" s="58" t="str">
        <f>작성용!O677</f>
        <v>김혜진대리</v>
      </c>
      <c r="Y680" s="58" t="str">
        <f>작성용!P677</f>
        <v>02-565-0739</v>
      </c>
      <c r="Z680" s="58" t="str">
        <f>작성용!Q677</f>
        <v>hjkim@nauib.com</v>
      </c>
      <c r="AA680" s="56" t="str">
        <f>작성용!AJ677</f>
        <v>국민연금제출</v>
      </c>
      <c r="AB680" s="56">
        <f>작성용!AB677</f>
        <v>0</v>
      </c>
    </row>
    <row r="681" spans="1:28" s="12" customFormat="1" ht="16.5" hidden="1" customHeight="1" x14ac:dyDescent="0.3">
      <c r="A681" s="54">
        <f>작성용!AL678</f>
        <v>677</v>
      </c>
      <c r="B681" s="55" t="str">
        <f>작성용!AI678</f>
        <v>-</v>
      </c>
      <c r="C681" s="56" t="str">
        <f>작성용!AK678</f>
        <v>개별종목</v>
      </c>
      <c r="D681" s="57">
        <f>작성용!T678</f>
        <v>45580</v>
      </c>
      <c r="E681" s="58" t="str">
        <f>작성용!B678</f>
        <v>나우아이비캐피탈</v>
      </c>
      <c r="F681" s="58" t="str">
        <f>작성용!C678</f>
        <v>재평가</v>
      </c>
      <c r="G681" s="58" t="str">
        <f>작성용!D678</f>
        <v>비앤에이치코스메틱</v>
      </c>
      <c r="H681" s="59">
        <f>작성용!E678</f>
        <v>1101114188846</v>
      </c>
      <c r="I681" s="58" t="str">
        <f>작성용!F678</f>
        <v>A07</v>
      </c>
      <c r="J681" s="58">
        <f>작성용!G678</f>
        <v>1</v>
      </c>
      <c r="K681" s="58" t="str">
        <f>작성용!H678</f>
        <v>-</v>
      </c>
      <c r="L681" s="58" t="str">
        <f>작성용!N678</f>
        <v xml:space="preserve">반기 </v>
      </c>
      <c r="M681" s="57" t="str">
        <f>작성용!U678</f>
        <v>2024.09.30</v>
      </c>
      <c r="N681" s="57">
        <f>작성용!V678</f>
        <v>45607</v>
      </c>
      <c r="O681" s="57">
        <f>작성용!W678</f>
        <v>45611</v>
      </c>
      <c r="P681" s="57" t="str">
        <f>작성용!X678</f>
        <v>-</v>
      </c>
      <c r="Q681" s="58" t="str">
        <f>작성용!AD678</f>
        <v>김영하</v>
      </c>
      <c r="R681" s="60">
        <f>작성용!AE678</f>
        <v>0</v>
      </c>
      <c r="S681" s="58" t="str">
        <f>작성용!AF678</f>
        <v>김영하</v>
      </c>
      <c r="T681" s="61" t="str">
        <f>작성용!AG678</f>
        <v>유재호</v>
      </c>
      <c r="U681" s="61" t="str">
        <f>작성용!AH678</f>
        <v>유재호</v>
      </c>
      <c r="V681" s="56">
        <f>작성용!AA678</f>
        <v>202411</v>
      </c>
      <c r="W681" s="58" t="str">
        <f>작성용!AC678</f>
        <v>[Y]금융기관</v>
      </c>
      <c r="X681" s="58" t="str">
        <f>작성용!O678</f>
        <v>김혜진대리</v>
      </c>
      <c r="Y681" s="58" t="str">
        <f>작성용!P678</f>
        <v>02-565-0739</v>
      </c>
      <c r="Z681" s="58" t="str">
        <f>작성용!Q678</f>
        <v>hjkim@nauib.com</v>
      </c>
      <c r="AA681" s="56" t="str">
        <f>작성용!AJ678</f>
        <v>국민연금제출</v>
      </c>
      <c r="AB681" s="56">
        <f>작성용!AB678</f>
        <v>0</v>
      </c>
    </row>
    <row r="682" spans="1:28" s="12" customFormat="1" ht="16.5" hidden="1" customHeight="1" x14ac:dyDescent="0.3">
      <c r="A682" s="54">
        <f>작성용!AL679</f>
        <v>678</v>
      </c>
      <c r="B682" s="55" t="str">
        <f>작성용!AI679</f>
        <v>-</v>
      </c>
      <c r="C682" s="56" t="str">
        <f>작성용!AK679</f>
        <v>개별종목</v>
      </c>
      <c r="D682" s="57">
        <f>작성용!T679</f>
        <v>45580</v>
      </c>
      <c r="E682" s="58" t="str">
        <f>작성용!B679</f>
        <v>나우아이비캐피탈</v>
      </c>
      <c r="F682" s="58" t="str">
        <f>작성용!C679</f>
        <v>재평가</v>
      </c>
      <c r="G682" s="58" t="str">
        <f>작성용!D679</f>
        <v>비앤에이치코스메틱</v>
      </c>
      <c r="H682" s="59">
        <f>작성용!E679</f>
        <v>1101114188846</v>
      </c>
      <c r="I682" s="58" t="str">
        <f>작성용!F679</f>
        <v>A07</v>
      </c>
      <c r="J682" s="58">
        <f>작성용!G679</f>
        <v>2</v>
      </c>
      <c r="K682" s="58" t="str">
        <f>작성용!H679</f>
        <v>-</v>
      </c>
      <c r="L682" s="58" t="str">
        <f>작성용!N679</f>
        <v xml:space="preserve">반기 </v>
      </c>
      <c r="M682" s="57" t="str">
        <f>작성용!U679</f>
        <v>2024.09.30</v>
      </c>
      <c r="N682" s="57">
        <f>작성용!V679</f>
        <v>45607</v>
      </c>
      <c r="O682" s="57">
        <f>작성용!W679</f>
        <v>45611</v>
      </c>
      <c r="P682" s="57" t="str">
        <f>작성용!X679</f>
        <v>-</v>
      </c>
      <c r="Q682" s="58" t="str">
        <f>작성용!AD679</f>
        <v>김영하</v>
      </c>
      <c r="R682" s="60">
        <f>작성용!AE679</f>
        <v>0</v>
      </c>
      <c r="S682" s="58" t="str">
        <f>작성용!AF679</f>
        <v>김영하</v>
      </c>
      <c r="T682" s="61" t="str">
        <f>작성용!AG679</f>
        <v>유재호</v>
      </c>
      <c r="U682" s="61" t="str">
        <f>작성용!AH679</f>
        <v>유재호</v>
      </c>
      <c r="V682" s="56">
        <f>작성용!AA679</f>
        <v>202411</v>
      </c>
      <c r="W682" s="58" t="str">
        <f>작성용!AC679</f>
        <v>[Y]금융기관</v>
      </c>
      <c r="X682" s="58" t="str">
        <f>작성용!O679</f>
        <v>김혜진대리</v>
      </c>
      <c r="Y682" s="58" t="str">
        <f>작성용!P679</f>
        <v>02-565-0739</v>
      </c>
      <c r="Z682" s="58" t="str">
        <f>작성용!Q679</f>
        <v>hjkim@nauib.com</v>
      </c>
      <c r="AA682" s="56" t="str">
        <f>작성용!AJ679</f>
        <v>국민연금제출</v>
      </c>
      <c r="AB682" s="56">
        <f>작성용!AB679</f>
        <v>0</v>
      </c>
    </row>
    <row r="683" spans="1:28" s="12" customFormat="1" ht="16.5" hidden="1" customHeight="1" x14ac:dyDescent="0.3">
      <c r="A683" s="54">
        <f>작성용!AL680</f>
        <v>679</v>
      </c>
      <c r="B683" s="55" t="str">
        <f>작성용!AI680</f>
        <v>-</v>
      </c>
      <c r="C683" s="56" t="str">
        <f>작성용!AK680</f>
        <v>개별종목</v>
      </c>
      <c r="D683" s="57">
        <f>작성용!T680</f>
        <v>45581</v>
      </c>
      <c r="E683" s="58" t="str">
        <f>작성용!B680</f>
        <v>프리미어파트너스</v>
      </c>
      <c r="F683" s="58" t="str">
        <f>작성용!C680</f>
        <v>재평가</v>
      </c>
      <c r="G683" s="58" t="str">
        <f>작성용!D680</f>
        <v>케이피티</v>
      </c>
      <c r="H683" s="59">
        <f>작성용!E680</f>
        <v>1543110017407</v>
      </c>
      <c r="I683" s="58" t="str">
        <f>작성용!F680</f>
        <v>A01</v>
      </c>
      <c r="J683" s="58">
        <f>작성용!G680</f>
        <v>0</v>
      </c>
      <c r="K683" s="58" t="str">
        <f>작성용!H680</f>
        <v>-</v>
      </c>
      <c r="L683" s="58" t="str">
        <f>작성용!N680</f>
        <v>년</v>
      </c>
      <c r="M683" s="57" t="str">
        <f>작성용!U680</f>
        <v>2024.09.30</v>
      </c>
      <c r="N683" s="57">
        <f>작성용!V680</f>
        <v>45604</v>
      </c>
      <c r="O683" s="57">
        <f>작성용!W680</f>
        <v>45609</v>
      </c>
      <c r="P683" s="57" t="str">
        <f>작성용!X680</f>
        <v>-</v>
      </c>
      <c r="Q683" s="58" t="str">
        <f>작성용!AD680</f>
        <v>이문수</v>
      </c>
      <c r="R683" s="60">
        <f>작성용!AE680</f>
        <v>1</v>
      </c>
      <c r="S683" s="58" t="str">
        <f>작성용!AF680</f>
        <v>이문수</v>
      </c>
      <c r="T683" s="61" t="str">
        <f>작성용!AG680</f>
        <v>이문수</v>
      </c>
      <c r="U683" s="61" t="str">
        <f>작성용!AH680</f>
        <v>이문수</v>
      </c>
      <c r="V683" s="56">
        <f>작성용!AA680</f>
        <v>202411</v>
      </c>
      <c r="W683" s="58" t="str">
        <f>작성용!AC680</f>
        <v>[Y]금융기관</v>
      </c>
      <c r="X683" s="58" t="str">
        <f>작성용!O680</f>
        <v xml:space="preserve">박은경이사 </v>
      </c>
      <c r="Y683" s="58" t="str">
        <f>작성용!P680</f>
        <v xml:space="preserve">02-564-0131 </v>
      </c>
      <c r="Z683" s="58" t="str">
        <f>작성용!Q680</f>
        <v xml:space="preserve">ekpark@premierpartners.co.kr </v>
      </c>
      <c r="AA683" s="56" t="str">
        <f>작성용!AJ680</f>
        <v>국민연금제출</v>
      </c>
      <c r="AB683" s="56">
        <f>작성용!AB680</f>
        <v>0</v>
      </c>
    </row>
    <row r="684" spans="1:28" s="12" customFormat="1" ht="16.5" hidden="1" customHeight="1" x14ac:dyDescent="0.3">
      <c r="A684" s="54">
        <f>작성용!AL681</f>
        <v>680</v>
      </c>
      <c r="B684" s="55" t="str">
        <f>작성용!AI681</f>
        <v>-</v>
      </c>
      <c r="C684" s="56" t="str">
        <f>작성용!AK681</f>
        <v>개별종목</v>
      </c>
      <c r="D684" s="57">
        <f>작성용!T681</f>
        <v>45581</v>
      </c>
      <c r="E684" s="58" t="str">
        <f>작성용!B681</f>
        <v>프리미어파트너스</v>
      </c>
      <c r="F684" s="58" t="str">
        <f>작성용!C681</f>
        <v>재평가</v>
      </c>
      <c r="G684" s="58" t="str">
        <f>작성용!D681</f>
        <v>아이비엘홀딩스</v>
      </c>
      <c r="H684" s="59">
        <f>작성용!E681</f>
        <v>1101116873809</v>
      </c>
      <c r="I684" s="58" t="str">
        <f>작성용!F681</f>
        <v>A01</v>
      </c>
      <c r="J684" s="58">
        <f>작성용!G681</f>
        <v>0</v>
      </c>
      <c r="K684" s="58" t="str">
        <f>작성용!H681</f>
        <v>-</v>
      </c>
      <c r="L684" s="58" t="str">
        <f>작성용!N681</f>
        <v>년</v>
      </c>
      <c r="M684" s="57" t="str">
        <f>작성용!U681</f>
        <v>2024.09.30</v>
      </c>
      <c r="N684" s="57">
        <f>작성용!V681</f>
        <v>45604</v>
      </c>
      <c r="O684" s="57">
        <f>작성용!W681</f>
        <v>45609</v>
      </c>
      <c r="P684" s="57" t="str">
        <f>작성용!X681</f>
        <v>-</v>
      </c>
      <c r="Q684" s="58" t="str">
        <f>작성용!AD681</f>
        <v>이문수</v>
      </c>
      <c r="R684" s="60">
        <f>작성용!AE681</f>
        <v>1</v>
      </c>
      <c r="S684" s="58" t="str">
        <f>작성용!AF681</f>
        <v>고명주</v>
      </c>
      <c r="T684" s="61" t="str">
        <f>작성용!AG681</f>
        <v>이문수</v>
      </c>
      <c r="U684" s="61" t="str">
        <f>작성용!AH681</f>
        <v>이문수</v>
      </c>
      <c r="V684" s="56">
        <f>작성용!AA681</f>
        <v>202411</v>
      </c>
      <c r="W684" s="58" t="str">
        <f>작성용!AC681</f>
        <v>[Y]금융기관</v>
      </c>
      <c r="X684" s="58" t="str">
        <f>작성용!O681</f>
        <v xml:space="preserve">박은경이사 </v>
      </c>
      <c r="Y684" s="58" t="str">
        <f>작성용!P681</f>
        <v xml:space="preserve">02-564-0131 </v>
      </c>
      <c r="Z684" s="58" t="str">
        <f>작성용!Q681</f>
        <v xml:space="preserve">ekpark@premierpartners.co.kr </v>
      </c>
      <c r="AA684" s="56" t="str">
        <f>작성용!AJ681</f>
        <v>국민연금제출</v>
      </c>
      <c r="AB684" s="56">
        <f>작성용!AB681</f>
        <v>0</v>
      </c>
    </row>
    <row r="685" spans="1:28" s="12" customFormat="1" ht="16.5" hidden="1" customHeight="1" x14ac:dyDescent="0.3">
      <c r="A685" s="54">
        <f>작성용!AL682</f>
        <v>681</v>
      </c>
      <c r="B685" s="55" t="str">
        <f>작성용!AI682</f>
        <v>-</v>
      </c>
      <c r="C685" s="56" t="str">
        <f>작성용!AK682</f>
        <v>개별종목</v>
      </c>
      <c r="D685" s="57">
        <f>작성용!T682</f>
        <v>45581</v>
      </c>
      <c r="E685" s="58" t="str">
        <f>작성용!B682</f>
        <v>프리미어파트너스</v>
      </c>
      <c r="F685" s="58" t="str">
        <f>작성용!C682</f>
        <v>재평가</v>
      </c>
      <c r="G685" s="58" t="str">
        <f>작성용!D682</f>
        <v>BCPE Centur Invesments, LP</v>
      </c>
      <c r="H685" s="59" t="str">
        <f>작성용!E682</f>
        <v>KBP2023090029</v>
      </c>
      <c r="I685" s="58" t="str">
        <f>작성용!F682</f>
        <v>A01</v>
      </c>
      <c r="J685" s="58">
        <f>작성용!G682</f>
        <v>0</v>
      </c>
      <c r="K685" s="58" t="str">
        <f>작성용!H682</f>
        <v>-</v>
      </c>
      <c r="L685" s="58" t="str">
        <f>작성용!N682</f>
        <v>년</v>
      </c>
      <c r="M685" s="57" t="str">
        <f>작성용!U682</f>
        <v>2024.09.30</v>
      </c>
      <c r="N685" s="57">
        <f>작성용!V682</f>
        <v>45604</v>
      </c>
      <c r="O685" s="57">
        <f>작성용!W682</f>
        <v>45609</v>
      </c>
      <c r="P685" s="57" t="str">
        <f>작성용!X682</f>
        <v>-</v>
      </c>
      <c r="Q685" s="58" t="str">
        <f>작성용!AD682</f>
        <v>채동우</v>
      </c>
      <c r="R685" s="60">
        <f>작성용!AE682</f>
        <v>1</v>
      </c>
      <c r="S685" s="58" t="str">
        <f>작성용!AF682</f>
        <v>채동우</v>
      </c>
      <c r="T685" s="61" t="str">
        <f>작성용!AG682</f>
        <v>이문수</v>
      </c>
      <c r="U685" s="61" t="str">
        <f>작성용!AH682</f>
        <v>이문수</v>
      </c>
      <c r="V685" s="56">
        <f>작성용!AA682</f>
        <v>202411</v>
      </c>
      <c r="W685" s="58" t="str">
        <f>작성용!AC682</f>
        <v>[Y]금융기관</v>
      </c>
      <c r="X685" s="58" t="str">
        <f>작성용!O682</f>
        <v xml:space="preserve">박은경이사 </v>
      </c>
      <c r="Y685" s="58" t="str">
        <f>작성용!P682</f>
        <v xml:space="preserve">02-564-0131 </v>
      </c>
      <c r="Z685" s="58" t="str">
        <f>작성용!Q682</f>
        <v xml:space="preserve">ekpark@premierpartners.co.kr </v>
      </c>
      <c r="AA685" s="56" t="str">
        <f>작성용!AJ682</f>
        <v>국민연금제출</v>
      </c>
      <c r="AB685" s="56">
        <f>작성용!AB682</f>
        <v>0</v>
      </c>
    </row>
    <row r="686" spans="1:28" s="12" customFormat="1" ht="16.5" hidden="1" customHeight="1" x14ac:dyDescent="0.3">
      <c r="A686" s="54">
        <f>작성용!AL683</f>
        <v>682</v>
      </c>
      <c r="B686" s="55" t="str">
        <f>작성용!AI683</f>
        <v>-</v>
      </c>
      <c r="C686" s="56" t="str">
        <f>작성용!AK683</f>
        <v>개별종목</v>
      </c>
      <c r="D686" s="57">
        <f>작성용!T683</f>
        <v>45581</v>
      </c>
      <c r="E686" s="58" t="str">
        <f>작성용!B683</f>
        <v>프리미어파트너스</v>
      </c>
      <c r="F686" s="58" t="str">
        <f>작성용!C683</f>
        <v>재평가</v>
      </c>
      <c r="G686" s="58" t="str">
        <f>작성용!D683</f>
        <v>에코얼라이언스홀딩스</v>
      </c>
      <c r="H686" s="59">
        <f>작성용!E683</f>
        <v>1101140297314</v>
      </c>
      <c r="I686" s="58" t="str">
        <f>작성용!F683</f>
        <v>A01</v>
      </c>
      <c r="J686" s="58">
        <f>작성용!G683</f>
        <v>0</v>
      </c>
      <c r="K686" s="58" t="str">
        <f>작성용!H683</f>
        <v>-</v>
      </c>
      <c r="L686" s="58" t="str">
        <f>작성용!N683</f>
        <v>년</v>
      </c>
      <c r="M686" s="57" t="str">
        <f>작성용!U683</f>
        <v>2024.09.30</v>
      </c>
      <c r="N686" s="57">
        <f>작성용!V683</f>
        <v>45604</v>
      </c>
      <c r="O686" s="57">
        <f>작성용!W683</f>
        <v>45609</v>
      </c>
      <c r="P686" s="57" t="str">
        <f>작성용!X683</f>
        <v>-</v>
      </c>
      <c r="Q686" s="58" t="str">
        <f>작성용!AD683</f>
        <v>신원준</v>
      </c>
      <c r="R686" s="60">
        <f>작성용!AE683</f>
        <v>1</v>
      </c>
      <c r="S686" s="58" t="str">
        <f>작성용!AF683</f>
        <v>서수빈</v>
      </c>
      <c r="T686" s="61" t="str">
        <f>작성용!AG683</f>
        <v>이문수</v>
      </c>
      <c r="U686" s="61" t="str">
        <f>작성용!AH683</f>
        <v>이문수</v>
      </c>
      <c r="V686" s="56">
        <f>작성용!AA683</f>
        <v>202411</v>
      </c>
      <c r="W686" s="58" t="str">
        <f>작성용!AC683</f>
        <v>[Y]금융기관</v>
      </c>
      <c r="X686" s="58" t="str">
        <f>작성용!O683</f>
        <v xml:space="preserve">박은경이사 </v>
      </c>
      <c r="Y686" s="58" t="str">
        <f>작성용!P683</f>
        <v xml:space="preserve">02-564-0131 </v>
      </c>
      <c r="Z686" s="58" t="str">
        <f>작성용!Q683</f>
        <v xml:space="preserve">ekpark@premierpartners.co.kr </v>
      </c>
      <c r="AA686" s="56" t="str">
        <f>작성용!AJ683</f>
        <v>국민연금제출</v>
      </c>
      <c r="AB686" s="56">
        <f>작성용!AB683</f>
        <v>0</v>
      </c>
    </row>
    <row r="687" spans="1:28" s="12" customFormat="1" ht="16.5" hidden="1" customHeight="1" x14ac:dyDescent="0.3">
      <c r="A687" s="54">
        <f>작성용!AL684</f>
        <v>683</v>
      </c>
      <c r="B687" s="55" t="str">
        <f>작성용!AI684</f>
        <v>-</v>
      </c>
      <c r="C687" s="56" t="str">
        <f>작성용!AK684</f>
        <v>개별종목</v>
      </c>
      <c r="D687" s="57">
        <f>작성용!T684</f>
        <v>45581</v>
      </c>
      <c r="E687" s="58" t="str">
        <f>작성용!B684</f>
        <v>프리미어파트너스</v>
      </c>
      <c r="F687" s="58" t="str">
        <f>작성용!C684</f>
        <v>재평가</v>
      </c>
      <c r="G687" s="58" t="str">
        <f>작성용!D684</f>
        <v>라인스튜디오</v>
      </c>
      <c r="H687" s="59">
        <f>작성용!E684</f>
        <v>1311110497816</v>
      </c>
      <c r="I687" s="58" t="str">
        <f>작성용!F684</f>
        <v>A05</v>
      </c>
      <c r="J687" s="58">
        <f>작성용!G684</f>
        <v>0</v>
      </c>
      <c r="K687" s="58" t="str">
        <f>작성용!H684</f>
        <v>-</v>
      </c>
      <c r="L687" s="58" t="str">
        <f>작성용!N684</f>
        <v>년</v>
      </c>
      <c r="M687" s="57" t="str">
        <f>작성용!U684</f>
        <v>2024.09.30</v>
      </c>
      <c r="N687" s="57">
        <f>작성용!V684</f>
        <v>45604</v>
      </c>
      <c r="O687" s="57">
        <f>작성용!W684</f>
        <v>45609</v>
      </c>
      <c r="P687" s="57" t="str">
        <f>작성용!X684</f>
        <v>-</v>
      </c>
      <c r="Q687" s="58" t="str">
        <f>작성용!AD684</f>
        <v>백형진</v>
      </c>
      <c r="R687" s="60">
        <f>작성용!AE684</f>
        <v>1</v>
      </c>
      <c r="S687" s="58" t="str">
        <f>작성용!AF684</f>
        <v>백형진</v>
      </c>
      <c r="T687" s="61" t="str">
        <f>작성용!AG684</f>
        <v>이문수</v>
      </c>
      <c r="U687" s="61" t="str">
        <f>작성용!AH684</f>
        <v>이문수</v>
      </c>
      <c r="V687" s="56">
        <f>작성용!AA684</f>
        <v>202411</v>
      </c>
      <c r="W687" s="58" t="str">
        <f>작성용!AC684</f>
        <v>[Y]금융기관</v>
      </c>
      <c r="X687" s="58" t="str">
        <f>작성용!O684</f>
        <v xml:space="preserve">박은경이사 </v>
      </c>
      <c r="Y687" s="58" t="str">
        <f>작성용!P684</f>
        <v xml:space="preserve">02-564-0131 </v>
      </c>
      <c r="Z687" s="58" t="str">
        <f>작성용!Q684</f>
        <v xml:space="preserve">ekpark@premierpartners.co.kr </v>
      </c>
      <c r="AA687" s="56" t="str">
        <f>작성용!AJ684</f>
        <v>국민연금제출</v>
      </c>
      <c r="AB687" s="56">
        <f>작성용!AB684</f>
        <v>0</v>
      </c>
    </row>
    <row r="688" spans="1:28" s="12" customFormat="1" ht="16.5" hidden="1" customHeight="1" x14ac:dyDescent="0.3">
      <c r="A688" s="54">
        <f>작성용!AL685</f>
        <v>684</v>
      </c>
      <c r="B688" s="55" t="str">
        <f>작성용!AI685</f>
        <v>-</v>
      </c>
      <c r="C688" s="56" t="str">
        <f>작성용!AK685</f>
        <v>개별종목</v>
      </c>
      <c r="D688" s="57">
        <f>작성용!T685</f>
        <v>45581</v>
      </c>
      <c r="E688" s="58" t="str">
        <f>작성용!B685</f>
        <v>프리미어파트너스</v>
      </c>
      <c r="F688" s="58" t="str">
        <f>작성용!C685</f>
        <v>신규</v>
      </c>
      <c r="G688" s="58" t="str">
        <f>작성용!D685</f>
        <v>프라임모뉴먼트</v>
      </c>
      <c r="H688" s="59">
        <f>작성용!E685</f>
        <v>1101140312526</v>
      </c>
      <c r="I688" s="58" t="str">
        <f>작성용!F685</f>
        <v>A01</v>
      </c>
      <c r="J688" s="58">
        <f>작성용!G685</f>
        <v>0</v>
      </c>
      <c r="K688" s="58" t="str">
        <f>작성용!H685</f>
        <v>-</v>
      </c>
      <c r="L688" s="58" t="str">
        <f>작성용!N685</f>
        <v>년</v>
      </c>
      <c r="M688" s="57" t="str">
        <f>작성용!U685</f>
        <v>2024.09.30</v>
      </c>
      <c r="N688" s="57">
        <f>작성용!V685</f>
        <v>45604</v>
      </c>
      <c r="O688" s="57">
        <f>작성용!W685</f>
        <v>45609</v>
      </c>
      <c r="P688" s="57" t="str">
        <f>작성용!X685</f>
        <v>-</v>
      </c>
      <c r="Q688" s="58" t="str">
        <f>작성용!AD685</f>
        <v>이상민</v>
      </c>
      <c r="R688" s="60">
        <f>작성용!AE685</f>
        <v>1</v>
      </c>
      <c r="S688" s="58" t="str">
        <f>작성용!AF685</f>
        <v>신규</v>
      </c>
      <c r="T688" s="61" t="str">
        <f>작성용!AG685</f>
        <v>이문수</v>
      </c>
      <c r="U688" s="61" t="str">
        <f>작성용!AH685</f>
        <v>이문수</v>
      </c>
      <c r="V688" s="56">
        <f>작성용!AA685</f>
        <v>202411</v>
      </c>
      <c r="W688" s="58" t="str">
        <f>작성용!AC685</f>
        <v>[Y]금융기관</v>
      </c>
      <c r="X688" s="58" t="str">
        <f>작성용!O685</f>
        <v xml:space="preserve">박은경이사 </v>
      </c>
      <c r="Y688" s="58" t="str">
        <f>작성용!P685</f>
        <v xml:space="preserve">02-564-0131 </v>
      </c>
      <c r="Z688" s="58" t="str">
        <f>작성용!Q685</f>
        <v xml:space="preserve">ekpark@premierpartners.co.kr </v>
      </c>
      <c r="AA688" s="56" t="str">
        <f>작성용!AJ685</f>
        <v>국민연금제출</v>
      </c>
      <c r="AB688" s="56">
        <f>작성용!AB685</f>
        <v>0</v>
      </c>
    </row>
    <row r="689" spans="1:28" s="12" customFormat="1" ht="16.5" hidden="1" customHeight="1" x14ac:dyDescent="0.3">
      <c r="A689" s="54">
        <f>작성용!AL686</f>
        <v>685</v>
      </c>
      <c r="B689" s="55" t="str">
        <f>작성용!AI686</f>
        <v>-</v>
      </c>
      <c r="C689" s="56" t="str">
        <f>작성용!AK686</f>
        <v>개별종목</v>
      </c>
      <c r="D689" s="57">
        <f>작성용!T686</f>
        <v>45581</v>
      </c>
      <c r="E689" s="58" t="str">
        <f>작성용!B686</f>
        <v>프리미어파트너스</v>
      </c>
      <c r="F689" s="58" t="str">
        <f>작성용!C686</f>
        <v>신규</v>
      </c>
      <c r="G689" s="58" t="str">
        <f>작성용!D686</f>
        <v>라디언트홀딩스</v>
      </c>
      <c r="H689" s="59">
        <f>작성용!E686</f>
        <v>1101140314100</v>
      </c>
      <c r="I689" s="58" t="str">
        <f>작성용!F686</f>
        <v>A01</v>
      </c>
      <c r="J689" s="58">
        <f>작성용!G686</f>
        <v>0</v>
      </c>
      <c r="K689" s="58" t="str">
        <f>작성용!H686</f>
        <v>-</v>
      </c>
      <c r="L689" s="58" t="str">
        <f>작성용!N686</f>
        <v>년</v>
      </c>
      <c r="M689" s="57" t="str">
        <f>작성용!U686</f>
        <v>2024.09.30</v>
      </c>
      <c r="N689" s="57">
        <f>작성용!V686</f>
        <v>45604</v>
      </c>
      <c r="O689" s="57">
        <f>작성용!W686</f>
        <v>45609</v>
      </c>
      <c r="P689" s="57" t="str">
        <f>작성용!X686</f>
        <v>-</v>
      </c>
      <c r="Q689" s="58" t="str">
        <f>작성용!AD686</f>
        <v>원정우</v>
      </c>
      <c r="R689" s="60">
        <f>작성용!AE686</f>
        <v>1</v>
      </c>
      <c r="S689" s="58" t="str">
        <f>작성용!AF686</f>
        <v>신규</v>
      </c>
      <c r="T689" s="61" t="str">
        <f>작성용!AG686</f>
        <v>이문수</v>
      </c>
      <c r="U689" s="61" t="str">
        <f>작성용!AH686</f>
        <v>이문수</v>
      </c>
      <c r="V689" s="56">
        <f>작성용!AA686</f>
        <v>202411</v>
      </c>
      <c r="W689" s="58" t="str">
        <f>작성용!AC686</f>
        <v>[Y]금융기관</v>
      </c>
      <c r="X689" s="58" t="str">
        <f>작성용!O686</f>
        <v xml:space="preserve">박은경이사 </v>
      </c>
      <c r="Y689" s="58" t="str">
        <f>작성용!P686</f>
        <v xml:space="preserve">02-564-0131 </v>
      </c>
      <c r="Z689" s="58" t="str">
        <f>작성용!Q686</f>
        <v xml:space="preserve">ekpark@premierpartners.co.kr </v>
      </c>
      <c r="AA689" s="56" t="str">
        <f>작성용!AJ686</f>
        <v>국민연금제출</v>
      </c>
      <c r="AB689" s="56">
        <f>작성용!AB686</f>
        <v>0</v>
      </c>
    </row>
    <row r="690" spans="1:28" s="12" customFormat="1" ht="16.5" hidden="1" customHeight="1" x14ac:dyDescent="0.3">
      <c r="A690" s="54">
        <f>작성용!AL687</f>
        <v>686</v>
      </c>
      <c r="B690" s="55" t="str">
        <f>작성용!AI687</f>
        <v>-</v>
      </c>
      <c r="C690" s="56" t="str">
        <f>작성용!AK687</f>
        <v>개별종목</v>
      </c>
      <c r="D690" s="57">
        <f>작성용!T687</f>
        <v>45581</v>
      </c>
      <c r="E690" s="58" t="str">
        <f>작성용!B687</f>
        <v>프리미어파트너스</v>
      </c>
      <c r="F690" s="58" t="str">
        <f>작성용!C687</f>
        <v>신규</v>
      </c>
      <c r="G690" s="58" t="str">
        <f>작성용!D687</f>
        <v>에코프로비엠</v>
      </c>
      <c r="H690" s="59">
        <f>작성용!E687</f>
        <v>1501110219184</v>
      </c>
      <c r="I690" s="58" t="str">
        <f>작성용!F687</f>
        <v>D02</v>
      </c>
      <c r="J690" s="58">
        <f>작성용!G687</f>
        <v>0</v>
      </c>
      <c r="K690" s="58" t="str">
        <f>작성용!H687</f>
        <v>-</v>
      </c>
      <c r="L690" s="58" t="str">
        <f>작성용!N687</f>
        <v>년</v>
      </c>
      <c r="M690" s="57" t="str">
        <f>작성용!U687</f>
        <v>2024.09.30</v>
      </c>
      <c r="N690" s="57">
        <f>작성용!V687</f>
        <v>45604</v>
      </c>
      <c r="O690" s="57">
        <f>작성용!W687</f>
        <v>45609</v>
      </c>
      <c r="P690" s="57" t="str">
        <f>작성용!X687</f>
        <v>-</v>
      </c>
      <c r="Q690" s="58" t="str">
        <f>작성용!AD687</f>
        <v>상장</v>
      </c>
      <c r="R690" s="60">
        <f>작성용!AE687</f>
        <v>0</v>
      </c>
      <c r="S690" s="58" t="str">
        <f>작성용!AF687</f>
        <v>상장</v>
      </c>
      <c r="T690" s="61" t="str">
        <f>작성용!AG687</f>
        <v>이문수</v>
      </c>
      <c r="U690" s="61" t="str">
        <f>작성용!AH687</f>
        <v>이문수</v>
      </c>
      <c r="V690" s="56">
        <f>작성용!AA687</f>
        <v>202411</v>
      </c>
      <c r="W690" s="58" t="str">
        <f>작성용!AC687</f>
        <v>[Y]금융기관</v>
      </c>
      <c r="X690" s="58" t="str">
        <f>작성용!O687</f>
        <v xml:space="preserve">박은경이사 </v>
      </c>
      <c r="Y690" s="58" t="str">
        <f>작성용!P687</f>
        <v xml:space="preserve">02-564-0131 </v>
      </c>
      <c r="Z690" s="58" t="str">
        <f>작성용!Q687</f>
        <v xml:space="preserve">ekpark@premierpartners.co.kr </v>
      </c>
      <c r="AA690" s="56" t="str">
        <f>작성용!AJ687</f>
        <v>국민연금제출</v>
      </c>
      <c r="AB690" s="56">
        <f>작성용!AB687</f>
        <v>0</v>
      </c>
    </row>
    <row r="691" spans="1:28" s="12" customFormat="1" ht="16.5" hidden="1" customHeight="1" x14ac:dyDescent="0.3">
      <c r="A691" s="54">
        <f>작성용!AL688</f>
        <v>687</v>
      </c>
      <c r="B691" s="55" t="str">
        <f>작성용!AI688</f>
        <v>-</v>
      </c>
      <c r="C691" s="56" t="str">
        <f>작성용!AK688</f>
        <v>개별종목</v>
      </c>
      <c r="D691" s="57">
        <f>작성용!T688</f>
        <v>45581</v>
      </c>
      <c r="E691" s="58" t="str">
        <f>작성용!B688</f>
        <v>프리미어파트너스</v>
      </c>
      <c r="F691" s="58" t="str">
        <f>작성용!C688</f>
        <v>신규</v>
      </c>
      <c r="G691" s="58" t="str">
        <f>작성용!D688</f>
        <v>에코프로이노베이션</v>
      </c>
      <c r="H691" s="59">
        <f>작성용!E688</f>
        <v>1101113273698</v>
      </c>
      <c r="I691" s="58" t="str">
        <f>작성용!F688</f>
        <v>A01</v>
      </c>
      <c r="J691" s="58">
        <f>작성용!G688</f>
        <v>0</v>
      </c>
      <c r="K691" s="58" t="str">
        <f>작성용!H688</f>
        <v>-</v>
      </c>
      <c r="L691" s="58" t="str">
        <f>작성용!N688</f>
        <v>년</v>
      </c>
      <c r="M691" s="57" t="str">
        <f>작성용!U688</f>
        <v>2024.09.30</v>
      </c>
      <c r="N691" s="57">
        <f>작성용!V688</f>
        <v>45604</v>
      </c>
      <c r="O691" s="57">
        <f>작성용!W688</f>
        <v>45609</v>
      </c>
      <c r="P691" s="57" t="str">
        <f>작성용!X688</f>
        <v>-</v>
      </c>
      <c r="Q691" s="58" t="str">
        <f>작성용!AD688</f>
        <v>김에스더</v>
      </c>
      <c r="R691" s="60">
        <f>작성용!AE688</f>
        <v>0</v>
      </c>
      <c r="S691" s="58" t="str">
        <f>작성용!AF688</f>
        <v>조현우</v>
      </c>
      <c r="T691" s="61" t="str">
        <f>작성용!AG688</f>
        <v>이문수</v>
      </c>
      <c r="U691" s="61" t="str">
        <f>작성용!AH688</f>
        <v>이문수</v>
      </c>
      <c r="V691" s="56">
        <f>작성용!AA688</f>
        <v>202411</v>
      </c>
      <c r="W691" s="58" t="str">
        <f>작성용!AC688</f>
        <v>[Y]금융기관</v>
      </c>
      <c r="X691" s="58" t="str">
        <f>작성용!O688</f>
        <v xml:space="preserve">박은경이사 </v>
      </c>
      <c r="Y691" s="58" t="str">
        <f>작성용!P688</f>
        <v xml:space="preserve">02-564-0131 </v>
      </c>
      <c r="Z691" s="58" t="str">
        <f>작성용!Q688</f>
        <v xml:space="preserve">ekpark@premierpartners.co.kr </v>
      </c>
      <c r="AA691" s="56" t="str">
        <f>작성용!AJ688</f>
        <v>국민연금제출</v>
      </c>
      <c r="AB691" s="56">
        <f>작성용!AB688</f>
        <v>0</v>
      </c>
    </row>
    <row r="692" spans="1:28" s="12" customFormat="1" ht="16.5" hidden="1" customHeight="1" x14ac:dyDescent="0.3">
      <c r="A692" s="54">
        <f>작성용!AL689</f>
        <v>688</v>
      </c>
      <c r="B692" s="55" t="str">
        <f>작성용!AI689</f>
        <v>-</v>
      </c>
      <c r="C692" s="56" t="str">
        <f>작성용!AK689</f>
        <v>개별종목</v>
      </c>
      <c r="D692" s="57">
        <f>작성용!T689</f>
        <v>45581</v>
      </c>
      <c r="E692" s="58" t="str">
        <f>작성용!B689</f>
        <v>프리미어파트너스</v>
      </c>
      <c r="F692" s="58" t="str">
        <f>작성용!C689</f>
        <v>신규</v>
      </c>
      <c r="G692" s="58" t="str">
        <f>작성용!D689</f>
        <v>토스뱅크</v>
      </c>
      <c r="H692" s="59">
        <f>작성용!E689</f>
        <v>1101117373098</v>
      </c>
      <c r="I692" s="58" t="str">
        <f>작성용!F689</f>
        <v>A01</v>
      </c>
      <c r="J692" s="58">
        <f>작성용!G689</f>
        <v>0</v>
      </c>
      <c r="K692" s="58" t="str">
        <f>작성용!H689</f>
        <v>-</v>
      </c>
      <c r="L692" s="58" t="str">
        <f>작성용!N689</f>
        <v>년</v>
      </c>
      <c r="M692" s="57" t="str">
        <f>작성용!U689</f>
        <v>2024.09.30</v>
      </c>
      <c r="N692" s="57">
        <f>작성용!V689</f>
        <v>45604</v>
      </c>
      <c r="O692" s="57">
        <f>작성용!W689</f>
        <v>45609</v>
      </c>
      <c r="P692" s="57" t="str">
        <f>작성용!X689</f>
        <v>-</v>
      </c>
      <c r="Q692" s="58" t="str">
        <f>작성용!AD689</f>
        <v>신원준</v>
      </c>
      <c r="R692" s="60">
        <f>작성용!AE689</f>
        <v>1</v>
      </c>
      <c r="S692" s="58" t="str">
        <f>작성용!AF689</f>
        <v>신규</v>
      </c>
      <c r="T692" s="61" t="str">
        <f>작성용!AG689</f>
        <v>이문수</v>
      </c>
      <c r="U692" s="61" t="str">
        <f>작성용!AH689</f>
        <v>이문수</v>
      </c>
      <c r="V692" s="56">
        <f>작성용!AA689</f>
        <v>202411</v>
      </c>
      <c r="W692" s="58" t="str">
        <f>작성용!AC689</f>
        <v>[Y]금융기관</v>
      </c>
      <c r="X692" s="58" t="str">
        <f>작성용!O689</f>
        <v xml:space="preserve">박은경이사 </v>
      </c>
      <c r="Y692" s="58" t="str">
        <f>작성용!P689</f>
        <v xml:space="preserve">02-564-0131 </v>
      </c>
      <c r="Z692" s="58" t="str">
        <f>작성용!Q689</f>
        <v xml:space="preserve">ekpark@premierpartners.co.kr </v>
      </c>
      <c r="AA692" s="56" t="str">
        <f>작성용!AJ689</f>
        <v>국민연금제출</v>
      </c>
      <c r="AB692" s="56">
        <f>작성용!AB689</f>
        <v>0</v>
      </c>
    </row>
    <row r="693" spans="1:28" s="12" customFormat="1" ht="16.5" hidden="1" customHeight="1" x14ac:dyDescent="0.3">
      <c r="A693" s="54">
        <f>작성용!AL690</f>
        <v>689</v>
      </c>
      <c r="B693" s="55" t="str">
        <f>작성용!AI690</f>
        <v>-</v>
      </c>
      <c r="C693" s="56" t="str">
        <f>작성용!AK690</f>
        <v>개별종목</v>
      </c>
      <c r="D693" s="57">
        <f>작성용!T690</f>
        <v>45581</v>
      </c>
      <c r="E693" s="58" t="str">
        <f>작성용!B690</f>
        <v>어펄마캐피탈(구,스탠다드차타드프라이빗에쿼티)</v>
      </c>
      <c r="F693" s="58" t="str">
        <f>작성용!C690</f>
        <v>재평가</v>
      </c>
      <c r="G693" s="58" t="str">
        <f>작성용!D690</f>
        <v>성경식품</v>
      </c>
      <c r="H693" s="59">
        <f>작성용!E690</f>
        <v>1601110398746</v>
      </c>
      <c r="I693" s="58" t="str">
        <f>작성용!F690</f>
        <v>A01</v>
      </c>
      <c r="J693" s="58">
        <f>작성용!G690</f>
        <v>0</v>
      </c>
      <c r="K693" s="58" t="str">
        <f>작성용!H690</f>
        <v>-</v>
      </c>
      <c r="L693" s="58" t="str">
        <f>작성용!N690</f>
        <v xml:space="preserve">반기 </v>
      </c>
      <c r="M693" s="57" t="str">
        <f>작성용!U690</f>
        <v>2024.09.30</v>
      </c>
      <c r="N693" s="57">
        <f>작성용!V690</f>
        <v>45600</v>
      </c>
      <c r="O693" s="57">
        <f>작성용!W690</f>
        <v>45611</v>
      </c>
      <c r="P693" s="57" t="str">
        <f>작성용!X690</f>
        <v>-</v>
      </c>
      <c r="Q693" s="58" t="str">
        <f>작성용!AD690</f>
        <v>강성은</v>
      </c>
      <c r="R693" s="60">
        <f>작성용!AE690</f>
        <v>1</v>
      </c>
      <c r="S693" s="58" t="str">
        <f>작성용!AF690</f>
        <v>강성은</v>
      </c>
      <c r="T693" s="61" t="str">
        <f>작성용!AG690</f>
        <v>서동현</v>
      </c>
      <c r="U693" s="61" t="str">
        <f>작성용!AH690</f>
        <v>서동현</v>
      </c>
      <c r="V693" s="56">
        <f>작성용!AA690</f>
        <v>202411</v>
      </c>
      <c r="W693" s="58" t="str">
        <f>작성용!AC690</f>
        <v>[Y]금융기관</v>
      </c>
      <c r="X693" s="58" t="str">
        <f>작성용!O690</f>
        <v>정혜승이사</v>
      </c>
      <c r="Y693" s="58" t="str">
        <f>작성용!P690</f>
        <v xml:space="preserve">02-3700-1314 </v>
      </c>
      <c r="Z693" s="58" t="str">
        <f>작성용!Q690</f>
        <v xml:space="preserve">Hyeseung.Jeong@affirmacapital.com </v>
      </c>
      <c r="AA693" s="56" t="str">
        <f>작성용!AJ690</f>
        <v>국민연금제출</v>
      </c>
      <c r="AB693" s="56">
        <f>작성용!AB690</f>
        <v>0</v>
      </c>
    </row>
    <row r="694" spans="1:28" s="12" customFormat="1" ht="16.5" hidden="1" customHeight="1" x14ac:dyDescent="0.3">
      <c r="A694" s="54">
        <f>작성용!AL691</f>
        <v>690</v>
      </c>
      <c r="B694" s="55" t="str">
        <f>작성용!AI691</f>
        <v>-</v>
      </c>
      <c r="C694" s="56" t="str">
        <f>작성용!AK691</f>
        <v>개별종목</v>
      </c>
      <c r="D694" s="57">
        <f>작성용!T691</f>
        <v>45581</v>
      </c>
      <c r="E694" s="58" t="str">
        <f>작성용!B691</f>
        <v>어펄마캐피탈(구,스탠다드차타드프라이빗에쿼티)</v>
      </c>
      <c r="F694" s="58" t="str">
        <f>작성용!C691</f>
        <v>재평가</v>
      </c>
      <c r="G694" s="58" t="str">
        <f>작성용!D691</f>
        <v>Fine Hygienic Holding</v>
      </c>
      <c r="H694" s="59" t="str">
        <f>작성용!E691</f>
        <v>KBP2016090011</v>
      </c>
      <c r="I694" s="58" t="str">
        <f>작성용!F691</f>
        <v>A07</v>
      </c>
      <c r="J694" s="58">
        <f>작성용!G691</f>
        <v>0</v>
      </c>
      <c r="K694" s="58" t="str">
        <f>작성용!H691</f>
        <v>-</v>
      </c>
      <c r="L694" s="58" t="str">
        <f>작성용!N691</f>
        <v xml:space="preserve">반기 </v>
      </c>
      <c r="M694" s="57" t="str">
        <f>작성용!U691</f>
        <v>2024.09.30</v>
      </c>
      <c r="N694" s="57">
        <f>작성용!V691</f>
        <v>45600</v>
      </c>
      <c r="O694" s="57">
        <f>작성용!W691</f>
        <v>45611</v>
      </c>
      <c r="P694" s="57" t="str">
        <f>작성용!X691</f>
        <v>-</v>
      </c>
      <c r="Q694" s="58" t="str">
        <f>작성용!AD691</f>
        <v>서동현</v>
      </c>
      <c r="R694" s="60">
        <f>작성용!AE691</f>
        <v>1</v>
      </c>
      <c r="S694" s="58" t="str">
        <f>작성용!AF691</f>
        <v>서동현</v>
      </c>
      <c r="T694" s="61" t="str">
        <f>작성용!AG691</f>
        <v>서동현</v>
      </c>
      <c r="U694" s="61" t="str">
        <f>작성용!AH691</f>
        <v>서동현</v>
      </c>
      <c r="V694" s="56">
        <f>작성용!AA691</f>
        <v>202411</v>
      </c>
      <c r="W694" s="58" t="str">
        <f>작성용!AC691</f>
        <v>[Y]금융기관</v>
      </c>
      <c r="X694" s="58" t="str">
        <f>작성용!O691</f>
        <v>정혜승이사</v>
      </c>
      <c r="Y694" s="58" t="str">
        <f>작성용!P691</f>
        <v xml:space="preserve">02-3700-1314 </v>
      </c>
      <c r="Z694" s="58" t="str">
        <f>작성용!Q691</f>
        <v xml:space="preserve">Hyeseung.Jeong@affirmacapital.com </v>
      </c>
      <c r="AA694" s="56" t="str">
        <f>작성용!AJ691</f>
        <v>국민연금제출</v>
      </c>
      <c r="AB694" s="56">
        <f>작성용!AB691</f>
        <v>0</v>
      </c>
    </row>
    <row r="695" spans="1:28" s="12" customFormat="1" ht="16.5" hidden="1" customHeight="1" x14ac:dyDescent="0.3">
      <c r="A695" s="54">
        <f>작성용!AL692</f>
        <v>691</v>
      </c>
      <c r="B695" s="55" t="str">
        <f>작성용!AI692</f>
        <v>-</v>
      </c>
      <c r="C695" s="56" t="str">
        <f>작성용!AK692</f>
        <v>개별종목</v>
      </c>
      <c r="D695" s="57">
        <f>작성용!T692</f>
        <v>45581</v>
      </c>
      <c r="E695" s="58" t="str">
        <f>작성용!B692</f>
        <v>아이엠엠프라이빗에쿼티</v>
      </c>
      <c r="F695" s="58" t="str">
        <f>작성용!C692</f>
        <v>재평가</v>
      </c>
      <c r="G695" s="58" t="str">
        <f>작성용!D692</f>
        <v>에어퍼스트</v>
      </c>
      <c r="H695" s="59">
        <f>작성용!E692</f>
        <v>1746110001046</v>
      </c>
      <c r="I695" s="58" t="str">
        <f>작성용!F692</f>
        <v>A01</v>
      </c>
      <c r="J695" s="58">
        <f>작성용!G692</f>
        <v>0</v>
      </c>
      <c r="K695" s="58" t="str">
        <f>작성용!H692</f>
        <v>-</v>
      </c>
      <c r="L695" s="58" t="str">
        <f>작성용!N692</f>
        <v>분기</v>
      </c>
      <c r="M695" s="57" t="str">
        <f>작성용!U692</f>
        <v>2024.09.30</v>
      </c>
      <c r="N695" s="57">
        <f>작성용!V692</f>
        <v>45610</v>
      </c>
      <c r="O695" s="57">
        <f>작성용!W692</f>
        <v>45614</v>
      </c>
      <c r="P695" s="57" t="str">
        <f>작성용!X692</f>
        <v>-</v>
      </c>
      <c r="Q695" s="58" t="str">
        <f>작성용!AD692</f>
        <v>김예림</v>
      </c>
      <c r="R695" s="60">
        <f>작성용!AE692</f>
        <v>1</v>
      </c>
      <c r="S695" s="58" t="str">
        <f>작성용!AF692</f>
        <v>김예림</v>
      </c>
      <c r="T695" s="61" t="str">
        <f>작성용!AG692</f>
        <v>이문수</v>
      </c>
      <c r="U695" s="61" t="str">
        <f>작성용!AH692</f>
        <v>이문수</v>
      </c>
      <c r="V695" s="56">
        <f>작성용!AA692</f>
        <v>202411</v>
      </c>
      <c r="W695" s="58" t="str">
        <f>작성용!AC692</f>
        <v>[Y]금융기관</v>
      </c>
      <c r="X695" s="58" t="str">
        <f>작성용!O692</f>
        <v>윤현지차장</v>
      </c>
      <c r="Y695" s="58" t="str">
        <f>작성용!P692</f>
        <v>02-2112-1831, 010-6270-9837</v>
      </c>
      <c r="Z695" s="58" t="str">
        <f>작성용!Q692</f>
        <v>hjyoon@immpe.com</v>
      </c>
      <c r="AA695" s="56" t="str">
        <f>작성용!AJ692</f>
        <v>국민연금제출</v>
      </c>
      <c r="AB695" s="56">
        <f>작성용!AB692</f>
        <v>0</v>
      </c>
    </row>
    <row r="696" spans="1:28" s="12" customFormat="1" ht="16.5" hidden="1" customHeight="1" x14ac:dyDescent="0.3">
      <c r="A696" s="54">
        <f>작성용!AL693</f>
        <v>692</v>
      </c>
      <c r="B696" s="55" t="str">
        <f>작성용!AI693</f>
        <v>-</v>
      </c>
      <c r="C696" s="56" t="str">
        <f>작성용!AK693</f>
        <v>개별종목</v>
      </c>
      <c r="D696" s="57">
        <f>작성용!T693</f>
        <v>45581</v>
      </c>
      <c r="E696" s="58" t="str">
        <f>작성용!B693</f>
        <v>아이엠엠프라이빗에쿼티</v>
      </c>
      <c r="F696" s="58" t="str">
        <f>작성용!C693</f>
        <v>신규</v>
      </c>
      <c r="G696" s="58" t="str">
        <f>작성용!D693</f>
        <v>유나이티드터미널코리아</v>
      </c>
      <c r="H696" s="59">
        <f>작성용!E693</f>
        <v>2301110050490</v>
      </c>
      <c r="I696" s="58" t="str">
        <f>작성용!F693</f>
        <v>A01</v>
      </c>
      <c r="J696" s="58">
        <f>작성용!G693</f>
        <v>0</v>
      </c>
      <c r="K696" s="58" t="str">
        <f>작성용!H693</f>
        <v>-</v>
      </c>
      <c r="L696" s="58" t="str">
        <f>작성용!N693</f>
        <v>분기</v>
      </c>
      <c r="M696" s="57" t="str">
        <f>작성용!U693</f>
        <v>2024.09.30</v>
      </c>
      <c r="N696" s="57">
        <f>작성용!V693</f>
        <v>45610</v>
      </c>
      <c r="O696" s="57">
        <f>작성용!W693</f>
        <v>45614</v>
      </c>
      <c r="P696" s="57" t="str">
        <f>작성용!X693</f>
        <v>-</v>
      </c>
      <c r="Q696" s="58" t="str">
        <f>작성용!AD693</f>
        <v>이상민</v>
      </c>
      <c r="R696" s="60">
        <f>작성용!AE693</f>
        <v>1</v>
      </c>
      <c r="S696" s="58" t="str">
        <f>작성용!AF693</f>
        <v>신규</v>
      </c>
      <c r="T696" s="61" t="str">
        <f>작성용!AG693</f>
        <v>이문수</v>
      </c>
      <c r="U696" s="61" t="str">
        <f>작성용!AH693</f>
        <v>이문수</v>
      </c>
      <c r="V696" s="56">
        <f>작성용!AA693</f>
        <v>202411</v>
      </c>
      <c r="W696" s="58" t="str">
        <f>작성용!AC693</f>
        <v>[Y]금융기관</v>
      </c>
      <c r="X696" s="58" t="str">
        <f>작성용!O693</f>
        <v>윤현지차장</v>
      </c>
      <c r="Y696" s="58" t="str">
        <f>작성용!P693</f>
        <v>02-2112-1831, 010-6270-9837</v>
      </c>
      <c r="Z696" s="58" t="str">
        <f>작성용!Q693</f>
        <v>hjyoon@immpe.com</v>
      </c>
      <c r="AA696" s="56" t="str">
        <f>작성용!AJ693</f>
        <v>국민연금제출</v>
      </c>
      <c r="AB696" s="56">
        <f>작성용!AB693</f>
        <v>0</v>
      </c>
    </row>
    <row r="697" spans="1:28" s="12" customFormat="1" ht="16.5" hidden="1" customHeight="1" x14ac:dyDescent="0.3">
      <c r="A697" s="54">
        <f>작성용!AL694</f>
        <v>693</v>
      </c>
      <c r="B697" s="55" t="str">
        <f>작성용!AI694</f>
        <v>-</v>
      </c>
      <c r="C697" s="56" t="str">
        <f>작성용!AK694</f>
        <v>개별종목</v>
      </c>
      <c r="D697" s="57">
        <f>작성용!T694</f>
        <v>45581</v>
      </c>
      <c r="E697" s="58" t="str">
        <f>작성용!B694</f>
        <v>아이엠엠프라이빗에쿼티</v>
      </c>
      <c r="F697" s="58" t="str">
        <f>작성용!C694</f>
        <v>신규</v>
      </c>
      <c r="G697" s="58" t="str">
        <f>작성용!D694</f>
        <v>유나이티드터미널코리아</v>
      </c>
      <c r="H697" s="59">
        <f>작성용!E694</f>
        <v>2301110050490</v>
      </c>
      <c r="I697" s="58" t="str">
        <f>작성용!F694</f>
        <v>D02</v>
      </c>
      <c r="J697" s="58">
        <f>작성용!G694</f>
        <v>0</v>
      </c>
      <c r="K697" s="58" t="str">
        <f>작성용!H694</f>
        <v>-</v>
      </c>
      <c r="L697" s="58" t="str">
        <f>작성용!N694</f>
        <v>분기</v>
      </c>
      <c r="M697" s="57" t="str">
        <f>작성용!U694</f>
        <v>2024.09.30</v>
      </c>
      <c r="N697" s="57">
        <f>작성용!V694</f>
        <v>45610</v>
      </c>
      <c r="O697" s="57">
        <f>작성용!W694</f>
        <v>45614</v>
      </c>
      <c r="P697" s="57" t="str">
        <f>작성용!X694</f>
        <v>-</v>
      </c>
      <c r="Q697" s="58" t="str">
        <f>작성용!AD694</f>
        <v>이상민</v>
      </c>
      <c r="R697" s="60">
        <f>작성용!AE694</f>
        <v>0</v>
      </c>
      <c r="S697" s="58" t="str">
        <f>작성용!AF694</f>
        <v>신규</v>
      </c>
      <c r="T697" s="61" t="str">
        <f>작성용!AG694</f>
        <v>이문수</v>
      </c>
      <c r="U697" s="61" t="str">
        <f>작성용!AH694</f>
        <v>이문수</v>
      </c>
      <c r="V697" s="56">
        <f>작성용!AA694</f>
        <v>202411</v>
      </c>
      <c r="W697" s="58" t="str">
        <f>작성용!AC694</f>
        <v>[Y]금융기관</v>
      </c>
      <c r="X697" s="58" t="str">
        <f>작성용!O694</f>
        <v>윤현지차장</v>
      </c>
      <c r="Y697" s="58" t="str">
        <f>작성용!P694</f>
        <v>02-2112-1831, 010-6270-9837</v>
      </c>
      <c r="Z697" s="58" t="str">
        <f>작성용!Q694</f>
        <v>hjyoon@immpe.com</v>
      </c>
      <c r="AA697" s="56" t="str">
        <f>작성용!AJ694</f>
        <v>국민연금제출</v>
      </c>
      <c r="AB697" s="56">
        <f>작성용!AB694</f>
        <v>0</v>
      </c>
    </row>
    <row r="698" spans="1:28" s="12" customFormat="1" ht="16.5" hidden="1" customHeight="1" x14ac:dyDescent="0.3">
      <c r="A698" s="54">
        <f>작성용!AL695</f>
        <v>694</v>
      </c>
      <c r="B698" s="55" t="str">
        <f>작성용!AI695</f>
        <v>-</v>
      </c>
      <c r="C698" s="56" t="str">
        <f>작성용!AK695</f>
        <v>개별종목</v>
      </c>
      <c r="D698" s="57">
        <f>작성용!T695</f>
        <v>45581</v>
      </c>
      <c r="E698" s="58" t="str">
        <f>작성용!B695</f>
        <v>케이넷투자파트너스</v>
      </c>
      <c r="F698" s="58" t="str">
        <f>작성용!C695</f>
        <v>재평가</v>
      </c>
      <c r="G698" s="58" t="str">
        <f>작성용!D695</f>
        <v>피알지에스앤텍</v>
      </c>
      <c r="H698" s="59">
        <f>작성용!E695</f>
        <v>1801111118553</v>
      </c>
      <c r="I698" s="58" t="str">
        <f>작성용!F695</f>
        <v>A07</v>
      </c>
      <c r="J698" s="58">
        <f>작성용!G695</f>
        <v>0</v>
      </c>
      <c r="K698" s="58" t="str">
        <f>작성용!H695</f>
        <v>-</v>
      </c>
      <c r="L698" s="58" t="str">
        <f>작성용!N695</f>
        <v>년</v>
      </c>
      <c r="M698" s="57" t="str">
        <f>작성용!U695</f>
        <v>2024.09.30</v>
      </c>
      <c r="N698" s="57">
        <f>작성용!V695</f>
        <v>45610</v>
      </c>
      <c r="O698" s="57">
        <f>작성용!W695</f>
        <v>45615</v>
      </c>
      <c r="P698" s="57" t="str">
        <f>작성용!X695</f>
        <v>-</v>
      </c>
      <c r="Q698" s="58" t="str">
        <f>작성용!AD695</f>
        <v>윤광일</v>
      </c>
      <c r="R698" s="60">
        <f>작성용!AE695</f>
        <v>1</v>
      </c>
      <c r="S698" s="58" t="str">
        <f>작성용!AF695</f>
        <v>고명주</v>
      </c>
      <c r="T698" s="61" t="str">
        <f>작성용!AG695</f>
        <v>윤광일</v>
      </c>
      <c r="U698" s="61" t="str">
        <f>작성용!AH695</f>
        <v>윤광일</v>
      </c>
      <c r="V698" s="56">
        <f>작성용!AA695</f>
        <v>202411</v>
      </c>
      <c r="W698" s="58" t="str">
        <f>작성용!AC695</f>
        <v>[Y]금융기관</v>
      </c>
      <c r="X698" s="58" t="str">
        <f>작성용!O695</f>
        <v>지정희매니저</v>
      </c>
      <c r="Y698" s="58" t="str">
        <f>작성용!P695</f>
        <v>02-3473-7117</v>
      </c>
      <c r="Z698" s="58" t="str">
        <f>작성용!Q695</f>
        <v>cherry880@naver.com</v>
      </c>
      <c r="AA698" s="56" t="str">
        <f>작성용!AJ695</f>
        <v>국민연금제출</v>
      </c>
      <c r="AB698" s="56">
        <f>작성용!AB695</f>
        <v>0</v>
      </c>
    </row>
    <row r="699" spans="1:28" s="12" customFormat="1" ht="16.5" hidden="1" customHeight="1" x14ac:dyDescent="0.3">
      <c r="A699" s="54">
        <f>작성용!AL696</f>
        <v>695</v>
      </c>
      <c r="B699" s="55" t="str">
        <f>작성용!AI696</f>
        <v>-</v>
      </c>
      <c r="C699" s="56" t="str">
        <f>작성용!AK696</f>
        <v>개별종목</v>
      </c>
      <c r="D699" s="57">
        <f>작성용!T696</f>
        <v>45581</v>
      </c>
      <c r="E699" s="58" t="str">
        <f>작성용!B696</f>
        <v>케이넷투자파트너스</v>
      </c>
      <c r="F699" s="58" t="str">
        <f>작성용!C696</f>
        <v>재평가</v>
      </c>
      <c r="G699" s="58" t="str">
        <f>작성용!D696</f>
        <v>성지전자</v>
      </c>
      <c r="H699" s="59">
        <f>작성용!E696</f>
        <v>1348110382234</v>
      </c>
      <c r="I699" s="58" t="str">
        <f>작성용!F696</f>
        <v>A07</v>
      </c>
      <c r="J699" s="58">
        <f>작성용!G696</f>
        <v>0</v>
      </c>
      <c r="K699" s="58" t="str">
        <f>작성용!H696</f>
        <v>-</v>
      </c>
      <c r="L699" s="58" t="str">
        <f>작성용!N696</f>
        <v>년</v>
      </c>
      <c r="M699" s="57" t="str">
        <f>작성용!U696</f>
        <v>2024.09.30</v>
      </c>
      <c r="N699" s="57">
        <f>작성용!V696</f>
        <v>45610</v>
      </c>
      <c r="O699" s="57">
        <f>작성용!W696</f>
        <v>45615</v>
      </c>
      <c r="P699" s="57" t="str">
        <f>작성용!X696</f>
        <v>-</v>
      </c>
      <c r="Q699" s="58" t="str">
        <f>작성용!AD696</f>
        <v>서동현</v>
      </c>
      <c r="R699" s="60">
        <f>작성용!AE696</f>
        <v>1</v>
      </c>
      <c r="S699" s="58" t="str">
        <f>작성용!AF696</f>
        <v>서동현</v>
      </c>
      <c r="T699" s="61" t="str">
        <f>작성용!AG696</f>
        <v>윤광일</v>
      </c>
      <c r="U699" s="61" t="str">
        <f>작성용!AH696</f>
        <v>윤광일</v>
      </c>
      <c r="V699" s="56">
        <f>작성용!AA696</f>
        <v>202411</v>
      </c>
      <c r="W699" s="58" t="str">
        <f>작성용!AC696</f>
        <v>[Y]금융기관</v>
      </c>
      <c r="X699" s="58" t="str">
        <f>작성용!O696</f>
        <v>지정희매니저</v>
      </c>
      <c r="Y699" s="58" t="str">
        <f>작성용!P696</f>
        <v>02-3473-7117</v>
      </c>
      <c r="Z699" s="58" t="str">
        <f>작성용!Q696</f>
        <v>cherry880@naver.com</v>
      </c>
      <c r="AA699" s="56" t="str">
        <f>작성용!AJ696</f>
        <v>국민연금제출</v>
      </c>
      <c r="AB699" s="56">
        <f>작성용!AB696</f>
        <v>0</v>
      </c>
    </row>
    <row r="700" spans="1:28" s="12" customFormat="1" ht="16.5" hidden="1" customHeight="1" x14ac:dyDescent="0.3">
      <c r="A700" s="54">
        <f>작성용!AL697</f>
        <v>696</v>
      </c>
      <c r="B700" s="55" t="str">
        <f>작성용!AI697</f>
        <v>-</v>
      </c>
      <c r="C700" s="56" t="str">
        <f>작성용!AK697</f>
        <v>개별종목</v>
      </c>
      <c r="D700" s="57">
        <f>작성용!T697</f>
        <v>45581</v>
      </c>
      <c r="E700" s="58" t="str">
        <f>작성용!B697</f>
        <v>케이넷투자파트너스</v>
      </c>
      <c r="F700" s="58" t="str">
        <f>작성용!C697</f>
        <v>재평가</v>
      </c>
      <c r="G700" s="58" t="str">
        <f>작성용!D697</f>
        <v>인투셀</v>
      </c>
      <c r="H700" s="59">
        <f>작성용!E697</f>
        <v>1601110395354</v>
      </c>
      <c r="I700" s="58" t="str">
        <f>작성용!F697</f>
        <v>A01</v>
      </c>
      <c r="J700" s="58">
        <f>작성용!G697</f>
        <v>0</v>
      </c>
      <c r="K700" s="58" t="str">
        <f>작성용!H697</f>
        <v>-</v>
      </c>
      <c r="L700" s="58" t="str">
        <f>작성용!N697</f>
        <v>년</v>
      </c>
      <c r="M700" s="57" t="str">
        <f>작성용!U697</f>
        <v>2024.09.30</v>
      </c>
      <c r="N700" s="57">
        <f>작성용!V697</f>
        <v>45610</v>
      </c>
      <c r="O700" s="57">
        <f>작성용!W697</f>
        <v>45615</v>
      </c>
      <c r="P700" s="57" t="str">
        <f>작성용!X697</f>
        <v>-</v>
      </c>
      <c r="Q700" s="58" t="str">
        <f>작성용!AD697</f>
        <v>이현승</v>
      </c>
      <c r="R700" s="60">
        <f>작성용!AE697</f>
        <v>1</v>
      </c>
      <c r="S700" s="58" t="str">
        <f>작성용!AF697</f>
        <v>이현승</v>
      </c>
      <c r="T700" s="61" t="str">
        <f>작성용!AG697</f>
        <v>윤광일</v>
      </c>
      <c r="U700" s="61" t="str">
        <f>작성용!AH697</f>
        <v>윤광일</v>
      </c>
      <c r="V700" s="56">
        <f>작성용!AA697</f>
        <v>202411</v>
      </c>
      <c r="W700" s="58" t="str">
        <f>작성용!AC697</f>
        <v>[Y]금융기관</v>
      </c>
      <c r="X700" s="58" t="str">
        <f>작성용!O697</f>
        <v>지정희매니저</v>
      </c>
      <c r="Y700" s="58" t="str">
        <f>작성용!P697</f>
        <v>02-3473-7117</v>
      </c>
      <c r="Z700" s="58" t="str">
        <f>작성용!Q697</f>
        <v>cherry880@naver.com</v>
      </c>
      <c r="AA700" s="56" t="str">
        <f>작성용!AJ697</f>
        <v>국민연금제출</v>
      </c>
      <c r="AB700" s="56">
        <f>작성용!AB697</f>
        <v>0</v>
      </c>
    </row>
    <row r="701" spans="1:28" s="12" customFormat="1" ht="16.5" hidden="1" customHeight="1" x14ac:dyDescent="0.3">
      <c r="A701" s="54">
        <f>작성용!AL698</f>
        <v>697</v>
      </c>
      <c r="B701" s="55" t="str">
        <f>작성용!AI698</f>
        <v>-</v>
      </c>
      <c r="C701" s="56" t="str">
        <f>작성용!AK698</f>
        <v>개별종목</v>
      </c>
      <c r="D701" s="57">
        <f>작성용!T698</f>
        <v>45581</v>
      </c>
      <c r="E701" s="58" t="str">
        <f>작성용!B698</f>
        <v>케이넷투자파트너스</v>
      </c>
      <c r="F701" s="58" t="str">
        <f>작성용!C698</f>
        <v>재평가</v>
      </c>
      <c r="G701" s="58" t="str">
        <f>작성용!D698</f>
        <v>에프알디</v>
      </c>
      <c r="H701" s="59">
        <f>작성용!E698</f>
        <v>1348110277576</v>
      </c>
      <c r="I701" s="58" t="str">
        <f>작성용!F698</f>
        <v>A07</v>
      </c>
      <c r="J701" s="58">
        <f>작성용!G698</f>
        <v>0</v>
      </c>
      <c r="K701" s="58" t="str">
        <f>작성용!H698</f>
        <v>-</v>
      </c>
      <c r="L701" s="58" t="str">
        <f>작성용!N698</f>
        <v>년</v>
      </c>
      <c r="M701" s="57" t="str">
        <f>작성용!U698</f>
        <v>2024.09.30</v>
      </c>
      <c r="N701" s="57">
        <f>작성용!V698</f>
        <v>45610</v>
      </c>
      <c r="O701" s="57">
        <f>작성용!W698</f>
        <v>45615</v>
      </c>
      <c r="P701" s="57" t="str">
        <f>작성용!X698</f>
        <v>-</v>
      </c>
      <c r="Q701" s="58" t="str">
        <f>작성용!AD698</f>
        <v>강승현</v>
      </c>
      <c r="R701" s="60">
        <f>작성용!AE698</f>
        <v>1</v>
      </c>
      <c r="S701" s="58" t="str">
        <f>작성용!AF698</f>
        <v>강승현</v>
      </c>
      <c r="T701" s="61" t="str">
        <f>작성용!AG698</f>
        <v>윤광일</v>
      </c>
      <c r="U701" s="61" t="str">
        <f>작성용!AH698</f>
        <v>윤광일</v>
      </c>
      <c r="V701" s="56">
        <f>작성용!AA698</f>
        <v>202411</v>
      </c>
      <c r="W701" s="58" t="str">
        <f>작성용!AC698</f>
        <v>[Y]금융기관</v>
      </c>
      <c r="X701" s="58" t="str">
        <f>작성용!O698</f>
        <v>지정희매니저</v>
      </c>
      <c r="Y701" s="58" t="str">
        <f>작성용!P698</f>
        <v>02-3473-7117</v>
      </c>
      <c r="Z701" s="58" t="str">
        <f>작성용!Q698</f>
        <v>cherry880@naver.com</v>
      </c>
      <c r="AA701" s="56" t="str">
        <f>작성용!AJ698</f>
        <v>국민연금제출</v>
      </c>
      <c r="AB701" s="56">
        <f>작성용!AB698</f>
        <v>0</v>
      </c>
    </row>
    <row r="702" spans="1:28" s="12" customFormat="1" ht="16.5" hidden="1" customHeight="1" x14ac:dyDescent="0.3">
      <c r="A702" s="54">
        <f>작성용!AL699</f>
        <v>698</v>
      </c>
      <c r="B702" s="55" t="str">
        <f>작성용!AI699</f>
        <v>-</v>
      </c>
      <c r="C702" s="56" t="str">
        <f>작성용!AK699</f>
        <v>개별종목</v>
      </c>
      <c r="D702" s="57">
        <f>작성용!T699</f>
        <v>45581</v>
      </c>
      <c r="E702" s="58" t="str">
        <f>작성용!B699</f>
        <v>케이넷투자파트너스</v>
      </c>
      <c r="F702" s="58" t="str">
        <f>작성용!C699</f>
        <v>재평가</v>
      </c>
      <c r="G702" s="58" t="str">
        <f>작성용!D699</f>
        <v>니오테스바이오</v>
      </c>
      <c r="H702" s="59">
        <f>작성용!E699</f>
        <v>1311110604148</v>
      </c>
      <c r="I702" s="58" t="str">
        <f>작성용!F699</f>
        <v>A07</v>
      </c>
      <c r="J702" s="58">
        <f>작성용!G699</f>
        <v>0</v>
      </c>
      <c r="K702" s="58" t="str">
        <f>작성용!H699</f>
        <v>-</v>
      </c>
      <c r="L702" s="58" t="str">
        <f>작성용!N699</f>
        <v>년</v>
      </c>
      <c r="M702" s="57" t="str">
        <f>작성용!U699</f>
        <v>2024.09.30</v>
      </c>
      <c r="N702" s="57">
        <f>작성용!V699</f>
        <v>45610</v>
      </c>
      <c r="O702" s="57">
        <f>작성용!W699</f>
        <v>45615</v>
      </c>
      <c r="P702" s="57" t="str">
        <f>작성용!X699</f>
        <v>-</v>
      </c>
      <c r="Q702" s="58" t="str">
        <f>작성용!AD699</f>
        <v>김영하</v>
      </c>
      <c r="R702" s="60">
        <f>작성용!AE699</f>
        <v>1</v>
      </c>
      <c r="S702" s="58" t="str">
        <f>작성용!AF699</f>
        <v>김영하</v>
      </c>
      <c r="T702" s="61" t="str">
        <f>작성용!AG699</f>
        <v>윤광일</v>
      </c>
      <c r="U702" s="61" t="str">
        <f>작성용!AH699</f>
        <v>윤광일</v>
      </c>
      <c r="V702" s="56">
        <f>작성용!AA699</f>
        <v>202411</v>
      </c>
      <c r="W702" s="58" t="str">
        <f>작성용!AC699</f>
        <v>[Y]금융기관</v>
      </c>
      <c r="X702" s="58" t="str">
        <f>작성용!O699</f>
        <v>지정희매니저</v>
      </c>
      <c r="Y702" s="58" t="str">
        <f>작성용!P699</f>
        <v>02-3473-7117</v>
      </c>
      <c r="Z702" s="58" t="str">
        <f>작성용!Q699</f>
        <v>cherry880@naver.com</v>
      </c>
      <c r="AA702" s="56" t="str">
        <f>작성용!AJ699</f>
        <v>국민연금제출</v>
      </c>
      <c r="AB702" s="56">
        <f>작성용!AB699</f>
        <v>0</v>
      </c>
    </row>
    <row r="703" spans="1:28" s="12" customFormat="1" ht="16.5" hidden="1" customHeight="1" x14ac:dyDescent="0.3">
      <c r="A703" s="54">
        <f>작성용!AL700</f>
        <v>699</v>
      </c>
      <c r="B703" s="55" t="str">
        <f>작성용!AI700</f>
        <v>-</v>
      </c>
      <c r="C703" s="56" t="str">
        <f>작성용!AK700</f>
        <v>개별종목</v>
      </c>
      <c r="D703" s="57">
        <f>작성용!T700</f>
        <v>45581</v>
      </c>
      <c r="E703" s="58" t="str">
        <f>작성용!B700</f>
        <v>케이넷투자파트너스</v>
      </c>
      <c r="F703" s="58" t="str">
        <f>작성용!C700</f>
        <v>재평가</v>
      </c>
      <c r="G703" s="58" t="str">
        <f>작성용!D700</f>
        <v>씨케이리제온</v>
      </c>
      <c r="H703" s="59">
        <f>작성용!E700</f>
        <v>1101116197283</v>
      </c>
      <c r="I703" s="58" t="str">
        <f>작성용!F700</f>
        <v>A07</v>
      </c>
      <c r="J703" s="58">
        <f>작성용!G700</f>
        <v>0</v>
      </c>
      <c r="K703" s="58" t="str">
        <f>작성용!H700</f>
        <v>-</v>
      </c>
      <c r="L703" s="58" t="str">
        <f>작성용!N700</f>
        <v>년</v>
      </c>
      <c r="M703" s="57" t="str">
        <f>작성용!U700</f>
        <v>2024.09.30</v>
      </c>
      <c r="N703" s="57">
        <f>작성용!V700</f>
        <v>45610</v>
      </c>
      <c r="O703" s="57">
        <f>작성용!W700</f>
        <v>45615</v>
      </c>
      <c r="P703" s="57" t="str">
        <f>작성용!X700</f>
        <v>-</v>
      </c>
      <c r="Q703" s="58" t="str">
        <f>작성용!AD700</f>
        <v>채동우</v>
      </c>
      <c r="R703" s="60">
        <f>작성용!AE700</f>
        <v>1</v>
      </c>
      <c r="S703" s="58" t="str">
        <f>작성용!AF700</f>
        <v>윤현빈</v>
      </c>
      <c r="T703" s="61" t="str">
        <f>작성용!AG700</f>
        <v>윤광일</v>
      </c>
      <c r="U703" s="61" t="str">
        <f>작성용!AH700</f>
        <v>윤광일</v>
      </c>
      <c r="V703" s="56">
        <f>작성용!AA700</f>
        <v>202411</v>
      </c>
      <c r="W703" s="58" t="str">
        <f>작성용!AC700</f>
        <v>[Y]금융기관</v>
      </c>
      <c r="X703" s="58" t="str">
        <f>작성용!O700</f>
        <v>지정희매니저</v>
      </c>
      <c r="Y703" s="58" t="str">
        <f>작성용!P700</f>
        <v>02-3473-7117</v>
      </c>
      <c r="Z703" s="58" t="str">
        <f>작성용!Q700</f>
        <v>cherry880@naver.com</v>
      </c>
      <c r="AA703" s="56" t="str">
        <f>작성용!AJ700</f>
        <v>국민연금제출</v>
      </c>
      <c r="AB703" s="56">
        <f>작성용!AB700</f>
        <v>0</v>
      </c>
    </row>
    <row r="704" spans="1:28" s="12" customFormat="1" ht="16.5" hidden="1" customHeight="1" x14ac:dyDescent="0.3">
      <c r="A704" s="54">
        <f>작성용!AL701</f>
        <v>700</v>
      </c>
      <c r="B704" s="55" t="str">
        <f>작성용!AI701</f>
        <v>-</v>
      </c>
      <c r="C704" s="56" t="str">
        <f>작성용!AK701</f>
        <v>개별종목</v>
      </c>
      <c r="D704" s="57">
        <f>작성용!T701</f>
        <v>45581</v>
      </c>
      <c r="E704" s="58" t="str">
        <f>작성용!B701</f>
        <v>케이넷투자파트너스</v>
      </c>
      <c r="F704" s="58" t="str">
        <f>작성용!C701</f>
        <v>재평가</v>
      </c>
      <c r="G704" s="58" t="str">
        <f>작성용!D701</f>
        <v>스튜디오플럼(구,스튜디오스카이)</v>
      </c>
      <c r="H704" s="59">
        <f>작성용!E701</f>
        <v>1101115498137</v>
      </c>
      <c r="I704" s="58" t="str">
        <f>작성용!F701</f>
        <v>A07</v>
      </c>
      <c r="J704" s="58">
        <f>작성용!G701</f>
        <v>0</v>
      </c>
      <c r="K704" s="58" t="str">
        <f>작성용!H701</f>
        <v>-</v>
      </c>
      <c r="L704" s="58" t="str">
        <f>작성용!N701</f>
        <v>년</v>
      </c>
      <c r="M704" s="57" t="str">
        <f>작성용!U701</f>
        <v>2024.09.30</v>
      </c>
      <c r="N704" s="57">
        <f>작성용!V701</f>
        <v>45610</v>
      </c>
      <c r="O704" s="57">
        <f>작성용!W701</f>
        <v>45615</v>
      </c>
      <c r="P704" s="57" t="str">
        <f>작성용!X701</f>
        <v>-</v>
      </c>
      <c r="Q704" s="58" t="str">
        <f>작성용!AD701</f>
        <v>김영하</v>
      </c>
      <c r="R704" s="60">
        <f>작성용!AE701</f>
        <v>1</v>
      </c>
      <c r="S704" s="58" t="str">
        <f>작성용!AF701</f>
        <v>윤현빈</v>
      </c>
      <c r="T704" s="61" t="str">
        <f>작성용!AG701</f>
        <v>윤광일</v>
      </c>
      <c r="U704" s="61" t="str">
        <f>작성용!AH701</f>
        <v>윤광일</v>
      </c>
      <c r="V704" s="56">
        <f>작성용!AA701</f>
        <v>202411</v>
      </c>
      <c r="W704" s="58" t="str">
        <f>작성용!AC701</f>
        <v>[Y]금융기관</v>
      </c>
      <c r="X704" s="58" t="str">
        <f>작성용!O701</f>
        <v>지정희매니저</v>
      </c>
      <c r="Y704" s="58" t="str">
        <f>작성용!P701</f>
        <v>02-3473-7117</v>
      </c>
      <c r="Z704" s="58" t="str">
        <f>작성용!Q701</f>
        <v>cherry880@naver.com</v>
      </c>
      <c r="AA704" s="56" t="str">
        <f>작성용!AJ701</f>
        <v>국민연금제출</v>
      </c>
      <c r="AB704" s="56">
        <f>작성용!AB701</f>
        <v>0</v>
      </c>
    </row>
    <row r="705" spans="1:28" s="12" customFormat="1" ht="16.5" hidden="1" customHeight="1" x14ac:dyDescent="0.3">
      <c r="A705" s="54">
        <f>작성용!AL702</f>
        <v>701</v>
      </c>
      <c r="B705" s="55" t="str">
        <f>작성용!AI702</f>
        <v>-</v>
      </c>
      <c r="C705" s="56" t="str">
        <f>작성용!AK702</f>
        <v>개별종목</v>
      </c>
      <c r="D705" s="57">
        <f>작성용!T702</f>
        <v>45581</v>
      </c>
      <c r="E705" s="58" t="str">
        <f>작성용!B702</f>
        <v>케이넷투자파트너스</v>
      </c>
      <c r="F705" s="58" t="str">
        <f>작성용!C702</f>
        <v>재평가</v>
      </c>
      <c r="G705" s="58" t="str">
        <f>작성용!D702</f>
        <v>Harmonic Bionics, Inc.</v>
      </c>
      <c r="H705" s="59" t="str">
        <f>작성용!E702</f>
        <v>KBP2019120309</v>
      </c>
      <c r="I705" s="58" t="str">
        <f>작성용!F702</f>
        <v>A05</v>
      </c>
      <c r="J705" s="58">
        <f>작성용!G702</f>
        <v>0</v>
      </c>
      <c r="K705" s="58" t="str">
        <f>작성용!H702</f>
        <v>-</v>
      </c>
      <c r="L705" s="58" t="str">
        <f>작성용!N702</f>
        <v>년</v>
      </c>
      <c r="M705" s="57" t="str">
        <f>작성용!U702</f>
        <v>2024.09.30</v>
      </c>
      <c r="N705" s="57">
        <f>작성용!V702</f>
        <v>45610</v>
      </c>
      <c r="O705" s="57">
        <f>작성용!W702</f>
        <v>45615</v>
      </c>
      <c r="P705" s="57" t="str">
        <f>작성용!X702</f>
        <v>-</v>
      </c>
      <c r="Q705" s="58" t="str">
        <f>작성용!AD702</f>
        <v>조현우</v>
      </c>
      <c r="R705" s="60">
        <f>작성용!AE702</f>
        <v>1</v>
      </c>
      <c r="S705" s="58" t="str">
        <f>작성용!AF702</f>
        <v>조현우</v>
      </c>
      <c r="T705" s="61" t="str">
        <f>작성용!AG702</f>
        <v>윤광일</v>
      </c>
      <c r="U705" s="61" t="str">
        <f>작성용!AH702</f>
        <v>윤광일</v>
      </c>
      <c r="V705" s="56">
        <f>작성용!AA702</f>
        <v>202411</v>
      </c>
      <c r="W705" s="58" t="str">
        <f>작성용!AC702</f>
        <v>[Y]금융기관</v>
      </c>
      <c r="X705" s="58" t="str">
        <f>작성용!O702</f>
        <v>지정희매니저</v>
      </c>
      <c r="Y705" s="58" t="str">
        <f>작성용!P702</f>
        <v>02-3473-7117</v>
      </c>
      <c r="Z705" s="58" t="str">
        <f>작성용!Q702</f>
        <v>cherry880@naver.com</v>
      </c>
      <c r="AA705" s="56" t="str">
        <f>작성용!AJ702</f>
        <v>국민연금제출</v>
      </c>
      <c r="AB705" s="56">
        <f>작성용!AB702</f>
        <v>0</v>
      </c>
    </row>
    <row r="706" spans="1:28" s="12" customFormat="1" ht="16.5" hidden="1" customHeight="1" x14ac:dyDescent="0.3">
      <c r="A706" s="54">
        <f>작성용!AL703</f>
        <v>702</v>
      </c>
      <c r="B706" s="55" t="str">
        <f>작성용!AI703</f>
        <v>-</v>
      </c>
      <c r="C706" s="56" t="str">
        <f>작성용!AK703</f>
        <v>개별종목</v>
      </c>
      <c r="D706" s="57">
        <f>작성용!T703</f>
        <v>45581</v>
      </c>
      <c r="E706" s="58" t="str">
        <f>작성용!B703</f>
        <v>케이넷투자파트너스</v>
      </c>
      <c r="F706" s="58" t="str">
        <f>작성용!C703</f>
        <v>재평가</v>
      </c>
      <c r="G706" s="58" t="str">
        <f>작성용!D703</f>
        <v>카텍에이치</v>
      </c>
      <c r="H706" s="59">
        <f>작성용!E703</f>
        <v>1348110421587</v>
      </c>
      <c r="I706" s="58" t="str">
        <f>작성용!F703</f>
        <v>A07</v>
      </c>
      <c r="J706" s="58">
        <f>작성용!G703</f>
        <v>0</v>
      </c>
      <c r="K706" s="58" t="str">
        <f>작성용!H703</f>
        <v>-</v>
      </c>
      <c r="L706" s="58" t="str">
        <f>작성용!N703</f>
        <v>년</v>
      </c>
      <c r="M706" s="57" t="str">
        <f>작성용!U703</f>
        <v>2024.09.30</v>
      </c>
      <c r="N706" s="57">
        <f>작성용!V703</f>
        <v>45610</v>
      </c>
      <c r="O706" s="57">
        <f>작성용!W703</f>
        <v>45615</v>
      </c>
      <c r="P706" s="57" t="str">
        <f>작성용!X703</f>
        <v>-</v>
      </c>
      <c r="Q706" s="58" t="str">
        <f>작성용!AD703</f>
        <v>정은채</v>
      </c>
      <c r="R706" s="60">
        <f>작성용!AE703</f>
        <v>1</v>
      </c>
      <c r="S706" s="58" t="str">
        <f>작성용!AF703</f>
        <v>정은채</v>
      </c>
      <c r="T706" s="61" t="str">
        <f>작성용!AG703</f>
        <v>윤광일</v>
      </c>
      <c r="U706" s="61" t="str">
        <f>작성용!AH703</f>
        <v>윤광일</v>
      </c>
      <c r="V706" s="56">
        <f>작성용!AA703</f>
        <v>202411</v>
      </c>
      <c r="W706" s="58" t="str">
        <f>작성용!AC703</f>
        <v>[Y]금융기관</v>
      </c>
      <c r="X706" s="58" t="str">
        <f>작성용!O703</f>
        <v>지정희매니저</v>
      </c>
      <c r="Y706" s="58" t="str">
        <f>작성용!P703</f>
        <v>02-3473-7117</v>
      </c>
      <c r="Z706" s="58" t="str">
        <f>작성용!Q703</f>
        <v>cherry880@naver.com</v>
      </c>
      <c r="AA706" s="56" t="str">
        <f>작성용!AJ703</f>
        <v>국민연금제출</v>
      </c>
      <c r="AB706" s="56">
        <f>작성용!AB703</f>
        <v>0</v>
      </c>
    </row>
    <row r="707" spans="1:28" s="12" customFormat="1" ht="16.5" hidden="1" customHeight="1" x14ac:dyDescent="0.3">
      <c r="A707" s="54">
        <f>작성용!AL704</f>
        <v>703</v>
      </c>
      <c r="B707" s="55" t="str">
        <f>작성용!AI704</f>
        <v>-</v>
      </c>
      <c r="C707" s="56" t="str">
        <f>작성용!AK704</f>
        <v>개별종목</v>
      </c>
      <c r="D707" s="57">
        <f>작성용!T704</f>
        <v>45581</v>
      </c>
      <c r="E707" s="58" t="str">
        <f>작성용!B704</f>
        <v>케이넷투자파트너스</v>
      </c>
      <c r="F707" s="58" t="str">
        <f>작성용!C704</f>
        <v>재평가</v>
      </c>
      <c r="G707" s="58" t="str">
        <f>작성용!D704</f>
        <v>아이큐랩</v>
      </c>
      <c r="H707" s="59">
        <f>작성용!E704</f>
        <v>1358110342790</v>
      </c>
      <c r="I707" s="58" t="str">
        <f>작성용!F704</f>
        <v>A07</v>
      </c>
      <c r="J707" s="58">
        <f>작성용!G704</f>
        <v>0</v>
      </c>
      <c r="K707" s="58" t="str">
        <f>작성용!H704</f>
        <v>-</v>
      </c>
      <c r="L707" s="58" t="str">
        <f>작성용!N704</f>
        <v>년</v>
      </c>
      <c r="M707" s="57" t="str">
        <f>작성용!U704</f>
        <v>2024.09.30</v>
      </c>
      <c r="N707" s="57">
        <f>작성용!V704</f>
        <v>45610</v>
      </c>
      <c r="O707" s="57">
        <f>작성용!W704</f>
        <v>45615</v>
      </c>
      <c r="P707" s="57" t="str">
        <f>작성용!X704</f>
        <v>-</v>
      </c>
      <c r="Q707" s="58" t="str">
        <f>작성용!AD704</f>
        <v>정재형</v>
      </c>
      <c r="R707" s="60">
        <f>작성용!AE704</f>
        <v>1</v>
      </c>
      <c r="S707" s="58" t="str">
        <f>작성용!AF704</f>
        <v>정재형</v>
      </c>
      <c r="T707" s="61" t="str">
        <f>작성용!AG704</f>
        <v>윤광일</v>
      </c>
      <c r="U707" s="61" t="str">
        <f>작성용!AH704</f>
        <v>윤광일</v>
      </c>
      <c r="V707" s="56">
        <f>작성용!AA704</f>
        <v>202411</v>
      </c>
      <c r="W707" s="58" t="str">
        <f>작성용!AC704</f>
        <v>[Y]금융기관</v>
      </c>
      <c r="X707" s="58" t="str">
        <f>작성용!O704</f>
        <v>지정희매니저</v>
      </c>
      <c r="Y707" s="58" t="str">
        <f>작성용!P704</f>
        <v>02-3473-7117</v>
      </c>
      <c r="Z707" s="58" t="str">
        <f>작성용!Q704</f>
        <v>cherry880@naver.com</v>
      </c>
      <c r="AA707" s="56" t="str">
        <f>작성용!AJ704</f>
        <v>국민연금제출</v>
      </c>
      <c r="AB707" s="56">
        <f>작성용!AB704</f>
        <v>0</v>
      </c>
    </row>
    <row r="708" spans="1:28" s="12" customFormat="1" ht="16.5" hidden="1" customHeight="1" x14ac:dyDescent="0.3">
      <c r="A708" s="54">
        <f>작성용!AL705</f>
        <v>704</v>
      </c>
      <c r="B708" s="55" t="str">
        <f>작성용!AI705</f>
        <v>-</v>
      </c>
      <c r="C708" s="56" t="str">
        <f>작성용!AK705</f>
        <v>개별종목</v>
      </c>
      <c r="D708" s="57">
        <f>작성용!T705</f>
        <v>45581</v>
      </c>
      <c r="E708" s="58" t="str">
        <f>작성용!B705</f>
        <v>케이넷투자파트너스</v>
      </c>
      <c r="F708" s="58" t="str">
        <f>작성용!C705</f>
        <v>재평가</v>
      </c>
      <c r="G708" s="58" t="str">
        <f>작성용!D705</f>
        <v>투디엠</v>
      </c>
      <c r="H708" s="59">
        <f>작성용!E705</f>
        <v>2301110289544</v>
      </c>
      <c r="I708" s="58" t="str">
        <f>작성용!F705</f>
        <v>A07</v>
      </c>
      <c r="J708" s="58">
        <f>작성용!G705</f>
        <v>0</v>
      </c>
      <c r="K708" s="58" t="str">
        <f>작성용!H705</f>
        <v>-</v>
      </c>
      <c r="L708" s="58" t="str">
        <f>작성용!N705</f>
        <v>년</v>
      </c>
      <c r="M708" s="57" t="str">
        <f>작성용!U705</f>
        <v>2024.09.30</v>
      </c>
      <c r="N708" s="57">
        <f>작성용!V705</f>
        <v>45610</v>
      </c>
      <c r="O708" s="57">
        <f>작성용!W705</f>
        <v>45615</v>
      </c>
      <c r="P708" s="57" t="str">
        <f>작성용!X705</f>
        <v>-</v>
      </c>
      <c r="Q708" s="58" t="str">
        <f>작성용!AD705</f>
        <v>이문수</v>
      </c>
      <c r="R708" s="60">
        <f>작성용!AE705</f>
        <v>1</v>
      </c>
      <c r="S708" s="58" t="str">
        <f>작성용!AF705</f>
        <v>김혜지</v>
      </c>
      <c r="T708" s="61" t="str">
        <f>작성용!AG705</f>
        <v>윤광일</v>
      </c>
      <c r="U708" s="61" t="str">
        <f>작성용!AH705</f>
        <v>윤광일</v>
      </c>
      <c r="V708" s="56">
        <f>작성용!AA705</f>
        <v>202411</v>
      </c>
      <c r="W708" s="58" t="str">
        <f>작성용!AC705</f>
        <v>[Y]금융기관</v>
      </c>
      <c r="X708" s="58" t="str">
        <f>작성용!O705</f>
        <v>지정희매니저</v>
      </c>
      <c r="Y708" s="58" t="str">
        <f>작성용!P705</f>
        <v>02-3473-7117</v>
      </c>
      <c r="Z708" s="58" t="str">
        <f>작성용!Q705</f>
        <v>cherry880@naver.com</v>
      </c>
      <c r="AA708" s="56" t="str">
        <f>작성용!AJ705</f>
        <v>국민연금제출</v>
      </c>
      <c r="AB708" s="56">
        <f>작성용!AB705</f>
        <v>0</v>
      </c>
    </row>
    <row r="709" spans="1:28" s="12" customFormat="1" ht="16.5" hidden="1" customHeight="1" x14ac:dyDescent="0.3">
      <c r="A709" s="54">
        <f>작성용!AL706</f>
        <v>705</v>
      </c>
      <c r="B709" s="55" t="str">
        <f>작성용!AI706</f>
        <v>-</v>
      </c>
      <c r="C709" s="56" t="str">
        <f>작성용!AK706</f>
        <v>개별종목</v>
      </c>
      <c r="D709" s="57">
        <f>작성용!T706</f>
        <v>45581</v>
      </c>
      <c r="E709" s="58" t="str">
        <f>작성용!B706</f>
        <v>케이넷투자파트너스</v>
      </c>
      <c r="F709" s="58" t="str">
        <f>작성용!C706</f>
        <v>재평가</v>
      </c>
      <c r="G709" s="58" t="str">
        <f>작성용!D706</f>
        <v>에이올코리아</v>
      </c>
      <c r="H709" s="59">
        <f>작성용!E706</f>
        <v>2841110186126</v>
      </c>
      <c r="I709" s="58" t="str">
        <f>작성용!F706</f>
        <v>A07</v>
      </c>
      <c r="J709" s="58">
        <f>작성용!G706</f>
        <v>0</v>
      </c>
      <c r="K709" s="58" t="str">
        <f>작성용!H706</f>
        <v>-</v>
      </c>
      <c r="L709" s="58" t="str">
        <f>작성용!N706</f>
        <v>년</v>
      </c>
      <c r="M709" s="57" t="str">
        <f>작성용!U706</f>
        <v>2024.09.30</v>
      </c>
      <c r="N709" s="57">
        <f>작성용!V706</f>
        <v>45610</v>
      </c>
      <c r="O709" s="57">
        <f>작성용!W706</f>
        <v>45615</v>
      </c>
      <c r="P709" s="57" t="str">
        <f>작성용!X706</f>
        <v>-</v>
      </c>
      <c r="Q709" s="58" t="str">
        <f>작성용!AD706</f>
        <v>최수민</v>
      </c>
      <c r="R709" s="60">
        <f>작성용!AE706</f>
        <v>1</v>
      </c>
      <c r="S709" s="58" t="str">
        <f>작성용!AF706</f>
        <v>김혜지</v>
      </c>
      <c r="T709" s="61" t="str">
        <f>작성용!AG706</f>
        <v>윤광일</v>
      </c>
      <c r="U709" s="61" t="str">
        <f>작성용!AH706</f>
        <v>윤광일</v>
      </c>
      <c r="V709" s="56">
        <f>작성용!AA706</f>
        <v>202411</v>
      </c>
      <c r="W709" s="58" t="str">
        <f>작성용!AC706</f>
        <v>[Y]금융기관</v>
      </c>
      <c r="X709" s="58" t="str">
        <f>작성용!O706</f>
        <v>지정희매니저</v>
      </c>
      <c r="Y709" s="58" t="str">
        <f>작성용!P706</f>
        <v>02-3473-7117</v>
      </c>
      <c r="Z709" s="58" t="str">
        <f>작성용!Q706</f>
        <v>cherry880@naver.com</v>
      </c>
      <c r="AA709" s="56" t="str">
        <f>작성용!AJ706</f>
        <v>국민연금제출</v>
      </c>
      <c r="AB709" s="56">
        <f>작성용!AB706</f>
        <v>0</v>
      </c>
    </row>
    <row r="710" spans="1:28" s="12" customFormat="1" ht="16.5" hidden="1" customHeight="1" x14ac:dyDescent="0.3">
      <c r="A710" s="54">
        <f>작성용!AL707</f>
        <v>706</v>
      </c>
      <c r="B710" s="55" t="str">
        <f>작성용!AI707</f>
        <v>-</v>
      </c>
      <c r="C710" s="56" t="str">
        <f>작성용!AK707</f>
        <v>개별종목</v>
      </c>
      <c r="D710" s="57">
        <f>작성용!T707</f>
        <v>45581</v>
      </c>
      <c r="E710" s="58" t="str">
        <f>작성용!B707</f>
        <v>케이넷투자파트너스</v>
      </c>
      <c r="F710" s="58" t="str">
        <f>작성용!C707</f>
        <v>재평가</v>
      </c>
      <c r="G710" s="58" t="str">
        <f>작성용!D707</f>
        <v>씰링크</v>
      </c>
      <c r="H710" s="59">
        <f>작성용!E707</f>
        <v>1101115370674</v>
      </c>
      <c r="I710" s="58" t="str">
        <f>작성용!F707</f>
        <v>A07</v>
      </c>
      <c r="J710" s="58">
        <f>작성용!G707</f>
        <v>0</v>
      </c>
      <c r="K710" s="58" t="str">
        <f>작성용!H707</f>
        <v>-</v>
      </c>
      <c r="L710" s="58" t="str">
        <f>작성용!N707</f>
        <v>년</v>
      </c>
      <c r="M710" s="57" t="str">
        <f>작성용!U707</f>
        <v>2024.09.30</v>
      </c>
      <c r="N710" s="57">
        <f>작성용!V707</f>
        <v>45610</v>
      </c>
      <c r="O710" s="57">
        <f>작성용!W707</f>
        <v>45615</v>
      </c>
      <c r="P710" s="57" t="str">
        <f>작성용!X707</f>
        <v>-</v>
      </c>
      <c r="Q710" s="58" t="str">
        <f>작성용!AD707</f>
        <v>김수현</v>
      </c>
      <c r="R710" s="60">
        <f>작성용!AE707</f>
        <v>1</v>
      </c>
      <c r="S710" s="58" t="str">
        <f>작성용!AF707</f>
        <v>김수현</v>
      </c>
      <c r="T710" s="61" t="str">
        <f>작성용!AG707</f>
        <v>윤광일</v>
      </c>
      <c r="U710" s="61" t="str">
        <f>작성용!AH707</f>
        <v>윤광일</v>
      </c>
      <c r="V710" s="56">
        <f>작성용!AA707</f>
        <v>202411</v>
      </c>
      <c r="W710" s="58" t="str">
        <f>작성용!AC707</f>
        <v>[Y]금융기관</v>
      </c>
      <c r="X710" s="58" t="str">
        <f>작성용!O707</f>
        <v>지정희매니저</v>
      </c>
      <c r="Y710" s="58" t="str">
        <f>작성용!P707</f>
        <v>02-3473-7117</v>
      </c>
      <c r="Z710" s="58" t="str">
        <f>작성용!Q707</f>
        <v>cherry880@naver.com</v>
      </c>
      <c r="AA710" s="56" t="str">
        <f>작성용!AJ707</f>
        <v>국민연금제출</v>
      </c>
      <c r="AB710" s="56">
        <f>작성용!AB707</f>
        <v>0</v>
      </c>
    </row>
    <row r="711" spans="1:28" s="12" customFormat="1" ht="16.5" hidden="1" customHeight="1" x14ac:dyDescent="0.3">
      <c r="A711" s="54">
        <f>작성용!AL708</f>
        <v>707</v>
      </c>
      <c r="B711" s="55" t="str">
        <f>작성용!AI708</f>
        <v>-</v>
      </c>
      <c r="C711" s="56" t="str">
        <f>작성용!AK708</f>
        <v>개별종목</v>
      </c>
      <c r="D711" s="57">
        <f>작성용!T708</f>
        <v>45581</v>
      </c>
      <c r="E711" s="58" t="str">
        <f>작성용!B708</f>
        <v>케이넷투자파트너스</v>
      </c>
      <c r="F711" s="58" t="str">
        <f>작성용!C708</f>
        <v>재평가</v>
      </c>
      <c r="G711" s="58" t="str">
        <f>작성용!D708</f>
        <v>신스타프리젠츠</v>
      </c>
      <c r="H711" s="59">
        <f>작성용!E708</f>
        <v>1101117302831</v>
      </c>
      <c r="I711" s="58" t="str">
        <f>작성용!F708</f>
        <v>A07</v>
      </c>
      <c r="J711" s="58">
        <f>작성용!G708</f>
        <v>0</v>
      </c>
      <c r="K711" s="58" t="str">
        <f>작성용!H708</f>
        <v>-</v>
      </c>
      <c r="L711" s="58" t="str">
        <f>작성용!N708</f>
        <v>년</v>
      </c>
      <c r="M711" s="57" t="str">
        <f>작성용!U708</f>
        <v>2024.09.30</v>
      </c>
      <c r="N711" s="57">
        <f>작성용!V708</f>
        <v>45610</v>
      </c>
      <c r="O711" s="57">
        <f>작성용!W708</f>
        <v>45615</v>
      </c>
      <c r="P711" s="57" t="str">
        <f>작성용!X708</f>
        <v>-</v>
      </c>
      <c r="Q711" s="58" t="str">
        <f>작성용!AD708</f>
        <v>신원준</v>
      </c>
      <c r="R711" s="60">
        <f>작성용!AE708</f>
        <v>1</v>
      </c>
      <c r="S711" s="58" t="str">
        <f>작성용!AF708</f>
        <v>서수빈</v>
      </c>
      <c r="T711" s="61" t="str">
        <f>작성용!AG708</f>
        <v>윤광일</v>
      </c>
      <c r="U711" s="61" t="str">
        <f>작성용!AH708</f>
        <v>윤광일</v>
      </c>
      <c r="V711" s="56">
        <f>작성용!AA708</f>
        <v>202411</v>
      </c>
      <c r="W711" s="58" t="str">
        <f>작성용!AC708</f>
        <v>[Y]금융기관</v>
      </c>
      <c r="X711" s="58" t="str">
        <f>작성용!O708</f>
        <v>지정희매니저</v>
      </c>
      <c r="Y711" s="58" t="str">
        <f>작성용!P708</f>
        <v>02-3473-7117</v>
      </c>
      <c r="Z711" s="58" t="str">
        <f>작성용!Q708</f>
        <v>cherry880@naver.com</v>
      </c>
      <c r="AA711" s="56" t="str">
        <f>작성용!AJ708</f>
        <v>국민연금제출</v>
      </c>
      <c r="AB711" s="56">
        <f>작성용!AB708</f>
        <v>0</v>
      </c>
    </row>
    <row r="712" spans="1:28" s="12" customFormat="1" ht="16.5" hidden="1" customHeight="1" x14ac:dyDescent="0.3">
      <c r="A712" s="54">
        <f>작성용!AL709</f>
        <v>708</v>
      </c>
      <c r="B712" s="55" t="str">
        <f>작성용!AI709</f>
        <v>-</v>
      </c>
      <c r="C712" s="56" t="str">
        <f>작성용!AK709</f>
        <v>개별종목</v>
      </c>
      <c r="D712" s="57">
        <f>작성용!T709</f>
        <v>45581</v>
      </c>
      <c r="E712" s="58" t="str">
        <f>작성용!B709</f>
        <v>케이넷투자파트너스</v>
      </c>
      <c r="F712" s="58" t="str">
        <f>작성용!C709</f>
        <v>재평가</v>
      </c>
      <c r="G712" s="58" t="str">
        <f>작성용!D709</f>
        <v>패리티</v>
      </c>
      <c r="H712" s="59">
        <f>작성용!E709</f>
        <v>1311110573434</v>
      </c>
      <c r="I712" s="58" t="str">
        <f>작성용!F709</f>
        <v>A07</v>
      </c>
      <c r="J712" s="58">
        <f>작성용!G709</f>
        <v>0</v>
      </c>
      <c r="K712" s="58" t="str">
        <f>작성용!H709</f>
        <v>-</v>
      </c>
      <c r="L712" s="58" t="str">
        <f>작성용!N709</f>
        <v>년</v>
      </c>
      <c r="M712" s="57" t="str">
        <f>작성용!U709</f>
        <v>2024.09.30</v>
      </c>
      <c r="N712" s="57">
        <f>작성용!V709</f>
        <v>45610</v>
      </c>
      <c r="O712" s="57">
        <f>작성용!W709</f>
        <v>45615</v>
      </c>
      <c r="P712" s="57" t="str">
        <f>작성용!X709</f>
        <v>-</v>
      </c>
      <c r="Q712" s="58" t="str">
        <f>작성용!AD709</f>
        <v>채동우</v>
      </c>
      <c r="R712" s="60">
        <f>작성용!AE709</f>
        <v>1</v>
      </c>
      <c r="S712" s="58" t="str">
        <f>작성용!AF709</f>
        <v>채동우</v>
      </c>
      <c r="T712" s="61" t="str">
        <f>작성용!AG709</f>
        <v>윤광일</v>
      </c>
      <c r="U712" s="61" t="str">
        <f>작성용!AH709</f>
        <v>윤광일</v>
      </c>
      <c r="V712" s="56">
        <f>작성용!AA709</f>
        <v>202411</v>
      </c>
      <c r="W712" s="58" t="str">
        <f>작성용!AC709</f>
        <v>[Y]금융기관</v>
      </c>
      <c r="X712" s="58" t="str">
        <f>작성용!O709</f>
        <v>지정희매니저</v>
      </c>
      <c r="Y712" s="58" t="str">
        <f>작성용!P709</f>
        <v>02-3473-7117</v>
      </c>
      <c r="Z712" s="58" t="str">
        <f>작성용!Q709</f>
        <v>cherry880@naver.com</v>
      </c>
      <c r="AA712" s="56" t="str">
        <f>작성용!AJ709</f>
        <v>국민연금제출</v>
      </c>
      <c r="AB712" s="56">
        <f>작성용!AB709</f>
        <v>0</v>
      </c>
    </row>
    <row r="713" spans="1:28" s="12" customFormat="1" ht="16.5" hidden="1" customHeight="1" x14ac:dyDescent="0.3">
      <c r="A713" s="54">
        <f>작성용!AL710</f>
        <v>709</v>
      </c>
      <c r="B713" s="55" t="str">
        <f>작성용!AI710</f>
        <v>-</v>
      </c>
      <c r="C713" s="56" t="str">
        <f>작성용!AK710</f>
        <v>개별종목</v>
      </c>
      <c r="D713" s="57">
        <f>작성용!T710</f>
        <v>45581</v>
      </c>
      <c r="E713" s="58" t="str">
        <f>작성용!B710</f>
        <v>케이넷투자파트너스</v>
      </c>
      <c r="F713" s="58" t="str">
        <f>작성용!C710</f>
        <v>재평가</v>
      </c>
      <c r="G713" s="58" t="str">
        <f>작성용!D710</f>
        <v>엔도로보틱스</v>
      </c>
      <c r="H713" s="59">
        <f>작성용!E710</f>
        <v>1101117067336</v>
      </c>
      <c r="I713" s="58" t="str">
        <f>작성용!F710</f>
        <v>A07</v>
      </c>
      <c r="J713" s="58">
        <f>작성용!G710</f>
        <v>0</v>
      </c>
      <c r="K713" s="58" t="str">
        <f>작성용!H710</f>
        <v>-</v>
      </c>
      <c r="L713" s="58" t="str">
        <f>작성용!N710</f>
        <v>년</v>
      </c>
      <c r="M713" s="57" t="str">
        <f>작성용!U710</f>
        <v>2024.09.30</v>
      </c>
      <c r="N713" s="57">
        <f>작성용!V710</f>
        <v>45610</v>
      </c>
      <c r="O713" s="57">
        <f>작성용!W710</f>
        <v>45615</v>
      </c>
      <c r="P713" s="57" t="str">
        <f>작성용!X710</f>
        <v>-</v>
      </c>
      <c r="Q713" s="58" t="str">
        <f>작성용!AD710</f>
        <v>강성은</v>
      </c>
      <c r="R713" s="60">
        <f>작성용!AE710</f>
        <v>1</v>
      </c>
      <c r="S713" s="58" t="str">
        <f>작성용!AF710</f>
        <v>강성은</v>
      </c>
      <c r="T713" s="61" t="str">
        <f>작성용!AG710</f>
        <v>윤광일</v>
      </c>
      <c r="U713" s="61" t="str">
        <f>작성용!AH710</f>
        <v>윤광일</v>
      </c>
      <c r="V713" s="56">
        <f>작성용!AA710</f>
        <v>202411</v>
      </c>
      <c r="W713" s="58" t="str">
        <f>작성용!AC710</f>
        <v>[Y]금융기관</v>
      </c>
      <c r="X713" s="58" t="str">
        <f>작성용!O710</f>
        <v>지정희매니저</v>
      </c>
      <c r="Y713" s="58" t="str">
        <f>작성용!P710</f>
        <v>02-3473-7117</v>
      </c>
      <c r="Z713" s="58" t="str">
        <f>작성용!Q710</f>
        <v>cherry880@naver.com</v>
      </c>
      <c r="AA713" s="56" t="str">
        <f>작성용!AJ710</f>
        <v>국민연금제출</v>
      </c>
      <c r="AB713" s="56">
        <f>작성용!AB710</f>
        <v>0</v>
      </c>
    </row>
    <row r="714" spans="1:28" s="12" customFormat="1" ht="16.5" hidden="1" customHeight="1" x14ac:dyDescent="0.3">
      <c r="A714" s="54">
        <f>작성용!AL711</f>
        <v>710</v>
      </c>
      <c r="B714" s="55" t="str">
        <f>작성용!AI711</f>
        <v>-</v>
      </c>
      <c r="C714" s="56" t="str">
        <f>작성용!AK711</f>
        <v>개별종목</v>
      </c>
      <c r="D714" s="57">
        <f>작성용!T711</f>
        <v>45581</v>
      </c>
      <c r="E714" s="58" t="str">
        <f>작성용!B711</f>
        <v>케이넷투자파트너스</v>
      </c>
      <c r="F714" s="58" t="str">
        <f>작성용!C711</f>
        <v>재평가</v>
      </c>
      <c r="G714" s="58" t="str">
        <f>작성용!D711</f>
        <v>테라자인</v>
      </c>
      <c r="H714" s="59">
        <f>작성용!E711</f>
        <v>1601110594295</v>
      </c>
      <c r="I714" s="58" t="str">
        <f>작성용!F711</f>
        <v>A07</v>
      </c>
      <c r="J714" s="58">
        <f>작성용!G711</f>
        <v>0</v>
      </c>
      <c r="K714" s="58" t="str">
        <f>작성용!H711</f>
        <v>-</v>
      </c>
      <c r="L714" s="58" t="str">
        <f>작성용!N711</f>
        <v>년</v>
      </c>
      <c r="M714" s="57" t="str">
        <f>작성용!U711</f>
        <v>2024.09.30</v>
      </c>
      <c r="N714" s="57">
        <f>작성용!V711</f>
        <v>45610</v>
      </c>
      <c r="O714" s="57">
        <f>작성용!W711</f>
        <v>45615</v>
      </c>
      <c r="P714" s="57" t="str">
        <f>작성용!X711</f>
        <v>-</v>
      </c>
      <c r="Q714" s="58" t="str">
        <f>작성용!AD711</f>
        <v>변혜진</v>
      </c>
      <c r="R714" s="60">
        <f>작성용!AE711</f>
        <v>1</v>
      </c>
      <c r="S714" s="58" t="str">
        <f>작성용!AF711</f>
        <v>변혜진</v>
      </c>
      <c r="T714" s="61" t="str">
        <f>작성용!AG711</f>
        <v>윤광일</v>
      </c>
      <c r="U714" s="61" t="str">
        <f>작성용!AH711</f>
        <v>윤광일</v>
      </c>
      <c r="V714" s="56">
        <f>작성용!AA711</f>
        <v>202411</v>
      </c>
      <c r="W714" s="58" t="str">
        <f>작성용!AC711</f>
        <v>[Y]금융기관</v>
      </c>
      <c r="X714" s="58" t="str">
        <f>작성용!O711</f>
        <v>지정희매니저</v>
      </c>
      <c r="Y714" s="58" t="str">
        <f>작성용!P711</f>
        <v>02-3473-7117</v>
      </c>
      <c r="Z714" s="58" t="str">
        <f>작성용!Q711</f>
        <v>cherry880@naver.com</v>
      </c>
      <c r="AA714" s="56" t="str">
        <f>작성용!AJ711</f>
        <v>국민연금제출</v>
      </c>
      <c r="AB714" s="56">
        <f>작성용!AB711</f>
        <v>0</v>
      </c>
    </row>
    <row r="715" spans="1:28" s="12" customFormat="1" ht="16.5" hidden="1" customHeight="1" x14ac:dyDescent="0.3">
      <c r="A715" s="54">
        <f>작성용!AL712</f>
        <v>711</v>
      </c>
      <c r="B715" s="55" t="str">
        <f>작성용!AI712</f>
        <v>-</v>
      </c>
      <c r="C715" s="56" t="str">
        <f>작성용!AK712</f>
        <v>개별종목</v>
      </c>
      <c r="D715" s="57">
        <f>작성용!T712</f>
        <v>45581</v>
      </c>
      <c r="E715" s="58" t="str">
        <f>작성용!B712</f>
        <v>케이넷투자파트너스</v>
      </c>
      <c r="F715" s="58" t="str">
        <f>작성용!C712</f>
        <v>재평가</v>
      </c>
      <c r="G715" s="58" t="str">
        <f>작성용!D712</f>
        <v>서지넥스</v>
      </c>
      <c r="H715" s="59">
        <f>작성용!E712</f>
        <v>1101117616315</v>
      </c>
      <c r="I715" s="58" t="str">
        <f>작성용!F712</f>
        <v>A07</v>
      </c>
      <c r="J715" s="58">
        <f>작성용!G712</f>
        <v>0</v>
      </c>
      <c r="K715" s="58" t="str">
        <f>작성용!H712</f>
        <v>-</v>
      </c>
      <c r="L715" s="58" t="str">
        <f>작성용!N712</f>
        <v>년</v>
      </c>
      <c r="M715" s="57" t="str">
        <f>작성용!U712</f>
        <v>2024.09.30</v>
      </c>
      <c r="N715" s="57">
        <f>작성용!V712</f>
        <v>45610</v>
      </c>
      <c r="O715" s="57">
        <f>작성용!W712</f>
        <v>45615</v>
      </c>
      <c r="P715" s="57" t="str">
        <f>작성용!X712</f>
        <v>-</v>
      </c>
      <c r="Q715" s="58" t="str">
        <f>작성용!AD712</f>
        <v>이상민</v>
      </c>
      <c r="R715" s="60">
        <f>작성용!AE712</f>
        <v>1.5</v>
      </c>
      <c r="S715" s="58" t="str">
        <f>작성용!AF712</f>
        <v>이문수</v>
      </c>
      <c r="T715" s="61" t="str">
        <f>작성용!AG712</f>
        <v>윤광일</v>
      </c>
      <c r="U715" s="61" t="str">
        <f>작성용!AH712</f>
        <v>윤광일</v>
      </c>
      <c r="V715" s="56">
        <f>작성용!AA712</f>
        <v>202411</v>
      </c>
      <c r="W715" s="58" t="str">
        <f>작성용!AC712</f>
        <v>[Y]금융기관</v>
      </c>
      <c r="X715" s="58" t="str">
        <f>작성용!O712</f>
        <v>지정희매니저</v>
      </c>
      <c r="Y715" s="58" t="str">
        <f>작성용!P712</f>
        <v>02-3473-7117</v>
      </c>
      <c r="Z715" s="58" t="str">
        <f>작성용!Q712</f>
        <v>cherry880@naver.com</v>
      </c>
      <c r="AA715" s="56" t="str">
        <f>작성용!AJ712</f>
        <v>국민연금제출</v>
      </c>
      <c r="AB715" s="56">
        <f>작성용!AB712</f>
        <v>0</v>
      </c>
    </row>
    <row r="716" spans="1:28" s="12" customFormat="1" ht="16.5" hidden="1" customHeight="1" x14ac:dyDescent="0.3">
      <c r="A716" s="54">
        <f>작성용!AL713</f>
        <v>712</v>
      </c>
      <c r="B716" s="55" t="str">
        <f>작성용!AI713</f>
        <v>-</v>
      </c>
      <c r="C716" s="56" t="str">
        <f>작성용!AK713</f>
        <v>개별종목</v>
      </c>
      <c r="D716" s="57">
        <f>작성용!T713</f>
        <v>45581</v>
      </c>
      <c r="E716" s="58" t="str">
        <f>작성용!B713</f>
        <v>케이넷투자파트너스</v>
      </c>
      <c r="F716" s="58" t="str">
        <f>작성용!C713</f>
        <v>재평가</v>
      </c>
      <c r="G716" s="58" t="str">
        <f>작성용!D713</f>
        <v>지엑스씨</v>
      </c>
      <c r="H716" s="59">
        <f>작성용!E713</f>
        <v>1101116795540</v>
      </c>
      <c r="I716" s="58" t="str">
        <f>작성용!F713</f>
        <v>A07</v>
      </c>
      <c r="J716" s="58">
        <f>작성용!G713</f>
        <v>0</v>
      </c>
      <c r="K716" s="58" t="str">
        <f>작성용!H713</f>
        <v>-</v>
      </c>
      <c r="L716" s="58" t="str">
        <f>작성용!N713</f>
        <v>년</v>
      </c>
      <c r="M716" s="57" t="str">
        <f>작성용!U713</f>
        <v>2024.09.30</v>
      </c>
      <c r="N716" s="57">
        <f>작성용!V713</f>
        <v>45610</v>
      </c>
      <c r="O716" s="57">
        <f>작성용!W713</f>
        <v>45615</v>
      </c>
      <c r="P716" s="57" t="str">
        <f>작성용!X713</f>
        <v>-</v>
      </c>
      <c r="Q716" s="58" t="str">
        <f>작성용!AD713</f>
        <v>이상민</v>
      </c>
      <c r="R716" s="60">
        <f>작성용!AE713</f>
        <v>1</v>
      </c>
      <c r="S716" s="58" t="str">
        <f>작성용!AF713</f>
        <v>이문수</v>
      </c>
      <c r="T716" s="61" t="str">
        <f>작성용!AG713</f>
        <v>윤광일</v>
      </c>
      <c r="U716" s="61" t="str">
        <f>작성용!AH713</f>
        <v>윤광일</v>
      </c>
      <c r="V716" s="56">
        <f>작성용!AA713</f>
        <v>202411</v>
      </c>
      <c r="W716" s="58" t="str">
        <f>작성용!AC713</f>
        <v>[Y]금융기관</v>
      </c>
      <c r="X716" s="58" t="str">
        <f>작성용!O713</f>
        <v>지정희매니저</v>
      </c>
      <c r="Y716" s="58" t="str">
        <f>작성용!P713</f>
        <v>02-3473-7117</v>
      </c>
      <c r="Z716" s="58" t="str">
        <f>작성용!Q713</f>
        <v>cherry880@naver.com</v>
      </c>
      <c r="AA716" s="56" t="str">
        <f>작성용!AJ713</f>
        <v>국민연금제출</v>
      </c>
      <c r="AB716" s="56">
        <f>작성용!AB713</f>
        <v>0</v>
      </c>
    </row>
    <row r="717" spans="1:28" s="12" customFormat="1" ht="16.5" hidden="1" customHeight="1" x14ac:dyDescent="0.3">
      <c r="A717" s="54">
        <f>작성용!AL714</f>
        <v>713</v>
      </c>
      <c r="B717" s="55" t="str">
        <f>작성용!AI714</f>
        <v>-</v>
      </c>
      <c r="C717" s="56" t="str">
        <f>작성용!AK714</f>
        <v>개별종목</v>
      </c>
      <c r="D717" s="57">
        <f>작성용!T714</f>
        <v>45581</v>
      </c>
      <c r="E717" s="58" t="str">
        <f>작성용!B714</f>
        <v>케이넷투자파트너스</v>
      </c>
      <c r="F717" s="58" t="str">
        <f>작성용!C714</f>
        <v>재평가</v>
      </c>
      <c r="G717" s="58" t="str">
        <f>작성용!D714</f>
        <v>엔게인</v>
      </c>
      <c r="H717" s="59">
        <f>작성용!E714</f>
        <v>1101114747254</v>
      </c>
      <c r="I717" s="58" t="str">
        <f>작성용!F714</f>
        <v>A07</v>
      </c>
      <c r="J717" s="58">
        <f>작성용!G714</f>
        <v>0</v>
      </c>
      <c r="K717" s="58" t="str">
        <f>작성용!H714</f>
        <v>-</v>
      </c>
      <c r="L717" s="58" t="str">
        <f>작성용!N714</f>
        <v>년</v>
      </c>
      <c r="M717" s="57" t="str">
        <f>작성용!U714</f>
        <v>2024.09.30</v>
      </c>
      <c r="N717" s="57">
        <f>작성용!V714</f>
        <v>45610</v>
      </c>
      <c r="O717" s="57">
        <f>작성용!W714</f>
        <v>45615</v>
      </c>
      <c r="P717" s="57" t="str">
        <f>작성용!X714</f>
        <v>-</v>
      </c>
      <c r="Q717" s="58" t="str">
        <f>작성용!AD714</f>
        <v>채동우</v>
      </c>
      <c r="R717" s="60">
        <f>작성용!AE714</f>
        <v>1</v>
      </c>
      <c r="S717" s="58" t="str">
        <f>작성용!AF714</f>
        <v>채동우</v>
      </c>
      <c r="T717" s="61" t="str">
        <f>작성용!AG714</f>
        <v>윤광일</v>
      </c>
      <c r="U717" s="61" t="str">
        <f>작성용!AH714</f>
        <v>윤광일</v>
      </c>
      <c r="V717" s="56">
        <f>작성용!AA714</f>
        <v>202411</v>
      </c>
      <c r="W717" s="58" t="str">
        <f>작성용!AC714</f>
        <v>[Y]금융기관</v>
      </c>
      <c r="X717" s="58" t="str">
        <f>작성용!O714</f>
        <v>지정희매니저</v>
      </c>
      <c r="Y717" s="58" t="str">
        <f>작성용!P714</f>
        <v>02-3473-7117</v>
      </c>
      <c r="Z717" s="58" t="str">
        <f>작성용!Q714</f>
        <v>cherry880@naver.com</v>
      </c>
      <c r="AA717" s="56" t="str">
        <f>작성용!AJ714</f>
        <v>국민연금제출</v>
      </c>
      <c r="AB717" s="56">
        <f>작성용!AB714</f>
        <v>0</v>
      </c>
    </row>
    <row r="718" spans="1:28" s="12" customFormat="1" ht="16.5" hidden="1" customHeight="1" x14ac:dyDescent="0.3">
      <c r="A718" s="54">
        <f>작성용!AL715</f>
        <v>714</v>
      </c>
      <c r="B718" s="55" t="str">
        <f>작성용!AI715</f>
        <v>-</v>
      </c>
      <c r="C718" s="56" t="str">
        <f>작성용!AK715</f>
        <v>개별종목</v>
      </c>
      <c r="D718" s="57">
        <f>작성용!T715</f>
        <v>45581</v>
      </c>
      <c r="E718" s="58" t="str">
        <f>작성용!B715</f>
        <v>케이넷투자파트너스</v>
      </c>
      <c r="F718" s="58" t="str">
        <f>작성용!C715</f>
        <v>재평가</v>
      </c>
      <c r="G718" s="58" t="str">
        <f>작성용!D715</f>
        <v>MG Innovation Lab, Inc</v>
      </c>
      <c r="H718" s="59" t="str">
        <f>작성용!E715</f>
        <v>KBP2023110002</v>
      </c>
      <c r="I718" s="58" t="str">
        <f>작성용!F715</f>
        <v>A05</v>
      </c>
      <c r="J718" s="58">
        <f>작성용!G715</f>
        <v>0</v>
      </c>
      <c r="K718" s="58" t="str">
        <f>작성용!H715</f>
        <v>-</v>
      </c>
      <c r="L718" s="58" t="str">
        <f>작성용!N715</f>
        <v>년</v>
      </c>
      <c r="M718" s="57" t="str">
        <f>작성용!U715</f>
        <v>2024.09.30</v>
      </c>
      <c r="N718" s="57">
        <f>작성용!V715</f>
        <v>45610</v>
      </c>
      <c r="O718" s="57">
        <f>작성용!W715</f>
        <v>45615</v>
      </c>
      <c r="P718" s="57" t="str">
        <f>작성용!X715</f>
        <v>-</v>
      </c>
      <c r="Q718" s="58" t="str">
        <f>작성용!AD715</f>
        <v>백형진</v>
      </c>
      <c r="R718" s="60">
        <f>작성용!AE715</f>
        <v>1</v>
      </c>
      <c r="S718" s="58" t="str">
        <f>작성용!AF715</f>
        <v>백형진</v>
      </c>
      <c r="T718" s="61" t="str">
        <f>작성용!AG715</f>
        <v>윤광일</v>
      </c>
      <c r="U718" s="61" t="str">
        <f>작성용!AH715</f>
        <v>윤광일</v>
      </c>
      <c r="V718" s="56">
        <f>작성용!AA715</f>
        <v>202411</v>
      </c>
      <c r="W718" s="58" t="str">
        <f>작성용!AC715</f>
        <v>[Y]금융기관</v>
      </c>
      <c r="X718" s="58" t="str">
        <f>작성용!O715</f>
        <v>지정희매니저</v>
      </c>
      <c r="Y718" s="58" t="str">
        <f>작성용!P715</f>
        <v>02-3473-7117</v>
      </c>
      <c r="Z718" s="58" t="str">
        <f>작성용!Q715</f>
        <v>cherry880@naver.com</v>
      </c>
      <c r="AA718" s="56" t="str">
        <f>작성용!AJ715</f>
        <v>국민연금제출</v>
      </c>
      <c r="AB718" s="56">
        <f>작성용!AB715</f>
        <v>0</v>
      </c>
    </row>
    <row r="719" spans="1:28" s="12" customFormat="1" ht="16.5" hidden="1" customHeight="1" x14ac:dyDescent="0.3">
      <c r="A719" s="54">
        <f>작성용!AL716</f>
        <v>715</v>
      </c>
      <c r="B719" s="55" t="str">
        <f>작성용!AI716</f>
        <v>-</v>
      </c>
      <c r="C719" s="56" t="str">
        <f>작성용!AK716</f>
        <v>개별종목</v>
      </c>
      <c r="D719" s="57">
        <f>작성용!T716</f>
        <v>45581</v>
      </c>
      <c r="E719" s="58" t="str">
        <f>작성용!B716</f>
        <v>KB인베스트먼트</v>
      </c>
      <c r="F719" s="58" t="str">
        <f>작성용!C716</f>
        <v>신규</v>
      </c>
      <c r="G719" s="58" t="str">
        <f>작성용!D716</f>
        <v>압타바이오</v>
      </c>
      <c r="H719" s="59">
        <f>작성용!E716</f>
        <v>1358110168906</v>
      </c>
      <c r="I719" s="58" t="str">
        <f>작성용!F716</f>
        <v>D02</v>
      </c>
      <c r="J719" s="58">
        <f>작성용!G716</f>
        <v>0</v>
      </c>
      <c r="K719" s="58" t="str">
        <f>작성용!H716</f>
        <v>-</v>
      </c>
      <c r="L719" s="58" t="str">
        <f>작성용!N716</f>
        <v>미정</v>
      </c>
      <c r="M719" s="57" t="str">
        <f>작성용!U716</f>
        <v>2024.09.30</v>
      </c>
      <c r="N719" s="57">
        <f>작성용!V716</f>
        <v>45610</v>
      </c>
      <c r="O719" s="57">
        <f>작성용!W716</f>
        <v>45614</v>
      </c>
      <c r="P719" s="57" t="str">
        <f>작성용!X716</f>
        <v>-</v>
      </c>
      <c r="Q719" s="58" t="str">
        <f>작성용!AD716</f>
        <v>상장</v>
      </c>
      <c r="R719" s="60">
        <f>작성용!AE716</f>
        <v>0</v>
      </c>
      <c r="S719" s="58" t="str">
        <f>작성용!AF716</f>
        <v>상장</v>
      </c>
      <c r="T719" s="61" t="str">
        <f>작성용!AG716</f>
        <v>최수민</v>
      </c>
      <c r="U719" s="61" t="str">
        <f>작성용!AH716</f>
        <v>최수민</v>
      </c>
      <c r="V719" s="56">
        <f>작성용!AA716</f>
        <v>202411</v>
      </c>
      <c r="W719" s="58" t="str">
        <f>작성용!AC716</f>
        <v>[Y]금융기관</v>
      </c>
      <c r="X719" s="58" t="str">
        <f>작성용!O716</f>
        <v>이새록수석팀장</v>
      </c>
      <c r="Y719" s="58" t="str">
        <f>작성용!P716</f>
        <v>02-3015-4786</v>
      </c>
      <c r="Z719" s="58" t="str">
        <f>작성용!Q716</f>
        <v>saerock.lee@kbfg.com</v>
      </c>
      <c r="AA719" s="56" t="str">
        <f>작성용!AJ716</f>
        <v>국민연금제출</v>
      </c>
      <c r="AB719" s="56">
        <f>작성용!AB716</f>
        <v>0</v>
      </c>
    </row>
    <row r="720" spans="1:28" s="12" customFormat="1" ht="16.5" hidden="1" customHeight="1" x14ac:dyDescent="0.3">
      <c r="A720" s="54">
        <f>작성용!AL717</f>
        <v>716</v>
      </c>
      <c r="B720" s="55" t="str">
        <f>작성용!AI717</f>
        <v>-</v>
      </c>
      <c r="C720" s="56" t="str">
        <f>작성용!AK717</f>
        <v>개별종목</v>
      </c>
      <c r="D720" s="57">
        <f>작성용!T717</f>
        <v>45581</v>
      </c>
      <c r="E720" s="58" t="str">
        <f>작성용!B717</f>
        <v>KB인베스트먼트</v>
      </c>
      <c r="F720" s="58" t="str">
        <f>작성용!C717</f>
        <v>신규</v>
      </c>
      <c r="G720" s="58" t="str">
        <f>작성용!D717</f>
        <v>피알앤디컴퍼니</v>
      </c>
      <c r="H720" s="59">
        <f>작성용!E717</f>
        <v>1101115599050</v>
      </c>
      <c r="I720" s="58" t="str">
        <f>작성용!F717</f>
        <v>A07</v>
      </c>
      <c r="J720" s="58">
        <f>작성용!G717</f>
        <v>0</v>
      </c>
      <c r="K720" s="58" t="str">
        <f>작성용!H717</f>
        <v>-</v>
      </c>
      <c r="L720" s="58" t="str">
        <f>작성용!N717</f>
        <v>미정</v>
      </c>
      <c r="M720" s="57" t="str">
        <f>작성용!U717</f>
        <v>2024.09.30</v>
      </c>
      <c r="N720" s="57">
        <f>작성용!V717</f>
        <v>45610</v>
      </c>
      <c r="O720" s="57">
        <f>작성용!W717</f>
        <v>45614</v>
      </c>
      <c r="P720" s="57" t="str">
        <f>작성용!X717</f>
        <v>-</v>
      </c>
      <c r="Q720" s="58" t="str">
        <f>작성용!AD717</f>
        <v>오수현</v>
      </c>
      <c r="R720" s="60">
        <f>작성용!AE717</f>
        <v>1</v>
      </c>
      <c r="S720" s="58" t="str">
        <f>작성용!AF717</f>
        <v>오수현</v>
      </c>
      <c r="T720" s="61" t="str">
        <f>작성용!AG717</f>
        <v>최수민</v>
      </c>
      <c r="U720" s="61" t="str">
        <f>작성용!AH717</f>
        <v>최수민</v>
      </c>
      <c r="V720" s="56">
        <f>작성용!AA717</f>
        <v>202411</v>
      </c>
      <c r="W720" s="58" t="str">
        <f>작성용!AC717</f>
        <v>[Y]금융기관</v>
      </c>
      <c r="X720" s="58" t="str">
        <f>작성용!O717</f>
        <v>이새록수석팀장</v>
      </c>
      <c r="Y720" s="58" t="str">
        <f>작성용!P717</f>
        <v>02-3015-4786</v>
      </c>
      <c r="Z720" s="58" t="str">
        <f>작성용!Q717</f>
        <v>saerock.lee@kbfg.com</v>
      </c>
      <c r="AA720" s="56" t="str">
        <f>작성용!AJ717</f>
        <v>국민연금제출</v>
      </c>
      <c r="AB720" s="56">
        <f>작성용!AB717</f>
        <v>0</v>
      </c>
    </row>
    <row r="721" spans="1:28" s="12" customFormat="1" ht="16.5" hidden="1" customHeight="1" x14ac:dyDescent="0.3">
      <c r="A721" s="54">
        <f>작성용!AL718</f>
        <v>717</v>
      </c>
      <c r="B721" s="55" t="str">
        <f>작성용!AI718</f>
        <v>-</v>
      </c>
      <c r="C721" s="56" t="str">
        <f>작성용!AK718</f>
        <v>개별종목</v>
      </c>
      <c r="D721" s="57">
        <f>작성용!T718</f>
        <v>45581</v>
      </c>
      <c r="E721" s="58" t="str">
        <f>작성용!B718</f>
        <v>KB인베스트먼트</v>
      </c>
      <c r="F721" s="58" t="str">
        <f>작성용!C718</f>
        <v>신규</v>
      </c>
      <c r="G721" s="58" t="str">
        <f>작성용!D718</f>
        <v>피알앤디컴퍼니</v>
      </c>
      <c r="H721" s="59">
        <f>작성용!E718</f>
        <v>1101115599050</v>
      </c>
      <c r="I721" s="58" t="str">
        <f>작성용!F718</f>
        <v>A07</v>
      </c>
      <c r="J721" s="58">
        <f>작성용!G718</f>
        <v>1</v>
      </c>
      <c r="K721" s="58" t="str">
        <f>작성용!H718</f>
        <v>-</v>
      </c>
      <c r="L721" s="58" t="str">
        <f>작성용!N718</f>
        <v>미정</v>
      </c>
      <c r="M721" s="57" t="str">
        <f>작성용!U718</f>
        <v>2024.09.30</v>
      </c>
      <c r="N721" s="57">
        <f>작성용!V718</f>
        <v>45610</v>
      </c>
      <c r="O721" s="57">
        <f>작성용!W718</f>
        <v>45614</v>
      </c>
      <c r="P721" s="57" t="str">
        <f>작성용!X718</f>
        <v>-</v>
      </c>
      <c r="Q721" s="58" t="str">
        <f>작성용!AD718</f>
        <v>오수현</v>
      </c>
      <c r="R721" s="60">
        <f>작성용!AE718</f>
        <v>0</v>
      </c>
      <c r="S721" s="58" t="str">
        <f>작성용!AF718</f>
        <v>오수현</v>
      </c>
      <c r="T721" s="61" t="str">
        <f>작성용!AG718</f>
        <v>최수민</v>
      </c>
      <c r="U721" s="61" t="str">
        <f>작성용!AH718</f>
        <v>최수민</v>
      </c>
      <c r="V721" s="56">
        <f>작성용!AA718</f>
        <v>202411</v>
      </c>
      <c r="W721" s="58" t="str">
        <f>작성용!AC718</f>
        <v>[Y]금융기관</v>
      </c>
      <c r="X721" s="58" t="str">
        <f>작성용!O718</f>
        <v>이새록수석팀장</v>
      </c>
      <c r="Y721" s="58" t="str">
        <f>작성용!P718</f>
        <v>02-3015-4786</v>
      </c>
      <c r="Z721" s="58" t="str">
        <f>작성용!Q718</f>
        <v>saerock.lee@kbfg.com</v>
      </c>
      <c r="AA721" s="56" t="str">
        <f>작성용!AJ718</f>
        <v>국민연금제출</v>
      </c>
      <c r="AB721" s="56">
        <f>작성용!AB718</f>
        <v>0</v>
      </c>
    </row>
    <row r="722" spans="1:28" s="12" customFormat="1" ht="16.5" hidden="1" customHeight="1" x14ac:dyDescent="0.3">
      <c r="A722" s="54">
        <f>작성용!AL719</f>
        <v>718</v>
      </c>
      <c r="B722" s="55" t="str">
        <f>작성용!AI719</f>
        <v>-</v>
      </c>
      <c r="C722" s="56" t="str">
        <f>작성용!AK719</f>
        <v>개별종목</v>
      </c>
      <c r="D722" s="57">
        <f>작성용!T719</f>
        <v>45581</v>
      </c>
      <c r="E722" s="58" t="str">
        <f>작성용!B719</f>
        <v>KB인베스트먼트</v>
      </c>
      <c r="F722" s="58" t="str">
        <f>작성용!C719</f>
        <v>신규</v>
      </c>
      <c r="G722" s="58" t="str">
        <f>작성용!D719</f>
        <v>Essential AI Labs, Inc.</v>
      </c>
      <c r="H722" s="59" t="str">
        <f>작성용!E719</f>
        <v>KBP2024110005</v>
      </c>
      <c r="I722" s="58" t="str">
        <f>작성용!F719</f>
        <v>A05</v>
      </c>
      <c r="J722" s="58">
        <f>작성용!G719</f>
        <v>77</v>
      </c>
      <c r="K722" s="58" t="str">
        <f>작성용!H719</f>
        <v>-</v>
      </c>
      <c r="L722" s="58" t="str">
        <f>작성용!N719</f>
        <v>미정</v>
      </c>
      <c r="M722" s="57" t="str">
        <f>작성용!U719</f>
        <v>2024.09.30</v>
      </c>
      <c r="N722" s="57">
        <f>작성용!V719</f>
        <v>45610</v>
      </c>
      <c r="O722" s="57">
        <f>작성용!W719</f>
        <v>45614</v>
      </c>
      <c r="P722" s="57" t="str">
        <f>작성용!X719</f>
        <v>-</v>
      </c>
      <c r="Q722" s="58" t="str">
        <f>작성용!AD719</f>
        <v>최수민</v>
      </c>
      <c r="R722" s="60">
        <f>작성용!AE719</f>
        <v>1</v>
      </c>
      <c r="S722" s="58" t="str">
        <f>작성용!AF719</f>
        <v>신규</v>
      </c>
      <c r="T722" s="61" t="str">
        <f>작성용!AG719</f>
        <v>최수민</v>
      </c>
      <c r="U722" s="61" t="str">
        <f>작성용!AH719</f>
        <v>최수민</v>
      </c>
      <c r="V722" s="56">
        <f>작성용!AA719</f>
        <v>202411</v>
      </c>
      <c r="W722" s="58" t="str">
        <f>작성용!AC719</f>
        <v>[Y]금융기관</v>
      </c>
      <c r="X722" s="58" t="str">
        <f>작성용!O719</f>
        <v>이새록수석팀장</v>
      </c>
      <c r="Y722" s="58" t="str">
        <f>작성용!P719</f>
        <v>02-3015-4786</v>
      </c>
      <c r="Z722" s="58" t="str">
        <f>작성용!Q719</f>
        <v>saerock.lee@kbfg.com</v>
      </c>
      <c r="AA722" s="56" t="str">
        <f>작성용!AJ719</f>
        <v>국민연금제출</v>
      </c>
      <c r="AB722" s="56">
        <f>작성용!AB719</f>
        <v>0</v>
      </c>
    </row>
    <row r="723" spans="1:28" s="12" customFormat="1" ht="16.5" hidden="1" customHeight="1" x14ac:dyDescent="0.3">
      <c r="A723" s="54">
        <f>작성용!AL720</f>
        <v>719</v>
      </c>
      <c r="B723" s="55" t="str">
        <f>작성용!AI720</f>
        <v>-</v>
      </c>
      <c r="C723" s="56" t="str">
        <f>작성용!AK720</f>
        <v>개별종목</v>
      </c>
      <c r="D723" s="57">
        <f>작성용!T720</f>
        <v>45581</v>
      </c>
      <c r="E723" s="58" t="str">
        <f>작성용!B720</f>
        <v>KB인베스트먼트</v>
      </c>
      <c r="F723" s="58" t="str">
        <f>작성용!C720</f>
        <v>신규</v>
      </c>
      <c r="G723" s="58" t="str">
        <f>작성용!D720</f>
        <v>MangoBoost, Inc.</v>
      </c>
      <c r="H723" s="59" t="str">
        <f>작성용!E720</f>
        <v>KBP2023120060</v>
      </c>
      <c r="I723" s="58" t="str">
        <f>작성용!F720</f>
        <v>A05</v>
      </c>
      <c r="J723" s="58">
        <f>작성용!G720</f>
        <v>0</v>
      </c>
      <c r="K723" s="58" t="str">
        <f>작성용!H720</f>
        <v>-</v>
      </c>
      <c r="L723" s="58" t="str">
        <f>작성용!N720</f>
        <v>미정</v>
      </c>
      <c r="M723" s="57" t="str">
        <f>작성용!U720</f>
        <v>2024.09.30</v>
      </c>
      <c r="N723" s="57">
        <f>작성용!V720</f>
        <v>45610</v>
      </c>
      <c r="O723" s="57">
        <f>작성용!W720</f>
        <v>45614</v>
      </c>
      <c r="P723" s="57" t="str">
        <f>작성용!X720</f>
        <v>-</v>
      </c>
      <c r="Q723" s="58" t="str">
        <f>작성용!AD720</f>
        <v>백형진</v>
      </c>
      <c r="R723" s="60">
        <f>작성용!AE720</f>
        <v>1</v>
      </c>
      <c r="S723" s="58" t="str">
        <f>작성용!AF720</f>
        <v>백형진</v>
      </c>
      <c r="T723" s="61" t="str">
        <f>작성용!AG720</f>
        <v>최수민</v>
      </c>
      <c r="U723" s="61" t="str">
        <f>작성용!AH720</f>
        <v>최수민</v>
      </c>
      <c r="V723" s="56">
        <f>작성용!AA720</f>
        <v>202411</v>
      </c>
      <c r="W723" s="58" t="str">
        <f>작성용!AC720</f>
        <v>[Y]금융기관</v>
      </c>
      <c r="X723" s="58" t="str">
        <f>작성용!O720</f>
        <v>이새록수석팀장</v>
      </c>
      <c r="Y723" s="58" t="str">
        <f>작성용!P720</f>
        <v>02-3015-4786</v>
      </c>
      <c r="Z723" s="58" t="str">
        <f>작성용!Q720</f>
        <v>saerock.lee@kbfg.com</v>
      </c>
      <c r="AA723" s="56" t="str">
        <f>작성용!AJ720</f>
        <v>국민연금제출</v>
      </c>
      <c r="AB723" s="56">
        <f>작성용!AB720</f>
        <v>0</v>
      </c>
    </row>
    <row r="724" spans="1:28" s="12" customFormat="1" ht="16.5" hidden="1" customHeight="1" x14ac:dyDescent="0.3">
      <c r="A724" s="54">
        <f>작성용!AL721</f>
        <v>720</v>
      </c>
      <c r="B724" s="55" t="str">
        <f>작성용!AI721</f>
        <v>-</v>
      </c>
      <c r="C724" s="56" t="str">
        <f>작성용!AK721</f>
        <v>개별종목</v>
      </c>
      <c r="D724" s="57">
        <f>작성용!T721</f>
        <v>45582</v>
      </c>
      <c r="E724" s="58" t="str">
        <f>작성용!B721</f>
        <v>아주아이비투자</v>
      </c>
      <c r="F724" s="58" t="str">
        <f>작성용!C721</f>
        <v>신규</v>
      </c>
      <c r="G724" s="58" t="str">
        <f>작성용!D721</f>
        <v>인벤티지랩</v>
      </c>
      <c r="H724" s="59">
        <f>작성용!E721</f>
        <v>1311110409481</v>
      </c>
      <c r="I724" s="58" t="str">
        <f>작성용!F721</f>
        <v>D02</v>
      </c>
      <c r="J724" s="58">
        <f>작성용!G721</f>
        <v>77</v>
      </c>
      <c r="K724" s="58" t="str">
        <f>작성용!H721</f>
        <v>-</v>
      </c>
      <c r="L724" s="58" t="str">
        <f>작성용!N721</f>
        <v>년</v>
      </c>
      <c r="M724" s="57" t="str">
        <f>작성용!U721</f>
        <v>2024.09.30</v>
      </c>
      <c r="N724" s="57">
        <f>작성용!V721</f>
        <v>45607</v>
      </c>
      <c r="O724" s="57">
        <f>작성용!W721</f>
        <v>45609</v>
      </c>
      <c r="P724" s="57" t="str">
        <f>작성용!X721</f>
        <v>-</v>
      </c>
      <c r="Q724" s="58" t="str">
        <f>작성용!AD721</f>
        <v>상장</v>
      </c>
      <c r="R724" s="60">
        <f>작성용!AE721</f>
        <v>0</v>
      </c>
      <c r="S724" s="58" t="str">
        <f>작성용!AF721</f>
        <v>상장</v>
      </c>
      <c r="T724" s="61" t="str">
        <f>작성용!AG721</f>
        <v>오수현</v>
      </c>
      <c r="U724" s="61" t="str">
        <f>작성용!AH721</f>
        <v>오수현</v>
      </c>
      <c r="V724" s="56">
        <f>작성용!AA721</f>
        <v>202411</v>
      </c>
      <c r="W724" s="58" t="str">
        <f>작성용!AC721</f>
        <v>[Y]금융기관</v>
      </c>
      <c r="X724" s="58" t="str">
        <f>작성용!O721</f>
        <v>유수지매니저</v>
      </c>
      <c r="Y724" s="58" t="str">
        <f>작성용!P721</f>
        <v>02-3451-9251</v>
      </c>
      <c r="Z724" s="58" t="str">
        <f>작성용!Q721</f>
        <v>sjyou@ajuib.co.kr</v>
      </c>
      <c r="AA724" s="56" t="str">
        <f>작성용!AJ721</f>
        <v>재무보고목적</v>
      </c>
      <c r="AB724" s="56">
        <f>작성용!AB721</f>
        <v>0</v>
      </c>
    </row>
    <row r="725" spans="1:28" s="12" customFormat="1" ht="16.5" hidden="1" customHeight="1" x14ac:dyDescent="0.3">
      <c r="A725" s="54">
        <f>작성용!AL722</f>
        <v>721</v>
      </c>
      <c r="B725" s="55" t="str">
        <f>작성용!AI722</f>
        <v>-</v>
      </c>
      <c r="C725" s="56" t="str">
        <f>작성용!AK722</f>
        <v>개별종목</v>
      </c>
      <c r="D725" s="57">
        <f>작성용!T722</f>
        <v>45582</v>
      </c>
      <c r="E725" s="58" t="str">
        <f>작성용!B722</f>
        <v>에스케이에스프라이빗에쿼티</v>
      </c>
      <c r="F725" s="58" t="str">
        <f>작성용!C722</f>
        <v>재평가</v>
      </c>
      <c r="G725" s="58" t="str">
        <f>작성용!D722</f>
        <v>팰</v>
      </c>
      <c r="H725" s="59">
        <f>작성용!E722</f>
        <v>1101113051284</v>
      </c>
      <c r="I725" s="58" t="str">
        <f>작성용!F722</f>
        <v>D02</v>
      </c>
      <c r="J725" s="58">
        <f>작성용!G722</f>
        <v>0</v>
      </c>
      <c r="K725" s="58" t="str">
        <f>작성용!H722</f>
        <v>-</v>
      </c>
      <c r="L725" s="58" t="str">
        <f>작성용!N722</f>
        <v>년</v>
      </c>
      <c r="M725" s="57" t="str">
        <f>작성용!U722</f>
        <v>2024.09.30</v>
      </c>
      <c r="N725" s="57">
        <f>작성용!V722</f>
        <v>45610</v>
      </c>
      <c r="O725" s="57">
        <f>작성용!W722</f>
        <v>45615</v>
      </c>
      <c r="P725" s="57" t="str">
        <f>작성용!X722</f>
        <v>-</v>
      </c>
      <c r="Q725" s="58" t="str">
        <f>작성용!AD722</f>
        <v>원정우</v>
      </c>
      <c r="R725" s="60">
        <f>작성용!AE722</f>
        <v>1</v>
      </c>
      <c r="S725" s="58" t="str">
        <f>작성용!AF722</f>
        <v>정준엽</v>
      </c>
      <c r="T725" s="61" t="str">
        <f>작성용!AG722</f>
        <v>서경덕</v>
      </c>
      <c r="U725" s="61" t="str">
        <f>작성용!AH722</f>
        <v>서경덕</v>
      </c>
      <c r="V725" s="56">
        <f>작성용!AA722</f>
        <v>202411</v>
      </c>
      <c r="W725" s="58" t="str">
        <f>작성용!AC722</f>
        <v>[Y]금융기관</v>
      </c>
      <c r="X725" s="58" t="str">
        <f>작성용!O722</f>
        <v>임중훈본부장</v>
      </c>
      <c r="Y725" s="58" t="str">
        <f>작성용!P722</f>
        <v>010-5446-6129</v>
      </c>
      <c r="Z725" s="58" t="str">
        <f>작성용!Q722</f>
        <v>jhlim@skspe.com;.pef@skspe.com</v>
      </c>
      <c r="AA725" s="56" t="str">
        <f>작성용!AJ722</f>
        <v>국민연금제출</v>
      </c>
      <c r="AB725" s="56">
        <f>작성용!AB722</f>
        <v>0</v>
      </c>
    </row>
    <row r="726" spans="1:28" s="12" customFormat="1" ht="16.5" hidden="1" customHeight="1" x14ac:dyDescent="0.3">
      <c r="A726" s="54">
        <f>작성용!AL723</f>
        <v>722</v>
      </c>
      <c r="B726" s="55" t="str">
        <f>작성용!AI723</f>
        <v>-</v>
      </c>
      <c r="C726" s="56" t="str">
        <f>작성용!AK723</f>
        <v>개별종목</v>
      </c>
      <c r="D726" s="57">
        <f>작성용!T723</f>
        <v>45582</v>
      </c>
      <c r="E726" s="58" t="str">
        <f>작성용!B723</f>
        <v>에스케이에스프라이빗에쿼티</v>
      </c>
      <c r="F726" s="58" t="str">
        <f>작성용!C723</f>
        <v>재평가</v>
      </c>
      <c r="G726" s="58" t="str">
        <f>작성용!D723</f>
        <v>피투피시스템즈</v>
      </c>
      <c r="H726" s="59">
        <f>작성용!E723</f>
        <v>1101112304171</v>
      </c>
      <c r="I726" s="58" t="str">
        <f>작성용!F723</f>
        <v>A07</v>
      </c>
      <c r="J726" s="58">
        <f>작성용!G723</f>
        <v>0</v>
      </c>
      <c r="K726" s="58" t="str">
        <f>작성용!H723</f>
        <v>-</v>
      </c>
      <c r="L726" s="58" t="str">
        <f>작성용!N723</f>
        <v>년</v>
      </c>
      <c r="M726" s="57" t="str">
        <f>작성용!U723</f>
        <v>2024.09.30</v>
      </c>
      <c r="N726" s="57">
        <f>작성용!V723</f>
        <v>45610</v>
      </c>
      <c r="O726" s="57">
        <f>작성용!W723</f>
        <v>45615</v>
      </c>
      <c r="P726" s="57" t="str">
        <f>작성용!X723</f>
        <v>-</v>
      </c>
      <c r="Q726" s="58" t="str">
        <f>작성용!AD723</f>
        <v>조현우</v>
      </c>
      <c r="R726" s="60">
        <f>작성용!AE723</f>
        <v>0</v>
      </c>
      <c r="S726" s="58" t="str">
        <f>작성용!AF723</f>
        <v>윤현빈</v>
      </c>
      <c r="T726" s="61" t="str">
        <f>작성용!AG723</f>
        <v>서경덕</v>
      </c>
      <c r="U726" s="61" t="str">
        <f>작성용!AH723</f>
        <v>서경덕</v>
      </c>
      <c r="V726" s="56">
        <f>작성용!AA723</f>
        <v>202411</v>
      </c>
      <c r="W726" s="58" t="str">
        <f>작성용!AC723</f>
        <v>[Y]금융기관</v>
      </c>
      <c r="X726" s="58" t="str">
        <f>작성용!O723</f>
        <v>임중훈본부장</v>
      </c>
      <c r="Y726" s="58" t="str">
        <f>작성용!P723</f>
        <v>010-5446-6129</v>
      </c>
      <c r="Z726" s="58" t="str">
        <f>작성용!Q723</f>
        <v>jhlim@skspe.com;.pef@skspe.com</v>
      </c>
      <c r="AA726" s="56" t="str">
        <f>작성용!AJ723</f>
        <v>국민연금제출</v>
      </c>
      <c r="AB726" s="56">
        <f>작성용!AB723</f>
        <v>0</v>
      </c>
    </row>
    <row r="727" spans="1:28" s="12" customFormat="1" ht="16.5" hidden="1" customHeight="1" x14ac:dyDescent="0.3">
      <c r="A727" s="54">
        <f>작성용!AL724</f>
        <v>723</v>
      </c>
      <c r="B727" s="55" t="str">
        <f>작성용!AI724</f>
        <v>-</v>
      </c>
      <c r="C727" s="56" t="str">
        <f>작성용!AK724</f>
        <v>개별종목</v>
      </c>
      <c r="D727" s="57">
        <f>작성용!T724</f>
        <v>45582</v>
      </c>
      <c r="E727" s="58" t="str">
        <f>작성용!B724</f>
        <v>에스케이에스프라이빗에쿼티</v>
      </c>
      <c r="F727" s="58" t="str">
        <f>작성용!C724</f>
        <v>재평가</v>
      </c>
      <c r="G727" s="58" t="str">
        <f>작성용!D724</f>
        <v>이솔</v>
      </c>
      <c r="H727" s="59">
        <f>작성용!E724</f>
        <v>1348110433615</v>
      </c>
      <c r="I727" s="58" t="str">
        <f>작성용!F724</f>
        <v>A07</v>
      </c>
      <c r="J727" s="58">
        <f>작성용!G724</f>
        <v>0</v>
      </c>
      <c r="K727" s="58" t="str">
        <f>작성용!H724</f>
        <v>-</v>
      </c>
      <c r="L727" s="58" t="str">
        <f>작성용!N724</f>
        <v>년</v>
      </c>
      <c r="M727" s="57" t="str">
        <f>작성용!U724</f>
        <v>2024.09.30</v>
      </c>
      <c r="N727" s="57">
        <f>작성용!V724</f>
        <v>45610</v>
      </c>
      <c r="O727" s="57">
        <f>작성용!W724</f>
        <v>45615</v>
      </c>
      <c r="P727" s="57" t="str">
        <f>작성용!X724</f>
        <v>-</v>
      </c>
      <c r="Q727" s="58" t="str">
        <f>작성용!AD724</f>
        <v>심태진</v>
      </c>
      <c r="R727" s="60">
        <f>작성용!AE724</f>
        <v>1</v>
      </c>
      <c r="S727" s="58" t="str">
        <f>작성용!AF724</f>
        <v>심태진</v>
      </c>
      <c r="T727" s="61" t="str">
        <f>작성용!AG724</f>
        <v>서경덕</v>
      </c>
      <c r="U727" s="61" t="str">
        <f>작성용!AH724</f>
        <v>서경덕</v>
      </c>
      <c r="V727" s="56">
        <f>작성용!AA724</f>
        <v>202411</v>
      </c>
      <c r="W727" s="58" t="str">
        <f>작성용!AC724</f>
        <v>[Y]금융기관</v>
      </c>
      <c r="X727" s="58" t="str">
        <f>작성용!O724</f>
        <v>임중훈본부장</v>
      </c>
      <c r="Y727" s="58" t="str">
        <f>작성용!P724</f>
        <v>010-5446-6129</v>
      </c>
      <c r="Z727" s="58" t="str">
        <f>작성용!Q724</f>
        <v>jhlim@skspe.com;.pef@skspe.com</v>
      </c>
      <c r="AA727" s="56" t="str">
        <f>작성용!AJ724</f>
        <v>국민연금제출</v>
      </c>
      <c r="AB727" s="56">
        <f>작성용!AB724</f>
        <v>0</v>
      </c>
    </row>
    <row r="728" spans="1:28" s="12" customFormat="1" ht="16.5" hidden="1" customHeight="1" x14ac:dyDescent="0.3">
      <c r="A728" s="54">
        <f>작성용!AL725</f>
        <v>724</v>
      </c>
      <c r="B728" s="55" t="str">
        <f>작성용!AI725</f>
        <v>-</v>
      </c>
      <c r="C728" s="56" t="str">
        <f>작성용!AK725</f>
        <v>개별종목</v>
      </c>
      <c r="D728" s="57">
        <f>작성용!T725</f>
        <v>45582</v>
      </c>
      <c r="E728" s="58" t="str">
        <f>작성용!B725</f>
        <v>에스케이에스프라이빗에쿼티</v>
      </c>
      <c r="F728" s="58" t="str">
        <f>작성용!C725</f>
        <v>재평가</v>
      </c>
      <c r="G728" s="58" t="str">
        <f>작성용!D725</f>
        <v>이브이시스(구,중앙제어)</v>
      </c>
      <c r="H728" s="59">
        <f>작성용!E725</f>
        <v>1101111006174</v>
      </c>
      <c r="I728" s="58" t="str">
        <f>작성용!F725</f>
        <v>A05</v>
      </c>
      <c r="J728" s="58">
        <f>작성용!G725</f>
        <v>0</v>
      </c>
      <c r="K728" s="58" t="str">
        <f>작성용!H725</f>
        <v>-</v>
      </c>
      <c r="L728" s="58" t="str">
        <f>작성용!N725</f>
        <v>년</v>
      </c>
      <c r="M728" s="57" t="str">
        <f>작성용!U725</f>
        <v>2024.09.30</v>
      </c>
      <c r="N728" s="57">
        <f>작성용!V725</f>
        <v>45610</v>
      </c>
      <c r="O728" s="57">
        <f>작성용!W725</f>
        <v>45615</v>
      </c>
      <c r="P728" s="57" t="str">
        <f>작성용!X725</f>
        <v>-</v>
      </c>
      <c r="Q728" s="58" t="str">
        <f>작성용!AD725</f>
        <v>조현우</v>
      </c>
      <c r="R728" s="60">
        <f>작성용!AE725</f>
        <v>1</v>
      </c>
      <c r="S728" s="58" t="str">
        <f>작성용!AF725</f>
        <v>조현우</v>
      </c>
      <c r="T728" s="61" t="str">
        <f>작성용!AG725</f>
        <v>서경덕</v>
      </c>
      <c r="U728" s="61" t="str">
        <f>작성용!AH725</f>
        <v>서경덕</v>
      </c>
      <c r="V728" s="56">
        <f>작성용!AA725</f>
        <v>202411</v>
      </c>
      <c r="W728" s="58" t="str">
        <f>작성용!AC725</f>
        <v>[Y]금융기관</v>
      </c>
      <c r="X728" s="58" t="str">
        <f>작성용!O725</f>
        <v>임중훈본부장</v>
      </c>
      <c r="Y728" s="58" t="str">
        <f>작성용!P725</f>
        <v>010-5446-6129</v>
      </c>
      <c r="Z728" s="58" t="str">
        <f>작성용!Q725</f>
        <v>jhlim@skspe.com;.pef@skspe.com</v>
      </c>
      <c r="AA728" s="56" t="str">
        <f>작성용!AJ725</f>
        <v>국민연금제출</v>
      </c>
      <c r="AB728" s="56">
        <f>작성용!AB725</f>
        <v>0</v>
      </c>
    </row>
    <row r="729" spans="1:28" s="12" customFormat="1" ht="16.5" hidden="1" customHeight="1" x14ac:dyDescent="0.3">
      <c r="A729" s="54">
        <f>작성용!AL726</f>
        <v>725</v>
      </c>
      <c r="B729" s="55" t="str">
        <f>작성용!AI726</f>
        <v>-</v>
      </c>
      <c r="C729" s="56" t="str">
        <f>작성용!AK726</f>
        <v>개별종목</v>
      </c>
      <c r="D729" s="57">
        <f>작성용!T726</f>
        <v>45582</v>
      </c>
      <c r="E729" s="58" t="str">
        <f>작성용!B726</f>
        <v>에스케이에스프라이빗에쿼티</v>
      </c>
      <c r="F729" s="58" t="str">
        <f>작성용!C726</f>
        <v>재평가</v>
      </c>
      <c r="G729" s="58" t="str">
        <f>작성용!D726</f>
        <v>하이그라운드</v>
      </c>
      <c r="H729" s="59">
        <f>작성용!E726</f>
        <v>1101115425312</v>
      </c>
      <c r="I729" s="58" t="str">
        <f>작성용!F726</f>
        <v>A05</v>
      </c>
      <c r="J729" s="58">
        <f>작성용!G726</f>
        <v>0</v>
      </c>
      <c r="K729" s="58" t="str">
        <f>작성용!H726</f>
        <v>-</v>
      </c>
      <c r="L729" s="58" t="str">
        <f>작성용!N726</f>
        <v>년</v>
      </c>
      <c r="M729" s="57" t="str">
        <f>작성용!U726</f>
        <v>2024.09.30</v>
      </c>
      <c r="N729" s="57">
        <f>작성용!V726</f>
        <v>45610</v>
      </c>
      <c r="O729" s="57">
        <f>작성용!W726</f>
        <v>45615</v>
      </c>
      <c r="P729" s="57" t="str">
        <f>작성용!X726</f>
        <v>-</v>
      </c>
      <c r="Q729" s="58" t="str">
        <f>작성용!AD726</f>
        <v>서경덕</v>
      </c>
      <c r="R729" s="60">
        <f>작성용!AE726</f>
        <v>0</v>
      </c>
      <c r="S729" s="58" t="str">
        <f>작성용!AF726</f>
        <v>서수빈</v>
      </c>
      <c r="T729" s="61" t="str">
        <f>작성용!AG726</f>
        <v>서경덕</v>
      </c>
      <c r="U729" s="61" t="str">
        <f>작성용!AH726</f>
        <v>서경덕</v>
      </c>
      <c r="V729" s="56">
        <f>작성용!AA726</f>
        <v>202411</v>
      </c>
      <c r="W729" s="58" t="str">
        <f>작성용!AC726</f>
        <v>[Y]금융기관</v>
      </c>
      <c r="X729" s="58" t="str">
        <f>작성용!O726</f>
        <v>임중훈본부장</v>
      </c>
      <c r="Y729" s="58" t="str">
        <f>작성용!P726</f>
        <v>010-5446-6129</v>
      </c>
      <c r="Z729" s="58" t="str">
        <f>작성용!Q726</f>
        <v>jhlim@skspe.com;.pef@skspe.com</v>
      </c>
      <c r="AA729" s="56" t="str">
        <f>작성용!AJ726</f>
        <v>국민연금제출</v>
      </c>
      <c r="AB729" s="56">
        <f>작성용!AB726</f>
        <v>0</v>
      </c>
    </row>
    <row r="730" spans="1:28" s="12" customFormat="1" ht="16.5" hidden="1" customHeight="1" x14ac:dyDescent="0.3">
      <c r="A730" s="54">
        <f>작성용!AL727</f>
        <v>726</v>
      </c>
      <c r="B730" s="55" t="str">
        <f>작성용!AI727</f>
        <v>-</v>
      </c>
      <c r="C730" s="56" t="str">
        <f>작성용!AK727</f>
        <v>개별종목</v>
      </c>
      <c r="D730" s="57">
        <f>작성용!T727</f>
        <v>45582</v>
      </c>
      <c r="E730" s="58" t="str">
        <f>작성용!B727</f>
        <v>에스케이에스프라이빗에쿼티</v>
      </c>
      <c r="F730" s="58" t="str">
        <f>작성용!C727</f>
        <v>재평가</v>
      </c>
      <c r="G730" s="58" t="str">
        <f>작성용!D727</f>
        <v>동양시스템즈</v>
      </c>
      <c r="H730" s="59">
        <f>작성용!E727</f>
        <v>1101117419074</v>
      </c>
      <c r="I730" s="58" t="str">
        <f>작성용!F727</f>
        <v>A07</v>
      </c>
      <c r="J730" s="58">
        <f>작성용!G727</f>
        <v>0</v>
      </c>
      <c r="K730" s="58" t="str">
        <f>작성용!H727</f>
        <v>-</v>
      </c>
      <c r="L730" s="58" t="str">
        <f>작성용!N727</f>
        <v>년</v>
      </c>
      <c r="M730" s="57" t="str">
        <f>작성용!U727</f>
        <v>2024.09.30</v>
      </c>
      <c r="N730" s="57">
        <f>작성용!V727</f>
        <v>45610</v>
      </c>
      <c r="O730" s="57">
        <f>작성용!W727</f>
        <v>45615</v>
      </c>
      <c r="P730" s="57" t="str">
        <f>작성용!X727</f>
        <v>-</v>
      </c>
      <c r="Q730" s="58" t="str">
        <f>작성용!AD727</f>
        <v>신원준</v>
      </c>
      <c r="R730" s="60">
        <f>작성용!AE727</f>
        <v>1</v>
      </c>
      <c r="S730" s="58" t="str">
        <f>작성용!AF727</f>
        <v>김혜지</v>
      </c>
      <c r="T730" s="61" t="str">
        <f>작성용!AG727</f>
        <v>서경덕</v>
      </c>
      <c r="U730" s="61" t="str">
        <f>작성용!AH727</f>
        <v>서경덕</v>
      </c>
      <c r="V730" s="56">
        <f>작성용!AA727</f>
        <v>202411</v>
      </c>
      <c r="W730" s="58" t="str">
        <f>작성용!AC727</f>
        <v>[Y]금융기관</v>
      </c>
      <c r="X730" s="58" t="str">
        <f>작성용!O727</f>
        <v>임중훈본부장</v>
      </c>
      <c r="Y730" s="58" t="str">
        <f>작성용!P727</f>
        <v>010-5446-6129</v>
      </c>
      <c r="Z730" s="58" t="str">
        <f>작성용!Q727</f>
        <v>jhlim@skspe.com;.pef@skspe.com</v>
      </c>
      <c r="AA730" s="56" t="str">
        <f>작성용!AJ727</f>
        <v>국민연금제출</v>
      </c>
      <c r="AB730" s="56">
        <f>작성용!AB727</f>
        <v>0</v>
      </c>
    </row>
    <row r="731" spans="1:28" s="12" customFormat="1" ht="16.5" hidden="1" customHeight="1" x14ac:dyDescent="0.3">
      <c r="A731" s="54">
        <f>작성용!AL728</f>
        <v>727</v>
      </c>
      <c r="B731" s="55" t="str">
        <f>작성용!AI728</f>
        <v>-</v>
      </c>
      <c r="C731" s="56" t="str">
        <f>작성용!AK728</f>
        <v>개별종목</v>
      </c>
      <c r="D731" s="57">
        <f>작성용!T728</f>
        <v>45582</v>
      </c>
      <c r="E731" s="58" t="str">
        <f>작성용!B728</f>
        <v>에스케이에스프라이빗에쿼티</v>
      </c>
      <c r="F731" s="58" t="str">
        <f>작성용!C728</f>
        <v>재평가</v>
      </c>
      <c r="G731" s="58" t="str">
        <f>작성용!D728</f>
        <v>동양시스템즈</v>
      </c>
      <c r="H731" s="59">
        <f>작성용!E728</f>
        <v>1101117419074</v>
      </c>
      <c r="I731" s="58" t="str">
        <f>작성용!F728</f>
        <v>D02</v>
      </c>
      <c r="J731" s="58">
        <f>작성용!G728</f>
        <v>0</v>
      </c>
      <c r="K731" s="58" t="str">
        <f>작성용!H728</f>
        <v>-</v>
      </c>
      <c r="L731" s="58" t="str">
        <f>작성용!N728</f>
        <v>년</v>
      </c>
      <c r="M731" s="57" t="str">
        <f>작성용!U728</f>
        <v>2024.09.30</v>
      </c>
      <c r="N731" s="57">
        <f>작성용!V728</f>
        <v>45610</v>
      </c>
      <c r="O731" s="57">
        <f>작성용!W728</f>
        <v>45615</v>
      </c>
      <c r="P731" s="57" t="str">
        <f>작성용!X728</f>
        <v>-</v>
      </c>
      <c r="Q731" s="58" t="str">
        <f>작성용!AD728</f>
        <v>신원준</v>
      </c>
      <c r="R731" s="60">
        <f>작성용!AE728</f>
        <v>0</v>
      </c>
      <c r="S731" s="58" t="str">
        <f>작성용!AF728</f>
        <v>김혜지</v>
      </c>
      <c r="T731" s="61" t="str">
        <f>작성용!AG728</f>
        <v>서경덕</v>
      </c>
      <c r="U731" s="61" t="str">
        <f>작성용!AH728</f>
        <v>서경덕</v>
      </c>
      <c r="V731" s="56">
        <f>작성용!AA728</f>
        <v>202411</v>
      </c>
      <c r="W731" s="58" t="str">
        <f>작성용!AC728</f>
        <v>[Y]금융기관</v>
      </c>
      <c r="X731" s="58" t="str">
        <f>작성용!O728</f>
        <v>임중훈본부장</v>
      </c>
      <c r="Y731" s="58" t="str">
        <f>작성용!P728</f>
        <v>010-5446-6129</v>
      </c>
      <c r="Z731" s="58" t="str">
        <f>작성용!Q728</f>
        <v>jhlim@skspe.com;.pef@skspe.com</v>
      </c>
      <c r="AA731" s="56" t="str">
        <f>작성용!AJ728</f>
        <v>국민연금제출</v>
      </c>
      <c r="AB731" s="56">
        <f>작성용!AB728</f>
        <v>0</v>
      </c>
    </row>
    <row r="732" spans="1:28" s="12" customFormat="1" ht="16.5" hidden="1" customHeight="1" x14ac:dyDescent="0.3">
      <c r="A732" s="54">
        <f>작성용!AL729</f>
        <v>728</v>
      </c>
      <c r="B732" s="55" t="str">
        <f>작성용!AI729</f>
        <v>-</v>
      </c>
      <c r="C732" s="56" t="str">
        <f>작성용!AK729</f>
        <v>개별종목</v>
      </c>
      <c r="D732" s="57">
        <f>작성용!T729</f>
        <v>45582</v>
      </c>
      <c r="E732" s="58" t="str">
        <f>작성용!B729</f>
        <v>에스케이에스프라이빗에쿼티</v>
      </c>
      <c r="F732" s="58" t="str">
        <f>작성용!C729</f>
        <v>신규</v>
      </c>
      <c r="G732" s="58" t="str">
        <f>작성용!D729</f>
        <v>동화일렉트로라이트(구,파낙스이텍)</v>
      </c>
      <c r="H732" s="59">
        <f>작성용!E729</f>
        <v>1801110685321</v>
      </c>
      <c r="I732" s="58" t="str">
        <f>작성용!F729</f>
        <v>A01</v>
      </c>
      <c r="J732" s="58">
        <f>작성용!G729</f>
        <v>0</v>
      </c>
      <c r="K732" s="58" t="str">
        <f>작성용!H729</f>
        <v>-</v>
      </c>
      <c r="L732" s="58" t="str">
        <f>작성용!N729</f>
        <v>년</v>
      </c>
      <c r="M732" s="57" t="str">
        <f>작성용!U729</f>
        <v>2024.09.30</v>
      </c>
      <c r="N732" s="57">
        <f>작성용!V729</f>
        <v>45610</v>
      </c>
      <c r="O732" s="57">
        <f>작성용!W729</f>
        <v>45615</v>
      </c>
      <c r="P732" s="57" t="str">
        <f>작성용!X729</f>
        <v>-</v>
      </c>
      <c r="Q732" s="58" t="str">
        <f>작성용!AD729</f>
        <v>원정우</v>
      </c>
      <c r="R732" s="60">
        <f>작성용!AE729</f>
        <v>1</v>
      </c>
      <c r="S732" s="58" t="str">
        <f>작성용!AF729</f>
        <v>원정우</v>
      </c>
      <c r="T732" s="61" t="str">
        <f>작성용!AG729</f>
        <v>서경덕</v>
      </c>
      <c r="U732" s="61" t="str">
        <f>작성용!AH729</f>
        <v>서경덕</v>
      </c>
      <c r="V732" s="56">
        <f>작성용!AA729</f>
        <v>202411</v>
      </c>
      <c r="W732" s="58" t="str">
        <f>작성용!AC729</f>
        <v>[Y]금융기관</v>
      </c>
      <c r="X732" s="58" t="str">
        <f>작성용!O729</f>
        <v>임중훈본부장</v>
      </c>
      <c r="Y732" s="58" t="str">
        <f>작성용!P729</f>
        <v>010-5446-6129</v>
      </c>
      <c r="Z732" s="58" t="str">
        <f>작성용!Q729</f>
        <v>jhlim@skspe.com;.pef@skspe.com</v>
      </c>
      <c r="AA732" s="56" t="str">
        <f>작성용!AJ729</f>
        <v>국민연금제출</v>
      </c>
      <c r="AB732" s="56">
        <f>작성용!AB729</f>
        <v>0</v>
      </c>
    </row>
    <row r="733" spans="1:28" s="12" customFormat="1" ht="16.5" hidden="1" customHeight="1" x14ac:dyDescent="0.3">
      <c r="A733" s="54">
        <f>작성용!AL730</f>
        <v>729</v>
      </c>
      <c r="B733" s="55" t="str">
        <f>작성용!AI730</f>
        <v>-</v>
      </c>
      <c r="C733" s="56" t="str">
        <f>작성용!AK730</f>
        <v>개별종목</v>
      </c>
      <c r="D733" s="57">
        <f>작성용!T730</f>
        <v>45582</v>
      </c>
      <c r="E733" s="58" t="str">
        <f>작성용!B730</f>
        <v>에스케이에스프라이빗에쿼티</v>
      </c>
      <c r="F733" s="58" t="str">
        <f>작성용!C730</f>
        <v>신규</v>
      </c>
      <c r="G733" s="58" t="str">
        <f>작성용!D730</f>
        <v>동화일렉트로라이트(구,파낙스이텍)</v>
      </c>
      <c r="H733" s="59">
        <f>작성용!E730</f>
        <v>1801110685321</v>
      </c>
      <c r="I733" s="58" t="str">
        <f>작성용!F730</f>
        <v>A07</v>
      </c>
      <c r="J733" s="58">
        <f>작성용!G730</f>
        <v>0</v>
      </c>
      <c r="K733" s="58" t="str">
        <f>작성용!H730</f>
        <v>-</v>
      </c>
      <c r="L733" s="58" t="str">
        <f>작성용!N730</f>
        <v>년</v>
      </c>
      <c r="M733" s="57" t="str">
        <f>작성용!U730</f>
        <v>2024.09.30</v>
      </c>
      <c r="N733" s="57">
        <f>작성용!V730</f>
        <v>45610</v>
      </c>
      <c r="O733" s="57">
        <f>작성용!W730</f>
        <v>45615</v>
      </c>
      <c r="P733" s="57" t="str">
        <f>작성용!X730</f>
        <v>-</v>
      </c>
      <c r="Q733" s="58" t="str">
        <f>작성용!AD730</f>
        <v>원정우</v>
      </c>
      <c r="R733" s="60">
        <f>작성용!AE730</f>
        <v>0</v>
      </c>
      <c r="S733" s="58" t="str">
        <f>작성용!AF730</f>
        <v>원정우</v>
      </c>
      <c r="T733" s="61" t="str">
        <f>작성용!AG730</f>
        <v>서경덕</v>
      </c>
      <c r="U733" s="61" t="str">
        <f>작성용!AH730</f>
        <v>서경덕</v>
      </c>
      <c r="V733" s="56">
        <f>작성용!AA730</f>
        <v>202411</v>
      </c>
      <c r="W733" s="58" t="str">
        <f>작성용!AC730</f>
        <v>[Y]금융기관</v>
      </c>
      <c r="X733" s="58" t="str">
        <f>작성용!O730</f>
        <v>임중훈본부장</v>
      </c>
      <c r="Y733" s="58" t="str">
        <f>작성용!P730</f>
        <v>010-5446-6129</v>
      </c>
      <c r="Z733" s="58" t="str">
        <f>작성용!Q730</f>
        <v>jhlim@skspe.com;.pef@skspe.com</v>
      </c>
      <c r="AA733" s="56" t="str">
        <f>작성용!AJ730</f>
        <v>국민연금제출</v>
      </c>
      <c r="AB733" s="56">
        <f>작성용!AB730</f>
        <v>0</v>
      </c>
    </row>
    <row r="734" spans="1:28" s="12" customFormat="1" ht="16.5" hidden="1" customHeight="1" x14ac:dyDescent="0.3">
      <c r="A734" s="54">
        <f>작성용!AL731</f>
        <v>730</v>
      </c>
      <c r="B734" s="55" t="str">
        <f>작성용!AI731</f>
        <v>-</v>
      </c>
      <c r="C734" s="56" t="str">
        <f>작성용!AK731</f>
        <v>개별종목</v>
      </c>
      <c r="D734" s="57">
        <f>작성용!T731</f>
        <v>45582</v>
      </c>
      <c r="E734" s="58" t="str">
        <f>작성용!B731</f>
        <v>에스케이에스프라이빗에쿼티</v>
      </c>
      <c r="F734" s="58" t="str">
        <f>작성용!C731</f>
        <v>신규</v>
      </c>
      <c r="G734" s="58" t="str">
        <f>작성용!D731</f>
        <v>에코프로비엠</v>
      </c>
      <c r="H734" s="59">
        <f>작성용!E731</f>
        <v>1501110219184</v>
      </c>
      <c r="I734" s="58" t="str">
        <f>작성용!F731</f>
        <v>D02</v>
      </c>
      <c r="J734" s="58">
        <f>작성용!G731</f>
        <v>5</v>
      </c>
      <c r="K734" s="58" t="str">
        <f>작성용!H731</f>
        <v>-</v>
      </c>
      <c r="L734" s="58" t="str">
        <f>작성용!N731</f>
        <v>년</v>
      </c>
      <c r="M734" s="57" t="str">
        <f>작성용!U731</f>
        <v>2024.09.30</v>
      </c>
      <c r="N734" s="57">
        <f>작성용!V731</f>
        <v>45610</v>
      </c>
      <c r="O734" s="57">
        <f>작성용!W731</f>
        <v>45615</v>
      </c>
      <c r="P734" s="57" t="str">
        <f>작성용!X731</f>
        <v>-</v>
      </c>
      <c r="Q734" s="58" t="str">
        <f>작성용!AD731</f>
        <v>상장</v>
      </c>
      <c r="R734" s="60">
        <f>작성용!AE731</f>
        <v>0</v>
      </c>
      <c r="S734" s="58" t="str">
        <f>작성용!AF731</f>
        <v>상장</v>
      </c>
      <c r="T734" s="61" t="str">
        <f>작성용!AG731</f>
        <v>서경덕</v>
      </c>
      <c r="U734" s="61" t="str">
        <f>작성용!AH731</f>
        <v>서경덕</v>
      </c>
      <c r="V734" s="56">
        <f>작성용!AA731</f>
        <v>202411</v>
      </c>
      <c r="W734" s="58" t="str">
        <f>작성용!AC731</f>
        <v>[Y]금융기관</v>
      </c>
      <c r="X734" s="58" t="str">
        <f>작성용!O731</f>
        <v>임중훈본부장</v>
      </c>
      <c r="Y734" s="58" t="str">
        <f>작성용!P731</f>
        <v>010-5446-6129</v>
      </c>
      <c r="Z734" s="58" t="str">
        <f>작성용!Q731</f>
        <v>jhlim@skspe.com;.pef@skspe.com</v>
      </c>
      <c r="AA734" s="56" t="str">
        <f>작성용!AJ731</f>
        <v>국민연금제출</v>
      </c>
      <c r="AB734" s="56">
        <f>작성용!AB731</f>
        <v>0</v>
      </c>
    </row>
    <row r="735" spans="1:28" s="12" customFormat="1" ht="16.5" hidden="1" customHeight="1" x14ac:dyDescent="0.3">
      <c r="A735" s="54">
        <f>작성용!AL732</f>
        <v>731</v>
      </c>
      <c r="B735" s="55" t="str">
        <f>작성용!AI732</f>
        <v>-</v>
      </c>
      <c r="C735" s="56" t="str">
        <f>작성용!AK732</f>
        <v>개별종목</v>
      </c>
      <c r="D735" s="57">
        <f>작성용!T732</f>
        <v>45582</v>
      </c>
      <c r="E735" s="58" t="str">
        <f>작성용!B732</f>
        <v>스톤브릿지벤처스</v>
      </c>
      <c r="F735" s="58" t="str">
        <f>작성용!C732</f>
        <v>재평가</v>
      </c>
      <c r="G735" s="58" t="str">
        <f>작성용!D732</f>
        <v>MangoBoost, Inc.</v>
      </c>
      <c r="H735" s="59" t="str">
        <f>작성용!E732</f>
        <v>KBP2023120060</v>
      </c>
      <c r="I735" s="58" t="str">
        <f>작성용!F732</f>
        <v>A05</v>
      </c>
      <c r="J735" s="58">
        <f>작성용!G732</f>
        <v>1</v>
      </c>
      <c r="K735" s="58" t="str">
        <f>작성용!H732</f>
        <v>-</v>
      </c>
      <c r="L735" s="58" t="str">
        <f>작성용!N732</f>
        <v>년</v>
      </c>
      <c r="M735" s="57" t="str">
        <f>작성용!U732</f>
        <v>2024.09.30</v>
      </c>
      <c r="N735" s="57">
        <f>작성용!V732</f>
        <v>45610</v>
      </c>
      <c r="O735" s="57">
        <f>작성용!W732</f>
        <v>45614</v>
      </c>
      <c r="P735" s="57" t="str">
        <f>작성용!X732</f>
        <v>-</v>
      </c>
      <c r="Q735" s="58" t="str">
        <f>작성용!AD732</f>
        <v>백형진</v>
      </c>
      <c r="R735" s="60">
        <f>작성용!AE732</f>
        <v>0</v>
      </c>
      <c r="S735" s="58" t="str">
        <f>작성용!AF732</f>
        <v>백형진</v>
      </c>
      <c r="T735" s="61" t="str">
        <f>작성용!AG732</f>
        <v>강승현</v>
      </c>
      <c r="U735" s="61" t="str">
        <f>작성용!AH732</f>
        <v>강승현</v>
      </c>
      <c r="V735" s="56">
        <f>작성용!AA732</f>
        <v>202411</v>
      </c>
      <c r="W735" s="58" t="str">
        <f>작성용!AC732</f>
        <v>[Y]금융기관</v>
      </c>
      <c r="X735" s="58">
        <f>작성용!O732</f>
        <v>0</v>
      </c>
      <c r="Y735" s="58">
        <f>작성용!P732</f>
        <v>0</v>
      </c>
      <c r="Z735" s="58">
        <f>작성용!Q732</f>
        <v>0</v>
      </c>
      <c r="AA735" s="56" t="str">
        <f>작성용!AJ732</f>
        <v>국민연금제출</v>
      </c>
      <c r="AB735" s="56">
        <f>작성용!AB732</f>
        <v>0</v>
      </c>
    </row>
    <row r="736" spans="1:28" s="12" customFormat="1" ht="16.5" hidden="1" customHeight="1" x14ac:dyDescent="0.3">
      <c r="A736" s="54">
        <f>작성용!AL733</f>
        <v>732</v>
      </c>
      <c r="B736" s="55" t="str">
        <f>작성용!AI733</f>
        <v>-</v>
      </c>
      <c r="C736" s="56" t="str">
        <f>작성용!AK733</f>
        <v>개별종목</v>
      </c>
      <c r="D736" s="57">
        <f>작성용!T733</f>
        <v>45582</v>
      </c>
      <c r="E736" s="58" t="str">
        <f>작성용!B733</f>
        <v>스톤브릿지벤처스</v>
      </c>
      <c r="F736" s="58" t="str">
        <f>작성용!C733</f>
        <v>재평가</v>
      </c>
      <c r="G736" s="58" t="str">
        <f>작성용!D733</f>
        <v>MangoBoost, Inc.</v>
      </c>
      <c r="H736" s="59" t="str">
        <f>작성용!E733</f>
        <v>KBP2023120060</v>
      </c>
      <c r="I736" s="58" t="str">
        <f>작성용!F733</f>
        <v>A05</v>
      </c>
      <c r="J736" s="58">
        <f>작성용!G733</f>
        <v>2</v>
      </c>
      <c r="K736" s="58" t="str">
        <f>작성용!H733</f>
        <v>-</v>
      </c>
      <c r="L736" s="58" t="str">
        <f>작성용!N733</f>
        <v>년</v>
      </c>
      <c r="M736" s="57" t="str">
        <f>작성용!U733</f>
        <v>2024.09.30</v>
      </c>
      <c r="N736" s="57">
        <f>작성용!V733</f>
        <v>45610</v>
      </c>
      <c r="O736" s="57">
        <f>작성용!W733</f>
        <v>45614</v>
      </c>
      <c r="P736" s="57" t="str">
        <f>작성용!X733</f>
        <v>-</v>
      </c>
      <c r="Q736" s="58" t="str">
        <f>작성용!AD733</f>
        <v>백형진</v>
      </c>
      <c r="R736" s="60">
        <f>작성용!AE733</f>
        <v>0</v>
      </c>
      <c r="S736" s="58" t="str">
        <f>작성용!AF733</f>
        <v>백형진</v>
      </c>
      <c r="T736" s="61" t="str">
        <f>작성용!AG733</f>
        <v>강승현</v>
      </c>
      <c r="U736" s="61" t="str">
        <f>작성용!AH733</f>
        <v>강승현</v>
      </c>
      <c r="V736" s="56">
        <f>작성용!AA733</f>
        <v>202411</v>
      </c>
      <c r="W736" s="58" t="str">
        <f>작성용!AC733</f>
        <v>[Y]금융기관</v>
      </c>
      <c r="X736" s="58">
        <f>작성용!O733</f>
        <v>0</v>
      </c>
      <c r="Y736" s="58">
        <f>작성용!P733</f>
        <v>0</v>
      </c>
      <c r="Z736" s="58">
        <f>작성용!Q733</f>
        <v>0</v>
      </c>
      <c r="AA736" s="56" t="str">
        <f>작성용!AJ733</f>
        <v>국민연금제출</v>
      </c>
      <c r="AB736" s="56">
        <f>작성용!AB733</f>
        <v>0</v>
      </c>
    </row>
    <row r="737" spans="1:28" s="12" customFormat="1" ht="16.5" hidden="1" customHeight="1" x14ac:dyDescent="0.3">
      <c r="A737" s="54">
        <f>작성용!AL734</f>
        <v>733</v>
      </c>
      <c r="B737" s="55" t="str">
        <f>작성용!AI734</f>
        <v>-</v>
      </c>
      <c r="C737" s="56" t="str">
        <f>작성용!AK734</f>
        <v>개별종목</v>
      </c>
      <c r="D737" s="57">
        <f>작성용!T734</f>
        <v>45582</v>
      </c>
      <c r="E737" s="58" t="str">
        <f>작성용!B734</f>
        <v>스톤브릿지벤처스</v>
      </c>
      <c r="F737" s="58" t="str">
        <f>작성용!C734</f>
        <v>재평가</v>
      </c>
      <c r="G737" s="58" t="str">
        <f>작성용!D734</f>
        <v>NeuReality</v>
      </c>
      <c r="H737" s="59" t="str">
        <f>작성용!E734</f>
        <v>KBP2022120260</v>
      </c>
      <c r="I737" s="58" t="str">
        <f>작성용!F734</f>
        <v>A05</v>
      </c>
      <c r="J737" s="58">
        <f>작성용!G734</f>
        <v>0</v>
      </c>
      <c r="K737" s="58" t="str">
        <f>작성용!H734</f>
        <v>-</v>
      </c>
      <c r="L737" s="58" t="str">
        <f>작성용!N734</f>
        <v>년</v>
      </c>
      <c r="M737" s="57" t="str">
        <f>작성용!U734</f>
        <v>2024.09.30</v>
      </c>
      <c r="N737" s="57">
        <f>작성용!V734</f>
        <v>45610</v>
      </c>
      <c r="O737" s="57">
        <f>작성용!W734</f>
        <v>45614</v>
      </c>
      <c r="P737" s="57" t="str">
        <f>작성용!X734</f>
        <v>-</v>
      </c>
      <c r="Q737" s="58" t="str">
        <f>작성용!AD734</f>
        <v>백형진</v>
      </c>
      <c r="R737" s="60">
        <f>작성용!AE734</f>
        <v>1</v>
      </c>
      <c r="S737" s="58" t="str">
        <f>작성용!AF734</f>
        <v>백형진</v>
      </c>
      <c r="T737" s="61" t="str">
        <f>작성용!AG734</f>
        <v>강승현</v>
      </c>
      <c r="U737" s="61" t="str">
        <f>작성용!AH734</f>
        <v>강승현</v>
      </c>
      <c r="V737" s="56">
        <f>작성용!AA734</f>
        <v>202411</v>
      </c>
      <c r="W737" s="58" t="str">
        <f>작성용!AC734</f>
        <v>[Y]금융기관</v>
      </c>
      <c r="X737" s="58">
        <f>작성용!O734</f>
        <v>0</v>
      </c>
      <c r="Y737" s="58">
        <f>작성용!P734</f>
        <v>0</v>
      </c>
      <c r="Z737" s="58">
        <f>작성용!Q734</f>
        <v>0</v>
      </c>
      <c r="AA737" s="56" t="str">
        <f>작성용!AJ734</f>
        <v>국민연금제출</v>
      </c>
      <c r="AB737" s="56">
        <f>작성용!AB734</f>
        <v>0</v>
      </c>
    </row>
    <row r="738" spans="1:28" s="12" customFormat="1" ht="16.5" hidden="1" customHeight="1" x14ac:dyDescent="0.3">
      <c r="A738" s="54">
        <f>작성용!AL735</f>
        <v>734</v>
      </c>
      <c r="B738" s="55" t="str">
        <f>작성용!AI735</f>
        <v>-</v>
      </c>
      <c r="C738" s="56" t="str">
        <f>작성용!AK735</f>
        <v>개별종목</v>
      </c>
      <c r="D738" s="57">
        <f>작성용!T735</f>
        <v>45582</v>
      </c>
      <c r="E738" s="58" t="str">
        <f>작성용!B735</f>
        <v>스톤브릿지벤처스</v>
      </c>
      <c r="F738" s="58" t="str">
        <f>작성용!C735</f>
        <v>재평가</v>
      </c>
      <c r="G738" s="58" t="str">
        <f>작성용!D735</f>
        <v>넛지헬스케어</v>
      </c>
      <c r="H738" s="59">
        <f>작성용!E735</f>
        <v>1311110454965</v>
      </c>
      <c r="I738" s="58" t="str">
        <f>작성용!F735</f>
        <v>A01</v>
      </c>
      <c r="J738" s="58">
        <f>작성용!G735</f>
        <v>0</v>
      </c>
      <c r="K738" s="58" t="str">
        <f>작성용!H735</f>
        <v>-</v>
      </c>
      <c r="L738" s="58" t="str">
        <f>작성용!N735</f>
        <v>년</v>
      </c>
      <c r="M738" s="57" t="str">
        <f>작성용!U735</f>
        <v>2024.09.30</v>
      </c>
      <c r="N738" s="57">
        <f>작성용!V735</f>
        <v>45610</v>
      </c>
      <c r="O738" s="57">
        <f>작성용!W735</f>
        <v>45614</v>
      </c>
      <c r="P738" s="57" t="str">
        <f>작성용!X735</f>
        <v>-</v>
      </c>
      <c r="Q738" s="58" t="str">
        <f>작성용!AD735</f>
        <v>정재형</v>
      </c>
      <c r="R738" s="60">
        <f>작성용!AE735</f>
        <v>1</v>
      </c>
      <c r="S738" s="58" t="str">
        <f>작성용!AF735</f>
        <v>정재형</v>
      </c>
      <c r="T738" s="61" t="str">
        <f>작성용!AG735</f>
        <v>강승현</v>
      </c>
      <c r="U738" s="61" t="str">
        <f>작성용!AH735</f>
        <v>강승현</v>
      </c>
      <c r="V738" s="56">
        <f>작성용!AA735</f>
        <v>202411</v>
      </c>
      <c r="W738" s="58" t="str">
        <f>작성용!AC735</f>
        <v>[Y]금융기관</v>
      </c>
      <c r="X738" s="58">
        <f>작성용!O735</f>
        <v>0</v>
      </c>
      <c r="Y738" s="58">
        <f>작성용!P735</f>
        <v>0</v>
      </c>
      <c r="Z738" s="58">
        <f>작성용!Q735</f>
        <v>0</v>
      </c>
      <c r="AA738" s="56" t="str">
        <f>작성용!AJ735</f>
        <v>국민연금제출</v>
      </c>
      <c r="AB738" s="56">
        <f>작성용!AB735</f>
        <v>0</v>
      </c>
    </row>
    <row r="739" spans="1:28" s="12" customFormat="1" ht="16.5" hidden="1" customHeight="1" x14ac:dyDescent="0.3">
      <c r="A739" s="54">
        <f>작성용!AL736</f>
        <v>735</v>
      </c>
      <c r="B739" s="55" t="str">
        <f>작성용!AI736</f>
        <v>-</v>
      </c>
      <c r="C739" s="56" t="str">
        <f>작성용!AK736</f>
        <v>개별종목</v>
      </c>
      <c r="D739" s="57">
        <f>작성용!T736</f>
        <v>45582</v>
      </c>
      <c r="E739" s="58" t="str">
        <f>작성용!B736</f>
        <v>스톤브릿지벤처스</v>
      </c>
      <c r="F739" s="58" t="str">
        <f>작성용!C736</f>
        <v>재평가</v>
      </c>
      <c r="G739" s="58" t="str">
        <f>작성용!D736</f>
        <v>넥스아이</v>
      </c>
      <c r="H739" s="59">
        <f>작성용!E736</f>
        <v>1101117849370</v>
      </c>
      <c r="I739" s="58" t="str">
        <f>작성용!F736</f>
        <v>A07</v>
      </c>
      <c r="J739" s="58">
        <f>작성용!G736</f>
        <v>0</v>
      </c>
      <c r="K739" s="58" t="str">
        <f>작성용!H736</f>
        <v>-</v>
      </c>
      <c r="L739" s="58" t="str">
        <f>작성용!N736</f>
        <v>년</v>
      </c>
      <c r="M739" s="57" t="str">
        <f>작성용!U736</f>
        <v>2024.09.30</v>
      </c>
      <c r="N739" s="57">
        <f>작성용!V736</f>
        <v>45610</v>
      </c>
      <c r="O739" s="57">
        <f>작성용!W736</f>
        <v>45614</v>
      </c>
      <c r="P739" s="57" t="str">
        <f>작성용!X736</f>
        <v>-</v>
      </c>
      <c r="Q739" s="58" t="str">
        <f>작성용!AD736</f>
        <v>강성은</v>
      </c>
      <c r="R739" s="60">
        <f>작성용!AE736</f>
        <v>1</v>
      </c>
      <c r="S739" s="58" t="str">
        <f>작성용!AF736</f>
        <v>강성은</v>
      </c>
      <c r="T739" s="61" t="str">
        <f>작성용!AG736</f>
        <v>강승현</v>
      </c>
      <c r="U739" s="61" t="str">
        <f>작성용!AH736</f>
        <v>강승현</v>
      </c>
      <c r="V739" s="56">
        <f>작성용!AA736</f>
        <v>202411</v>
      </c>
      <c r="W739" s="58" t="str">
        <f>작성용!AC736</f>
        <v>[Y]금융기관</v>
      </c>
      <c r="X739" s="58">
        <f>작성용!O736</f>
        <v>0</v>
      </c>
      <c r="Y739" s="58">
        <f>작성용!P736</f>
        <v>0</v>
      </c>
      <c r="Z739" s="58">
        <f>작성용!Q736</f>
        <v>0</v>
      </c>
      <c r="AA739" s="56" t="str">
        <f>작성용!AJ736</f>
        <v>국민연금제출</v>
      </c>
      <c r="AB739" s="56">
        <f>작성용!AB736</f>
        <v>0</v>
      </c>
    </row>
    <row r="740" spans="1:28" s="12" customFormat="1" ht="16.5" hidden="1" customHeight="1" x14ac:dyDescent="0.3">
      <c r="A740" s="54">
        <f>작성용!AL737</f>
        <v>736</v>
      </c>
      <c r="B740" s="55" t="str">
        <f>작성용!AI737</f>
        <v>-</v>
      </c>
      <c r="C740" s="56" t="str">
        <f>작성용!AK737</f>
        <v>개별종목</v>
      </c>
      <c r="D740" s="57">
        <f>작성용!T737</f>
        <v>45582</v>
      </c>
      <c r="E740" s="58" t="str">
        <f>작성용!B737</f>
        <v>스톤브릿지벤처스</v>
      </c>
      <c r="F740" s="58" t="str">
        <f>작성용!C737</f>
        <v>재평가</v>
      </c>
      <c r="G740" s="58" t="str">
        <f>작성용!D737</f>
        <v>노타</v>
      </c>
      <c r="H740" s="59">
        <f>작성용!E737</f>
        <v>1601110397409</v>
      </c>
      <c r="I740" s="58" t="str">
        <f>작성용!F737</f>
        <v>A07</v>
      </c>
      <c r="J740" s="58">
        <f>작성용!G737</f>
        <v>0</v>
      </c>
      <c r="K740" s="58" t="str">
        <f>작성용!H737</f>
        <v>-</v>
      </c>
      <c r="L740" s="58" t="str">
        <f>작성용!N737</f>
        <v>년</v>
      </c>
      <c r="M740" s="57" t="str">
        <f>작성용!U737</f>
        <v>2024.09.30</v>
      </c>
      <c r="N740" s="57">
        <f>작성용!V737</f>
        <v>45610</v>
      </c>
      <c r="O740" s="57">
        <f>작성용!W737</f>
        <v>45614</v>
      </c>
      <c r="P740" s="57" t="str">
        <f>작성용!X737</f>
        <v>-</v>
      </c>
      <c r="Q740" s="58" t="str">
        <f>작성용!AD737</f>
        <v>채동우</v>
      </c>
      <c r="R740" s="60">
        <f>작성용!AE737</f>
        <v>1</v>
      </c>
      <c r="S740" s="58" t="str">
        <f>작성용!AF737</f>
        <v>채동우</v>
      </c>
      <c r="T740" s="61" t="str">
        <f>작성용!AG737</f>
        <v>강승현</v>
      </c>
      <c r="U740" s="61" t="str">
        <f>작성용!AH737</f>
        <v>강승현</v>
      </c>
      <c r="V740" s="56">
        <f>작성용!AA737</f>
        <v>202411</v>
      </c>
      <c r="W740" s="58" t="str">
        <f>작성용!AC737</f>
        <v>[Y]금융기관</v>
      </c>
      <c r="X740" s="58">
        <f>작성용!O737</f>
        <v>0</v>
      </c>
      <c r="Y740" s="58">
        <f>작성용!P737</f>
        <v>0</v>
      </c>
      <c r="Z740" s="58">
        <f>작성용!Q737</f>
        <v>0</v>
      </c>
      <c r="AA740" s="56" t="str">
        <f>작성용!AJ737</f>
        <v>국민연금제출</v>
      </c>
      <c r="AB740" s="56">
        <f>작성용!AB737</f>
        <v>0</v>
      </c>
    </row>
    <row r="741" spans="1:28" s="12" customFormat="1" ht="16.5" hidden="1" customHeight="1" x14ac:dyDescent="0.3">
      <c r="A741" s="54">
        <f>작성용!AL738</f>
        <v>737</v>
      </c>
      <c r="B741" s="55" t="str">
        <f>작성용!AI738</f>
        <v>-</v>
      </c>
      <c r="C741" s="56" t="str">
        <f>작성용!AK738</f>
        <v>개별종목</v>
      </c>
      <c r="D741" s="57">
        <f>작성용!T738</f>
        <v>45582</v>
      </c>
      <c r="E741" s="58" t="str">
        <f>작성용!B738</f>
        <v>스톤브릿지벤처스</v>
      </c>
      <c r="F741" s="58" t="str">
        <f>작성용!C738</f>
        <v>재평가</v>
      </c>
      <c r="G741" s="58" t="str">
        <f>작성용!D738</f>
        <v>다임리서치</v>
      </c>
      <c r="H741" s="59">
        <f>작성용!E738</f>
        <v>1311110580819</v>
      </c>
      <c r="I741" s="58" t="str">
        <f>작성용!F738</f>
        <v>A07</v>
      </c>
      <c r="J741" s="58">
        <f>작성용!G738</f>
        <v>0</v>
      </c>
      <c r="K741" s="58" t="str">
        <f>작성용!H738</f>
        <v>-</v>
      </c>
      <c r="L741" s="58" t="str">
        <f>작성용!N738</f>
        <v>년</v>
      </c>
      <c r="M741" s="57" t="str">
        <f>작성용!U738</f>
        <v>2024.09.30</v>
      </c>
      <c r="N741" s="57">
        <f>작성용!V738</f>
        <v>45610</v>
      </c>
      <c r="O741" s="57">
        <f>작성용!W738</f>
        <v>45614</v>
      </c>
      <c r="P741" s="57" t="str">
        <f>작성용!X738</f>
        <v>-</v>
      </c>
      <c r="Q741" s="58" t="str">
        <f>작성용!AD738</f>
        <v>강승현</v>
      </c>
      <c r="R741" s="60">
        <f>작성용!AE738</f>
        <v>1</v>
      </c>
      <c r="S741" s="58" t="str">
        <f>작성용!AF738</f>
        <v>강승현</v>
      </c>
      <c r="T741" s="61" t="str">
        <f>작성용!AG738</f>
        <v>강승현</v>
      </c>
      <c r="U741" s="61" t="str">
        <f>작성용!AH738</f>
        <v>강승현</v>
      </c>
      <c r="V741" s="56">
        <f>작성용!AA738</f>
        <v>202411</v>
      </c>
      <c r="W741" s="58" t="str">
        <f>작성용!AC738</f>
        <v>[Y]금융기관</v>
      </c>
      <c r="X741" s="58">
        <f>작성용!O738</f>
        <v>0</v>
      </c>
      <c r="Y741" s="58">
        <f>작성용!P738</f>
        <v>0</v>
      </c>
      <c r="Z741" s="58">
        <f>작성용!Q738</f>
        <v>0</v>
      </c>
      <c r="AA741" s="56" t="str">
        <f>작성용!AJ738</f>
        <v>국민연금제출</v>
      </c>
      <c r="AB741" s="56">
        <f>작성용!AB738</f>
        <v>0</v>
      </c>
    </row>
    <row r="742" spans="1:28" s="12" customFormat="1" ht="16.5" hidden="1" customHeight="1" x14ac:dyDescent="0.3">
      <c r="A742" s="54">
        <f>작성용!AL739</f>
        <v>738</v>
      </c>
      <c r="B742" s="55" t="str">
        <f>작성용!AI739</f>
        <v>-</v>
      </c>
      <c r="C742" s="56" t="str">
        <f>작성용!AK739</f>
        <v>개별종목</v>
      </c>
      <c r="D742" s="57">
        <f>작성용!T739</f>
        <v>45582</v>
      </c>
      <c r="E742" s="58" t="str">
        <f>작성용!B739</f>
        <v>스톤브릿지벤처스</v>
      </c>
      <c r="F742" s="58" t="str">
        <f>작성용!C739</f>
        <v>재평가</v>
      </c>
      <c r="G742" s="58" t="str">
        <f>작성용!D739</f>
        <v>데이터라이즈</v>
      </c>
      <c r="H742" s="59">
        <f>작성용!E739</f>
        <v>1101117195947</v>
      </c>
      <c r="I742" s="58" t="str">
        <f>작성용!F739</f>
        <v>A07</v>
      </c>
      <c r="J742" s="58">
        <f>작성용!G739</f>
        <v>0</v>
      </c>
      <c r="K742" s="58" t="str">
        <f>작성용!H739</f>
        <v>-</v>
      </c>
      <c r="L742" s="58" t="str">
        <f>작성용!N739</f>
        <v>년</v>
      </c>
      <c r="M742" s="57" t="str">
        <f>작성용!U739</f>
        <v>2024.09.30</v>
      </c>
      <c r="N742" s="57">
        <f>작성용!V739</f>
        <v>45610</v>
      </c>
      <c r="O742" s="57">
        <f>작성용!W739</f>
        <v>45614</v>
      </c>
      <c r="P742" s="57" t="str">
        <f>작성용!X739</f>
        <v>-</v>
      </c>
      <c r="Q742" s="58" t="str">
        <f>작성용!AD739</f>
        <v>윤광일</v>
      </c>
      <c r="R742" s="60">
        <f>작성용!AE739</f>
        <v>1</v>
      </c>
      <c r="S742" s="58" t="str">
        <f>작성용!AF739</f>
        <v>유재호</v>
      </c>
      <c r="T742" s="61" t="str">
        <f>작성용!AG739</f>
        <v>강승현</v>
      </c>
      <c r="U742" s="61" t="str">
        <f>작성용!AH739</f>
        <v>강승현</v>
      </c>
      <c r="V742" s="56">
        <f>작성용!AA739</f>
        <v>202411</v>
      </c>
      <c r="W742" s="58" t="str">
        <f>작성용!AC739</f>
        <v>[Y]금융기관</v>
      </c>
      <c r="X742" s="58">
        <f>작성용!O739</f>
        <v>0</v>
      </c>
      <c r="Y742" s="58">
        <f>작성용!P739</f>
        <v>0</v>
      </c>
      <c r="Z742" s="58">
        <f>작성용!Q739</f>
        <v>0</v>
      </c>
      <c r="AA742" s="56" t="str">
        <f>작성용!AJ739</f>
        <v>국민연금제출</v>
      </c>
      <c r="AB742" s="56">
        <f>작성용!AB739</f>
        <v>0</v>
      </c>
    </row>
    <row r="743" spans="1:28" s="12" customFormat="1" ht="16.5" hidden="1" customHeight="1" x14ac:dyDescent="0.3">
      <c r="A743" s="54">
        <f>작성용!AL740</f>
        <v>739</v>
      </c>
      <c r="B743" s="55" t="str">
        <f>작성용!AI740</f>
        <v>-</v>
      </c>
      <c r="C743" s="56" t="str">
        <f>작성용!AK740</f>
        <v>개별종목</v>
      </c>
      <c r="D743" s="57">
        <f>작성용!T740</f>
        <v>45582</v>
      </c>
      <c r="E743" s="58" t="str">
        <f>작성용!B740</f>
        <v>스톤브릿지벤처스</v>
      </c>
      <c r="F743" s="58" t="str">
        <f>작성용!C740</f>
        <v>재평가</v>
      </c>
      <c r="G743" s="58" t="str">
        <f>작성용!D740</f>
        <v xml:space="preserve">드노보바이오테라퓨틱스 </v>
      </c>
      <c r="H743" s="59">
        <f>작성용!E740</f>
        <v>1101118011704</v>
      </c>
      <c r="I743" s="58" t="str">
        <f>작성용!F740</f>
        <v>A07</v>
      </c>
      <c r="J743" s="58">
        <f>작성용!G740</f>
        <v>0</v>
      </c>
      <c r="K743" s="58" t="str">
        <f>작성용!H740</f>
        <v>-</v>
      </c>
      <c r="L743" s="58" t="str">
        <f>작성용!N740</f>
        <v>년</v>
      </c>
      <c r="M743" s="57" t="str">
        <f>작성용!U740</f>
        <v>2024.09.30</v>
      </c>
      <c r="N743" s="57">
        <f>작성용!V740</f>
        <v>45610</v>
      </c>
      <c r="O743" s="57">
        <f>작성용!W740</f>
        <v>45614</v>
      </c>
      <c r="P743" s="57" t="str">
        <f>작성용!X740</f>
        <v>-</v>
      </c>
      <c r="Q743" s="58" t="str">
        <f>작성용!AD740</f>
        <v>백형진</v>
      </c>
      <c r="R743" s="60">
        <f>작성용!AE740</f>
        <v>1</v>
      </c>
      <c r="S743" s="58" t="str">
        <f>작성용!AF740</f>
        <v>백형진</v>
      </c>
      <c r="T743" s="61" t="str">
        <f>작성용!AG740</f>
        <v>강승현</v>
      </c>
      <c r="U743" s="61" t="str">
        <f>작성용!AH740</f>
        <v>강승현</v>
      </c>
      <c r="V743" s="56">
        <f>작성용!AA740</f>
        <v>202411</v>
      </c>
      <c r="W743" s="58" t="str">
        <f>작성용!AC740</f>
        <v>[Y]금융기관</v>
      </c>
      <c r="X743" s="58">
        <f>작성용!O740</f>
        <v>0</v>
      </c>
      <c r="Y743" s="58">
        <f>작성용!P740</f>
        <v>0</v>
      </c>
      <c r="Z743" s="58">
        <f>작성용!Q740</f>
        <v>0</v>
      </c>
      <c r="AA743" s="56" t="str">
        <f>작성용!AJ740</f>
        <v>국민연금제출</v>
      </c>
      <c r="AB743" s="56">
        <f>작성용!AB740</f>
        <v>0</v>
      </c>
    </row>
    <row r="744" spans="1:28" s="12" customFormat="1" ht="16.5" hidden="1" customHeight="1" x14ac:dyDescent="0.3">
      <c r="A744" s="54">
        <f>작성용!AL741</f>
        <v>740</v>
      </c>
      <c r="B744" s="55" t="str">
        <f>작성용!AI741</f>
        <v>-</v>
      </c>
      <c r="C744" s="56" t="str">
        <f>작성용!AK741</f>
        <v>개별종목</v>
      </c>
      <c r="D744" s="57">
        <f>작성용!T741</f>
        <v>45582</v>
      </c>
      <c r="E744" s="58" t="str">
        <f>작성용!B741</f>
        <v>스톤브릿지벤처스</v>
      </c>
      <c r="F744" s="58" t="str">
        <f>작성용!C741</f>
        <v>재평가</v>
      </c>
      <c r="G744" s="58" t="str">
        <f>작성용!D741</f>
        <v>드라이브포스</v>
      </c>
      <c r="H744" s="59">
        <f>작성용!E741</f>
        <v>1801111215474</v>
      </c>
      <c r="I744" s="58" t="str">
        <f>작성용!F741</f>
        <v>A07</v>
      </c>
      <c r="J744" s="58">
        <f>작성용!G741</f>
        <v>0</v>
      </c>
      <c r="K744" s="58" t="str">
        <f>작성용!H741</f>
        <v>-</v>
      </c>
      <c r="L744" s="58" t="str">
        <f>작성용!N741</f>
        <v>년</v>
      </c>
      <c r="M744" s="57" t="str">
        <f>작성용!U741</f>
        <v>2024.09.30</v>
      </c>
      <c r="N744" s="57">
        <f>작성용!V741</f>
        <v>45610</v>
      </c>
      <c r="O744" s="57">
        <f>작성용!W741</f>
        <v>45614</v>
      </c>
      <c r="P744" s="57" t="str">
        <f>작성용!X741</f>
        <v>-</v>
      </c>
      <c r="Q744" s="58" t="str">
        <f>작성용!AD741</f>
        <v>김에스더</v>
      </c>
      <c r="R744" s="60">
        <f>작성용!AE741</f>
        <v>1</v>
      </c>
      <c r="S744" s="58" t="str">
        <f>작성용!AF741</f>
        <v>강승현</v>
      </c>
      <c r="T744" s="61" t="str">
        <f>작성용!AG741</f>
        <v>강승현</v>
      </c>
      <c r="U744" s="61" t="str">
        <f>작성용!AH741</f>
        <v>강승현</v>
      </c>
      <c r="V744" s="56">
        <f>작성용!AA741</f>
        <v>202411</v>
      </c>
      <c r="W744" s="58" t="str">
        <f>작성용!AC741</f>
        <v>[Y]금융기관</v>
      </c>
      <c r="X744" s="58">
        <f>작성용!O741</f>
        <v>0</v>
      </c>
      <c r="Y744" s="58">
        <f>작성용!P741</f>
        <v>0</v>
      </c>
      <c r="Z744" s="58">
        <f>작성용!Q741</f>
        <v>0</v>
      </c>
      <c r="AA744" s="56" t="str">
        <f>작성용!AJ741</f>
        <v>국민연금제출</v>
      </c>
      <c r="AB744" s="56">
        <f>작성용!AB741</f>
        <v>0</v>
      </c>
    </row>
    <row r="745" spans="1:28" s="12" customFormat="1" ht="16.5" hidden="1" customHeight="1" x14ac:dyDescent="0.3">
      <c r="A745" s="54">
        <f>작성용!AL742</f>
        <v>741</v>
      </c>
      <c r="B745" s="55" t="str">
        <f>작성용!AI742</f>
        <v>-</v>
      </c>
      <c r="C745" s="56" t="str">
        <f>작성용!AK742</f>
        <v>개별종목</v>
      </c>
      <c r="D745" s="57">
        <f>작성용!T742</f>
        <v>45582</v>
      </c>
      <c r="E745" s="58" t="str">
        <f>작성용!B742</f>
        <v>스톤브릿지벤처스</v>
      </c>
      <c r="F745" s="58" t="str">
        <f>작성용!C742</f>
        <v>재평가</v>
      </c>
      <c r="G745" s="58" t="str">
        <f>작성용!D742</f>
        <v>라이언로켓</v>
      </c>
      <c r="H745" s="59">
        <f>작성용!E742</f>
        <v>1101117036547</v>
      </c>
      <c r="I745" s="58" t="str">
        <f>작성용!F742</f>
        <v>A07</v>
      </c>
      <c r="J745" s="58">
        <f>작성용!G742</f>
        <v>0</v>
      </c>
      <c r="K745" s="58" t="str">
        <f>작성용!H742</f>
        <v>-</v>
      </c>
      <c r="L745" s="58" t="str">
        <f>작성용!N742</f>
        <v>년</v>
      </c>
      <c r="M745" s="57" t="str">
        <f>작성용!U742</f>
        <v>2024.09.30</v>
      </c>
      <c r="N745" s="57">
        <f>작성용!V742</f>
        <v>45610</v>
      </c>
      <c r="O745" s="57">
        <f>작성용!W742</f>
        <v>45614</v>
      </c>
      <c r="P745" s="57" t="str">
        <f>작성용!X742</f>
        <v>-</v>
      </c>
      <c r="Q745" s="58" t="str">
        <f>작성용!AD742</f>
        <v>변혜진</v>
      </c>
      <c r="R745" s="60">
        <f>작성용!AE742</f>
        <v>1</v>
      </c>
      <c r="S745" s="58" t="str">
        <f>작성용!AF742</f>
        <v>변혜진</v>
      </c>
      <c r="T745" s="61" t="str">
        <f>작성용!AG742</f>
        <v>강승현</v>
      </c>
      <c r="U745" s="61" t="str">
        <f>작성용!AH742</f>
        <v>강승현</v>
      </c>
      <c r="V745" s="56">
        <f>작성용!AA742</f>
        <v>202411</v>
      </c>
      <c r="W745" s="58" t="str">
        <f>작성용!AC742</f>
        <v>[Y]금융기관</v>
      </c>
      <c r="X745" s="58">
        <f>작성용!O742</f>
        <v>0</v>
      </c>
      <c r="Y745" s="58">
        <f>작성용!P742</f>
        <v>0</v>
      </c>
      <c r="Z745" s="58">
        <f>작성용!Q742</f>
        <v>0</v>
      </c>
      <c r="AA745" s="56" t="str">
        <f>작성용!AJ742</f>
        <v>국민연금제출</v>
      </c>
      <c r="AB745" s="56">
        <f>작성용!AB742</f>
        <v>0</v>
      </c>
    </row>
    <row r="746" spans="1:28" s="12" customFormat="1" ht="16.5" hidden="1" customHeight="1" x14ac:dyDescent="0.3">
      <c r="A746" s="54">
        <f>작성용!AL743</f>
        <v>742</v>
      </c>
      <c r="B746" s="55" t="str">
        <f>작성용!AI743</f>
        <v>-</v>
      </c>
      <c r="C746" s="56" t="str">
        <f>작성용!AK743</f>
        <v>개별종목</v>
      </c>
      <c r="D746" s="57">
        <f>작성용!T743</f>
        <v>45582</v>
      </c>
      <c r="E746" s="58" t="str">
        <f>작성용!B743</f>
        <v>스톤브릿지벤처스</v>
      </c>
      <c r="F746" s="58" t="str">
        <f>작성용!C743</f>
        <v>재평가</v>
      </c>
      <c r="G746" s="58" t="str">
        <f>작성용!D743</f>
        <v>리브스메드</v>
      </c>
      <c r="H746" s="59">
        <f>작성용!E743</f>
        <v>1101114625385</v>
      </c>
      <c r="I746" s="58" t="str">
        <f>작성용!F743</f>
        <v>A07</v>
      </c>
      <c r="J746" s="58">
        <f>작성용!G743</f>
        <v>2</v>
      </c>
      <c r="K746" s="58" t="str">
        <f>작성용!H743</f>
        <v>-</v>
      </c>
      <c r="L746" s="58" t="str">
        <f>작성용!N743</f>
        <v>년</v>
      </c>
      <c r="M746" s="57" t="str">
        <f>작성용!U743</f>
        <v>2024.09.30</v>
      </c>
      <c r="N746" s="57">
        <f>작성용!V743</f>
        <v>45610</v>
      </c>
      <c r="O746" s="57">
        <f>작성용!W743</f>
        <v>45614</v>
      </c>
      <c r="P746" s="57" t="str">
        <f>작성용!X743</f>
        <v>-</v>
      </c>
      <c r="Q746" s="58" t="str">
        <f>작성용!AD743</f>
        <v>서동현</v>
      </c>
      <c r="R746" s="60">
        <f>작성용!AE743</f>
        <v>1</v>
      </c>
      <c r="S746" s="58" t="str">
        <f>작성용!AF743</f>
        <v>서동현</v>
      </c>
      <c r="T746" s="61" t="str">
        <f>작성용!AG743</f>
        <v>강승현</v>
      </c>
      <c r="U746" s="61" t="str">
        <f>작성용!AH743</f>
        <v>강승현</v>
      </c>
      <c r="V746" s="56">
        <f>작성용!AA743</f>
        <v>202411</v>
      </c>
      <c r="W746" s="58" t="str">
        <f>작성용!AC743</f>
        <v>[Y]금융기관</v>
      </c>
      <c r="X746" s="58">
        <f>작성용!O743</f>
        <v>0</v>
      </c>
      <c r="Y746" s="58">
        <f>작성용!P743</f>
        <v>0</v>
      </c>
      <c r="Z746" s="58">
        <f>작성용!Q743</f>
        <v>0</v>
      </c>
      <c r="AA746" s="56" t="str">
        <f>작성용!AJ743</f>
        <v>국민연금제출</v>
      </c>
      <c r="AB746" s="56">
        <f>작성용!AB743</f>
        <v>0</v>
      </c>
    </row>
    <row r="747" spans="1:28" s="12" customFormat="1" ht="16.5" hidden="1" customHeight="1" x14ac:dyDescent="0.3">
      <c r="A747" s="54">
        <f>작성용!AL744</f>
        <v>743</v>
      </c>
      <c r="B747" s="55" t="str">
        <f>작성용!AI744</f>
        <v>-</v>
      </c>
      <c r="C747" s="56" t="str">
        <f>작성용!AK744</f>
        <v>개별종목</v>
      </c>
      <c r="D747" s="57">
        <f>작성용!T744</f>
        <v>45582</v>
      </c>
      <c r="E747" s="58" t="str">
        <f>작성용!B744</f>
        <v>스톤브릿지벤처스</v>
      </c>
      <c r="F747" s="58" t="str">
        <f>작성용!C744</f>
        <v>재평가</v>
      </c>
      <c r="G747" s="58" t="str">
        <f>작성용!D744</f>
        <v>리브스메드</v>
      </c>
      <c r="H747" s="59">
        <f>작성용!E744</f>
        <v>1101114625385</v>
      </c>
      <c r="I747" s="58" t="str">
        <f>작성용!F744</f>
        <v>A01</v>
      </c>
      <c r="J747" s="58">
        <f>작성용!G744</f>
        <v>0</v>
      </c>
      <c r="K747" s="58" t="str">
        <f>작성용!H744</f>
        <v>-</v>
      </c>
      <c r="L747" s="58" t="str">
        <f>작성용!N744</f>
        <v>년</v>
      </c>
      <c r="M747" s="57" t="str">
        <f>작성용!U744</f>
        <v>2024.09.30</v>
      </c>
      <c r="N747" s="57">
        <f>작성용!V744</f>
        <v>45610</v>
      </c>
      <c r="O747" s="57">
        <f>작성용!W744</f>
        <v>45614</v>
      </c>
      <c r="P747" s="57" t="str">
        <f>작성용!X744</f>
        <v>-</v>
      </c>
      <c r="Q747" s="58" t="str">
        <f>작성용!AD744</f>
        <v>서동현</v>
      </c>
      <c r="R747" s="60">
        <f>작성용!AE744</f>
        <v>0</v>
      </c>
      <c r="S747" s="58" t="str">
        <f>작성용!AF744</f>
        <v>서동현</v>
      </c>
      <c r="T747" s="61" t="str">
        <f>작성용!AG744</f>
        <v>강승현</v>
      </c>
      <c r="U747" s="61" t="str">
        <f>작성용!AH744</f>
        <v>강승현</v>
      </c>
      <c r="V747" s="56">
        <f>작성용!AA744</f>
        <v>202411</v>
      </c>
      <c r="W747" s="58" t="str">
        <f>작성용!AC744</f>
        <v>[Y]금융기관</v>
      </c>
      <c r="X747" s="58">
        <f>작성용!O744</f>
        <v>0</v>
      </c>
      <c r="Y747" s="58">
        <f>작성용!P744</f>
        <v>0</v>
      </c>
      <c r="Z747" s="58">
        <f>작성용!Q744</f>
        <v>0</v>
      </c>
      <c r="AA747" s="56" t="str">
        <f>작성용!AJ744</f>
        <v>국민연금제출</v>
      </c>
      <c r="AB747" s="56">
        <f>작성용!AB744</f>
        <v>0</v>
      </c>
    </row>
    <row r="748" spans="1:28" s="12" customFormat="1" ht="16.5" hidden="1" customHeight="1" x14ac:dyDescent="0.3">
      <c r="A748" s="54">
        <f>작성용!AL745</f>
        <v>744</v>
      </c>
      <c r="B748" s="55" t="str">
        <f>작성용!AI745</f>
        <v>-</v>
      </c>
      <c r="C748" s="56" t="str">
        <f>작성용!AK745</f>
        <v>개별종목</v>
      </c>
      <c r="D748" s="57">
        <f>작성용!T745</f>
        <v>45582</v>
      </c>
      <c r="E748" s="58" t="str">
        <f>작성용!B745</f>
        <v>스톤브릿지벤처스</v>
      </c>
      <c r="F748" s="58" t="str">
        <f>작성용!C745</f>
        <v>재평가</v>
      </c>
      <c r="G748" s="58" t="str">
        <f>작성용!D745</f>
        <v>리치에일리언</v>
      </c>
      <c r="H748" s="59">
        <f>작성용!E745</f>
        <v>1101117825247</v>
      </c>
      <c r="I748" s="58" t="str">
        <f>작성용!F745</f>
        <v>A07</v>
      </c>
      <c r="J748" s="58">
        <f>작성용!G745</f>
        <v>0</v>
      </c>
      <c r="K748" s="58" t="str">
        <f>작성용!H745</f>
        <v>-</v>
      </c>
      <c r="L748" s="58" t="str">
        <f>작성용!N745</f>
        <v>년</v>
      </c>
      <c r="M748" s="57" t="str">
        <f>작성용!U745</f>
        <v>2024.09.30</v>
      </c>
      <c r="N748" s="57">
        <f>작성용!V745</f>
        <v>45610</v>
      </c>
      <c r="O748" s="57">
        <f>작성용!W745</f>
        <v>45614</v>
      </c>
      <c r="P748" s="57" t="str">
        <f>작성용!X745</f>
        <v>-</v>
      </c>
      <c r="Q748" s="58" t="str">
        <f>작성용!AD745</f>
        <v>정은채</v>
      </c>
      <c r="R748" s="60">
        <f>작성용!AE745</f>
        <v>1</v>
      </c>
      <c r="S748" s="58" t="str">
        <f>작성용!AF745</f>
        <v>정은채</v>
      </c>
      <c r="T748" s="61" t="str">
        <f>작성용!AG745</f>
        <v>강승현</v>
      </c>
      <c r="U748" s="61" t="str">
        <f>작성용!AH745</f>
        <v>강승현</v>
      </c>
      <c r="V748" s="56">
        <f>작성용!AA745</f>
        <v>202411</v>
      </c>
      <c r="W748" s="58" t="str">
        <f>작성용!AC745</f>
        <v>[Y]금융기관</v>
      </c>
      <c r="X748" s="58">
        <f>작성용!O745</f>
        <v>0</v>
      </c>
      <c r="Y748" s="58">
        <f>작성용!P745</f>
        <v>0</v>
      </c>
      <c r="Z748" s="58">
        <f>작성용!Q745</f>
        <v>0</v>
      </c>
      <c r="AA748" s="56" t="str">
        <f>작성용!AJ745</f>
        <v>국민연금제출</v>
      </c>
      <c r="AB748" s="56">
        <f>작성용!AB745</f>
        <v>0</v>
      </c>
    </row>
    <row r="749" spans="1:28" s="12" customFormat="1" ht="16.5" hidden="1" customHeight="1" x14ac:dyDescent="0.3">
      <c r="A749" s="54">
        <f>작성용!AL746</f>
        <v>745</v>
      </c>
      <c r="B749" s="55" t="str">
        <f>작성용!AI746</f>
        <v>-</v>
      </c>
      <c r="C749" s="56" t="str">
        <f>작성용!AK746</f>
        <v>개별종목</v>
      </c>
      <c r="D749" s="57">
        <f>작성용!T746</f>
        <v>45582</v>
      </c>
      <c r="E749" s="58" t="str">
        <f>작성용!B746</f>
        <v>스톤브릿지벤처스</v>
      </c>
      <c r="F749" s="58" t="str">
        <f>작성용!C746</f>
        <v>재평가</v>
      </c>
      <c r="G749" s="58" t="str">
        <f>작성용!D746</f>
        <v>마이셀</v>
      </c>
      <c r="H749" s="59">
        <f>작성용!E746</f>
        <v>2001110591838</v>
      </c>
      <c r="I749" s="58" t="str">
        <f>작성용!F746</f>
        <v>A07</v>
      </c>
      <c r="J749" s="58">
        <f>작성용!G746</f>
        <v>0</v>
      </c>
      <c r="K749" s="58" t="str">
        <f>작성용!H746</f>
        <v>-</v>
      </c>
      <c r="L749" s="58" t="str">
        <f>작성용!N746</f>
        <v>년</v>
      </c>
      <c r="M749" s="57" t="str">
        <f>작성용!U746</f>
        <v>2024.09.30</v>
      </c>
      <c r="N749" s="57">
        <f>작성용!V746</f>
        <v>45610</v>
      </c>
      <c r="O749" s="57">
        <f>작성용!W746</f>
        <v>45614</v>
      </c>
      <c r="P749" s="57" t="str">
        <f>작성용!X746</f>
        <v>-</v>
      </c>
      <c r="Q749" s="58" t="str">
        <f>작성용!AD746</f>
        <v>오수현</v>
      </c>
      <c r="R749" s="60">
        <f>작성용!AE746</f>
        <v>1</v>
      </c>
      <c r="S749" s="58" t="str">
        <f>작성용!AF746</f>
        <v>오수현</v>
      </c>
      <c r="T749" s="61" t="str">
        <f>작성용!AG746</f>
        <v>강승현</v>
      </c>
      <c r="U749" s="61" t="str">
        <f>작성용!AH746</f>
        <v>강승현</v>
      </c>
      <c r="V749" s="56">
        <f>작성용!AA746</f>
        <v>202411</v>
      </c>
      <c r="W749" s="58" t="str">
        <f>작성용!AC746</f>
        <v>[Y]금융기관</v>
      </c>
      <c r="X749" s="58">
        <f>작성용!O746</f>
        <v>0</v>
      </c>
      <c r="Y749" s="58">
        <f>작성용!P746</f>
        <v>0</v>
      </c>
      <c r="Z749" s="58">
        <f>작성용!Q746</f>
        <v>0</v>
      </c>
      <c r="AA749" s="56" t="str">
        <f>작성용!AJ746</f>
        <v>국민연금제출</v>
      </c>
      <c r="AB749" s="56">
        <f>작성용!AB746</f>
        <v>0</v>
      </c>
    </row>
    <row r="750" spans="1:28" s="12" customFormat="1" ht="16.5" hidden="1" customHeight="1" x14ac:dyDescent="0.3">
      <c r="A750" s="54">
        <f>작성용!AL747</f>
        <v>746</v>
      </c>
      <c r="B750" s="55" t="str">
        <f>작성용!AI747</f>
        <v>-</v>
      </c>
      <c r="C750" s="56" t="str">
        <f>작성용!AK747</f>
        <v>개별종목</v>
      </c>
      <c r="D750" s="57">
        <f>작성용!T747</f>
        <v>45582</v>
      </c>
      <c r="E750" s="58" t="str">
        <f>작성용!B747</f>
        <v>스톤브릿지벤처스</v>
      </c>
      <c r="F750" s="58" t="str">
        <f>작성용!C747</f>
        <v>재평가</v>
      </c>
      <c r="G750" s="58" t="str">
        <f>작성용!D747</f>
        <v>마인즈에이아이</v>
      </c>
      <c r="H750" s="59">
        <f>작성용!E747</f>
        <v>1101117289956</v>
      </c>
      <c r="I750" s="58" t="str">
        <f>작성용!F747</f>
        <v>A07</v>
      </c>
      <c r="J750" s="58">
        <f>작성용!G747</f>
        <v>0</v>
      </c>
      <c r="K750" s="58" t="str">
        <f>작성용!H747</f>
        <v>-</v>
      </c>
      <c r="L750" s="58" t="str">
        <f>작성용!N747</f>
        <v>년</v>
      </c>
      <c r="M750" s="57" t="str">
        <f>작성용!U747</f>
        <v>2024.09.30</v>
      </c>
      <c r="N750" s="57">
        <f>작성용!V747</f>
        <v>45610</v>
      </c>
      <c r="O750" s="57">
        <f>작성용!W747</f>
        <v>45614</v>
      </c>
      <c r="P750" s="57" t="str">
        <f>작성용!X747</f>
        <v>-</v>
      </c>
      <c r="Q750" s="58" t="str">
        <f>작성용!AD747</f>
        <v>정은채</v>
      </c>
      <c r="R750" s="60">
        <f>작성용!AE747</f>
        <v>1</v>
      </c>
      <c r="S750" s="58" t="str">
        <f>작성용!AF747</f>
        <v>정은채</v>
      </c>
      <c r="T750" s="61" t="str">
        <f>작성용!AG747</f>
        <v>강승현</v>
      </c>
      <c r="U750" s="61" t="str">
        <f>작성용!AH747</f>
        <v>강승현</v>
      </c>
      <c r="V750" s="56">
        <f>작성용!AA747</f>
        <v>202411</v>
      </c>
      <c r="W750" s="58" t="str">
        <f>작성용!AC747</f>
        <v>[Y]금융기관</v>
      </c>
      <c r="X750" s="58">
        <f>작성용!O747</f>
        <v>0</v>
      </c>
      <c r="Y750" s="58">
        <f>작성용!P747</f>
        <v>0</v>
      </c>
      <c r="Z750" s="58">
        <f>작성용!Q747</f>
        <v>0</v>
      </c>
      <c r="AA750" s="56" t="str">
        <f>작성용!AJ747</f>
        <v>국민연금제출</v>
      </c>
      <c r="AB750" s="56">
        <f>작성용!AB747</f>
        <v>0</v>
      </c>
    </row>
    <row r="751" spans="1:28" s="12" customFormat="1" ht="16.5" hidden="1" customHeight="1" x14ac:dyDescent="0.3">
      <c r="A751" s="54">
        <f>작성용!AL748</f>
        <v>747</v>
      </c>
      <c r="B751" s="55" t="str">
        <f>작성용!AI748</f>
        <v>-</v>
      </c>
      <c r="C751" s="56" t="str">
        <f>작성용!AK748</f>
        <v>개별종목</v>
      </c>
      <c r="D751" s="57">
        <f>작성용!T748</f>
        <v>45582</v>
      </c>
      <c r="E751" s="58" t="str">
        <f>작성용!B748</f>
        <v>스톤브릿지벤처스</v>
      </c>
      <c r="F751" s="58" t="str">
        <f>작성용!C748</f>
        <v>재평가</v>
      </c>
      <c r="G751" s="58" t="str">
        <f>작성용!D748</f>
        <v>모빌테크</v>
      </c>
      <c r="H751" s="59">
        <f>작성용!E748</f>
        <v>1101116370087</v>
      </c>
      <c r="I751" s="58" t="str">
        <f>작성용!F748</f>
        <v>A07</v>
      </c>
      <c r="J751" s="58">
        <f>작성용!G748</f>
        <v>2</v>
      </c>
      <c r="K751" s="58" t="str">
        <f>작성용!H748</f>
        <v>-</v>
      </c>
      <c r="L751" s="58" t="str">
        <f>작성용!N748</f>
        <v>년</v>
      </c>
      <c r="M751" s="57" t="str">
        <f>작성용!U748</f>
        <v>2024.09.30</v>
      </c>
      <c r="N751" s="57">
        <f>작성용!V748</f>
        <v>45610</v>
      </c>
      <c r="O751" s="57">
        <f>작성용!W748</f>
        <v>45614</v>
      </c>
      <c r="P751" s="57" t="str">
        <f>작성용!X748</f>
        <v>-</v>
      </c>
      <c r="Q751" s="58" t="str">
        <f>작성용!AD748</f>
        <v>정재형</v>
      </c>
      <c r="R751" s="60">
        <f>작성용!AE748</f>
        <v>1</v>
      </c>
      <c r="S751" s="58" t="str">
        <f>작성용!AF748</f>
        <v>정재형</v>
      </c>
      <c r="T751" s="61" t="str">
        <f>작성용!AG748</f>
        <v>강승현</v>
      </c>
      <c r="U751" s="61" t="str">
        <f>작성용!AH748</f>
        <v>강승현</v>
      </c>
      <c r="V751" s="56">
        <f>작성용!AA748</f>
        <v>202411</v>
      </c>
      <c r="W751" s="58" t="str">
        <f>작성용!AC748</f>
        <v>[Y]금융기관</v>
      </c>
      <c r="X751" s="58">
        <f>작성용!O748</f>
        <v>0</v>
      </c>
      <c r="Y751" s="58">
        <f>작성용!P748</f>
        <v>0</v>
      </c>
      <c r="Z751" s="58">
        <f>작성용!Q748</f>
        <v>0</v>
      </c>
      <c r="AA751" s="56" t="str">
        <f>작성용!AJ748</f>
        <v>국민연금제출</v>
      </c>
      <c r="AB751" s="56">
        <f>작성용!AB748</f>
        <v>0</v>
      </c>
    </row>
    <row r="752" spans="1:28" s="12" customFormat="1" ht="16.5" hidden="1" customHeight="1" x14ac:dyDescent="0.3">
      <c r="A752" s="54">
        <f>작성용!AL749</f>
        <v>748</v>
      </c>
      <c r="B752" s="55" t="str">
        <f>작성용!AI749</f>
        <v>-</v>
      </c>
      <c r="C752" s="56" t="str">
        <f>작성용!AK749</f>
        <v>개별종목</v>
      </c>
      <c r="D752" s="57">
        <f>작성용!T749</f>
        <v>45582</v>
      </c>
      <c r="E752" s="58" t="str">
        <f>작성용!B749</f>
        <v>스톤브릿지벤처스</v>
      </c>
      <c r="F752" s="58" t="str">
        <f>작성용!C749</f>
        <v>재평가</v>
      </c>
      <c r="G752" s="58" t="str">
        <f>작성용!D749</f>
        <v>모빌테크</v>
      </c>
      <c r="H752" s="59">
        <f>작성용!E749</f>
        <v>1101116370087</v>
      </c>
      <c r="I752" s="58" t="str">
        <f>작성용!F749</f>
        <v>A01</v>
      </c>
      <c r="J752" s="58">
        <f>작성용!G749</f>
        <v>0</v>
      </c>
      <c r="K752" s="58" t="str">
        <f>작성용!H749</f>
        <v>-</v>
      </c>
      <c r="L752" s="58" t="str">
        <f>작성용!N749</f>
        <v>년</v>
      </c>
      <c r="M752" s="57" t="str">
        <f>작성용!U749</f>
        <v>2024.09.30</v>
      </c>
      <c r="N752" s="57">
        <f>작성용!V749</f>
        <v>45610</v>
      </c>
      <c r="O752" s="57">
        <f>작성용!W749</f>
        <v>45614</v>
      </c>
      <c r="P752" s="57" t="str">
        <f>작성용!X749</f>
        <v>-</v>
      </c>
      <c r="Q752" s="58" t="str">
        <f>작성용!AD749</f>
        <v>정재형</v>
      </c>
      <c r="R752" s="60">
        <f>작성용!AE749</f>
        <v>0</v>
      </c>
      <c r="S752" s="58" t="str">
        <f>작성용!AF749</f>
        <v>정재형</v>
      </c>
      <c r="T752" s="61" t="str">
        <f>작성용!AG749</f>
        <v>강승현</v>
      </c>
      <c r="U752" s="61" t="str">
        <f>작성용!AH749</f>
        <v>강승현</v>
      </c>
      <c r="V752" s="56">
        <f>작성용!AA749</f>
        <v>202411</v>
      </c>
      <c r="W752" s="58" t="str">
        <f>작성용!AC749</f>
        <v>[Y]금융기관</v>
      </c>
      <c r="X752" s="58">
        <f>작성용!O749</f>
        <v>0</v>
      </c>
      <c r="Y752" s="58">
        <f>작성용!P749</f>
        <v>0</v>
      </c>
      <c r="Z752" s="58">
        <f>작성용!Q749</f>
        <v>0</v>
      </c>
      <c r="AA752" s="56" t="str">
        <f>작성용!AJ749</f>
        <v>국민연금제출</v>
      </c>
      <c r="AB752" s="56">
        <f>작성용!AB749</f>
        <v>0</v>
      </c>
    </row>
    <row r="753" spans="1:28" s="12" customFormat="1" ht="16.5" hidden="1" customHeight="1" x14ac:dyDescent="0.3">
      <c r="A753" s="54">
        <f>작성용!AL750</f>
        <v>749</v>
      </c>
      <c r="B753" s="55" t="str">
        <f>작성용!AI750</f>
        <v>-</v>
      </c>
      <c r="C753" s="56" t="str">
        <f>작성용!AK750</f>
        <v>개별종목</v>
      </c>
      <c r="D753" s="57">
        <f>작성용!T750</f>
        <v>45582</v>
      </c>
      <c r="E753" s="58" t="str">
        <f>작성용!B750</f>
        <v>스톤브릿지벤처스</v>
      </c>
      <c r="F753" s="58" t="str">
        <f>작성용!C750</f>
        <v>재평가</v>
      </c>
      <c r="G753" s="58" t="str">
        <f>작성용!D750</f>
        <v>백패커</v>
      </c>
      <c r="H753" s="59">
        <f>작성용!E750</f>
        <v>1101115004918</v>
      </c>
      <c r="I753" s="58" t="str">
        <f>작성용!F750</f>
        <v>A07</v>
      </c>
      <c r="J753" s="58">
        <f>작성용!G750</f>
        <v>2</v>
      </c>
      <c r="K753" s="58" t="str">
        <f>작성용!H750</f>
        <v>-</v>
      </c>
      <c r="L753" s="58" t="str">
        <f>작성용!N750</f>
        <v>년</v>
      </c>
      <c r="M753" s="57" t="str">
        <f>작성용!U750</f>
        <v>2024.09.30</v>
      </c>
      <c r="N753" s="57">
        <f>작성용!V750</f>
        <v>45610</v>
      </c>
      <c r="O753" s="57">
        <f>작성용!W750</f>
        <v>45614</v>
      </c>
      <c r="P753" s="57" t="str">
        <f>작성용!X750</f>
        <v>-</v>
      </c>
      <c r="Q753" s="58" t="str">
        <f>작성용!AD750</f>
        <v>서동현</v>
      </c>
      <c r="R753" s="60">
        <f>작성용!AE750</f>
        <v>0</v>
      </c>
      <c r="S753" s="58" t="str">
        <f>작성용!AF750</f>
        <v>서동현</v>
      </c>
      <c r="T753" s="61" t="str">
        <f>작성용!AG750</f>
        <v>강승현</v>
      </c>
      <c r="U753" s="61" t="str">
        <f>작성용!AH750</f>
        <v>강승현</v>
      </c>
      <c r="V753" s="56">
        <f>작성용!AA750</f>
        <v>202411</v>
      </c>
      <c r="W753" s="58" t="str">
        <f>작성용!AC750</f>
        <v>[Y]금융기관</v>
      </c>
      <c r="X753" s="58">
        <f>작성용!O750</f>
        <v>0</v>
      </c>
      <c r="Y753" s="58">
        <f>작성용!P750</f>
        <v>0</v>
      </c>
      <c r="Z753" s="58">
        <f>작성용!Q750</f>
        <v>0</v>
      </c>
      <c r="AA753" s="56" t="str">
        <f>작성용!AJ750</f>
        <v>국민연금제출</v>
      </c>
      <c r="AB753" s="56">
        <f>작성용!AB750</f>
        <v>0</v>
      </c>
    </row>
    <row r="754" spans="1:28" s="12" customFormat="1" ht="16.5" hidden="1" customHeight="1" x14ac:dyDescent="0.3">
      <c r="A754" s="54">
        <f>작성용!AL751</f>
        <v>750</v>
      </c>
      <c r="B754" s="55" t="str">
        <f>작성용!AI751</f>
        <v>-</v>
      </c>
      <c r="C754" s="56" t="str">
        <f>작성용!AK751</f>
        <v>개별종목</v>
      </c>
      <c r="D754" s="57">
        <f>작성용!T751</f>
        <v>45582</v>
      </c>
      <c r="E754" s="58" t="str">
        <f>작성용!B751</f>
        <v>스톤브릿지벤처스</v>
      </c>
      <c r="F754" s="58" t="str">
        <f>작성용!C751</f>
        <v>재평가</v>
      </c>
      <c r="G754" s="58" t="str">
        <f>작성용!D751</f>
        <v>보라스카이</v>
      </c>
      <c r="H754" s="59">
        <f>작성용!E751</f>
        <v>1348110364951</v>
      </c>
      <c r="I754" s="58" t="str">
        <f>작성용!F751</f>
        <v>A07</v>
      </c>
      <c r="J754" s="58">
        <f>작성용!G751</f>
        <v>0</v>
      </c>
      <c r="K754" s="58" t="str">
        <f>작성용!H751</f>
        <v>-</v>
      </c>
      <c r="L754" s="58" t="str">
        <f>작성용!N751</f>
        <v>년</v>
      </c>
      <c r="M754" s="57" t="str">
        <f>작성용!U751</f>
        <v>2024.09.30</v>
      </c>
      <c r="N754" s="57">
        <f>작성용!V751</f>
        <v>45610</v>
      </c>
      <c r="O754" s="57">
        <f>작성용!W751</f>
        <v>45614</v>
      </c>
      <c r="P754" s="57" t="str">
        <f>작성용!X751</f>
        <v>-</v>
      </c>
      <c r="Q754" s="58" t="str">
        <f>작성용!AD751</f>
        <v>이문수</v>
      </c>
      <c r="R754" s="60">
        <f>작성용!AE751</f>
        <v>1</v>
      </c>
      <c r="S754" s="58" t="str">
        <f>작성용!AF751</f>
        <v>이문수</v>
      </c>
      <c r="T754" s="61" t="str">
        <f>작성용!AG751</f>
        <v>강승현</v>
      </c>
      <c r="U754" s="61" t="str">
        <f>작성용!AH751</f>
        <v>강승현</v>
      </c>
      <c r="V754" s="56">
        <f>작성용!AA751</f>
        <v>202411</v>
      </c>
      <c r="W754" s="58" t="str">
        <f>작성용!AC751</f>
        <v>[Y]금융기관</v>
      </c>
      <c r="X754" s="58">
        <f>작성용!O751</f>
        <v>0</v>
      </c>
      <c r="Y754" s="58">
        <f>작성용!P751</f>
        <v>0</v>
      </c>
      <c r="Z754" s="58">
        <f>작성용!Q751</f>
        <v>0</v>
      </c>
      <c r="AA754" s="56" t="str">
        <f>작성용!AJ751</f>
        <v>국민연금제출</v>
      </c>
      <c r="AB754" s="56">
        <f>작성용!AB751</f>
        <v>0</v>
      </c>
    </row>
    <row r="755" spans="1:28" s="12" customFormat="1" ht="16.5" hidden="1" customHeight="1" x14ac:dyDescent="0.3">
      <c r="A755" s="54">
        <f>작성용!AL752</f>
        <v>751</v>
      </c>
      <c r="B755" s="55" t="str">
        <f>작성용!AI752</f>
        <v>-</v>
      </c>
      <c r="C755" s="56" t="str">
        <f>작성용!AK752</f>
        <v>개별종목</v>
      </c>
      <c r="D755" s="57">
        <f>작성용!T752</f>
        <v>45582</v>
      </c>
      <c r="E755" s="58" t="str">
        <f>작성용!B752</f>
        <v>스톤브릿지벤처스</v>
      </c>
      <c r="F755" s="58" t="str">
        <f>작성용!C752</f>
        <v>재평가</v>
      </c>
      <c r="G755" s="58" t="str">
        <f>작성용!D752</f>
        <v>비이아이랩</v>
      </c>
      <c r="H755" s="59">
        <f>작성용!E752</f>
        <v>1314110475618</v>
      </c>
      <c r="I755" s="58" t="str">
        <f>작성용!F752</f>
        <v>A07</v>
      </c>
      <c r="J755" s="58">
        <f>작성용!G752</f>
        <v>0</v>
      </c>
      <c r="K755" s="58" t="str">
        <f>작성용!H752</f>
        <v>-</v>
      </c>
      <c r="L755" s="58" t="str">
        <f>작성용!N752</f>
        <v>년</v>
      </c>
      <c r="M755" s="57" t="str">
        <f>작성용!U752</f>
        <v>2024.09.30</v>
      </c>
      <c r="N755" s="57">
        <f>작성용!V752</f>
        <v>45610</v>
      </c>
      <c r="O755" s="57">
        <f>작성용!W752</f>
        <v>45614</v>
      </c>
      <c r="P755" s="57" t="str">
        <f>작성용!X752</f>
        <v>-</v>
      </c>
      <c r="Q755" s="58" t="str">
        <f>작성용!AD752</f>
        <v>김영하</v>
      </c>
      <c r="R755" s="60">
        <f>작성용!AE752</f>
        <v>1</v>
      </c>
      <c r="S755" s="58" t="str">
        <f>작성용!AF752</f>
        <v>김영하</v>
      </c>
      <c r="T755" s="61" t="str">
        <f>작성용!AG752</f>
        <v>강승현</v>
      </c>
      <c r="U755" s="61" t="str">
        <f>작성용!AH752</f>
        <v>강승현</v>
      </c>
      <c r="V755" s="56">
        <f>작성용!AA752</f>
        <v>202411</v>
      </c>
      <c r="W755" s="58" t="str">
        <f>작성용!AC752</f>
        <v>[Y]금융기관</v>
      </c>
      <c r="X755" s="58">
        <f>작성용!O752</f>
        <v>0</v>
      </c>
      <c r="Y755" s="58">
        <f>작성용!P752</f>
        <v>0</v>
      </c>
      <c r="Z755" s="58">
        <f>작성용!Q752</f>
        <v>0</v>
      </c>
      <c r="AA755" s="56" t="str">
        <f>작성용!AJ752</f>
        <v>국민연금제출</v>
      </c>
      <c r="AB755" s="56">
        <f>작성용!AB752</f>
        <v>0</v>
      </c>
    </row>
    <row r="756" spans="1:28" s="12" customFormat="1" ht="16.5" hidden="1" customHeight="1" x14ac:dyDescent="0.3">
      <c r="A756" s="54">
        <f>작성용!AL753</f>
        <v>752</v>
      </c>
      <c r="B756" s="55" t="str">
        <f>작성용!AI753</f>
        <v>-</v>
      </c>
      <c r="C756" s="56" t="str">
        <f>작성용!AK753</f>
        <v>개별종목</v>
      </c>
      <c r="D756" s="57">
        <f>작성용!T753</f>
        <v>45582</v>
      </c>
      <c r="E756" s="58" t="str">
        <f>작성용!B753</f>
        <v>스톤브릿지벤처스</v>
      </c>
      <c r="F756" s="58" t="str">
        <f>작성용!C753</f>
        <v>재평가</v>
      </c>
      <c r="G756" s="58" t="str">
        <f>작성용!D753</f>
        <v>비이아이랩</v>
      </c>
      <c r="H756" s="59">
        <f>작성용!E753</f>
        <v>1314110475618</v>
      </c>
      <c r="I756" s="58" t="str">
        <f>작성용!F753</f>
        <v>A07</v>
      </c>
      <c r="J756" s="58">
        <f>작성용!G753</f>
        <v>1</v>
      </c>
      <c r="K756" s="58" t="str">
        <f>작성용!H753</f>
        <v>-</v>
      </c>
      <c r="L756" s="58" t="str">
        <f>작성용!N753</f>
        <v>년</v>
      </c>
      <c r="M756" s="57" t="str">
        <f>작성용!U753</f>
        <v>2024.09.30</v>
      </c>
      <c r="N756" s="57">
        <f>작성용!V753</f>
        <v>45610</v>
      </c>
      <c r="O756" s="57">
        <f>작성용!W753</f>
        <v>45614</v>
      </c>
      <c r="P756" s="57" t="str">
        <f>작성용!X753</f>
        <v>-</v>
      </c>
      <c r="Q756" s="58" t="str">
        <f>작성용!AD753</f>
        <v>김영하</v>
      </c>
      <c r="R756" s="60">
        <f>작성용!AE753</f>
        <v>0</v>
      </c>
      <c r="S756" s="58" t="str">
        <f>작성용!AF753</f>
        <v>김영하</v>
      </c>
      <c r="T756" s="61" t="str">
        <f>작성용!AG753</f>
        <v>강승현</v>
      </c>
      <c r="U756" s="61" t="str">
        <f>작성용!AH753</f>
        <v>강승현</v>
      </c>
      <c r="V756" s="56">
        <f>작성용!AA753</f>
        <v>202411</v>
      </c>
      <c r="W756" s="58" t="str">
        <f>작성용!AC753</f>
        <v>[Y]금융기관</v>
      </c>
      <c r="X756" s="58">
        <f>작성용!O753</f>
        <v>0</v>
      </c>
      <c r="Y756" s="58">
        <f>작성용!P753</f>
        <v>0</v>
      </c>
      <c r="Z756" s="58">
        <f>작성용!Q753</f>
        <v>0</v>
      </c>
      <c r="AA756" s="56" t="str">
        <f>작성용!AJ753</f>
        <v>국민연금제출</v>
      </c>
      <c r="AB756" s="56">
        <f>작성용!AB753</f>
        <v>0</v>
      </c>
    </row>
    <row r="757" spans="1:28" s="12" customFormat="1" ht="16.5" hidden="1" customHeight="1" x14ac:dyDescent="0.3">
      <c r="A757" s="54">
        <f>작성용!AL754</f>
        <v>753</v>
      </c>
      <c r="B757" s="55" t="str">
        <f>작성용!AI754</f>
        <v>-</v>
      </c>
      <c r="C757" s="56" t="str">
        <f>작성용!AK754</f>
        <v>개별종목</v>
      </c>
      <c r="D757" s="57">
        <f>작성용!T754</f>
        <v>45582</v>
      </c>
      <c r="E757" s="58" t="str">
        <f>작성용!B754</f>
        <v>스톤브릿지벤처스</v>
      </c>
      <c r="F757" s="58" t="str">
        <f>작성용!C754</f>
        <v>재평가</v>
      </c>
      <c r="G757" s="58" t="str">
        <f>작성용!D754</f>
        <v>센트비</v>
      </c>
      <c r="H757" s="59">
        <f>작성용!E754</f>
        <v>1101115845221</v>
      </c>
      <c r="I757" s="58" t="str">
        <f>작성용!F754</f>
        <v>A07</v>
      </c>
      <c r="J757" s="58">
        <f>작성용!G754</f>
        <v>0</v>
      </c>
      <c r="K757" s="58" t="str">
        <f>작성용!H754</f>
        <v>-</v>
      </c>
      <c r="L757" s="58" t="str">
        <f>작성용!N754</f>
        <v>년</v>
      </c>
      <c r="M757" s="57" t="str">
        <f>작성용!U754</f>
        <v>2024.09.30</v>
      </c>
      <c r="N757" s="57">
        <f>작성용!V754</f>
        <v>45610</v>
      </c>
      <c r="O757" s="57">
        <f>작성용!W754</f>
        <v>45614</v>
      </c>
      <c r="P757" s="57" t="str">
        <f>작성용!X754</f>
        <v>-</v>
      </c>
      <c r="Q757" s="58" t="str">
        <f>작성용!AD754</f>
        <v>김예림</v>
      </c>
      <c r="R757" s="60">
        <f>작성용!AE754</f>
        <v>1</v>
      </c>
      <c r="S757" s="58" t="str">
        <f>작성용!AF754</f>
        <v>김예림</v>
      </c>
      <c r="T757" s="61" t="str">
        <f>작성용!AG754</f>
        <v>강승현</v>
      </c>
      <c r="U757" s="61" t="str">
        <f>작성용!AH754</f>
        <v>강승현</v>
      </c>
      <c r="V757" s="56">
        <f>작성용!AA754</f>
        <v>202411</v>
      </c>
      <c r="W757" s="58" t="str">
        <f>작성용!AC754</f>
        <v>[Y]금융기관</v>
      </c>
      <c r="X757" s="58">
        <f>작성용!O754</f>
        <v>0</v>
      </c>
      <c r="Y757" s="58">
        <f>작성용!P754</f>
        <v>0</v>
      </c>
      <c r="Z757" s="58">
        <f>작성용!Q754</f>
        <v>0</v>
      </c>
      <c r="AA757" s="56" t="str">
        <f>작성용!AJ754</f>
        <v>국민연금제출</v>
      </c>
      <c r="AB757" s="56">
        <f>작성용!AB754</f>
        <v>0</v>
      </c>
    </row>
    <row r="758" spans="1:28" s="12" customFormat="1" ht="16.5" hidden="1" customHeight="1" x14ac:dyDescent="0.3">
      <c r="A758" s="54">
        <f>작성용!AL755</f>
        <v>754</v>
      </c>
      <c r="B758" s="55" t="str">
        <f>작성용!AI755</f>
        <v>-</v>
      </c>
      <c r="C758" s="56" t="str">
        <f>작성용!AK755</f>
        <v>개별종목</v>
      </c>
      <c r="D758" s="57">
        <f>작성용!T755</f>
        <v>45582</v>
      </c>
      <c r="E758" s="58" t="str">
        <f>작성용!B755</f>
        <v>스톤브릿지벤처스</v>
      </c>
      <c r="F758" s="58" t="str">
        <f>작성용!C755</f>
        <v>재평가</v>
      </c>
      <c r="G758" s="58" t="str">
        <f>작성용!D755</f>
        <v>셀레메디</v>
      </c>
      <c r="H758" s="59">
        <f>작성용!E755</f>
        <v>1201110854639</v>
      </c>
      <c r="I758" s="58" t="str">
        <f>작성용!F755</f>
        <v>A07</v>
      </c>
      <c r="J758" s="58">
        <f>작성용!G755</f>
        <v>1</v>
      </c>
      <c r="K758" s="58" t="str">
        <f>작성용!H755</f>
        <v>-</v>
      </c>
      <c r="L758" s="58" t="str">
        <f>작성용!N755</f>
        <v>년</v>
      </c>
      <c r="M758" s="57" t="str">
        <f>작성용!U755</f>
        <v>2024.09.30</v>
      </c>
      <c r="N758" s="57">
        <f>작성용!V755</f>
        <v>45610</v>
      </c>
      <c r="O758" s="57">
        <f>작성용!W755</f>
        <v>45614</v>
      </c>
      <c r="P758" s="57" t="str">
        <f>작성용!X755</f>
        <v>-</v>
      </c>
      <c r="Q758" s="58" t="str">
        <f>작성용!AD755</f>
        <v>최수민</v>
      </c>
      <c r="R758" s="60">
        <f>작성용!AE755</f>
        <v>1</v>
      </c>
      <c r="S758" s="58" t="str">
        <f>작성용!AF755</f>
        <v>최수민</v>
      </c>
      <c r="T758" s="61" t="str">
        <f>작성용!AG755</f>
        <v>강승현</v>
      </c>
      <c r="U758" s="61" t="str">
        <f>작성용!AH755</f>
        <v>강승현</v>
      </c>
      <c r="V758" s="56">
        <f>작성용!AA755</f>
        <v>202411</v>
      </c>
      <c r="W758" s="58" t="str">
        <f>작성용!AC755</f>
        <v>[Y]금융기관</v>
      </c>
      <c r="X758" s="58">
        <f>작성용!O755</f>
        <v>0</v>
      </c>
      <c r="Y758" s="58">
        <f>작성용!P755</f>
        <v>0</v>
      </c>
      <c r="Z758" s="58">
        <f>작성용!Q755</f>
        <v>0</v>
      </c>
      <c r="AA758" s="56" t="str">
        <f>작성용!AJ755</f>
        <v>국민연금제출</v>
      </c>
      <c r="AB758" s="56">
        <f>작성용!AB755</f>
        <v>0</v>
      </c>
    </row>
    <row r="759" spans="1:28" s="12" customFormat="1" ht="16.5" hidden="1" customHeight="1" x14ac:dyDescent="0.3">
      <c r="A759" s="54">
        <f>작성용!AL756</f>
        <v>755</v>
      </c>
      <c r="B759" s="55" t="str">
        <f>작성용!AI756</f>
        <v>-</v>
      </c>
      <c r="C759" s="56" t="str">
        <f>작성용!AK756</f>
        <v>개별종목</v>
      </c>
      <c r="D759" s="57">
        <f>작성용!T756</f>
        <v>45582</v>
      </c>
      <c r="E759" s="58" t="str">
        <f>작성용!B756</f>
        <v>스톤브릿지벤처스</v>
      </c>
      <c r="F759" s="58" t="str">
        <f>작성용!C756</f>
        <v>재평가</v>
      </c>
      <c r="G759" s="58" t="str">
        <f>작성용!D756</f>
        <v>셀렉신</v>
      </c>
      <c r="H759" s="59">
        <f>작성용!E756</f>
        <v>1717110143641</v>
      </c>
      <c r="I759" s="58" t="str">
        <f>작성용!F756</f>
        <v>A07</v>
      </c>
      <c r="J759" s="58">
        <f>작성용!G756</f>
        <v>0</v>
      </c>
      <c r="K759" s="58" t="str">
        <f>작성용!H756</f>
        <v>-</v>
      </c>
      <c r="L759" s="58" t="str">
        <f>작성용!N756</f>
        <v>년</v>
      </c>
      <c r="M759" s="57" t="str">
        <f>작성용!U756</f>
        <v>2024.09.30</v>
      </c>
      <c r="N759" s="57">
        <f>작성용!V756</f>
        <v>45610</v>
      </c>
      <c r="O759" s="57">
        <f>작성용!W756</f>
        <v>45614</v>
      </c>
      <c r="P759" s="57" t="str">
        <f>작성용!X756</f>
        <v>-</v>
      </c>
      <c r="Q759" s="58" t="str">
        <f>작성용!AD756</f>
        <v>정재형</v>
      </c>
      <c r="R759" s="60">
        <f>작성용!AE756</f>
        <v>1</v>
      </c>
      <c r="S759" s="58" t="str">
        <f>작성용!AF756</f>
        <v>정재형</v>
      </c>
      <c r="T759" s="61" t="str">
        <f>작성용!AG756</f>
        <v>강승현</v>
      </c>
      <c r="U759" s="61" t="str">
        <f>작성용!AH756</f>
        <v>강승현</v>
      </c>
      <c r="V759" s="56">
        <f>작성용!AA756</f>
        <v>202411</v>
      </c>
      <c r="W759" s="58" t="str">
        <f>작성용!AC756</f>
        <v>[Y]금융기관</v>
      </c>
      <c r="X759" s="58">
        <f>작성용!O756</f>
        <v>0</v>
      </c>
      <c r="Y759" s="58">
        <f>작성용!P756</f>
        <v>0</v>
      </c>
      <c r="Z759" s="58">
        <f>작성용!Q756</f>
        <v>0</v>
      </c>
      <c r="AA759" s="56" t="str">
        <f>작성용!AJ756</f>
        <v>국민연금제출</v>
      </c>
      <c r="AB759" s="56">
        <f>작성용!AB756</f>
        <v>0</v>
      </c>
    </row>
    <row r="760" spans="1:28" s="12" customFormat="1" ht="16.5" hidden="1" customHeight="1" x14ac:dyDescent="0.3">
      <c r="A760" s="54">
        <f>작성용!AL757</f>
        <v>756</v>
      </c>
      <c r="B760" s="55" t="str">
        <f>작성용!AI757</f>
        <v>-</v>
      </c>
      <c r="C760" s="56" t="str">
        <f>작성용!AK757</f>
        <v>개별종목</v>
      </c>
      <c r="D760" s="57">
        <f>작성용!T757</f>
        <v>45582</v>
      </c>
      <c r="E760" s="58" t="str">
        <f>작성용!B757</f>
        <v>스톤브릿지벤처스</v>
      </c>
      <c r="F760" s="58" t="str">
        <f>작성용!C757</f>
        <v>재평가</v>
      </c>
      <c r="G760" s="58" t="str">
        <f>작성용!D757</f>
        <v>소울머티리얼</v>
      </c>
      <c r="H760" s="59">
        <f>작성용!E757</f>
        <v>1748110114621</v>
      </c>
      <c r="I760" s="58" t="str">
        <f>작성용!F757</f>
        <v>A07</v>
      </c>
      <c r="J760" s="58">
        <f>작성용!G757</f>
        <v>0</v>
      </c>
      <c r="K760" s="58" t="str">
        <f>작성용!H757</f>
        <v>-</v>
      </c>
      <c r="L760" s="58" t="str">
        <f>작성용!N757</f>
        <v>년</v>
      </c>
      <c r="M760" s="57" t="str">
        <f>작성용!U757</f>
        <v>2024.09.30</v>
      </c>
      <c r="N760" s="57">
        <f>작성용!V757</f>
        <v>45610</v>
      </c>
      <c r="O760" s="57">
        <f>작성용!W757</f>
        <v>45614</v>
      </c>
      <c r="P760" s="57" t="str">
        <f>작성용!X757</f>
        <v>-</v>
      </c>
      <c r="Q760" s="58" t="str">
        <f>작성용!AD757</f>
        <v>원정우</v>
      </c>
      <c r="R760" s="60">
        <f>작성용!AE757</f>
        <v>1</v>
      </c>
      <c r="S760" s="58" t="str">
        <f>작성용!AF757</f>
        <v>원정우</v>
      </c>
      <c r="T760" s="61" t="str">
        <f>작성용!AG757</f>
        <v>강승현</v>
      </c>
      <c r="U760" s="61" t="str">
        <f>작성용!AH757</f>
        <v>강승현</v>
      </c>
      <c r="V760" s="56">
        <f>작성용!AA757</f>
        <v>202411</v>
      </c>
      <c r="W760" s="58" t="str">
        <f>작성용!AC757</f>
        <v>[Y]금융기관</v>
      </c>
      <c r="X760" s="58">
        <f>작성용!O757</f>
        <v>0</v>
      </c>
      <c r="Y760" s="58">
        <f>작성용!P757</f>
        <v>0</v>
      </c>
      <c r="Z760" s="58">
        <f>작성용!Q757</f>
        <v>0</v>
      </c>
      <c r="AA760" s="56" t="str">
        <f>작성용!AJ757</f>
        <v>국민연금제출</v>
      </c>
      <c r="AB760" s="56">
        <f>작성용!AB757</f>
        <v>0</v>
      </c>
    </row>
    <row r="761" spans="1:28" s="12" customFormat="1" ht="16.5" hidden="1" customHeight="1" x14ac:dyDescent="0.3">
      <c r="A761" s="54">
        <f>작성용!AL758</f>
        <v>757</v>
      </c>
      <c r="B761" s="55" t="str">
        <f>작성용!AI758</f>
        <v>-</v>
      </c>
      <c r="C761" s="56" t="str">
        <f>작성용!AK758</f>
        <v>개별종목</v>
      </c>
      <c r="D761" s="57">
        <f>작성용!T758</f>
        <v>45582</v>
      </c>
      <c r="E761" s="58" t="str">
        <f>작성용!B758</f>
        <v>스톤브릿지벤처스</v>
      </c>
      <c r="F761" s="58" t="str">
        <f>작성용!C758</f>
        <v>재평가</v>
      </c>
      <c r="G761" s="58" t="str">
        <f>작성용!D758</f>
        <v>슈파스</v>
      </c>
      <c r="H761" s="59">
        <f>작성용!E758</f>
        <v>1101116571007</v>
      </c>
      <c r="I761" s="58" t="str">
        <f>작성용!F758</f>
        <v>A07</v>
      </c>
      <c r="J761" s="58">
        <f>작성용!G758</f>
        <v>0</v>
      </c>
      <c r="K761" s="58" t="str">
        <f>작성용!H758</f>
        <v>-</v>
      </c>
      <c r="L761" s="58" t="str">
        <f>작성용!N758</f>
        <v>년</v>
      </c>
      <c r="M761" s="57" t="str">
        <f>작성용!U758</f>
        <v>2024.09.30</v>
      </c>
      <c r="N761" s="57">
        <f>작성용!V758</f>
        <v>45610</v>
      </c>
      <c r="O761" s="57">
        <f>작성용!W758</f>
        <v>45614</v>
      </c>
      <c r="P761" s="57" t="str">
        <f>작성용!X758</f>
        <v>-</v>
      </c>
      <c r="Q761" s="58" t="str">
        <f>작성용!AD758</f>
        <v>김예림</v>
      </c>
      <c r="R761" s="60">
        <f>작성용!AE758</f>
        <v>1</v>
      </c>
      <c r="S761" s="58" t="str">
        <f>작성용!AF758</f>
        <v>김예림</v>
      </c>
      <c r="T761" s="61" t="str">
        <f>작성용!AG758</f>
        <v>강승현</v>
      </c>
      <c r="U761" s="61" t="str">
        <f>작성용!AH758</f>
        <v>강승현</v>
      </c>
      <c r="V761" s="56">
        <f>작성용!AA758</f>
        <v>202411</v>
      </c>
      <c r="W761" s="58" t="str">
        <f>작성용!AC758</f>
        <v>[Y]금융기관</v>
      </c>
      <c r="X761" s="58">
        <f>작성용!O758</f>
        <v>0</v>
      </c>
      <c r="Y761" s="58">
        <f>작성용!P758</f>
        <v>0</v>
      </c>
      <c r="Z761" s="58">
        <f>작성용!Q758</f>
        <v>0</v>
      </c>
      <c r="AA761" s="56" t="str">
        <f>작성용!AJ758</f>
        <v>국민연금제출</v>
      </c>
      <c r="AB761" s="56">
        <f>작성용!AB758</f>
        <v>0</v>
      </c>
    </row>
    <row r="762" spans="1:28" s="12" customFormat="1" ht="16.5" hidden="1" customHeight="1" x14ac:dyDescent="0.3">
      <c r="A762" s="54">
        <f>작성용!AL759</f>
        <v>758</v>
      </c>
      <c r="B762" s="55" t="str">
        <f>작성용!AI759</f>
        <v>-</v>
      </c>
      <c r="C762" s="56" t="str">
        <f>작성용!AK759</f>
        <v>개별종목</v>
      </c>
      <c r="D762" s="57">
        <f>작성용!T759</f>
        <v>45582</v>
      </c>
      <c r="E762" s="58" t="str">
        <f>작성용!B759</f>
        <v>스톤브릿지벤처스</v>
      </c>
      <c r="F762" s="58" t="str">
        <f>작성용!C759</f>
        <v>재평가</v>
      </c>
      <c r="G762" s="58" t="str">
        <f>작성용!D759</f>
        <v>실버라이닝메디컬</v>
      </c>
      <c r="H762" s="59">
        <f>작성용!E759</f>
        <v>1311110652527</v>
      </c>
      <c r="I762" s="58" t="str">
        <f>작성용!F759</f>
        <v>A07</v>
      </c>
      <c r="J762" s="58">
        <f>작성용!G759</f>
        <v>0</v>
      </c>
      <c r="K762" s="58" t="str">
        <f>작성용!H759</f>
        <v>-</v>
      </c>
      <c r="L762" s="58" t="str">
        <f>작성용!N759</f>
        <v>년</v>
      </c>
      <c r="M762" s="57" t="str">
        <f>작성용!U759</f>
        <v>2024.09.30</v>
      </c>
      <c r="N762" s="57">
        <f>작성용!V759</f>
        <v>45610</v>
      </c>
      <c r="O762" s="57">
        <f>작성용!W759</f>
        <v>45614</v>
      </c>
      <c r="P762" s="57" t="str">
        <f>작성용!X759</f>
        <v>-</v>
      </c>
      <c r="Q762" s="58" t="str">
        <f>작성용!AD759</f>
        <v>오영석</v>
      </c>
      <c r="R762" s="60">
        <f>작성용!AE759</f>
        <v>1</v>
      </c>
      <c r="S762" s="58" t="str">
        <f>작성용!AF759</f>
        <v>강승현</v>
      </c>
      <c r="T762" s="61" t="str">
        <f>작성용!AG759</f>
        <v>강승현</v>
      </c>
      <c r="U762" s="61" t="str">
        <f>작성용!AH759</f>
        <v>강승현</v>
      </c>
      <c r="V762" s="56">
        <f>작성용!AA759</f>
        <v>202411</v>
      </c>
      <c r="W762" s="58" t="str">
        <f>작성용!AC759</f>
        <v>[Y]금융기관</v>
      </c>
      <c r="X762" s="58">
        <f>작성용!O759</f>
        <v>0</v>
      </c>
      <c r="Y762" s="58">
        <f>작성용!P759</f>
        <v>0</v>
      </c>
      <c r="Z762" s="58">
        <f>작성용!Q759</f>
        <v>0</v>
      </c>
      <c r="AA762" s="56" t="str">
        <f>작성용!AJ759</f>
        <v>국민연금제출</v>
      </c>
      <c r="AB762" s="56">
        <f>작성용!AB759</f>
        <v>0</v>
      </c>
    </row>
    <row r="763" spans="1:28" s="12" customFormat="1" ht="16.5" hidden="1" customHeight="1" x14ac:dyDescent="0.3">
      <c r="A763" s="54">
        <f>작성용!AL760</f>
        <v>759</v>
      </c>
      <c r="B763" s="55" t="str">
        <f>작성용!AI760</f>
        <v>-</v>
      </c>
      <c r="C763" s="56" t="str">
        <f>작성용!AK760</f>
        <v>개별종목</v>
      </c>
      <c r="D763" s="57">
        <f>작성용!T760</f>
        <v>45582</v>
      </c>
      <c r="E763" s="58" t="str">
        <f>작성용!B760</f>
        <v>스톤브릿지벤처스</v>
      </c>
      <c r="F763" s="58" t="str">
        <f>작성용!C760</f>
        <v>재평가</v>
      </c>
      <c r="G763" s="58" t="str">
        <f>작성용!D760</f>
        <v>아델</v>
      </c>
      <c r="H763" s="59">
        <f>작성용!E760</f>
        <v>1101116227022</v>
      </c>
      <c r="I763" s="58" t="str">
        <f>작성용!F760</f>
        <v>A07</v>
      </c>
      <c r="J763" s="58">
        <f>작성용!G760</f>
        <v>0</v>
      </c>
      <c r="K763" s="58" t="str">
        <f>작성용!H760</f>
        <v>-</v>
      </c>
      <c r="L763" s="58" t="str">
        <f>작성용!N760</f>
        <v>년</v>
      </c>
      <c r="M763" s="57" t="str">
        <f>작성용!U760</f>
        <v>2024.09.30</v>
      </c>
      <c r="N763" s="57">
        <f>작성용!V760</f>
        <v>45610</v>
      </c>
      <c r="O763" s="57">
        <f>작성용!W760</f>
        <v>45614</v>
      </c>
      <c r="P763" s="57" t="str">
        <f>작성용!X760</f>
        <v>-</v>
      </c>
      <c r="Q763" s="58" t="str">
        <f>작성용!AD760</f>
        <v>이상민</v>
      </c>
      <c r="R763" s="60">
        <f>작성용!AE760</f>
        <v>1</v>
      </c>
      <c r="S763" s="58" t="str">
        <f>작성용!AF760</f>
        <v>이상민</v>
      </c>
      <c r="T763" s="61" t="str">
        <f>작성용!AG760</f>
        <v>강승현</v>
      </c>
      <c r="U763" s="61" t="str">
        <f>작성용!AH760</f>
        <v>강승현</v>
      </c>
      <c r="V763" s="56">
        <f>작성용!AA760</f>
        <v>202411</v>
      </c>
      <c r="W763" s="58" t="str">
        <f>작성용!AC760</f>
        <v>[Y]금융기관</v>
      </c>
      <c r="X763" s="58">
        <f>작성용!O760</f>
        <v>0</v>
      </c>
      <c r="Y763" s="58">
        <f>작성용!P760</f>
        <v>0</v>
      </c>
      <c r="Z763" s="58">
        <f>작성용!Q760</f>
        <v>0</v>
      </c>
      <c r="AA763" s="56" t="str">
        <f>작성용!AJ760</f>
        <v>국민연금제출</v>
      </c>
      <c r="AB763" s="56">
        <f>작성용!AB760</f>
        <v>0</v>
      </c>
    </row>
    <row r="764" spans="1:28" s="12" customFormat="1" ht="16.5" hidden="1" customHeight="1" x14ac:dyDescent="0.3">
      <c r="A764" s="54">
        <f>작성용!AL761</f>
        <v>760</v>
      </c>
      <c r="B764" s="55" t="str">
        <f>작성용!AI761</f>
        <v>-</v>
      </c>
      <c r="C764" s="56" t="str">
        <f>작성용!AK761</f>
        <v>개별종목</v>
      </c>
      <c r="D764" s="57">
        <f>작성용!T761</f>
        <v>45582</v>
      </c>
      <c r="E764" s="58" t="str">
        <f>작성용!B761</f>
        <v>스톤브릿지벤처스</v>
      </c>
      <c r="F764" s="58" t="str">
        <f>작성용!C761</f>
        <v>재평가</v>
      </c>
      <c r="G764" s="58" t="str">
        <f>작성용!D761</f>
        <v>아이디어허브</v>
      </c>
      <c r="H764" s="59">
        <f>작성용!E761</f>
        <v>1101116239407</v>
      </c>
      <c r="I764" s="58" t="str">
        <f>작성용!F761</f>
        <v>A07</v>
      </c>
      <c r="J764" s="58">
        <f>작성용!G761</f>
        <v>0</v>
      </c>
      <c r="K764" s="58" t="str">
        <f>작성용!H761</f>
        <v>-</v>
      </c>
      <c r="L764" s="58" t="str">
        <f>작성용!N761</f>
        <v>년</v>
      </c>
      <c r="M764" s="57" t="str">
        <f>작성용!U761</f>
        <v>2024.09.30</v>
      </c>
      <c r="N764" s="57">
        <f>작성용!V761</f>
        <v>45610</v>
      </c>
      <c r="O764" s="57">
        <f>작성용!W761</f>
        <v>45614</v>
      </c>
      <c r="P764" s="57" t="str">
        <f>작성용!X761</f>
        <v>-</v>
      </c>
      <c r="Q764" s="58" t="str">
        <f>작성용!AD761</f>
        <v>오수현</v>
      </c>
      <c r="R764" s="60">
        <f>작성용!AE761</f>
        <v>1</v>
      </c>
      <c r="S764" s="58" t="str">
        <f>작성용!AF761</f>
        <v>오수현</v>
      </c>
      <c r="T764" s="61" t="str">
        <f>작성용!AG761</f>
        <v>강승현</v>
      </c>
      <c r="U764" s="61" t="str">
        <f>작성용!AH761</f>
        <v>강승현</v>
      </c>
      <c r="V764" s="56">
        <f>작성용!AA761</f>
        <v>202411</v>
      </c>
      <c r="W764" s="58" t="str">
        <f>작성용!AC761</f>
        <v>[Y]금융기관</v>
      </c>
      <c r="X764" s="58">
        <f>작성용!O761</f>
        <v>0</v>
      </c>
      <c r="Y764" s="58">
        <f>작성용!P761</f>
        <v>0</v>
      </c>
      <c r="Z764" s="58">
        <f>작성용!Q761</f>
        <v>0</v>
      </c>
      <c r="AA764" s="56" t="str">
        <f>작성용!AJ761</f>
        <v>국민연금제출</v>
      </c>
      <c r="AB764" s="56">
        <f>작성용!AB761</f>
        <v>0</v>
      </c>
    </row>
    <row r="765" spans="1:28" s="12" customFormat="1" ht="16.5" hidden="1" customHeight="1" x14ac:dyDescent="0.3">
      <c r="A765" s="54">
        <f>작성용!AL762</f>
        <v>761</v>
      </c>
      <c r="B765" s="55" t="str">
        <f>작성용!AI762</f>
        <v>-</v>
      </c>
      <c r="C765" s="56" t="str">
        <f>작성용!AK762</f>
        <v>개별종목</v>
      </c>
      <c r="D765" s="57">
        <f>작성용!T762</f>
        <v>45582</v>
      </c>
      <c r="E765" s="58" t="str">
        <f>작성용!B762</f>
        <v>스톤브릿지벤처스</v>
      </c>
      <c r="F765" s="58" t="str">
        <f>작성용!C762</f>
        <v>재평가</v>
      </c>
      <c r="G765" s="58" t="str">
        <f>작성용!D762</f>
        <v>아이디어허브</v>
      </c>
      <c r="H765" s="59">
        <f>작성용!E762</f>
        <v>1101116239407</v>
      </c>
      <c r="I765" s="58" t="str">
        <f>작성용!F762</f>
        <v>A07</v>
      </c>
      <c r="J765" s="58">
        <f>작성용!G762</f>
        <v>1</v>
      </c>
      <c r="K765" s="58" t="str">
        <f>작성용!H762</f>
        <v>-</v>
      </c>
      <c r="L765" s="58" t="str">
        <f>작성용!N762</f>
        <v>년</v>
      </c>
      <c r="M765" s="57" t="str">
        <f>작성용!U762</f>
        <v>2024.09.30</v>
      </c>
      <c r="N765" s="57">
        <f>작성용!V762</f>
        <v>45610</v>
      </c>
      <c r="O765" s="57">
        <f>작성용!W762</f>
        <v>45614</v>
      </c>
      <c r="P765" s="57" t="str">
        <f>작성용!X762</f>
        <v>-</v>
      </c>
      <c r="Q765" s="58" t="str">
        <f>작성용!AD762</f>
        <v>오수현</v>
      </c>
      <c r="R765" s="60">
        <f>작성용!AE762</f>
        <v>0</v>
      </c>
      <c r="S765" s="58" t="str">
        <f>작성용!AF762</f>
        <v>오수현</v>
      </c>
      <c r="T765" s="61" t="str">
        <f>작성용!AG762</f>
        <v>강승현</v>
      </c>
      <c r="U765" s="61" t="str">
        <f>작성용!AH762</f>
        <v>강승현</v>
      </c>
      <c r="V765" s="56">
        <f>작성용!AA762</f>
        <v>202411</v>
      </c>
      <c r="W765" s="58" t="str">
        <f>작성용!AC762</f>
        <v>[Y]금융기관</v>
      </c>
      <c r="X765" s="58">
        <f>작성용!O762</f>
        <v>0</v>
      </c>
      <c r="Y765" s="58">
        <f>작성용!P762</f>
        <v>0</v>
      </c>
      <c r="Z765" s="58">
        <f>작성용!Q762</f>
        <v>0</v>
      </c>
      <c r="AA765" s="56" t="str">
        <f>작성용!AJ762</f>
        <v>국민연금제출</v>
      </c>
      <c r="AB765" s="56">
        <f>작성용!AB762</f>
        <v>0</v>
      </c>
    </row>
    <row r="766" spans="1:28" s="12" customFormat="1" ht="16.5" hidden="1" customHeight="1" x14ac:dyDescent="0.3">
      <c r="A766" s="54">
        <f>작성용!AL763</f>
        <v>762</v>
      </c>
      <c r="B766" s="55" t="str">
        <f>작성용!AI763</f>
        <v>-</v>
      </c>
      <c r="C766" s="56" t="str">
        <f>작성용!AK763</f>
        <v>개별종목</v>
      </c>
      <c r="D766" s="57">
        <f>작성용!T763</f>
        <v>45582</v>
      </c>
      <c r="E766" s="58" t="str">
        <f>작성용!B763</f>
        <v>스톤브릿지벤처스</v>
      </c>
      <c r="F766" s="58" t="str">
        <f>작성용!C763</f>
        <v>재평가</v>
      </c>
      <c r="G766" s="58" t="str">
        <f>작성용!D763</f>
        <v>아이디어허브</v>
      </c>
      <c r="H766" s="59">
        <f>작성용!E763</f>
        <v>1101116239407</v>
      </c>
      <c r="I766" s="58" t="str">
        <f>작성용!F763</f>
        <v>A07</v>
      </c>
      <c r="J766" s="58">
        <f>작성용!G763</f>
        <v>2</v>
      </c>
      <c r="K766" s="58" t="str">
        <f>작성용!H763</f>
        <v>-</v>
      </c>
      <c r="L766" s="58" t="str">
        <f>작성용!N763</f>
        <v>년</v>
      </c>
      <c r="M766" s="57" t="str">
        <f>작성용!U763</f>
        <v>2024.09.30</v>
      </c>
      <c r="N766" s="57">
        <f>작성용!V763</f>
        <v>45610</v>
      </c>
      <c r="O766" s="57">
        <f>작성용!W763</f>
        <v>45614</v>
      </c>
      <c r="P766" s="57" t="str">
        <f>작성용!X763</f>
        <v>-</v>
      </c>
      <c r="Q766" s="58" t="str">
        <f>작성용!AD763</f>
        <v>오수현</v>
      </c>
      <c r="R766" s="60">
        <f>작성용!AE763</f>
        <v>0</v>
      </c>
      <c r="S766" s="58" t="str">
        <f>작성용!AF763</f>
        <v>오수현</v>
      </c>
      <c r="T766" s="61" t="str">
        <f>작성용!AG763</f>
        <v>강승현</v>
      </c>
      <c r="U766" s="61" t="str">
        <f>작성용!AH763</f>
        <v>강승현</v>
      </c>
      <c r="V766" s="56">
        <f>작성용!AA763</f>
        <v>202411</v>
      </c>
      <c r="W766" s="58" t="str">
        <f>작성용!AC763</f>
        <v>[Y]금융기관</v>
      </c>
      <c r="X766" s="58">
        <f>작성용!O763</f>
        <v>0</v>
      </c>
      <c r="Y766" s="58">
        <f>작성용!P763</f>
        <v>0</v>
      </c>
      <c r="Z766" s="58">
        <f>작성용!Q763</f>
        <v>0</v>
      </c>
      <c r="AA766" s="56" t="str">
        <f>작성용!AJ763</f>
        <v>국민연금제출</v>
      </c>
      <c r="AB766" s="56">
        <f>작성용!AB763</f>
        <v>0</v>
      </c>
    </row>
    <row r="767" spans="1:28" s="12" customFormat="1" ht="16.5" hidden="1" customHeight="1" x14ac:dyDescent="0.3">
      <c r="A767" s="54">
        <f>작성용!AL764</f>
        <v>763</v>
      </c>
      <c r="B767" s="55" t="str">
        <f>작성용!AI764</f>
        <v>-</v>
      </c>
      <c r="C767" s="56" t="str">
        <f>작성용!AK764</f>
        <v>개별종목</v>
      </c>
      <c r="D767" s="57">
        <f>작성용!T764</f>
        <v>45582</v>
      </c>
      <c r="E767" s="58" t="str">
        <f>작성용!B764</f>
        <v>스톤브릿지벤처스</v>
      </c>
      <c r="F767" s="58" t="str">
        <f>작성용!C764</f>
        <v>재평가</v>
      </c>
      <c r="G767" s="58" t="str">
        <f>작성용!D764</f>
        <v>아피셀테라퓨틱스</v>
      </c>
      <c r="H767" s="59">
        <f>작성용!E764</f>
        <v>1345110431912</v>
      </c>
      <c r="I767" s="58" t="str">
        <f>작성용!F764</f>
        <v>A07</v>
      </c>
      <c r="J767" s="58">
        <f>작성용!G764</f>
        <v>0</v>
      </c>
      <c r="K767" s="58" t="str">
        <f>작성용!H764</f>
        <v>-</v>
      </c>
      <c r="L767" s="58" t="str">
        <f>작성용!N764</f>
        <v>년</v>
      </c>
      <c r="M767" s="57" t="str">
        <f>작성용!U764</f>
        <v>2024.09.30</v>
      </c>
      <c r="N767" s="57">
        <f>작성용!V764</f>
        <v>45610</v>
      </c>
      <c r="O767" s="57">
        <f>작성용!W764</f>
        <v>45614</v>
      </c>
      <c r="P767" s="57" t="str">
        <f>작성용!X764</f>
        <v>-</v>
      </c>
      <c r="Q767" s="58" t="str">
        <f>작성용!AD764</f>
        <v>심태진</v>
      </c>
      <c r="R767" s="60">
        <f>작성용!AE764</f>
        <v>1</v>
      </c>
      <c r="S767" s="58" t="str">
        <f>작성용!AF764</f>
        <v>심태진</v>
      </c>
      <c r="T767" s="61" t="str">
        <f>작성용!AG764</f>
        <v>강승현</v>
      </c>
      <c r="U767" s="61" t="str">
        <f>작성용!AH764</f>
        <v>강승현</v>
      </c>
      <c r="V767" s="56">
        <f>작성용!AA764</f>
        <v>202411</v>
      </c>
      <c r="W767" s="58" t="str">
        <f>작성용!AC764</f>
        <v>[Y]금융기관</v>
      </c>
      <c r="X767" s="58">
        <f>작성용!O764</f>
        <v>0</v>
      </c>
      <c r="Y767" s="58">
        <f>작성용!P764</f>
        <v>0</v>
      </c>
      <c r="Z767" s="58">
        <f>작성용!Q764</f>
        <v>0</v>
      </c>
      <c r="AA767" s="56" t="str">
        <f>작성용!AJ764</f>
        <v>국민연금제출</v>
      </c>
      <c r="AB767" s="56">
        <f>작성용!AB764</f>
        <v>0</v>
      </c>
    </row>
    <row r="768" spans="1:28" s="12" customFormat="1" ht="16.5" hidden="1" customHeight="1" x14ac:dyDescent="0.3">
      <c r="A768" s="54">
        <f>작성용!AL765</f>
        <v>764</v>
      </c>
      <c r="B768" s="55" t="str">
        <f>작성용!AI765</f>
        <v>-</v>
      </c>
      <c r="C768" s="56" t="str">
        <f>작성용!AK765</f>
        <v>개별종목</v>
      </c>
      <c r="D768" s="57">
        <f>작성용!T765</f>
        <v>45582</v>
      </c>
      <c r="E768" s="58" t="str">
        <f>작성용!B765</f>
        <v>스톤브릿지벤처스</v>
      </c>
      <c r="F768" s="58" t="str">
        <f>작성용!C765</f>
        <v>재평가</v>
      </c>
      <c r="G768" s="58" t="str">
        <f>작성용!D765</f>
        <v>에너에버배터리솔루션</v>
      </c>
      <c r="H768" s="59">
        <f>작성용!E765</f>
        <v>1201110607690</v>
      </c>
      <c r="I768" s="58" t="str">
        <f>작성용!F765</f>
        <v>A07</v>
      </c>
      <c r="J768" s="58">
        <f>작성용!G765</f>
        <v>1</v>
      </c>
      <c r="K768" s="58" t="str">
        <f>작성용!H765</f>
        <v>-</v>
      </c>
      <c r="L768" s="58" t="str">
        <f>작성용!N765</f>
        <v>년</v>
      </c>
      <c r="M768" s="57" t="str">
        <f>작성용!U765</f>
        <v>2024.09.30</v>
      </c>
      <c r="N768" s="57">
        <f>작성용!V765</f>
        <v>45610</v>
      </c>
      <c r="O768" s="57">
        <f>작성용!W765</f>
        <v>45614</v>
      </c>
      <c r="P768" s="57" t="str">
        <f>작성용!X765</f>
        <v>-</v>
      </c>
      <c r="Q768" s="58" t="str">
        <f>작성용!AD765</f>
        <v>이진주</v>
      </c>
      <c r="R768" s="60">
        <f>작성용!AE765</f>
        <v>1</v>
      </c>
      <c r="S768" s="58" t="str">
        <f>작성용!AF765</f>
        <v>이진주</v>
      </c>
      <c r="T768" s="61" t="str">
        <f>작성용!AG765</f>
        <v>강승현</v>
      </c>
      <c r="U768" s="61" t="str">
        <f>작성용!AH765</f>
        <v>강승현</v>
      </c>
      <c r="V768" s="56">
        <f>작성용!AA765</f>
        <v>202411</v>
      </c>
      <c r="W768" s="58" t="str">
        <f>작성용!AC765</f>
        <v>[Y]금융기관</v>
      </c>
      <c r="X768" s="58">
        <f>작성용!O765</f>
        <v>0</v>
      </c>
      <c r="Y768" s="58">
        <f>작성용!P765</f>
        <v>0</v>
      </c>
      <c r="Z768" s="58">
        <f>작성용!Q765</f>
        <v>0</v>
      </c>
      <c r="AA768" s="56" t="str">
        <f>작성용!AJ765</f>
        <v>국민연금제출</v>
      </c>
      <c r="AB768" s="56">
        <f>작성용!AB765</f>
        <v>0</v>
      </c>
    </row>
    <row r="769" spans="1:28" s="12" customFormat="1" ht="16.5" hidden="1" customHeight="1" x14ac:dyDescent="0.3">
      <c r="A769" s="54">
        <f>작성용!AL766</f>
        <v>765</v>
      </c>
      <c r="B769" s="55" t="str">
        <f>작성용!AI766</f>
        <v>-</v>
      </c>
      <c r="C769" s="56" t="str">
        <f>작성용!AK766</f>
        <v>개별종목</v>
      </c>
      <c r="D769" s="57">
        <f>작성용!T766</f>
        <v>45582</v>
      </c>
      <c r="E769" s="58" t="str">
        <f>작성용!B766</f>
        <v>스톤브릿지벤처스</v>
      </c>
      <c r="F769" s="58" t="str">
        <f>작성용!C766</f>
        <v>재평가</v>
      </c>
      <c r="G769" s="58" t="str">
        <f>작성용!D766</f>
        <v>에너에버배터리솔루션</v>
      </c>
      <c r="H769" s="59">
        <f>작성용!E766</f>
        <v>1201110607690</v>
      </c>
      <c r="I769" s="58" t="str">
        <f>작성용!F766</f>
        <v>A07</v>
      </c>
      <c r="J769" s="58">
        <f>작성용!G766</f>
        <v>2</v>
      </c>
      <c r="K769" s="58" t="str">
        <f>작성용!H766</f>
        <v>-</v>
      </c>
      <c r="L769" s="58" t="str">
        <f>작성용!N766</f>
        <v>년</v>
      </c>
      <c r="M769" s="57" t="str">
        <f>작성용!U766</f>
        <v>2024.09.30</v>
      </c>
      <c r="N769" s="57">
        <f>작성용!V766</f>
        <v>45610</v>
      </c>
      <c r="O769" s="57">
        <f>작성용!W766</f>
        <v>45614</v>
      </c>
      <c r="P769" s="57" t="str">
        <f>작성용!X766</f>
        <v>-</v>
      </c>
      <c r="Q769" s="58" t="str">
        <f>작성용!AD766</f>
        <v>이진주</v>
      </c>
      <c r="R769" s="60">
        <f>작성용!AE766</f>
        <v>0</v>
      </c>
      <c r="S769" s="58" t="str">
        <f>작성용!AF766</f>
        <v>이진주</v>
      </c>
      <c r="T769" s="61" t="str">
        <f>작성용!AG766</f>
        <v>강승현</v>
      </c>
      <c r="U769" s="61" t="str">
        <f>작성용!AH766</f>
        <v>강승현</v>
      </c>
      <c r="V769" s="56">
        <f>작성용!AA766</f>
        <v>202411</v>
      </c>
      <c r="W769" s="58" t="str">
        <f>작성용!AC766</f>
        <v>[Y]금융기관</v>
      </c>
      <c r="X769" s="58">
        <f>작성용!O766</f>
        <v>0</v>
      </c>
      <c r="Y769" s="58">
        <f>작성용!P766</f>
        <v>0</v>
      </c>
      <c r="Z769" s="58">
        <f>작성용!Q766</f>
        <v>0</v>
      </c>
      <c r="AA769" s="56" t="str">
        <f>작성용!AJ766</f>
        <v>국민연금제출</v>
      </c>
      <c r="AB769" s="56">
        <f>작성용!AB766</f>
        <v>0</v>
      </c>
    </row>
    <row r="770" spans="1:28" s="12" customFormat="1" ht="16.5" hidden="1" customHeight="1" x14ac:dyDescent="0.3">
      <c r="A770" s="54">
        <f>작성용!AL767</f>
        <v>766</v>
      </c>
      <c r="B770" s="55" t="str">
        <f>작성용!AI767</f>
        <v>-</v>
      </c>
      <c r="C770" s="56" t="str">
        <f>작성용!AK767</f>
        <v>개별종목</v>
      </c>
      <c r="D770" s="57">
        <f>작성용!T767</f>
        <v>45582</v>
      </c>
      <c r="E770" s="58" t="str">
        <f>작성용!B767</f>
        <v>스톤브릿지벤처스</v>
      </c>
      <c r="F770" s="58" t="str">
        <f>작성용!C767</f>
        <v>재평가</v>
      </c>
      <c r="G770" s="58" t="str">
        <f>작성용!D767</f>
        <v>에스투더블유</v>
      </c>
      <c r="H770" s="59">
        <f>작성용!E767</f>
        <v>1101116873750</v>
      </c>
      <c r="I770" s="58" t="str">
        <f>작성용!F767</f>
        <v>A07</v>
      </c>
      <c r="J770" s="58">
        <f>작성용!G767</f>
        <v>0</v>
      </c>
      <c r="K770" s="58" t="str">
        <f>작성용!H767</f>
        <v>-</v>
      </c>
      <c r="L770" s="58" t="str">
        <f>작성용!N767</f>
        <v>년</v>
      </c>
      <c r="M770" s="57" t="str">
        <f>작성용!U767</f>
        <v>2024.09.30</v>
      </c>
      <c r="N770" s="57">
        <f>작성용!V767</f>
        <v>45610</v>
      </c>
      <c r="O770" s="57">
        <f>작성용!W767</f>
        <v>45614</v>
      </c>
      <c r="P770" s="57" t="str">
        <f>작성용!X767</f>
        <v>-</v>
      </c>
      <c r="Q770" s="58" t="str">
        <f>작성용!AD767</f>
        <v>신원준</v>
      </c>
      <c r="R770" s="60">
        <f>작성용!AE767</f>
        <v>1</v>
      </c>
      <c r="S770" s="58" t="str">
        <f>작성용!AF767</f>
        <v>신원준</v>
      </c>
      <c r="T770" s="61" t="str">
        <f>작성용!AG767</f>
        <v>강승현</v>
      </c>
      <c r="U770" s="61" t="str">
        <f>작성용!AH767</f>
        <v>강승현</v>
      </c>
      <c r="V770" s="56">
        <f>작성용!AA767</f>
        <v>202411</v>
      </c>
      <c r="W770" s="58" t="str">
        <f>작성용!AC767</f>
        <v>[Y]금융기관</v>
      </c>
      <c r="X770" s="58">
        <f>작성용!O767</f>
        <v>0</v>
      </c>
      <c r="Y770" s="58">
        <f>작성용!P767</f>
        <v>0</v>
      </c>
      <c r="Z770" s="58">
        <f>작성용!Q767</f>
        <v>0</v>
      </c>
      <c r="AA770" s="56" t="str">
        <f>작성용!AJ767</f>
        <v>국민연금제출</v>
      </c>
      <c r="AB770" s="56">
        <f>작성용!AB767</f>
        <v>0</v>
      </c>
    </row>
    <row r="771" spans="1:28" s="12" customFormat="1" ht="16.5" hidden="1" customHeight="1" x14ac:dyDescent="0.3">
      <c r="A771" s="54">
        <f>작성용!AL768</f>
        <v>767</v>
      </c>
      <c r="B771" s="55" t="str">
        <f>작성용!AI768</f>
        <v>-</v>
      </c>
      <c r="C771" s="56" t="str">
        <f>작성용!AK768</f>
        <v>개별종목</v>
      </c>
      <c r="D771" s="57">
        <f>작성용!T768</f>
        <v>45582</v>
      </c>
      <c r="E771" s="58" t="str">
        <f>작성용!B768</f>
        <v>스톤브릿지벤처스</v>
      </c>
      <c r="F771" s="58" t="str">
        <f>작성용!C768</f>
        <v>재평가</v>
      </c>
      <c r="G771" s="58" t="str">
        <f>작성용!D768</f>
        <v>오토텔릭바이오</v>
      </c>
      <c r="H771" s="59">
        <f>작성용!E768</f>
        <v>1101115890680</v>
      </c>
      <c r="I771" s="58" t="str">
        <f>작성용!F768</f>
        <v>A07</v>
      </c>
      <c r="J771" s="58">
        <f>작성용!G768</f>
        <v>0</v>
      </c>
      <c r="K771" s="58" t="str">
        <f>작성용!H768</f>
        <v>-</v>
      </c>
      <c r="L771" s="58" t="str">
        <f>작성용!N768</f>
        <v>년</v>
      </c>
      <c r="M771" s="57" t="str">
        <f>작성용!U768</f>
        <v>2024.09.30</v>
      </c>
      <c r="N771" s="57">
        <f>작성용!V768</f>
        <v>45610</v>
      </c>
      <c r="O771" s="57">
        <f>작성용!W768</f>
        <v>45614</v>
      </c>
      <c r="P771" s="57" t="str">
        <f>작성용!X768</f>
        <v>-</v>
      </c>
      <c r="Q771" s="58" t="str">
        <f>작성용!AD768</f>
        <v>백형진</v>
      </c>
      <c r="R771" s="60">
        <f>작성용!AE768</f>
        <v>1</v>
      </c>
      <c r="S771" s="58" t="str">
        <f>작성용!AF768</f>
        <v>백형진</v>
      </c>
      <c r="T771" s="61" t="str">
        <f>작성용!AG768</f>
        <v>강승현</v>
      </c>
      <c r="U771" s="61" t="str">
        <f>작성용!AH768</f>
        <v>강승현</v>
      </c>
      <c r="V771" s="56">
        <f>작성용!AA768</f>
        <v>202411</v>
      </c>
      <c r="W771" s="58" t="str">
        <f>작성용!AC768</f>
        <v>[Y]금융기관</v>
      </c>
      <c r="X771" s="58">
        <f>작성용!O768</f>
        <v>0</v>
      </c>
      <c r="Y771" s="58">
        <f>작성용!P768</f>
        <v>0</v>
      </c>
      <c r="Z771" s="58">
        <f>작성용!Q768</f>
        <v>0</v>
      </c>
      <c r="AA771" s="56" t="str">
        <f>작성용!AJ768</f>
        <v>국민연금제출</v>
      </c>
      <c r="AB771" s="56">
        <f>작성용!AB768</f>
        <v>0</v>
      </c>
    </row>
    <row r="772" spans="1:28" s="12" customFormat="1" ht="16.5" hidden="1" customHeight="1" x14ac:dyDescent="0.3">
      <c r="A772" s="54">
        <f>작성용!AL769</f>
        <v>768</v>
      </c>
      <c r="B772" s="55" t="str">
        <f>작성용!AI769</f>
        <v>-</v>
      </c>
      <c r="C772" s="56" t="str">
        <f>작성용!AK769</f>
        <v>개별종목</v>
      </c>
      <c r="D772" s="57">
        <f>작성용!T769</f>
        <v>45582</v>
      </c>
      <c r="E772" s="58" t="str">
        <f>작성용!B769</f>
        <v>스톤브릿지벤처스</v>
      </c>
      <c r="F772" s="58" t="str">
        <f>작성용!C769</f>
        <v>재평가</v>
      </c>
      <c r="G772" s="58" t="str">
        <f>작성용!D769</f>
        <v>오픈엣지스퀘어</v>
      </c>
      <c r="H772" s="59">
        <f>작성용!E769</f>
        <v>1101118707626</v>
      </c>
      <c r="I772" s="58" t="str">
        <f>작성용!F769</f>
        <v>A07</v>
      </c>
      <c r="J772" s="58">
        <f>작성용!G769</f>
        <v>0</v>
      </c>
      <c r="K772" s="58" t="str">
        <f>작성용!H769</f>
        <v>-</v>
      </c>
      <c r="L772" s="58" t="str">
        <f>작성용!N769</f>
        <v>년</v>
      </c>
      <c r="M772" s="57" t="str">
        <f>작성용!U769</f>
        <v>2024.09.30</v>
      </c>
      <c r="N772" s="57">
        <f>작성용!V769</f>
        <v>45610</v>
      </c>
      <c r="O772" s="57">
        <f>작성용!W769</f>
        <v>45614</v>
      </c>
      <c r="P772" s="57" t="str">
        <f>작성용!X769</f>
        <v>-</v>
      </c>
      <c r="Q772" s="58" t="str">
        <f>작성용!AD769</f>
        <v>서경덕</v>
      </c>
      <c r="R772" s="60">
        <f>작성용!AE769</f>
        <v>1</v>
      </c>
      <c r="S772" s="58" t="str">
        <f>작성용!AF769</f>
        <v>서경덕</v>
      </c>
      <c r="T772" s="61" t="str">
        <f>작성용!AG769</f>
        <v>강승현</v>
      </c>
      <c r="U772" s="61" t="str">
        <f>작성용!AH769</f>
        <v>강승현</v>
      </c>
      <c r="V772" s="56">
        <f>작성용!AA769</f>
        <v>202411</v>
      </c>
      <c r="W772" s="58" t="str">
        <f>작성용!AC769</f>
        <v>[Y]금융기관</v>
      </c>
      <c r="X772" s="58">
        <f>작성용!O769</f>
        <v>0</v>
      </c>
      <c r="Y772" s="58">
        <f>작성용!P769</f>
        <v>0</v>
      </c>
      <c r="Z772" s="58">
        <f>작성용!Q769</f>
        <v>0</v>
      </c>
      <c r="AA772" s="56" t="str">
        <f>작성용!AJ769</f>
        <v>국민연금제출</v>
      </c>
      <c r="AB772" s="56">
        <f>작성용!AB769</f>
        <v>0</v>
      </c>
    </row>
    <row r="773" spans="1:28" s="12" customFormat="1" ht="16.5" hidden="1" customHeight="1" x14ac:dyDescent="0.3">
      <c r="A773" s="54">
        <f>작성용!AL770</f>
        <v>769</v>
      </c>
      <c r="B773" s="55" t="str">
        <f>작성용!AI770</f>
        <v>-</v>
      </c>
      <c r="C773" s="56" t="str">
        <f>작성용!AK770</f>
        <v>개별종목</v>
      </c>
      <c r="D773" s="57">
        <f>작성용!T770</f>
        <v>45582</v>
      </c>
      <c r="E773" s="58" t="str">
        <f>작성용!B770</f>
        <v>스톤브릿지벤처스</v>
      </c>
      <c r="F773" s="58" t="str">
        <f>작성용!C770</f>
        <v>재평가</v>
      </c>
      <c r="G773" s="58" t="str">
        <f>작성용!D770</f>
        <v>온코닉테라퓨틱스</v>
      </c>
      <c r="H773" s="59">
        <f>작성용!E770</f>
        <v>1101117478088</v>
      </c>
      <c r="I773" s="58" t="str">
        <f>작성용!F770</f>
        <v>A07</v>
      </c>
      <c r="J773" s="58">
        <f>작성용!G770</f>
        <v>0</v>
      </c>
      <c r="K773" s="58" t="str">
        <f>작성용!H770</f>
        <v>-</v>
      </c>
      <c r="L773" s="58" t="str">
        <f>작성용!N770</f>
        <v>년</v>
      </c>
      <c r="M773" s="57" t="str">
        <f>작성용!U770</f>
        <v>2024.09.30</v>
      </c>
      <c r="N773" s="57">
        <f>작성용!V770</f>
        <v>45610</v>
      </c>
      <c r="O773" s="57">
        <f>작성용!W770</f>
        <v>45614</v>
      </c>
      <c r="P773" s="57" t="str">
        <f>작성용!X770</f>
        <v>-</v>
      </c>
      <c r="Q773" s="58" t="str">
        <f>작성용!AD770</f>
        <v>이상민</v>
      </c>
      <c r="R773" s="60">
        <f>작성용!AE770</f>
        <v>0</v>
      </c>
      <c r="S773" s="58" t="str">
        <f>작성용!AF770</f>
        <v>이상민</v>
      </c>
      <c r="T773" s="61" t="str">
        <f>작성용!AG770</f>
        <v>강승현</v>
      </c>
      <c r="U773" s="61" t="str">
        <f>작성용!AH770</f>
        <v>강승현</v>
      </c>
      <c r="V773" s="56">
        <f>작성용!AA770</f>
        <v>202411</v>
      </c>
      <c r="W773" s="58" t="str">
        <f>작성용!AC770</f>
        <v>[Y]금융기관</v>
      </c>
      <c r="X773" s="58">
        <f>작성용!O770</f>
        <v>0</v>
      </c>
      <c r="Y773" s="58">
        <f>작성용!P770</f>
        <v>0</v>
      </c>
      <c r="Z773" s="58">
        <f>작성용!Q770</f>
        <v>0</v>
      </c>
      <c r="AA773" s="56" t="str">
        <f>작성용!AJ770</f>
        <v>국민연금제출</v>
      </c>
      <c r="AB773" s="56">
        <f>작성용!AB770</f>
        <v>0</v>
      </c>
    </row>
    <row r="774" spans="1:28" s="12" customFormat="1" ht="16.5" hidden="1" customHeight="1" x14ac:dyDescent="0.3">
      <c r="A774" s="54">
        <f>작성용!AL771</f>
        <v>770</v>
      </c>
      <c r="B774" s="55" t="str">
        <f>작성용!AI771</f>
        <v>-</v>
      </c>
      <c r="C774" s="56" t="str">
        <f>작성용!AK771</f>
        <v>개별종목</v>
      </c>
      <c r="D774" s="57">
        <f>작성용!T771</f>
        <v>45582</v>
      </c>
      <c r="E774" s="58" t="str">
        <f>작성용!B771</f>
        <v>스톤브릿지벤처스</v>
      </c>
      <c r="F774" s="58" t="str">
        <f>작성용!C771</f>
        <v>재평가</v>
      </c>
      <c r="G774" s="58" t="str">
        <f>작성용!D771</f>
        <v>원프레딕트</v>
      </c>
      <c r="H774" s="59">
        <f>작성용!E771</f>
        <v>1101116213683</v>
      </c>
      <c r="I774" s="58" t="str">
        <f>작성용!F771</f>
        <v>A07</v>
      </c>
      <c r="J774" s="58">
        <f>작성용!G771</f>
        <v>1</v>
      </c>
      <c r="K774" s="58" t="str">
        <f>작성용!H771</f>
        <v>-</v>
      </c>
      <c r="L774" s="58" t="str">
        <f>작성용!N771</f>
        <v>년</v>
      </c>
      <c r="M774" s="57" t="str">
        <f>작성용!U771</f>
        <v>2024.09.30</v>
      </c>
      <c r="N774" s="57">
        <f>작성용!V771</f>
        <v>45610</v>
      </c>
      <c r="O774" s="57">
        <f>작성용!W771</f>
        <v>45614</v>
      </c>
      <c r="P774" s="57" t="str">
        <f>작성용!X771</f>
        <v>-</v>
      </c>
      <c r="Q774" s="58" t="str">
        <f>작성용!AD771</f>
        <v>김에스더</v>
      </c>
      <c r="R774" s="60">
        <f>작성용!AE771</f>
        <v>1</v>
      </c>
      <c r="S774" s="58" t="str">
        <f>작성용!AF771</f>
        <v>김에스더</v>
      </c>
      <c r="T774" s="61" t="str">
        <f>작성용!AG771</f>
        <v>강승현</v>
      </c>
      <c r="U774" s="61" t="str">
        <f>작성용!AH771</f>
        <v>강승현</v>
      </c>
      <c r="V774" s="56">
        <f>작성용!AA771</f>
        <v>202411</v>
      </c>
      <c r="W774" s="58" t="str">
        <f>작성용!AC771</f>
        <v>[Y]금융기관</v>
      </c>
      <c r="X774" s="58">
        <f>작성용!O771</f>
        <v>0</v>
      </c>
      <c r="Y774" s="58">
        <f>작성용!P771</f>
        <v>0</v>
      </c>
      <c r="Z774" s="58">
        <f>작성용!Q771</f>
        <v>0</v>
      </c>
      <c r="AA774" s="56" t="str">
        <f>작성용!AJ771</f>
        <v>국민연금제출</v>
      </c>
      <c r="AB774" s="56">
        <f>작성용!AB771</f>
        <v>0</v>
      </c>
    </row>
    <row r="775" spans="1:28" s="12" customFormat="1" ht="16.5" hidden="1" customHeight="1" x14ac:dyDescent="0.3">
      <c r="A775" s="54">
        <f>작성용!AL772</f>
        <v>771</v>
      </c>
      <c r="B775" s="55" t="str">
        <f>작성용!AI772</f>
        <v>-</v>
      </c>
      <c r="C775" s="56" t="str">
        <f>작성용!AK772</f>
        <v>개별종목</v>
      </c>
      <c r="D775" s="57">
        <f>작성용!T772</f>
        <v>45582</v>
      </c>
      <c r="E775" s="58" t="str">
        <f>작성용!B772</f>
        <v>스톤브릿지벤처스</v>
      </c>
      <c r="F775" s="58" t="str">
        <f>작성용!C772</f>
        <v>재평가</v>
      </c>
      <c r="G775" s="58" t="str">
        <f>작성용!D772</f>
        <v>이모코그</v>
      </c>
      <c r="H775" s="59">
        <f>작성용!E772</f>
        <v>1101117754511</v>
      </c>
      <c r="I775" s="58" t="str">
        <f>작성용!F772</f>
        <v>A05</v>
      </c>
      <c r="J775" s="58">
        <f>작성용!G772</f>
        <v>0</v>
      </c>
      <c r="K775" s="58" t="str">
        <f>작성용!H772</f>
        <v>-</v>
      </c>
      <c r="L775" s="58" t="str">
        <f>작성용!N772</f>
        <v>년</v>
      </c>
      <c r="M775" s="57" t="str">
        <f>작성용!U772</f>
        <v>2024.09.30</v>
      </c>
      <c r="N775" s="57">
        <f>작성용!V772</f>
        <v>45610</v>
      </c>
      <c r="O775" s="57">
        <f>작성용!W772</f>
        <v>45614</v>
      </c>
      <c r="P775" s="57" t="str">
        <f>작성용!X772</f>
        <v>-</v>
      </c>
      <c r="Q775" s="58" t="str">
        <f>작성용!AD772</f>
        <v>원정우</v>
      </c>
      <c r="R775" s="60">
        <f>작성용!AE772</f>
        <v>1</v>
      </c>
      <c r="S775" s="58" t="str">
        <f>작성용!AF772</f>
        <v>원정우</v>
      </c>
      <c r="T775" s="61" t="str">
        <f>작성용!AG772</f>
        <v>강승현</v>
      </c>
      <c r="U775" s="61" t="str">
        <f>작성용!AH772</f>
        <v>강승현</v>
      </c>
      <c r="V775" s="56">
        <f>작성용!AA772</f>
        <v>202411</v>
      </c>
      <c r="W775" s="58" t="str">
        <f>작성용!AC772</f>
        <v>[Y]금융기관</v>
      </c>
      <c r="X775" s="58">
        <f>작성용!O772</f>
        <v>0</v>
      </c>
      <c r="Y775" s="58">
        <f>작성용!P772</f>
        <v>0</v>
      </c>
      <c r="Z775" s="58">
        <f>작성용!Q772</f>
        <v>0</v>
      </c>
      <c r="AA775" s="56" t="str">
        <f>작성용!AJ772</f>
        <v>국민연금제출</v>
      </c>
      <c r="AB775" s="56">
        <f>작성용!AB772</f>
        <v>0</v>
      </c>
    </row>
    <row r="776" spans="1:28" s="12" customFormat="1" ht="16.5" hidden="1" customHeight="1" x14ac:dyDescent="0.3">
      <c r="A776" s="54">
        <f>작성용!AL773</f>
        <v>772</v>
      </c>
      <c r="B776" s="55" t="str">
        <f>작성용!AI773</f>
        <v>-</v>
      </c>
      <c r="C776" s="56" t="str">
        <f>작성용!AK773</f>
        <v>개별종목</v>
      </c>
      <c r="D776" s="57">
        <f>작성용!T773</f>
        <v>45582</v>
      </c>
      <c r="E776" s="58" t="str">
        <f>작성용!B773</f>
        <v>스톤브릿지벤처스</v>
      </c>
      <c r="F776" s="58" t="str">
        <f>작성용!C773</f>
        <v>재평가</v>
      </c>
      <c r="G776" s="58" t="str">
        <f>작성용!D773</f>
        <v>컨텐츠랩비보</v>
      </c>
      <c r="H776" s="59">
        <f>작성용!E773</f>
        <v>1101115903219</v>
      </c>
      <c r="I776" s="58" t="str">
        <f>작성용!F773</f>
        <v>A07</v>
      </c>
      <c r="J776" s="58">
        <f>작성용!G773</f>
        <v>0</v>
      </c>
      <c r="K776" s="58" t="str">
        <f>작성용!H773</f>
        <v>-</v>
      </c>
      <c r="L776" s="58" t="str">
        <f>작성용!N773</f>
        <v>년</v>
      </c>
      <c r="M776" s="57" t="str">
        <f>작성용!U773</f>
        <v>2024.09.30</v>
      </c>
      <c r="N776" s="57">
        <f>작성용!V773</f>
        <v>45610</v>
      </c>
      <c r="O776" s="57">
        <f>작성용!W773</f>
        <v>45614</v>
      </c>
      <c r="P776" s="57" t="str">
        <f>작성용!X773</f>
        <v>-</v>
      </c>
      <c r="Q776" s="58" t="str">
        <f>작성용!AD773</f>
        <v>신원준</v>
      </c>
      <c r="R776" s="60">
        <f>작성용!AE773</f>
        <v>1</v>
      </c>
      <c r="S776" s="58" t="str">
        <f>작성용!AF773</f>
        <v>신원준</v>
      </c>
      <c r="T776" s="61" t="str">
        <f>작성용!AG773</f>
        <v>강승현</v>
      </c>
      <c r="U776" s="61" t="str">
        <f>작성용!AH773</f>
        <v>강승현</v>
      </c>
      <c r="V776" s="56">
        <f>작성용!AA773</f>
        <v>202411</v>
      </c>
      <c r="W776" s="58" t="str">
        <f>작성용!AC773</f>
        <v>[Y]금융기관</v>
      </c>
      <c r="X776" s="58">
        <f>작성용!O773</f>
        <v>0</v>
      </c>
      <c r="Y776" s="58">
        <f>작성용!P773</f>
        <v>0</v>
      </c>
      <c r="Z776" s="58">
        <f>작성용!Q773</f>
        <v>0</v>
      </c>
      <c r="AA776" s="56" t="str">
        <f>작성용!AJ773</f>
        <v>국민연금제출</v>
      </c>
      <c r="AB776" s="56">
        <f>작성용!AB773</f>
        <v>0</v>
      </c>
    </row>
    <row r="777" spans="1:28" s="12" customFormat="1" ht="16.5" hidden="1" customHeight="1" x14ac:dyDescent="0.3">
      <c r="A777" s="54">
        <f>작성용!AL774</f>
        <v>773</v>
      </c>
      <c r="B777" s="55" t="str">
        <f>작성용!AI774</f>
        <v>-</v>
      </c>
      <c r="C777" s="56" t="str">
        <f>작성용!AK774</f>
        <v>개별종목</v>
      </c>
      <c r="D777" s="57">
        <f>작성용!T774</f>
        <v>45582</v>
      </c>
      <c r="E777" s="58" t="str">
        <f>작성용!B774</f>
        <v>스톤브릿지벤처스</v>
      </c>
      <c r="F777" s="58" t="str">
        <f>작성용!C774</f>
        <v>재평가</v>
      </c>
      <c r="G777" s="58" t="str">
        <f>작성용!D774</f>
        <v>컨텐츠랩비보</v>
      </c>
      <c r="H777" s="59">
        <f>작성용!E774</f>
        <v>1101115903219</v>
      </c>
      <c r="I777" s="58" t="str">
        <f>작성용!F774</f>
        <v>A01</v>
      </c>
      <c r="J777" s="58">
        <f>작성용!G774</f>
        <v>0</v>
      </c>
      <c r="K777" s="58" t="str">
        <f>작성용!H774</f>
        <v>-</v>
      </c>
      <c r="L777" s="58" t="str">
        <f>작성용!N774</f>
        <v>년</v>
      </c>
      <c r="M777" s="57" t="str">
        <f>작성용!U774</f>
        <v>2024.09.30</v>
      </c>
      <c r="N777" s="57">
        <f>작성용!V774</f>
        <v>45610</v>
      </c>
      <c r="O777" s="57">
        <f>작성용!W774</f>
        <v>45614</v>
      </c>
      <c r="P777" s="57" t="str">
        <f>작성용!X774</f>
        <v>-</v>
      </c>
      <c r="Q777" s="58" t="str">
        <f>작성용!AD774</f>
        <v>신원준</v>
      </c>
      <c r="R777" s="60">
        <f>작성용!AE774</f>
        <v>0</v>
      </c>
      <c r="S777" s="58" t="str">
        <f>작성용!AF774</f>
        <v>신원준</v>
      </c>
      <c r="T777" s="61" t="str">
        <f>작성용!AG774</f>
        <v>강승현</v>
      </c>
      <c r="U777" s="61" t="str">
        <f>작성용!AH774</f>
        <v>강승현</v>
      </c>
      <c r="V777" s="56">
        <f>작성용!AA774</f>
        <v>202411</v>
      </c>
      <c r="W777" s="58" t="str">
        <f>작성용!AC774</f>
        <v>[Y]금융기관</v>
      </c>
      <c r="X777" s="58">
        <f>작성용!O774</f>
        <v>0</v>
      </c>
      <c r="Y777" s="58">
        <f>작성용!P774</f>
        <v>0</v>
      </c>
      <c r="Z777" s="58">
        <f>작성용!Q774</f>
        <v>0</v>
      </c>
      <c r="AA777" s="56" t="str">
        <f>작성용!AJ774</f>
        <v>국민연금제출</v>
      </c>
      <c r="AB777" s="56">
        <f>작성용!AB774</f>
        <v>0</v>
      </c>
    </row>
    <row r="778" spans="1:28" s="12" customFormat="1" ht="16.5" hidden="1" customHeight="1" x14ac:dyDescent="0.3">
      <c r="A778" s="54">
        <f>작성용!AL775</f>
        <v>774</v>
      </c>
      <c r="B778" s="55" t="str">
        <f>작성용!AI775</f>
        <v>-</v>
      </c>
      <c r="C778" s="56" t="str">
        <f>작성용!AK775</f>
        <v>개별종목</v>
      </c>
      <c r="D778" s="57">
        <f>작성용!T775</f>
        <v>45582</v>
      </c>
      <c r="E778" s="58" t="str">
        <f>작성용!B775</f>
        <v>스톤브릿지벤처스</v>
      </c>
      <c r="F778" s="58" t="str">
        <f>작성용!C775</f>
        <v>재평가</v>
      </c>
      <c r="G778" s="58" t="str">
        <f>작성용!D775</f>
        <v>크립토랩</v>
      </c>
      <c r="H778" s="59">
        <f>작성용!E775</f>
        <v>1101116599843</v>
      </c>
      <c r="I778" s="58" t="str">
        <f>작성용!F775</f>
        <v>A07</v>
      </c>
      <c r="J778" s="58">
        <f>작성용!G775</f>
        <v>0</v>
      </c>
      <c r="K778" s="58" t="str">
        <f>작성용!H775</f>
        <v>-</v>
      </c>
      <c r="L778" s="58" t="str">
        <f>작성용!N775</f>
        <v>년</v>
      </c>
      <c r="M778" s="57" t="str">
        <f>작성용!U775</f>
        <v>2024.09.30</v>
      </c>
      <c r="N778" s="57">
        <f>작성용!V775</f>
        <v>45610</v>
      </c>
      <c r="O778" s="57">
        <f>작성용!W775</f>
        <v>45614</v>
      </c>
      <c r="P778" s="57" t="str">
        <f>작성용!X775</f>
        <v>-</v>
      </c>
      <c r="Q778" s="58" t="str">
        <f>작성용!AD775</f>
        <v>유재호</v>
      </c>
      <c r="R778" s="60">
        <f>작성용!AE775</f>
        <v>1</v>
      </c>
      <c r="S778" s="58" t="str">
        <f>작성용!AF775</f>
        <v>유재호</v>
      </c>
      <c r="T778" s="61" t="str">
        <f>작성용!AG775</f>
        <v>강승현</v>
      </c>
      <c r="U778" s="61" t="str">
        <f>작성용!AH775</f>
        <v>강승현</v>
      </c>
      <c r="V778" s="56">
        <f>작성용!AA775</f>
        <v>202411</v>
      </c>
      <c r="W778" s="58" t="str">
        <f>작성용!AC775</f>
        <v>[Y]금융기관</v>
      </c>
      <c r="X778" s="58">
        <f>작성용!O775</f>
        <v>0</v>
      </c>
      <c r="Y778" s="58">
        <f>작성용!P775</f>
        <v>0</v>
      </c>
      <c r="Z778" s="58">
        <f>작성용!Q775</f>
        <v>0</v>
      </c>
      <c r="AA778" s="56" t="str">
        <f>작성용!AJ775</f>
        <v>국민연금제출</v>
      </c>
      <c r="AB778" s="56">
        <f>작성용!AB775</f>
        <v>0</v>
      </c>
    </row>
    <row r="779" spans="1:28" s="12" customFormat="1" ht="16.5" hidden="1" customHeight="1" x14ac:dyDescent="0.3">
      <c r="A779" s="54">
        <f>작성용!AL776</f>
        <v>775</v>
      </c>
      <c r="B779" s="55" t="str">
        <f>작성용!AI776</f>
        <v>-</v>
      </c>
      <c r="C779" s="56" t="str">
        <f>작성용!AK776</f>
        <v>개별종목</v>
      </c>
      <c r="D779" s="57">
        <f>작성용!T776</f>
        <v>45582</v>
      </c>
      <c r="E779" s="58" t="str">
        <f>작성용!B776</f>
        <v>스톤브릿지벤처스</v>
      </c>
      <c r="F779" s="58" t="str">
        <f>작성용!C776</f>
        <v>재평가</v>
      </c>
      <c r="G779" s="58" t="str">
        <f>작성용!D776</f>
        <v>피글</v>
      </c>
      <c r="H779" s="59">
        <f>작성용!E776</f>
        <v>1801110940147</v>
      </c>
      <c r="I779" s="58" t="str">
        <f>작성용!F776</f>
        <v>A07</v>
      </c>
      <c r="J779" s="58">
        <f>작성용!G776</f>
        <v>0</v>
      </c>
      <c r="K779" s="58" t="str">
        <f>작성용!H776</f>
        <v>-</v>
      </c>
      <c r="L779" s="58" t="str">
        <f>작성용!N776</f>
        <v>년</v>
      </c>
      <c r="M779" s="57" t="str">
        <f>작성용!U776</f>
        <v>2024.09.30</v>
      </c>
      <c r="N779" s="57">
        <f>작성용!V776</f>
        <v>45610</v>
      </c>
      <c r="O779" s="57">
        <f>작성용!W776</f>
        <v>45614</v>
      </c>
      <c r="P779" s="57" t="str">
        <f>작성용!X776</f>
        <v>-</v>
      </c>
      <c r="Q779" s="58" t="str">
        <f>작성용!AD776</f>
        <v>이문수</v>
      </c>
      <c r="R779" s="60">
        <f>작성용!AE776</f>
        <v>1</v>
      </c>
      <c r="S779" s="58" t="str">
        <f>작성용!AF776</f>
        <v>이문수</v>
      </c>
      <c r="T779" s="61" t="str">
        <f>작성용!AG776</f>
        <v>강승현</v>
      </c>
      <c r="U779" s="61" t="str">
        <f>작성용!AH776</f>
        <v>강승현</v>
      </c>
      <c r="V779" s="56">
        <f>작성용!AA776</f>
        <v>202411</v>
      </c>
      <c r="W779" s="58" t="str">
        <f>작성용!AC776</f>
        <v>[Y]금융기관</v>
      </c>
      <c r="X779" s="58">
        <f>작성용!O776</f>
        <v>0</v>
      </c>
      <c r="Y779" s="58">
        <f>작성용!P776</f>
        <v>0</v>
      </c>
      <c r="Z779" s="58">
        <f>작성용!Q776</f>
        <v>0</v>
      </c>
      <c r="AA779" s="56" t="str">
        <f>작성용!AJ776</f>
        <v>국민연금제출</v>
      </c>
      <c r="AB779" s="56">
        <f>작성용!AB776</f>
        <v>0</v>
      </c>
    </row>
    <row r="780" spans="1:28" s="12" customFormat="1" ht="16.5" hidden="1" customHeight="1" x14ac:dyDescent="0.3">
      <c r="A780" s="54">
        <f>작성용!AL777</f>
        <v>776</v>
      </c>
      <c r="B780" s="55" t="str">
        <f>작성용!AI777</f>
        <v>에코올라이언스홀딩스 기초자산</v>
      </c>
      <c r="C780" s="56" t="str">
        <f>작성용!AK777</f>
        <v>개별종목</v>
      </c>
      <c r="D780" s="57">
        <f>작성용!T777</f>
        <v>45581</v>
      </c>
      <c r="E780" s="58" t="str">
        <f>작성용!B777</f>
        <v>프리미어파트너스</v>
      </c>
      <c r="F780" s="58" t="str">
        <f>작성용!C777</f>
        <v>재평가</v>
      </c>
      <c r="G780" s="58" t="str">
        <f>작성용!D777</f>
        <v>에스케이에코플랜트(구,에스케이건설)</v>
      </c>
      <c r="H780" s="59">
        <f>작성용!E777</f>
        <v>1101110038805</v>
      </c>
      <c r="I780" s="58" t="str">
        <f>작성용!F777</f>
        <v>A01</v>
      </c>
      <c r="J780" s="58">
        <f>작성용!G777</f>
        <v>0</v>
      </c>
      <c r="K780" s="58" t="str">
        <f>작성용!H777</f>
        <v>-</v>
      </c>
      <c r="L780" s="58" t="str">
        <f>작성용!N777</f>
        <v>년</v>
      </c>
      <c r="M780" s="57" t="str">
        <f>작성용!U777</f>
        <v>2024.09.30</v>
      </c>
      <c r="N780" s="57">
        <f>작성용!V777</f>
        <v>45604</v>
      </c>
      <c r="O780" s="57" t="str">
        <f>작성용!W777</f>
        <v>보고서제공X</v>
      </c>
      <c r="P780" s="57" t="str">
        <f>작성용!X777</f>
        <v>-</v>
      </c>
      <c r="Q780" s="58" t="str">
        <f>작성용!AD777</f>
        <v>김영규</v>
      </c>
      <c r="R780" s="60">
        <f>작성용!AE777</f>
        <v>0.4</v>
      </c>
      <c r="S780" s="58" t="str">
        <f>작성용!AF777</f>
        <v>김영규</v>
      </c>
      <c r="T780" s="61" t="str">
        <f>작성용!AG777</f>
        <v>이문수</v>
      </c>
      <c r="U780" s="61" t="str">
        <f>작성용!AH777</f>
        <v>이문수</v>
      </c>
      <c r="V780" s="56">
        <f>작성용!AA777</f>
        <v>202411</v>
      </c>
      <c r="W780" s="58" t="str">
        <f>작성용!AC777</f>
        <v>[Y]금융기관</v>
      </c>
      <c r="X780" s="58" t="str">
        <f>작성용!O777</f>
        <v xml:space="preserve">박은경이사 </v>
      </c>
      <c r="Y780" s="58" t="str">
        <f>작성용!P777</f>
        <v xml:space="preserve">02-564-0131 </v>
      </c>
      <c r="Z780" s="58" t="str">
        <f>작성용!Q777</f>
        <v xml:space="preserve">ekpark@premierpartners.co.kr </v>
      </c>
      <c r="AA780" s="56" t="str">
        <f>작성용!AJ777</f>
        <v>국민연금제출</v>
      </c>
      <c r="AB780" s="56">
        <f>작성용!AB777</f>
        <v>0</v>
      </c>
    </row>
    <row r="781" spans="1:28" s="12" customFormat="1" ht="16.5" hidden="1" customHeight="1" x14ac:dyDescent="0.3">
      <c r="A781" s="54">
        <f>작성용!AL778</f>
        <v>777</v>
      </c>
      <c r="B781" s="55" t="str">
        <f>작성용!AI778</f>
        <v>에코올라이언스홀딩스 기초자산</v>
      </c>
      <c r="C781" s="56" t="str">
        <f>작성용!AK778</f>
        <v>개별종목</v>
      </c>
      <c r="D781" s="57">
        <f>작성용!T778</f>
        <v>45581</v>
      </c>
      <c r="E781" s="58" t="str">
        <f>작성용!B778</f>
        <v>프리미어파트너스</v>
      </c>
      <c r="F781" s="58" t="str">
        <f>작성용!C778</f>
        <v>재평가</v>
      </c>
      <c r="G781" s="58" t="str">
        <f>작성용!D778</f>
        <v>에스케이에코플랜트(구,에스케이건설)</v>
      </c>
      <c r="H781" s="59">
        <f>작성용!E778</f>
        <v>1101110038805</v>
      </c>
      <c r="I781" s="58" t="str">
        <f>작성용!F778</f>
        <v>A05</v>
      </c>
      <c r="J781" s="58">
        <f>작성용!G778</f>
        <v>0</v>
      </c>
      <c r="K781" s="58" t="str">
        <f>작성용!H778</f>
        <v>-</v>
      </c>
      <c r="L781" s="58" t="str">
        <f>작성용!N778</f>
        <v>년</v>
      </c>
      <c r="M781" s="57" t="str">
        <f>작성용!U778</f>
        <v>2024.09.30</v>
      </c>
      <c r="N781" s="57">
        <f>작성용!V778</f>
        <v>45604</v>
      </c>
      <c r="O781" s="57" t="str">
        <f>작성용!W778</f>
        <v>보고서제공X</v>
      </c>
      <c r="P781" s="57" t="str">
        <f>작성용!X778</f>
        <v>-</v>
      </c>
      <c r="Q781" s="58" t="str">
        <f>작성용!AD778</f>
        <v>김영규</v>
      </c>
      <c r="R781" s="60">
        <f>작성용!AE778</f>
        <v>0</v>
      </c>
      <c r="S781" s="58" t="str">
        <f>작성용!AF778</f>
        <v>김영규</v>
      </c>
      <c r="T781" s="61" t="str">
        <f>작성용!AG778</f>
        <v>이문수</v>
      </c>
      <c r="U781" s="61" t="str">
        <f>작성용!AH778</f>
        <v>이문수</v>
      </c>
      <c r="V781" s="56">
        <f>작성용!AA778</f>
        <v>202411</v>
      </c>
      <c r="W781" s="58" t="str">
        <f>작성용!AC778</f>
        <v>[Y]금융기관</v>
      </c>
      <c r="X781" s="58" t="str">
        <f>작성용!O778</f>
        <v xml:space="preserve">박은경이사 </v>
      </c>
      <c r="Y781" s="58" t="str">
        <f>작성용!P778</f>
        <v xml:space="preserve">02-564-0131 </v>
      </c>
      <c r="Z781" s="58" t="str">
        <f>작성용!Q778</f>
        <v xml:space="preserve">ekpark@premierpartners.co.kr </v>
      </c>
      <c r="AA781" s="56" t="str">
        <f>작성용!AJ778</f>
        <v>국민연금제출</v>
      </c>
      <c r="AB781" s="56">
        <f>작성용!AB778</f>
        <v>0</v>
      </c>
    </row>
    <row r="782" spans="1:28" s="12" customFormat="1" ht="16.5" hidden="1" customHeight="1" x14ac:dyDescent="0.3">
      <c r="A782" s="54">
        <f>작성용!AL779</f>
        <v>778</v>
      </c>
      <c r="B782" s="55" t="str">
        <f>작성용!AI779</f>
        <v>-</v>
      </c>
      <c r="C782" s="56" t="str">
        <f>작성용!AK779</f>
        <v>개별종목</v>
      </c>
      <c r="D782" s="57">
        <f>작성용!T779</f>
        <v>45582</v>
      </c>
      <c r="E782" s="58" t="str">
        <f>작성용!B779</f>
        <v>미래에셋자산운용</v>
      </c>
      <c r="F782" s="58" t="str">
        <f>작성용!C779</f>
        <v>재평가</v>
      </c>
      <c r="G782" s="58" t="str">
        <f>작성용!D779</f>
        <v>Londian Wason New Energy Tech INC.(구,Shenzhen Londian Electrics Co., Ltd.)</v>
      </c>
      <c r="H782" s="59" t="str">
        <f>작성용!E779</f>
        <v>KBP2019090163</v>
      </c>
      <c r="I782" s="58" t="str">
        <f>작성용!F779</f>
        <v>A01</v>
      </c>
      <c r="J782" s="58">
        <f>작성용!G779</f>
        <v>0</v>
      </c>
      <c r="K782" s="58" t="str">
        <f>작성용!H779</f>
        <v>-</v>
      </c>
      <c r="L782" s="58" t="str">
        <f>작성용!N779</f>
        <v>년</v>
      </c>
      <c r="M782" s="57" t="str">
        <f>작성용!U779</f>
        <v>2024.09.30</v>
      </c>
      <c r="N782" s="57">
        <f>작성용!V779</f>
        <v>45614</v>
      </c>
      <c r="O782" s="57">
        <f>작성용!W779</f>
        <v>45616</v>
      </c>
      <c r="P782" s="57" t="str">
        <f>작성용!X779</f>
        <v>-</v>
      </c>
      <c r="Q782" s="58" t="str">
        <f>작성용!AD779</f>
        <v>채동우</v>
      </c>
      <c r="R782" s="60">
        <f>작성용!AE779</f>
        <v>1</v>
      </c>
      <c r="S782" s="58" t="str">
        <f>작성용!AF779</f>
        <v>김혜지</v>
      </c>
      <c r="T782" s="61" t="str">
        <f>작성용!AG779</f>
        <v>서동현</v>
      </c>
      <c r="U782" s="61" t="str">
        <f>작성용!AH779</f>
        <v>서동현</v>
      </c>
      <c r="V782" s="56">
        <f>작성용!AA779</f>
        <v>202411</v>
      </c>
      <c r="W782" s="58" t="str">
        <f>작성용!AC779</f>
        <v>[Y]금융기관</v>
      </c>
      <c r="X782" s="58" t="str">
        <f>작성용!O779</f>
        <v>박유민담당</v>
      </c>
      <c r="Y782" s="58" t="str">
        <f>작성용!P779</f>
        <v>02-3774-8244, 010-3012-1474</v>
      </c>
      <c r="Z782" s="58" t="str">
        <f>작성용!Q779</f>
        <v>pefpm20@miraeasset.com;pefpm@miraeasset.com</v>
      </c>
      <c r="AA782" s="56" t="str">
        <f>작성용!AJ779</f>
        <v>국민연금제출</v>
      </c>
      <c r="AB782" s="56">
        <f>작성용!AB779</f>
        <v>0</v>
      </c>
    </row>
    <row r="783" spans="1:28" s="12" customFormat="1" ht="16.5" hidden="1" customHeight="1" x14ac:dyDescent="0.3">
      <c r="A783" s="54">
        <f>작성용!AL780</f>
        <v>779</v>
      </c>
      <c r="B783" s="55" t="str">
        <f>작성용!AI780</f>
        <v>-</v>
      </c>
      <c r="C783" s="56" t="str">
        <f>작성용!AK780</f>
        <v>개별종목</v>
      </c>
      <c r="D783" s="57">
        <f>작성용!T780</f>
        <v>45582</v>
      </c>
      <c r="E783" s="58" t="str">
        <f>작성용!B780</f>
        <v>미래에셋자산운용</v>
      </c>
      <c r="F783" s="58" t="str">
        <f>작성용!C780</f>
        <v>재평가</v>
      </c>
      <c r="G783" s="58" t="str">
        <f>작성용!D780</f>
        <v>Impossible Foods</v>
      </c>
      <c r="H783" s="59" t="str">
        <f>작성용!E780</f>
        <v>KBP2020120226</v>
      </c>
      <c r="I783" s="58" t="str">
        <f>작성용!F780</f>
        <v>A05</v>
      </c>
      <c r="J783" s="58">
        <f>작성용!G780</f>
        <v>0</v>
      </c>
      <c r="K783" s="58" t="str">
        <f>작성용!H780</f>
        <v>-</v>
      </c>
      <c r="L783" s="58" t="str">
        <f>작성용!N780</f>
        <v>년</v>
      </c>
      <c r="M783" s="57" t="str">
        <f>작성용!U780</f>
        <v>2024.09.30</v>
      </c>
      <c r="N783" s="57">
        <f>작성용!V780</f>
        <v>45614</v>
      </c>
      <c r="O783" s="57">
        <f>작성용!W780</f>
        <v>45616</v>
      </c>
      <c r="P783" s="57" t="str">
        <f>작성용!X780</f>
        <v>-</v>
      </c>
      <c r="Q783" s="58" t="str">
        <f>작성용!AD780</f>
        <v>서동현</v>
      </c>
      <c r="R783" s="60">
        <f>작성용!AE780</f>
        <v>1</v>
      </c>
      <c r="S783" s="58" t="str">
        <f>작성용!AF780</f>
        <v>서동현</v>
      </c>
      <c r="T783" s="61" t="str">
        <f>작성용!AG780</f>
        <v>서동현</v>
      </c>
      <c r="U783" s="61" t="str">
        <f>작성용!AH780</f>
        <v>서동현</v>
      </c>
      <c r="V783" s="56">
        <f>작성용!AA780</f>
        <v>202411</v>
      </c>
      <c r="W783" s="58" t="str">
        <f>작성용!AC780</f>
        <v>[Y]금융기관</v>
      </c>
      <c r="X783" s="58" t="str">
        <f>작성용!O780</f>
        <v>박유민담당</v>
      </c>
      <c r="Y783" s="58" t="str">
        <f>작성용!P780</f>
        <v>02-3774-8244, 010-3012-1474</v>
      </c>
      <c r="Z783" s="58" t="str">
        <f>작성용!Q780</f>
        <v>pefpm20@miraeasset.com;pefpm@miraeasset.com</v>
      </c>
      <c r="AA783" s="56" t="str">
        <f>작성용!AJ780</f>
        <v>국민연금제출</v>
      </c>
      <c r="AB783" s="56">
        <f>작성용!AB780</f>
        <v>0</v>
      </c>
    </row>
    <row r="784" spans="1:28" s="12" customFormat="1" ht="16.5" hidden="1" customHeight="1" x14ac:dyDescent="0.3">
      <c r="A784" s="54">
        <f>작성용!AL781</f>
        <v>780</v>
      </c>
      <c r="B784" s="55" t="str">
        <f>작성용!AI781</f>
        <v>-</v>
      </c>
      <c r="C784" s="56" t="str">
        <f>작성용!AK781</f>
        <v>개별종목</v>
      </c>
      <c r="D784" s="57">
        <f>작성용!T781</f>
        <v>45582</v>
      </c>
      <c r="E784" s="58" t="str">
        <f>작성용!B781</f>
        <v>미래에셋자산운용</v>
      </c>
      <c r="F784" s="58" t="str">
        <f>작성용!C781</f>
        <v>재평가</v>
      </c>
      <c r="G784" s="58" t="str">
        <f>작성용!D781</f>
        <v>서울공항리무진</v>
      </c>
      <c r="H784" s="59">
        <f>작성용!E781</f>
        <v>1101115304756</v>
      </c>
      <c r="I784" s="58" t="str">
        <f>작성용!F781</f>
        <v>A01</v>
      </c>
      <c r="J784" s="58">
        <f>작성용!G781</f>
        <v>0</v>
      </c>
      <c r="K784" s="58" t="str">
        <f>작성용!H781</f>
        <v>-</v>
      </c>
      <c r="L784" s="58" t="str">
        <f>작성용!N781</f>
        <v>년</v>
      </c>
      <c r="M784" s="57" t="str">
        <f>작성용!U781</f>
        <v>2024.09.30</v>
      </c>
      <c r="N784" s="57">
        <f>작성용!V781</f>
        <v>45614</v>
      </c>
      <c r="O784" s="57">
        <f>작성용!W781</f>
        <v>45616</v>
      </c>
      <c r="P784" s="57" t="str">
        <f>작성용!X781</f>
        <v>-</v>
      </c>
      <c r="Q784" s="58" t="str">
        <f>작성용!AD781</f>
        <v>김수현</v>
      </c>
      <c r="R784" s="60">
        <f>작성용!AE781</f>
        <v>1</v>
      </c>
      <c r="S784" s="58" t="str">
        <f>작성용!AF781</f>
        <v>김수현</v>
      </c>
      <c r="T784" s="61" t="str">
        <f>작성용!AG781</f>
        <v>서동현</v>
      </c>
      <c r="U784" s="61" t="str">
        <f>작성용!AH781</f>
        <v>서동현</v>
      </c>
      <c r="V784" s="56">
        <f>작성용!AA781</f>
        <v>202411</v>
      </c>
      <c r="W784" s="58" t="str">
        <f>작성용!AC781</f>
        <v>[Y]금융기관</v>
      </c>
      <c r="X784" s="58" t="str">
        <f>작성용!O781</f>
        <v>박유민담당</v>
      </c>
      <c r="Y784" s="58" t="str">
        <f>작성용!P781</f>
        <v>02-3774-8244, 010-3012-1474</v>
      </c>
      <c r="Z784" s="58" t="str">
        <f>작성용!Q781</f>
        <v>pefpm20@miraeasset.com;pefpm@miraeasset.com</v>
      </c>
      <c r="AA784" s="56" t="str">
        <f>작성용!AJ781</f>
        <v>국민연금제출</v>
      </c>
      <c r="AB784" s="56">
        <f>작성용!AB781</f>
        <v>0</v>
      </c>
    </row>
    <row r="785" spans="1:28" s="12" customFormat="1" ht="16.5" hidden="1" customHeight="1" x14ac:dyDescent="0.3">
      <c r="A785" s="54">
        <f>작성용!AL782</f>
        <v>781</v>
      </c>
      <c r="B785" s="55" t="str">
        <f>작성용!AI782</f>
        <v>-</v>
      </c>
      <c r="C785" s="56" t="str">
        <f>작성용!AK782</f>
        <v>개별종목</v>
      </c>
      <c r="D785" s="57">
        <f>작성용!T782</f>
        <v>45583</v>
      </c>
      <c r="E785" s="58" t="str">
        <f>작성용!B782</f>
        <v>아이엠엠크레딧앤솔루션</v>
      </c>
      <c r="F785" s="58" t="str">
        <f>작성용!C782</f>
        <v>신규</v>
      </c>
      <c r="G785" s="58" t="str">
        <f>작성용!D782</f>
        <v>케이티클라우드</v>
      </c>
      <c r="H785" s="59">
        <f>작성용!E782</f>
        <v>1101118252126</v>
      </c>
      <c r="I785" s="58" t="str">
        <f>작성용!F782</f>
        <v>A01</v>
      </c>
      <c r="J785" s="58">
        <f>작성용!G782</f>
        <v>0</v>
      </c>
      <c r="K785" s="58" t="str">
        <f>작성용!H782</f>
        <v>-</v>
      </c>
      <c r="L785" s="58" t="str">
        <f>작성용!N782</f>
        <v>미정</v>
      </c>
      <c r="M785" s="57" t="str">
        <f>작성용!U782</f>
        <v>2024.09.30</v>
      </c>
      <c r="N785" s="57">
        <f>작성용!V782</f>
        <v>45609</v>
      </c>
      <c r="O785" s="57">
        <f>작성용!W782</f>
        <v>45615</v>
      </c>
      <c r="P785" s="57" t="str">
        <f>작성용!X782</f>
        <v>-</v>
      </c>
      <c r="Q785" s="58" t="str">
        <f>작성용!AD782</f>
        <v>조현우</v>
      </c>
      <c r="R785" s="60">
        <f>작성용!AE782</f>
        <v>1</v>
      </c>
      <c r="S785" s="58" t="str">
        <f>작성용!AF782</f>
        <v>신규</v>
      </c>
      <c r="T785" s="61" t="str">
        <f>작성용!AG782</f>
        <v>조현우</v>
      </c>
      <c r="U785" s="61" t="str">
        <f>작성용!AH782</f>
        <v>조현우</v>
      </c>
      <c r="V785" s="56">
        <f>작성용!AA782</f>
        <v>202411</v>
      </c>
      <c r="W785" s="58" t="str">
        <f>작성용!AC782</f>
        <v>[X]일반기업</v>
      </c>
      <c r="X785" s="58" t="str">
        <f>작성용!O782</f>
        <v>김소정상무</v>
      </c>
      <c r="Y785" s="58" t="str">
        <f>작성용!P782</f>
        <v>02-2112-1807</v>
      </c>
      <c r="Z785" s="58" t="str">
        <f>작성용!Q782</f>
        <v>sjkim@immcs.co.kr</v>
      </c>
      <c r="AA785" s="56" t="str">
        <f>작성용!AJ782</f>
        <v>국민연금제출</v>
      </c>
      <c r="AB785" s="56">
        <f>작성용!AB782</f>
        <v>0</v>
      </c>
    </row>
    <row r="786" spans="1:28" s="12" customFormat="1" ht="16.5" hidden="1" customHeight="1" x14ac:dyDescent="0.3">
      <c r="A786" s="54">
        <f>작성용!AL783</f>
        <v>782</v>
      </c>
      <c r="B786" s="55" t="str">
        <f>작성용!AI783</f>
        <v>-</v>
      </c>
      <c r="C786" s="56" t="str">
        <f>작성용!AK783</f>
        <v>개별종목</v>
      </c>
      <c r="D786" s="57">
        <f>작성용!T783</f>
        <v>45583</v>
      </c>
      <c r="E786" s="58" t="str">
        <f>작성용!B783</f>
        <v>아이엠엠크레딧앤솔루션</v>
      </c>
      <c r="F786" s="58" t="str">
        <f>작성용!C783</f>
        <v>신규</v>
      </c>
      <c r="G786" s="58" t="str">
        <f>작성용!D783</f>
        <v>케이티클라우드</v>
      </c>
      <c r="H786" s="59">
        <f>작성용!E783</f>
        <v>1101118252126</v>
      </c>
      <c r="I786" s="58" t="str">
        <f>작성용!F783</f>
        <v>A05</v>
      </c>
      <c r="J786" s="58">
        <f>작성용!G783</f>
        <v>0</v>
      </c>
      <c r="K786" s="58" t="str">
        <f>작성용!H783</f>
        <v>-</v>
      </c>
      <c r="L786" s="58" t="str">
        <f>작성용!N783</f>
        <v>미정</v>
      </c>
      <c r="M786" s="57" t="str">
        <f>작성용!U783</f>
        <v>2024.09.30</v>
      </c>
      <c r="N786" s="57">
        <f>작성용!V783</f>
        <v>45609</v>
      </c>
      <c r="O786" s="57">
        <f>작성용!W783</f>
        <v>45615</v>
      </c>
      <c r="P786" s="57" t="str">
        <f>작성용!X783</f>
        <v>-</v>
      </c>
      <c r="Q786" s="58" t="str">
        <f>작성용!AD783</f>
        <v>조현우</v>
      </c>
      <c r="R786" s="60">
        <f>작성용!AE783</f>
        <v>0</v>
      </c>
      <c r="S786" s="58" t="str">
        <f>작성용!AF783</f>
        <v>신규</v>
      </c>
      <c r="T786" s="61" t="str">
        <f>작성용!AG783</f>
        <v>조현우</v>
      </c>
      <c r="U786" s="61" t="str">
        <f>작성용!AH783</f>
        <v>조현우</v>
      </c>
      <c r="V786" s="56">
        <f>작성용!AA783</f>
        <v>202411</v>
      </c>
      <c r="W786" s="58" t="str">
        <f>작성용!AC783</f>
        <v>[X]일반기업</v>
      </c>
      <c r="X786" s="58" t="str">
        <f>작성용!O783</f>
        <v>김소정상무</v>
      </c>
      <c r="Y786" s="58" t="str">
        <f>작성용!P783</f>
        <v>02-2112-1807</v>
      </c>
      <c r="Z786" s="58" t="str">
        <f>작성용!Q783</f>
        <v>sjkim@immcs.co.kr</v>
      </c>
      <c r="AA786" s="56" t="str">
        <f>작성용!AJ783</f>
        <v>국민연금제출</v>
      </c>
      <c r="AB786" s="56">
        <f>작성용!AB783</f>
        <v>0</v>
      </c>
    </row>
    <row r="787" spans="1:28" s="12" customFormat="1" ht="16.5" hidden="1" customHeight="1" x14ac:dyDescent="0.3">
      <c r="A787" s="54">
        <f>작성용!AL784</f>
        <v>783</v>
      </c>
      <c r="B787" s="55" t="str">
        <f>작성용!AI784</f>
        <v>한국전력우리스프랏글로벌사모투자전문회사 기초자산</v>
      </c>
      <c r="C787" s="56" t="str">
        <f>작성용!AK784</f>
        <v>개별종목</v>
      </c>
      <c r="D787" s="57">
        <f>작성용!T784</f>
        <v>45573</v>
      </c>
      <c r="E787" s="58" t="str">
        <f>작성용!B784</f>
        <v>그린하버프라이빗에쿼티(구,스프랏코리아)</v>
      </c>
      <c r="F787" s="58" t="str">
        <f>작성용!C784</f>
        <v>재평가</v>
      </c>
      <c r="G787" s="58" t="str">
        <f>작성용!D784</f>
        <v>유레카미드스트림프로젝트</v>
      </c>
      <c r="H787" s="59" t="str">
        <f>작성용!E784</f>
        <v>KBP2019110007</v>
      </c>
      <c r="I787" s="58" t="str">
        <f>작성용!F784</f>
        <v>B07</v>
      </c>
      <c r="J787" s="58">
        <f>작성용!G784</f>
        <v>0</v>
      </c>
      <c r="K787" s="58" t="str">
        <f>작성용!H784</f>
        <v>-</v>
      </c>
      <c r="L787" s="58" t="str">
        <f>작성용!N784</f>
        <v>년</v>
      </c>
      <c r="M787" s="57" t="str">
        <f>작성용!U784</f>
        <v>2024.09.30</v>
      </c>
      <c r="N787" s="57">
        <f>작성용!V784</f>
        <v>45608</v>
      </c>
      <c r="O787" s="57">
        <f>작성용!W784</f>
        <v>45615</v>
      </c>
      <c r="P787" s="57" t="str">
        <f>작성용!X784</f>
        <v>-</v>
      </c>
      <c r="Q787" s="58" t="str">
        <f>작성용!AD784</f>
        <v>조현우</v>
      </c>
      <c r="R787" s="60">
        <f>작성용!AE784</f>
        <v>1</v>
      </c>
      <c r="S787" s="58" t="str">
        <f>작성용!AF784</f>
        <v>조현우</v>
      </c>
      <c r="T787" s="61" t="str">
        <f>작성용!AG784</f>
        <v>조현우</v>
      </c>
      <c r="U787" s="61" t="str">
        <f>작성용!AH784</f>
        <v>조현우</v>
      </c>
      <c r="V787" s="56">
        <f>작성용!AA784</f>
        <v>202411</v>
      </c>
      <c r="W787" s="58" t="str">
        <f>작성용!AC784</f>
        <v>[X]일반기업</v>
      </c>
      <c r="X787" s="58" t="str">
        <f>작성용!O784</f>
        <v>정병권이사</v>
      </c>
      <c r="Y787" s="58" t="str">
        <f>작성용!P784</f>
        <v>070-4324-9700</v>
      </c>
      <c r="Z787" s="58" t="str">
        <f>작성용!Q784</f>
        <v>bg.chung@sprottkorea.co.kr</v>
      </c>
      <c r="AA787" s="56" t="str">
        <f>작성용!AJ784</f>
        <v>국민연금제출</v>
      </c>
      <c r="AB787" s="56">
        <f>작성용!AB784</f>
        <v>0</v>
      </c>
    </row>
    <row r="788" spans="1:28" s="12" customFormat="1" ht="16.5" hidden="1" customHeight="1" x14ac:dyDescent="0.3">
      <c r="A788" s="54">
        <f>작성용!AL785</f>
        <v>784</v>
      </c>
      <c r="B788" s="55" t="str">
        <f>작성용!AI785</f>
        <v>한국전력우리스프랏글로벌사모투자전문회사 기초자산</v>
      </c>
      <c r="C788" s="56" t="str">
        <f>작성용!AK785</f>
        <v>개별종목</v>
      </c>
      <c r="D788" s="57">
        <f>작성용!T785</f>
        <v>45573</v>
      </c>
      <c r="E788" s="58" t="str">
        <f>작성용!B785</f>
        <v>그린하버프라이빗에쿼티(구,스프랏코리아)</v>
      </c>
      <c r="F788" s="58" t="str">
        <f>작성용!C785</f>
        <v>재평가</v>
      </c>
      <c r="G788" s="58" t="str">
        <f>작성용!D785</f>
        <v>미캘리포니아태양광프로젝트</v>
      </c>
      <c r="H788" s="59" t="str">
        <f>작성용!E785</f>
        <v>KBP2019110006</v>
      </c>
      <c r="I788" s="58" t="str">
        <f>작성용!F785</f>
        <v>B07</v>
      </c>
      <c r="J788" s="58">
        <f>작성용!G785</f>
        <v>0</v>
      </c>
      <c r="K788" s="58" t="str">
        <f>작성용!H785</f>
        <v>-</v>
      </c>
      <c r="L788" s="58" t="str">
        <f>작성용!N785</f>
        <v>년</v>
      </c>
      <c r="M788" s="57" t="str">
        <f>작성용!U785</f>
        <v>2024.09.30</v>
      </c>
      <c r="N788" s="57">
        <f>작성용!V785</f>
        <v>45608</v>
      </c>
      <c r="O788" s="57">
        <f>작성용!W785</f>
        <v>45615</v>
      </c>
      <c r="P788" s="57" t="str">
        <f>작성용!X785</f>
        <v>-</v>
      </c>
      <c r="Q788" s="58" t="str">
        <f>작성용!AD785</f>
        <v>조현우</v>
      </c>
      <c r="R788" s="60">
        <f>작성용!AE785</f>
        <v>1</v>
      </c>
      <c r="S788" s="58" t="str">
        <f>작성용!AF785</f>
        <v>조현우</v>
      </c>
      <c r="T788" s="61" t="str">
        <f>작성용!AG785</f>
        <v>조현우</v>
      </c>
      <c r="U788" s="61" t="str">
        <f>작성용!AH785</f>
        <v>조현우</v>
      </c>
      <c r="V788" s="56">
        <f>작성용!AA785</f>
        <v>202411</v>
      </c>
      <c r="W788" s="58" t="str">
        <f>작성용!AC785</f>
        <v>[X]일반기업</v>
      </c>
      <c r="X788" s="58" t="str">
        <f>작성용!O785</f>
        <v>정병권이사</v>
      </c>
      <c r="Y788" s="58" t="str">
        <f>작성용!P785</f>
        <v>070-4324-9700</v>
      </c>
      <c r="Z788" s="58" t="str">
        <f>작성용!Q785</f>
        <v>bg.chung@sprottkorea.co.kr</v>
      </c>
      <c r="AA788" s="56" t="str">
        <f>작성용!AJ785</f>
        <v>국민연금제출</v>
      </c>
      <c r="AB788" s="56">
        <f>작성용!AB785</f>
        <v>0</v>
      </c>
    </row>
    <row r="789" spans="1:28" s="12" customFormat="1" ht="16.5" hidden="1" customHeight="1" x14ac:dyDescent="0.3">
      <c r="A789" s="54">
        <f>작성용!AL786</f>
        <v>785</v>
      </c>
      <c r="B789" s="55" t="str">
        <f>작성용!AI786</f>
        <v>-</v>
      </c>
      <c r="C789" s="56" t="str">
        <f>작성용!AK786</f>
        <v>개별종목</v>
      </c>
      <c r="D789" s="57">
        <f>작성용!T786</f>
        <v>45583</v>
      </c>
      <c r="E789" s="58" t="str">
        <f>작성용!B786</f>
        <v>유안타인베스트먼트</v>
      </c>
      <c r="F789" s="58" t="str">
        <f>작성용!C786</f>
        <v>재평가</v>
      </c>
      <c r="G789" s="58" t="str">
        <f>작성용!D786</f>
        <v>직방</v>
      </c>
      <c r="H789" s="59">
        <f>작성용!E786</f>
        <v>1101114475300</v>
      </c>
      <c r="I789" s="58" t="str">
        <f>작성용!F786</f>
        <v>A01</v>
      </c>
      <c r="J789" s="58">
        <f>작성용!G786</f>
        <v>0</v>
      </c>
      <c r="K789" s="58" t="str">
        <f>작성용!H786</f>
        <v>-</v>
      </c>
      <c r="L789" s="58" t="str">
        <f>작성용!N786</f>
        <v>년</v>
      </c>
      <c r="M789" s="57" t="str">
        <f>작성용!U786</f>
        <v>2024.06.30</v>
      </c>
      <c r="N789" s="57">
        <f>작성용!V786</f>
        <v>45610</v>
      </c>
      <c r="O789" s="57">
        <f>작성용!W786</f>
        <v>45611</v>
      </c>
      <c r="P789" s="57" t="str">
        <f>작성용!X786</f>
        <v>-</v>
      </c>
      <c r="Q789" s="58" t="str">
        <f>작성용!AD786</f>
        <v>조현우</v>
      </c>
      <c r="R789" s="60">
        <f>작성용!AE786</f>
        <v>0</v>
      </c>
      <c r="S789" s="58" t="str">
        <f>작성용!AF786</f>
        <v>조현우</v>
      </c>
      <c r="T789" s="61" t="str">
        <f>작성용!AG786</f>
        <v>조현우</v>
      </c>
      <c r="U789" s="61" t="str">
        <f>작성용!AH786</f>
        <v>조현우</v>
      </c>
      <c r="V789" s="56">
        <f>작성용!AA786</f>
        <v>202406</v>
      </c>
      <c r="W789" s="58" t="str">
        <f>작성용!AC786</f>
        <v>[E]동양그룹</v>
      </c>
      <c r="X789" s="58" t="str">
        <f>작성용!O786</f>
        <v>임희진이사</v>
      </c>
      <c r="Y789" s="58" t="str">
        <f>작성용!P786</f>
        <v>02-310-9108,010-3847-4177</v>
      </c>
      <c r="Z789" s="58" t="str">
        <f>작성용!Q786</f>
        <v xml:space="preserve">hjlim@yuantainvest.com </v>
      </c>
      <c r="AA789" s="56" t="str">
        <f>작성용!AJ786</f>
        <v>회계반영</v>
      </c>
      <c r="AB789" s="56">
        <f>작성용!AB786</f>
        <v>0</v>
      </c>
    </row>
    <row r="790" spans="1:28" s="12" customFormat="1" ht="16.5" hidden="1" customHeight="1" x14ac:dyDescent="0.3">
      <c r="A790" s="54">
        <f>작성용!AL787</f>
        <v>786</v>
      </c>
      <c r="B790" s="55" t="str">
        <f>작성용!AI787</f>
        <v>-</v>
      </c>
      <c r="C790" s="56" t="str">
        <f>작성용!AK787</f>
        <v>개별종목</v>
      </c>
      <c r="D790" s="57">
        <f>작성용!T787</f>
        <v>45583</v>
      </c>
      <c r="E790" s="58" t="str">
        <f>작성용!B787</f>
        <v>유안타인베스트먼트</v>
      </c>
      <c r="F790" s="58" t="str">
        <f>작성용!C787</f>
        <v>재평가</v>
      </c>
      <c r="G790" s="58" t="str">
        <f>작성용!D787</f>
        <v>선보공업</v>
      </c>
      <c r="H790" s="59">
        <f>작성용!E787</f>
        <v>1801110209098</v>
      </c>
      <c r="I790" s="58" t="str">
        <f>작성용!F787</f>
        <v>A01</v>
      </c>
      <c r="J790" s="58">
        <f>작성용!G787</f>
        <v>0</v>
      </c>
      <c r="K790" s="58" t="str">
        <f>작성용!H787</f>
        <v>-</v>
      </c>
      <c r="L790" s="58" t="str">
        <f>작성용!N787</f>
        <v>년</v>
      </c>
      <c r="M790" s="57" t="str">
        <f>작성용!U787</f>
        <v>2024.06.30</v>
      </c>
      <c r="N790" s="57">
        <f>작성용!V787</f>
        <v>45610</v>
      </c>
      <c r="O790" s="57">
        <f>작성용!W787</f>
        <v>45611</v>
      </c>
      <c r="P790" s="57" t="str">
        <f>작성용!X787</f>
        <v>-</v>
      </c>
      <c r="Q790" s="58" t="str">
        <f>작성용!AD787</f>
        <v>이현승</v>
      </c>
      <c r="R790" s="60">
        <f>작성용!AE787</f>
        <v>0</v>
      </c>
      <c r="S790" s="58" t="str">
        <f>작성용!AF787</f>
        <v>이현승</v>
      </c>
      <c r="T790" s="61" t="str">
        <f>작성용!AG787</f>
        <v>조현우</v>
      </c>
      <c r="U790" s="61" t="str">
        <f>작성용!AH787</f>
        <v>조현우</v>
      </c>
      <c r="V790" s="56">
        <f>작성용!AA787</f>
        <v>202406</v>
      </c>
      <c r="W790" s="58" t="str">
        <f>작성용!AC787</f>
        <v>[E]동양그룹</v>
      </c>
      <c r="X790" s="58" t="str">
        <f>작성용!O787</f>
        <v>임희진이사</v>
      </c>
      <c r="Y790" s="58" t="str">
        <f>작성용!P787</f>
        <v>02-310-9108,010-3847-4177</v>
      </c>
      <c r="Z790" s="58" t="str">
        <f>작성용!Q787</f>
        <v xml:space="preserve">hjlim@yuantainvest.com </v>
      </c>
      <c r="AA790" s="56" t="str">
        <f>작성용!AJ787</f>
        <v>회계반영</v>
      </c>
      <c r="AB790" s="56">
        <f>작성용!AB787</f>
        <v>0</v>
      </c>
    </row>
    <row r="791" spans="1:28" s="12" customFormat="1" ht="16.5" hidden="1" customHeight="1" x14ac:dyDescent="0.3">
      <c r="A791" s="54">
        <f>작성용!AL788</f>
        <v>787</v>
      </c>
      <c r="B791" s="55" t="str">
        <f>작성용!AI788</f>
        <v>-</v>
      </c>
      <c r="C791" s="56" t="str">
        <f>작성용!AK788</f>
        <v>개별종목</v>
      </c>
      <c r="D791" s="57">
        <f>작성용!T788</f>
        <v>45583</v>
      </c>
      <c r="E791" s="58" t="str">
        <f>작성용!B788</f>
        <v>유안타인베스트먼트</v>
      </c>
      <c r="F791" s="58" t="str">
        <f>작성용!C788</f>
        <v>재평가</v>
      </c>
      <c r="G791" s="58" t="str">
        <f>작성용!D788</f>
        <v>선보하이텍</v>
      </c>
      <c r="H791" s="59">
        <f>작성용!E788</f>
        <v>2054110011398</v>
      </c>
      <c r="I791" s="58" t="str">
        <f>작성용!F788</f>
        <v>A01</v>
      </c>
      <c r="J791" s="58">
        <f>작성용!G788</f>
        <v>0</v>
      </c>
      <c r="K791" s="58" t="str">
        <f>작성용!H788</f>
        <v>-</v>
      </c>
      <c r="L791" s="58" t="str">
        <f>작성용!N788</f>
        <v>년</v>
      </c>
      <c r="M791" s="57" t="str">
        <f>작성용!U788</f>
        <v>2024.06.30</v>
      </c>
      <c r="N791" s="57">
        <f>작성용!V788</f>
        <v>45610</v>
      </c>
      <c r="O791" s="57">
        <f>작성용!W788</f>
        <v>45611</v>
      </c>
      <c r="P791" s="57" t="str">
        <f>작성용!X788</f>
        <v>-</v>
      </c>
      <c r="Q791" s="58" t="str">
        <f>작성용!AD788</f>
        <v>이현승</v>
      </c>
      <c r="R791" s="60">
        <f>작성용!AE788</f>
        <v>0</v>
      </c>
      <c r="S791" s="58" t="str">
        <f>작성용!AF788</f>
        <v>이현승</v>
      </c>
      <c r="T791" s="61" t="str">
        <f>작성용!AG788</f>
        <v>조현우</v>
      </c>
      <c r="U791" s="61" t="str">
        <f>작성용!AH788</f>
        <v>조현우</v>
      </c>
      <c r="V791" s="56">
        <f>작성용!AA788</f>
        <v>202406</v>
      </c>
      <c r="W791" s="58" t="str">
        <f>작성용!AC788</f>
        <v>[E]동양그룹</v>
      </c>
      <c r="X791" s="58" t="str">
        <f>작성용!O788</f>
        <v>임희진이사</v>
      </c>
      <c r="Y791" s="58" t="str">
        <f>작성용!P788</f>
        <v>02-310-9108,010-3847-4177</v>
      </c>
      <c r="Z791" s="58" t="str">
        <f>작성용!Q788</f>
        <v xml:space="preserve">hjlim@yuantainvest.com </v>
      </c>
      <c r="AA791" s="56" t="str">
        <f>작성용!AJ788</f>
        <v>회계반영</v>
      </c>
      <c r="AB791" s="56">
        <f>작성용!AB788</f>
        <v>0</v>
      </c>
    </row>
    <row r="792" spans="1:28" s="12" customFormat="1" ht="16.5" hidden="1" customHeight="1" x14ac:dyDescent="0.3">
      <c r="A792" s="54">
        <f>작성용!AL789</f>
        <v>788</v>
      </c>
      <c r="B792" s="55" t="str">
        <f>작성용!AI789</f>
        <v>-</v>
      </c>
      <c r="C792" s="56" t="str">
        <f>작성용!AK789</f>
        <v>개별종목</v>
      </c>
      <c r="D792" s="57">
        <f>작성용!T789</f>
        <v>45583</v>
      </c>
      <c r="E792" s="58" t="str">
        <f>작성용!B789</f>
        <v>유안타인베스트먼트</v>
      </c>
      <c r="F792" s="58" t="str">
        <f>작성용!C789</f>
        <v>재평가</v>
      </c>
      <c r="G792" s="58" t="str">
        <f>작성용!D789</f>
        <v>카닥(구,카닥코퍼레이션)</v>
      </c>
      <c r="H792" s="59">
        <f>작성용!E789</f>
        <v>1311110363538</v>
      </c>
      <c r="I792" s="58" t="str">
        <f>작성용!F789</f>
        <v>A01</v>
      </c>
      <c r="J792" s="58">
        <f>작성용!G789</f>
        <v>0</v>
      </c>
      <c r="K792" s="58" t="str">
        <f>작성용!H789</f>
        <v>-</v>
      </c>
      <c r="L792" s="58" t="str">
        <f>작성용!N789</f>
        <v>년</v>
      </c>
      <c r="M792" s="57" t="str">
        <f>작성용!U789</f>
        <v>2024.06.30</v>
      </c>
      <c r="N792" s="57">
        <f>작성용!V789</f>
        <v>45610</v>
      </c>
      <c r="O792" s="57">
        <f>작성용!W789</f>
        <v>45611</v>
      </c>
      <c r="P792" s="57" t="str">
        <f>작성용!X789</f>
        <v>-</v>
      </c>
      <c r="Q792" s="58" t="str">
        <f>작성용!AD789</f>
        <v>김영하</v>
      </c>
      <c r="R792" s="60">
        <f>작성용!AE789</f>
        <v>0</v>
      </c>
      <c r="S792" s="58" t="str">
        <f>작성용!AF789</f>
        <v>김영하</v>
      </c>
      <c r="T792" s="61" t="str">
        <f>작성용!AG789</f>
        <v>조현우</v>
      </c>
      <c r="U792" s="61" t="str">
        <f>작성용!AH789</f>
        <v>조현우</v>
      </c>
      <c r="V792" s="56">
        <f>작성용!AA789</f>
        <v>202406</v>
      </c>
      <c r="W792" s="58" t="str">
        <f>작성용!AC789</f>
        <v>[E]동양그룹</v>
      </c>
      <c r="X792" s="58" t="str">
        <f>작성용!O789</f>
        <v>임희진이사</v>
      </c>
      <c r="Y792" s="58" t="str">
        <f>작성용!P789</f>
        <v>02-310-9108,010-3847-4177</v>
      </c>
      <c r="Z792" s="58" t="str">
        <f>작성용!Q789</f>
        <v xml:space="preserve">hjlim@yuantainvest.com </v>
      </c>
      <c r="AA792" s="56" t="str">
        <f>작성용!AJ789</f>
        <v>회계반영</v>
      </c>
      <c r="AB792" s="56">
        <f>작성용!AB789</f>
        <v>0</v>
      </c>
    </row>
    <row r="793" spans="1:28" s="12" customFormat="1" ht="16.5" hidden="1" customHeight="1" x14ac:dyDescent="0.3">
      <c r="A793" s="54">
        <f>작성용!AL790</f>
        <v>789</v>
      </c>
      <c r="B793" s="55" t="str">
        <f>작성용!AI790</f>
        <v>-</v>
      </c>
      <c r="C793" s="56" t="str">
        <f>작성용!AK790</f>
        <v>개별종목</v>
      </c>
      <c r="D793" s="57">
        <f>작성용!T790</f>
        <v>45583</v>
      </c>
      <c r="E793" s="58" t="str">
        <f>작성용!B790</f>
        <v>유안타인베스트먼트</v>
      </c>
      <c r="F793" s="58" t="str">
        <f>작성용!C790</f>
        <v>재평가</v>
      </c>
      <c r="G793" s="58" t="str">
        <f>작성용!D790</f>
        <v>카닥(구,카닥코퍼레이션)</v>
      </c>
      <c r="H793" s="59">
        <f>작성용!E790</f>
        <v>1311110363538</v>
      </c>
      <c r="I793" s="58" t="str">
        <f>작성용!F790</f>
        <v>A07</v>
      </c>
      <c r="J793" s="58">
        <f>작성용!G790</f>
        <v>0</v>
      </c>
      <c r="K793" s="58" t="str">
        <f>작성용!H790</f>
        <v>-</v>
      </c>
      <c r="L793" s="58" t="str">
        <f>작성용!N790</f>
        <v>년</v>
      </c>
      <c r="M793" s="57" t="str">
        <f>작성용!U790</f>
        <v>2024.06.30</v>
      </c>
      <c r="N793" s="57">
        <f>작성용!V790</f>
        <v>45610</v>
      </c>
      <c r="O793" s="57">
        <f>작성용!W790</f>
        <v>45611</v>
      </c>
      <c r="P793" s="57" t="str">
        <f>작성용!X790</f>
        <v>-</v>
      </c>
      <c r="Q793" s="58" t="str">
        <f>작성용!AD790</f>
        <v>김영하</v>
      </c>
      <c r="R793" s="60">
        <f>작성용!AE790</f>
        <v>0</v>
      </c>
      <c r="S793" s="58" t="str">
        <f>작성용!AF790</f>
        <v>김영하</v>
      </c>
      <c r="T793" s="61" t="str">
        <f>작성용!AG790</f>
        <v>조현우</v>
      </c>
      <c r="U793" s="61" t="str">
        <f>작성용!AH790</f>
        <v>조현우</v>
      </c>
      <c r="V793" s="56">
        <f>작성용!AA790</f>
        <v>202406</v>
      </c>
      <c r="W793" s="58" t="str">
        <f>작성용!AC790</f>
        <v>[E]동양그룹</v>
      </c>
      <c r="X793" s="58" t="str">
        <f>작성용!O790</f>
        <v>임희진이사</v>
      </c>
      <c r="Y793" s="58" t="str">
        <f>작성용!P790</f>
        <v>02-310-9108,010-3847-4177</v>
      </c>
      <c r="Z793" s="58" t="str">
        <f>작성용!Q790</f>
        <v xml:space="preserve">hjlim@yuantainvest.com </v>
      </c>
      <c r="AA793" s="56" t="str">
        <f>작성용!AJ790</f>
        <v>회계반영</v>
      </c>
      <c r="AB793" s="56">
        <f>작성용!AB790</f>
        <v>0</v>
      </c>
    </row>
    <row r="794" spans="1:28" s="12" customFormat="1" ht="16.5" hidden="1" customHeight="1" x14ac:dyDescent="0.3">
      <c r="A794" s="54">
        <f>작성용!AL791</f>
        <v>790</v>
      </c>
      <c r="B794" s="55" t="str">
        <f>작성용!AI791</f>
        <v>-</v>
      </c>
      <c r="C794" s="56" t="str">
        <f>작성용!AK791</f>
        <v>개별종목</v>
      </c>
      <c r="D794" s="57">
        <f>작성용!T791</f>
        <v>45583</v>
      </c>
      <c r="E794" s="58" t="str">
        <f>작성용!B791</f>
        <v>유안타인베스트먼트</v>
      </c>
      <c r="F794" s="58" t="str">
        <f>작성용!C791</f>
        <v>재평가</v>
      </c>
      <c r="G794" s="58" t="str">
        <f>작성용!D791</f>
        <v>Tiki Global Pte.Ltd</v>
      </c>
      <c r="H794" s="59" t="str">
        <f>작성용!E791</f>
        <v>KBP2021120262</v>
      </c>
      <c r="I794" s="58" t="str">
        <f>작성용!F791</f>
        <v>A01</v>
      </c>
      <c r="J794" s="58">
        <f>작성용!G791</f>
        <v>0</v>
      </c>
      <c r="K794" s="58" t="str">
        <f>작성용!H791</f>
        <v>-</v>
      </c>
      <c r="L794" s="58" t="str">
        <f>작성용!N791</f>
        <v>년</v>
      </c>
      <c r="M794" s="57" t="str">
        <f>작성용!U791</f>
        <v>2024.06.30</v>
      </c>
      <c r="N794" s="57">
        <f>작성용!V791</f>
        <v>45610</v>
      </c>
      <c r="O794" s="57">
        <f>작성용!W791</f>
        <v>45611</v>
      </c>
      <c r="P794" s="57" t="str">
        <f>작성용!X791</f>
        <v>-</v>
      </c>
      <c r="Q794" s="58" t="str">
        <f>작성용!AD791</f>
        <v>이문수</v>
      </c>
      <c r="R794" s="60">
        <f>작성용!AE791</f>
        <v>0</v>
      </c>
      <c r="S794" s="58" t="str">
        <f>작성용!AF791</f>
        <v>윤현빈</v>
      </c>
      <c r="T794" s="61" t="str">
        <f>작성용!AG791</f>
        <v>조현우</v>
      </c>
      <c r="U794" s="61" t="str">
        <f>작성용!AH791</f>
        <v>조현우</v>
      </c>
      <c r="V794" s="56">
        <f>작성용!AA791</f>
        <v>202406</v>
      </c>
      <c r="W794" s="58" t="str">
        <f>작성용!AC791</f>
        <v>[E]동양그룹</v>
      </c>
      <c r="X794" s="58" t="str">
        <f>작성용!O791</f>
        <v>임희진이사</v>
      </c>
      <c r="Y794" s="58" t="str">
        <f>작성용!P791</f>
        <v>02-310-9108,010-3847-4177</v>
      </c>
      <c r="Z794" s="58" t="str">
        <f>작성용!Q791</f>
        <v xml:space="preserve">hjlim@yuantainvest.com </v>
      </c>
      <c r="AA794" s="56" t="str">
        <f>작성용!AJ791</f>
        <v>회계반영</v>
      </c>
      <c r="AB794" s="56">
        <f>작성용!AB791</f>
        <v>0</v>
      </c>
    </row>
    <row r="795" spans="1:28" s="12" customFormat="1" ht="16.5" hidden="1" customHeight="1" x14ac:dyDescent="0.3">
      <c r="A795" s="54">
        <f>작성용!AL792</f>
        <v>791</v>
      </c>
      <c r="B795" s="55" t="str">
        <f>작성용!AI792</f>
        <v>-</v>
      </c>
      <c r="C795" s="56" t="str">
        <f>작성용!AK792</f>
        <v>개별종목</v>
      </c>
      <c r="D795" s="57">
        <f>작성용!T792</f>
        <v>45583</v>
      </c>
      <c r="E795" s="58" t="str">
        <f>작성용!B792</f>
        <v>유안타인베스트먼트</v>
      </c>
      <c r="F795" s="58" t="str">
        <f>작성용!C792</f>
        <v>재평가</v>
      </c>
      <c r="G795" s="58" t="str">
        <f>작성용!D792</f>
        <v>Tiki Global Pte.Ltd</v>
      </c>
      <c r="H795" s="59" t="str">
        <f>작성용!E792</f>
        <v>KBP2021120262</v>
      </c>
      <c r="I795" s="58" t="str">
        <f>작성용!F792</f>
        <v>A05</v>
      </c>
      <c r="J795" s="58">
        <f>작성용!G792</f>
        <v>0</v>
      </c>
      <c r="K795" s="58" t="str">
        <f>작성용!H792</f>
        <v>-</v>
      </c>
      <c r="L795" s="58" t="str">
        <f>작성용!N792</f>
        <v>년</v>
      </c>
      <c r="M795" s="57" t="str">
        <f>작성용!U792</f>
        <v>2024.06.30</v>
      </c>
      <c r="N795" s="57">
        <f>작성용!V792</f>
        <v>45610</v>
      </c>
      <c r="O795" s="57">
        <f>작성용!W792</f>
        <v>45611</v>
      </c>
      <c r="P795" s="57" t="str">
        <f>작성용!X792</f>
        <v>-</v>
      </c>
      <c r="Q795" s="58" t="str">
        <f>작성용!AD792</f>
        <v>이문수</v>
      </c>
      <c r="R795" s="60">
        <f>작성용!AE792</f>
        <v>0</v>
      </c>
      <c r="S795" s="58" t="str">
        <f>작성용!AF792</f>
        <v>윤현빈</v>
      </c>
      <c r="T795" s="61" t="str">
        <f>작성용!AG792</f>
        <v>조현우</v>
      </c>
      <c r="U795" s="61" t="str">
        <f>작성용!AH792</f>
        <v>조현우</v>
      </c>
      <c r="V795" s="56">
        <f>작성용!AA792</f>
        <v>202406</v>
      </c>
      <c r="W795" s="58" t="str">
        <f>작성용!AC792</f>
        <v>[E]동양그룹</v>
      </c>
      <c r="X795" s="58" t="str">
        <f>작성용!O792</f>
        <v>임희진이사</v>
      </c>
      <c r="Y795" s="58" t="str">
        <f>작성용!P792</f>
        <v>02-310-9108,010-3847-4177</v>
      </c>
      <c r="Z795" s="58" t="str">
        <f>작성용!Q792</f>
        <v xml:space="preserve">hjlim@yuantainvest.com </v>
      </c>
      <c r="AA795" s="56" t="str">
        <f>작성용!AJ792</f>
        <v>회계반영</v>
      </c>
      <c r="AB795" s="56">
        <f>작성용!AB792</f>
        <v>0</v>
      </c>
    </row>
    <row r="796" spans="1:28" s="12" customFormat="1" ht="16.5" hidden="1" customHeight="1" x14ac:dyDescent="0.3">
      <c r="A796" s="54">
        <f>작성용!AL793</f>
        <v>792</v>
      </c>
      <c r="B796" s="55" t="str">
        <f>작성용!AI793</f>
        <v>-</v>
      </c>
      <c r="C796" s="56" t="str">
        <f>작성용!AK793</f>
        <v>개별종목</v>
      </c>
      <c r="D796" s="57">
        <f>작성용!T793</f>
        <v>45583</v>
      </c>
      <c r="E796" s="58" t="str">
        <f>작성용!B793</f>
        <v>유안타인베스트먼트</v>
      </c>
      <c r="F796" s="58" t="str">
        <f>작성용!C793</f>
        <v>재평가</v>
      </c>
      <c r="G796" s="58" t="str">
        <f>작성용!D793</f>
        <v>파스토</v>
      </c>
      <c r="H796" s="59">
        <f>작성용!E793</f>
        <v>1244110207010</v>
      </c>
      <c r="I796" s="58" t="str">
        <f>작성용!F793</f>
        <v>A01</v>
      </c>
      <c r="J796" s="58">
        <f>작성용!G793</f>
        <v>0</v>
      </c>
      <c r="K796" s="58" t="str">
        <f>작성용!H793</f>
        <v>-</v>
      </c>
      <c r="L796" s="58" t="str">
        <f>작성용!N793</f>
        <v>년</v>
      </c>
      <c r="M796" s="57" t="str">
        <f>작성용!U793</f>
        <v>2024.06.30</v>
      </c>
      <c r="N796" s="57">
        <f>작성용!V793</f>
        <v>45610</v>
      </c>
      <c r="O796" s="57">
        <f>작성용!W793</f>
        <v>45611</v>
      </c>
      <c r="P796" s="57" t="str">
        <f>작성용!X793</f>
        <v>-</v>
      </c>
      <c r="Q796" s="58" t="str">
        <f>작성용!AD793</f>
        <v>윤광일</v>
      </c>
      <c r="R796" s="60">
        <f>작성용!AE793</f>
        <v>0</v>
      </c>
      <c r="S796" s="58" t="str">
        <f>작성용!AF793</f>
        <v>김범준</v>
      </c>
      <c r="T796" s="61" t="str">
        <f>작성용!AG793</f>
        <v>조현우</v>
      </c>
      <c r="U796" s="61" t="str">
        <f>작성용!AH793</f>
        <v>조현우</v>
      </c>
      <c r="V796" s="56">
        <f>작성용!AA793</f>
        <v>202406</v>
      </c>
      <c r="W796" s="58" t="str">
        <f>작성용!AC793</f>
        <v>[E]동양그룹</v>
      </c>
      <c r="X796" s="58" t="str">
        <f>작성용!O793</f>
        <v>임희진이사</v>
      </c>
      <c r="Y796" s="58" t="str">
        <f>작성용!P793</f>
        <v>02-310-9108,010-3847-4177</v>
      </c>
      <c r="Z796" s="58" t="str">
        <f>작성용!Q793</f>
        <v xml:space="preserve">hjlim@yuantainvest.com </v>
      </c>
      <c r="AA796" s="56" t="str">
        <f>작성용!AJ793</f>
        <v>회계반영</v>
      </c>
      <c r="AB796" s="56">
        <f>작성용!AB793</f>
        <v>0</v>
      </c>
    </row>
    <row r="797" spans="1:28" s="12" customFormat="1" ht="16.5" hidden="1" customHeight="1" x14ac:dyDescent="0.3">
      <c r="A797" s="54">
        <f>작성용!AL794</f>
        <v>793</v>
      </c>
      <c r="B797" s="55" t="str">
        <f>작성용!AI794</f>
        <v>-</v>
      </c>
      <c r="C797" s="56" t="str">
        <f>작성용!AK794</f>
        <v>개별종목</v>
      </c>
      <c r="D797" s="57">
        <f>작성용!T794</f>
        <v>45583</v>
      </c>
      <c r="E797" s="58" t="str">
        <f>작성용!B794</f>
        <v>유안타인베스트먼트</v>
      </c>
      <c r="F797" s="58" t="str">
        <f>작성용!C794</f>
        <v>재평가</v>
      </c>
      <c r="G797" s="58" t="str">
        <f>작성용!D794</f>
        <v>파스토</v>
      </c>
      <c r="H797" s="59">
        <f>작성용!E794</f>
        <v>1244110207010</v>
      </c>
      <c r="I797" s="58" t="str">
        <f>작성용!F794</f>
        <v>A07</v>
      </c>
      <c r="J797" s="58">
        <f>작성용!G794</f>
        <v>0</v>
      </c>
      <c r="K797" s="58" t="str">
        <f>작성용!H794</f>
        <v>-</v>
      </c>
      <c r="L797" s="58" t="str">
        <f>작성용!N794</f>
        <v>년</v>
      </c>
      <c r="M797" s="57" t="str">
        <f>작성용!U794</f>
        <v>2024.06.30</v>
      </c>
      <c r="N797" s="57">
        <f>작성용!V794</f>
        <v>45610</v>
      </c>
      <c r="O797" s="57">
        <f>작성용!W794</f>
        <v>45611</v>
      </c>
      <c r="P797" s="57" t="str">
        <f>작성용!X794</f>
        <v>-</v>
      </c>
      <c r="Q797" s="58" t="str">
        <f>작성용!AD794</f>
        <v>윤광일</v>
      </c>
      <c r="R797" s="60">
        <f>작성용!AE794</f>
        <v>0</v>
      </c>
      <c r="S797" s="58" t="str">
        <f>작성용!AF794</f>
        <v>김범준</v>
      </c>
      <c r="T797" s="61" t="str">
        <f>작성용!AG794</f>
        <v>조현우</v>
      </c>
      <c r="U797" s="61" t="str">
        <f>작성용!AH794</f>
        <v>조현우</v>
      </c>
      <c r="V797" s="56">
        <f>작성용!AA794</f>
        <v>202406</v>
      </c>
      <c r="W797" s="58" t="str">
        <f>작성용!AC794</f>
        <v>[E]동양그룹</v>
      </c>
      <c r="X797" s="58" t="str">
        <f>작성용!O794</f>
        <v>임희진이사</v>
      </c>
      <c r="Y797" s="58" t="str">
        <f>작성용!P794</f>
        <v>02-310-9108,010-3847-4177</v>
      </c>
      <c r="Z797" s="58" t="str">
        <f>작성용!Q794</f>
        <v xml:space="preserve">hjlim@yuantainvest.com </v>
      </c>
      <c r="AA797" s="56" t="str">
        <f>작성용!AJ794</f>
        <v>회계반영</v>
      </c>
      <c r="AB797" s="56">
        <f>작성용!AB794</f>
        <v>0</v>
      </c>
    </row>
    <row r="798" spans="1:28" s="12" customFormat="1" ht="16.5" hidden="1" customHeight="1" x14ac:dyDescent="0.3">
      <c r="A798" s="54">
        <f>작성용!AL795</f>
        <v>794</v>
      </c>
      <c r="B798" s="55" t="str">
        <f>작성용!AI795</f>
        <v>-</v>
      </c>
      <c r="C798" s="56" t="str">
        <f>작성용!AK795</f>
        <v>개별종목</v>
      </c>
      <c r="D798" s="57">
        <f>작성용!T795</f>
        <v>45583</v>
      </c>
      <c r="E798" s="58" t="str">
        <f>작성용!B795</f>
        <v>유안타인베스트먼트</v>
      </c>
      <c r="F798" s="58" t="str">
        <f>작성용!C795</f>
        <v>재평가</v>
      </c>
      <c r="G798" s="58" t="str">
        <f>작성용!D795</f>
        <v>파스토</v>
      </c>
      <c r="H798" s="59">
        <f>작성용!E795</f>
        <v>1244110207010</v>
      </c>
      <c r="I798" s="58" t="str">
        <f>작성용!F795</f>
        <v>A05</v>
      </c>
      <c r="J798" s="58">
        <f>작성용!G795</f>
        <v>0</v>
      </c>
      <c r="K798" s="58" t="str">
        <f>작성용!H795</f>
        <v>-</v>
      </c>
      <c r="L798" s="58" t="str">
        <f>작성용!N795</f>
        <v>년</v>
      </c>
      <c r="M798" s="57" t="str">
        <f>작성용!U795</f>
        <v>2024.06.30</v>
      </c>
      <c r="N798" s="57">
        <f>작성용!V795</f>
        <v>45610</v>
      </c>
      <c r="O798" s="57">
        <f>작성용!W795</f>
        <v>45611</v>
      </c>
      <c r="P798" s="57" t="str">
        <f>작성용!X795</f>
        <v>-</v>
      </c>
      <c r="Q798" s="58" t="str">
        <f>작성용!AD795</f>
        <v>윤광일</v>
      </c>
      <c r="R798" s="60">
        <f>작성용!AE795</f>
        <v>0</v>
      </c>
      <c r="S798" s="58" t="str">
        <f>작성용!AF795</f>
        <v>김범준</v>
      </c>
      <c r="T798" s="61" t="str">
        <f>작성용!AG795</f>
        <v>조현우</v>
      </c>
      <c r="U798" s="61" t="str">
        <f>작성용!AH795</f>
        <v>조현우</v>
      </c>
      <c r="V798" s="56">
        <f>작성용!AA795</f>
        <v>202406</v>
      </c>
      <c r="W798" s="58" t="str">
        <f>작성용!AC795</f>
        <v>[E]동양그룹</v>
      </c>
      <c r="X798" s="58" t="str">
        <f>작성용!O795</f>
        <v>임희진이사</v>
      </c>
      <c r="Y798" s="58" t="str">
        <f>작성용!P795</f>
        <v>02-310-9108,010-3847-4177</v>
      </c>
      <c r="Z798" s="58" t="str">
        <f>작성용!Q795</f>
        <v xml:space="preserve">hjlim@yuantainvest.com </v>
      </c>
      <c r="AA798" s="56" t="str">
        <f>작성용!AJ795</f>
        <v>회계반영</v>
      </c>
      <c r="AB798" s="56">
        <f>작성용!AB795</f>
        <v>0</v>
      </c>
    </row>
    <row r="799" spans="1:28" s="12" customFormat="1" ht="16.5" hidden="1" customHeight="1" x14ac:dyDescent="0.3">
      <c r="A799" s="54">
        <f>작성용!AL796</f>
        <v>795</v>
      </c>
      <c r="B799" s="55" t="str">
        <f>작성용!AI796</f>
        <v>-</v>
      </c>
      <c r="C799" s="56" t="str">
        <f>작성용!AK796</f>
        <v>개별종목</v>
      </c>
      <c r="D799" s="57">
        <f>작성용!T796</f>
        <v>45583</v>
      </c>
      <c r="E799" s="58" t="str">
        <f>작성용!B796</f>
        <v>유안타인베스트먼트</v>
      </c>
      <c r="F799" s="58" t="str">
        <f>작성용!C796</f>
        <v>재평가</v>
      </c>
      <c r="G799" s="58" t="str">
        <f>작성용!D796</f>
        <v>직방</v>
      </c>
      <c r="H799" s="59">
        <f>작성용!E796</f>
        <v>1101114475300</v>
      </c>
      <c r="I799" s="58" t="str">
        <f>작성용!F796</f>
        <v>A01</v>
      </c>
      <c r="J799" s="58">
        <f>작성용!G796</f>
        <v>0</v>
      </c>
      <c r="K799" s="58" t="str">
        <f>작성용!H796</f>
        <v>-</v>
      </c>
      <c r="L799" s="58" t="str">
        <f>작성용!N796</f>
        <v>년</v>
      </c>
      <c r="M799" s="57" t="str">
        <f>작성용!U796</f>
        <v>2024.09.30</v>
      </c>
      <c r="N799" s="57">
        <f>작성용!V796</f>
        <v>45610</v>
      </c>
      <c r="O799" s="57">
        <f>작성용!W796</f>
        <v>45611</v>
      </c>
      <c r="P799" s="57" t="str">
        <f>작성용!X796</f>
        <v>-</v>
      </c>
      <c r="Q799" s="58" t="str">
        <f>작성용!AD796</f>
        <v>조현우</v>
      </c>
      <c r="R799" s="60">
        <f>작성용!AE796</f>
        <v>0</v>
      </c>
      <c r="S799" s="58" t="str">
        <f>작성용!AF796</f>
        <v>조현우</v>
      </c>
      <c r="T799" s="61" t="str">
        <f>작성용!AG796</f>
        <v>조현우</v>
      </c>
      <c r="U799" s="61" t="str">
        <f>작성용!AH796</f>
        <v>조현우</v>
      </c>
      <c r="V799" s="56">
        <f>작성용!AA796</f>
        <v>202411</v>
      </c>
      <c r="W799" s="58" t="str">
        <f>작성용!AC796</f>
        <v>[E]동양그룹</v>
      </c>
      <c r="X799" s="58" t="str">
        <f>작성용!O796</f>
        <v>임희진이사</v>
      </c>
      <c r="Y799" s="58" t="str">
        <f>작성용!P796</f>
        <v>02-310-9108,010-3847-4177</v>
      </c>
      <c r="Z799" s="58" t="str">
        <f>작성용!Q796</f>
        <v xml:space="preserve">hjlim@yuantainvest.com </v>
      </c>
      <c r="AA799" s="56" t="str">
        <f>작성용!AJ796</f>
        <v>국민연금제출</v>
      </c>
      <c r="AB799" s="56">
        <f>작성용!AB796</f>
        <v>0</v>
      </c>
    </row>
    <row r="800" spans="1:28" s="12" customFormat="1" ht="16.5" hidden="1" customHeight="1" x14ac:dyDescent="0.3">
      <c r="A800" s="54">
        <f>작성용!AL797</f>
        <v>796</v>
      </c>
      <c r="B800" s="55" t="str">
        <f>작성용!AI797</f>
        <v>-</v>
      </c>
      <c r="C800" s="56" t="str">
        <f>작성용!AK797</f>
        <v>개별종목</v>
      </c>
      <c r="D800" s="57">
        <f>작성용!T797</f>
        <v>45583</v>
      </c>
      <c r="E800" s="58" t="str">
        <f>작성용!B797</f>
        <v>유안타인베스트먼트</v>
      </c>
      <c r="F800" s="58" t="str">
        <f>작성용!C797</f>
        <v>재평가</v>
      </c>
      <c r="G800" s="58" t="str">
        <f>작성용!D797</f>
        <v>선보공업</v>
      </c>
      <c r="H800" s="59">
        <f>작성용!E797</f>
        <v>1801110209098</v>
      </c>
      <c r="I800" s="58" t="str">
        <f>작성용!F797</f>
        <v>A01</v>
      </c>
      <c r="J800" s="58">
        <f>작성용!G797</f>
        <v>0</v>
      </c>
      <c r="K800" s="58" t="str">
        <f>작성용!H797</f>
        <v>-</v>
      </c>
      <c r="L800" s="58" t="str">
        <f>작성용!N797</f>
        <v>년</v>
      </c>
      <c r="M800" s="57" t="str">
        <f>작성용!U797</f>
        <v>2024.09.30</v>
      </c>
      <c r="N800" s="57">
        <f>작성용!V797</f>
        <v>45610</v>
      </c>
      <c r="O800" s="57">
        <f>작성용!W797</f>
        <v>45611</v>
      </c>
      <c r="P800" s="57" t="str">
        <f>작성용!X797</f>
        <v>-</v>
      </c>
      <c r="Q800" s="58" t="str">
        <f>작성용!AD797</f>
        <v>이현승</v>
      </c>
      <c r="R800" s="60">
        <f>작성용!AE797</f>
        <v>1.5</v>
      </c>
      <c r="S800" s="58" t="str">
        <f>작성용!AF797</f>
        <v>이현승</v>
      </c>
      <c r="T800" s="61" t="str">
        <f>작성용!AG797</f>
        <v>조현우</v>
      </c>
      <c r="U800" s="61" t="str">
        <f>작성용!AH797</f>
        <v>조현우</v>
      </c>
      <c r="V800" s="56">
        <f>작성용!AA797</f>
        <v>202411</v>
      </c>
      <c r="W800" s="58" t="str">
        <f>작성용!AC797</f>
        <v>[E]동양그룹</v>
      </c>
      <c r="X800" s="58" t="str">
        <f>작성용!O797</f>
        <v>임희진이사</v>
      </c>
      <c r="Y800" s="58" t="str">
        <f>작성용!P797</f>
        <v>02-310-9108,010-3847-4177</v>
      </c>
      <c r="Z800" s="58" t="str">
        <f>작성용!Q797</f>
        <v xml:space="preserve">hjlim@yuantainvest.com </v>
      </c>
      <c r="AA800" s="56" t="str">
        <f>작성용!AJ797</f>
        <v>국민연금제출</v>
      </c>
      <c r="AB800" s="56">
        <f>작성용!AB797</f>
        <v>0</v>
      </c>
    </row>
    <row r="801" spans="1:28" s="12" customFormat="1" ht="16.5" hidden="1" customHeight="1" x14ac:dyDescent="0.3">
      <c r="A801" s="54">
        <f>작성용!AL798</f>
        <v>797</v>
      </c>
      <c r="B801" s="55" t="str">
        <f>작성용!AI798</f>
        <v>-</v>
      </c>
      <c r="C801" s="56" t="str">
        <f>작성용!AK798</f>
        <v>개별종목</v>
      </c>
      <c r="D801" s="57">
        <f>작성용!T798</f>
        <v>45583</v>
      </c>
      <c r="E801" s="58" t="str">
        <f>작성용!B798</f>
        <v>유안타인베스트먼트</v>
      </c>
      <c r="F801" s="58" t="str">
        <f>작성용!C798</f>
        <v>재평가</v>
      </c>
      <c r="G801" s="58" t="str">
        <f>작성용!D798</f>
        <v>선보하이텍</v>
      </c>
      <c r="H801" s="59">
        <f>작성용!E798</f>
        <v>2054110011398</v>
      </c>
      <c r="I801" s="58" t="str">
        <f>작성용!F798</f>
        <v>A01</v>
      </c>
      <c r="J801" s="58">
        <f>작성용!G798</f>
        <v>0</v>
      </c>
      <c r="K801" s="58" t="str">
        <f>작성용!H798</f>
        <v>-</v>
      </c>
      <c r="L801" s="58" t="str">
        <f>작성용!N798</f>
        <v>년</v>
      </c>
      <c r="M801" s="57" t="str">
        <f>작성용!U798</f>
        <v>2024.09.30</v>
      </c>
      <c r="N801" s="57">
        <f>작성용!V798</f>
        <v>45610</v>
      </c>
      <c r="O801" s="57">
        <f>작성용!W798</f>
        <v>45611</v>
      </c>
      <c r="P801" s="57" t="str">
        <f>작성용!X798</f>
        <v>-</v>
      </c>
      <c r="Q801" s="58" t="str">
        <f>작성용!AD798</f>
        <v>이현승</v>
      </c>
      <c r="R801" s="60">
        <f>작성용!AE798</f>
        <v>1.5</v>
      </c>
      <c r="S801" s="58" t="str">
        <f>작성용!AF798</f>
        <v>이현승</v>
      </c>
      <c r="T801" s="61" t="str">
        <f>작성용!AG798</f>
        <v>조현우</v>
      </c>
      <c r="U801" s="61" t="str">
        <f>작성용!AH798</f>
        <v>조현우</v>
      </c>
      <c r="V801" s="56">
        <f>작성용!AA798</f>
        <v>202411</v>
      </c>
      <c r="W801" s="58" t="str">
        <f>작성용!AC798</f>
        <v>[E]동양그룹</v>
      </c>
      <c r="X801" s="58" t="str">
        <f>작성용!O798</f>
        <v>임희진이사</v>
      </c>
      <c r="Y801" s="58" t="str">
        <f>작성용!P798</f>
        <v>02-310-9108,010-3847-4177</v>
      </c>
      <c r="Z801" s="58" t="str">
        <f>작성용!Q798</f>
        <v xml:space="preserve">hjlim@yuantainvest.com </v>
      </c>
      <c r="AA801" s="56" t="str">
        <f>작성용!AJ798</f>
        <v>국민연금제출</v>
      </c>
      <c r="AB801" s="56">
        <f>작성용!AB798</f>
        <v>0</v>
      </c>
    </row>
    <row r="802" spans="1:28" s="12" customFormat="1" ht="16.5" hidden="1" customHeight="1" x14ac:dyDescent="0.3">
      <c r="A802" s="54">
        <f>작성용!AL799</f>
        <v>798</v>
      </c>
      <c r="B802" s="55" t="str">
        <f>작성용!AI799</f>
        <v>-</v>
      </c>
      <c r="C802" s="56" t="str">
        <f>작성용!AK799</f>
        <v>개별종목</v>
      </c>
      <c r="D802" s="57">
        <f>작성용!T799</f>
        <v>45583</v>
      </c>
      <c r="E802" s="58" t="str">
        <f>작성용!B799</f>
        <v>유안타인베스트먼트</v>
      </c>
      <c r="F802" s="58" t="str">
        <f>작성용!C799</f>
        <v>재평가</v>
      </c>
      <c r="G802" s="58" t="str">
        <f>작성용!D799</f>
        <v>카닥(구,카닥코퍼레이션)</v>
      </c>
      <c r="H802" s="59">
        <f>작성용!E799</f>
        <v>1311110363538</v>
      </c>
      <c r="I802" s="58" t="str">
        <f>작성용!F799</f>
        <v>A01</v>
      </c>
      <c r="J802" s="58">
        <f>작성용!G799</f>
        <v>0</v>
      </c>
      <c r="K802" s="58" t="str">
        <f>작성용!H799</f>
        <v>-</v>
      </c>
      <c r="L802" s="58" t="str">
        <f>작성용!N799</f>
        <v>년</v>
      </c>
      <c r="M802" s="57" t="str">
        <f>작성용!U799</f>
        <v>2024.09.30</v>
      </c>
      <c r="N802" s="57">
        <f>작성용!V799</f>
        <v>45610</v>
      </c>
      <c r="O802" s="57">
        <f>작성용!W799</f>
        <v>45611</v>
      </c>
      <c r="P802" s="57" t="str">
        <f>작성용!X799</f>
        <v>-</v>
      </c>
      <c r="Q802" s="58" t="str">
        <f>작성용!AD799</f>
        <v>김영하</v>
      </c>
      <c r="R802" s="60">
        <f>작성용!AE799</f>
        <v>1.5</v>
      </c>
      <c r="S802" s="58" t="str">
        <f>작성용!AF799</f>
        <v>김영하</v>
      </c>
      <c r="T802" s="61" t="str">
        <f>작성용!AG799</f>
        <v>조현우</v>
      </c>
      <c r="U802" s="61" t="str">
        <f>작성용!AH799</f>
        <v>조현우</v>
      </c>
      <c r="V802" s="56">
        <f>작성용!AA799</f>
        <v>202411</v>
      </c>
      <c r="W802" s="58" t="str">
        <f>작성용!AC799</f>
        <v>[E]동양그룹</v>
      </c>
      <c r="X802" s="58" t="str">
        <f>작성용!O799</f>
        <v>임희진이사</v>
      </c>
      <c r="Y802" s="58" t="str">
        <f>작성용!P799</f>
        <v>02-310-9108,010-3847-4177</v>
      </c>
      <c r="Z802" s="58" t="str">
        <f>작성용!Q799</f>
        <v xml:space="preserve">hjlim@yuantainvest.com </v>
      </c>
      <c r="AA802" s="56" t="str">
        <f>작성용!AJ799</f>
        <v>국민연금제출</v>
      </c>
      <c r="AB802" s="56">
        <f>작성용!AB799</f>
        <v>0</v>
      </c>
    </row>
    <row r="803" spans="1:28" s="12" customFormat="1" ht="16.5" hidden="1" customHeight="1" x14ac:dyDescent="0.3">
      <c r="A803" s="54">
        <f>작성용!AL800</f>
        <v>799</v>
      </c>
      <c r="B803" s="55" t="str">
        <f>작성용!AI800</f>
        <v>-</v>
      </c>
      <c r="C803" s="56" t="str">
        <f>작성용!AK800</f>
        <v>개별종목</v>
      </c>
      <c r="D803" s="57">
        <f>작성용!T800</f>
        <v>45583</v>
      </c>
      <c r="E803" s="58" t="str">
        <f>작성용!B800</f>
        <v>유안타인베스트먼트</v>
      </c>
      <c r="F803" s="58" t="str">
        <f>작성용!C800</f>
        <v>재평가</v>
      </c>
      <c r="G803" s="58" t="str">
        <f>작성용!D800</f>
        <v>카닥(구,카닥코퍼레이션)</v>
      </c>
      <c r="H803" s="59">
        <f>작성용!E800</f>
        <v>1311110363538</v>
      </c>
      <c r="I803" s="58" t="str">
        <f>작성용!F800</f>
        <v>A07</v>
      </c>
      <c r="J803" s="58">
        <f>작성용!G800</f>
        <v>0</v>
      </c>
      <c r="K803" s="58" t="str">
        <f>작성용!H800</f>
        <v>-</v>
      </c>
      <c r="L803" s="58" t="str">
        <f>작성용!N800</f>
        <v>년</v>
      </c>
      <c r="M803" s="57" t="str">
        <f>작성용!U800</f>
        <v>2024.09.30</v>
      </c>
      <c r="N803" s="57">
        <f>작성용!V800</f>
        <v>45610</v>
      </c>
      <c r="O803" s="57">
        <f>작성용!W800</f>
        <v>45611</v>
      </c>
      <c r="P803" s="57" t="str">
        <f>작성용!X800</f>
        <v>-</v>
      </c>
      <c r="Q803" s="58" t="str">
        <f>작성용!AD800</f>
        <v>김영하</v>
      </c>
      <c r="R803" s="60">
        <f>작성용!AE800</f>
        <v>0</v>
      </c>
      <c r="S803" s="58" t="str">
        <f>작성용!AF800</f>
        <v>김영하</v>
      </c>
      <c r="T803" s="61" t="str">
        <f>작성용!AG800</f>
        <v>조현우</v>
      </c>
      <c r="U803" s="61" t="str">
        <f>작성용!AH800</f>
        <v>조현우</v>
      </c>
      <c r="V803" s="56">
        <f>작성용!AA800</f>
        <v>202411</v>
      </c>
      <c r="W803" s="58" t="str">
        <f>작성용!AC800</f>
        <v>[E]동양그룹</v>
      </c>
      <c r="X803" s="58" t="str">
        <f>작성용!O800</f>
        <v>임희진이사</v>
      </c>
      <c r="Y803" s="58" t="str">
        <f>작성용!P800</f>
        <v>02-310-9108,010-3847-4177</v>
      </c>
      <c r="Z803" s="58" t="str">
        <f>작성용!Q800</f>
        <v xml:space="preserve">hjlim@yuantainvest.com </v>
      </c>
      <c r="AA803" s="56" t="str">
        <f>작성용!AJ800</f>
        <v>국민연금제출</v>
      </c>
      <c r="AB803" s="56">
        <f>작성용!AB800</f>
        <v>0</v>
      </c>
    </row>
    <row r="804" spans="1:28" s="12" customFormat="1" ht="16.5" hidden="1" customHeight="1" x14ac:dyDescent="0.3">
      <c r="A804" s="54">
        <f>작성용!AL801</f>
        <v>800</v>
      </c>
      <c r="B804" s="55" t="str">
        <f>작성용!AI801</f>
        <v>-</v>
      </c>
      <c r="C804" s="56" t="str">
        <f>작성용!AK801</f>
        <v>개별종목</v>
      </c>
      <c r="D804" s="57">
        <f>작성용!T801</f>
        <v>45583</v>
      </c>
      <c r="E804" s="58" t="str">
        <f>작성용!B801</f>
        <v>유안타인베스트먼트</v>
      </c>
      <c r="F804" s="58" t="str">
        <f>작성용!C801</f>
        <v>재평가</v>
      </c>
      <c r="G804" s="58" t="str">
        <f>작성용!D801</f>
        <v>Tiki Global Pte.Ltd</v>
      </c>
      <c r="H804" s="59" t="str">
        <f>작성용!E801</f>
        <v>KBP2021120262</v>
      </c>
      <c r="I804" s="58" t="str">
        <f>작성용!F801</f>
        <v>A01</v>
      </c>
      <c r="J804" s="58">
        <f>작성용!G801</f>
        <v>0</v>
      </c>
      <c r="K804" s="58" t="str">
        <f>작성용!H801</f>
        <v>-</v>
      </c>
      <c r="L804" s="58" t="str">
        <f>작성용!N801</f>
        <v>년</v>
      </c>
      <c r="M804" s="57" t="str">
        <f>작성용!U801</f>
        <v>2024.09.30</v>
      </c>
      <c r="N804" s="57">
        <f>작성용!V801</f>
        <v>45610</v>
      </c>
      <c r="O804" s="57">
        <f>작성용!W801</f>
        <v>45611</v>
      </c>
      <c r="P804" s="57" t="str">
        <f>작성용!X801</f>
        <v>-</v>
      </c>
      <c r="Q804" s="58" t="str">
        <f>작성용!AD801</f>
        <v>이문수</v>
      </c>
      <c r="R804" s="60">
        <f>작성용!AE801</f>
        <v>1.5</v>
      </c>
      <c r="S804" s="58" t="str">
        <f>작성용!AF801</f>
        <v>윤현빈</v>
      </c>
      <c r="T804" s="61" t="str">
        <f>작성용!AG801</f>
        <v>조현우</v>
      </c>
      <c r="U804" s="61" t="str">
        <f>작성용!AH801</f>
        <v>조현우</v>
      </c>
      <c r="V804" s="56">
        <f>작성용!AA801</f>
        <v>202411</v>
      </c>
      <c r="W804" s="58" t="str">
        <f>작성용!AC801</f>
        <v>[E]동양그룹</v>
      </c>
      <c r="X804" s="58" t="str">
        <f>작성용!O801</f>
        <v>임희진이사</v>
      </c>
      <c r="Y804" s="58" t="str">
        <f>작성용!P801</f>
        <v>02-310-9108,010-3847-4177</v>
      </c>
      <c r="Z804" s="58" t="str">
        <f>작성용!Q801</f>
        <v xml:space="preserve">hjlim@yuantainvest.com </v>
      </c>
      <c r="AA804" s="56" t="str">
        <f>작성용!AJ801</f>
        <v>국민연금제출</v>
      </c>
      <c r="AB804" s="56">
        <f>작성용!AB801</f>
        <v>0</v>
      </c>
    </row>
    <row r="805" spans="1:28" s="12" customFormat="1" ht="16.5" hidden="1" customHeight="1" x14ac:dyDescent="0.3">
      <c r="A805" s="54">
        <f>작성용!AL802</f>
        <v>801</v>
      </c>
      <c r="B805" s="55" t="str">
        <f>작성용!AI802</f>
        <v>-</v>
      </c>
      <c r="C805" s="56" t="str">
        <f>작성용!AK802</f>
        <v>개별종목</v>
      </c>
      <c r="D805" s="57">
        <f>작성용!T802</f>
        <v>45583</v>
      </c>
      <c r="E805" s="58" t="str">
        <f>작성용!B802</f>
        <v>유안타인베스트먼트</v>
      </c>
      <c r="F805" s="58" t="str">
        <f>작성용!C802</f>
        <v>재평가</v>
      </c>
      <c r="G805" s="58" t="str">
        <f>작성용!D802</f>
        <v>Tiki Global Pte.Ltd</v>
      </c>
      <c r="H805" s="59" t="str">
        <f>작성용!E802</f>
        <v>KBP2021120262</v>
      </c>
      <c r="I805" s="58" t="str">
        <f>작성용!F802</f>
        <v>A05</v>
      </c>
      <c r="J805" s="58">
        <f>작성용!G802</f>
        <v>0</v>
      </c>
      <c r="K805" s="58" t="str">
        <f>작성용!H802</f>
        <v>-</v>
      </c>
      <c r="L805" s="58" t="str">
        <f>작성용!N802</f>
        <v>년</v>
      </c>
      <c r="M805" s="57" t="str">
        <f>작성용!U802</f>
        <v>2024.09.30</v>
      </c>
      <c r="N805" s="57">
        <f>작성용!V802</f>
        <v>45610</v>
      </c>
      <c r="O805" s="57">
        <f>작성용!W802</f>
        <v>45611</v>
      </c>
      <c r="P805" s="57" t="str">
        <f>작성용!X802</f>
        <v>-</v>
      </c>
      <c r="Q805" s="58" t="str">
        <f>작성용!AD802</f>
        <v>이문수</v>
      </c>
      <c r="R805" s="60">
        <f>작성용!AE802</f>
        <v>0</v>
      </c>
      <c r="S805" s="58" t="str">
        <f>작성용!AF802</f>
        <v>윤현빈</v>
      </c>
      <c r="T805" s="61" t="str">
        <f>작성용!AG802</f>
        <v>조현우</v>
      </c>
      <c r="U805" s="61" t="str">
        <f>작성용!AH802</f>
        <v>조현우</v>
      </c>
      <c r="V805" s="56">
        <f>작성용!AA802</f>
        <v>202411</v>
      </c>
      <c r="W805" s="58" t="str">
        <f>작성용!AC802</f>
        <v>[E]동양그룹</v>
      </c>
      <c r="X805" s="58" t="str">
        <f>작성용!O802</f>
        <v>임희진이사</v>
      </c>
      <c r="Y805" s="58" t="str">
        <f>작성용!P802</f>
        <v>02-310-9108,010-3847-4177</v>
      </c>
      <c r="Z805" s="58" t="str">
        <f>작성용!Q802</f>
        <v xml:space="preserve">hjlim@yuantainvest.com </v>
      </c>
      <c r="AA805" s="56" t="str">
        <f>작성용!AJ802</f>
        <v>국민연금제출</v>
      </c>
      <c r="AB805" s="56">
        <f>작성용!AB802</f>
        <v>0</v>
      </c>
    </row>
    <row r="806" spans="1:28" s="12" customFormat="1" ht="16.5" hidden="1" customHeight="1" x14ac:dyDescent="0.3">
      <c r="A806" s="54">
        <f>작성용!AL803</f>
        <v>802</v>
      </c>
      <c r="B806" s="55" t="str">
        <f>작성용!AI803</f>
        <v>-</v>
      </c>
      <c r="C806" s="56" t="str">
        <f>작성용!AK803</f>
        <v>개별종목</v>
      </c>
      <c r="D806" s="57">
        <f>작성용!T803</f>
        <v>45583</v>
      </c>
      <c r="E806" s="58" t="str">
        <f>작성용!B803</f>
        <v>유안타인베스트먼트</v>
      </c>
      <c r="F806" s="58" t="str">
        <f>작성용!C803</f>
        <v>재평가</v>
      </c>
      <c r="G806" s="58" t="str">
        <f>작성용!D803</f>
        <v>파스토</v>
      </c>
      <c r="H806" s="59">
        <f>작성용!E803</f>
        <v>1244110207010</v>
      </c>
      <c r="I806" s="58" t="str">
        <f>작성용!F803</f>
        <v>A01</v>
      </c>
      <c r="J806" s="58">
        <f>작성용!G803</f>
        <v>0</v>
      </c>
      <c r="K806" s="58" t="str">
        <f>작성용!H803</f>
        <v>-</v>
      </c>
      <c r="L806" s="58" t="str">
        <f>작성용!N803</f>
        <v>년</v>
      </c>
      <c r="M806" s="57" t="str">
        <f>작성용!U803</f>
        <v>2024.09.30</v>
      </c>
      <c r="N806" s="57">
        <f>작성용!V803</f>
        <v>45610</v>
      </c>
      <c r="O806" s="57">
        <f>작성용!W803</f>
        <v>45611</v>
      </c>
      <c r="P806" s="57" t="str">
        <f>작성용!X803</f>
        <v>-</v>
      </c>
      <c r="Q806" s="58" t="str">
        <f>작성용!AD803</f>
        <v>윤광일</v>
      </c>
      <c r="R806" s="60">
        <f>작성용!AE803</f>
        <v>1.5</v>
      </c>
      <c r="S806" s="58" t="str">
        <f>작성용!AF803</f>
        <v>김범준</v>
      </c>
      <c r="T806" s="61" t="str">
        <f>작성용!AG803</f>
        <v>조현우</v>
      </c>
      <c r="U806" s="61" t="str">
        <f>작성용!AH803</f>
        <v>조현우</v>
      </c>
      <c r="V806" s="56">
        <f>작성용!AA803</f>
        <v>202411</v>
      </c>
      <c r="W806" s="58" t="str">
        <f>작성용!AC803</f>
        <v>[E]동양그룹</v>
      </c>
      <c r="X806" s="58" t="str">
        <f>작성용!O803</f>
        <v>임희진이사</v>
      </c>
      <c r="Y806" s="58" t="str">
        <f>작성용!P803</f>
        <v>02-310-9108,010-3847-4177</v>
      </c>
      <c r="Z806" s="58" t="str">
        <f>작성용!Q803</f>
        <v xml:space="preserve">hjlim@yuantainvest.com </v>
      </c>
      <c r="AA806" s="56" t="str">
        <f>작성용!AJ803</f>
        <v>국민연금제출</v>
      </c>
      <c r="AB806" s="56">
        <f>작성용!AB803</f>
        <v>0</v>
      </c>
    </row>
    <row r="807" spans="1:28" s="12" customFormat="1" ht="16.5" hidden="1" customHeight="1" x14ac:dyDescent="0.3">
      <c r="A807" s="54">
        <f>작성용!AL804</f>
        <v>803</v>
      </c>
      <c r="B807" s="55" t="str">
        <f>작성용!AI804</f>
        <v>-</v>
      </c>
      <c r="C807" s="56" t="str">
        <f>작성용!AK804</f>
        <v>개별종목</v>
      </c>
      <c r="D807" s="57">
        <f>작성용!T804</f>
        <v>45583</v>
      </c>
      <c r="E807" s="58" t="str">
        <f>작성용!B804</f>
        <v>유안타인베스트먼트</v>
      </c>
      <c r="F807" s="58" t="str">
        <f>작성용!C804</f>
        <v>재평가</v>
      </c>
      <c r="G807" s="58" t="str">
        <f>작성용!D804</f>
        <v>파스토</v>
      </c>
      <c r="H807" s="59">
        <f>작성용!E804</f>
        <v>1244110207010</v>
      </c>
      <c r="I807" s="58" t="str">
        <f>작성용!F804</f>
        <v>A07</v>
      </c>
      <c r="J807" s="58">
        <f>작성용!G804</f>
        <v>0</v>
      </c>
      <c r="K807" s="58" t="str">
        <f>작성용!H804</f>
        <v>-</v>
      </c>
      <c r="L807" s="58" t="str">
        <f>작성용!N804</f>
        <v>년</v>
      </c>
      <c r="M807" s="57" t="str">
        <f>작성용!U804</f>
        <v>2024.09.30</v>
      </c>
      <c r="N807" s="57">
        <f>작성용!V804</f>
        <v>45610</v>
      </c>
      <c r="O807" s="57">
        <f>작성용!W804</f>
        <v>45611</v>
      </c>
      <c r="P807" s="57" t="str">
        <f>작성용!X804</f>
        <v>-</v>
      </c>
      <c r="Q807" s="58" t="str">
        <f>작성용!AD804</f>
        <v>윤광일</v>
      </c>
      <c r="R807" s="60">
        <f>작성용!AE804</f>
        <v>0</v>
      </c>
      <c r="S807" s="58" t="str">
        <f>작성용!AF804</f>
        <v>김범준</v>
      </c>
      <c r="T807" s="61" t="str">
        <f>작성용!AG804</f>
        <v>조현우</v>
      </c>
      <c r="U807" s="61" t="str">
        <f>작성용!AH804</f>
        <v>조현우</v>
      </c>
      <c r="V807" s="56">
        <f>작성용!AA804</f>
        <v>202411</v>
      </c>
      <c r="W807" s="58" t="str">
        <f>작성용!AC804</f>
        <v>[E]동양그룹</v>
      </c>
      <c r="X807" s="58" t="str">
        <f>작성용!O804</f>
        <v>임희진이사</v>
      </c>
      <c r="Y807" s="58" t="str">
        <f>작성용!P804</f>
        <v>02-310-9108,010-3847-4177</v>
      </c>
      <c r="Z807" s="58" t="str">
        <f>작성용!Q804</f>
        <v xml:space="preserve">hjlim@yuantainvest.com </v>
      </c>
      <c r="AA807" s="56" t="str">
        <f>작성용!AJ804</f>
        <v>국민연금제출</v>
      </c>
      <c r="AB807" s="56">
        <f>작성용!AB804</f>
        <v>0</v>
      </c>
    </row>
    <row r="808" spans="1:28" s="12" customFormat="1" ht="16.5" hidden="1" customHeight="1" x14ac:dyDescent="0.3">
      <c r="A808" s="54">
        <f>작성용!AL805</f>
        <v>804</v>
      </c>
      <c r="B808" s="55" t="str">
        <f>작성용!AI805</f>
        <v>-</v>
      </c>
      <c r="C808" s="56" t="str">
        <f>작성용!AK805</f>
        <v>개별종목</v>
      </c>
      <c r="D808" s="57">
        <f>작성용!T805</f>
        <v>45583</v>
      </c>
      <c r="E808" s="58" t="str">
        <f>작성용!B805</f>
        <v>유안타인베스트먼트</v>
      </c>
      <c r="F808" s="58" t="str">
        <f>작성용!C805</f>
        <v>재평가</v>
      </c>
      <c r="G808" s="58" t="str">
        <f>작성용!D805</f>
        <v>파스토</v>
      </c>
      <c r="H808" s="59">
        <f>작성용!E805</f>
        <v>1244110207010</v>
      </c>
      <c r="I808" s="58" t="str">
        <f>작성용!F805</f>
        <v>A05</v>
      </c>
      <c r="J808" s="58">
        <f>작성용!G805</f>
        <v>0</v>
      </c>
      <c r="K808" s="58" t="str">
        <f>작성용!H805</f>
        <v>-</v>
      </c>
      <c r="L808" s="58" t="str">
        <f>작성용!N805</f>
        <v>년</v>
      </c>
      <c r="M808" s="57" t="str">
        <f>작성용!U805</f>
        <v>2024.09.30</v>
      </c>
      <c r="N808" s="57">
        <f>작성용!V805</f>
        <v>45610</v>
      </c>
      <c r="O808" s="57">
        <f>작성용!W805</f>
        <v>45611</v>
      </c>
      <c r="P808" s="57" t="str">
        <f>작성용!X805</f>
        <v>-</v>
      </c>
      <c r="Q808" s="58" t="str">
        <f>작성용!AD805</f>
        <v>윤광일</v>
      </c>
      <c r="R808" s="60">
        <f>작성용!AE805</f>
        <v>0</v>
      </c>
      <c r="S808" s="58" t="str">
        <f>작성용!AF805</f>
        <v>김범준</v>
      </c>
      <c r="T808" s="61" t="str">
        <f>작성용!AG805</f>
        <v>조현우</v>
      </c>
      <c r="U808" s="61" t="str">
        <f>작성용!AH805</f>
        <v>조현우</v>
      </c>
      <c r="V808" s="56">
        <f>작성용!AA805</f>
        <v>202411</v>
      </c>
      <c r="W808" s="58" t="str">
        <f>작성용!AC805</f>
        <v>[E]동양그룹</v>
      </c>
      <c r="X808" s="58" t="str">
        <f>작성용!O805</f>
        <v>임희진이사</v>
      </c>
      <c r="Y808" s="58" t="str">
        <f>작성용!P805</f>
        <v>02-310-9108,010-3847-4177</v>
      </c>
      <c r="Z808" s="58" t="str">
        <f>작성용!Q805</f>
        <v xml:space="preserve">hjlim@yuantainvest.com </v>
      </c>
      <c r="AA808" s="56" t="str">
        <f>작성용!AJ805</f>
        <v>국민연금제출</v>
      </c>
      <c r="AB808" s="56">
        <f>작성용!AB805</f>
        <v>0</v>
      </c>
    </row>
    <row r="809" spans="1:28" s="12" customFormat="1" ht="16.5" hidden="1" customHeight="1" x14ac:dyDescent="0.3">
      <c r="A809" s="54">
        <f>작성용!AL806</f>
        <v>805</v>
      </c>
      <c r="B809" s="55" t="str">
        <f>작성용!AI806</f>
        <v>-</v>
      </c>
      <c r="C809" s="56" t="str">
        <f>작성용!AK806</f>
        <v>기초자산</v>
      </c>
      <c r="D809" s="57" t="str">
        <f>작성용!T806</f>
        <v>고려아연펀드(기초자산)</v>
      </c>
      <c r="E809" s="58" t="str">
        <f>작성용!B806</f>
        <v>아이엠엠살루스벤처펀드</v>
      </c>
      <c r="F809" s="58" t="str">
        <f>작성용!C806</f>
        <v>신규</v>
      </c>
      <c r="G809" s="58" t="str">
        <f>작성용!D806</f>
        <v>케어링</v>
      </c>
      <c r="H809" s="59">
        <f>작성용!E806</f>
        <v>1101117174256</v>
      </c>
      <c r="I809" s="58" t="str">
        <f>작성용!F806</f>
        <v>A01</v>
      </c>
      <c r="J809" s="58">
        <f>작성용!G806</f>
        <v>0</v>
      </c>
      <c r="K809" s="58" t="str">
        <f>작성용!H806</f>
        <v>-</v>
      </c>
      <c r="L809" s="58" t="str">
        <f>작성용!N806</f>
        <v>년</v>
      </c>
      <c r="M809" s="57" t="str">
        <f>작성용!U806</f>
        <v>2024.09.30</v>
      </c>
      <c r="N809" s="57">
        <f>작성용!V806</f>
        <v>45611</v>
      </c>
      <c r="O809" s="57" t="str">
        <f>작성용!W806</f>
        <v>보고서제공X</v>
      </c>
      <c r="P809" s="57" t="str">
        <f>작성용!X806</f>
        <v>-</v>
      </c>
      <c r="Q809" s="58" t="str">
        <f>작성용!AD806</f>
        <v>신원준</v>
      </c>
      <c r="R809" s="60">
        <f>작성용!AE806</f>
        <v>0</v>
      </c>
      <c r="S809" s="58" t="str">
        <f>작성용!AF806</f>
        <v>신원준</v>
      </c>
      <c r="T809" s="61" t="str">
        <f>작성용!AG806</f>
        <v>-</v>
      </c>
      <c r="U809" s="61" t="str">
        <f>작성용!AH806</f>
        <v>-</v>
      </c>
      <c r="V809" s="56">
        <f>작성용!AA806</f>
        <v>202411</v>
      </c>
      <c r="W809" s="58" t="str">
        <f>작성용!AC806</f>
        <v>[6]기타기관펀드(기초자산)</v>
      </c>
      <c r="X809" s="58">
        <f>작성용!O806</f>
        <v>0</v>
      </c>
      <c r="Y809" s="58">
        <f>작성용!P806</f>
        <v>0</v>
      </c>
      <c r="Z809" s="58">
        <f>작성용!Q806</f>
        <v>0</v>
      </c>
      <c r="AA809" s="56" t="str">
        <f>작성용!AJ806</f>
        <v>-</v>
      </c>
      <c r="AB809" s="56">
        <f>작성용!AB806</f>
        <v>0</v>
      </c>
    </row>
    <row r="810" spans="1:28" s="12" customFormat="1" ht="16.5" hidden="1" customHeight="1" x14ac:dyDescent="0.3">
      <c r="A810" s="54">
        <f>작성용!AL807</f>
        <v>806</v>
      </c>
      <c r="B810" s="55" t="str">
        <f>작성용!AI807</f>
        <v>-</v>
      </c>
      <c r="C810" s="56" t="str">
        <f>작성용!AK807</f>
        <v>기초자산</v>
      </c>
      <c r="D810" s="57" t="str">
        <f>작성용!T807</f>
        <v>고려아연펀드(기초자산)</v>
      </c>
      <c r="E810" s="58" t="str">
        <f>작성용!B807</f>
        <v>아이엠엠살루스벤처펀드</v>
      </c>
      <c r="F810" s="58" t="str">
        <f>작성용!C807</f>
        <v>신규</v>
      </c>
      <c r="G810" s="58" t="str">
        <f>작성용!D807</f>
        <v>케어링</v>
      </c>
      <c r="H810" s="59">
        <f>작성용!E807</f>
        <v>1101117174256</v>
      </c>
      <c r="I810" s="58" t="str">
        <f>작성용!F807</f>
        <v>A07</v>
      </c>
      <c r="J810" s="58">
        <f>작성용!G807</f>
        <v>77</v>
      </c>
      <c r="K810" s="58" t="str">
        <f>작성용!H807</f>
        <v>-</v>
      </c>
      <c r="L810" s="58" t="str">
        <f>작성용!N807</f>
        <v>년</v>
      </c>
      <c r="M810" s="57" t="str">
        <f>작성용!U807</f>
        <v>2024.09.30</v>
      </c>
      <c r="N810" s="57">
        <f>작성용!V807</f>
        <v>45611</v>
      </c>
      <c r="O810" s="57" t="str">
        <f>작성용!W807</f>
        <v>보고서제공X</v>
      </c>
      <c r="P810" s="57" t="str">
        <f>작성용!X807</f>
        <v>-</v>
      </c>
      <c r="Q810" s="58" t="str">
        <f>작성용!AD807</f>
        <v>신원준</v>
      </c>
      <c r="R810" s="60">
        <f>작성용!AE807</f>
        <v>0</v>
      </c>
      <c r="S810" s="58" t="str">
        <f>작성용!AF807</f>
        <v>신원준</v>
      </c>
      <c r="T810" s="61" t="str">
        <f>작성용!AG807</f>
        <v>-</v>
      </c>
      <c r="U810" s="61" t="str">
        <f>작성용!AH807</f>
        <v>-</v>
      </c>
      <c r="V810" s="56">
        <f>작성용!AA807</f>
        <v>202411</v>
      </c>
      <c r="W810" s="58" t="str">
        <f>작성용!AC807</f>
        <v>[6]기타기관펀드(기초자산)</v>
      </c>
      <c r="X810" s="58">
        <f>작성용!O807</f>
        <v>0</v>
      </c>
      <c r="Y810" s="58">
        <f>작성용!P807</f>
        <v>0</v>
      </c>
      <c r="Z810" s="58">
        <f>작성용!Q807</f>
        <v>0</v>
      </c>
      <c r="AA810" s="56" t="str">
        <f>작성용!AJ807</f>
        <v>-</v>
      </c>
      <c r="AB810" s="56">
        <f>작성용!AB807</f>
        <v>0</v>
      </c>
    </row>
    <row r="811" spans="1:28" s="12" customFormat="1" ht="16.5" hidden="1" customHeight="1" x14ac:dyDescent="0.3">
      <c r="A811" s="54">
        <f>작성용!AL808</f>
        <v>807</v>
      </c>
      <c r="B811" s="55" t="str">
        <f>작성용!AI808</f>
        <v>-</v>
      </c>
      <c r="C811" s="56" t="str">
        <f>작성용!AK808</f>
        <v>개별종목</v>
      </c>
      <c r="D811" s="57">
        <f>작성용!T808</f>
        <v>45586</v>
      </c>
      <c r="E811" s="58" t="str">
        <f>작성용!B808</f>
        <v>아이엠엠크레딧앤솔루션</v>
      </c>
      <c r="F811" s="58" t="str">
        <f>작성용!C808</f>
        <v>신규</v>
      </c>
      <c r="G811" s="58" t="str">
        <f>작성용!D808</f>
        <v>에스케이엔무브(구,에스케이루브리컨츠)</v>
      </c>
      <c r="H811" s="59">
        <f>작성용!E808</f>
        <v>1101114191815</v>
      </c>
      <c r="I811" s="58" t="str">
        <f>작성용!F808</f>
        <v>A01</v>
      </c>
      <c r="J811" s="58">
        <f>작성용!G808</f>
        <v>0</v>
      </c>
      <c r="K811" s="58" t="str">
        <f>작성용!H808</f>
        <v>-</v>
      </c>
      <c r="L811" s="58" t="str">
        <f>작성용!N808</f>
        <v>미정</v>
      </c>
      <c r="M811" s="57" t="str">
        <f>작성용!U808</f>
        <v>2024.09.30</v>
      </c>
      <c r="N811" s="57">
        <f>작성용!V808</f>
        <v>45609</v>
      </c>
      <c r="O811" s="57">
        <f>작성용!W808</f>
        <v>45615</v>
      </c>
      <c r="P811" s="57" t="str">
        <f>작성용!X808</f>
        <v>-</v>
      </c>
      <c r="Q811" s="58" t="str">
        <f>작성용!AD808</f>
        <v>조현우</v>
      </c>
      <c r="R811" s="60">
        <f>작성용!AE808</f>
        <v>1</v>
      </c>
      <c r="S811" s="58" t="str">
        <f>작성용!AF808</f>
        <v>조현우</v>
      </c>
      <c r="T811" s="61" t="str">
        <f>작성용!AG808</f>
        <v>조현우</v>
      </c>
      <c r="U811" s="61" t="str">
        <f>작성용!AH808</f>
        <v>조현우</v>
      </c>
      <c r="V811" s="56">
        <f>작성용!AA808</f>
        <v>202411</v>
      </c>
      <c r="W811" s="58" t="str">
        <f>작성용!AC808</f>
        <v>[X]일반기업</v>
      </c>
      <c r="X811" s="58" t="str">
        <f>작성용!O808</f>
        <v>김소정상무</v>
      </c>
      <c r="Y811" s="58" t="str">
        <f>작성용!P808</f>
        <v>02-2112-1807</v>
      </c>
      <c r="Z811" s="58" t="str">
        <f>작성용!Q808</f>
        <v>sjkim@immcs.co.kr</v>
      </c>
      <c r="AA811" s="56" t="str">
        <f>작성용!AJ808</f>
        <v>국민연금제출</v>
      </c>
      <c r="AB811" s="56">
        <f>작성용!AB808</f>
        <v>0</v>
      </c>
    </row>
    <row r="812" spans="1:28" s="12" customFormat="1" ht="16.5" hidden="1" customHeight="1" x14ac:dyDescent="0.3">
      <c r="A812" s="54">
        <f>작성용!AL809</f>
        <v>808</v>
      </c>
      <c r="B812" s="55" t="str">
        <f>작성용!AI809</f>
        <v>-</v>
      </c>
      <c r="C812" s="56" t="str">
        <f>작성용!AK809</f>
        <v>개별종목</v>
      </c>
      <c r="D812" s="57">
        <f>작성용!T809</f>
        <v>45586</v>
      </c>
      <c r="E812" s="58" t="str">
        <f>작성용!B809</f>
        <v>대신프라이빗에쿼티</v>
      </c>
      <c r="F812" s="58" t="str">
        <f>작성용!C809</f>
        <v>재평가</v>
      </c>
      <c r="G812" s="58" t="str">
        <f>작성용!D809</f>
        <v>주노2021</v>
      </c>
      <c r="H812" s="59">
        <f>작성용!E809</f>
        <v>1101140275980</v>
      </c>
      <c r="I812" s="58" t="str">
        <f>작성용!F809</f>
        <v>D02</v>
      </c>
      <c r="J812" s="58">
        <f>작성용!G809</f>
        <v>0</v>
      </c>
      <c r="K812" s="58" t="str">
        <f>작성용!H809</f>
        <v>-</v>
      </c>
      <c r="L812" s="58" t="str">
        <f>작성용!N809</f>
        <v>연말</v>
      </c>
      <c r="M812" s="57" t="str">
        <f>작성용!U809</f>
        <v>2024.09.30</v>
      </c>
      <c r="N812" s="57">
        <f>작성용!V809</f>
        <v>45611</v>
      </c>
      <c r="O812" s="57">
        <f>작성용!W809</f>
        <v>45615</v>
      </c>
      <c r="P812" s="57" t="str">
        <f>작성용!X809</f>
        <v>-</v>
      </c>
      <c r="Q812" s="58" t="str">
        <f>작성용!AD809</f>
        <v>윤광일</v>
      </c>
      <c r="R812" s="60">
        <f>작성용!AE809</f>
        <v>1</v>
      </c>
      <c r="S812" s="58" t="str">
        <f>작성용!AF809</f>
        <v>김혜지</v>
      </c>
      <c r="T812" s="61" t="str">
        <f>작성용!AG809</f>
        <v>윤광일</v>
      </c>
      <c r="U812" s="61" t="str">
        <f>작성용!AH809</f>
        <v>윤광일</v>
      </c>
      <c r="V812" s="56">
        <f>작성용!AA809</f>
        <v>202411</v>
      </c>
      <c r="W812" s="58" t="str">
        <f>작성용!AC809</f>
        <v>[Y]금융기관</v>
      </c>
      <c r="X812" s="58" t="str">
        <f>작성용!O809</f>
        <v>이동우책임</v>
      </c>
      <c r="Y812" s="58" t="str">
        <f>작성용!P809</f>
        <v>010-2240-9024</v>
      </c>
      <c r="Z812" s="58" t="str">
        <f>작성용!Q809</f>
        <v>dongwoo2.lee@daishin.com</v>
      </c>
      <c r="AA812" s="56" t="str">
        <f>작성용!AJ809</f>
        <v>국민연금제출</v>
      </c>
      <c r="AB812" s="56">
        <f>작성용!AB809</f>
        <v>0</v>
      </c>
    </row>
    <row r="813" spans="1:28" s="12" customFormat="1" ht="16.5" hidden="1" customHeight="1" x14ac:dyDescent="0.3">
      <c r="A813" s="54">
        <f>작성용!AL810</f>
        <v>809</v>
      </c>
      <c r="B813" s="55" t="str">
        <f>작성용!AI810</f>
        <v>-</v>
      </c>
      <c r="C813" s="56" t="str">
        <f>작성용!AK810</f>
        <v>개별종목</v>
      </c>
      <c r="D813" s="57">
        <f>작성용!T810</f>
        <v>45586</v>
      </c>
      <c r="E813" s="58" t="str">
        <f>작성용!B810</f>
        <v>대신프라이빗에쿼티</v>
      </c>
      <c r="F813" s="58" t="str">
        <f>작성용!C810</f>
        <v>재평가</v>
      </c>
      <c r="G813" s="58" t="str">
        <f>작성용!D810</f>
        <v>디에스엡실론제1호</v>
      </c>
      <c r="H813" s="59">
        <f>작성용!E810</f>
        <v>1101117980398</v>
      </c>
      <c r="I813" s="58" t="str">
        <f>작성용!F810</f>
        <v>A01</v>
      </c>
      <c r="J813" s="58">
        <f>작성용!G810</f>
        <v>0</v>
      </c>
      <c r="K813" s="58" t="str">
        <f>작성용!H810</f>
        <v>-</v>
      </c>
      <c r="L813" s="58" t="str">
        <f>작성용!N810</f>
        <v>연말</v>
      </c>
      <c r="M813" s="57" t="str">
        <f>작성용!U810</f>
        <v>2024.09.30</v>
      </c>
      <c r="N813" s="57">
        <f>작성용!V810</f>
        <v>45611</v>
      </c>
      <c r="O813" s="57">
        <f>작성용!W810</f>
        <v>45615</v>
      </c>
      <c r="P813" s="57" t="str">
        <f>작성용!X810</f>
        <v>-</v>
      </c>
      <c r="Q813" s="58" t="str">
        <f>작성용!AD810</f>
        <v>정은채</v>
      </c>
      <c r="R813" s="60">
        <f>작성용!AE810</f>
        <v>1</v>
      </c>
      <c r="S813" s="58" t="str">
        <f>작성용!AF810</f>
        <v>정은채</v>
      </c>
      <c r="T813" s="61" t="str">
        <f>작성용!AG810</f>
        <v>윤광일</v>
      </c>
      <c r="U813" s="61" t="str">
        <f>작성용!AH810</f>
        <v>윤광일</v>
      </c>
      <c r="V813" s="56">
        <f>작성용!AA810</f>
        <v>202411</v>
      </c>
      <c r="W813" s="58" t="str">
        <f>작성용!AC810</f>
        <v>[Y]금융기관</v>
      </c>
      <c r="X813" s="58" t="str">
        <f>작성용!O810</f>
        <v>이동우책임</v>
      </c>
      <c r="Y813" s="58" t="str">
        <f>작성용!P810</f>
        <v>010-2240-9024</v>
      </c>
      <c r="Z813" s="58" t="str">
        <f>작성용!Q810</f>
        <v>dongwoo2.lee@daishin.com</v>
      </c>
      <c r="AA813" s="56" t="str">
        <f>작성용!AJ810</f>
        <v>국민연금제출</v>
      </c>
      <c r="AB813" s="56">
        <f>작성용!AB810</f>
        <v>0</v>
      </c>
    </row>
    <row r="814" spans="1:28" s="12" customFormat="1" ht="16.5" hidden="1" customHeight="1" x14ac:dyDescent="0.3">
      <c r="A814" s="54">
        <f>작성용!AL811</f>
        <v>810</v>
      </c>
      <c r="B814" s="55" t="str">
        <f>작성용!AI811</f>
        <v>-</v>
      </c>
      <c r="C814" s="56" t="str">
        <f>작성용!AK811</f>
        <v>개별종목</v>
      </c>
      <c r="D814" s="57">
        <f>작성용!T811</f>
        <v>45586</v>
      </c>
      <c r="E814" s="58" t="str">
        <f>작성용!B811</f>
        <v>대신프라이빗에쿼티</v>
      </c>
      <c r="F814" s="58" t="str">
        <f>작성용!C811</f>
        <v>재평가</v>
      </c>
      <c r="G814" s="58" t="str">
        <f>작성용!D811</f>
        <v>포세이돈2022</v>
      </c>
      <c r="H814" s="59">
        <f>작성용!E811</f>
        <v>1101140289692</v>
      </c>
      <c r="I814" s="58" t="str">
        <f>작성용!F811</f>
        <v>A01</v>
      </c>
      <c r="J814" s="58">
        <f>작성용!G811</f>
        <v>0</v>
      </c>
      <c r="K814" s="58" t="str">
        <f>작성용!H811</f>
        <v>-</v>
      </c>
      <c r="L814" s="58" t="str">
        <f>작성용!N811</f>
        <v>연말</v>
      </c>
      <c r="M814" s="57" t="str">
        <f>작성용!U811</f>
        <v>2024.09.30</v>
      </c>
      <c r="N814" s="57">
        <f>작성용!V811</f>
        <v>45611</v>
      </c>
      <c r="O814" s="57">
        <f>작성용!W811</f>
        <v>45615</v>
      </c>
      <c r="P814" s="57" t="str">
        <f>작성용!X811</f>
        <v>-</v>
      </c>
      <c r="Q814" s="58" t="str">
        <f>작성용!AD811</f>
        <v>정재형</v>
      </c>
      <c r="R814" s="60">
        <f>작성용!AE811</f>
        <v>1</v>
      </c>
      <c r="S814" s="58" t="str">
        <f>작성용!AF811</f>
        <v>정재형</v>
      </c>
      <c r="T814" s="61" t="str">
        <f>작성용!AG811</f>
        <v>윤광일</v>
      </c>
      <c r="U814" s="61" t="str">
        <f>작성용!AH811</f>
        <v>윤광일</v>
      </c>
      <c r="V814" s="56">
        <f>작성용!AA811</f>
        <v>202411</v>
      </c>
      <c r="W814" s="58" t="str">
        <f>작성용!AC811</f>
        <v>[Y]금융기관</v>
      </c>
      <c r="X814" s="58" t="str">
        <f>작성용!O811</f>
        <v>이동우책임</v>
      </c>
      <c r="Y814" s="58" t="str">
        <f>작성용!P811</f>
        <v>010-2240-9024</v>
      </c>
      <c r="Z814" s="58" t="str">
        <f>작성용!Q811</f>
        <v>dongwoo2.lee@daishin.com</v>
      </c>
      <c r="AA814" s="56" t="str">
        <f>작성용!AJ811</f>
        <v>국민연금제출</v>
      </c>
      <c r="AB814" s="56">
        <f>작성용!AB811</f>
        <v>0</v>
      </c>
    </row>
    <row r="815" spans="1:28" s="12" customFormat="1" ht="16.5" hidden="1" customHeight="1" x14ac:dyDescent="0.3">
      <c r="A815" s="54">
        <f>작성용!AL812</f>
        <v>811</v>
      </c>
      <c r="B815" s="55" t="str">
        <f>작성용!AI812</f>
        <v>-</v>
      </c>
      <c r="C815" s="56" t="str">
        <f>작성용!AK812</f>
        <v>개별종목</v>
      </c>
      <c r="D815" s="57">
        <f>작성용!T812</f>
        <v>45590</v>
      </c>
      <c r="E815" s="58" t="str">
        <f>작성용!B812</f>
        <v>대신프라이빗에쿼티</v>
      </c>
      <c r="F815" s="58" t="str">
        <f>작성용!C812</f>
        <v>재평가</v>
      </c>
      <c r="G815" s="58" t="str">
        <f>작성용!D812</f>
        <v>KT ES Pte. Ltd.</v>
      </c>
      <c r="H815" s="59" t="str">
        <f>작성용!E812</f>
        <v>KBP2022030076</v>
      </c>
      <c r="I815" s="58" t="str">
        <f>작성용!F812</f>
        <v>A05</v>
      </c>
      <c r="J815" s="58">
        <f>작성용!G812</f>
        <v>0</v>
      </c>
      <c r="K815" s="58" t="str">
        <f>작성용!H812</f>
        <v>-</v>
      </c>
      <c r="L815" s="58" t="str">
        <f>작성용!N812</f>
        <v>연말</v>
      </c>
      <c r="M815" s="57" t="str">
        <f>작성용!U812</f>
        <v>2024.09.30</v>
      </c>
      <c r="N815" s="57">
        <f>작성용!V812</f>
        <v>45611</v>
      </c>
      <c r="O815" s="57">
        <f>작성용!W812</f>
        <v>45615</v>
      </c>
      <c r="P815" s="57" t="str">
        <f>작성용!X812</f>
        <v>-</v>
      </c>
      <c r="Q815" s="58" t="str">
        <f>작성용!AD812</f>
        <v>심태진</v>
      </c>
      <c r="R815" s="60">
        <f>작성용!AE812</f>
        <v>1</v>
      </c>
      <c r="S815" s="58" t="str">
        <f>작성용!AF812</f>
        <v>심태진</v>
      </c>
      <c r="T815" s="61" t="str">
        <f>작성용!AG812</f>
        <v>윤광일</v>
      </c>
      <c r="U815" s="61" t="str">
        <f>작성용!AH812</f>
        <v>윤광일</v>
      </c>
      <c r="V815" s="56">
        <f>작성용!AA812</f>
        <v>202411</v>
      </c>
      <c r="W815" s="58" t="str">
        <f>작성용!AC812</f>
        <v>[Y]금융기관</v>
      </c>
      <c r="X815" s="58" t="str">
        <f>작성용!O812</f>
        <v>이동우책임</v>
      </c>
      <c r="Y815" s="58" t="str">
        <f>작성용!P812</f>
        <v>010-2240-9024</v>
      </c>
      <c r="Z815" s="58" t="str">
        <f>작성용!Q812</f>
        <v>dongwoo2.lee@daishin.com</v>
      </c>
      <c r="AA815" s="56" t="str">
        <f>작성용!AJ812</f>
        <v>국민연금제출</v>
      </c>
      <c r="AB815" s="56">
        <f>작성용!AB812</f>
        <v>0</v>
      </c>
    </row>
    <row r="816" spans="1:28" s="12" customFormat="1" ht="16.5" hidden="1" customHeight="1" x14ac:dyDescent="0.3">
      <c r="A816" s="54">
        <f>작성용!AL813</f>
        <v>812</v>
      </c>
      <c r="B816" s="55" t="str">
        <f>작성용!AI813</f>
        <v>사모사채콜옵션 / 1차평가(2분기말 재무자료) : 2024-11-15(값, Backdata 제공) / 2차평가(3분기말 재무자료) : 2024-12-16(최종평가값, Backdata 제공) / 보고서, MRC제공일 : 2024-12-23</v>
      </c>
      <c r="C816" s="56" t="str">
        <f>작성용!AK813</f>
        <v>개별종목</v>
      </c>
      <c r="D816" s="57">
        <f>작성용!T813</f>
        <v>45587</v>
      </c>
      <c r="E816" s="58" t="str">
        <f>작성용!B813</f>
        <v>고려아연</v>
      </c>
      <c r="F816" s="58" t="str">
        <f>작성용!C813</f>
        <v>신규</v>
      </c>
      <c r="G816" s="58" t="str">
        <f>작성용!D813</f>
        <v>고려아연</v>
      </c>
      <c r="H816" s="59">
        <f>작성용!E813</f>
        <v>1101110168404</v>
      </c>
      <c r="I816" s="58" t="str">
        <f>작성용!F813</f>
        <v>D06</v>
      </c>
      <c r="J816" s="58">
        <f>작성용!G813</f>
        <v>0</v>
      </c>
      <c r="K816" s="58" t="str">
        <f>작성용!H813</f>
        <v>-</v>
      </c>
      <c r="L816" s="58" t="str">
        <f>작성용!N813</f>
        <v>년</v>
      </c>
      <c r="M816" s="57" t="str">
        <f>작성용!U813</f>
        <v>2024.09.30</v>
      </c>
      <c r="N816" s="57">
        <f>작성용!V813</f>
        <v>45611</v>
      </c>
      <c r="O816" s="57">
        <f>작성용!W813</f>
        <v>45649</v>
      </c>
      <c r="P816" s="57" t="str">
        <f>작성용!X813</f>
        <v>-</v>
      </c>
      <c r="Q816" s="58" t="str">
        <f>작성용!AD813</f>
        <v>상장</v>
      </c>
      <c r="R816" s="60">
        <f>작성용!AE813</f>
        <v>0</v>
      </c>
      <c r="S816" s="58" t="str">
        <f>작성용!AF813</f>
        <v>상장</v>
      </c>
      <c r="T816" s="61" t="str">
        <f>작성용!AG813</f>
        <v>유재호</v>
      </c>
      <c r="U816" s="61" t="str">
        <f>작성용!AH813</f>
        <v>유재호</v>
      </c>
      <c r="V816" s="56">
        <f>작성용!AA813</f>
        <v>202411</v>
      </c>
      <c r="W816" s="58" t="str">
        <f>작성용!AC813</f>
        <v>[X]일반기업</v>
      </c>
      <c r="X816" s="58" t="str">
        <f>작성용!O813</f>
        <v>김영봉책임</v>
      </c>
      <c r="Y816" s="58" t="str">
        <f>작성용!P813</f>
        <v>02-6947-2406</v>
      </c>
      <c r="Z816" s="58" t="str">
        <f>작성용!Q813</f>
        <v>ybkim@koreazinc.co.kr</v>
      </c>
      <c r="AA816" s="56" t="str">
        <f>작성용!AJ813</f>
        <v xml:space="preserve">회계반영 </v>
      </c>
      <c r="AB816" s="56">
        <f>작성용!AB813</f>
        <v>0</v>
      </c>
    </row>
    <row r="817" spans="1:28" s="12" customFormat="1" ht="16.5" hidden="1" customHeight="1" x14ac:dyDescent="0.3">
      <c r="A817" s="54">
        <f>작성용!AL814</f>
        <v>813</v>
      </c>
      <c r="B817" s="55" t="str">
        <f>작성용!AI814</f>
        <v>-</v>
      </c>
      <c r="C817" s="56" t="str">
        <f>작성용!AK814</f>
        <v>기초자산</v>
      </c>
      <c r="D817" s="57" t="str">
        <f>작성용!T814</f>
        <v>고려아연펀드(기초자산)</v>
      </c>
      <c r="E817" s="58" t="str">
        <f>작성용!B814</f>
        <v>파트너스글로벌헬스케어클로버펀드</v>
      </c>
      <c r="F817" s="58" t="str">
        <f>작성용!C814</f>
        <v>신규</v>
      </c>
      <c r="G817" s="58" t="str">
        <f>작성용!D814</f>
        <v>SalioGen Therapeutics</v>
      </c>
      <c r="H817" s="59" t="str">
        <f>작성용!E814</f>
        <v>KBP2022120235</v>
      </c>
      <c r="I817" s="58" t="str">
        <f>작성용!F814</f>
        <v>A05</v>
      </c>
      <c r="J817" s="58">
        <f>작성용!G814</f>
        <v>77</v>
      </c>
      <c r="K817" s="58" t="str">
        <f>작성용!H814</f>
        <v>-</v>
      </c>
      <c r="L817" s="58" t="str">
        <f>작성용!N814</f>
        <v>년</v>
      </c>
      <c r="M817" s="57" t="str">
        <f>작성용!U814</f>
        <v>2024.09.30</v>
      </c>
      <c r="N817" s="57">
        <f>작성용!V814</f>
        <v>45611</v>
      </c>
      <c r="O817" s="57" t="str">
        <f>작성용!W814</f>
        <v>보고서제공X</v>
      </c>
      <c r="P817" s="57" t="str">
        <f>작성용!X814</f>
        <v>-</v>
      </c>
      <c r="Q817" s="58" t="str">
        <f>작성용!AD814</f>
        <v>신원준</v>
      </c>
      <c r="R817" s="60">
        <f>작성용!AE814</f>
        <v>0.6</v>
      </c>
      <c r="S817" s="58" t="str">
        <f>작성용!AF814</f>
        <v>김현준</v>
      </c>
      <c r="T817" s="61" t="str">
        <f>작성용!AG814</f>
        <v>-</v>
      </c>
      <c r="U817" s="61" t="str">
        <f>작성용!AH814</f>
        <v>-</v>
      </c>
      <c r="V817" s="56">
        <f>작성용!AA814</f>
        <v>202411</v>
      </c>
      <c r="W817" s="58" t="str">
        <f>작성용!AC814</f>
        <v>[6]기타기관펀드(기초자산)</v>
      </c>
      <c r="X817" s="58">
        <f>작성용!O814</f>
        <v>0</v>
      </c>
      <c r="Y817" s="58">
        <f>작성용!P814</f>
        <v>0</v>
      </c>
      <c r="Z817" s="58">
        <f>작성용!Q814</f>
        <v>0</v>
      </c>
      <c r="AA817" s="56" t="str">
        <f>작성용!AJ814</f>
        <v>-</v>
      </c>
      <c r="AB817" s="56">
        <f>작성용!AB814</f>
        <v>0</v>
      </c>
    </row>
    <row r="818" spans="1:28" s="12" customFormat="1" ht="16.5" hidden="1" customHeight="1" x14ac:dyDescent="0.3">
      <c r="A818" s="54">
        <f>작성용!AL815</f>
        <v>814</v>
      </c>
      <c r="B818" s="55" t="str">
        <f>작성용!AI815</f>
        <v>-</v>
      </c>
      <c r="C818" s="56" t="str">
        <f>작성용!AK815</f>
        <v>기초자산</v>
      </c>
      <c r="D818" s="57" t="str">
        <f>작성용!T815</f>
        <v>고려아연펀드(기초자산)</v>
      </c>
      <c r="E818" s="58" t="str">
        <f>작성용!B815</f>
        <v>파트너스글로벌헬스케어클로버펀드</v>
      </c>
      <c r="F818" s="58" t="str">
        <f>작성용!C815</f>
        <v>신규</v>
      </c>
      <c r="G818" s="58" t="str">
        <f>작성용!D815</f>
        <v>알지노믹스</v>
      </c>
      <c r="H818" s="59">
        <f>작성용!E815</f>
        <v>1345110333209</v>
      </c>
      <c r="I818" s="58" t="str">
        <f>작성용!F815</f>
        <v>A07</v>
      </c>
      <c r="J818" s="58">
        <f>작성용!G815</f>
        <v>77</v>
      </c>
      <c r="K818" s="58" t="str">
        <f>작성용!H815</f>
        <v>-</v>
      </c>
      <c r="L818" s="58" t="str">
        <f>작성용!N815</f>
        <v>년</v>
      </c>
      <c r="M818" s="57" t="str">
        <f>작성용!U815</f>
        <v>2024.09.30</v>
      </c>
      <c r="N818" s="57">
        <f>작성용!V815</f>
        <v>45611</v>
      </c>
      <c r="O818" s="57" t="str">
        <f>작성용!W815</f>
        <v>보고서제공X</v>
      </c>
      <c r="P818" s="57" t="str">
        <f>작성용!X815</f>
        <v>-</v>
      </c>
      <c r="Q818" s="58" t="str">
        <f>작성용!AD815</f>
        <v>서경덕</v>
      </c>
      <c r="R818" s="60">
        <f>작성용!AE815</f>
        <v>0.6</v>
      </c>
      <c r="S818" s="58" t="str">
        <f>작성용!AF815</f>
        <v>서경덕</v>
      </c>
      <c r="T818" s="61" t="str">
        <f>작성용!AG815</f>
        <v>-</v>
      </c>
      <c r="U818" s="61" t="str">
        <f>작성용!AH815</f>
        <v>-</v>
      </c>
      <c r="V818" s="56">
        <f>작성용!AA815</f>
        <v>202411</v>
      </c>
      <c r="W818" s="58" t="str">
        <f>작성용!AC815</f>
        <v>[6]기타기관펀드(기초자산)</v>
      </c>
      <c r="X818" s="58">
        <f>작성용!O815</f>
        <v>0</v>
      </c>
      <c r="Y818" s="58">
        <f>작성용!P815</f>
        <v>0</v>
      </c>
      <c r="Z818" s="58">
        <f>작성용!Q815</f>
        <v>0</v>
      </c>
      <c r="AA818" s="56" t="str">
        <f>작성용!AJ815</f>
        <v>-</v>
      </c>
      <c r="AB818" s="56">
        <f>작성용!AB815</f>
        <v>0</v>
      </c>
    </row>
    <row r="819" spans="1:28" s="12" customFormat="1" ht="16.5" hidden="1" customHeight="1" x14ac:dyDescent="0.3">
      <c r="A819" s="54">
        <f>작성용!AL816</f>
        <v>815</v>
      </c>
      <c r="B819" s="55" t="str">
        <f>작성용!AI816</f>
        <v>-</v>
      </c>
      <c r="C819" s="56" t="str">
        <f>작성용!AK816</f>
        <v>기초자산</v>
      </c>
      <c r="D819" s="57" t="str">
        <f>작성용!T816</f>
        <v>고려아연펀드(기초자산)</v>
      </c>
      <c r="E819" s="58" t="str">
        <f>작성용!B816</f>
        <v>파트너스글로벌헬스케어클로버펀드</v>
      </c>
      <c r="F819" s="58" t="str">
        <f>작성용!C816</f>
        <v>신규</v>
      </c>
      <c r="G819" s="58" t="str">
        <f>작성용!D816</f>
        <v>Sonde Health, Inc.</v>
      </c>
      <c r="H819" s="59" t="str">
        <f>작성용!E816</f>
        <v>KBP2022120236</v>
      </c>
      <c r="I819" s="58" t="str">
        <f>작성용!F816</f>
        <v>A05</v>
      </c>
      <c r="J819" s="58">
        <f>작성용!G816</f>
        <v>77</v>
      </c>
      <c r="K819" s="58" t="str">
        <f>작성용!H816</f>
        <v>-</v>
      </c>
      <c r="L819" s="58" t="str">
        <f>작성용!N816</f>
        <v>년</v>
      </c>
      <c r="M819" s="57" t="str">
        <f>작성용!U816</f>
        <v>2024.09.30</v>
      </c>
      <c r="N819" s="57">
        <f>작성용!V816</f>
        <v>45611</v>
      </c>
      <c r="O819" s="57" t="str">
        <f>작성용!W816</f>
        <v>보고서제공X</v>
      </c>
      <c r="P819" s="57" t="str">
        <f>작성용!X816</f>
        <v>-</v>
      </c>
      <c r="Q819" s="58" t="str">
        <f>작성용!AD816</f>
        <v>강성은</v>
      </c>
      <c r="R819" s="60">
        <f>작성용!AE816</f>
        <v>0.6</v>
      </c>
      <c r="S819" s="58" t="str">
        <f>작성용!AF816</f>
        <v>강성은</v>
      </c>
      <c r="T819" s="61" t="str">
        <f>작성용!AG816</f>
        <v>-</v>
      </c>
      <c r="U819" s="61" t="str">
        <f>작성용!AH816</f>
        <v>-</v>
      </c>
      <c r="V819" s="56">
        <f>작성용!AA816</f>
        <v>202411</v>
      </c>
      <c r="W819" s="58" t="str">
        <f>작성용!AC816</f>
        <v>[6]기타기관펀드(기초자산)</v>
      </c>
      <c r="X819" s="58">
        <f>작성용!O816</f>
        <v>0</v>
      </c>
      <c r="Y819" s="58">
        <f>작성용!P816</f>
        <v>0</v>
      </c>
      <c r="Z819" s="58">
        <f>작성용!Q816</f>
        <v>0</v>
      </c>
      <c r="AA819" s="56" t="str">
        <f>작성용!AJ816</f>
        <v>-</v>
      </c>
      <c r="AB819" s="56">
        <f>작성용!AB816</f>
        <v>0</v>
      </c>
    </row>
    <row r="820" spans="1:28" s="12" customFormat="1" ht="16.5" hidden="1" customHeight="1" x14ac:dyDescent="0.3">
      <c r="A820" s="54">
        <f>작성용!AL817</f>
        <v>816</v>
      </c>
      <c r="B820" s="55" t="str">
        <f>작성용!AI817</f>
        <v>-</v>
      </c>
      <c r="C820" s="56" t="str">
        <f>작성용!AK817</f>
        <v>기초자산</v>
      </c>
      <c r="D820" s="57" t="str">
        <f>작성용!T817</f>
        <v>고려아연펀드(기초자산)</v>
      </c>
      <c r="E820" s="58" t="str">
        <f>작성용!B817</f>
        <v>파트너스글로벌헬스케어클로버펀드</v>
      </c>
      <c r="F820" s="58" t="str">
        <f>작성용!C817</f>
        <v>신규</v>
      </c>
      <c r="G820" s="58" t="str">
        <f>작성용!D817</f>
        <v>Sail Biomedicines, Inc.(구,Senda Biosciences)</v>
      </c>
      <c r="H820" s="59" t="str">
        <f>작성용!E817</f>
        <v>KBP2022030107</v>
      </c>
      <c r="I820" s="58" t="str">
        <f>작성용!F817</f>
        <v>A05</v>
      </c>
      <c r="J820" s="58">
        <f>작성용!G817</f>
        <v>77</v>
      </c>
      <c r="K820" s="58" t="str">
        <f>작성용!H817</f>
        <v>-</v>
      </c>
      <c r="L820" s="58" t="str">
        <f>작성용!N817</f>
        <v>년</v>
      </c>
      <c r="M820" s="57" t="str">
        <f>작성용!U817</f>
        <v>2024.09.30</v>
      </c>
      <c r="N820" s="57">
        <f>작성용!V817</f>
        <v>45611</v>
      </c>
      <c r="O820" s="57" t="str">
        <f>작성용!W817</f>
        <v>보고서제공X</v>
      </c>
      <c r="P820" s="57" t="str">
        <f>작성용!X817</f>
        <v>-</v>
      </c>
      <c r="Q820" s="58" t="str">
        <f>작성용!AD817</f>
        <v>오수현</v>
      </c>
      <c r="R820" s="60">
        <f>작성용!AE817</f>
        <v>0.6</v>
      </c>
      <c r="S820" s="58" t="str">
        <f>작성용!AF817</f>
        <v>오수현</v>
      </c>
      <c r="T820" s="61" t="str">
        <f>작성용!AG817</f>
        <v>-</v>
      </c>
      <c r="U820" s="61" t="str">
        <f>작성용!AH817</f>
        <v>-</v>
      </c>
      <c r="V820" s="56">
        <f>작성용!AA817</f>
        <v>202411</v>
      </c>
      <c r="W820" s="58" t="str">
        <f>작성용!AC817</f>
        <v>[6]기타기관펀드(기초자산)</v>
      </c>
      <c r="X820" s="58">
        <f>작성용!O817</f>
        <v>0</v>
      </c>
      <c r="Y820" s="58">
        <f>작성용!P817</f>
        <v>0</v>
      </c>
      <c r="Z820" s="58">
        <f>작성용!Q817</f>
        <v>0</v>
      </c>
      <c r="AA820" s="56" t="str">
        <f>작성용!AJ817</f>
        <v>-</v>
      </c>
      <c r="AB820" s="56">
        <f>작성용!AB817</f>
        <v>0</v>
      </c>
    </row>
    <row r="821" spans="1:28" s="12" customFormat="1" ht="16.5" hidden="1" customHeight="1" x14ac:dyDescent="0.3">
      <c r="A821" s="54">
        <f>작성용!AL818</f>
        <v>817</v>
      </c>
      <c r="B821" s="55" t="str">
        <f>작성용!AI818</f>
        <v>-</v>
      </c>
      <c r="C821" s="56" t="str">
        <f>작성용!AK818</f>
        <v>기초자산</v>
      </c>
      <c r="D821" s="57" t="str">
        <f>작성용!T818</f>
        <v>고려아연펀드(기초자산)</v>
      </c>
      <c r="E821" s="58" t="str">
        <f>작성용!B818</f>
        <v>파트너스글로벌헬스케어클로버펀드</v>
      </c>
      <c r="F821" s="58" t="str">
        <f>작성용!C818</f>
        <v>신규</v>
      </c>
      <c r="G821" s="58" t="str">
        <f>작성용!D818</f>
        <v>AltPep Corporation</v>
      </c>
      <c r="H821" s="59" t="str">
        <f>작성용!E818</f>
        <v>KBP2022120237</v>
      </c>
      <c r="I821" s="58" t="str">
        <f>작성용!F818</f>
        <v>A05</v>
      </c>
      <c r="J821" s="58">
        <f>작성용!G818</f>
        <v>77</v>
      </c>
      <c r="K821" s="58" t="str">
        <f>작성용!H818</f>
        <v>-</v>
      </c>
      <c r="L821" s="58" t="str">
        <f>작성용!N818</f>
        <v>년</v>
      </c>
      <c r="M821" s="57" t="str">
        <f>작성용!U818</f>
        <v>2024.09.30</v>
      </c>
      <c r="N821" s="57">
        <f>작성용!V818</f>
        <v>45611</v>
      </c>
      <c r="O821" s="57" t="str">
        <f>작성용!W818</f>
        <v>보고서제공X</v>
      </c>
      <c r="P821" s="57" t="str">
        <f>작성용!X818</f>
        <v>-</v>
      </c>
      <c r="Q821" s="58" t="str">
        <f>작성용!AD818</f>
        <v>변혜진</v>
      </c>
      <c r="R821" s="60">
        <f>작성용!AE818</f>
        <v>0.6</v>
      </c>
      <c r="S821" s="58" t="str">
        <f>작성용!AF818</f>
        <v>변혜진</v>
      </c>
      <c r="T821" s="61" t="str">
        <f>작성용!AG818</f>
        <v>-</v>
      </c>
      <c r="U821" s="61" t="str">
        <f>작성용!AH818</f>
        <v>-</v>
      </c>
      <c r="V821" s="56">
        <f>작성용!AA818</f>
        <v>202411</v>
      </c>
      <c r="W821" s="58" t="str">
        <f>작성용!AC818</f>
        <v>[6]기타기관펀드(기초자산)</v>
      </c>
      <c r="X821" s="58">
        <f>작성용!O818</f>
        <v>0</v>
      </c>
      <c r="Y821" s="58">
        <f>작성용!P818</f>
        <v>0</v>
      </c>
      <c r="Z821" s="58">
        <f>작성용!Q818</f>
        <v>0</v>
      </c>
      <c r="AA821" s="56" t="str">
        <f>작성용!AJ818</f>
        <v>-</v>
      </c>
      <c r="AB821" s="56">
        <f>작성용!AB818</f>
        <v>0</v>
      </c>
    </row>
    <row r="822" spans="1:28" s="12" customFormat="1" ht="16.5" hidden="1" customHeight="1" x14ac:dyDescent="0.3">
      <c r="A822" s="54">
        <f>작성용!AL819</f>
        <v>818</v>
      </c>
      <c r="B822" s="55" t="str">
        <f>작성용!AI819</f>
        <v>-</v>
      </c>
      <c r="C822" s="56" t="str">
        <f>작성용!AK819</f>
        <v>기초자산</v>
      </c>
      <c r="D822" s="57" t="str">
        <f>작성용!T819</f>
        <v>고려아연펀드(기초자산)</v>
      </c>
      <c r="E822" s="58" t="str">
        <f>작성용!B819</f>
        <v>파트너스글로벌헬스케어클로버펀드</v>
      </c>
      <c r="F822" s="58" t="str">
        <f>작성용!C819</f>
        <v>신규</v>
      </c>
      <c r="G822" s="58" t="str">
        <f>작성용!D819</f>
        <v>진캐스트</v>
      </c>
      <c r="H822" s="59">
        <f>작성용!E819</f>
        <v>1311110463106</v>
      </c>
      <c r="I822" s="58" t="str">
        <f>작성용!F819</f>
        <v>A01</v>
      </c>
      <c r="J822" s="58">
        <f>작성용!G819</f>
        <v>0</v>
      </c>
      <c r="K822" s="58" t="str">
        <f>작성용!H819</f>
        <v>-</v>
      </c>
      <c r="L822" s="58" t="str">
        <f>작성용!N819</f>
        <v>년</v>
      </c>
      <c r="M822" s="57" t="str">
        <f>작성용!U819</f>
        <v>2024.09.30</v>
      </c>
      <c r="N822" s="57">
        <f>작성용!V819</f>
        <v>45611</v>
      </c>
      <c r="O822" s="57" t="str">
        <f>작성용!W819</f>
        <v>보고서제공X</v>
      </c>
      <c r="P822" s="57" t="str">
        <f>작성용!X819</f>
        <v>-</v>
      </c>
      <c r="Q822" s="58" t="str">
        <f>작성용!AD819</f>
        <v>원정우</v>
      </c>
      <c r="R822" s="60">
        <f>작성용!AE819</f>
        <v>0.6</v>
      </c>
      <c r="S822" s="58" t="str">
        <f>작성용!AF819</f>
        <v>김혜지</v>
      </c>
      <c r="T822" s="61" t="str">
        <f>작성용!AG819</f>
        <v>-</v>
      </c>
      <c r="U822" s="61" t="str">
        <f>작성용!AH819</f>
        <v>-</v>
      </c>
      <c r="V822" s="56">
        <f>작성용!AA819</f>
        <v>202411</v>
      </c>
      <c r="W822" s="58" t="str">
        <f>작성용!AC819</f>
        <v>[6]기타기관펀드(기초자산)</v>
      </c>
      <c r="X822" s="58">
        <f>작성용!O819</f>
        <v>0</v>
      </c>
      <c r="Y822" s="58">
        <f>작성용!P819</f>
        <v>0</v>
      </c>
      <c r="Z822" s="58">
        <f>작성용!Q819</f>
        <v>0</v>
      </c>
      <c r="AA822" s="56" t="str">
        <f>작성용!AJ819</f>
        <v>-</v>
      </c>
      <c r="AB822" s="56">
        <f>작성용!AB819</f>
        <v>0</v>
      </c>
    </row>
    <row r="823" spans="1:28" s="12" customFormat="1" ht="16.5" hidden="1" customHeight="1" x14ac:dyDescent="0.3">
      <c r="A823" s="54">
        <f>작성용!AL820</f>
        <v>819</v>
      </c>
      <c r="B823" s="55" t="str">
        <f>작성용!AI820</f>
        <v>-</v>
      </c>
      <c r="C823" s="56" t="str">
        <f>작성용!AK820</f>
        <v>기초자산</v>
      </c>
      <c r="D823" s="57" t="str">
        <f>작성용!T820</f>
        <v>고려아연펀드(기초자산)</v>
      </c>
      <c r="E823" s="58" t="str">
        <f>작성용!B820</f>
        <v>파트너스글로벌헬스케어클로버펀드</v>
      </c>
      <c r="F823" s="58" t="str">
        <f>작성용!C820</f>
        <v>신규</v>
      </c>
      <c r="G823" s="58" t="str">
        <f>작성용!D820</f>
        <v>포스트바이오</v>
      </c>
      <c r="H823" s="59">
        <f>작성용!E820</f>
        <v>1101115177830</v>
      </c>
      <c r="I823" s="58" t="str">
        <f>작성용!F820</f>
        <v>A07</v>
      </c>
      <c r="J823" s="58">
        <f>작성용!G820</f>
        <v>77</v>
      </c>
      <c r="K823" s="58" t="str">
        <f>작성용!H820</f>
        <v>-</v>
      </c>
      <c r="L823" s="58" t="str">
        <f>작성용!N820</f>
        <v>년</v>
      </c>
      <c r="M823" s="57" t="str">
        <f>작성용!U820</f>
        <v>2024.09.30</v>
      </c>
      <c r="N823" s="57">
        <f>작성용!V820</f>
        <v>45611</v>
      </c>
      <c r="O823" s="57" t="str">
        <f>작성용!W820</f>
        <v>보고서제공X</v>
      </c>
      <c r="P823" s="57" t="str">
        <f>작성용!X820</f>
        <v>-</v>
      </c>
      <c r="Q823" s="58" t="str">
        <f>작성용!AD820</f>
        <v>김에스더</v>
      </c>
      <c r="R823" s="60">
        <f>작성용!AE820</f>
        <v>0.6</v>
      </c>
      <c r="S823" s="58" t="str">
        <f>작성용!AF820</f>
        <v>신규</v>
      </c>
      <c r="T823" s="61" t="str">
        <f>작성용!AG820</f>
        <v>-</v>
      </c>
      <c r="U823" s="61" t="str">
        <f>작성용!AH820</f>
        <v>-</v>
      </c>
      <c r="V823" s="56">
        <f>작성용!AA820</f>
        <v>202411</v>
      </c>
      <c r="W823" s="58" t="str">
        <f>작성용!AC820</f>
        <v>[6]기타기관펀드(기초자산)</v>
      </c>
      <c r="X823" s="58">
        <f>작성용!O820</f>
        <v>0</v>
      </c>
      <c r="Y823" s="58">
        <f>작성용!P820</f>
        <v>0</v>
      </c>
      <c r="Z823" s="58">
        <f>작성용!Q820</f>
        <v>0</v>
      </c>
      <c r="AA823" s="56" t="str">
        <f>작성용!AJ820</f>
        <v>-</v>
      </c>
      <c r="AB823" s="56">
        <f>작성용!AB820</f>
        <v>0</v>
      </c>
    </row>
    <row r="824" spans="1:28" s="12" customFormat="1" ht="16.5" hidden="1" customHeight="1" x14ac:dyDescent="0.3">
      <c r="A824" s="54">
        <f>작성용!AL821</f>
        <v>820</v>
      </c>
      <c r="B824" s="55" t="str">
        <f>작성용!AI821</f>
        <v>-</v>
      </c>
      <c r="C824" s="56" t="str">
        <f>작성용!AK821</f>
        <v>기초자산</v>
      </c>
      <c r="D824" s="57" t="str">
        <f>작성용!T821</f>
        <v>고려아연펀드(기초자산)</v>
      </c>
      <c r="E824" s="58" t="str">
        <f>작성용!B821</f>
        <v>파트너스글로벌헬스케어클로버펀드</v>
      </c>
      <c r="F824" s="58" t="str">
        <f>작성용!C821</f>
        <v>신규</v>
      </c>
      <c r="G824" s="58" t="str">
        <f>작성용!D821</f>
        <v>Ring Therapeutics</v>
      </c>
      <c r="H824" s="59" t="str">
        <f>작성용!E821</f>
        <v>KBP2021110034</v>
      </c>
      <c r="I824" s="58" t="str">
        <f>작성용!F821</f>
        <v>A05</v>
      </c>
      <c r="J824" s="58">
        <f>작성용!G821</f>
        <v>77</v>
      </c>
      <c r="K824" s="58" t="str">
        <f>작성용!H821</f>
        <v>-</v>
      </c>
      <c r="L824" s="58" t="str">
        <f>작성용!N821</f>
        <v>년</v>
      </c>
      <c r="M824" s="57" t="str">
        <f>작성용!U821</f>
        <v>2024.09.30</v>
      </c>
      <c r="N824" s="57">
        <f>작성용!V821</f>
        <v>45611</v>
      </c>
      <c r="O824" s="57" t="str">
        <f>작성용!W821</f>
        <v>보고서제공X</v>
      </c>
      <c r="P824" s="57" t="str">
        <f>작성용!X821</f>
        <v>-</v>
      </c>
      <c r="Q824" s="58" t="str">
        <f>작성용!AD821</f>
        <v>김수현</v>
      </c>
      <c r="R824" s="60">
        <f>작성용!AE821</f>
        <v>0.6</v>
      </c>
      <c r="S824" s="58" t="str">
        <f>작성용!AF821</f>
        <v>김수현</v>
      </c>
      <c r="T824" s="61" t="str">
        <f>작성용!AG821</f>
        <v>-</v>
      </c>
      <c r="U824" s="61" t="str">
        <f>작성용!AH821</f>
        <v>-</v>
      </c>
      <c r="V824" s="56">
        <f>작성용!AA821</f>
        <v>202411</v>
      </c>
      <c r="W824" s="58" t="str">
        <f>작성용!AC821</f>
        <v>[6]기타기관펀드(기초자산)</v>
      </c>
      <c r="X824" s="58">
        <f>작성용!O821</f>
        <v>0</v>
      </c>
      <c r="Y824" s="58">
        <f>작성용!P821</f>
        <v>0</v>
      </c>
      <c r="Z824" s="58">
        <f>작성용!Q821</f>
        <v>0</v>
      </c>
      <c r="AA824" s="56" t="str">
        <f>작성용!AJ821</f>
        <v>-</v>
      </c>
      <c r="AB824" s="56">
        <f>작성용!AB821</f>
        <v>0</v>
      </c>
    </row>
    <row r="825" spans="1:28" s="12" customFormat="1" ht="16.5" hidden="1" customHeight="1" x14ac:dyDescent="0.3">
      <c r="A825" s="54">
        <f>작성용!AL822</f>
        <v>821</v>
      </c>
      <c r="B825" s="55" t="str">
        <f>작성용!AI822</f>
        <v>-</v>
      </c>
      <c r="C825" s="56" t="str">
        <f>작성용!AK822</f>
        <v>기초자산</v>
      </c>
      <c r="D825" s="57" t="str">
        <f>작성용!T822</f>
        <v>고려아연펀드(기초자산)</v>
      </c>
      <c r="E825" s="58" t="str">
        <f>작성용!B822</f>
        <v>파트너스글로벌헬스케어클로버펀드</v>
      </c>
      <c r="F825" s="58" t="str">
        <f>작성용!C822</f>
        <v>신규</v>
      </c>
      <c r="G825" s="58" t="str">
        <f>작성용!D822</f>
        <v>리플라</v>
      </c>
      <c r="H825" s="59">
        <f>작성용!E822</f>
        <v>1345110418118</v>
      </c>
      <c r="I825" s="58" t="str">
        <f>작성용!F822</f>
        <v>A05</v>
      </c>
      <c r="J825" s="58">
        <f>작성용!G822</f>
        <v>77</v>
      </c>
      <c r="K825" s="58" t="str">
        <f>작성용!H822</f>
        <v>-</v>
      </c>
      <c r="L825" s="58" t="str">
        <f>작성용!N822</f>
        <v>년</v>
      </c>
      <c r="M825" s="57" t="str">
        <f>작성용!U822</f>
        <v>2024.09.30</v>
      </c>
      <c r="N825" s="57">
        <f>작성용!V822</f>
        <v>45611</v>
      </c>
      <c r="O825" s="57" t="str">
        <f>작성용!W822</f>
        <v>보고서제공X</v>
      </c>
      <c r="P825" s="57" t="str">
        <f>작성용!X822</f>
        <v>-</v>
      </c>
      <c r="Q825" s="58" t="str">
        <f>작성용!AD822</f>
        <v>오영석</v>
      </c>
      <c r="R825" s="60">
        <f>작성용!AE822</f>
        <v>0.6</v>
      </c>
      <c r="S825" s="58" t="str">
        <f>작성용!AF822</f>
        <v>이주영</v>
      </c>
      <c r="T825" s="61" t="str">
        <f>작성용!AG822</f>
        <v>-</v>
      </c>
      <c r="U825" s="61" t="str">
        <f>작성용!AH822</f>
        <v>-</v>
      </c>
      <c r="V825" s="56">
        <f>작성용!AA822</f>
        <v>202411</v>
      </c>
      <c r="W825" s="58" t="str">
        <f>작성용!AC822</f>
        <v>[6]기타기관펀드(기초자산)</v>
      </c>
      <c r="X825" s="58">
        <f>작성용!O822</f>
        <v>0</v>
      </c>
      <c r="Y825" s="58">
        <f>작성용!P822</f>
        <v>0</v>
      </c>
      <c r="Z825" s="58">
        <f>작성용!Q822</f>
        <v>0</v>
      </c>
      <c r="AA825" s="56" t="str">
        <f>작성용!AJ822</f>
        <v>-</v>
      </c>
      <c r="AB825" s="56">
        <f>작성용!AB822</f>
        <v>0</v>
      </c>
    </row>
    <row r="826" spans="1:28" s="12" customFormat="1" ht="16.5" hidden="1" customHeight="1" x14ac:dyDescent="0.3">
      <c r="A826" s="54">
        <f>작성용!AL823</f>
        <v>822</v>
      </c>
      <c r="B826" s="55" t="str">
        <f>작성용!AI823</f>
        <v>-</v>
      </c>
      <c r="C826" s="56" t="str">
        <f>작성용!AK823</f>
        <v>기초자산</v>
      </c>
      <c r="D826" s="57" t="str">
        <f>작성용!T823</f>
        <v>고려아연펀드(기초자산)</v>
      </c>
      <c r="E826" s="58" t="str">
        <f>작성용!B823</f>
        <v>인터베스트그로스세컨더리펀드</v>
      </c>
      <c r="F826" s="58" t="str">
        <f>작성용!C823</f>
        <v>신규</v>
      </c>
      <c r="G826" s="58" t="str">
        <f>작성용!D823</f>
        <v>비바리퍼블리카</v>
      </c>
      <c r="H826" s="59">
        <f>작성용!E823</f>
        <v>1101115119080</v>
      </c>
      <c r="I826" s="58" t="str">
        <f>작성용!F823</f>
        <v>A05</v>
      </c>
      <c r="J826" s="58">
        <f>작성용!G823</f>
        <v>6</v>
      </c>
      <c r="K826" s="58" t="str">
        <f>작성용!H823</f>
        <v>-</v>
      </c>
      <c r="L826" s="58" t="str">
        <f>작성용!N823</f>
        <v>년</v>
      </c>
      <c r="M826" s="57" t="str">
        <f>작성용!U823</f>
        <v>2024.09.30</v>
      </c>
      <c r="N826" s="57">
        <f>작성용!V823</f>
        <v>45611</v>
      </c>
      <c r="O826" s="57" t="str">
        <f>작성용!W823</f>
        <v>보고서제공X</v>
      </c>
      <c r="P826" s="57" t="str">
        <f>작성용!X823</f>
        <v>-</v>
      </c>
      <c r="Q826" s="58" t="str">
        <f>작성용!AD823</f>
        <v>이현승</v>
      </c>
      <c r="R826" s="60">
        <f>작성용!AE823</f>
        <v>0</v>
      </c>
      <c r="S826" s="58" t="str">
        <f>작성용!AF823</f>
        <v>이현승</v>
      </c>
      <c r="T826" s="61" t="str">
        <f>작성용!AG823</f>
        <v>-</v>
      </c>
      <c r="U826" s="61" t="str">
        <f>작성용!AH823</f>
        <v>-</v>
      </c>
      <c r="V826" s="56">
        <f>작성용!AA823</f>
        <v>202411</v>
      </c>
      <c r="W826" s="58" t="str">
        <f>작성용!AC823</f>
        <v>[X]일반기업</v>
      </c>
      <c r="X826" s="58">
        <f>작성용!O823</f>
        <v>0</v>
      </c>
      <c r="Y826" s="58">
        <f>작성용!P823</f>
        <v>0</v>
      </c>
      <c r="Z826" s="58">
        <f>작성용!Q823</f>
        <v>0</v>
      </c>
      <c r="AA826" s="56" t="str">
        <f>작성용!AJ823</f>
        <v>-</v>
      </c>
      <c r="AB826" s="56">
        <f>작성용!AB823</f>
        <v>0</v>
      </c>
    </row>
    <row r="827" spans="1:28" s="12" customFormat="1" ht="16.5" hidden="1" customHeight="1" x14ac:dyDescent="0.3">
      <c r="A827" s="54">
        <f>작성용!AL824</f>
        <v>823</v>
      </c>
      <c r="B827" s="55" t="str">
        <f>작성용!AI824</f>
        <v>-</v>
      </c>
      <c r="C827" s="56" t="str">
        <f>작성용!AK824</f>
        <v>기초자산</v>
      </c>
      <c r="D827" s="57" t="str">
        <f>작성용!T824</f>
        <v>고려아연펀드(기초자산)</v>
      </c>
      <c r="E827" s="58" t="str">
        <f>작성용!B824</f>
        <v>인터베스트그로스세컨더리펀드</v>
      </c>
      <c r="F827" s="58" t="str">
        <f>작성용!C824</f>
        <v>신규</v>
      </c>
      <c r="G827" s="58" t="str">
        <f>작성용!D824</f>
        <v>닷</v>
      </c>
      <c r="H827" s="59">
        <f>작성용!E824</f>
        <v>1101115686279</v>
      </c>
      <c r="I827" s="58" t="str">
        <f>작성용!F824</f>
        <v>A05</v>
      </c>
      <c r="J827" s="58">
        <f>작성용!G824</f>
        <v>1</v>
      </c>
      <c r="K827" s="58" t="str">
        <f>작성용!H824</f>
        <v>-</v>
      </c>
      <c r="L827" s="58" t="str">
        <f>작성용!N824</f>
        <v>년</v>
      </c>
      <c r="M827" s="57" t="str">
        <f>작성용!U824</f>
        <v>2024.09.30</v>
      </c>
      <c r="N827" s="57">
        <f>작성용!V824</f>
        <v>45611</v>
      </c>
      <c r="O827" s="57" t="str">
        <f>작성용!W824</f>
        <v>보고서제공X</v>
      </c>
      <c r="P827" s="57" t="str">
        <f>작성용!X824</f>
        <v>-</v>
      </c>
      <c r="Q827" s="58" t="str">
        <f>작성용!AD824</f>
        <v>김에스더</v>
      </c>
      <c r="R827" s="60">
        <f>작성용!AE824</f>
        <v>0</v>
      </c>
      <c r="S827" s="58" t="str">
        <f>작성용!AF824</f>
        <v>김에스더</v>
      </c>
      <c r="T827" s="61" t="str">
        <f>작성용!AG824</f>
        <v>-</v>
      </c>
      <c r="U827" s="61" t="str">
        <f>작성용!AH824</f>
        <v>-</v>
      </c>
      <c r="V827" s="56">
        <f>작성용!AA824</f>
        <v>202411</v>
      </c>
      <c r="W827" s="58" t="str">
        <f>작성용!AC824</f>
        <v>[X]일반기업</v>
      </c>
      <c r="X827" s="58">
        <f>작성용!O824</f>
        <v>0</v>
      </c>
      <c r="Y827" s="58">
        <f>작성용!P824</f>
        <v>0</v>
      </c>
      <c r="Z827" s="58">
        <f>작성용!Q824</f>
        <v>0</v>
      </c>
      <c r="AA827" s="56" t="str">
        <f>작성용!AJ824</f>
        <v>-</v>
      </c>
      <c r="AB827" s="56">
        <f>작성용!AB824</f>
        <v>0</v>
      </c>
    </row>
    <row r="828" spans="1:28" s="12" customFormat="1" ht="16.5" hidden="1" customHeight="1" x14ac:dyDescent="0.3">
      <c r="A828" s="54">
        <f>작성용!AL825</f>
        <v>824</v>
      </c>
      <c r="B828" s="55" t="str">
        <f>작성용!AI825</f>
        <v>-</v>
      </c>
      <c r="C828" s="56" t="str">
        <f>작성용!AK825</f>
        <v>기초자산</v>
      </c>
      <c r="D828" s="57" t="str">
        <f>작성용!T825</f>
        <v>고려아연펀드(기초자산)</v>
      </c>
      <c r="E828" s="58" t="str">
        <f>작성용!B825</f>
        <v>인터베스트그로스세컨더리펀드</v>
      </c>
      <c r="F828" s="58" t="str">
        <f>작성용!C825</f>
        <v>신규</v>
      </c>
      <c r="G828" s="58" t="str">
        <f>작성용!D825</f>
        <v>닷</v>
      </c>
      <c r="H828" s="59">
        <f>작성용!E825</f>
        <v>1101115686279</v>
      </c>
      <c r="I828" s="58" t="str">
        <f>작성용!F825</f>
        <v>A01</v>
      </c>
      <c r="J828" s="58">
        <f>작성용!G825</f>
        <v>0</v>
      </c>
      <c r="K828" s="58" t="str">
        <f>작성용!H825</f>
        <v>-</v>
      </c>
      <c r="L828" s="58" t="str">
        <f>작성용!N825</f>
        <v>년</v>
      </c>
      <c r="M828" s="57" t="str">
        <f>작성용!U825</f>
        <v>2024.09.30</v>
      </c>
      <c r="N828" s="57">
        <f>작성용!V825</f>
        <v>45611</v>
      </c>
      <c r="O828" s="57" t="str">
        <f>작성용!W825</f>
        <v>보고서제공X</v>
      </c>
      <c r="P828" s="57" t="str">
        <f>작성용!X825</f>
        <v>-</v>
      </c>
      <c r="Q828" s="58" t="str">
        <f>작성용!AD825</f>
        <v>김에스더</v>
      </c>
      <c r="R828" s="60">
        <f>작성용!AE825</f>
        <v>0</v>
      </c>
      <c r="S828" s="58" t="str">
        <f>작성용!AF825</f>
        <v>김에스더</v>
      </c>
      <c r="T828" s="61" t="str">
        <f>작성용!AG825</f>
        <v>-</v>
      </c>
      <c r="U828" s="61" t="str">
        <f>작성용!AH825</f>
        <v>-</v>
      </c>
      <c r="V828" s="56">
        <f>작성용!AA825</f>
        <v>202411</v>
      </c>
      <c r="W828" s="58" t="str">
        <f>작성용!AC825</f>
        <v>[X]일반기업</v>
      </c>
      <c r="X828" s="58">
        <f>작성용!O825</f>
        <v>0</v>
      </c>
      <c r="Y828" s="58">
        <f>작성용!P825</f>
        <v>0</v>
      </c>
      <c r="Z828" s="58">
        <f>작성용!Q825</f>
        <v>0</v>
      </c>
      <c r="AA828" s="56" t="str">
        <f>작성용!AJ825</f>
        <v>-</v>
      </c>
      <c r="AB828" s="56">
        <f>작성용!AB825</f>
        <v>0</v>
      </c>
    </row>
    <row r="829" spans="1:28" s="12" customFormat="1" ht="16.5" hidden="1" customHeight="1" x14ac:dyDescent="0.3">
      <c r="A829" s="54">
        <f>작성용!AL826</f>
        <v>825</v>
      </c>
      <c r="B829" s="55" t="str">
        <f>작성용!AI826</f>
        <v>-</v>
      </c>
      <c r="C829" s="56" t="str">
        <f>작성용!AK826</f>
        <v>기초자산</v>
      </c>
      <c r="D829" s="57" t="str">
        <f>작성용!T826</f>
        <v>고려아연펀드(기초자산)</v>
      </c>
      <c r="E829" s="58" t="str">
        <f>작성용!B826</f>
        <v>인터베스트그로스세컨더리펀드</v>
      </c>
      <c r="F829" s="58" t="str">
        <f>작성용!C826</f>
        <v>신규</v>
      </c>
      <c r="G829" s="58" t="str">
        <f>작성용!D826</f>
        <v>닷</v>
      </c>
      <c r="H829" s="59">
        <f>작성용!E826</f>
        <v>1101115686279</v>
      </c>
      <c r="I829" s="58" t="str">
        <f>작성용!F826</f>
        <v>A07</v>
      </c>
      <c r="J829" s="58">
        <f>작성용!G826</f>
        <v>10</v>
      </c>
      <c r="K829" s="58" t="str">
        <f>작성용!H826</f>
        <v>-</v>
      </c>
      <c r="L829" s="58" t="str">
        <f>작성용!N826</f>
        <v>년</v>
      </c>
      <c r="M829" s="57" t="str">
        <f>작성용!U826</f>
        <v>2024.09.30</v>
      </c>
      <c r="N829" s="57">
        <f>작성용!V826</f>
        <v>45611</v>
      </c>
      <c r="O829" s="57" t="str">
        <f>작성용!W826</f>
        <v>보고서제공X</v>
      </c>
      <c r="P829" s="57" t="str">
        <f>작성용!X826</f>
        <v>-</v>
      </c>
      <c r="Q829" s="58" t="str">
        <f>작성용!AD826</f>
        <v>김에스더</v>
      </c>
      <c r="R829" s="60">
        <f>작성용!AE826</f>
        <v>0</v>
      </c>
      <c r="S829" s="58" t="str">
        <f>작성용!AF826</f>
        <v>김에스더</v>
      </c>
      <c r="T829" s="61" t="str">
        <f>작성용!AG826</f>
        <v>-</v>
      </c>
      <c r="U829" s="61" t="str">
        <f>작성용!AH826</f>
        <v>-</v>
      </c>
      <c r="V829" s="56">
        <f>작성용!AA826</f>
        <v>202411</v>
      </c>
      <c r="W829" s="58" t="str">
        <f>작성용!AC826</f>
        <v>[X]일반기업</v>
      </c>
      <c r="X829" s="58">
        <f>작성용!O826</f>
        <v>0</v>
      </c>
      <c r="Y829" s="58">
        <f>작성용!P826</f>
        <v>0</v>
      </c>
      <c r="Z829" s="58">
        <f>작성용!Q826</f>
        <v>0</v>
      </c>
      <c r="AA829" s="56" t="str">
        <f>작성용!AJ826</f>
        <v>-</v>
      </c>
      <c r="AB829" s="56">
        <f>작성용!AB826</f>
        <v>0</v>
      </c>
    </row>
    <row r="830" spans="1:28" s="12" customFormat="1" ht="16.5" hidden="1" customHeight="1" x14ac:dyDescent="0.3">
      <c r="A830" s="54">
        <f>작성용!AL827</f>
        <v>826</v>
      </c>
      <c r="B830" s="55" t="str">
        <f>작성용!AI827</f>
        <v>-</v>
      </c>
      <c r="C830" s="56" t="str">
        <f>작성용!AK827</f>
        <v>기초자산</v>
      </c>
      <c r="D830" s="57" t="str">
        <f>작성용!T827</f>
        <v>고려아연펀드(기초자산)</v>
      </c>
      <c r="E830" s="58" t="str">
        <f>작성용!B827</f>
        <v>인터베스트그로스세컨더리펀드</v>
      </c>
      <c r="F830" s="58" t="str">
        <f>작성용!C827</f>
        <v>신규</v>
      </c>
      <c r="G830" s="58" t="str">
        <f>작성용!D827</f>
        <v>닷</v>
      </c>
      <c r="H830" s="59">
        <f>작성용!E827</f>
        <v>1101115686279</v>
      </c>
      <c r="I830" s="58" t="str">
        <f>작성용!F827</f>
        <v>A07</v>
      </c>
      <c r="J830" s="58">
        <f>작성용!G827</f>
        <v>11</v>
      </c>
      <c r="K830" s="58" t="str">
        <f>작성용!H827</f>
        <v>-</v>
      </c>
      <c r="L830" s="58" t="str">
        <f>작성용!N827</f>
        <v>년</v>
      </c>
      <c r="M830" s="57" t="str">
        <f>작성용!U827</f>
        <v>2024.09.30</v>
      </c>
      <c r="N830" s="57">
        <f>작성용!V827</f>
        <v>45611</v>
      </c>
      <c r="O830" s="57" t="str">
        <f>작성용!W827</f>
        <v>보고서제공X</v>
      </c>
      <c r="P830" s="57" t="str">
        <f>작성용!X827</f>
        <v>-</v>
      </c>
      <c r="Q830" s="58" t="str">
        <f>작성용!AD827</f>
        <v>김에스더</v>
      </c>
      <c r="R830" s="60">
        <f>작성용!AE827</f>
        <v>0</v>
      </c>
      <c r="S830" s="58" t="str">
        <f>작성용!AF827</f>
        <v>김에스더</v>
      </c>
      <c r="T830" s="61" t="str">
        <f>작성용!AG827</f>
        <v>-</v>
      </c>
      <c r="U830" s="61" t="str">
        <f>작성용!AH827</f>
        <v>-</v>
      </c>
      <c r="V830" s="56">
        <f>작성용!AA827</f>
        <v>202411</v>
      </c>
      <c r="W830" s="58" t="str">
        <f>작성용!AC827</f>
        <v>[X]일반기업</v>
      </c>
      <c r="X830" s="58">
        <f>작성용!O827</f>
        <v>0</v>
      </c>
      <c r="Y830" s="58">
        <f>작성용!P827</f>
        <v>0</v>
      </c>
      <c r="Z830" s="58">
        <f>작성용!Q827</f>
        <v>0</v>
      </c>
      <c r="AA830" s="56" t="str">
        <f>작성용!AJ827</f>
        <v>-</v>
      </c>
      <c r="AB830" s="56">
        <f>작성용!AB827</f>
        <v>0</v>
      </c>
    </row>
    <row r="831" spans="1:28" s="12" customFormat="1" ht="16.5" hidden="1" customHeight="1" x14ac:dyDescent="0.3">
      <c r="A831" s="54">
        <f>작성용!AL828</f>
        <v>827</v>
      </c>
      <c r="B831" s="55" t="str">
        <f>작성용!AI828</f>
        <v>-</v>
      </c>
      <c r="C831" s="56" t="str">
        <f>작성용!AK828</f>
        <v>기초자산</v>
      </c>
      <c r="D831" s="57" t="str">
        <f>작성용!T828</f>
        <v>고려아연펀드(기초자산)</v>
      </c>
      <c r="E831" s="58" t="str">
        <f>작성용!B828</f>
        <v>포지티브세컨더리벤처투자조합제2호</v>
      </c>
      <c r="F831" s="58" t="str">
        <f>작성용!C828</f>
        <v>신규</v>
      </c>
      <c r="G831" s="58" t="str">
        <f>작성용!D828</f>
        <v>오름테라퓨틱</v>
      </c>
      <c r="H831" s="59">
        <f>작성용!E828</f>
        <v>1601110433518</v>
      </c>
      <c r="I831" s="58" t="str">
        <f>작성용!F828</f>
        <v>A01</v>
      </c>
      <c r="J831" s="58">
        <f>작성용!G828</f>
        <v>0</v>
      </c>
      <c r="K831" s="58" t="str">
        <f>작성용!H828</f>
        <v>-</v>
      </c>
      <c r="L831" s="58" t="str">
        <f>작성용!N828</f>
        <v>년</v>
      </c>
      <c r="M831" s="57" t="str">
        <f>작성용!U828</f>
        <v>2024.09.30</v>
      </c>
      <c r="N831" s="57">
        <f>작성용!V828</f>
        <v>45611</v>
      </c>
      <c r="O831" s="57" t="str">
        <f>작성용!W828</f>
        <v>보고서제공X</v>
      </c>
      <c r="P831" s="57" t="str">
        <f>작성용!X828</f>
        <v>-</v>
      </c>
      <c r="Q831" s="58" t="str">
        <f>작성용!AD828</f>
        <v>이상민</v>
      </c>
      <c r="R831" s="60">
        <f>작성용!AE828</f>
        <v>0</v>
      </c>
      <c r="S831" s="58" t="str">
        <f>작성용!AF828</f>
        <v>이상민</v>
      </c>
      <c r="T831" s="61" t="str">
        <f>작성용!AG828</f>
        <v>-</v>
      </c>
      <c r="U831" s="61" t="str">
        <f>작성용!AH828</f>
        <v>-</v>
      </c>
      <c r="V831" s="56">
        <f>작성용!AA828</f>
        <v>202411</v>
      </c>
      <c r="W831" s="58" t="str">
        <f>작성용!AC828</f>
        <v>[6]기타기관펀드(기초자산)</v>
      </c>
      <c r="X831" s="58">
        <f>작성용!O828</f>
        <v>0</v>
      </c>
      <c r="Y831" s="58">
        <f>작성용!P828</f>
        <v>0</v>
      </c>
      <c r="Z831" s="58">
        <f>작성용!Q828</f>
        <v>0</v>
      </c>
      <c r="AA831" s="56" t="str">
        <f>작성용!AJ828</f>
        <v>-</v>
      </c>
      <c r="AB831" s="56">
        <f>작성용!AB828</f>
        <v>0</v>
      </c>
    </row>
    <row r="832" spans="1:28" s="12" customFormat="1" ht="16.5" hidden="1" customHeight="1" x14ac:dyDescent="0.3">
      <c r="A832" s="54">
        <f>작성용!AL829</f>
        <v>828</v>
      </c>
      <c r="B832" s="55" t="str">
        <f>작성용!AI829</f>
        <v>-</v>
      </c>
      <c r="C832" s="56" t="str">
        <f>작성용!AK829</f>
        <v>기초자산</v>
      </c>
      <c r="D832" s="57" t="str">
        <f>작성용!T829</f>
        <v>고려아연펀드(기초자산)</v>
      </c>
      <c r="E832" s="58" t="str">
        <f>작성용!B829</f>
        <v>포지티브세컨더리벤처투자조합제2호</v>
      </c>
      <c r="F832" s="58" t="str">
        <f>작성용!C829</f>
        <v>신규</v>
      </c>
      <c r="G832" s="58" t="str">
        <f>작성용!D829</f>
        <v>스카이테라퓨틱스</v>
      </c>
      <c r="H832" s="59">
        <f>작성용!E829</f>
        <v>1101117138559</v>
      </c>
      <c r="I832" s="58" t="str">
        <f>작성용!F829</f>
        <v>A07</v>
      </c>
      <c r="J832" s="58">
        <f>작성용!G829</f>
        <v>77</v>
      </c>
      <c r="K832" s="58" t="str">
        <f>작성용!H829</f>
        <v>-</v>
      </c>
      <c r="L832" s="58" t="str">
        <f>작성용!N829</f>
        <v>년</v>
      </c>
      <c r="M832" s="57" t="str">
        <f>작성용!U829</f>
        <v>2024.09.30</v>
      </c>
      <c r="N832" s="57">
        <f>작성용!V829</f>
        <v>45611</v>
      </c>
      <c r="O832" s="57" t="str">
        <f>작성용!W829</f>
        <v>보고서제공X</v>
      </c>
      <c r="P832" s="57" t="str">
        <f>작성용!X829</f>
        <v>-</v>
      </c>
      <c r="Q832" s="58" t="str">
        <f>작성용!AD829</f>
        <v>변혜진</v>
      </c>
      <c r="R832" s="60">
        <f>작성용!AE829</f>
        <v>0</v>
      </c>
      <c r="S832" s="58" t="str">
        <f>작성용!AF829</f>
        <v>변혜진</v>
      </c>
      <c r="T832" s="61" t="str">
        <f>작성용!AG829</f>
        <v>-</v>
      </c>
      <c r="U832" s="61" t="str">
        <f>작성용!AH829</f>
        <v>-</v>
      </c>
      <c r="V832" s="56">
        <f>작성용!AA829</f>
        <v>202411</v>
      </c>
      <c r="W832" s="58" t="str">
        <f>작성용!AC829</f>
        <v>[6]기타기관펀드(기초자산)</v>
      </c>
      <c r="X832" s="58">
        <f>작성용!O829</f>
        <v>0</v>
      </c>
      <c r="Y832" s="58">
        <f>작성용!P829</f>
        <v>0</v>
      </c>
      <c r="Z832" s="58">
        <f>작성용!Q829</f>
        <v>0</v>
      </c>
      <c r="AA832" s="56" t="str">
        <f>작성용!AJ829</f>
        <v>-</v>
      </c>
      <c r="AB832" s="56">
        <f>작성용!AB829</f>
        <v>0</v>
      </c>
    </row>
    <row r="833" spans="1:28" s="12" customFormat="1" ht="16.5" hidden="1" customHeight="1" x14ac:dyDescent="0.3">
      <c r="A833" s="54">
        <f>작성용!AL830</f>
        <v>829</v>
      </c>
      <c r="B833" s="55" t="str">
        <f>작성용!AI830</f>
        <v>-</v>
      </c>
      <c r="C833" s="56" t="str">
        <f>작성용!AK830</f>
        <v>기초자산</v>
      </c>
      <c r="D833" s="57" t="str">
        <f>작성용!T830</f>
        <v>고려아연펀드(기초자산)</v>
      </c>
      <c r="E833" s="58" t="str">
        <f>작성용!B830</f>
        <v>포지티브세컨더리벤처투자조합제2호</v>
      </c>
      <c r="F833" s="58" t="str">
        <f>작성용!C830</f>
        <v>신규</v>
      </c>
      <c r="G833" s="58" t="str">
        <f>작성용!D830</f>
        <v>오아</v>
      </c>
      <c r="H833" s="59">
        <f>작성용!E830</f>
        <v>1101115328615</v>
      </c>
      <c r="I833" s="58" t="str">
        <f>작성용!F830</f>
        <v>A01</v>
      </c>
      <c r="J833" s="58">
        <f>작성용!G830</f>
        <v>0</v>
      </c>
      <c r="K833" s="58" t="str">
        <f>작성용!H830</f>
        <v>-</v>
      </c>
      <c r="L833" s="58" t="str">
        <f>작성용!N830</f>
        <v>년</v>
      </c>
      <c r="M833" s="57" t="str">
        <f>작성용!U830</f>
        <v>2024.09.30</v>
      </c>
      <c r="N833" s="57">
        <f>작성용!V830</f>
        <v>45611</v>
      </c>
      <c r="O833" s="57" t="str">
        <f>작성용!W830</f>
        <v>보고서제공X</v>
      </c>
      <c r="P833" s="57" t="str">
        <f>작성용!X830</f>
        <v>-</v>
      </c>
      <c r="Q833" s="58" t="str">
        <f>작성용!AD830</f>
        <v>서동현</v>
      </c>
      <c r="R833" s="60">
        <f>작성용!AE830</f>
        <v>0</v>
      </c>
      <c r="S833" s="58" t="str">
        <f>작성용!AF830</f>
        <v>서동현</v>
      </c>
      <c r="T833" s="61" t="str">
        <f>작성용!AG830</f>
        <v>-</v>
      </c>
      <c r="U833" s="61" t="str">
        <f>작성용!AH830</f>
        <v>-</v>
      </c>
      <c r="V833" s="56">
        <f>작성용!AA830</f>
        <v>202411</v>
      </c>
      <c r="W833" s="58" t="str">
        <f>작성용!AC830</f>
        <v>[6]기타기관펀드(기초자산)</v>
      </c>
      <c r="X833" s="58">
        <f>작성용!O830</f>
        <v>0</v>
      </c>
      <c r="Y833" s="58">
        <f>작성용!P830</f>
        <v>0</v>
      </c>
      <c r="Z833" s="58">
        <f>작성용!Q830</f>
        <v>0</v>
      </c>
      <c r="AA833" s="56" t="str">
        <f>작성용!AJ830</f>
        <v>-</v>
      </c>
      <c r="AB833" s="56">
        <f>작성용!AB830</f>
        <v>0</v>
      </c>
    </row>
    <row r="834" spans="1:28" s="12" customFormat="1" ht="16.5" hidden="1" customHeight="1" x14ac:dyDescent="0.3">
      <c r="A834" s="54">
        <f>작성용!AL831</f>
        <v>830</v>
      </c>
      <c r="B834" s="55" t="str">
        <f>작성용!AI831</f>
        <v>-</v>
      </c>
      <c r="C834" s="56" t="str">
        <f>작성용!AK831</f>
        <v>기초자산</v>
      </c>
      <c r="D834" s="57" t="str">
        <f>작성용!T831</f>
        <v>고려아연펀드(기초자산)</v>
      </c>
      <c r="E834" s="58" t="str">
        <f>작성용!B831</f>
        <v>포지티브세컨더리벤처투자조합제2호</v>
      </c>
      <c r="F834" s="58" t="str">
        <f>작성용!C831</f>
        <v>신규</v>
      </c>
      <c r="G834" s="58" t="str">
        <f>작성용!D831</f>
        <v>오아</v>
      </c>
      <c r="H834" s="59">
        <f>작성용!E831</f>
        <v>1101115328615</v>
      </c>
      <c r="I834" s="58" t="str">
        <f>작성용!F831</f>
        <v>A01</v>
      </c>
      <c r="J834" s="58">
        <f>작성용!G831</f>
        <v>0</v>
      </c>
      <c r="K834" s="58" t="str">
        <f>작성용!H831</f>
        <v>-</v>
      </c>
      <c r="L834" s="58" t="str">
        <f>작성용!N831</f>
        <v>년</v>
      </c>
      <c r="M834" s="57" t="str">
        <f>작성용!U831</f>
        <v>2024.09.30</v>
      </c>
      <c r="N834" s="57">
        <f>작성용!V831</f>
        <v>45611</v>
      </c>
      <c r="O834" s="57" t="str">
        <f>작성용!W831</f>
        <v>보고서제공X</v>
      </c>
      <c r="P834" s="57" t="str">
        <f>작성용!X831</f>
        <v>-</v>
      </c>
      <c r="Q834" s="58" t="str">
        <f>작성용!AD831</f>
        <v>서동현</v>
      </c>
      <c r="R834" s="60">
        <f>작성용!AE831</f>
        <v>0</v>
      </c>
      <c r="S834" s="58" t="str">
        <f>작성용!AF831</f>
        <v>서동현</v>
      </c>
      <c r="T834" s="61" t="str">
        <f>작성용!AG831</f>
        <v>-</v>
      </c>
      <c r="U834" s="61" t="str">
        <f>작성용!AH831</f>
        <v>-</v>
      </c>
      <c r="V834" s="56">
        <f>작성용!AA831</f>
        <v>202411</v>
      </c>
      <c r="W834" s="58" t="str">
        <f>작성용!AC831</f>
        <v>[6]기타기관펀드(기초자산)</v>
      </c>
      <c r="X834" s="58">
        <f>작성용!O831</f>
        <v>0</v>
      </c>
      <c r="Y834" s="58">
        <f>작성용!P831</f>
        <v>0</v>
      </c>
      <c r="Z834" s="58">
        <f>작성용!Q831</f>
        <v>0</v>
      </c>
      <c r="AA834" s="56" t="str">
        <f>작성용!AJ831</f>
        <v>-</v>
      </c>
      <c r="AB834" s="56">
        <f>작성용!AB831</f>
        <v>0</v>
      </c>
    </row>
    <row r="835" spans="1:28" s="12" customFormat="1" ht="16.5" hidden="1" customHeight="1" x14ac:dyDescent="0.3">
      <c r="A835" s="54">
        <f>작성용!AL832</f>
        <v>831</v>
      </c>
      <c r="B835" s="55" t="str">
        <f>작성용!AI832</f>
        <v>-</v>
      </c>
      <c r="C835" s="56" t="str">
        <f>작성용!AK832</f>
        <v>기초자산</v>
      </c>
      <c r="D835" s="57" t="str">
        <f>작성용!T832</f>
        <v>고려아연펀드(기초자산)</v>
      </c>
      <c r="E835" s="58" t="str">
        <f>작성용!B832</f>
        <v>포지티브세컨더리벤처투자조합제2호</v>
      </c>
      <c r="F835" s="58" t="str">
        <f>작성용!C832</f>
        <v>신규</v>
      </c>
      <c r="G835" s="58" t="str">
        <f>작성용!D832</f>
        <v>에이스엔지니어링</v>
      </c>
      <c r="H835" s="59">
        <f>작성용!E832</f>
        <v>1101110778526</v>
      </c>
      <c r="I835" s="58" t="str">
        <f>작성용!F832</f>
        <v>A01</v>
      </c>
      <c r="J835" s="58">
        <f>작성용!G832</f>
        <v>0</v>
      </c>
      <c r="K835" s="58" t="str">
        <f>작성용!H832</f>
        <v>-</v>
      </c>
      <c r="L835" s="58" t="str">
        <f>작성용!N832</f>
        <v>년</v>
      </c>
      <c r="M835" s="57" t="str">
        <f>작성용!U832</f>
        <v>2024.09.30</v>
      </c>
      <c r="N835" s="57">
        <f>작성용!V832</f>
        <v>45611</v>
      </c>
      <c r="O835" s="57" t="str">
        <f>작성용!W832</f>
        <v>보고서제공X</v>
      </c>
      <c r="P835" s="57" t="str">
        <f>작성용!X832</f>
        <v>-</v>
      </c>
      <c r="Q835" s="58" t="str">
        <f>작성용!AD832</f>
        <v>백형진</v>
      </c>
      <c r="R835" s="60">
        <f>작성용!AE832</f>
        <v>0</v>
      </c>
      <c r="S835" s="58" t="str">
        <f>작성용!AF832</f>
        <v>백형진</v>
      </c>
      <c r="T835" s="61" t="str">
        <f>작성용!AG832</f>
        <v>-</v>
      </c>
      <c r="U835" s="61" t="str">
        <f>작성용!AH832</f>
        <v>-</v>
      </c>
      <c r="V835" s="56">
        <f>작성용!AA832</f>
        <v>202411</v>
      </c>
      <c r="W835" s="58" t="str">
        <f>작성용!AC832</f>
        <v>[6]기타기관펀드(기초자산)</v>
      </c>
      <c r="X835" s="58">
        <f>작성용!O832</f>
        <v>0</v>
      </c>
      <c r="Y835" s="58">
        <f>작성용!P832</f>
        <v>0</v>
      </c>
      <c r="Z835" s="58">
        <f>작성용!Q832</f>
        <v>0</v>
      </c>
      <c r="AA835" s="56" t="str">
        <f>작성용!AJ832</f>
        <v>-</v>
      </c>
      <c r="AB835" s="56">
        <f>작성용!AB832</f>
        <v>0</v>
      </c>
    </row>
    <row r="836" spans="1:28" s="12" customFormat="1" ht="16.5" hidden="1" customHeight="1" x14ac:dyDescent="0.3">
      <c r="A836" s="54">
        <f>작성용!AL833</f>
        <v>832</v>
      </c>
      <c r="B836" s="55" t="str">
        <f>작성용!AI833</f>
        <v>-</v>
      </c>
      <c r="C836" s="56" t="str">
        <f>작성용!AK833</f>
        <v>기초자산</v>
      </c>
      <c r="D836" s="57" t="str">
        <f>작성용!T833</f>
        <v>고려아연펀드(기초자산)</v>
      </c>
      <c r="E836" s="58" t="str">
        <f>작성용!B833</f>
        <v>포지티브세컨더리벤처투자조합제2호</v>
      </c>
      <c r="F836" s="58" t="str">
        <f>작성용!C833</f>
        <v>신규</v>
      </c>
      <c r="G836" s="58" t="str">
        <f>작성용!D833</f>
        <v>에이유브랜즈</v>
      </c>
      <c r="H836" s="59">
        <f>작성용!E833</f>
        <v>1101118185567</v>
      </c>
      <c r="I836" s="58" t="str">
        <f>작성용!F833</f>
        <v>A01</v>
      </c>
      <c r="J836" s="58">
        <f>작성용!G833</f>
        <v>0</v>
      </c>
      <c r="K836" s="58" t="str">
        <f>작성용!H833</f>
        <v>-</v>
      </c>
      <c r="L836" s="58" t="str">
        <f>작성용!N833</f>
        <v>년</v>
      </c>
      <c r="M836" s="57" t="str">
        <f>작성용!U833</f>
        <v>2024.09.30</v>
      </c>
      <c r="N836" s="57">
        <f>작성용!V833</f>
        <v>45611</v>
      </c>
      <c r="O836" s="57" t="str">
        <f>작성용!W833</f>
        <v>보고서제공X</v>
      </c>
      <c r="P836" s="57" t="str">
        <f>작성용!X833</f>
        <v>-</v>
      </c>
      <c r="Q836" s="58" t="str">
        <f>작성용!AD833</f>
        <v>원정우</v>
      </c>
      <c r="R836" s="60">
        <f>작성용!AE833</f>
        <v>0</v>
      </c>
      <c r="S836" s="58" t="str">
        <f>작성용!AF833</f>
        <v>신규</v>
      </c>
      <c r="T836" s="61" t="str">
        <f>작성용!AG833</f>
        <v>-</v>
      </c>
      <c r="U836" s="61" t="str">
        <f>작성용!AH833</f>
        <v>-</v>
      </c>
      <c r="V836" s="56">
        <f>작성용!AA833</f>
        <v>202411</v>
      </c>
      <c r="W836" s="58" t="str">
        <f>작성용!AC833</f>
        <v>[6]기타기관펀드(기초자산)</v>
      </c>
      <c r="X836" s="58">
        <f>작성용!O833</f>
        <v>0</v>
      </c>
      <c r="Y836" s="58">
        <f>작성용!P833</f>
        <v>0</v>
      </c>
      <c r="Z836" s="58">
        <f>작성용!Q833</f>
        <v>0</v>
      </c>
      <c r="AA836" s="56" t="str">
        <f>작성용!AJ833</f>
        <v>-</v>
      </c>
      <c r="AB836" s="56">
        <f>작성용!AB833</f>
        <v>0</v>
      </c>
    </row>
    <row r="837" spans="1:28" s="12" customFormat="1" ht="16.5" hidden="1" customHeight="1" x14ac:dyDescent="0.3">
      <c r="A837" s="54">
        <f>작성용!AL834</f>
        <v>833</v>
      </c>
      <c r="B837" s="55" t="str">
        <f>작성용!AI834</f>
        <v>-</v>
      </c>
      <c r="C837" s="56" t="str">
        <f>작성용!AK834</f>
        <v>개별종목</v>
      </c>
      <c r="D837" s="57">
        <f>작성용!T834</f>
        <v>45588</v>
      </c>
      <c r="E837" s="58" t="str">
        <f>작성용!B834</f>
        <v>라미쿠스</v>
      </c>
      <c r="F837" s="58" t="str">
        <f>작성용!C834</f>
        <v>신규</v>
      </c>
      <c r="G837" s="58" t="str">
        <f>작성용!D834</f>
        <v>라미쿠스</v>
      </c>
      <c r="H837" s="59">
        <f>작성용!E834</f>
        <v>1101117982526</v>
      </c>
      <c r="I837" s="58" t="str">
        <f>작성용!F834</f>
        <v>A01</v>
      </c>
      <c r="J837" s="58">
        <f>작성용!G834</f>
        <v>0</v>
      </c>
      <c r="K837" s="58" t="str">
        <f>작성용!H834</f>
        <v>-</v>
      </c>
      <c r="L837" s="58" t="str">
        <f>작성용!N834</f>
        <v>미정</v>
      </c>
      <c r="M837" s="57" t="str">
        <f>작성용!U834</f>
        <v>2024.12.31</v>
      </c>
      <c r="N837" s="57">
        <f>작성용!V834</f>
        <v>45672</v>
      </c>
      <c r="O837" s="57">
        <f>작성용!W834</f>
        <v>45684</v>
      </c>
      <c r="P837" s="57" t="str">
        <f>작성용!X834</f>
        <v>-</v>
      </c>
      <c r="Q837" s="58" t="str">
        <f>작성용!AD834</f>
        <v>최수민</v>
      </c>
      <c r="R837" s="60">
        <f>작성용!AE834</f>
        <v>1</v>
      </c>
      <c r="S837" s="58" t="str">
        <f>작성용!AF834</f>
        <v>최수민</v>
      </c>
      <c r="T837" s="61" t="str">
        <f>작성용!AG834</f>
        <v>최수민</v>
      </c>
      <c r="U837" s="61" t="str">
        <f>작성용!AH834</f>
        <v>최수민</v>
      </c>
      <c r="V837" s="56">
        <f>작성용!AA834</f>
        <v>202412</v>
      </c>
      <c r="W837" s="58" t="str">
        <f>작성용!AC834</f>
        <v>[X]일반기업</v>
      </c>
      <c r="X837" s="58" t="str">
        <f>작성용!O834</f>
        <v>박서경부장</v>
      </c>
      <c r="Y837" s="58" t="str">
        <f>작성용!P834</f>
        <v>070-7549-2892</v>
      </c>
      <c r="Z837" s="58" t="str">
        <f>작성용!Q834</f>
        <v>skpark963@gmail.com</v>
      </c>
      <c r="AA837" s="56" t="str">
        <f>작성용!AJ834</f>
        <v>회계반영</v>
      </c>
      <c r="AB837" s="56">
        <f>작성용!AB834</f>
        <v>0</v>
      </c>
    </row>
    <row r="838" spans="1:28" s="12" customFormat="1" ht="16.5" hidden="1" customHeight="1" x14ac:dyDescent="0.3">
      <c r="A838" s="54">
        <f>작성용!AL835</f>
        <v>834</v>
      </c>
      <c r="B838" s="55" t="str">
        <f>작성용!AI835</f>
        <v>-</v>
      </c>
      <c r="C838" s="56" t="str">
        <f>작성용!AK835</f>
        <v>개별종목</v>
      </c>
      <c r="D838" s="57">
        <f>작성용!T835</f>
        <v>45588</v>
      </c>
      <c r="E838" s="58" t="str">
        <f>작성용!B835</f>
        <v>라미쿠스</v>
      </c>
      <c r="F838" s="58" t="str">
        <f>작성용!C835</f>
        <v>신규</v>
      </c>
      <c r="G838" s="58" t="str">
        <f>작성용!D835</f>
        <v>라미쿠스</v>
      </c>
      <c r="H838" s="59">
        <f>작성용!E835</f>
        <v>1101117982526</v>
      </c>
      <c r="I838" s="58" t="str">
        <f>작성용!F835</f>
        <v>D02</v>
      </c>
      <c r="J838" s="58">
        <f>작성용!G835</f>
        <v>1</v>
      </c>
      <c r="K838" s="58" t="str">
        <f>작성용!H835</f>
        <v>-</v>
      </c>
      <c r="L838" s="58" t="str">
        <f>작성용!N835</f>
        <v>미정</v>
      </c>
      <c r="M838" s="57" t="str">
        <f>작성용!U835</f>
        <v>2024.12.31</v>
      </c>
      <c r="N838" s="57">
        <f>작성용!V835</f>
        <v>45672</v>
      </c>
      <c r="O838" s="57">
        <f>작성용!W835</f>
        <v>45684</v>
      </c>
      <c r="P838" s="57" t="str">
        <f>작성용!X835</f>
        <v>-</v>
      </c>
      <c r="Q838" s="58" t="str">
        <f>작성용!AD835</f>
        <v>최수민</v>
      </c>
      <c r="R838" s="60">
        <f>작성용!AE835</f>
        <v>0</v>
      </c>
      <c r="S838" s="58" t="str">
        <f>작성용!AF835</f>
        <v>최수민</v>
      </c>
      <c r="T838" s="61" t="str">
        <f>작성용!AG835</f>
        <v>최수민</v>
      </c>
      <c r="U838" s="61" t="str">
        <f>작성용!AH835</f>
        <v>최수민</v>
      </c>
      <c r="V838" s="56">
        <f>작성용!AA835</f>
        <v>202412</v>
      </c>
      <c r="W838" s="58" t="str">
        <f>작성용!AC835</f>
        <v>[X]일반기업</v>
      </c>
      <c r="X838" s="58" t="str">
        <f>작성용!O835</f>
        <v>박서경부장</v>
      </c>
      <c r="Y838" s="58" t="str">
        <f>작성용!P835</f>
        <v>070-7549-2892</v>
      </c>
      <c r="Z838" s="58" t="str">
        <f>작성용!Q835</f>
        <v>skpark963@gmail.com</v>
      </c>
      <c r="AA838" s="56" t="str">
        <f>작성용!AJ835</f>
        <v>회계반영</v>
      </c>
      <c r="AB838" s="56">
        <f>작성용!AB835</f>
        <v>0</v>
      </c>
    </row>
    <row r="839" spans="1:28" s="12" customFormat="1" ht="16.5" hidden="1" customHeight="1" x14ac:dyDescent="0.3">
      <c r="A839" s="54">
        <f>작성용!AL836</f>
        <v>835</v>
      </c>
      <c r="B839" s="55" t="str">
        <f>작성용!AI836</f>
        <v>-</v>
      </c>
      <c r="C839" s="56" t="str">
        <f>작성용!AK836</f>
        <v>개별종목</v>
      </c>
      <c r="D839" s="57">
        <f>작성용!T836</f>
        <v>45588</v>
      </c>
      <c r="E839" s="58" t="str">
        <f>작성용!B836</f>
        <v>라미쿠스</v>
      </c>
      <c r="F839" s="58" t="str">
        <f>작성용!C836</f>
        <v>신규</v>
      </c>
      <c r="G839" s="58" t="str">
        <f>작성용!D836</f>
        <v>라미쿠스</v>
      </c>
      <c r="H839" s="59">
        <f>작성용!E836</f>
        <v>1101117982526</v>
      </c>
      <c r="I839" s="58" t="str">
        <f>작성용!F836</f>
        <v>D02</v>
      </c>
      <c r="J839" s="58">
        <f>작성용!G836</f>
        <v>2</v>
      </c>
      <c r="K839" s="58" t="str">
        <f>작성용!H836</f>
        <v>-</v>
      </c>
      <c r="L839" s="58" t="str">
        <f>작성용!N836</f>
        <v>미정</v>
      </c>
      <c r="M839" s="57" t="str">
        <f>작성용!U836</f>
        <v>2024.12.31</v>
      </c>
      <c r="N839" s="57">
        <f>작성용!V836</f>
        <v>45672</v>
      </c>
      <c r="O839" s="57">
        <f>작성용!W836</f>
        <v>45684</v>
      </c>
      <c r="P839" s="57" t="str">
        <f>작성용!X836</f>
        <v>-</v>
      </c>
      <c r="Q839" s="58" t="str">
        <f>작성용!AD836</f>
        <v>최수민</v>
      </c>
      <c r="R839" s="60">
        <f>작성용!AE836</f>
        <v>0</v>
      </c>
      <c r="S839" s="58" t="str">
        <f>작성용!AF836</f>
        <v>최수민</v>
      </c>
      <c r="T839" s="61" t="str">
        <f>작성용!AG836</f>
        <v>최수민</v>
      </c>
      <c r="U839" s="61" t="str">
        <f>작성용!AH836</f>
        <v>최수민</v>
      </c>
      <c r="V839" s="56">
        <f>작성용!AA836</f>
        <v>202412</v>
      </c>
      <c r="W839" s="58" t="str">
        <f>작성용!AC836</f>
        <v>[X]일반기업</v>
      </c>
      <c r="X839" s="58" t="str">
        <f>작성용!O836</f>
        <v>박서경부장</v>
      </c>
      <c r="Y839" s="58" t="str">
        <f>작성용!P836</f>
        <v>070-7549-2892</v>
      </c>
      <c r="Z839" s="58" t="str">
        <f>작성용!Q836</f>
        <v>skpark963@gmail.com</v>
      </c>
      <c r="AA839" s="56" t="str">
        <f>작성용!AJ836</f>
        <v>회계반영</v>
      </c>
      <c r="AB839" s="56">
        <f>작성용!AB836</f>
        <v>0</v>
      </c>
    </row>
    <row r="840" spans="1:28" s="12" customFormat="1" ht="16.5" hidden="1" customHeight="1" x14ac:dyDescent="0.3">
      <c r="A840" s="54">
        <f>작성용!AL837</f>
        <v>836</v>
      </c>
      <c r="B840" s="55" t="str">
        <f>작성용!AI837</f>
        <v>-</v>
      </c>
      <c r="C840" s="56" t="str">
        <f>작성용!AK837</f>
        <v>개별종목</v>
      </c>
      <c r="D840" s="57">
        <f>작성용!T837</f>
        <v>45589</v>
      </c>
      <c r="E840" s="58" t="str">
        <f>작성용!B837</f>
        <v>아이엠엠프라이빗에쿼티</v>
      </c>
      <c r="F840" s="58" t="str">
        <f>작성용!C837</f>
        <v>재평가</v>
      </c>
      <c r="G840" s="58" t="str">
        <f>작성용!D837</f>
        <v>케이뱅크(구,케이뱅크은행)</v>
      </c>
      <c r="H840" s="59">
        <f>작성용!E837</f>
        <v>1101115938985</v>
      </c>
      <c r="I840" s="58" t="str">
        <f>작성용!F837</f>
        <v>A01</v>
      </c>
      <c r="J840" s="58">
        <f>작성용!G837</f>
        <v>0</v>
      </c>
      <c r="K840" s="58" t="str">
        <f>작성용!H837</f>
        <v>-</v>
      </c>
      <c r="L840" s="58" t="str">
        <f>작성용!N837</f>
        <v>분기</v>
      </c>
      <c r="M840" s="57" t="str">
        <f>작성용!U837</f>
        <v>2024.09.30</v>
      </c>
      <c r="N840" s="57">
        <f>작성용!V837</f>
        <v>45610</v>
      </c>
      <c r="O840" s="57">
        <f>작성용!W837</f>
        <v>45614</v>
      </c>
      <c r="P840" s="57" t="str">
        <f>작성용!X837</f>
        <v>-</v>
      </c>
      <c r="Q840" s="58" t="str">
        <f>작성용!AD837</f>
        <v>김영규</v>
      </c>
      <c r="R840" s="60">
        <f>작성용!AE837</f>
        <v>1</v>
      </c>
      <c r="S840" s="58" t="str">
        <f>작성용!AF837</f>
        <v>김영규</v>
      </c>
      <c r="T840" s="61" t="str">
        <f>작성용!AG837</f>
        <v>이문수</v>
      </c>
      <c r="U840" s="61" t="str">
        <f>작성용!AH837</f>
        <v>이문수</v>
      </c>
      <c r="V840" s="56">
        <f>작성용!AA837</f>
        <v>202411</v>
      </c>
      <c r="W840" s="58" t="str">
        <f>작성용!AC837</f>
        <v>[Y]금융기관</v>
      </c>
      <c r="X840" s="58" t="str">
        <f>작성용!O837</f>
        <v>윤현지차장</v>
      </c>
      <c r="Y840" s="58" t="str">
        <f>작성용!P837</f>
        <v>02-2112-1831, 010-6270-9837</v>
      </c>
      <c r="Z840" s="58" t="str">
        <f>작성용!Q837</f>
        <v>hjyoon@immpe.com</v>
      </c>
      <c r="AA840" s="56" t="str">
        <f>작성용!AJ837</f>
        <v>국민연금제출</v>
      </c>
      <c r="AB840" s="56">
        <f>작성용!AB837</f>
        <v>0</v>
      </c>
    </row>
    <row r="841" spans="1:28" s="12" customFormat="1" ht="16.5" hidden="1" customHeight="1" x14ac:dyDescent="0.3">
      <c r="A841" s="54">
        <f>작성용!AL838</f>
        <v>837</v>
      </c>
      <c r="B841" s="55" t="str">
        <f>작성용!AI838</f>
        <v>-</v>
      </c>
      <c r="C841" s="56" t="str">
        <f>작성용!AK838</f>
        <v>개별종목</v>
      </c>
      <c r="D841" s="57">
        <f>작성용!T838</f>
        <v>45589</v>
      </c>
      <c r="E841" s="58" t="str">
        <f>작성용!B838</f>
        <v>다산솔루에타(구,솔루에타)(상장)</v>
      </c>
      <c r="F841" s="58" t="str">
        <f>작성용!C838</f>
        <v>재평가</v>
      </c>
      <c r="G841" s="58" t="str">
        <f>작성용!D838</f>
        <v>다산솔루에타(구,솔루에타)</v>
      </c>
      <c r="H841" s="59">
        <f>작성용!E838</f>
        <v>1351110065750</v>
      </c>
      <c r="I841" s="58" t="str">
        <f>작성용!F838</f>
        <v>D02</v>
      </c>
      <c r="J841" s="58">
        <f>작성용!G838</f>
        <v>6</v>
      </c>
      <c r="K841" s="58" t="str">
        <f>작성용!H838</f>
        <v>-</v>
      </c>
      <c r="L841" s="58" t="str">
        <f>작성용!N838</f>
        <v xml:space="preserve">반기 </v>
      </c>
      <c r="M841" s="57" t="str">
        <f>작성용!U838</f>
        <v>2024.10.23</v>
      </c>
      <c r="N841" s="57">
        <f>작성용!V838</f>
        <v>45602</v>
      </c>
      <c r="O841" s="57">
        <f>작성용!W838</f>
        <v>45608</v>
      </c>
      <c r="P841" s="57" t="str">
        <f>작성용!X838</f>
        <v>-</v>
      </c>
      <c r="Q841" s="58" t="str">
        <f>작성용!AD838</f>
        <v>상장</v>
      </c>
      <c r="R841" s="60">
        <f>작성용!AE838</f>
        <v>0</v>
      </c>
      <c r="S841" s="58" t="str">
        <f>작성용!AF838</f>
        <v>상장</v>
      </c>
      <c r="T841" s="61" t="str">
        <f>작성용!AG838</f>
        <v>메자닌평가팀</v>
      </c>
      <c r="U841" s="61" t="str">
        <f>작성용!AH838</f>
        <v>메자닌평가팀</v>
      </c>
      <c r="V841" s="56">
        <f>작성용!AA838</f>
        <v>202410</v>
      </c>
      <c r="W841" s="58" t="str">
        <f>작성용!AC838</f>
        <v>[W]상장기업</v>
      </c>
      <c r="X841" s="58" t="str">
        <f>작성용!O838</f>
        <v>박혜령과장, 송호정부장</v>
      </c>
      <c r="Y841" s="58" t="str">
        <f>작성용!P838</f>
        <v>010-2388-1545, 031-728-6464, 010-9135-1622</v>
      </c>
      <c r="Z841" s="58" t="str">
        <f>작성용!Q838</f>
        <v>hyeryeong.park@solueta.com; hojeong.song@solueta.com</v>
      </c>
      <c r="AA841" s="56" t="str">
        <f>작성용!AJ838</f>
        <v>회계반영</v>
      </c>
      <c r="AB841" s="56">
        <f>작성용!AB838</f>
        <v>0</v>
      </c>
    </row>
    <row r="842" spans="1:28" s="12" customFormat="1" ht="16.5" hidden="1" customHeight="1" x14ac:dyDescent="0.3">
      <c r="A842" s="54">
        <f>작성용!AL839</f>
        <v>838</v>
      </c>
      <c r="B842" s="55" t="str">
        <f>작성용!AI839</f>
        <v>-</v>
      </c>
      <c r="C842" s="56" t="str">
        <f>작성용!AK839</f>
        <v>개별종목</v>
      </c>
      <c r="D842" s="57">
        <f>작성용!T839</f>
        <v>45589</v>
      </c>
      <c r="E842" s="58" t="str">
        <f>작성용!B839</f>
        <v>IBK투자증권(IPO1팀)</v>
      </c>
      <c r="F842" s="58" t="str">
        <f>작성용!C839</f>
        <v>재평가</v>
      </c>
      <c r="G842" s="58" t="str">
        <f>작성용!D839</f>
        <v>케이앤에스아이앤씨</v>
      </c>
      <c r="H842" s="59">
        <f>작성용!E839</f>
        <v>1101112405896</v>
      </c>
      <c r="I842" s="58" t="str">
        <f>작성용!F839</f>
        <v>D02</v>
      </c>
      <c r="J842" s="58">
        <f>작성용!G839</f>
        <v>0</v>
      </c>
      <c r="K842" s="58" t="str">
        <f>작성용!H839</f>
        <v>-</v>
      </c>
      <c r="L842" s="58" t="str">
        <f>작성용!N839</f>
        <v>월</v>
      </c>
      <c r="M842" s="57" t="str">
        <f>작성용!U839</f>
        <v>2024.12.31</v>
      </c>
      <c r="N842" s="57">
        <f>작성용!V839</f>
        <v>45659</v>
      </c>
      <c r="O842" s="57">
        <f>작성용!W839</f>
        <v>45666</v>
      </c>
      <c r="P842" s="57" t="str">
        <f>작성용!X839</f>
        <v>-</v>
      </c>
      <c r="Q842" s="58" t="str">
        <f>작성용!AD839</f>
        <v>상장</v>
      </c>
      <c r="R842" s="60">
        <f>작성용!AE839</f>
        <v>0</v>
      </c>
      <c r="S842" s="58" t="str">
        <f>작성용!AF839</f>
        <v>상장</v>
      </c>
      <c r="T842" s="61" t="str">
        <f>작성용!AG839</f>
        <v>메자닌평가팀</v>
      </c>
      <c r="U842" s="61" t="str">
        <f>작성용!AH839</f>
        <v>메자닌평가팀</v>
      </c>
      <c r="V842" s="56">
        <f>작성용!AA839</f>
        <v>202412</v>
      </c>
      <c r="W842" s="58" t="str">
        <f>작성용!AC839</f>
        <v>[W]상장기업</v>
      </c>
      <c r="X842" s="58" t="str">
        <f>작성용!O839</f>
        <v>이예울대리</v>
      </c>
      <c r="Y842" s="58" t="str">
        <f>작성용!P839</f>
        <v>02-6915-5337</v>
      </c>
      <c r="Z842" s="58" t="str">
        <f>작성용!Q839</f>
        <v>9m.n-@ibks.com</v>
      </c>
      <c r="AA842" s="56" t="str">
        <f>작성용!AJ839</f>
        <v>회계반영</v>
      </c>
      <c r="AB842" s="56">
        <f>작성용!AB839</f>
        <v>0</v>
      </c>
    </row>
    <row r="843" spans="1:28" s="12" customFormat="1" ht="16.5" hidden="1" customHeight="1" x14ac:dyDescent="0.3">
      <c r="A843" s="54">
        <f>작성용!AL840</f>
        <v>839</v>
      </c>
      <c r="B843" s="55" t="str">
        <f>작성용!AI840</f>
        <v>-</v>
      </c>
      <c r="C843" s="56" t="str">
        <f>작성용!AK840</f>
        <v>개별종목</v>
      </c>
      <c r="D843" s="57">
        <f>작성용!T840</f>
        <v>45589</v>
      </c>
      <c r="E843" s="58" t="str">
        <f>작성용!B840</f>
        <v>웰컴자산운용</v>
      </c>
      <c r="F843" s="58" t="str">
        <f>작성용!C840</f>
        <v>재평가</v>
      </c>
      <c r="G843" s="58" t="str">
        <f>작성용!D840</f>
        <v>디디에스</v>
      </c>
      <c r="H843" s="59">
        <f>작성용!E840</f>
        <v>2301110157353</v>
      </c>
      <c r="I843" s="58" t="str">
        <f>작성용!F840</f>
        <v>A07</v>
      </c>
      <c r="J843" s="58">
        <f>작성용!G840</f>
        <v>0</v>
      </c>
      <c r="K843" s="58" t="str">
        <f>작성용!H840</f>
        <v>-</v>
      </c>
      <c r="L843" s="58" t="str">
        <f>작성용!N840</f>
        <v>년</v>
      </c>
      <c r="M843" s="57" t="str">
        <f>작성용!U840</f>
        <v>2024.10.31</v>
      </c>
      <c r="N843" s="57">
        <f>작성용!V840</f>
        <v>45615</v>
      </c>
      <c r="O843" s="57">
        <f>작성용!W840</f>
        <v>45622</v>
      </c>
      <c r="P843" s="57" t="str">
        <f>작성용!X840</f>
        <v>-</v>
      </c>
      <c r="Q843" s="58" t="str">
        <f>작성용!AD840</f>
        <v>채동우</v>
      </c>
      <c r="R843" s="60">
        <f>작성용!AE840</f>
        <v>1</v>
      </c>
      <c r="S843" s="58" t="str">
        <f>작성용!AF840</f>
        <v>채동우</v>
      </c>
      <c r="T843" s="61" t="str">
        <f>작성용!AG840</f>
        <v>이상민</v>
      </c>
      <c r="U843" s="61" t="str">
        <f>작성용!AH840</f>
        <v>이상민</v>
      </c>
      <c r="V843" s="56">
        <f>작성용!AA840</f>
        <v>202410</v>
      </c>
      <c r="W843" s="58" t="str">
        <f>작성용!AC840</f>
        <v>[X]일반기업</v>
      </c>
      <c r="X843" s="58" t="str">
        <f>작성용!O840</f>
        <v>최은오과장</v>
      </c>
      <c r="Y843" s="58" t="str">
        <f>작성용!P840</f>
        <v>02-6353-7332</v>
      </c>
      <c r="Z843" s="58" t="str">
        <f>작성용!Q840</f>
        <v>eo.choi@welcomefund.co.kr</v>
      </c>
      <c r="AA843" s="56" t="str">
        <f>작성용!AJ840</f>
        <v>회계반영</v>
      </c>
      <c r="AB843" s="56">
        <f>작성용!AB840</f>
        <v>0</v>
      </c>
    </row>
    <row r="844" spans="1:28" s="12" customFormat="1" ht="16.5" hidden="1" customHeight="1" x14ac:dyDescent="0.3">
      <c r="A844" s="54">
        <f>작성용!AL841</f>
        <v>840</v>
      </c>
      <c r="B844" s="55" t="str">
        <f>작성용!AI841</f>
        <v>-</v>
      </c>
      <c r="C844" s="56" t="str">
        <f>작성용!AK841</f>
        <v>개별종목</v>
      </c>
      <c r="D844" s="57">
        <f>작성용!T841</f>
        <v>45589</v>
      </c>
      <c r="E844" s="58" t="str">
        <f>작성용!B841</f>
        <v>웰컴자산운용</v>
      </c>
      <c r="F844" s="58" t="str">
        <f>작성용!C841</f>
        <v>재평가</v>
      </c>
      <c r="G844" s="58" t="str">
        <f>작성용!D841</f>
        <v>스탠다임</v>
      </c>
      <c r="H844" s="59">
        <f>작성용!E841</f>
        <v>1101115714757</v>
      </c>
      <c r="I844" s="58" t="str">
        <f>작성용!F841</f>
        <v>A07</v>
      </c>
      <c r="J844" s="58">
        <f>작성용!G841</f>
        <v>0</v>
      </c>
      <c r="K844" s="58" t="str">
        <f>작성용!H841</f>
        <v>-</v>
      </c>
      <c r="L844" s="58" t="str">
        <f>작성용!N841</f>
        <v>년</v>
      </c>
      <c r="M844" s="57" t="str">
        <f>작성용!U841</f>
        <v>2024.10.31</v>
      </c>
      <c r="N844" s="57">
        <f>작성용!V841</f>
        <v>45615</v>
      </c>
      <c r="O844" s="57">
        <f>작성용!W841</f>
        <v>45622</v>
      </c>
      <c r="P844" s="57" t="str">
        <f>작성용!X841</f>
        <v>-</v>
      </c>
      <c r="Q844" s="58" t="str">
        <f>작성용!AD841</f>
        <v>이상민</v>
      </c>
      <c r="R844" s="60">
        <f>작성용!AE841</f>
        <v>1</v>
      </c>
      <c r="S844" s="58" t="str">
        <f>작성용!AF841</f>
        <v>조현우</v>
      </c>
      <c r="T844" s="61" t="str">
        <f>작성용!AG841</f>
        <v>이상민</v>
      </c>
      <c r="U844" s="61" t="str">
        <f>작성용!AH841</f>
        <v>이상민</v>
      </c>
      <c r="V844" s="56">
        <f>작성용!AA841</f>
        <v>202410</v>
      </c>
      <c r="W844" s="58" t="str">
        <f>작성용!AC841</f>
        <v>[X]일반기업</v>
      </c>
      <c r="X844" s="58" t="str">
        <f>작성용!O841</f>
        <v>최은오과장</v>
      </c>
      <c r="Y844" s="58" t="str">
        <f>작성용!P841</f>
        <v>02-6353-7332</v>
      </c>
      <c r="Z844" s="58" t="str">
        <f>작성용!Q841</f>
        <v>eo.choi@welcomefund.co.kr</v>
      </c>
      <c r="AA844" s="56" t="str">
        <f>작성용!AJ841</f>
        <v>회계반영</v>
      </c>
      <c r="AB844" s="56">
        <f>작성용!AB841</f>
        <v>0</v>
      </c>
    </row>
    <row r="845" spans="1:28" s="12" customFormat="1" ht="16.5" hidden="1" customHeight="1" x14ac:dyDescent="0.3">
      <c r="A845" s="54">
        <f>작성용!AL842</f>
        <v>841</v>
      </c>
      <c r="B845" s="55" t="str">
        <f>작성용!AI842</f>
        <v>-</v>
      </c>
      <c r="C845" s="56" t="str">
        <f>작성용!AK842</f>
        <v>개별종목</v>
      </c>
      <c r="D845" s="57">
        <f>작성용!T842</f>
        <v>45589</v>
      </c>
      <c r="E845" s="58" t="str">
        <f>작성용!B842</f>
        <v>웰컴자산운용</v>
      </c>
      <c r="F845" s="58" t="str">
        <f>작성용!C842</f>
        <v>재평가</v>
      </c>
      <c r="G845" s="58" t="str">
        <f>작성용!D842</f>
        <v>아이씨엠</v>
      </c>
      <c r="H845" s="59">
        <f>작성용!E842</f>
        <v>1101114963058</v>
      </c>
      <c r="I845" s="58" t="str">
        <f>작성용!F842</f>
        <v>A07</v>
      </c>
      <c r="J845" s="58">
        <f>작성용!G842</f>
        <v>2</v>
      </c>
      <c r="K845" s="58" t="str">
        <f>작성용!H842</f>
        <v>-</v>
      </c>
      <c r="L845" s="58" t="str">
        <f>작성용!N842</f>
        <v>년</v>
      </c>
      <c r="M845" s="57" t="str">
        <f>작성용!U842</f>
        <v>2024.10.31</v>
      </c>
      <c r="N845" s="57">
        <f>작성용!V842</f>
        <v>45615</v>
      </c>
      <c r="O845" s="57">
        <f>작성용!W842</f>
        <v>45622</v>
      </c>
      <c r="P845" s="57" t="str">
        <f>작성용!X842</f>
        <v>-</v>
      </c>
      <c r="Q845" s="58" t="str">
        <f>작성용!AD842</f>
        <v>김수현</v>
      </c>
      <c r="R845" s="60">
        <f>작성용!AE842</f>
        <v>1</v>
      </c>
      <c r="S845" s="58" t="str">
        <f>작성용!AF842</f>
        <v>김수현</v>
      </c>
      <c r="T845" s="61" t="str">
        <f>작성용!AG842</f>
        <v>이상민</v>
      </c>
      <c r="U845" s="61" t="str">
        <f>작성용!AH842</f>
        <v>이상민</v>
      </c>
      <c r="V845" s="56">
        <f>작성용!AA842</f>
        <v>202410</v>
      </c>
      <c r="W845" s="58" t="str">
        <f>작성용!AC842</f>
        <v>[X]일반기업</v>
      </c>
      <c r="X845" s="58" t="str">
        <f>작성용!O842</f>
        <v>최은오과장</v>
      </c>
      <c r="Y845" s="58" t="str">
        <f>작성용!P842</f>
        <v>02-6353-7332</v>
      </c>
      <c r="Z845" s="58" t="str">
        <f>작성용!Q842</f>
        <v>eo.choi@welcomefund.co.kr</v>
      </c>
      <c r="AA845" s="56" t="str">
        <f>작성용!AJ842</f>
        <v>회계반영</v>
      </c>
      <c r="AB845" s="56">
        <f>작성용!AB842</f>
        <v>0</v>
      </c>
    </row>
    <row r="846" spans="1:28" s="12" customFormat="1" ht="16.5" hidden="1" customHeight="1" x14ac:dyDescent="0.3">
      <c r="A846" s="54">
        <f>작성용!AL843</f>
        <v>842</v>
      </c>
      <c r="B846" s="55" t="str">
        <f>작성용!AI843</f>
        <v>-</v>
      </c>
      <c r="C846" s="56" t="str">
        <f>작성용!AK843</f>
        <v>개별종목</v>
      </c>
      <c r="D846" s="57">
        <f>작성용!T843</f>
        <v>45589</v>
      </c>
      <c r="E846" s="58" t="str">
        <f>작성용!B843</f>
        <v>웰컴자산운용</v>
      </c>
      <c r="F846" s="58" t="str">
        <f>작성용!C843</f>
        <v>재평가</v>
      </c>
      <c r="G846" s="58" t="str">
        <f>작성용!D843</f>
        <v>일리아스바이오로직스(구,셀렉스라이프사이언스)</v>
      </c>
      <c r="H846" s="59">
        <f>작성용!E843</f>
        <v>1601110411407</v>
      </c>
      <c r="I846" s="58" t="str">
        <f>작성용!F843</f>
        <v>A05</v>
      </c>
      <c r="J846" s="58">
        <f>작성용!G843</f>
        <v>0</v>
      </c>
      <c r="K846" s="58" t="str">
        <f>작성용!H843</f>
        <v>-</v>
      </c>
      <c r="L846" s="58" t="str">
        <f>작성용!N843</f>
        <v>년</v>
      </c>
      <c r="M846" s="57" t="str">
        <f>작성용!U843</f>
        <v>2024.10.31</v>
      </c>
      <c r="N846" s="57">
        <f>작성용!V843</f>
        <v>45615</v>
      </c>
      <c r="O846" s="57">
        <f>작성용!W843</f>
        <v>45622</v>
      </c>
      <c r="P846" s="57" t="str">
        <f>작성용!X843</f>
        <v>-</v>
      </c>
      <c r="Q846" s="58" t="str">
        <f>작성용!AD843</f>
        <v>변혜진</v>
      </c>
      <c r="R846" s="60">
        <f>작성용!AE843</f>
        <v>1</v>
      </c>
      <c r="S846" s="58" t="str">
        <f>작성용!AF843</f>
        <v>변혜진</v>
      </c>
      <c r="T846" s="61" t="str">
        <f>작성용!AG843</f>
        <v>이상민</v>
      </c>
      <c r="U846" s="61" t="str">
        <f>작성용!AH843</f>
        <v>이상민</v>
      </c>
      <c r="V846" s="56">
        <f>작성용!AA843</f>
        <v>202410</v>
      </c>
      <c r="W846" s="58" t="str">
        <f>작성용!AC843</f>
        <v>[X]일반기업</v>
      </c>
      <c r="X846" s="58" t="str">
        <f>작성용!O843</f>
        <v>최은오과장</v>
      </c>
      <c r="Y846" s="58" t="str">
        <f>작성용!P843</f>
        <v>02-6353-7332</v>
      </c>
      <c r="Z846" s="58" t="str">
        <f>작성용!Q843</f>
        <v>eo.choi@welcomefund.co.kr</v>
      </c>
      <c r="AA846" s="56" t="str">
        <f>작성용!AJ843</f>
        <v>회계반영</v>
      </c>
      <c r="AB846" s="56">
        <f>작성용!AB843</f>
        <v>0</v>
      </c>
    </row>
    <row r="847" spans="1:28" s="12" customFormat="1" ht="16.5" hidden="1" customHeight="1" x14ac:dyDescent="0.3">
      <c r="A847" s="54">
        <f>작성용!AL844</f>
        <v>843</v>
      </c>
      <c r="B847" s="55" t="str">
        <f>작성용!AI844</f>
        <v>-</v>
      </c>
      <c r="C847" s="56" t="str">
        <f>작성용!AK844</f>
        <v>개별종목</v>
      </c>
      <c r="D847" s="57">
        <f>작성용!T844</f>
        <v>45589</v>
      </c>
      <c r="E847" s="58" t="str">
        <f>작성용!B844</f>
        <v>웰컴자산운용</v>
      </c>
      <c r="F847" s="58" t="str">
        <f>작성용!C844</f>
        <v>신규</v>
      </c>
      <c r="G847" s="58" t="str">
        <f>작성용!D844</f>
        <v>트위니</v>
      </c>
      <c r="H847" s="59">
        <f>작성용!E844</f>
        <v>1601110406789</v>
      </c>
      <c r="I847" s="58" t="str">
        <f>작성용!F844</f>
        <v>A07</v>
      </c>
      <c r="J847" s="58">
        <f>작성용!G844</f>
        <v>77</v>
      </c>
      <c r="K847" s="58" t="str">
        <f>작성용!H844</f>
        <v>-</v>
      </c>
      <c r="L847" s="58" t="str">
        <f>작성용!N844</f>
        <v>년</v>
      </c>
      <c r="M847" s="57" t="str">
        <f>작성용!U844</f>
        <v>2025.01.31</v>
      </c>
      <c r="N847" s="57">
        <f>작성용!V844</f>
        <v>45702</v>
      </c>
      <c r="O847" s="57">
        <f>작성용!W844</f>
        <v>45709</v>
      </c>
      <c r="P847" s="57" t="str">
        <f>작성용!X844</f>
        <v>-</v>
      </c>
      <c r="Q847" s="58" t="str">
        <f>작성용!AD844</f>
        <v>이문수</v>
      </c>
      <c r="R847" s="60">
        <f>작성용!AE844</f>
        <v>1</v>
      </c>
      <c r="S847" s="58" t="str">
        <f>작성용!AF844</f>
        <v>이문수</v>
      </c>
      <c r="T847" s="61" t="str">
        <f>작성용!AG844</f>
        <v>이상민</v>
      </c>
      <c r="U847" s="61" t="str">
        <f>작성용!AH844</f>
        <v>이상민</v>
      </c>
      <c r="V847" s="56">
        <f>작성용!AA844</f>
        <v>202501</v>
      </c>
      <c r="W847" s="58" t="str">
        <f>작성용!AC844</f>
        <v>[X]일반기업</v>
      </c>
      <c r="X847" s="58" t="str">
        <f>작성용!O844</f>
        <v>최은오과장</v>
      </c>
      <c r="Y847" s="58" t="str">
        <f>작성용!P844</f>
        <v>02-6353-7332</v>
      </c>
      <c r="Z847" s="58" t="str">
        <f>작성용!Q844</f>
        <v>eo.choi@welcomefund.co.kr</v>
      </c>
      <c r="AA847" s="56" t="str">
        <f>작성용!AJ844</f>
        <v>회계반영</v>
      </c>
      <c r="AB847" s="56">
        <f>작성용!AB844</f>
        <v>0</v>
      </c>
    </row>
    <row r="848" spans="1:28" s="12" customFormat="1" ht="16.5" hidden="1" customHeight="1" x14ac:dyDescent="0.3">
      <c r="A848" s="54">
        <f>작성용!AL845</f>
        <v>844</v>
      </c>
      <c r="B848" s="55" t="str">
        <f>작성용!AI845</f>
        <v>-</v>
      </c>
      <c r="C848" s="56" t="str">
        <f>작성용!AK845</f>
        <v>개별종목</v>
      </c>
      <c r="D848" s="57" t="str">
        <f>작성용!T845</f>
        <v>매월</v>
      </c>
      <c r="E848" s="58" t="str">
        <f>작성용!B845</f>
        <v>IBK투자증권(PI부)(구,투자금융부)</v>
      </c>
      <c r="F848" s="58" t="str">
        <f>작성용!C845</f>
        <v>재평가</v>
      </c>
      <c r="G848" s="58" t="str">
        <f>작성용!D845</f>
        <v>대동</v>
      </c>
      <c r="H848" s="59">
        <f>작성용!E845</f>
        <v>1911110000104</v>
      </c>
      <c r="I848" s="58" t="str">
        <f>작성용!F845</f>
        <v>A05</v>
      </c>
      <c r="J848" s="58">
        <f>작성용!G845</f>
        <v>0</v>
      </c>
      <c r="K848" s="58" t="str">
        <f>작성용!H845</f>
        <v>-</v>
      </c>
      <c r="L848" s="58" t="str">
        <f>작성용!N845</f>
        <v>분기</v>
      </c>
      <c r="M848" s="57" t="str">
        <f>작성용!U845</f>
        <v>2024.10.31</v>
      </c>
      <c r="N848" s="57">
        <f>작성용!V845</f>
        <v>45597</v>
      </c>
      <c r="O848" s="57" t="str">
        <f>작성용!W845</f>
        <v>보고서제공X</v>
      </c>
      <c r="P848" s="57" t="str">
        <f>작성용!X845</f>
        <v>-</v>
      </c>
      <c r="Q848" s="58" t="str">
        <f>작성용!AD845</f>
        <v>상장</v>
      </c>
      <c r="R848" s="60">
        <f>작성용!AE845</f>
        <v>0</v>
      </c>
      <c r="S848" s="58" t="str">
        <f>작성용!AF845</f>
        <v>상장</v>
      </c>
      <c r="T848" s="61" t="str">
        <f>작성용!AG845</f>
        <v>메자닌평가팀</v>
      </c>
      <c r="U848" s="61" t="str">
        <f>작성용!AH845</f>
        <v>메자닌평가팀</v>
      </c>
      <c r="V848" s="56">
        <f>작성용!AA845</f>
        <v>202410</v>
      </c>
      <c r="W848" s="58" t="str">
        <f>작성용!AC845</f>
        <v>[W]상장기업</v>
      </c>
      <c r="X848" s="58" t="str">
        <f>작성용!O845</f>
        <v>박태우선임</v>
      </c>
      <c r="Y848" s="58" t="str">
        <f>작성용!P845</f>
        <v>02-6915-5390</v>
      </c>
      <c r="Z848" s="58" t="str">
        <f>작성용!Q845</f>
        <v>sliding_had@ibks.com;lee3357320@ibks.com</v>
      </c>
      <c r="AA848" s="56" t="str">
        <f>작성용!AJ845</f>
        <v>회계반영</v>
      </c>
      <c r="AB848" s="56">
        <f>작성용!AB845</f>
        <v>0</v>
      </c>
    </row>
    <row r="849" spans="1:28" s="12" customFormat="1" ht="16.5" hidden="1" customHeight="1" x14ac:dyDescent="0.3">
      <c r="A849" s="54">
        <f>작성용!AL846</f>
        <v>845</v>
      </c>
      <c r="B849" s="55" t="str">
        <f>작성용!AI846</f>
        <v>-</v>
      </c>
      <c r="C849" s="56" t="str">
        <f>작성용!AK846</f>
        <v>개별종목</v>
      </c>
      <c r="D849" s="57" t="str">
        <f>작성용!T846</f>
        <v>매월</v>
      </c>
      <c r="E849" s="58" t="str">
        <f>작성용!B846</f>
        <v>IBK투자증권(PI부)(구,투자금융부)</v>
      </c>
      <c r="F849" s="58" t="str">
        <f>작성용!C846</f>
        <v>재평가</v>
      </c>
      <c r="G849" s="58" t="str">
        <f>작성용!D846</f>
        <v>서울전자통신</v>
      </c>
      <c r="H849" s="59">
        <f>작성용!E846</f>
        <v>1243110009781</v>
      </c>
      <c r="I849" s="58" t="str">
        <f>작성용!F846</f>
        <v>D01</v>
      </c>
      <c r="J849" s="58">
        <f>작성용!G846</f>
        <v>9</v>
      </c>
      <c r="K849" s="58" t="str">
        <f>작성용!H846</f>
        <v>-</v>
      </c>
      <c r="L849" s="58" t="str">
        <f>작성용!N846</f>
        <v>분기</v>
      </c>
      <c r="M849" s="57" t="str">
        <f>작성용!U846</f>
        <v>2024.10.31</v>
      </c>
      <c r="N849" s="57">
        <f>작성용!V846</f>
        <v>45597</v>
      </c>
      <c r="O849" s="57" t="str">
        <f>작성용!W846</f>
        <v>보고서제공X</v>
      </c>
      <c r="P849" s="57" t="str">
        <f>작성용!X846</f>
        <v>-</v>
      </c>
      <c r="Q849" s="58" t="str">
        <f>작성용!AD846</f>
        <v>상장</v>
      </c>
      <c r="R849" s="60">
        <f>작성용!AE846</f>
        <v>0</v>
      </c>
      <c r="S849" s="58" t="str">
        <f>작성용!AF846</f>
        <v>상장</v>
      </c>
      <c r="T849" s="61" t="str">
        <f>작성용!AG846</f>
        <v>메자닌평가팀</v>
      </c>
      <c r="U849" s="61" t="str">
        <f>작성용!AH846</f>
        <v>메자닌평가팀</v>
      </c>
      <c r="V849" s="56">
        <f>작성용!AA846</f>
        <v>202410</v>
      </c>
      <c r="W849" s="58" t="str">
        <f>작성용!AC846</f>
        <v>[W]상장기업</v>
      </c>
      <c r="X849" s="58" t="str">
        <f>작성용!O846</f>
        <v>박태우선임</v>
      </c>
      <c r="Y849" s="58" t="str">
        <f>작성용!P846</f>
        <v>02-6915-5390</v>
      </c>
      <c r="Z849" s="58" t="str">
        <f>작성용!Q846</f>
        <v>sliding_had@ibks.com;lee3357320@ibks.com</v>
      </c>
      <c r="AA849" s="56" t="str">
        <f>작성용!AJ846</f>
        <v>회계반영</v>
      </c>
      <c r="AB849" s="56">
        <f>작성용!AB846</f>
        <v>0</v>
      </c>
    </row>
    <row r="850" spans="1:28" s="12" customFormat="1" ht="16.5" hidden="1" customHeight="1" x14ac:dyDescent="0.3">
      <c r="A850" s="54">
        <f>작성용!AL847</f>
        <v>846</v>
      </c>
      <c r="B850" s="55" t="str">
        <f>작성용!AI847</f>
        <v>-</v>
      </c>
      <c r="C850" s="56" t="str">
        <f>작성용!AK847</f>
        <v>개별종목</v>
      </c>
      <c r="D850" s="57" t="str">
        <f>작성용!T847</f>
        <v>매월</v>
      </c>
      <c r="E850" s="58" t="str">
        <f>작성용!B847</f>
        <v>IBK투자증권(PI부)(구,투자금융부)</v>
      </c>
      <c r="F850" s="58" t="str">
        <f>작성용!C847</f>
        <v>재평가</v>
      </c>
      <c r="G850" s="58" t="str">
        <f>작성용!D847</f>
        <v>스마트레이더시스템</v>
      </c>
      <c r="H850" s="59">
        <f>작성용!E847</f>
        <v>1311110496206</v>
      </c>
      <c r="I850" s="58" t="str">
        <f>작성용!F847</f>
        <v>D02</v>
      </c>
      <c r="J850" s="58">
        <f>작성용!G847</f>
        <v>1</v>
      </c>
      <c r="K850" s="58" t="str">
        <f>작성용!H847</f>
        <v>-</v>
      </c>
      <c r="L850" s="58" t="str">
        <f>작성용!N847</f>
        <v>분기</v>
      </c>
      <c r="M850" s="57" t="str">
        <f>작성용!U847</f>
        <v>2024.10.31</v>
      </c>
      <c r="N850" s="57">
        <f>작성용!V847</f>
        <v>45597</v>
      </c>
      <c r="O850" s="57" t="str">
        <f>작성용!W847</f>
        <v>보고서제공X</v>
      </c>
      <c r="P850" s="57" t="str">
        <f>작성용!X847</f>
        <v>-</v>
      </c>
      <c r="Q850" s="58" t="str">
        <f>작성용!AD847</f>
        <v>상장</v>
      </c>
      <c r="R850" s="60">
        <f>작성용!AE847</f>
        <v>0</v>
      </c>
      <c r="S850" s="58" t="str">
        <f>작성용!AF847</f>
        <v>상장</v>
      </c>
      <c r="T850" s="61" t="str">
        <f>작성용!AG847</f>
        <v>메자닌평가팀</v>
      </c>
      <c r="U850" s="61" t="str">
        <f>작성용!AH847</f>
        <v>메자닌평가팀</v>
      </c>
      <c r="V850" s="56">
        <f>작성용!AA847</f>
        <v>202410</v>
      </c>
      <c r="W850" s="58" t="str">
        <f>작성용!AC847</f>
        <v>[W]상장기업</v>
      </c>
      <c r="X850" s="58" t="str">
        <f>작성용!O847</f>
        <v>박태우선임</v>
      </c>
      <c r="Y850" s="58" t="str">
        <f>작성용!P847</f>
        <v>02-6915-5390</v>
      </c>
      <c r="Z850" s="58" t="str">
        <f>작성용!Q847</f>
        <v>sliding_had@ibks.com;lee3357320@ibks.com</v>
      </c>
      <c r="AA850" s="56" t="str">
        <f>작성용!AJ847</f>
        <v>회계반영</v>
      </c>
      <c r="AB850" s="56">
        <f>작성용!AB847</f>
        <v>0</v>
      </c>
    </row>
    <row r="851" spans="1:28" s="12" customFormat="1" ht="16.5" hidden="1" customHeight="1" x14ac:dyDescent="0.3">
      <c r="A851" s="54">
        <f>작성용!AL848</f>
        <v>847</v>
      </c>
      <c r="B851" s="55" t="str">
        <f>작성용!AI848</f>
        <v>-</v>
      </c>
      <c r="C851" s="56" t="str">
        <f>작성용!AK848</f>
        <v>개별종목</v>
      </c>
      <c r="D851" s="57" t="str">
        <f>작성용!T848</f>
        <v>매월</v>
      </c>
      <c r="E851" s="58" t="str">
        <f>작성용!B848</f>
        <v>IBK투자증권(PI부)(구,투자금융부)</v>
      </c>
      <c r="F851" s="58" t="str">
        <f>작성용!C848</f>
        <v>재평가</v>
      </c>
      <c r="G851" s="58" t="str">
        <f>작성용!D848</f>
        <v>루닛</v>
      </c>
      <c r="H851" s="59">
        <f>작성용!E848</f>
        <v>1601110354045</v>
      </c>
      <c r="I851" s="58" t="str">
        <f>작성용!F848</f>
        <v>D02</v>
      </c>
      <c r="J851" s="58">
        <f>작성용!G848</f>
        <v>0</v>
      </c>
      <c r="K851" s="58" t="str">
        <f>작성용!H848</f>
        <v>-</v>
      </c>
      <c r="L851" s="58" t="str">
        <f>작성용!N848</f>
        <v>분기</v>
      </c>
      <c r="M851" s="57" t="str">
        <f>작성용!U848</f>
        <v>2024.10.31</v>
      </c>
      <c r="N851" s="57">
        <f>작성용!V848</f>
        <v>45597</v>
      </c>
      <c r="O851" s="57" t="str">
        <f>작성용!W848</f>
        <v>보고서제공X</v>
      </c>
      <c r="P851" s="57" t="str">
        <f>작성용!X848</f>
        <v>-</v>
      </c>
      <c r="Q851" s="58" t="str">
        <f>작성용!AD848</f>
        <v>상장</v>
      </c>
      <c r="R851" s="60">
        <f>작성용!AE848</f>
        <v>0</v>
      </c>
      <c r="S851" s="58" t="str">
        <f>작성용!AF848</f>
        <v>상장</v>
      </c>
      <c r="T851" s="61" t="str">
        <f>작성용!AG848</f>
        <v>메자닌평가팀</v>
      </c>
      <c r="U851" s="61" t="str">
        <f>작성용!AH848</f>
        <v>메자닌평가팀</v>
      </c>
      <c r="V851" s="56">
        <f>작성용!AA848</f>
        <v>202410</v>
      </c>
      <c r="W851" s="58" t="str">
        <f>작성용!AC848</f>
        <v>[W]상장기업</v>
      </c>
      <c r="X851" s="58" t="str">
        <f>작성용!O848</f>
        <v>박태우선임</v>
      </c>
      <c r="Y851" s="58" t="str">
        <f>작성용!P848</f>
        <v>02-6915-5390</v>
      </c>
      <c r="Z851" s="58" t="str">
        <f>작성용!Q848</f>
        <v>sliding_had@ibks.com;lee3357320@ibks.com</v>
      </c>
      <c r="AA851" s="56" t="str">
        <f>작성용!AJ848</f>
        <v>회계반영</v>
      </c>
      <c r="AB851" s="56">
        <f>작성용!AB848</f>
        <v>0</v>
      </c>
    </row>
    <row r="852" spans="1:28" s="12" customFormat="1" ht="16.5" hidden="1" customHeight="1" x14ac:dyDescent="0.3">
      <c r="A852" s="54">
        <f>작성용!AL849</f>
        <v>848</v>
      </c>
      <c r="B852" s="55" t="str">
        <f>작성용!AI849</f>
        <v>-</v>
      </c>
      <c r="C852" s="56" t="str">
        <f>작성용!AK849</f>
        <v>개별종목</v>
      </c>
      <c r="D852" s="57" t="str">
        <f>작성용!T849</f>
        <v>매월</v>
      </c>
      <c r="E852" s="58" t="str">
        <f>작성용!B849</f>
        <v>IBK투자증권(PI부)(구,투자금융부)</v>
      </c>
      <c r="F852" s="58" t="str">
        <f>작성용!C849</f>
        <v>재평가</v>
      </c>
      <c r="G852" s="58" t="str">
        <f>작성용!D849</f>
        <v>CMG제약</v>
      </c>
      <c r="H852" s="59">
        <f>작성용!E849</f>
        <v>1350110115846</v>
      </c>
      <c r="I852" s="58" t="str">
        <f>작성용!F849</f>
        <v>D02</v>
      </c>
      <c r="J852" s="58">
        <f>작성용!G849</f>
        <v>8</v>
      </c>
      <c r="K852" s="58" t="str">
        <f>작성용!H849</f>
        <v>-</v>
      </c>
      <c r="L852" s="58" t="str">
        <f>작성용!N849</f>
        <v>분기</v>
      </c>
      <c r="M852" s="57" t="str">
        <f>작성용!U849</f>
        <v>2024.10.31</v>
      </c>
      <c r="N852" s="57">
        <f>작성용!V849</f>
        <v>45597</v>
      </c>
      <c r="O852" s="57" t="str">
        <f>작성용!W849</f>
        <v>보고서제공X</v>
      </c>
      <c r="P852" s="57" t="str">
        <f>작성용!X849</f>
        <v>-</v>
      </c>
      <c r="Q852" s="58" t="str">
        <f>작성용!AD849</f>
        <v>상장</v>
      </c>
      <c r="R852" s="60">
        <f>작성용!AE849</f>
        <v>0</v>
      </c>
      <c r="S852" s="58" t="str">
        <f>작성용!AF849</f>
        <v>상장</v>
      </c>
      <c r="T852" s="61" t="str">
        <f>작성용!AG849</f>
        <v>메자닌평가팀</v>
      </c>
      <c r="U852" s="61" t="str">
        <f>작성용!AH849</f>
        <v>메자닌평가팀</v>
      </c>
      <c r="V852" s="56">
        <f>작성용!AA849</f>
        <v>202410</v>
      </c>
      <c r="W852" s="58" t="str">
        <f>작성용!AC849</f>
        <v>[W]상장기업</v>
      </c>
      <c r="X852" s="58" t="str">
        <f>작성용!O849</f>
        <v>박태우선임</v>
      </c>
      <c r="Y852" s="58" t="str">
        <f>작성용!P849</f>
        <v>02-6915-5390</v>
      </c>
      <c r="Z852" s="58" t="str">
        <f>작성용!Q849</f>
        <v>sliding_had@ibks.com;lee3357320@ibks.com</v>
      </c>
      <c r="AA852" s="56" t="str">
        <f>작성용!AJ849</f>
        <v>회계반영</v>
      </c>
      <c r="AB852" s="56">
        <f>작성용!AB849</f>
        <v>0</v>
      </c>
    </row>
    <row r="853" spans="1:28" s="12" customFormat="1" ht="16.5" hidden="1" customHeight="1" x14ac:dyDescent="0.3">
      <c r="A853" s="54">
        <f>작성용!AL850</f>
        <v>849</v>
      </c>
      <c r="B853" s="55" t="str">
        <f>작성용!AI850</f>
        <v>-</v>
      </c>
      <c r="C853" s="56" t="str">
        <f>작성용!AK850</f>
        <v>개별종목</v>
      </c>
      <c r="D853" s="57" t="str">
        <f>작성용!T850</f>
        <v>매월</v>
      </c>
      <c r="E853" s="58" t="str">
        <f>작성용!B850</f>
        <v>IBK투자증권(PI부)(구,투자금융부)</v>
      </c>
      <c r="F853" s="58" t="str">
        <f>작성용!C850</f>
        <v>재평가</v>
      </c>
      <c r="G853" s="58" t="str">
        <f>작성용!D850</f>
        <v>심텍</v>
      </c>
      <c r="H853" s="59">
        <f>작성용!E850</f>
        <v>1501110205802</v>
      </c>
      <c r="I853" s="58" t="str">
        <f>작성용!F850</f>
        <v>D02</v>
      </c>
      <c r="J853" s="58">
        <f>작성용!G850</f>
        <v>4</v>
      </c>
      <c r="K853" s="58" t="str">
        <f>작성용!H850</f>
        <v>-</v>
      </c>
      <c r="L853" s="58" t="str">
        <f>작성용!N850</f>
        <v>분기</v>
      </c>
      <c r="M853" s="57" t="str">
        <f>작성용!U850</f>
        <v>2024.10.31</v>
      </c>
      <c r="N853" s="57">
        <f>작성용!V850</f>
        <v>45597</v>
      </c>
      <c r="O853" s="57" t="str">
        <f>작성용!W850</f>
        <v>보고서제공X</v>
      </c>
      <c r="P853" s="57" t="str">
        <f>작성용!X850</f>
        <v>-</v>
      </c>
      <c r="Q853" s="58" t="str">
        <f>작성용!AD850</f>
        <v>상장</v>
      </c>
      <c r="R853" s="60">
        <f>작성용!AE850</f>
        <v>0</v>
      </c>
      <c r="S853" s="58" t="str">
        <f>작성용!AF850</f>
        <v>상장</v>
      </c>
      <c r="T853" s="61" t="str">
        <f>작성용!AG850</f>
        <v>메자닌평가팀</v>
      </c>
      <c r="U853" s="61" t="str">
        <f>작성용!AH850</f>
        <v>메자닌평가팀</v>
      </c>
      <c r="V853" s="56">
        <f>작성용!AA850</f>
        <v>202410</v>
      </c>
      <c r="W853" s="58" t="str">
        <f>작성용!AC850</f>
        <v>[W]상장기업</v>
      </c>
      <c r="X853" s="58" t="str">
        <f>작성용!O850</f>
        <v>박태우선임</v>
      </c>
      <c r="Y853" s="58" t="str">
        <f>작성용!P850</f>
        <v>02-6915-5390</v>
      </c>
      <c r="Z853" s="58" t="str">
        <f>작성용!Q850</f>
        <v>sliding_had@ibks.com;lee3357320@ibks.com</v>
      </c>
      <c r="AA853" s="56" t="str">
        <f>작성용!AJ850</f>
        <v>회계반영</v>
      </c>
      <c r="AB853" s="56">
        <f>작성용!AB850</f>
        <v>0</v>
      </c>
    </row>
    <row r="854" spans="1:28" s="12" customFormat="1" ht="16.5" hidden="1" customHeight="1" x14ac:dyDescent="0.3">
      <c r="A854" s="54">
        <f>작성용!AL851</f>
        <v>850</v>
      </c>
      <c r="B854" s="55" t="str">
        <f>작성용!AI851</f>
        <v>-</v>
      </c>
      <c r="C854" s="56" t="str">
        <f>작성용!AK851</f>
        <v>개별종목</v>
      </c>
      <c r="D854" s="57" t="str">
        <f>작성용!T851</f>
        <v>매월</v>
      </c>
      <c r="E854" s="58" t="str">
        <f>작성용!B851</f>
        <v>IBK투자증권(PI부)(구,투자금융부)</v>
      </c>
      <c r="F854" s="58" t="str">
        <f>작성용!C851</f>
        <v>재평가</v>
      </c>
      <c r="G854" s="58" t="str">
        <f>작성용!D851</f>
        <v>한주라이트메탈(구,한주금속)</v>
      </c>
      <c r="H854" s="59">
        <f>작성용!E851</f>
        <v>1812110008538</v>
      </c>
      <c r="I854" s="58" t="str">
        <f>작성용!F851</f>
        <v>D02</v>
      </c>
      <c r="J854" s="58">
        <f>작성용!G851</f>
        <v>4</v>
      </c>
      <c r="K854" s="58" t="str">
        <f>작성용!H851</f>
        <v>-</v>
      </c>
      <c r="L854" s="58" t="str">
        <f>작성용!N851</f>
        <v>분기</v>
      </c>
      <c r="M854" s="57" t="str">
        <f>작성용!U851</f>
        <v>2024.10.31</v>
      </c>
      <c r="N854" s="57">
        <f>작성용!V851</f>
        <v>45597</v>
      </c>
      <c r="O854" s="57" t="str">
        <f>작성용!W851</f>
        <v>보고서제공X</v>
      </c>
      <c r="P854" s="57" t="str">
        <f>작성용!X851</f>
        <v>-</v>
      </c>
      <c r="Q854" s="58" t="str">
        <f>작성용!AD851</f>
        <v>상장</v>
      </c>
      <c r="R854" s="60">
        <f>작성용!AE851</f>
        <v>0</v>
      </c>
      <c r="S854" s="58" t="str">
        <f>작성용!AF851</f>
        <v>상장</v>
      </c>
      <c r="T854" s="61" t="str">
        <f>작성용!AG851</f>
        <v>메자닌평가팀</v>
      </c>
      <c r="U854" s="61" t="str">
        <f>작성용!AH851</f>
        <v>메자닌평가팀</v>
      </c>
      <c r="V854" s="56">
        <f>작성용!AA851</f>
        <v>202410</v>
      </c>
      <c r="W854" s="58" t="str">
        <f>작성용!AC851</f>
        <v>[W]상장기업</v>
      </c>
      <c r="X854" s="58" t="str">
        <f>작성용!O851</f>
        <v>박태우선임</v>
      </c>
      <c r="Y854" s="58" t="str">
        <f>작성용!P851</f>
        <v>02-6915-5390</v>
      </c>
      <c r="Z854" s="58" t="str">
        <f>작성용!Q851</f>
        <v>sliding_had@ibks.com;lee3357320@ibks.com</v>
      </c>
      <c r="AA854" s="56" t="str">
        <f>작성용!AJ851</f>
        <v>회계반영</v>
      </c>
      <c r="AB854" s="56">
        <f>작성용!AB851</f>
        <v>0</v>
      </c>
    </row>
    <row r="855" spans="1:28" s="12" customFormat="1" ht="16.5" hidden="1" customHeight="1" x14ac:dyDescent="0.3">
      <c r="A855" s="54">
        <f>작성용!AL852</f>
        <v>851</v>
      </c>
      <c r="B855" s="55" t="str">
        <f>작성용!AI852</f>
        <v>-</v>
      </c>
      <c r="C855" s="56" t="str">
        <f>작성용!AK852</f>
        <v>개별종목</v>
      </c>
      <c r="D855" s="57" t="str">
        <f>작성용!T852</f>
        <v>매월</v>
      </c>
      <c r="E855" s="58" t="str">
        <f>작성용!B852</f>
        <v>IBK투자증권(PI부)(구,투자금융부)</v>
      </c>
      <c r="F855" s="58" t="str">
        <f>작성용!C852</f>
        <v>재평가</v>
      </c>
      <c r="G855" s="58" t="str">
        <f>작성용!D852</f>
        <v>심텍</v>
      </c>
      <c r="H855" s="59">
        <f>작성용!E852</f>
        <v>1501110205802</v>
      </c>
      <c r="I855" s="58" t="str">
        <f>작성용!F852</f>
        <v>D06</v>
      </c>
      <c r="J855" s="58">
        <f>작성용!G852</f>
        <v>4</v>
      </c>
      <c r="K855" s="58" t="str">
        <f>작성용!H852</f>
        <v>-</v>
      </c>
      <c r="L855" s="58" t="str">
        <f>작성용!N852</f>
        <v>분기</v>
      </c>
      <c r="M855" s="57" t="str">
        <f>작성용!U852</f>
        <v>2024.10.31</v>
      </c>
      <c r="N855" s="57">
        <f>작성용!V852</f>
        <v>45597</v>
      </c>
      <c r="O855" s="57" t="str">
        <f>작성용!W852</f>
        <v>보고서제공X</v>
      </c>
      <c r="P855" s="57" t="str">
        <f>작성용!X852</f>
        <v>-</v>
      </c>
      <c r="Q855" s="58" t="str">
        <f>작성용!AD852</f>
        <v>상장</v>
      </c>
      <c r="R855" s="60">
        <f>작성용!AE852</f>
        <v>0</v>
      </c>
      <c r="S855" s="58" t="str">
        <f>작성용!AF852</f>
        <v>상장</v>
      </c>
      <c r="T855" s="61" t="str">
        <f>작성용!AG852</f>
        <v>메자닌평가팀</v>
      </c>
      <c r="U855" s="61" t="str">
        <f>작성용!AH852</f>
        <v>메자닌평가팀</v>
      </c>
      <c r="V855" s="56">
        <f>작성용!AA852</f>
        <v>202410</v>
      </c>
      <c r="W855" s="58" t="str">
        <f>작성용!AC852</f>
        <v>[W]상장기업</v>
      </c>
      <c r="X855" s="58" t="str">
        <f>작성용!O852</f>
        <v>박태우선임</v>
      </c>
      <c r="Y855" s="58" t="str">
        <f>작성용!P852</f>
        <v>02-6915-5390</v>
      </c>
      <c r="Z855" s="58" t="str">
        <f>작성용!Q852</f>
        <v>sliding_had@ibks.com;lee3357320@ibks.com</v>
      </c>
      <c r="AA855" s="56" t="str">
        <f>작성용!AJ852</f>
        <v>회계반영</v>
      </c>
      <c r="AB855" s="56">
        <f>작성용!AB852</f>
        <v>0</v>
      </c>
    </row>
    <row r="856" spans="1:28" s="12" customFormat="1" ht="16.5" hidden="1" customHeight="1" x14ac:dyDescent="0.3">
      <c r="A856" s="54">
        <f>작성용!AL853</f>
        <v>852</v>
      </c>
      <c r="B856" s="55" t="str">
        <f>작성용!AI853</f>
        <v>-</v>
      </c>
      <c r="C856" s="56" t="str">
        <f>작성용!AK853</f>
        <v>개별종목</v>
      </c>
      <c r="D856" s="57" t="str">
        <f>작성용!T853</f>
        <v>매월</v>
      </c>
      <c r="E856" s="58" t="str">
        <f>작성용!B853</f>
        <v>IBK투자증권(PI부)(구,투자금융부)</v>
      </c>
      <c r="F856" s="58" t="str">
        <f>작성용!C853</f>
        <v>재평가</v>
      </c>
      <c r="G856" s="58" t="str">
        <f>작성용!D853</f>
        <v>호텔신라</v>
      </c>
      <c r="H856" s="59">
        <f>작성용!E853</f>
        <v>1101110145519</v>
      </c>
      <c r="I856" s="58" t="str">
        <f>작성용!F853</f>
        <v>D01</v>
      </c>
      <c r="J856" s="58">
        <f>작성용!G853</f>
        <v>75</v>
      </c>
      <c r="K856" s="58" t="str">
        <f>작성용!H853</f>
        <v>-</v>
      </c>
      <c r="L856" s="58" t="str">
        <f>작성용!N853</f>
        <v>분기</v>
      </c>
      <c r="M856" s="57" t="str">
        <f>작성용!U853</f>
        <v>2024.10.31</v>
      </c>
      <c r="N856" s="57">
        <f>작성용!V853</f>
        <v>45597</v>
      </c>
      <c r="O856" s="57" t="str">
        <f>작성용!W853</f>
        <v>보고서제공X</v>
      </c>
      <c r="P856" s="57" t="str">
        <f>작성용!X853</f>
        <v>-</v>
      </c>
      <c r="Q856" s="58" t="str">
        <f>작성용!AD853</f>
        <v>상장</v>
      </c>
      <c r="R856" s="60">
        <f>작성용!AE853</f>
        <v>0</v>
      </c>
      <c r="S856" s="58" t="str">
        <f>작성용!AF853</f>
        <v>상장</v>
      </c>
      <c r="T856" s="61" t="str">
        <f>작성용!AG853</f>
        <v>메자닌평가팀</v>
      </c>
      <c r="U856" s="61" t="str">
        <f>작성용!AH853</f>
        <v>메자닌평가팀</v>
      </c>
      <c r="V856" s="56">
        <f>작성용!AA853</f>
        <v>202410</v>
      </c>
      <c r="W856" s="58" t="str">
        <f>작성용!AC853</f>
        <v>[W]상장기업</v>
      </c>
      <c r="X856" s="58" t="str">
        <f>작성용!O853</f>
        <v>박태우선임</v>
      </c>
      <c r="Y856" s="58" t="str">
        <f>작성용!P853</f>
        <v>02-6915-5390</v>
      </c>
      <c r="Z856" s="58" t="str">
        <f>작성용!Q853</f>
        <v>sliding_had@ibks.com;lee3357320@ibks.com</v>
      </c>
      <c r="AA856" s="56" t="str">
        <f>작성용!AJ853</f>
        <v>회계반영</v>
      </c>
      <c r="AB856" s="56">
        <f>작성용!AB853</f>
        <v>0</v>
      </c>
    </row>
    <row r="857" spans="1:28" s="12" customFormat="1" ht="16.5" hidden="1" customHeight="1" x14ac:dyDescent="0.3">
      <c r="A857" s="54">
        <f>작성용!AL854</f>
        <v>853</v>
      </c>
      <c r="B857" s="55" t="str">
        <f>작성용!AI854</f>
        <v>-</v>
      </c>
      <c r="C857" s="56" t="str">
        <f>작성용!AK854</f>
        <v>개별종목</v>
      </c>
      <c r="D857" s="57" t="str">
        <f>작성용!T854</f>
        <v>매월</v>
      </c>
      <c r="E857" s="58" t="str">
        <f>작성용!B854</f>
        <v>IBK투자증권(PI부)(구,투자금융부)</v>
      </c>
      <c r="F857" s="58" t="str">
        <f>작성용!C854</f>
        <v>재평가</v>
      </c>
      <c r="G857" s="58" t="str">
        <f>작성용!D854</f>
        <v>농심</v>
      </c>
      <c r="H857" s="59">
        <f>작성용!E854</f>
        <v>1101110057574</v>
      </c>
      <c r="I857" s="58" t="str">
        <f>작성용!F854</f>
        <v>D01</v>
      </c>
      <c r="J857" s="58">
        <f>작성용!G854</f>
        <v>13</v>
      </c>
      <c r="K857" s="58" t="str">
        <f>작성용!H854</f>
        <v>-</v>
      </c>
      <c r="L857" s="58" t="str">
        <f>작성용!N854</f>
        <v>분기</v>
      </c>
      <c r="M857" s="57" t="str">
        <f>작성용!U854</f>
        <v>2024.10.31</v>
      </c>
      <c r="N857" s="57">
        <f>작성용!V854</f>
        <v>45597</v>
      </c>
      <c r="O857" s="57" t="str">
        <f>작성용!W854</f>
        <v>보고서제공X</v>
      </c>
      <c r="P857" s="57" t="str">
        <f>작성용!X854</f>
        <v>-</v>
      </c>
      <c r="Q857" s="58" t="str">
        <f>작성용!AD854</f>
        <v>상장</v>
      </c>
      <c r="R857" s="60">
        <f>작성용!AE854</f>
        <v>0</v>
      </c>
      <c r="S857" s="58" t="str">
        <f>작성용!AF854</f>
        <v>상장</v>
      </c>
      <c r="T857" s="61" t="str">
        <f>작성용!AG854</f>
        <v>메자닌평가팀</v>
      </c>
      <c r="U857" s="61" t="str">
        <f>작성용!AH854</f>
        <v>메자닌평가팀</v>
      </c>
      <c r="V857" s="56">
        <f>작성용!AA854</f>
        <v>202410</v>
      </c>
      <c r="W857" s="58" t="str">
        <f>작성용!AC854</f>
        <v>[W]상장기업</v>
      </c>
      <c r="X857" s="58" t="str">
        <f>작성용!O854</f>
        <v>박태우선임</v>
      </c>
      <c r="Y857" s="58" t="str">
        <f>작성용!P854</f>
        <v>02-6915-5390</v>
      </c>
      <c r="Z857" s="58" t="str">
        <f>작성용!Q854</f>
        <v>sliding_had@ibks.com;lee3357320@ibks.com</v>
      </c>
      <c r="AA857" s="56" t="str">
        <f>작성용!AJ854</f>
        <v>회계반영</v>
      </c>
      <c r="AB857" s="56">
        <f>작성용!AB854</f>
        <v>0</v>
      </c>
    </row>
    <row r="858" spans="1:28" s="12" customFormat="1" ht="16.5" hidden="1" customHeight="1" x14ac:dyDescent="0.3">
      <c r="A858" s="54">
        <f>작성용!AL855</f>
        <v>854</v>
      </c>
      <c r="B858" s="55" t="str">
        <f>작성용!AI855</f>
        <v>-</v>
      </c>
      <c r="C858" s="56" t="str">
        <f>작성용!AK855</f>
        <v>개별종목</v>
      </c>
      <c r="D858" s="57" t="str">
        <f>작성용!T855</f>
        <v>매월</v>
      </c>
      <c r="E858" s="58" t="str">
        <f>작성용!B855</f>
        <v>IBK투자증권(PI부)(구,투자금융부)</v>
      </c>
      <c r="F858" s="58" t="str">
        <f>작성용!C855</f>
        <v>재평가</v>
      </c>
      <c r="G858" s="58" t="str">
        <f>작성용!D855</f>
        <v>대동</v>
      </c>
      <c r="H858" s="59">
        <f>작성용!E855</f>
        <v>1911110000104</v>
      </c>
      <c r="I858" s="58" t="str">
        <f>작성용!F855</f>
        <v>A05</v>
      </c>
      <c r="J858" s="58">
        <f>작성용!G855</f>
        <v>0</v>
      </c>
      <c r="K858" s="58" t="str">
        <f>작성용!H855</f>
        <v>-</v>
      </c>
      <c r="L858" s="58" t="str">
        <f>작성용!N855</f>
        <v>분기</v>
      </c>
      <c r="M858" s="57" t="str">
        <f>작성용!U855</f>
        <v>2024.11.30</v>
      </c>
      <c r="N858" s="57">
        <f>작성용!V855</f>
        <v>45628</v>
      </c>
      <c r="O858" s="57" t="str">
        <f>작성용!W855</f>
        <v>보고서제공X</v>
      </c>
      <c r="P858" s="57" t="str">
        <f>작성용!X855</f>
        <v>-</v>
      </c>
      <c r="Q858" s="58" t="str">
        <f>작성용!AD855</f>
        <v>상장</v>
      </c>
      <c r="R858" s="60">
        <f>작성용!AE855</f>
        <v>0</v>
      </c>
      <c r="S858" s="58" t="str">
        <f>작성용!AF855</f>
        <v>상장</v>
      </c>
      <c r="T858" s="61" t="str">
        <f>작성용!AG855</f>
        <v>메자닌평가팀</v>
      </c>
      <c r="U858" s="61" t="str">
        <f>작성용!AH855</f>
        <v>메자닌평가팀</v>
      </c>
      <c r="V858" s="56">
        <f>작성용!AA855</f>
        <v>202411</v>
      </c>
      <c r="W858" s="58" t="str">
        <f>작성용!AC855</f>
        <v>[W]상장기업</v>
      </c>
      <c r="X858" s="58" t="str">
        <f>작성용!O855</f>
        <v>박태우선임</v>
      </c>
      <c r="Y858" s="58" t="str">
        <f>작성용!P855</f>
        <v>02-6915-5390</v>
      </c>
      <c r="Z858" s="58" t="str">
        <f>작성용!Q855</f>
        <v>sliding_had@ibks.com;lee3357320@ibks.com</v>
      </c>
      <c r="AA858" s="56" t="str">
        <f>작성용!AJ855</f>
        <v>회계반영</v>
      </c>
      <c r="AB858" s="56">
        <f>작성용!AB855</f>
        <v>0</v>
      </c>
    </row>
    <row r="859" spans="1:28" s="12" customFormat="1" ht="16.5" hidden="1" customHeight="1" x14ac:dyDescent="0.3">
      <c r="A859" s="54">
        <f>작성용!AL856</f>
        <v>855</v>
      </c>
      <c r="B859" s="55" t="str">
        <f>작성용!AI856</f>
        <v>-</v>
      </c>
      <c r="C859" s="56" t="str">
        <f>작성용!AK856</f>
        <v>개별종목</v>
      </c>
      <c r="D859" s="57" t="str">
        <f>작성용!T856</f>
        <v>매월</v>
      </c>
      <c r="E859" s="58" t="str">
        <f>작성용!B856</f>
        <v>IBK투자증권(PI부)(구,투자금융부)</v>
      </c>
      <c r="F859" s="58" t="str">
        <f>작성용!C856</f>
        <v>재평가</v>
      </c>
      <c r="G859" s="58" t="str">
        <f>작성용!D856</f>
        <v>서울전자통신</v>
      </c>
      <c r="H859" s="59">
        <f>작성용!E856</f>
        <v>1243110009781</v>
      </c>
      <c r="I859" s="58" t="str">
        <f>작성용!F856</f>
        <v>D01</v>
      </c>
      <c r="J859" s="58">
        <f>작성용!G856</f>
        <v>9</v>
      </c>
      <c r="K859" s="58" t="str">
        <f>작성용!H856</f>
        <v>-</v>
      </c>
      <c r="L859" s="58" t="str">
        <f>작성용!N856</f>
        <v>분기</v>
      </c>
      <c r="M859" s="57" t="str">
        <f>작성용!U856</f>
        <v>2024.11.30</v>
      </c>
      <c r="N859" s="57">
        <f>작성용!V856</f>
        <v>45628</v>
      </c>
      <c r="O859" s="57" t="str">
        <f>작성용!W856</f>
        <v>보고서제공X</v>
      </c>
      <c r="P859" s="57" t="str">
        <f>작성용!X856</f>
        <v>-</v>
      </c>
      <c r="Q859" s="58" t="str">
        <f>작성용!AD856</f>
        <v>상장</v>
      </c>
      <c r="R859" s="60">
        <f>작성용!AE856</f>
        <v>0</v>
      </c>
      <c r="S859" s="58" t="str">
        <f>작성용!AF856</f>
        <v>상장</v>
      </c>
      <c r="T859" s="61" t="str">
        <f>작성용!AG856</f>
        <v>메자닌평가팀</v>
      </c>
      <c r="U859" s="61" t="str">
        <f>작성용!AH856</f>
        <v>메자닌평가팀</v>
      </c>
      <c r="V859" s="56">
        <f>작성용!AA856</f>
        <v>202411</v>
      </c>
      <c r="W859" s="58" t="str">
        <f>작성용!AC856</f>
        <v>[W]상장기업</v>
      </c>
      <c r="X859" s="58" t="str">
        <f>작성용!O856</f>
        <v>박태우선임</v>
      </c>
      <c r="Y859" s="58" t="str">
        <f>작성용!P856</f>
        <v>02-6915-5390</v>
      </c>
      <c r="Z859" s="58" t="str">
        <f>작성용!Q856</f>
        <v>sliding_had@ibks.com;lee3357320@ibks.com</v>
      </c>
      <c r="AA859" s="56" t="str">
        <f>작성용!AJ856</f>
        <v>회계반영</v>
      </c>
      <c r="AB859" s="56">
        <f>작성용!AB856</f>
        <v>0</v>
      </c>
    </row>
    <row r="860" spans="1:28" s="12" customFormat="1" ht="16.5" hidden="1" customHeight="1" x14ac:dyDescent="0.3">
      <c r="A860" s="54">
        <f>작성용!AL857</f>
        <v>856</v>
      </c>
      <c r="B860" s="55" t="str">
        <f>작성용!AI857</f>
        <v>-</v>
      </c>
      <c r="C860" s="56" t="str">
        <f>작성용!AK857</f>
        <v>개별종목</v>
      </c>
      <c r="D860" s="57" t="str">
        <f>작성용!T857</f>
        <v>매월</v>
      </c>
      <c r="E860" s="58" t="str">
        <f>작성용!B857</f>
        <v>IBK투자증권(PI부)(구,투자금융부)</v>
      </c>
      <c r="F860" s="58" t="str">
        <f>작성용!C857</f>
        <v>재평가</v>
      </c>
      <c r="G860" s="58" t="str">
        <f>작성용!D857</f>
        <v>스마트레이더시스템</v>
      </c>
      <c r="H860" s="59">
        <f>작성용!E857</f>
        <v>1311110496206</v>
      </c>
      <c r="I860" s="58" t="str">
        <f>작성용!F857</f>
        <v>D02</v>
      </c>
      <c r="J860" s="58">
        <f>작성용!G857</f>
        <v>1</v>
      </c>
      <c r="K860" s="58" t="str">
        <f>작성용!H857</f>
        <v>-</v>
      </c>
      <c r="L860" s="58" t="str">
        <f>작성용!N857</f>
        <v>분기</v>
      </c>
      <c r="M860" s="57" t="str">
        <f>작성용!U857</f>
        <v>2024.11.30</v>
      </c>
      <c r="N860" s="57">
        <f>작성용!V857</f>
        <v>45628</v>
      </c>
      <c r="O860" s="57" t="str">
        <f>작성용!W857</f>
        <v>보고서제공X</v>
      </c>
      <c r="P860" s="57" t="str">
        <f>작성용!X857</f>
        <v>-</v>
      </c>
      <c r="Q860" s="58" t="str">
        <f>작성용!AD857</f>
        <v>상장</v>
      </c>
      <c r="R860" s="60">
        <f>작성용!AE857</f>
        <v>0</v>
      </c>
      <c r="S860" s="58" t="str">
        <f>작성용!AF857</f>
        <v>상장</v>
      </c>
      <c r="T860" s="61" t="str">
        <f>작성용!AG857</f>
        <v>메자닌평가팀</v>
      </c>
      <c r="U860" s="61" t="str">
        <f>작성용!AH857</f>
        <v>메자닌평가팀</v>
      </c>
      <c r="V860" s="56">
        <f>작성용!AA857</f>
        <v>202411</v>
      </c>
      <c r="W860" s="58" t="str">
        <f>작성용!AC857</f>
        <v>[W]상장기업</v>
      </c>
      <c r="X860" s="58" t="str">
        <f>작성용!O857</f>
        <v>박태우선임</v>
      </c>
      <c r="Y860" s="58" t="str">
        <f>작성용!P857</f>
        <v>02-6915-5390</v>
      </c>
      <c r="Z860" s="58" t="str">
        <f>작성용!Q857</f>
        <v>sliding_had@ibks.com;lee3357320@ibks.com</v>
      </c>
      <c r="AA860" s="56" t="str">
        <f>작성용!AJ857</f>
        <v>회계반영</v>
      </c>
      <c r="AB860" s="56">
        <f>작성용!AB857</f>
        <v>0</v>
      </c>
    </row>
    <row r="861" spans="1:28" s="12" customFormat="1" ht="16.5" hidden="1" customHeight="1" x14ac:dyDescent="0.3">
      <c r="A861" s="54">
        <f>작성용!AL858</f>
        <v>857</v>
      </c>
      <c r="B861" s="55" t="str">
        <f>작성용!AI858</f>
        <v>-</v>
      </c>
      <c r="C861" s="56" t="str">
        <f>작성용!AK858</f>
        <v>개별종목</v>
      </c>
      <c r="D861" s="57" t="str">
        <f>작성용!T858</f>
        <v>매월</v>
      </c>
      <c r="E861" s="58" t="str">
        <f>작성용!B858</f>
        <v>IBK투자증권(PI부)(구,투자금융부)</v>
      </c>
      <c r="F861" s="58" t="str">
        <f>작성용!C858</f>
        <v>재평가</v>
      </c>
      <c r="G861" s="58" t="str">
        <f>작성용!D858</f>
        <v>루닛</v>
      </c>
      <c r="H861" s="59">
        <f>작성용!E858</f>
        <v>1601110354045</v>
      </c>
      <c r="I861" s="58" t="str">
        <f>작성용!F858</f>
        <v>D02</v>
      </c>
      <c r="J861" s="58">
        <f>작성용!G858</f>
        <v>0</v>
      </c>
      <c r="K861" s="58" t="str">
        <f>작성용!H858</f>
        <v>-</v>
      </c>
      <c r="L861" s="58" t="str">
        <f>작성용!N858</f>
        <v>분기</v>
      </c>
      <c r="M861" s="57" t="str">
        <f>작성용!U858</f>
        <v>2024.11.30</v>
      </c>
      <c r="N861" s="57">
        <f>작성용!V858</f>
        <v>45628</v>
      </c>
      <c r="O861" s="57" t="str">
        <f>작성용!W858</f>
        <v>보고서제공X</v>
      </c>
      <c r="P861" s="57" t="str">
        <f>작성용!X858</f>
        <v>-</v>
      </c>
      <c r="Q861" s="58" t="str">
        <f>작성용!AD858</f>
        <v>상장</v>
      </c>
      <c r="R861" s="60">
        <f>작성용!AE858</f>
        <v>0</v>
      </c>
      <c r="S861" s="58" t="str">
        <f>작성용!AF858</f>
        <v>상장</v>
      </c>
      <c r="T861" s="61" t="str">
        <f>작성용!AG858</f>
        <v>메자닌평가팀</v>
      </c>
      <c r="U861" s="61" t="str">
        <f>작성용!AH858</f>
        <v>메자닌평가팀</v>
      </c>
      <c r="V861" s="56">
        <f>작성용!AA858</f>
        <v>202411</v>
      </c>
      <c r="W861" s="58" t="str">
        <f>작성용!AC858</f>
        <v>[W]상장기업</v>
      </c>
      <c r="X861" s="58" t="str">
        <f>작성용!O858</f>
        <v>박태우선임</v>
      </c>
      <c r="Y861" s="58" t="str">
        <f>작성용!P858</f>
        <v>02-6915-5390</v>
      </c>
      <c r="Z861" s="58" t="str">
        <f>작성용!Q858</f>
        <v>sliding_had@ibks.com;lee3357320@ibks.com</v>
      </c>
      <c r="AA861" s="56" t="str">
        <f>작성용!AJ858</f>
        <v>회계반영</v>
      </c>
      <c r="AB861" s="56">
        <f>작성용!AB858</f>
        <v>0</v>
      </c>
    </row>
    <row r="862" spans="1:28" s="12" customFormat="1" ht="16.5" hidden="1" customHeight="1" x14ac:dyDescent="0.3">
      <c r="A862" s="54">
        <f>작성용!AL859</f>
        <v>858</v>
      </c>
      <c r="B862" s="55" t="str">
        <f>작성용!AI859</f>
        <v>-</v>
      </c>
      <c r="C862" s="56" t="str">
        <f>작성용!AK859</f>
        <v>개별종목</v>
      </c>
      <c r="D862" s="57" t="str">
        <f>작성용!T859</f>
        <v>매월</v>
      </c>
      <c r="E862" s="58" t="str">
        <f>작성용!B859</f>
        <v>IBK투자증권(PI부)(구,투자금융부)</v>
      </c>
      <c r="F862" s="58" t="str">
        <f>작성용!C859</f>
        <v>재평가</v>
      </c>
      <c r="G862" s="58" t="str">
        <f>작성용!D859</f>
        <v>CMG제약</v>
      </c>
      <c r="H862" s="59">
        <f>작성용!E859</f>
        <v>1350110115846</v>
      </c>
      <c r="I862" s="58" t="str">
        <f>작성용!F859</f>
        <v>D02</v>
      </c>
      <c r="J862" s="58">
        <f>작성용!G859</f>
        <v>8</v>
      </c>
      <c r="K862" s="58" t="str">
        <f>작성용!H859</f>
        <v>-</v>
      </c>
      <c r="L862" s="58" t="str">
        <f>작성용!N859</f>
        <v>분기</v>
      </c>
      <c r="M862" s="57" t="str">
        <f>작성용!U859</f>
        <v>2024.11.30</v>
      </c>
      <c r="N862" s="57">
        <f>작성용!V859</f>
        <v>45628</v>
      </c>
      <c r="O862" s="57" t="str">
        <f>작성용!W859</f>
        <v>보고서제공X</v>
      </c>
      <c r="P862" s="57" t="str">
        <f>작성용!X859</f>
        <v>-</v>
      </c>
      <c r="Q862" s="58" t="str">
        <f>작성용!AD859</f>
        <v>상장</v>
      </c>
      <c r="R862" s="60">
        <f>작성용!AE859</f>
        <v>0</v>
      </c>
      <c r="S862" s="58" t="str">
        <f>작성용!AF859</f>
        <v>상장</v>
      </c>
      <c r="T862" s="61" t="str">
        <f>작성용!AG859</f>
        <v>메자닌평가팀</v>
      </c>
      <c r="U862" s="61" t="str">
        <f>작성용!AH859</f>
        <v>메자닌평가팀</v>
      </c>
      <c r="V862" s="56">
        <f>작성용!AA859</f>
        <v>202411</v>
      </c>
      <c r="W862" s="58" t="str">
        <f>작성용!AC859</f>
        <v>[W]상장기업</v>
      </c>
      <c r="X862" s="58" t="str">
        <f>작성용!O859</f>
        <v>박태우선임</v>
      </c>
      <c r="Y862" s="58" t="str">
        <f>작성용!P859</f>
        <v>02-6915-5390</v>
      </c>
      <c r="Z862" s="58" t="str">
        <f>작성용!Q859</f>
        <v>sliding_had@ibks.com;lee3357320@ibks.com</v>
      </c>
      <c r="AA862" s="56" t="str">
        <f>작성용!AJ859</f>
        <v>회계반영</v>
      </c>
      <c r="AB862" s="56">
        <f>작성용!AB859</f>
        <v>0</v>
      </c>
    </row>
    <row r="863" spans="1:28" s="12" customFormat="1" ht="16.5" hidden="1" customHeight="1" x14ac:dyDescent="0.3">
      <c r="A863" s="54">
        <f>작성용!AL860</f>
        <v>859</v>
      </c>
      <c r="B863" s="55" t="str">
        <f>작성용!AI860</f>
        <v>-</v>
      </c>
      <c r="C863" s="56" t="str">
        <f>작성용!AK860</f>
        <v>개별종목</v>
      </c>
      <c r="D863" s="57" t="str">
        <f>작성용!T860</f>
        <v>매월</v>
      </c>
      <c r="E863" s="58" t="str">
        <f>작성용!B860</f>
        <v>IBK투자증권(PI부)(구,투자금융부)</v>
      </c>
      <c r="F863" s="58" t="str">
        <f>작성용!C860</f>
        <v>재평가</v>
      </c>
      <c r="G863" s="58" t="str">
        <f>작성용!D860</f>
        <v>심텍</v>
      </c>
      <c r="H863" s="59">
        <f>작성용!E860</f>
        <v>1501110205802</v>
      </c>
      <c r="I863" s="58" t="str">
        <f>작성용!F860</f>
        <v>D02</v>
      </c>
      <c r="J863" s="58">
        <f>작성용!G860</f>
        <v>4</v>
      </c>
      <c r="K863" s="58" t="str">
        <f>작성용!H860</f>
        <v>-</v>
      </c>
      <c r="L863" s="58" t="str">
        <f>작성용!N860</f>
        <v>분기</v>
      </c>
      <c r="M863" s="57" t="str">
        <f>작성용!U860</f>
        <v>2024.11.30</v>
      </c>
      <c r="N863" s="57">
        <f>작성용!V860</f>
        <v>45628</v>
      </c>
      <c r="O863" s="57" t="str">
        <f>작성용!W860</f>
        <v>보고서제공X</v>
      </c>
      <c r="P863" s="57" t="str">
        <f>작성용!X860</f>
        <v>-</v>
      </c>
      <c r="Q863" s="58" t="str">
        <f>작성용!AD860</f>
        <v>상장</v>
      </c>
      <c r="R863" s="60">
        <f>작성용!AE860</f>
        <v>0</v>
      </c>
      <c r="S863" s="58" t="str">
        <f>작성용!AF860</f>
        <v>상장</v>
      </c>
      <c r="T863" s="61" t="str">
        <f>작성용!AG860</f>
        <v>메자닌평가팀</v>
      </c>
      <c r="U863" s="61" t="str">
        <f>작성용!AH860</f>
        <v>메자닌평가팀</v>
      </c>
      <c r="V863" s="56">
        <f>작성용!AA860</f>
        <v>202411</v>
      </c>
      <c r="W863" s="58" t="str">
        <f>작성용!AC860</f>
        <v>[W]상장기업</v>
      </c>
      <c r="X863" s="58" t="str">
        <f>작성용!O860</f>
        <v>박태우선임</v>
      </c>
      <c r="Y863" s="58" t="str">
        <f>작성용!P860</f>
        <v>02-6915-5390</v>
      </c>
      <c r="Z863" s="58" t="str">
        <f>작성용!Q860</f>
        <v>sliding_had@ibks.com;lee3357320@ibks.com</v>
      </c>
      <c r="AA863" s="56" t="str">
        <f>작성용!AJ860</f>
        <v>회계반영</v>
      </c>
      <c r="AB863" s="56">
        <f>작성용!AB860</f>
        <v>0</v>
      </c>
    </row>
    <row r="864" spans="1:28" s="12" customFormat="1" ht="16.5" hidden="1" customHeight="1" x14ac:dyDescent="0.3">
      <c r="A864" s="54">
        <f>작성용!AL861</f>
        <v>860</v>
      </c>
      <c r="B864" s="55" t="str">
        <f>작성용!AI861</f>
        <v>-</v>
      </c>
      <c r="C864" s="56" t="str">
        <f>작성용!AK861</f>
        <v>개별종목</v>
      </c>
      <c r="D864" s="57" t="str">
        <f>작성용!T861</f>
        <v>매월</v>
      </c>
      <c r="E864" s="58" t="str">
        <f>작성용!B861</f>
        <v>IBK투자증권(PI부)(구,투자금융부)</v>
      </c>
      <c r="F864" s="58" t="str">
        <f>작성용!C861</f>
        <v>재평가</v>
      </c>
      <c r="G864" s="58" t="str">
        <f>작성용!D861</f>
        <v>한주라이트메탈(구,한주금속)</v>
      </c>
      <c r="H864" s="59">
        <f>작성용!E861</f>
        <v>1812110008538</v>
      </c>
      <c r="I864" s="58" t="str">
        <f>작성용!F861</f>
        <v>D02</v>
      </c>
      <c r="J864" s="58">
        <f>작성용!G861</f>
        <v>4</v>
      </c>
      <c r="K864" s="58" t="str">
        <f>작성용!H861</f>
        <v>-</v>
      </c>
      <c r="L864" s="58" t="str">
        <f>작성용!N861</f>
        <v>분기</v>
      </c>
      <c r="M864" s="57" t="str">
        <f>작성용!U861</f>
        <v>2024.11.30</v>
      </c>
      <c r="N864" s="57">
        <f>작성용!V861</f>
        <v>45628</v>
      </c>
      <c r="O864" s="57" t="str">
        <f>작성용!W861</f>
        <v>보고서제공X</v>
      </c>
      <c r="P864" s="57" t="str">
        <f>작성용!X861</f>
        <v>-</v>
      </c>
      <c r="Q864" s="58" t="str">
        <f>작성용!AD861</f>
        <v>상장</v>
      </c>
      <c r="R864" s="60">
        <f>작성용!AE861</f>
        <v>0</v>
      </c>
      <c r="S864" s="58" t="str">
        <f>작성용!AF861</f>
        <v>상장</v>
      </c>
      <c r="T864" s="61" t="str">
        <f>작성용!AG861</f>
        <v>메자닌평가팀</v>
      </c>
      <c r="U864" s="61" t="str">
        <f>작성용!AH861</f>
        <v>메자닌평가팀</v>
      </c>
      <c r="V864" s="56">
        <f>작성용!AA861</f>
        <v>202411</v>
      </c>
      <c r="W864" s="58" t="str">
        <f>작성용!AC861</f>
        <v>[W]상장기업</v>
      </c>
      <c r="X864" s="58" t="str">
        <f>작성용!O861</f>
        <v>박태우선임</v>
      </c>
      <c r="Y864" s="58" t="str">
        <f>작성용!P861</f>
        <v>02-6915-5390</v>
      </c>
      <c r="Z864" s="58" t="str">
        <f>작성용!Q861</f>
        <v>sliding_had@ibks.com;lee3357320@ibks.com</v>
      </c>
      <c r="AA864" s="56" t="str">
        <f>작성용!AJ861</f>
        <v>회계반영</v>
      </c>
      <c r="AB864" s="56">
        <f>작성용!AB861</f>
        <v>0</v>
      </c>
    </row>
    <row r="865" spans="1:28" s="12" customFormat="1" ht="16.5" hidden="1" customHeight="1" x14ac:dyDescent="0.3">
      <c r="A865" s="54">
        <f>작성용!AL862</f>
        <v>861</v>
      </c>
      <c r="B865" s="55" t="str">
        <f>작성용!AI862</f>
        <v>-</v>
      </c>
      <c r="C865" s="56" t="str">
        <f>작성용!AK862</f>
        <v>개별종목</v>
      </c>
      <c r="D865" s="57" t="str">
        <f>작성용!T862</f>
        <v>매월</v>
      </c>
      <c r="E865" s="58" t="str">
        <f>작성용!B862</f>
        <v>IBK투자증권(PI부)(구,투자금융부)</v>
      </c>
      <c r="F865" s="58" t="str">
        <f>작성용!C862</f>
        <v>재평가</v>
      </c>
      <c r="G865" s="58" t="str">
        <f>작성용!D862</f>
        <v>심텍</v>
      </c>
      <c r="H865" s="59">
        <f>작성용!E862</f>
        <v>1501110205802</v>
      </c>
      <c r="I865" s="58" t="str">
        <f>작성용!F862</f>
        <v>D06</v>
      </c>
      <c r="J865" s="58">
        <f>작성용!G862</f>
        <v>4</v>
      </c>
      <c r="K865" s="58" t="str">
        <f>작성용!H862</f>
        <v>-</v>
      </c>
      <c r="L865" s="58" t="str">
        <f>작성용!N862</f>
        <v>분기</v>
      </c>
      <c r="M865" s="57" t="str">
        <f>작성용!U862</f>
        <v>2024.11.30</v>
      </c>
      <c r="N865" s="57">
        <f>작성용!V862</f>
        <v>45628</v>
      </c>
      <c r="O865" s="57" t="str">
        <f>작성용!W862</f>
        <v>보고서제공X</v>
      </c>
      <c r="P865" s="57" t="str">
        <f>작성용!X862</f>
        <v>-</v>
      </c>
      <c r="Q865" s="58" t="str">
        <f>작성용!AD862</f>
        <v>상장</v>
      </c>
      <c r="R865" s="60">
        <f>작성용!AE862</f>
        <v>0</v>
      </c>
      <c r="S865" s="58" t="str">
        <f>작성용!AF862</f>
        <v>상장</v>
      </c>
      <c r="T865" s="61" t="str">
        <f>작성용!AG862</f>
        <v>메자닌평가팀</v>
      </c>
      <c r="U865" s="61" t="str">
        <f>작성용!AH862</f>
        <v>메자닌평가팀</v>
      </c>
      <c r="V865" s="56">
        <f>작성용!AA862</f>
        <v>202411</v>
      </c>
      <c r="W865" s="58" t="str">
        <f>작성용!AC862</f>
        <v>[W]상장기업</v>
      </c>
      <c r="X865" s="58" t="str">
        <f>작성용!O862</f>
        <v>박태우선임</v>
      </c>
      <c r="Y865" s="58" t="str">
        <f>작성용!P862</f>
        <v>02-6915-5390</v>
      </c>
      <c r="Z865" s="58" t="str">
        <f>작성용!Q862</f>
        <v>sliding_had@ibks.com;lee3357320@ibks.com</v>
      </c>
      <c r="AA865" s="56" t="str">
        <f>작성용!AJ862</f>
        <v>회계반영</v>
      </c>
      <c r="AB865" s="56">
        <f>작성용!AB862</f>
        <v>0</v>
      </c>
    </row>
    <row r="866" spans="1:28" s="12" customFormat="1" ht="16.5" hidden="1" customHeight="1" x14ac:dyDescent="0.3">
      <c r="A866" s="54">
        <f>작성용!AL863</f>
        <v>862</v>
      </c>
      <c r="B866" s="55" t="str">
        <f>작성용!AI863</f>
        <v>-</v>
      </c>
      <c r="C866" s="56" t="str">
        <f>작성용!AK863</f>
        <v>개별종목</v>
      </c>
      <c r="D866" s="57" t="str">
        <f>작성용!T863</f>
        <v>매월</v>
      </c>
      <c r="E866" s="58" t="str">
        <f>작성용!B863</f>
        <v>IBK투자증권(PI부)(구,투자금융부)</v>
      </c>
      <c r="F866" s="58" t="str">
        <f>작성용!C863</f>
        <v>재평가</v>
      </c>
      <c r="G866" s="58" t="str">
        <f>작성용!D863</f>
        <v>호텔신라</v>
      </c>
      <c r="H866" s="59">
        <f>작성용!E863</f>
        <v>1101110145519</v>
      </c>
      <c r="I866" s="58" t="str">
        <f>작성용!F863</f>
        <v>D01</v>
      </c>
      <c r="J866" s="58">
        <f>작성용!G863</f>
        <v>75</v>
      </c>
      <c r="K866" s="58" t="str">
        <f>작성용!H863</f>
        <v>-</v>
      </c>
      <c r="L866" s="58" t="str">
        <f>작성용!N863</f>
        <v>분기</v>
      </c>
      <c r="M866" s="57" t="str">
        <f>작성용!U863</f>
        <v>2024.11.30</v>
      </c>
      <c r="N866" s="57">
        <f>작성용!V863</f>
        <v>45628</v>
      </c>
      <c r="O866" s="57" t="str">
        <f>작성용!W863</f>
        <v>보고서제공X</v>
      </c>
      <c r="P866" s="57" t="str">
        <f>작성용!X863</f>
        <v>-</v>
      </c>
      <c r="Q866" s="58" t="str">
        <f>작성용!AD863</f>
        <v>상장</v>
      </c>
      <c r="R866" s="60">
        <f>작성용!AE863</f>
        <v>0</v>
      </c>
      <c r="S866" s="58" t="str">
        <f>작성용!AF863</f>
        <v>상장</v>
      </c>
      <c r="T866" s="61" t="str">
        <f>작성용!AG863</f>
        <v>메자닌평가팀</v>
      </c>
      <c r="U866" s="61" t="str">
        <f>작성용!AH863</f>
        <v>메자닌평가팀</v>
      </c>
      <c r="V866" s="56">
        <f>작성용!AA863</f>
        <v>202411</v>
      </c>
      <c r="W866" s="58" t="str">
        <f>작성용!AC863</f>
        <v>[W]상장기업</v>
      </c>
      <c r="X866" s="58" t="str">
        <f>작성용!O863</f>
        <v>박태우선임</v>
      </c>
      <c r="Y866" s="58" t="str">
        <f>작성용!P863</f>
        <v>02-6915-5390</v>
      </c>
      <c r="Z866" s="58" t="str">
        <f>작성용!Q863</f>
        <v>sliding_had@ibks.com;lee3357320@ibks.com</v>
      </c>
      <c r="AA866" s="56" t="str">
        <f>작성용!AJ863</f>
        <v>회계반영</v>
      </c>
      <c r="AB866" s="56">
        <f>작성용!AB863</f>
        <v>0</v>
      </c>
    </row>
    <row r="867" spans="1:28" s="12" customFormat="1" ht="16.5" hidden="1" customHeight="1" x14ac:dyDescent="0.3">
      <c r="A867" s="54">
        <f>작성용!AL864</f>
        <v>863</v>
      </c>
      <c r="B867" s="55" t="str">
        <f>작성용!AI864</f>
        <v>-</v>
      </c>
      <c r="C867" s="56" t="str">
        <f>작성용!AK864</f>
        <v>개별종목</v>
      </c>
      <c r="D867" s="57" t="str">
        <f>작성용!T864</f>
        <v>매월</v>
      </c>
      <c r="E867" s="58" t="str">
        <f>작성용!B864</f>
        <v>IBK투자증권(PI부)(구,투자금융부)</v>
      </c>
      <c r="F867" s="58" t="str">
        <f>작성용!C864</f>
        <v>재평가</v>
      </c>
      <c r="G867" s="58" t="str">
        <f>작성용!D864</f>
        <v>농심</v>
      </c>
      <c r="H867" s="59">
        <f>작성용!E864</f>
        <v>1101110057574</v>
      </c>
      <c r="I867" s="58" t="str">
        <f>작성용!F864</f>
        <v>D01</v>
      </c>
      <c r="J867" s="58">
        <f>작성용!G864</f>
        <v>13</v>
      </c>
      <c r="K867" s="58" t="str">
        <f>작성용!H864</f>
        <v>-</v>
      </c>
      <c r="L867" s="58" t="str">
        <f>작성용!N864</f>
        <v>분기</v>
      </c>
      <c r="M867" s="57" t="str">
        <f>작성용!U864</f>
        <v>2024.11.30</v>
      </c>
      <c r="N867" s="57">
        <f>작성용!V864</f>
        <v>45628</v>
      </c>
      <c r="O867" s="57" t="str">
        <f>작성용!W864</f>
        <v>보고서제공X</v>
      </c>
      <c r="P867" s="57" t="str">
        <f>작성용!X864</f>
        <v>-</v>
      </c>
      <c r="Q867" s="58" t="str">
        <f>작성용!AD864</f>
        <v>상장</v>
      </c>
      <c r="R867" s="60">
        <f>작성용!AE864</f>
        <v>0</v>
      </c>
      <c r="S867" s="58" t="str">
        <f>작성용!AF864</f>
        <v>상장</v>
      </c>
      <c r="T867" s="61" t="str">
        <f>작성용!AG864</f>
        <v>메자닌평가팀</v>
      </c>
      <c r="U867" s="61" t="str">
        <f>작성용!AH864</f>
        <v>메자닌평가팀</v>
      </c>
      <c r="V867" s="56">
        <f>작성용!AA864</f>
        <v>202411</v>
      </c>
      <c r="W867" s="58" t="str">
        <f>작성용!AC864</f>
        <v>[W]상장기업</v>
      </c>
      <c r="X867" s="58" t="str">
        <f>작성용!O864</f>
        <v>박태우선임</v>
      </c>
      <c r="Y867" s="58" t="str">
        <f>작성용!P864</f>
        <v>02-6915-5390</v>
      </c>
      <c r="Z867" s="58" t="str">
        <f>작성용!Q864</f>
        <v>sliding_had@ibks.com;lee3357320@ibks.com</v>
      </c>
      <c r="AA867" s="56" t="str">
        <f>작성용!AJ864</f>
        <v>회계반영</v>
      </c>
      <c r="AB867" s="56">
        <f>작성용!AB864</f>
        <v>0</v>
      </c>
    </row>
    <row r="868" spans="1:28" s="12" customFormat="1" ht="16.5" hidden="1" customHeight="1" x14ac:dyDescent="0.3">
      <c r="A868" s="54">
        <f>작성용!AL865</f>
        <v>864</v>
      </c>
      <c r="B868" s="55" t="str">
        <f>작성용!AI865</f>
        <v>디에스엡실론제1호&gt;KT ES Pte. Ltd.&gt;Epsilon(최종투자자산)</v>
      </c>
      <c r="C868" s="56" t="str">
        <f>작성용!AK865</f>
        <v>개별종목</v>
      </c>
      <c r="D868" s="57">
        <f>작성용!T865</f>
        <v>45590</v>
      </c>
      <c r="E868" s="58" t="str">
        <f>작성용!B865</f>
        <v>대신프라이빗에쿼티</v>
      </c>
      <c r="F868" s="58" t="str">
        <f>작성용!C865</f>
        <v>신규</v>
      </c>
      <c r="G868" s="58" t="str">
        <f>작성용!D865</f>
        <v>Epsilon Global Communications Pte. Ltd</v>
      </c>
      <c r="H868" s="59" t="str">
        <f>작성용!E865</f>
        <v>KBP2021090063</v>
      </c>
      <c r="I868" s="58" t="str">
        <f>작성용!F865</f>
        <v>A01</v>
      </c>
      <c r="J868" s="58">
        <f>작성용!G865</f>
        <v>0</v>
      </c>
      <c r="K868" s="58" t="str">
        <f>작성용!H865</f>
        <v>-</v>
      </c>
      <c r="L868" s="58" t="str">
        <f>작성용!N865</f>
        <v>연말</v>
      </c>
      <c r="M868" s="57" t="str">
        <f>작성용!U865</f>
        <v>2024.09.30</v>
      </c>
      <c r="N868" s="57">
        <f>작성용!V865</f>
        <v>45611</v>
      </c>
      <c r="O868" s="57">
        <f>작성용!W865</f>
        <v>45615</v>
      </c>
      <c r="P868" s="57" t="str">
        <f>작성용!X865</f>
        <v>-</v>
      </c>
      <c r="Q868" s="58" t="str">
        <f>작성용!AD865</f>
        <v>정은채</v>
      </c>
      <c r="R868" s="60">
        <f>작성용!AE865</f>
        <v>1</v>
      </c>
      <c r="S868" s="58" t="str">
        <f>작성용!AF865</f>
        <v>정은채</v>
      </c>
      <c r="T868" s="61" t="str">
        <f>작성용!AG865</f>
        <v>윤광일</v>
      </c>
      <c r="U868" s="61" t="str">
        <f>작성용!AH865</f>
        <v>윤광일</v>
      </c>
      <c r="V868" s="56">
        <f>작성용!AA865</f>
        <v>202411</v>
      </c>
      <c r="W868" s="58" t="str">
        <f>작성용!AC865</f>
        <v>[Y]금융기관</v>
      </c>
      <c r="X868" s="58" t="str">
        <f>작성용!O865</f>
        <v>이동우책임</v>
      </c>
      <c r="Y868" s="58" t="str">
        <f>작성용!P865</f>
        <v>010-2240-9024</v>
      </c>
      <c r="Z868" s="58" t="str">
        <f>작성용!Q865</f>
        <v>dongwoo2.lee@daishin.com</v>
      </c>
      <c r="AA868" s="56" t="str">
        <f>작성용!AJ865</f>
        <v>국민연금제출</v>
      </c>
      <c r="AB868" s="56">
        <f>작성용!AB865</f>
        <v>0</v>
      </c>
    </row>
    <row r="869" spans="1:28" s="12" customFormat="1" ht="16.5" hidden="1" customHeight="1" x14ac:dyDescent="0.3">
      <c r="A869" s="54">
        <f>작성용!AL866</f>
        <v>865</v>
      </c>
      <c r="B869" s="55" t="str">
        <f>작성용!AI866</f>
        <v>-</v>
      </c>
      <c r="C869" s="56" t="str">
        <f>작성용!AK866</f>
        <v>개별종목</v>
      </c>
      <c r="D869" s="57">
        <f>작성용!T866</f>
        <v>45590</v>
      </c>
      <c r="E869" s="58" t="str">
        <f>작성용!B866</f>
        <v>대신프라이빗에쿼티</v>
      </c>
      <c r="F869" s="58" t="str">
        <f>작성용!C866</f>
        <v>신규</v>
      </c>
      <c r="G869" s="58" t="str">
        <f>작성용!D866</f>
        <v>만다린홀딩스</v>
      </c>
      <c r="H869" s="59">
        <f>작성용!E866</f>
        <v>1101118486105</v>
      </c>
      <c r="I869" s="58" t="str">
        <f>작성용!F866</f>
        <v>A01</v>
      </c>
      <c r="J869" s="58">
        <f>작성용!G866</f>
        <v>0</v>
      </c>
      <c r="K869" s="58" t="str">
        <f>작성용!H866</f>
        <v>-</v>
      </c>
      <c r="L869" s="58" t="str">
        <f>작성용!N866</f>
        <v>연말</v>
      </c>
      <c r="M869" s="57" t="str">
        <f>작성용!U866</f>
        <v>2024.09.30</v>
      </c>
      <c r="N869" s="57">
        <f>작성용!V866</f>
        <v>45611</v>
      </c>
      <c r="O869" s="57">
        <f>작성용!W866</f>
        <v>45617</v>
      </c>
      <c r="P869" s="57" t="str">
        <f>작성용!X866</f>
        <v>-</v>
      </c>
      <c r="Q869" s="58" t="str">
        <f>작성용!AD866</f>
        <v>원정우</v>
      </c>
      <c r="R869" s="60">
        <f>작성용!AE866</f>
        <v>1</v>
      </c>
      <c r="S869" s="58" t="str">
        <f>작성용!AF866</f>
        <v>신규</v>
      </c>
      <c r="T869" s="61" t="str">
        <f>작성용!AG866</f>
        <v>윤광일</v>
      </c>
      <c r="U869" s="61" t="str">
        <f>작성용!AH866</f>
        <v>윤광일</v>
      </c>
      <c r="V869" s="56">
        <f>작성용!AA866</f>
        <v>202411</v>
      </c>
      <c r="W869" s="58" t="str">
        <f>작성용!AC866</f>
        <v>[Y]금융기관</v>
      </c>
      <c r="X869" s="58" t="str">
        <f>작성용!O866</f>
        <v>전윤정선임</v>
      </c>
      <c r="Y869" s="58" t="str">
        <f>작성용!P866</f>
        <v>02-769-3136, 010-3366-0463</v>
      </c>
      <c r="Z869" s="58" t="str">
        <f>작성용!Q866</f>
        <v>yunjeong.jeon@daishin.com</v>
      </c>
      <c r="AA869" s="56" t="str">
        <f>작성용!AJ866</f>
        <v>우정사업본부제출목적</v>
      </c>
      <c r="AB869" s="56">
        <f>작성용!AB866</f>
        <v>0</v>
      </c>
    </row>
    <row r="870" spans="1:28" s="12" customFormat="1" ht="16.5" hidden="1" customHeight="1" x14ac:dyDescent="0.3">
      <c r="A870" s="54">
        <f>작성용!AL867</f>
        <v>866</v>
      </c>
      <c r="B870" s="55" t="str">
        <f>작성용!AI867</f>
        <v>-</v>
      </c>
      <c r="C870" s="56" t="str">
        <f>작성용!AK867</f>
        <v>개별종목</v>
      </c>
      <c r="D870" s="57">
        <f>작성용!T867</f>
        <v>45590</v>
      </c>
      <c r="E870" s="58" t="str">
        <f>작성용!B867</f>
        <v>대신프라이빗에쿼티</v>
      </c>
      <c r="F870" s="58" t="str">
        <f>작성용!C867</f>
        <v>신규</v>
      </c>
      <c r="G870" s="58" t="str">
        <f>작성용!D867</f>
        <v>한화첨단소재</v>
      </c>
      <c r="H870" s="59">
        <f>작성용!E867</f>
        <v>1101118496279</v>
      </c>
      <c r="I870" s="58" t="str">
        <f>작성용!F867</f>
        <v>A05</v>
      </c>
      <c r="J870" s="58">
        <f>작성용!G867</f>
        <v>0</v>
      </c>
      <c r="K870" s="58" t="str">
        <f>작성용!H867</f>
        <v>-</v>
      </c>
      <c r="L870" s="58" t="str">
        <f>작성용!N867</f>
        <v>연말</v>
      </c>
      <c r="M870" s="57" t="str">
        <f>작성용!U867</f>
        <v>2024.09.30</v>
      </c>
      <c r="N870" s="57">
        <f>작성용!V867</f>
        <v>45611</v>
      </c>
      <c r="O870" s="57">
        <f>작성용!W867</f>
        <v>45617</v>
      </c>
      <c r="P870" s="57" t="str">
        <f>작성용!X867</f>
        <v>-</v>
      </c>
      <c r="Q870" s="58" t="str">
        <f>작성용!AD867</f>
        <v>신원준</v>
      </c>
      <c r="R870" s="60">
        <f>작성용!AE867</f>
        <v>1</v>
      </c>
      <c r="S870" s="58" t="str">
        <f>작성용!AF867</f>
        <v>신규</v>
      </c>
      <c r="T870" s="61" t="str">
        <f>작성용!AG867</f>
        <v>윤광일</v>
      </c>
      <c r="U870" s="61" t="str">
        <f>작성용!AH867</f>
        <v>윤광일</v>
      </c>
      <c r="V870" s="56">
        <f>작성용!AA867</f>
        <v>202411</v>
      </c>
      <c r="W870" s="58" t="str">
        <f>작성용!AC867</f>
        <v>[Y]금융기관</v>
      </c>
      <c r="X870" s="58" t="str">
        <f>작성용!O867</f>
        <v>전윤정선임</v>
      </c>
      <c r="Y870" s="58" t="str">
        <f>작성용!P867</f>
        <v>02-769-3136, 010-3366-0463</v>
      </c>
      <c r="Z870" s="58" t="str">
        <f>작성용!Q867</f>
        <v>yunjeong.jeon@daishin.com</v>
      </c>
      <c r="AA870" s="56" t="str">
        <f>작성용!AJ867</f>
        <v>우정사업본부제출목적</v>
      </c>
      <c r="AB870" s="56">
        <f>작성용!AB867</f>
        <v>0</v>
      </c>
    </row>
    <row r="871" spans="1:28" s="12" customFormat="1" ht="16.5" hidden="1" customHeight="1" x14ac:dyDescent="0.3">
      <c r="A871" s="54">
        <f>작성용!AL868</f>
        <v>867</v>
      </c>
      <c r="B871" s="55" t="str">
        <f>작성용!AI868</f>
        <v>에이치에이엠홀딩스-&gt;한화첨단소재 흡수합병</v>
      </c>
      <c r="C871" s="56" t="str">
        <f>작성용!AK868</f>
        <v>개별종목</v>
      </c>
      <c r="D871" s="57">
        <f>작성용!T868</f>
        <v>45590</v>
      </c>
      <c r="E871" s="58" t="str">
        <f>작성용!B868</f>
        <v>대신프라이빗에쿼티</v>
      </c>
      <c r="F871" s="58" t="str">
        <f>작성용!C868</f>
        <v>신규</v>
      </c>
      <c r="G871" s="58" t="str">
        <f>작성용!D868</f>
        <v>한화첨단소재</v>
      </c>
      <c r="H871" s="59">
        <f>작성용!E868</f>
        <v>1101118496279</v>
      </c>
      <c r="I871" s="58" t="str">
        <f>작성용!F868</f>
        <v>A05</v>
      </c>
      <c r="J871" s="58">
        <f>작성용!G868</f>
        <v>2</v>
      </c>
      <c r="K871" s="58" t="str">
        <f>작성용!H868</f>
        <v>-</v>
      </c>
      <c r="L871" s="58" t="str">
        <f>작성용!N868</f>
        <v>연말</v>
      </c>
      <c r="M871" s="57" t="str">
        <f>작성용!U868</f>
        <v>2024.09.30</v>
      </c>
      <c r="N871" s="57">
        <f>작성용!V868</f>
        <v>45611</v>
      </c>
      <c r="O871" s="57">
        <f>작성용!W868</f>
        <v>45617</v>
      </c>
      <c r="P871" s="57" t="str">
        <f>작성용!X868</f>
        <v>-</v>
      </c>
      <c r="Q871" s="58" t="str">
        <f>작성용!AD868</f>
        <v>신원준</v>
      </c>
      <c r="R871" s="60">
        <f>작성용!AE868</f>
        <v>0</v>
      </c>
      <c r="S871" s="58" t="str">
        <f>작성용!AF868</f>
        <v>신규</v>
      </c>
      <c r="T871" s="61" t="str">
        <f>작성용!AG868</f>
        <v>윤광일</v>
      </c>
      <c r="U871" s="61" t="str">
        <f>작성용!AH868</f>
        <v>윤광일</v>
      </c>
      <c r="V871" s="56">
        <f>작성용!AA868</f>
        <v>202411</v>
      </c>
      <c r="W871" s="58" t="str">
        <f>작성용!AC868</f>
        <v>[Y]금융기관</v>
      </c>
      <c r="X871" s="58" t="str">
        <f>작성용!O868</f>
        <v>전윤정선임</v>
      </c>
      <c r="Y871" s="58" t="str">
        <f>작성용!P868</f>
        <v>02-769-3136, 010-3366-0463</v>
      </c>
      <c r="Z871" s="58" t="str">
        <f>작성용!Q868</f>
        <v>yunjeong.jeon@daishin.com</v>
      </c>
      <c r="AA871" s="56" t="str">
        <f>작성용!AJ868</f>
        <v>우정사업본부제출목적</v>
      </c>
      <c r="AB871" s="56">
        <f>작성용!AB868</f>
        <v>0</v>
      </c>
    </row>
    <row r="872" spans="1:28" s="12" customFormat="1" ht="16.5" hidden="1" customHeight="1" x14ac:dyDescent="0.3">
      <c r="A872" s="54">
        <f>작성용!AL869</f>
        <v>868</v>
      </c>
      <c r="B872" s="55" t="str">
        <f>작성용!AI869</f>
        <v>-</v>
      </c>
      <c r="C872" s="56" t="str">
        <f>작성용!AK869</f>
        <v>개별종목</v>
      </c>
      <c r="D872" s="57">
        <f>작성용!T869</f>
        <v>45590</v>
      </c>
      <c r="E872" s="58" t="str">
        <f>작성용!B869</f>
        <v>대신프라이빗에쿼티</v>
      </c>
      <c r="F872" s="58" t="str">
        <f>작성용!C869</f>
        <v>신규</v>
      </c>
      <c r="G872" s="58" t="str">
        <f>작성용!D869</f>
        <v>카이로스이브이</v>
      </c>
      <c r="H872" s="59">
        <f>작성용!E869</f>
        <v>1101140325826</v>
      </c>
      <c r="I872" s="58" t="str">
        <f>작성용!F869</f>
        <v>A01</v>
      </c>
      <c r="J872" s="58">
        <f>작성용!G869</f>
        <v>0</v>
      </c>
      <c r="K872" s="58" t="str">
        <f>작성용!H869</f>
        <v>-</v>
      </c>
      <c r="L872" s="58" t="str">
        <f>작성용!N869</f>
        <v>연말</v>
      </c>
      <c r="M872" s="57" t="str">
        <f>작성용!U869</f>
        <v>2024.09.30</v>
      </c>
      <c r="N872" s="57">
        <f>작성용!V869</f>
        <v>45611</v>
      </c>
      <c r="O872" s="57">
        <f>작성용!W869</f>
        <v>45617</v>
      </c>
      <c r="P872" s="57" t="str">
        <f>작성용!X869</f>
        <v>-</v>
      </c>
      <c r="Q872" s="58" t="str">
        <f>작성용!AD869</f>
        <v>윤광일</v>
      </c>
      <c r="R872" s="60">
        <f>작성용!AE869</f>
        <v>1</v>
      </c>
      <c r="S872" s="58" t="str">
        <f>작성용!AF869</f>
        <v>신규</v>
      </c>
      <c r="T872" s="61" t="str">
        <f>작성용!AG869</f>
        <v>윤광일</v>
      </c>
      <c r="U872" s="61" t="str">
        <f>작성용!AH869</f>
        <v>윤광일</v>
      </c>
      <c r="V872" s="56">
        <f>작성용!AA869</f>
        <v>202411</v>
      </c>
      <c r="W872" s="58" t="str">
        <f>작성용!AC869</f>
        <v>[Y]금융기관</v>
      </c>
      <c r="X872" s="58" t="str">
        <f>작성용!O869</f>
        <v>전윤정선임</v>
      </c>
      <c r="Y872" s="58" t="str">
        <f>작성용!P869</f>
        <v>02-769-3136, 010-3366-0463</v>
      </c>
      <c r="Z872" s="58" t="str">
        <f>작성용!Q869</f>
        <v>yunjeong.jeon@daishin.com</v>
      </c>
      <c r="AA872" s="56" t="str">
        <f>작성용!AJ869</f>
        <v>우정사업본부제출목적</v>
      </c>
      <c r="AB872" s="56">
        <f>작성용!AB869</f>
        <v>0</v>
      </c>
    </row>
    <row r="873" spans="1:28" s="12" customFormat="1" ht="16.5" hidden="1" customHeight="1" x14ac:dyDescent="0.3">
      <c r="A873" s="54">
        <f>작성용!AL870</f>
        <v>869</v>
      </c>
      <c r="B873" s="55" t="str">
        <f>작성용!AI870</f>
        <v>-</v>
      </c>
      <c r="C873" s="56" t="str">
        <f>작성용!AK870</f>
        <v>개별종목</v>
      </c>
      <c r="D873" s="57">
        <f>작성용!T870</f>
        <v>45590</v>
      </c>
      <c r="E873" s="58" t="str">
        <f>작성용!B870</f>
        <v>대신프라이빗에쿼티</v>
      </c>
      <c r="F873" s="58" t="str">
        <f>작성용!C870</f>
        <v>신규</v>
      </c>
      <c r="G873" s="58" t="str">
        <f>작성용!D870</f>
        <v>코렌스이엠</v>
      </c>
      <c r="H873" s="59">
        <f>작성용!E870</f>
        <v>1801111241388</v>
      </c>
      <c r="I873" s="58" t="str">
        <f>작성용!F870</f>
        <v>D02</v>
      </c>
      <c r="J873" s="58">
        <f>작성용!G870</f>
        <v>0</v>
      </c>
      <c r="K873" s="58" t="str">
        <f>작성용!H870</f>
        <v>-</v>
      </c>
      <c r="L873" s="58" t="str">
        <f>작성용!N870</f>
        <v>연말</v>
      </c>
      <c r="M873" s="57" t="str">
        <f>작성용!U870</f>
        <v>2024.09.30</v>
      </c>
      <c r="N873" s="57">
        <f>작성용!V870</f>
        <v>45611</v>
      </c>
      <c r="O873" s="57">
        <f>작성용!W870</f>
        <v>45617</v>
      </c>
      <c r="P873" s="57" t="str">
        <f>작성용!X870</f>
        <v>-</v>
      </c>
      <c r="Q873" s="58" t="str">
        <f>작성용!AD870</f>
        <v>최수민</v>
      </c>
      <c r="R873" s="60">
        <f>작성용!AE870</f>
        <v>0</v>
      </c>
      <c r="S873" s="58" t="str">
        <f>작성용!AF870</f>
        <v>최수민</v>
      </c>
      <c r="T873" s="61" t="str">
        <f>작성용!AG870</f>
        <v>윤광일</v>
      </c>
      <c r="U873" s="61" t="str">
        <f>작성용!AH870</f>
        <v>윤광일</v>
      </c>
      <c r="V873" s="56">
        <f>작성용!AA870</f>
        <v>202411</v>
      </c>
      <c r="W873" s="58" t="str">
        <f>작성용!AC870</f>
        <v>[Y]금융기관</v>
      </c>
      <c r="X873" s="58" t="str">
        <f>작성용!O870</f>
        <v>전윤정선임</v>
      </c>
      <c r="Y873" s="58" t="str">
        <f>작성용!P870</f>
        <v>02-769-3136, 010-3366-0463</v>
      </c>
      <c r="Z873" s="58" t="str">
        <f>작성용!Q870</f>
        <v>yunjeong.jeon@daishin.com</v>
      </c>
      <c r="AA873" s="56" t="str">
        <f>작성용!AJ870</f>
        <v>우정사업본부제출목적</v>
      </c>
      <c r="AB873" s="56">
        <f>작성용!AB870</f>
        <v>0</v>
      </c>
    </row>
    <row r="874" spans="1:28" s="12" customFormat="1" ht="16.5" hidden="1" customHeight="1" x14ac:dyDescent="0.3">
      <c r="A874" s="54">
        <f>작성용!AL871</f>
        <v>870</v>
      </c>
      <c r="B874" s="55" t="str">
        <f>작성용!AI871</f>
        <v>-</v>
      </c>
      <c r="C874" s="56" t="str">
        <f>작성용!AK871</f>
        <v>개별종목</v>
      </c>
      <c r="D874" s="57">
        <f>작성용!T871</f>
        <v>45590</v>
      </c>
      <c r="E874" s="58" t="str">
        <f>작성용!B871</f>
        <v>대신프라이빗에쿼티</v>
      </c>
      <c r="F874" s="58" t="str">
        <f>작성용!C871</f>
        <v>재평가</v>
      </c>
      <c r="G874" s="58" t="str">
        <f>작성용!D871</f>
        <v>콘텐트리중앙(구,제이콘텐트리)</v>
      </c>
      <c r="H874" s="59">
        <f>작성용!E871</f>
        <v>1101110545751</v>
      </c>
      <c r="I874" s="58" t="str">
        <f>작성용!F871</f>
        <v>D02</v>
      </c>
      <c r="J874" s="58">
        <f>작성용!G871</f>
        <v>0</v>
      </c>
      <c r="K874" s="58" t="str">
        <f>작성용!H871</f>
        <v>-</v>
      </c>
      <c r="L874" s="58" t="str">
        <f>작성용!N871</f>
        <v>연말</v>
      </c>
      <c r="M874" s="57" t="str">
        <f>작성용!U871</f>
        <v>2024.09.30</v>
      </c>
      <c r="N874" s="57">
        <f>작성용!V871</f>
        <v>45611</v>
      </c>
      <c r="O874" s="57">
        <f>작성용!W871</f>
        <v>45615</v>
      </c>
      <c r="P874" s="57" t="str">
        <f>작성용!X871</f>
        <v>-</v>
      </c>
      <c r="Q874" s="58" t="str">
        <f>작성용!AD871</f>
        <v>상장</v>
      </c>
      <c r="R874" s="60">
        <f>작성용!AE871</f>
        <v>0</v>
      </c>
      <c r="S874" s="58" t="str">
        <f>작성용!AF871</f>
        <v>상장</v>
      </c>
      <c r="T874" s="61" t="str">
        <f>작성용!AG871</f>
        <v>윤광일</v>
      </c>
      <c r="U874" s="61" t="str">
        <f>작성용!AH871</f>
        <v>윤광일</v>
      </c>
      <c r="V874" s="56">
        <f>작성용!AA871</f>
        <v>202411</v>
      </c>
      <c r="W874" s="58" t="str">
        <f>작성용!AC871</f>
        <v>[Y]금융기관</v>
      </c>
      <c r="X874" s="58" t="str">
        <f>작성용!O871</f>
        <v>이동우책임</v>
      </c>
      <c r="Y874" s="58" t="str">
        <f>작성용!P871</f>
        <v>010-2240-9024</v>
      </c>
      <c r="Z874" s="58" t="str">
        <f>작성용!Q871</f>
        <v>dongwoo2.lee@daishin.com</v>
      </c>
      <c r="AA874" s="56" t="str">
        <f>작성용!AJ871</f>
        <v>국민연금제출</v>
      </c>
      <c r="AB874" s="56">
        <f>작성용!AB871</f>
        <v>0</v>
      </c>
    </row>
    <row r="875" spans="1:28" s="12" customFormat="1" ht="16.5" hidden="1" customHeight="1" x14ac:dyDescent="0.3">
      <c r="A875" s="54">
        <f>작성용!AL872</f>
        <v>871</v>
      </c>
      <c r="B875" s="55" t="str">
        <f>작성용!AI872</f>
        <v>-</v>
      </c>
      <c r="C875" s="56" t="str">
        <f>작성용!AK872</f>
        <v>개별종목</v>
      </c>
      <c r="D875" s="57">
        <f>작성용!T872</f>
        <v>45590</v>
      </c>
      <c r="E875" s="58" t="str">
        <f>작성용!B872</f>
        <v>대신프라이빗에쿼티</v>
      </c>
      <c r="F875" s="58" t="str">
        <f>작성용!C872</f>
        <v>재평가</v>
      </c>
      <c r="G875" s="58" t="str">
        <f>작성용!D872</f>
        <v>현대엘엔지해운</v>
      </c>
      <c r="H875" s="59">
        <f>작성용!E872</f>
        <v>1101115378842</v>
      </c>
      <c r="I875" s="58" t="str">
        <f>작성용!F872</f>
        <v>A07</v>
      </c>
      <c r="J875" s="58">
        <f>작성용!G872</f>
        <v>4</v>
      </c>
      <c r="K875" s="58" t="str">
        <f>작성용!H872</f>
        <v>-</v>
      </c>
      <c r="L875" s="58" t="str">
        <f>작성용!N872</f>
        <v>연말</v>
      </c>
      <c r="M875" s="57" t="str">
        <f>작성용!U872</f>
        <v>2024.09.30</v>
      </c>
      <c r="N875" s="57">
        <f>작성용!V872</f>
        <v>45611</v>
      </c>
      <c r="O875" s="57">
        <f>작성용!W872</f>
        <v>45615</v>
      </c>
      <c r="P875" s="57" t="str">
        <f>작성용!X872</f>
        <v>-</v>
      </c>
      <c r="Q875" s="58" t="str">
        <f>작성용!AD872</f>
        <v>조현우</v>
      </c>
      <c r="R875" s="60">
        <f>작성용!AE872</f>
        <v>0</v>
      </c>
      <c r="S875" s="58" t="str">
        <f>작성용!AF872</f>
        <v>조현우</v>
      </c>
      <c r="T875" s="61" t="str">
        <f>작성용!AG872</f>
        <v>윤광일</v>
      </c>
      <c r="U875" s="61" t="str">
        <f>작성용!AH872</f>
        <v>윤광일</v>
      </c>
      <c r="V875" s="56">
        <f>작성용!AA872</f>
        <v>202411</v>
      </c>
      <c r="W875" s="58" t="str">
        <f>작성용!AC872</f>
        <v>[Y]금융기관</v>
      </c>
      <c r="X875" s="58" t="str">
        <f>작성용!O872</f>
        <v>이동우책임</v>
      </c>
      <c r="Y875" s="58" t="str">
        <f>작성용!P872</f>
        <v>010-2240-9024</v>
      </c>
      <c r="Z875" s="58" t="str">
        <f>작성용!Q872</f>
        <v>dongwoo2.lee@daishin.com</v>
      </c>
      <c r="AA875" s="56" t="str">
        <f>작성용!AJ872</f>
        <v>국민연금제출</v>
      </c>
      <c r="AB875" s="56">
        <f>작성용!AB872</f>
        <v>0</v>
      </c>
    </row>
    <row r="876" spans="1:28" s="12" customFormat="1" ht="16.5" hidden="1" customHeight="1" x14ac:dyDescent="0.3">
      <c r="A876" s="54">
        <f>작성용!AL873</f>
        <v>872</v>
      </c>
      <c r="B876" s="55" t="str">
        <f>작성용!AI873</f>
        <v>-</v>
      </c>
      <c r="C876" s="56" t="str">
        <f>작성용!AK873</f>
        <v>개별종목</v>
      </c>
      <c r="D876" s="57">
        <f>작성용!T873</f>
        <v>45590</v>
      </c>
      <c r="E876" s="58" t="str">
        <f>작성용!B873</f>
        <v>엠에이치에탄올</v>
      </c>
      <c r="F876" s="58" t="str">
        <f>작성용!C873</f>
        <v>재평가</v>
      </c>
      <c r="G876" s="58" t="str">
        <f>작성용!D873</f>
        <v>용원건설(구,용원씨에스)</v>
      </c>
      <c r="H876" s="59">
        <f>작성용!E873</f>
        <v>1911110002085</v>
      </c>
      <c r="I876" s="58" t="str">
        <f>작성용!F873</f>
        <v>A01</v>
      </c>
      <c r="J876" s="58">
        <f>작성용!G873</f>
        <v>0</v>
      </c>
      <c r="K876" s="58" t="str">
        <f>작성용!H873</f>
        <v>-</v>
      </c>
      <c r="L876" s="58" t="str">
        <f>작성용!N873</f>
        <v xml:space="preserve">연말 </v>
      </c>
      <c r="M876" s="57" t="str">
        <f>작성용!U873</f>
        <v>2024.12.31</v>
      </c>
      <c r="N876" s="57">
        <f>작성용!V873</f>
        <v>45672</v>
      </c>
      <c r="O876" s="57">
        <f>작성용!W873</f>
        <v>45677</v>
      </c>
      <c r="P876" s="57" t="str">
        <f>작성용!X873</f>
        <v>-</v>
      </c>
      <c r="Q876" s="58" t="str">
        <f>작성용!AD873</f>
        <v>백형진</v>
      </c>
      <c r="R876" s="60">
        <f>작성용!AE873</f>
        <v>1</v>
      </c>
      <c r="S876" s="58" t="str">
        <f>작성용!AF873</f>
        <v>백형진</v>
      </c>
      <c r="T876" s="61" t="str">
        <f>작성용!AG873</f>
        <v>원정우</v>
      </c>
      <c r="U876" s="61" t="str">
        <f>작성용!AH873</f>
        <v>원정우</v>
      </c>
      <c r="V876" s="56">
        <f>작성용!AA873</f>
        <v>202412</v>
      </c>
      <c r="W876" s="58" t="str">
        <f>작성용!AC873</f>
        <v>[X]일반기업</v>
      </c>
      <c r="X876" s="58" t="str">
        <f>작성용!O873</f>
        <v>정용준대리</v>
      </c>
      <c r="Y876" s="58" t="str">
        <f>작성용!P873</f>
        <v>055-231-0701(340#)</v>
      </c>
      <c r="Z876" s="58" t="str">
        <f>작성용!Q873</f>
        <v>yjjeong@mhethanol.com</v>
      </c>
      <c r="AA876" s="56" t="str">
        <f>작성용!AJ873</f>
        <v>회계반영</v>
      </c>
      <c r="AB876" s="56">
        <f>작성용!AB873</f>
        <v>0</v>
      </c>
    </row>
    <row r="877" spans="1:28" s="12" customFormat="1" ht="16.5" hidden="1" customHeight="1" x14ac:dyDescent="0.3">
      <c r="A877" s="54">
        <f>작성용!AL874</f>
        <v>873</v>
      </c>
      <c r="B877" s="55" t="str">
        <f>작성용!AI874</f>
        <v>-</v>
      </c>
      <c r="C877" s="56" t="str">
        <f>작성용!AK874</f>
        <v>개별종목</v>
      </c>
      <c r="D877" s="57">
        <f>작성용!T874</f>
        <v>45590</v>
      </c>
      <c r="E877" s="58" t="str">
        <f>작성용!B874</f>
        <v>엠에이치에탄올</v>
      </c>
      <c r="F877" s="58" t="str">
        <f>작성용!C874</f>
        <v>재평가</v>
      </c>
      <c r="G877" s="58" t="str">
        <f>작성용!D874</f>
        <v>지리산산청샘물</v>
      </c>
      <c r="H877" s="59">
        <f>작성용!E874</f>
        <v>1948110000877</v>
      </c>
      <c r="I877" s="58" t="str">
        <f>작성용!F874</f>
        <v>A01</v>
      </c>
      <c r="J877" s="58">
        <f>작성용!G874</f>
        <v>0</v>
      </c>
      <c r="K877" s="58" t="str">
        <f>작성용!H874</f>
        <v>-</v>
      </c>
      <c r="L877" s="58" t="str">
        <f>작성용!N874</f>
        <v xml:space="preserve">연말 </v>
      </c>
      <c r="M877" s="57" t="str">
        <f>작성용!U874</f>
        <v>2024.12.31</v>
      </c>
      <c r="N877" s="57">
        <f>작성용!V874</f>
        <v>45672</v>
      </c>
      <c r="O877" s="57">
        <f>작성용!W874</f>
        <v>45677</v>
      </c>
      <c r="P877" s="57" t="str">
        <f>작성용!X874</f>
        <v>-</v>
      </c>
      <c r="Q877" s="58" t="str">
        <f>작성용!AD874</f>
        <v>원정우</v>
      </c>
      <c r="R877" s="60">
        <f>작성용!AE874</f>
        <v>1</v>
      </c>
      <c r="S877" s="58" t="str">
        <f>작성용!AF874</f>
        <v>원정우</v>
      </c>
      <c r="T877" s="61" t="str">
        <f>작성용!AG874</f>
        <v>원정우</v>
      </c>
      <c r="U877" s="61" t="str">
        <f>작성용!AH874</f>
        <v>원정우</v>
      </c>
      <c r="V877" s="56">
        <f>작성용!AA874</f>
        <v>202412</v>
      </c>
      <c r="W877" s="58" t="str">
        <f>작성용!AC874</f>
        <v>[X]일반기업</v>
      </c>
      <c r="X877" s="58" t="str">
        <f>작성용!O874</f>
        <v>정용준대리</v>
      </c>
      <c r="Y877" s="58" t="str">
        <f>작성용!P874</f>
        <v>055-231-0701(340#)</v>
      </c>
      <c r="Z877" s="58" t="str">
        <f>작성용!Q874</f>
        <v>yjjeong@mhethanol.com</v>
      </c>
      <c r="AA877" s="56" t="str">
        <f>작성용!AJ874</f>
        <v>회계반영</v>
      </c>
      <c r="AB877" s="56">
        <f>작성용!AB874</f>
        <v>0</v>
      </c>
    </row>
    <row r="878" spans="1:28" s="12" customFormat="1" ht="16.5" hidden="1" customHeight="1" x14ac:dyDescent="0.3">
      <c r="A878" s="54">
        <f>작성용!AL875</f>
        <v>874</v>
      </c>
      <c r="B878" s="55" t="str">
        <f>작성용!AI875</f>
        <v>-</v>
      </c>
      <c r="C878" s="56" t="str">
        <f>작성용!AK875</f>
        <v>개별종목</v>
      </c>
      <c r="D878" s="57">
        <f>작성용!T875</f>
        <v>45590</v>
      </c>
      <c r="E878" s="58" t="str">
        <f>작성용!B875</f>
        <v>NH투자증권</v>
      </c>
      <c r="F878" s="58" t="str">
        <f>작성용!C875</f>
        <v>신규</v>
      </c>
      <c r="G878" s="58" t="str">
        <f>작성용!D875</f>
        <v>흥국생명보험</v>
      </c>
      <c r="H878" s="59">
        <f>작성용!E875</f>
        <v>1101110018443</v>
      </c>
      <c r="I878" s="58" t="str">
        <f>작성용!F875</f>
        <v>A01</v>
      </c>
      <c r="J878" s="58">
        <f>작성용!G875</f>
        <v>0</v>
      </c>
      <c r="K878" s="58" t="str">
        <f>작성용!H875</f>
        <v>-</v>
      </c>
      <c r="L878" s="58" t="str">
        <f>작성용!N875</f>
        <v>미정</v>
      </c>
      <c r="M878" s="57" t="str">
        <f>작성용!U875</f>
        <v>2024.09.30</v>
      </c>
      <c r="N878" s="57">
        <f>작성용!V875</f>
        <v>45603</v>
      </c>
      <c r="O878" s="57">
        <f>작성용!W875</f>
        <v>45603</v>
      </c>
      <c r="P878" s="57" t="str">
        <f>작성용!X875</f>
        <v>-</v>
      </c>
      <c r="Q878" s="58" t="str">
        <f>작성용!AD875</f>
        <v>정재형</v>
      </c>
      <c r="R878" s="60">
        <f>작성용!AE875</f>
        <v>1</v>
      </c>
      <c r="S878" s="58" t="str">
        <f>작성용!AF875</f>
        <v>신규</v>
      </c>
      <c r="T878" s="61" t="str">
        <f>작성용!AG875</f>
        <v>정재형</v>
      </c>
      <c r="U878" s="61" t="str">
        <f>작성용!AH875</f>
        <v>정재형</v>
      </c>
      <c r="V878" s="56">
        <f>작성용!AA875</f>
        <v>202411</v>
      </c>
      <c r="W878" s="58" t="str">
        <f>작성용!AC875</f>
        <v>[Y]금융기관</v>
      </c>
      <c r="X878" s="58" t="str">
        <f>작성용!O875</f>
        <v>김재호과장</v>
      </c>
      <c r="Y878" s="58" t="str">
        <f>작성용!P875</f>
        <v>02-2229-6579</v>
      </c>
      <c r="Z878" s="58" t="str">
        <f>작성용!Q875</f>
        <v>dbkjh7@nhqy.com</v>
      </c>
      <c r="AA878" s="56" t="str">
        <f>작성용!AJ875</f>
        <v>기타</v>
      </c>
      <c r="AB878" s="56">
        <f>작성용!AB875</f>
        <v>0</v>
      </c>
    </row>
    <row r="879" spans="1:28" s="12" customFormat="1" ht="16.5" hidden="1" customHeight="1" x14ac:dyDescent="0.3">
      <c r="A879" s="54">
        <f>작성용!AL876</f>
        <v>875</v>
      </c>
      <c r="B879" s="55" t="str">
        <f>작성용!AI876</f>
        <v>-</v>
      </c>
      <c r="C879" s="56" t="str">
        <f>작성용!AK876</f>
        <v>개별종목</v>
      </c>
      <c r="D879" s="57">
        <f>작성용!T876</f>
        <v>45590</v>
      </c>
      <c r="E879" s="58" t="str">
        <f>작성용!B876</f>
        <v>한국거래소</v>
      </c>
      <c r="F879" s="58" t="str">
        <f>작성용!C876</f>
        <v>재평가</v>
      </c>
      <c r="G879" s="58" t="str">
        <f>작성용!D876</f>
        <v>이지스사모부동산자투자신탁43-2호</v>
      </c>
      <c r="H879" s="59" t="str">
        <f>작성용!E876</f>
        <v>KBP2020120178</v>
      </c>
      <c r="I879" s="58" t="str">
        <f>작성용!F876</f>
        <v>B02</v>
      </c>
      <c r="J879" s="58">
        <f>작성용!G876</f>
        <v>0</v>
      </c>
      <c r="K879" s="58" t="str">
        <f>작성용!H876</f>
        <v>-</v>
      </c>
      <c r="L879" s="58" t="str">
        <f>작성용!N876</f>
        <v>연말</v>
      </c>
      <c r="M879" s="57" t="str">
        <f>작성용!U876</f>
        <v>2024.12.31</v>
      </c>
      <c r="N879" s="57">
        <f>작성용!V876</f>
        <v>45670</v>
      </c>
      <c r="O879" s="57">
        <f>작성용!W876</f>
        <v>45677</v>
      </c>
      <c r="P879" s="57" t="str">
        <f>작성용!X876</f>
        <v>-</v>
      </c>
      <c r="Q879" s="58" t="str">
        <f>작성용!AD876</f>
        <v>대체평가3사업본부</v>
      </c>
      <c r="R879" s="60">
        <f>작성용!AE876</f>
        <v>0</v>
      </c>
      <c r="S879" s="58" t="str">
        <f>작성용!AF876</f>
        <v>대체평가3사업본부</v>
      </c>
      <c r="T879" s="61" t="str">
        <f>작성용!AG876</f>
        <v>박태호</v>
      </c>
      <c r="U879" s="61" t="str">
        <f>작성용!AH876</f>
        <v>박태호</v>
      </c>
      <c r="V879" s="56">
        <f>작성용!AA876</f>
        <v>202412</v>
      </c>
      <c r="W879" s="58" t="str">
        <f>작성용!AC876</f>
        <v>[T]기타보험기관[1본부]</v>
      </c>
      <c r="X879" s="58" t="str">
        <f>작성용!O876</f>
        <v>김기진</v>
      </c>
      <c r="Y879" s="58" t="str">
        <f>작성용!P876</f>
        <v>051-662-2203</v>
      </c>
      <c r="Z879" s="58" t="str">
        <f>작성용!Q876</f>
        <v>kjinkim@krx.co.kr</v>
      </c>
      <c r="AA879" s="56" t="str">
        <f>작성용!AJ876</f>
        <v>회계반영</v>
      </c>
      <c r="AB879" s="56">
        <f>작성용!AB876</f>
        <v>0</v>
      </c>
    </row>
    <row r="880" spans="1:28" s="12" customFormat="1" ht="16.5" hidden="1" customHeight="1" x14ac:dyDescent="0.3">
      <c r="A880" s="54">
        <f>작성용!AL877</f>
        <v>876</v>
      </c>
      <c r="B880" s="55" t="str">
        <f>작성용!AI877</f>
        <v>-</v>
      </c>
      <c r="C880" s="56" t="str">
        <f>작성용!AK877</f>
        <v>개별종목</v>
      </c>
      <c r="D880" s="57">
        <f>작성용!T877</f>
        <v>45590</v>
      </c>
      <c r="E880" s="58" t="str">
        <f>작성용!B877</f>
        <v>한국거래소</v>
      </c>
      <c r="F880" s="58" t="str">
        <f>작성용!C877</f>
        <v>신규</v>
      </c>
      <c r="G880" s="58" t="str">
        <f>작성용!D877</f>
        <v>한국투자프랑스오피스전문투자형사모부동산투자신탁(재간접형)</v>
      </c>
      <c r="H880" s="59" t="str">
        <f>작성용!E877</f>
        <v>KBP2024120002</v>
      </c>
      <c r="I880" s="58" t="str">
        <f>작성용!F877</f>
        <v>B02</v>
      </c>
      <c r="J880" s="58">
        <f>작성용!G877</f>
        <v>0</v>
      </c>
      <c r="K880" s="58" t="str">
        <f>작성용!H877</f>
        <v>-</v>
      </c>
      <c r="L880" s="58" t="str">
        <f>작성용!N877</f>
        <v>연말</v>
      </c>
      <c r="M880" s="57" t="str">
        <f>작성용!U877</f>
        <v>2024.12.31</v>
      </c>
      <c r="N880" s="57">
        <f>작성용!V877</f>
        <v>45670</v>
      </c>
      <c r="O880" s="57">
        <f>작성용!W877</f>
        <v>45677</v>
      </c>
      <c r="P880" s="57" t="str">
        <f>작성용!X877</f>
        <v>-</v>
      </c>
      <c r="Q880" s="58" t="str">
        <f>작성용!AD877</f>
        <v>대체평가3사업본부</v>
      </c>
      <c r="R880" s="60">
        <f>작성용!AE877</f>
        <v>0</v>
      </c>
      <c r="S880" s="58" t="str">
        <f>작성용!AF877</f>
        <v>대체평가3사업본부</v>
      </c>
      <c r="T880" s="61" t="str">
        <f>작성용!AG877</f>
        <v>박태호</v>
      </c>
      <c r="U880" s="61" t="str">
        <f>작성용!AH877</f>
        <v>박태호</v>
      </c>
      <c r="V880" s="56">
        <f>작성용!AA877</f>
        <v>202412</v>
      </c>
      <c r="W880" s="58" t="str">
        <f>작성용!AC877</f>
        <v>[T]기타보험기관[1본부]</v>
      </c>
      <c r="X880" s="58" t="str">
        <f>작성용!O877</f>
        <v>김기진</v>
      </c>
      <c r="Y880" s="58" t="str">
        <f>작성용!P877</f>
        <v>051-662-2203</v>
      </c>
      <c r="Z880" s="58" t="str">
        <f>작성용!Q877</f>
        <v>kjinkim@krx.co.kr</v>
      </c>
      <c r="AA880" s="56" t="str">
        <f>작성용!AJ877</f>
        <v>회계반영</v>
      </c>
      <c r="AB880" s="56">
        <f>작성용!AB877</f>
        <v>0</v>
      </c>
    </row>
    <row r="881" spans="1:28" s="12" customFormat="1" ht="16.5" hidden="1" customHeight="1" x14ac:dyDescent="0.3">
      <c r="A881" s="54">
        <f>작성용!AL878</f>
        <v>877</v>
      </c>
      <c r="B881" s="55" t="str">
        <f>작성용!AI878</f>
        <v>-</v>
      </c>
      <c r="C881" s="56" t="str">
        <f>작성용!AK878</f>
        <v>개별종목</v>
      </c>
      <c r="D881" s="57">
        <f>작성용!T878</f>
        <v>45590</v>
      </c>
      <c r="E881" s="58" t="str">
        <f>작성용!B878</f>
        <v>한국거래소</v>
      </c>
      <c r="F881" s="58" t="str">
        <f>작성용!C878</f>
        <v>재평가</v>
      </c>
      <c r="G881" s="58" t="str">
        <f>작성용!D878</f>
        <v>멀티에셋해외부동산전문투자형사모투자신탁제6호제1종</v>
      </c>
      <c r="H881" s="59" t="str">
        <f>작성용!E878</f>
        <v>KBP2020120181</v>
      </c>
      <c r="I881" s="58" t="str">
        <f>작성용!F878</f>
        <v>B02</v>
      </c>
      <c r="J881" s="58">
        <f>작성용!G878</f>
        <v>0</v>
      </c>
      <c r="K881" s="58" t="str">
        <f>작성용!H878</f>
        <v>-</v>
      </c>
      <c r="L881" s="58" t="str">
        <f>작성용!N878</f>
        <v>연말</v>
      </c>
      <c r="M881" s="57" t="str">
        <f>작성용!U878</f>
        <v>2024.12.31</v>
      </c>
      <c r="N881" s="57">
        <f>작성용!V878</f>
        <v>45670</v>
      </c>
      <c r="O881" s="57">
        <f>작성용!W878</f>
        <v>45677</v>
      </c>
      <c r="P881" s="57" t="str">
        <f>작성용!X878</f>
        <v>-</v>
      </c>
      <c r="Q881" s="58" t="str">
        <f>작성용!AD878</f>
        <v>대체평가3사업본부</v>
      </c>
      <c r="R881" s="60">
        <f>작성용!AE878</f>
        <v>0</v>
      </c>
      <c r="S881" s="58" t="str">
        <f>작성용!AF878</f>
        <v>대체평가3사업본부</v>
      </c>
      <c r="T881" s="61" t="str">
        <f>작성용!AG878</f>
        <v>박태호</v>
      </c>
      <c r="U881" s="61" t="str">
        <f>작성용!AH878</f>
        <v>박태호</v>
      </c>
      <c r="V881" s="56">
        <f>작성용!AA878</f>
        <v>202412</v>
      </c>
      <c r="W881" s="58" t="str">
        <f>작성용!AC878</f>
        <v>[T]기타보험기관[1본부]</v>
      </c>
      <c r="X881" s="58" t="str">
        <f>작성용!O878</f>
        <v>김기진</v>
      </c>
      <c r="Y881" s="58" t="str">
        <f>작성용!P878</f>
        <v>051-662-2203</v>
      </c>
      <c r="Z881" s="58" t="str">
        <f>작성용!Q878</f>
        <v>kjinkim@krx.co.kr</v>
      </c>
      <c r="AA881" s="56" t="str">
        <f>작성용!AJ878</f>
        <v>회계반영</v>
      </c>
      <c r="AB881" s="56">
        <f>작성용!AB878</f>
        <v>0</v>
      </c>
    </row>
    <row r="882" spans="1:28" s="12" customFormat="1" ht="16.5" hidden="1" customHeight="1" x14ac:dyDescent="0.3">
      <c r="A882" s="54">
        <f>작성용!AL879</f>
        <v>878</v>
      </c>
      <c r="B882" s="55" t="str">
        <f>작성용!AI879</f>
        <v>-</v>
      </c>
      <c r="C882" s="56" t="str">
        <f>작성용!AK879</f>
        <v>개별종목</v>
      </c>
      <c r="D882" s="57">
        <f>작성용!T879</f>
        <v>45590</v>
      </c>
      <c r="E882" s="58" t="str">
        <f>작성용!B879</f>
        <v>한국거래소</v>
      </c>
      <c r="F882" s="58" t="str">
        <f>작성용!C879</f>
        <v>신규</v>
      </c>
      <c r="G882" s="58" t="str">
        <f>작성용!D879</f>
        <v>제이알일반사모부동산투자신탁제28호</v>
      </c>
      <c r="H882" s="59" t="str">
        <f>작성용!E879</f>
        <v>KBP2024120003</v>
      </c>
      <c r="I882" s="58" t="str">
        <f>작성용!F879</f>
        <v>B02</v>
      </c>
      <c r="J882" s="58">
        <f>작성용!G879</f>
        <v>0</v>
      </c>
      <c r="K882" s="58" t="str">
        <f>작성용!H879</f>
        <v>-</v>
      </c>
      <c r="L882" s="58" t="str">
        <f>작성용!N879</f>
        <v>연말</v>
      </c>
      <c r="M882" s="57" t="str">
        <f>작성용!U879</f>
        <v>2024.12.31</v>
      </c>
      <c r="N882" s="57">
        <f>작성용!V879</f>
        <v>45670</v>
      </c>
      <c r="O882" s="57">
        <f>작성용!W879</f>
        <v>45677</v>
      </c>
      <c r="P882" s="57" t="str">
        <f>작성용!X879</f>
        <v>-</v>
      </c>
      <c r="Q882" s="58" t="str">
        <f>작성용!AD879</f>
        <v>대체평가3사업본부</v>
      </c>
      <c r="R882" s="60">
        <f>작성용!AE879</f>
        <v>0</v>
      </c>
      <c r="S882" s="58" t="str">
        <f>작성용!AF879</f>
        <v>대체평가3사업본부</v>
      </c>
      <c r="T882" s="61" t="str">
        <f>작성용!AG879</f>
        <v>박태호</v>
      </c>
      <c r="U882" s="61" t="str">
        <f>작성용!AH879</f>
        <v>박태호</v>
      </c>
      <c r="V882" s="56">
        <f>작성용!AA879</f>
        <v>202412</v>
      </c>
      <c r="W882" s="58" t="str">
        <f>작성용!AC879</f>
        <v>[T]기타보험기관[1본부]</v>
      </c>
      <c r="X882" s="58" t="str">
        <f>작성용!O879</f>
        <v>김기진</v>
      </c>
      <c r="Y882" s="58" t="str">
        <f>작성용!P879</f>
        <v>051-662-2203</v>
      </c>
      <c r="Z882" s="58" t="str">
        <f>작성용!Q879</f>
        <v>kjinkim@krx.co.kr</v>
      </c>
      <c r="AA882" s="56" t="str">
        <f>작성용!AJ879</f>
        <v>회계반영</v>
      </c>
      <c r="AB882" s="56">
        <f>작성용!AB879</f>
        <v>0</v>
      </c>
    </row>
    <row r="883" spans="1:28" s="12" customFormat="1" ht="16.5" hidden="1" customHeight="1" x14ac:dyDescent="0.3">
      <c r="A883" s="54">
        <f>작성용!AL880</f>
        <v>879</v>
      </c>
      <c r="B883" s="55" t="str">
        <f>작성용!AI880</f>
        <v>-</v>
      </c>
      <c r="C883" s="56" t="str">
        <f>작성용!AK880</f>
        <v>개별종목</v>
      </c>
      <c r="D883" s="57">
        <f>작성용!T880</f>
        <v>45590</v>
      </c>
      <c r="E883" s="58" t="str">
        <f>작성용!B880</f>
        <v>한국거래소</v>
      </c>
      <c r="F883" s="58" t="str">
        <f>작성용!C880</f>
        <v>신규</v>
      </c>
      <c r="G883" s="58" t="str">
        <f>작성용!D880</f>
        <v>케이비와이즈스타제11호기업구조조정부동산투자회사</v>
      </c>
      <c r="H883" s="59">
        <f>작성용!E880</f>
        <v>1101116239308</v>
      </c>
      <c r="I883" s="58" t="str">
        <f>작성용!F880</f>
        <v>B06</v>
      </c>
      <c r="J883" s="58">
        <f>작성용!G880</f>
        <v>0</v>
      </c>
      <c r="K883" s="58" t="str">
        <f>작성용!H880</f>
        <v>-</v>
      </c>
      <c r="L883" s="58" t="str">
        <f>작성용!N880</f>
        <v>연말</v>
      </c>
      <c r="M883" s="57" t="str">
        <f>작성용!U880</f>
        <v>2024.12.31</v>
      </c>
      <c r="N883" s="57">
        <f>작성용!V880</f>
        <v>45670</v>
      </c>
      <c r="O883" s="57">
        <f>작성용!W880</f>
        <v>45677</v>
      </c>
      <c r="P883" s="57" t="str">
        <f>작성용!X880</f>
        <v>-</v>
      </c>
      <c r="Q883" s="58" t="str">
        <f>작성용!AD880</f>
        <v>오영석</v>
      </c>
      <c r="R883" s="60">
        <f>작성용!AE880</f>
        <v>1</v>
      </c>
      <c r="S883" s="58" t="str">
        <f>작성용!AF880</f>
        <v>김영규</v>
      </c>
      <c r="T883" s="61" t="str">
        <f>작성용!AG880</f>
        <v>박태호</v>
      </c>
      <c r="U883" s="61" t="str">
        <f>작성용!AH880</f>
        <v>박태호</v>
      </c>
      <c r="V883" s="56">
        <f>작성용!AA880</f>
        <v>202412</v>
      </c>
      <c r="W883" s="58" t="str">
        <f>작성용!AC880</f>
        <v>[T]기타보험기관[1본부]</v>
      </c>
      <c r="X883" s="58" t="str">
        <f>작성용!O880</f>
        <v>김기진</v>
      </c>
      <c r="Y883" s="58" t="str">
        <f>작성용!P880</f>
        <v>051-662-2203</v>
      </c>
      <c r="Z883" s="58" t="str">
        <f>작성용!Q880</f>
        <v>kjinkim@krx.co.kr</v>
      </c>
      <c r="AA883" s="56" t="str">
        <f>작성용!AJ880</f>
        <v>회계반영</v>
      </c>
      <c r="AB883" s="56">
        <f>작성용!AB880</f>
        <v>0</v>
      </c>
    </row>
    <row r="884" spans="1:28" s="12" customFormat="1" ht="16.5" hidden="1" customHeight="1" x14ac:dyDescent="0.3">
      <c r="A884" s="54">
        <f>작성용!AL881</f>
        <v>880</v>
      </c>
      <c r="B884" s="55" t="str">
        <f>작성용!AI881</f>
        <v>-</v>
      </c>
      <c r="C884" s="56" t="str">
        <f>작성용!AK881</f>
        <v>개별종목</v>
      </c>
      <c r="D884" s="57">
        <f>작성용!T881</f>
        <v>45590</v>
      </c>
      <c r="E884" s="58" t="str">
        <f>작성용!B881</f>
        <v>대신프라이빗에쿼티</v>
      </c>
      <c r="F884" s="58" t="str">
        <f>작성용!C881</f>
        <v>재평가</v>
      </c>
      <c r="G884" s="58" t="str">
        <f>작성용!D881</f>
        <v>현대엘엔지해운</v>
      </c>
      <c r="H884" s="59">
        <f>작성용!E881</f>
        <v>1101115378842</v>
      </c>
      <c r="I884" s="58" t="str">
        <f>작성용!F881</f>
        <v>A07</v>
      </c>
      <c r="J884" s="58">
        <f>작성용!G881</f>
        <v>5</v>
      </c>
      <c r="K884" s="58" t="str">
        <f>작성용!H881</f>
        <v>-</v>
      </c>
      <c r="L884" s="58" t="str">
        <f>작성용!N881</f>
        <v>연말</v>
      </c>
      <c r="M884" s="57" t="str">
        <f>작성용!U881</f>
        <v>2024.09.30</v>
      </c>
      <c r="N884" s="57">
        <f>작성용!V881</f>
        <v>45611</v>
      </c>
      <c r="O884" s="57">
        <f>작성용!W881</f>
        <v>45615</v>
      </c>
      <c r="P884" s="57" t="str">
        <f>작성용!X881</f>
        <v>-</v>
      </c>
      <c r="Q884" s="58" t="str">
        <f>작성용!AD881</f>
        <v>조현우</v>
      </c>
      <c r="R884" s="60">
        <f>작성용!AE881</f>
        <v>0</v>
      </c>
      <c r="S884" s="58" t="str">
        <f>작성용!AF881</f>
        <v>조현우</v>
      </c>
      <c r="T884" s="61" t="str">
        <f>작성용!AG881</f>
        <v>윤광일</v>
      </c>
      <c r="U884" s="61" t="str">
        <f>작성용!AH881</f>
        <v>윤광일</v>
      </c>
      <c r="V884" s="56">
        <f>작성용!AA881</f>
        <v>202411</v>
      </c>
      <c r="W884" s="58" t="str">
        <f>작성용!AC881</f>
        <v>[Y]금융기관</v>
      </c>
      <c r="X884" s="58" t="str">
        <f>작성용!O881</f>
        <v>이동우책임</v>
      </c>
      <c r="Y884" s="58" t="str">
        <f>작성용!P881</f>
        <v>010-2240-9024</v>
      </c>
      <c r="Z884" s="58" t="str">
        <f>작성용!Q881</f>
        <v>dongwoo2.lee@daishin.com</v>
      </c>
      <c r="AA884" s="56" t="str">
        <f>작성용!AJ881</f>
        <v>국민연금제출</v>
      </c>
      <c r="AB884" s="56">
        <f>작성용!AB881</f>
        <v>0</v>
      </c>
    </row>
    <row r="885" spans="1:28" s="12" customFormat="1" ht="16.5" hidden="1" customHeight="1" x14ac:dyDescent="0.3">
      <c r="A885" s="54">
        <f>작성용!AL882</f>
        <v>881</v>
      </c>
      <c r="B885" s="55" t="str">
        <f>작성용!AI882</f>
        <v>-</v>
      </c>
      <c r="C885" s="56" t="str">
        <f>작성용!AK882</f>
        <v>개별종목</v>
      </c>
      <c r="D885" s="57">
        <f>작성용!T882</f>
        <v>45593</v>
      </c>
      <c r="E885" s="58" t="str">
        <f>작성용!B882</f>
        <v>원익투자파트너스</v>
      </c>
      <c r="F885" s="58" t="str">
        <f>작성용!C882</f>
        <v>신규</v>
      </c>
      <c r="G885" s="58" t="str">
        <f>작성용!D882</f>
        <v>Kong Studios, INC</v>
      </c>
      <c r="H885" s="59" t="str">
        <f>작성용!E882</f>
        <v>KBP2020120164</v>
      </c>
      <c r="I885" s="58" t="str">
        <f>작성용!F882</f>
        <v>A07</v>
      </c>
      <c r="J885" s="58">
        <f>작성용!G882</f>
        <v>77</v>
      </c>
      <c r="K885" s="58" t="str">
        <f>작성용!H882</f>
        <v>-</v>
      </c>
      <c r="L885" s="58" t="str">
        <f>작성용!N882</f>
        <v>분기</v>
      </c>
      <c r="M885" s="57" t="str">
        <f>작성용!U882</f>
        <v>2024.09.30</v>
      </c>
      <c r="N885" s="57">
        <f>작성용!V882</f>
        <v>45610</v>
      </c>
      <c r="O885" s="57">
        <f>작성용!W882</f>
        <v>45615</v>
      </c>
      <c r="P885" s="57" t="str">
        <f>작성용!X882</f>
        <v>-</v>
      </c>
      <c r="Q885" s="58" t="str">
        <f>작성용!AD882</f>
        <v>서동현</v>
      </c>
      <c r="R885" s="60">
        <f>작성용!AE882</f>
        <v>0</v>
      </c>
      <c r="S885" s="58" t="str">
        <f>작성용!AF882</f>
        <v>서동현</v>
      </c>
      <c r="T885" s="61" t="str">
        <f>작성용!AG882</f>
        <v>채동우</v>
      </c>
      <c r="U885" s="61" t="str">
        <f>작성용!AH882</f>
        <v>채동우</v>
      </c>
      <c r="V885" s="56">
        <f>작성용!AA882</f>
        <v>202411</v>
      </c>
      <c r="W885" s="58" t="str">
        <f>작성용!AC882</f>
        <v>[Y]금융기관</v>
      </c>
      <c r="X885" s="58" t="str">
        <f>작성용!O882</f>
        <v>황윤채과장</v>
      </c>
      <c r="Y885" s="58" t="str">
        <f>작성용!P882</f>
        <v>02-6446-7170</v>
      </c>
      <c r="Z885" s="58" t="str">
        <f>작성용!Q882</f>
        <v>hyoon@wonik.com</v>
      </c>
      <c r="AA885" s="56" t="str">
        <f>작성용!AJ882</f>
        <v>국민연금제출</v>
      </c>
      <c r="AB885" s="56">
        <f>작성용!AB882</f>
        <v>0</v>
      </c>
    </row>
    <row r="886" spans="1:28" s="12" customFormat="1" ht="16.5" hidden="1" customHeight="1" x14ac:dyDescent="0.3">
      <c r="A886" s="54">
        <f>작성용!AL883</f>
        <v>882</v>
      </c>
      <c r="B886" s="55" t="str">
        <f>작성용!AI883</f>
        <v>-</v>
      </c>
      <c r="C886" s="56" t="str">
        <f>작성용!AK883</f>
        <v>개별종목</v>
      </c>
      <c r="D886" s="57">
        <f>작성용!T883</f>
        <v>45593</v>
      </c>
      <c r="E886" s="58" t="str">
        <f>작성용!B883</f>
        <v>원익투자파트너스</v>
      </c>
      <c r="F886" s="58" t="str">
        <f>작성용!C883</f>
        <v>신규</v>
      </c>
      <c r="G886" s="58" t="str">
        <f>작성용!D883</f>
        <v>그래핀스퀘어케미칼(구,바이오그래핀)</v>
      </c>
      <c r="H886" s="59">
        <f>작성용!E883</f>
        <v>1101116329381</v>
      </c>
      <c r="I886" s="58" t="str">
        <f>작성용!F883</f>
        <v>A07</v>
      </c>
      <c r="J886" s="58">
        <f>작성용!G883</f>
        <v>77</v>
      </c>
      <c r="K886" s="58" t="str">
        <f>작성용!H883</f>
        <v>-</v>
      </c>
      <c r="L886" s="58" t="str">
        <f>작성용!N883</f>
        <v>분기</v>
      </c>
      <c r="M886" s="57" t="str">
        <f>작성용!U883</f>
        <v>2024.09.30</v>
      </c>
      <c r="N886" s="57">
        <f>작성용!V883</f>
        <v>45610</v>
      </c>
      <c r="O886" s="57">
        <f>작성용!W883</f>
        <v>45615</v>
      </c>
      <c r="P886" s="57" t="str">
        <f>작성용!X883</f>
        <v>-</v>
      </c>
      <c r="Q886" s="58" t="str">
        <f>작성용!AD883</f>
        <v>이현승</v>
      </c>
      <c r="R886" s="60">
        <f>작성용!AE883</f>
        <v>1</v>
      </c>
      <c r="S886" s="58" t="str">
        <f>작성용!AF883</f>
        <v>이현승</v>
      </c>
      <c r="T886" s="61" t="str">
        <f>작성용!AG883</f>
        <v>채동우</v>
      </c>
      <c r="U886" s="61" t="str">
        <f>작성용!AH883</f>
        <v>채동우</v>
      </c>
      <c r="V886" s="56">
        <f>작성용!AA883</f>
        <v>202411</v>
      </c>
      <c r="W886" s="58" t="str">
        <f>작성용!AC883</f>
        <v>[Y]금융기관</v>
      </c>
      <c r="X886" s="58" t="str">
        <f>작성용!O883</f>
        <v>황윤채과장</v>
      </c>
      <c r="Y886" s="58" t="str">
        <f>작성용!P883</f>
        <v>02-6446-7170</v>
      </c>
      <c r="Z886" s="58" t="str">
        <f>작성용!Q883</f>
        <v>hyoon@wonik.com</v>
      </c>
      <c r="AA886" s="56" t="str">
        <f>작성용!AJ883</f>
        <v>국민연금제출</v>
      </c>
      <c r="AB886" s="56">
        <f>작성용!AB883</f>
        <v>0</v>
      </c>
    </row>
    <row r="887" spans="1:28" s="12" customFormat="1" ht="16.5" hidden="1" customHeight="1" x14ac:dyDescent="0.3">
      <c r="A887" s="54">
        <f>작성용!AL884</f>
        <v>883</v>
      </c>
      <c r="B887" s="55" t="str">
        <f>작성용!AI884</f>
        <v>-</v>
      </c>
      <c r="C887" s="56" t="str">
        <f>작성용!AK884</f>
        <v>개별종목</v>
      </c>
      <c r="D887" s="57">
        <f>작성용!T884</f>
        <v>45593</v>
      </c>
      <c r="E887" s="58" t="str">
        <f>작성용!B884</f>
        <v>원익투자파트너스</v>
      </c>
      <c r="F887" s="58" t="str">
        <f>작성용!C884</f>
        <v>신규</v>
      </c>
      <c r="G887" s="58" t="str">
        <f>작성용!D884</f>
        <v>다원메닥스</v>
      </c>
      <c r="H887" s="59">
        <f>작성용!E884</f>
        <v>1314110350589</v>
      </c>
      <c r="I887" s="58" t="str">
        <f>작성용!F884</f>
        <v>A01</v>
      </c>
      <c r="J887" s="58">
        <f>작성용!G884</f>
        <v>0</v>
      </c>
      <c r="K887" s="58" t="str">
        <f>작성용!H884</f>
        <v>-</v>
      </c>
      <c r="L887" s="58" t="str">
        <f>작성용!N884</f>
        <v>분기</v>
      </c>
      <c r="M887" s="57" t="str">
        <f>작성용!U884</f>
        <v>2024.09.30</v>
      </c>
      <c r="N887" s="57">
        <f>작성용!V884</f>
        <v>45610</v>
      </c>
      <c r="O887" s="57">
        <f>작성용!W884</f>
        <v>45615</v>
      </c>
      <c r="P887" s="57" t="str">
        <f>작성용!X884</f>
        <v>-</v>
      </c>
      <c r="Q887" s="58" t="str">
        <f>작성용!AD884</f>
        <v>이문수</v>
      </c>
      <c r="R887" s="60">
        <f>작성용!AE884</f>
        <v>1</v>
      </c>
      <c r="S887" s="58" t="str">
        <f>작성용!AF884</f>
        <v>이문수</v>
      </c>
      <c r="T887" s="61" t="str">
        <f>작성용!AG884</f>
        <v>채동우</v>
      </c>
      <c r="U887" s="61" t="str">
        <f>작성용!AH884</f>
        <v>채동우</v>
      </c>
      <c r="V887" s="56">
        <f>작성용!AA884</f>
        <v>202411</v>
      </c>
      <c r="W887" s="58" t="str">
        <f>작성용!AC884</f>
        <v>[Y]금융기관</v>
      </c>
      <c r="X887" s="58" t="str">
        <f>작성용!O884</f>
        <v>황윤채과장</v>
      </c>
      <c r="Y887" s="58" t="str">
        <f>작성용!P884</f>
        <v>02-6446-7170</v>
      </c>
      <c r="Z887" s="58" t="str">
        <f>작성용!Q884</f>
        <v>hyoon@wonik.com</v>
      </c>
      <c r="AA887" s="56" t="str">
        <f>작성용!AJ884</f>
        <v>국민연금제출</v>
      </c>
      <c r="AB887" s="56">
        <f>작성용!AB884</f>
        <v>0</v>
      </c>
    </row>
    <row r="888" spans="1:28" s="12" customFormat="1" ht="16.5" hidden="1" customHeight="1" x14ac:dyDescent="0.3">
      <c r="A888" s="54">
        <f>작성용!AL885</f>
        <v>884</v>
      </c>
      <c r="B888" s="55" t="str">
        <f>작성용!AI885</f>
        <v>-</v>
      </c>
      <c r="C888" s="56" t="str">
        <f>작성용!AK885</f>
        <v>개별종목</v>
      </c>
      <c r="D888" s="57">
        <f>작성용!T885</f>
        <v>45593</v>
      </c>
      <c r="E888" s="58" t="str">
        <f>작성용!B885</f>
        <v>원익투자파트너스</v>
      </c>
      <c r="F888" s="58" t="str">
        <f>작성용!C885</f>
        <v>신규</v>
      </c>
      <c r="G888" s="58" t="str">
        <f>작성용!D885</f>
        <v>바이오앱</v>
      </c>
      <c r="H888" s="59">
        <f>작성용!E885</f>
        <v>1717110095230</v>
      </c>
      <c r="I888" s="58" t="str">
        <f>작성용!F885</f>
        <v>A07</v>
      </c>
      <c r="J888" s="58">
        <f>작성용!G885</f>
        <v>77</v>
      </c>
      <c r="K888" s="58" t="str">
        <f>작성용!H885</f>
        <v>-</v>
      </c>
      <c r="L888" s="58" t="str">
        <f>작성용!N885</f>
        <v>분기</v>
      </c>
      <c r="M888" s="57" t="str">
        <f>작성용!U885</f>
        <v>2024.09.30</v>
      </c>
      <c r="N888" s="57">
        <f>작성용!V885</f>
        <v>45610</v>
      </c>
      <c r="O888" s="57">
        <f>작성용!W885</f>
        <v>45615</v>
      </c>
      <c r="P888" s="57" t="str">
        <f>작성용!X885</f>
        <v>-</v>
      </c>
      <c r="Q888" s="58" t="str">
        <f>작성용!AD885</f>
        <v>유재호</v>
      </c>
      <c r="R888" s="60">
        <f>작성용!AE885</f>
        <v>1</v>
      </c>
      <c r="S888" s="58" t="str">
        <f>작성용!AF885</f>
        <v>유재호</v>
      </c>
      <c r="T888" s="61" t="str">
        <f>작성용!AG885</f>
        <v>채동우</v>
      </c>
      <c r="U888" s="61" t="str">
        <f>작성용!AH885</f>
        <v>채동우</v>
      </c>
      <c r="V888" s="56">
        <f>작성용!AA885</f>
        <v>202411</v>
      </c>
      <c r="W888" s="58" t="str">
        <f>작성용!AC885</f>
        <v>[Y]금융기관</v>
      </c>
      <c r="X888" s="58" t="str">
        <f>작성용!O885</f>
        <v>황윤채과장</v>
      </c>
      <c r="Y888" s="58" t="str">
        <f>작성용!P885</f>
        <v>02-6446-7170</v>
      </c>
      <c r="Z888" s="58" t="str">
        <f>작성용!Q885</f>
        <v>hyoon@wonik.com</v>
      </c>
      <c r="AA888" s="56" t="str">
        <f>작성용!AJ885</f>
        <v>국민연금제출</v>
      </c>
      <c r="AB888" s="56">
        <f>작성용!AB885</f>
        <v>0</v>
      </c>
    </row>
    <row r="889" spans="1:28" s="12" customFormat="1" ht="16.5" hidden="1" customHeight="1" x14ac:dyDescent="0.3">
      <c r="A889" s="54">
        <f>작성용!AL886</f>
        <v>885</v>
      </c>
      <c r="B889" s="55" t="str">
        <f>작성용!AI886</f>
        <v>-</v>
      </c>
      <c r="C889" s="56" t="str">
        <f>작성용!AK886</f>
        <v>개별종목</v>
      </c>
      <c r="D889" s="57">
        <f>작성용!T886</f>
        <v>45593</v>
      </c>
      <c r="E889" s="58" t="str">
        <f>작성용!B886</f>
        <v>원익투자파트너스</v>
      </c>
      <c r="F889" s="58" t="str">
        <f>작성용!C886</f>
        <v>신규</v>
      </c>
      <c r="G889" s="58" t="str">
        <f>작성용!D886</f>
        <v>브레인커머스</v>
      </c>
      <c r="H889" s="59">
        <f>작성용!E886</f>
        <v>1101114943555</v>
      </c>
      <c r="I889" s="58" t="str">
        <f>작성용!F886</f>
        <v>A05</v>
      </c>
      <c r="J889" s="58">
        <f>작성용!G886</f>
        <v>77</v>
      </c>
      <c r="K889" s="58" t="str">
        <f>작성용!H886</f>
        <v>-</v>
      </c>
      <c r="L889" s="58" t="str">
        <f>작성용!N886</f>
        <v>분기</v>
      </c>
      <c r="M889" s="57" t="str">
        <f>작성용!U886</f>
        <v>2024.09.30</v>
      </c>
      <c r="N889" s="57">
        <f>작성용!V886</f>
        <v>45610</v>
      </c>
      <c r="O889" s="57">
        <f>작성용!W886</f>
        <v>45615</v>
      </c>
      <c r="P889" s="57" t="str">
        <f>작성용!X886</f>
        <v>-</v>
      </c>
      <c r="Q889" s="58" t="str">
        <f>작성용!AD886</f>
        <v>김에스더</v>
      </c>
      <c r="R889" s="60">
        <f>작성용!AE886</f>
        <v>1</v>
      </c>
      <c r="S889" s="58" t="str">
        <f>작성용!AF886</f>
        <v>김에스더</v>
      </c>
      <c r="T889" s="61" t="str">
        <f>작성용!AG886</f>
        <v>채동우</v>
      </c>
      <c r="U889" s="61" t="str">
        <f>작성용!AH886</f>
        <v>채동우</v>
      </c>
      <c r="V889" s="56">
        <f>작성용!AA886</f>
        <v>202411</v>
      </c>
      <c r="W889" s="58" t="str">
        <f>작성용!AC886</f>
        <v>[Y]금융기관</v>
      </c>
      <c r="X889" s="58" t="str">
        <f>작성용!O886</f>
        <v>황윤채과장</v>
      </c>
      <c r="Y889" s="58" t="str">
        <f>작성용!P886</f>
        <v>02-6446-7170</v>
      </c>
      <c r="Z889" s="58" t="str">
        <f>작성용!Q886</f>
        <v>hyoon@wonik.com</v>
      </c>
      <c r="AA889" s="56" t="str">
        <f>작성용!AJ886</f>
        <v>국민연금제출</v>
      </c>
      <c r="AB889" s="56">
        <f>작성용!AB886</f>
        <v>0</v>
      </c>
    </row>
    <row r="890" spans="1:28" s="12" customFormat="1" ht="16.5" hidden="1" customHeight="1" x14ac:dyDescent="0.3">
      <c r="A890" s="54">
        <f>작성용!AL887</f>
        <v>886</v>
      </c>
      <c r="B890" s="55" t="str">
        <f>작성용!AI887</f>
        <v>-</v>
      </c>
      <c r="C890" s="56" t="str">
        <f>작성용!AK887</f>
        <v>개별종목</v>
      </c>
      <c r="D890" s="57">
        <f>작성용!T887</f>
        <v>45593</v>
      </c>
      <c r="E890" s="58" t="str">
        <f>작성용!B887</f>
        <v>원익투자파트너스</v>
      </c>
      <c r="F890" s="58" t="str">
        <f>작성용!C887</f>
        <v>신규</v>
      </c>
      <c r="G890" s="58" t="str">
        <f>작성용!D887</f>
        <v>브레인커머스</v>
      </c>
      <c r="H890" s="59">
        <f>작성용!E887</f>
        <v>1101114943555</v>
      </c>
      <c r="I890" s="58" t="str">
        <f>작성용!F887</f>
        <v>A05</v>
      </c>
      <c r="J890" s="58">
        <f>작성용!G887</f>
        <v>771</v>
      </c>
      <c r="K890" s="58" t="str">
        <f>작성용!H887</f>
        <v>-</v>
      </c>
      <c r="L890" s="58" t="str">
        <f>작성용!N887</f>
        <v>분기</v>
      </c>
      <c r="M890" s="57" t="str">
        <f>작성용!U887</f>
        <v>2024.09.30</v>
      </c>
      <c r="N890" s="57">
        <f>작성용!V887</f>
        <v>45610</v>
      </c>
      <c r="O890" s="57">
        <f>작성용!W887</f>
        <v>45615</v>
      </c>
      <c r="P890" s="57" t="str">
        <f>작성용!X887</f>
        <v>-</v>
      </c>
      <c r="Q890" s="58" t="str">
        <f>작성용!AD887</f>
        <v>김에스더</v>
      </c>
      <c r="R890" s="60">
        <f>작성용!AE887</f>
        <v>0</v>
      </c>
      <c r="S890" s="58" t="str">
        <f>작성용!AF887</f>
        <v>김에스더</v>
      </c>
      <c r="T890" s="61" t="str">
        <f>작성용!AG887</f>
        <v>채동우</v>
      </c>
      <c r="U890" s="61" t="str">
        <f>작성용!AH887</f>
        <v>채동우</v>
      </c>
      <c r="V890" s="56">
        <f>작성용!AA887</f>
        <v>202411</v>
      </c>
      <c r="W890" s="58" t="str">
        <f>작성용!AC887</f>
        <v>[Y]금융기관</v>
      </c>
      <c r="X890" s="58" t="str">
        <f>작성용!O887</f>
        <v>황윤채과장</v>
      </c>
      <c r="Y890" s="58" t="str">
        <f>작성용!P887</f>
        <v>02-6446-7170</v>
      </c>
      <c r="Z890" s="58" t="str">
        <f>작성용!Q887</f>
        <v>hyoon@wonik.com</v>
      </c>
      <c r="AA890" s="56" t="str">
        <f>작성용!AJ887</f>
        <v>국민연금제출</v>
      </c>
      <c r="AB890" s="56">
        <f>작성용!AB887</f>
        <v>0</v>
      </c>
    </row>
    <row r="891" spans="1:28" s="12" customFormat="1" ht="16.5" hidden="1" customHeight="1" x14ac:dyDescent="0.3">
      <c r="A891" s="54">
        <f>작성용!AL888</f>
        <v>887</v>
      </c>
      <c r="B891" s="55" t="str">
        <f>작성용!AI888</f>
        <v>-</v>
      </c>
      <c r="C891" s="56" t="str">
        <f>작성용!AK888</f>
        <v>개별종목</v>
      </c>
      <c r="D891" s="57">
        <f>작성용!T888</f>
        <v>45593</v>
      </c>
      <c r="E891" s="58" t="str">
        <f>작성용!B888</f>
        <v>원익투자파트너스</v>
      </c>
      <c r="F891" s="58" t="str">
        <f>작성용!C888</f>
        <v>신규</v>
      </c>
      <c r="G891" s="58" t="str">
        <f>작성용!D888</f>
        <v>블로코</v>
      </c>
      <c r="H891" s="59">
        <f>작성용!E888</f>
        <v>1101115558585</v>
      </c>
      <c r="I891" s="58" t="str">
        <f>작성용!F888</f>
        <v>A07</v>
      </c>
      <c r="J891" s="58">
        <f>작성용!G888</f>
        <v>77</v>
      </c>
      <c r="K891" s="58" t="str">
        <f>작성용!H888</f>
        <v>-</v>
      </c>
      <c r="L891" s="58" t="str">
        <f>작성용!N888</f>
        <v>분기</v>
      </c>
      <c r="M891" s="57" t="str">
        <f>작성용!U888</f>
        <v>2024.09.30</v>
      </c>
      <c r="N891" s="57">
        <f>작성용!V888</f>
        <v>45610</v>
      </c>
      <c r="O891" s="57">
        <f>작성용!W888</f>
        <v>45615</v>
      </c>
      <c r="P891" s="57" t="str">
        <f>작성용!X888</f>
        <v>-</v>
      </c>
      <c r="Q891" s="58" t="str">
        <f>작성용!AD888</f>
        <v>이문수</v>
      </c>
      <c r="R891" s="60">
        <f>작성용!AE888</f>
        <v>1</v>
      </c>
      <c r="S891" s="58" t="str">
        <f>작성용!AF888</f>
        <v>이문수</v>
      </c>
      <c r="T891" s="61" t="str">
        <f>작성용!AG888</f>
        <v>채동우</v>
      </c>
      <c r="U891" s="61" t="str">
        <f>작성용!AH888</f>
        <v>채동우</v>
      </c>
      <c r="V891" s="56">
        <f>작성용!AA888</f>
        <v>202411</v>
      </c>
      <c r="W891" s="58" t="str">
        <f>작성용!AC888</f>
        <v>[Y]금융기관</v>
      </c>
      <c r="X891" s="58" t="str">
        <f>작성용!O888</f>
        <v>황윤채과장</v>
      </c>
      <c r="Y891" s="58" t="str">
        <f>작성용!P888</f>
        <v>02-6446-7170</v>
      </c>
      <c r="Z891" s="58" t="str">
        <f>작성용!Q888</f>
        <v>hyoon@wonik.com</v>
      </c>
      <c r="AA891" s="56" t="str">
        <f>작성용!AJ888</f>
        <v>국민연금제출</v>
      </c>
      <c r="AB891" s="56">
        <f>작성용!AB888</f>
        <v>0</v>
      </c>
    </row>
    <row r="892" spans="1:28" s="12" customFormat="1" ht="16.5" hidden="1" customHeight="1" x14ac:dyDescent="0.3">
      <c r="A892" s="54">
        <f>작성용!AL889</f>
        <v>888</v>
      </c>
      <c r="B892" s="55" t="str">
        <f>작성용!AI889</f>
        <v>-</v>
      </c>
      <c r="C892" s="56" t="str">
        <f>작성용!AK889</f>
        <v>개별종목</v>
      </c>
      <c r="D892" s="57">
        <f>작성용!T889</f>
        <v>45593</v>
      </c>
      <c r="E892" s="58" t="str">
        <f>작성용!B889</f>
        <v>원익투자파트너스</v>
      </c>
      <c r="F892" s="58" t="str">
        <f>작성용!C889</f>
        <v>신규</v>
      </c>
      <c r="G892" s="58" t="str">
        <f>작성용!D889</f>
        <v>블로코</v>
      </c>
      <c r="H892" s="59">
        <f>작성용!E889</f>
        <v>1101115558585</v>
      </c>
      <c r="I892" s="58" t="str">
        <f>작성용!F889</f>
        <v>A07</v>
      </c>
      <c r="J892" s="58">
        <f>작성용!G889</f>
        <v>771</v>
      </c>
      <c r="K892" s="58" t="str">
        <f>작성용!H889</f>
        <v>-</v>
      </c>
      <c r="L892" s="58" t="str">
        <f>작성용!N889</f>
        <v>분기</v>
      </c>
      <c r="M892" s="57" t="str">
        <f>작성용!U889</f>
        <v>2024.09.30</v>
      </c>
      <c r="N892" s="57">
        <f>작성용!V889</f>
        <v>45610</v>
      </c>
      <c r="O892" s="57">
        <f>작성용!W889</f>
        <v>45615</v>
      </c>
      <c r="P892" s="57" t="str">
        <f>작성용!X889</f>
        <v>-</v>
      </c>
      <c r="Q892" s="58" t="str">
        <f>작성용!AD889</f>
        <v>이문수</v>
      </c>
      <c r="R892" s="60">
        <f>작성용!AE889</f>
        <v>0</v>
      </c>
      <c r="S892" s="58" t="str">
        <f>작성용!AF889</f>
        <v>이문수</v>
      </c>
      <c r="T892" s="61" t="str">
        <f>작성용!AG889</f>
        <v>채동우</v>
      </c>
      <c r="U892" s="61" t="str">
        <f>작성용!AH889</f>
        <v>채동우</v>
      </c>
      <c r="V892" s="56">
        <f>작성용!AA889</f>
        <v>202411</v>
      </c>
      <c r="W892" s="58" t="str">
        <f>작성용!AC889</f>
        <v>[Y]금융기관</v>
      </c>
      <c r="X892" s="58" t="str">
        <f>작성용!O889</f>
        <v>황윤채과장</v>
      </c>
      <c r="Y892" s="58" t="str">
        <f>작성용!P889</f>
        <v>02-6446-7170</v>
      </c>
      <c r="Z892" s="58" t="str">
        <f>작성용!Q889</f>
        <v>hyoon@wonik.com</v>
      </c>
      <c r="AA892" s="56" t="str">
        <f>작성용!AJ889</f>
        <v>국민연금제출</v>
      </c>
      <c r="AB892" s="56">
        <f>작성용!AB889</f>
        <v>0</v>
      </c>
    </row>
    <row r="893" spans="1:28" s="12" customFormat="1" ht="16.5" hidden="1" customHeight="1" x14ac:dyDescent="0.3">
      <c r="A893" s="54">
        <f>작성용!AL890</f>
        <v>889</v>
      </c>
      <c r="B893" s="55" t="str">
        <f>작성용!AI890</f>
        <v>-</v>
      </c>
      <c r="C893" s="56" t="str">
        <f>작성용!AK890</f>
        <v>개별종목</v>
      </c>
      <c r="D893" s="57">
        <f>작성용!T890</f>
        <v>45593</v>
      </c>
      <c r="E893" s="58" t="str">
        <f>작성용!B890</f>
        <v>원익투자파트너스</v>
      </c>
      <c r="F893" s="58" t="str">
        <f>작성용!C890</f>
        <v>신규</v>
      </c>
      <c r="G893" s="58" t="str">
        <f>작성용!D890</f>
        <v>성림첨단산업</v>
      </c>
      <c r="H893" s="59">
        <f>작성용!E890</f>
        <v>1701110075540</v>
      </c>
      <c r="I893" s="58" t="str">
        <f>작성용!F890</f>
        <v>A01</v>
      </c>
      <c r="J893" s="58">
        <f>작성용!G890</f>
        <v>0</v>
      </c>
      <c r="K893" s="58" t="str">
        <f>작성용!H890</f>
        <v>-</v>
      </c>
      <c r="L893" s="58" t="str">
        <f>작성용!N890</f>
        <v>분기</v>
      </c>
      <c r="M893" s="57" t="str">
        <f>작성용!U890</f>
        <v>2024.09.30</v>
      </c>
      <c r="N893" s="57">
        <f>작성용!V890</f>
        <v>45610</v>
      </c>
      <c r="O893" s="57">
        <f>작성용!W890</f>
        <v>45615</v>
      </c>
      <c r="P893" s="57" t="str">
        <f>작성용!X890</f>
        <v>-</v>
      </c>
      <c r="Q893" s="58" t="str">
        <f>작성용!AD890</f>
        <v>유재호</v>
      </c>
      <c r="R893" s="60">
        <f>작성용!AE890</f>
        <v>1</v>
      </c>
      <c r="S893" s="58" t="str">
        <f>작성용!AF890</f>
        <v>유재호</v>
      </c>
      <c r="T893" s="61" t="str">
        <f>작성용!AG890</f>
        <v>채동우</v>
      </c>
      <c r="U893" s="61" t="str">
        <f>작성용!AH890</f>
        <v>채동우</v>
      </c>
      <c r="V893" s="56">
        <f>작성용!AA890</f>
        <v>202411</v>
      </c>
      <c r="W893" s="58" t="str">
        <f>작성용!AC890</f>
        <v>[Y]금융기관</v>
      </c>
      <c r="X893" s="58" t="str">
        <f>작성용!O890</f>
        <v>황윤채과장</v>
      </c>
      <c r="Y893" s="58" t="str">
        <f>작성용!P890</f>
        <v>02-6446-7170</v>
      </c>
      <c r="Z893" s="58" t="str">
        <f>작성용!Q890</f>
        <v>hyoon@wonik.com</v>
      </c>
      <c r="AA893" s="56" t="str">
        <f>작성용!AJ890</f>
        <v>국민연금제출</v>
      </c>
      <c r="AB893" s="56">
        <f>작성용!AB890</f>
        <v>0</v>
      </c>
    </row>
    <row r="894" spans="1:28" s="12" customFormat="1" ht="16.5" hidden="1" customHeight="1" x14ac:dyDescent="0.3">
      <c r="A894" s="54">
        <f>작성용!AL891</f>
        <v>890</v>
      </c>
      <c r="B894" s="55" t="str">
        <f>작성용!AI891</f>
        <v>-</v>
      </c>
      <c r="C894" s="56" t="str">
        <f>작성용!AK891</f>
        <v>개별종목</v>
      </c>
      <c r="D894" s="57">
        <f>작성용!T891</f>
        <v>45593</v>
      </c>
      <c r="E894" s="58" t="str">
        <f>작성용!B891</f>
        <v>원익투자파트너스</v>
      </c>
      <c r="F894" s="58" t="str">
        <f>작성용!C891</f>
        <v>신규</v>
      </c>
      <c r="G894" s="58" t="str">
        <f>작성용!D891</f>
        <v>플렉시고</v>
      </c>
      <c r="H894" s="59">
        <f>작성용!E891</f>
        <v>1615110214422</v>
      </c>
      <c r="I894" s="58" t="str">
        <f>작성용!F891</f>
        <v>A07</v>
      </c>
      <c r="J894" s="58">
        <f>작성용!G891</f>
        <v>77</v>
      </c>
      <c r="K894" s="58" t="str">
        <f>작성용!H891</f>
        <v>-</v>
      </c>
      <c r="L894" s="58" t="str">
        <f>작성용!N891</f>
        <v>분기</v>
      </c>
      <c r="M894" s="57" t="str">
        <f>작성용!U891</f>
        <v>2024.09.30</v>
      </c>
      <c r="N894" s="57">
        <f>작성용!V891</f>
        <v>45610</v>
      </c>
      <c r="O894" s="57">
        <f>작성용!W891</f>
        <v>45615</v>
      </c>
      <c r="P894" s="57" t="str">
        <f>작성용!X891</f>
        <v>-</v>
      </c>
      <c r="Q894" s="58" t="str">
        <f>작성용!AD891</f>
        <v>원정우</v>
      </c>
      <c r="R894" s="60">
        <f>작성용!AE891</f>
        <v>1</v>
      </c>
      <c r="S894" s="58" t="str">
        <f>작성용!AF891</f>
        <v>신규</v>
      </c>
      <c r="T894" s="61" t="str">
        <f>작성용!AG891</f>
        <v>채동우</v>
      </c>
      <c r="U894" s="61" t="str">
        <f>작성용!AH891</f>
        <v>채동우</v>
      </c>
      <c r="V894" s="56">
        <f>작성용!AA891</f>
        <v>202411</v>
      </c>
      <c r="W894" s="58" t="str">
        <f>작성용!AC891</f>
        <v>[Y]금융기관</v>
      </c>
      <c r="X894" s="58" t="str">
        <f>작성용!O891</f>
        <v>황윤채과장</v>
      </c>
      <c r="Y894" s="58" t="str">
        <f>작성용!P891</f>
        <v>02-6446-7170</v>
      </c>
      <c r="Z894" s="58" t="str">
        <f>작성용!Q891</f>
        <v>hyoon@wonik.com</v>
      </c>
      <c r="AA894" s="56" t="str">
        <f>작성용!AJ891</f>
        <v>국민연금제출</v>
      </c>
      <c r="AB894" s="56">
        <f>작성용!AB891</f>
        <v>0</v>
      </c>
    </row>
    <row r="895" spans="1:28" s="12" customFormat="1" ht="16.5" hidden="1" customHeight="1" x14ac:dyDescent="0.3">
      <c r="A895" s="54">
        <f>작성용!AL892</f>
        <v>891</v>
      </c>
      <c r="B895" s="55" t="str">
        <f>작성용!AI892</f>
        <v>-</v>
      </c>
      <c r="C895" s="56" t="str">
        <f>작성용!AK892</f>
        <v>개별종목</v>
      </c>
      <c r="D895" s="57">
        <f>작성용!T892</f>
        <v>45593</v>
      </c>
      <c r="E895" s="58" t="str">
        <f>작성용!B892</f>
        <v>유티씨인베스트먼트</v>
      </c>
      <c r="F895" s="58" t="str">
        <f>작성용!C892</f>
        <v>재평가</v>
      </c>
      <c r="G895" s="58" t="str">
        <f>작성용!D892</f>
        <v>더화이트커뮤니케이션</v>
      </c>
      <c r="H895" s="59">
        <f>작성용!E892</f>
        <v>1101116020533</v>
      </c>
      <c r="I895" s="58" t="str">
        <f>작성용!F892</f>
        <v>A05</v>
      </c>
      <c r="J895" s="58">
        <f>작성용!G892</f>
        <v>0</v>
      </c>
      <c r="K895" s="58" t="str">
        <f>작성용!H892</f>
        <v>-</v>
      </c>
      <c r="L895" s="58" t="str">
        <f>작성용!N892</f>
        <v>년</v>
      </c>
      <c r="M895" s="57" t="str">
        <f>작성용!U892</f>
        <v>2024.09.30</v>
      </c>
      <c r="N895" s="57">
        <f>작성용!V892</f>
        <v>45611</v>
      </c>
      <c r="O895" s="57">
        <f>작성용!W892</f>
        <v>45615</v>
      </c>
      <c r="P895" s="57" t="str">
        <f>작성용!X892</f>
        <v>-</v>
      </c>
      <c r="Q895" s="58" t="str">
        <f>작성용!AD892</f>
        <v>이진주</v>
      </c>
      <c r="R895" s="60">
        <f>작성용!AE892</f>
        <v>1</v>
      </c>
      <c r="S895" s="58" t="str">
        <f>작성용!AF892</f>
        <v>이진주</v>
      </c>
      <c r="T895" s="61" t="str">
        <f>작성용!AG892</f>
        <v>김에스더</v>
      </c>
      <c r="U895" s="61" t="str">
        <f>작성용!AH892</f>
        <v>김에스더</v>
      </c>
      <c r="V895" s="56">
        <f>작성용!AA892</f>
        <v>202411</v>
      </c>
      <c r="W895" s="58" t="str">
        <f>작성용!AC892</f>
        <v>[Y]금융기관</v>
      </c>
      <c r="X895" s="58" t="str">
        <f>작성용!O892</f>
        <v>배재은팀장</v>
      </c>
      <c r="Y895" s="58" t="str">
        <f>작성용!P892</f>
        <v>02-783-7566</v>
      </c>
      <c r="Z895" s="58" t="str">
        <f>작성용!Q892</f>
        <v>jaeeun@utc.co.kr</v>
      </c>
      <c r="AA895" s="56" t="str">
        <f>작성용!AJ892</f>
        <v>국민연금제출</v>
      </c>
      <c r="AB895" s="56">
        <f>작성용!AB892</f>
        <v>0</v>
      </c>
    </row>
    <row r="896" spans="1:28" s="12" customFormat="1" ht="16.5" hidden="1" customHeight="1" x14ac:dyDescent="0.3">
      <c r="A896" s="54">
        <f>작성용!AL893</f>
        <v>892</v>
      </c>
      <c r="B896" s="55" t="str">
        <f>작성용!AI893</f>
        <v>-</v>
      </c>
      <c r="C896" s="56" t="str">
        <f>작성용!AK893</f>
        <v>개별종목</v>
      </c>
      <c r="D896" s="57">
        <f>작성용!T893</f>
        <v>45593</v>
      </c>
      <c r="E896" s="58" t="str">
        <f>작성용!B893</f>
        <v>유티씨인베스트먼트</v>
      </c>
      <c r="F896" s="58" t="str">
        <f>작성용!C893</f>
        <v>재평가</v>
      </c>
      <c r="G896" s="58" t="str">
        <f>작성용!D893</f>
        <v>더화이트커뮤니케이션</v>
      </c>
      <c r="H896" s="59">
        <f>작성용!E893</f>
        <v>1101116020533</v>
      </c>
      <c r="I896" s="58" t="str">
        <f>작성용!F893</f>
        <v>A07</v>
      </c>
      <c r="J896" s="58">
        <f>작성용!G893</f>
        <v>0</v>
      </c>
      <c r="K896" s="58" t="str">
        <f>작성용!H893</f>
        <v>-</v>
      </c>
      <c r="L896" s="58" t="str">
        <f>작성용!N893</f>
        <v>년</v>
      </c>
      <c r="M896" s="57" t="str">
        <f>작성용!U893</f>
        <v>2024.09.30</v>
      </c>
      <c r="N896" s="57">
        <f>작성용!V893</f>
        <v>45611</v>
      </c>
      <c r="O896" s="57">
        <f>작성용!W893</f>
        <v>45615</v>
      </c>
      <c r="P896" s="57" t="str">
        <f>작성용!X893</f>
        <v>-</v>
      </c>
      <c r="Q896" s="58" t="str">
        <f>작성용!AD893</f>
        <v>이진주</v>
      </c>
      <c r="R896" s="60">
        <f>작성용!AE893</f>
        <v>0</v>
      </c>
      <c r="S896" s="58" t="str">
        <f>작성용!AF893</f>
        <v>이진주</v>
      </c>
      <c r="T896" s="61" t="str">
        <f>작성용!AG893</f>
        <v>김에스더</v>
      </c>
      <c r="U896" s="61" t="str">
        <f>작성용!AH893</f>
        <v>김에스더</v>
      </c>
      <c r="V896" s="56">
        <f>작성용!AA893</f>
        <v>202411</v>
      </c>
      <c r="W896" s="58" t="str">
        <f>작성용!AC893</f>
        <v>[Y]금융기관</v>
      </c>
      <c r="X896" s="58" t="str">
        <f>작성용!O893</f>
        <v>배재은팀장</v>
      </c>
      <c r="Y896" s="58" t="str">
        <f>작성용!P893</f>
        <v>02-783-7566</v>
      </c>
      <c r="Z896" s="58" t="str">
        <f>작성용!Q893</f>
        <v>jaeeun@utc.co.kr</v>
      </c>
      <c r="AA896" s="56" t="str">
        <f>작성용!AJ893</f>
        <v>국민연금제출</v>
      </c>
      <c r="AB896" s="56">
        <f>작성용!AB893</f>
        <v>0</v>
      </c>
    </row>
    <row r="897" spans="1:28" s="12" customFormat="1" ht="16.5" hidden="1" customHeight="1" x14ac:dyDescent="0.3">
      <c r="A897" s="54">
        <f>작성용!AL894</f>
        <v>893</v>
      </c>
      <c r="B897" s="55" t="str">
        <f>작성용!AI894</f>
        <v>-</v>
      </c>
      <c r="C897" s="56" t="str">
        <f>작성용!AK894</f>
        <v>개별종목</v>
      </c>
      <c r="D897" s="57">
        <f>작성용!T894</f>
        <v>45593</v>
      </c>
      <c r="E897" s="58" t="str">
        <f>작성용!B894</f>
        <v>유티씨인베스트먼트</v>
      </c>
      <c r="F897" s="58" t="str">
        <f>작성용!C894</f>
        <v>재평가</v>
      </c>
      <c r="G897" s="58" t="str">
        <f>작성용!D894</f>
        <v>인플루엔셜</v>
      </c>
      <c r="H897" s="59">
        <f>작성용!E894</f>
        <v>1101113876327</v>
      </c>
      <c r="I897" s="58" t="str">
        <f>작성용!F894</f>
        <v>A07</v>
      </c>
      <c r="J897" s="58">
        <f>작성용!G894</f>
        <v>0</v>
      </c>
      <c r="K897" s="58" t="str">
        <f>작성용!H894</f>
        <v>-</v>
      </c>
      <c r="L897" s="58" t="str">
        <f>작성용!N894</f>
        <v>년</v>
      </c>
      <c r="M897" s="57" t="str">
        <f>작성용!U894</f>
        <v>2024.09.30</v>
      </c>
      <c r="N897" s="57">
        <f>작성용!V894</f>
        <v>45611</v>
      </c>
      <c r="O897" s="57">
        <f>작성용!W894</f>
        <v>45615</v>
      </c>
      <c r="P897" s="57" t="str">
        <f>작성용!X894</f>
        <v>-</v>
      </c>
      <c r="Q897" s="58" t="str">
        <f>작성용!AD894</f>
        <v>강승현</v>
      </c>
      <c r="R897" s="60">
        <f>작성용!AE894</f>
        <v>1</v>
      </c>
      <c r="S897" s="58" t="str">
        <f>작성용!AF894</f>
        <v>강승현</v>
      </c>
      <c r="T897" s="61" t="str">
        <f>작성용!AG894</f>
        <v>김에스더</v>
      </c>
      <c r="U897" s="61" t="str">
        <f>작성용!AH894</f>
        <v>김에스더</v>
      </c>
      <c r="V897" s="56">
        <f>작성용!AA894</f>
        <v>202411</v>
      </c>
      <c r="W897" s="58" t="str">
        <f>작성용!AC894</f>
        <v>[Y]금융기관</v>
      </c>
      <c r="X897" s="58" t="str">
        <f>작성용!O894</f>
        <v>배재은팀장</v>
      </c>
      <c r="Y897" s="58" t="str">
        <f>작성용!P894</f>
        <v>02-783-7566</v>
      </c>
      <c r="Z897" s="58" t="str">
        <f>작성용!Q894</f>
        <v>jaeeun@utc.co.kr</v>
      </c>
      <c r="AA897" s="56" t="str">
        <f>작성용!AJ894</f>
        <v>국민연금제출</v>
      </c>
      <c r="AB897" s="56">
        <f>작성용!AB894</f>
        <v>0</v>
      </c>
    </row>
    <row r="898" spans="1:28" s="12" customFormat="1" ht="16.5" hidden="1" customHeight="1" x14ac:dyDescent="0.3">
      <c r="A898" s="54">
        <f>작성용!AL895</f>
        <v>894</v>
      </c>
      <c r="B898" s="55" t="str">
        <f>작성용!AI895</f>
        <v>-</v>
      </c>
      <c r="C898" s="56" t="str">
        <f>작성용!AK895</f>
        <v>개별종목</v>
      </c>
      <c r="D898" s="57">
        <f>작성용!T895</f>
        <v>45593</v>
      </c>
      <c r="E898" s="58" t="str">
        <f>작성용!B895</f>
        <v>유티씨인베스트먼트</v>
      </c>
      <c r="F898" s="58" t="str">
        <f>작성용!C895</f>
        <v>재평가</v>
      </c>
      <c r="G898" s="58" t="str">
        <f>작성용!D895</f>
        <v>크리에이츠</v>
      </c>
      <c r="H898" s="59">
        <f>작성용!E895</f>
        <v>1101114170778</v>
      </c>
      <c r="I898" s="58" t="str">
        <f>작성용!F895</f>
        <v>A01</v>
      </c>
      <c r="J898" s="58">
        <f>작성용!G895</f>
        <v>0</v>
      </c>
      <c r="K898" s="58" t="str">
        <f>작성용!H895</f>
        <v>-</v>
      </c>
      <c r="L898" s="58" t="str">
        <f>작성용!N895</f>
        <v>년</v>
      </c>
      <c r="M898" s="57" t="str">
        <f>작성용!U895</f>
        <v>2024.09.30</v>
      </c>
      <c r="N898" s="57">
        <f>작성용!V895</f>
        <v>45611</v>
      </c>
      <c r="O898" s="57">
        <f>작성용!W895</f>
        <v>45615</v>
      </c>
      <c r="P898" s="57" t="str">
        <f>작성용!X895</f>
        <v>-</v>
      </c>
      <c r="Q898" s="58" t="str">
        <f>작성용!AD895</f>
        <v>김에스더</v>
      </c>
      <c r="R898" s="60">
        <f>작성용!AE895</f>
        <v>1</v>
      </c>
      <c r="S898" s="58" t="str">
        <f>작성용!AF895</f>
        <v>김에스더</v>
      </c>
      <c r="T898" s="61" t="str">
        <f>작성용!AG895</f>
        <v>김에스더</v>
      </c>
      <c r="U898" s="61" t="str">
        <f>작성용!AH895</f>
        <v>김에스더</v>
      </c>
      <c r="V898" s="56">
        <f>작성용!AA895</f>
        <v>202411</v>
      </c>
      <c r="W898" s="58" t="str">
        <f>작성용!AC895</f>
        <v>[Y]금융기관</v>
      </c>
      <c r="X898" s="58" t="str">
        <f>작성용!O895</f>
        <v>배재은팀장</v>
      </c>
      <c r="Y898" s="58" t="str">
        <f>작성용!P895</f>
        <v>02-783-7566</v>
      </c>
      <c r="Z898" s="58" t="str">
        <f>작성용!Q895</f>
        <v>jaeeun@utc.co.kr</v>
      </c>
      <c r="AA898" s="56" t="str">
        <f>작성용!AJ895</f>
        <v>국민연금제출</v>
      </c>
      <c r="AB898" s="56">
        <f>작성용!AB895</f>
        <v>0</v>
      </c>
    </row>
    <row r="899" spans="1:28" s="12" customFormat="1" ht="16.5" hidden="1" customHeight="1" x14ac:dyDescent="0.3">
      <c r="A899" s="54">
        <f>작성용!AL896</f>
        <v>895</v>
      </c>
      <c r="B899" s="55" t="str">
        <f>작성용!AI896</f>
        <v>SPC</v>
      </c>
      <c r="C899" s="56" t="str">
        <f>작성용!AK896</f>
        <v>개별종목</v>
      </c>
      <c r="D899" s="57">
        <f>작성용!T896</f>
        <v>45593</v>
      </c>
      <c r="E899" s="58" t="str">
        <f>작성용!B896</f>
        <v>유티씨인베스트먼트</v>
      </c>
      <c r="F899" s="58" t="str">
        <f>작성용!C896</f>
        <v>재평가</v>
      </c>
      <c r="G899" s="58" t="str">
        <f>작성용!D896</f>
        <v>사이프러스트리</v>
      </c>
      <c r="H899" s="59">
        <f>작성용!E896</f>
        <v>1101118214142</v>
      </c>
      <c r="I899" s="58" t="str">
        <f>작성용!F896</f>
        <v>A01</v>
      </c>
      <c r="J899" s="58">
        <f>작성용!G896</f>
        <v>0</v>
      </c>
      <c r="K899" s="58" t="str">
        <f>작성용!H896</f>
        <v>-</v>
      </c>
      <c r="L899" s="58" t="str">
        <f>작성용!N896</f>
        <v>년</v>
      </c>
      <c r="M899" s="57" t="str">
        <f>작성용!U896</f>
        <v>2024.09.30</v>
      </c>
      <c r="N899" s="57">
        <f>작성용!V896</f>
        <v>45611</v>
      </c>
      <c r="O899" s="57">
        <f>작성용!W896</f>
        <v>45615</v>
      </c>
      <c r="P899" s="57" t="str">
        <f>작성용!X896</f>
        <v>-</v>
      </c>
      <c r="Q899" s="58" t="str">
        <f>작성용!AD896</f>
        <v>정은채</v>
      </c>
      <c r="R899" s="60">
        <f>작성용!AE896</f>
        <v>1</v>
      </c>
      <c r="S899" s="58" t="str">
        <f>작성용!AF896</f>
        <v>정은채</v>
      </c>
      <c r="T899" s="61" t="str">
        <f>작성용!AG896</f>
        <v>김에스더</v>
      </c>
      <c r="U899" s="61" t="str">
        <f>작성용!AH896</f>
        <v>김에스더</v>
      </c>
      <c r="V899" s="56">
        <f>작성용!AA896</f>
        <v>202411</v>
      </c>
      <c r="W899" s="58" t="str">
        <f>작성용!AC896</f>
        <v>[Y]금융기관</v>
      </c>
      <c r="X899" s="58" t="str">
        <f>작성용!O896</f>
        <v>배재은팀장</v>
      </c>
      <c r="Y899" s="58" t="str">
        <f>작성용!P896</f>
        <v>02-783-7566</v>
      </c>
      <c r="Z899" s="58" t="str">
        <f>작성용!Q896</f>
        <v>jaeeun@utc.co.kr</v>
      </c>
      <c r="AA899" s="56" t="str">
        <f>작성용!AJ896</f>
        <v>국민연금제출</v>
      </c>
      <c r="AB899" s="56">
        <f>작성용!AB896</f>
        <v>0</v>
      </c>
    </row>
    <row r="900" spans="1:28" s="12" customFormat="1" ht="16.5" hidden="1" customHeight="1" x14ac:dyDescent="0.3">
      <c r="A900" s="54">
        <f>작성용!AL897</f>
        <v>896</v>
      </c>
      <c r="B900" s="55" t="str">
        <f>작성용!AI897</f>
        <v>사이프러스트리 하위자산</v>
      </c>
      <c r="C900" s="56" t="str">
        <f>작성용!AK897</f>
        <v>개별종목</v>
      </c>
      <c r="D900" s="57">
        <f>작성용!T897</f>
        <v>45593</v>
      </c>
      <c r="E900" s="58" t="str">
        <f>작성용!B897</f>
        <v>유티씨인베스트먼트</v>
      </c>
      <c r="F900" s="58" t="str">
        <f>작성용!C897</f>
        <v>재평가</v>
      </c>
      <c r="G900" s="58" t="str">
        <f>작성용!D897</f>
        <v>Traffix Group Inc.</v>
      </c>
      <c r="H900" s="59" t="str">
        <f>작성용!E897</f>
        <v>KBP2023030026</v>
      </c>
      <c r="I900" s="58" t="str">
        <f>작성용!F897</f>
        <v>A01</v>
      </c>
      <c r="J900" s="58">
        <f>작성용!G897</f>
        <v>0</v>
      </c>
      <c r="K900" s="58" t="str">
        <f>작성용!H897</f>
        <v>-</v>
      </c>
      <c r="L900" s="58" t="str">
        <f>작성용!N897</f>
        <v>년</v>
      </c>
      <c r="M900" s="57" t="str">
        <f>작성용!U897</f>
        <v>2024.09.30</v>
      </c>
      <c r="N900" s="57">
        <f>작성용!V897</f>
        <v>45611</v>
      </c>
      <c r="O900" s="57" t="str">
        <f>작성용!W897</f>
        <v>보고서제공X</v>
      </c>
      <c r="P900" s="57" t="str">
        <f>작성용!X897</f>
        <v>-</v>
      </c>
      <c r="Q900" s="58" t="str">
        <f>작성용!AD897</f>
        <v>정은채</v>
      </c>
      <c r="R900" s="60">
        <f>작성용!AE897</f>
        <v>0.4</v>
      </c>
      <c r="S900" s="58" t="str">
        <f>작성용!AF897</f>
        <v>정은채</v>
      </c>
      <c r="T900" s="61" t="str">
        <f>작성용!AG897</f>
        <v>김에스더</v>
      </c>
      <c r="U900" s="61" t="str">
        <f>작성용!AH897</f>
        <v>김에스더</v>
      </c>
      <c r="V900" s="56">
        <f>작성용!AA897</f>
        <v>202411</v>
      </c>
      <c r="W900" s="58" t="str">
        <f>작성용!AC897</f>
        <v>[Y]금융기관</v>
      </c>
      <c r="X900" s="58" t="str">
        <f>작성용!O897</f>
        <v>배재은팀장</v>
      </c>
      <c r="Y900" s="58" t="str">
        <f>작성용!P897</f>
        <v>02-783-7566</v>
      </c>
      <c r="Z900" s="58" t="str">
        <f>작성용!Q897</f>
        <v>jaeeun@utc.co.kr</v>
      </c>
      <c r="AA900" s="56" t="str">
        <f>작성용!AJ897</f>
        <v>국민연금제출</v>
      </c>
      <c r="AB900" s="56">
        <f>작성용!AB897</f>
        <v>0</v>
      </c>
    </row>
    <row r="901" spans="1:28" s="12" customFormat="1" ht="16.5" hidden="1" customHeight="1" x14ac:dyDescent="0.3">
      <c r="A901" s="54">
        <f>작성용!AL898</f>
        <v>897</v>
      </c>
      <c r="B901" s="55" t="str">
        <f>작성용!AI898</f>
        <v>-</v>
      </c>
      <c r="C901" s="56" t="str">
        <f>작성용!AK898</f>
        <v>기초자산</v>
      </c>
      <c r="D901" s="57" t="str">
        <f>작성용!T898</f>
        <v>고려아연펀드(기초자산)</v>
      </c>
      <c r="E901" s="58" t="str">
        <f>작성용!B898</f>
        <v>Primer Sazze Fund II</v>
      </c>
      <c r="F901" s="58" t="str">
        <f>작성용!C898</f>
        <v>재평가</v>
      </c>
      <c r="G901" s="58" t="str">
        <f>작성용!D898</f>
        <v>지구인컴퍼니</v>
      </c>
      <c r="H901" s="59">
        <f>작성용!E898</f>
        <v>1101116472924</v>
      </c>
      <c r="I901" s="58" t="str">
        <f>작성용!F898</f>
        <v>A07</v>
      </c>
      <c r="J901" s="58">
        <f>작성용!G898</f>
        <v>5</v>
      </c>
      <c r="K901" s="58" t="str">
        <f>작성용!H898</f>
        <v>-</v>
      </c>
      <c r="L901" s="58" t="str">
        <f>작성용!N898</f>
        <v>년</v>
      </c>
      <c r="M901" s="57" t="str">
        <f>작성용!U898</f>
        <v>2024.09.30</v>
      </c>
      <c r="N901" s="57">
        <f>작성용!V898</f>
        <v>45611</v>
      </c>
      <c r="O901" s="57" t="str">
        <f>작성용!W898</f>
        <v>보고서제공X</v>
      </c>
      <c r="P901" s="57" t="str">
        <f>작성용!X898</f>
        <v>-</v>
      </c>
      <c r="Q901" s="58" t="str">
        <f>작성용!AD898</f>
        <v>정은채</v>
      </c>
      <c r="R901" s="60">
        <f>작성용!AE898</f>
        <v>0</v>
      </c>
      <c r="S901" s="58" t="str">
        <f>작성용!AF898</f>
        <v>정은채</v>
      </c>
      <c r="T901" s="61" t="str">
        <f>작성용!AG898</f>
        <v>-</v>
      </c>
      <c r="U901" s="61" t="str">
        <f>작성용!AH898</f>
        <v>-</v>
      </c>
      <c r="V901" s="56">
        <f>작성용!AA898</f>
        <v>202411</v>
      </c>
      <c r="W901" s="58" t="str">
        <f>작성용!AC898</f>
        <v>[6]기타기관펀드(기초자산)</v>
      </c>
      <c r="X901" s="58">
        <f>작성용!O898</f>
        <v>0</v>
      </c>
      <c r="Y901" s="58">
        <f>작성용!P898</f>
        <v>0</v>
      </c>
      <c r="Z901" s="58">
        <f>작성용!Q898</f>
        <v>0</v>
      </c>
      <c r="AA901" s="56" t="str">
        <f>작성용!AJ898</f>
        <v>-</v>
      </c>
      <c r="AB901" s="56">
        <f>작성용!AB898</f>
        <v>0</v>
      </c>
    </row>
    <row r="902" spans="1:28" s="12" customFormat="1" ht="16.5" hidden="1" customHeight="1" x14ac:dyDescent="0.3">
      <c r="A902" s="54">
        <f>작성용!AL899</f>
        <v>898</v>
      </c>
      <c r="B902" s="55" t="str">
        <f>작성용!AI899</f>
        <v>-</v>
      </c>
      <c r="C902" s="56" t="str">
        <f>작성용!AK899</f>
        <v>기초자산</v>
      </c>
      <c r="D902" s="57" t="str">
        <f>작성용!T899</f>
        <v>고려아연펀드(기초자산)</v>
      </c>
      <c r="E902" s="58" t="str">
        <f>작성용!B899</f>
        <v>Primer Sazze Fund II</v>
      </c>
      <c r="F902" s="58" t="str">
        <f>작성용!C899</f>
        <v>재평가</v>
      </c>
      <c r="G902" s="58" t="str">
        <f>작성용!D899</f>
        <v>지구인컴퍼니</v>
      </c>
      <c r="H902" s="59">
        <f>작성용!E899</f>
        <v>1101116472924</v>
      </c>
      <c r="I902" s="58" t="str">
        <f>작성용!F899</f>
        <v>A07</v>
      </c>
      <c r="J902" s="58">
        <f>작성용!G899</f>
        <v>7</v>
      </c>
      <c r="K902" s="58" t="str">
        <f>작성용!H899</f>
        <v>-</v>
      </c>
      <c r="L902" s="58" t="str">
        <f>작성용!N899</f>
        <v>년</v>
      </c>
      <c r="M902" s="57" t="str">
        <f>작성용!U899</f>
        <v>2024.09.30</v>
      </c>
      <c r="N902" s="57">
        <f>작성용!V899</f>
        <v>45611</v>
      </c>
      <c r="O902" s="57" t="str">
        <f>작성용!W899</f>
        <v>보고서제공X</v>
      </c>
      <c r="P902" s="57" t="str">
        <f>작성용!X899</f>
        <v>-</v>
      </c>
      <c r="Q902" s="58" t="str">
        <f>작성용!AD899</f>
        <v>정은채</v>
      </c>
      <c r="R902" s="60">
        <f>작성용!AE899</f>
        <v>0</v>
      </c>
      <c r="S902" s="58" t="str">
        <f>작성용!AF899</f>
        <v>정은채</v>
      </c>
      <c r="T902" s="61" t="str">
        <f>작성용!AG899</f>
        <v>-</v>
      </c>
      <c r="U902" s="61" t="str">
        <f>작성용!AH899</f>
        <v>-</v>
      </c>
      <c r="V902" s="56">
        <f>작성용!AA899</f>
        <v>202411</v>
      </c>
      <c r="W902" s="58" t="str">
        <f>작성용!AC899</f>
        <v>[6]기타기관펀드(기초자산)</v>
      </c>
      <c r="X902" s="58">
        <f>작성용!O899</f>
        <v>0</v>
      </c>
      <c r="Y902" s="58">
        <f>작성용!P899</f>
        <v>0</v>
      </c>
      <c r="Z902" s="58">
        <f>작성용!Q899</f>
        <v>0</v>
      </c>
      <c r="AA902" s="56" t="str">
        <f>작성용!AJ899</f>
        <v>-</v>
      </c>
      <c r="AB902" s="56">
        <f>작성용!AB899</f>
        <v>0</v>
      </c>
    </row>
    <row r="903" spans="1:28" s="12" customFormat="1" ht="16.5" hidden="1" customHeight="1" x14ac:dyDescent="0.3">
      <c r="A903" s="54">
        <f>작성용!AL900</f>
        <v>899</v>
      </c>
      <c r="B903" s="55" t="str">
        <f>작성용!AI900</f>
        <v>-</v>
      </c>
      <c r="C903" s="56" t="str">
        <f>작성용!AK900</f>
        <v>개별종목</v>
      </c>
      <c r="D903" s="57">
        <f>작성용!T900</f>
        <v>45594</v>
      </c>
      <c r="E903" s="58" t="str">
        <f>작성용!B900</f>
        <v>플랜에이치벤처스</v>
      </c>
      <c r="F903" s="58" t="str">
        <f>작성용!C900</f>
        <v>재평가</v>
      </c>
      <c r="G903" s="58" t="str">
        <f>작성용!D900</f>
        <v>쎄슬프라이머스</v>
      </c>
      <c r="H903" s="59">
        <f>작성용!E900</f>
        <v>1101116162202</v>
      </c>
      <c r="I903" s="58" t="str">
        <f>작성용!F900</f>
        <v>A07</v>
      </c>
      <c r="J903" s="58">
        <f>작성용!G900</f>
        <v>0</v>
      </c>
      <c r="K903" s="58" t="str">
        <f>작성용!H900</f>
        <v>-</v>
      </c>
      <c r="L903" s="58" t="str">
        <f>작성용!N900</f>
        <v xml:space="preserve">연말 </v>
      </c>
      <c r="M903" s="57" t="str">
        <f>작성용!U900</f>
        <v>2024.12.31</v>
      </c>
      <c r="N903" s="57">
        <f>작성용!V900</f>
        <v>45660</v>
      </c>
      <c r="O903" s="57">
        <f>작성용!W900</f>
        <v>45660</v>
      </c>
      <c r="P903" s="57" t="str">
        <f>작성용!X900</f>
        <v>-</v>
      </c>
      <c r="Q903" s="58" t="str">
        <f>작성용!AD900</f>
        <v>강승현</v>
      </c>
      <c r="R903" s="60">
        <f>작성용!AE900</f>
        <v>1</v>
      </c>
      <c r="S903" s="58" t="str">
        <f>작성용!AF900</f>
        <v>강승현</v>
      </c>
      <c r="T903" s="61" t="str">
        <f>작성용!AG900</f>
        <v>이문수</v>
      </c>
      <c r="U903" s="61" t="str">
        <f>작성용!AH900</f>
        <v>이문수</v>
      </c>
      <c r="V903" s="56">
        <f>작성용!AA900</f>
        <v>202412</v>
      </c>
      <c r="W903" s="58" t="str">
        <f>작성용!AC900</f>
        <v>[Y]금융기관</v>
      </c>
      <c r="X903" s="58" t="str">
        <f>작성용!O900</f>
        <v>황인국책임매니저</v>
      </c>
      <c r="Y903" s="58" t="str">
        <f>작성용!P900</f>
        <v>010-9868-1142,02-6177-1514</v>
      </c>
      <c r="Z903" s="58" t="str">
        <f>작성용!Q900</f>
        <v>nate@planhventures.co.kr</v>
      </c>
      <c r="AA903" s="56" t="str">
        <f>작성용!AJ900</f>
        <v>회계반영</v>
      </c>
      <c r="AB903" s="56">
        <f>작성용!AB900</f>
        <v>0</v>
      </c>
    </row>
    <row r="904" spans="1:28" s="12" customFormat="1" ht="16.5" hidden="1" customHeight="1" x14ac:dyDescent="0.3">
      <c r="A904" s="54">
        <f>작성용!AL901</f>
        <v>900</v>
      </c>
      <c r="B904" s="55" t="str">
        <f>작성용!AI901</f>
        <v>-</v>
      </c>
      <c r="C904" s="56" t="str">
        <f>작성용!AK901</f>
        <v>개별종목</v>
      </c>
      <c r="D904" s="57">
        <f>작성용!T901</f>
        <v>45594</v>
      </c>
      <c r="E904" s="58" t="str">
        <f>작성용!B901</f>
        <v>플랜에이치벤처스</v>
      </c>
      <c r="F904" s="58" t="str">
        <f>작성용!C901</f>
        <v>재평가</v>
      </c>
      <c r="G904" s="58" t="str">
        <f>작성용!D901</f>
        <v>텐일레븐</v>
      </c>
      <c r="H904" s="59">
        <f>작성용!E901</f>
        <v>1101115362267</v>
      </c>
      <c r="I904" s="58" t="str">
        <f>작성용!F901</f>
        <v>A07</v>
      </c>
      <c r="J904" s="58">
        <f>작성용!G901</f>
        <v>0</v>
      </c>
      <c r="K904" s="58" t="str">
        <f>작성용!H901</f>
        <v>-</v>
      </c>
      <c r="L904" s="58" t="str">
        <f>작성용!N901</f>
        <v xml:space="preserve">연말 </v>
      </c>
      <c r="M904" s="57" t="str">
        <f>작성용!U901</f>
        <v>2024.12.31</v>
      </c>
      <c r="N904" s="57">
        <f>작성용!V901</f>
        <v>45660</v>
      </c>
      <c r="O904" s="57">
        <f>작성용!W901</f>
        <v>45660</v>
      </c>
      <c r="P904" s="57" t="str">
        <f>작성용!X901</f>
        <v>-</v>
      </c>
      <c r="Q904" s="58" t="str">
        <f>작성용!AD901</f>
        <v>조현우</v>
      </c>
      <c r="R904" s="60">
        <f>작성용!AE901</f>
        <v>1</v>
      </c>
      <c r="S904" s="58" t="str">
        <f>작성용!AF901</f>
        <v>조현우</v>
      </c>
      <c r="T904" s="61" t="str">
        <f>작성용!AG901</f>
        <v>이문수</v>
      </c>
      <c r="U904" s="61" t="str">
        <f>작성용!AH901</f>
        <v>이문수</v>
      </c>
      <c r="V904" s="56">
        <f>작성용!AA901</f>
        <v>202412</v>
      </c>
      <c r="W904" s="58" t="str">
        <f>작성용!AC901</f>
        <v>[Y]금융기관</v>
      </c>
      <c r="X904" s="58" t="str">
        <f>작성용!O901</f>
        <v>황인국책임매니저</v>
      </c>
      <c r="Y904" s="58" t="str">
        <f>작성용!P901</f>
        <v>010-9868-1142,02-6177-1514</v>
      </c>
      <c r="Z904" s="58" t="str">
        <f>작성용!Q901</f>
        <v>nate@planhventures.co.kr</v>
      </c>
      <c r="AA904" s="56" t="str">
        <f>작성용!AJ901</f>
        <v>회계반영</v>
      </c>
      <c r="AB904" s="56">
        <f>작성용!AB901</f>
        <v>0</v>
      </c>
    </row>
    <row r="905" spans="1:28" s="12" customFormat="1" ht="16.5" hidden="1" customHeight="1" x14ac:dyDescent="0.3">
      <c r="A905" s="54">
        <f>작성용!AL902</f>
        <v>901</v>
      </c>
      <c r="B905" s="55" t="str">
        <f>작성용!AI902</f>
        <v>-</v>
      </c>
      <c r="C905" s="56" t="str">
        <f>작성용!AK902</f>
        <v>개별종목</v>
      </c>
      <c r="D905" s="57">
        <f>작성용!T902</f>
        <v>45594</v>
      </c>
      <c r="E905" s="58" t="str">
        <f>작성용!B902</f>
        <v>플랜에이치벤처스</v>
      </c>
      <c r="F905" s="58" t="str">
        <f>작성용!C902</f>
        <v>재평가</v>
      </c>
      <c r="G905" s="58" t="str">
        <f>작성용!D902</f>
        <v>씨브이티</v>
      </c>
      <c r="H905" s="59">
        <f>작성용!E902</f>
        <v>1101115780625</v>
      </c>
      <c r="I905" s="58" t="str">
        <f>작성용!F902</f>
        <v>A07</v>
      </c>
      <c r="J905" s="58">
        <f>작성용!G902</f>
        <v>0</v>
      </c>
      <c r="K905" s="58" t="str">
        <f>작성용!H902</f>
        <v>-</v>
      </c>
      <c r="L905" s="58" t="str">
        <f>작성용!N902</f>
        <v xml:space="preserve">연말 </v>
      </c>
      <c r="M905" s="57" t="str">
        <f>작성용!U902</f>
        <v>2024.12.31</v>
      </c>
      <c r="N905" s="57">
        <f>작성용!V902</f>
        <v>45660</v>
      </c>
      <c r="O905" s="57">
        <f>작성용!W902</f>
        <v>45660</v>
      </c>
      <c r="P905" s="57" t="str">
        <f>작성용!X902</f>
        <v>-</v>
      </c>
      <c r="Q905" s="58" t="str">
        <f>작성용!AD902</f>
        <v>이문수</v>
      </c>
      <c r="R905" s="60">
        <f>작성용!AE902</f>
        <v>1</v>
      </c>
      <c r="S905" s="58" t="str">
        <f>작성용!AF902</f>
        <v>이문수</v>
      </c>
      <c r="T905" s="61" t="str">
        <f>작성용!AG902</f>
        <v>이문수</v>
      </c>
      <c r="U905" s="61" t="str">
        <f>작성용!AH902</f>
        <v>이문수</v>
      </c>
      <c r="V905" s="56">
        <f>작성용!AA902</f>
        <v>202412</v>
      </c>
      <c r="W905" s="58" t="str">
        <f>작성용!AC902</f>
        <v>[Y]금융기관</v>
      </c>
      <c r="X905" s="58" t="str">
        <f>작성용!O902</f>
        <v>황인국책임매니저</v>
      </c>
      <c r="Y905" s="58" t="str">
        <f>작성용!P902</f>
        <v>010-9868-1142,02-6177-1514</v>
      </c>
      <c r="Z905" s="58" t="str">
        <f>작성용!Q902</f>
        <v>nate@planhventures.co.kr</v>
      </c>
      <c r="AA905" s="56" t="str">
        <f>작성용!AJ902</f>
        <v>회계반영</v>
      </c>
      <c r="AB905" s="56">
        <f>작성용!AB902</f>
        <v>0</v>
      </c>
    </row>
    <row r="906" spans="1:28" s="12" customFormat="1" ht="16.5" hidden="1" customHeight="1" x14ac:dyDescent="0.3">
      <c r="A906" s="54">
        <f>작성용!AL903</f>
        <v>902</v>
      </c>
      <c r="B906" s="55" t="str">
        <f>작성용!AI903</f>
        <v>-</v>
      </c>
      <c r="C906" s="56" t="str">
        <f>작성용!AK903</f>
        <v>개별종목</v>
      </c>
      <c r="D906" s="57">
        <f>작성용!T903</f>
        <v>45594</v>
      </c>
      <c r="E906" s="58" t="str">
        <f>작성용!B903</f>
        <v>플랜에이치벤처스</v>
      </c>
      <c r="F906" s="58" t="str">
        <f>작성용!C903</f>
        <v>재평가</v>
      </c>
      <c r="G906" s="58" t="str">
        <f>작성용!D903</f>
        <v>지인플러스</v>
      </c>
      <c r="H906" s="59">
        <f>작성용!E903</f>
        <v>1801111095537</v>
      </c>
      <c r="I906" s="58" t="str">
        <f>작성용!F903</f>
        <v>A07</v>
      </c>
      <c r="J906" s="58">
        <f>작성용!G903</f>
        <v>0</v>
      </c>
      <c r="K906" s="58" t="str">
        <f>작성용!H903</f>
        <v>-</v>
      </c>
      <c r="L906" s="58" t="str">
        <f>작성용!N903</f>
        <v xml:space="preserve">연말 </v>
      </c>
      <c r="M906" s="57" t="str">
        <f>작성용!U903</f>
        <v>2024.12.31</v>
      </c>
      <c r="N906" s="57">
        <f>작성용!V903</f>
        <v>45660</v>
      </c>
      <c r="O906" s="57">
        <f>작성용!W903</f>
        <v>45660</v>
      </c>
      <c r="P906" s="57" t="str">
        <f>작성용!X903</f>
        <v>-</v>
      </c>
      <c r="Q906" s="58" t="str">
        <f>작성용!AD903</f>
        <v>변혜진</v>
      </c>
      <c r="R906" s="60">
        <f>작성용!AE903</f>
        <v>1</v>
      </c>
      <c r="S906" s="58" t="str">
        <f>작성용!AF903</f>
        <v>변혜진</v>
      </c>
      <c r="T906" s="61" t="str">
        <f>작성용!AG903</f>
        <v>이문수</v>
      </c>
      <c r="U906" s="61" t="str">
        <f>작성용!AH903</f>
        <v>이문수</v>
      </c>
      <c r="V906" s="56">
        <f>작성용!AA903</f>
        <v>202412</v>
      </c>
      <c r="W906" s="58" t="str">
        <f>작성용!AC903</f>
        <v>[Y]금융기관</v>
      </c>
      <c r="X906" s="58" t="str">
        <f>작성용!O903</f>
        <v>황인국책임매니저</v>
      </c>
      <c r="Y906" s="58" t="str">
        <f>작성용!P903</f>
        <v>010-9868-1142,02-6177-1514</v>
      </c>
      <c r="Z906" s="58" t="str">
        <f>작성용!Q903</f>
        <v>nate@planhventures.co.kr</v>
      </c>
      <c r="AA906" s="56" t="str">
        <f>작성용!AJ903</f>
        <v>회계반영</v>
      </c>
      <c r="AB906" s="56">
        <f>작성용!AB903</f>
        <v>0</v>
      </c>
    </row>
    <row r="907" spans="1:28" s="12" customFormat="1" ht="16.5" hidden="1" customHeight="1" x14ac:dyDescent="0.3">
      <c r="A907" s="54">
        <f>작성용!AL904</f>
        <v>903</v>
      </c>
      <c r="B907" s="55" t="str">
        <f>작성용!AI904</f>
        <v>-</v>
      </c>
      <c r="C907" s="56" t="str">
        <f>작성용!AK904</f>
        <v>개별종목</v>
      </c>
      <c r="D907" s="57">
        <f>작성용!T904</f>
        <v>45594</v>
      </c>
      <c r="E907" s="58" t="str">
        <f>작성용!B904</f>
        <v>플랜에이치벤처스</v>
      </c>
      <c r="F907" s="58" t="str">
        <f>작성용!C904</f>
        <v>재평가</v>
      </c>
      <c r="G907" s="58" t="str">
        <f>작성용!D904</f>
        <v>소프트런치</v>
      </c>
      <c r="H907" s="59">
        <f>작성용!E904</f>
        <v>1101116581915</v>
      </c>
      <c r="I907" s="58" t="str">
        <f>작성용!F904</f>
        <v>A07</v>
      </c>
      <c r="J907" s="58">
        <f>작성용!G904</f>
        <v>0</v>
      </c>
      <c r="K907" s="58" t="str">
        <f>작성용!H904</f>
        <v>-</v>
      </c>
      <c r="L907" s="58" t="str">
        <f>작성용!N904</f>
        <v xml:space="preserve">연말 </v>
      </c>
      <c r="M907" s="57" t="str">
        <f>작성용!U904</f>
        <v>2024.12.31</v>
      </c>
      <c r="N907" s="57">
        <f>작성용!V904</f>
        <v>45660</v>
      </c>
      <c r="O907" s="57">
        <f>작성용!W904</f>
        <v>45660</v>
      </c>
      <c r="P907" s="57" t="str">
        <f>작성용!X904</f>
        <v>-</v>
      </c>
      <c r="Q907" s="58" t="str">
        <f>작성용!AD904</f>
        <v>김수현</v>
      </c>
      <c r="R907" s="60">
        <f>작성용!AE904</f>
        <v>1</v>
      </c>
      <c r="S907" s="58" t="str">
        <f>작성용!AF904</f>
        <v>김수현</v>
      </c>
      <c r="T907" s="61" t="str">
        <f>작성용!AG904</f>
        <v>이문수</v>
      </c>
      <c r="U907" s="61" t="str">
        <f>작성용!AH904</f>
        <v>이문수</v>
      </c>
      <c r="V907" s="56">
        <f>작성용!AA904</f>
        <v>202412</v>
      </c>
      <c r="W907" s="58" t="str">
        <f>작성용!AC904</f>
        <v>[Y]금융기관</v>
      </c>
      <c r="X907" s="58" t="str">
        <f>작성용!O904</f>
        <v>황인국책임매니저</v>
      </c>
      <c r="Y907" s="58" t="str">
        <f>작성용!P904</f>
        <v>010-9868-1142,02-6177-1514</v>
      </c>
      <c r="Z907" s="58" t="str">
        <f>작성용!Q904</f>
        <v>nate@planhventures.co.kr</v>
      </c>
      <c r="AA907" s="56" t="str">
        <f>작성용!AJ904</f>
        <v>회계반영</v>
      </c>
      <c r="AB907" s="56">
        <f>작성용!AB904</f>
        <v>0</v>
      </c>
    </row>
    <row r="908" spans="1:28" s="12" customFormat="1" ht="16.5" hidden="1" customHeight="1" x14ac:dyDescent="0.3">
      <c r="A908" s="54">
        <f>작성용!AL905</f>
        <v>904</v>
      </c>
      <c r="B908" s="55" t="str">
        <f>작성용!AI905</f>
        <v>-</v>
      </c>
      <c r="C908" s="56" t="str">
        <f>작성용!AK905</f>
        <v>개별종목</v>
      </c>
      <c r="D908" s="57">
        <f>작성용!T905</f>
        <v>45594</v>
      </c>
      <c r="E908" s="58" t="str">
        <f>작성용!B905</f>
        <v>플랜에이치벤처스</v>
      </c>
      <c r="F908" s="58" t="str">
        <f>작성용!C905</f>
        <v>재평가</v>
      </c>
      <c r="G908" s="58" t="str">
        <f>작성용!D905</f>
        <v>제너레잇</v>
      </c>
      <c r="H908" s="59">
        <f>작성용!E905</f>
        <v>1101117501508</v>
      </c>
      <c r="I908" s="58" t="str">
        <f>작성용!F905</f>
        <v>A01</v>
      </c>
      <c r="J908" s="58">
        <f>작성용!G905</f>
        <v>0</v>
      </c>
      <c r="K908" s="58" t="str">
        <f>작성용!H905</f>
        <v>-</v>
      </c>
      <c r="L908" s="58" t="str">
        <f>작성용!N905</f>
        <v xml:space="preserve">연말 </v>
      </c>
      <c r="M908" s="57" t="str">
        <f>작성용!U905</f>
        <v>2024.12.31</v>
      </c>
      <c r="N908" s="57">
        <f>작성용!V905</f>
        <v>45660</v>
      </c>
      <c r="O908" s="57">
        <f>작성용!W905</f>
        <v>45660</v>
      </c>
      <c r="P908" s="57" t="str">
        <f>작성용!X905</f>
        <v>-</v>
      </c>
      <c r="Q908" s="58" t="str">
        <f>작성용!AD905</f>
        <v>김수현</v>
      </c>
      <c r="R908" s="60">
        <f>작성용!AE905</f>
        <v>1</v>
      </c>
      <c r="S908" s="58" t="str">
        <f>작성용!AF905</f>
        <v>김수현</v>
      </c>
      <c r="T908" s="61" t="str">
        <f>작성용!AG905</f>
        <v>이문수</v>
      </c>
      <c r="U908" s="61" t="str">
        <f>작성용!AH905</f>
        <v>이문수</v>
      </c>
      <c r="V908" s="56">
        <f>작성용!AA905</f>
        <v>202412</v>
      </c>
      <c r="W908" s="58" t="str">
        <f>작성용!AC905</f>
        <v>[Y]금융기관</v>
      </c>
      <c r="X908" s="58" t="str">
        <f>작성용!O905</f>
        <v>황인국책임매니저</v>
      </c>
      <c r="Y908" s="58" t="str">
        <f>작성용!P905</f>
        <v>010-9868-1142,02-6177-1514</v>
      </c>
      <c r="Z908" s="58" t="str">
        <f>작성용!Q905</f>
        <v>nate@planhventures.co.kr</v>
      </c>
      <c r="AA908" s="56" t="str">
        <f>작성용!AJ905</f>
        <v>회계반영</v>
      </c>
      <c r="AB908" s="56">
        <f>작성용!AB905</f>
        <v>0</v>
      </c>
    </row>
    <row r="909" spans="1:28" s="12" customFormat="1" ht="16.5" hidden="1" customHeight="1" x14ac:dyDescent="0.3">
      <c r="A909" s="54">
        <f>작성용!AL906</f>
        <v>905</v>
      </c>
      <c r="B909" s="55" t="str">
        <f>작성용!AI906</f>
        <v>-</v>
      </c>
      <c r="C909" s="56" t="str">
        <f>작성용!AK906</f>
        <v>개별종목</v>
      </c>
      <c r="D909" s="57">
        <f>작성용!T906</f>
        <v>45594</v>
      </c>
      <c r="E909" s="58" t="str">
        <f>작성용!B906</f>
        <v>플랜에이치벤처스</v>
      </c>
      <c r="F909" s="58" t="str">
        <f>작성용!C906</f>
        <v>재평가</v>
      </c>
      <c r="G909" s="58" t="str">
        <f>작성용!D906</f>
        <v>에이디</v>
      </c>
      <c r="H909" s="59">
        <f>작성용!E906</f>
        <v>1801111163459</v>
      </c>
      <c r="I909" s="58" t="str">
        <f>작성용!F906</f>
        <v>A07</v>
      </c>
      <c r="J909" s="58">
        <f>작성용!G906</f>
        <v>0</v>
      </c>
      <c r="K909" s="58" t="str">
        <f>작성용!H906</f>
        <v>-</v>
      </c>
      <c r="L909" s="58" t="str">
        <f>작성용!N906</f>
        <v xml:space="preserve">연말 </v>
      </c>
      <c r="M909" s="57" t="str">
        <f>작성용!U906</f>
        <v>2024.12.31</v>
      </c>
      <c r="N909" s="57">
        <f>작성용!V906</f>
        <v>45660</v>
      </c>
      <c r="O909" s="57">
        <f>작성용!W906</f>
        <v>45660</v>
      </c>
      <c r="P909" s="57" t="str">
        <f>작성용!X906</f>
        <v>-</v>
      </c>
      <c r="Q909" s="58" t="str">
        <f>작성용!AD906</f>
        <v>신원준</v>
      </c>
      <c r="R909" s="60">
        <f>작성용!AE906</f>
        <v>1</v>
      </c>
      <c r="S909" s="58" t="str">
        <f>작성용!AF906</f>
        <v>고명주</v>
      </c>
      <c r="T909" s="61" t="str">
        <f>작성용!AG906</f>
        <v>이문수</v>
      </c>
      <c r="U909" s="61" t="str">
        <f>작성용!AH906</f>
        <v>이문수</v>
      </c>
      <c r="V909" s="56">
        <f>작성용!AA906</f>
        <v>202412</v>
      </c>
      <c r="W909" s="58" t="str">
        <f>작성용!AC906</f>
        <v>[Y]금융기관</v>
      </c>
      <c r="X909" s="58" t="str">
        <f>작성용!O906</f>
        <v>황인국책임매니저</v>
      </c>
      <c r="Y909" s="58" t="str">
        <f>작성용!P906</f>
        <v>010-9868-1142,02-6177-1514</v>
      </c>
      <c r="Z909" s="58" t="str">
        <f>작성용!Q906</f>
        <v>nate@planhventures.co.kr</v>
      </c>
      <c r="AA909" s="56" t="str">
        <f>작성용!AJ906</f>
        <v>회계반영</v>
      </c>
      <c r="AB909" s="56">
        <f>작성용!AB906</f>
        <v>0</v>
      </c>
    </row>
    <row r="910" spans="1:28" s="12" customFormat="1" ht="16.5" hidden="1" customHeight="1" x14ac:dyDescent="0.3">
      <c r="A910" s="54">
        <f>작성용!AL907</f>
        <v>906</v>
      </c>
      <c r="B910" s="55" t="str">
        <f>작성용!AI907</f>
        <v>-</v>
      </c>
      <c r="C910" s="56" t="str">
        <f>작성용!AK907</f>
        <v>개별종목</v>
      </c>
      <c r="D910" s="57">
        <f>작성용!T907</f>
        <v>45594</v>
      </c>
      <c r="E910" s="58" t="str">
        <f>작성용!B907</f>
        <v>플랜에이치벤처스</v>
      </c>
      <c r="F910" s="58" t="str">
        <f>작성용!C907</f>
        <v>재평가</v>
      </c>
      <c r="G910" s="58" t="str">
        <f>작성용!D907</f>
        <v>에이올코리아</v>
      </c>
      <c r="H910" s="59">
        <f>작성용!E907</f>
        <v>2841110186126</v>
      </c>
      <c r="I910" s="58" t="str">
        <f>작성용!F907</f>
        <v>A07</v>
      </c>
      <c r="J910" s="58">
        <f>작성용!G907</f>
        <v>2</v>
      </c>
      <c r="K910" s="58" t="str">
        <f>작성용!H907</f>
        <v>-</v>
      </c>
      <c r="L910" s="58" t="str">
        <f>작성용!N907</f>
        <v xml:space="preserve">연말 </v>
      </c>
      <c r="M910" s="57" t="str">
        <f>작성용!U907</f>
        <v>2024.12.31</v>
      </c>
      <c r="N910" s="57">
        <f>작성용!V907</f>
        <v>45660</v>
      </c>
      <c r="O910" s="57">
        <f>작성용!W907</f>
        <v>45660</v>
      </c>
      <c r="P910" s="57" t="str">
        <f>작성용!X907</f>
        <v>-</v>
      </c>
      <c r="Q910" s="58" t="str">
        <f>작성용!AD907</f>
        <v>최수민</v>
      </c>
      <c r="R910" s="60">
        <f>작성용!AE907</f>
        <v>1</v>
      </c>
      <c r="S910" s="58" t="str">
        <f>작성용!AF907</f>
        <v>김범준</v>
      </c>
      <c r="T910" s="61" t="str">
        <f>작성용!AG907</f>
        <v>이문수</v>
      </c>
      <c r="U910" s="61" t="str">
        <f>작성용!AH907</f>
        <v>이문수</v>
      </c>
      <c r="V910" s="56">
        <f>작성용!AA907</f>
        <v>202412</v>
      </c>
      <c r="W910" s="58" t="str">
        <f>작성용!AC907</f>
        <v>[Y]금융기관</v>
      </c>
      <c r="X910" s="58" t="str">
        <f>작성용!O907</f>
        <v>황인국책임매니저</v>
      </c>
      <c r="Y910" s="58" t="str">
        <f>작성용!P907</f>
        <v>010-9868-1142,02-6177-1514</v>
      </c>
      <c r="Z910" s="58" t="str">
        <f>작성용!Q907</f>
        <v>nate@planhventures.co.kr</v>
      </c>
      <c r="AA910" s="56" t="str">
        <f>작성용!AJ907</f>
        <v>회계반영</v>
      </c>
      <c r="AB910" s="56">
        <f>작성용!AB907</f>
        <v>0</v>
      </c>
    </row>
    <row r="911" spans="1:28" s="12" customFormat="1" ht="16.5" hidden="1" customHeight="1" x14ac:dyDescent="0.3">
      <c r="A911" s="54">
        <f>작성용!AL908</f>
        <v>907</v>
      </c>
      <c r="B911" s="55" t="str">
        <f>작성용!AI908</f>
        <v>-</v>
      </c>
      <c r="C911" s="56" t="str">
        <f>작성용!AK908</f>
        <v>개별종목</v>
      </c>
      <c r="D911" s="57">
        <f>작성용!T908</f>
        <v>45594</v>
      </c>
      <c r="E911" s="58" t="str">
        <f>작성용!B908</f>
        <v>플랜에이치벤처스</v>
      </c>
      <c r="F911" s="58" t="str">
        <f>작성용!C908</f>
        <v>재평가</v>
      </c>
      <c r="G911" s="58" t="str">
        <f>작성용!D908</f>
        <v>비바이노베이션</v>
      </c>
      <c r="H911" s="59">
        <f>작성용!E908</f>
        <v>1101116613726</v>
      </c>
      <c r="I911" s="58" t="str">
        <f>작성용!F908</f>
        <v>A07</v>
      </c>
      <c r="J911" s="58">
        <f>작성용!G908</f>
        <v>0</v>
      </c>
      <c r="K911" s="58" t="str">
        <f>작성용!H908</f>
        <v>-</v>
      </c>
      <c r="L911" s="58" t="str">
        <f>작성용!N908</f>
        <v xml:space="preserve">연말 </v>
      </c>
      <c r="M911" s="57" t="str">
        <f>작성용!U908</f>
        <v>2024.12.31</v>
      </c>
      <c r="N911" s="57">
        <f>작성용!V908</f>
        <v>45660</v>
      </c>
      <c r="O911" s="57">
        <f>작성용!W908</f>
        <v>45660</v>
      </c>
      <c r="P911" s="57" t="str">
        <f>작성용!X908</f>
        <v>-</v>
      </c>
      <c r="Q911" s="58" t="str">
        <f>작성용!AD908</f>
        <v>이문수</v>
      </c>
      <c r="R911" s="60">
        <f>작성용!AE908</f>
        <v>1</v>
      </c>
      <c r="S911" s="58" t="str">
        <f>작성용!AF908</f>
        <v>이문수</v>
      </c>
      <c r="T911" s="61" t="str">
        <f>작성용!AG908</f>
        <v>이문수</v>
      </c>
      <c r="U911" s="61" t="str">
        <f>작성용!AH908</f>
        <v>이문수</v>
      </c>
      <c r="V911" s="56">
        <f>작성용!AA908</f>
        <v>202412</v>
      </c>
      <c r="W911" s="58" t="str">
        <f>작성용!AC908</f>
        <v>[Y]금융기관</v>
      </c>
      <c r="X911" s="58" t="str">
        <f>작성용!O908</f>
        <v>황인국책임매니저</v>
      </c>
      <c r="Y911" s="58" t="str">
        <f>작성용!P908</f>
        <v>010-9868-1142,02-6177-1514</v>
      </c>
      <c r="Z911" s="58" t="str">
        <f>작성용!Q908</f>
        <v>nate@planhventures.co.kr</v>
      </c>
      <c r="AA911" s="56" t="str">
        <f>작성용!AJ908</f>
        <v>회계반영</v>
      </c>
      <c r="AB911" s="56">
        <f>작성용!AB908</f>
        <v>0</v>
      </c>
    </row>
    <row r="912" spans="1:28" s="12" customFormat="1" ht="16.5" hidden="1" customHeight="1" x14ac:dyDescent="0.3">
      <c r="A912" s="54">
        <f>작성용!AL909</f>
        <v>908</v>
      </c>
      <c r="B912" s="55" t="str">
        <f>작성용!AI909</f>
        <v>체크리스트 송부 : 2024-06-12, 보고서 연말 제공</v>
      </c>
      <c r="C912" s="56" t="str">
        <f>작성용!AK909</f>
        <v>개별종목</v>
      </c>
      <c r="D912" s="57">
        <f>작성용!T909</f>
        <v>45594</v>
      </c>
      <c r="E912" s="58" t="str">
        <f>작성용!B909</f>
        <v>무림캐피탈</v>
      </c>
      <c r="F912" s="58" t="str">
        <f>작성용!C909</f>
        <v>재평가</v>
      </c>
      <c r="G912" s="58" t="str">
        <f>작성용!D909</f>
        <v>카무르제이호사모투자전문회사</v>
      </c>
      <c r="H912" s="59">
        <f>작성용!E909</f>
        <v>1101130018811</v>
      </c>
      <c r="I912" s="58" t="str">
        <f>작성용!F909</f>
        <v>B01</v>
      </c>
      <c r="J912" s="58">
        <f>작성용!G909</f>
        <v>0</v>
      </c>
      <c r="K912" s="58" t="str">
        <f>작성용!H909</f>
        <v>-</v>
      </c>
      <c r="L912" s="58" t="str">
        <f>작성용!N909</f>
        <v xml:space="preserve">반기 </v>
      </c>
      <c r="M912" s="57" t="str">
        <f>작성용!U909</f>
        <v>2024.11.30</v>
      </c>
      <c r="N912" s="57">
        <f>작성용!V909</f>
        <v>45632</v>
      </c>
      <c r="O912" s="57">
        <f>작성용!W909</f>
        <v>45639</v>
      </c>
      <c r="P912" s="57" t="str">
        <f>작성용!X909</f>
        <v>-</v>
      </c>
      <c r="Q912" s="58" t="str">
        <f>작성용!AD909</f>
        <v>정은채</v>
      </c>
      <c r="R912" s="60">
        <f>작성용!AE909</f>
        <v>1</v>
      </c>
      <c r="S912" s="58" t="str">
        <f>작성용!AF909</f>
        <v>정은채</v>
      </c>
      <c r="T912" s="61" t="str">
        <f>작성용!AG909</f>
        <v>조현우</v>
      </c>
      <c r="U912" s="61" t="str">
        <f>작성용!AH909</f>
        <v>조현우</v>
      </c>
      <c r="V912" s="56">
        <f>작성용!AA909</f>
        <v>202411</v>
      </c>
      <c r="W912" s="58" t="str">
        <f>작성용!AC909</f>
        <v>[Y]금융기관</v>
      </c>
      <c r="X912" s="58" t="str">
        <f>작성용!O909</f>
        <v xml:space="preserve">이용석팀장,황혜진주임 </v>
      </c>
      <c r="Y912" s="58" t="str">
        <f>작성용!P909</f>
        <v xml:space="preserve">02-3709-8860,010-5155-7551,02-3709-8811,010-5260-2103 </v>
      </c>
      <c r="Z912" s="58" t="str">
        <f>작성용!Q909</f>
        <v xml:space="preserve">leeys@moorimcapital.co.kr; hyejin.h@moorimcapital.co.kr </v>
      </c>
      <c r="AA912" s="56" t="str">
        <f>작성용!AJ909</f>
        <v>-</v>
      </c>
      <c r="AB912" s="56">
        <f>작성용!AB909</f>
        <v>0</v>
      </c>
    </row>
    <row r="913" spans="1:28" s="12" customFormat="1" ht="16.5" hidden="1" customHeight="1" x14ac:dyDescent="0.3">
      <c r="A913" s="54">
        <f>작성용!AL910</f>
        <v>909</v>
      </c>
      <c r="B913" s="55" t="str">
        <f>작성용!AI910</f>
        <v>체크리스트 송부 : 2024-06-12, 보고서 연말 제공</v>
      </c>
      <c r="C913" s="56" t="str">
        <f>작성용!AK910</f>
        <v>개별종목</v>
      </c>
      <c r="D913" s="57">
        <f>작성용!T910</f>
        <v>45594</v>
      </c>
      <c r="E913" s="58" t="str">
        <f>작성용!B910</f>
        <v>무림캐피탈</v>
      </c>
      <c r="F913" s="58" t="str">
        <f>작성용!C910</f>
        <v>재평가</v>
      </c>
      <c r="G913" s="58" t="str">
        <f>작성용!D910</f>
        <v>에이치알파사모투자전문회사(구,메디치2015의1사모투자전문회사)</v>
      </c>
      <c r="H913" s="59">
        <f>작성용!E910</f>
        <v>1311130025316</v>
      </c>
      <c r="I913" s="58" t="str">
        <f>작성용!F910</f>
        <v>B01</v>
      </c>
      <c r="J913" s="58">
        <f>작성용!G910</f>
        <v>0</v>
      </c>
      <c r="K913" s="58" t="str">
        <f>작성용!H910</f>
        <v>-</v>
      </c>
      <c r="L913" s="58" t="str">
        <f>작성용!N910</f>
        <v xml:space="preserve">반기 </v>
      </c>
      <c r="M913" s="57" t="str">
        <f>작성용!U910</f>
        <v>2024.11.30</v>
      </c>
      <c r="N913" s="57">
        <f>작성용!V910</f>
        <v>45632</v>
      </c>
      <c r="O913" s="57">
        <f>작성용!W910</f>
        <v>45639</v>
      </c>
      <c r="P913" s="57" t="str">
        <f>작성용!X910</f>
        <v>-</v>
      </c>
      <c r="Q913" s="58" t="str">
        <f>작성용!AD910</f>
        <v>강승현</v>
      </c>
      <c r="R913" s="60">
        <f>작성용!AE910</f>
        <v>1</v>
      </c>
      <c r="S913" s="58" t="str">
        <f>작성용!AF910</f>
        <v>강승현</v>
      </c>
      <c r="T913" s="61" t="str">
        <f>작성용!AG910</f>
        <v>조현우</v>
      </c>
      <c r="U913" s="61" t="str">
        <f>작성용!AH910</f>
        <v>조현우</v>
      </c>
      <c r="V913" s="56">
        <f>작성용!AA910</f>
        <v>202411</v>
      </c>
      <c r="W913" s="58" t="str">
        <f>작성용!AC910</f>
        <v>[Y]금융기관</v>
      </c>
      <c r="X913" s="58" t="str">
        <f>작성용!O910</f>
        <v xml:space="preserve">이용석팀장,황혜진주임 </v>
      </c>
      <c r="Y913" s="58" t="str">
        <f>작성용!P910</f>
        <v xml:space="preserve">02-3709-8860,010-5155-7551,02-3709-8811,010-5260-2103 </v>
      </c>
      <c r="Z913" s="58" t="str">
        <f>작성용!Q910</f>
        <v xml:space="preserve">leeys@moorimcapital.co.kr; hyejin.h@moorimcapital.co.kr </v>
      </c>
      <c r="AA913" s="56" t="str">
        <f>작성용!AJ910</f>
        <v>-</v>
      </c>
      <c r="AB913" s="56">
        <f>작성용!AB910</f>
        <v>0</v>
      </c>
    </row>
    <row r="914" spans="1:28" s="12" customFormat="1" ht="16.5" hidden="1" customHeight="1" x14ac:dyDescent="0.3">
      <c r="A914" s="54">
        <f>작성용!AL911</f>
        <v>910</v>
      </c>
      <c r="B914" s="55" t="str">
        <f>작성용!AI911</f>
        <v>체크리스트 송부 : 2024-06-12, 보고서 연말 제공</v>
      </c>
      <c r="C914" s="56" t="str">
        <f>작성용!AK911</f>
        <v>개별종목</v>
      </c>
      <c r="D914" s="57">
        <f>작성용!T911</f>
        <v>45594</v>
      </c>
      <c r="E914" s="58" t="str">
        <f>작성용!B911</f>
        <v>무림캐피탈</v>
      </c>
      <c r="F914" s="58" t="str">
        <f>작성용!C911</f>
        <v>재평가</v>
      </c>
      <c r="G914" s="58" t="str">
        <f>작성용!D911</f>
        <v>아레스사모투자</v>
      </c>
      <c r="H914" s="59">
        <f>작성용!E911</f>
        <v>1101130019968</v>
      </c>
      <c r="I914" s="58" t="str">
        <f>작성용!F911</f>
        <v>B01</v>
      </c>
      <c r="J914" s="58">
        <f>작성용!G911</f>
        <v>0</v>
      </c>
      <c r="K914" s="58" t="str">
        <f>작성용!H911</f>
        <v>-</v>
      </c>
      <c r="L914" s="58" t="str">
        <f>작성용!N911</f>
        <v xml:space="preserve">반기 </v>
      </c>
      <c r="M914" s="57" t="str">
        <f>작성용!U911</f>
        <v>2024.11.30</v>
      </c>
      <c r="N914" s="57">
        <f>작성용!V911</f>
        <v>45632</v>
      </c>
      <c r="O914" s="57">
        <f>작성용!W911</f>
        <v>45639</v>
      </c>
      <c r="P914" s="57" t="str">
        <f>작성용!X911</f>
        <v>-</v>
      </c>
      <c r="Q914" s="58" t="str">
        <f>작성용!AD911</f>
        <v>강성은</v>
      </c>
      <c r="R914" s="60">
        <f>작성용!AE911</f>
        <v>1</v>
      </c>
      <c r="S914" s="58" t="str">
        <f>작성용!AF911</f>
        <v>강성은</v>
      </c>
      <c r="T914" s="61" t="str">
        <f>작성용!AG911</f>
        <v>조현우</v>
      </c>
      <c r="U914" s="61" t="str">
        <f>작성용!AH911</f>
        <v>조현우</v>
      </c>
      <c r="V914" s="56">
        <f>작성용!AA911</f>
        <v>202411</v>
      </c>
      <c r="W914" s="58" t="str">
        <f>작성용!AC911</f>
        <v>[Y]금융기관</v>
      </c>
      <c r="X914" s="58" t="str">
        <f>작성용!O911</f>
        <v xml:space="preserve">이용석팀장,황혜진주임 </v>
      </c>
      <c r="Y914" s="58" t="str">
        <f>작성용!P911</f>
        <v xml:space="preserve">02-3709-8860,010-5155-7551,02-3709-8811,010-5260-2103 </v>
      </c>
      <c r="Z914" s="58" t="str">
        <f>작성용!Q911</f>
        <v xml:space="preserve">leeys@moorimcapital.co.kr; hyejin.h@moorimcapital.co.kr </v>
      </c>
      <c r="AA914" s="56" t="str">
        <f>작성용!AJ911</f>
        <v>-</v>
      </c>
      <c r="AB914" s="56">
        <f>작성용!AB911</f>
        <v>0</v>
      </c>
    </row>
    <row r="915" spans="1:28" s="12" customFormat="1" ht="16.5" hidden="1" customHeight="1" x14ac:dyDescent="0.3">
      <c r="A915" s="54">
        <f>작성용!AL912</f>
        <v>911</v>
      </c>
      <c r="B915" s="55" t="str">
        <f>작성용!AI912</f>
        <v>체크리스트 송부 : 2024-06-12, 보고서 연말 제공</v>
      </c>
      <c r="C915" s="56" t="str">
        <f>작성용!AK912</f>
        <v>개별종목</v>
      </c>
      <c r="D915" s="57">
        <f>작성용!T912</f>
        <v>45594</v>
      </c>
      <c r="E915" s="58" t="str">
        <f>작성용!B912</f>
        <v>무림캐피탈</v>
      </c>
      <c r="F915" s="58" t="str">
        <f>작성용!C912</f>
        <v>재평가</v>
      </c>
      <c r="G915" s="58" t="str">
        <f>작성용!D912</f>
        <v>퀸테사헤임달제삼호사모투자(구,퀸테사제삼호사모투자)</v>
      </c>
      <c r="H915" s="59">
        <f>작성용!E912</f>
        <v>1101130020254</v>
      </c>
      <c r="I915" s="58" t="str">
        <f>작성용!F912</f>
        <v>B01</v>
      </c>
      <c r="J915" s="58">
        <f>작성용!G912</f>
        <v>0</v>
      </c>
      <c r="K915" s="58" t="str">
        <f>작성용!H912</f>
        <v>-</v>
      </c>
      <c r="L915" s="58" t="str">
        <f>작성용!N912</f>
        <v xml:space="preserve">반기 </v>
      </c>
      <c r="M915" s="57" t="str">
        <f>작성용!U912</f>
        <v>2024.11.30</v>
      </c>
      <c r="N915" s="57">
        <f>작성용!V912</f>
        <v>45632</v>
      </c>
      <c r="O915" s="57">
        <f>작성용!W912</f>
        <v>45639</v>
      </c>
      <c r="P915" s="57" t="str">
        <f>작성용!X912</f>
        <v>-</v>
      </c>
      <c r="Q915" s="58" t="str">
        <f>작성용!AD912</f>
        <v>유재호</v>
      </c>
      <c r="R915" s="60">
        <f>작성용!AE912</f>
        <v>1</v>
      </c>
      <c r="S915" s="58" t="str">
        <f>작성용!AF912</f>
        <v>유재호</v>
      </c>
      <c r="T915" s="61" t="str">
        <f>작성용!AG912</f>
        <v>조현우</v>
      </c>
      <c r="U915" s="61" t="str">
        <f>작성용!AH912</f>
        <v>조현우</v>
      </c>
      <c r="V915" s="56">
        <f>작성용!AA912</f>
        <v>202411</v>
      </c>
      <c r="W915" s="58" t="str">
        <f>작성용!AC912</f>
        <v>[Y]금융기관</v>
      </c>
      <c r="X915" s="58" t="str">
        <f>작성용!O912</f>
        <v xml:space="preserve">이용석팀장,황혜진주임 </v>
      </c>
      <c r="Y915" s="58" t="str">
        <f>작성용!P912</f>
        <v xml:space="preserve">02-3709-8860,010-5155-7551,02-3709-8811,010-5260-2103 </v>
      </c>
      <c r="Z915" s="58" t="str">
        <f>작성용!Q912</f>
        <v xml:space="preserve">leeys@moorimcapital.co.kr; hyejin.h@moorimcapital.co.kr </v>
      </c>
      <c r="AA915" s="56" t="str">
        <f>작성용!AJ912</f>
        <v>-</v>
      </c>
      <c r="AB915" s="56">
        <f>작성용!AB912</f>
        <v>0</v>
      </c>
    </row>
    <row r="916" spans="1:28" s="12" customFormat="1" ht="16.5" hidden="1" customHeight="1" x14ac:dyDescent="0.3">
      <c r="A916" s="54">
        <f>작성용!AL913</f>
        <v>912</v>
      </c>
      <c r="B916" s="55" t="str">
        <f>작성용!AI913</f>
        <v>체크리스트 송부 : 2024-06-12, 보고서 연말 제공</v>
      </c>
      <c r="C916" s="56" t="str">
        <f>작성용!AK913</f>
        <v>개별종목</v>
      </c>
      <c r="D916" s="57">
        <f>작성용!T913</f>
        <v>45594</v>
      </c>
      <c r="E916" s="58" t="str">
        <f>작성용!B913</f>
        <v>무림캐피탈</v>
      </c>
      <c r="F916" s="58" t="str">
        <f>작성용!C913</f>
        <v>재평가</v>
      </c>
      <c r="G916" s="58" t="str">
        <f>작성용!D913</f>
        <v>신한프랙시스케이그로쓰글로벌사모투자전문회사</v>
      </c>
      <c r="H916" s="59">
        <f>작성용!E913</f>
        <v>1101130018829</v>
      </c>
      <c r="I916" s="58" t="str">
        <f>작성용!F913</f>
        <v>B01</v>
      </c>
      <c r="J916" s="58">
        <f>작성용!G913</f>
        <v>0</v>
      </c>
      <c r="K916" s="58" t="str">
        <f>작성용!H913</f>
        <v>-</v>
      </c>
      <c r="L916" s="58" t="str">
        <f>작성용!N913</f>
        <v xml:space="preserve">반기 </v>
      </c>
      <c r="M916" s="57" t="str">
        <f>작성용!U913</f>
        <v>2024.11.30</v>
      </c>
      <c r="N916" s="57">
        <f>작성용!V913</f>
        <v>45632</v>
      </c>
      <c r="O916" s="57">
        <f>작성용!W913</f>
        <v>45639</v>
      </c>
      <c r="P916" s="57" t="str">
        <f>작성용!X913</f>
        <v>-</v>
      </c>
      <c r="Q916" s="58" t="str">
        <f>작성용!AD913</f>
        <v>백형진</v>
      </c>
      <c r="R916" s="60">
        <f>작성용!AE913</f>
        <v>1</v>
      </c>
      <c r="S916" s="58" t="str">
        <f>작성용!AF913</f>
        <v>백형진</v>
      </c>
      <c r="T916" s="61" t="str">
        <f>작성용!AG913</f>
        <v>조현우</v>
      </c>
      <c r="U916" s="61" t="str">
        <f>작성용!AH913</f>
        <v>조현우</v>
      </c>
      <c r="V916" s="56">
        <f>작성용!AA913</f>
        <v>202411</v>
      </c>
      <c r="W916" s="58" t="str">
        <f>작성용!AC913</f>
        <v>[Y]금융기관</v>
      </c>
      <c r="X916" s="58" t="str">
        <f>작성용!O913</f>
        <v xml:space="preserve">이용석팀장,황혜진주임 </v>
      </c>
      <c r="Y916" s="58" t="str">
        <f>작성용!P913</f>
        <v xml:space="preserve">02-3709-8860,010-5155-7551,02-3709-8811,010-5260-2103 </v>
      </c>
      <c r="Z916" s="58" t="str">
        <f>작성용!Q913</f>
        <v xml:space="preserve">leeys@moorimcapital.co.kr; hyejin.h@moorimcapital.co.kr </v>
      </c>
      <c r="AA916" s="56" t="str">
        <f>작성용!AJ913</f>
        <v>-</v>
      </c>
      <c r="AB916" s="56">
        <f>작성용!AB913</f>
        <v>0</v>
      </c>
    </row>
    <row r="917" spans="1:28" s="12" customFormat="1" ht="16.5" hidden="1" customHeight="1" x14ac:dyDescent="0.3">
      <c r="A917" s="54">
        <f>작성용!AL914</f>
        <v>913</v>
      </c>
      <c r="B917" s="55" t="str">
        <f>작성용!AI914</f>
        <v>체크리스트 송부 : 2024-06-12, 보고서 연말 제공</v>
      </c>
      <c r="C917" s="56" t="str">
        <f>작성용!AK914</f>
        <v>개별종목</v>
      </c>
      <c r="D917" s="57">
        <f>작성용!T914</f>
        <v>45594</v>
      </c>
      <c r="E917" s="58" t="str">
        <f>작성용!B914</f>
        <v>무림캐피탈</v>
      </c>
      <c r="F917" s="58" t="str">
        <f>작성용!C914</f>
        <v>재평가</v>
      </c>
      <c r="G917" s="58" t="str">
        <f>작성용!D914</f>
        <v>케이엘한주창업벤처전문사모투자</v>
      </c>
      <c r="H917" s="59">
        <f>작성용!E914</f>
        <v>1101130022276</v>
      </c>
      <c r="I917" s="58" t="str">
        <f>작성용!F914</f>
        <v>B01</v>
      </c>
      <c r="J917" s="58">
        <f>작성용!G914</f>
        <v>0</v>
      </c>
      <c r="K917" s="58" t="str">
        <f>작성용!H914</f>
        <v>-</v>
      </c>
      <c r="L917" s="58" t="str">
        <f>작성용!N914</f>
        <v xml:space="preserve">반기 </v>
      </c>
      <c r="M917" s="57" t="str">
        <f>작성용!U914</f>
        <v>2024.11.30</v>
      </c>
      <c r="N917" s="57">
        <f>작성용!V914</f>
        <v>45632</v>
      </c>
      <c r="O917" s="57">
        <f>작성용!W914</f>
        <v>45639</v>
      </c>
      <c r="P917" s="57" t="str">
        <f>작성용!X914</f>
        <v>-</v>
      </c>
      <c r="Q917" s="58" t="str">
        <f>작성용!AD914</f>
        <v>정은채</v>
      </c>
      <c r="R917" s="60">
        <f>작성용!AE914</f>
        <v>1</v>
      </c>
      <c r="S917" s="58" t="str">
        <f>작성용!AF914</f>
        <v>정은채</v>
      </c>
      <c r="T917" s="61" t="str">
        <f>작성용!AG914</f>
        <v>조현우</v>
      </c>
      <c r="U917" s="61" t="str">
        <f>작성용!AH914</f>
        <v>조현우</v>
      </c>
      <c r="V917" s="56">
        <f>작성용!AA914</f>
        <v>202411</v>
      </c>
      <c r="W917" s="58" t="str">
        <f>작성용!AC914</f>
        <v>[Y]금융기관</v>
      </c>
      <c r="X917" s="58" t="str">
        <f>작성용!O914</f>
        <v xml:space="preserve">이용석팀장,황혜진주임 </v>
      </c>
      <c r="Y917" s="58" t="str">
        <f>작성용!P914</f>
        <v xml:space="preserve">02-3709-8860,010-5155-7551,02-3709-8811,010-5260-2103 </v>
      </c>
      <c r="Z917" s="58" t="str">
        <f>작성용!Q914</f>
        <v xml:space="preserve">leeys@moorimcapital.co.kr; hyejin.h@moorimcapital.co.kr </v>
      </c>
      <c r="AA917" s="56" t="str">
        <f>작성용!AJ914</f>
        <v>-</v>
      </c>
      <c r="AB917" s="56">
        <f>작성용!AB914</f>
        <v>0</v>
      </c>
    </row>
    <row r="918" spans="1:28" s="12" customFormat="1" ht="16.5" hidden="1" customHeight="1" x14ac:dyDescent="0.3">
      <c r="A918" s="54">
        <f>작성용!AL915</f>
        <v>914</v>
      </c>
      <c r="B918" s="55" t="str">
        <f>작성용!AI915</f>
        <v>체크리스트 송부 : 2024-06-12, 보고서 연말 제공</v>
      </c>
      <c r="C918" s="56" t="str">
        <f>작성용!AK915</f>
        <v>개별종목</v>
      </c>
      <c r="D918" s="57">
        <f>작성용!T915</f>
        <v>45594</v>
      </c>
      <c r="E918" s="58" t="str">
        <f>작성용!B915</f>
        <v>무림캐피탈</v>
      </c>
      <c r="F918" s="58" t="str">
        <f>작성용!C915</f>
        <v>재평가</v>
      </c>
      <c r="G918" s="58" t="str">
        <f>작성용!D915</f>
        <v>아틸라인프라제2호사모투자</v>
      </c>
      <c r="H918" s="59">
        <f>작성용!E915</f>
        <v>1615130003095</v>
      </c>
      <c r="I918" s="58" t="str">
        <f>작성용!F915</f>
        <v>B01</v>
      </c>
      <c r="J918" s="58">
        <f>작성용!G915</f>
        <v>0</v>
      </c>
      <c r="K918" s="58" t="str">
        <f>작성용!H915</f>
        <v>-</v>
      </c>
      <c r="L918" s="58" t="str">
        <f>작성용!N915</f>
        <v xml:space="preserve">반기 </v>
      </c>
      <c r="M918" s="57" t="str">
        <f>작성용!U915</f>
        <v>2024.11.30</v>
      </c>
      <c r="N918" s="57">
        <f>작성용!V915</f>
        <v>45632</v>
      </c>
      <c r="O918" s="57">
        <f>작성용!W915</f>
        <v>45639</v>
      </c>
      <c r="P918" s="57" t="str">
        <f>작성용!X915</f>
        <v>-</v>
      </c>
      <c r="Q918" s="58" t="str">
        <f>작성용!AD915</f>
        <v>이진주</v>
      </c>
      <c r="R918" s="60">
        <f>작성용!AE915</f>
        <v>1</v>
      </c>
      <c r="S918" s="58" t="str">
        <f>작성용!AF915</f>
        <v>이진주</v>
      </c>
      <c r="T918" s="61" t="str">
        <f>작성용!AG915</f>
        <v>조현우</v>
      </c>
      <c r="U918" s="61" t="str">
        <f>작성용!AH915</f>
        <v>조현우</v>
      </c>
      <c r="V918" s="56">
        <f>작성용!AA915</f>
        <v>202411</v>
      </c>
      <c r="W918" s="58" t="str">
        <f>작성용!AC915</f>
        <v>[Y]금융기관</v>
      </c>
      <c r="X918" s="58" t="str">
        <f>작성용!O915</f>
        <v xml:space="preserve">이용석팀장,황혜진주임 </v>
      </c>
      <c r="Y918" s="58" t="str">
        <f>작성용!P915</f>
        <v xml:space="preserve">02-3709-8860,010-5155-7551,02-3709-8811,010-5260-2103 </v>
      </c>
      <c r="Z918" s="58" t="str">
        <f>작성용!Q915</f>
        <v xml:space="preserve">leeys@moorimcapital.co.kr; hyejin.h@moorimcapital.co.kr </v>
      </c>
      <c r="AA918" s="56" t="str">
        <f>작성용!AJ915</f>
        <v>-</v>
      </c>
      <c r="AB918" s="56">
        <f>작성용!AB915</f>
        <v>0</v>
      </c>
    </row>
    <row r="919" spans="1:28" s="12" customFormat="1" ht="16.5" hidden="1" customHeight="1" x14ac:dyDescent="0.3">
      <c r="A919" s="54">
        <f>작성용!AL916</f>
        <v>915</v>
      </c>
      <c r="B919" s="55" t="str">
        <f>작성용!AI916</f>
        <v>체크리스트 송부 : 2024-06-12, 보고서 연말 제공</v>
      </c>
      <c r="C919" s="56" t="str">
        <f>작성용!AK916</f>
        <v>개별종목</v>
      </c>
      <c r="D919" s="57">
        <f>작성용!T916</f>
        <v>45594</v>
      </c>
      <c r="E919" s="58" t="str">
        <f>작성용!B916</f>
        <v>무림캐피탈</v>
      </c>
      <c r="F919" s="58" t="str">
        <f>작성용!C916</f>
        <v>재평가</v>
      </c>
      <c r="G919" s="58" t="str">
        <f>작성용!D916</f>
        <v>라이언사모투자</v>
      </c>
      <c r="H919" s="59">
        <f>작성용!E916</f>
        <v>1101130023919</v>
      </c>
      <c r="I919" s="58" t="str">
        <f>작성용!F916</f>
        <v>B01</v>
      </c>
      <c r="J919" s="58">
        <f>작성용!G916</f>
        <v>0</v>
      </c>
      <c r="K919" s="58" t="str">
        <f>작성용!H916</f>
        <v>-</v>
      </c>
      <c r="L919" s="58" t="str">
        <f>작성용!N916</f>
        <v xml:space="preserve">반기 </v>
      </c>
      <c r="M919" s="57" t="str">
        <f>작성용!U916</f>
        <v>2024.11.30</v>
      </c>
      <c r="N919" s="57">
        <f>작성용!V916</f>
        <v>45632</v>
      </c>
      <c r="O919" s="57">
        <f>작성용!W916</f>
        <v>45639</v>
      </c>
      <c r="P919" s="57" t="str">
        <f>작성용!X916</f>
        <v>-</v>
      </c>
      <c r="Q919" s="58" t="str">
        <f>작성용!AD916</f>
        <v>조현우</v>
      </c>
      <c r="R919" s="60">
        <f>작성용!AE916</f>
        <v>1</v>
      </c>
      <c r="S919" s="58" t="str">
        <f>작성용!AF916</f>
        <v>조현우</v>
      </c>
      <c r="T919" s="61" t="str">
        <f>작성용!AG916</f>
        <v>조현우</v>
      </c>
      <c r="U919" s="61" t="str">
        <f>작성용!AH916</f>
        <v>조현우</v>
      </c>
      <c r="V919" s="56">
        <f>작성용!AA916</f>
        <v>202411</v>
      </c>
      <c r="W919" s="58" t="str">
        <f>작성용!AC916</f>
        <v>[Y]금융기관</v>
      </c>
      <c r="X919" s="58" t="str">
        <f>작성용!O916</f>
        <v xml:space="preserve">이용석팀장,황혜진주임 </v>
      </c>
      <c r="Y919" s="58" t="str">
        <f>작성용!P916</f>
        <v xml:space="preserve">02-3709-8860,010-5155-7551,02-3709-8811,010-5260-2103 </v>
      </c>
      <c r="Z919" s="58" t="str">
        <f>작성용!Q916</f>
        <v xml:space="preserve">leeys@moorimcapital.co.kr; hyejin.h@moorimcapital.co.kr </v>
      </c>
      <c r="AA919" s="56" t="str">
        <f>작성용!AJ916</f>
        <v>-</v>
      </c>
      <c r="AB919" s="56">
        <f>작성용!AB916</f>
        <v>0</v>
      </c>
    </row>
    <row r="920" spans="1:28" s="12" customFormat="1" ht="16.5" hidden="1" customHeight="1" x14ac:dyDescent="0.3">
      <c r="A920" s="54">
        <f>작성용!AL917</f>
        <v>916</v>
      </c>
      <c r="B920" s="55" t="str">
        <f>작성용!AI917</f>
        <v>체크리스트 송부 : 2024-06-12, 보고서 연말 제공</v>
      </c>
      <c r="C920" s="56" t="str">
        <f>작성용!AK917</f>
        <v>개별종목</v>
      </c>
      <c r="D920" s="57">
        <f>작성용!T917</f>
        <v>45594</v>
      </c>
      <c r="E920" s="58" t="str">
        <f>작성용!B917</f>
        <v>무림캐피탈</v>
      </c>
      <c r="F920" s="58" t="str">
        <f>작성용!C917</f>
        <v>재평가</v>
      </c>
      <c r="G920" s="58" t="str">
        <f>작성용!D917</f>
        <v>오라이언코스메틱사모투자</v>
      </c>
      <c r="H920" s="59">
        <f>작성용!E917</f>
        <v>1101130024090</v>
      </c>
      <c r="I920" s="58" t="str">
        <f>작성용!F917</f>
        <v>B01</v>
      </c>
      <c r="J920" s="58">
        <f>작성용!G917</f>
        <v>0</v>
      </c>
      <c r="K920" s="58" t="str">
        <f>작성용!H917</f>
        <v>-</v>
      </c>
      <c r="L920" s="58" t="str">
        <f>작성용!N917</f>
        <v xml:space="preserve">반기 </v>
      </c>
      <c r="M920" s="57" t="str">
        <f>작성용!U917</f>
        <v>2024.11.30</v>
      </c>
      <c r="N920" s="57">
        <f>작성용!V917</f>
        <v>45632</v>
      </c>
      <c r="O920" s="57">
        <f>작성용!W917</f>
        <v>45639</v>
      </c>
      <c r="P920" s="57" t="str">
        <f>작성용!X917</f>
        <v>-</v>
      </c>
      <c r="Q920" s="58" t="str">
        <f>작성용!AD917</f>
        <v>변혜진</v>
      </c>
      <c r="R920" s="60">
        <f>작성용!AE917</f>
        <v>1</v>
      </c>
      <c r="S920" s="58" t="str">
        <f>작성용!AF917</f>
        <v>변혜진</v>
      </c>
      <c r="T920" s="61" t="str">
        <f>작성용!AG917</f>
        <v>조현우</v>
      </c>
      <c r="U920" s="61" t="str">
        <f>작성용!AH917</f>
        <v>조현우</v>
      </c>
      <c r="V920" s="56">
        <f>작성용!AA917</f>
        <v>202411</v>
      </c>
      <c r="W920" s="58" t="str">
        <f>작성용!AC917</f>
        <v>[Y]금융기관</v>
      </c>
      <c r="X920" s="58" t="str">
        <f>작성용!O917</f>
        <v xml:space="preserve">이용석팀장,황혜진주임 </v>
      </c>
      <c r="Y920" s="58" t="str">
        <f>작성용!P917</f>
        <v xml:space="preserve">02-3709-8860,010-5155-7551,02-3709-8811,010-5260-2103 </v>
      </c>
      <c r="Z920" s="58" t="str">
        <f>작성용!Q917</f>
        <v xml:space="preserve">leeys@moorimcapital.co.kr; hyejin.h@moorimcapital.co.kr </v>
      </c>
      <c r="AA920" s="56" t="str">
        <f>작성용!AJ917</f>
        <v>-</v>
      </c>
      <c r="AB920" s="56">
        <f>작성용!AB917</f>
        <v>0</v>
      </c>
    </row>
    <row r="921" spans="1:28" s="12" customFormat="1" ht="16.5" hidden="1" customHeight="1" x14ac:dyDescent="0.3">
      <c r="A921" s="54">
        <f>작성용!AL918</f>
        <v>917</v>
      </c>
      <c r="B921" s="55" t="str">
        <f>작성용!AI918</f>
        <v>체크리스트 송부 : 2024-06-12, 보고서 연말 제공</v>
      </c>
      <c r="C921" s="56" t="str">
        <f>작성용!AK918</f>
        <v>개별종목</v>
      </c>
      <c r="D921" s="57">
        <f>작성용!T918</f>
        <v>45594</v>
      </c>
      <c r="E921" s="58" t="str">
        <f>작성용!B918</f>
        <v>무림캐피탈</v>
      </c>
      <c r="F921" s="58" t="str">
        <f>작성용!C918</f>
        <v>재평가</v>
      </c>
      <c r="G921" s="58" t="str">
        <f>작성용!D918</f>
        <v>유암코파인우드기업재무안정사모투자</v>
      </c>
      <c r="H921" s="59">
        <f>작성용!E918</f>
        <v>1101130020931</v>
      </c>
      <c r="I921" s="58" t="str">
        <f>작성용!F918</f>
        <v>B01</v>
      </c>
      <c r="J921" s="58">
        <f>작성용!G918</f>
        <v>0</v>
      </c>
      <c r="K921" s="58" t="str">
        <f>작성용!H918</f>
        <v>-</v>
      </c>
      <c r="L921" s="58" t="str">
        <f>작성용!N918</f>
        <v xml:space="preserve">반기 </v>
      </c>
      <c r="M921" s="57" t="str">
        <f>작성용!U918</f>
        <v>2024.11.30</v>
      </c>
      <c r="N921" s="57">
        <f>작성용!V918</f>
        <v>45632</v>
      </c>
      <c r="O921" s="57">
        <f>작성용!W918</f>
        <v>45639</v>
      </c>
      <c r="P921" s="57" t="str">
        <f>작성용!X918</f>
        <v>-</v>
      </c>
      <c r="Q921" s="58" t="str">
        <f>작성용!AD918</f>
        <v>채동우</v>
      </c>
      <c r="R921" s="60">
        <f>작성용!AE918</f>
        <v>1</v>
      </c>
      <c r="S921" s="58" t="str">
        <f>작성용!AF918</f>
        <v>채동우</v>
      </c>
      <c r="T921" s="61" t="str">
        <f>작성용!AG918</f>
        <v>조현우</v>
      </c>
      <c r="U921" s="61" t="str">
        <f>작성용!AH918</f>
        <v>조현우</v>
      </c>
      <c r="V921" s="56">
        <f>작성용!AA918</f>
        <v>202411</v>
      </c>
      <c r="W921" s="58" t="str">
        <f>작성용!AC918</f>
        <v>[Y]금융기관</v>
      </c>
      <c r="X921" s="58" t="str">
        <f>작성용!O918</f>
        <v xml:space="preserve">이용석팀장,황혜진주임 </v>
      </c>
      <c r="Y921" s="58" t="str">
        <f>작성용!P918</f>
        <v xml:space="preserve">02-3709-8860,010-5155-7551,02-3709-8811,010-5260-2103 </v>
      </c>
      <c r="Z921" s="58" t="str">
        <f>작성용!Q918</f>
        <v xml:space="preserve">leeys@moorimcapital.co.kr; hyejin.h@moorimcapital.co.kr </v>
      </c>
      <c r="AA921" s="56" t="str">
        <f>작성용!AJ918</f>
        <v>-</v>
      </c>
      <c r="AB921" s="56">
        <f>작성용!AB918</f>
        <v>0</v>
      </c>
    </row>
    <row r="922" spans="1:28" s="12" customFormat="1" ht="16.5" hidden="1" customHeight="1" x14ac:dyDescent="0.3">
      <c r="A922" s="54">
        <f>작성용!AL919</f>
        <v>918</v>
      </c>
      <c r="B922" s="55" t="str">
        <f>작성용!AI919</f>
        <v>체크리스트 송부 : 2024-06-12, 보고서 연말 제공</v>
      </c>
      <c r="C922" s="56" t="str">
        <f>작성용!AK919</f>
        <v>개별종목</v>
      </c>
      <c r="D922" s="57">
        <f>작성용!T919</f>
        <v>45594</v>
      </c>
      <c r="E922" s="58" t="str">
        <f>작성용!B919</f>
        <v>무림캐피탈</v>
      </c>
      <c r="F922" s="58" t="str">
        <f>작성용!C919</f>
        <v>재평가</v>
      </c>
      <c r="G922" s="58" t="str">
        <f>작성용!D919</f>
        <v>시냅틱헬스케어제1호사모투자</v>
      </c>
      <c r="H922" s="59">
        <f>작성용!E919</f>
        <v>1101130024561</v>
      </c>
      <c r="I922" s="58" t="str">
        <f>작성용!F919</f>
        <v>B01</v>
      </c>
      <c r="J922" s="58">
        <f>작성용!G919</f>
        <v>0</v>
      </c>
      <c r="K922" s="58" t="str">
        <f>작성용!H919</f>
        <v>-</v>
      </c>
      <c r="L922" s="58" t="str">
        <f>작성용!N919</f>
        <v xml:space="preserve">반기 </v>
      </c>
      <c r="M922" s="57" t="str">
        <f>작성용!U919</f>
        <v>2024.11.30</v>
      </c>
      <c r="N922" s="57">
        <f>작성용!V919</f>
        <v>45632</v>
      </c>
      <c r="O922" s="57">
        <f>작성용!W919</f>
        <v>45639</v>
      </c>
      <c r="P922" s="57" t="str">
        <f>작성용!X919</f>
        <v>-</v>
      </c>
      <c r="Q922" s="58" t="str">
        <f>작성용!AD919</f>
        <v>정재형</v>
      </c>
      <c r="R922" s="60">
        <f>작성용!AE919</f>
        <v>1</v>
      </c>
      <c r="S922" s="58" t="str">
        <f>작성용!AF919</f>
        <v>정재형</v>
      </c>
      <c r="T922" s="61" t="str">
        <f>작성용!AG919</f>
        <v>조현우</v>
      </c>
      <c r="U922" s="61" t="str">
        <f>작성용!AH919</f>
        <v>조현우</v>
      </c>
      <c r="V922" s="56">
        <f>작성용!AA919</f>
        <v>202411</v>
      </c>
      <c r="W922" s="58" t="str">
        <f>작성용!AC919</f>
        <v>[Y]금융기관</v>
      </c>
      <c r="X922" s="58" t="str">
        <f>작성용!O919</f>
        <v xml:space="preserve">이용석팀장,황혜진주임 </v>
      </c>
      <c r="Y922" s="58" t="str">
        <f>작성용!P919</f>
        <v xml:space="preserve">02-3709-8860,010-5155-7551,02-3709-8811,010-5260-2103 </v>
      </c>
      <c r="Z922" s="58" t="str">
        <f>작성용!Q919</f>
        <v xml:space="preserve">leeys@moorimcapital.co.kr; hyejin.h@moorimcapital.co.kr </v>
      </c>
      <c r="AA922" s="56" t="str">
        <f>작성용!AJ919</f>
        <v>-</v>
      </c>
      <c r="AB922" s="56">
        <f>작성용!AB919</f>
        <v>0</v>
      </c>
    </row>
    <row r="923" spans="1:28" s="12" customFormat="1" ht="16.5" hidden="1" customHeight="1" x14ac:dyDescent="0.3">
      <c r="A923" s="54">
        <f>작성용!AL920</f>
        <v>919</v>
      </c>
      <c r="B923" s="55" t="str">
        <f>작성용!AI920</f>
        <v>체크리스트 송부 : 2024-06-12, 보고서 연말 제공</v>
      </c>
      <c r="C923" s="56" t="str">
        <f>작성용!AK920</f>
        <v>개별종목</v>
      </c>
      <c r="D923" s="57">
        <f>작성용!T920</f>
        <v>45594</v>
      </c>
      <c r="E923" s="58" t="str">
        <f>작성용!B920</f>
        <v>무림캐피탈</v>
      </c>
      <c r="F923" s="58" t="str">
        <f>작성용!C920</f>
        <v>재평가</v>
      </c>
      <c r="G923" s="58" t="str">
        <f>작성용!D920</f>
        <v>레버런트프론티어2호창업벤처전문사모투자</v>
      </c>
      <c r="H923" s="59">
        <f>작성용!E920</f>
        <v>1101130024470</v>
      </c>
      <c r="I923" s="58" t="str">
        <f>작성용!F920</f>
        <v>B01</v>
      </c>
      <c r="J923" s="58">
        <f>작성용!G920</f>
        <v>0</v>
      </c>
      <c r="K923" s="58" t="str">
        <f>작성용!H920</f>
        <v>-</v>
      </c>
      <c r="L923" s="58" t="str">
        <f>작성용!N920</f>
        <v xml:space="preserve">반기 </v>
      </c>
      <c r="M923" s="57" t="str">
        <f>작성용!U920</f>
        <v>2024.11.30</v>
      </c>
      <c r="N923" s="57">
        <f>작성용!V920</f>
        <v>45632</v>
      </c>
      <c r="O923" s="57">
        <f>작성용!W920</f>
        <v>45639</v>
      </c>
      <c r="P923" s="57" t="str">
        <f>작성용!X920</f>
        <v>-</v>
      </c>
      <c r="Q923" s="58" t="str">
        <f>작성용!AD920</f>
        <v>이상민</v>
      </c>
      <c r="R923" s="60">
        <f>작성용!AE920</f>
        <v>1</v>
      </c>
      <c r="S923" s="58" t="str">
        <f>작성용!AF920</f>
        <v>이상민</v>
      </c>
      <c r="T923" s="61" t="str">
        <f>작성용!AG920</f>
        <v>조현우</v>
      </c>
      <c r="U923" s="61" t="str">
        <f>작성용!AH920</f>
        <v>조현우</v>
      </c>
      <c r="V923" s="56">
        <f>작성용!AA920</f>
        <v>202411</v>
      </c>
      <c r="W923" s="58" t="str">
        <f>작성용!AC920</f>
        <v>[Y]금융기관</v>
      </c>
      <c r="X923" s="58" t="str">
        <f>작성용!O920</f>
        <v xml:space="preserve">이용석팀장,황혜진주임 </v>
      </c>
      <c r="Y923" s="58" t="str">
        <f>작성용!P920</f>
        <v xml:space="preserve">02-3709-8860,010-5155-7551,02-3709-8811,010-5260-2103 </v>
      </c>
      <c r="Z923" s="58" t="str">
        <f>작성용!Q920</f>
        <v xml:space="preserve">leeys@moorimcapital.co.kr; hyejin.h@moorimcapital.co.kr </v>
      </c>
      <c r="AA923" s="56" t="str">
        <f>작성용!AJ920</f>
        <v>-</v>
      </c>
      <c r="AB923" s="56">
        <f>작성용!AB920</f>
        <v>0</v>
      </c>
    </row>
    <row r="924" spans="1:28" s="12" customFormat="1" ht="16.5" hidden="1" customHeight="1" x14ac:dyDescent="0.3">
      <c r="A924" s="54">
        <f>작성용!AL921</f>
        <v>920</v>
      </c>
      <c r="B924" s="55" t="str">
        <f>작성용!AI921</f>
        <v>체크리스트 송부 : 2024-06-12, 보고서 연말 제공</v>
      </c>
      <c r="C924" s="56" t="str">
        <f>작성용!AK921</f>
        <v>개별종목</v>
      </c>
      <c r="D924" s="57">
        <f>작성용!T921</f>
        <v>45594</v>
      </c>
      <c r="E924" s="58" t="str">
        <f>작성용!B921</f>
        <v>무림캐피탈</v>
      </c>
      <c r="F924" s="58" t="str">
        <f>작성용!C921</f>
        <v>재평가</v>
      </c>
      <c r="G924" s="58" t="str">
        <f>작성용!D921</f>
        <v>유진스마트모빌리티사모투자</v>
      </c>
      <c r="H924" s="59">
        <f>작성용!E921</f>
        <v>1101130026301</v>
      </c>
      <c r="I924" s="58" t="str">
        <f>작성용!F921</f>
        <v>B01</v>
      </c>
      <c r="J924" s="58">
        <f>작성용!G921</f>
        <v>0</v>
      </c>
      <c r="K924" s="58" t="str">
        <f>작성용!H921</f>
        <v>-</v>
      </c>
      <c r="L924" s="58" t="str">
        <f>작성용!N921</f>
        <v xml:space="preserve">반기 </v>
      </c>
      <c r="M924" s="57" t="str">
        <f>작성용!U921</f>
        <v>2024.11.30</v>
      </c>
      <c r="N924" s="57">
        <f>작성용!V921</f>
        <v>45632</v>
      </c>
      <c r="O924" s="57">
        <f>작성용!W921</f>
        <v>45639</v>
      </c>
      <c r="P924" s="57" t="str">
        <f>작성용!X921</f>
        <v>-</v>
      </c>
      <c r="Q924" s="58" t="str">
        <f>작성용!AD921</f>
        <v>조현우</v>
      </c>
      <c r="R924" s="60">
        <f>작성용!AE921</f>
        <v>1</v>
      </c>
      <c r="S924" s="58" t="str">
        <f>작성용!AF921</f>
        <v>조현우</v>
      </c>
      <c r="T924" s="61" t="str">
        <f>작성용!AG921</f>
        <v>조현우</v>
      </c>
      <c r="U924" s="61" t="str">
        <f>작성용!AH921</f>
        <v>조현우</v>
      </c>
      <c r="V924" s="56">
        <f>작성용!AA921</f>
        <v>202411</v>
      </c>
      <c r="W924" s="58" t="str">
        <f>작성용!AC921</f>
        <v>[Y]금융기관</v>
      </c>
      <c r="X924" s="58" t="str">
        <f>작성용!O921</f>
        <v xml:space="preserve">이용석팀장,황혜진주임 </v>
      </c>
      <c r="Y924" s="58" t="str">
        <f>작성용!P921</f>
        <v xml:space="preserve">02-3709-8860,010-5155-7551,02-3709-8811,010-5260-2103 </v>
      </c>
      <c r="Z924" s="58" t="str">
        <f>작성용!Q921</f>
        <v xml:space="preserve">leeys@moorimcapital.co.kr; hyejin.h@moorimcapital.co.kr </v>
      </c>
      <c r="AA924" s="56" t="str">
        <f>작성용!AJ921</f>
        <v>-</v>
      </c>
      <c r="AB924" s="56">
        <f>작성용!AB921</f>
        <v>0</v>
      </c>
    </row>
    <row r="925" spans="1:28" s="12" customFormat="1" ht="16.5" hidden="1" customHeight="1" x14ac:dyDescent="0.3">
      <c r="A925" s="54">
        <f>작성용!AL922</f>
        <v>921</v>
      </c>
      <c r="B925" s="55" t="str">
        <f>작성용!AI922</f>
        <v>체크리스트 송부 : 2024-06-12, 보고서 연말 제공</v>
      </c>
      <c r="C925" s="56" t="str">
        <f>작성용!AK922</f>
        <v>개별종목</v>
      </c>
      <c r="D925" s="57">
        <f>작성용!T922</f>
        <v>45594</v>
      </c>
      <c r="E925" s="58" t="str">
        <f>작성용!B922</f>
        <v>무림캐피탈</v>
      </c>
      <c r="F925" s="58" t="str">
        <f>작성용!C922</f>
        <v>재평가</v>
      </c>
      <c r="G925" s="58" t="str">
        <f>작성용!D922</f>
        <v>스마트헬스케어제1호사모투자</v>
      </c>
      <c r="H925" s="59">
        <f>작성용!E922</f>
        <v>1101130026377</v>
      </c>
      <c r="I925" s="58" t="str">
        <f>작성용!F922</f>
        <v>B01</v>
      </c>
      <c r="J925" s="58">
        <f>작성용!G922</f>
        <v>0</v>
      </c>
      <c r="K925" s="58" t="str">
        <f>작성용!H922</f>
        <v>-</v>
      </c>
      <c r="L925" s="58" t="str">
        <f>작성용!N922</f>
        <v xml:space="preserve">반기 </v>
      </c>
      <c r="M925" s="57" t="str">
        <f>작성용!U922</f>
        <v>2024.11.30</v>
      </c>
      <c r="N925" s="57">
        <f>작성용!V922</f>
        <v>45632</v>
      </c>
      <c r="O925" s="57">
        <f>작성용!W922</f>
        <v>45639</v>
      </c>
      <c r="P925" s="57" t="str">
        <f>작성용!X922</f>
        <v>-</v>
      </c>
      <c r="Q925" s="58" t="str">
        <f>작성용!AD922</f>
        <v>정은채</v>
      </c>
      <c r="R925" s="60">
        <f>작성용!AE922</f>
        <v>1</v>
      </c>
      <c r="S925" s="58" t="str">
        <f>작성용!AF922</f>
        <v>정은채</v>
      </c>
      <c r="T925" s="61" t="str">
        <f>작성용!AG922</f>
        <v>조현우</v>
      </c>
      <c r="U925" s="61" t="str">
        <f>작성용!AH922</f>
        <v>조현우</v>
      </c>
      <c r="V925" s="56">
        <f>작성용!AA922</f>
        <v>202411</v>
      </c>
      <c r="W925" s="58" t="str">
        <f>작성용!AC922</f>
        <v>[Y]금융기관</v>
      </c>
      <c r="X925" s="58" t="str">
        <f>작성용!O922</f>
        <v xml:space="preserve">이용석팀장,황혜진주임 </v>
      </c>
      <c r="Y925" s="58" t="str">
        <f>작성용!P922</f>
        <v xml:space="preserve">02-3709-8860,010-5155-7551,02-3709-8811,010-5260-2103 </v>
      </c>
      <c r="Z925" s="58" t="str">
        <f>작성용!Q922</f>
        <v xml:space="preserve">leeys@moorimcapital.co.kr; hyejin.h@moorimcapital.co.kr </v>
      </c>
      <c r="AA925" s="56" t="str">
        <f>작성용!AJ922</f>
        <v>-</v>
      </c>
      <c r="AB925" s="56">
        <f>작성용!AB922</f>
        <v>0</v>
      </c>
    </row>
    <row r="926" spans="1:28" s="12" customFormat="1" ht="16.5" hidden="1" customHeight="1" x14ac:dyDescent="0.3">
      <c r="A926" s="54">
        <f>작성용!AL923</f>
        <v>922</v>
      </c>
      <c r="B926" s="55" t="str">
        <f>작성용!AI923</f>
        <v>체크리스트 송부 : 2024-06-12, 보고서 연말 제공</v>
      </c>
      <c r="C926" s="56" t="str">
        <f>작성용!AK923</f>
        <v>개별종목</v>
      </c>
      <c r="D926" s="57">
        <f>작성용!T923</f>
        <v>45594</v>
      </c>
      <c r="E926" s="58" t="str">
        <f>작성용!B923</f>
        <v>무림캐피탈</v>
      </c>
      <c r="F926" s="58" t="str">
        <f>작성용!C923</f>
        <v>재평가</v>
      </c>
      <c r="G926" s="58" t="str">
        <f>작성용!D923</f>
        <v>스톤브릿지페이먼츠사모투자</v>
      </c>
      <c r="H926" s="59">
        <f>작성용!E923</f>
        <v>1101130026864</v>
      </c>
      <c r="I926" s="58" t="str">
        <f>작성용!F923</f>
        <v>B01</v>
      </c>
      <c r="J926" s="58">
        <f>작성용!G923</f>
        <v>0</v>
      </c>
      <c r="K926" s="58" t="str">
        <f>작성용!H923</f>
        <v>-</v>
      </c>
      <c r="L926" s="58" t="str">
        <f>작성용!N923</f>
        <v xml:space="preserve">반기 </v>
      </c>
      <c r="M926" s="57" t="str">
        <f>작성용!U923</f>
        <v>2024.11.30</v>
      </c>
      <c r="N926" s="57">
        <f>작성용!V923</f>
        <v>45632</v>
      </c>
      <c r="O926" s="57">
        <f>작성용!W923</f>
        <v>45639</v>
      </c>
      <c r="P926" s="57" t="str">
        <f>작성용!X923</f>
        <v>-</v>
      </c>
      <c r="Q926" s="58" t="str">
        <f>작성용!AD923</f>
        <v>강승현</v>
      </c>
      <c r="R926" s="60">
        <f>작성용!AE923</f>
        <v>1</v>
      </c>
      <c r="S926" s="58" t="str">
        <f>작성용!AF923</f>
        <v>강승현</v>
      </c>
      <c r="T926" s="61" t="str">
        <f>작성용!AG923</f>
        <v>조현우</v>
      </c>
      <c r="U926" s="61" t="str">
        <f>작성용!AH923</f>
        <v>조현우</v>
      </c>
      <c r="V926" s="56">
        <f>작성용!AA923</f>
        <v>202411</v>
      </c>
      <c r="W926" s="58" t="str">
        <f>작성용!AC923</f>
        <v>[Y]금융기관</v>
      </c>
      <c r="X926" s="58" t="str">
        <f>작성용!O923</f>
        <v xml:space="preserve">이용석팀장,황혜진주임 </v>
      </c>
      <c r="Y926" s="58" t="str">
        <f>작성용!P923</f>
        <v xml:space="preserve">02-3709-8860,010-5155-7551,02-3709-8811,010-5260-2103 </v>
      </c>
      <c r="Z926" s="58" t="str">
        <f>작성용!Q923</f>
        <v xml:space="preserve">leeys@moorimcapital.co.kr; hyejin.h@moorimcapital.co.kr </v>
      </c>
      <c r="AA926" s="56" t="str">
        <f>작성용!AJ923</f>
        <v>-</v>
      </c>
      <c r="AB926" s="56">
        <f>작성용!AB923</f>
        <v>0</v>
      </c>
    </row>
    <row r="927" spans="1:28" s="12" customFormat="1" ht="16.5" hidden="1" customHeight="1" x14ac:dyDescent="0.3">
      <c r="A927" s="54">
        <f>작성용!AL924</f>
        <v>923</v>
      </c>
      <c r="B927" s="55" t="str">
        <f>작성용!AI924</f>
        <v>체크리스트 송부 : 2024-06-12, 보고서 연말 제공</v>
      </c>
      <c r="C927" s="56" t="str">
        <f>작성용!AK924</f>
        <v>개별종목</v>
      </c>
      <c r="D927" s="57">
        <f>작성용!T924</f>
        <v>45594</v>
      </c>
      <c r="E927" s="58" t="str">
        <f>작성용!B924</f>
        <v>무림캐피탈</v>
      </c>
      <c r="F927" s="58" t="str">
        <f>작성용!C924</f>
        <v>재평가</v>
      </c>
      <c r="G927" s="58" t="str">
        <f>작성용!D924</f>
        <v>브이엘네른스트사모투자</v>
      </c>
      <c r="H927" s="59" t="str">
        <f>작성용!E924</f>
        <v>KBP2020060193</v>
      </c>
      <c r="I927" s="58" t="str">
        <f>작성용!F924</f>
        <v>B01</v>
      </c>
      <c r="J927" s="58">
        <f>작성용!G924</f>
        <v>0</v>
      </c>
      <c r="K927" s="58" t="str">
        <f>작성용!H924</f>
        <v>-</v>
      </c>
      <c r="L927" s="58" t="str">
        <f>작성용!N924</f>
        <v xml:space="preserve">반기 </v>
      </c>
      <c r="M927" s="57" t="str">
        <f>작성용!U924</f>
        <v>2024.11.30</v>
      </c>
      <c r="N927" s="57">
        <f>작성용!V924</f>
        <v>45632</v>
      </c>
      <c r="O927" s="57">
        <f>작성용!W924</f>
        <v>45639</v>
      </c>
      <c r="P927" s="57" t="str">
        <f>작성용!X924</f>
        <v>-</v>
      </c>
      <c r="Q927" s="58" t="str">
        <f>작성용!AD924</f>
        <v>김수현</v>
      </c>
      <c r="R927" s="60">
        <f>작성용!AE924</f>
        <v>1</v>
      </c>
      <c r="S927" s="58" t="str">
        <f>작성용!AF924</f>
        <v>김수현</v>
      </c>
      <c r="T927" s="61" t="str">
        <f>작성용!AG924</f>
        <v>조현우</v>
      </c>
      <c r="U927" s="61" t="str">
        <f>작성용!AH924</f>
        <v>조현우</v>
      </c>
      <c r="V927" s="56">
        <f>작성용!AA924</f>
        <v>202411</v>
      </c>
      <c r="W927" s="58" t="str">
        <f>작성용!AC924</f>
        <v>[Y]금융기관</v>
      </c>
      <c r="X927" s="58" t="str">
        <f>작성용!O924</f>
        <v xml:space="preserve">이용석팀장,황혜진주임 </v>
      </c>
      <c r="Y927" s="58" t="str">
        <f>작성용!P924</f>
        <v xml:space="preserve">02-3709-8860,010-5155-7551,02-3709-8811,010-5260-2103 </v>
      </c>
      <c r="Z927" s="58" t="str">
        <f>작성용!Q924</f>
        <v xml:space="preserve">leeys@moorimcapital.co.kr; hyejin.h@moorimcapital.co.kr </v>
      </c>
      <c r="AA927" s="56" t="str">
        <f>작성용!AJ924</f>
        <v>-</v>
      </c>
      <c r="AB927" s="56">
        <f>작성용!AB924</f>
        <v>0</v>
      </c>
    </row>
    <row r="928" spans="1:28" s="12" customFormat="1" ht="16.5" hidden="1" customHeight="1" x14ac:dyDescent="0.3">
      <c r="A928" s="54">
        <f>작성용!AL925</f>
        <v>924</v>
      </c>
      <c r="B928" s="55" t="str">
        <f>작성용!AI925</f>
        <v>체크리스트 송부 : 2024-06-12, 보고서 연말 제공</v>
      </c>
      <c r="C928" s="56" t="str">
        <f>작성용!AK925</f>
        <v>개별종목</v>
      </c>
      <c r="D928" s="57">
        <f>작성용!T925</f>
        <v>45594</v>
      </c>
      <c r="E928" s="58" t="str">
        <f>작성용!B925</f>
        <v>무림캐피탈</v>
      </c>
      <c r="F928" s="58" t="str">
        <f>작성용!C925</f>
        <v>재평가</v>
      </c>
      <c r="G928" s="58" t="str">
        <f>작성용!D925</f>
        <v>이앤에프밸리사모투자</v>
      </c>
      <c r="H928" s="59" t="str">
        <f>작성용!E925</f>
        <v>KBP2020120117</v>
      </c>
      <c r="I928" s="58" t="str">
        <f>작성용!F925</f>
        <v>B01</v>
      </c>
      <c r="J928" s="58">
        <f>작성용!G925</f>
        <v>0</v>
      </c>
      <c r="K928" s="58" t="str">
        <f>작성용!H925</f>
        <v>-</v>
      </c>
      <c r="L928" s="58" t="str">
        <f>작성용!N925</f>
        <v xml:space="preserve">반기 </v>
      </c>
      <c r="M928" s="57" t="str">
        <f>작성용!U925</f>
        <v>2024.11.30</v>
      </c>
      <c r="N928" s="57">
        <f>작성용!V925</f>
        <v>45632</v>
      </c>
      <c r="O928" s="57">
        <f>작성용!W925</f>
        <v>45639</v>
      </c>
      <c r="P928" s="57" t="str">
        <f>작성용!X925</f>
        <v>-</v>
      </c>
      <c r="Q928" s="58" t="str">
        <f>작성용!AD925</f>
        <v>서동현</v>
      </c>
      <c r="R928" s="60">
        <f>작성용!AE925</f>
        <v>1</v>
      </c>
      <c r="S928" s="58" t="str">
        <f>작성용!AF925</f>
        <v>서동현</v>
      </c>
      <c r="T928" s="61" t="str">
        <f>작성용!AG925</f>
        <v>조현우</v>
      </c>
      <c r="U928" s="61" t="str">
        <f>작성용!AH925</f>
        <v>조현우</v>
      </c>
      <c r="V928" s="56">
        <f>작성용!AA925</f>
        <v>202411</v>
      </c>
      <c r="W928" s="58" t="str">
        <f>작성용!AC925</f>
        <v>[Y]금융기관</v>
      </c>
      <c r="X928" s="58" t="str">
        <f>작성용!O925</f>
        <v xml:space="preserve">이용석팀장,황혜진주임 </v>
      </c>
      <c r="Y928" s="58" t="str">
        <f>작성용!P925</f>
        <v xml:space="preserve">02-3709-8860,010-5155-7551,02-3709-8811,010-5260-2103 </v>
      </c>
      <c r="Z928" s="58" t="str">
        <f>작성용!Q925</f>
        <v xml:space="preserve">leeys@moorimcapital.co.kr; hyejin.h@moorimcapital.co.kr </v>
      </c>
      <c r="AA928" s="56" t="str">
        <f>작성용!AJ925</f>
        <v>-</v>
      </c>
      <c r="AB928" s="56">
        <f>작성용!AB925</f>
        <v>0</v>
      </c>
    </row>
    <row r="929" spans="1:28" s="12" customFormat="1" ht="16.5" hidden="1" customHeight="1" x14ac:dyDescent="0.3">
      <c r="A929" s="54">
        <f>작성용!AL926</f>
        <v>925</v>
      </c>
      <c r="B929" s="55" t="str">
        <f>작성용!AI926</f>
        <v>체크리스트 송부 : 2024-06-12, 보고서 연말 제공</v>
      </c>
      <c r="C929" s="56" t="str">
        <f>작성용!AK926</f>
        <v>개별종목</v>
      </c>
      <c r="D929" s="57">
        <f>작성용!T926</f>
        <v>45594</v>
      </c>
      <c r="E929" s="58" t="str">
        <f>작성용!B926</f>
        <v>무림캐피탈</v>
      </c>
      <c r="F929" s="58" t="str">
        <f>작성용!C926</f>
        <v>재평가</v>
      </c>
      <c r="G929" s="58" t="str">
        <f>작성용!D926</f>
        <v>에이투파트너스라이노스제1호사모투자</v>
      </c>
      <c r="H929" s="59">
        <f>작성용!E926</f>
        <v>1101130027755</v>
      </c>
      <c r="I929" s="58" t="str">
        <f>작성용!F926</f>
        <v>B01</v>
      </c>
      <c r="J929" s="58">
        <f>작성용!G926</f>
        <v>0</v>
      </c>
      <c r="K929" s="58" t="str">
        <f>작성용!H926</f>
        <v>-</v>
      </c>
      <c r="L929" s="58" t="str">
        <f>작성용!N926</f>
        <v xml:space="preserve">반기 </v>
      </c>
      <c r="M929" s="57" t="str">
        <f>작성용!U926</f>
        <v>2024.11.30</v>
      </c>
      <c r="N929" s="57">
        <f>작성용!V926</f>
        <v>45632</v>
      </c>
      <c r="O929" s="57">
        <f>작성용!W926</f>
        <v>45639</v>
      </c>
      <c r="P929" s="57" t="str">
        <f>작성용!X926</f>
        <v>-</v>
      </c>
      <c r="Q929" s="58" t="str">
        <f>작성용!AD926</f>
        <v>이진주</v>
      </c>
      <c r="R929" s="60">
        <f>작성용!AE926</f>
        <v>1</v>
      </c>
      <c r="S929" s="58" t="str">
        <f>작성용!AF926</f>
        <v>이진주</v>
      </c>
      <c r="T929" s="61" t="str">
        <f>작성용!AG926</f>
        <v>조현우</v>
      </c>
      <c r="U929" s="61" t="str">
        <f>작성용!AH926</f>
        <v>조현우</v>
      </c>
      <c r="V929" s="56">
        <f>작성용!AA926</f>
        <v>202411</v>
      </c>
      <c r="W929" s="58" t="str">
        <f>작성용!AC926</f>
        <v>[Y]금융기관</v>
      </c>
      <c r="X929" s="58" t="str">
        <f>작성용!O926</f>
        <v xml:space="preserve">이용석팀장,황혜진주임 </v>
      </c>
      <c r="Y929" s="58" t="str">
        <f>작성용!P926</f>
        <v xml:space="preserve">02-3709-8860,010-5155-7551,02-3709-8811,010-5260-2103 </v>
      </c>
      <c r="Z929" s="58" t="str">
        <f>작성용!Q926</f>
        <v xml:space="preserve">leeys@moorimcapital.co.kr; hyejin.h@moorimcapital.co.kr </v>
      </c>
      <c r="AA929" s="56" t="str">
        <f>작성용!AJ926</f>
        <v>-</v>
      </c>
      <c r="AB929" s="56">
        <f>작성용!AB926</f>
        <v>0</v>
      </c>
    </row>
    <row r="930" spans="1:28" s="12" customFormat="1" ht="16.5" hidden="1" customHeight="1" x14ac:dyDescent="0.3">
      <c r="A930" s="54">
        <f>작성용!AL927</f>
        <v>926</v>
      </c>
      <c r="B930" s="55" t="str">
        <f>작성용!AI927</f>
        <v>체크리스트 송부 : 2024-06-12, 보고서 연말 제공</v>
      </c>
      <c r="C930" s="56" t="str">
        <f>작성용!AK927</f>
        <v>개별종목</v>
      </c>
      <c r="D930" s="57">
        <f>작성용!T927</f>
        <v>45594</v>
      </c>
      <c r="E930" s="58" t="str">
        <f>작성용!B927</f>
        <v>무림캐피탈</v>
      </c>
      <c r="F930" s="58" t="str">
        <f>작성용!C927</f>
        <v>재평가</v>
      </c>
      <c r="G930" s="58" t="str">
        <f>작성용!D927</f>
        <v>아르게스에이원창업벤처전문사모투자</v>
      </c>
      <c r="H930" s="59">
        <f>작성용!E927</f>
        <v>1101130028349</v>
      </c>
      <c r="I930" s="58" t="str">
        <f>작성용!F927</f>
        <v>B01</v>
      </c>
      <c r="J930" s="58">
        <f>작성용!G927</f>
        <v>0</v>
      </c>
      <c r="K930" s="58" t="str">
        <f>작성용!H927</f>
        <v>-</v>
      </c>
      <c r="L930" s="58" t="str">
        <f>작성용!N927</f>
        <v xml:space="preserve">반기 </v>
      </c>
      <c r="M930" s="57" t="str">
        <f>작성용!U927</f>
        <v>2024.11.30</v>
      </c>
      <c r="N930" s="57">
        <f>작성용!V927</f>
        <v>45632</v>
      </c>
      <c r="O930" s="57">
        <f>작성용!W927</f>
        <v>45639</v>
      </c>
      <c r="P930" s="57" t="str">
        <f>작성용!X927</f>
        <v>-</v>
      </c>
      <c r="Q930" s="58" t="str">
        <f>작성용!AD927</f>
        <v>변혜진</v>
      </c>
      <c r="R930" s="60">
        <f>작성용!AE927</f>
        <v>1</v>
      </c>
      <c r="S930" s="58" t="str">
        <f>작성용!AF927</f>
        <v>변혜진</v>
      </c>
      <c r="T930" s="61" t="str">
        <f>작성용!AG927</f>
        <v>조현우</v>
      </c>
      <c r="U930" s="61" t="str">
        <f>작성용!AH927</f>
        <v>조현우</v>
      </c>
      <c r="V930" s="56">
        <f>작성용!AA927</f>
        <v>202411</v>
      </c>
      <c r="W930" s="58" t="str">
        <f>작성용!AC927</f>
        <v>[Y]금융기관</v>
      </c>
      <c r="X930" s="58" t="str">
        <f>작성용!O927</f>
        <v xml:space="preserve">이용석팀장,황혜진주임 </v>
      </c>
      <c r="Y930" s="58" t="str">
        <f>작성용!P927</f>
        <v xml:space="preserve">02-3709-8860,010-5155-7551,02-3709-8811,010-5260-2103 </v>
      </c>
      <c r="Z930" s="58" t="str">
        <f>작성용!Q927</f>
        <v xml:space="preserve">leeys@moorimcapital.co.kr; hyejin.h@moorimcapital.co.kr </v>
      </c>
      <c r="AA930" s="56" t="str">
        <f>작성용!AJ927</f>
        <v>-</v>
      </c>
      <c r="AB930" s="56">
        <f>작성용!AB927</f>
        <v>0</v>
      </c>
    </row>
    <row r="931" spans="1:28" s="12" customFormat="1" ht="16.5" hidden="1" customHeight="1" x14ac:dyDescent="0.3">
      <c r="A931" s="54">
        <f>작성용!AL928</f>
        <v>927</v>
      </c>
      <c r="B931" s="55" t="str">
        <f>작성용!AI928</f>
        <v>체크리스트 송부 : 2024-06-12, 보고서 연말 제공</v>
      </c>
      <c r="C931" s="56" t="str">
        <f>작성용!AK928</f>
        <v>개별종목</v>
      </c>
      <c r="D931" s="57">
        <f>작성용!T928</f>
        <v>45594</v>
      </c>
      <c r="E931" s="58" t="str">
        <f>작성용!B928</f>
        <v>무림캐피탈</v>
      </c>
      <c r="F931" s="58" t="str">
        <f>작성용!C928</f>
        <v>재평가</v>
      </c>
      <c r="G931" s="58" t="str">
        <f>작성용!D928</f>
        <v>골든루트제1호사모투자</v>
      </c>
      <c r="H931" s="59">
        <f>작성용!E928</f>
        <v>1101130028365</v>
      </c>
      <c r="I931" s="58" t="str">
        <f>작성용!F928</f>
        <v>B01</v>
      </c>
      <c r="J931" s="58">
        <f>작성용!G928</f>
        <v>0</v>
      </c>
      <c r="K931" s="58" t="str">
        <f>작성용!H928</f>
        <v>-</v>
      </c>
      <c r="L931" s="58" t="str">
        <f>작성용!N928</f>
        <v xml:space="preserve">반기 </v>
      </c>
      <c r="M931" s="57" t="str">
        <f>작성용!U928</f>
        <v>2024.11.30</v>
      </c>
      <c r="N931" s="57">
        <f>작성용!V928</f>
        <v>45632</v>
      </c>
      <c r="O931" s="57">
        <f>작성용!W928</f>
        <v>45639</v>
      </c>
      <c r="P931" s="57" t="str">
        <f>작성용!X928</f>
        <v>-</v>
      </c>
      <c r="Q931" s="58" t="str">
        <f>작성용!AD928</f>
        <v>정재형</v>
      </c>
      <c r="R931" s="60">
        <f>작성용!AE928</f>
        <v>1</v>
      </c>
      <c r="S931" s="58" t="str">
        <f>작성용!AF928</f>
        <v>정재형</v>
      </c>
      <c r="T931" s="61" t="str">
        <f>작성용!AG928</f>
        <v>조현우</v>
      </c>
      <c r="U931" s="61" t="str">
        <f>작성용!AH928</f>
        <v>조현우</v>
      </c>
      <c r="V931" s="56">
        <f>작성용!AA928</f>
        <v>202411</v>
      </c>
      <c r="W931" s="58" t="str">
        <f>작성용!AC928</f>
        <v>[Y]금융기관</v>
      </c>
      <c r="X931" s="58" t="str">
        <f>작성용!O928</f>
        <v xml:space="preserve">이용석팀장,황혜진주임 </v>
      </c>
      <c r="Y931" s="58" t="str">
        <f>작성용!P928</f>
        <v xml:space="preserve">02-3709-8860,010-5155-7551,02-3709-8811,010-5260-2103 </v>
      </c>
      <c r="Z931" s="58" t="str">
        <f>작성용!Q928</f>
        <v xml:space="preserve">leeys@moorimcapital.co.kr; hyejin.h@moorimcapital.co.kr </v>
      </c>
      <c r="AA931" s="56" t="str">
        <f>작성용!AJ928</f>
        <v>-</v>
      </c>
      <c r="AB931" s="56">
        <f>작성용!AB928</f>
        <v>0</v>
      </c>
    </row>
    <row r="932" spans="1:28" s="12" customFormat="1" ht="16.5" hidden="1" customHeight="1" x14ac:dyDescent="0.3">
      <c r="A932" s="54">
        <f>작성용!AL929</f>
        <v>928</v>
      </c>
      <c r="B932" s="55" t="str">
        <f>작성용!AI929</f>
        <v>체크리스트 송부 : 2024-06-12, 보고서 연말 제공</v>
      </c>
      <c r="C932" s="56" t="str">
        <f>작성용!AK929</f>
        <v>개별종목</v>
      </c>
      <c r="D932" s="57">
        <f>작성용!T929</f>
        <v>45594</v>
      </c>
      <c r="E932" s="58" t="str">
        <f>작성용!B929</f>
        <v>무림캐피탈</v>
      </c>
      <c r="F932" s="58" t="str">
        <f>작성용!C929</f>
        <v>재평가</v>
      </c>
      <c r="G932" s="58" t="str">
        <f>작성용!D929</f>
        <v>이음제칠호사모투자</v>
      </c>
      <c r="H932" s="59">
        <f>작성용!E929</f>
        <v>1101130028539</v>
      </c>
      <c r="I932" s="58" t="str">
        <f>작성용!F929</f>
        <v>B01</v>
      </c>
      <c r="J932" s="58">
        <f>작성용!G929</f>
        <v>0</v>
      </c>
      <c r="K932" s="58" t="str">
        <f>작성용!H929</f>
        <v>-</v>
      </c>
      <c r="L932" s="58" t="str">
        <f>작성용!N929</f>
        <v xml:space="preserve">반기 </v>
      </c>
      <c r="M932" s="57" t="str">
        <f>작성용!U929</f>
        <v>2024.11.30</v>
      </c>
      <c r="N932" s="57">
        <f>작성용!V929</f>
        <v>45632</v>
      </c>
      <c r="O932" s="57">
        <f>작성용!W929</f>
        <v>45639</v>
      </c>
      <c r="P932" s="57" t="str">
        <f>작성용!X929</f>
        <v>-</v>
      </c>
      <c r="Q932" s="58" t="str">
        <f>작성용!AD929</f>
        <v>강승현</v>
      </c>
      <c r="R932" s="60">
        <f>작성용!AE929</f>
        <v>1</v>
      </c>
      <c r="S932" s="58" t="str">
        <f>작성용!AF929</f>
        <v>강승현</v>
      </c>
      <c r="T932" s="61" t="str">
        <f>작성용!AG929</f>
        <v>조현우</v>
      </c>
      <c r="U932" s="61" t="str">
        <f>작성용!AH929</f>
        <v>조현우</v>
      </c>
      <c r="V932" s="56">
        <f>작성용!AA929</f>
        <v>202411</v>
      </c>
      <c r="W932" s="58" t="str">
        <f>작성용!AC929</f>
        <v>[Y]금융기관</v>
      </c>
      <c r="X932" s="58" t="str">
        <f>작성용!O929</f>
        <v xml:space="preserve">이용석팀장,황혜진주임 </v>
      </c>
      <c r="Y932" s="58" t="str">
        <f>작성용!P929</f>
        <v xml:space="preserve">02-3709-8860,010-5155-7551,02-3709-8811,010-5260-2103 </v>
      </c>
      <c r="Z932" s="58" t="str">
        <f>작성용!Q929</f>
        <v xml:space="preserve">leeys@moorimcapital.co.kr; hyejin.h@moorimcapital.co.kr </v>
      </c>
      <c r="AA932" s="56" t="str">
        <f>작성용!AJ929</f>
        <v>-</v>
      </c>
      <c r="AB932" s="56">
        <f>작성용!AB929</f>
        <v>0</v>
      </c>
    </row>
    <row r="933" spans="1:28" s="12" customFormat="1" ht="16.5" hidden="1" customHeight="1" x14ac:dyDescent="0.3">
      <c r="A933" s="54">
        <f>작성용!AL930</f>
        <v>929</v>
      </c>
      <c r="B933" s="55" t="str">
        <f>작성용!AI930</f>
        <v>체크리스트 송부 : 2024-06-12, 보고서 연말 제공</v>
      </c>
      <c r="C933" s="56" t="str">
        <f>작성용!AK930</f>
        <v>개별종목</v>
      </c>
      <c r="D933" s="57">
        <f>작성용!T930</f>
        <v>45594</v>
      </c>
      <c r="E933" s="58" t="str">
        <f>작성용!B930</f>
        <v>무림캐피탈</v>
      </c>
      <c r="F933" s="58" t="str">
        <f>작성용!C930</f>
        <v>재평가</v>
      </c>
      <c r="G933" s="58" t="str">
        <f>작성용!D930</f>
        <v>한투노틱반도체제1호사모투자</v>
      </c>
      <c r="H933" s="59">
        <f>작성용!E930</f>
        <v>1101130029355</v>
      </c>
      <c r="I933" s="58" t="str">
        <f>작성용!F930</f>
        <v>B01</v>
      </c>
      <c r="J933" s="58">
        <f>작성용!G930</f>
        <v>0</v>
      </c>
      <c r="K933" s="58" t="str">
        <f>작성용!H930</f>
        <v>-</v>
      </c>
      <c r="L933" s="58" t="str">
        <f>작성용!N930</f>
        <v xml:space="preserve">반기 </v>
      </c>
      <c r="M933" s="57" t="str">
        <f>작성용!U930</f>
        <v>2024.11.30</v>
      </c>
      <c r="N933" s="57">
        <f>작성용!V930</f>
        <v>45632</v>
      </c>
      <c r="O933" s="57">
        <f>작성용!W930</f>
        <v>45639</v>
      </c>
      <c r="P933" s="57" t="str">
        <f>작성용!X930</f>
        <v>-</v>
      </c>
      <c r="Q933" s="58" t="str">
        <f>작성용!AD930</f>
        <v>윤광일</v>
      </c>
      <c r="R933" s="60">
        <f>작성용!AE930</f>
        <v>1</v>
      </c>
      <c r="S933" s="58" t="str">
        <f>작성용!AF930</f>
        <v>윤광일</v>
      </c>
      <c r="T933" s="61" t="str">
        <f>작성용!AG930</f>
        <v>조현우</v>
      </c>
      <c r="U933" s="61" t="str">
        <f>작성용!AH930</f>
        <v>조현우</v>
      </c>
      <c r="V933" s="56">
        <f>작성용!AA930</f>
        <v>202411</v>
      </c>
      <c r="W933" s="58" t="str">
        <f>작성용!AC930</f>
        <v>[Y]금융기관</v>
      </c>
      <c r="X933" s="58" t="str">
        <f>작성용!O930</f>
        <v xml:space="preserve">이용석팀장,황혜진주임 </v>
      </c>
      <c r="Y933" s="58" t="str">
        <f>작성용!P930</f>
        <v xml:space="preserve">02-3709-8860,010-5155-7551,02-3709-8811,010-5260-2103 </v>
      </c>
      <c r="Z933" s="58" t="str">
        <f>작성용!Q930</f>
        <v xml:space="preserve">leeys@moorimcapital.co.kr; hyejin.h@moorimcapital.co.kr </v>
      </c>
      <c r="AA933" s="56" t="str">
        <f>작성용!AJ930</f>
        <v>-</v>
      </c>
      <c r="AB933" s="56">
        <f>작성용!AB930</f>
        <v>0</v>
      </c>
    </row>
    <row r="934" spans="1:28" s="12" customFormat="1" ht="16.5" hidden="1" customHeight="1" x14ac:dyDescent="0.3">
      <c r="A934" s="54">
        <f>작성용!AL931</f>
        <v>930</v>
      </c>
      <c r="B934" s="55" t="str">
        <f>작성용!AI931</f>
        <v>체크리스트 송부 : 2024-06-12, 보고서 연말 제공</v>
      </c>
      <c r="C934" s="56" t="str">
        <f>작성용!AK931</f>
        <v>개별종목</v>
      </c>
      <c r="D934" s="57">
        <f>작성용!T931</f>
        <v>45594</v>
      </c>
      <c r="E934" s="58" t="str">
        <f>작성용!B931</f>
        <v>무림캐피탈</v>
      </c>
      <c r="F934" s="58" t="str">
        <f>작성용!C931</f>
        <v>재평가</v>
      </c>
      <c r="G934" s="58" t="str">
        <f>작성용!D931</f>
        <v>엔피성장제9호사모투자</v>
      </c>
      <c r="H934" s="59">
        <f>작성용!E931</f>
        <v>1101130029016</v>
      </c>
      <c r="I934" s="58" t="str">
        <f>작성용!F931</f>
        <v>B01</v>
      </c>
      <c r="J934" s="58">
        <f>작성용!G931</f>
        <v>0</v>
      </c>
      <c r="K934" s="58" t="str">
        <f>작성용!H931</f>
        <v>-</v>
      </c>
      <c r="L934" s="58" t="str">
        <f>작성용!N931</f>
        <v xml:space="preserve">반기 </v>
      </c>
      <c r="M934" s="57" t="str">
        <f>작성용!U931</f>
        <v>2024.11.30</v>
      </c>
      <c r="N934" s="57">
        <f>작성용!V931</f>
        <v>45632</v>
      </c>
      <c r="O934" s="57">
        <f>작성용!W931</f>
        <v>45639</v>
      </c>
      <c r="P934" s="57" t="str">
        <f>작성용!X931</f>
        <v>-</v>
      </c>
      <c r="Q934" s="58" t="str">
        <f>작성용!AD931</f>
        <v>김에스더</v>
      </c>
      <c r="R934" s="60">
        <f>작성용!AE931</f>
        <v>1</v>
      </c>
      <c r="S934" s="58" t="str">
        <f>작성용!AF931</f>
        <v>김에스더</v>
      </c>
      <c r="T934" s="61" t="str">
        <f>작성용!AG931</f>
        <v>조현우</v>
      </c>
      <c r="U934" s="61" t="str">
        <f>작성용!AH931</f>
        <v>조현우</v>
      </c>
      <c r="V934" s="56">
        <f>작성용!AA931</f>
        <v>202411</v>
      </c>
      <c r="W934" s="58" t="str">
        <f>작성용!AC931</f>
        <v>[Y]금융기관</v>
      </c>
      <c r="X934" s="58" t="str">
        <f>작성용!O931</f>
        <v xml:space="preserve">이용석팀장,황혜진주임 </v>
      </c>
      <c r="Y934" s="58" t="str">
        <f>작성용!P931</f>
        <v xml:space="preserve">02-3709-8860,010-5155-7551,02-3709-8811,010-5260-2103 </v>
      </c>
      <c r="Z934" s="58" t="str">
        <f>작성용!Q931</f>
        <v xml:space="preserve">leeys@moorimcapital.co.kr; hyejin.h@moorimcapital.co.kr </v>
      </c>
      <c r="AA934" s="56" t="str">
        <f>작성용!AJ931</f>
        <v>-</v>
      </c>
      <c r="AB934" s="56">
        <f>작성용!AB931</f>
        <v>0</v>
      </c>
    </row>
    <row r="935" spans="1:28" s="12" customFormat="1" ht="16.5" hidden="1" customHeight="1" x14ac:dyDescent="0.3">
      <c r="A935" s="54">
        <f>작성용!AL932</f>
        <v>931</v>
      </c>
      <c r="B935" s="55" t="str">
        <f>작성용!AI932</f>
        <v>체크리스트 송부 : 2024-06-12, 보고서 연말 제공</v>
      </c>
      <c r="C935" s="56" t="str">
        <f>작성용!AK932</f>
        <v>개별종목</v>
      </c>
      <c r="D935" s="57">
        <f>작성용!T932</f>
        <v>45594</v>
      </c>
      <c r="E935" s="58" t="str">
        <f>작성용!B932</f>
        <v>무림캐피탈</v>
      </c>
      <c r="F935" s="58" t="str">
        <f>작성용!C932</f>
        <v>재평가</v>
      </c>
      <c r="G935" s="58" t="str">
        <f>작성용!D932</f>
        <v>케이엘노르마창업벤처전문사모투자</v>
      </c>
      <c r="H935" s="59">
        <f>작성용!E932</f>
        <v>1101130029917</v>
      </c>
      <c r="I935" s="58" t="str">
        <f>작성용!F932</f>
        <v>B01</v>
      </c>
      <c r="J935" s="58">
        <f>작성용!G932</f>
        <v>0</v>
      </c>
      <c r="K935" s="58" t="str">
        <f>작성용!H932</f>
        <v>-</v>
      </c>
      <c r="L935" s="58" t="str">
        <f>작성용!N932</f>
        <v xml:space="preserve">반기 </v>
      </c>
      <c r="M935" s="57" t="str">
        <f>작성용!U932</f>
        <v>2024.11.30</v>
      </c>
      <c r="N935" s="57">
        <f>작성용!V932</f>
        <v>45632</v>
      </c>
      <c r="O935" s="57">
        <f>작성용!W932</f>
        <v>45639</v>
      </c>
      <c r="P935" s="57" t="str">
        <f>작성용!X932</f>
        <v>-</v>
      </c>
      <c r="Q935" s="58" t="str">
        <f>작성용!AD932</f>
        <v>이문수</v>
      </c>
      <c r="R935" s="60">
        <f>작성용!AE932</f>
        <v>1</v>
      </c>
      <c r="S935" s="58" t="str">
        <f>작성용!AF932</f>
        <v>이문수</v>
      </c>
      <c r="T935" s="61" t="str">
        <f>작성용!AG932</f>
        <v>조현우</v>
      </c>
      <c r="U935" s="61" t="str">
        <f>작성용!AH932</f>
        <v>조현우</v>
      </c>
      <c r="V935" s="56">
        <f>작성용!AA932</f>
        <v>202411</v>
      </c>
      <c r="W935" s="58" t="str">
        <f>작성용!AC932</f>
        <v>[Y]금융기관</v>
      </c>
      <c r="X935" s="58" t="str">
        <f>작성용!O932</f>
        <v xml:space="preserve">이용석팀장,황혜진주임 </v>
      </c>
      <c r="Y935" s="58" t="str">
        <f>작성용!P932</f>
        <v xml:space="preserve">02-3709-8860,010-5155-7551,02-3709-8811,010-5260-2103 </v>
      </c>
      <c r="Z935" s="58" t="str">
        <f>작성용!Q932</f>
        <v xml:space="preserve">leeys@moorimcapital.co.kr; hyejin.h@moorimcapital.co.kr </v>
      </c>
      <c r="AA935" s="56" t="str">
        <f>작성용!AJ932</f>
        <v>-</v>
      </c>
      <c r="AB935" s="56">
        <f>작성용!AB932</f>
        <v>0</v>
      </c>
    </row>
    <row r="936" spans="1:28" s="12" customFormat="1" ht="16.5" hidden="1" customHeight="1" x14ac:dyDescent="0.3">
      <c r="A936" s="54">
        <f>작성용!AL933</f>
        <v>932</v>
      </c>
      <c r="B936" s="55" t="str">
        <f>작성용!AI933</f>
        <v>체크리스트 송부 : 2024-06-12, 보고서 연말 제공</v>
      </c>
      <c r="C936" s="56" t="str">
        <f>작성용!AK933</f>
        <v>개별종목</v>
      </c>
      <c r="D936" s="57">
        <f>작성용!T933</f>
        <v>45594</v>
      </c>
      <c r="E936" s="58" t="str">
        <f>작성용!B933</f>
        <v>무림캐피탈</v>
      </c>
      <c r="F936" s="58" t="str">
        <f>작성용!C933</f>
        <v>재평가</v>
      </c>
      <c r="G936" s="58" t="str">
        <f>작성용!D933</f>
        <v>신한노틱제1호사모투자</v>
      </c>
      <c r="H936" s="59">
        <f>작성용!E933</f>
        <v>1101130030005</v>
      </c>
      <c r="I936" s="58" t="str">
        <f>작성용!F933</f>
        <v>B01</v>
      </c>
      <c r="J936" s="58">
        <f>작성용!G933</f>
        <v>0</v>
      </c>
      <c r="K936" s="58" t="str">
        <f>작성용!H933</f>
        <v>-</v>
      </c>
      <c r="L936" s="58" t="str">
        <f>작성용!N933</f>
        <v xml:space="preserve">반기 </v>
      </c>
      <c r="M936" s="57" t="str">
        <f>작성용!U933</f>
        <v>2024.11.30</v>
      </c>
      <c r="N936" s="57">
        <f>작성용!V933</f>
        <v>45632</v>
      </c>
      <c r="O936" s="57">
        <f>작성용!W933</f>
        <v>45639</v>
      </c>
      <c r="P936" s="57" t="str">
        <f>작성용!X933</f>
        <v>-</v>
      </c>
      <c r="Q936" s="58" t="str">
        <f>작성용!AD933</f>
        <v>이상민</v>
      </c>
      <c r="R936" s="60">
        <f>작성용!AE933</f>
        <v>1</v>
      </c>
      <c r="S936" s="58" t="str">
        <f>작성용!AF933</f>
        <v>이상민</v>
      </c>
      <c r="T936" s="61" t="str">
        <f>작성용!AG933</f>
        <v>조현우</v>
      </c>
      <c r="U936" s="61" t="str">
        <f>작성용!AH933</f>
        <v>조현우</v>
      </c>
      <c r="V936" s="56">
        <f>작성용!AA933</f>
        <v>202411</v>
      </c>
      <c r="W936" s="58" t="str">
        <f>작성용!AC933</f>
        <v>[Y]금융기관</v>
      </c>
      <c r="X936" s="58" t="str">
        <f>작성용!O933</f>
        <v xml:space="preserve">이용석팀장,황혜진주임 </v>
      </c>
      <c r="Y936" s="58" t="str">
        <f>작성용!P933</f>
        <v xml:space="preserve">02-3709-8860,010-5155-7551,02-3709-8811,010-5260-2103 </v>
      </c>
      <c r="Z936" s="58" t="str">
        <f>작성용!Q933</f>
        <v xml:space="preserve">leeys@moorimcapital.co.kr; hyejin.h@moorimcapital.co.kr </v>
      </c>
      <c r="AA936" s="56" t="str">
        <f>작성용!AJ933</f>
        <v>-</v>
      </c>
      <c r="AB936" s="56">
        <f>작성용!AB933</f>
        <v>0</v>
      </c>
    </row>
    <row r="937" spans="1:28" s="12" customFormat="1" ht="16.5" hidden="1" customHeight="1" x14ac:dyDescent="0.3">
      <c r="A937" s="54">
        <f>작성용!AL934</f>
        <v>933</v>
      </c>
      <c r="B937" s="55" t="str">
        <f>작성용!AI934</f>
        <v>체크리스트 송부 : 2024-06-12, 보고서 연말 제공</v>
      </c>
      <c r="C937" s="56" t="str">
        <f>작성용!AK934</f>
        <v>개별종목</v>
      </c>
      <c r="D937" s="57">
        <f>작성용!T934</f>
        <v>45594</v>
      </c>
      <c r="E937" s="58" t="str">
        <f>작성용!B934</f>
        <v>무림캐피탈</v>
      </c>
      <c r="F937" s="58" t="str">
        <f>작성용!C934</f>
        <v>재평가</v>
      </c>
      <c r="G937" s="58" t="str">
        <f>작성용!D934</f>
        <v>파라투스우리소부장사모투자</v>
      </c>
      <c r="H937" s="59">
        <f>작성용!E934</f>
        <v>1101130030120</v>
      </c>
      <c r="I937" s="58" t="str">
        <f>작성용!F934</f>
        <v>B01</v>
      </c>
      <c r="J937" s="58">
        <f>작성용!G934</f>
        <v>0</v>
      </c>
      <c r="K937" s="58" t="str">
        <f>작성용!H934</f>
        <v>-</v>
      </c>
      <c r="L937" s="58" t="str">
        <f>작성용!N934</f>
        <v xml:space="preserve">반기 </v>
      </c>
      <c r="M937" s="57" t="str">
        <f>작성용!U934</f>
        <v>2024.11.30</v>
      </c>
      <c r="N937" s="57">
        <f>작성용!V934</f>
        <v>45632</v>
      </c>
      <c r="O937" s="57">
        <f>작성용!W934</f>
        <v>45639</v>
      </c>
      <c r="P937" s="57" t="str">
        <f>작성용!X934</f>
        <v>-</v>
      </c>
      <c r="Q937" s="58" t="str">
        <f>작성용!AD934</f>
        <v>심태진</v>
      </c>
      <c r="R937" s="60">
        <f>작성용!AE934</f>
        <v>1</v>
      </c>
      <c r="S937" s="58" t="str">
        <f>작성용!AF934</f>
        <v>심태진</v>
      </c>
      <c r="T937" s="61" t="str">
        <f>작성용!AG934</f>
        <v>조현우</v>
      </c>
      <c r="U937" s="61" t="str">
        <f>작성용!AH934</f>
        <v>조현우</v>
      </c>
      <c r="V937" s="56">
        <f>작성용!AA934</f>
        <v>202411</v>
      </c>
      <c r="W937" s="58" t="str">
        <f>작성용!AC934</f>
        <v>[Y]금융기관</v>
      </c>
      <c r="X937" s="58" t="str">
        <f>작성용!O934</f>
        <v xml:space="preserve">이용석팀장,황혜진주임 </v>
      </c>
      <c r="Y937" s="58" t="str">
        <f>작성용!P934</f>
        <v xml:space="preserve">02-3709-8860,010-5155-7551,02-3709-8811,010-5260-2103 </v>
      </c>
      <c r="Z937" s="58" t="str">
        <f>작성용!Q934</f>
        <v xml:space="preserve">leeys@moorimcapital.co.kr; hyejin.h@moorimcapital.co.kr </v>
      </c>
      <c r="AA937" s="56" t="str">
        <f>작성용!AJ934</f>
        <v>-</v>
      </c>
      <c r="AB937" s="56">
        <f>작성용!AB934</f>
        <v>0</v>
      </c>
    </row>
    <row r="938" spans="1:28" s="12" customFormat="1" ht="16.5" hidden="1" customHeight="1" x14ac:dyDescent="0.3">
      <c r="A938" s="54">
        <f>작성용!AL935</f>
        <v>934</v>
      </c>
      <c r="B938" s="55" t="str">
        <f>작성용!AI935</f>
        <v>체크리스트 송부 : 2024-06-12, 보고서 연말 제공</v>
      </c>
      <c r="C938" s="56" t="str">
        <f>작성용!AK935</f>
        <v>개별종목</v>
      </c>
      <c r="D938" s="57">
        <f>작성용!T935</f>
        <v>45594</v>
      </c>
      <c r="E938" s="58" t="str">
        <f>작성용!B935</f>
        <v>무림캐피탈</v>
      </c>
      <c r="F938" s="58" t="str">
        <f>작성용!C935</f>
        <v>재평가</v>
      </c>
      <c r="G938" s="58" t="str">
        <f>작성용!D935</f>
        <v>마일스톤마젠타사모투자</v>
      </c>
      <c r="H938" s="59">
        <f>작성용!E935</f>
        <v>1101130028935</v>
      </c>
      <c r="I938" s="58" t="str">
        <f>작성용!F935</f>
        <v>B01</v>
      </c>
      <c r="J938" s="58">
        <f>작성용!G935</f>
        <v>0</v>
      </c>
      <c r="K938" s="58" t="str">
        <f>작성용!H935</f>
        <v>-</v>
      </c>
      <c r="L938" s="58" t="str">
        <f>작성용!N935</f>
        <v xml:space="preserve">반기 </v>
      </c>
      <c r="M938" s="57" t="str">
        <f>작성용!U935</f>
        <v>2024.11.30</v>
      </c>
      <c r="N938" s="57">
        <f>작성용!V935</f>
        <v>45632</v>
      </c>
      <c r="O938" s="57">
        <f>작성용!W935</f>
        <v>45639</v>
      </c>
      <c r="P938" s="57" t="str">
        <f>작성용!X935</f>
        <v>-</v>
      </c>
      <c r="Q938" s="58" t="str">
        <f>작성용!AD935</f>
        <v>채동우</v>
      </c>
      <c r="R938" s="60">
        <f>작성용!AE935</f>
        <v>1</v>
      </c>
      <c r="S938" s="58" t="str">
        <f>작성용!AF935</f>
        <v>채동우</v>
      </c>
      <c r="T938" s="61" t="str">
        <f>작성용!AG935</f>
        <v>조현우</v>
      </c>
      <c r="U938" s="61" t="str">
        <f>작성용!AH935</f>
        <v>조현우</v>
      </c>
      <c r="V938" s="56">
        <f>작성용!AA935</f>
        <v>202411</v>
      </c>
      <c r="W938" s="58" t="str">
        <f>작성용!AC935</f>
        <v>[Y]금융기관</v>
      </c>
      <c r="X938" s="58" t="str">
        <f>작성용!O935</f>
        <v xml:space="preserve">이용석팀장,황혜진주임 </v>
      </c>
      <c r="Y938" s="58" t="str">
        <f>작성용!P935</f>
        <v xml:space="preserve">02-3709-8860,010-5155-7551,02-3709-8811,010-5260-2103 </v>
      </c>
      <c r="Z938" s="58" t="str">
        <f>작성용!Q935</f>
        <v xml:space="preserve">leeys@moorimcapital.co.kr; hyejin.h@moorimcapital.co.kr </v>
      </c>
      <c r="AA938" s="56" t="str">
        <f>작성용!AJ935</f>
        <v>-</v>
      </c>
      <c r="AB938" s="56">
        <f>작성용!AB935</f>
        <v>0</v>
      </c>
    </row>
    <row r="939" spans="1:28" s="12" customFormat="1" ht="16.5" hidden="1" customHeight="1" x14ac:dyDescent="0.3">
      <c r="A939" s="54">
        <f>작성용!AL936</f>
        <v>935</v>
      </c>
      <c r="B939" s="55" t="str">
        <f>작성용!AI936</f>
        <v>체크리스트 송부 : 2024-06-12, 보고서 연말 제공</v>
      </c>
      <c r="C939" s="56" t="str">
        <f>작성용!AK936</f>
        <v>개별종목</v>
      </c>
      <c r="D939" s="57">
        <f>작성용!T936</f>
        <v>45594</v>
      </c>
      <c r="E939" s="58" t="str">
        <f>작성용!B936</f>
        <v>무림캐피탈</v>
      </c>
      <c r="F939" s="58" t="str">
        <f>작성용!C936</f>
        <v>재평가</v>
      </c>
      <c r="G939" s="58" t="str">
        <f>작성용!D936</f>
        <v>메타티비이에스지제일호사모투자</v>
      </c>
      <c r="H939" s="59">
        <f>작성용!E936</f>
        <v>1101130030617</v>
      </c>
      <c r="I939" s="58" t="str">
        <f>작성용!F936</f>
        <v>B01</v>
      </c>
      <c r="J939" s="58">
        <f>작성용!G936</f>
        <v>0</v>
      </c>
      <c r="K939" s="58" t="str">
        <f>작성용!H936</f>
        <v>-</v>
      </c>
      <c r="L939" s="58" t="str">
        <f>작성용!N936</f>
        <v xml:space="preserve">반기 </v>
      </c>
      <c r="M939" s="57" t="str">
        <f>작성용!U936</f>
        <v>2024.11.30</v>
      </c>
      <c r="N939" s="57">
        <f>작성용!V936</f>
        <v>45632</v>
      </c>
      <c r="O939" s="57">
        <f>작성용!W936</f>
        <v>45639</v>
      </c>
      <c r="P939" s="57" t="str">
        <f>작성용!X936</f>
        <v>-</v>
      </c>
      <c r="Q939" s="58" t="str">
        <f>작성용!AD936</f>
        <v>이문수</v>
      </c>
      <c r="R939" s="60">
        <f>작성용!AE936</f>
        <v>1</v>
      </c>
      <c r="S939" s="58" t="str">
        <f>작성용!AF936</f>
        <v>이문수</v>
      </c>
      <c r="T939" s="61" t="str">
        <f>작성용!AG936</f>
        <v>조현우</v>
      </c>
      <c r="U939" s="61" t="str">
        <f>작성용!AH936</f>
        <v>조현우</v>
      </c>
      <c r="V939" s="56">
        <f>작성용!AA936</f>
        <v>202411</v>
      </c>
      <c r="W939" s="58" t="str">
        <f>작성용!AC936</f>
        <v>[Y]금융기관</v>
      </c>
      <c r="X939" s="58" t="str">
        <f>작성용!O936</f>
        <v xml:space="preserve">이용석팀장,황혜진주임 </v>
      </c>
      <c r="Y939" s="58" t="str">
        <f>작성용!P936</f>
        <v xml:space="preserve">02-3709-8860,010-5155-7551,02-3709-8811,010-5260-2103 </v>
      </c>
      <c r="Z939" s="58" t="str">
        <f>작성용!Q936</f>
        <v xml:space="preserve">leeys@moorimcapital.co.kr; hyejin.h@moorimcapital.co.kr </v>
      </c>
      <c r="AA939" s="56" t="str">
        <f>작성용!AJ936</f>
        <v>-</v>
      </c>
      <c r="AB939" s="56">
        <f>작성용!AB936</f>
        <v>0</v>
      </c>
    </row>
    <row r="940" spans="1:28" s="12" customFormat="1" ht="16.5" hidden="1" customHeight="1" x14ac:dyDescent="0.3">
      <c r="A940" s="54">
        <f>작성용!AL937</f>
        <v>936</v>
      </c>
      <c r="B940" s="55" t="str">
        <f>작성용!AI937</f>
        <v>체크리스트 송부 : 2024-06-12, 보고서 연말 제공</v>
      </c>
      <c r="C940" s="56" t="str">
        <f>작성용!AK937</f>
        <v>개별종목</v>
      </c>
      <c r="D940" s="57">
        <f>작성용!T937</f>
        <v>45594</v>
      </c>
      <c r="E940" s="58" t="str">
        <f>작성용!B937</f>
        <v>무림캐피탈</v>
      </c>
      <c r="F940" s="58" t="str">
        <f>작성용!C937</f>
        <v>재평가</v>
      </c>
      <c r="G940" s="58" t="str">
        <f>작성용!D937</f>
        <v>티제이더블유제삼호사모투자</v>
      </c>
      <c r="H940" s="59">
        <f>작성용!E937</f>
        <v>1101130031714</v>
      </c>
      <c r="I940" s="58" t="str">
        <f>작성용!F937</f>
        <v>B01</v>
      </c>
      <c r="J940" s="58">
        <f>작성용!G937</f>
        <v>0</v>
      </c>
      <c r="K940" s="58" t="str">
        <f>작성용!H937</f>
        <v>-</v>
      </c>
      <c r="L940" s="58" t="str">
        <f>작성용!N937</f>
        <v xml:space="preserve">반기 </v>
      </c>
      <c r="M940" s="57" t="str">
        <f>작성용!U937</f>
        <v>2024.11.30</v>
      </c>
      <c r="N940" s="57">
        <f>작성용!V937</f>
        <v>45632</v>
      </c>
      <c r="O940" s="57">
        <f>작성용!W937</f>
        <v>45639</v>
      </c>
      <c r="P940" s="57" t="str">
        <f>작성용!X937</f>
        <v>-</v>
      </c>
      <c r="Q940" s="58" t="str">
        <f>작성용!AD937</f>
        <v>이진주</v>
      </c>
      <c r="R940" s="60">
        <f>작성용!AE937</f>
        <v>1</v>
      </c>
      <c r="S940" s="58" t="str">
        <f>작성용!AF937</f>
        <v>이진주</v>
      </c>
      <c r="T940" s="61" t="str">
        <f>작성용!AG937</f>
        <v>조현우</v>
      </c>
      <c r="U940" s="61" t="str">
        <f>작성용!AH937</f>
        <v>조현우</v>
      </c>
      <c r="V940" s="56">
        <f>작성용!AA937</f>
        <v>202411</v>
      </c>
      <c r="W940" s="58" t="str">
        <f>작성용!AC937</f>
        <v>[Y]금융기관</v>
      </c>
      <c r="X940" s="58" t="str">
        <f>작성용!O937</f>
        <v xml:space="preserve">이용석팀장,황혜진주임 </v>
      </c>
      <c r="Y940" s="58" t="str">
        <f>작성용!P937</f>
        <v xml:space="preserve">02-3709-8860,010-5155-7551,02-3709-8811,010-5260-2103 </v>
      </c>
      <c r="Z940" s="58" t="str">
        <f>작성용!Q937</f>
        <v xml:space="preserve">leeys@moorimcapital.co.kr; hyejin.h@moorimcapital.co.kr </v>
      </c>
      <c r="AA940" s="56" t="str">
        <f>작성용!AJ937</f>
        <v>-</v>
      </c>
      <c r="AB940" s="56">
        <f>작성용!AB937</f>
        <v>0</v>
      </c>
    </row>
    <row r="941" spans="1:28" s="12" customFormat="1" ht="16.5" hidden="1" customHeight="1" x14ac:dyDescent="0.3">
      <c r="A941" s="54">
        <f>작성용!AL938</f>
        <v>937</v>
      </c>
      <c r="B941" s="55" t="str">
        <f>작성용!AI938</f>
        <v>체크리스트 송부 : 2024-06-12, 보고서 연말 제공</v>
      </c>
      <c r="C941" s="56" t="str">
        <f>작성용!AK938</f>
        <v>개별종목</v>
      </c>
      <c r="D941" s="57">
        <f>작성용!T938</f>
        <v>45594</v>
      </c>
      <c r="E941" s="58" t="str">
        <f>작성용!B938</f>
        <v>무림캐피탈</v>
      </c>
      <c r="F941" s="58" t="str">
        <f>작성용!C938</f>
        <v>재평가</v>
      </c>
      <c r="G941" s="58" t="str">
        <f>작성용!D938</f>
        <v>르네사모투자</v>
      </c>
      <c r="H941" s="59">
        <f>작성용!E938</f>
        <v>1101130031558</v>
      </c>
      <c r="I941" s="58" t="str">
        <f>작성용!F938</f>
        <v>B01</v>
      </c>
      <c r="J941" s="58">
        <f>작성용!G938</f>
        <v>0</v>
      </c>
      <c r="K941" s="58" t="str">
        <f>작성용!H938</f>
        <v>-</v>
      </c>
      <c r="L941" s="58" t="str">
        <f>작성용!N938</f>
        <v xml:space="preserve">반기 </v>
      </c>
      <c r="M941" s="57" t="str">
        <f>작성용!U938</f>
        <v>2024.12.31</v>
      </c>
      <c r="N941" s="57">
        <f>작성용!V938</f>
        <v>45664</v>
      </c>
      <c r="O941" s="57">
        <f>작성용!W938</f>
        <v>45671</v>
      </c>
      <c r="P941" s="57" t="str">
        <f>작성용!X938</f>
        <v>-</v>
      </c>
      <c r="Q941" s="58" t="str">
        <f>작성용!AD938</f>
        <v>강성은</v>
      </c>
      <c r="R941" s="60">
        <f>작성용!AE938</f>
        <v>1</v>
      </c>
      <c r="S941" s="58" t="str">
        <f>작성용!AF938</f>
        <v>강성은</v>
      </c>
      <c r="T941" s="61" t="str">
        <f>작성용!AG938</f>
        <v>조현우</v>
      </c>
      <c r="U941" s="61" t="str">
        <f>작성용!AH938</f>
        <v>조현우</v>
      </c>
      <c r="V941" s="56">
        <f>작성용!AA938</f>
        <v>202411</v>
      </c>
      <c r="W941" s="58" t="str">
        <f>작성용!AC938</f>
        <v>[Y]금융기관</v>
      </c>
      <c r="X941" s="58" t="str">
        <f>작성용!O938</f>
        <v xml:space="preserve">이용석팀장,황혜진주임 </v>
      </c>
      <c r="Y941" s="58" t="str">
        <f>작성용!P938</f>
        <v xml:space="preserve">02-3709-8860,010-5155-7551,02-3709-8811,010-5260-2103 </v>
      </c>
      <c r="Z941" s="58" t="str">
        <f>작성용!Q938</f>
        <v xml:space="preserve">leeys@moorimcapital.co.kr; hyejin.h@moorimcapital.co.kr </v>
      </c>
      <c r="AA941" s="56" t="str">
        <f>작성용!AJ938</f>
        <v>-</v>
      </c>
      <c r="AB941" s="56">
        <f>작성용!AB938</f>
        <v>0</v>
      </c>
    </row>
    <row r="942" spans="1:28" s="12" customFormat="1" ht="16.5" hidden="1" customHeight="1" x14ac:dyDescent="0.3">
      <c r="A942" s="54">
        <f>작성용!AL939</f>
        <v>938</v>
      </c>
      <c r="B942" s="55" t="str">
        <f>작성용!AI939</f>
        <v>체크리스트 송부 : 2024-06-12, 보고서 연말 제공</v>
      </c>
      <c r="C942" s="56" t="str">
        <f>작성용!AK939</f>
        <v>개별종목</v>
      </c>
      <c r="D942" s="57">
        <f>작성용!T939</f>
        <v>45594</v>
      </c>
      <c r="E942" s="58" t="str">
        <f>작성용!B939</f>
        <v>무림캐피탈</v>
      </c>
      <c r="F942" s="58" t="str">
        <f>작성용!C939</f>
        <v>재평가</v>
      </c>
      <c r="G942" s="58" t="str">
        <f>작성용!D939</f>
        <v>브이엘가임사모투자</v>
      </c>
      <c r="H942" s="59">
        <f>작성용!E939</f>
        <v>1101130031996</v>
      </c>
      <c r="I942" s="58" t="str">
        <f>작성용!F939</f>
        <v>B01</v>
      </c>
      <c r="J942" s="58">
        <f>작성용!G939</f>
        <v>0</v>
      </c>
      <c r="K942" s="58" t="str">
        <f>작성용!H939</f>
        <v>-</v>
      </c>
      <c r="L942" s="58" t="str">
        <f>작성용!N939</f>
        <v xml:space="preserve">반기 </v>
      </c>
      <c r="M942" s="57" t="str">
        <f>작성용!U939</f>
        <v>2024.11.30</v>
      </c>
      <c r="N942" s="57">
        <f>작성용!V939</f>
        <v>45632</v>
      </c>
      <c r="O942" s="57">
        <f>작성용!W939</f>
        <v>45639</v>
      </c>
      <c r="P942" s="57" t="str">
        <f>작성용!X939</f>
        <v>-</v>
      </c>
      <c r="Q942" s="58" t="str">
        <f>작성용!AD939</f>
        <v>강성은</v>
      </c>
      <c r="R942" s="60">
        <f>작성용!AE939</f>
        <v>1</v>
      </c>
      <c r="S942" s="58" t="str">
        <f>작성용!AF939</f>
        <v>강성은</v>
      </c>
      <c r="T942" s="61" t="str">
        <f>작성용!AG939</f>
        <v>조현우</v>
      </c>
      <c r="U942" s="61" t="str">
        <f>작성용!AH939</f>
        <v>조현우</v>
      </c>
      <c r="V942" s="56">
        <f>작성용!AA939</f>
        <v>202411</v>
      </c>
      <c r="W942" s="58" t="str">
        <f>작성용!AC939</f>
        <v>[Y]금융기관</v>
      </c>
      <c r="X942" s="58" t="str">
        <f>작성용!O939</f>
        <v xml:space="preserve">이용석팀장,황혜진주임 </v>
      </c>
      <c r="Y942" s="58" t="str">
        <f>작성용!P939</f>
        <v xml:space="preserve">02-3709-8860,010-5155-7551,02-3709-8811,010-5260-2103 </v>
      </c>
      <c r="Z942" s="58" t="str">
        <f>작성용!Q939</f>
        <v xml:space="preserve">leeys@moorimcapital.co.kr; hyejin.h@moorimcapital.co.kr </v>
      </c>
      <c r="AA942" s="56" t="str">
        <f>작성용!AJ939</f>
        <v>-</v>
      </c>
      <c r="AB942" s="56">
        <f>작성용!AB939</f>
        <v>0</v>
      </c>
    </row>
    <row r="943" spans="1:28" s="12" customFormat="1" ht="16.5" hidden="1" customHeight="1" x14ac:dyDescent="0.3">
      <c r="A943" s="54">
        <f>작성용!AL940</f>
        <v>939</v>
      </c>
      <c r="B943" s="55" t="str">
        <f>작성용!AI940</f>
        <v>재분배:조현우과장님 / 체크리스트 송부 : 2024-06-12, 보고서 연말 제공</v>
      </c>
      <c r="C943" s="56" t="str">
        <f>작성용!AK940</f>
        <v>개별종목</v>
      </c>
      <c r="D943" s="57">
        <f>작성용!T940</f>
        <v>45594</v>
      </c>
      <c r="E943" s="58" t="str">
        <f>작성용!B940</f>
        <v>무림캐피탈</v>
      </c>
      <c r="F943" s="58" t="str">
        <f>작성용!C940</f>
        <v>재평가</v>
      </c>
      <c r="G943" s="58" t="str">
        <f>작성용!D940</f>
        <v>대신에코에너지제1호사모투자</v>
      </c>
      <c r="H943" s="59">
        <f>작성용!E940</f>
        <v>1101130032530</v>
      </c>
      <c r="I943" s="58" t="str">
        <f>작성용!F940</f>
        <v>B01</v>
      </c>
      <c r="J943" s="58">
        <f>작성용!G940</f>
        <v>0</v>
      </c>
      <c r="K943" s="58" t="str">
        <f>작성용!H940</f>
        <v>-</v>
      </c>
      <c r="L943" s="58" t="str">
        <f>작성용!N940</f>
        <v xml:space="preserve">반기 </v>
      </c>
      <c r="M943" s="57" t="str">
        <f>작성용!U940</f>
        <v>2024.11.30</v>
      </c>
      <c r="N943" s="57">
        <f>작성용!V940</f>
        <v>45632</v>
      </c>
      <c r="O943" s="57">
        <f>작성용!W940</f>
        <v>45639</v>
      </c>
      <c r="P943" s="57" t="str">
        <f>작성용!X940</f>
        <v>-</v>
      </c>
      <c r="Q943" s="58" t="str">
        <f>작성용!AD940</f>
        <v>조현우</v>
      </c>
      <c r="R943" s="60">
        <f>작성용!AE940</f>
        <v>1</v>
      </c>
      <c r="S943" s="58" t="str">
        <f>작성용!AF940</f>
        <v>조현우</v>
      </c>
      <c r="T943" s="61" t="str">
        <f>작성용!AG940</f>
        <v>조현우</v>
      </c>
      <c r="U943" s="61" t="str">
        <f>작성용!AH940</f>
        <v>조현우</v>
      </c>
      <c r="V943" s="56">
        <f>작성용!AA940</f>
        <v>202411</v>
      </c>
      <c r="W943" s="58" t="str">
        <f>작성용!AC940</f>
        <v>[Y]금융기관</v>
      </c>
      <c r="X943" s="58" t="str">
        <f>작성용!O940</f>
        <v xml:space="preserve">이용석팀장,황혜진주임 </v>
      </c>
      <c r="Y943" s="58" t="str">
        <f>작성용!P940</f>
        <v xml:space="preserve">02-3709-8860,010-5155-7551,02-3709-8811,010-5260-2103 </v>
      </c>
      <c r="Z943" s="58" t="str">
        <f>작성용!Q940</f>
        <v xml:space="preserve">leeys@moorimcapital.co.kr; hyejin.h@moorimcapital.co.kr </v>
      </c>
      <c r="AA943" s="56" t="str">
        <f>작성용!AJ940</f>
        <v>-</v>
      </c>
      <c r="AB943" s="56">
        <f>작성용!AB940</f>
        <v>0</v>
      </c>
    </row>
    <row r="944" spans="1:28" s="12" customFormat="1" ht="16.5" hidden="1" customHeight="1" x14ac:dyDescent="0.3">
      <c r="A944" s="54">
        <f>작성용!AL941</f>
        <v>940</v>
      </c>
      <c r="B944" s="55" t="str">
        <f>작성용!AI941</f>
        <v>체크리스트 송부 : 2024-06-12, 보고서 연말 제공</v>
      </c>
      <c r="C944" s="56" t="str">
        <f>작성용!AK941</f>
        <v>개별종목</v>
      </c>
      <c r="D944" s="57">
        <f>작성용!T941</f>
        <v>45594</v>
      </c>
      <c r="E944" s="58" t="str">
        <f>작성용!B941</f>
        <v>무림캐피탈</v>
      </c>
      <c r="F944" s="58" t="str">
        <f>작성용!C941</f>
        <v>재평가</v>
      </c>
      <c r="G944" s="58" t="str">
        <f>작성용!D941</f>
        <v>시냅틱그린소부장제1호사모투자</v>
      </c>
      <c r="H944" s="59">
        <f>작성용!E941</f>
        <v>1101130032548</v>
      </c>
      <c r="I944" s="58" t="str">
        <f>작성용!F941</f>
        <v>B01</v>
      </c>
      <c r="J944" s="58">
        <f>작성용!G941</f>
        <v>0</v>
      </c>
      <c r="K944" s="58" t="str">
        <f>작성용!H941</f>
        <v>-</v>
      </c>
      <c r="L944" s="58" t="str">
        <f>작성용!N941</f>
        <v xml:space="preserve">반기 </v>
      </c>
      <c r="M944" s="57" t="str">
        <f>작성용!U941</f>
        <v>2024.11.30</v>
      </c>
      <c r="N944" s="57">
        <f>작성용!V941</f>
        <v>45632</v>
      </c>
      <c r="O944" s="57">
        <f>작성용!W941</f>
        <v>45639</v>
      </c>
      <c r="P944" s="57" t="str">
        <f>작성용!X941</f>
        <v>-</v>
      </c>
      <c r="Q944" s="58" t="str">
        <f>작성용!AD941</f>
        <v>김수현</v>
      </c>
      <c r="R944" s="60">
        <f>작성용!AE941</f>
        <v>1</v>
      </c>
      <c r="S944" s="58" t="str">
        <f>작성용!AF941</f>
        <v>김수현</v>
      </c>
      <c r="T944" s="61" t="str">
        <f>작성용!AG941</f>
        <v>조현우</v>
      </c>
      <c r="U944" s="61" t="str">
        <f>작성용!AH941</f>
        <v>조현우</v>
      </c>
      <c r="V944" s="56">
        <f>작성용!AA941</f>
        <v>202411</v>
      </c>
      <c r="W944" s="58" t="str">
        <f>작성용!AC941</f>
        <v>[Y]금융기관</v>
      </c>
      <c r="X944" s="58" t="str">
        <f>작성용!O941</f>
        <v xml:space="preserve">이용석팀장,황혜진주임 </v>
      </c>
      <c r="Y944" s="58" t="str">
        <f>작성용!P941</f>
        <v xml:space="preserve">02-3709-8860,010-5155-7551,02-3709-8811,010-5260-2103 </v>
      </c>
      <c r="Z944" s="58" t="str">
        <f>작성용!Q941</f>
        <v xml:space="preserve">leeys@moorimcapital.co.kr; hyejin.h@moorimcapital.co.kr </v>
      </c>
      <c r="AA944" s="56" t="str">
        <f>작성용!AJ941</f>
        <v>-</v>
      </c>
      <c r="AB944" s="56">
        <f>작성용!AB941</f>
        <v>0</v>
      </c>
    </row>
    <row r="945" spans="1:28" s="12" customFormat="1" ht="16.5" hidden="1" customHeight="1" x14ac:dyDescent="0.3">
      <c r="A945" s="54">
        <f>작성용!AL942</f>
        <v>941</v>
      </c>
      <c r="B945" s="55" t="str">
        <f>작성용!AI942</f>
        <v>체크리스트 송부 : 2024-06-12, 보고서 연말 제공</v>
      </c>
      <c r="C945" s="56" t="str">
        <f>작성용!AK942</f>
        <v>개별종목</v>
      </c>
      <c r="D945" s="57">
        <f>작성용!T942</f>
        <v>45594</v>
      </c>
      <c r="E945" s="58" t="str">
        <f>작성용!B942</f>
        <v>무림캐피탈</v>
      </c>
      <c r="F945" s="58" t="str">
        <f>작성용!C942</f>
        <v>재평가</v>
      </c>
      <c r="G945" s="58" t="str">
        <f>작성용!D942</f>
        <v>오티엄그래비티사모투자</v>
      </c>
      <c r="H945" s="59">
        <f>작성용!E942</f>
        <v>1101130032697</v>
      </c>
      <c r="I945" s="58" t="str">
        <f>작성용!F942</f>
        <v>B01</v>
      </c>
      <c r="J945" s="58">
        <f>작성용!G942</f>
        <v>0</v>
      </c>
      <c r="K945" s="58" t="str">
        <f>작성용!H942</f>
        <v>-</v>
      </c>
      <c r="L945" s="58" t="str">
        <f>작성용!N942</f>
        <v xml:space="preserve">반기 </v>
      </c>
      <c r="M945" s="57" t="str">
        <f>작성용!U942</f>
        <v>2024.11.30</v>
      </c>
      <c r="N945" s="57">
        <f>작성용!V942</f>
        <v>45632</v>
      </c>
      <c r="O945" s="57">
        <f>작성용!W942</f>
        <v>45639</v>
      </c>
      <c r="P945" s="57" t="str">
        <f>작성용!X942</f>
        <v>-</v>
      </c>
      <c r="Q945" s="58" t="str">
        <f>작성용!AD942</f>
        <v>김수현</v>
      </c>
      <c r="R945" s="60">
        <f>작성용!AE942</f>
        <v>1</v>
      </c>
      <c r="S945" s="58" t="str">
        <f>작성용!AF942</f>
        <v>김수현</v>
      </c>
      <c r="T945" s="61" t="str">
        <f>작성용!AG942</f>
        <v>조현우</v>
      </c>
      <c r="U945" s="61" t="str">
        <f>작성용!AH942</f>
        <v>조현우</v>
      </c>
      <c r="V945" s="56">
        <f>작성용!AA942</f>
        <v>202411</v>
      </c>
      <c r="W945" s="58" t="str">
        <f>작성용!AC942</f>
        <v>[Y]금융기관</v>
      </c>
      <c r="X945" s="58" t="str">
        <f>작성용!O942</f>
        <v xml:space="preserve">이용석팀장,황혜진주임 </v>
      </c>
      <c r="Y945" s="58" t="str">
        <f>작성용!P942</f>
        <v xml:space="preserve">02-3709-8860,010-5155-7551,02-3709-8811,010-5260-2103 </v>
      </c>
      <c r="Z945" s="58" t="str">
        <f>작성용!Q942</f>
        <v xml:space="preserve">leeys@moorimcapital.co.kr; hyejin.h@moorimcapital.co.kr </v>
      </c>
      <c r="AA945" s="56" t="str">
        <f>작성용!AJ942</f>
        <v>-</v>
      </c>
      <c r="AB945" s="56">
        <f>작성용!AB942</f>
        <v>0</v>
      </c>
    </row>
    <row r="946" spans="1:28" s="12" customFormat="1" ht="16.5" hidden="1" customHeight="1" x14ac:dyDescent="0.3">
      <c r="A946" s="54">
        <f>작성용!AL943</f>
        <v>942</v>
      </c>
      <c r="B946" s="55" t="str">
        <f>작성용!AI943</f>
        <v>체크리스트 송부 : 2024-06-12, 보고서 연말 제공</v>
      </c>
      <c r="C946" s="56" t="str">
        <f>작성용!AK943</f>
        <v>개별종목</v>
      </c>
      <c r="D946" s="57">
        <f>작성용!T943</f>
        <v>45594</v>
      </c>
      <c r="E946" s="58" t="str">
        <f>작성용!B943</f>
        <v>무림캐피탈</v>
      </c>
      <c r="F946" s="58" t="str">
        <f>작성용!C943</f>
        <v>재평가</v>
      </c>
      <c r="G946" s="58" t="str">
        <f>작성용!D943</f>
        <v>아이젠2022제일호사모투자</v>
      </c>
      <c r="H946" s="59">
        <f>작성용!E943</f>
        <v>1101130032689</v>
      </c>
      <c r="I946" s="58" t="str">
        <f>작성용!F943</f>
        <v>B01</v>
      </c>
      <c r="J946" s="58">
        <f>작성용!G943</f>
        <v>0</v>
      </c>
      <c r="K946" s="58" t="str">
        <f>작성용!H943</f>
        <v>-</v>
      </c>
      <c r="L946" s="58" t="str">
        <f>작성용!N943</f>
        <v xml:space="preserve">반기 </v>
      </c>
      <c r="M946" s="57" t="str">
        <f>작성용!U943</f>
        <v>2024.11.30</v>
      </c>
      <c r="N946" s="57">
        <f>작성용!V943</f>
        <v>45632</v>
      </c>
      <c r="O946" s="57">
        <f>작성용!W943</f>
        <v>45639</v>
      </c>
      <c r="P946" s="57" t="str">
        <f>작성용!X943</f>
        <v>-</v>
      </c>
      <c r="Q946" s="58" t="str">
        <f>작성용!AD943</f>
        <v>유재호</v>
      </c>
      <c r="R946" s="60">
        <f>작성용!AE943</f>
        <v>1</v>
      </c>
      <c r="S946" s="58" t="str">
        <f>작성용!AF943</f>
        <v>유재호</v>
      </c>
      <c r="T946" s="61" t="str">
        <f>작성용!AG943</f>
        <v>조현우</v>
      </c>
      <c r="U946" s="61" t="str">
        <f>작성용!AH943</f>
        <v>조현우</v>
      </c>
      <c r="V946" s="56">
        <f>작성용!AA943</f>
        <v>202411</v>
      </c>
      <c r="W946" s="58" t="str">
        <f>작성용!AC943</f>
        <v>[Y]금융기관</v>
      </c>
      <c r="X946" s="58" t="str">
        <f>작성용!O943</f>
        <v xml:space="preserve">이용석팀장,황혜진주임 </v>
      </c>
      <c r="Y946" s="58" t="str">
        <f>작성용!P943</f>
        <v xml:space="preserve">02-3709-8860,010-5155-7551,02-3709-8811,010-5260-2103 </v>
      </c>
      <c r="Z946" s="58" t="str">
        <f>작성용!Q943</f>
        <v xml:space="preserve">leeys@moorimcapital.co.kr; hyejin.h@moorimcapital.co.kr </v>
      </c>
      <c r="AA946" s="56" t="str">
        <f>작성용!AJ943</f>
        <v>-</v>
      </c>
      <c r="AB946" s="56">
        <f>작성용!AB943</f>
        <v>0</v>
      </c>
    </row>
    <row r="947" spans="1:28" s="12" customFormat="1" ht="16.5" hidden="1" customHeight="1" x14ac:dyDescent="0.3">
      <c r="A947" s="54">
        <f>작성용!AL944</f>
        <v>943</v>
      </c>
      <c r="B947" s="55" t="str">
        <f>작성용!AI944</f>
        <v>체크리스트 송부 : 2024-06-12, 보고서 연말 제공</v>
      </c>
      <c r="C947" s="56" t="str">
        <f>작성용!AK944</f>
        <v>개별종목</v>
      </c>
      <c r="D947" s="57">
        <f>작성용!T944</f>
        <v>45594</v>
      </c>
      <c r="E947" s="58" t="str">
        <f>작성용!B944</f>
        <v>무림캐피탈</v>
      </c>
      <c r="F947" s="58" t="str">
        <f>작성용!C944</f>
        <v>재평가</v>
      </c>
      <c r="G947" s="58" t="str">
        <f>작성용!D944</f>
        <v>화인그린뉴딜제2호사모투자</v>
      </c>
      <c r="H947" s="59">
        <f>작성용!E944</f>
        <v>1101130032738</v>
      </c>
      <c r="I947" s="58" t="str">
        <f>작성용!F944</f>
        <v>B01</v>
      </c>
      <c r="J947" s="58">
        <f>작성용!G944</f>
        <v>0</v>
      </c>
      <c r="K947" s="58" t="str">
        <f>작성용!H944</f>
        <v>-</v>
      </c>
      <c r="L947" s="58" t="str">
        <f>작성용!N944</f>
        <v xml:space="preserve">반기 </v>
      </c>
      <c r="M947" s="57" t="str">
        <f>작성용!U944</f>
        <v>2024.11.30</v>
      </c>
      <c r="N947" s="57">
        <f>작성용!V944</f>
        <v>45632</v>
      </c>
      <c r="O947" s="57">
        <f>작성용!W944</f>
        <v>45639</v>
      </c>
      <c r="P947" s="57" t="str">
        <f>작성용!X944</f>
        <v>-</v>
      </c>
      <c r="Q947" s="58" t="str">
        <f>작성용!AD944</f>
        <v>김영하</v>
      </c>
      <c r="R947" s="60">
        <f>작성용!AE944</f>
        <v>1</v>
      </c>
      <c r="S947" s="58" t="str">
        <f>작성용!AF944</f>
        <v>김영하</v>
      </c>
      <c r="T947" s="61" t="str">
        <f>작성용!AG944</f>
        <v>조현우</v>
      </c>
      <c r="U947" s="61" t="str">
        <f>작성용!AH944</f>
        <v>조현우</v>
      </c>
      <c r="V947" s="56">
        <f>작성용!AA944</f>
        <v>202411</v>
      </c>
      <c r="W947" s="58" t="str">
        <f>작성용!AC944</f>
        <v>[Y]금융기관</v>
      </c>
      <c r="X947" s="58" t="str">
        <f>작성용!O944</f>
        <v xml:space="preserve">이용석팀장,황혜진주임 </v>
      </c>
      <c r="Y947" s="58" t="str">
        <f>작성용!P944</f>
        <v xml:space="preserve">02-3709-8860,010-5155-7551,02-3709-8811,010-5260-2103 </v>
      </c>
      <c r="Z947" s="58" t="str">
        <f>작성용!Q944</f>
        <v xml:space="preserve">leeys@moorimcapital.co.kr; hyejin.h@moorimcapital.co.kr </v>
      </c>
      <c r="AA947" s="56" t="str">
        <f>작성용!AJ944</f>
        <v>-</v>
      </c>
      <c r="AB947" s="56">
        <f>작성용!AB944</f>
        <v>0</v>
      </c>
    </row>
    <row r="948" spans="1:28" s="12" customFormat="1" ht="16.5" hidden="1" customHeight="1" x14ac:dyDescent="0.3">
      <c r="A948" s="54">
        <f>작성용!AL945</f>
        <v>944</v>
      </c>
      <c r="B948" s="55" t="str">
        <f>작성용!AI945</f>
        <v>체크리스트 송부 : 2024-06-12, 보고서 연말 제공</v>
      </c>
      <c r="C948" s="56" t="str">
        <f>작성용!AK945</f>
        <v>개별종목</v>
      </c>
      <c r="D948" s="57">
        <f>작성용!T945</f>
        <v>45594</v>
      </c>
      <c r="E948" s="58" t="str">
        <f>작성용!B945</f>
        <v>무림캐피탈</v>
      </c>
      <c r="F948" s="58" t="str">
        <f>작성용!C945</f>
        <v>재평가</v>
      </c>
      <c r="G948" s="58" t="str">
        <f>작성용!D945</f>
        <v>제이더블유앤닷디톡스사모투자</v>
      </c>
      <c r="H948" s="59">
        <f>작성용!E945</f>
        <v>1101130032788</v>
      </c>
      <c r="I948" s="58" t="str">
        <f>작성용!F945</f>
        <v>B01</v>
      </c>
      <c r="J948" s="58">
        <f>작성용!G945</f>
        <v>0</v>
      </c>
      <c r="K948" s="58" t="str">
        <f>작성용!H945</f>
        <v>-</v>
      </c>
      <c r="L948" s="58" t="str">
        <f>작성용!N945</f>
        <v xml:space="preserve">반기 </v>
      </c>
      <c r="M948" s="57" t="str">
        <f>작성용!U945</f>
        <v>2024.11.30</v>
      </c>
      <c r="N948" s="57">
        <f>작성용!V945</f>
        <v>45632</v>
      </c>
      <c r="O948" s="57">
        <f>작성용!W945</f>
        <v>45639</v>
      </c>
      <c r="P948" s="57" t="str">
        <f>작성용!X945</f>
        <v>-</v>
      </c>
      <c r="Q948" s="58" t="str">
        <f>작성용!AD945</f>
        <v>신원준</v>
      </c>
      <c r="R948" s="60">
        <f>작성용!AE945</f>
        <v>1</v>
      </c>
      <c r="S948" s="58" t="str">
        <f>작성용!AF945</f>
        <v>신원준</v>
      </c>
      <c r="T948" s="61" t="str">
        <f>작성용!AG945</f>
        <v>조현우</v>
      </c>
      <c r="U948" s="61" t="str">
        <f>작성용!AH945</f>
        <v>조현우</v>
      </c>
      <c r="V948" s="56">
        <f>작성용!AA945</f>
        <v>202411</v>
      </c>
      <c r="W948" s="58" t="str">
        <f>작성용!AC945</f>
        <v>[Y]금융기관</v>
      </c>
      <c r="X948" s="58" t="str">
        <f>작성용!O945</f>
        <v xml:space="preserve">이용석팀장,황혜진주임 </v>
      </c>
      <c r="Y948" s="58" t="str">
        <f>작성용!P945</f>
        <v xml:space="preserve">02-3709-8860,010-5155-7551,02-3709-8811,010-5260-2103 </v>
      </c>
      <c r="Z948" s="58" t="str">
        <f>작성용!Q945</f>
        <v xml:space="preserve">leeys@moorimcapital.co.kr; hyejin.h@moorimcapital.co.kr </v>
      </c>
      <c r="AA948" s="56" t="str">
        <f>작성용!AJ945</f>
        <v>-</v>
      </c>
      <c r="AB948" s="56">
        <f>작성용!AB945</f>
        <v>0</v>
      </c>
    </row>
    <row r="949" spans="1:28" s="12" customFormat="1" ht="16.5" hidden="1" customHeight="1" x14ac:dyDescent="0.3">
      <c r="A949" s="54">
        <f>작성용!AL946</f>
        <v>945</v>
      </c>
      <c r="B949" s="55" t="str">
        <f>작성용!AI946</f>
        <v>체크리스트 송부 : 2024-06-12, 보고서 연말 제공</v>
      </c>
      <c r="C949" s="56" t="str">
        <f>작성용!AK946</f>
        <v>개별종목</v>
      </c>
      <c r="D949" s="57">
        <f>작성용!T946</f>
        <v>45594</v>
      </c>
      <c r="E949" s="58" t="str">
        <f>작성용!B946</f>
        <v>무림캐피탈</v>
      </c>
      <c r="F949" s="58" t="str">
        <f>작성용!C946</f>
        <v>재평가</v>
      </c>
      <c r="G949" s="58" t="str">
        <f>작성용!D946</f>
        <v>어드밴스사모투자</v>
      </c>
      <c r="H949" s="59">
        <f>작성용!E946</f>
        <v>1101130032861</v>
      </c>
      <c r="I949" s="58" t="str">
        <f>작성용!F946</f>
        <v>B01</v>
      </c>
      <c r="J949" s="58">
        <f>작성용!G946</f>
        <v>0</v>
      </c>
      <c r="K949" s="58" t="str">
        <f>작성용!H946</f>
        <v>-</v>
      </c>
      <c r="L949" s="58" t="str">
        <f>작성용!N946</f>
        <v xml:space="preserve">반기 </v>
      </c>
      <c r="M949" s="57" t="str">
        <f>작성용!U946</f>
        <v>2024.11.30</v>
      </c>
      <c r="N949" s="57">
        <f>작성용!V946</f>
        <v>45632</v>
      </c>
      <c r="O949" s="57">
        <f>작성용!W946</f>
        <v>45639</v>
      </c>
      <c r="P949" s="57" t="str">
        <f>작성용!X946</f>
        <v>-</v>
      </c>
      <c r="Q949" s="58" t="str">
        <f>작성용!AD946</f>
        <v>원정우</v>
      </c>
      <c r="R949" s="60">
        <f>작성용!AE946</f>
        <v>1</v>
      </c>
      <c r="S949" s="58" t="str">
        <f>작성용!AF946</f>
        <v>원정우</v>
      </c>
      <c r="T949" s="61" t="str">
        <f>작성용!AG946</f>
        <v>조현우</v>
      </c>
      <c r="U949" s="61" t="str">
        <f>작성용!AH946</f>
        <v>조현우</v>
      </c>
      <c r="V949" s="56">
        <f>작성용!AA946</f>
        <v>202411</v>
      </c>
      <c r="W949" s="58" t="str">
        <f>작성용!AC946</f>
        <v>[Y]금융기관</v>
      </c>
      <c r="X949" s="58" t="str">
        <f>작성용!O946</f>
        <v xml:space="preserve">이용석팀장,황혜진주임 </v>
      </c>
      <c r="Y949" s="58" t="str">
        <f>작성용!P946</f>
        <v xml:space="preserve">02-3709-8860,010-5155-7551,02-3709-8811,010-5260-2103 </v>
      </c>
      <c r="Z949" s="58" t="str">
        <f>작성용!Q946</f>
        <v xml:space="preserve">leeys@moorimcapital.co.kr; hyejin.h@moorimcapital.co.kr </v>
      </c>
      <c r="AA949" s="56" t="str">
        <f>작성용!AJ946</f>
        <v>-</v>
      </c>
      <c r="AB949" s="56">
        <f>작성용!AB946</f>
        <v>0</v>
      </c>
    </row>
    <row r="950" spans="1:28" s="12" customFormat="1" ht="16.5" hidden="1" customHeight="1" x14ac:dyDescent="0.3">
      <c r="A950" s="54">
        <f>작성용!AL947</f>
        <v>946</v>
      </c>
      <c r="B950" s="55" t="str">
        <f>작성용!AI947</f>
        <v>체크리스트 송부 : 2024-06-12, 보고서 연말 제공</v>
      </c>
      <c r="C950" s="56" t="str">
        <f>작성용!AK947</f>
        <v>개별종목</v>
      </c>
      <c r="D950" s="57">
        <f>작성용!T947</f>
        <v>45594</v>
      </c>
      <c r="E950" s="58" t="str">
        <f>작성용!B947</f>
        <v>무림캐피탈</v>
      </c>
      <c r="F950" s="58" t="str">
        <f>작성용!C947</f>
        <v>재평가</v>
      </c>
      <c r="G950" s="58" t="str">
        <f>작성용!D947</f>
        <v>엘리베이션제5호사모투자</v>
      </c>
      <c r="H950" s="59">
        <f>작성용!E947</f>
        <v>1101130032811</v>
      </c>
      <c r="I950" s="58" t="str">
        <f>작성용!F947</f>
        <v>B01</v>
      </c>
      <c r="J950" s="58">
        <f>작성용!G947</f>
        <v>0</v>
      </c>
      <c r="K950" s="58" t="str">
        <f>작성용!H947</f>
        <v>-</v>
      </c>
      <c r="L950" s="58" t="str">
        <f>작성용!N947</f>
        <v xml:space="preserve">반기 </v>
      </c>
      <c r="M950" s="57" t="str">
        <f>작성용!U947</f>
        <v>2024.11.30</v>
      </c>
      <c r="N950" s="57">
        <f>작성용!V947</f>
        <v>45632</v>
      </c>
      <c r="O950" s="57">
        <f>작성용!W947</f>
        <v>45639</v>
      </c>
      <c r="P950" s="57" t="str">
        <f>작성용!X947</f>
        <v>-</v>
      </c>
      <c r="Q950" s="58" t="str">
        <f>작성용!AD947</f>
        <v>윤광일</v>
      </c>
      <c r="R950" s="60">
        <f>작성용!AE947</f>
        <v>1</v>
      </c>
      <c r="S950" s="58" t="str">
        <f>작성용!AF947</f>
        <v>윤광일</v>
      </c>
      <c r="T950" s="61" t="str">
        <f>작성용!AG947</f>
        <v>조현우</v>
      </c>
      <c r="U950" s="61" t="str">
        <f>작성용!AH947</f>
        <v>조현우</v>
      </c>
      <c r="V950" s="56">
        <f>작성용!AA947</f>
        <v>202411</v>
      </c>
      <c r="W950" s="58" t="str">
        <f>작성용!AC947</f>
        <v>[Y]금융기관</v>
      </c>
      <c r="X950" s="58" t="str">
        <f>작성용!O947</f>
        <v xml:space="preserve">이용석팀장,황혜진주임 </v>
      </c>
      <c r="Y950" s="58" t="str">
        <f>작성용!P947</f>
        <v xml:space="preserve">02-3709-8860,010-5155-7551,02-3709-8811,010-5260-2103 </v>
      </c>
      <c r="Z950" s="58" t="str">
        <f>작성용!Q947</f>
        <v xml:space="preserve">leeys@moorimcapital.co.kr; hyejin.h@moorimcapital.co.kr </v>
      </c>
      <c r="AA950" s="56" t="str">
        <f>작성용!AJ947</f>
        <v>-</v>
      </c>
      <c r="AB950" s="56">
        <f>작성용!AB947</f>
        <v>0</v>
      </c>
    </row>
    <row r="951" spans="1:28" s="12" customFormat="1" ht="16.5" hidden="1" customHeight="1" x14ac:dyDescent="0.3">
      <c r="A951" s="54">
        <f>작성용!AL948</f>
        <v>947</v>
      </c>
      <c r="B951" s="55" t="str">
        <f>작성용!AI948</f>
        <v>체크리스트 송부 : 2024-06-12, 보고서 연말 제공</v>
      </c>
      <c r="C951" s="56" t="str">
        <f>작성용!AK948</f>
        <v>개별종목</v>
      </c>
      <c r="D951" s="57">
        <f>작성용!T948</f>
        <v>45594</v>
      </c>
      <c r="E951" s="58" t="str">
        <f>작성용!B948</f>
        <v>무림캐피탈</v>
      </c>
      <c r="F951" s="58" t="str">
        <f>작성용!C948</f>
        <v>재평가</v>
      </c>
      <c r="G951" s="58" t="str">
        <f>작성용!D948</f>
        <v>큐리어스크레테기업재무안정기관전용사모투자</v>
      </c>
      <c r="H951" s="59">
        <f>작성용!E948</f>
        <v>1101130032944</v>
      </c>
      <c r="I951" s="58" t="str">
        <f>작성용!F948</f>
        <v>B01</v>
      </c>
      <c r="J951" s="58">
        <f>작성용!G948</f>
        <v>0</v>
      </c>
      <c r="K951" s="58" t="str">
        <f>작성용!H948</f>
        <v>-</v>
      </c>
      <c r="L951" s="58" t="str">
        <f>작성용!N948</f>
        <v xml:space="preserve">반기 </v>
      </c>
      <c r="M951" s="57" t="str">
        <f>작성용!U948</f>
        <v>2024.11.30</v>
      </c>
      <c r="N951" s="57">
        <f>작성용!V948</f>
        <v>45632</v>
      </c>
      <c r="O951" s="57">
        <f>작성용!W948</f>
        <v>45639</v>
      </c>
      <c r="P951" s="57" t="str">
        <f>작성용!X948</f>
        <v>-</v>
      </c>
      <c r="Q951" s="58" t="str">
        <f>작성용!AD948</f>
        <v>김예림</v>
      </c>
      <c r="R951" s="60">
        <f>작성용!AE948</f>
        <v>1</v>
      </c>
      <c r="S951" s="58" t="str">
        <f>작성용!AF948</f>
        <v>김예림</v>
      </c>
      <c r="T951" s="61" t="str">
        <f>작성용!AG948</f>
        <v>조현우</v>
      </c>
      <c r="U951" s="61" t="str">
        <f>작성용!AH948</f>
        <v>조현우</v>
      </c>
      <c r="V951" s="56">
        <f>작성용!AA948</f>
        <v>202411</v>
      </c>
      <c r="W951" s="58" t="str">
        <f>작성용!AC948</f>
        <v>[Y]금융기관</v>
      </c>
      <c r="X951" s="58" t="str">
        <f>작성용!O948</f>
        <v xml:space="preserve">이용석팀장,황혜진주임 </v>
      </c>
      <c r="Y951" s="58" t="str">
        <f>작성용!P948</f>
        <v xml:space="preserve">02-3709-8860,010-5155-7551,02-3709-8811,010-5260-2103 </v>
      </c>
      <c r="Z951" s="58" t="str">
        <f>작성용!Q948</f>
        <v xml:space="preserve">leeys@moorimcapital.co.kr; hyejin.h@moorimcapital.co.kr </v>
      </c>
      <c r="AA951" s="56" t="str">
        <f>작성용!AJ948</f>
        <v>-</v>
      </c>
      <c r="AB951" s="56">
        <f>작성용!AB948</f>
        <v>0</v>
      </c>
    </row>
    <row r="952" spans="1:28" s="12" customFormat="1" ht="16.5" hidden="1" customHeight="1" x14ac:dyDescent="0.3">
      <c r="A952" s="54">
        <f>작성용!AL949</f>
        <v>948</v>
      </c>
      <c r="B952" s="55" t="str">
        <f>작성용!AI949</f>
        <v>체크리스트 송부 : 2024-06-12, 보고서 연말 제공</v>
      </c>
      <c r="C952" s="56" t="str">
        <f>작성용!AK949</f>
        <v>개별종목</v>
      </c>
      <c r="D952" s="57">
        <f>작성용!T949</f>
        <v>45594</v>
      </c>
      <c r="E952" s="58" t="str">
        <f>작성용!B949</f>
        <v>무림캐피탈</v>
      </c>
      <c r="F952" s="58" t="str">
        <f>작성용!C949</f>
        <v>재평가</v>
      </c>
      <c r="G952" s="58" t="str">
        <f>작성용!D949</f>
        <v>노틱엔피제11호사모투자</v>
      </c>
      <c r="H952" s="59">
        <f>작성용!E949</f>
        <v>1101130032770</v>
      </c>
      <c r="I952" s="58" t="str">
        <f>작성용!F949</f>
        <v>B01</v>
      </c>
      <c r="J952" s="58">
        <f>작성용!G949</f>
        <v>0</v>
      </c>
      <c r="K952" s="58" t="str">
        <f>작성용!H949</f>
        <v>-</v>
      </c>
      <c r="L952" s="58" t="str">
        <f>작성용!N949</f>
        <v xml:space="preserve">반기 </v>
      </c>
      <c r="M952" s="57" t="str">
        <f>작성용!U949</f>
        <v>2024.11.30</v>
      </c>
      <c r="N952" s="57">
        <f>작성용!V949</f>
        <v>45632</v>
      </c>
      <c r="O952" s="57">
        <f>작성용!W949</f>
        <v>45639</v>
      </c>
      <c r="P952" s="57" t="str">
        <f>작성용!X949</f>
        <v>-</v>
      </c>
      <c r="Q952" s="58" t="str">
        <f>작성용!AD949</f>
        <v>이상민</v>
      </c>
      <c r="R952" s="60">
        <f>작성용!AE949</f>
        <v>1</v>
      </c>
      <c r="S952" s="58" t="str">
        <f>작성용!AF949</f>
        <v>김범준</v>
      </c>
      <c r="T952" s="61" t="str">
        <f>작성용!AG949</f>
        <v>조현우</v>
      </c>
      <c r="U952" s="61" t="str">
        <f>작성용!AH949</f>
        <v>조현우</v>
      </c>
      <c r="V952" s="56">
        <f>작성용!AA949</f>
        <v>202411</v>
      </c>
      <c r="W952" s="58" t="str">
        <f>작성용!AC949</f>
        <v>[Y]금융기관</v>
      </c>
      <c r="X952" s="58" t="str">
        <f>작성용!O949</f>
        <v xml:space="preserve">이용석팀장,황혜진주임 </v>
      </c>
      <c r="Y952" s="58" t="str">
        <f>작성용!P949</f>
        <v xml:space="preserve">02-3709-8860,010-5155-7551,02-3709-8811,010-5260-2103 </v>
      </c>
      <c r="Z952" s="58" t="str">
        <f>작성용!Q949</f>
        <v xml:space="preserve">leeys@moorimcapital.co.kr; hyejin.h@moorimcapital.co.kr </v>
      </c>
      <c r="AA952" s="56" t="str">
        <f>작성용!AJ949</f>
        <v>-</v>
      </c>
      <c r="AB952" s="56">
        <f>작성용!AB949</f>
        <v>0</v>
      </c>
    </row>
    <row r="953" spans="1:28" s="12" customFormat="1" ht="16.5" hidden="1" customHeight="1" x14ac:dyDescent="0.3">
      <c r="A953" s="54">
        <f>작성용!AL950</f>
        <v>949</v>
      </c>
      <c r="B953" s="55" t="str">
        <f>작성용!AI950</f>
        <v>체크리스트 송부 : 2024-06-12, 보고서 연말 제공</v>
      </c>
      <c r="C953" s="56" t="str">
        <f>작성용!AK950</f>
        <v>개별종목</v>
      </c>
      <c r="D953" s="57">
        <f>작성용!T950</f>
        <v>45594</v>
      </c>
      <c r="E953" s="58" t="str">
        <f>작성용!B950</f>
        <v>무림캐피탈</v>
      </c>
      <c r="F953" s="58" t="str">
        <f>작성용!C950</f>
        <v>재평가</v>
      </c>
      <c r="G953" s="58" t="str">
        <f>작성용!D950</f>
        <v>딥블루제3호사모투자</v>
      </c>
      <c r="H953" s="59">
        <f>작성용!E950</f>
        <v>1101130035047</v>
      </c>
      <c r="I953" s="58" t="str">
        <f>작성용!F950</f>
        <v>B01</v>
      </c>
      <c r="J953" s="58">
        <f>작성용!G950</f>
        <v>0</v>
      </c>
      <c r="K953" s="58" t="str">
        <f>작성용!H950</f>
        <v>-</v>
      </c>
      <c r="L953" s="58" t="str">
        <f>작성용!N950</f>
        <v xml:space="preserve">반기 </v>
      </c>
      <c r="M953" s="57" t="str">
        <f>작성용!U950</f>
        <v>2024.11.30</v>
      </c>
      <c r="N953" s="57">
        <f>작성용!V950</f>
        <v>45632</v>
      </c>
      <c r="O953" s="57">
        <f>작성용!W950</f>
        <v>45639</v>
      </c>
      <c r="P953" s="57" t="str">
        <f>작성용!X950</f>
        <v>-</v>
      </c>
      <c r="Q953" s="58" t="str">
        <f>작성용!AD950</f>
        <v>백형진</v>
      </c>
      <c r="R953" s="60">
        <f>작성용!AE950</f>
        <v>1</v>
      </c>
      <c r="S953" s="58" t="str">
        <f>작성용!AF950</f>
        <v>백형진</v>
      </c>
      <c r="T953" s="61" t="str">
        <f>작성용!AG950</f>
        <v>조현우</v>
      </c>
      <c r="U953" s="61" t="str">
        <f>작성용!AH950</f>
        <v>조현우</v>
      </c>
      <c r="V953" s="56">
        <f>작성용!AA950</f>
        <v>202411</v>
      </c>
      <c r="W953" s="58" t="str">
        <f>작성용!AC950</f>
        <v>[Y]금융기관</v>
      </c>
      <c r="X953" s="58" t="str">
        <f>작성용!O950</f>
        <v xml:space="preserve">이용석팀장,황혜진주임 </v>
      </c>
      <c r="Y953" s="58" t="str">
        <f>작성용!P950</f>
        <v xml:space="preserve">02-3709-8860,010-5155-7551,02-3709-8811,010-5260-2103 </v>
      </c>
      <c r="Z953" s="58" t="str">
        <f>작성용!Q950</f>
        <v xml:space="preserve">leeys@moorimcapital.co.kr; hyejin.h@moorimcapital.co.kr </v>
      </c>
      <c r="AA953" s="56" t="str">
        <f>작성용!AJ950</f>
        <v>-</v>
      </c>
      <c r="AB953" s="56">
        <f>작성용!AB950</f>
        <v>0</v>
      </c>
    </row>
    <row r="954" spans="1:28" s="12" customFormat="1" ht="16.5" hidden="1" customHeight="1" x14ac:dyDescent="0.3">
      <c r="A954" s="54">
        <f>작성용!AL951</f>
        <v>950</v>
      </c>
      <c r="B954" s="55" t="str">
        <f>작성용!AI951</f>
        <v>체크리스트 송부 : 2024-06-12, 보고서 연말 제공</v>
      </c>
      <c r="C954" s="56" t="str">
        <f>작성용!AK951</f>
        <v>개별종목</v>
      </c>
      <c r="D954" s="57">
        <f>작성용!T951</f>
        <v>45594</v>
      </c>
      <c r="E954" s="58" t="str">
        <f>작성용!B951</f>
        <v>무림캐피탈</v>
      </c>
      <c r="F954" s="58" t="str">
        <f>작성용!C951</f>
        <v>재평가</v>
      </c>
      <c r="G954" s="58" t="str">
        <f>작성용!D951</f>
        <v>제이앤릴슨하운드사모투자</v>
      </c>
      <c r="H954" s="59">
        <f>작성용!E951</f>
        <v>1101130035245</v>
      </c>
      <c r="I954" s="58" t="str">
        <f>작성용!F951</f>
        <v>B01</v>
      </c>
      <c r="J954" s="58">
        <f>작성용!G951</f>
        <v>0</v>
      </c>
      <c r="K954" s="58" t="str">
        <f>작성용!H951</f>
        <v>-</v>
      </c>
      <c r="L954" s="58" t="str">
        <f>작성용!N951</f>
        <v xml:space="preserve">반기 </v>
      </c>
      <c r="M954" s="57" t="str">
        <f>작성용!U951</f>
        <v>2024.11.30</v>
      </c>
      <c r="N954" s="57">
        <f>작성용!V951</f>
        <v>45632</v>
      </c>
      <c r="O954" s="57">
        <f>작성용!W951</f>
        <v>45639</v>
      </c>
      <c r="P954" s="57" t="str">
        <f>작성용!X951</f>
        <v>-</v>
      </c>
      <c r="Q954" s="58" t="str">
        <f>작성용!AD951</f>
        <v>백형진</v>
      </c>
      <c r="R954" s="60">
        <f>작성용!AE951</f>
        <v>1</v>
      </c>
      <c r="S954" s="58" t="str">
        <f>작성용!AF951</f>
        <v>백형진</v>
      </c>
      <c r="T954" s="61" t="str">
        <f>작성용!AG951</f>
        <v>조현우</v>
      </c>
      <c r="U954" s="61" t="str">
        <f>작성용!AH951</f>
        <v>조현우</v>
      </c>
      <c r="V954" s="56">
        <f>작성용!AA951</f>
        <v>202411</v>
      </c>
      <c r="W954" s="58" t="str">
        <f>작성용!AC951</f>
        <v>[Y]금융기관</v>
      </c>
      <c r="X954" s="58" t="str">
        <f>작성용!O951</f>
        <v xml:space="preserve">이용석팀장,황혜진주임 </v>
      </c>
      <c r="Y954" s="58" t="str">
        <f>작성용!P951</f>
        <v xml:space="preserve">02-3709-8860,010-5155-7551,02-3709-8811,010-5260-2103 </v>
      </c>
      <c r="Z954" s="58" t="str">
        <f>작성용!Q951</f>
        <v xml:space="preserve">leeys@moorimcapital.co.kr; hyejin.h@moorimcapital.co.kr </v>
      </c>
      <c r="AA954" s="56" t="str">
        <f>작성용!AJ951</f>
        <v>-</v>
      </c>
      <c r="AB954" s="56">
        <f>작성용!AB951</f>
        <v>0</v>
      </c>
    </row>
    <row r="955" spans="1:28" s="12" customFormat="1" ht="16.5" hidden="1" customHeight="1" x14ac:dyDescent="0.3">
      <c r="A955" s="54">
        <f>작성용!AL952</f>
        <v>951</v>
      </c>
      <c r="B955" s="55" t="str">
        <f>작성용!AI952</f>
        <v>체크리스트 송부 : 2024-06-12, 보고서 연말 제공</v>
      </c>
      <c r="C955" s="56" t="str">
        <f>작성용!AK952</f>
        <v>개별종목</v>
      </c>
      <c r="D955" s="57">
        <f>작성용!T952</f>
        <v>45594</v>
      </c>
      <c r="E955" s="58" t="str">
        <f>작성용!B952</f>
        <v>무림캐피탈</v>
      </c>
      <c r="F955" s="58" t="str">
        <f>작성용!C952</f>
        <v>재평가</v>
      </c>
      <c r="G955" s="58" t="str">
        <f>작성용!D952</f>
        <v>큐리어스칸기관전용사모투자</v>
      </c>
      <c r="H955" s="59">
        <f>작성용!E952</f>
        <v>1101130035675</v>
      </c>
      <c r="I955" s="58" t="str">
        <f>작성용!F952</f>
        <v>B01</v>
      </c>
      <c r="J955" s="58">
        <f>작성용!G952</f>
        <v>0</v>
      </c>
      <c r="K955" s="58" t="str">
        <f>작성용!H952</f>
        <v>-</v>
      </c>
      <c r="L955" s="58" t="str">
        <f>작성용!N952</f>
        <v xml:space="preserve">반기 </v>
      </c>
      <c r="M955" s="57" t="str">
        <f>작성용!U952</f>
        <v>2024.11.30</v>
      </c>
      <c r="N955" s="57">
        <f>작성용!V952</f>
        <v>45632</v>
      </c>
      <c r="O955" s="57">
        <f>작성용!W952</f>
        <v>45639</v>
      </c>
      <c r="P955" s="57" t="str">
        <f>작성용!X952</f>
        <v>-</v>
      </c>
      <c r="Q955" s="58" t="str">
        <f>작성용!AD952</f>
        <v>김에스더</v>
      </c>
      <c r="R955" s="60">
        <f>작성용!AE952</f>
        <v>1</v>
      </c>
      <c r="S955" s="58" t="str">
        <f>작성용!AF952</f>
        <v>김에스더</v>
      </c>
      <c r="T955" s="61" t="str">
        <f>작성용!AG952</f>
        <v>조현우</v>
      </c>
      <c r="U955" s="61" t="str">
        <f>작성용!AH952</f>
        <v>조현우</v>
      </c>
      <c r="V955" s="56">
        <f>작성용!AA952</f>
        <v>202411</v>
      </c>
      <c r="W955" s="58" t="str">
        <f>작성용!AC952</f>
        <v>[Y]금융기관</v>
      </c>
      <c r="X955" s="58" t="str">
        <f>작성용!O952</f>
        <v xml:space="preserve">이용석팀장,황혜진주임 </v>
      </c>
      <c r="Y955" s="58" t="str">
        <f>작성용!P952</f>
        <v xml:space="preserve">02-3709-8860,010-5155-7551,02-3709-8811,010-5260-2103 </v>
      </c>
      <c r="Z955" s="58" t="str">
        <f>작성용!Q952</f>
        <v xml:space="preserve">leeys@moorimcapital.co.kr; hyejin.h@moorimcapital.co.kr </v>
      </c>
      <c r="AA955" s="56" t="str">
        <f>작성용!AJ952</f>
        <v>-</v>
      </c>
      <c r="AB955" s="56">
        <f>작성용!AB952</f>
        <v>0</v>
      </c>
    </row>
    <row r="956" spans="1:28" s="12" customFormat="1" ht="16.5" hidden="1" customHeight="1" x14ac:dyDescent="0.3">
      <c r="A956" s="54">
        <f>작성용!AL953</f>
        <v>952</v>
      </c>
      <c r="B956" s="55" t="str">
        <f>작성용!AI953</f>
        <v>체크리스트송부 : 2024-07-10</v>
      </c>
      <c r="C956" s="56" t="str">
        <f>작성용!AK953</f>
        <v>개별종목</v>
      </c>
      <c r="D956" s="57">
        <f>작성용!T953</f>
        <v>45594</v>
      </c>
      <c r="E956" s="58" t="str">
        <f>작성용!B953</f>
        <v>무림캐피탈</v>
      </c>
      <c r="F956" s="58" t="str">
        <f>작성용!C953</f>
        <v>재평가</v>
      </c>
      <c r="G956" s="58" t="str">
        <f>작성용!D953</f>
        <v>제이앤솔라사모투자</v>
      </c>
      <c r="H956" s="59">
        <f>작성용!E953</f>
        <v>1101130036235</v>
      </c>
      <c r="I956" s="58" t="str">
        <f>작성용!F953</f>
        <v>B01</v>
      </c>
      <c r="J956" s="58">
        <f>작성용!G953</f>
        <v>0</v>
      </c>
      <c r="K956" s="58" t="str">
        <f>작성용!H953</f>
        <v>-</v>
      </c>
      <c r="L956" s="58" t="str">
        <f>작성용!N953</f>
        <v xml:space="preserve">반기 </v>
      </c>
      <c r="M956" s="57" t="str">
        <f>작성용!U953</f>
        <v>2024.11.30</v>
      </c>
      <c r="N956" s="57">
        <f>작성용!V953</f>
        <v>45632</v>
      </c>
      <c r="O956" s="57">
        <f>작성용!W953</f>
        <v>45639</v>
      </c>
      <c r="P956" s="57" t="str">
        <f>작성용!X953</f>
        <v>-</v>
      </c>
      <c r="Q956" s="58" t="str">
        <f>작성용!AD953</f>
        <v>오영석</v>
      </c>
      <c r="R956" s="60">
        <f>작성용!AE953</f>
        <v>1</v>
      </c>
      <c r="S956" s="58" t="str">
        <f>작성용!AF953</f>
        <v>오영석</v>
      </c>
      <c r="T956" s="61" t="str">
        <f>작성용!AG953</f>
        <v>조현우</v>
      </c>
      <c r="U956" s="61" t="str">
        <f>작성용!AH953</f>
        <v>조현우</v>
      </c>
      <c r="V956" s="56">
        <f>작성용!AA953</f>
        <v>202411</v>
      </c>
      <c r="W956" s="58" t="str">
        <f>작성용!AC953</f>
        <v>[Y]금융기관</v>
      </c>
      <c r="X956" s="58" t="str">
        <f>작성용!O953</f>
        <v xml:space="preserve">이용석팀장,황혜진주임 </v>
      </c>
      <c r="Y956" s="58" t="str">
        <f>작성용!P953</f>
        <v xml:space="preserve">02-3709-8860,010-5155-7551,02-3709-8811,010-5260-2103 </v>
      </c>
      <c r="Z956" s="58" t="str">
        <f>작성용!Q953</f>
        <v xml:space="preserve">leeys@moorimcapital.co.kr; hyejin.h@moorimcapital.co.kr </v>
      </c>
      <c r="AA956" s="56" t="str">
        <f>작성용!AJ953</f>
        <v>-</v>
      </c>
      <c r="AB956" s="56">
        <f>작성용!AB953</f>
        <v>0</v>
      </c>
    </row>
    <row r="957" spans="1:28" s="12" customFormat="1" ht="16.5" hidden="1" customHeight="1" x14ac:dyDescent="0.3">
      <c r="A957" s="54">
        <f>작성용!AL954</f>
        <v>953</v>
      </c>
      <c r="B957" s="55" t="str">
        <f>작성용!AI954</f>
        <v>체크리스트송부 : 2024-07-10</v>
      </c>
      <c r="C957" s="56" t="str">
        <f>작성용!AK954</f>
        <v>개별종목</v>
      </c>
      <c r="D957" s="57">
        <f>작성용!T954</f>
        <v>45594</v>
      </c>
      <c r="E957" s="58" t="str">
        <f>작성용!B954</f>
        <v>무림캐피탈</v>
      </c>
      <c r="F957" s="58" t="str">
        <f>작성용!C954</f>
        <v>신규</v>
      </c>
      <c r="G957" s="58" t="str">
        <f>작성용!D954</f>
        <v>브이엘지글러제4차사모투자</v>
      </c>
      <c r="H957" s="59">
        <f>작성용!E954</f>
        <v>1101130036491</v>
      </c>
      <c r="I957" s="58" t="str">
        <f>작성용!F954</f>
        <v>B01</v>
      </c>
      <c r="J957" s="58">
        <f>작성용!G954</f>
        <v>0</v>
      </c>
      <c r="K957" s="58" t="str">
        <f>작성용!H954</f>
        <v>-</v>
      </c>
      <c r="L957" s="58" t="str">
        <f>작성용!N954</f>
        <v xml:space="preserve">반기 </v>
      </c>
      <c r="M957" s="57" t="str">
        <f>작성용!U954</f>
        <v>2024.11.30</v>
      </c>
      <c r="N957" s="57">
        <f>작성용!V954</f>
        <v>45632</v>
      </c>
      <c r="O957" s="57">
        <f>작성용!W954</f>
        <v>45639</v>
      </c>
      <c r="P957" s="57" t="str">
        <f>작성용!X954</f>
        <v>-</v>
      </c>
      <c r="Q957" s="58" t="str">
        <f>작성용!AD954</f>
        <v>최수민</v>
      </c>
      <c r="R957" s="60">
        <f>작성용!AE954</f>
        <v>1</v>
      </c>
      <c r="S957" s="58" t="str">
        <f>작성용!AF954</f>
        <v>신규</v>
      </c>
      <c r="T957" s="61" t="str">
        <f>작성용!AG954</f>
        <v>조현우</v>
      </c>
      <c r="U957" s="61" t="str">
        <f>작성용!AH954</f>
        <v>조현우</v>
      </c>
      <c r="V957" s="56">
        <f>작성용!AA954</f>
        <v>202411</v>
      </c>
      <c r="W957" s="58" t="str">
        <f>작성용!AC954</f>
        <v>[Y]금융기관</v>
      </c>
      <c r="X957" s="58" t="str">
        <f>작성용!O954</f>
        <v xml:space="preserve">이용석팀장,황혜진주임 </v>
      </c>
      <c r="Y957" s="58" t="str">
        <f>작성용!P954</f>
        <v xml:space="preserve">02-3709-8860,010-5155-7551,02-3709-8811,010-5260-2103 </v>
      </c>
      <c r="Z957" s="58" t="str">
        <f>작성용!Q954</f>
        <v xml:space="preserve">leeys@moorimcapital.co.kr; hyejin.h@moorimcapital.co.kr </v>
      </c>
      <c r="AA957" s="56" t="str">
        <f>작성용!AJ954</f>
        <v>-</v>
      </c>
      <c r="AB957" s="56">
        <f>작성용!AB954</f>
        <v>0</v>
      </c>
    </row>
    <row r="958" spans="1:28" s="12" customFormat="1" ht="16.5" hidden="1" customHeight="1" x14ac:dyDescent="0.3">
      <c r="A958" s="54">
        <f>작성용!AL955</f>
        <v>954</v>
      </c>
      <c r="B958" s="55" t="str">
        <f>작성용!AI955</f>
        <v>-</v>
      </c>
      <c r="C958" s="56" t="str">
        <f>작성용!AK955</f>
        <v>기초자산</v>
      </c>
      <c r="D958" s="57" t="str">
        <f>작성용!T955</f>
        <v>무림캐피탈펀드(기초자산)</v>
      </c>
      <c r="E958" s="58" t="str">
        <f>작성용!B955</f>
        <v>시냅틱그린소부장제1호사모투자</v>
      </c>
      <c r="F958" s="58" t="str">
        <f>작성용!C955</f>
        <v>재평가</v>
      </c>
      <c r="G958" s="58" t="str">
        <f>작성용!D955</f>
        <v>시스템알앤디</v>
      </c>
      <c r="H958" s="59">
        <f>작성용!E955</f>
        <v>1313110277420</v>
      </c>
      <c r="I958" s="58" t="str">
        <f>작성용!F955</f>
        <v>A01</v>
      </c>
      <c r="J958" s="58">
        <f>작성용!G955</f>
        <v>0</v>
      </c>
      <c r="K958" s="58" t="str">
        <f>작성용!H955</f>
        <v>-</v>
      </c>
      <c r="L958" s="58" t="str">
        <f>작성용!N955</f>
        <v>분기</v>
      </c>
      <c r="M958" s="57" t="str">
        <f>작성용!U955</f>
        <v>2024.11.30</v>
      </c>
      <c r="N958" s="57">
        <f>작성용!V955</f>
        <v>45632</v>
      </c>
      <c r="O958" s="57" t="str">
        <f>작성용!W955</f>
        <v>보고서제공X</v>
      </c>
      <c r="P958" s="57" t="str">
        <f>작성용!X955</f>
        <v>-</v>
      </c>
      <c r="Q958" s="58" t="str">
        <f>작성용!AD955</f>
        <v>김수현</v>
      </c>
      <c r="R958" s="60">
        <f>작성용!AE955</f>
        <v>0</v>
      </c>
      <c r="S958" s="58" t="str">
        <f>작성용!AF955</f>
        <v>김수현</v>
      </c>
      <c r="T958" s="61" t="str">
        <f>작성용!AG955</f>
        <v>-</v>
      </c>
      <c r="U958" s="61" t="str">
        <f>작성용!AH955</f>
        <v>-</v>
      </c>
      <c r="V958" s="56">
        <f>작성용!AA955</f>
        <v>202411</v>
      </c>
      <c r="W958" s="58" t="str">
        <f>작성용!AC955</f>
        <v>[6]기타기관펀드(기초자산)</v>
      </c>
      <c r="X958" s="58">
        <f>작성용!O955</f>
        <v>0</v>
      </c>
      <c r="Y958" s="58">
        <f>작성용!P955</f>
        <v>0</v>
      </c>
      <c r="Z958" s="58">
        <f>작성용!Q955</f>
        <v>0</v>
      </c>
      <c r="AA958" s="56" t="str">
        <f>작성용!AJ955</f>
        <v>-</v>
      </c>
      <c r="AB958" s="56">
        <f>작성용!AB955</f>
        <v>0</v>
      </c>
    </row>
    <row r="959" spans="1:28" s="12" customFormat="1" ht="16.5" hidden="1" customHeight="1" x14ac:dyDescent="0.3">
      <c r="A959" s="54">
        <f>작성용!AL956</f>
        <v>955</v>
      </c>
      <c r="B959" s="55" t="str">
        <f>작성용!AI956</f>
        <v>-</v>
      </c>
      <c r="C959" s="56" t="str">
        <f>작성용!AK956</f>
        <v>기초자산</v>
      </c>
      <c r="D959" s="57" t="str">
        <f>작성용!T956</f>
        <v>무림캐피탈펀드(기초자산)</v>
      </c>
      <c r="E959" s="58" t="str">
        <f>작성용!B956</f>
        <v>시냅틱그린소부장제1호사모투자</v>
      </c>
      <c r="F959" s="58" t="str">
        <f>작성용!C956</f>
        <v>재평가</v>
      </c>
      <c r="G959" s="58" t="str">
        <f>작성용!D956</f>
        <v>시스템알앤디</v>
      </c>
      <c r="H959" s="59">
        <f>작성용!E956</f>
        <v>1313110277420</v>
      </c>
      <c r="I959" s="58" t="str">
        <f>작성용!F956</f>
        <v>D02</v>
      </c>
      <c r="J959" s="58">
        <f>작성용!G956</f>
        <v>0</v>
      </c>
      <c r="K959" s="58" t="str">
        <f>작성용!H956</f>
        <v>-</v>
      </c>
      <c r="L959" s="58" t="str">
        <f>작성용!N956</f>
        <v>분기</v>
      </c>
      <c r="M959" s="57" t="str">
        <f>작성용!U956</f>
        <v>2024.11.30</v>
      </c>
      <c r="N959" s="57">
        <f>작성용!V956</f>
        <v>45632</v>
      </c>
      <c r="O959" s="57" t="str">
        <f>작성용!W956</f>
        <v>보고서제공X</v>
      </c>
      <c r="P959" s="57" t="str">
        <f>작성용!X956</f>
        <v>-</v>
      </c>
      <c r="Q959" s="58" t="str">
        <f>작성용!AD956</f>
        <v>김수현</v>
      </c>
      <c r="R959" s="60">
        <f>작성용!AE956</f>
        <v>0</v>
      </c>
      <c r="S959" s="58" t="str">
        <f>작성용!AF956</f>
        <v>김수현</v>
      </c>
      <c r="T959" s="61" t="str">
        <f>작성용!AG956</f>
        <v>-</v>
      </c>
      <c r="U959" s="61" t="str">
        <f>작성용!AH956</f>
        <v>-</v>
      </c>
      <c r="V959" s="56">
        <f>작성용!AA956</f>
        <v>202411</v>
      </c>
      <c r="W959" s="58" t="str">
        <f>작성용!AC956</f>
        <v>[6]기타기관펀드(기초자산)</v>
      </c>
      <c r="X959" s="58">
        <f>작성용!O956</f>
        <v>0</v>
      </c>
      <c r="Y959" s="58">
        <f>작성용!P956</f>
        <v>0</v>
      </c>
      <c r="Z959" s="58">
        <f>작성용!Q956</f>
        <v>0</v>
      </c>
      <c r="AA959" s="56" t="str">
        <f>작성용!AJ956</f>
        <v>-</v>
      </c>
      <c r="AB959" s="56">
        <f>작성용!AB956</f>
        <v>0</v>
      </c>
    </row>
    <row r="960" spans="1:28" s="12" customFormat="1" ht="16.5" hidden="1" customHeight="1" x14ac:dyDescent="0.3">
      <c r="A960" s="54">
        <f>작성용!AL957</f>
        <v>956</v>
      </c>
      <c r="B960" s="55" t="str">
        <f>작성용!AI957</f>
        <v>-</v>
      </c>
      <c r="C960" s="56" t="str">
        <f>작성용!AK957</f>
        <v>기초자산</v>
      </c>
      <c r="D960" s="57" t="str">
        <f>작성용!T957</f>
        <v>무림캐피탈펀드(기초자산)</v>
      </c>
      <c r="E960" s="58" t="str">
        <f>작성용!B957</f>
        <v>에이치알파사모투자전문회사(구,메디치2015의1사모투자전문회사)</v>
      </c>
      <c r="F960" s="58" t="str">
        <f>작성용!C957</f>
        <v>재평가</v>
      </c>
      <c r="G960" s="58" t="str">
        <f>작성용!D957</f>
        <v>블루버드</v>
      </c>
      <c r="H960" s="59">
        <f>작성용!E957</f>
        <v>1101111352741</v>
      </c>
      <c r="I960" s="58" t="str">
        <f>작성용!F957</f>
        <v>A01</v>
      </c>
      <c r="J960" s="58">
        <f>작성용!G957</f>
        <v>0</v>
      </c>
      <c r="K960" s="58" t="str">
        <f>작성용!H957</f>
        <v>-</v>
      </c>
      <c r="L960" s="58" t="str">
        <f>작성용!N957</f>
        <v xml:space="preserve">반기 </v>
      </c>
      <c r="M960" s="57" t="str">
        <f>작성용!U957</f>
        <v>2024.11.30</v>
      </c>
      <c r="N960" s="57">
        <f>작성용!V957</f>
        <v>45632</v>
      </c>
      <c r="O960" s="57" t="str">
        <f>작성용!W957</f>
        <v>보고서제공X</v>
      </c>
      <c r="P960" s="57" t="str">
        <f>작성용!X957</f>
        <v>-</v>
      </c>
      <c r="Q960" s="58" t="str">
        <f>작성용!AD957</f>
        <v>서경덕</v>
      </c>
      <c r="R960" s="60">
        <f>작성용!AE957</f>
        <v>0.4</v>
      </c>
      <c r="S960" s="58" t="str">
        <f>작성용!AF957</f>
        <v>서경덕</v>
      </c>
      <c r="T960" s="61" t="str">
        <f>작성용!AG957</f>
        <v>-</v>
      </c>
      <c r="U960" s="61" t="str">
        <f>작성용!AH957</f>
        <v>-</v>
      </c>
      <c r="V960" s="56">
        <f>작성용!AA957</f>
        <v>202411</v>
      </c>
      <c r="W960" s="58" t="str">
        <f>작성용!AC957</f>
        <v>[6]기타기관펀드(기초자산)</v>
      </c>
      <c r="X960" s="58">
        <f>작성용!O957</f>
        <v>0</v>
      </c>
      <c r="Y960" s="58">
        <f>작성용!P957</f>
        <v>0</v>
      </c>
      <c r="Z960" s="58">
        <f>작성용!Q957</f>
        <v>0</v>
      </c>
      <c r="AA960" s="56" t="str">
        <f>작성용!AJ957</f>
        <v>-</v>
      </c>
      <c r="AB960" s="56">
        <f>작성용!AB957</f>
        <v>0</v>
      </c>
    </row>
    <row r="961" spans="1:28" s="12" customFormat="1" ht="16.5" hidden="1" customHeight="1" x14ac:dyDescent="0.3">
      <c r="A961" s="54">
        <f>작성용!AL958</f>
        <v>957</v>
      </c>
      <c r="B961" s="55" t="str">
        <f>작성용!AI958</f>
        <v>-</v>
      </c>
      <c r="C961" s="56" t="str">
        <f>작성용!AK958</f>
        <v>기초자산</v>
      </c>
      <c r="D961" s="57" t="str">
        <f>작성용!T958</f>
        <v>무림캐피탈펀드(기초자산)</v>
      </c>
      <c r="E961" s="58" t="str">
        <f>작성용!B958</f>
        <v>신한프랙시스케이그로쓰글로벌사모투자전문회사</v>
      </c>
      <c r="F961" s="58" t="str">
        <f>작성용!C958</f>
        <v>재평가</v>
      </c>
      <c r="G961" s="58" t="str">
        <f>작성용!D958</f>
        <v>티앤더블유코리아(구,토다이코리아)</v>
      </c>
      <c r="H961" s="59">
        <f>작성용!E958</f>
        <v>1101113843673</v>
      </c>
      <c r="I961" s="58" t="str">
        <f>작성용!F958</f>
        <v>A01</v>
      </c>
      <c r="J961" s="58">
        <f>작성용!G958</f>
        <v>0</v>
      </c>
      <c r="K961" s="58" t="str">
        <f>작성용!H958</f>
        <v>-</v>
      </c>
      <c r="L961" s="58" t="str">
        <f>작성용!N958</f>
        <v xml:space="preserve">반기 </v>
      </c>
      <c r="M961" s="57" t="str">
        <f>작성용!U958</f>
        <v>2024.11.30</v>
      </c>
      <c r="N961" s="57">
        <f>작성용!V958</f>
        <v>45632</v>
      </c>
      <c r="O961" s="57" t="str">
        <f>작성용!W958</f>
        <v>보고서제공X</v>
      </c>
      <c r="P961" s="57" t="str">
        <f>작성용!X958</f>
        <v>-</v>
      </c>
      <c r="Q961" s="58" t="str">
        <f>작성용!AD958</f>
        <v>오수현</v>
      </c>
      <c r="R961" s="60">
        <f>작성용!AE958</f>
        <v>0.4</v>
      </c>
      <c r="S961" s="58" t="str">
        <f>작성용!AF958</f>
        <v>오수현</v>
      </c>
      <c r="T961" s="61" t="str">
        <f>작성용!AG958</f>
        <v>-</v>
      </c>
      <c r="U961" s="61" t="str">
        <f>작성용!AH958</f>
        <v>-</v>
      </c>
      <c r="V961" s="56">
        <f>작성용!AA958</f>
        <v>202411</v>
      </c>
      <c r="W961" s="58" t="str">
        <f>작성용!AC958</f>
        <v>[6]기타기관펀드(기초자산)</v>
      </c>
      <c r="X961" s="58">
        <f>작성용!O958</f>
        <v>0</v>
      </c>
      <c r="Y961" s="58">
        <f>작성용!P958</f>
        <v>0</v>
      </c>
      <c r="Z961" s="58">
        <f>작성용!Q958</f>
        <v>0</v>
      </c>
      <c r="AA961" s="56" t="str">
        <f>작성용!AJ958</f>
        <v>-</v>
      </c>
      <c r="AB961" s="56">
        <f>작성용!AB958</f>
        <v>0</v>
      </c>
    </row>
    <row r="962" spans="1:28" s="12" customFormat="1" ht="16.5" hidden="1" customHeight="1" x14ac:dyDescent="0.3">
      <c r="A962" s="54">
        <f>작성용!AL959</f>
        <v>958</v>
      </c>
      <c r="B962" s="55" t="str">
        <f>작성용!AI959</f>
        <v>-</v>
      </c>
      <c r="C962" s="56" t="str">
        <f>작성용!AK959</f>
        <v>기초자산</v>
      </c>
      <c r="D962" s="57" t="str">
        <f>작성용!T959</f>
        <v>무림캐피탈펀드(기초자산)</v>
      </c>
      <c r="E962" s="58" t="str">
        <f>작성용!B959</f>
        <v>카무르제이호사모투자전문회사</v>
      </c>
      <c r="F962" s="58" t="str">
        <f>작성용!C959</f>
        <v>재평가</v>
      </c>
      <c r="G962" s="58" t="str">
        <f>작성용!D959</f>
        <v>천호엔케어(구,천호식품)</v>
      </c>
      <c r="H962" s="59">
        <f>작성용!E959</f>
        <v>1801110694934</v>
      </c>
      <c r="I962" s="58" t="str">
        <f>작성용!F959</f>
        <v>A01</v>
      </c>
      <c r="J962" s="58">
        <f>작성용!G959</f>
        <v>0</v>
      </c>
      <c r="K962" s="58" t="str">
        <f>작성용!H959</f>
        <v>-</v>
      </c>
      <c r="L962" s="58" t="str">
        <f>작성용!N959</f>
        <v xml:space="preserve">반기 </v>
      </c>
      <c r="M962" s="57" t="str">
        <f>작성용!U959</f>
        <v>2024.11.30</v>
      </c>
      <c r="N962" s="57">
        <f>작성용!V959</f>
        <v>45632</v>
      </c>
      <c r="O962" s="57" t="str">
        <f>작성용!W959</f>
        <v>보고서제공X</v>
      </c>
      <c r="P962" s="57" t="str">
        <f>작성용!X959</f>
        <v>-</v>
      </c>
      <c r="Q962" s="58" t="str">
        <f>작성용!AD959</f>
        <v>정은채</v>
      </c>
      <c r="R962" s="60">
        <f>작성용!AE959</f>
        <v>0.4</v>
      </c>
      <c r="S962" s="58" t="str">
        <f>작성용!AF959</f>
        <v>정은채</v>
      </c>
      <c r="T962" s="61" t="str">
        <f>작성용!AG959</f>
        <v>-</v>
      </c>
      <c r="U962" s="61" t="str">
        <f>작성용!AH959</f>
        <v>-</v>
      </c>
      <c r="V962" s="56">
        <f>작성용!AA959</f>
        <v>202411</v>
      </c>
      <c r="W962" s="58" t="str">
        <f>작성용!AC959</f>
        <v>[6]기타기관펀드(기초자산)</v>
      </c>
      <c r="X962" s="58">
        <f>작성용!O959</f>
        <v>0</v>
      </c>
      <c r="Y962" s="58">
        <f>작성용!P959</f>
        <v>0</v>
      </c>
      <c r="Z962" s="58">
        <f>작성용!Q959</f>
        <v>0</v>
      </c>
      <c r="AA962" s="56" t="str">
        <f>작성용!AJ959</f>
        <v>-</v>
      </c>
      <c r="AB962" s="56">
        <f>작성용!AB959</f>
        <v>0</v>
      </c>
    </row>
    <row r="963" spans="1:28" s="12" customFormat="1" ht="16.5" hidden="1" customHeight="1" x14ac:dyDescent="0.3">
      <c r="A963" s="54">
        <f>작성용!AL960</f>
        <v>959</v>
      </c>
      <c r="B963" s="55" t="str">
        <f>작성용!AI960</f>
        <v>-</v>
      </c>
      <c r="C963" s="56" t="str">
        <f>작성용!AK960</f>
        <v>기초자산</v>
      </c>
      <c r="D963" s="57" t="str">
        <f>작성용!T960</f>
        <v>무림캐피탈펀드(기초자산)</v>
      </c>
      <c r="E963" s="58" t="str">
        <f>작성용!B960</f>
        <v>카무르제이호사모투자전문회사</v>
      </c>
      <c r="F963" s="58" t="str">
        <f>작성용!C960</f>
        <v>재평가</v>
      </c>
      <c r="G963" s="58" t="str">
        <f>작성용!D960</f>
        <v>천호엔케어(구,천호식품)</v>
      </c>
      <c r="H963" s="59">
        <f>작성용!E960</f>
        <v>1801110694934</v>
      </c>
      <c r="I963" s="58" t="str">
        <f>작성용!F960</f>
        <v>A07</v>
      </c>
      <c r="J963" s="58">
        <f>작성용!G960</f>
        <v>0</v>
      </c>
      <c r="K963" s="58" t="str">
        <f>작성용!H960</f>
        <v>-</v>
      </c>
      <c r="L963" s="58" t="str">
        <f>작성용!N960</f>
        <v xml:space="preserve">반기 </v>
      </c>
      <c r="M963" s="57" t="str">
        <f>작성용!U960</f>
        <v>2024.11.30</v>
      </c>
      <c r="N963" s="57">
        <f>작성용!V960</f>
        <v>45632</v>
      </c>
      <c r="O963" s="57" t="str">
        <f>작성용!W960</f>
        <v>보고서제공X</v>
      </c>
      <c r="P963" s="57" t="str">
        <f>작성용!X960</f>
        <v>-</v>
      </c>
      <c r="Q963" s="58" t="str">
        <f>작성용!AD960</f>
        <v>정은채</v>
      </c>
      <c r="R963" s="60">
        <f>작성용!AE960</f>
        <v>0</v>
      </c>
      <c r="S963" s="58" t="str">
        <f>작성용!AF960</f>
        <v>정은채</v>
      </c>
      <c r="T963" s="61" t="str">
        <f>작성용!AG960</f>
        <v>-</v>
      </c>
      <c r="U963" s="61" t="str">
        <f>작성용!AH960</f>
        <v>-</v>
      </c>
      <c r="V963" s="56">
        <f>작성용!AA960</f>
        <v>202411</v>
      </c>
      <c r="W963" s="58" t="str">
        <f>작성용!AC960</f>
        <v>[6]기타기관펀드(기초자산)</v>
      </c>
      <c r="X963" s="58">
        <f>작성용!O960</f>
        <v>0</v>
      </c>
      <c r="Y963" s="58">
        <f>작성용!P960</f>
        <v>0</v>
      </c>
      <c r="Z963" s="58">
        <f>작성용!Q960</f>
        <v>0</v>
      </c>
      <c r="AA963" s="56" t="str">
        <f>작성용!AJ960</f>
        <v>-</v>
      </c>
      <c r="AB963" s="56">
        <f>작성용!AB960</f>
        <v>0</v>
      </c>
    </row>
    <row r="964" spans="1:28" s="12" customFormat="1" ht="16.5" hidden="1" customHeight="1" x14ac:dyDescent="0.3">
      <c r="A964" s="54">
        <f>작성용!AL961</f>
        <v>960</v>
      </c>
      <c r="B964" s="55" t="str">
        <f>작성용!AI961</f>
        <v>-</v>
      </c>
      <c r="C964" s="56" t="str">
        <f>작성용!AK961</f>
        <v>기초자산</v>
      </c>
      <c r="D964" s="57" t="str">
        <f>작성용!T961</f>
        <v>무림캐피탈펀드(기초자산)</v>
      </c>
      <c r="E964" s="58" t="str">
        <f>작성용!B961</f>
        <v>퀸테사헤임달제삼호사모투자(구,퀸테사제삼호사모투자)</v>
      </c>
      <c r="F964" s="58" t="str">
        <f>작성용!C961</f>
        <v>재평가</v>
      </c>
      <c r="G964" s="58" t="str">
        <f>작성용!D961</f>
        <v>지디케이화장품</v>
      </c>
      <c r="H964" s="59">
        <f>작성용!E961</f>
        <v>1201110579253</v>
      </c>
      <c r="I964" s="58" t="str">
        <f>작성용!F961</f>
        <v>A01</v>
      </c>
      <c r="J964" s="58">
        <f>작성용!G961</f>
        <v>0</v>
      </c>
      <c r="K964" s="58" t="str">
        <f>작성용!H961</f>
        <v>-</v>
      </c>
      <c r="L964" s="58" t="str">
        <f>작성용!N961</f>
        <v xml:space="preserve">반기 </v>
      </c>
      <c r="M964" s="57" t="str">
        <f>작성용!U961</f>
        <v>2024.11.30</v>
      </c>
      <c r="N964" s="57">
        <f>작성용!V961</f>
        <v>45632</v>
      </c>
      <c r="O964" s="57" t="str">
        <f>작성용!W961</f>
        <v>보고서제공X</v>
      </c>
      <c r="P964" s="57" t="str">
        <f>작성용!X961</f>
        <v>-</v>
      </c>
      <c r="Q964" s="58" t="str">
        <f>작성용!AD961</f>
        <v>심태진</v>
      </c>
      <c r="R964" s="60">
        <f>작성용!AE961</f>
        <v>0</v>
      </c>
      <c r="S964" s="58" t="str">
        <f>작성용!AF961</f>
        <v>심태진</v>
      </c>
      <c r="T964" s="61" t="str">
        <f>작성용!AG961</f>
        <v>-</v>
      </c>
      <c r="U964" s="61" t="str">
        <f>작성용!AH961</f>
        <v>-</v>
      </c>
      <c r="V964" s="56">
        <f>작성용!AA961</f>
        <v>202411</v>
      </c>
      <c r="W964" s="58" t="str">
        <f>작성용!AC961</f>
        <v>[6]기타기관펀드(기초자산)</v>
      </c>
      <c r="X964" s="58">
        <f>작성용!O961</f>
        <v>0</v>
      </c>
      <c r="Y964" s="58">
        <f>작성용!P961</f>
        <v>0</v>
      </c>
      <c r="Z964" s="58">
        <f>작성용!Q961</f>
        <v>0</v>
      </c>
      <c r="AA964" s="56" t="str">
        <f>작성용!AJ961</f>
        <v>-</v>
      </c>
      <c r="AB964" s="56">
        <f>작성용!AB961</f>
        <v>0</v>
      </c>
    </row>
    <row r="965" spans="1:28" s="12" customFormat="1" ht="16.5" hidden="1" customHeight="1" x14ac:dyDescent="0.3">
      <c r="A965" s="54">
        <f>작성용!AL962</f>
        <v>961</v>
      </c>
      <c r="B965" s="55" t="str">
        <f>작성용!AI962</f>
        <v>-</v>
      </c>
      <c r="C965" s="56" t="str">
        <f>작성용!AK962</f>
        <v>기초자산</v>
      </c>
      <c r="D965" s="57" t="str">
        <f>작성용!T962</f>
        <v>무림캐피탈펀드(기초자산)</v>
      </c>
      <c r="E965" s="58" t="str">
        <f>작성용!B962</f>
        <v>퀸테사헤임달제삼호사모투자(구,퀸테사제삼호사모투자)</v>
      </c>
      <c r="F965" s="58" t="str">
        <f>작성용!C962</f>
        <v>재평가</v>
      </c>
      <c r="G965" s="58" t="str">
        <f>작성용!D962</f>
        <v>시크릿다이렉트코리아</v>
      </c>
      <c r="H965" s="59">
        <f>작성용!E962</f>
        <v>1101114897679</v>
      </c>
      <c r="I965" s="58" t="str">
        <f>작성용!F962</f>
        <v>D03</v>
      </c>
      <c r="J965" s="58">
        <f>작성용!G962</f>
        <v>0</v>
      </c>
      <c r="K965" s="58" t="str">
        <f>작성용!H962</f>
        <v>-</v>
      </c>
      <c r="L965" s="58" t="str">
        <f>작성용!N962</f>
        <v xml:space="preserve">반기 </v>
      </c>
      <c r="M965" s="57" t="str">
        <f>작성용!U962</f>
        <v>2024.11.30</v>
      </c>
      <c r="N965" s="57">
        <f>작성용!V962</f>
        <v>45632</v>
      </c>
      <c r="O965" s="57" t="str">
        <f>작성용!W962</f>
        <v>보고서제공X</v>
      </c>
      <c r="P965" s="57" t="str">
        <f>작성용!X962</f>
        <v>-</v>
      </c>
      <c r="Q965" s="58" t="str">
        <f>작성용!AD962</f>
        <v>유재호</v>
      </c>
      <c r="R965" s="60">
        <f>작성용!AE962</f>
        <v>0</v>
      </c>
      <c r="S965" s="58" t="str">
        <f>작성용!AF962</f>
        <v>유재호</v>
      </c>
      <c r="T965" s="61" t="str">
        <f>작성용!AG962</f>
        <v>-</v>
      </c>
      <c r="U965" s="61" t="str">
        <f>작성용!AH962</f>
        <v>-</v>
      </c>
      <c r="V965" s="56">
        <f>작성용!AA962</f>
        <v>202411</v>
      </c>
      <c r="W965" s="58" t="str">
        <f>작성용!AC962</f>
        <v>[6]기타기관펀드(기초자산)</v>
      </c>
      <c r="X965" s="58">
        <f>작성용!O962</f>
        <v>0</v>
      </c>
      <c r="Y965" s="58">
        <f>작성용!P962</f>
        <v>0</v>
      </c>
      <c r="Z965" s="58">
        <f>작성용!Q962</f>
        <v>0</v>
      </c>
      <c r="AA965" s="56" t="str">
        <f>작성용!AJ962</f>
        <v>-</v>
      </c>
      <c r="AB965" s="56">
        <f>작성용!AB962</f>
        <v>0</v>
      </c>
    </row>
    <row r="966" spans="1:28" s="12" customFormat="1" ht="16.5" hidden="1" customHeight="1" x14ac:dyDescent="0.3">
      <c r="A966" s="54">
        <f>작성용!AL963</f>
        <v>962</v>
      </c>
      <c r="B966" s="55" t="str">
        <f>작성용!AI963</f>
        <v>평가 불가(자료불충분)였으나 자료를 수취받아 평가가능 여부 검토 필요</v>
      </c>
      <c r="C966" s="56" t="str">
        <f>작성용!AK963</f>
        <v>기초자산</v>
      </c>
      <c r="D966" s="57" t="str">
        <f>작성용!T963</f>
        <v>무림캐피탈펀드(기초자산)</v>
      </c>
      <c r="E966" s="58" t="str">
        <f>작성용!B963</f>
        <v>시냅틱헬스케어제1호사모투자</v>
      </c>
      <c r="F966" s="58" t="str">
        <f>작성용!C963</f>
        <v>재평가</v>
      </c>
      <c r="G966" s="58" t="str">
        <f>작성용!D963</f>
        <v>Green Cross Hong Kong Holdings Limited</v>
      </c>
      <c r="H966" s="59" t="str">
        <f>작성용!E963</f>
        <v>KBP2017100004</v>
      </c>
      <c r="I966" s="58" t="str">
        <f>작성용!F963</f>
        <v>A01</v>
      </c>
      <c r="J966" s="58">
        <f>작성용!G963</f>
        <v>0</v>
      </c>
      <c r="K966" s="58" t="str">
        <f>작성용!H963</f>
        <v>-</v>
      </c>
      <c r="L966" s="58" t="str">
        <f>작성용!N963</f>
        <v xml:space="preserve">반기 </v>
      </c>
      <c r="M966" s="57" t="str">
        <f>작성용!U963</f>
        <v>2024.11.30</v>
      </c>
      <c r="N966" s="57">
        <f>작성용!V963</f>
        <v>45632</v>
      </c>
      <c r="O966" s="57" t="str">
        <f>작성용!W963</f>
        <v>보고서제공X</v>
      </c>
      <c r="P966" s="57" t="str">
        <f>작성용!X963</f>
        <v>-</v>
      </c>
      <c r="Q966" s="58" t="str">
        <f>작성용!AD963</f>
        <v>백형진</v>
      </c>
      <c r="R966" s="60">
        <f>작성용!AE963</f>
        <v>0</v>
      </c>
      <c r="S966" s="58" t="str">
        <f>작성용!AF963</f>
        <v>백형진</v>
      </c>
      <c r="T966" s="61" t="str">
        <f>작성용!AG963</f>
        <v>-</v>
      </c>
      <c r="U966" s="61" t="str">
        <f>작성용!AH963</f>
        <v>-</v>
      </c>
      <c r="V966" s="56">
        <f>작성용!AA963</f>
        <v>202411</v>
      </c>
      <c r="W966" s="58" t="str">
        <f>작성용!AC963</f>
        <v>[6]기타기관펀드(기초자산)</v>
      </c>
      <c r="X966" s="58">
        <f>작성용!O963</f>
        <v>0</v>
      </c>
      <c r="Y966" s="58">
        <f>작성용!P963</f>
        <v>0</v>
      </c>
      <c r="Z966" s="58">
        <f>작성용!Q963</f>
        <v>0</v>
      </c>
      <c r="AA966" s="56" t="str">
        <f>작성용!AJ963</f>
        <v>-</v>
      </c>
      <c r="AB966" s="56">
        <f>작성용!AB963</f>
        <v>0</v>
      </c>
    </row>
    <row r="967" spans="1:28" s="12" customFormat="1" ht="16.5" hidden="1" customHeight="1" x14ac:dyDescent="0.3">
      <c r="A967" s="54">
        <f>작성용!AL964</f>
        <v>963</v>
      </c>
      <c r="B967" s="55" t="str">
        <f>작성용!AI964</f>
        <v>평가 불가(자료불충분)였으나 자료를 수취받아 평가가능 여부 검토 필요</v>
      </c>
      <c r="C967" s="56" t="str">
        <f>작성용!AK964</f>
        <v>기초자산</v>
      </c>
      <c r="D967" s="57" t="str">
        <f>작성용!T964</f>
        <v>무림캐피탈펀드(기초자산)</v>
      </c>
      <c r="E967" s="58" t="str">
        <f>작성용!B964</f>
        <v>시냅틱헬스케어제1호사모투자</v>
      </c>
      <c r="F967" s="58" t="str">
        <f>작성용!C964</f>
        <v>재평가</v>
      </c>
      <c r="G967" s="58" t="str">
        <f>작성용!D964</f>
        <v>Green Cross Hong Kong Holdings Limited</v>
      </c>
      <c r="H967" s="59" t="str">
        <f>작성용!E964</f>
        <v>KBP2017100004</v>
      </c>
      <c r="I967" s="58" t="str">
        <f>작성용!F964</f>
        <v>A07</v>
      </c>
      <c r="J967" s="58">
        <f>작성용!G964</f>
        <v>0</v>
      </c>
      <c r="K967" s="58" t="str">
        <f>작성용!H964</f>
        <v>-</v>
      </c>
      <c r="L967" s="58" t="str">
        <f>작성용!N964</f>
        <v xml:space="preserve">반기 </v>
      </c>
      <c r="M967" s="57" t="str">
        <f>작성용!U964</f>
        <v>2024.11.30</v>
      </c>
      <c r="N967" s="57">
        <f>작성용!V964</f>
        <v>45632</v>
      </c>
      <c r="O967" s="57" t="str">
        <f>작성용!W964</f>
        <v>보고서제공X</v>
      </c>
      <c r="P967" s="57" t="str">
        <f>작성용!X964</f>
        <v>-</v>
      </c>
      <c r="Q967" s="58" t="str">
        <f>작성용!AD964</f>
        <v>백형진</v>
      </c>
      <c r="R967" s="60">
        <f>작성용!AE964</f>
        <v>0</v>
      </c>
      <c r="S967" s="58" t="str">
        <f>작성용!AF964</f>
        <v>백형진</v>
      </c>
      <c r="T967" s="61" t="str">
        <f>작성용!AG964</f>
        <v>-</v>
      </c>
      <c r="U967" s="61" t="str">
        <f>작성용!AH964</f>
        <v>-</v>
      </c>
      <c r="V967" s="56">
        <f>작성용!AA964</f>
        <v>202411</v>
      </c>
      <c r="W967" s="58" t="str">
        <f>작성용!AC964</f>
        <v>[6]기타기관펀드(기초자산)</v>
      </c>
      <c r="X967" s="58">
        <f>작성용!O964</f>
        <v>0</v>
      </c>
      <c r="Y967" s="58">
        <f>작성용!P964</f>
        <v>0</v>
      </c>
      <c r="Z967" s="58">
        <f>작성용!Q964</f>
        <v>0</v>
      </c>
      <c r="AA967" s="56" t="str">
        <f>작성용!AJ964</f>
        <v>-</v>
      </c>
      <c r="AB967" s="56">
        <f>작성용!AB964</f>
        <v>0</v>
      </c>
    </row>
    <row r="968" spans="1:28" s="12" customFormat="1" ht="16.5" hidden="1" customHeight="1" x14ac:dyDescent="0.3">
      <c r="A968" s="54">
        <f>작성용!AL965</f>
        <v>964</v>
      </c>
      <c r="B968" s="55" t="str">
        <f>작성용!AI965</f>
        <v>-</v>
      </c>
      <c r="C968" s="56" t="str">
        <f>작성용!AK965</f>
        <v>기초자산</v>
      </c>
      <c r="D968" s="57" t="str">
        <f>작성용!T965</f>
        <v>무림캐피탈펀드(기초자산)</v>
      </c>
      <c r="E968" s="58" t="str">
        <f>작성용!B965</f>
        <v>케이엘한주창업벤처전문사모투자</v>
      </c>
      <c r="F968" s="58" t="str">
        <f>작성용!C965</f>
        <v>재평가</v>
      </c>
      <c r="G968" s="58" t="str">
        <f>작성용!D965</f>
        <v>한주하이텍(구,한주반도체)</v>
      </c>
      <c r="H968" s="59">
        <f>작성용!E965</f>
        <v>1752110032189</v>
      </c>
      <c r="I968" s="58" t="str">
        <f>작성용!F965</f>
        <v>A01</v>
      </c>
      <c r="J968" s="58">
        <f>작성용!G965</f>
        <v>0</v>
      </c>
      <c r="K968" s="58" t="str">
        <f>작성용!H965</f>
        <v>-</v>
      </c>
      <c r="L968" s="58" t="str">
        <f>작성용!N965</f>
        <v xml:space="preserve">반기 </v>
      </c>
      <c r="M968" s="57" t="str">
        <f>작성용!U965</f>
        <v>2024.11.30</v>
      </c>
      <c r="N968" s="57">
        <f>작성용!V965</f>
        <v>45632</v>
      </c>
      <c r="O968" s="57" t="str">
        <f>작성용!W965</f>
        <v>보고서제공X</v>
      </c>
      <c r="P968" s="57" t="str">
        <f>작성용!X965</f>
        <v>-</v>
      </c>
      <c r="Q968" s="58" t="str">
        <f>작성용!AD965</f>
        <v>김에스더</v>
      </c>
      <c r="R968" s="60">
        <f>작성용!AE965</f>
        <v>0.4</v>
      </c>
      <c r="S968" s="58" t="str">
        <f>작성용!AF965</f>
        <v>김에스더</v>
      </c>
      <c r="T968" s="61" t="str">
        <f>작성용!AG965</f>
        <v>-</v>
      </c>
      <c r="U968" s="61" t="str">
        <f>작성용!AH965</f>
        <v>-</v>
      </c>
      <c r="V968" s="56">
        <f>작성용!AA965</f>
        <v>202411</v>
      </c>
      <c r="W968" s="58" t="str">
        <f>작성용!AC965</f>
        <v>[6]기타기관펀드(기초자산)</v>
      </c>
      <c r="X968" s="58">
        <f>작성용!O965</f>
        <v>0</v>
      </c>
      <c r="Y968" s="58">
        <f>작성용!P965</f>
        <v>0</v>
      </c>
      <c r="Z968" s="58">
        <f>작성용!Q965</f>
        <v>0</v>
      </c>
      <c r="AA968" s="56" t="str">
        <f>작성용!AJ965</f>
        <v>-</v>
      </c>
      <c r="AB968" s="56">
        <f>작성용!AB965</f>
        <v>0</v>
      </c>
    </row>
    <row r="969" spans="1:28" s="12" customFormat="1" ht="16.5" hidden="1" customHeight="1" x14ac:dyDescent="0.3">
      <c r="A969" s="54">
        <f>작성용!AL966</f>
        <v>965</v>
      </c>
      <c r="B969" s="55" t="str">
        <f>작성용!AI966</f>
        <v>-</v>
      </c>
      <c r="C969" s="56" t="str">
        <f>작성용!AK966</f>
        <v>기초자산</v>
      </c>
      <c r="D969" s="57" t="str">
        <f>작성용!T966</f>
        <v>무림캐피탈펀드(기초자산)</v>
      </c>
      <c r="E969" s="58" t="str">
        <f>작성용!B966</f>
        <v>오라이언코스메틱사모투자</v>
      </c>
      <c r="F969" s="58" t="str">
        <f>작성용!C966</f>
        <v>재평가</v>
      </c>
      <c r="G969" s="58" t="str">
        <f>작성용!D966</f>
        <v>제이티</v>
      </c>
      <c r="H969" s="59">
        <f>작성용!E966</f>
        <v>1355110169405</v>
      </c>
      <c r="I969" s="58" t="str">
        <f>작성용!F966</f>
        <v>A01</v>
      </c>
      <c r="J969" s="58">
        <f>작성용!G966</f>
        <v>0</v>
      </c>
      <c r="K969" s="58" t="str">
        <f>작성용!H966</f>
        <v>-</v>
      </c>
      <c r="L969" s="58" t="str">
        <f>작성용!N966</f>
        <v xml:space="preserve">반기 </v>
      </c>
      <c r="M969" s="57" t="str">
        <f>작성용!U966</f>
        <v>2024.11.30</v>
      </c>
      <c r="N969" s="57">
        <f>작성용!V966</f>
        <v>45632</v>
      </c>
      <c r="O969" s="57" t="str">
        <f>작성용!W966</f>
        <v>보고서제공X</v>
      </c>
      <c r="P969" s="57" t="str">
        <f>작성용!X966</f>
        <v>-</v>
      </c>
      <c r="Q969" s="58" t="str">
        <f>작성용!AD966</f>
        <v>변혜진</v>
      </c>
      <c r="R969" s="60">
        <f>작성용!AE966</f>
        <v>0.4</v>
      </c>
      <c r="S969" s="58" t="str">
        <f>작성용!AF966</f>
        <v>변혜진</v>
      </c>
      <c r="T969" s="61" t="str">
        <f>작성용!AG966</f>
        <v>-</v>
      </c>
      <c r="U969" s="61" t="str">
        <f>작성용!AH966</f>
        <v>-</v>
      </c>
      <c r="V969" s="56">
        <f>작성용!AA966</f>
        <v>202411</v>
      </c>
      <c r="W969" s="58" t="str">
        <f>작성용!AC966</f>
        <v>[6]기타기관펀드(기초자산)</v>
      </c>
      <c r="X969" s="58">
        <f>작성용!O966</f>
        <v>0</v>
      </c>
      <c r="Y969" s="58">
        <f>작성용!P966</f>
        <v>0</v>
      </c>
      <c r="Z969" s="58">
        <f>작성용!Q966</f>
        <v>0</v>
      </c>
      <c r="AA969" s="56" t="str">
        <f>작성용!AJ966</f>
        <v>-</v>
      </c>
      <c r="AB969" s="56">
        <f>작성용!AB966</f>
        <v>0</v>
      </c>
    </row>
    <row r="970" spans="1:28" s="12" customFormat="1" ht="16.5" hidden="1" customHeight="1" x14ac:dyDescent="0.3">
      <c r="A970" s="54">
        <f>작성용!AL967</f>
        <v>966</v>
      </c>
      <c r="B970" s="55" t="str">
        <f>작성용!AI967</f>
        <v>-</v>
      </c>
      <c r="C970" s="56" t="str">
        <f>작성용!AK967</f>
        <v>기초자산</v>
      </c>
      <c r="D970" s="57" t="str">
        <f>작성용!T967</f>
        <v>무림캐피탈펀드(기초자산)</v>
      </c>
      <c r="E970" s="58" t="str">
        <f>작성용!B967</f>
        <v>오라이언코스메틱사모투자</v>
      </c>
      <c r="F970" s="58" t="str">
        <f>작성용!C967</f>
        <v>재평가</v>
      </c>
      <c r="G970" s="58" t="str">
        <f>작성용!D967</f>
        <v>오라이언제이티투자목적회사</v>
      </c>
      <c r="H970" s="59">
        <f>작성용!E967</f>
        <v>1101140237229</v>
      </c>
      <c r="I970" s="58" t="str">
        <f>작성용!F967</f>
        <v>A01</v>
      </c>
      <c r="J970" s="58">
        <f>작성용!G967</f>
        <v>0</v>
      </c>
      <c r="K970" s="58" t="str">
        <f>작성용!H967</f>
        <v>-</v>
      </c>
      <c r="L970" s="58" t="str">
        <f>작성용!N967</f>
        <v xml:space="preserve">반기 </v>
      </c>
      <c r="M970" s="57" t="str">
        <f>작성용!U967</f>
        <v>2024.11.30</v>
      </c>
      <c r="N970" s="57">
        <f>작성용!V967</f>
        <v>45632</v>
      </c>
      <c r="O970" s="57" t="str">
        <f>작성용!W967</f>
        <v>보고서제공X</v>
      </c>
      <c r="P970" s="57" t="str">
        <f>작성용!X967</f>
        <v>-</v>
      </c>
      <c r="Q970" s="58" t="str">
        <f>작성용!AD967</f>
        <v>변혜진</v>
      </c>
      <c r="R970" s="60">
        <f>작성용!AE967</f>
        <v>0.4</v>
      </c>
      <c r="S970" s="58" t="str">
        <f>작성용!AF967</f>
        <v>변혜진</v>
      </c>
      <c r="T970" s="61" t="str">
        <f>작성용!AG967</f>
        <v>-</v>
      </c>
      <c r="U970" s="61" t="str">
        <f>작성용!AH967</f>
        <v>-</v>
      </c>
      <c r="V970" s="56">
        <f>작성용!AA967</f>
        <v>202411</v>
      </c>
      <c r="W970" s="58" t="str">
        <f>작성용!AC967</f>
        <v>[6]기타기관펀드(기초자산)</v>
      </c>
      <c r="X970" s="58">
        <f>작성용!O967</f>
        <v>0</v>
      </c>
      <c r="Y970" s="58">
        <f>작성용!P967</f>
        <v>0</v>
      </c>
      <c r="Z970" s="58">
        <f>작성용!Q967</f>
        <v>0</v>
      </c>
      <c r="AA970" s="56" t="str">
        <f>작성용!AJ967</f>
        <v>-</v>
      </c>
      <c r="AB970" s="56">
        <f>작성용!AB967</f>
        <v>0</v>
      </c>
    </row>
    <row r="971" spans="1:28" s="12" customFormat="1" ht="16.5" hidden="1" customHeight="1" x14ac:dyDescent="0.3">
      <c r="A971" s="54">
        <f>작성용!AL968</f>
        <v>967</v>
      </c>
      <c r="B971" s="55" t="str">
        <f>작성용!AI968</f>
        <v>-</v>
      </c>
      <c r="C971" s="56" t="str">
        <f>작성용!AK968</f>
        <v>기초자산</v>
      </c>
      <c r="D971" s="57" t="str">
        <f>작성용!T968</f>
        <v>무림캐피탈펀드(기초자산)</v>
      </c>
      <c r="E971" s="58" t="str">
        <f>작성용!B968</f>
        <v>유진스마트모빌리티사모투자</v>
      </c>
      <c r="F971" s="58" t="str">
        <f>작성용!C968</f>
        <v>재평가</v>
      </c>
      <c r="G971" s="58" t="str">
        <f>작성용!D968</f>
        <v>SOCAR MOBILITY MALAYSIA</v>
      </c>
      <c r="H971" s="59" t="str">
        <f>작성용!E968</f>
        <v>KBP2019120343</v>
      </c>
      <c r="I971" s="58" t="str">
        <f>작성용!F968</f>
        <v>A05</v>
      </c>
      <c r="J971" s="58">
        <f>작성용!G968</f>
        <v>0</v>
      </c>
      <c r="K971" s="58" t="str">
        <f>작성용!H968</f>
        <v>-</v>
      </c>
      <c r="L971" s="58" t="str">
        <f>작성용!N968</f>
        <v xml:space="preserve">반기 </v>
      </c>
      <c r="M971" s="57" t="str">
        <f>작성용!U968</f>
        <v>2024.11.30</v>
      </c>
      <c r="N971" s="57">
        <f>작성용!V968</f>
        <v>45632</v>
      </c>
      <c r="O971" s="57" t="str">
        <f>작성용!W968</f>
        <v>보고서제공X</v>
      </c>
      <c r="P971" s="57" t="str">
        <f>작성용!X968</f>
        <v>-</v>
      </c>
      <c r="Q971" s="58" t="str">
        <f>작성용!AD968</f>
        <v>조현우</v>
      </c>
      <c r="R971" s="60">
        <f>작성용!AE968</f>
        <v>0.4</v>
      </c>
      <c r="S971" s="58" t="str">
        <f>작성용!AF968</f>
        <v>조현우</v>
      </c>
      <c r="T971" s="61" t="str">
        <f>작성용!AG968</f>
        <v>-</v>
      </c>
      <c r="U971" s="61" t="str">
        <f>작성용!AH968</f>
        <v>-</v>
      </c>
      <c r="V971" s="56">
        <f>작성용!AA968</f>
        <v>202411</v>
      </c>
      <c r="W971" s="58" t="str">
        <f>작성용!AC968</f>
        <v>[6]기타기관펀드(기초자산)</v>
      </c>
      <c r="X971" s="58">
        <f>작성용!O968</f>
        <v>0</v>
      </c>
      <c r="Y971" s="58">
        <f>작성용!P968</f>
        <v>0</v>
      </c>
      <c r="Z971" s="58">
        <f>작성용!Q968</f>
        <v>0</v>
      </c>
      <c r="AA971" s="56" t="str">
        <f>작성용!AJ968</f>
        <v>-</v>
      </c>
      <c r="AB971" s="56">
        <f>작성용!AB968</f>
        <v>0</v>
      </c>
    </row>
    <row r="972" spans="1:28" s="12" customFormat="1" ht="16.5" hidden="1" customHeight="1" x14ac:dyDescent="0.3">
      <c r="A972" s="54">
        <f>작성용!AL969</f>
        <v>968</v>
      </c>
      <c r="B972" s="55" t="str">
        <f>작성용!AI969</f>
        <v>-</v>
      </c>
      <c r="C972" s="56" t="str">
        <f>작성용!AK969</f>
        <v>기초자산</v>
      </c>
      <c r="D972" s="57" t="str">
        <f>작성용!T969</f>
        <v>무림캐피탈펀드(기초자산)</v>
      </c>
      <c r="E972" s="58" t="str">
        <f>작성용!B969</f>
        <v>이앤에프밸리사모투자</v>
      </c>
      <c r="F972" s="58" t="str">
        <f>작성용!C969</f>
        <v>재평가</v>
      </c>
      <c r="G972" s="58" t="str">
        <f>작성용!D969</f>
        <v>삼덕개발</v>
      </c>
      <c r="H972" s="59">
        <f>작성용!E969</f>
        <v>1914110005116</v>
      </c>
      <c r="I972" s="58" t="str">
        <f>작성용!F969</f>
        <v>A01</v>
      </c>
      <c r="J972" s="58">
        <f>작성용!G969</f>
        <v>0</v>
      </c>
      <c r="K972" s="58" t="str">
        <f>작성용!H969</f>
        <v>-</v>
      </c>
      <c r="L972" s="58" t="str">
        <f>작성용!N969</f>
        <v xml:space="preserve">반기 </v>
      </c>
      <c r="M972" s="57" t="str">
        <f>작성용!U969</f>
        <v>2024.11.30</v>
      </c>
      <c r="N972" s="57">
        <f>작성용!V969</f>
        <v>45632</v>
      </c>
      <c r="O972" s="57" t="str">
        <f>작성용!W969</f>
        <v>보고서제공X</v>
      </c>
      <c r="P972" s="57" t="str">
        <f>작성용!X969</f>
        <v>-</v>
      </c>
      <c r="Q972" s="58" t="str">
        <f>작성용!AD969</f>
        <v>조현우</v>
      </c>
      <c r="R972" s="60">
        <f>작성용!AE969</f>
        <v>0.4</v>
      </c>
      <c r="S972" s="58" t="str">
        <f>작성용!AF969</f>
        <v>조현우</v>
      </c>
      <c r="T972" s="61" t="str">
        <f>작성용!AG969</f>
        <v>-</v>
      </c>
      <c r="U972" s="61" t="str">
        <f>작성용!AH969</f>
        <v>-</v>
      </c>
      <c r="V972" s="56">
        <f>작성용!AA969</f>
        <v>202411</v>
      </c>
      <c r="W972" s="58" t="str">
        <f>작성용!AC969</f>
        <v>[6]기타기관펀드(기초자산)</v>
      </c>
      <c r="X972" s="58">
        <f>작성용!O969</f>
        <v>0</v>
      </c>
      <c r="Y972" s="58">
        <f>작성용!P969</f>
        <v>0</v>
      </c>
      <c r="Z972" s="58">
        <f>작성용!Q969</f>
        <v>0</v>
      </c>
      <c r="AA972" s="56" t="str">
        <f>작성용!AJ969</f>
        <v>-</v>
      </c>
      <c r="AB972" s="56">
        <f>작성용!AB969</f>
        <v>0</v>
      </c>
    </row>
    <row r="973" spans="1:28" s="12" customFormat="1" ht="16.5" hidden="1" customHeight="1" x14ac:dyDescent="0.3">
      <c r="A973" s="54">
        <f>작성용!AL970</f>
        <v>969</v>
      </c>
      <c r="B973" s="55" t="str">
        <f>작성용!AI970</f>
        <v>-</v>
      </c>
      <c r="C973" s="56" t="str">
        <f>작성용!AK970</f>
        <v>기초자산</v>
      </c>
      <c r="D973" s="57" t="str">
        <f>작성용!T970</f>
        <v>무림캐피탈펀드(기초자산)</v>
      </c>
      <c r="E973" s="58" t="str">
        <f>작성용!B970</f>
        <v>에이투파트너스라이노스제1호사모투자</v>
      </c>
      <c r="F973" s="58" t="str">
        <f>작성용!C970</f>
        <v>재평가</v>
      </c>
      <c r="G973" s="58" t="str">
        <f>작성용!D970</f>
        <v>디앤에이모터스(구.대림오토바이)</v>
      </c>
      <c r="H973" s="59">
        <f>작성용!E970</f>
        <v>1942110280230</v>
      </c>
      <c r="I973" s="58" t="str">
        <f>작성용!F970</f>
        <v>A01</v>
      </c>
      <c r="J973" s="58">
        <f>작성용!G970</f>
        <v>0</v>
      </c>
      <c r="K973" s="58" t="str">
        <f>작성용!H970</f>
        <v>-</v>
      </c>
      <c r="L973" s="58" t="str">
        <f>작성용!N970</f>
        <v xml:space="preserve">반기 </v>
      </c>
      <c r="M973" s="57" t="str">
        <f>작성용!U970</f>
        <v>2024.11.30</v>
      </c>
      <c r="N973" s="57">
        <f>작성용!V970</f>
        <v>45632</v>
      </c>
      <c r="O973" s="57" t="str">
        <f>작성용!W970</f>
        <v>보고서제공X</v>
      </c>
      <c r="P973" s="57" t="str">
        <f>작성용!X970</f>
        <v>-</v>
      </c>
      <c r="Q973" s="58" t="str">
        <f>작성용!AD970</f>
        <v>신원준</v>
      </c>
      <c r="R973" s="60">
        <f>작성용!AE970</f>
        <v>0.4</v>
      </c>
      <c r="S973" s="58" t="str">
        <f>작성용!AF970</f>
        <v>김범준</v>
      </c>
      <c r="T973" s="61" t="str">
        <f>작성용!AG970</f>
        <v>-</v>
      </c>
      <c r="U973" s="61" t="str">
        <f>작성용!AH970</f>
        <v>-</v>
      </c>
      <c r="V973" s="56">
        <f>작성용!AA970</f>
        <v>202411</v>
      </c>
      <c r="W973" s="58" t="str">
        <f>작성용!AC970</f>
        <v>[6]기타기관펀드(기초자산)</v>
      </c>
      <c r="X973" s="58">
        <f>작성용!O970</f>
        <v>0</v>
      </c>
      <c r="Y973" s="58">
        <f>작성용!P970</f>
        <v>0</v>
      </c>
      <c r="Z973" s="58">
        <f>작성용!Q970</f>
        <v>0</v>
      </c>
      <c r="AA973" s="56" t="str">
        <f>작성용!AJ970</f>
        <v>-</v>
      </c>
      <c r="AB973" s="56">
        <f>작성용!AB970</f>
        <v>0</v>
      </c>
    </row>
    <row r="974" spans="1:28" s="12" customFormat="1" ht="16.5" hidden="1" customHeight="1" x14ac:dyDescent="0.3">
      <c r="A974" s="54">
        <f>작성용!AL971</f>
        <v>970</v>
      </c>
      <c r="B974" s="55" t="str">
        <f>작성용!AI971</f>
        <v>-</v>
      </c>
      <c r="C974" s="56" t="str">
        <f>작성용!AK971</f>
        <v>기초자산</v>
      </c>
      <c r="D974" s="57" t="str">
        <f>작성용!T971</f>
        <v>무림캐피탈펀드(기초자산)</v>
      </c>
      <c r="E974" s="58" t="str">
        <f>작성용!B971</f>
        <v>에이투파트너스라이노스제1호사모투자</v>
      </c>
      <c r="F974" s="58" t="str">
        <f>작성용!C971</f>
        <v>재평가</v>
      </c>
      <c r="G974" s="58" t="str">
        <f>작성용!D971</f>
        <v>디앤에이모터스(구.대림오토바이)</v>
      </c>
      <c r="H974" s="59">
        <f>작성용!E971</f>
        <v>1942110280230</v>
      </c>
      <c r="I974" s="58" t="str">
        <f>작성용!F971</f>
        <v>A07</v>
      </c>
      <c r="J974" s="58">
        <f>작성용!G971</f>
        <v>0</v>
      </c>
      <c r="K974" s="58" t="str">
        <f>작성용!H971</f>
        <v>-</v>
      </c>
      <c r="L974" s="58" t="str">
        <f>작성용!N971</f>
        <v xml:space="preserve">반기 </v>
      </c>
      <c r="M974" s="57" t="str">
        <f>작성용!U971</f>
        <v>2024.11.30</v>
      </c>
      <c r="N974" s="57">
        <f>작성용!V971</f>
        <v>45632</v>
      </c>
      <c r="O974" s="57" t="str">
        <f>작성용!W971</f>
        <v>보고서제공X</v>
      </c>
      <c r="P974" s="57" t="str">
        <f>작성용!X971</f>
        <v>-</v>
      </c>
      <c r="Q974" s="58" t="str">
        <f>작성용!AD971</f>
        <v>신원준</v>
      </c>
      <c r="R974" s="60">
        <f>작성용!AE971</f>
        <v>0</v>
      </c>
      <c r="S974" s="58" t="str">
        <f>작성용!AF971</f>
        <v>김범준</v>
      </c>
      <c r="T974" s="61" t="str">
        <f>작성용!AG971</f>
        <v>-</v>
      </c>
      <c r="U974" s="61" t="str">
        <f>작성용!AH971</f>
        <v>-</v>
      </c>
      <c r="V974" s="56">
        <f>작성용!AA971</f>
        <v>202411</v>
      </c>
      <c r="W974" s="58" t="str">
        <f>작성용!AC971</f>
        <v>[6]기타기관펀드(기초자산)</v>
      </c>
      <c r="X974" s="58">
        <f>작성용!O971</f>
        <v>0</v>
      </c>
      <c r="Y974" s="58">
        <f>작성용!P971</f>
        <v>0</v>
      </c>
      <c r="Z974" s="58">
        <f>작성용!Q971</f>
        <v>0</v>
      </c>
      <c r="AA974" s="56" t="str">
        <f>작성용!AJ971</f>
        <v>-</v>
      </c>
      <c r="AB974" s="56">
        <f>작성용!AB971</f>
        <v>0</v>
      </c>
    </row>
    <row r="975" spans="1:28" s="12" customFormat="1" ht="16.5" hidden="1" customHeight="1" x14ac:dyDescent="0.3">
      <c r="A975" s="54">
        <f>작성용!AL972</f>
        <v>971</v>
      </c>
      <c r="B975" s="55" t="str">
        <f>작성용!AI972</f>
        <v>-</v>
      </c>
      <c r="C975" s="56" t="str">
        <f>작성용!AK972</f>
        <v>기초자산</v>
      </c>
      <c r="D975" s="57" t="str">
        <f>작성용!T972</f>
        <v>무림캐피탈펀드(기초자산)</v>
      </c>
      <c r="E975" s="58" t="str">
        <f>작성용!B972</f>
        <v>브이엘네른스트사모투자</v>
      </c>
      <c r="F975" s="58" t="str">
        <f>작성용!C972</f>
        <v>재평가</v>
      </c>
      <c r="G975" s="58" t="str">
        <f>작성용!D972</f>
        <v>워터매니지먼트코리아</v>
      </c>
      <c r="H975" s="59">
        <f>작성용!E972</f>
        <v>1201111041582</v>
      </c>
      <c r="I975" s="58" t="str">
        <f>작성용!F972</f>
        <v>A01</v>
      </c>
      <c r="J975" s="58">
        <f>작성용!G972</f>
        <v>0</v>
      </c>
      <c r="K975" s="58" t="str">
        <f>작성용!H972</f>
        <v>-</v>
      </c>
      <c r="L975" s="58" t="str">
        <f>작성용!N972</f>
        <v xml:space="preserve">반기 </v>
      </c>
      <c r="M975" s="57" t="str">
        <f>작성용!U972</f>
        <v>2024.11.30</v>
      </c>
      <c r="N975" s="57">
        <f>작성용!V972</f>
        <v>45632</v>
      </c>
      <c r="O975" s="57" t="str">
        <f>작성용!W972</f>
        <v>보고서제공X</v>
      </c>
      <c r="P975" s="57" t="str">
        <f>작성용!X972</f>
        <v>-</v>
      </c>
      <c r="Q975" s="58" t="str">
        <f>작성용!AD972</f>
        <v>김수현</v>
      </c>
      <c r="R975" s="60">
        <f>작성용!AE972</f>
        <v>0.4</v>
      </c>
      <c r="S975" s="58" t="str">
        <f>작성용!AF972</f>
        <v>김수현</v>
      </c>
      <c r="T975" s="61" t="str">
        <f>작성용!AG972</f>
        <v>-</v>
      </c>
      <c r="U975" s="61" t="str">
        <f>작성용!AH972</f>
        <v>-</v>
      </c>
      <c r="V975" s="56">
        <f>작성용!AA972</f>
        <v>202411</v>
      </c>
      <c r="W975" s="58" t="str">
        <f>작성용!AC972</f>
        <v>[6]기타기관펀드(기초자산)</v>
      </c>
      <c r="X975" s="58">
        <f>작성용!O972</f>
        <v>0</v>
      </c>
      <c r="Y975" s="58">
        <f>작성용!P972</f>
        <v>0</v>
      </c>
      <c r="Z975" s="58">
        <f>작성용!Q972</f>
        <v>0</v>
      </c>
      <c r="AA975" s="56" t="str">
        <f>작성용!AJ972</f>
        <v>-</v>
      </c>
      <c r="AB975" s="56">
        <f>작성용!AB972</f>
        <v>0</v>
      </c>
    </row>
    <row r="976" spans="1:28" s="12" customFormat="1" ht="16.5" hidden="1" customHeight="1" x14ac:dyDescent="0.3">
      <c r="A976" s="54">
        <f>작성용!AL973</f>
        <v>972</v>
      </c>
      <c r="B976" s="55" t="str">
        <f>작성용!AI973</f>
        <v>-</v>
      </c>
      <c r="C976" s="56" t="str">
        <f>작성용!AK973</f>
        <v>기초자산</v>
      </c>
      <c r="D976" s="57" t="str">
        <f>작성용!T973</f>
        <v>무림캐피탈펀드(기초자산)</v>
      </c>
      <c r="E976" s="58" t="str">
        <f>작성용!B973</f>
        <v>브이엘네른스트사모투자</v>
      </c>
      <c r="F976" s="58" t="str">
        <f>작성용!C973</f>
        <v>재평가</v>
      </c>
      <c r="G976" s="58" t="str">
        <f>작성용!D973</f>
        <v>케이제이아이(구,국제환경산업)</v>
      </c>
      <c r="H976" s="59">
        <f>작성용!E973</f>
        <v>1201110233312</v>
      </c>
      <c r="I976" s="58" t="str">
        <f>작성용!F973</f>
        <v>A01</v>
      </c>
      <c r="J976" s="58">
        <f>작성용!G973</f>
        <v>0</v>
      </c>
      <c r="K976" s="58" t="str">
        <f>작성용!H973</f>
        <v>-</v>
      </c>
      <c r="L976" s="58" t="str">
        <f>작성용!N973</f>
        <v xml:space="preserve">반기 </v>
      </c>
      <c r="M976" s="57" t="str">
        <f>작성용!U973</f>
        <v>2024.11.30</v>
      </c>
      <c r="N976" s="57">
        <f>작성용!V973</f>
        <v>45632</v>
      </c>
      <c r="O976" s="57" t="str">
        <f>작성용!W973</f>
        <v>보고서제공X</v>
      </c>
      <c r="P976" s="57" t="str">
        <f>작성용!X973</f>
        <v>-</v>
      </c>
      <c r="Q976" s="58" t="str">
        <f>작성용!AD973</f>
        <v>김수현</v>
      </c>
      <c r="R976" s="60">
        <f>작성용!AE973</f>
        <v>0.4</v>
      </c>
      <c r="S976" s="58" t="str">
        <f>작성용!AF973</f>
        <v>김수현</v>
      </c>
      <c r="T976" s="61" t="str">
        <f>작성용!AG973</f>
        <v>-</v>
      </c>
      <c r="U976" s="61" t="str">
        <f>작성용!AH973</f>
        <v>-</v>
      </c>
      <c r="V976" s="56">
        <f>작성용!AA973</f>
        <v>202411</v>
      </c>
      <c r="W976" s="58" t="str">
        <f>작성용!AC973</f>
        <v>[6]기타기관펀드(기초자산)</v>
      </c>
      <c r="X976" s="58">
        <f>작성용!O973</f>
        <v>0</v>
      </c>
      <c r="Y976" s="58">
        <f>작성용!P973</f>
        <v>0</v>
      </c>
      <c r="Z976" s="58">
        <f>작성용!Q973</f>
        <v>0</v>
      </c>
      <c r="AA976" s="56" t="str">
        <f>작성용!AJ973</f>
        <v>-</v>
      </c>
      <c r="AB976" s="56">
        <f>작성용!AB973</f>
        <v>0</v>
      </c>
    </row>
    <row r="977" spans="1:28" s="12" customFormat="1" ht="16.5" hidden="1" customHeight="1" x14ac:dyDescent="0.3">
      <c r="A977" s="54">
        <f>작성용!AL974</f>
        <v>973</v>
      </c>
      <c r="B977" s="55" t="str">
        <f>작성용!AI974</f>
        <v>-</v>
      </c>
      <c r="C977" s="56" t="str">
        <f>작성용!AK974</f>
        <v>기초자산</v>
      </c>
      <c r="D977" s="57" t="str">
        <f>작성용!T974</f>
        <v>무림캐피탈펀드(기초자산)</v>
      </c>
      <c r="E977" s="58" t="str">
        <f>작성용!B974</f>
        <v>브이엘네른스트사모투자</v>
      </c>
      <c r="F977" s="58" t="str">
        <f>작성용!C974</f>
        <v>재평가</v>
      </c>
      <c r="G977" s="58" t="str">
        <f>작성용!D974</f>
        <v>와이에스워터(구,유성화학)</v>
      </c>
      <c r="H977" s="59">
        <f>작성용!E974</f>
        <v>1201110297730</v>
      </c>
      <c r="I977" s="58" t="str">
        <f>작성용!F974</f>
        <v>A01</v>
      </c>
      <c r="J977" s="58">
        <f>작성용!G974</f>
        <v>0</v>
      </c>
      <c r="K977" s="58" t="str">
        <f>작성용!H974</f>
        <v>-</v>
      </c>
      <c r="L977" s="58" t="str">
        <f>작성용!N974</f>
        <v xml:space="preserve">반기 </v>
      </c>
      <c r="M977" s="57" t="str">
        <f>작성용!U974</f>
        <v>2024.11.30</v>
      </c>
      <c r="N977" s="57">
        <f>작성용!V974</f>
        <v>45632</v>
      </c>
      <c r="O977" s="57" t="str">
        <f>작성용!W974</f>
        <v>보고서제공X</v>
      </c>
      <c r="P977" s="57" t="str">
        <f>작성용!X974</f>
        <v>-</v>
      </c>
      <c r="Q977" s="58" t="str">
        <f>작성용!AD974</f>
        <v>정재형</v>
      </c>
      <c r="R977" s="60">
        <f>작성용!AE974</f>
        <v>0.4</v>
      </c>
      <c r="S977" s="58" t="str">
        <f>작성용!AF974</f>
        <v>정재형</v>
      </c>
      <c r="T977" s="61" t="str">
        <f>작성용!AG974</f>
        <v>-</v>
      </c>
      <c r="U977" s="61" t="str">
        <f>작성용!AH974</f>
        <v>-</v>
      </c>
      <c r="V977" s="56">
        <f>작성용!AA974</f>
        <v>202411</v>
      </c>
      <c r="W977" s="58" t="str">
        <f>작성용!AC974</f>
        <v>[6]기타기관펀드(기초자산)</v>
      </c>
      <c r="X977" s="58">
        <f>작성용!O974</f>
        <v>0</v>
      </c>
      <c r="Y977" s="58">
        <f>작성용!P974</f>
        <v>0</v>
      </c>
      <c r="Z977" s="58">
        <f>작성용!Q974</f>
        <v>0</v>
      </c>
      <c r="AA977" s="56" t="str">
        <f>작성용!AJ974</f>
        <v>-</v>
      </c>
      <c r="AB977" s="56">
        <f>작성용!AB974</f>
        <v>0</v>
      </c>
    </row>
    <row r="978" spans="1:28" s="12" customFormat="1" ht="16.5" hidden="1" customHeight="1" x14ac:dyDescent="0.3">
      <c r="A978" s="54">
        <f>작성용!AL975</f>
        <v>974</v>
      </c>
      <c r="B978" s="55" t="str">
        <f>작성용!AI975</f>
        <v>-</v>
      </c>
      <c r="C978" s="56" t="str">
        <f>작성용!AK975</f>
        <v>기초자산</v>
      </c>
      <c r="D978" s="57" t="str">
        <f>작성용!T975</f>
        <v>무림캐피탈펀드(기초자산)</v>
      </c>
      <c r="E978" s="58" t="str">
        <f>작성용!B975</f>
        <v>브이엘네른스트사모투자</v>
      </c>
      <c r="F978" s="58" t="str">
        <f>작성용!C975</f>
        <v>재평가</v>
      </c>
      <c r="G978" s="58" t="str">
        <f>작성용!D975</f>
        <v>워터매니지먼트(구,선일종합수처리)</v>
      </c>
      <c r="H978" s="59">
        <f>작성용!E975</f>
        <v>1701110295586</v>
      </c>
      <c r="I978" s="58" t="str">
        <f>작성용!F975</f>
        <v>A01</v>
      </c>
      <c r="J978" s="58">
        <f>작성용!G975</f>
        <v>0</v>
      </c>
      <c r="K978" s="58" t="str">
        <f>작성용!H975</f>
        <v>-</v>
      </c>
      <c r="L978" s="58" t="str">
        <f>작성용!N975</f>
        <v xml:space="preserve">반기 </v>
      </c>
      <c r="M978" s="57" t="str">
        <f>작성용!U975</f>
        <v>2024.11.30</v>
      </c>
      <c r="N978" s="57">
        <f>작성용!V975</f>
        <v>45632</v>
      </c>
      <c r="O978" s="57" t="str">
        <f>작성용!W975</f>
        <v>보고서제공X</v>
      </c>
      <c r="P978" s="57" t="str">
        <f>작성용!X975</f>
        <v>-</v>
      </c>
      <c r="Q978" s="58" t="str">
        <f>작성용!AD975</f>
        <v>김에스더</v>
      </c>
      <c r="R978" s="60">
        <f>작성용!AE975</f>
        <v>0.4</v>
      </c>
      <c r="S978" s="58" t="str">
        <f>작성용!AF975</f>
        <v>김에스더</v>
      </c>
      <c r="T978" s="61" t="str">
        <f>작성용!AG975</f>
        <v>-</v>
      </c>
      <c r="U978" s="61" t="str">
        <f>작성용!AH975</f>
        <v>-</v>
      </c>
      <c r="V978" s="56">
        <f>작성용!AA975</f>
        <v>202411</v>
      </c>
      <c r="W978" s="58" t="str">
        <f>작성용!AC975</f>
        <v>[6]기타기관펀드(기초자산)</v>
      </c>
      <c r="X978" s="58">
        <f>작성용!O975</f>
        <v>0</v>
      </c>
      <c r="Y978" s="58">
        <f>작성용!P975</f>
        <v>0</v>
      </c>
      <c r="Z978" s="58">
        <f>작성용!Q975</f>
        <v>0</v>
      </c>
      <c r="AA978" s="56" t="str">
        <f>작성용!AJ975</f>
        <v>-</v>
      </c>
      <c r="AB978" s="56">
        <f>작성용!AB975</f>
        <v>0</v>
      </c>
    </row>
    <row r="979" spans="1:28" s="12" customFormat="1" ht="16.5" hidden="1" customHeight="1" x14ac:dyDescent="0.3">
      <c r="A979" s="54">
        <f>작성용!AL976</f>
        <v>975</v>
      </c>
      <c r="B979" s="55" t="str">
        <f>작성용!AI976</f>
        <v>-</v>
      </c>
      <c r="C979" s="56" t="str">
        <f>작성용!AK976</f>
        <v>기초자산</v>
      </c>
      <c r="D979" s="57" t="str">
        <f>작성용!T976</f>
        <v>무림캐피탈펀드(기초자산)</v>
      </c>
      <c r="E979" s="58" t="str">
        <f>작성용!B976</f>
        <v>브이엘네른스트사모투자</v>
      </c>
      <c r="F979" s="58" t="str">
        <f>작성용!C976</f>
        <v>재평가</v>
      </c>
      <c r="G979" s="58" t="str">
        <f>작성용!D976</f>
        <v>세인이앤티</v>
      </c>
      <c r="H979" s="59">
        <f>작성용!E976</f>
        <v>1801110501593</v>
      </c>
      <c r="I979" s="58" t="str">
        <f>작성용!F976</f>
        <v>A01</v>
      </c>
      <c r="J979" s="58">
        <f>작성용!G976</f>
        <v>0</v>
      </c>
      <c r="K979" s="58" t="str">
        <f>작성용!H976</f>
        <v>-</v>
      </c>
      <c r="L979" s="58" t="str">
        <f>작성용!N976</f>
        <v xml:space="preserve">반기 </v>
      </c>
      <c r="M979" s="57" t="str">
        <f>작성용!U976</f>
        <v>2024.11.30</v>
      </c>
      <c r="N979" s="57">
        <f>작성용!V976</f>
        <v>45632</v>
      </c>
      <c r="O979" s="57" t="str">
        <f>작성용!W976</f>
        <v>보고서제공X</v>
      </c>
      <c r="P979" s="57" t="str">
        <f>작성용!X976</f>
        <v>-</v>
      </c>
      <c r="Q979" s="58" t="str">
        <f>작성용!AD976</f>
        <v>김에스더</v>
      </c>
      <c r="R979" s="60">
        <f>작성용!AE976</f>
        <v>0.4</v>
      </c>
      <c r="S979" s="58" t="str">
        <f>작성용!AF976</f>
        <v>김에스더</v>
      </c>
      <c r="T979" s="61" t="str">
        <f>작성용!AG976</f>
        <v>-</v>
      </c>
      <c r="U979" s="61" t="str">
        <f>작성용!AH976</f>
        <v>-</v>
      </c>
      <c r="V979" s="56">
        <f>작성용!AA976</f>
        <v>202411</v>
      </c>
      <c r="W979" s="58" t="str">
        <f>작성용!AC976</f>
        <v>[6]기타기관펀드(기초자산)</v>
      </c>
      <c r="X979" s="58">
        <f>작성용!O976</f>
        <v>0</v>
      </c>
      <c r="Y979" s="58">
        <f>작성용!P976</f>
        <v>0</v>
      </c>
      <c r="Z979" s="58">
        <f>작성용!Q976</f>
        <v>0</v>
      </c>
      <c r="AA979" s="56" t="str">
        <f>작성용!AJ976</f>
        <v>-</v>
      </c>
      <c r="AB979" s="56">
        <f>작성용!AB976</f>
        <v>0</v>
      </c>
    </row>
    <row r="980" spans="1:28" s="12" customFormat="1" ht="16.5" hidden="1" customHeight="1" x14ac:dyDescent="0.3">
      <c r="A980" s="54">
        <f>작성용!AL977</f>
        <v>976</v>
      </c>
      <c r="B980" s="55" t="str">
        <f>작성용!AI977</f>
        <v>-</v>
      </c>
      <c r="C980" s="56" t="str">
        <f>작성용!AK977</f>
        <v>기초자산</v>
      </c>
      <c r="D980" s="57" t="str">
        <f>작성용!T977</f>
        <v>무림캐피탈펀드(기초자산)</v>
      </c>
      <c r="E980" s="58" t="str">
        <f>작성용!B977</f>
        <v>브이엘네른스트사모투자</v>
      </c>
      <c r="F980" s="58" t="str">
        <f>작성용!C977</f>
        <v>재평가</v>
      </c>
      <c r="G980" s="58" t="str">
        <f>작성용!D977</f>
        <v>상우케미칼(구,보승퓨켐)</v>
      </c>
      <c r="H980" s="59">
        <f>작성용!E977</f>
        <v>1101113851923</v>
      </c>
      <c r="I980" s="58" t="str">
        <f>작성용!F977</f>
        <v>A01</v>
      </c>
      <c r="J980" s="58">
        <f>작성용!G977</f>
        <v>0</v>
      </c>
      <c r="K980" s="58" t="str">
        <f>작성용!H977</f>
        <v>-</v>
      </c>
      <c r="L980" s="58" t="str">
        <f>작성용!N977</f>
        <v xml:space="preserve">반기 </v>
      </c>
      <c r="M980" s="57" t="str">
        <f>작성용!U977</f>
        <v>2024.11.30</v>
      </c>
      <c r="N980" s="57">
        <f>작성용!V977</f>
        <v>45632</v>
      </c>
      <c r="O980" s="57" t="str">
        <f>작성용!W977</f>
        <v>보고서제공X</v>
      </c>
      <c r="P980" s="57" t="str">
        <f>작성용!X977</f>
        <v>-</v>
      </c>
      <c r="Q980" s="58" t="str">
        <f>작성용!AD977</f>
        <v>심태진</v>
      </c>
      <c r="R980" s="60">
        <f>작성용!AE977</f>
        <v>0.4</v>
      </c>
      <c r="S980" s="58" t="str">
        <f>작성용!AF977</f>
        <v>심태진</v>
      </c>
      <c r="T980" s="61" t="str">
        <f>작성용!AG977</f>
        <v>-</v>
      </c>
      <c r="U980" s="61" t="str">
        <f>작성용!AH977</f>
        <v>-</v>
      </c>
      <c r="V980" s="56">
        <f>작성용!AA977</f>
        <v>202411</v>
      </c>
      <c r="W980" s="58" t="str">
        <f>작성용!AC977</f>
        <v>[6]기타기관펀드(기초자산)</v>
      </c>
      <c r="X980" s="58">
        <f>작성용!O977</f>
        <v>0</v>
      </c>
      <c r="Y980" s="58">
        <f>작성용!P977</f>
        <v>0</v>
      </c>
      <c r="Z980" s="58">
        <f>작성용!Q977</f>
        <v>0</v>
      </c>
      <c r="AA980" s="56" t="str">
        <f>작성용!AJ977</f>
        <v>-</v>
      </c>
      <c r="AB980" s="56">
        <f>작성용!AB977</f>
        <v>0</v>
      </c>
    </row>
    <row r="981" spans="1:28" s="12" customFormat="1" ht="16.5" hidden="1" customHeight="1" x14ac:dyDescent="0.3">
      <c r="A981" s="54">
        <f>작성용!AL978</f>
        <v>977</v>
      </c>
      <c r="B981" s="55" t="str">
        <f>작성용!AI978</f>
        <v>-</v>
      </c>
      <c r="C981" s="56" t="str">
        <f>작성용!AK978</f>
        <v>기초자산</v>
      </c>
      <c r="D981" s="57" t="str">
        <f>작성용!T978</f>
        <v>무림캐피탈펀드(기초자산)</v>
      </c>
      <c r="E981" s="58" t="str">
        <f>작성용!B978</f>
        <v>브이엘네른스트사모투자</v>
      </c>
      <c r="F981" s="58" t="str">
        <f>작성용!C978</f>
        <v>재평가</v>
      </c>
      <c r="G981" s="58" t="str">
        <f>작성용!D978</f>
        <v>센트럴워터</v>
      </c>
      <c r="H981" s="59">
        <f>작성용!E978</f>
        <v>1648110131031</v>
      </c>
      <c r="I981" s="58" t="str">
        <f>작성용!F978</f>
        <v>A01</v>
      </c>
      <c r="J981" s="58">
        <f>작성용!G978</f>
        <v>0</v>
      </c>
      <c r="K981" s="58" t="str">
        <f>작성용!H978</f>
        <v>-</v>
      </c>
      <c r="L981" s="58" t="str">
        <f>작성용!N978</f>
        <v xml:space="preserve">반기 </v>
      </c>
      <c r="M981" s="57" t="str">
        <f>작성용!U978</f>
        <v>2024.11.30</v>
      </c>
      <c r="N981" s="57">
        <f>작성용!V978</f>
        <v>45632</v>
      </c>
      <c r="O981" s="57" t="str">
        <f>작성용!W978</f>
        <v>보고서제공X</v>
      </c>
      <c r="P981" s="57" t="str">
        <f>작성용!X978</f>
        <v>-</v>
      </c>
      <c r="Q981" s="58" t="str">
        <f>작성용!AD978</f>
        <v>이상민</v>
      </c>
      <c r="R981" s="60">
        <f>작성용!AE978</f>
        <v>0</v>
      </c>
      <c r="S981" s="58" t="str">
        <f>작성용!AF978</f>
        <v>이상민</v>
      </c>
      <c r="T981" s="61" t="str">
        <f>작성용!AG978</f>
        <v>-</v>
      </c>
      <c r="U981" s="61" t="str">
        <f>작성용!AH978</f>
        <v>-</v>
      </c>
      <c r="V981" s="56">
        <f>작성용!AA978</f>
        <v>202411</v>
      </c>
      <c r="W981" s="58" t="str">
        <f>작성용!AC978</f>
        <v>[6]기타기관펀드(기초자산)</v>
      </c>
      <c r="X981" s="58">
        <f>작성용!O978</f>
        <v>0</v>
      </c>
      <c r="Y981" s="58">
        <f>작성용!P978</f>
        <v>0</v>
      </c>
      <c r="Z981" s="58">
        <f>작성용!Q978</f>
        <v>0</v>
      </c>
      <c r="AA981" s="56" t="str">
        <f>작성용!AJ978</f>
        <v>-</v>
      </c>
      <c r="AB981" s="56">
        <f>작성용!AB978</f>
        <v>0</v>
      </c>
    </row>
    <row r="982" spans="1:28" s="12" customFormat="1" ht="16.5" hidden="1" customHeight="1" x14ac:dyDescent="0.3">
      <c r="A982" s="54">
        <f>작성용!AL979</f>
        <v>978</v>
      </c>
      <c r="B982" s="55" t="str">
        <f>작성용!AI979</f>
        <v>-</v>
      </c>
      <c r="C982" s="56" t="str">
        <f>작성용!AK979</f>
        <v>기초자산</v>
      </c>
      <c r="D982" s="57" t="str">
        <f>작성용!T979</f>
        <v>무림캐피탈펀드(기초자산)</v>
      </c>
      <c r="E982" s="58" t="str">
        <f>작성용!B979</f>
        <v>파라투스우리소부장사모투자</v>
      </c>
      <c r="F982" s="58" t="str">
        <f>작성용!C979</f>
        <v>재평가</v>
      </c>
      <c r="G982" s="58" t="str">
        <f>작성용!D979</f>
        <v>쎄닉</v>
      </c>
      <c r="H982" s="59">
        <f>작성용!E979</f>
        <v>1101117931896</v>
      </c>
      <c r="I982" s="58" t="str">
        <f>작성용!F979</f>
        <v>A01</v>
      </c>
      <c r="J982" s="58">
        <f>작성용!G979</f>
        <v>0</v>
      </c>
      <c r="K982" s="58" t="str">
        <f>작성용!H979</f>
        <v>-</v>
      </c>
      <c r="L982" s="58" t="str">
        <f>작성용!N979</f>
        <v xml:space="preserve">반기 </v>
      </c>
      <c r="M982" s="57" t="str">
        <f>작성용!U979</f>
        <v>2024.11.30</v>
      </c>
      <c r="N982" s="57">
        <f>작성용!V979</f>
        <v>45632</v>
      </c>
      <c r="O982" s="57" t="str">
        <f>작성용!W979</f>
        <v>보고서제공X</v>
      </c>
      <c r="P982" s="57" t="str">
        <f>작성용!X979</f>
        <v>-</v>
      </c>
      <c r="Q982" s="58" t="str">
        <f>작성용!AD979</f>
        <v>심태진</v>
      </c>
      <c r="R982" s="60">
        <f>작성용!AE979</f>
        <v>0</v>
      </c>
      <c r="S982" s="58" t="str">
        <f>작성용!AF979</f>
        <v>심태진</v>
      </c>
      <c r="T982" s="61" t="str">
        <f>작성용!AG979</f>
        <v>-</v>
      </c>
      <c r="U982" s="61" t="str">
        <f>작성용!AH979</f>
        <v>-</v>
      </c>
      <c r="V982" s="56">
        <f>작성용!AA979</f>
        <v>202411</v>
      </c>
      <c r="W982" s="58" t="str">
        <f>작성용!AC979</f>
        <v>[6]기타기관펀드(기초자산)</v>
      </c>
      <c r="X982" s="58">
        <f>작성용!O979</f>
        <v>0</v>
      </c>
      <c r="Y982" s="58">
        <f>작성용!P979</f>
        <v>0</v>
      </c>
      <c r="Z982" s="58">
        <f>작성용!Q979</f>
        <v>0</v>
      </c>
      <c r="AA982" s="56" t="str">
        <f>작성용!AJ979</f>
        <v>-</v>
      </c>
      <c r="AB982" s="56">
        <f>작성용!AB979</f>
        <v>0</v>
      </c>
    </row>
    <row r="983" spans="1:28" s="12" customFormat="1" ht="16.5" hidden="1" customHeight="1" x14ac:dyDescent="0.3">
      <c r="A983" s="54">
        <f>작성용!AL980</f>
        <v>979</v>
      </c>
      <c r="B983" s="55" t="str">
        <f>작성용!AI980</f>
        <v>-</v>
      </c>
      <c r="C983" s="56" t="str">
        <f>작성용!AK980</f>
        <v>기초자산</v>
      </c>
      <c r="D983" s="57" t="str">
        <f>작성용!T980</f>
        <v>무림캐피탈펀드(기초자산)</v>
      </c>
      <c r="E983" s="58" t="str">
        <f>작성용!B980</f>
        <v>레버런트프론티어2호창업벤처전문사모투자</v>
      </c>
      <c r="F983" s="58" t="str">
        <f>작성용!C980</f>
        <v>재평가</v>
      </c>
      <c r="G983" s="58" t="str">
        <f>작성용!D980</f>
        <v>아이지에이웍스</v>
      </c>
      <c r="H983" s="59">
        <f>작성용!E980</f>
        <v>1101113585704</v>
      </c>
      <c r="I983" s="58" t="str">
        <f>작성용!F980</f>
        <v>A01</v>
      </c>
      <c r="J983" s="58">
        <f>작성용!G980</f>
        <v>1</v>
      </c>
      <c r="K983" s="58" t="str">
        <f>작성용!H980</f>
        <v>-</v>
      </c>
      <c r="L983" s="58" t="str">
        <f>작성용!N980</f>
        <v xml:space="preserve">반기 </v>
      </c>
      <c r="M983" s="57" t="str">
        <f>작성용!U980</f>
        <v>2024.11.30</v>
      </c>
      <c r="N983" s="57">
        <f>작성용!V980</f>
        <v>45632</v>
      </c>
      <c r="O983" s="57" t="str">
        <f>작성용!W980</f>
        <v>보고서제공X</v>
      </c>
      <c r="P983" s="57" t="str">
        <f>작성용!X980</f>
        <v>-</v>
      </c>
      <c r="Q983" s="58" t="str">
        <f>작성용!AD980</f>
        <v>정재형</v>
      </c>
      <c r="R983" s="60">
        <f>작성용!AE980</f>
        <v>0.4</v>
      </c>
      <c r="S983" s="58" t="str">
        <f>작성용!AF980</f>
        <v>정재형</v>
      </c>
      <c r="T983" s="61" t="str">
        <f>작성용!AG980</f>
        <v>-</v>
      </c>
      <c r="U983" s="61" t="str">
        <f>작성용!AH980</f>
        <v>-</v>
      </c>
      <c r="V983" s="56">
        <f>작성용!AA980</f>
        <v>202411</v>
      </c>
      <c r="W983" s="58" t="str">
        <f>작성용!AC980</f>
        <v>[6]기타기관펀드(기초자산)</v>
      </c>
      <c r="X983" s="58">
        <f>작성용!O980</f>
        <v>0</v>
      </c>
      <c r="Y983" s="58">
        <f>작성용!P980</f>
        <v>0</v>
      </c>
      <c r="Z983" s="58">
        <f>작성용!Q980</f>
        <v>0</v>
      </c>
      <c r="AA983" s="56" t="str">
        <f>작성용!AJ980</f>
        <v>-</v>
      </c>
      <c r="AB983" s="56">
        <f>작성용!AB980</f>
        <v>0</v>
      </c>
    </row>
    <row r="984" spans="1:28" s="12" customFormat="1" ht="16.5" hidden="1" customHeight="1" x14ac:dyDescent="0.3">
      <c r="A984" s="54">
        <f>작성용!AL981</f>
        <v>980</v>
      </c>
      <c r="B984" s="55" t="str">
        <f>작성용!AI981</f>
        <v>-</v>
      </c>
      <c r="C984" s="56" t="str">
        <f>작성용!AK981</f>
        <v>기초자산</v>
      </c>
      <c r="D984" s="57" t="str">
        <f>작성용!T981</f>
        <v>무림캐피탈펀드(기초자산)</v>
      </c>
      <c r="E984" s="58" t="str">
        <f>작성용!B981</f>
        <v>대신에코에너지제1호사모투자</v>
      </c>
      <c r="F984" s="58" t="str">
        <f>작성용!C981</f>
        <v>재평가</v>
      </c>
      <c r="G984" s="58" t="str">
        <f>작성용!D981</f>
        <v>현대엘엔지해운</v>
      </c>
      <c r="H984" s="59">
        <f>작성용!E981</f>
        <v>1101115378842</v>
      </c>
      <c r="I984" s="58" t="str">
        <f>작성용!F981</f>
        <v>A07</v>
      </c>
      <c r="J984" s="58">
        <f>작성용!G981</f>
        <v>2</v>
      </c>
      <c r="K984" s="58" t="str">
        <f>작성용!H981</f>
        <v>-</v>
      </c>
      <c r="L984" s="58" t="str">
        <f>작성용!N981</f>
        <v xml:space="preserve">반기 </v>
      </c>
      <c r="M984" s="57" t="str">
        <f>작성용!U981</f>
        <v>2024.11.30</v>
      </c>
      <c r="N984" s="57">
        <f>작성용!V981</f>
        <v>45632</v>
      </c>
      <c r="O984" s="57" t="str">
        <f>작성용!W981</f>
        <v>보고서제공X</v>
      </c>
      <c r="P984" s="57" t="str">
        <f>작성용!X981</f>
        <v>-</v>
      </c>
      <c r="Q984" s="58" t="str">
        <f>작성용!AD981</f>
        <v>조현우</v>
      </c>
      <c r="R984" s="60">
        <f>작성용!AE981</f>
        <v>0</v>
      </c>
      <c r="S984" s="58" t="str">
        <f>작성용!AF981</f>
        <v>조현우</v>
      </c>
      <c r="T984" s="61" t="str">
        <f>작성용!AG981</f>
        <v>-</v>
      </c>
      <c r="U984" s="61" t="str">
        <f>작성용!AH981</f>
        <v>-</v>
      </c>
      <c r="V984" s="56">
        <f>작성용!AA981</f>
        <v>202411</v>
      </c>
      <c r="W984" s="58" t="str">
        <f>작성용!AC981</f>
        <v>[6]기타기관펀드(기초자산)</v>
      </c>
      <c r="X984" s="58">
        <f>작성용!O981</f>
        <v>0</v>
      </c>
      <c r="Y984" s="58">
        <f>작성용!P981</f>
        <v>0</v>
      </c>
      <c r="Z984" s="58">
        <f>작성용!Q981</f>
        <v>0</v>
      </c>
      <c r="AA984" s="56" t="str">
        <f>작성용!AJ981</f>
        <v>-</v>
      </c>
      <c r="AB984" s="56">
        <f>작성용!AB981</f>
        <v>0</v>
      </c>
    </row>
    <row r="985" spans="1:28" s="12" customFormat="1" ht="16.5" hidden="1" customHeight="1" x14ac:dyDescent="0.3">
      <c r="A985" s="54">
        <f>작성용!AL982</f>
        <v>981</v>
      </c>
      <c r="B985" s="55" t="str">
        <f>작성용!AI982</f>
        <v>-</v>
      </c>
      <c r="C985" s="56" t="str">
        <f>작성용!AK982</f>
        <v>기초자산</v>
      </c>
      <c r="D985" s="57" t="str">
        <f>작성용!T982</f>
        <v>무림캐피탈펀드(기초자산)</v>
      </c>
      <c r="E985" s="58" t="str">
        <f>작성용!B982</f>
        <v>대신에코에너지제1호사모투자</v>
      </c>
      <c r="F985" s="58" t="str">
        <f>작성용!C982</f>
        <v>재평가</v>
      </c>
      <c r="G985" s="58" t="str">
        <f>작성용!D982</f>
        <v>현대엘엔지해운</v>
      </c>
      <c r="H985" s="59">
        <f>작성용!E982</f>
        <v>1101115378842</v>
      </c>
      <c r="I985" s="58" t="str">
        <f>작성용!F982</f>
        <v>A07</v>
      </c>
      <c r="J985" s="58">
        <f>작성용!G982</f>
        <v>3</v>
      </c>
      <c r="K985" s="58" t="str">
        <f>작성용!H982</f>
        <v>-</v>
      </c>
      <c r="L985" s="58" t="str">
        <f>작성용!N982</f>
        <v xml:space="preserve">반기 </v>
      </c>
      <c r="M985" s="57" t="str">
        <f>작성용!U982</f>
        <v>2024.11.30</v>
      </c>
      <c r="N985" s="57">
        <f>작성용!V982</f>
        <v>45632</v>
      </c>
      <c r="O985" s="57" t="str">
        <f>작성용!W982</f>
        <v>보고서제공X</v>
      </c>
      <c r="P985" s="57" t="str">
        <f>작성용!X982</f>
        <v>-</v>
      </c>
      <c r="Q985" s="58" t="str">
        <f>작성용!AD982</f>
        <v>조현우</v>
      </c>
      <c r="R985" s="60">
        <f>작성용!AE982</f>
        <v>0</v>
      </c>
      <c r="S985" s="58" t="str">
        <f>작성용!AF982</f>
        <v>조현우</v>
      </c>
      <c r="T985" s="61" t="str">
        <f>작성용!AG982</f>
        <v>-</v>
      </c>
      <c r="U985" s="61" t="str">
        <f>작성용!AH982</f>
        <v>-</v>
      </c>
      <c r="V985" s="56">
        <f>작성용!AA982</f>
        <v>202411</v>
      </c>
      <c r="W985" s="58" t="str">
        <f>작성용!AC982</f>
        <v>[6]기타기관펀드(기초자산)</v>
      </c>
      <c r="X985" s="58">
        <f>작성용!O982</f>
        <v>0</v>
      </c>
      <c r="Y985" s="58">
        <f>작성용!P982</f>
        <v>0</v>
      </c>
      <c r="Z985" s="58">
        <f>작성용!Q982</f>
        <v>0</v>
      </c>
      <c r="AA985" s="56" t="str">
        <f>작성용!AJ982</f>
        <v>-</v>
      </c>
      <c r="AB985" s="56">
        <f>작성용!AB982</f>
        <v>0</v>
      </c>
    </row>
    <row r="986" spans="1:28" s="12" customFormat="1" ht="16.5" hidden="1" customHeight="1" x14ac:dyDescent="0.3">
      <c r="A986" s="54">
        <f>작성용!AL983</f>
        <v>982</v>
      </c>
      <c r="B986" s="55" t="str">
        <f>작성용!AI983</f>
        <v>-</v>
      </c>
      <c r="C986" s="56" t="str">
        <f>작성용!AK983</f>
        <v>기초자산</v>
      </c>
      <c r="D986" s="57" t="str">
        <f>작성용!T983</f>
        <v>무림캐피탈펀드(기초자산)</v>
      </c>
      <c r="E986" s="58" t="str">
        <f>작성용!B983</f>
        <v>오티엄그래비티사모투자</v>
      </c>
      <c r="F986" s="58" t="str">
        <f>작성용!C983</f>
        <v>재평가</v>
      </c>
      <c r="G986" s="58" t="str">
        <f>작성용!D983</f>
        <v>해농</v>
      </c>
      <c r="H986" s="59">
        <f>작성용!E983</f>
        <v>2055110059817</v>
      </c>
      <c r="I986" s="58" t="str">
        <f>작성용!F983</f>
        <v>A07</v>
      </c>
      <c r="J986" s="58">
        <f>작성용!G983</f>
        <v>0</v>
      </c>
      <c r="K986" s="58" t="str">
        <f>작성용!H983</f>
        <v>-</v>
      </c>
      <c r="L986" s="58" t="str">
        <f>작성용!N983</f>
        <v xml:space="preserve">반기 </v>
      </c>
      <c r="M986" s="57" t="str">
        <f>작성용!U983</f>
        <v>2024.11.30</v>
      </c>
      <c r="N986" s="57">
        <f>작성용!V983</f>
        <v>45632</v>
      </c>
      <c r="O986" s="57" t="str">
        <f>작성용!W983</f>
        <v>보고서제공X</v>
      </c>
      <c r="P986" s="57" t="str">
        <f>작성용!X983</f>
        <v>-</v>
      </c>
      <c r="Q986" s="58" t="str">
        <f>작성용!AD983</f>
        <v>정은채</v>
      </c>
      <c r="R986" s="60">
        <f>작성용!AE983</f>
        <v>0.4</v>
      </c>
      <c r="S986" s="58" t="str">
        <f>작성용!AF983</f>
        <v>정은채</v>
      </c>
      <c r="T986" s="61" t="str">
        <f>작성용!AG983</f>
        <v>-</v>
      </c>
      <c r="U986" s="61" t="str">
        <f>작성용!AH983</f>
        <v>-</v>
      </c>
      <c r="V986" s="56">
        <f>작성용!AA983</f>
        <v>202411</v>
      </c>
      <c r="W986" s="58" t="str">
        <f>작성용!AC983</f>
        <v>[6]기타기관펀드(기초자산)</v>
      </c>
      <c r="X986" s="58">
        <f>작성용!O983</f>
        <v>0</v>
      </c>
      <c r="Y986" s="58">
        <f>작성용!P983</f>
        <v>0</v>
      </c>
      <c r="Z986" s="58">
        <f>작성용!Q983</f>
        <v>0</v>
      </c>
      <c r="AA986" s="56" t="str">
        <f>작성용!AJ983</f>
        <v>-</v>
      </c>
      <c r="AB986" s="56">
        <f>작성용!AB983</f>
        <v>0</v>
      </c>
    </row>
    <row r="987" spans="1:28" s="12" customFormat="1" ht="16.5" hidden="1" customHeight="1" x14ac:dyDescent="0.3">
      <c r="A987" s="54">
        <f>작성용!AL984</f>
        <v>983</v>
      </c>
      <c r="B987" s="55" t="str">
        <f>작성용!AI984</f>
        <v>-</v>
      </c>
      <c r="C987" s="56" t="str">
        <f>작성용!AK984</f>
        <v>기초자산</v>
      </c>
      <c r="D987" s="57" t="str">
        <f>작성용!T984</f>
        <v>무림캐피탈펀드(기초자산)</v>
      </c>
      <c r="E987" s="58" t="str">
        <f>작성용!B984</f>
        <v>오티엄그래비티사모투자</v>
      </c>
      <c r="F987" s="58" t="str">
        <f>작성용!C984</f>
        <v>재평가</v>
      </c>
      <c r="G987" s="58" t="str">
        <f>작성용!D984</f>
        <v>해농</v>
      </c>
      <c r="H987" s="59">
        <f>작성용!E984</f>
        <v>2055110059817</v>
      </c>
      <c r="I987" s="58" t="str">
        <f>작성용!F984</f>
        <v>D02</v>
      </c>
      <c r="J987" s="58">
        <f>작성용!G984</f>
        <v>1</v>
      </c>
      <c r="K987" s="58" t="str">
        <f>작성용!H984</f>
        <v>-</v>
      </c>
      <c r="L987" s="58" t="str">
        <f>작성용!N984</f>
        <v xml:space="preserve">반기 </v>
      </c>
      <c r="M987" s="57" t="str">
        <f>작성용!U984</f>
        <v>2024.11.30</v>
      </c>
      <c r="N987" s="57">
        <f>작성용!V984</f>
        <v>45632</v>
      </c>
      <c r="O987" s="57" t="str">
        <f>작성용!W984</f>
        <v>보고서제공X</v>
      </c>
      <c r="P987" s="57" t="str">
        <f>작성용!X984</f>
        <v>-</v>
      </c>
      <c r="Q987" s="58" t="str">
        <f>작성용!AD984</f>
        <v>정은채</v>
      </c>
      <c r="R987" s="60">
        <f>작성용!AE984</f>
        <v>0</v>
      </c>
      <c r="S987" s="58" t="str">
        <f>작성용!AF984</f>
        <v>정은채</v>
      </c>
      <c r="T987" s="61" t="str">
        <f>작성용!AG984</f>
        <v>-</v>
      </c>
      <c r="U987" s="61" t="str">
        <f>작성용!AH984</f>
        <v>-</v>
      </c>
      <c r="V987" s="56">
        <f>작성용!AA984</f>
        <v>202411</v>
      </c>
      <c r="W987" s="58" t="str">
        <f>작성용!AC984</f>
        <v>[6]기타기관펀드(기초자산)</v>
      </c>
      <c r="X987" s="58">
        <f>작성용!O984</f>
        <v>0</v>
      </c>
      <c r="Y987" s="58">
        <f>작성용!P984</f>
        <v>0</v>
      </c>
      <c r="Z987" s="58">
        <f>작성용!Q984</f>
        <v>0</v>
      </c>
      <c r="AA987" s="56" t="str">
        <f>작성용!AJ984</f>
        <v>-</v>
      </c>
      <c r="AB987" s="56">
        <f>작성용!AB984</f>
        <v>0</v>
      </c>
    </row>
    <row r="988" spans="1:28" s="12" customFormat="1" ht="16.5" hidden="1" customHeight="1" x14ac:dyDescent="0.3">
      <c r="A988" s="54">
        <f>작성용!AL985</f>
        <v>984</v>
      </c>
      <c r="B988" s="55" t="str">
        <f>작성용!AI985</f>
        <v>-</v>
      </c>
      <c r="C988" s="56" t="str">
        <f>작성용!AK985</f>
        <v>기초자산</v>
      </c>
      <c r="D988" s="57" t="str">
        <f>작성용!T985</f>
        <v>무림캐피탈펀드(기초자산)</v>
      </c>
      <c r="E988" s="58" t="str">
        <f>작성용!B985</f>
        <v>노틱엔피제11호사모투자</v>
      </c>
      <c r="F988" s="58" t="str">
        <f>작성용!C985</f>
        <v>재평가</v>
      </c>
      <c r="G988" s="58" t="str">
        <f>작성용!D985</f>
        <v>엔피씨이에스</v>
      </c>
      <c r="H988" s="59">
        <f>작성용!E985</f>
        <v>1244110047002</v>
      </c>
      <c r="I988" s="58" t="str">
        <f>작성용!F985</f>
        <v>D02</v>
      </c>
      <c r="J988" s="58">
        <f>작성용!G985</f>
        <v>0</v>
      </c>
      <c r="K988" s="58" t="str">
        <f>작성용!H985</f>
        <v>-</v>
      </c>
      <c r="L988" s="58" t="str">
        <f>작성용!N985</f>
        <v xml:space="preserve">반기 </v>
      </c>
      <c r="M988" s="57" t="str">
        <f>작성용!U985</f>
        <v>2024.11.30</v>
      </c>
      <c r="N988" s="57">
        <f>작성용!V985</f>
        <v>45632</v>
      </c>
      <c r="O988" s="57" t="str">
        <f>작성용!W985</f>
        <v>보고서제공X</v>
      </c>
      <c r="P988" s="57" t="str">
        <f>작성용!X985</f>
        <v>-</v>
      </c>
      <c r="Q988" s="58" t="str">
        <f>작성용!AD985</f>
        <v>정재형</v>
      </c>
      <c r="R988" s="60">
        <f>작성용!AE985</f>
        <v>0.4</v>
      </c>
      <c r="S988" s="58" t="str">
        <f>작성용!AF985</f>
        <v>정재형</v>
      </c>
      <c r="T988" s="61" t="str">
        <f>작성용!AG985</f>
        <v>-</v>
      </c>
      <c r="U988" s="61" t="str">
        <f>작성용!AH985</f>
        <v>-</v>
      </c>
      <c r="V988" s="56">
        <f>작성용!AA985</f>
        <v>202411</v>
      </c>
      <c r="W988" s="58" t="str">
        <f>작성용!AC985</f>
        <v>[6]기타기관펀드(기초자산)</v>
      </c>
      <c r="X988" s="58">
        <f>작성용!O985</f>
        <v>0</v>
      </c>
      <c r="Y988" s="58">
        <f>작성용!P985</f>
        <v>0</v>
      </c>
      <c r="Z988" s="58">
        <f>작성용!Q985</f>
        <v>0</v>
      </c>
      <c r="AA988" s="56" t="str">
        <f>작성용!AJ985</f>
        <v>-</v>
      </c>
      <c r="AB988" s="56">
        <f>작성용!AB985</f>
        <v>0</v>
      </c>
    </row>
    <row r="989" spans="1:28" s="12" customFormat="1" ht="16.5" hidden="1" customHeight="1" x14ac:dyDescent="0.3">
      <c r="A989" s="54">
        <f>작성용!AL986</f>
        <v>985</v>
      </c>
      <c r="B989" s="55" t="str">
        <f>작성용!AI986</f>
        <v>-</v>
      </c>
      <c r="C989" s="56" t="str">
        <f>작성용!AK986</f>
        <v>기초자산</v>
      </c>
      <c r="D989" s="57" t="str">
        <f>작성용!T986</f>
        <v>무림캐피탈펀드(기초자산)</v>
      </c>
      <c r="E989" s="58" t="str">
        <f>작성용!B986</f>
        <v>어드밴스사모투자</v>
      </c>
      <c r="F989" s="58" t="str">
        <f>작성용!C986</f>
        <v>재평가</v>
      </c>
      <c r="G989" s="58" t="str">
        <f>작성용!D986</f>
        <v>에이아이오(구,디에이아이오)</v>
      </c>
      <c r="H989" s="59">
        <f>작성용!E986</f>
        <v>1311110282738</v>
      </c>
      <c r="I989" s="58" t="str">
        <f>작성용!F986</f>
        <v>A07</v>
      </c>
      <c r="J989" s="58">
        <f>작성용!G986</f>
        <v>4</v>
      </c>
      <c r="K989" s="58" t="str">
        <f>작성용!H986</f>
        <v>-</v>
      </c>
      <c r="L989" s="58" t="str">
        <f>작성용!N986</f>
        <v xml:space="preserve">반기 </v>
      </c>
      <c r="M989" s="57" t="str">
        <f>작성용!U986</f>
        <v>2024.11.30</v>
      </c>
      <c r="N989" s="57">
        <f>작성용!V986</f>
        <v>45632</v>
      </c>
      <c r="O989" s="57" t="str">
        <f>작성용!W986</f>
        <v>보고서제공X</v>
      </c>
      <c r="P989" s="57" t="str">
        <f>작성용!X986</f>
        <v>-</v>
      </c>
      <c r="Q989" s="58" t="str">
        <f>작성용!AD986</f>
        <v>조현우</v>
      </c>
      <c r="R989" s="60">
        <f>작성용!AE986</f>
        <v>0.4</v>
      </c>
      <c r="S989" s="58" t="str">
        <f>작성용!AF986</f>
        <v>조현우</v>
      </c>
      <c r="T989" s="61" t="str">
        <f>작성용!AG986</f>
        <v>-</v>
      </c>
      <c r="U989" s="61" t="str">
        <f>작성용!AH986</f>
        <v>-</v>
      </c>
      <c r="V989" s="56">
        <f>작성용!AA986</f>
        <v>202411</v>
      </c>
      <c r="W989" s="58" t="str">
        <f>작성용!AC986</f>
        <v>[6]기타기관펀드(기초자산)</v>
      </c>
      <c r="X989" s="58">
        <f>작성용!O986</f>
        <v>0</v>
      </c>
      <c r="Y989" s="58">
        <f>작성용!P986</f>
        <v>0</v>
      </c>
      <c r="Z989" s="58">
        <f>작성용!Q986</f>
        <v>0</v>
      </c>
      <c r="AA989" s="56" t="str">
        <f>작성용!AJ986</f>
        <v>-</v>
      </c>
      <c r="AB989" s="56">
        <f>작성용!AB986</f>
        <v>0</v>
      </c>
    </row>
    <row r="990" spans="1:28" s="12" customFormat="1" ht="16.5" hidden="1" customHeight="1" x14ac:dyDescent="0.3">
      <c r="A990" s="54">
        <f>작성용!AL987</f>
        <v>986</v>
      </c>
      <c r="B990" s="55" t="str">
        <f>작성용!AI987</f>
        <v>-</v>
      </c>
      <c r="C990" s="56" t="str">
        <f>작성용!AK987</f>
        <v>기초자산</v>
      </c>
      <c r="D990" s="57" t="str">
        <f>작성용!T987</f>
        <v>무림캐피탈펀드(기초자산)</v>
      </c>
      <c r="E990" s="58" t="str">
        <f>작성용!B987</f>
        <v>어드밴스사모투자</v>
      </c>
      <c r="F990" s="58" t="str">
        <f>작성용!C987</f>
        <v>재평가</v>
      </c>
      <c r="G990" s="58" t="str">
        <f>작성용!D987</f>
        <v>에이아이오(구,디에이아이오)</v>
      </c>
      <c r="H990" s="59">
        <f>작성용!E987</f>
        <v>1311110282738</v>
      </c>
      <c r="I990" s="58" t="str">
        <f>작성용!F987</f>
        <v>A07</v>
      </c>
      <c r="J990" s="58">
        <f>작성용!G987</f>
        <v>10</v>
      </c>
      <c r="K990" s="58" t="str">
        <f>작성용!H987</f>
        <v>-</v>
      </c>
      <c r="L990" s="58" t="str">
        <f>작성용!N987</f>
        <v xml:space="preserve">반기 </v>
      </c>
      <c r="M990" s="57" t="str">
        <f>작성용!U987</f>
        <v>2024.11.30</v>
      </c>
      <c r="N990" s="57">
        <f>작성용!V987</f>
        <v>45632</v>
      </c>
      <c r="O990" s="57" t="str">
        <f>작성용!W987</f>
        <v>보고서제공X</v>
      </c>
      <c r="P990" s="57" t="str">
        <f>작성용!X987</f>
        <v>-</v>
      </c>
      <c r="Q990" s="58" t="str">
        <f>작성용!AD987</f>
        <v>조현우</v>
      </c>
      <c r="R990" s="60">
        <f>작성용!AE987</f>
        <v>0</v>
      </c>
      <c r="S990" s="58" t="str">
        <f>작성용!AF987</f>
        <v>조현우</v>
      </c>
      <c r="T990" s="61" t="str">
        <f>작성용!AG987</f>
        <v>-</v>
      </c>
      <c r="U990" s="61" t="str">
        <f>작성용!AH987</f>
        <v>-</v>
      </c>
      <c r="V990" s="56">
        <f>작성용!AA987</f>
        <v>202411</v>
      </c>
      <c r="W990" s="58" t="str">
        <f>작성용!AC987</f>
        <v>[6]기타기관펀드(기초자산)</v>
      </c>
      <c r="X990" s="58">
        <f>작성용!O987</f>
        <v>0</v>
      </c>
      <c r="Y990" s="58">
        <f>작성용!P987</f>
        <v>0</v>
      </c>
      <c r="Z990" s="58">
        <f>작성용!Q987</f>
        <v>0</v>
      </c>
      <c r="AA990" s="56" t="str">
        <f>작성용!AJ987</f>
        <v>-</v>
      </c>
      <c r="AB990" s="56">
        <f>작성용!AB987</f>
        <v>0</v>
      </c>
    </row>
    <row r="991" spans="1:28" s="12" customFormat="1" ht="16.5" hidden="1" customHeight="1" x14ac:dyDescent="0.3">
      <c r="A991" s="54">
        <f>작성용!AL988</f>
        <v>987</v>
      </c>
      <c r="B991" s="55" t="str">
        <f>작성용!AI988</f>
        <v>-</v>
      </c>
      <c r="C991" s="56" t="str">
        <f>작성용!AK988</f>
        <v>기초자산</v>
      </c>
      <c r="D991" s="57" t="str">
        <f>작성용!T988</f>
        <v>무림캐피탈펀드(기초자산)</v>
      </c>
      <c r="E991" s="58" t="str">
        <f>작성용!B988</f>
        <v>어드밴스사모투자</v>
      </c>
      <c r="F991" s="58" t="str">
        <f>작성용!C988</f>
        <v>재평가</v>
      </c>
      <c r="G991" s="58" t="str">
        <f>작성용!D988</f>
        <v>에이아이오(구,디에이아이오)</v>
      </c>
      <c r="H991" s="59">
        <f>작성용!E988</f>
        <v>1311110282738</v>
      </c>
      <c r="I991" s="58" t="str">
        <f>작성용!F988</f>
        <v>A01</v>
      </c>
      <c r="J991" s="58">
        <f>작성용!G988</f>
        <v>0</v>
      </c>
      <c r="K991" s="58" t="str">
        <f>작성용!H988</f>
        <v>-</v>
      </c>
      <c r="L991" s="58" t="str">
        <f>작성용!N988</f>
        <v xml:space="preserve">반기 </v>
      </c>
      <c r="M991" s="57" t="str">
        <f>작성용!U988</f>
        <v>2024.11.30</v>
      </c>
      <c r="N991" s="57">
        <f>작성용!V988</f>
        <v>45632</v>
      </c>
      <c r="O991" s="57" t="str">
        <f>작성용!W988</f>
        <v>보고서제공X</v>
      </c>
      <c r="P991" s="57" t="str">
        <f>작성용!X988</f>
        <v>-</v>
      </c>
      <c r="Q991" s="58" t="str">
        <f>작성용!AD988</f>
        <v>조현우</v>
      </c>
      <c r="R991" s="60">
        <f>작성용!AE988</f>
        <v>0</v>
      </c>
      <c r="S991" s="58" t="str">
        <f>작성용!AF988</f>
        <v>조현우</v>
      </c>
      <c r="T991" s="61" t="str">
        <f>작성용!AG988</f>
        <v>-</v>
      </c>
      <c r="U991" s="61" t="str">
        <f>작성용!AH988</f>
        <v>-</v>
      </c>
      <c r="V991" s="56">
        <f>작성용!AA988</f>
        <v>202411</v>
      </c>
      <c r="W991" s="58" t="str">
        <f>작성용!AC988</f>
        <v>[6]기타기관펀드(기초자산)</v>
      </c>
      <c r="X991" s="58">
        <f>작성용!O988</f>
        <v>0</v>
      </c>
      <c r="Y991" s="58">
        <f>작성용!P988</f>
        <v>0</v>
      </c>
      <c r="Z991" s="58">
        <f>작성용!Q988</f>
        <v>0</v>
      </c>
      <c r="AA991" s="56" t="str">
        <f>작성용!AJ988</f>
        <v>-</v>
      </c>
      <c r="AB991" s="56">
        <f>작성용!AB988</f>
        <v>0</v>
      </c>
    </row>
    <row r="992" spans="1:28" s="12" customFormat="1" ht="16.5" hidden="1" customHeight="1" x14ac:dyDescent="0.3">
      <c r="A992" s="54">
        <f>작성용!AL989</f>
        <v>988</v>
      </c>
      <c r="B992" s="55" t="str">
        <f>작성용!AI989</f>
        <v>-</v>
      </c>
      <c r="C992" s="56" t="str">
        <f>작성용!AK989</f>
        <v>기초자산</v>
      </c>
      <c r="D992" s="57" t="str">
        <f>작성용!T989</f>
        <v>무림캐피탈펀드(기초자산)</v>
      </c>
      <c r="E992" s="58" t="str">
        <f>작성용!B989</f>
        <v>제이더블유앤닷디톡스사모투자</v>
      </c>
      <c r="F992" s="58" t="str">
        <f>작성용!C989</f>
        <v>재평가</v>
      </c>
      <c r="G992" s="58" t="str">
        <f>작성용!D989</f>
        <v>에스엠테크</v>
      </c>
      <c r="H992" s="59">
        <f>작성용!E989</f>
        <v>1341110069894</v>
      </c>
      <c r="I992" s="58" t="str">
        <f>작성용!F989</f>
        <v>D02</v>
      </c>
      <c r="J992" s="58">
        <f>작성용!G989</f>
        <v>0</v>
      </c>
      <c r="K992" s="58" t="str">
        <f>작성용!H989</f>
        <v>-</v>
      </c>
      <c r="L992" s="58" t="str">
        <f>작성용!N989</f>
        <v xml:space="preserve">반기 </v>
      </c>
      <c r="M992" s="57" t="str">
        <f>작성용!U989</f>
        <v>2024.11.30</v>
      </c>
      <c r="N992" s="57">
        <f>작성용!V989</f>
        <v>45632</v>
      </c>
      <c r="O992" s="57" t="str">
        <f>작성용!W989</f>
        <v>보고서제공X</v>
      </c>
      <c r="P992" s="57" t="str">
        <f>작성용!X989</f>
        <v>-</v>
      </c>
      <c r="Q992" s="58" t="str">
        <f>작성용!AD989</f>
        <v>이진주</v>
      </c>
      <c r="R992" s="60">
        <f>작성용!AE989</f>
        <v>0.4</v>
      </c>
      <c r="S992" s="58" t="str">
        <f>작성용!AF989</f>
        <v>이진주</v>
      </c>
      <c r="T992" s="61" t="str">
        <f>작성용!AG989</f>
        <v>-</v>
      </c>
      <c r="U992" s="61" t="str">
        <f>작성용!AH989</f>
        <v>-</v>
      </c>
      <c r="V992" s="56">
        <f>작성용!AA989</f>
        <v>202411</v>
      </c>
      <c r="W992" s="58" t="str">
        <f>작성용!AC989</f>
        <v>[6]기타기관펀드(기초자산)</v>
      </c>
      <c r="X992" s="58">
        <f>작성용!O989</f>
        <v>0</v>
      </c>
      <c r="Y992" s="58">
        <f>작성용!P989</f>
        <v>0</v>
      </c>
      <c r="Z992" s="58">
        <f>작성용!Q989</f>
        <v>0</v>
      </c>
      <c r="AA992" s="56" t="str">
        <f>작성용!AJ989</f>
        <v>-</v>
      </c>
      <c r="AB992" s="56">
        <f>작성용!AB989</f>
        <v>0</v>
      </c>
    </row>
    <row r="993" spans="1:28" s="12" customFormat="1" ht="16.5" hidden="1" customHeight="1" x14ac:dyDescent="0.3">
      <c r="A993" s="54">
        <f>작성용!AL990</f>
        <v>989</v>
      </c>
      <c r="B993" s="55" t="str">
        <f>작성용!AI990</f>
        <v>-</v>
      </c>
      <c r="C993" s="56" t="str">
        <f>작성용!AK990</f>
        <v>기초자산</v>
      </c>
      <c r="D993" s="57" t="str">
        <f>작성용!T990</f>
        <v>무림캐피탈펀드(기초자산)</v>
      </c>
      <c r="E993" s="58" t="str">
        <f>작성용!B990</f>
        <v>제이더블유앤닷디톡스사모투자</v>
      </c>
      <c r="F993" s="58" t="str">
        <f>작성용!C990</f>
        <v>재평가</v>
      </c>
      <c r="G993" s="58" t="str">
        <f>작성용!D990</f>
        <v>에스엠테크</v>
      </c>
      <c r="H993" s="59">
        <f>작성용!E990</f>
        <v>1341110069894</v>
      </c>
      <c r="I993" s="58" t="str">
        <f>작성용!F990</f>
        <v>A01</v>
      </c>
      <c r="J993" s="58">
        <f>작성용!G990</f>
        <v>0</v>
      </c>
      <c r="K993" s="58" t="str">
        <f>작성용!H990</f>
        <v>-</v>
      </c>
      <c r="L993" s="58" t="str">
        <f>작성용!N990</f>
        <v xml:space="preserve">반기 </v>
      </c>
      <c r="M993" s="57" t="str">
        <f>작성용!U990</f>
        <v>2024.11.30</v>
      </c>
      <c r="N993" s="57">
        <f>작성용!V990</f>
        <v>45632</v>
      </c>
      <c r="O993" s="57" t="str">
        <f>작성용!W990</f>
        <v>보고서제공X</v>
      </c>
      <c r="P993" s="57" t="str">
        <f>작성용!X990</f>
        <v>-</v>
      </c>
      <c r="Q993" s="58" t="str">
        <f>작성용!AD990</f>
        <v>이진주</v>
      </c>
      <c r="R993" s="60">
        <f>작성용!AE990</f>
        <v>0</v>
      </c>
      <c r="S993" s="58" t="str">
        <f>작성용!AF990</f>
        <v>이진주</v>
      </c>
      <c r="T993" s="61" t="str">
        <f>작성용!AG990</f>
        <v>-</v>
      </c>
      <c r="U993" s="61" t="str">
        <f>작성용!AH990</f>
        <v>-</v>
      </c>
      <c r="V993" s="56">
        <f>작성용!AA990</f>
        <v>202411</v>
      </c>
      <c r="W993" s="58" t="str">
        <f>작성용!AC990</f>
        <v>[6]기타기관펀드(기초자산)</v>
      </c>
      <c r="X993" s="58">
        <f>작성용!O990</f>
        <v>0</v>
      </c>
      <c r="Y993" s="58">
        <f>작성용!P990</f>
        <v>0</v>
      </c>
      <c r="Z993" s="58">
        <f>작성용!Q990</f>
        <v>0</v>
      </c>
      <c r="AA993" s="56" t="str">
        <f>작성용!AJ990</f>
        <v>-</v>
      </c>
      <c r="AB993" s="56">
        <f>작성용!AB990</f>
        <v>0</v>
      </c>
    </row>
    <row r="994" spans="1:28" s="12" customFormat="1" ht="16.5" hidden="1" customHeight="1" x14ac:dyDescent="0.3">
      <c r="A994" s="54">
        <f>작성용!AL991</f>
        <v>990</v>
      </c>
      <c r="B994" s="55" t="str">
        <f>작성용!AI991</f>
        <v>-</v>
      </c>
      <c r="C994" s="56" t="str">
        <f>작성용!AK991</f>
        <v>기초자산</v>
      </c>
      <c r="D994" s="57" t="str">
        <f>작성용!T991</f>
        <v>무림캐피탈펀드(기초자산)</v>
      </c>
      <c r="E994" s="58" t="str">
        <f>작성용!B991</f>
        <v>엘리베이션제5호사모투자</v>
      </c>
      <c r="F994" s="58" t="str">
        <f>작성용!C991</f>
        <v>재평가</v>
      </c>
      <c r="G994" s="58" t="str">
        <f>작성용!D991</f>
        <v>루메나</v>
      </c>
      <c r="H994" s="59">
        <f>작성용!E991</f>
        <v>1211110270488</v>
      </c>
      <c r="I994" s="58" t="str">
        <f>작성용!F991</f>
        <v>A07</v>
      </c>
      <c r="J994" s="58">
        <f>작성용!G991</f>
        <v>0</v>
      </c>
      <c r="K994" s="58" t="str">
        <f>작성용!H991</f>
        <v>-</v>
      </c>
      <c r="L994" s="58" t="str">
        <f>작성용!N991</f>
        <v xml:space="preserve">반기 </v>
      </c>
      <c r="M994" s="57" t="str">
        <f>작성용!U991</f>
        <v>2024.11.30</v>
      </c>
      <c r="N994" s="57">
        <f>작성용!V991</f>
        <v>45632</v>
      </c>
      <c r="O994" s="57" t="str">
        <f>작성용!W991</f>
        <v>보고서제공X</v>
      </c>
      <c r="P994" s="57" t="str">
        <f>작성용!X991</f>
        <v>-</v>
      </c>
      <c r="Q994" s="58" t="str">
        <f>작성용!AD991</f>
        <v>채동우</v>
      </c>
      <c r="R994" s="60">
        <f>작성용!AE991</f>
        <v>0.4</v>
      </c>
      <c r="S994" s="58" t="str">
        <f>작성용!AF991</f>
        <v>채동우</v>
      </c>
      <c r="T994" s="61" t="str">
        <f>작성용!AG991</f>
        <v>-</v>
      </c>
      <c r="U994" s="61" t="str">
        <f>작성용!AH991</f>
        <v>-</v>
      </c>
      <c r="V994" s="56">
        <f>작성용!AA991</f>
        <v>202411</v>
      </c>
      <c r="W994" s="58" t="str">
        <f>작성용!AC991</f>
        <v>[6]기타기관펀드(기초자산)</v>
      </c>
      <c r="X994" s="58">
        <f>작성용!O991</f>
        <v>0</v>
      </c>
      <c r="Y994" s="58">
        <f>작성용!P991</f>
        <v>0</v>
      </c>
      <c r="Z994" s="58">
        <f>작성용!Q991</f>
        <v>0</v>
      </c>
      <c r="AA994" s="56" t="str">
        <f>작성용!AJ991</f>
        <v>-</v>
      </c>
      <c r="AB994" s="56">
        <f>작성용!AB991</f>
        <v>0</v>
      </c>
    </row>
    <row r="995" spans="1:28" s="12" customFormat="1" ht="16.5" hidden="1" customHeight="1" x14ac:dyDescent="0.3">
      <c r="A995" s="54">
        <f>작성용!AL992</f>
        <v>991</v>
      </c>
      <c r="B995" s="55" t="str">
        <f>작성용!AI992</f>
        <v>-</v>
      </c>
      <c r="C995" s="56" t="str">
        <f>작성용!AK992</f>
        <v>기초자산</v>
      </c>
      <c r="D995" s="57" t="str">
        <f>작성용!T992</f>
        <v>무림캐피탈펀드(기초자산)</v>
      </c>
      <c r="E995" s="58" t="str">
        <f>작성용!B992</f>
        <v>아르게스에이원창업벤처전문사모투자</v>
      </c>
      <c r="F995" s="58" t="str">
        <f>작성용!C992</f>
        <v>재평가</v>
      </c>
      <c r="G995" s="58" t="str">
        <f>작성용!D992</f>
        <v>유니젯</v>
      </c>
      <c r="H995" s="59">
        <f>작성용!E992</f>
        <v>1311110083235</v>
      </c>
      <c r="I995" s="58" t="str">
        <f>작성용!F992</f>
        <v>A05</v>
      </c>
      <c r="J995" s="58">
        <f>작성용!G992</f>
        <v>0</v>
      </c>
      <c r="K995" s="58" t="str">
        <f>작성용!H992</f>
        <v>-</v>
      </c>
      <c r="L995" s="58" t="str">
        <f>작성용!N992</f>
        <v xml:space="preserve">반기 </v>
      </c>
      <c r="M995" s="57" t="str">
        <f>작성용!U992</f>
        <v>2024.11.30</v>
      </c>
      <c r="N995" s="57">
        <f>작성용!V992</f>
        <v>45632</v>
      </c>
      <c r="O995" s="57" t="str">
        <f>작성용!W992</f>
        <v>보고서제공X</v>
      </c>
      <c r="P995" s="57" t="str">
        <f>작성용!X992</f>
        <v>-</v>
      </c>
      <c r="Q995" s="58" t="str">
        <f>작성용!AD992</f>
        <v>오수현</v>
      </c>
      <c r="R995" s="60">
        <f>작성용!AE992</f>
        <v>0.4</v>
      </c>
      <c r="S995" s="58" t="str">
        <f>작성용!AF992</f>
        <v>오수현</v>
      </c>
      <c r="T995" s="61" t="str">
        <f>작성용!AG992</f>
        <v>-</v>
      </c>
      <c r="U995" s="61" t="str">
        <f>작성용!AH992</f>
        <v>-</v>
      </c>
      <c r="V995" s="56">
        <f>작성용!AA992</f>
        <v>202411</v>
      </c>
      <c r="W995" s="58" t="str">
        <f>작성용!AC992</f>
        <v>[6]기타기관펀드(기초자산)</v>
      </c>
      <c r="X995" s="58">
        <f>작성용!O992</f>
        <v>0</v>
      </c>
      <c r="Y995" s="58">
        <f>작성용!P992</f>
        <v>0</v>
      </c>
      <c r="Z995" s="58">
        <f>작성용!Q992</f>
        <v>0</v>
      </c>
      <c r="AA995" s="56" t="str">
        <f>작성용!AJ992</f>
        <v>-</v>
      </c>
      <c r="AB995" s="56">
        <f>작성용!AB992</f>
        <v>0</v>
      </c>
    </row>
    <row r="996" spans="1:28" s="12" customFormat="1" ht="16.5" hidden="1" customHeight="1" x14ac:dyDescent="0.3">
      <c r="A996" s="54">
        <f>작성용!AL993</f>
        <v>992</v>
      </c>
      <c r="B996" s="55" t="str">
        <f>작성용!AI993</f>
        <v>-</v>
      </c>
      <c r="C996" s="56" t="str">
        <f>작성용!AK993</f>
        <v>기초자산</v>
      </c>
      <c r="D996" s="57" t="str">
        <f>작성용!T993</f>
        <v>무림캐피탈펀드(기초자산)</v>
      </c>
      <c r="E996" s="58" t="str">
        <f>작성용!B993</f>
        <v>아레스사모투자</v>
      </c>
      <c r="F996" s="58" t="str">
        <f>작성용!C993</f>
        <v>재평가</v>
      </c>
      <c r="G996" s="58" t="str">
        <f>작성용!D993</f>
        <v>루맥스에어로스페이스</v>
      </c>
      <c r="H996" s="59">
        <f>작성용!E993</f>
        <v>1101113157298</v>
      </c>
      <c r="I996" s="58" t="str">
        <f>작성용!F993</f>
        <v>A01</v>
      </c>
      <c r="J996" s="58">
        <f>작성용!G993</f>
        <v>0</v>
      </c>
      <c r="K996" s="58" t="str">
        <f>작성용!H993</f>
        <v>-</v>
      </c>
      <c r="L996" s="58" t="str">
        <f>작성용!N993</f>
        <v xml:space="preserve">반기 </v>
      </c>
      <c r="M996" s="57" t="str">
        <f>작성용!U993</f>
        <v>2024.11.30</v>
      </c>
      <c r="N996" s="57">
        <f>작성용!V993</f>
        <v>45632</v>
      </c>
      <c r="O996" s="57" t="str">
        <f>작성용!W993</f>
        <v>보고서제공X</v>
      </c>
      <c r="P996" s="57" t="str">
        <f>작성용!X993</f>
        <v>-</v>
      </c>
      <c r="Q996" s="58" t="str">
        <f>작성용!AD993</f>
        <v>백형진</v>
      </c>
      <c r="R996" s="60">
        <f>작성용!AE993</f>
        <v>0.4</v>
      </c>
      <c r="S996" s="58" t="str">
        <f>작성용!AF993</f>
        <v>백형진</v>
      </c>
      <c r="T996" s="61" t="str">
        <f>작성용!AG993</f>
        <v>-</v>
      </c>
      <c r="U996" s="61" t="str">
        <f>작성용!AH993</f>
        <v>-</v>
      </c>
      <c r="V996" s="56">
        <f>작성용!AA993</f>
        <v>202411</v>
      </c>
      <c r="W996" s="58" t="str">
        <f>작성용!AC993</f>
        <v>[6]기타기관펀드(기초자산)</v>
      </c>
      <c r="X996" s="58">
        <f>작성용!O993</f>
        <v>0</v>
      </c>
      <c r="Y996" s="58">
        <f>작성용!P993</f>
        <v>0</v>
      </c>
      <c r="Z996" s="58">
        <f>작성용!Q993</f>
        <v>0</v>
      </c>
      <c r="AA996" s="56" t="str">
        <f>작성용!AJ993</f>
        <v>-</v>
      </c>
      <c r="AB996" s="56">
        <f>작성용!AB993</f>
        <v>0</v>
      </c>
    </row>
    <row r="997" spans="1:28" s="12" customFormat="1" ht="16.5" hidden="1" customHeight="1" x14ac:dyDescent="0.3">
      <c r="A997" s="54">
        <f>작성용!AL994</f>
        <v>993</v>
      </c>
      <c r="B997" s="55" t="str">
        <f>작성용!AI994</f>
        <v>-</v>
      </c>
      <c r="C997" s="56" t="str">
        <f>작성용!AK994</f>
        <v>기초자산</v>
      </c>
      <c r="D997" s="57" t="str">
        <f>작성용!T994</f>
        <v>무림캐피탈펀드(기초자산)</v>
      </c>
      <c r="E997" s="58" t="str">
        <f>작성용!B994</f>
        <v>라이언사모투자</v>
      </c>
      <c r="F997" s="58" t="str">
        <f>작성용!C994</f>
        <v>재평가</v>
      </c>
      <c r="G997" s="58" t="str">
        <f>작성용!D994</f>
        <v>리온</v>
      </c>
      <c r="H997" s="59">
        <f>작성용!E994</f>
        <v>1358110146548</v>
      </c>
      <c r="I997" s="58" t="str">
        <f>작성용!F994</f>
        <v>A01</v>
      </c>
      <c r="J997" s="58">
        <f>작성용!G994</f>
        <v>0</v>
      </c>
      <c r="K997" s="58" t="str">
        <f>작성용!H994</f>
        <v>-</v>
      </c>
      <c r="L997" s="58" t="str">
        <f>작성용!N994</f>
        <v xml:space="preserve">반기 </v>
      </c>
      <c r="M997" s="57" t="str">
        <f>작성용!U994</f>
        <v>2024.11.30</v>
      </c>
      <c r="N997" s="57">
        <f>작성용!V994</f>
        <v>45632</v>
      </c>
      <c r="O997" s="57" t="str">
        <f>작성용!W994</f>
        <v>보고서제공X</v>
      </c>
      <c r="P997" s="57" t="str">
        <f>작성용!X994</f>
        <v>-</v>
      </c>
      <c r="Q997" s="58" t="str">
        <f>작성용!AD994</f>
        <v>조현우</v>
      </c>
      <c r="R997" s="60">
        <f>작성용!AE994</f>
        <v>0.4</v>
      </c>
      <c r="S997" s="58" t="str">
        <f>작성용!AF994</f>
        <v>조현우</v>
      </c>
      <c r="T997" s="61" t="str">
        <f>작성용!AG994</f>
        <v>-</v>
      </c>
      <c r="U997" s="61" t="str">
        <f>작성용!AH994</f>
        <v>-</v>
      </c>
      <c r="V997" s="56">
        <f>작성용!AA994</f>
        <v>202411</v>
      </c>
      <c r="W997" s="58" t="str">
        <f>작성용!AC994</f>
        <v>[6]기타기관펀드(기초자산)</v>
      </c>
      <c r="X997" s="58">
        <f>작성용!O994</f>
        <v>0</v>
      </c>
      <c r="Y997" s="58">
        <f>작성용!P994</f>
        <v>0</v>
      </c>
      <c r="Z997" s="58">
        <f>작성용!Q994</f>
        <v>0</v>
      </c>
      <c r="AA997" s="56" t="str">
        <f>작성용!AJ994</f>
        <v>-</v>
      </c>
      <c r="AB997" s="56">
        <f>작성용!AB994</f>
        <v>0</v>
      </c>
    </row>
    <row r="998" spans="1:28" s="12" customFormat="1" ht="16.5" hidden="1" customHeight="1" x14ac:dyDescent="0.3">
      <c r="A998" s="54">
        <f>작성용!AL995</f>
        <v>994</v>
      </c>
      <c r="B998" s="55" t="str">
        <f>작성용!AI995</f>
        <v>-</v>
      </c>
      <c r="C998" s="56" t="str">
        <f>작성용!AK995</f>
        <v>기초자산</v>
      </c>
      <c r="D998" s="57" t="str">
        <f>작성용!T995</f>
        <v>무림캐피탈펀드(기초자산)</v>
      </c>
      <c r="E998" s="58" t="str">
        <f>작성용!B995</f>
        <v>마일스톤마젠타사모투자</v>
      </c>
      <c r="F998" s="58" t="str">
        <f>작성용!C995</f>
        <v>재평가</v>
      </c>
      <c r="G998" s="58" t="str">
        <f>작성용!D995</f>
        <v>케이크</v>
      </c>
      <c r="H998" s="59">
        <f>작성용!E995</f>
        <v>1101117644986</v>
      </c>
      <c r="I998" s="58" t="str">
        <f>작성용!F995</f>
        <v>A07</v>
      </c>
      <c r="J998" s="58">
        <f>작성용!G995</f>
        <v>0</v>
      </c>
      <c r="K998" s="58" t="str">
        <f>작성용!H995</f>
        <v>-</v>
      </c>
      <c r="L998" s="58" t="str">
        <f>작성용!N995</f>
        <v xml:space="preserve">반기 </v>
      </c>
      <c r="M998" s="57" t="str">
        <f>작성용!U995</f>
        <v>2024.11.30</v>
      </c>
      <c r="N998" s="57">
        <f>작성용!V995</f>
        <v>45632</v>
      </c>
      <c r="O998" s="57" t="str">
        <f>작성용!W995</f>
        <v>보고서제공X</v>
      </c>
      <c r="P998" s="57" t="str">
        <f>작성용!X995</f>
        <v>-</v>
      </c>
      <c r="Q998" s="58" t="str">
        <f>작성용!AD995</f>
        <v>오수현</v>
      </c>
      <c r="R998" s="60">
        <f>작성용!AE995</f>
        <v>0.4</v>
      </c>
      <c r="S998" s="58" t="str">
        <f>작성용!AF995</f>
        <v>오수현</v>
      </c>
      <c r="T998" s="61" t="str">
        <f>작성용!AG995</f>
        <v>-</v>
      </c>
      <c r="U998" s="61" t="str">
        <f>작성용!AH995</f>
        <v>-</v>
      </c>
      <c r="V998" s="56">
        <f>작성용!AA995</f>
        <v>202411</v>
      </c>
      <c r="W998" s="58" t="str">
        <f>작성용!AC995</f>
        <v>[6]기타기관펀드(기초자산)</v>
      </c>
      <c r="X998" s="58">
        <f>작성용!O995</f>
        <v>0</v>
      </c>
      <c r="Y998" s="58">
        <f>작성용!P995</f>
        <v>0</v>
      </c>
      <c r="Z998" s="58">
        <f>작성용!Q995</f>
        <v>0</v>
      </c>
      <c r="AA998" s="56" t="str">
        <f>작성용!AJ995</f>
        <v>-</v>
      </c>
      <c r="AB998" s="56">
        <f>작성용!AB995</f>
        <v>0</v>
      </c>
    </row>
    <row r="999" spans="1:28" s="12" customFormat="1" ht="16.5" hidden="1" customHeight="1" x14ac:dyDescent="0.3">
      <c r="A999" s="54">
        <f>작성용!AL996</f>
        <v>995</v>
      </c>
      <c r="B999" s="55" t="str">
        <f>작성용!AI996</f>
        <v>-</v>
      </c>
      <c r="C999" s="56" t="str">
        <f>작성용!AK996</f>
        <v>기초자산</v>
      </c>
      <c r="D999" s="57" t="str">
        <f>작성용!T996</f>
        <v>무림캐피탈펀드(기초자산)</v>
      </c>
      <c r="E999" s="58" t="str">
        <f>작성용!B996</f>
        <v>마일스톤마젠타사모투자</v>
      </c>
      <c r="F999" s="58" t="str">
        <f>작성용!C996</f>
        <v>재평가</v>
      </c>
      <c r="G999" s="58" t="str">
        <f>작성용!D996</f>
        <v>케이크</v>
      </c>
      <c r="H999" s="59">
        <f>작성용!E996</f>
        <v>1101117644986</v>
      </c>
      <c r="I999" s="58" t="str">
        <f>작성용!F996</f>
        <v>A07</v>
      </c>
      <c r="J999" s="58">
        <f>작성용!G996</f>
        <v>1</v>
      </c>
      <c r="K999" s="58" t="str">
        <f>작성용!H996</f>
        <v>-</v>
      </c>
      <c r="L999" s="58" t="str">
        <f>작성용!N996</f>
        <v xml:space="preserve">반기 </v>
      </c>
      <c r="M999" s="57" t="str">
        <f>작성용!U996</f>
        <v>2024.11.30</v>
      </c>
      <c r="N999" s="57">
        <f>작성용!V996</f>
        <v>45632</v>
      </c>
      <c r="O999" s="57" t="str">
        <f>작성용!W996</f>
        <v>보고서제공X</v>
      </c>
      <c r="P999" s="57" t="str">
        <f>작성용!X996</f>
        <v>-</v>
      </c>
      <c r="Q999" s="58" t="str">
        <f>작성용!AD996</f>
        <v>오수현</v>
      </c>
      <c r="R999" s="60">
        <f>작성용!AE996</f>
        <v>0</v>
      </c>
      <c r="S999" s="58" t="str">
        <f>작성용!AF996</f>
        <v>오수현</v>
      </c>
      <c r="T999" s="61" t="str">
        <f>작성용!AG996</f>
        <v>-</v>
      </c>
      <c r="U999" s="61" t="str">
        <f>작성용!AH996</f>
        <v>-</v>
      </c>
      <c r="V999" s="56">
        <f>작성용!AA996</f>
        <v>202411</v>
      </c>
      <c r="W999" s="58" t="str">
        <f>작성용!AC996</f>
        <v>[6]기타기관펀드(기초자산)</v>
      </c>
      <c r="X999" s="58">
        <f>작성용!O996</f>
        <v>0</v>
      </c>
      <c r="Y999" s="58">
        <f>작성용!P996</f>
        <v>0</v>
      </c>
      <c r="Z999" s="58">
        <f>작성용!Q996</f>
        <v>0</v>
      </c>
      <c r="AA999" s="56" t="str">
        <f>작성용!AJ996</f>
        <v>-</v>
      </c>
      <c r="AB999" s="56">
        <f>작성용!AB996</f>
        <v>0</v>
      </c>
    </row>
    <row r="1000" spans="1:28" s="12" customFormat="1" ht="16.5" hidden="1" customHeight="1" x14ac:dyDescent="0.3">
      <c r="A1000" s="54">
        <f>작성용!AL997</f>
        <v>996</v>
      </c>
      <c r="B1000" s="55" t="str">
        <f>작성용!AI997</f>
        <v>-</v>
      </c>
      <c r="C1000" s="56" t="str">
        <f>작성용!AK997</f>
        <v>기초자산</v>
      </c>
      <c r="D1000" s="57" t="str">
        <f>작성용!T997</f>
        <v>무림캐피탈펀드(기초자산)</v>
      </c>
      <c r="E1000" s="58" t="str">
        <f>작성용!B997</f>
        <v>골든루트제1호사모투자</v>
      </c>
      <c r="F1000" s="58" t="str">
        <f>작성용!C997</f>
        <v>재평가</v>
      </c>
      <c r="G1000" s="58" t="str">
        <f>작성용!D997</f>
        <v>호산테크</v>
      </c>
      <c r="H1000" s="59">
        <f>작성용!E997</f>
        <v>1346110046496</v>
      </c>
      <c r="I1000" s="58" t="str">
        <f>작성용!F997</f>
        <v>A07</v>
      </c>
      <c r="J1000" s="58">
        <f>작성용!G997</f>
        <v>0</v>
      </c>
      <c r="K1000" s="58" t="str">
        <f>작성용!H997</f>
        <v>-</v>
      </c>
      <c r="L1000" s="58" t="str">
        <f>작성용!N997</f>
        <v xml:space="preserve">반기 </v>
      </c>
      <c r="M1000" s="57" t="str">
        <f>작성용!U997</f>
        <v>2024.11.30</v>
      </c>
      <c r="N1000" s="57">
        <f>작성용!V997</f>
        <v>45632</v>
      </c>
      <c r="O1000" s="57" t="str">
        <f>작성용!W997</f>
        <v>보고서제공X</v>
      </c>
      <c r="P1000" s="57" t="str">
        <f>작성용!X997</f>
        <v>-</v>
      </c>
      <c r="Q1000" s="58" t="str">
        <f>작성용!AD997</f>
        <v>윤광일</v>
      </c>
      <c r="R1000" s="60">
        <f>작성용!AE997</f>
        <v>0.4</v>
      </c>
      <c r="S1000" s="58" t="str">
        <f>작성용!AF997</f>
        <v>윤광일</v>
      </c>
      <c r="T1000" s="61" t="str">
        <f>작성용!AG997</f>
        <v>-</v>
      </c>
      <c r="U1000" s="61" t="str">
        <f>작성용!AH997</f>
        <v>-</v>
      </c>
      <c r="V1000" s="56">
        <f>작성용!AA997</f>
        <v>202411</v>
      </c>
      <c r="W1000" s="58" t="str">
        <f>작성용!AC997</f>
        <v>[6]기타기관펀드(기초자산)</v>
      </c>
      <c r="X1000" s="58">
        <f>작성용!O997</f>
        <v>0</v>
      </c>
      <c r="Y1000" s="58">
        <f>작성용!P997</f>
        <v>0</v>
      </c>
      <c r="Z1000" s="58">
        <f>작성용!Q997</f>
        <v>0</v>
      </c>
      <c r="AA1000" s="56" t="str">
        <f>작성용!AJ997</f>
        <v>-</v>
      </c>
      <c r="AB1000" s="56">
        <f>작성용!AB997</f>
        <v>0</v>
      </c>
    </row>
    <row r="1001" spans="1:28" s="12" customFormat="1" ht="16.5" hidden="1" customHeight="1" x14ac:dyDescent="0.3">
      <c r="A1001" s="54">
        <f>작성용!AL998</f>
        <v>997</v>
      </c>
      <c r="B1001" s="55" t="str">
        <f>작성용!AI998</f>
        <v>-</v>
      </c>
      <c r="C1001" s="56" t="str">
        <f>작성용!AK998</f>
        <v>기초자산</v>
      </c>
      <c r="D1001" s="57" t="str">
        <f>작성용!T998</f>
        <v>무림캐피탈펀드(기초자산)</v>
      </c>
      <c r="E1001" s="58" t="str">
        <f>작성용!B998</f>
        <v>메타티비이에스지제일호사모투자</v>
      </c>
      <c r="F1001" s="58" t="str">
        <f>작성용!C998</f>
        <v>재평가</v>
      </c>
      <c r="G1001" s="58" t="str">
        <f>작성용!D998</f>
        <v>비지에프에코솔루션</v>
      </c>
      <c r="H1001" s="59">
        <f>작성용!E998</f>
        <v>1201110581919</v>
      </c>
      <c r="I1001" s="58" t="str">
        <f>작성용!F998</f>
        <v>A01</v>
      </c>
      <c r="J1001" s="58">
        <f>작성용!G998</f>
        <v>0</v>
      </c>
      <c r="K1001" s="58" t="str">
        <f>작성용!H998</f>
        <v>-</v>
      </c>
      <c r="L1001" s="58" t="str">
        <f>작성용!N998</f>
        <v xml:space="preserve">반기 </v>
      </c>
      <c r="M1001" s="57" t="str">
        <f>작성용!U998</f>
        <v>2024.11.30</v>
      </c>
      <c r="N1001" s="57">
        <f>작성용!V998</f>
        <v>45632</v>
      </c>
      <c r="O1001" s="57" t="str">
        <f>작성용!W998</f>
        <v>보고서제공X</v>
      </c>
      <c r="P1001" s="57" t="str">
        <f>작성용!X998</f>
        <v>-</v>
      </c>
      <c r="Q1001" s="58" t="str">
        <f>작성용!AD998</f>
        <v>정재형</v>
      </c>
      <c r="R1001" s="60">
        <f>작성용!AE998</f>
        <v>0.4</v>
      </c>
      <c r="S1001" s="58" t="str">
        <f>작성용!AF998</f>
        <v>정재형</v>
      </c>
      <c r="T1001" s="61" t="str">
        <f>작성용!AG998</f>
        <v>-</v>
      </c>
      <c r="U1001" s="61" t="str">
        <f>작성용!AH998</f>
        <v>-</v>
      </c>
      <c r="V1001" s="56">
        <f>작성용!AA998</f>
        <v>202411</v>
      </c>
      <c r="W1001" s="58" t="str">
        <f>작성용!AC998</f>
        <v>[6]기타기관펀드(기초자산)</v>
      </c>
      <c r="X1001" s="58">
        <f>작성용!O998</f>
        <v>0</v>
      </c>
      <c r="Y1001" s="58">
        <f>작성용!P998</f>
        <v>0</v>
      </c>
      <c r="Z1001" s="58">
        <f>작성용!Q998</f>
        <v>0</v>
      </c>
      <c r="AA1001" s="56" t="str">
        <f>작성용!AJ998</f>
        <v>-</v>
      </c>
      <c r="AB1001" s="56">
        <f>작성용!AB998</f>
        <v>0</v>
      </c>
    </row>
    <row r="1002" spans="1:28" s="12" customFormat="1" ht="16.5" hidden="1" customHeight="1" x14ac:dyDescent="0.3">
      <c r="A1002" s="54">
        <f>작성용!AL999</f>
        <v>998</v>
      </c>
      <c r="B1002" s="55" t="str">
        <f>작성용!AI999</f>
        <v>-</v>
      </c>
      <c r="C1002" s="56" t="str">
        <f>작성용!AK999</f>
        <v>기초자산</v>
      </c>
      <c r="D1002" s="57" t="str">
        <f>작성용!T999</f>
        <v>무림캐피탈펀드(기초자산)</v>
      </c>
      <c r="E1002" s="58" t="str">
        <f>작성용!B999</f>
        <v>메타티비이에스지제일호사모투자</v>
      </c>
      <c r="F1002" s="58" t="str">
        <f>작성용!C999</f>
        <v>재평가</v>
      </c>
      <c r="G1002" s="58" t="str">
        <f>작성용!D999</f>
        <v>비지에프에코솔루션</v>
      </c>
      <c r="H1002" s="59">
        <f>작성용!E999</f>
        <v>1201110581919</v>
      </c>
      <c r="I1002" s="58" t="str">
        <f>작성용!F999</f>
        <v>A07</v>
      </c>
      <c r="J1002" s="58">
        <f>작성용!G999</f>
        <v>0</v>
      </c>
      <c r="K1002" s="58" t="str">
        <f>작성용!H999</f>
        <v>-</v>
      </c>
      <c r="L1002" s="58" t="str">
        <f>작성용!N999</f>
        <v xml:space="preserve">반기 </v>
      </c>
      <c r="M1002" s="57" t="str">
        <f>작성용!U999</f>
        <v>2024.11.30</v>
      </c>
      <c r="N1002" s="57">
        <f>작성용!V999</f>
        <v>45632</v>
      </c>
      <c r="O1002" s="57" t="str">
        <f>작성용!W999</f>
        <v>보고서제공X</v>
      </c>
      <c r="P1002" s="57" t="str">
        <f>작성용!X999</f>
        <v>-</v>
      </c>
      <c r="Q1002" s="58" t="str">
        <f>작성용!AD999</f>
        <v>정재형</v>
      </c>
      <c r="R1002" s="60">
        <f>작성용!AE999</f>
        <v>0</v>
      </c>
      <c r="S1002" s="58" t="str">
        <f>작성용!AF999</f>
        <v>정재형</v>
      </c>
      <c r="T1002" s="61" t="str">
        <f>작성용!AG999</f>
        <v>-</v>
      </c>
      <c r="U1002" s="61" t="str">
        <f>작성용!AH999</f>
        <v>-</v>
      </c>
      <c r="V1002" s="56">
        <f>작성용!AA999</f>
        <v>202411</v>
      </c>
      <c r="W1002" s="58" t="str">
        <f>작성용!AC999</f>
        <v>[6]기타기관펀드(기초자산)</v>
      </c>
      <c r="X1002" s="58">
        <f>작성용!O999</f>
        <v>0</v>
      </c>
      <c r="Y1002" s="58">
        <f>작성용!P999</f>
        <v>0</v>
      </c>
      <c r="Z1002" s="58">
        <f>작성용!Q999</f>
        <v>0</v>
      </c>
      <c r="AA1002" s="56" t="str">
        <f>작성용!AJ999</f>
        <v>-</v>
      </c>
      <c r="AB1002" s="56">
        <f>작성용!AB999</f>
        <v>0</v>
      </c>
    </row>
    <row r="1003" spans="1:28" s="12" customFormat="1" ht="16.5" hidden="1" customHeight="1" x14ac:dyDescent="0.3">
      <c r="A1003" s="54">
        <f>작성용!AL1000</f>
        <v>999</v>
      </c>
      <c r="B1003" s="55" t="str">
        <f>작성용!AI1000</f>
        <v>-</v>
      </c>
      <c r="C1003" s="56" t="str">
        <f>작성용!AK1000</f>
        <v>기초자산</v>
      </c>
      <c r="D1003" s="57" t="str">
        <f>작성용!T1000</f>
        <v>무림캐피탈펀드(기초자산)</v>
      </c>
      <c r="E1003" s="58" t="str">
        <f>작성용!B1000</f>
        <v>엔피성장제9호사모투자</v>
      </c>
      <c r="F1003" s="58" t="str">
        <f>작성용!C1000</f>
        <v>재평가</v>
      </c>
      <c r="G1003" s="58" t="str">
        <f>작성용!D1000</f>
        <v>원에스티</v>
      </c>
      <c r="H1003" s="59">
        <f>작성용!E1000</f>
        <v>1347110017065</v>
      </c>
      <c r="I1003" s="58" t="str">
        <f>작성용!F1000</f>
        <v>A01</v>
      </c>
      <c r="J1003" s="58">
        <f>작성용!G1000</f>
        <v>0</v>
      </c>
      <c r="K1003" s="58" t="str">
        <f>작성용!H1000</f>
        <v>-</v>
      </c>
      <c r="L1003" s="58" t="str">
        <f>작성용!N1000</f>
        <v xml:space="preserve">반기 </v>
      </c>
      <c r="M1003" s="57" t="str">
        <f>작성용!U1000</f>
        <v>2024.11.30</v>
      </c>
      <c r="N1003" s="57">
        <f>작성용!V1000</f>
        <v>45632</v>
      </c>
      <c r="O1003" s="57" t="str">
        <f>작성용!W1000</f>
        <v>보고서제공X</v>
      </c>
      <c r="P1003" s="57" t="str">
        <f>작성용!X1000</f>
        <v>-</v>
      </c>
      <c r="Q1003" s="58" t="str">
        <f>작성용!AD1000</f>
        <v>서동현</v>
      </c>
      <c r="R1003" s="60">
        <f>작성용!AE1000</f>
        <v>0.4</v>
      </c>
      <c r="S1003" s="58" t="str">
        <f>작성용!AF1000</f>
        <v>서동현</v>
      </c>
      <c r="T1003" s="61" t="str">
        <f>작성용!AG1000</f>
        <v>-</v>
      </c>
      <c r="U1003" s="61" t="str">
        <f>작성용!AH1000</f>
        <v>-</v>
      </c>
      <c r="V1003" s="56">
        <f>작성용!AA1000</f>
        <v>202411</v>
      </c>
      <c r="W1003" s="58" t="str">
        <f>작성용!AC1000</f>
        <v>[6]기타기관펀드(기초자산)</v>
      </c>
      <c r="X1003" s="58">
        <f>작성용!O1000</f>
        <v>0</v>
      </c>
      <c r="Y1003" s="58">
        <f>작성용!P1000</f>
        <v>0</v>
      </c>
      <c r="Z1003" s="58">
        <f>작성용!Q1000</f>
        <v>0</v>
      </c>
      <c r="AA1003" s="56" t="str">
        <f>작성용!AJ1000</f>
        <v>-</v>
      </c>
      <c r="AB1003" s="56">
        <f>작성용!AB1000</f>
        <v>0</v>
      </c>
    </row>
    <row r="1004" spans="1:28" s="12" customFormat="1" ht="16.5" hidden="1" customHeight="1" x14ac:dyDescent="0.3">
      <c r="A1004" s="54">
        <f>작성용!AL1001</f>
        <v>1000</v>
      </c>
      <c r="B1004" s="55" t="str">
        <f>작성용!AI1001</f>
        <v>-</v>
      </c>
      <c r="C1004" s="56" t="str">
        <f>작성용!AK1001</f>
        <v>기초자산</v>
      </c>
      <c r="D1004" s="57" t="str">
        <f>작성용!T1001</f>
        <v>무림캐피탈펀드(기초자산)</v>
      </c>
      <c r="E1004" s="58" t="str">
        <f>작성용!B1001</f>
        <v>스톤브릿지페이먼츠사모투자</v>
      </c>
      <c r="F1004" s="58" t="str">
        <f>작성용!C1001</f>
        <v>재평가</v>
      </c>
      <c r="G1004" s="58" t="str">
        <f>작성용!D1001</f>
        <v>케이에스넷</v>
      </c>
      <c r="H1004" s="59">
        <f>작성용!E1001</f>
        <v>1101111841009</v>
      </c>
      <c r="I1004" s="58" t="str">
        <f>작성용!F1001</f>
        <v>A01</v>
      </c>
      <c r="J1004" s="58">
        <f>작성용!G1001</f>
        <v>0</v>
      </c>
      <c r="K1004" s="58" t="str">
        <f>작성용!H1001</f>
        <v>-</v>
      </c>
      <c r="L1004" s="58" t="str">
        <f>작성용!N1001</f>
        <v xml:space="preserve">반기 </v>
      </c>
      <c r="M1004" s="57" t="str">
        <f>작성용!U1001</f>
        <v>2024.11.30</v>
      </c>
      <c r="N1004" s="57">
        <f>작성용!V1001</f>
        <v>45632</v>
      </c>
      <c r="O1004" s="57" t="str">
        <f>작성용!W1001</f>
        <v>보고서제공X</v>
      </c>
      <c r="P1004" s="57" t="str">
        <f>작성용!X1001</f>
        <v>-</v>
      </c>
      <c r="Q1004" s="58" t="str">
        <f>작성용!AD1001</f>
        <v>김영하</v>
      </c>
      <c r="R1004" s="60">
        <f>작성용!AE1001</f>
        <v>0</v>
      </c>
      <c r="S1004" s="58" t="str">
        <f>작성용!AF1001</f>
        <v>김영하</v>
      </c>
      <c r="T1004" s="61" t="str">
        <f>작성용!AG1001</f>
        <v>-</v>
      </c>
      <c r="U1004" s="61" t="str">
        <f>작성용!AH1001</f>
        <v>-</v>
      </c>
      <c r="V1004" s="56">
        <f>작성용!AA1001</f>
        <v>202411</v>
      </c>
      <c r="W1004" s="58" t="str">
        <f>작성용!AC1001</f>
        <v>[6]기타기관펀드(기초자산)</v>
      </c>
      <c r="X1004" s="58">
        <f>작성용!O1001</f>
        <v>0</v>
      </c>
      <c r="Y1004" s="58">
        <f>작성용!P1001</f>
        <v>0</v>
      </c>
      <c r="Z1004" s="58">
        <f>작성용!Q1001</f>
        <v>0</v>
      </c>
      <c r="AA1004" s="56" t="str">
        <f>작성용!AJ1001</f>
        <v>-</v>
      </c>
      <c r="AB1004" s="56">
        <f>작성용!AB1001</f>
        <v>0</v>
      </c>
    </row>
    <row r="1005" spans="1:28" s="12" customFormat="1" ht="16.5" hidden="1" customHeight="1" x14ac:dyDescent="0.3">
      <c r="A1005" s="54">
        <f>작성용!AL1002</f>
        <v>1001</v>
      </c>
      <c r="B1005" s="55" t="str">
        <f>작성용!AI1002</f>
        <v>-</v>
      </c>
      <c r="C1005" s="56" t="str">
        <f>작성용!AK1002</f>
        <v>기초자산</v>
      </c>
      <c r="D1005" s="57" t="str">
        <f>작성용!T1002</f>
        <v>무림캐피탈펀드(기초자산)</v>
      </c>
      <c r="E1005" s="58" t="str">
        <f>작성용!B1002</f>
        <v>스톤브릿지페이먼츠사모투자</v>
      </c>
      <c r="F1005" s="58" t="str">
        <f>작성용!C1002</f>
        <v>재평가</v>
      </c>
      <c r="G1005" s="58" t="str">
        <f>작성용!D1002</f>
        <v>하이픈코퍼레이션</v>
      </c>
      <c r="H1005" s="59">
        <f>작성용!E1002</f>
        <v>1101118113881</v>
      </c>
      <c r="I1005" s="58" t="str">
        <f>작성용!F1002</f>
        <v>A01</v>
      </c>
      <c r="J1005" s="58">
        <f>작성용!G1002</f>
        <v>0</v>
      </c>
      <c r="K1005" s="58" t="str">
        <f>작성용!H1002</f>
        <v>-</v>
      </c>
      <c r="L1005" s="58" t="str">
        <f>작성용!N1002</f>
        <v xml:space="preserve">반기 </v>
      </c>
      <c r="M1005" s="57" t="str">
        <f>작성용!U1002</f>
        <v>2024.11.30</v>
      </c>
      <c r="N1005" s="57">
        <f>작성용!V1002</f>
        <v>45632</v>
      </c>
      <c r="O1005" s="57" t="str">
        <f>작성용!W1002</f>
        <v>보고서제공X</v>
      </c>
      <c r="P1005" s="57" t="str">
        <f>작성용!X1002</f>
        <v>-</v>
      </c>
      <c r="Q1005" s="58" t="str">
        <f>작성용!AD1002</f>
        <v>이문수</v>
      </c>
      <c r="R1005" s="60">
        <f>작성용!AE1002</f>
        <v>0</v>
      </c>
      <c r="S1005" s="58" t="str">
        <f>작성용!AF1002</f>
        <v>이문수</v>
      </c>
      <c r="T1005" s="61" t="str">
        <f>작성용!AG1002</f>
        <v>-</v>
      </c>
      <c r="U1005" s="61" t="str">
        <f>작성용!AH1002</f>
        <v>-</v>
      </c>
      <c r="V1005" s="56">
        <f>작성용!AA1002</f>
        <v>202411</v>
      </c>
      <c r="W1005" s="58" t="str">
        <f>작성용!AC1002</f>
        <v>[6]기타기관펀드(기초자산)</v>
      </c>
      <c r="X1005" s="58">
        <f>작성용!O1002</f>
        <v>0</v>
      </c>
      <c r="Y1005" s="58">
        <f>작성용!P1002</f>
        <v>0</v>
      </c>
      <c r="Z1005" s="58">
        <f>작성용!Q1002</f>
        <v>0</v>
      </c>
      <c r="AA1005" s="56" t="str">
        <f>작성용!AJ1002</f>
        <v>-</v>
      </c>
      <c r="AB1005" s="56">
        <f>작성용!AB1002</f>
        <v>0</v>
      </c>
    </row>
    <row r="1006" spans="1:28" s="12" customFormat="1" ht="16.5" hidden="1" customHeight="1" x14ac:dyDescent="0.3">
      <c r="A1006" s="54">
        <f>작성용!AL1003</f>
        <v>1002</v>
      </c>
      <c r="B1006" s="55" t="str">
        <f>작성용!AI1003</f>
        <v>-</v>
      </c>
      <c r="C1006" s="56" t="str">
        <f>작성용!AK1003</f>
        <v>기초자산</v>
      </c>
      <c r="D1006" s="57" t="str">
        <f>작성용!T1003</f>
        <v>무림캐피탈펀드(기초자산)</v>
      </c>
      <c r="E1006" s="58" t="str">
        <f>작성용!B1003</f>
        <v>케이엘노르마창업벤처전문사모투자</v>
      </c>
      <c r="F1006" s="58" t="str">
        <f>작성용!C1003</f>
        <v>재평가</v>
      </c>
      <c r="G1006" s="58" t="str">
        <f>작성용!D1003</f>
        <v>노르마</v>
      </c>
      <c r="H1006" s="59">
        <f>작성용!E1003</f>
        <v>1101114702729</v>
      </c>
      <c r="I1006" s="58" t="str">
        <f>작성용!F1003</f>
        <v>A01</v>
      </c>
      <c r="J1006" s="58">
        <f>작성용!G1003</f>
        <v>1</v>
      </c>
      <c r="K1006" s="58" t="str">
        <f>작성용!H1003</f>
        <v>-</v>
      </c>
      <c r="L1006" s="58" t="str">
        <f>작성용!N1003</f>
        <v xml:space="preserve">반기 </v>
      </c>
      <c r="M1006" s="57" t="str">
        <f>작성용!U1003</f>
        <v>2024.11.30</v>
      </c>
      <c r="N1006" s="57">
        <f>작성용!V1003</f>
        <v>45632</v>
      </c>
      <c r="O1006" s="57" t="str">
        <f>작성용!W1003</f>
        <v>보고서제공X</v>
      </c>
      <c r="P1006" s="57" t="str">
        <f>작성용!X1003</f>
        <v>-</v>
      </c>
      <c r="Q1006" s="58" t="str">
        <f>작성용!AD1003</f>
        <v>이문수</v>
      </c>
      <c r="R1006" s="60">
        <f>작성용!AE1003</f>
        <v>0.4</v>
      </c>
      <c r="S1006" s="58" t="str">
        <f>작성용!AF1003</f>
        <v>이문수</v>
      </c>
      <c r="T1006" s="61" t="str">
        <f>작성용!AG1003</f>
        <v>-</v>
      </c>
      <c r="U1006" s="61" t="str">
        <f>작성용!AH1003</f>
        <v>-</v>
      </c>
      <c r="V1006" s="56">
        <f>작성용!AA1003</f>
        <v>202411</v>
      </c>
      <c r="W1006" s="58" t="str">
        <f>작성용!AC1003</f>
        <v>[6]기타기관펀드(기초자산)</v>
      </c>
      <c r="X1006" s="58">
        <f>작성용!O1003</f>
        <v>0</v>
      </c>
      <c r="Y1006" s="58">
        <f>작성용!P1003</f>
        <v>0</v>
      </c>
      <c r="Z1006" s="58">
        <f>작성용!Q1003</f>
        <v>0</v>
      </c>
      <c r="AA1006" s="56" t="str">
        <f>작성용!AJ1003</f>
        <v>-</v>
      </c>
      <c r="AB1006" s="56">
        <f>작성용!AB1003</f>
        <v>0</v>
      </c>
    </row>
    <row r="1007" spans="1:28" s="12" customFormat="1" ht="16.5" hidden="1" customHeight="1" x14ac:dyDescent="0.3">
      <c r="A1007" s="54">
        <f>작성용!AL1004</f>
        <v>1003</v>
      </c>
      <c r="B1007" s="55" t="str">
        <f>작성용!AI1004</f>
        <v>-</v>
      </c>
      <c r="C1007" s="56" t="str">
        <f>작성용!AK1004</f>
        <v>기초자산</v>
      </c>
      <c r="D1007" s="57" t="str">
        <f>작성용!T1004</f>
        <v>무림캐피탈펀드(기초자산)</v>
      </c>
      <c r="E1007" s="58" t="str">
        <f>작성용!B1004</f>
        <v>이음제칠호사모투자</v>
      </c>
      <c r="F1007" s="58" t="str">
        <f>작성용!C1004</f>
        <v>재평가</v>
      </c>
      <c r="G1007" s="58" t="str">
        <f>작성용!D1004</f>
        <v>아이스올리</v>
      </c>
      <c r="H1007" s="59">
        <f>작성용!E1004</f>
        <v>1948110004787</v>
      </c>
      <c r="I1007" s="58" t="str">
        <f>작성용!F1004</f>
        <v>A01</v>
      </c>
      <c r="J1007" s="58">
        <f>작성용!G1004</f>
        <v>0</v>
      </c>
      <c r="K1007" s="58" t="str">
        <f>작성용!H1004</f>
        <v>-</v>
      </c>
      <c r="L1007" s="58" t="str">
        <f>작성용!N1004</f>
        <v xml:space="preserve">반기 </v>
      </c>
      <c r="M1007" s="57" t="str">
        <f>작성용!U1004</f>
        <v>2024.11.30</v>
      </c>
      <c r="N1007" s="57">
        <f>작성용!V1004</f>
        <v>45632</v>
      </c>
      <c r="O1007" s="57" t="str">
        <f>작성용!W1004</f>
        <v>보고서제공X</v>
      </c>
      <c r="P1007" s="57" t="str">
        <f>작성용!X1004</f>
        <v>-</v>
      </c>
      <c r="Q1007" s="58" t="str">
        <f>작성용!AD1004</f>
        <v>서동현</v>
      </c>
      <c r="R1007" s="60">
        <f>작성용!AE1004</f>
        <v>0.4</v>
      </c>
      <c r="S1007" s="58" t="str">
        <f>작성용!AF1004</f>
        <v>서동현</v>
      </c>
      <c r="T1007" s="61" t="str">
        <f>작성용!AG1004</f>
        <v>-</v>
      </c>
      <c r="U1007" s="61" t="str">
        <f>작성용!AH1004</f>
        <v>-</v>
      </c>
      <c r="V1007" s="56">
        <f>작성용!AA1004</f>
        <v>202411</v>
      </c>
      <c r="W1007" s="58" t="str">
        <f>작성용!AC1004</f>
        <v>[6]기타기관펀드(기초자산)</v>
      </c>
      <c r="X1007" s="58">
        <f>작성용!O1004</f>
        <v>0</v>
      </c>
      <c r="Y1007" s="58">
        <f>작성용!P1004</f>
        <v>0</v>
      </c>
      <c r="Z1007" s="58">
        <f>작성용!Q1004</f>
        <v>0</v>
      </c>
      <c r="AA1007" s="56" t="str">
        <f>작성용!AJ1004</f>
        <v>-</v>
      </c>
      <c r="AB1007" s="56">
        <f>작성용!AB1004</f>
        <v>0</v>
      </c>
    </row>
    <row r="1008" spans="1:28" s="12" customFormat="1" ht="16.5" hidden="1" customHeight="1" x14ac:dyDescent="0.3">
      <c r="A1008" s="54">
        <f>작성용!AL1005</f>
        <v>1004</v>
      </c>
      <c r="B1008" s="55" t="str">
        <f>작성용!AI1005</f>
        <v>-</v>
      </c>
      <c r="C1008" s="56" t="str">
        <f>작성용!AK1005</f>
        <v>기초자산</v>
      </c>
      <c r="D1008" s="57" t="str">
        <f>작성용!T1005</f>
        <v>무림캐피탈펀드(기초자산)</v>
      </c>
      <c r="E1008" s="58" t="str">
        <f>작성용!B1005</f>
        <v>한투노틱반도체제1호사모투자</v>
      </c>
      <c r="F1008" s="58" t="str">
        <f>작성용!C1005</f>
        <v>재평가</v>
      </c>
      <c r="G1008" s="58" t="str">
        <f>작성용!D1005</f>
        <v>하나더블유엘에스</v>
      </c>
      <c r="H1008" s="59">
        <f>작성용!E1005</f>
        <v>1648110141197</v>
      </c>
      <c r="I1008" s="58" t="str">
        <f>작성용!F1005</f>
        <v>A05</v>
      </c>
      <c r="J1008" s="58">
        <f>작성용!G1005</f>
        <v>2</v>
      </c>
      <c r="K1008" s="58" t="str">
        <f>작성용!H1005</f>
        <v>-</v>
      </c>
      <c r="L1008" s="58" t="str">
        <f>작성용!N1005</f>
        <v xml:space="preserve">반기 </v>
      </c>
      <c r="M1008" s="57" t="str">
        <f>작성용!U1005</f>
        <v>2024.11.30</v>
      </c>
      <c r="N1008" s="57">
        <f>작성용!V1005</f>
        <v>45632</v>
      </c>
      <c r="O1008" s="57" t="str">
        <f>작성용!W1005</f>
        <v>보고서제공X</v>
      </c>
      <c r="P1008" s="57" t="str">
        <f>작성용!X1005</f>
        <v>-</v>
      </c>
      <c r="Q1008" s="58" t="str">
        <f>작성용!AD1005</f>
        <v>오영석</v>
      </c>
      <c r="R1008" s="60">
        <f>작성용!AE1005</f>
        <v>0.4</v>
      </c>
      <c r="S1008" s="58" t="str">
        <f>작성용!AF1005</f>
        <v>오영석</v>
      </c>
      <c r="T1008" s="61" t="str">
        <f>작성용!AG1005</f>
        <v>-</v>
      </c>
      <c r="U1008" s="61" t="str">
        <f>작성용!AH1005</f>
        <v>-</v>
      </c>
      <c r="V1008" s="56">
        <f>작성용!AA1005</f>
        <v>202411</v>
      </c>
      <c r="W1008" s="58" t="str">
        <f>작성용!AC1005</f>
        <v>[6]기타기관펀드(기초자산)</v>
      </c>
      <c r="X1008" s="58">
        <f>작성용!O1005</f>
        <v>0</v>
      </c>
      <c r="Y1008" s="58">
        <f>작성용!P1005</f>
        <v>0</v>
      </c>
      <c r="Z1008" s="58">
        <f>작성용!Q1005</f>
        <v>0</v>
      </c>
      <c r="AA1008" s="56" t="str">
        <f>작성용!AJ1005</f>
        <v>-</v>
      </c>
      <c r="AB1008" s="56">
        <f>작성용!AB1005</f>
        <v>0</v>
      </c>
    </row>
    <row r="1009" spans="1:28" s="12" customFormat="1" ht="16.5" hidden="1" customHeight="1" x14ac:dyDescent="0.3">
      <c r="A1009" s="54">
        <f>작성용!AL1006</f>
        <v>1005</v>
      </c>
      <c r="B1009" s="55" t="str">
        <f>작성용!AI1006</f>
        <v>-</v>
      </c>
      <c r="C1009" s="56" t="str">
        <f>작성용!AK1006</f>
        <v>기초자산</v>
      </c>
      <c r="D1009" s="57" t="str">
        <f>작성용!T1006</f>
        <v>무림캐피탈펀드(기초자산)</v>
      </c>
      <c r="E1009" s="58" t="str">
        <f>작성용!B1006</f>
        <v>한투노틱반도체제1호사모투자</v>
      </c>
      <c r="F1009" s="58" t="str">
        <f>작성용!C1006</f>
        <v>재평가</v>
      </c>
      <c r="G1009" s="58" t="str">
        <f>작성용!D1006</f>
        <v>하나더블유엘에스</v>
      </c>
      <c r="H1009" s="59">
        <f>작성용!E1006</f>
        <v>1648110141197</v>
      </c>
      <c r="I1009" s="58" t="str">
        <f>작성용!F1006</f>
        <v>A05</v>
      </c>
      <c r="J1009" s="58">
        <f>작성용!G1006</f>
        <v>3</v>
      </c>
      <c r="K1009" s="58" t="str">
        <f>작성용!H1006</f>
        <v>-</v>
      </c>
      <c r="L1009" s="58" t="str">
        <f>작성용!N1006</f>
        <v xml:space="preserve">반기 </v>
      </c>
      <c r="M1009" s="57" t="str">
        <f>작성용!U1006</f>
        <v>2024.11.30</v>
      </c>
      <c r="N1009" s="57">
        <f>작성용!V1006</f>
        <v>45632</v>
      </c>
      <c r="O1009" s="57" t="str">
        <f>작성용!W1006</f>
        <v>보고서제공X</v>
      </c>
      <c r="P1009" s="57" t="str">
        <f>작성용!X1006</f>
        <v>-</v>
      </c>
      <c r="Q1009" s="58" t="str">
        <f>작성용!AD1006</f>
        <v>오영석</v>
      </c>
      <c r="R1009" s="60">
        <f>작성용!AE1006</f>
        <v>0</v>
      </c>
      <c r="S1009" s="58" t="str">
        <f>작성용!AF1006</f>
        <v>오영석</v>
      </c>
      <c r="T1009" s="61" t="str">
        <f>작성용!AG1006</f>
        <v>-</v>
      </c>
      <c r="U1009" s="61" t="str">
        <f>작성용!AH1006</f>
        <v>-</v>
      </c>
      <c r="V1009" s="56">
        <f>작성용!AA1006</f>
        <v>202411</v>
      </c>
      <c r="W1009" s="58" t="str">
        <f>작성용!AC1006</f>
        <v>[6]기타기관펀드(기초자산)</v>
      </c>
      <c r="X1009" s="58">
        <f>작성용!O1006</f>
        <v>0</v>
      </c>
      <c r="Y1009" s="58">
        <f>작성용!P1006</f>
        <v>0</v>
      </c>
      <c r="Z1009" s="58">
        <f>작성용!Q1006</f>
        <v>0</v>
      </c>
      <c r="AA1009" s="56" t="str">
        <f>작성용!AJ1006</f>
        <v>-</v>
      </c>
      <c r="AB1009" s="56">
        <f>작성용!AB1006</f>
        <v>0</v>
      </c>
    </row>
    <row r="1010" spans="1:28" s="12" customFormat="1" ht="16.5" hidden="1" customHeight="1" x14ac:dyDescent="0.3">
      <c r="A1010" s="54">
        <f>작성용!AL1007</f>
        <v>1006</v>
      </c>
      <c r="B1010" s="55" t="str">
        <f>작성용!AI1007</f>
        <v>-</v>
      </c>
      <c r="C1010" s="56" t="str">
        <f>작성용!AK1007</f>
        <v>기초자산</v>
      </c>
      <c r="D1010" s="57" t="str">
        <f>작성용!T1007</f>
        <v>무림캐피탈펀드(기초자산)</v>
      </c>
      <c r="E1010" s="58" t="str">
        <f>작성용!B1007</f>
        <v>브이엘가임사모투자</v>
      </c>
      <c r="F1010" s="58" t="str">
        <f>작성용!C1007</f>
        <v>재평가</v>
      </c>
      <c r="G1010" s="58" t="str">
        <f>작성용!D1007</f>
        <v>두현이엔씨</v>
      </c>
      <c r="H1010" s="59">
        <f>작성용!E1007</f>
        <v>1611110002693</v>
      </c>
      <c r="I1010" s="58" t="str">
        <f>작성용!F1007</f>
        <v>A01</v>
      </c>
      <c r="J1010" s="58">
        <f>작성용!G1007</f>
        <v>0</v>
      </c>
      <c r="K1010" s="58" t="str">
        <f>작성용!H1007</f>
        <v>-</v>
      </c>
      <c r="L1010" s="58" t="str">
        <f>작성용!N1007</f>
        <v xml:space="preserve">반기 </v>
      </c>
      <c r="M1010" s="57" t="str">
        <f>작성용!U1007</f>
        <v>2024.11.30</v>
      </c>
      <c r="N1010" s="57">
        <f>작성용!V1007</f>
        <v>45632</v>
      </c>
      <c r="O1010" s="57" t="str">
        <f>작성용!W1007</f>
        <v>보고서제공X</v>
      </c>
      <c r="P1010" s="57" t="str">
        <f>작성용!X1007</f>
        <v>-</v>
      </c>
      <c r="Q1010" s="58" t="str">
        <f>작성용!AD1007</f>
        <v>채동우</v>
      </c>
      <c r="R1010" s="60">
        <f>작성용!AE1007</f>
        <v>0.4</v>
      </c>
      <c r="S1010" s="58" t="str">
        <f>작성용!AF1007</f>
        <v>채동우</v>
      </c>
      <c r="T1010" s="61" t="str">
        <f>작성용!AG1007</f>
        <v>-</v>
      </c>
      <c r="U1010" s="61" t="str">
        <f>작성용!AH1007</f>
        <v>-</v>
      </c>
      <c r="V1010" s="56">
        <f>작성용!AA1007</f>
        <v>202411</v>
      </c>
      <c r="W1010" s="58" t="str">
        <f>작성용!AC1007</f>
        <v>[6]기타기관펀드(기초자산)</v>
      </c>
      <c r="X1010" s="58">
        <f>작성용!O1007</f>
        <v>0</v>
      </c>
      <c r="Y1010" s="58">
        <f>작성용!P1007</f>
        <v>0</v>
      </c>
      <c r="Z1010" s="58">
        <f>작성용!Q1007</f>
        <v>0</v>
      </c>
      <c r="AA1010" s="56" t="str">
        <f>작성용!AJ1007</f>
        <v>-</v>
      </c>
      <c r="AB1010" s="56">
        <f>작성용!AB1007</f>
        <v>0</v>
      </c>
    </row>
    <row r="1011" spans="1:28" s="12" customFormat="1" ht="16.5" hidden="1" customHeight="1" x14ac:dyDescent="0.3">
      <c r="A1011" s="54">
        <f>작성용!AL1008</f>
        <v>1007</v>
      </c>
      <c r="B1011" s="55" t="str">
        <f>작성용!AI1008</f>
        <v>-</v>
      </c>
      <c r="C1011" s="56" t="str">
        <f>작성용!AK1008</f>
        <v>기초자산</v>
      </c>
      <c r="D1011" s="57" t="str">
        <f>작성용!T1008</f>
        <v>무림캐피탈펀드(기초자산)</v>
      </c>
      <c r="E1011" s="58" t="str">
        <f>작성용!B1008</f>
        <v>브이엘가임사모투자</v>
      </c>
      <c r="F1011" s="58" t="str">
        <f>작성용!C1008</f>
        <v>재평가</v>
      </c>
      <c r="G1011" s="58" t="str">
        <f>작성용!D1008</f>
        <v>번영환경개발</v>
      </c>
      <c r="H1011" s="59">
        <f>작성용!E1008</f>
        <v>2849110082451</v>
      </c>
      <c r="I1011" s="58" t="str">
        <f>작성용!F1008</f>
        <v>A01</v>
      </c>
      <c r="J1011" s="58">
        <f>작성용!G1008</f>
        <v>0</v>
      </c>
      <c r="K1011" s="58" t="str">
        <f>작성용!H1008</f>
        <v>-</v>
      </c>
      <c r="L1011" s="58" t="str">
        <f>작성용!N1008</f>
        <v xml:space="preserve">반기 </v>
      </c>
      <c r="M1011" s="57" t="str">
        <f>작성용!U1008</f>
        <v>2024.11.30</v>
      </c>
      <c r="N1011" s="57">
        <f>작성용!V1008</f>
        <v>45632</v>
      </c>
      <c r="O1011" s="57" t="str">
        <f>작성용!W1008</f>
        <v>보고서제공X</v>
      </c>
      <c r="P1011" s="57" t="str">
        <f>작성용!X1008</f>
        <v>-</v>
      </c>
      <c r="Q1011" s="58" t="str">
        <f>작성용!AD1008</f>
        <v>정은채</v>
      </c>
      <c r="R1011" s="60">
        <f>작성용!AE1008</f>
        <v>0</v>
      </c>
      <c r="S1011" s="58" t="str">
        <f>작성용!AF1008</f>
        <v>정은채</v>
      </c>
      <c r="T1011" s="61" t="str">
        <f>작성용!AG1008</f>
        <v>-</v>
      </c>
      <c r="U1011" s="61" t="str">
        <f>작성용!AH1008</f>
        <v>-</v>
      </c>
      <c r="V1011" s="56">
        <f>작성용!AA1008</f>
        <v>202411</v>
      </c>
      <c r="W1011" s="58" t="str">
        <f>작성용!AC1008</f>
        <v>[6]기타기관펀드(기초자산)</v>
      </c>
      <c r="X1011" s="58">
        <f>작성용!O1008</f>
        <v>0</v>
      </c>
      <c r="Y1011" s="58">
        <f>작성용!P1008</f>
        <v>0</v>
      </c>
      <c r="Z1011" s="58">
        <f>작성용!Q1008</f>
        <v>0</v>
      </c>
      <c r="AA1011" s="56" t="str">
        <f>작성용!AJ1008</f>
        <v>-</v>
      </c>
      <c r="AB1011" s="56">
        <f>작성용!AB1008</f>
        <v>0</v>
      </c>
    </row>
    <row r="1012" spans="1:28" s="12" customFormat="1" ht="16.5" hidden="1" customHeight="1" x14ac:dyDescent="0.3">
      <c r="A1012" s="54">
        <f>작성용!AL1009</f>
        <v>1008</v>
      </c>
      <c r="B1012" s="55" t="str">
        <f>작성용!AI1009</f>
        <v>-</v>
      </c>
      <c r="C1012" s="56" t="str">
        <f>작성용!AK1009</f>
        <v>기초자산</v>
      </c>
      <c r="D1012" s="57" t="str">
        <f>작성용!T1009</f>
        <v>무림캐피탈펀드(기초자산)</v>
      </c>
      <c r="E1012" s="58" t="str">
        <f>작성용!B1009</f>
        <v>스마트헬스케어제1호사모투자</v>
      </c>
      <c r="F1012" s="58" t="str">
        <f>작성용!C1009</f>
        <v>재평가</v>
      </c>
      <c r="G1012" s="58" t="str">
        <f>작성용!D1009</f>
        <v>지씨케어(구,녹십자헬스케어)</v>
      </c>
      <c r="H1012" s="59">
        <f>작성용!E1009</f>
        <v>1101112833584</v>
      </c>
      <c r="I1012" s="58" t="str">
        <f>작성용!F1009</f>
        <v>A07</v>
      </c>
      <c r="J1012" s="58">
        <f>작성용!G1009</f>
        <v>1</v>
      </c>
      <c r="K1012" s="58" t="str">
        <f>작성용!H1009</f>
        <v>-</v>
      </c>
      <c r="L1012" s="58" t="str">
        <f>작성용!N1009</f>
        <v xml:space="preserve">반기 </v>
      </c>
      <c r="M1012" s="57" t="str">
        <f>작성용!U1009</f>
        <v>2024.11.30</v>
      </c>
      <c r="N1012" s="57">
        <f>작성용!V1009</f>
        <v>45632</v>
      </c>
      <c r="O1012" s="57" t="str">
        <f>작성용!W1009</f>
        <v>보고서제공X</v>
      </c>
      <c r="P1012" s="57" t="str">
        <f>작성용!X1009</f>
        <v>-</v>
      </c>
      <c r="Q1012" s="58" t="str">
        <f>작성용!AD1009</f>
        <v>강승현</v>
      </c>
      <c r="R1012" s="60">
        <f>작성용!AE1009</f>
        <v>0.4</v>
      </c>
      <c r="S1012" s="58" t="str">
        <f>작성용!AF1009</f>
        <v>강승현</v>
      </c>
      <c r="T1012" s="61" t="str">
        <f>작성용!AG1009</f>
        <v>-</v>
      </c>
      <c r="U1012" s="61" t="str">
        <f>작성용!AH1009</f>
        <v>-</v>
      </c>
      <c r="V1012" s="56">
        <f>작성용!AA1009</f>
        <v>202411</v>
      </c>
      <c r="W1012" s="58" t="str">
        <f>작성용!AC1009</f>
        <v>[6]기타기관펀드(기초자산)</v>
      </c>
      <c r="X1012" s="58">
        <f>작성용!O1009</f>
        <v>0</v>
      </c>
      <c r="Y1012" s="58">
        <f>작성용!P1009</f>
        <v>0</v>
      </c>
      <c r="Z1012" s="58">
        <f>작성용!Q1009</f>
        <v>0</v>
      </c>
      <c r="AA1012" s="56" t="str">
        <f>작성용!AJ1009</f>
        <v>-</v>
      </c>
      <c r="AB1012" s="56">
        <f>작성용!AB1009</f>
        <v>0</v>
      </c>
    </row>
    <row r="1013" spans="1:28" s="12" customFormat="1" ht="16.5" hidden="1" customHeight="1" x14ac:dyDescent="0.3">
      <c r="A1013" s="54">
        <f>작성용!AL1010</f>
        <v>1009</v>
      </c>
      <c r="B1013" s="55" t="str">
        <f>작성용!AI1010</f>
        <v>-</v>
      </c>
      <c r="C1013" s="56" t="str">
        <f>작성용!AK1010</f>
        <v>기초자산</v>
      </c>
      <c r="D1013" s="57" t="str">
        <f>작성용!T1010</f>
        <v>무림캐피탈펀드(기초자산)</v>
      </c>
      <c r="E1013" s="58" t="str">
        <f>작성용!B1010</f>
        <v>신한노틱제1호사모투자</v>
      </c>
      <c r="F1013" s="58" t="str">
        <f>작성용!C1010</f>
        <v>재평가</v>
      </c>
      <c r="G1013" s="58" t="str">
        <f>작성용!D1010</f>
        <v>청주여객터미널</v>
      </c>
      <c r="H1013" s="59">
        <f>작성용!E1010</f>
        <v>1501110066923</v>
      </c>
      <c r="I1013" s="58" t="str">
        <f>작성용!F1010</f>
        <v>A01</v>
      </c>
      <c r="J1013" s="58">
        <f>작성용!G1010</f>
        <v>0</v>
      </c>
      <c r="K1013" s="58" t="str">
        <f>작성용!H1010</f>
        <v>-</v>
      </c>
      <c r="L1013" s="58" t="str">
        <f>작성용!N1010</f>
        <v xml:space="preserve">반기 </v>
      </c>
      <c r="M1013" s="57" t="str">
        <f>작성용!U1010</f>
        <v>2024.11.30</v>
      </c>
      <c r="N1013" s="57">
        <f>작성용!V1010</f>
        <v>45632</v>
      </c>
      <c r="O1013" s="57" t="str">
        <f>작성용!W1010</f>
        <v>보고서제공X</v>
      </c>
      <c r="P1013" s="57" t="str">
        <f>작성용!X1010</f>
        <v>-</v>
      </c>
      <c r="Q1013" s="58" t="str">
        <f>작성용!AD1010</f>
        <v>윤광일</v>
      </c>
      <c r="R1013" s="60">
        <f>작성용!AE1010</f>
        <v>0.4</v>
      </c>
      <c r="S1013" s="58" t="str">
        <f>작성용!AF1010</f>
        <v>윤광일</v>
      </c>
      <c r="T1013" s="61" t="str">
        <f>작성용!AG1010</f>
        <v>-</v>
      </c>
      <c r="U1013" s="61" t="str">
        <f>작성용!AH1010</f>
        <v>-</v>
      </c>
      <c r="V1013" s="56">
        <f>작성용!AA1010</f>
        <v>202411</v>
      </c>
      <c r="W1013" s="58" t="str">
        <f>작성용!AC1010</f>
        <v>[6]기타기관펀드(기초자산)</v>
      </c>
      <c r="X1013" s="58">
        <f>작성용!O1010</f>
        <v>0</v>
      </c>
      <c r="Y1013" s="58">
        <f>작성용!P1010</f>
        <v>0</v>
      </c>
      <c r="Z1013" s="58">
        <f>작성용!Q1010</f>
        <v>0</v>
      </c>
      <c r="AA1013" s="56" t="str">
        <f>작성용!AJ1010</f>
        <v>-</v>
      </c>
      <c r="AB1013" s="56">
        <f>작성용!AB1010</f>
        <v>0</v>
      </c>
    </row>
    <row r="1014" spans="1:28" s="12" customFormat="1" ht="16.5" hidden="1" customHeight="1" x14ac:dyDescent="0.3">
      <c r="A1014" s="54">
        <f>작성용!AL1011</f>
        <v>1010</v>
      </c>
      <c r="B1014" s="55" t="str">
        <f>작성용!AI1011</f>
        <v>-</v>
      </c>
      <c r="C1014" s="56" t="str">
        <f>작성용!AK1011</f>
        <v>기초자산</v>
      </c>
      <c r="D1014" s="57" t="str">
        <f>작성용!T1011</f>
        <v>무림캐피탈펀드(기초자산)</v>
      </c>
      <c r="E1014" s="58" t="str">
        <f>작성용!B1011</f>
        <v>유암코파인우드기업재무안정사모투자</v>
      </c>
      <c r="F1014" s="58" t="str">
        <f>작성용!C1011</f>
        <v>재평가</v>
      </c>
      <c r="G1014" s="58" t="str">
        <f>작성용!D1011</f>
        <v>디에이치일렉트로닉스</v>
      </c>
      <c r="H1014" s="59">
        <f>작성용!E1011</f>
        <v>1348110002098</v>
      </c>
      <c r="I1014" s="58" t="str">
        <f>작성용!F1011</f>
        <v>A01</v>
      </c>
      <c r="J1014" s="58">
        <f>작성용!G1011</f>
        <v>0</v>
      </c>
      <c r="K1014" s="58" t="str">
        <f>작성용!H1011</f>
        <v>-</v>
      </c>
      <c r="L1014" s="58" t="str">
        <f>작성용!N1011</f>
        <v xml:space="preserve">반기 </v>
      </c>
      <c r="M1014" s="57" t="str">
        <f>작성용!U1011</f>
        <v>2024.11.30</v>
      </c>
      <c r="N1014" s="57">
        <f>작성용!V1011</f>
        <v>45632</v>
      </c>
      <c r="O1014" s="57" t="str">
        <f>작성용!W1011</f>
        <v>보고서제공X</v>
      </c>
      <c r="P1014" s="57" t="str">
        <f>작성용!X1011</f>
        <v>-</v>
      </c>
      <c r="Q1014" s="58" t="str">
        <f>작성용!AD1011</f>
        <v>최수민</v>
      </c>
      <c r="R1014" s="60">
        <f>작성용!AE1011</f>
        <v>0.4</v>
      </c>
      <c r="S1014" s="58" t="str">
        <f>작성용!AF1011</f>
        <v>최수민</v>
      </c>
      <c r="T1014" s="61" t="str">
        <f>작성용!AG1011</f>
        <v>-</v>
      </c>
      <c r="U1014" s="61" t="str">
        <f>작성용!AH1011</f>
        <v>-</v>
      </c>
      <c r="V1014" s="56">
        <f>작성용!AA1011</f>
        <v>202411</v>
      </c>
      <c r="W1014" s="58" t="str">
        <f>작성용!AC1011</f>
        <v>[6]기타기관펀드(기초자산)</v>
      </c>
      <c r="X1014" s="58">
        <f>작성용!O1011</f>
        <v>0</v>
      </c>
      <c r="Y1014" s="58">
        <f>작성용!P1011</f>
        <v>0</v>
      </c>
      <c r="Z1014" s="58">
        <f>작성용!Q1011</f>
        <v>0</v>
      </c>
      <c r="AA1014" s="56" t="str">
        <f>작성용!AJ1011</f>
        <v>-</v>
      </c>
      <c r="AB1014" s="56">
        <f>작성용!AB1011</f>
        <v>0</v>
      </c>
    </row>
    <row r="1015" spans="1:28" s="12" customFormat="1" ht="16.5" hidden="1" customHeight="1" x14ac:dyDescent="0.3">
      <c r="A1015" s="54">
        <f>작성용!AL1012</f>
        <v>1011</v>
      </c>
      <c r="B1015" s="55" t="str">
        <f>작성용!AI1012</f>
        <v>-</v>
      </c>
      <c r="C1015" s="56" t="str">
        <f>작성용!AK1012</f>
        <v>기초자산</v>
      </c>
      <c r="D1015" s="57" t="str">
        <f>작성용!T1012</f>
        <v>무림캐피탈펀드(기초자산)</v>
      </c>
      <c r="E1015" s="58" t="str">
        <f>작성용!B1012</f>
        <v>유암코파인우드기업재무안정사모투자</v>
      </c>
      <c r="F1015" s="58" t="str">
        <f>작성용!C1012</f>
        <v>재평가</v>
      </c>
      <c r="G1015" s="58" t="str">
        <f>작성용!D1012</f>
        <v>디에이치일렉트로닉스</v>
      </c>
      <c r="H1015" s="59">
        <f>작성용!E1012</f>
        <v>1348110002098</v>
      </c>
      <c r="I1015" s="58" t="str">
        <f>작성용!F1012</f>
        <v>E01</v>
      </c>
      <c r="J1015" s="58">
        <f>작성용!G1012</f>
        <v>0</v>
      </c>
      <c r="K1015" s="58" t="str">
        <f>작성용!H1012</f>
        <v>-</v>
      </c>
      <c r="L1015" s="58" t="str">
        <f>작성용!N1012</f>
        <v xml:space="preserve">반기 </v>
      </c>
      <c r="M1015" s="57" t="str">
        <f>작성용!U1012</f>
        <v>2024.11.30</v>
      </c>
      <c r="N1015" s="57">
        <f>작성용!V1012</f>
        <v>45632</v>
      </c>
      <c r="O1015" s="57" t="str">
        <f>작성용!W1012</f>
        <v>보고서제공X</v>
      </c>
      <c r="P1015" s="57" t="str">
        <f>작성용!X1012</f>
        <v>-</v>
      </c>
      <c r="Q1015" s="58" t="str">
        <f>작성용!AD1012</f>
        <v>최수민</v>
      </c>
      <c r="R1015" s="60">
        <f>작성용!AE1012</f>
        <v>0</v>
      </c>
      <c r="S1015" s="58" t="str">
        <f>작성용!AF1012</f>
        <v>최수민</v>
      </c>
      <c r="T1015" s="61" t="str">
        <f>작성용!AG1012</f>
        <v>-</v>
      </c>
      <c r="U1015" s="61" t="str">
        <f>작성용!AH1012</f>
        <v>-</v>
      </c>
      <c r="V1015" s="56">
        <f>작성용!AA1012</f>
        <v>202411</v>
      </c>
      <c r="W1015" s="58" t="str">
        <f>작성용!AC1012</f>
        <v>[6]기타기관펀드(기초자산)</v>
      </c>
      <c r="X1015" s="58">
        <f>작성용!O1012</f>
        <v>0</v>
      </c>
      <c r="Y1015" s="58">
        <f>작성용!P1012</f>
        <v>0</v>
      </c>
      <c r="Z1015" s="58">
        <f>작성용!Q1012</f>
        <v>0</v>
      </c>
      <c r="AA1015" s="56" t="str">
        <f>작성용!AJ1012</f>
        <v>-</v>
      </c>
      <c r="AB1015" s="56">
        <f>작성용!AB1012</f>
        <v>0</v>
      </c>
    </row>
    <row r="1016" spans="1:28" s="12" customFormat="1" ht="16.5" hidden="1" customHeight="1" x14ac:dyDescent="0.3">
      <c r="A1016" s="54">
        <f>작성용!AL1013</f>
        <v>1012</v>
      </c>
      <c r="B1016" s="55" t="str">
        <f>작성용!AI1013</f>
        <v>-</v>
      </c>
      <c r="C1016" s="56" t="str">
        <f>작성용!AK1013</f>
        <v>기초자산</v>
      </c>
      <c r="D1016" s="57" t="str">
        <f>작성용!T1013</f>
        <v>무림캐피탈펀드(기초자산)</v>
      </c>
      <c r="E1016" s="58" t="str">
        <f>작성용!B1013</f>
        <v>유암코파인우드기업재무안정사모투자</v>
      </c>
      <c r="F1016" s="58" t="str">
        <f>작성용!C1013</f>
        <v>재평가</v>
      </c>
      <c r="G1016" s="58" t="str">
        <f>작성용!D1013</f>
        <v>엠티코리아</v>
      </c>
      <c r="H1016" s="59">
        <f>작성용!E1013</f>
        <v>1812110029998</v>
      </c>
      <c r="I1016" s="58" t="str">
        <f>작성용!F1013</f>
        <v>A01</v>
      </c>
      <c r="J1016" s="58">
        <f>작성용!G1013</f>
        <v>0</v>
      </c>
      <c r="K1016" s="58" t="str">
        <f>작성용!H1013</f>
        <v>-</v>
      </c>
      <c r="L1016" s="58" t="str">
        <f>작성용!N1013</f>
        <v xml:space="preserve">반기 </v>
      </c>
      <c r="M1016" s="57" t="str">
        <f>작성용!U1013</f>
        <v>2024.11.30</v>
      </c>
      <c r="N1016" s="57">
        <f>작성용!V1013</f>
        <v>45632</v>
      </c>
      <c r="O1016" s="57" t="str">
        <f>작성용!W1013</f>
        <v>보고서제공X</v>
      </c>
      <c r="P1016" s="57" t="str">
        <f>작성용!X1013</f>
        <v>-</v>
      </c>
      <c r="Q1016" s="58" t="str">
        <f>작성용!AD1013</f>
        <v>채동우</v>
      </c>
      <c r="R1016" s="60">
        <f>작성용!AE1013</f>
        <v>0.4</v>
      </c>
      <c r="S1016" s="58" t="str">
        <f>작성용!AF1013</f>
        <v>채동우</v>
      </c>
      <c r="T1016" s="61" t="str">
        <f>작성용!AG1013</f>
        <v>-</v>
      </c>
      <c r="U1016" s="61" t="str">
        <f>작성용!AH1013</f>
        <v>-</v>
      </c>
      <c r="V1016" s="56">
        <f>작성용!AA1013</f>
        <v>202411</v>
      </c>
      <c r="W1016" s="58" t="str">
        <f>작성용!AC1013</f>
        <v>[6]기타기관펀드(기초자산)</v>
      </c>
      <c r="X1016" s="58">
        <f>작성용!O1013</f>
        <v>0</v>
      </c>
      <c r="Y1016" s="58">
        <f>작성용!P1013</f>
        <v>0</v>
      </c>
      <c r="Z1016" s="58">
        <f>작성용!Q1013</f>
        <v>0</v>
      </c>
      <c r="AA1016" s="56" t="str">
        <f>작성용!AJ1013</f>
        <v>-</v>
      </c>
      <c r="AB1016" s="56">
        <f>작성용!AB1013</f>
        <v>0</v>
      </c>
    </row>
    <row r="1017" spans="1:28" s="12" customFormat="1" ht="16.5" hidden="1" customHeight="1" x14ac:dyDescent="0.3">
      <c r="A1017" s="54">
        <f>작성용!AL1014</f>
        <v>1013</v>
      </c>
      <c r="B1017" s="55" t="str">
        <f>작성용!AI1014</f>
        <v>-</v>
      </c>
      <c r="C1017" s="56" t="str">
        <f>작성용!AK1014</f>
        <v>기초자산</v>
      </c>
      <c r="D1017" s="57" t="str">
        <f>작성용!T1014</f>
        <v>무림캐피탈펀드(기초자산)</v>
      </c>
      <c r="E1017" s="58" t="str">
        <f>작성용!B1014</f>
        <v>유암코파인우드기업재무안정사모투자</v>
      </c>
      <c r="F1017" s="58" t="str">
        <f>작성용!C1014</f>
        <v>재평가</v>
      </c>
      <c r="G1017" s="58" t="str">
        <f>작성용!D1014</f>
        <v>엠티코리아</v>
      </c>
      <c r="H1017" s="59">
        <f>작성용!E1014</f>
        <v>1812110029998</v>
      </c>
      <c r="I1017" s="58" t="str">
        <f>작성용!F1014</f>
        <v>E01</v>
      </c>
      <c r="J1017" s="58">
        <f>작성용!G1014</f>
        <v>0</v>
      </c>
      <c r="K1017" s="58" t="str">
        <f>작성용!H1014</f>
        <v>-</v>
      </c>
      <c r="L1017" s="58" t="str">
        <f>작성용!N1014</f>
        <v xml:space="preserve">반기 </v>
      </c>
      <c r="M1017" s="57" t="str">
        <f>작성용!U1014</f>
        <v>2024.11.30</v>
      </c>
      <c r="N1017" s="57">
        <f>작성용!V1014</f>
        <v>45632</v>
      </c>
      <c r="O1017" s="57" t="str">
        <f>작성용!W1014</f>
        <v>보고서제공X</v>
      </c>
      <c r="P1017" s="57" t="str">
        <f>작성용!X1014</f>
        <v>-</v>
      </c>
      <c r="Q1017" s="58" t="str">
        <f>작성용!AD1014</f>
        <v>채동우</v>
      </c>
      <c r="R1017" s="60">
        <f>작성용!AE1014</f>
        <v>0</v>
      </c>
      <c r="S1017" s="58" t="str">
        <f>작성용!AF1014</f>
        <v>채동우</v>
      </c>
      <c r="T1017" s="61" t="str">
        <f>작성용!AG1014</f>
        <v>-</v>
      </c>
      <c r="U1017" s="61" t="str">
        <f>작성용!AH1014</f>
        <v>-</v>
      </c>
      <c r="V1017" s="56">
        <f>작성용!AA1014</f>
        <v>202411</v>
      </c>
      <c r="W1017" s="58" t="str">
        <f>작성용!AC1014</f>
        <v>[6]기타기관펀드(기초자산)</v>
      </c>
      <c r="X1017" s="58">
        <f>작성용!O1014</f>
        <v>0</v>
      </c>
      <c r="Y1017" s="58">
        <f>작성용!P1014</f>
        <v>0</v>
      </c>
      <c r="Z1017" s="58">
        <f>작성용!Q1014</f>
        <v>0</v>
      </c>
      <c r="AA1017" s="56" t="str">
        <f>작성용!AJ1014</f>
        <v>-</v>
      </c>
      <c r="AB1017" s="56">
        <f>작성용!AB1014</f>
        <v>0</v>
      </c>
    </row>
    <row r="1018" spans="1:28" s="12" customFormat="1" ht="16.5" hidden="1" customHeight="1" x14ac:dyDescent="0.3">
      <c r="A1018" s="54">
        <f>작성용!AL1015</f>
        <v>1014</v>
      </c>
      <c r="B1018" s="55" t="str">
        <f>작성용!AI1015</f>
        <v>-</v>
      </c>
      <c r="C1018" s="56" t="str">
        <f>작성용!AK1015</f>
        <v>기초자산</v>
      </c>
      <c r="D1018" s="57" t="str">
        <f>작성용!T1015</f>
        <v>무림캐피탈펀드(기초자산)</v>
      </c>
      <c r="E1018" s="58" t="str">
        <f>작성용!B1015</f>
        <v>유암코파인우드기업재무안정사모투자</v>
      </c>
      <c r="F1018" s="58" t="str">
        <f>작성용!C1015</f>
        <v>재평가</v>
      </c>
      <c r="G1018" s="58" t="str">
        <f>작성용!D1015</f>
        <v>다이나맥</v>
      </c>
      <c r="H1018" s="59">
        <f>작성용!E1015</f>
        <v>1601110005375</v>
      </c>
      <c r="I1018" s="58" t="str">
        <f>작성용!F1015</f>
        <v>A01</v>
      </c>
      <c r="J1018" s="58">
        <f>작성용!G1015</f>
        <v>0</v>
      </c>
      <c r="K1018" s="58" t="str">
        <f>작성용!H1015</f>
        <v>-</v>
      </c>
      <c r="L1018" s="58" t="str">
        <f>작성용!N1015</f>
        <v xml:space="preserve">반기 </v>
      </c>
      <c r="M1018" s="57" t="str">
        <f>작성용!U1015</f>
        <v>2024.11.30</v>
      </c>
      <c r="N1018" s="57">
        <f>작성용!V1015</f>
        <v>45632</v>
      </c>
      <c r="O1018" s="57" t="str">
        <f>작성용!W1015</f>
        <v>보고서제공X</v>
      </c>
      <c r="P1018" s="57" t="str">
        <f>작성용!X1015</f>
        <v>-</v>
      </c>
      <c r="Q1018" s="58" t="str">
        <f>작성용!AD1015</f>
        <v>백형진</v>
      </c>
      <c r="R1018" s="60">
        <f>작성용!AE1015</f>
        <v>0.4</v>
      </c>
      <c r="S1018" s="58" t="str">
        <f>작성용!AF1015</f>
        <v>백형진</v>
      </c>
      <c r="T1018" s="61" t="str">
        <f>작성용!AG1015</f>
        <v>-</v>
      </c>
      <c r="U1018" s="61" t="str">
        <f>작성용!AH1015</f>
        <v>-</v>
      </c>
      <c r="V1018" s="56">
        <f>작성용!AA1015</f>
        <v>202411</v>
      </c>
      <c r="W1018" s="58" t="str">
        <f>작성용!AC1015</f>
        <v>[6]기타기관펀드(기초자산)</v>
      </c>
      <c r="X1018" s="58">
        <f>작성용!O1015</f>
        <v>0</v>
      </c>
      <c r="Y1018" s="58">
        <f>작성용!P1015</f>
        <v>0</v>
      </c>
      <c r="Z1018" s="58">
        <f>작성용!Q1015</f>
        <v>0</v>
      </c>
      <c r="AA1018" s="56" t="str">
        <f>작성용!AJ1015</f>
        <v>-</v>
      </c>
      <c r="AB1018" s="56">
        <f>작성용!AB1015</f>
        <v>0</v>
      </c>
    </row>
    <row r="1019" spans="1:28" s="12" customFormat="1" ht="16.5" hidden="1" customHeight="1" x14ac:dyDescent="0.3">
      <c r="A1019" s="54">
        <f>작성용!AL1016</f>
        <v>1015</v>
      </c>
      <c r="B1019" s="55" t="str">
        <f>작성용!AI1016</f>
        <v>-</v>
      </c>
      <c r="C1019" s="56" t="str">
        <f>작성용!AK1016</f>
        <v>기초자산</v>
      </c>
      <c r="D1019" s="57" t="str">
        <f>작성용!T1016</f>
        <v>무림캐피탈펀드(기초자산)</v>
      </c>
      <c r="E1019" s="58" t="str">
        <f>작성용!B1016</f>
        <v>아틸라인프라제2호사모투자</v>
      </c>
      <c r="F1019" s="58" t="str">
        <f>작성용!C1016</f>
        <v>재평가</v>
      </c>
      <c r="G1019" s="58" t="str">
        <f>작성용!D1016</f>
        <v>웸코천안</v>
      </c>
      <c r="H1019" s="59">
        <f>작성용!E1016</f>
        <v>1615110225651</v>
      </c>
      <c r="I1019" s="58" t="str">
        <f>작성용!F1016</f>
        <v>A01</v>
      </c>
      <c r="J1019" s="58">
        <f>작성용!G1016</f>
        <v>0</v>
      </c>
      <c r="K1019" s="58" t="str">
        <f>작성용!H1016</f>
        <v>-</v>
      </c>
      <c r="L1019" s="58" t="str">
        <f>작성용!N1016</f>
        <v xml:space="preserve">반기 </v>
      </c>
      <c r="M1019" s="57" t="str">
        <f>작성용!U1016</f>
        <v>2024.11.30</v>
      </c>
      <c r="N1019" s="57">
        <f>작성용!V1016</f>
        <v>45632</v>
      </c>
      <c r="O1019" s="57" t="str">
        <f>작성용!W1016</f>
        <v>보고서제공X</v>
      </c>
      <c r="P1019" s="57" t="str">
        <f>작성용!X1016</f>
        <v>-</v>
      </c>
      <c r="Q1019" s="58" t="str">
        <f>작성용!AD1016</f>
        <v>원정우</v>
      </c>
      <c r="R1019" s="60">
        <f>작성용!AE1016</f>
        <v>0.4</v>
      </c>
      <c r="S1019" s="58" t="str">
        <f>작성용!AF1016</f>
        <v>원정우</v>
      </c>
      <c r="T1019" s="61" t="str">
        <f>작성용!AG1016</f>
        <v>-</v>
      </c>
      <c r="U1019" s="61" t="str">
        <f>작성용!AH1016</f>
        <v>-</v>
      </c>
      <c r="V1019" s="56">
        <f>작성용!AA1016</f>
        <v>202411</v>
      </c>
      <c r="W1019" s="58" t="str">
        <f>작성용!AC1016</f>
        <v>[6]기타기관펀드(기초자산)</v>
      </c>
      <c r="X1019" s="58">
        <f>작성용!O1016</f>
        <v>0</v>
      </c>
      <c r="Y1019" s="58">
        <f>작성용!P1016</f>
        <v>0</v>
      </c>
      <c r="Z1019" s="58">
        <f>작성용!Q1016</f>
        <v>0</v>
      </c>
      <c r="AA1019" s="56" t="str">
        <f>작성용!AJ1016</f>
        <v>-</v>
      </c>
      <c r="AB1019" s="56">
        <f>작성용!AB1016</f>
        <v>0</v>
      </c>
    </row>
    <row r="1020" spans="1:28" s="12" customFormat="1" ht="16.5" hidden="1" customHeight="1" x14ac:dyDescent="0.3">
      <c r="A1020" s="54">
        <f>작성용!AL1017</f>
        <v>1016</v>
      </c>
      <c r="B1020" s="55" t="str">
        <f>작성용!AI1017</f>
        <v>-</v>
      </c>
      <c r="C1020" s="56" t="str">
        <f>작성용!AK1017</f>
        <v>기초자산</v>
      </c>
      <c r="D1020" s="57" t="str">
        <f>작성용!T1017</f>
        <v>무림캐피탈펀드(기초자산)</v>
      </c>
      <c r="E1020" s="58" t="str">
        <f>작성용!B1017</f>
        <v>딥블루제3호사모투자</v>
      </c>
      <c r="F1020" s="58" t="str">
        <f>작성용!C1017</f>
        <v>재평가</v>
      </c>
      <c r="G1020" s="58" t="str">
        <f>작성용!D1017</f>
        <v>성우</v>
      </c>
      <c r="H1020" s="59">
        <f>작성용!E1017</f>
        <v>1760110007078</v>
      </c>
      <c r="I1020" s="58" t="str">
        <f>작성용!F1017</f>
        <v>A01</v>
      </c>
      <c r="J1020" s="58">
        <f>작성용!G1017</f>
        <v>0</v>
      </c>
      <c r="K1020" s="58" t="str">
        <f>작성용!H1017</f>
        <v>-</v>
      </c>
      <c r="L1020" s="58" t="str">
        <f>작성용!N1017</f>
        <v xml:space="preserve">반기 </v>
      </c>
      <c r="M1020" s="57" t="str">
        <f>작성용!U1017</f>
        <v>2024.11.30</v>
      </c>
      <c r="N1020" s="57">
        <f>작성용!V1017</f>
        <v>45632</v>
      </c>
      <c r="O1020" s="57" t="str">
        <f>작성용!W1017</f>
        <v>보고서제공X</v>
      </c>
      <c r="P1020" s="57" t="str">
        <f>작성용!X1017</f>
        <v>-</v>
      </c>
      <c r="Q1020" s="58" t="str">
        <f>작성용!AD1017</f>
        <v>오수현</v>
      </c>
      <c r="R1020" s="60">
        <f>작성용!AE1017</f>
        <v>0</v>
      </c>
      <c r="S1020" s="58" t="str">
        <f>작성용!AF1017</f>
        <v>오수현</v>
      </c>
      <c r="T1020" s="61" t="str">
        <f>작성용!AG1017</f>
        <v>-</v>
      </c>
      <c r="U1020" s="61" t="str">
        <f>작성용!AH1017</f>
        <v>-</v>
      </c>
      <c r="V1020" s="56">
        <f>작성용!AA1017</f>
        <v>202411</v>
      </c>
      <c r="W1020" s="58" t="str">
        <f>작성용!AC1017</f>
        <v>[6]기타기관펀드(기초자산)</v>
      </c>
      <c r="X1020" s="58">
        <f>작성용!O1017</f>
        <v>0</v>
      </c>
      <c r="Y1020" s="58">
        <f>작성용!P1017</f>
        <v>0</v>
      </c>
      <c r="Z1020" s="58">
        <f>작성용!Q1017</f>
        <v>0</v>
      </c>
      <c r="AA1020" s="56" t="str">
        <f>작성용!AJ1017</f>
        <v>-</v>
      </c>
      <c r="AB1020" s="56">
        <f>작성용!AB1017</f>
        <v>0</v>
      </c>
    </row>
    <row r="1021" spans="1:28" s="12" customFormat="1" ht="16.5" hidden="1" customHeight="1" x14ac:dyDescent="0.3">
      <c r="A1021" s="54">
        <f>작성용!AL1018</f>
        <v>1017</v>
      </c>
      <c r="B1021" s="55" t="str">
        <f>작성용!AI1018</f>
        <v>-</v>
      </c>
      <c r="C1021" s="56" t="str">
        <f>작성용!AK1018</f>
        <v>기초자산</v>
      </c>
      <c r="D1021" s="57" t="str">
        <f>작성용!T1018</f>
        <v>무림캐피탈펀드(기초자산)</v>
      </c>
      <c r="E1021" s="58" t="str">
        <f>작성용!B1018</f>
        <v>티제이더블유제삼호사모투자</v>
      </c>
      <c r="F1021" s="58" t="str">
        <f>작성용!C1018</f>
        <v>재평가</v>
      </c>
      <c r="G1021" s="58" t="str">
        <f>작성용!D1018</f>
        <v>만전식품</v>
      </c>
      <c r="H1021" s="59">
        <f>작성용!E1018</f>
        <v>1342110013469</v>
      </c>
      <c r="I1021" s="58" t="str">
        <f>작성용!F1018</f>
        <v>A01</v>
      </c>
      <c r="J1021" s="58">
        <f>작성용!G1018</f>
        <v>0</v>
      </c>
      <c r="K1021" s="58" t="str">
        <f>작성용!H1018</f>
        <v>-</v>
      </c>
      <c r="L1021" s="58" t="str">
        <f>작성용!N1018</f>
        <v xml:space="preserve">반기 </v>
      </c>
      <c r="M1021" s="57" t="str">
        <f>작성용!U1018</f>
        <v>2024.11.30</v>
      </c>
      <c r="N1021" s="57">
        <f>작성용!V1018</f>
        <v>45632</v>
      </c>
      <c r="O1021" s="57" t="str">
        <f>작성용!W1018</f>
        <v>보고서제공X</v>
      </c>
      <c r="P1021" s="57" t="str">
        <f>작성용!X1018</f>
        <v>-</v>
      </c>
      <c r="Q1021" s="58" t="str">
        <f>작성용!AD1018</f>
        <v>심태진</v>
      </c>
      <c r="R1021" s="60">
        <f>작성용!AE1018</f>
        <v>0.4</v>
      </c>
      <c r="S1021" s="58" t="str">
        <f>작성용!AF1018</f>
        <v>심태진</v>
      </c>
      <c r="T1021" s="61" t="str">
        <f>작성용!AG1018</f>
        <v>-</v>
      </c>
      <c r="U1021" s="61" t="str">
        <f>작성용!AH1018</f>
        <v>-</v>
      </c>
      <c r="V1021" s="56">
        <f>작성용!AA1018</f>
        <v>202411</v>
      </c>
      <c r="W1021" s="58" t="str">
        <f>작성용!AC1018</f>
        <v>[6]기타기관펀드(기초자산)</v>
      </c>
      <c r="X1021" s="58">
        <f>작성용!O1018</f>
        <v>0</v>
      </c>
      <c r="Y1021" s="58">
        <f>작성용!P1018</f>
        <v>0</v>
      </c>
      <c r="Z1021" s="58">
        <f>작성용!Q1018</f>
        <v>0</v>
      </c>
      <c r="AA1021" s="56" t="str">
        <f>작성용!AJ1018</f>
        <v>-</v>
      </c>
      <c r="AB1021" s="56">
        <f>작성용!AB1018</f>
        <v>0</v>
      </c>
    </row>
    <row r="1022" spans="1:28" s="12" customFormat="1" ht="16.5" hidden="1" customHeight="1" x14ac:dyDescent="0.3">
      <c r="A1022" s="54">
        <f>작성용!AL1019</f>
        <v>1018</v>
      </c>
      <c r="B1022" s="55" t="str">
        <f>작성용!AI1019</f>
        <v>-</v>
      </c>
      <c r="C1022" s="56" t="str">
        <f>작성용!AK1019</f>
        <v>기초자산</v>
      </c>
      <c r="D1022" s="57" t="str">
        <f>작성용!T1019</f>
        <v>무림캐피탈펀드(기초자산)</v>
      </c>
      <c r="E1022" s="58" t="str">
        <f>작성용!B1019</f>
        <v>티제이더블유제삼호사모투자</v>
      </c>
      <c r="F1022" s="58" t="str">
        <f>작성용!C1019</f>
        <v>재평가</v>
      </c>
      <c r="G1022" s="58" t="str">
        <f>작성용!D1019</f>
        <v>만전식품</v>
      </c>
      <c r="H1022" s="59">
        <f>작성용!E1019</f>
        <v>1342110013469</v>
      </c>
      <c r="I1022" s="58" t="str">
        <f>작성용!F1019</f>
        <v>D02</v>
      </c>
      <c r="J1022" s="58">
        <f>작성용!G1019</f>
        <v>0</v>
      </c>
      <c r="K1022" s="58" t="str">
        <f>작성용!H1019</f>
        <v>-</v>
      </c>
      <c r="L1022" s="58" t="str">
        <f>작성용!N1019</f>
        <v xml:space="preserve">반기 </v>
      </c>
      <c r="M1022" s="57" t="str">
        <f>작성용!U1019</f>
        <v>2024.11.30</v>
      </c>
      <c r="N1022" s="57">
        <f>작성용!V1019</f>
        <v>45632</v>
      </c>
      <c r="O1022" s="57" t="str">
        <f>작성용!W1019</f>
        <v>보고서제공X</v>
      </c>
      <c r="P1022" s="57" t="str">
        <f>작성용!X1019</f>
        <v>-</v>
      </c>
      <c r="Q1022" s="58" t="str">
        <f>작성용!AD1019</f>
        <v>심태진</v>
      </c>
      <c r="R1022" s="60">
        <f>작성용!AE1019</f>
        <v>0</v>
      </c>
      <c r="S1022" s="58" t="str">
        <f>작성용!AF1019</f>
        <v>심태진</v>
      </c>
      <c r="T1022" s="61" t="str">
        <f>작성용!AG1019</f>
        <v>-</v>
      </c>
      <c r="U1022" s="61" t="str">
        <f>작성용!AH1019</f>
        <v>-</v>
      </c>
      <c r="V1022" s="56">
        <f>작성용!AA1019</f>
        <v>202411</v>
      </c>
      <c r="W1022" s="58" t="str">
        <f>작성용!AC1019</f>
        <v>[6]기타기관펀드(기초자산)</v>
      </c>
      <c r="X1022" s="58">
        <f>작성용!O1019</f>
        <v>0</v>
      </c>
      <c r="Y1022" s="58">
        <f>작성용!P1019</f>
        <v>0</v>
      </c>
      <c r="Z1022" s="58">
        <f>작성용!Q1019</f>
        <v>0</v>
      </c>
      <c r="AA1022" s="56" t="str">
        <f>작성용!AJ1019</f>
        <v>-</v>
      </c>
      <c r="AB1022" s="56">
        <f>작성용!AB1019</f>
        <v>0</v>
      </c>
    </row>
    <row r="1023" spans="1:28" s="12" customFormat="1" ht="16.5" hidden="1" customHeight="1" x14ac:dyDescent="0.3">
      <c r="A1023" s="54">
        <f>작성용!AL1020</f>
        <v>1019</v>
      </c>
      <c r="B1023" s="55" t="str">
        <f>작성용!AI1020</f>
        <v>-</v>
      </c>
      <c r="C1023" s="56" t="str">
        <f>작성용!AK1020</f>
        <v>기초자산</v>
      </c>
      <c r="D1023" s="57" t="str">
        <f>작성용!T1020</f>
        <v>무림캐피탈펀드(기초자산)</v>
      </c>
      <c r="E1023" s="58" t="str">
        <f>작성용!B1020</f>
        <v>화인그린뉴딜제2호사모투자</v>
      </c>
      <c r="F1023" s="58" t="str">
        <f>작성용!C1020</f>
        <v>재평가</v>
      </c>
      <c r="G1023" s="58" t="str">
        <f>작성용!D1020</f>
        <v>발맥스기술</v>
      </c>
      <c r="H1023" s="59">
        <f>작성용!E1020</f>
        <v>1341110165915</v>
      </c>
      <c r="I1023" s="58" t="str">
        <f>작성용!F1020</f>
        <v>A07</v>
      </c>
      <c r="J1023" s="58">
        <f>작성용!G1020</f>
        <v>0</v>
      </c>
      <c r="K1023" s="58" t="str">
        <f>작성용!H1020</f>
        <v>-</v>
      </c>
      <c r="L1023" s="58" t="str">
        <f>작성용!N1020</f>
        <v xml:space="preserve">반기 </v>
      </c>
      <c r="M1023" s="57" t="str">
        <f>작성용!U1020</f>
        <v>2024.11.30</v>
      </c>
      <c r="N1023" s="57">
        <f>작성용!V1020</f>
        <v>45632</v>
      </c>
      <c r="O1023" s="57" t="str">
        <f>작성용!W1020</f>
        <v>보고서제공X</v>
      </c>
      <c r="P1023" s="57" t="str">
        <f>작성용!X1020</f>
        <v>-</v>
      </c>
      <c r="Q1023" s="58" t="str">
        <f>작성용!AD1020</f>
        <v>김에스더</v>
      </c>
      <c r="R1023" s="60">
        <f>작성용!AE1020</f>
        <v>0.4</v>
      </c>
      <c r="S1023" s="58" t="str">
        <f>작성용!AF1020</f>
        <v>김에스더</v>
      </c>
      <c r="T1023" s="61" t="str">
        <f>작성용!AG1020</f>
        <v>-</v>
      </c>
      <c r="U1023" s="61" t="str">
        <f>작성용!AH1020</f>
        <v>-</v>
      </c>
      <c r="V1023" s="56">
        <f>작성용!AA1020</f>
        <v>202411</v>
      </c>
      <c r="W1023" s="58" t="str">
        <f>작성용!AC1020</f>
        <v>[6]기타기관펀드(기초자산)</v>
      </c>
      <c r="X1023" s="58">
        <f>작성용!O1020</f>
        <v>0</v>
      </c>
      <c r="Y1023" s="58">
        <f>작성용!P1020</f>
        <v>0</v>
      </c>
      <c r="Z1023" s="58">
        <f>작성용!Q1020</f>
        <v>0</v>
      </c>
      <c r="AA1023" s="56" t="str">
        <f>작성용!AJ1020</f>
        <v>-</v>
      </c>
      <c r="AB1023" s="56">
        <f>작성용!AB1020</f>
        <v>0</v>
      </c>
    </row>
    <row r="1024" spans="1:28" s="12" customFormat="1" ht="16.5" hidden="1" customHeight="1" x14ac:dyDescent="0.3">
      <c r="A1024" s="54">
        <f>작성용!AL1021</f>
        <v>1020</v>
      </c>
      <c r="B1024" s="55" t="str">
        <f>작성용!AI1021</f>
        <v>-</v>
      </c>
      <c r="C1024" s="56" t="str">
        <f>작성용!AK1021</f>
        <v>기초자산</v>
      </c>
      <c r="D1024" s="57" t="str">
        <f>작성용!T1021</f>
        <v>무림캐피탈펀드(기초자산)</v>
      </c>
      <c r="E1024" s="58" t="str">
        <f>작성용!B1021</f>
        <v>큐리어스칸기관전용사모투자</v>
      </c>
      <c r="F1024" s="58" t="str">
        <f>작성용!C1021</f>
        <v>재평가</v>
      </c>
      <c r="G1024" s="58" t="str">
        <f>작성용!D1021</f>
        <v>디더블유대원</v>
      </c>
      <c r="H1024" s="59">
        <f>작성용!E1021</f>
        <v>1501110007092</v>
      </c>
      <c r="I1024" s="58" t="str">
        <f>작성용!F1021</f>
        <v>A01</v>
      </c>
      <c r="J1024" s="58">
        <f>작성용!G1021</f>
        <v>0</v>
      </c>
      <c r="K1024" s="58" t="str">
        <f>작성용!H1021</f>
        <v>-</v>
      </c>
      <c r="L1024" s="58" t="str">
        <f>작성용!N1021</f>
        <v xml:space="preserve">반기 </v>
      </c>
      <c r="M1024" s="57" t="str">
        <f>작성용!U1021</f>
        <v>2024.11.30</v>
      </c>
      <c r="N1024" s="57">
        <f>작성용!V1021</f>
        <v>45632</v>
      </c>
      <c r="O1024" s="57" t="str">
        <f>작성용!W1021</f>
        <v>보고서제공X</v>
      </c>
      <c r="P1024" s="57" t="str">
        <f>작성용!X1021</f>
        <v>-</v>
      </c>
      <c r="Q1024" s="58" t="str">
        <f>작성용!AD1021</f>
        <v>김에스더</v>
      </c>
      <c r="R1024" s="60">
        <f>작성용!AE1021</f>
        <v>0</v>
      </c>
      <c r="S1024" s="58" t="str">
        <f>작성용!AF1021</f>
        <v>김에스더</v>
      </c>
      <c r="T1024" s="61" t="str">
        <f>작성용!AG1021</f>
        <v>-</v>
      </c>
      <c r="U1024" s="61" t="str">
        <f>작성용!AH1021</f>
        <v>-</v>
      </c>
      <c r="V1024" s="56">
        <f>작성용!AA1021</f>
        <v>202411</v>
      </c>
      <c r="W1024" s="58" t="str">
        <f>작성용!AC1021</f>
        <v>[6]기타기관펀드(기초자산)</v>
      </c>
      <c r="X1024" s="58">
        <f>작성용!O1021</f>
        <v>0</v>
      </c>
      <c r="Y1024" s="58">
        <f>작성용!P1021</f>
        <v>0</v>
      </c>
      <c r="Z1024" s="58">
        <f>작성용!Q1021</f>
        <v>0</v>
      </c>
      <c r="AA1024" s="56" t="str">
        <f>작성용!AJ1021</f>
        <v>-</v>
      </c>
      <c r="AB1024" s="56">
        <f>작성용!AB1021</f>
        <v>0</v>
      </c>
    </row>
    <row r="1025" spans="1:28" s="12" customFormat="1" ht="16.5" hidden="1" customHeight="1" x14ac:dyDescent="0.3">
      <c r="A1025" s="54">
        <f>작성용!AL1022</f>
        <v>1021</v>
      </c>
      <c r="B1025" s="55" t="str">
        <f>작성용!AI1022</f>
        <v>-</v>
      </c>
      <c r="C1025" s="56" t="str">
        <f>작성용!AK1022</f>
        <v>기초자산</v>
      </c>
      <c r="D1025" s="57" t="str">
        <f>작성용!T1022</f>
        <v>무림캐피탈펀드(기초자산)</v>
      </c>
      <c r="E1025" s="58" t="str">
        <f>작성용!B1022</f>
        <v>큐리어스칸기관전용사모투자</v>
      </c>
      <c r="F1025" s="58" t="str">
        <f>작성용!C1022</f>
        <v>재평가</v>
      </c>
      <c r="G1025" s="58" t="str">
        <f>작성용!D1022</f>
        <v>대원칸타빌</v>
      </c>
      <c r="H1025" s="59">
        <f>작성용!E1022</f>
        <v>1101112324252</v>
      </c>
      <c r="I1025" s="58" t="str">
        <f>작성용!F1022</f>
        <v>A01</v>
      </c>
      <c r="J1025" s="58">
        <f>작성용!G1022</f>
        <v>0</v>
      </c>
      <c r="K1025" s="58" t="str">
        <f>작성용!H1022</f>
        <v>-</v>
      </c>
      <c r="L1025" s="58" t="str">
        <f>작성용!N1022</f>
        <v xml:space="preserve">반기 </v>
      </c>
      <c r="M1025" s="57" t="str">
        <f>작성용!U1022</f>
        <v>2024.11.30</v>
      </c>
      <c r="N1025" s="57">
        <f>작성용!V1022</f>
        <v>45632</v>
      </c>
      <c r="O1025" s="57" t="str">
        <f>작성용!W1022</f>
        <v>보고서제공X</v>
      </c>
      <c r="P1025" s="57" t="str">
        <f>작성용!X1022</f>
        <v>-</v>
      </c>
      <c r="Q1025" s="58" t="str">
        <f>작성용!AD1022</f>
        <v>원정우</v>
      </c>
      <c r="R1025" s="60">
        <f>작성용!AE1022</f>
        <v>0</v>
      </c>
      <c r="S1025" s="58" t="str">
        <f>작성용!AF1022</f>
        <v>원정우</v>
      </c>
      <c r="T1025" s="61" t="str">
        <f>작성용!AG1022</f>
        <v>-</v>
      </c>
      <c r="U1025" s="61" t="str">
        <f>작성용!AH1022</f>
        <v>-</v>
      </c>
      <c r="V1025" s="56">
        <f>작성용!AA1022</f>
        <v>202411</v>
      </c>
      <c r="W1025" s="58" t="str">
        <f>작성용!AC1022</f>
        <v>[6]기타기관펀드(기초자산)</v>
      </c>
      <c r="X1025" s="58">
        <f>작성용!O1022</f>
        <v>0</v>
      </c>
      <c r="Y1025" s="58">
        <f>작성용!P1022</f>
        <v>0</v>
      </c>
      <c r="Z1025" s="58">
        <f>작성용!Q1022</f>
        <v>0</v>
      </c>
      <c r="AA1025" s="56" t="str">
        <f>작성용!AJ1022</f>
        <v>-</v>
      </c>
      <c r="AB1025" s="56">
        <f>작성용!AB1022</f>
        <v>0</v>
      </c>
    </row>
    <row r="1026" spans="1:28" s="12" customFormat="1" ht="16.5" hidden="1" customHeight="1" x14ac:dyDescent="0.3">
      <c r="A1026" s="54">
        <f>작성용!AL1023</f>
        <v>1022</v>
      </c>
      <c r="B1026" s="55" t="str">
        <f>작성용!AI1023</f>
        <v>-</v>
      </c>
      <c r="C1026" s="56" t="str">
        <f>작성용!AK1023</f>
        <v>기초자산</v>
      </c>
      <c r="D1026" s="57" t="str">
        <f>작성용!T1023</f>
        <v>무림캐피탈펀드(기초자산)</v>
      </c>
      <c r="E1026" s="58" t="str">
        <f>작성용!B1023</f>
        <v>아이젠2022제일호사모투자</v>
      </c>
      <c r="F1026" s="58" t="str">
        <f>작성용!C1023</f>
        <v>재평가</v>
      </c>
      <c r="G1026" s="58" t="str">
        <f>작성용!D1023</f>
        <v>서부청과</v>
      </c>
      <c r="H1026" s="59">
        <f>작성용!E1023</f>
        <v>1101111349532</v>
      </c>
      <c r="I1026" s="58" t="str">
        <f>작성용!F1023</f>
        <v>A01</v>
      </c>
      <c r="J1026" s="58">
        <f>작성용!G1023</f>
        <v>0</v>
      </c>
      <c r="K1026" s="58" t="str">
        <f>작성용!H1023</f>
        <v>-</v>
      </c>
      <c r="L1026" s="58" t="str">
        <f>작성용!N1023</f>
        <v xml:space="preserve">반기 </v>
      </c>
      <c r="M1026" s="57" t="str">
        <f>작성용!U1023</f>
        <v>2024.11.30</v>
      </c>
      <c r="N1026" s="57">
        <f>작성용!V1023</f>
        <v>45632</v>
      </c>
      <c r="O1026" s="57" t="str">
        <f>작성용!W1023</f>
        <v>보고서제공X</v>
      </c>
      <c r="P1026" s="57" t="str">
        <f>작성용!X1023</f>
        <v>-</v>
      </c>
      <c r="Q1026" s="58" t="str">
        <f>작성용!AD1023</f>
        <v>윤광일</v>
      </c>
      <c r="R1026" s="60">
        <f>작성용!AE1023</f>
        <v>0.4</v>
      </c>
      <c r="S1026" s="58" t="str">
        <f>작성용!AF1023</f>
        <v>윤광일</v>
      </c>
      <c r="T1026" s="61" t="str">
        <f>작성용!AG1023</f>
        <v>-</v>
      </c>
      <c r="U1026" s="61" t="str">
        <f>작성용!AH1023</f>
        <v>-</v>
      </c>
      <c r="V1026" s="56">
        <f>작성용!AA1023</f>
        <v>202411</v>
      </c>
      <c r="W1026" s="58" t="str">
        <f>작성용!AC1023</f>
        <v>[6]기타기관펀드(기초자산)</v>
      </c>
      <c r="X1026" s="58">
        <f>작성용!O1023</f>
        <v>0</v>
      </c>
      <c r="Y1026" s="58">
        <f>작성용!P1023</f>
        <v>0</v>
      </c>
      <c r="Z1026" s="58">
        <f>작성용!Q1023</f>
        <v>0</v>
      </c>
      <c r="AA1026" s="56" t="str">
        <f>작성용!AJ1023</f>
        <v>-</v>
      </c>
      <c r="AB1026" s="56">
        <f>작성용!AB1023</f>
        <v>0</v>
      </c>
    </row>
    <row r="1027" spans="1:28" s="12" customFormat="1" ht="16.5" hidden="1" customHeight="1" x14ac:dyDescent="0.3">
      <c r="A1027" s="54">
        <f>작성용!AL1024</f>
        <v>1023</v>
      </c>
      <c r="B1027" s="55" t="str">
        <f>작성용!AI1024</f>
        <v>26년도 2분기 평가예정</v>
      </c>
      <c r="C1027" s="56" t="str">
        <f>작성용!AK1024</f>
        <v>기초자산</v>
      </c>
      <c r="D1027" s="57" t="str">
        <f>작성용!T1024</f>
        <v>무림캐피탈펀드(기초자산)</v>
      </c>
      <c r="E1027" s="58" t="str">
        <f>작성용!B1024</f>
        <v>제이앤솔라사모투자</v>
      </c>
      <c r="F1027" s="58" t="str">
        <f>작성용!C1024</f>
        <v>재평가</v>
      </c>
      <c r="G1027" s="58" t="str">
        <f>작성용!D1024</f>
        <v>솔브레인네트워크</v>
      </c>
      <c r="H1027" s="59">
        <f>작성용!E1024</f>
        <v>1311110713064</v>
      </c>
      <c r="I1027" s="58" t="str">
        <f>작성용!F1024</f>
        <v>A07</v>
      </c>
      <c r="J1027" s="58">
        <f>작성용!G1024</f>
        <v>0</v>
      </c>
      <c r="K1027" s="58" t="str">
        <f>작성용!H1024</f>
        <v>-</v>
      </c>
      <c r="L1027" s="58" t="str">
        <f>작성용!N1024</f>
        <v xml:space="preserve">반기 </v>
      </c>
      <c r="M1027" s="57" t="str">
        <f>작성용!U1024</f>
        <v>2024.11.30</v>
      </c>
      <c r="N1027" s="57">
        <f>작성용!V1024</f>
        <v>45632</v>
      </c>
      <c r="O1027" s="57" t="str">
        <f>작성용!W1024</f>
        <v>보고서제공X</v>
      </c>
      <c r="P1027" s="57" t="str">
        <f>작성용!X1024</f>
        <v>-</v>
      </c>
      <c r="Q1027" s="58" t="str">
        <f>작성용!AD1024</f>
        <v>오영석</v>
      </c>
      <c r="R1027" s="60">
        <f>작성용!AE1024</f>
        <v>0</v>
      </c>
      <c r="S1027" s="58" t="str">
        <f>작성용!AF1024</f>
        <v>오영석</v>
      </c>
      <c r="T1027" s="61" t="str">
        <f>작성용!AG1024</f>
        <v>-</v>
      </c>
      <c r="U1027" s="61" t="str">
        <f>작성용!AH1024</f>
        <v>-</v>
      </c>
      <c r="V1027" s="56">
        <f>작성용!AA1024</f>
        <v>202411</v>
      </c>
      <c r="W1027" s="58" t="str">
        <f>작성용!AC1024</f>
        <v>[6]기타기관펀드(기초자산)</v>
      </c>
      <c r="X1027" s="58">
        <f>작성용!O1024</f>
        <v>0</v>
      </c>
      <c r="Y1027" s="58">
        <f>작성용!P1024</f>
        <v>0</v>
      </c>
      <c r="Z1027" s="58">
        <f>작성용!Q1024</f>
        <v>0</v>
      </c>
      <c r="AA1027" s="56" t="str">
        <f>작성용!AJ1024</f>
        <v>-</v>
      </c>
      <c r="AB1027" s="56">
        <f>작성용!AB1024</f>
        <v>0</v>
      </c>
    </row>
    <row r="1028" spans="1:28" s="12" customFormat="1" ht="16.5" hidden="1" customHeight="1" x14ac:dyDescent="0.3">
      <c r="A1028" s="54">
        <f>작성용!AL1025</f>
        <v>1024</v>
      </c>
      <c r="B1028" s="55" t="str">
        <f>작성용!AI1025</f>
        <v>-</v>
      </c>
      <c r="C1028" s="56" t="str">
        <f>작성용!AK1025</f>
        <v>개별종목</v>
      </c>
      <c r="D1028" s="57">
        <f>작성용!T1025</f>
        <v>45594</v>
      </c>
      <c r="E1028" s="58" t="str">
        <f>작성용!B1025</f>
        <v>에이치디씨현대이피(구,에이치디씨현대산업개발)</v>
      </c>
      <c r="F1028" s="58" t="str">
        <f>작성용!C1025</f>
        <v>재평가</v>
      </c>
      <c r="G1028" s="58" t="str">
        <f>작성용!D1025</f>
        <v>한주</v>
      </c>
      <c r="H1028" s="59">
        <f>작성용!E1025</f>
        <v>1812110007663</v>
      </c>
      <c r="I1028" s="58" t="str">
        <f>작성용!F1025</f>
        <v>A01</v>
      </c>
      <c r="J1028" s="58">
        <f>작성용!G1025</f>
        <v>0</v>
      </c>
      <c r="K1028" s="58" t="str">
        <f>작성용!H1025</f>
        <v>-</v>
      </c>
      <c r="L1028" s="58" t="str">
        <f>작성용!N1025</f>
        <v>연말</v>
      </c>
      <c r="M1028" s="57" t="str">
        <f>작성용!U1025</f>
        <v>2024.12.31</v>
      </c>
      <c r="N1028" s="57">
        <f>작성용!V1025</f>
        <v>45663</v>
      </c>
      <c r="O1028" s="57">
        <f>작성용!W1025</f>
        <v>45663</v>
      </c>
      <c r="P1028" s="57" t="str">
        <f>작성용!X1025</f>
        <v>-</v>
      </c>
      <c r="Q1028" s="58" t="str">
        <f>작성용!AD1025</f>
        <v>김예림</v>
      </c>
      <c r="R1028" s="60">
        <f>작성용!AE1025</f>
        <v>0</v>
      </c>
      <c r="S1028" s="58" t="str">
        <f>작성용!AF1025</f>
        <v>김예림</v>
      </c>
      <c r="T1028" s="61" t="str">
        <f>작성용!AG1025</f>
        <v>김예림</v>
      </c>
      <c r="U1028" s="61" t="str">
        <f>작성용!AH1025</f>
        <v>김예림</v>
      </c>
      <c r="V1028" s="56">
        <f>작성용!AA1025</f>
        <v>202412</v>
      </c>
      <c r="W1028" s="58" t="str">
        <f>작성용!AC1025</f>
        <v>[C]현대</v>
      </c>
      <c r="X1028" s="58" t="str">
        <f>작성용!O1025</f>
        <v>이화준매니저</v>
      </c>
      <c r="Y1028" s="58" t="str">
        <f>작성용!P1025</f>
        <v>031-785-2783</v>
      </c>
      <c r="Z1028" s="58" t="str">
        <f>작성용!Q1025</f>
        <v>leehj2305@hdc-hyundaiep.com</v>
      </c>
      <c r="AA1028" s="56" t="str">
        <f>작성용!AJ1025</f>
        <v>회계반영</v>
      </c>
      <c r="AB1028" s="56">
        <f>작성용!AB1025</f>
        <v>0</v>
      </c>
    </row>
    <row r="1029" spans="1:28" s="12" customFormat="1" ht="16.5" hidden="1" customHeight="1" x14ac:dyDescent="0.3">
      <c r="A1029" s="54">
        <f>작성용!AL1026</f>
        <v>1025</v>
      </c>
      <c r="B1029" s="55" t="str">
        <f>작성용!AI1026</f>
        <v>-</v>
      </c>
      <c r="C1029" s="56" t="str">
        <f>작성용!AK1026</f>
        <v>개별종목</v>
      </c>
      <c r="D1029" s="57">
        <f>작성용!T1026</f>
        <v>45594</v>
      </c>
      <c r="E1029" s="58" t="str">
        <f>작성용!B1026</f>
        <v>이마트</v>
      </c>
      <c r="F1029" s="58" t="str">
        <f>작성용!C1026</f>
        <v>재평가</v>
      </c>
      <c r="G1029" s="58" t="str">
        <f>작성용!D1026</f>
        <v>몽골스카이하이퍼마켓</v>
      </c>
      <c r="H1029" s="59" t="str">
        <f>작성용!E1026</f>
        <v>KBP2018120201</v>
      </c>
      <c r="I1029" s="58" t="str">
        <f>작성용!F1026</f>
        <v>A01</v>
      </c>
      <c r="J1029" s="58">
        <f>작성용!G1026</f>
        <v>0</v>
      </c>
      <c r="K1029" s="58" t="str">
        <f>작성용!H1026</f>
        <v>Y</v>
      </c>
      <c r="L1029" s="58" t="str">
        <f>작성용!N1026</f>
        <v>연말</v>
      </c>
      <c r="M1029" s="57" t="str">
        <f>작성용!U1026</f>
        <v>2024.12.31</v>
      </c>
      <c r="N1029" s="57">
        <f>작성용!V1026</f>
        <v>45663</v>
      </c>
      <c r="O1029" s="57">
        <f>작성용!W1026</f>
        <v>45670</v>
      </c>
      <c r="P1029" s="57" t="str">
        <f>작성용!X1026</f>
        <v>-</v>
      </c>
      <c r="Q1029" s="58" t="str">
        <f>작성용!AD1026</f>
        <v>강승현</v>
      </c>
      <c r="R1029" s="60">
        <f>작성용!AE1026</f>
        <v>1</v>
      </c>
      <c r="S1029" s="58" t="str">
        <f>작성용!AF1026</f>
        <v>강승현</v>
      </c>
      <c r="T1029" s="61" t="str">
        <f>작성용!AG1026</f>
        <v>강승현</v>
      </c>
      <c r="U1029" s="61" t="str">
        <f>작성용!AH1026</f>
        <v>강승현</v>
      </c>
      <c r="V1029" s="56">
        <f>작성용!AA1026</f>
        <v>202412</v>
      </c>
      <c r="W1029" s="58" t="str">
        <f>작성용!AC1026</f>
        <v>[B]삼성</v>
      </c>
      <c r="X1029" s="58" t="str">
        <f>작성용!O1026</f>
        <v>이다희파트너</v>
      </c>
      <c r="Y1029" s="58" t="str">
        <f>작성용!P1026</f>
        <v>02-2045-6141</v>
      </c>
      <c r="Z1029" s="58" t="str">
        <f>작성용!Q1026</f>
        <v>joy_mylife@emart.com</v>
      </c>
      <c r="AA1029" s="56" t="str">
        <f>작성용!AJ1026</f>
        <v>회계반영</v>
      </c>
      <c r="AB1029" s="56">
        <f>작성용!AB1026</f>
        <v>0</v>
      </c>
    </row>
    <row r="1030" spans="1:28" s="12" customFormat="1" ht="16.5" customHeight="1" x14ac:dyDescent="0.3">
      <c r="A1030" s="54">
        <f>작성용!AL1027</f>
        <v>1026</v>
      </c>
      <c r="B1030" s="278" t="str">
        <f>작성용!AI1027</f>
        <v>DRAFT보고서 : 2024-11-20</v>
      </c>
      <c r="C1030" s="252" t="str">
        <f>작성용!AK1027</f>
        <v>개별종목</v>
      </c>
      <c r="D1030" s="265">
        <f>작성용!T1027</f>
        <v>45594</v>
      </c>
      <c r="E1030" s="253" t="str">
        <f>작성용!B1027</f>
        <v>유한양행</v>
      </c>
      <c r="F1030" s="253" t="str">
        <f>작성용!C1027</f>
        <v>신규</v>
      </c>
      <c r="G1030" s="253" t="str">
        <f>작성용!D1027</f>
        <v>프로큐라티오</v>
      </c>
      <c r="H1030" s="266">
        <f>작성용!E1027</f>
        <v>1101116635639</v>
      </c>
      <c r="I1030" s="253" t="str">
        <f>작성용!F1027</f>
        <v>A01</v>
      </c>
      <c r="J1030" s="253">
        <f>작성용!G1027</f>
        <v>0</v>
      </c>
      <c r="K1030" s="253" t="str">
        <f>작성용!H1027</f>
        <v>-</v>
      </c>
      <c r="L1030" s="253" t="str">
        <f>작성용!N1027</f>
        <v>년</v>
      </c>
      <c r="M1030" s="265" t="str">
        <f>작성용!U1027</f>
        <v>2024.09.30</v>
      </c>
      <c r="N1030" s="277">
        <f>작성용!V1027</f>
        <v>45616</v>
      </c>
      <c r="O1030" s="265">
        <f>작성용!W1027</f>
        <v>45624</v>
      </c>
      <c r="P1030" s="265" t="str">
        <f>작성용!X1027</f>
        <v>-</v>
      </c>
      <c r="Q1030" s="253" t="str">
        <f>작성용!AD1027</f>
        <v>신원준</v>
      </c>
      <c r="R1030" s="267">
        <f>작성용!AE1027</f>
        <v>1</v>
      </c>
      <c r="S1030" s="253" t="str">
        <f>작성용!AF1027</f>
        <v>신규</v>
      </c>
      <c r="T1030" s="268" t="str">
        <f>작성용!AG1027</f>
        <v>강승현</v>
      </c>
      <c r="U1030" s="268" t="str">
        <f>작성용!AH1027</f>
        <v>강승현</v>
      </c>
      <c r="V1030" s="252">
        <f>작성용!AA1027</f>
        <v>202411</v>
      </c>
      <c r="W1030" s="253" t="str">
        <f>작성용!AC1027</f>
        <v>[X]일반기업</v>
      </c>
      <c r="X1030" s="253" t="str">
        <f>작성용!O1027</f>
        <v>최승오</v>
      </c>
      <c r="Y1030" s="253" t="str">
        <f>작성용!P1027</f>
        <v>02-828-0225</v>
      </c>
      <c r="Z1030" s="253" t="str">
        <f>작성용!Q1027</f>
        <v>1tmddh@yuhan.co.kr</v>
      </c>
      <c r="AA1030" s="252" t="str">
        <f>작성용!AJ1027</f>
        <v>공정가치평가</v>
      </c>
      <c r="AB1030" s="252">
        <f>작성용!AB1027</f>
        <v>0</v>
      </c>
    </row>
    <row r="1031" spans="1:28" s="12" customFormat="1" ht="16.5" customHeight="1" x14ac:dyDescent="0.3">
      <c r="A1031" s="54">
        <f>작성용!AL1028</f>
        <v>1027</v>
      </c>
      <c r="B1031" s="278" t="str">
        <f>작성용!AI1028</f>
        <v>DRAFT보고서 : 2024-11-20</v>
      </c>
      <c r="C1031" s="252" t="str">
        <f>작성용!AK1028</f>
        <v>개별종목</v>
      </c>
      <c r="D1031" s="265">
        <f>작성용!T1028</f>
        <v>45594</v>
      </c>
      <c r="E1031" s="253" t="str">
        <f>작성용!B1028</f>
        <v>유한양행</v>
      </c>
      <c r="F1031" s="253" t="str">
        <f>작성용!C1028</f>
        <v>신규</v>
      </c>
      <c r="G1031" s="253" t="str">
        <f>작성용!D1028</f>
        <v>휴이노에임</v>
      </c>
      <c r="H1031" s="266">
        <f>작성용!E1028</f>
        <v>1101118207767</v>
      </c>
      <c r="I1031" s="253" t="str">
        <f>작성용!F1028</f>
        <v>A01</v>
      </c>
      <c r="J1031" s="253">
        <f>작성용!G1028</f>
        <v>0</v>
      </c>
      <c r="K1031" s="253" t="str">
        <f>작성용!H1028</f>
        <v>-</v>
      </c>
      <c r="L1031" s="253" t="str">
        <f>작성용!N1028</f>
        <v>년</v>
      </c>
      <c r="M1031" s="265" t="str">
        <f>작성용!U1028</f>
        <v>2024.09.30</v>
      </c>
      <c r="N1031" s="277">
        <f>작성용!V1028</f>
        <v>45616</v>
      </c>
      <c r="O1031" s="265">
        <f>작성용!W1028</f>
        <v>45624</v>
      </c>
      <c r="P1031" s="265" t="str">
        <f>작성용!X1028</f>
        <v>-</v>
      </c>
      <c r="Q1031" s="253" t="str">
        <f>작성용!AD1028</f>
        <v>정은채</v>
      </c>
      <c r="R1031" s="267">
        <f>작성용!AE1028</f>
        <v>1</v>
      </c>
      <c r="S1031" s="253" t="str">
        <f>작성용!AF1028</f>
        <v>정은채</v>
      </c>
      <c r="T1031" s="268" t="str">
        <f>작성용!AG1028</f>
        <v>강승현</v>
      </c>
      <c r="U1031" s="268" t="str">
        <f>작성용!AH1028</f>
        <v>강승현</v>
      </c>
      <c r="V1031" s="252">
        <f>작성용!AA1028</f>
        <v>202411</v>
      </c>
      <c r="W1031" s="253" t="str">
        <f>작성용!AC1028</f>
        <v>[X]일반기업</v>
      </c>
      <c r="X1031" s="253" t="str">
        <f>작성용!O1028</f>
        <v>최승오</v>
      </c>
      <c r="Y1031" s="253" t="str">
        <f>작성용!P1028</f>
        <v>02-828-0225</v>
      </c>
      <c r="Z1031" s="253" t="str">
        <f>작성용!Q1028</f>
        <v>1tmddh@yuhan.co.kr</v>
      </c>
      <c r="AA1031" s="252" t="str">
        <f>작성용!AJ1028</f>
        <v>공정가치평가</v>
      </c>
      <c r="AB1031" s="252">
        <f>작성용!AB1028</f>
        <v>0</v>
      </c>
    </row>
    <row r="1032" spans="1:28" s="12" customFormat="1" ht="16.5" customHeight="1" x14ac:dyDescent="0.3">
      <c r="A1032" s="54">
        <f>작성용!AL1029</f>
        <v>1028</v>
      </c>
      <c r="B1032" s="278" t="str">
        <f>작성용!AI1029</f>
        <v>DRAFT보고서 : 2024-11-20</v>
      </c>
      <c r="C1032" s="252" t="str">
        <f>작성용!AK1029</f>
        <v>개별종목</v>
      </c>
      <c r="D1032" s="265">
        <f>작성용!T1029</f>
        <v>45594</v>
      </c>
      <c r="E1032" s="253" t="str">
        <f>작성용!B1029</f>
        <v>유한양행</v>
      </c>
      <c r="F1032" s="253" t="str">
        <f>작성용!C1029</f>
        <v>신규</v>
      </c>
      <c r="G1032" s="253" t="str">
        <f>작성용!D1029</f>
        <v>지엔티파마</v>
      </c>
      <c r="H1032" s="266">
        <f>작성용!E1029</f>
        <v>1101111531303</v>
      </c>
      <c r="I1032" s="253" t="str">
        <f>작성용!F1029</f>
        <v>A01</v>
      </c>
      <c r="J1032" s="253">
        <f>작성용!G1029</f>
        <v>0</v>
      </c>
      <c r="K1032" s="253" t="str">
        <f>작성용!H1029</f>
        <v>-</v>
      </c>
      <c r="L1032" s="253" t="str">
        <f>작성용!N1029</f>
        <v>년</v>
      </c>
      <c r="M1032" s="265" t="str">
        <f>작성용!U1029</f>
        <v>2024.09.30</v>
      </c>
      <c r="N1032" s="277">
        <f>작성용!V1029</f>
        <v>45616</v>
      </c>
      <c r="O1032" s="265">
        <f>작성용!W1029</f>
        <v>45624</v>
      </c>
      <c r="P1032" s="265" t="str">
        <f>작성용!X1029</f>
        <v>-</v>
      </c>
      <c r="Q1032" s="253" t="str">
        <f>작성용!AD1029</f>
        <v>오영석</v>
      </c>
      <c r="R1032" s="267">
        <f>작성용!AE1029</f>
        <v>1</v>
      </c>
      <c r="S1032" s="253" t="str">
        <f>작성용!AF1029</f>
        <v>신규</v>
      </c>
      <c r="T1032" s="268" t="str">
        <f>작성용!AG1029</f>
        <v>강승현</v>
      </c>
      <c r="U1032" s="268" t="str">
        <f>작성용!AH1029</f>
        <v>강승현</v>
      </c>
      <c r="V1032" s="252">
        <f>작성용!AA1029</f>
        <v>202411</v>
      </c>
      <c r="W1032" s="253" t="str">
        <f>작성용!AC1029</f>
        <v>[X]일반기업</v>
      </c>
      <c r="X1032" s="253" t="str">
        <f>작성용!O1029</f>
        <v>최승오</v>
      </c>
      <c r="Y1032" s="253" t="str">
        <f>작성용!P1029</f>
        <v>02-828-0225</v>
      </c>
      <c r="Z1032" s="253" t="str">
        <f>작성용!Q1029</f>
        <v>1tmddh@yuhan.co.kr</v>
      </c>
      <c r="AA1032" s="252" t="str">
        <f>작성용!AJ1029</f>
        <v>공정가치평가</v>
      </c>
      <c r="AB1032" s="252">
        <f>작성용!AB1029</f>
        <v>0</v>
      </c>
    </row>
    <row r="1033" spans="1:28" s="12" customFormat="1" ht="16.5" customHeight="1" x14ac:dyDescent="0.3">
      <c r="A1033" s="54">
        <f>작성용!AL1030</f>
        <v>1029</v>
      </c>
      <c r="B1033" s="278" t="str">
        <f>작성용!AI1030</f>
        <v>DRAFT보고서 : 2024-11-20</v>
      </c>
      <c r="C1033" s="252" t="str">
        <f>작성용!AK1030</f>
        <v>개별종목</v>
      </c>
      <c r="D1033" s="265">
        <f>작성용!T1030</f>
        <v>45594</v>
      </c>
      <c r="E1033" s="253" t="str">
        <f>작성용!B1030</f>
        <v>유한양행</v>
      </c>
      <c r="F1033" s="253" t="str">
        <f>작성용!C1030</f>
        <v>신규</v>
      </c>
      <c r="G1033" s="253" t="str">
        <f>작성용!D1030</f>
        <v>제이인츠바이오</v>
      </c>
      <c r="H1033" s="266">
        <f>작성용!E1030</f>
        <v>1101117412862</v>
      </c>
      <c r="I1033" s="253" t="str">
        <f>작성용!F1030</f>
        <v>A07</v>
      </c>
      <c r="J1033" s="253">
        <f>작성용!G1030</f>
        <v>77</v>
      </c>
      <c r="K1033" s="253" t="str">
        <f>작성용!H1030</f>
        <v>-</v>
      </c>
      <c r="L1033" s="253" t="str">
        <f>작성용!N1030</f>
        <v>년</v>
      </c>
      <c r="M1033" s="265" t="str">
        <f>작성용!U1030</f>
        <v>2024.09.30</v>
      </c>
      <c r="N1033" s="277">
        <f>작성용!V1030</f>
        <v>45616</v>
      </c>
      <c r="O1033" s="265">
        <f>작성용!W1030</f>
        <v>45624</v>
      </c>
      <c r="P1033" s="265" t="str">
        <f>작성용!X1030</f>
        <v>-</v>
      </c>
      <c r="Q1033" s="253" t="str">
        <f>작성용!AD1030</f>
        <v>강성은</v>
      </c>
      <c r="R1033" s="267">
        <f>작성용!AE1030</f>
        <v>0</v>
      </c>
      <c r="S1033" s="253" t="str">
        <f>작성용!AF1030</f>
        <v>강성은</v>
      </c>
      <c r="T1033" s="268" t="str">
        <f>작성용!AG1030</f>
        <v>강승현</v>
      </c>
      <c r="U1033" s="268" t="str">
        <f>작성용!AH1030</f>
        <v>강승현</v>
      </c>
      <c r="V1033" s="252">
        <f>작성용!AA1030</f>
        <v>202411</v>
      </c>
      <c r="W1033" s="253" t="str">
        <f>작성용!AC1030</f>
        <v>[X]일반기업</v>
      </c>
      <c r="X1033" s="253" t="str">
        <f>작성용!O1030</f>
        <v>최승오</v>
      </c>
      <c r="Y1033" s="253" t="str">
        <f>작성용!P1030</f>
        <v>02-828-0225</v>
      </c>
      <c r="Z1033" s="253" t="str">
        <f>작성용!Q1030</f>
        <v>1tmddh@yuhan.co.kr</v>
      </c>
      <c r="AA1033" s="252" t="str">
        <f>작성용!AJ1030</f>
        <v>공정가치평가</v>
      </c>
      <c r="AB1033" s="252">
        <f>작성용!AB1030</f>
        <v>0</v>
      </c>
    </row>
    <row r="1034" spans="1:28" s="12" customFormat="1" ht="16.5" customHeight="1" x14ac:dyDescent="0.3">
      <c r="A1034" s="54">
        <f>작성용!AL1031</f>
        <v>1030</v>
      </c>
      <c r="B1034" s="278" t="str">
        <f>작성용!AI1031</f>
        <v>DRAFT보고서 : 2024-11-20</v>
      </c>
      <c r="C1034" s="252" t="str">
        <f>작성용!AK1031</f>
        <v>개별종목</v>
      </c>
      <c r="D1034" s="265">
        <f>작성용!T1031</f>
        <v>45594</v>
      </c>
      <c r="E1034" s="253" t="str">
        <f>작성용!B1031</f>
        <v>유한양행</v>
      </c>
      <c r="F1034" s="253" t="str">
        <f>작성용!C1031</f>
        <v>신규</v>
      </c>
      <c r="G1034" s="253" t="str">
        <f>작성용!D1031</f>
        <v>온코마스터</v>
      </c>
      <c r="H1034" s="266">
        <f>작성용!E1031</f>
        <v>1101118172704</v>
      </c>
      <c r="I1034" s="253" t="str">
        <f>작성용!F1031</f>
        <v>A01</v>
      </c>
      <c r="J1034" s="253">
        <f>작성용!G1031</f>
        <v>0</v>
      </c>
      <c r="K1034" s="253" t="str">
        <f>작성용!H1031</f>
        <v>-</v>
      </c>
      <c r="L1034" s="253" t="str">
        <f>작성용!N1031</f>
        <v>년</v>
      </c>
      <c r="M1034" s="265" t="str">
        <f>작성용!U1031</f>
        <v>2024.09.30</v>
      </c>
      <c r="N1034" s="277">
        <f>작성용!V1031</f>
        <v>45616</v>
      </c>
      <c r="O1034" s="265">
        <f>작성용!W1031</f>
        <v>45624</v>
      </c>
      <c r="P1034" s="265" t="str">
        <f>작성용!X1031</f>
        <v>-</v>
      </c>
      <c r="Q1034" s="253" t="str">
        <f>작성용!AD1031</f>
        <v>채동우</v>
      </c>
      <c r="R1034" s="267">
        <f>작성용!AE1031</f>
        <v>1</v>
      </c>
      <c r="S1034" s="253" t="str">
        <f>작성용!AF1031</f>
        <v>신규</v>
      </c>
      <c r="T1034" s="268" t="str">
        <f>작성용!AG1031</f>
        <v>강승현</v>
      </c>
      <c r="U1034" s="268" t="str">
        <f>작성용!AH1031</f>
        <v>강승현</v>
      </c>
      <c r="V1034" s="252">
        <f>작성용!AA1031</f>
        <v>202411</v>
      </c>
      <c r="W1034" s="253" t="str">
        <f>작성용!AC1031</f>
        <v>[X]일반기업</v>
      </c>
      <c r="X1034" s="253" t="str">
        <f>작성용!O1031</f>
        <v>최승오</v>
      </c>
      <c r="Y1034" s="253" t="str">
        <f>작성용!P1031</f>
        <v>02-828-0225</v>
      </c>
      <c r="Z1034" s="253" t="str">
        <f>작성용!Q1031</f>
        <v>1tmddh@yuhan.co.kr</v>
      </c>
      <c r="AA1034" s="252" t="str">
        <f>작성용!AJ1031</f>
        <v>공정가치평가</v>
      </c>
      <c r="AB1034" s="252">
        <f>작성용!AB1031</f>
        <v>0</v>
      </c>
    </row>
    <row r="1035" spans="1:28" s="12" customFormat="1" ht="16.5" customHeight="1" x14ac:dyDescent="0.3">
      <c r="A1035" s="54">
        <f>작성용!AL1032</f>
        <v>1031</v>
      </c>
      <c r="B1035" s="278" t="str">
        <f>작성용!AI1032</f>
        <v>DRAFT보고서 : 2024-11-20</v>
      </c>
      <c r="C1035" s="252" t="str">
        <f>작성용!AK1032</f>
        <v>개별종목</v>
      </c>
      <c r="D1035" s="265">
        <f>작성용!T1032</f>
        <v>45594</v>
      </c>
      <c r="E1035" s="253" t="str">
        <f>작성용!B1032</f>
        <v>유한양행</v>
      </c>
      <c r="F1035" s="253" t="str">
        <f>작성용!C1032</f>
        <v>신규</v>
      </c>
      <c r="G1035" s="253" t="str">
        <f>작성용!D1032</f>
        <v>에이인비</v>
      </c>
      <c r="H1035" s="266">
        <f>작성용!E1032</f>
        <v>1101118404321</v>
      </c>
      <c r="I1035" s="253" t="str">
        <f>작성용!F1032</f>
        <v>A01</v>
      </c>
      <c r="J1035" s="253">
        <f>작성용!G1032</f>
        <v>0</v>
      </c>
      <c r="K1035" s="253" t="str">
        <f>작성용!H1032</f>
        <v>-</v>
      </c>
      <c r="L1035" s="253" t="str">
        <f>작성용!N1032</f>
        <v>년</v>
      </c>
      <c r="M1035" s="265" t="str">
        <f>작성용!U1032</f>
        <v>2024.09.30</v>
      </c>
      <c r="N1035" s="277">
        <f>작성용!V1032</f>
        <v>45616</v>
      </c>
      <c r="O1035" s="265">
        <f>작성용!W1032</f>
        <v>45624</v>
      </c>
      <c r="P1035" s="265" t="str">
        <f>작성용!X1032</f>
        <v>-</v>
      </c>
      <c r="Q1035" s="253" t="str">
        <f>작성용!AD1032</f>
        <v>심태진</v>
      </c>
      <c r="R1035" s="267">
        <f>작성용!AE1032</f>
        <v>1</v>
      </c>
      <c r="S1035" s="253" t="str">
        <f>작성용!AF1032</f>
        <v>신규</v>
      </c>
      <c r="T1035" s="268" t="str">
        <f>작성용!AG1032</f>
        <v>강승현</v>
      </c>
      <c r="U1035" s="268" t="str">
        <f>작성용!AH1032</f>
        <v>강승현</v>
      </c>
      <c r="V1035" s="252">
        <f>작성용!AA1032</f>
        <v>202411</v>
      </c>
      <c r="W1035" s="253" t="str">
        <f>작성용!AC1032</f>
        <v>[X]일반기업</v>
      </c>
      <c r="X1035" s="253" t="str">
        <f>작성용!O1032</f>
        <v>최승오</v>
      </c>
      <c r="Y1035" s="253" t="str">
        <f>작성용!P1032</f>
        <v>02-828-0225</v>
      </c>
      <c r="Z1035" s="253" t="str">
        <f>작성용!Q1032</f>
        <v>1tmddh@yuhan.co.kr</v>
      </c>
      <c r="AA1035" s="252" t="str">
        <f>작성용!AJ1032</f>
        <v>공정가치평가</v>
      </c>
      <c r="AB1035" s="252">
        <f>작성용!AB1032</f>
        <v>0</v>
      </c>
    </row>
    <row r="1036" spans="1:28" s="12" customFormat="1" ht="16.5" hidden="1" customHeight="1" x14ac:dyDescent="0.3">
      <c r="A1036" s="54">
        <f>작성용!AL1033</f>
        <v>1032</v>
      </c>
      <c r="B1036" s="55" t="str">
        <f>작성용!AI1033</f>
        <v>라디언트홀딩스 하위자산</v>
      </c>
      <c r="C1036" s="56" t="str">
        <f>작성용!AK1033</f>
        <v>개별종목</v>
      </c>
      <c r="D1036" s="57">
        <f>작성용!T1033</f>
        <v>45581</v>
      </c>
      <c r="E1036" s="58" t="str">
        <f>작성용!B1033</f>
        <v>프리미어파트너스</v>
      </c>
      <c r="F1036" s="58" t="str">
        <f>작성용!C1033</f>
        <v>신규</v>
      </c>
      <c r="G1036" s="58" t="str">
        <f>작성용!D1033</f>
        <v>바임</v>
      </c>
      <c r="H1036" s="59">
        <f>작성용!E1033</f>
        <v>1542110016740</v>
      </c>
      <c r="I1036" s="58" t="str">
        <f>작성용!F1033</f>
        <v>A01</v>
      </c>
      <c r="J1036" s="58">
        <f>작성용!G1033</f>
        <v>0</v>
      </c>
      <c r="K1036" s="58" t="str">
        <f>작성용!H1033</f>
        <v>-</v>
      </c>
      <c r="L1036" s="58" t="str">
        <f>작성용!N1033</f>
        <v>년</v>
      </c>
      <c r="M1036" s="57" t="str">
        <f>작성용!U1033</f>
        <v>2024.09.30</v>
      </c>
      <c r="N1036" s="57">
        <f>작성용!V1033</f>
        <v>45604</v>
      </c>
      <c r="O1036" s="57" t="str">
        <f>작성용!W1033</f>
        <v>보고서제공X</v>
      </c>
      <c r="P1036" s="57" t="str">
        <f>작성용!X1033</f>
        <v>-</v>
      </c>
      <c r="Q1036" s="58" t="str">
        <f>작성용!AD1033</f>
        <v>원정우</v>
      </c>
      <c r="R1036" s="60">
        <f>작성용!AE1033</f>
        <v>0.4</v>
      </c>
      <c r="S1036" s="58" t="str">
        <f>작성용!AF1033</f>
        <v>신규</v>
      </c>
      <c r="T1036" s="61" t="str">
        <f>작성용!AG1033</f>
        <v>이문수</v>
      </c>
      <c r="U1036" s="61" t="str">
        <f>작성용!AH1033</f>
        <v>이문수</v>
      </c>
      <c r="V1036" s="56">
        <f>작성용!AA1033</f>
        <v>202411</v>
      </c>
      <c r="W1036" s="58" t="str">
        <f>작성용!AC1033</f>
        <v>[Y]금융기관</v>
      </c>
      <c r="X1036" s="58" t="str">
        <f>작성용!O1033</f>
        <v xml:space="preserve">박은경이사 </v>
      </c>
      <c r="Y1036" s="58" t="str">
        <f>작성용!P1033</f>
        <v xml:space="preserve">02-564-0131 </v>
      </c>
      <c r="Z1036" s="58" t="str">
        <f>작성용!Q1033</f>
        <v xml:space="preserve">ekpark@premierpartners.co.kr </v>
      </c>
      <c r="AA1036" s="56" t="str">
        <f>작성용!AJ1033</f>
        <v>국민연금제출</v>
      </c>
      <c r="AB1036" s="56">
        <f>작성용!AB1033</f>
        <v>0</v>
      </c>
    </row>
    <row r="1037" spans="1:28" s="12" customFormat="1" ht="16.5" hidden="1" customHeight="1" x14ac:dyDescent="0.3">
      <c r="A1037" s="54">
        <f>작성용!AL1034</f>
        <v>1033</v>
      </c>
      <c r="B1037" s="55" t="str">
        <f>작성용!AI1034</f>
        <v>라디언트홀딩스 하위자산</v>
      </c>
      <c r="C1037" s="56" t="str">
        <f>작성용!AK1034</f>
        <v>개별종목</v>
      </c>
      <c r="D1037" s="57">
        <f>작성용!T1034</f>
        <v>45581</v>
      </c>
      <c r="E1037" s="58" t="str">
        <f>작성용!B1034</f>
        <v>프리미어파트너스</v>
      </c>
      <c r="F1037" s="58" t="str">
        <f>작성용!C1034</f>
        <v>신규</v>
      </c>
      <c r="G1037" s="58" t="str">
        <f>작성용!D1034</f>
        <v>바임</v>
      </c>
      <c r="H1037" s="59">
        <f>작성용!E1034</f>
        <v>1542110016740</v>
      </c>
      <c r="I1037" s="58" t="str">
        <f>작성용!F1034</f>
        <v>D02</v>
      </c>
      <c r="J1037" s="58">
        <f>작성용!G1034</f>
        <v>0</v>
      </c>
      <c r="K1037" s="58" t="str">
        <f>작성용!H1034</f>
        <v>-</v>
      </c>
      <c r="L1037" s="58" t="str">
        <f>작성용!N1034</f>
        <v>년</v>
      </c>
      <c r="M1037" s="57" t="str">
        <f>작성용!U1034</f>
        <v>2024.09.30</v>
      </c>
      <c r="N1037" s="57">
        <f>작성용!V1034</f>
        <v>45604</v>
      </c>
      <c r="O1037" s="57" t="str">
        <f>작성용!W1034</f>
        <v>보고서제공X</v>
      </c>
      <c r="P1037" s="57" t="str">
        <f>작성용!X1034</f>
        <v>-</v>
      </c>
      <c r="Q1037" s="58" t="str">
        <f>작성용!AD1034</f>
        <v>원정우</v>
      </c>
      <c r="R1037" s="60">
        <f>작성용!AE1034</f>
        <v>0</v>
      </c>
      <c r="S1037" s="58" t="str">
        <f>작성용!AF1034</f>
        <v>신규</v>
      </c>
      <c r="T1037" s="61" t="str">
        <f>작성용!AG1034</f>
        <v>이문수</v>
      </c>
      <c r="U1037" s="61" t="str">
        <f>작성용!AH1034</f>
        <v>이문수</v>
      </c>
      <c r="V1037" s="56">
        <f>작성용!AA1034</f>
        <v>202411</v>
      </c>
      <c r="W1037" s="58" t="str">
        <f>작성용!AC1034</f>
        <v>[Y]금융기관</v>
      </c>
      <c r="X1037" s="58" t="str">
        <f>작성용!O1034</f>
        <v xml:space="preserve">박은경이사 </v>
      </c>
      <c r="Y1037" s="58" t="str">
        <f>작성용!P1034</f>
        <v xml:space="preserve">02-564-0131 </v>
      </c>
      <c r="Z1037" s="58" t="str">
        <f>작성용!Q1034</f>
        <v xml:space="preserve">ekpark@premierpartners.co.kr </v>
      </c>
      <c r="AA1037" s="56" t="str">
        <f>작성용!AJ1034</f>
        <v>국민연금제출</v>
      </c>
      <c r="AB1037" s="56">
        <f>작성용!AB1034</f>
        <v>0</v>
      </c>
    </row>
    <row r="1038" spans="1:28" s="12" customFormat="1" ht="16.5" hidden="1" customHeight="1" x14ac:dyDescent="0.3">
      <c r="A1038" s="54">
        <f>작성용!AL1035</f>
        <v>1034</v>
      </c>
      <c r="B1038" s="55" t="str">
        <f>작성용!AI1035</f>
        <v>프라임모뉴먼트 하위자산</v>
      </c>
      <c r="C1038" s="56" t="str">
        <f>작성용!AK1035</f>
        <v>개별종목</v>
      </c>
      <c r="D1038" s="57">
        <f>작성용!T1035</f>
        <v>45581</v>
      </c>
      <c r="E1038" s="58" t="str">
        <f>작성용!B1035</f>
        <v>프리미어파트너스</v>
      </c>
      <c r="F1038" s="58" t="str">
        <f>작성용!C1035</f>
        <v>신규</v>
      </c>
      <c r="G1038" s="58" t="str">
        <f>작성용!D1035</f>
        <v>Moloco Inc.</v>
      </c>
      <c r="H1038" s="59" t="str">
        <f>작성용!E1035</f>
        <v>KBP2018060019</v>
      </c>
      <c r="I1038" s="58" t="str">
        <f>작성용!F1035</f>
        <v>A05</v>
      </c>
      <c r="J1038" s="58">
        <f>작성용!G1035</f>
        <v>0</v>
      </c>
      <c r="K1038" s="58" t="str">
        <f>작성용!H1035</f>
        <v>-</v>
      </c>
      <c r="L1038" s="58" t="str">
        <f>작성용!N1035</f>
        <v>년</v>
      </c>
      <c r="M1038" s="57" t="str">
        <f>작성용!U1035</f>
        <v>2024.09.30</v>
      </c>
      <c r="N1038" s="57">
        <f>작성용!V1035</f>
        <v>45604</v>
      </c>
      <c r="O1038" s="57" t="str">
        <f>작성용!W1035</f>
        <v>보고서제공X</v>
      </c>
      <c r="P1038" s="57" t="str">
        <f>작성용!X1035</f>
        <v>-</v>
      </c>
      <c r="Q1038" s="58" t="str">
        <f>작성용!AD1035</f>
        <v>정은채</v>
      </c>
      <c r="R1038" s="60">
        <f>작성용!AE1035</f>
        <v>0</v>
      </c>
      <c r="S1038" s="58" t="str">
        <f>작성용!AF1035</f>
        <v>정은채</v>
      </c>
      <c r="T1038" s="61" t="str">
        <f>작성용!AG1035</f>
        <v>이문수</v>
      </c>
      <c r="U1038" s="61" t="str">
        <f>작성용!AH1035</f>
        <v>이문수</v>
      </c>
      <c r="V1038" s="56">
        <f>작성용!AA1035</f>
        <v>202411</v>
      </c>
      <c r="W1038" s="58" t="str">
        <f>작성용!AC1035</f>
        <v>[Y]금융기관</v>
      </c>
      <c r="X1038" s="58" t="str">
        <f>작성용!O1035</f>
        <v xml:space="preserve">박은경이사 </v>
      </c>
      <c r="Y1038" s="58" t="str">
        <f>작성용!P1035</f>
        <v xml:space="preserve">02-564-0131 </v>
      </c>
      <c r="Z1038" s="58" t="str">
        <f>작성용!Q1035</f>
        <v xml:space="preserve">ekpark@premierpartners.co.kr </v>
      </c>
      <c r="AA1038" s="56" t="str">
        <f>작성용!AJ1035</f>
        <v>국민연금제출</v>
      </c>
      <c r="AB1038" s="56">
        <f>작성용!AB1035</f>
        <v>0</v>
      </c>
    </row>
    <row r="1039" spans="1:28" s="12" customFormat="1" ht="16.5" hidden="1" customHeight="1" x14ac:dyDescent="0.3">
      <c r="A1039" s="54">
        <f>작성용!AL1036</f>
        <v>1035</v>
      </c>
      <c r="B1039" s="55" t="str">
        <f>작성용!AI1036</f>
        <v>-</v>
      </c>
      <c r="C1039" s="56" t="str">
        <f>작성용!AK1036</f>
        <v>기초자산</v>
      </c>
      <c r="D1039" s="57" t="str">
        <f>작성용!T1036</f>
        <v>고려아연펀드(기초자산)</v>
      </c>
      <c r="E1039" s="58" t="str">
        <f>작성용!B1036</f>
        <v>타임폴리오바이오육성투자조합</v>
      </c>
      <c r="F1039" s="58" t="str">
        <f>작성용!C1036</f>
        <v>신규</v>
      </c>
      <c r="G1039" s="58" t="str">
        <f>작성용!D1036</f>
        <v>아벨로스테라퓨틱스</v>
      </c>
      <c r="H1039" s="59">
        <f>작성용!E1036</f>
        <v>1101118011184</v>
      </c>
      <c r="I1039" s="58" t="str">
        <f>작성용!F1036</f>
        <v>A07</v>
      </c>
      <c r="J1039" s="58">
        <f>작성용!G1036</f>
        <v>0</v>
      </c>
      <c r="K1039" s="58" t="str">
        <f>작성용!H1036</f>
        <v>-</v>
      </c>
      <c r="L1039" s="58" t="str">
        <f>작성용!N1036</f>
        <v>년</v>
      </c>
      <c r="M1039" s="57" t="str">
        <f>작성용!U1036</f>
        <v>2024.09.30</v>
      </c>
      <c r="N1039" s="57">
        <f>작성용!V1036</f>
        <v>45611</v>
      </c>
      <c r="O1039" s="57" t="str">
        <f>작성용!W1036</f>
        <v>보고서제공X</v>
      </c>
      <c r="P1039" s="57" t="str">
        <f>작성용!X1036</f>
        <v>-</v>
      </c>
      <c r="Q1039" s="58" t="str">
        <f>작성용!AD1036</f>
        <v>채동우</v>
      </c>
      <c r="R1039" s="60">
        <f>작성용!AE1036</f>
        <v>0.6</v>
      </c>
      <c r="S1039" s="58" t="str">
        <f>작성용!AF1036</f>
        <v>채동우</v>
      </c>
      <c r="T1039" s="61" t="str">
        <f>작성용!AG1036</f>
        <v>-</v>
      </c>
      <c r="U1039" s="61" t="str">
        <f>작성용!AH1036</f>
        <v>-</v>
      </c>
      <c r="V1039" s="56">
        <f>작성용!AA1036</f>
        <v>202411</v>
      </c>
      <c r="W1039" s="58" t="str">
        <f>작성용!AC1036</f>
        <v>[6]기타기관펀드(기초자산)</v>
      </c>
      <c r="X1039" s="58">
        <f>작성용!O1036</f>
        <v>0</v>
      </c>
      <c r="Y1039" s="58">
        <f>작성용!P1036</f>
        <v>0</v>
      </c>
      <c r="Z1039" s="58">
        <f>작성용!Q1036</f>
        <v>0</v>
      </c>
      <c r="AA1039" s="56" t="str">
        <f>작성용!AJ1036</f>
        <v>-</v>
      </c>
      <c r="AB1039" s="56">
        <f>작성용!AB1036</f>
        <v>0</v>
      </c>
    </row>
    <row r="1040" spans="1:28" s="12" customFormat="1" ht="16.5" hidden="1" customHeight="1" x14ac:dyDescent="0.3">
      <c r="A1040" s="54">
        <f>작성용!AL1037</f>
        <v>1036</v>
      </c>
      <c r="B1040" s="55" t="str">
        <f>작성용!AI1037</f>
        <v>-</v>
      </c>
      <c r="C1040" s="56" t="str">
        <f>작성용!AK1037</f>
        <v>기초자산</v>
      </c>
      <c r="D1040" s="57" t="str">
        <f>작성용!T1037</f>
        <v>고려아연펀드(기초자산)</v>
      </c>
      <c r="E1040" s="58" t="str">
        <f>작성용!B1037</f>
        <v>타임폴리오바이오육성투자조합</v>
      </c>
      <c r="F1040" s="58" t="str">
        <f>작성용!C1037</f>
        <v>신규</v>
      </c>
      <c r="G1040" s="58" t="str">
        <f>작성용!D1037</f>
        <v>엑소퍼트</v>
      </c>
      <c r="H1040" s="59">
        <f>작성용!E1037</f>
        <v>1101116914413</v>
      </c>
      <c r="I1040" s="58" t="str">
        <f>작성용!F1037</f>
        <v>A07</v>
      </c>
      <c r="J1040" s="58">
        <f>작성용!G1037</f>
        <v>0</v>
      </c>
      <c r="K1040" s="58" t="str">
        <f>작성용!H1037</f>
        <v>-</v>
      </c>
      <c r="L1040" s="58" t="str">
        <f>작성용!N1037</f>
        <v>년</v>
      </c>
      <c r="M1040" s="57" t="str">
        <f>작성용!U1037</f>
        <v>2024.09.30</v>
      </c>
      <c r="N1040" s="57">
        <f>작성용!V1037</f>
        <v>45611</v>
      </c>
      <c r="O1040" s="57" t="str">
        <f>작성용!W1037</f>
        <v>보고서제공X</v>
      </c>
      <c r="P1040" s="57" t="str">
        <f>작성용!X1037</f>
        <v>-</v>
      </c>
      <c r="Q1040" s="58" t="str">
        <f>작성용!AD1037</f>
        <v>백형진</v>
      </c>
      <c r="R1040" s="60">
        <f>작성용!AE1037</f>
        <v>0.6</v>
      </c>
      <c r="S1040" s="58" t="str">
        <f>작성용!AF1037</f>
        <v>백형진</v>
      </c>
      <c r="T1040" s="61" t="str">
        <f>작성용!AG1037</f>
        <v>-</v>
      </c>
      <c r="U1040" s="61" t="str">
        <f>작성용!AH1037</f>
        <v>-</v>
      </c>
      <c r="V1040" s="56">
        <f>작성용!AA1037</f>
        <v>202411</v>
      </c>
      <c r="W1040" s="58" t="str">
        <f>작성용!AC1037</f>
        <v>[6]기타기관펀드(기초자산)</v>
      </c>
      <c r="X1040" s="58">
        <f>작성용!O1037</f>
        <v>0</v>
      </c>
      <c r="Y1040" s="58">
        <f>작성용!P1037</f>
        <v>0</v>
      </c>
      <c r="Z1040" s="58">
        <f>작성용!Q1037</f>
        <v>0</v>
      </c>
      <c r="AA1040" s="56" t="str">
        <f>작성용!AJ1037</f>
        <v>-</v>
      </c>
      <c r="AB1040" s="56">
        <f>작성용!AB1037</f>
        <v>0</v>
      </c>
    </row>
    <row r="1041" spans="1:28" s="12" customFormat="1" ht="16.5" hidden="1" customHeight="1" x14ac:dyDescent="0.3">
      <c r="A1041" s="54">
        <f>작성용!AL1038</f>
        <v>1037</v>
      </c>
      <c r="B1041" s="55" t="str">
        <f>작성용!AI1038</f>
        <v>-</v>
      </c>
      <c r="C1041" s="56" t="str">
        <f>작성용!AK1038</f>
        <v>개별종목</v>
      </c>
      <c r="D1041" s="57">
        <f>작성용!T1038</f>
        <v>45594</v>
      </c>
      <c r="E1041" s="58" t="str">
        <f>작성용!B1038</f>
        <v>흥국화재해상보험</v>
      </c>
      <c r="F1041" s="58" t="str">
        <f>작성용!C1038</f>
        <v>신규</v>
      </c>
      <c r="G1041" s="58" t="str">
        <f>작성용!D1038</f>
        <v>대구황금동주상복합PF</v>
      </c>
      <c r="H1041" s="59" t="str">
        <f>작성용!E1038</f>
        <v>KBP2024090079</v>
      </c>
      <c r="I1041" s="58" t="str">
        <f>작성용!F1038</f>
        <v>H02</v>
      </c>
      <c r="J1041" s="58">
        <f>작성용!G1038</f>
        <v>0</v>
      </c>
      <c r="K1041" s="58" t="str">
        <f>작성용!H1038</f>
        <v>-</v>
      </c>
      <c r="L1041" s="58" t="str">
        <f>작성용!N1038</f>
        <v>미정</v>
      </c>
      <c r="M1041" s="57" t="str">
        <f>작성용!U1038</f>
        <v>2024.09.30</v>
      </c>
      <c r="N1041" s="57">
        <f>작성용!V1038</f>
        <v>45601</v>
      </c>
      <c r="O1041" s="57" t="str">
        <f>작성용!W1038</f>
        <v>작성여부협의</v>
      </c>
      <c r="P1041" s="57" t="str">
        <f>작성용!X1038</f>
        <v>-</v>
      </c>
      <c r="Q1041" s="58" t="str">
        <f>작성용!AD1038</f>
        <v>최수민</v>
      </c>
      <c r="R1041" s="60">
        <f>작성용!AE1038</f>
        <v>1</v>
      </c>
      <c r="S1041" s="58" t="str">
        <f>작성용!AF1038</f>
        <v>신규</v>
      </c>
      <c r="T1041" s="61" t="str">
        <f>작성용!AG1038</f>
        <v>-</v>
      </c>
      <c r="U1041" s="61" t="str">
        <f>작성용!AH1038</f>
        <v>-</v>
      </c>
      <c r="V1041" s="56">
        <f>작성용!AA1038</f>
        <v>202409</v>
      </c>
      <c r="W1041" s="58" t="str">
        <f>작성용!AC1038</f>
        <v>[Y]금융기관</v>
      </c>
      <c r="X1041" s="58" t="str">
        <f>작성용!O1038</f>
        <v>유경민과장</v>
      </c>
      <c r="Y1041" s="58" t="str">
        <f>작성용!P1038</f>
        <v>02-2002-6833</v>
      </c>
      <c r="Z1041" s="58" t="str">
        <f>작성용!Q1038</f>
        <v>km.yoo@insurance.co.kr</v>
      </c>
      <c r="AA1041" s="56" t="str">
        <f>작성용!AJ1038</f>
        <v>-</v>
      </c>
      <c r="AB1041" s="56">
        <f>작성용!AB1038</f>
        <v>0</v>
      </c>
    </row>
    <row r="1042" spans="1:28" s="12" customFormat="1" ht="16.5" hidden="1" customHeight="1" x14ac:dyDescent="0.3">
      <c r="A1042" s="54">
        <f>작성용!AL1039</f>
        <v>1038</v>
      </c>
      <c r="B1042" s="55" t="str">
        <f>작성용!AI1039</f>
        <v>-</v>
      </c>
      <c r="C1042" s="56" t="str">
        <f>작성용!AK1039</f>
        <v>개별종목</v>
      </c>
      <c r="D1042" s="57">
        <f>작성용!T1039</f>
        <v>45595</v>
      </c>
      <c r="E1042" s="58" t="str">
        <f>작성용!B1039</f>
        <v>자이에스앤디</v>
      </c>
      <c r="F1042" s="58" t="str">
        <f>작성용!C1039</f>
        <v>재평가</v>
      </c>
      <c r="G1042" s="58" t="str">
        <f>작성용!D1039</f>
        <v>알링크</v>
      </c>
      <c r="H1042" s="59">
        <f>작성용!E1039</f>
        <v>1942110250564</v>
      </c>
      <c r="I1042" s="58" t="str">
        <f>작성용!F1039</f>
        <v>A07</v>
      </c>
      <c r="J1042" s="58">
        <f>작성용!G1039</f>
        <v>0</v>
      </c>
      <c r="K1042" s="58" t="str">
        <f>작성용!H1039</f>
        <v>-</v>
      </c>
      <c r="L1042" s="58" t="str">
        <f>작성용!N1039</f>
        <v xml:space="preserve">연말 </v>
      </c>
      <c r="M1042" s="57" t="str">
        <f>작성용!U1039</f>
        <v>2024.12.31</v>
      </c>
      <c r="N1042" s="57">
        <f>작성용!V1039</f>
        <v>45644</v>
      </c>
      <c r="O1042" s="57">
        <f>작성용!W1039</f>
        <v>45649</v>
      </c>
      <c r="P1042" s="57" t="str">
        <f>작성용!X1039</f>
        <v>-</v>
      </c>
      <c r="Q1042" s="58" t="str">
        <f>작성용!AD1039</f>
        <v>원정우</v>
      </c>
      <c r="R1042" s="60">
        <f>작성용!AE1039</f>
        <v>1</v>
      </c>
      <c r="S1042" s="58" t="str">
        <f>작성용!AF1039</f>
        <v>김범준</v>
      </c>
      <c r="T1042" s="61" t="str">
        <f>작성용!AG1039</f>
        <v>원정우</v>
      </c>
      <c r="U1042" s="61" t="str">
        <f>작성용!AH1039</f>
        <v>원정우</v>
      </c>
      <c r="V1042" s="56">
        <f>작성용!AA1039</f>
        <v>202412</v>
      </c>
      <c r="W1042" s="58" t="str">
        <f>작성용!AC1039</f>
        <v>[X]일반기업</v>
      </c>
      <c r="X1042" s="58" t="str">
        <f>작성용!O1039</f>
        <v>송지훈전임</v>
      </c>
      <c r="Y1042" s="58" t="str">
        <f>작성용!P1039</f>
        <v>02-6910-7028</v>
      </c>
      <c r="Z1042" s="58" t="str">
        <f>작성용!Q1039</f>
        <v>sjh6423@xisnd.com</v>
      </c>
      <c r="AA1042" s="56" t="str">
        <f>작성용!AJ1039</f>
        <v>회계반영</v>
      </c>
      <c r="AB1042" s="56">
        <f>작성용!AB1039</f>
        <v>0</v>
      </c>
    </row>
    <row r="1043" spans="1:28" s="12" customFormat="1" ht="16.5" hidden="1" customHeight="1" x14ac:dyDescent="0.3">
      <c r="A1043" s="54">
        <f>작성용!AL1040</f>
        <v>1039</v>
      </c>
      <c r="B1043" s="55" t="str">
        <f>작성용!AI1040</f>
        <v>11월 말 재무제표로 평가 요청</v>
      </c>
      <c r="C1043" s="56" t="str">
        <f>작성용!AK1040</f>
        <v>개별종목</v>
      </c>
      <c r="D1043" s="57">
        <f>작성용!T1040</f>
        <v>45595</v>
      </c>
      <c r="E1043" s="58" t="str">
        <f>작성용!B1040</f>
        <v>현대오토에버</v>
      </c>
      <c r="F1043" s="58" t="str">
        <f>작성용!C1040</f>
        <v>재평가</v>
      </c>
      <c r="G1043" s="58" t="str">
        <f>작성용!D1040</f>
        <v>현대아산태양광발전</v>
      </c>
      <c r="H1043" s="59">
        <f>작성용!E1040</f>
        <v>1201110651514</v>
      </c>
      <c r="I1043" s="58" t="str">
        <f>작성용!F1040</f>
        <v>A01</v>
      </c>
      <c r="J1043" s="58">
        <f>작성용!G1040</f>
        <v>0</v>
      </c>
      <c r="K1043" s="58" t="str">
        <f>작성용!H1040</f>
        <v>-</v>
      </c>
      <c r="L1043" s="58" t="str">
        <f>작성용!N1040</f>
        <v>연말</v>
      </c>
      <c r="M1043" s="57" t="str">
        <f>작성용!U1040</f>
        <v>2024.12.31</v>
      </c>
      <c r="N1043" s="57">
        <f>작성용!V1040</f>
        <v>45643</v>
      </c>
      <c r="O1043" s="57">
        <f>작성용!W1040</f>
        <v>45650</v>
      </c>
      <c r="P1043" s="57" t="str">
        <f>작성용!X1040</f>
        <v>-</v>
      </c>
      <c r="Q1043" s="58" t="str">
        <f>작성용!AD1040</f>
        <v>김영하</v>
      </c>
      <c r="R1043" s="60">
        <f>작성용!AE1040</f>
        <v>1</v>
      </c>
      <c r="S1043" s="58" t="str">
        <f>작성용!AF1040</f>
        <v>김영하</v>
      </c>
      <c r="T1043" s="61" t="str">
        <f>작성용!AG1040</f>
        <v>김영하</v>
      </c>
      <c r="U1043" s="61" t="str">
        <f>작성용!AH1040</f>
        <v>김영하</v>
      </c>
      <c r="V1043" s="56">
        <f>작성용!AA1040</f>
        <v>202412</v>
      </c>
      <c r="W1043" s="58" t="str">
        <f>작성용!AC1040</f>
        <v>[C]현대</v>
      </c>
      <c r="X1043" s="58" t="str">
        <f>작성용!O1040</f>
        <v>윤수영책임, 한민지책임</v>
      </c>
      <c r="Y1043" s="58" t="str">
        <f>작성용!P1040</f>
        <v>010-6292-7163, 010-4250-5035</v>
      </c>
      <c r="Z1043" s="58" t="str">
        <f>작성용!Q1040</f>
        <v>sy.yun@hyundai-autoever.com;mjhan@hyundai-autoever.com</v>
      </c>
      <c r="AA1043" s="56" t="str">
        <f>작성용!AJ1040</f>
        <v>회계반영</v>
      </c>
      <c r="AB1043" s="56">
        <f>작성용!AB1040</f>
        <v>0</v>
      </c>
    </row>
    <row r="1044" spans="1:28" s="12" customFormat="1" ht="16.5" hidden="1" customHeight="1" x14ac:dyDescent="0.3">
      <c r="A1044" s="54">
        <f>작성용!AL1041</f>
        <v>1040</v>
      </c>
      <c r="B1044" s="55" t="str">
        <f>작성용!AI1041</f>
        <v>-</v>
      </c>
      <c r="C1044" s="56" t="str">
        <f>작성용!AK1041</f>
        <v>기초자산</v>
      </c>
      <c r="D1044" s="57" t="str">
        <f>작성용!T1041</f>
        <v>고려아연펀드(기초자산)</v>
      </c>
      <c r="E1044" s="58" t="str">
        <f>작성용!B1041</f>
        <v>인터베스트그로스세컨더리펀드</v>
      </c>
      <c r="F1044" s="58" t="str">
        <f>작성용!C1041</f>
        <v>재평가</v>
      </c>
      <c r="G1044" s="58" t="str">
        <f>작성용!D1041</f>
        <v>스탠다임</v>
      </c>
      <c r="H1044" s="59">
        <f>작성용!E1041</f>
        <v>1101115714757</v>
      </c>
      <c r="I1044" s="58" t="str">
        <f>작성용!F1041</f>
        <v>A07</v>
      </c>
      <c r="J1044" s="58">
        <f>작성용!G1041</f>
        <v>4</v>
      </c>
      <c r="K1044" s="58" t="str">
        <f>작성용!H1041</f>
        <v>-</v>
      </c>
      <c r="L1044" s="58" t="str">
        <f>작성용!N1041</f>
        <v>년</v>
      </c>
      <c r="M1044" s="57" t="str">
        <f>작성용!U1041</f>
        <v>2024.09.30</v>
      </c>
      <c r="N1044" s="57">
        <f>작성용!V1041</f>
        <v>45611</v>
      </c>
      <c r="O1044" s="57" t="str">
        <f>작성용!W1041</f>
        <v>보고서제공X</v>
      </c>
      <c r="P1044" s="57" t="str">
        <f>작성용!X1041</f>
        <v>-</v>
      </c>
      <c r="Q1044" s="58" t="str">
        <f>작성용!AD1041</f>
        <v>이상민</v>
      </c>
      <c r="R1044" s="60">
        <f>작성용!AE1041</f>
        <v>0</v>
      </c>
      <c r="S1044" s="58" t="str">
        <f>작성용!AF1041</f>
        <v>조현우</v>
      </c>
      <c r="T1044" s="61" t="str">
        <f>작성용!AG1041</f>
        <v>-</v>
      </c>
      <c r="U1044" s="61" t="str">
        <f>작성용!AH1041</f>
        <v>-</v>
      </c>
      <c r="V1044" s="56">
        <f>작성용!AA1041</f>
        <v>202411</v>
      </c>
      <c r="W1044" s="58" t="str">
        <f>작성용!AC1041</f>
        <v>[X]일반기업</v>
      </c>
      <c r="X1044" s="58">
        <f>작성용!O1041</f>
        <v>0</v>
      </c>
      <c r="Y1044" s="58">
        <f>작성용!P1041</f>
        <v>0</v>
      </c>
      <c r="Z1044" s="58">
        <f>작성용!Q1041</f>
        <v>0</v>
      </c>
      <c r="AA1044" s="56" t="str">
        <f>작성용!AJ1041</f>
        <v>-</v>
      </c>
      <c r="AB1044" s="56">
        <f>작성용!AB1041</f>
        <v>0</v>
      </c>
    </row>
    <row r="1045" spans="1:28" s="12" customFormat="1" ht="16.5" hidden="1" customHeight="1" x14ac:dyDescent="0.3">
      <c r="A1045" s="54">
        <f>작성용!AL1042</f>
        <v>1041</v>
      </c>
      <c r="B1045" s="55" t="str">
        <f>작성용!AI1042</f>
        <v>-</v>
      </c>
      <c r="C1045" s="56" t="str">
        <f>작성용!AK1042</f>
        <v>개별종목</v>
      </c>
      <c r="D1045" s="57">
        <f>작성용!T1042</f>
        <v>45596</v>
      </c>
      <c r="E1045" s="58" t="str">
        <f>작성용!B1042</f>
        <v>모토닉</v>
      </c>
      <c r="F1045" s="58" t="str">
        <f>작성용!C1042</f>
        <v>재평가</v>
      </c>
      <c r="G1045" s="58" t="str">
        <f>작성용!D1042</f>
        <v>채널에이</v>
      </c>
      <c r="H1045" s="59">
        <f>작성용!E1042</f>
        <v>1101114574540</v>
      </c>
      <c r="I1045" s="58" t="str">
        <f>작성용!F1042</f>
        <v>A01</v>
      </c>
      <c r="J1045" s="58">
        <f>작성용!G1042</f>
        <v>0</v>
      </c>
      <c r="K1045" s="58" t="str">
        <f>작성용!H1042</f>
        <v>-</v>
      </c>
      <c r="L1045" s="58" t="str">
        <f>작성용!N1042</f>
        <v xml:space="preserve">연말 </v>
      </c>
      <c r="M1045" s="57" t="str">
        <f>작성용!U1042</f>
        <v>2024.12.31</v>
      </c>
      <c r="N1045" s="57">
        <f>작성용!V1042</f>
        <v>45670</v>
      </c>
      <c r="O1045" s="57">
        <f>작성용!W1042</f>
        <v>45670</v>
      </c>
      <c r="P1045" s="57" t="str">
        <f>작성용!X1042</f>
        <v>-</v>
      </c>
      <c r="Q1045" s="58" t="str">
        <f>작성용!AD1042</f>
        <v>서경덕</v>
      </c>
      <c r="R1045" s="60">
        <f>작성용!AE1042</f>
        <v>1</v>
      </c>
      <c r="S1045" s="58" t="str">
        <f>작성용!AF1042</f>
        <v>서경덕</v>
      </c>
      <c r="T1045" s="61" t="str">
        <f>작성용!AG1042</f>
        <v>서경덕</v>
      </c>
      <c r="U1045" s="61" t="str">
        <f>작성용!AH1042</f>
        <v>서경덕</v>
      </c>
      <c r="V1045" s="56">
        <f>작성용!AA1042</f>
        <v>202412</v>
      </c>
      <c r="W1045" s="58" t="str">
        <f>작성용!AC1042</f>
        <v>[X]일반기업</v>
      </c>
      <c r="X1045" s="58" t="str">
        <f>작성용!O1042</f>
        <v>배슬기과장</v>
      </c>
      <c r="Y1045" s="58" t="str">
        <f>작성용!P1042</f>
        <v>053-589-6210</v>
      </c>
      <c r="Z1045" s="58" t="str">
        <f>작성용!Q1042</f>
        <v>freesapi@motonic.com</v>
      </c>
      <c r="AA1045" s="56" t="str">
        <f>작성용!AJ1042</f>
        <v>회계반영</v>
      </c>
      <c r="AB1045" s="56">
        <f>작성용!AB1042</f>
        <v>0</v>
      </c>
    </row>
    <row r="1046" spans="1:28" s="12" customFormat="1" ht="16.5" hidden="1" customHeight="1" x14ac:dyDescent="0.3">
      <c r="A1046" s="54">
        <f>작성용!AL1043</f>
        <v>1042</v>
      </c>
      <c r="B1046" s="55" t="str">
        <f>작성용!AI1043</f>
        <v>-</v>
      </c>
      <c r="C1046" s="56" t="str">
        <f>작성용!AK1043</f>
        <v>개별종목</v>
      </c>
      <c r="D1046" s="57">
        <f>작성용!T1043</f>
        <v>45596</v>
      </c>
      <c r="E1046" s="58" t="str">
        <f>작성용!B1043</f>
        <v>신한벤처투자(구,네오플럭스)</v>
      </c>
      <c r="F1046" s="58" t="str">
        <f>작성용!C1043</f>
        <v>재평가</v>
      </c>
      <c r="G1046" s="58" t="str">
        <f>작성용!D1043</f>
        <v>오티디코퍼레이션</v>
      </c>
      <c r="H1046" s="59">
        <f>작성용!E1043</f>
        <v>1101115395747</v>
      </c>
      <c r="I1046" s="58" t="str">
        <f>작성용!F1043</f>
        <v>A01</v>
      </c>
      <c r="J1046" s="58">
        <f>작성용!G1043</f>
        <v>0</v>
      </c>
      <c r="K1046" s="58" t="str">
        <f>작성용!H1043</f>
        <v>-</v>
      </c>
      <c r="L1046" s="58" t="str">
        <f>작성용!N1043</f>
        <v>분기</v>
      </c>
      <c r="M1046" s="57" t="str">
        <f>작성용!U1043</f>
        <v>2024.12.31</v>
      </c>
      <c r="N1046" s="57">
        <f>작성용!V1043</f>
        <v>45660</v>
      </c>
      <c r="O1046" s="57">
        <f>작성용!W1043</f>
        <v>45661</v>
      </c>
      <c r="P1046" s="57" t="str">
        <f>작성용!X1043</f>
        <v>-</v>
      </c>
      <c r="Q1046" s="58" t="str">
        <f>작성용!AD1043</f>
        <v>이현승</v>
      </c>
      <c r="R1046" s="60">
        <f>작성용!AE1043</f>
        <v>1</v>
      </c>
      <c r="S1046" s="58" t="str">
        <f>작성용!AF1043</f>
        <v>이현승</v>
      </c>
      <c r="T1046" s="61" t="str">
        <f>작성용!AG1043</f>
        <v>강승현</v>
      </c>
      <c r="U1046" s="61" t="str">
        <f>작성용!AH1043</f>
        <v>강승현</v>
      </c>
      <c r="V1046" s="56">
        <f>작성용!AA1043</f>
        <v>202412</v>
      </c>
      <c r="W1046" s="58" t="str">
        <f>작성용!AC1043</f>
        <v>[Y]금융기관</v>
      </c>
      <c r="X1046" s="58" t="str">
        <f>작성용!O1043</f>
        <v>박혜선차장</v>
      </c>
      <c r="Y1046" s="58" t="str">
        <f>작성용!P1043</f>
        <v>02-560-9771</v>
      </c>
      <c r="Z1046" s="58" t="str">
        <f>작성용!Q1043</f>
        <v>hsp0418@shinhanvc.com;suhyung@shinhanvc.com;yeji.lee@shinhanvc.com</v>
      </c>
      <c r="AA1046" s="56" t="str">
        <f>작성용!AJ1043</f>
        <v>회계반영</v>
      </c>
      <c r="AB1046" s="56">
        <f>작성용!AB1043</f>
        <v>0</v>
      </c>
    </row>
    <row r="1047" spans="1:28" s="12" customFormat="1" ht="16.5" hidden="1" customHeight="1" x14ac:dyDescent="0.3">
      <c r="A1047" s="54">
        <f>작성용!AL1044</f>
        <v>1043</v>
      </c>
      <c r="B1047" s="55" t="str">
        <f>작성용!AI1044</f>
        <v>-</v>
      </c>
      <c r="C1047" s="56" t="str">
        <f>작성용!AK1044</f>
        <v>개별종목</v>
      </c>
      <c r="D1047" s="57">
        <f>작성용!T1044</f>
        <v>45596</v>
      </c>
      <c r="E1047" s="58" t="str">
        <f>작성용!B1044</f>
        <v>신한벤처투자(구,네오플럭스)</v>
      </c>
      <c r="F1047" s="58" t="str">
        <f>작성용!C1044</f>
        <v>재평가</v>
      </c>
      <c r="G1047" s="58" t="str">
        <f>작성용!D1044</f>
        <v>오티디코퍼레이션</v>
      </c>
      <c r="H1047" s="59">
        <f>작성용!E1044</f>
        <v>1101115395747</v>
      </c>
      <c r="I1047" s="58" t="str">
        <f>작성용!F1044</f>
        <v>A07</v>
      </c>
      <c r="J1047" s="58">
        <f>작성용!G1044</f>
        <v>0</v>
      </c>
      <c r="K1047" s="58" t="str">
        <f>작성용!H1044</f>
        <v>-</v>
      </c>
      <c r="L1047" s="58" t="str">
        <f>작성용!N1044</f>
        <v>분기</v>
      </c>
      <c r="M1047" s="57" t="str">
        <f>작성용!U1044</f>
        <v>2024.12.31</v>
      </c>
      <c r="N1047" s="57">
        <f>작성용!V1044</f>
        <v>45660</v>
      </c>
      <c r="O1047" s="57">
        <f>작성용!W1044</f>
        <v>45661</v>
      </c>
      <c r="P1047" s="57" t="str">
        <f>작성용!X1044</f>
        <v>-</v>
      </c>
      <c r="Q1047" s="58" t="str">
        <f>작성용!AD1044</f>
        <v>이현승</v>
      </c>
      <c r="R1047" s="60">
        <f>작성용!AE1044</f>
        <v>0</v>
      </c>
      <c r="S1047" s="58" t="str">
        <f>작성용!AF1044</f>
        <v>이현승</v>
      </c>
      <c r="T1047" s="61" t="str">
        <f>작성용!AG1044</f>
        <v>강승현</v>
      </c>
      <c r="U1047" s="61" t="str">
        <f>작성용!AH1044</f>
        <v>강승현</v>
      </c>
      <c r="V1047" s="56">
        <f>작성용!AA1044</f>
        <v>202412</v>
      </c>
      <c r="W1047" s="58" t="str">
        <f>작성용!AC1044</f>
        <v>[Y]금융기관</v>
      </c>
      <c r="X1047" s="58" t="str">
        <f>작성용!O1044</f>
        <v>박혜선차장</v>
      </c>
      <c r="Y1047" s="58" t="str">
        <f>작성용!P1044</f>
        <v>02-560-9771</v>
      </c>
      <c r="Z1047" s="58" t="str">
        <f>작성용!Q1044</f>
        <v>hsp0418@shinhanvc.com;suhyung@shinhanvc.com;yeji.lee@shinhanvc.com</v>
      </c>
      <c r="AA1047" s="56" t="str">
        <f>작성용!AJ1044</f>
        <v>회계반영</v>
      </c>
      <c r="AB1047" s="56">
        <f>작성용!AB1044</f>
        <v>0</v>
      </c>
    </row>
    <row r="1048" spans="1:28" s="12" customFormat="1" ht="16.5" hidden="1" customHeight="1" x14ac:dyDescent="0.3">
      <c r="A1048" s="54">
        <f>작성용!AL1045</f>
        <v>1044</v>
      </c>
      <c r="B1048" s="55" t="str">
        <f>작성용!AI1045</f>
        <v>-</v>
      </c>
      <c r="C1048" s="56" t="str">
        <f>작성용!AK1045</f>
        <v>개별종목</v>
      </c>
      <c r="D1048" s="57">
        <f>작성용!T1045</f>
        <v>45596</v>
      </c>
      <c r="E1048" s="58" t="str">
        <f>작성용!B1045</f>
        <v>신한벤처투자(구,네오플럭스)</v>
      </c>
      <c r="F1048" s="58" t="str">
        <f>작성용!C1045</f>
        <v>재평가</v>
      </c>
      <c r="G1048" s="58" t="str">
        <f>작성용!D1045</f>
        <v>록팰</v>
      </c>
      <c r="H1048" s="59">
        <f>작성용!E1045</f>
        <v>1348110310730</v>
      </c>
      <c r="I1048" s="58" t="str">
        <f>작성용!F1045</f>
        <v>A01</v>
      </c>
      <c r="J1048" s="58">
        <f>작성용!G1045</f>
        <v>0</v>
      </c>
      <c r="K1048" s="58" t="str">
        <f>작성용!H1045</f>
        <v>-</v>
      </c>
      <c r="L1048" s="58" t="str">
        <f>작성용!N1045</f>
        <v>분기</v>
      </c>
      <c r="M1048" s="57" t="str">
        <f>작성용!U1045</f>
        <v>2024.12.31</v>
      </c>
      <c r="N1048" s="57">
        <f>작성용!V1045</f>
        <v>45660</v>
      </c>
      <c r="O1048" s="57">
        <f>작성용!W1045</f>
        <v>45661</v>
      </c>
      <c r="P1048" s="57" t="str">
        <f>작성용!X1045</f>
        <v>-</v>
      </c>
      <c r="Q1048" s="58" t="str">
        <f>작성용!AD1045</f>
        <v>변혜진</v>
      </c>
      <c r="R1048" s="60">
        <f>작성용!AE1045</f>
        <v>1</v>
      </c>
      <c r="S1048" s="58" t="str">
        <f>작성용!AF1045</f>
        <v>변혜진</v>
      </c>
      <c r="T1048" s="61" t="str">
        <f>작성용!AG1045</f>
        <v>강승현</v>
      </c>
      <c r="U1048" s="61" t="str">
        <f>작성용!AH1045</f>
        <v>강승현</v>
      </c>
      <c r="V1048" s="56">
        <f>작성용!AA1045</f>
        <v>202412</v>
      </c>
      <c r="W1048" s="58" t="str">
        <f>작성용!AC1045</f>
        <v>[Y]금융기관</v>
      </c>
      <c r="X1048" s="58" t="str">
        <f>작성용!O1045</f>
        <v>박혜선차장</v>
      </c>
      <c r="Y1048" s="58" t="str">
        <f>작성용!P1045</f>
        <v>02-560-9771</v>
      </c>
      <c r="Z1048" s="58" t="str">
        <f>작성용!Q1045</f>
        <v>hsp0418@shinhanvc.com;suhyung@shinhanvc.com;yeji.lee@shinhanvc.com</v>
      </c>
      <c r="AA1048" s="56" t="str">
        <f>작성용!AJ1045</f>
        <v>회계반영</v>
      </c>
      <c r="AB1048" s="56">
        <f>작성용!AB1045</f>
        <v>0</v>
      </c>
    </row>
    <row r="1049" spans="1:28" s="12" customFormat="1" ht="16.5" hidden="1" customHeight="1" x14ac:dyDescent="0.3">
      <c r="A1049" s="54">
        <f>작성용!AL1046</f>
        <v>1045</v>
      </c>
      <c r="B1049" s="55" t="str">
        <f>작성용!AI1046</f>
        <v>-</v>
      </c>
      <c r="C1049" s="56" t="str">
        <f>작성용!AK1046</f>
        <v>개별종목</v>
      </c>
      <c r="D1049" s="57">
        <f>작성용!T1046</f>
        <v>45596</v>
      </c>
      <c r="E1049" s="58" t="str">
        <f>작성용!B1046</f>
        <v>신한벤처투자(구,네오플럭스)</v>
      </c>
      <c r="F1049" s="58" t="str">
        <f>작성용!C1046</f>
        <v>재평가</v>
      </c>
      <c r="G1049" s="58" t="str">
        <f>작성용!D1046</f>
        <v>록팰</v>
      </c>
      <c r="H1049" s="59">
        <f>작성용!E1046</f>
        <v>1348110310730</v>
      </c>
      <c r="I1049" s="58" t="str">
        <f>작성용!F1046</f>
        <v>D02</v>
      </c>
      <c r="J1049" s="58">
        <f>작성용!G1046</f>
        <v>1</v>
      </c>
      <c r="K1049" s="58" t="str">
        <f>작성용!H1046</f>
        <v>-</v>
      </c>
      <c r="L1049" s="58" t="str">
        <f>작성용!N1046</f>
        <v>분기</v>
      </c>
      <c r="M1049" s="57" t="str">
        <f>작성용!U1046</f>
        <v>2024.12.31</v>
      </c>
      <c r="N1049" s="57">
        <f>작성용!V1046</f>
        <v>45660</v>
      </c>
      <c r="O1049" s="57">
        <f>작성용!W1046</f>
        <v>45661</v>
      </c>
      <c r="P1049" s="57" t="str">
        <f>작성용!X1046</f>
        <v>-</v>
      </c>
      <c r="Q1049" s="58" t="str">
        <f>작성용!AD1046</f>
        <v>변혜진</v>
      </c>
      <c r="R1049" s="60">
        <f>작성용!AE1046</f>
        <v>0</v>
      </c>
      <c r="S1049" s="58" t="str">
        <f>작성용!AF1046</f>
        <v>변혜진</v>
      </c>
      <c r="T1049" s="61" t="str">
        <f>작성용!AG1046</f>
        <v>강승현</v>
      </c>
      <c r="U1049" s="61" t="str">
        <f>작성용!AH1046</f>
        <v>강승현</v>
      </c>
      <c r="V1049" s="56">
        <f>작성용!AA1046</f>
        <v>202412</v>
      </c>
      <c r="W1049" s="58" t="str">
        <f>작성용!AC1046</f>
        <v>[Y]금융기관</v>
      </c>
      <c r="X1049" s="58" t="str">
        <f>작성용!O1046</f>
        <v>박혜선차장</v>
      </c>
      <c r="Y1049" s="58" t="str">
        <f>작성용!P1046</f>
        <v>02-560-9771</v>
      </c>
      <c r="Z1049" s="58" t="str">
        <f>작성용!Q1046</f>
        <v>hsp0418@shinhanvc.com;suhyung@shinhanvc.com;yeji.lee@shinhanvc.com</v>
      </c>
      <c r="AA1049" s="56" t="str">
        <f>작성용!AJ1046</f>
        <v>회계반영</v>
      </c>
      <c r="AB1049" s="56">
        <f>작성용!AB1046</f>
        <v>0</v>
      </c>
    </row>
    <row r="1050" spans="1:28" s="12" customFormat="1" ht="16.5" hidden="1" customHeight="1" x14ac:dyDescent="0.3">
      <c r="A1050" s="54">
        <f>작성용!AL1047</f>
        <v>1046</v>
      </c>
      <c r="B1050" s="55" t="str">
        <f>작성용!AI1047</f>
        <v>-</v>
      </c>
      <c r="C1050" s="56" t="str">
        <f>작성용!AK1047</f>
        <v>개별종목</v>
      </c>
      <c r="D1050" s="57">
        <f>작성용!T1047</f>
        <v>45596</v>
      </c>
      <c r="E1050" s="58" t="str">
        <f>작성용!B1047</f>
        <v>신한벤처투자(구,네오플럭스)</v>
      </c>
      <c r="F1050" s="58" t="str">
        <f>작성용!C1047</f>
        <v>재평가</v>
      </c>
      <c r="G1050" s="58" t="str">
        <f>작성용!D1047</f>
        <v>록팰</v>
      </c>
      <c r="H1050" s="59">
        <f>작성용!E1047</f>
        <v>1348110310730</v>
      </c>
      <c r="I1050" s="58" t="str">
        <f>작성용!F1047</f>
        <v>D02</v>
      </c>
      <c r="J1050" s="58">
        <f>작성용!G1047</f>
        <v>2</v>
      </c>
      <c r="K1050" s="58" t="str">
        <f>작성용!H1047</f>
        <v>-</v>
      </c>
      <c r="L1050" s="58" t="str">
        <f>작성용!N1047</f>
        <v>분기</v>
      </c>
      <c r="M1050" s="57" t="str">
        <f>작성용!U1047</f>
        <v>2024.12.31</v>
      </c>
      <c r="N1050" s="57">
        <f>작성용!V1047</f>
        <v>45660</v>
      </c>
      <c r="O1050" s="57">
        <f>작성용!W1047</f>
        <v>45661</v>
      </c>
      <c r="P1050" s="57" t="str">
        <f>작성용!X1047</f>
        <v>-</v>
      </c>
      <c r="Q1050" s="58" t="str">
        <f>작성용!AD1047</f>
        <v>변혜진</v>
      </c>
      <c r="R1050" s="60">
        <f>작성용!AE1047</f>
        <v>0</v>
      </c>
      <c r="S1050" s="58" t="str">
        <f>작성용!AF1047</f>
        <v>변혜진</v>
      </c>
      <c r="T1050" s="61" t="str">
        <f>작성용!AG1047</f>
        <v>강승현</v>
      </c>
      <c r="U1050" s="61" t="str">
        <f>작성용!AH1047</f>
        <v>강승현</v>
      </c>
      <c r="V1050" s="56">
        <f>작성용!AA1047</f>
        <v>202412</v>
      </c>
      <c r="W1050" s="58" t="str">
        <f>작성용!AC1047</f>
        <v>[Y]금융기관</v>
      </c>
      <c r="X1050" s="58" t="str">
        <f>작성용!O1047</f>
        <v>박혜선차장</v>
      </c>
      <c r="Y1050" s="58" t="str">
        <f>작성용!P1047</f>
        <v>02-560-9771</v>
      </c>
      <c r="Z1050" s="58" t="str">
        <f>작성용!Q1047</f>
        <v>hsp0418@shinhanvc.com;suhyung@shinhanvc.com;yeji.lee@shinhanvc.com</v>
      </c>
      <c r="AA1050" s="56" t="str">
        <f>작성용!AJ1047</f>
        <v>회계반영</v>
      </c>
      <c r="AB1050" s="56">
        <f>작성용!AB1047</f>
        <v>0</v>
      </c>
    </row>
    <row r="1051" spans="1:28" s="12" customFormat="1" ht="16.5" hidden="1" customHeight="1" x14ac:dyDescent="0.3">
      <c r="A1051" s="54">
        <f>작성용!AL1048</f>
        <v>1047</v>
      </c>
      <c r="B1051" s="55" t="str">
        <f>작성용!AI1048</f>
        <v>-</v>
      </c>
      <c r="C1051" s="56" t="str">
        <f>작성용!AK1048</f>
        <v>개별종목</v>
      </c>
      <c r="D1051" s="57">
        <f>작성용!T1048</f>
        <v>45596</v>
      </c>
      <c r="E1051" s="58" t="str">
        <f>작성용!B1048</f>
        <v>신한벤처투자(구,네오플럭스)</v>
      </c>
      <c r="F1051" s="58" t="str">
        <f>작성용!C1048</f>
        <v>재평가</v>
      </c>
      <c r="G1051" s="58" t="str">
        <f>작성용!D1048</f>
        <v>록팰</v>
      </c>
      <c r="H1051" s="59">
        <f>작성용!E1048</f>
        <v>1348110310730</v>
      </c>
      <c r="I1051" s="58" t="str">
        <f>작성용!F1048</f>
        <v>D02</v>
      </c>
      <c r="J1051" s="58">
        <f>작성용!G1048</f>
        <v>3</v>
      </c>
      <c r="K1051" s="58" t="str">
        <f>작성용!H1048</f>
        <v>-</v>
      </c>
      <c r="L1051" s="58" t="str">
        <f>작성용!N1048</f>
        <v>분기</v>
      </c>
      <c r="M1051" s="57" t="str">
        <f>작성용!U1048</f>
        <v>2024.12.31</v>
      </c>
      <c r="N1051" s="57">
        <f>작성용!V1048</f>
        <v>45660</v>
      </c>
      <c r="O1051" s="57">
        <f>작성용!W1048</f>
        <v>45661</v>
      </c>
      <c r="P1051" s="57" t="str">
        <f>작성용!X1048</f>
        <v>-</v>
      </c>
      <c r="Q1051" s="58" t="str">
        <f>작성용!AD1048</f>
        <v>변혜진</v>
      </c>
      <c r="R1051" s="60">
        <f>작성용!AE1048</f>
        <v>0</v>
      </c>
      <c r="S1051" s="58" t="str">
        <f>작성용!AF1048</f>
        <v>변혜진</v>
      </c>
      <c r="T1051" s="61" t="str">
        <f>작성용!AG1048</f>
        <v>강승현</v>
      </c>
      <c r="U1051" s="61" t="str">
        <f>작성용!AH1048</f>
        <v>강승현</v>
      </c>
      <c r="V1051" s="56">
        <f>작성용!AA1048</f>
        <v>202412</v>
      </c>
      <c r="W1051" s="58" t="str">
        <f>작성용!AC1048</f>
        <v>[Y]금융기관</v>
      </c>
      <c r="X1051" s="58" t="str">
        <f>작성용!O1048</f>
        <v>박혜선차장</v>
      </c>
      <c r="Y1051" s="58" t="str">
        <f>작성용!P1048</f>
        <v>02-560-9771</v>
      </c>
      <c r="Z1051" s="58" t="str">
        <f>작성용!Q1048</f>
        <v>hsp0418@shinhanvc.com;suhyung@shinhanvc.com;yeji.lee@shinhanvc.com</v>
      </c>
      <c r="AA1051" s="56" t="str">
        <f>작성용!AJ1048</f>
        <v>회계반영</v>
      </c>
      <c r="AB1051" s="56">
        <f>작성용!AB1048</f>
        <v>0</v>
      </c>
    </row>
    <row r="1052" spans="1:28" s="12" customFormat="1" ht="16.5" hidden="1" customHeight="1" x14ac:dyDescent="0.3">
      <c r="A1052" s="54">
        <f>작성용!AL1049</f>
        <v>1048</v>
      </c>
      <c r="B1052" s="55" t="str">
        <f>작성용!AI1049</f>
        <v>-</v>
      </c>
      <c r="C1052" s="56" t="str">
        <f>작성용!AK1049</f>
        <v>개별종목</v>
      </c>
      <c r="D1052" s="57">
        <f>작성용!T1049</f>
        <v>45596</v>
      </c>
      <c r="E1052" s="58" t="str">
        <f>작성용!B1049</f>
        <v>신한벤처투자(구,네오플럭스)</v>
      </c>
      <c r="F1052" s="58" t="str">
        <f>작성용!C1049</f>
        <v>재평가</v>
      </c>
      <c r="G1052" s="58" t="str">
        <f>작성용!D1049</f>
        <v>와디즈</v>
      </c>
      <c r="H1052" s="59">
        <f>작성용!E1049</f>
        <v>1311110553113</v>
      </c>
      <c r="I1052" s="58" t="str">
        <f>작성용!F1049</f>
        <v>A01</v>
      </c>
      <c r="J1052" s="58">
        <f>작성용!G1049</f>
        <v>0</v>
      </c>
      <c r="K1052" s="58" t="str">
        <f>작성용!H1049</f>
        <v>-</v>
      </c>
      <c r="L1052" s="58" t="str">
        <f>작성용!N1049</f>
        <v>분기</v>
      </c>
      <c r="M1052" s="57" t="str">
        <f>작성용!U1049</f>
        <v>2024.12.31</v>
      </c>
      <c r="N1052" s="57">
        <f>작성용!V1049</f>
        <v>45660</v>
      </c>
      <c r="O1052" s="57">
        <f>작성용!W1049</f>
        <v>45661</v>
      </c>
      <c r="P1052" s="57" t="str">
        <f>작성용!X1049</f>
        <v>-</v>
      </c>
      <c r="Q1052" s="58" t="str">
        <f>작성용!AD1049</f>
        <v>김영하</v>
      </c>
      <c r="R1052" s="60">
        <f>작성용!AE1049</f>
        <v>1</v>
      </c>
      <c r="S1052" s="58" t="str">
        <f>작성용!AF1049</f>
        <v>김영하</v>
      </c>
      <c r="T1052" s="61" t="str">
        <f>작성용!AG1049</f>
        <v>강승현</v>
      </c>
      <c r="U1052" s="61" t="str">
        <f>작성용!AH1049</f>
        <v>강승현</v>
      </c>
      <c r="V1052" s="56">
        <f>작성용!AA1049</f>
        <v>202412</v>
      </c>
      <c r="W1052" s="58" t="str">
        <f>작성용!AC1049</f>
        <v>[Y]금융기관</v>
      </c>
      <c r="X1052" s="58" t="str">
        <f>작성용!O1049</f>
        <v>박혜선차장</v>
      </c>
      <c r="Y1052" s="58" t="str">
        <f>작성용!P1049</f>
        <v>02-560-9771</v>
      </c>
      <c r="Z1052" s="58" t="str">
        <f>작성용!Q1049</f>
        <v>hsp0418@shinhanvc.com;suhyung@shinhanvc.com;yeji.lee@shinhanvc.com</v>
      </c>
      <c r="AA1052" s="56" t="str">
        <f>작성용!AJ1049</f>
        <v>회계반영</v>
      </c>
      <c r="AB1052" s="56">
        <f>작성용!AB1049</f>
        <v>0</v>
      </c>
    </row>
    <row r="1053" spans="1:28" s="12" customFormat="1" ht="16.5" hidden="1" customHeight="1" x14ac:dyDescent="0.3">
      <c r="A1053" s="54">
        <f>작성용!AL1050</f>
        <v>1049</v>
      </c>
      <c r="B1053" s="55" t="str">
        <f>작성용!AI1050</f>
        <v>-</v>
      </c>
      <c r="C1053" s="56" t="str">
        <f>작성용!AK1050</f>
        <v>개별종목</v>
      </c>
      <c r="D1053" s="57">
        <f>작성용!T1050</f>
        <v>45596</v>
      </c>
      <c r="E1053" s="58" t="str">
        <f>작성용!B1050</f>
        <v>신한벤처투자(구,네오플럭스)</v>
      </c>
      <c r="F1053" s="58" t="str">
        <f>작성용!C1050</f>
        <v>재평가</v>
      </c>
      <c r="G1053" s="58" t="str">
        <f>작성용!D1050</f>
        <v>와디즈</v>
      </c>
      <c r="H1053" s="59">
        <f>작성용!E1050</f>
        <v>1311110553113</v>
      </c>
      <c r="I1053" s="58" t="str">
        <f>작성용!F1050</f>
        <v>A05</v>
      </c>
      <c r="J1053" s="58">
        <f>작성용!G1050</f>
        <v>0</v>
      </c>
      <c r="K1053" s="58" t="str">
        <f>작성용!H1050</f>
        <v>-</v>
      </c>
      <c r="L1053" s="58" t="str">
        <f>작성용!N1050</f>
        <v>분기</v>
      </c>
      <c r="M1053" s="57" t="str">
        <f>작성용!U1050</f>
        <v>2024.12.31</v>
      </c>
      <c r="N1053" s="57">
        <f>작성용!V1050</f>
        <v>45660</v>
      </c>
      <c r="O1053" s="57">
        <f>작성용!W1050</f>
        <v>45661</v>
      </c>
      <c r="P1053" s="57" t="str">
        <f>작성용!X1050</f>
        <v>-</v>
      </c>
      <c r="Q1053" s="58" t="str">
        <f>작성용!AD1050</f>
        <v>김영하</v>
      </c>
      <c r="R1053" s="60">
        <f>작성용!AE1050</f>
        <v>0</v>
      </c>
      <c r="S1053" s="58" t="str">
        <f>작성용!AF1050</f>
        <v>김영하</v>
      </c>
      <c r="T1053" s="61" t="str">
        <f>작성용!AG1050</f>
        <v>강승현</v>
      </c>
      <c r="U1053" s="61" t="str">
        <f>작성용!AH1050</f>
        <v>강승현</v>
      </c>
      <c r="V1053" s="56">
        <f>작성용!AA1050</f>
        <v>202412</v>
      </c>
      <c r="W1053" s="58" t="str">
        <f>작성용!AC1050</f>
        <v>[Y]금융기관</v>
      </c>
      <c r="X1053" s="58" t="str">
        <f>작성용!O1050</f>
        <v>박혜선차장</v>
      </c>
      <c r="Y1053" s="58" t="str">
        <f>작성용!P1050</f>
        <v>02-560-9771</v>
      </c>
      <c r="Z1053" s="58" t="str">
        <f>작성용!Q1050</f>
        <v>hsp0418@shinhanvc.com;suhyung@shinhanvc.com;yeji.lee@shinhanvc.com</v>
      </c>
      <c r="AA1053" s="56" t="str">
        <f>작성용!AJ1050</f>
        <v>회계반영</v>
      </c>
      <c r="AB1053" s="56">
        <f>작성용!AB1050</f>
        <v>0</v>
      </c>
    </row>
    <row r="1054" spans="1:28" s="12" customFormat="1" ht="16.5" hidden="1" customHeight="1" x14ac:dyDescent="0.3">
      <c r="A1054" s="54">
        <f>작성용!AL1051</f>
        <v>1050</v>
      </c>
      <c r="B1054" s="55" t="str">
        <f>작성용!AI1051</f>
        <v>-</v>
      </c>
      <c r="C1054" s="56" t="str">
        <f>작성용!AK1051</f>
        <v>개별종목</v>
      </c>
      <c r="D1054" s="57">
        <f>작성용!T1051</f>
        <v>45596</v>
      </c>
      <c r="E1054" s="58" t="str">
        <f>작성용!B1051</f>
        <v>신한벤처투자(구,네오플럭스)</v>
      </c>
      <c r="F1054" s="58" t="str">
        <f>작성용!C1051</f>
        <v>재평가</v>
      </c>
      <c r="G1054" s="58" t="str">
        <f>작성용!D1051</f>
        <v>와디즈</v>
      </c>
      <c r="H1054" s="59">
        <f>작성용!E1051</f>
        <v>1311110553113</v>
      </c>
      <c r="I1054" s="58" t="str">
        <f>작성용!F1051</f>
        <v>D02</v>
      </c>
      <c r="J1054" s="58">
        <f>작성용!G1051</f>
        <v>0</v>
      </c>
      <c r="K1054" s="58" t="str">
        <f>작성용!H1051</f>
        <v>-</v>
      </c>
      <c r="L1054" s="58" t="str">
        <f>작성용!N1051</f>
        <v>분기</v>
      </c>
      <c r="M1054" s="57" t="str">
        <f>작성용!U1051</f>
        <v>2024.12.31</v>
      </c>
      <c r="N1054" s="57">
        <f>작성용!V1051</f>
        <v>45660</v>
      </c>
      <c r="O1054" s="57">
        <f>작성용!W1051</f>
        <v>45661</v>
      </c>
      <c r="P1054" s="57" t="str">
        <f>작성용!X1051</f>
        <v>-</v>
      </c>
      <c r="Q1054" s="58" t="str">
        <f>작성용!AD1051</f>
        <v>김영하</v>
      </c>
      <c r="R1054" s="60">
        <f>작성용!AE1051</f>
        <v>0</v>
      </c>
      <c r="S1054" s="58" t="str">
        <f>작성용!AF1051</f>
        <v>김영하</v>
      </c>
      <c r="T1054" s="61" t="str">
        <f>작성용!AG1051</f>
        <v>강승현</v>
      </c>
      <c r="U1054" s="61" t="str">
        <f>작성용!AH1051</f>
        <v>강승현</v>
      </c>
      <c r="V1054" s="56">
        <f>작성용!AA1051</f>
        <v>202412</v>
      </c>
      <c r="W1054" s="58" t="str">
        <f>작성용!AC1051</f>
        <v>[Y]금융기관</v>
      </c>
      <c r="X1054" s="58" t="str">
        <f>작성용!O1051</f>
        <v>박혜선차장</v>
      </c>
      <c r="Y1054" s="58" t="str">
        <f>작성용!P1051</f>
        <v>02-560-9771</v>
      </c>
      <c r="Z1054" s="58" t="str">
        <f>작성용!Q1051</f>
        <v>hsp0418@shinhanvc.com;suhyung@shinhanvc.com;yeji.lee@shinhanvc.com</v>
      </c>
      <c r="AA1054" s="56" t="str">
        <f>작성용!AJ1051</f>
        <v>회계반영</v>
      </c>
      <c r="AB1054" s="56">
        <f>작성용!AB1051</f>
        <v>0</v>
      </c>
    </row>
    <row r="1055" spans="1:28" s="12" customFormat="1" ht="16.5" hidden="1" customHeight="1" x14ac:dyDescent="0.3">
      <c r="A1055" s="54">
        <f>작성용!AL1052</f>
        <v>1051</v>
      </c>
      <c r="B1055" s="55" t="str">
        <f>작성용!AI1052</f>
        <v>-</v>
      </c>
      <c r="C1055" s="56" t="str">
        <f>작성용!AK1052</f>
        <v>개별종목</v>
      </c>
      <c r="D1055" s="57">
        <f>작성용!T1052</f>
        <v>45596</v>
      </c>
      <c r="E1055" s="58" t="str">
        <f>작성용!B1052</f>
        <v>신한벤처투자(구,네오플럭스)</v>
      </c>
      <c r="F1055" s="58" t="str">
        <f>작성용!C1052</f>
        <v>재평가</v>
      </c>
      <c r="G1055" s="58" t="str">
        <f>작성용!D1052</f>
        <v>아이엠에스원(구,비마이카)</v>
      </c>
      <c r="H1055" s="59">
        <f>작성용!E1052</f>
        <v>1101115120946</v>
      </c>
      <c r="I1055" s="58" t="str">
        <f>작성용!F1052</f>
        <v>A01</v>
      </c>
      <c r="J1055" s="58">
        <f>작성용!G1052</f>
        <v>0</v>
      </c>
      <c r="K1055" s="58" t="str">
        <f>작성용!H1052</f>
        <v>-</v>
      </c>
      <c r="L1055" s="58" t="str">
        <f>작성용!N1052</f>
        <v>분기</v>
      </c>
      <c r="M1055" s="57" t="str">
        <f>작성용!U1052</f>
        <v>2024.12.31</v>
      </c>
      <c r="N1055" s="57">
        <f>작성용!V1052</f>
        <v>45660</v>
      </c>
      <c r="O1055" s="57">
        <f>작성용!W1052</f>
        <v>45661</v>
      </c>
      <c r="P1055" s="57" t="str">
        <f>작성용!X1052</f>
        <v>-</v>
      </c>
      <c r="Q1055" s="58" t="str">
        <f>작성용!AD1052</f>
        <v>서경덕</v>
      </c>
      <c r="R1055" s="60">
        <f>작성용!AE1052</f>
        <v>1</v>
      </c>
      <c r="S1055" s="58" t="str">
        <f>작성용!AF1052</f>
        <v>서경덕</v>
      </c>
      <c r="T1055" s="61" t="str">
        <f>작성용!AG1052</f>
        <v>강승현</v>
      </c>
      <c r="U1055" s="61" t="str">
        <f>작성용!AH1052</f>
        <v>강승현</v>
      </c>
      <c r="V1055" s="56">
        <f>작성용!AA1052</f>
        <v>202412</v>
      </c>
      <c r="W1055" s="58" t="str">
        <f>작성용!AC1052</f>
        <v>[Y]금융기관</v>
      </c>
      <c r="X1055" s="58" t="str">
        <f>작성용!O1052</f>
        <v>박혜선차장</v>
      </c>
      <c r="Y1055" s="58" t="str">
        <f>작성용!P1052</f>
        <v>02-560-9771</v>
      </c>
      <c r="Z1055" s="58" t="str">
        <f>작성용!Q1052</f>
        <v>hsp0418@shinhanvc.com;suhyung@shinhanvc.com;yeji.lee@shinhanvc.com</v>
      </c>
      <c r="AA1055" s="56" t="str">
        <f>작성용!AJ1052</f>
        <v>회계반영</v>
      </c>
      <c r="AB1055" s="56">
        <f>작성용!AB1052</f>
        <v>0</v>
      </c>
    </row>
    <row r="1056" spans="1:28" s="12" customFormat="1" ht="16.5" hidden="1" customHeight="1" x14ac:dyDescent="0.3">
      <c r="A1056" s="54">
        <f>작성용!AL1053</f>
        <v>1052</v>
      </c>
      <c r="B1056" s="55" t="str">
        <f>작성용!AI1053</f>
        <v>-</v>
      </c>
      <c r="C1056" s="56" t="str">
        <f>작성용!AK1053</f>
        <v>개별종목</v>
      </c>
      <c r="D1056" s="57">
        <f>작성용!T1053</f>
        <v>45596</v>
      </c>
      <c r="E1056" s="58" t="str">
        <f>작성용!B1053</f>
        <v>신한벤처투자(구,네오플럭스)</v>
      </c>
      <c r="F1056" s="58" t="str">
        <f>작성용!C1053</f>
        <v>재평가</v>
      </c>
      <c r="G1056" s="58" t="str">
        <f>작성용!D1053</f>
        <v>아이엠에스원(구,비마이카)</v>
      </c>
      <c r="H1056" s="59">
        <f>작성용!E1053</f>
        <v>1101115120946</v>
      </c>
      <c r="I1056" s="58" t="str">
        <f>작성용!F1053</f>
        <v>A07</v>
      </c>
      <c r="J1056" s="58">
        <f>작성용!G1053</f>
        <v>1</v>
      </c>
      <c r="K1056" s="58" t="str">
        <f>작성용!H1053</f>
        <v>-</v>
      </c>
      <c r="L1056" s="58" t="str">
        <f>작성용!N1053</f>
        <v>분기</v>
      </c>
      <c r="M1056" s="57" t="str">
        <f>작성용!U1053</f>
        <v>2024.12.31</v>
      </c>
      <c r="N1056" s="57">
        <f>작성용!V1053</f>
        <v>45660</v>
      </c>
      <c r="O1056" s="57">
        <f>작성용!W1053</f>
        <v>45661</v>
      </c>
      <c r="P1056" s="57" t="str">
        <f>작성용!X1053</f>
        <v>-</v>
      </c>
      <c r="Q1056" s="58" t="str">
        <f>작성용!AD1053</f>
        <v>서경덕</v>
      </c>
      <c r="R1056" s="60">
        <f>작성용!AE1053</f>
        <v>0</v>
      </c>
      <c r="S1056" s="58" t="str">
        <f>작성용!AF1053</f>
        <v>서경덕</v>
      </c>
      <c r="T1056" s="61" t="str">
        <f>작성용!AG1053</f>
        <v>강승현</v>
      </c>
      <c r="U1056" s="61" t="str">
        <f>작성용!AH1053</f>
        <v>강승현</v>
      </c>
      <c r="V1056" s="56">
        <f>작성용!AA1053</f>
        <v>202412</v>
      </c>
      <c r="W1056" s="58" t="str">
        <f>작성용!AC1053</f>
        <v>[Y]금융기관</v>
      </c>
      <c r="X1056" s="58" t="str">
        <f>작성용!O1053</f>
        <v>박혜선차장</v>
      </c>
      <c r="Y1056" s="58" t="str">
        <f>작성용!P1053</f>
        <v>02-560-9771</v>
      </c>
      <c r="Z1056" s="58" t="str">
        <f>작성용!Q1053</f>
        <v>hsp0418@shinhanvc.com;suhyung@shinhanvc.com;yeji.lee@shinhanvc.com</v>
      </c>
      <c r="AA1056" s="56" t="str">
        <f>작성용!AJ1053</f>
        <v>회계반영</v>
      </c>
      <c r="AB1056" s="56">
        <f>작성용!AB1053</f>
        <v>0</v>
      </c>
    </row>
    <row r="1057" spans="1:28" s="12" customFormat="1" ht="16.5" hidden="1" customHeight="1" x14ac:dyDescent="0.3">
      <c r="A1057" s="54">
        <f>작성용!AL1054</f>
        <v>1053</v>
      </c>
      <c r="B1057" s="55" t="str">
        <f>작성용!AI1054</f>
        <v>-</v>
      </c>
      <c r="C1057" s="56" t="str">
        <f>작성용!AK1054</f>
        <v>개별종목</v>
      </c>
      <c r="D1057" s="57">
        <f>작성용!T1054</f>
        <v>45596</v>
      </c>
      <c r="E1057" s="58" t="str">
        <f>작성용!B1054</f>
        <v>신한벤처투자(구,네오플럭스)</v>
      </c>
      <c r="F1057" s="58" t="str">
        <f>작성용!C1054</f>
        <v>재평가</v>
      </c>
      <c r="G1057" s="58" t="str">
        <f>작성용!D1054</f>
        <v>아이엠에스원(구,비마이카)</v>
      </c>
      <c r="H1057" s="59">
        <f>작성용!E1054</f>
        <v>1101115120946</v>
      </c>
      <c r="I1057" s="58" t="str">
        <f>작성용!F1054</f>
        <v>A07</v>
      </c>
      <c r="J1057" s="58">
        <f>작성용!G1054</f>
        <v>2</v>
      </c>
      <c r="K1057" s="58" t="str">
        <f>작성용!H1054</f>
        <v>-</v>
      </c>
      <c r="L1057" s="58" t="str">
        <f>작성용!N1054</f>
        <v>분기</v>
      </c>
      <c r="M1057" s="57" t="str">
        <f>작성용!U1054</f>
        <v>2024.12.31</v>
      </c>
      <c r="N1057" s="57">
        <f>작성용!V1054</f>
        <v>45660</v>
      </c>
      <c r="O1057" s="57">
        <f>작성용!W1054</f>
        <v>45661</v>
      </c>
      <c r="P1057" s="57" t="str">
        <f>작성용!X1054</f>
        <v>-</v>
      </c>
      <c r="Q1057" s="58" t="str">
        <f>작성용!AD1054</f>
        <v>서경덕</v>
      </c>
      <c r="R1057" s="60">
        <f>작성용!AE1054</f>
        <v>0</v>
      </c>
      <c r="S1057" s="58" t="str">
        <f>작성용!AF1054</f>
        <v>서경덕</v>
      </c>
      <c r="T1057" s="61" t="str">
        <f>작성용!AG1054</f>
        <v>강승현</v>
      </c>
      <c r="U1057" s="61" t="str">
        <f>작성용!AH1054</f>
        <v>강승현</v>
      </c>
      <c r="V1057" s="56">
        <f>작성용!AA1054</f>
        <v>202412</v>
      </c>
      <c r="W1057" s="58" t="str">
        <f>작성용!AC1054</f>
        <v>[Y]금융기관</v>
      </c>
      <c r="X1057" s="58" t="str">
        <f>작성용!O1054</f>
        <v>박혜선차장</v>
      </c>
      <c r="Y1057" s="58" t="str">
        <f>작성용!P1054</f>
        <v>02-560-9771</v>
      </c>
      <c r="Z1057" s="58" t="str">
        <f>작성용!Q1054</f>
        <v>hsp0418@shinhanvc.com;suhyung@shinhanvc.com;yeji.lee@shinhanvc.com</v>
      </c>
      <c r="AA1057" s="56" t="str">
        <f>작성용!AJ1054</f>
        <v>회계반영</v>
      </c>
      <c r="AB1057" s="56">
        <f>작성용!AB1054</f>
        <v>0</v>
      </c>
    </row>
    <row r="1058" spans="1:28" s="12" customFormat="1" ht="16.5" hidden="1" customHeight="1" x14ac:dyDescent="0.3">
      <c r="A1058" s="54">
        <f>작성용!AL1055</f>
        <v>1054</v>
      </c>
      <c r="B1058" s="55" t="str">
        <f>작성용!AI1055</f>
        <v>-</v>
      </c>
      <c r="C1058" s="56" t="str">
        <f>작성용!AK1055</f>
        <v>개별종목</v>
      </c>
      <c r="D1058" s="57">
        <f>작성용!T1055</f>
        <v>45596</v>
      </c>
      <c r="E1058" s="58" t="str">
        <f>작성용!B1055</f>
        <v>신한벤처투자(구,네오플럭스)</v>
      </c>
      <c r="F1058" s="58" t="str">
        <f>작성용!C1055</f>
        <v>재평가</v>
      </c>
      <c r="G1058" s="58" t="str">
        <f>작성용!D1055</f>
        <v>아이엠에스원(구,비마이카)</v>
      </c>
      <c r="H1058" s="59">
        <f>작성용!E1055</f>
        <v>1101115120946</v>
      </c>
      <c r="I1058" s="58" t="str">
        <f>작성용!F1055</f>
        <v>A07</v>
      </c>
      <c r="J1058" s="58">
        <f>작성용!G1055</f>
        <v>3</v>
      </c>
      <c r="K1058" s="58" t="str">
        <f>작성용!H1055</f>
        <v>-</v>
      </c>
      <c r="L1058" s="58" t="str">
        <f>작성용!N1055</f>
        <v>분기</v>
      </c>
      <c r="M1058" s="57" t="str">
        <f>작성용!U1055</f>
        <v>2024.12.31</v>
      </c>
      <c r="N1058" s="57">
        <f>작성용!V1055</f>
        <v>45660</v>
      </c>
      <c r="O1058" s="57">
        <f>작성용!W1055</f>
        <v>45661</v>
      </c>
      <c r="P1058" s="57" t="str">
        <f>작성용!X1055</f>
        <v>-</v>
      </c>
      <c r="Q1058" s="58" t="str">
        <f>작성용!AD1055</f>
        <v>서경덕</v>
      </c>
      <c r="R1058" s="60">
        <f>작성용!AE1055</f>
        <v>0</v>
      </c>
      <c r="S1058" s="58" t="str">
        <f>작성용!AF1055</f>
        <v>서경덕</v>
      </c>
      <c r="T1058" s="61" t="str">
        <f>작성용!AG1055</f>
        <v>강승현</v>
      </c>
      <c r="U1058" s="61" t="str">
        <f>작성용!AH1055</f>
        <v>강승현</v>
      </c>
      <c r="V1058" s="56">
        <f>작성용!AA1055</f>
        <v>202412</v>
      </c>
      <c r="W1058" s="58" t="str">
        <f>작성용!AC1055</f>
        <v>[Y]금융기관</v>
      </c>
      <c r="X1058" s="58" t="str">
        <f>작성용!O1055</f>
        <v>박혜선차장</v>
      </c>
      <c r="Y1058" s="58" t="str">
        <f>작성용!P1055</f>
        <v>02-560-9771</v>
      </c>
      <c r="Z1058" s="58" t="str">
        <f>작성용!Q1055</f>
        <v>hsp0418@shinhanvc.com;suhyung@shinhanvc.com;yeji.lee@shinhanvc.com</v>
      </c>
      <c r="AA1058" s="56" t="str">
        <f>작성용!AJ1055</f>
        <v>회계반영</v>
      </c>
      <c r="AB1058" s="56">
        <f>작성용!AB1055</f>
        <v>0</v>
      </c>
    </row>
    <row r="1059" spans="1:28" s="12" customFormat="1" ht="16.5" hidden="1" customHeight="1" x14ac:dyDescent="0.3">
      <c r="A1059" s="54">
        <f>작성용!AL1056</f>
        <v>1055</v>
      </c>
      <c r="B1059" s="55" t="str">
        <f>작성용!AI1056</f>
        <v>-</v>
      </c>
      <c r="C1059" s="56" t="str">
        <f>작성용!AK1056</f>
        <v>개별종목</v>
      </c>
      <c r="D1059" s="57">
        <f>작성용!T1056</f>
        <v>45596</v>
      </c>
      <c r="E1059" s="58" t="str">
        <f>작성용!B1056</f>
        <v>신한벤처투자(구,네오플럭스)</v>
      </c>
      <c r="F1059" s="58" t="str">
        <f>작성용!C1056</f>
        <v>재평가</v>
      </c>
      <c r="G1059" s="58" t="str">
        <f>작성용!D1056</f>
        <v>네오스페스</v>
      </c>
      <c r="H1059" s="59">
        <f>작성용!E1056</f>
        <v>1101140275039</v>
      </c>
      <c r="I1059" s="58" t="str">
        <f>작성용!F1056</f>
        <v>A01</v>
      </c>
      <c r="J1059" s="58">
        <f>작성용!G1056</f>
        <v>0</v>
      </c>
      <c r="K1059" s="58" t="str">
        <f>작성용!H1056</f>
        <v>-</v>
      </c>
      <c r="L1059" s="58" t="str">
        <f>작성용!N1056</f>
        <v xml:space="preserve">반기 </v>
      </c>
      <c r="M1059" s="57" t="str">
        <f>작성용!U1056</f>
        <v>2024.12.31</v>
      </c>
      <c r="N1059" s="57">
        <f>작성용!V1056</f>
        <v>45660</v>
      </c>
      <c r="O1059" s="57">
        <f>작성용!W1056</f>
        <v>45661</v>
      </c>
      <c r="P1059" s="57" t="str">
        <f>작성용!X1056</f>
        <v>-</v>
      </c>
      <c r="Q1059" s="58" t="str">
        <f>작성용!AD1056</f>
        <v>이문수</v>
      </c>
      <c r="R1059" s="60">
        <f>작성용!AE1056</f>
        <v>1</v>
      </c>
      <c r="S1059" s="58" t="str">
        <f>작성용!AF1056</f>
        <v>이문수</v>
      </c>
      <c r="T1059" s="61" t="str">
        <f>작성용!AG1056</f>
        <v>강승현</v>
      </c>
      <c r="U1059" s="61" t="str">
        <f>작성용!AH1056</f>
        <v>강승현</v>
      </c>
      <c r="V1059" s="56">
        <f>작성용!AA1056</f>
        <v>202412</v>
      </c>
      <c r="W1059" s="58" t="str">
        <f>작성용!AC1056</f>
        <v>[Y]금융기관</v>
      </c>
      <c r="X1059" s="58" t="str">
        <f>작성용!O1056</f>
        <v>박혜선차장</v>
      </c>
      <c r="Y1059" s="58" t="str">
        <f>작성용!P1056</f>
        <v>02-560-9771</v>
      </c>
      <c r="Z1059" s="58" t="str">
        <f>작성용!Q1056</f>
        <v>hsp0418@shinhanvc.com;suhyung@shinhanvc.com;yeji.lee@shinhanvc.com</v>
      </c>
      <c r="AA1059" s="56" t="str">
        <f>작성용!AJ1056</f>
        <v>회계반영</v>
      </c>
      <c r="AB1059" s="56">
        <f>작성용!AB1056</f>
        <v>0</v>
      </c>
    </row>
    <row r="1060" spans="1:28" s="12" customFormat="1" ht="16.5" hidden="1" customHeight="1" x14ac:dyDescent="0.3">
      <c r="A1060" s="54">
        <f>작성용!AL1057</f>
        <v>1056</v>
      </c>
      <c r="B1060" s="55" t="str">
        <f>작성용!AI1057</f>
        <v>-</v>
      </c>
      <c r="C1060" s="56" t="str">
        <f>작성용!AK1057</f>
        <v>개별종목</v>
      </c>
      <c r="D1060" s="57">
        <f>작성용!T1057</f>
        <v>45596</v>
      </c>
      <c r="E1060" s="58" t="str">
        <f>작성용!B1057</f>
        <v>신한벤처투자(구,네오플럭스)</v>
      </c>
      <c r="F1060" s="58" t="str">
        <f>작성용!C1057</f>
        <v>재평가</v>
      </c>
      <c r="G1060" s="58" t="str">
        <f>작성용!D1057</f>
        <v>엠엔테크</v>
      </c>
      <c r="H1060" s="59">
        <f>작성용!E1057</f>
        <v>1246110267276</v>
      </c>
      <c r="I1060" s="58" t="str">
        <f>작성용!F1057</f>
        <v>A01</v>
      </c>
      <c r="J1060" s="58">
        <f>작성용!G1057</f>
        <v>0</v>
      </c>
      <c r="K1060" s="58" t="str">
        <f>작성용!H1057</f>
        <v>-</v>
      </c>
      <c r="L1060" s="58" t="str">
        <f>작성용!N1057</f>
        <v>분기</v>
      </c>
      <c r="M1060" s="57" t="str">
        <f>작성용!U1057</f>
        <v>2024.12.31</v>
      </c>
      <c r="N1060" s="57">
        <f>작성용!V1057</f>
        <v>45660</v>
      </c>
      <c r="O1060" s="57">
        <f>작성용!W1057</f>
        <v>45661</v>
      </c>
      <c r="P1060" s="57" t="str">
        <f>작성용!X1057</f>
        <v>-</v>
      </c>
      <c r="Q1060" s="58" t="str">
        <f>작성용!AD1057</f>
        <v>강성은</v>
      </c>
      <c r="R1060" s="60">
        <f>작성용!AE1057</f>
        <v>1</v>
      </c>
      <c r="S1060" s="58" t="str">
        <f>작성용!AF1057</f>
        <v>강성은</v>
      </c>
      <c r="T1060" s="61" t="str">
        <f>작성용!AG1057</f>
        <v>강승현</v>
      </c>
      <c r="U1060" s="61" t="str">
        <f>작성용!AH1057</f>
        <v>강승현</v>
      </c>
      <c r="V1060" s="56">
        <f>작성용!AA1057</f>
        <v>202412</v>
      </c>
      <c r="W1060" s="58" t="str">
        <f>작성용!AC1057</f>
        <v>[Y]금융기관</v>
      </c>
      <c r="X1060" s="58" t="str">
        <f>작성용!O1057</f>
        <v>박혜선차장</v>
      </c>
      <c r="Y1060" s="58" t="str">
        <f>작성용!P1057</f>
        <v>02-560-9771</v>
      </c>
      <c r="Z1060" s="58" t="str">
        <f>작성용!Q1057</f>
        <v>hsp0418@shinhanvc.com;suhyung@shinhanvc.com;yeji.lee@shinhanvc.com</v>
      </c>
      <c r="AA1060" s="56" t="str">
        <f>작성용!AJ1057</f>
        <v>회계반영</v>
      </c>
      <c r="AB1060" s="56">
        <f>작성용!AB1057</f>
        <v>0</v>
      </c>
    </row>
    <row r="1061" spans="1:28" s="12" customFormat="1" ht="16.5" hidden="1" customHeight="1" x14ac:dyDescent="0.3">
      <c r="A1061" s="54">
        <f>작성용!AL1058</f>
        <v>1057</v>
      </c>
      <c r="B1061" s="55" t="str">
        <f>작성용!AI1058</f>
        <v>-</v>
      </c>
      <c r="C1061" s="56" t="str">
        <f>작성용!AK1058</f>
        <v>개별종목</v>
      </c>
      <c r="D1061" s="57">
        <f>작성용!T1058</f>
        <v>45596</v>
      </c>
      <c r="E1061" s="58" t="str">
        <f>작성용!B1058</f>
        <v>신한벤처투자(구,네오플럭스)</v>
      </c>
      <c r="F1061" s="58" t="str">
        <f>작성용!C1058</f>
        <v>재평가</v>
      </c>
      <c r="G1061" s="58" t="str">
        <f>작성용!D1058</f>
        <v>원더모빌리티</v>
      </c>
      <c r="H1061" s="59">
        <f>작성용!E1058</f>
        <v>1101117391727</v>
      </c>
      <c r="I1061" s="58" t="str">
        <f>작성용!F1058</f>
        <v>A01</v>
      </c>
      <c r="J1061" s="58">
        <f>작성용!G1058</f>
        <v>0</v>
      </c>
      <c r="K1061" s="58" t="str">
        <f>작성용!H1058</f>
        <v>-</v>
      </c>
      <c r="L1061" s="58" t="str">
        <f>작성용!N1058</f>
        <v>분기</v>
      </c>
      <c r="M1061" s="57" t="str">
        <f>작성용!U1058</f>
        <v>2024.12.31</v>
      </c>
      <c r="N1061" s="57">
        <f>작성용!V1058</f>
        <v>45660</v>
      </c>
      <c r="O1061" s="57">
        <f>작성용!W1058</f>
        <v>45661</v>
      </c>
      <c r="P1061" s="57" t="str">
        <f>작성용!X1058</f>
        <v>-</v>
      </c>
      <c r="Q1061" s="58" t="str">
        <f>작성용!AD1058</f>
        <v>강승현</v>
      </c>
      <c r="R1061" s="60">
        <f>작성용!AE1058</f>
        <v>1</v>
      </c>
      <c r="S1061" s="58" t="str">
        <f>작성용!AF1058</f>
        <v>강승현</v>
      </c>
      <c r="T1061" s="61" t="str">
        <f>작성용!AG1058</f>
        <v>강승현</v>
      </c>
      <c r="U1061" s="61" t="str">
        <f>작성용!AH1058</f>
        <v>강승현</v>
      </c>
      <c r="V1061" s="56">
        <f>작성용!AA1058</f>
        <v>202412</v>
      </c>
      <c r="W1061" s="58" t="str">
        <f>작성용!AC1058</f>
        <v>[Y]금융기관</v>
      </c>
      <c r="X1061" s="58" t="str">
        <f>작성용!O1058</f>
        <v>박혜선차장</v>
      </c>
      <c r="Y1061" s="58" t="str">
        <f>작성용!P1058</f>
        <v>02-560-9771</v>
      </c>
      <c r="Z1061" s="58" t="str">
        <f>작성용!Q1058</f>
        <v>hsp0418@shinhanvc.com;suhyung@shinhanvc.com;yeji.lee@shinhanvc.com</v>
      </c>
      <c r="AA1061" s="56" t="str">
        <f>작성용!AJ1058</f>
        <v>회계반영</v>
      </c>
      <c r="AB1061" s="56">
        <f>작성용!AB1058</f>
        <v>0</v>
      </c>
    </row>
    <row r="1062" spans="1:28" s="12" customFormat="1" ht="16.5" hidden="1" customHeight="1" x14ac:dyDescent="0.3">
      <c r="A1062" s="54">
        <f>작성용!AL1059</f>
        <v>1058</v>
      </c>
      <c r="B1062" s="55" t="str">
        <f>작성용!AI1059</f>
        <v>-</v>
      </c>
      <c r="C1062" s="56" t="str">
        <f>작성용!AK1059</f>
        <v>개별종목</v>
      </c>
      <c r="D1062" s="57">
        <f>작성용!T1059</f>
        <v>45596</v>
      </c>
      <c r="E1062" s="58" t="str">
        <f>작성용!B1059</f>
        <v>신한벤처투자(구,네오플럭스)</v>
      </c>
      <c r="F1062" s="58" t="str">
        <f>작성용!C1059</f>
        <v>재평가</v>
      </c>
      <c r="G1062" s="58" t="str">
        <f>작성용!D1059</f>
        <v>원더모빌리티</v>
      </c>
      <c r="H1062" s="59">
        <f>작성용!E1059</f>
        <v>1101117391727</v>
      </c>
      <c r="I1062" s="58" t="str">
        <f>작성용!F1059</f>
        <v>D02</v>
      </c>
      <c r="J1062" s="58">
        <f>작성용!G1059</f>
        <v>1</v>
      </c>
      <c r="K1062" s="58" t="str">
        <f>작성용!H1059</f>
        <v>-</v>
      </c>
      <c r="L1062" s="58" t="str">
        <f>작성용!N1059</f>
        <v>분기</v>
      </c>
      <c r="M1062" s="57" t="str">
        <f>작성용!U1059</f>
        <v>2024.12.31</v>
      </c>
      <c r="N1062" s="57">
        <f>작성용!V1059</f>
        <v>45660</v>
      </c>
      <c r="O1062" s="57">
        <f>작성용!W1059</f>
        <v>45661</v>
      </c>
      <c r="P1062" s="57" t="str">
        <f>작성용!X1059</f>
        <v>-</v>
      </c>
      <c r="Q1062" s="58" t="str">
        <f>작성용!AD1059</f>
        <v>강승현</v>
      </c>
      <c r="R1062" s="60">
        <f>작성용!AE1059</f>
        <v>0</v>
      </c>
      <c r="S1062" s="58" t="str">
        <f>작성용!AF1059</f>
        <v>강승현</v>
      </c>
      <c r="T1062" s="61" t="str">
        <f>작성용!AG1059</f>
        <v>강승현</v>
      </c>
      <c r="U1062" s="61" t="str">
        <f>작성용!AH1059</f>
        <v>강승현</v>
      </c>
      <c r="V1062" s="56">
        <f>작성용!AA1059</f>
        <v>202412</v>
      </c>
      <c r="W1062" s="58" t="str">
        <f>작성용!AC1059</f>
        <v>[Y]금융기관</v>
      </c>
      <c r="X1062" s="58" t="str">
        <f>작성용!O1059</f>
        <v>박혜선차장</v>
      </c>
      <c r="Y1062" s="58" t="str">
        <f>작성용!P1059</f>
        <v>02-560-9771</v>
      </c>
      <c r="Z1062" s="58" t="str">
        <f>작성용!Q1059</f>
        <v>hsp0418@shinhanvc.com;suhyung@shinhanvc.com;yeji.lee@shinhanvc.com</v>
      </c>
      <c r="AA1062" s="56" t="str">
        <f>작성용!AJ1059</f>
        <v>회계반영</v>
      </c>
      <c r="AB1062" s="56">
        <f>작성용!AB1059</f>
        <v>0</v>
      </c>
    </row>
    <row r="1063" spans="1:28" s="12" customFormat="1" ht="16.5" hidden="1" customHeight="1" x14ac:dyDescent="0.3">
      <c r="A1063" s="54">
        <f>작성용!AL1060</f>
        <v>1059</v>
      </c>
      <c r="B1063" s="55" t="str">
        <f>작성용!AI1060</f>
        <v>-</v>
      </c>
      <c r="C1063" s="56" t="str">
        <f>작성용!AK1060</f>
        <v>개별종목</v>
      </c>
      <c r="D1063" s="57">
        <f>작성용!T1060</f>
        <v>45596</v>
      </c>
      <c r="E1063" s="58" t="str">
        <f>작성용!B1060</f>
        <v>신한벤처투자(구,네오플럭스)</v>
      </c>
      <c r="F1063" s="58" t="str">
        <f>작성용!C1060</f>
        <v>재평가</v>
      </c>
      <c r="G1063" s="58" t="str">
        <f>작성용!D1060</f>
        <v>원더모빌리티</v>
      </c>
      <c r="H1063" s="59">
        <f>작성용!E1060</f>
        <v>1101117391727</v>
      </c>
      <c r="I1063" s="58" t="str">
        <f>작성용!F1060</f>
        <v>A07</v>
      </c>
      <c r="J1063" s="58">
        <f>작성용!G1060</f>
        <v>0</v>
      </c>
      <c r="K1063" s="58" t="str">
        <f>작성용!H1060</f>
        <v>-</v>
      </c>
      <c r="L1063" s="58" t="str">
        <f>작성용!N1060</f>
        <v>분기</v>
      </c>
      <c r="M1063" s="57" t="str">
        <f>작성용!U1060</f>
        <v>2024.12.31</v>
      </c>
      <c r="N1063" s="57">
        <f>작성용!V1060</f>
        <v>45660</v>
      </c>
      <c r="O1063" s="57">
        <f>작성용!W1060</f>
        <v>45661</v>
      </c>
      <c r="P1063" s="57" t="str">
        <f>작성용!X1060</f>
        <v>-</v>
      </c>
      <c r="Q1063" s="58" t="str">
        <f>작성용!AD1060</f>
        <v>강승현</v>
      </c>
      <c r="R1063" s="60">
        <f>작성용!AE1060</f>
        <v>0</v>
      </c>
      <c r="S1063" s="58" t="str">
        <f>작성용!AF1060</f>
        <v>강승현</v>
      </c>
      <c r="T1063" s="61" t="str">
        <f>작성용!AG1060</f>
        <v>강승현</v>
      </c>
      <c r="U1063" s="61" t="str">
        <f>작성용!AH1060</f>
        <v>강승현</v>
      </c>
      <c r="V1063" s="56">
        <f>작성용!AA1060</f>
        <v>202412</v>
      </c>
      <c r="W1063" s="58" t="str">
        <f>작성용!AC1060</f>
        <v>[Y]금융기관</v>
      </c>
      <c r="X1063" s="58" t="str">
        <f>작성용!O1060</f>
        <v>박혜선차장</v>
      </c>
      <c r="Y1063" s="58" t="str">
        <f>작성용!P1060</f>
        <v>02-560-9771</v>
      </c>
      <c r="Z1063" s="58" t="str">
        <f>작성용!Q1060</f>
        <v>hsp0418@shinhanvc.com;suhyung@shinhanvc.com;yeji.lee@shinhanvc.com</v>
      </c>
      <c r="AA1063" s="56" t="str">
        <f>작성용!AJ1060</f>
        <v>회계반영</v>
      </c>
      <c r="AB1063" s="56">
        <f>작성용!AB1060</f>
        <v>0</v>
      </c>
    </row>
    <row r="1064" spans="1:28" s="12" customFormat="1" ht="16.5" hidden="1" customHeight="1" x14ac:dyDescent="0.3">
      <c r="A1064" s="54">
        <f>작성용!AL1061</f>
        <v>1060</v>
      </c>
      <c r="B1064" s="55" t="str">
        <f>작성용!AI1061</f>
        <v>-</v>
      </c>
      <c r="C1064" s="56" t="str">
        <f>작성용!AK1061</f>
        <v>개별종목</v>
      </c>
      <c r="D1064" s="57">
        <f>작성용!T1061</f>
        <v>45596</v>
      </c>
      <c r="E1064" s="58" t="str">
        <f>작성용!B1061</f>
        <v>신한벤처투자(구,네오플럭스)</v>
      </c>
      <c r="F1064" s="58" t="str">
        <f>작성용!C1061</f>
        <v>재평가</v>
      </c>
      <c r="G1064" s="58" t="str">
        <f>작성용!D1061</f>
        <v>먼슬리키친</v>
      </c>
      <c r="H1064" s="59">
        <f>작성용!E1061</f>
        <v>1311110511715</v>
      </c>
      <c r="I1064" s="58" t="str">
        <f>작성용!F1061</f>
        <v>A01</v>
      </c>
      <c r="J1064" s="58">
        <f>작성용!G1061</f>
        <v>0</v>
      </c>
      <c r="K1064" s="58" t="str">
        <f>작성용!H1061</f>
        <v>-</v>
      </c>
      <c r="L1064" s="58" t="str">
        <f>작성용!N1061</f>
        <v>분기</v>
      </c>
      <c r="M1064" s="57" t="str">
        <f>작성용!U1061</f>
        <v>2024.12.31</v>
      </c>
      <c r="N1064" s="57">
        <f>작성용!V1061</f>
        <v>45660</v>
      </c>
      <c r="O1064" s="57">
        <f>작성용!W1061</f>
        <v>45661</v>
      </c>
      <c r="P1064" s="57" t="str">
        <f>작성용!X1061</f>
        <v>-</v>
      </c>
      <c r="Q1064" s="58" t="str">
        <f>작성용!AD1061</f>
        <v>윤광일</v>
      </c>
      <c r="R1064" s="60">
        <f>작성용!AE1061</f>
        <v>1</v>
      </c>
      <c r="S1064" s="58" t="str">
        <f>작성용!AF1061</f>
        <v>윤광일</v>
      </c>
      <c r="T1064" s="61" t="str">
        <f>작성용!AG1061</f>
        <v>강승현</v>
      </c>
      <c r="U1064" s="61" t="str">
        <f>작성용!AH1061</f>
        <v>강승현</v>
      </c>
      <c r="V1064" s="56">
        <f>작성용!AA1061</f>
        <v>202412</v>
      </c>
      <c r="W1064" s="58" t="str">
        <f>작성용!AC1061</f>
        <v>[Y]금융기관</v>
      </c>
      <c r="X1064" s="58" t="str">
        <f>작성용!O1061</f>
        <v>박혜선차장</v>
      </c>
      <c r="Y1064" s="58" t="str">
        <f>작성용!P1061</f>
        <v>02-560-9771</v>
      </c>
      <c r="Z1064" s="58" t="str">
        <f>작성용!Q1061</f>
        <v>hsp0418@shinhanvc.com;suhyung@shinhanvc.com;yeji.lee@shinhanvc.com</v>
      </c>
      <c r="AA1064" s="56" t="str">
        <f>작성용!AJ1061</f>
        <v>회계반영</v>
      </c>
      <c r="AB1064" s="56">
        <f>작성용!AB1061</f>
        <v>0</v>
      </c>
    </row>
    <row r="1065" spans="1:28" s="12" customFormat="1" ht="16.5" hidden="1" customHeight="1" x14ac:dyDescent="0.3">
      <c r="A1065" s="54">
        <f>작성용!AL1062</f>
        <v>1061</v>
      </c>
      <c r="B1065" s="55" t="str">
        <f>작성용!AI1062</f>
        <v>-</v>
      </c>
      <c r="C1065" s="56" t="str">
        <f>작성용!AK1062</f>
        <v>개별종목</v>
      </c>
      <c r="D1065" s="57">
        <f>작성용!T1062</f>
        <v>45596</v>
      </c>
      <c r="E1065" s="58" t="str">
        <f>작성용!B1062</f>
        <v>신한벤처투자(구,네오플럭스)</v>
      </c>
      <c r="F1065" s="58" t="str">
        <f>작성용!C1062</f>
        <v>재평가</v>
      </c>
      <c r="G1065" s="58" t="str">
        <f>작성용!D1062</f>
        <v>케플러밸류파트너스</v>
      </c>
      <c r="H1065" s="59">
        <f>작성용!E1062</f>
        <v>1101116358851</v>
      </c>
      <c r="I1065" s="58" t="str">
        <f>작성용!F1062</f>
        <v>D02</v>
      </c>
      <c r="J1065" s="58">
        <f>작성용!G1062</f>
        <v>1</v>
      </c>
      <c r="K1065" s="58" t="str">
        <f>작성용!H1062</f>
        <v>-</v>
      </c>
      <c r="L1065" s="58" t="str">
        <f>작성용!N1062</f>
        <v xml:space="preserve">반기 </v>
      </c>
      <c r="M1065" s="57" t="str">
        <f>작성용!U1062</f>
        <v>2024.12.31</v>
      </c>
      <c r="N1065" s="57">
        <f>작성용!V1062</f>
        <v>45660</v>
      </c>
      <c r="O1065" s="57">
        <f>작성용!W1062</f>
        <v>45661</v>
      </c>
      <c r="P1065" s="57" t="str">
        <f>작성용!X1062</f>
        <v>-</v>
      </c>
      <c r="Q1065" s="58" t="str">
        <f>작성용!AD1062</f>
        <v>변혜진</v>
      </c>
      <c r="R1065" s="60">
        <f>작성용!AE1062</f>
        <v>1</v>
      </c>
      <c r="S1065" s="58" t="str">
        <f>작성용!AF1062</f>
        <v>변혜진</v>
      </c>
      <c r="T1065" s="61" t="str">
        <f>작성용!AG1062</f>
        <v>강승현</v>
      </c>
      <c r="U1065" s="61" t="str">
        <f>작성용!AH1062</f>
        <v>강승현</v>
      </c>
      <c r="V1065" s="56">
        <f>작성용!AA1062</f>
        <v>202412</v>
      </c>
      <c r="W1065" s="58" t="str">
        <f>작성용!AC1062</f>
        <v>[Y]금융기관</v>
      </c>
      <c r="X1065" s="58" t="str">
        <f>작성용!O1062</f>
        <v>박혜선차장</v>
      </c>
      <c r="Y1065" s="58" t="str">
        <f>작성용!P1062</f>
        <v>02-560-9771</v>
      </c>
      <c r="Z1065" s="58" t="str">
        <f>작성용!Q1062</f>
        <v>hsp0418@shinhanvc.com;suhyung@shinhanvc.com;yeji.lee@shinhanvc.com</v>
      </c>
      <c r="AA1065" s="56" t="str">
        <f>작성용!AJ1062</f>
        <v>회계반영</v>
      </c>
      <c r="AB1065" s="56">
        <f>작성용!AB1062</f>
        <v>0</v>
      </c>
    </row>
    <row r="1066" spans="1:28" s="12" customFormat="1" ht="16.5" hidden="1" customHeight="1" x14ac:dyDescent="0.3">
      <c r="A1066" s="54">
        <f>작성용!AL1063</f>
        <v>1062</v>
      </c>
      <c r="B1066" s="55" t="str">
        <f>작성용!AI1063</f>
        <v>-</v>
      </c>
      <c r="C1066" s="56" t="str">
        <f>작성용!AK1063</f>
        <v>개별종목</v>
      </c>
      <c r="D1066" s="57">
        <f>작성용!T1063</f>
        <v>45596</v>
      </c>
      <c r="E1066" s="58" t="str">
        <f>작성용!B1063</f>
        <v>삼성중공업</v>
      </c>
      <c r="F1066" s="58" t="str">
        <f>작성용!C1063</f>
        <v>재평가</v>
      </c>
      <c r="G1066" s="58" t="str">
        <f>작성용!D1063</f>
        <v>삼성글로벌리서치(구,삼성경제연구소)</v>
      </c>
      <c r="H1066" s="59">
        <f>작성용!E1063</f>
        <v>1101110766670</v>
      </c>
      <c r="I1066" s="58" t="str">
        <f>작성용!F1063</f>
        <v>A01</v>
      </c>
      <c r="J1066" s="58">
        <f>작성용!G1063</f>
        <v>0</v>
      </c>
      <c r="K1066" s="58" t="str">
        <f>작성용!H1063</f>
        <v>-</v>
      </c>
      <c r="L1066" s="58" t="str">
        <f>작성용!N1063</f>
        <v>연말</v>
      </c>
      <c r="M1066" s="57" t="str">
        <f>작성용!U1063</f>
        <v>2024.12.31</v>
      </c>
      <c r="N1066" s="57">
        <f>작성용!V1063</f>
        <v>45660</v>
      </c>
      <c r="O1066" s="57">
        <f>작성용!W1063</f>
        <v>45667</v>
      </c>
      <c r="P1066" s="57" t="str">
        <f>작성용!X1063</f>
        <v>-</v>
      </c>
      <c r="Q1066" s="58" t="str">
        <f>작성용!AD1063</f>
        <v>이문수</v>
      </c>
      <c r="R1066" s="60">
        <f>작성용!AE1063</f>
        <v>1</v>
      </c>
      <c r="S1066" s="58" t="str">
        <f>작성용!AF1063</f>
        <v>이문수</v>
      </c>
      <c r="T1066" s="61" t="str">
        <f>작성용!AG1063</f>
        <v>이문수</v>
      </c>
      <c r="U1066" s="61" t="str">
        <f>작성용!AH1063</f>
        <v>이문수</v>
      </c>
      <c r="V1066" s="56">
        <f>작성용!AA1063</f>
        <v>202412</v>
      </c>
      <c r="W1066" s="58" t="str">
        <f>작성용!AC1063</f>
        <v>[B]삼성</v>
      </c>
      <c r="X1066" s="58" t="str">
        <f>작성용!O1063</f>
        <v>박찬별프로</v>
      </c>
      <c r="Y1066" s="58" t="str">
        <f>작성용!P1063</f>
        <v>031-5171-6147, 010-9020-5953</v>
      </c>
      <c r="Z1066" s="58" t="str">
        <f>작성용!Q1063</f>
        <v>byeol2.park@samsung.com</v>
      </c>
      <c r="AA1066" s="56" t="str">
        <f>작성용!AJ1063</f>
        <v>회계반영</v>
      </c>
      <c r="AB1066" s="56">
        <f>작성용!AB1063</f>
        <v>0</v>
      </c>
    </row>
    <row r="1067" spans="1:28" s="12" customFormat="1" ht="16.5" hidden="1" customHeight="1" x14ac:dyDescent="0.3">
      <c r="A1067" s="54">
        <f>작성용!AL1064</f>
        <v>1063</v>
      </c>
      <c r="B1067" s="55" t="str">
        <f>작성용!AI1064</f>
        <v>-</v>
      </c>
      <c r="C1067" s="56" t="str">
        <f>작성용!AK1064</f>
        <v>개별종목</v>
      </c>
      <c r="D1067" s="57">
        <f>작성용!T1064</f>
        <v>45596</v>
      </c>
      <c r="E1067" s="58" t="str">
        <f>작성용!B1064</f>
        <v>삼성중공업</v>
      </c>
      <c r="F1067" s="58" t="str">
        <f>작성용!C1064</f>
        <v>재평가</v>
      </c>
      <c r="G1067" s="58" t="str">
        <f>작성용!D1064</f>
        <v>삼성벤처투자</v>
      </c>
      <c r="H1067" s="59">
        <f>작성용!E1064</f>
        <v>1101111785538</v>
      </c>
      <c r="I1067" s="58" t="str">
        <f>작성용!F1064</f>
        <v>A01</v>
      </c>
      <c r="J1067" s="58">
        <f>작성용!G1064</f>
        <v>0</v>
      </c>
      <c r="K1067" s="58" t="str">
        <f>작성용!H1064</f>
        <v>-</v>
      </c>
      <c r="L1067" s="58" t="str">
        <f>작성용!N1064</f>
        <v>연말</v>
      </c>
      <c r="M1067" s="57" t="str">
        <f>작성용!U1064</f>
        <v>2024.12.31</v>
      </c>
      <c r="N1067" s="57">
        <f>작성용!V1064</f>
        <v>45660</v>
      </c>
      <c r="O1067" s="57">
        <f>작성용!W1064</f>
        <v>45667</v>
      </c>
      <c r="P1067" s="57" t="str">
        <f>작성용!X1064</f>
        <v>-</v>
      </c>
      <c r="Q1067" s="58" t="str">
        <f>작성용!AD1064</f>
        <v>김예림</v>
      </c>
      <c r="R1067" s="60">
        <f>작성용!AE1064</f>
        <v>1</v>
      </c>
      <c r="S1067" s="58" t="str">
        <f>작성용!AF1064</f>
        <v>김예림</v>
      </c>
      <c r="T1067" s="61" t="str">
        <f>작성용!AG1064</f>
        <v>이문수</v>
      </c>
      <c r="U1067" s="61" t="str">
        <f>작성용!AH1064</f>
        <v>이문수</v>
      </c>
      <c r="V1067" s="56">
        <f>작성용!AA1064</f>
        <v>202412</v>
      </c>
      <c r="W1067" s="58" t="str">
        <f>작성용!AC1064</f>
        <v>[B]삼성</v>
      </c>
      <c r="X1067" s="58" t="str">
        <f>작성용!O1064</f>
        <v>박찬별프로</v>
      </c>
      <c r="Y1067" s="58" t="str">
        <f>작성용!P1064</f>
        <v>031-5171-6147, 010-9020-5953</v>
      </c>
      <c r="Z1067" s="58" t="str">
        <f>작성용!Q1064</f>
        <v>byeol2.park@samsung.com</v>
      </c>
      <c r="AA1067" s="56" t="str">
        <f>작성용!AJ1064</f>
        <v>회계반영</v>
      </c>
      <c r="AB1067" s="56">
        <f>작성용!AB1064</f>
        <v>0</v>
      </c>
    </row>
    <row r="1068" spans="1:28" s="12" customFormat="1" ht="16.5" hidden="1" customHeight="1" x14ac:dyDescent="0.3">
      <c r="A1068" s="54">
        <f>작성용!AL1065</f>
        <v>1064</v>
      </c>
      <c r="B1068" s="55" t="str">
        <f>작성용!AI1065</f>
        <v>-</v>
      </c>
      <c r="C1068" s="56" t="str">
        <f>작성용!AK1065</f>
        <v>개별종목</v>
      </c>
      <c r="D1068" s="57">
        <f>작성용!T1065</f>
        <v>45596</v>
      </c>
      <c r="E1068" s="58" t="str">
        <f>작성용!B1065</f>
        <v>코리아세븐</v>
      </c>
      <c r="F1068" s="58" t="str">
        <f>작성용!C1065</f>
        <v>재평가</v>
      </c>
      <c r="G1068" s="58" t="str">
        <f>작성용!D1065</f>
        <v>지에스네트웍스</v>
      </c>
      <c r="H1068" s="59">
        <f>작성용!E1065</f>
        <v>1345110344826</v>
      </c>
      <c r="I1068" s="58" t="str">
        <f>작성용!F1065</f>
        <v>A01</v>
      </c>
      <c r="J1068" s="58">
        <f>작성용!G1065</f>
        <v>0</v>
      </c>
      <c r="K1068" s="58" t="str">
        <f>작성용!H1065</f>
        <v>-</v>
      </c>
      <c r="L1068" s="58" t="str">
        <f>작성용!N1065</f>
        <v xml:space="preserve">반기 </v>
      </c>
      <c r="M1068" s="57" t="str">
        <f>작성용!U1065</f>
        <v>2024.12.31</v>
      </c>
      <c r="N1068" s="57">
        <f>작성용!V1065</f>
        <v>45665</v>
      </c>
      <c r="O1068" s="57">
        <f>작성용!W1065</f>
        <v>45672</v>
      </c>
      <c r="P1068" s="57" t="str">
        <f>작성용!X1065</f>
        <v>-</v>
      </c>
      <c r="Q1068" s="58" t="str">
        <f>작성용!AD1065</f>
        <v>백형진</v>
      </c>
      <c r="R1068" s="60">
        <f>작성용!AE1065</f>
        <v>1</v>
      </c>
      <c r="S1068" s="58" t="str">
        <f>작성용!AF1065</f>
        <v>백형진</v>
      </c>
      <c r="T1068" s="61" t="str">
        <f>작성용!AG1065</f>
        <v>백형진</v>
      </c>
      <c r="U1068" s="61" t="str">
        <f>작성용!AH1065</f>
        <v>백형진</v>
      </c>
      <c r="V1068" s="56">
        <f>작성용!AA1065</f>
        <v>202412</v>
      </c>
      <c r="W1068" s="58" t="str">
        <f>작성용!AC1065</f>
        <v>[A롯데</v>
      </c>
      <c r="X1068" s="58" t="str">
        <f>작성용!O1065</f>
        <v>강동진팀장,정선화대리</v>
      </c>
      <c r="Y1068" s="58" t="str">
        <f>작성용!P1065</f>
        <v>02-3284-8200, 02-3284-8205</v>
      </c>
      <c r="Z1068" s="58" t="str">
        <f>작성용!Q1065</f>
        <v>dongjin.kang@lotte.net; sunhwa.jung@lotte.net</v>
      </c>
      <c r="AA1068" s="56" t="str">
        <f>작성용!AJ1065</f>
        <v>회계반영</v>
      </c>
      <c r="AB1068" s="56">
        <f>작성용!AB1065</f>
        <v>0</v>
      </c>
    </row>
    <row r="1069" spans="1:28" s="12" customFormat="1" ht="16.5" hidden="1" customHeight="1" x14ac:dyDescent="0.3">
      <c r="A1069" s="54">
        <f>작성용!AL1066</f>
        <v>1065</v>
      </c>
      <c r="B1069" s="55" t="str">
        <f>작성용!AI1066</f>
        <v>-</v>
      </c>
      <c r="C1069" s="56" t="str">
        <f>작성용!AK1066</f>
        <v>개별종목</v>
      </c>
      <c r="D1069" s="57">
        <f>작성용!T1066</f>
        <v>45596</v>
      </c>
      <c r="E1069" s="58" t="str">
        <f>작성용!B1066</f>
        <v>롯데멤버스</v>
      </c>
      <c r="F1069" s="58" t="str">
        <f>작성용!C1066</f>
        <v>재평가</v>
      </c>
      <c r="G1069" s="58" t="str">
        <f>작성용!D1066</f>
        <v>모비두</v>
      </c>
      <c r="H1069" s="59">
        <f>작성용!E1066</f>
        <v>1101115199595</v>
      </c>
      <c r="I1069" s="58" t="str">
        <f>작성용!F1066</f>
        <v>A01</v>
      </c>
      <c r="J1069" s="58">
        <f>작성용!G1066</f>
        <v>0</v>
      </c>
      <c r="K1069" s="58" t="str">
        <f>작성용!H1066</f>
        <v>-</v>
      </c>
      <c r="L1069" s="58" t="str">
        <f>작성용!N1066</f>
        <v xml:space="preserve">반기 </v>
      </c>
      <c r="M1069" s="57" t="str">
        <f>작성용!U1066</f>
        <v>2024.09.30</v>
      </c>
      <c r="N1069" s="57">
        <f>작성용!V1066</f>
        <v>45665</v>
      </c>
      <c r="O1069" s="57">
        <f>작성용!W1066</f>
        <v>45672</v>
      </c>
      <c r="P1069" s="57" t="str">
        <f>작성용!X1066</f>
        <v>-</v>
      </c>
      <c r="Q1069" s="58" t="str">
        <f>작성용!AD1066</f>
        <v>서동현</v>
      </c>
      <c r="R1069" s="60">
        <f>작성용!AE1066</f>
        <v>1</v>
      </c>
      <c r="S1069" s="58" t="str">
        <f>작성용!AF1066</f>
        <v>서동현</v>
      </c>
      <c r="T1069" s="61" t="str">
        <f>작성용!AG1066</f>
        <v>서동현</v>
      </c>
      <c r="U1069" s="61" t="str">
        <f>작성용!AH1066</f>
        <v>서동현</v>
      </c>
      <c r="V1069" s="56">
        <f>작성용!AA1066</f>
        <v>202411</v>
      </c>
      <c r="W1069" s="58" t="str">
        <f>작성용!AC1066</f>
        <v>[A롯데</v>
      </c>
      <c r="X1069" s="58" t="str">
        <f>작성용!O1066</f>
        <v>박상현팀장, 송다훈매니저</v>
      </c>
      <c r="Y1069" s="58" t="str">
        <f>작성용!P1066</f>
        <v>02-2030-9641, 02-2030-9642</v>
      </c>
      <c r="Z1069" s="58" t="str">
        <f>작성용!Q1066</f>
        <v>sanghyun-park70@lotte.net; dahun.song@lotte.net</v>
      </c>
      <c r="AA1069" s="56" t="str">
        <f>작성용!AJ1066</f>
        <v>회계반영</v>
      </c>
      <c r="AB1069" s="56">
        <f>작성용!AB1066</f>
        <v>0</v>
      </c>
    </row>
    <row r="1070" spans="1:28" s="12" customFormat="1" ht="16.5" hidden="1" customHeight="1" x14ac:dyDescent="0.3">
      <c r="A1070" s="54">
        <f>작성용!AL1067</f>
        <v>1066</v>
      </c>
      <c r="B1070" s="55" t="str">
        <f>작성용!AI1067</f>
        <v>최종보고서 : 2025-01-15</v>
      </c>
      <c r="C1070" s="56" t="str">
        <f>작성용!AK1067</f>
        <v>개별종목</v>
      </c>
      <c r="D1070" s="57">
        <f>작성용!T1067</f>
        <v>45596</v>
      </c>
      <c r="E1070" s="58" t="str">
        <f>작성용!B1067</f>
        <v>롯데홈쇼핑(구,우리홈쇼핑)</v>
      </c>
      <c r="F1070" s="58" t="str">
        <f>작성용!C1067</f>
        <v>신규</v>
      </c>
      <c r="G1070" s="58" t="str">
        <f>작성용!D1067</f>
        <v>어댑트</v>
      </c>
      <c r="H1070" s="59">
        <f>작성용!E1067</f>
        <v>1101116362323</v>
      </c>
      <c r="I1070" s="58" t="str">
        <f>작성용!F1067</f>
        <v>A01</v>
      </c>
      <c r="J1070" s="58">
        <f>작성용!G1067</f>
        <v>0</v>
      </c>
      <c r="K1070" s="58" t="str">
        <f>작성용!H1067</f>
        <v>-</v>
      </c>
      <c r="L1070" s="58" t="str">
        <f>작성용!N1067</f>
        <v xml:space="preserve">반기 </v>
      </c>
      <c r="M1070" s="57" t="str">
        <f>작성용!U1067</f>
        <v>2024.09.30</v>
      </c>
      <c r="N1070" s="57">
        <f>작성용!V1067</f>
        <v>45618</v>
      </c>
      <c r="O1070" s="57">
        <f>작성용!W1067</f>
        <v>45635</v>
      </c>
      <c r="P1070" s="57" t="str">
        <f>작성용!X1067</f>
        <v>-</v>
      </c>
      <c r="Q1070" s="58" t="str">
        <f>작성용!AD1067</f>
        <v>원정우</v>
      </c>
      <c r="R1070" s="60">
        <f>작성용!AE1067</f>
        <v>1</v>
      </c>
      <c r="S1070" s="58" t="str">
        <f>작성용!AF1067</f>
        <v>원정우</v>
      </c>
      <c r="T1070" s="61" t="str">
        <f>작성용!AG1067</f>
        <v>원정우</v>
      </c>
      <c r="U1070" s="61" t="str">
        <f>작성용!AH1067</f>
        <v>원정우</v>
      </c>
      <c r="V1070" s="56">
        <f>작성용!AA1067</f>
        <v>202411</v>
      </c>
      <c r="W1070" s="58" t="str">
        <f>작성용!AC1067</f>
        <v>[A롯데</v>
      </c>
      <c r="X1070" s="58" t="str">
        <f>작성용!O1067</f>
        <v>송승혁매니저, 이재영</v>
      </c>
      <c r="Y1070" s="58" t="str">
        <f>작성용!P1067</f>
        <v>02-2168-5176, 02-2168-5150</v>
      </c>
      <c r="Z1070" s="58" t="str">
        <f>작성용!Q1067</f>
        <v>ssh810@lotte.net;j.y.lee@lotte.net</v>
      </c>
      <c r="AA1070" s="56" t="str">
        <f>작성용!AJ1067</f>
        <v>회계반영</v>
      </c>
      <c r="AB1070" s="56">
        <f>작성용!AB1067</f>
        <v>0</v>
      </c>
    </row>
    <row r="1071" spans="1:28" s="12" customFormat="1" ht="16.5" hidden="1" customHeight="1" x14ac:dyDescent="0.3">
      <c r="A1071" s="54">
        <f>작성용!AL1068</f>
        <v>1067</v>
      </c>
      <c r="B1071" s="55" t="str">
        <f>작성용!AI1068</f>
        <v>최종보고서 : 2025-01-15</v>
      </c>
      <c r="C1071" s="56" t="str">
        <f>작성용!AK1068</f>
        <v>개별종목</v>
      </c>
      <c r="D1071" s="57">
        <f>작성용!T1068</f>
        <v>45596</v>
      </c>
      <c r="E1071" s="58" t="str">
        <f>작성용!B1068</f>
        <v>롯데홈쇼핑(구,우리홈쇼핑)</v>
      </c>
      <c r="F1071" s="58" t="str">
        <f>작성용!C1068</f>
        <v>신규</v>
      </c>
      <c r="G1071" s="58" t="str">
        <f>작성용!D1068</f>
        <v>어댑트</v>
      </c>
      <c r="H1071" s="59">
        <f>작성용!E1068</f>
        <v>1101116362323</v>
      </c>
      <c r="I1071" s="58" t="str">
        <f>작성용!F1068</f>
        <v>A07</v>
      </c>
      <c r="J1071" s="58">
        <f>작성용!G1068</f>
        <v>0</v>
      </c>
      <c r="K1071" s="58" t="str">
        <f>작성용!H1068</f>
        <v>-</v>
      </c>
      <c r="L1071" s="58" t="str">
        <f>작성용!N1068</f>
        <v xml:space="preserve">반기 </v>
      </c>
      <c r="M1071" s="57" t="str">
        <f>작성용!U1068</f>
        <v>2024.09.30</v>
      </c>
      <c r="N1071" s="57">
        <f>작성용!V1068</f>
        <v>45618</v>
      </c>
      <c r="O1071" s="57">
        <f>작성용!W1068</f>
        <v>45635</v>
      </c>
      <c r="P1071" s="57" t="str">
        <f>작성용!X1068</f>
        <v>-</v>
      </c>
      <c r="Q1071" s="58" t="str">
        <f>작성용!AD1068</f>
        <v>원정우</v>
      </c>
      <c r="R1071" s="60">
        <f>작성용!AE1068</f>
        <v>0</v>
      </c>
      <c r="S1071" s="58" t="str">
        <f>작성용!AF1068</f>
        <v>원정우</v>
      </c>
      <c r="T1071" s="61" t="str">
        <f>작성용!AG1068</f>
        <v>원정우</v>
      </c>
      <c r="U1071" s="61" t="str">
        <f>작성용!AH1068</f>
        <v>원정우</v>
      </c>
      <c r="V1071" s="56">
        <f>작성용!AA1068</f>
        <v>202411</v>
      </c>
      <c r="W1071" s="58" t="str">
        <f>작성용!AC1068</f>
        <v>[A롯데</v>
      </c>
      <c r="X1071" s="58" t="str">
        <f>작성용!O1068</f>
        <v>송승혁매니저, 이재영</v>
      </c>
      <c r="Y1071" s="58" t="str">
        <f>작성용!P1068</f>
        <v>02-2168-5176, 02-2168-5150</v>
      </c>
      <c r="Z1071" s="58" t="str">
        <f>작성용!Q1068</f>
        <v>ssh810@lotte.net;j.y.lee@lotte.net</v>
      </c>
      <c r="AA1071" s="56" t="str">
        <f>작성용!AJ1068</f>
        <v>회계반영</v>
      </c>
      <c r="AB1071" s="56">
        <f>작성용!AB1068</f>
        <v>0</v>
      </c>
    </row>
    <row r="1072" spans="1:28" s="12" customFormat="1" ht="16.5" hidden="1" customHeight="1" x14ac:dyDescent="0.3">
      <c r="A1072" s="54">
        <f>작성용!AL1069</f>
        <v>1068</v>
      </c>
      <c r="B1072" s="55" t="str">
        <f>작성용!AI1069</f>
        <v>최종보고서 : 2025-01-15</v>
      </c>
      <c r="C1072" s="56" t="str">
        <f>작성용!AK1069</f>
        <v>개별종목</v>
      </c>
      <c r="D1072" s="57">
        <f>작성용!T1069</f>
        <v>45596</v>
      </c>
      <c r="E1072" s="58" t="str">
        <f>작성용!B1069</f>
        <v>롯데홈쇼핑(구,우리홈쇼핑)</v>
      </c>
      <c r="F1072" s="58" t="str">
        <f>작성용!C1069</f>
        <v>신규</v>
      </c>
      <c r="G1072" s="58" t="str">
        <f>작성용!D1069</f>
        <v>IMMGrowth벤처펀드제1호</v>
      </c>
      <c r="H1072" s="59" t="str">
        <f>작성용!E1069</f>
        <v>KBP2021120155</v>
      </c>
      <c r="I1072" s="58" t="str">
        <f>작성용!F1069</f>
        <v>B01</v>
      </c>
      <c r="J1072" s="58">
        <f>작성용!G1069</f>
        <v>0</v>
      </c>
      <c r="K1072" s="58" t="str">
        <f>작성용!H1069</f>
        <v>-</v>
      </c>
      <c r="L1072" s="58" t="str">
        <f>작성용!N1069</f>
        <v xml:space="preserve">반기 </v>
      </c>
      <c r="M1072" s="57" t="str">
        <f>작성용!U1069</f>
        <v>2024.09.30</v>
      </c>
      <c r="N1072" s="57">
        <f>작성용!V1069</f>
        <v>45618</v>
      </c>
      <c r="O1072" s="57">
        <f>작성용!W1069</f>
        <v>45635</v>
      </c>
      <c r="P1072" s="57" t="str">
        <f>작성용!X1069</f>
        <v>-</v>
      </c>
      <c r="Q1072" s="58" t="str">
        <f>작성용!AD1069</f>
        <v>채동우</v>
      </c>
      <c r="R1072" s="60">
        <f>작성용!AE1069</f>
        <v>1</v>
      </c>
      <c r="S1072" s="58" t="str">
        <f>작성용!AF1069</f>
        <v>채동우</v>
      </c>
      <c r="T1072" s="61" t="str">
        <f>작성용!AG1069</f>
        <v>원정우</v>
      </c>
      <c r="U1072" s="61" t="str">
        <f>작성용!AH1069</f>
        <v>원정우</v>
      </c>
      <c r="V1072" s="56">
        <f>작성용!AA1069</f>
        <v>202411</v>
      </c>
      <c r="W1072" s="58" t="str">
        <f>작성용!AC1069</f>
        <v>[A롯데</v>
      </c>
      <c r="X1072" s="58" t="str">
        <f>작성용!O1069</f>
        <v>송승혁매니저, 이재영</v>
      </c>
      <c r="Y1072" s="58" t="str">
        <f>작성용!P1069</f>
        <v>02-2168-5176, 02-2168-5150</v>
      </c>
      <c r="Z1072" s="58" t="str">
        <f>작성용!Q1069</f>
        <v>ssh810@lotte.net;j.y.lee@lotte.net</v>
      </c>
      <c r="AA1072" s="56" t="str">
        <f>작성용!AJ1069</f>
        <v>회계반영</v>
      </c>
      <c r="AB1072" s="56">
        <f>작성용!AB1069</f>
        <v>0</v>
      </c>
    </row>
    <row r="1073" spans="1:28" s="12" customFormat="1" ht="16.5" hidden="1" customHeight="1" x14ac:dyDescent="0.3">
      <c r="A1073" s="54">
        <f>작성용!AL1070</f>
        <v>1069</v>
      </c>
      <c r="B1073" s="55" t="str">
        <f>작성용!AI1070</f>
        <v>최종보고서 : 2025-01-15</v>
      </c>
      <c r="C1073" s="56" t="str">
        <f>작성용!AK1070</f>
        <v>개별종목</v>
      </c>
      <c r="D1073" s="57">
        <f>작성용!T1070</f>
        <v>45596</v>
      </c>
      <c r="E1073" s="58" t="str">
        <f>작성용!B1070</f>
        <v>롯데홈쇼핑(구,우리홈쇼핑)</v>
      </c>
      <c r="F1073" s="58" t="str">
        <f>작성용!C1070</f>
        <v>신규</v>
      </c>
      <c r="G1073" s="58" t="str">
        <f>작성용!D1070</f>
        <v>롯데사내벤처펀드1호</v>
      </c>
      <c r="H1073" s="59" t="str">
        <f>작성용!E1070</f>
        <v>KBP2024110006</v>
      </c>
      <c r="I1073" s="58" t="str">
        <f>작성용!F1070</f>
        <v>B01</v>
      </c>
      <c r="J1073" s="58">
        <f>작성용!G1070</f>
        <v>0</v>
      </c>
      <c r="K1073" s="58" t="str">
        <f>작성용!H1070</f>
        <v>-</v>
      </c>
      <c r="L1073" s="58" t="str">
        <f>작성용!N1070</f>
        <v xml:space="preserve">반기 </v>
      </c>
      <c r="M1073" s="57" t="str">
        <f>작성용!U1070</f>
        <v>2024.09.30</v>
      </c>
      <c r="N1073" s="57">
        <f>작성용!V1070</f>
        <v>45618</v>
      </c>
      <c r="O1073" s="57">
        <f>작성용!W1070</f>
        <v>45635</v>
      </c>
      <c r="P1073" s="57" t="str">
        <f>작성용!X1070</f>
        <v>-</v>
      </c>
      <c r="Q1073" s="58" t="str">
        <f>작성용!AD1070</f>
        <v>심태진</v>
      </c>
      <c r="R1073" s="60">
        <f>작성용!AE1070</f>
        <v>1</v>
      </c>
      <c r="S1073" s="58" t="str">
        <f>작성용!AF1070</f>
        <v>신규</v>
      </c>
      <c r="T1073" s="61" t="str">
        <f>작성용!AG1070</f>
        <v>원정우</v>
      </c>
      <c r="U1073" s="61" t="str">
        <f>작성용!AH1070</f>
        <v>원정우</v>
      </c>
      <c r="V1073" s="56">
        <f>작성용!AA1070</f>
        <v>202411</v>
      </c>
      <c r="W1073" s="58" t="str">
        <f>작성용!AC1070</f>
        <v>[A롯데</v>
      </c>
      <c r="X1073" s="58" t="str">
        <f>작성용!O1070</f>
        <v>송승혁매니저, 이재영</v>
      </c>
      <c r="Y1073" s="58" t="str">
        <f>작성용!P1070</f>
        <v>02-2168-5176, 02-2168-5150</v>
      </c>
      <c r="Z1073" s="58" t="str">
        <f>작성용!Q1070</f>
        <v>ssh810@lotte.net;j.y.lee@lotte.net</v>
      </c>
      <c r="AA1073" s="56" t="str">
        <f>작성용!AJ1070</f>
        <v>회계반영</v>
      </c>
      <c r="AB1073" s="56">
        <f>작성용!AB1070</f>
        <v>0</v>
      </c>
    </row>
    <row r="1074" spans="1:28" s="12" customFormat="1" ht="16.5" hidden="1" customHeight="1" x14ac:dyDescent="0.3">
      <c r="A1074" s="54">
        <f>작성용!AL1071</f>
        <v>1070</v>
      </c>
      <c r="B1074" s="55" t="str">
        <f>작성용!AI1071</f>
        <v>최종보고서 : 2025-01-15</v>
      </c>
      <c r="C1074" s="56" t="str">
        <f>작성용!AK1071</f>
        <v>개별종목</v>
      </c>
      <c r="D1074" s="57">
        <f>작성용!T1071</f>
        <v>45596</v>
      </c>
      <c r="E1074" s="58" t="str">
        <f>작성용!B1071</f>
        <v>롯데홈쇼핑(구,우리홈쇼핑)</v>
      </c>
      <c r="F1074" s="58" t="str">
        <f>작성용!C1071</f>
        <v>신규</v>
      </c>
      <c r="G1074" s="58" t="str">
        <f>작성용!D1071</f>
        <v>롯데홈쇼핑이노베이션펀드1호</v>
      </c>
      <c r="H1074" s="59" t="str">
        <f>작성용!E1071</f>
        <v>KBP2024110007</v>
      </c>
      <c r="I1074" s="58" t="str">
        <f>작성용!F1071</f>
        <v>B01</v>
      </c>
      <c r="J1074" s="58">
        <f>작성용!G1071</f>
        <v>0</v>
      </c>
      <c r="K1074" s="58" t="str">
        <f>작성용!H1071</f>
        <v>-</v>
      </c>
      <c r="L1074" s="58" t="str">
        <f>작성용!N1071</f>
        <v xml:space="preserve">반기 </v>
      </c>
      <c r="M1074" s="57" t="str">
        <f>작성용!U1071</f>
        <v>2024.09.30</v>
      </c>
      <c r="N1074" s="57">
        <f>작성용!V1071</f>
        <v>45618</v>
      </c>
      <c r="O1074" s="57">
        <f>작성용!W1071</f>
        <v>45635</v>
      </c>
      <c r="P1074" s="57" t="str">
        <f>작성용!X1071</f>
        <v>-</v>
      </c>
      <c r="Q1074" s="58" t="str">
        <f>작성용!AD1071</f>
        <v>오수현</v>
      </c>
      <c r="R1074" s="60">
        <f>작성용!AE1071</f>
        <v>1</v>
      </c>
      <c r="S1074" s="58" t="str">
        <f>작성용!AF1071</f>
        <v>신규</v>
      </c>
      <c r="T1074" s="61" t="str">
        <f>작성용!AG1071</f>
        <v>원정우</v>
      </c>
      <c r="U1074" s="61" t="str">
        <f>작성용!AH1071</f>
        <v>원정우</v>
      </c>
      <c r="V1074" s="56">
        <f>작성용!AA1071</f>
        <v>202411</v>
      </c>
      <c r="W1074" s="58" t="str">
        <f>작성용!AC1071</f>
        <v>[A롯데</v>
      </c>
      <c r="X1074" s="58" t="str">
        <f>작성용!O1071</f>
        <v>송승혁매니저, 이재영</v>
      </c>
      <c r="Y1074" s="58" t="str">
        <f>작성용!P1071</f>
        <v>02-2168-5176, 02-2168-5150</v>
      </c>
      <c r="Z1074" s="58" t="str">
        <f>작성용!Q1071</f>
        <v>ssh810@lotte.net;j.y.lee@lotte.net</v>
      </c>
      <c r="AA1074" s="56" t="str">
        <f>작성용!AJ1071</f>
        <v>회계반영</v>
      </c>
      <c r="AB1074" s="56">
        <f>작성용!AB1071</f>
        <v>0</v>
      </c>
    </row>
    <row r="1075" spans="1:28" s="12" customFormat="1" ht="16.5" hidden="1" customHeight="1" x14ac:dyDescent="0.3">
      <c r="A1075" s="54">
        <f>작성용!AL1072</f>
        <v>1071</v>
      </c>
      <c r="B1075" s="55" t="str">
        <f>작성용!AI1072</f>
        <v>최종보고서 : 2025-01-15</v>
      </c>
      <c r="C1075" s="56" t="str">
        <f>작성용!AK1072</f>
        <v>개별종목</v>
      </c>
      <c r="D1075" s="57">
        <f>작성용!T1072</f>
        <v>45596</v>
      </c>
      <c r="E1075" s="58" t="str">
        <f>작성용!B1072</f>
        <v>롯데홈쇼핑(구,우리홈쇼핑)</v>
      </c>
      <c r="F1075" s="58" t="str">
        <f>작성용!C1072</f>
        <v>신규</v>
      </c>
      <c r="G1075" s="58" t="str">
        <f>작성용!D1072</f>
        <v>케이씨-케이콘텐츠투자조합</v>
      </c>
      <c r="H1075" s="59" t="str">
        <f>작성용!E1072</f>
        <v>KBP2024110008</v>
      </c>
      <c r="I1075" s="58" t="str">
        <f>작성용!F1072</f>
        <v>B01</v>
      </c>
      <c r="J1075" s="58">
        <f>작성용!G1072</f>
        <v>0</v>
      </c>
      <c r="K1075" s="58" t="str">
        <f>작성용!H1072</f>
        <v>-</v>
      </c>
      <c r="L1075" s="58" t="str">
        <f>작성용!N1072</f>
        <v xml:space="preserve">반기 </v>
      </c>
      <c r="M1075" s="57" t="str">
        <f>작성용!U1072</f>
        <v>2024.09.30</v>
      </c>
      <c r="N1075" s="57">
        <f>작성용!V1072</f>
        <v>45618</v>
      </c>
      <c r="O1075" s="57">
        <f>작성용!W1072</f>
        <v>45635</v>
      </c>
      <c r="P1075" s="57" t="str">
        <f>작성용!X1072</f>
        <v>-</v>
      </c>
      <c r="Q1075" s="58" t="str">
        <f>작성용!AD1072</f>
        <v>신원준</v>
      </c>
      <c r="R1075" s="60">
        <f>작성용!AE1072</f>
        <v>1</v>
      </c>
      <c r="S1075" s="58" t="str">
        <f>작성용!AF1072</f>
        <v>신규</v>
      </c>
      <c r="T1075" s="61" t="str">
        <f>작성용!AG1072</f>
        <v>원정우</v>
      </c>
      <c r="U1075" s="61" t="str">
        <f>작성용!AH1072</f>
        <v>원정우</v>
      </c>
      <c r="V1075" s="56">
        <f>작성용!AA1072</f>
        <v>202411</v>
      </c>
      <c r="W1075" s="58" t="str">
        <f>작성용!AC1072</f>
        <v>[A롯데</v>
      </c>
      <c r="X1075" s="58" t="str">
        <f>작성용!O1072</f>
        <v>송승혁매니저, 이재영</v>
      </c>
      <c r="Y1075" s="58" t="str">
        <f>작성용!P1072</f>
        <v>02-2168-5176, 02-2168-5150</v>
      </c>
      <c r="Z1075" s="58" t="str">
        <f>작성용!Q1072</f>
        <v>ssh810@lotte.net;j.y.lee@lotte.net</v>
      </c>
      <c r="AA1075" s="56" t="str">
        <f>작성용!AJ1072</f>
        <v>회계반영</v>
      </c>
      <c r="AB1075" s="56">
        <f>작성용!AB1072</f>
        <v>0</v>
      </c>
    </row>
    <row r="1076" spans="1:28" s="12" customFormat="1" ht="16.5" hidden="1" customHeight="1" x14ac:dyDescent="0.3">
      <c r="A1076" s="54">
        <f>작성용!AL1073</f>
        <v>1072</v>
      </c>
      <c r="B1076" s="55" t="str">
        <f>작성용!AI1073</f>
        <v>-</v>
      </c>
      <c r="C1076" s="56" t="str">
        <f>작성용!AK1073</f>
        <v>개별종목</v>
      </c>
      <c r="D1076" s="57">
        <f>작성용!T1073</f>
        <v>45596</v>
      </c>
      <c r="E1076" s="58" t="str">
        <f>작성용!B1073</f>
        <v>롯데물산(수익증권)</v>
      </c>
      <c r="F1076" s="58" t="str">
        <f>작성용!C1073</f>
        <v>재평가</v>
      </c>
      <c r="G1076" s="58" t="str">
        <f>작성용!D1073</f>
        <v>베스타스전문투자형사모부동산투자신탁제64호1종</v>
      </c>
      <c r="H1076" s="59" t="str">
        <f>작성용!E1073</f>
        <v>KBP2021120009</v>
      </c>
      <c r="I1076" s="58" t="str">
        <f>작성용!F1073</f>
        <v>B02</v>
      </c>
      <c r="J1076" s="58">
        <f>작성용!G1073</f>
        <v>0</v>
      </c>
      <c r="K1076" s="58" t="str">
        <f>작성용!H1073</f>
        <v>-</v>
      </c>
      <c r="L1076" s="58" t="str">
        <f>작성용!N1073</f>
        <v>반기</v>
      </c>
      <c r="M1076" s="57" t="str">
        <f>작성용!U1073</f>
        <v>2024.12.31</v>
      </c>
      <c r="N1076" s="57">
        <f>작성용!V1073</f>
        <v>45665</v>
      </c>
      <c r="O1076" s="57">
        <f>작성용!W1073</f>
        <v>45672</v>
      </c>
      <c r="P1076" s="57" t="str">
        <f>작성용!X1073</f>
        <v>-</v>
      </c>
      <c r="Q1076" s="58" t="str">
        <f>작성용!AD1073</f>
        <v>대체평가3사업본부</v>
      </c>
      <c r="R1076" s="60">
        <f>작성용!AE1073</f>
        <v>0</v>
      </c>
      <c r="S1076" s="58" t="str">
        <f>작성용!AF1073</f>
        <v>대체평가3사업본부</v>
      </c>
      <c r="T1076" s="61" t="str">
        <f>작성용!AG1073</f>
        <v>윤광일</v>
      </c>
      <c r="U1076" s="61" t="str">
        <f>작성용!AH1073</f>
        <v>윤광일</v>
      </c>
      <c r="V1076" s="56">
        <f>작성용!AA1073</f>
        <v>202412</v>
      </c>
      <c r="W1076" s="58" t="str">
        <f>작성용!AC1073</f>
        <v>[T]기타보험기관[1본부]</v>
      </c>
      <c r="X1076" s="58" t="str">
        <f>작성용!O1073</f>
        <v>임혁팀장, 정민화사원</v>
      </c>
      <c r="Y1076" s="58" t="str">
        <f>작성용!P1073</f>
        <v>02-3213-5109, 02-3213-5302</v>
      </c>
      <c r="Z1076" s="58" t="str">
        <f>작성용!Q1073</f>
        <v>hyukyim@lotte.net;minhwachung@lotte.net</v>
      </c>
      <c r="AA1076" s="56" t="str">
        <f>작성용!AJ1073</f>
        <v>회계반영</v>
      </c>
      <c r="AB1076" s="56">
        <f>작성용!AB1073</f>
        <v>0</v>
      </c>
    </row>
    <row r="1077" spans="1:28" s="12" customFormat="1" ht="16.5" hidden="1" customHeight="1" x14ac:dyDescent="0.3">
      <c r="A1077" s="54">
        <f>작성용!AL1074</f>
        <v>1073</v>
      </c>
      <c r="B1077" s="55" t="str">
        <f>작성용!AI1074</f>
        <v>-</v>
      </c>
      <c r="C1077" s="56" t="str">
        <f>작성용!AK1074</f>
        <v>개별종목</v>
      </c>
      <c r="D1077" s="57">
        <f>작성용!T1074</f>
        <v>45596</v>
      </c>
      <c r="E1077" s="58" t="str">
        <f>작성용!B1074</f>
        <v>롯데물산(수익증권)</v>
      </c>
      <c r="F1077" s="58" t="str">
        <f>작성용!C1074</f>
        <v>재평가</v>
      </c>
      <c r="G1077" s="58" t="str">
        <f>작성용!D1074</f>
        <v>케이원제15호판교위탁관리부동산투자회사</v>
      </c>
      <c r="H1077" s="59">
        <f>작성용!E1074</f>
        <v>1101117869930</v>
      </c>
      <c r="I1077" s="58" t="str">
        <f>작성용!F1074</f>
        <v>B06</v>
      </c>
      <c r="J1077" s="58">
        <f>작성용!G1074</f>
        <v>0</v>
      </c>
      <c r="K1077" s="58" t="str">
        <f>작성용!H1074</f>
        <v>-</v>
      </c>
      <c r="L1077" s="58" t="str">
        <f>작성용!N1074</f>
        <v>반기</v>
      </c>
      <c r="M1077" s="57" t="str">
        <f>작성용!U1074</f>
        <v>2024.12.31</v>
      </c>
      <c r="N1077" s="57">
        <f>작성용!V1074</f>
        <v>45665</v>
      </c>
      <c r="O1077" s="57">
        <f>작성용!W1074</f>
        <v>45672</v>
      </c>
      <c r="P1077" s="57" t="str">
        <f>작성용!X1074</f>
        <v>-</v>
      </c>
      <c r="Q1077" s="58" t="str">
        <f>작성용!AD1074</f>
        <v>김수현</v>
      </c>
      <c r="R1077" s="60">
        <f>작성용!AE1074</f>
        <v>1</v>
      </c>
      <c r="S1077" s="58" t="str">
        <f>작성용!AF1074</f>
        <v>김수현</v>
      </c>
      <c r="T1077" s="61" t="str">
        <f>작성용!AG1074</f>
        <v>윤광일</v>
      </c>
      <c r="U1077" s="61" t="str">
        <f>작성용!AH1074</f>
        <v>윤광일</v>
      </c>
      <c r="V1077" s="56">
        <f>작성용!AA1074</f>
        <v>202412</v>
      </c>
      <c r="W1077" s="58" t="str">
        <f>작성용!AC1074</f>
        <v>[T]기타보험기관[1본부]</v>
      </c>
      <c r="X1077" s="58" t="str">
        <f>작성용!O1074</f>
        <v>임혁팀장, 정민화사원</v>
      </c>
      <c r="Y1077" s="58" t="str">
        <f>작성용!P1074</f>
        <v>02-3213-5109, 02-3213-5302</v>
      </c>
      <c r="Z1077" s="58" t="str">
        <f>작성용!Q1074</f>
        <v>hyukyim@lotte.net;minhwachung@lotte.net</v>
      </c>
      <c r="AA1077" s="56" t="str">
        <f>작성용!AJ1074</f>
        <v>회계반영</v>
      </c>
      <c r="AB1077" s="56">
        <f>작성용!AB1074</f>
        <v>0</v>
      </c>
    </row>
    <row r="1078" spans="1:28" s="12" customFormat="1" ht="16.5" hidden="1" customHeight="1" x14ac:dyDescent="0.3">
      <c r="A1078" s="54">
        <f>작성용!AL1075</f>
        <v>1074</v>
      </c>
      <c r="B1078" s="55" t="str">
        <f>작성용!AI1075</f>
        <v>-</v>
      </c>
      <c r="C1078" s="56" t="str">
        <f>작성용!AK1075</f>
        <v>개별종목</v>
      </c>
      <c r="D1078" s="57">
        <f>작성용!T1075</f>
        <v>45596</v>
      </c>
      <c r="E1078" s="58" t="str">
        <f>작성용!B1075</f>
        <v>롯데물산(수익증권)</v>
      </c>
      <c r="F1078" s="58" t="str">
        <f>작성용!C1075</f>
        <v>재평가</v>
      </c>
      <c r="G1078" s="58" t="str">
        <f>작성용!D1075</f>
        <v>케이원제23호역삼위탁관리부동산투자회사</v>
      </c>
      <c r="H1078" s="59">
        <f>작성용!E1075</f>
        <v>1101118229589</v>
      </c>
      <c r="I1078" s="58" t="str">
        <f>작성용!F1075</f>
        <v>B06</v>
      </c>
      <c r="J1078" s="58">
        <f>작성용!G1075</f>
        <v>0</v>
      </c>
      <c r="K1078" s="58" t="str">
        <f>작성용!H1075</f>
        <v>-</v>
      </c>
      <c r="L1078" s="58" t="str">
        <f>작성용!N1075</f>
        <v>반기</v>
      </c>
      <c r="M1078" s="57" t="str">
        <f>작성용!U1075</f>
        <v>2024.12.31</v>
      </c>
      <c r="N1078" s="57">
        <f>작성용!V1075</f>
        <v>45665</v>
      </c>
      <c r="O1078" s="57">
        <f>작성용!W1075</f>
        <v>45672</v>
      </c>
      <c r="P1078" s="57" t="str">
        <f>작성용!X1075</f>
        <v>-</v>
      </c>
      <c r="Q1078" s="58" t="str">
        <f>작성용!AD1075</f>
        <v>정은채</v>
      </c>
      <c r="R1078" s="60">
        <f>작성용!AE1075</f>
        <v>1</v>
      </c>
      <c r="S1078" s="58" t="str">
        <f>작성용!AF1075</f>
        <v>정은채</v>
      </c>
      <c r="T1078" s="61" t="str">
        <f>작성용!AG1075</f>
        <v>윤광일</v>
      </c>
      <c r="U1078" s="61" t="str">
        <f>작성용!AH1075</f>
        <v>윤광일</v>
      </c>
      <c r="V1078" s="56">
        <f>작성용!AA1075</f>
        <v>202412</v>
      </c>
      <c r="W1078" s="58" t="str">
        <f>작성용!AC1075</f>
        <v>[T]기타보험기관[1본부]</v>
      </c>
      <c r="X1078" s="58" t="str">
        <f>작성용!O1075</f>
        <v>임혁팀장, 정민화사원</v>
      </c>
      <c r="Y1078" s="58" t="str">
        <f>작성용!P1075</f>
        <v>02-3213-5109, 02-3213-5302</v>
      </c>
      <c r="Z1078" s="58" t="str">
        <f>작성용!Q1075</f>
        <v>hyukyim@lotte.net;minhwachung@lotte.net</v>
      </c>
      <c r="AA1078" s="56" t="str">
        <f>작성용!AJ1075</f>
        <v>회계반영</v>
      </c>
      <c r="AB1078" s="56">
        <f>작성용!AB1075</f>
        <v>0</v>
      </c>
    </row>
    <row r="1079" spans="1:28" s="12" customFormat="1" ht="16.5" hidden="1" customHeight="1" x14ac:dyDescent="0.3">
      <c r="A1079" s="54">
        <f>작성용!AL1076</f>
        <v>1075</v>
      </c>
      <c r="B1079" s="55" t="str">
        <f>작성용!AI1076</f>
        <v>-</v>
      </c>
      <c r="C1079" s="56" t="str">
        <f>작성용!AK1076</f>
        <v>개별종목</v>
      </c>
      <c r="D1079" s="57">
        <f>작성용!T1076</f>
        <v>45596</v>
      </c>
      <c r="E1079" s="58" t="str">
        <f>작성용!B1076</f>
        <v>롯데물산(수익증권)</v>
      </c>
      <c r="F1079" s="58" t="str">
        <f>작성용!C1076</f>
        <v>재평가</v>
      </c>
      <c r="G1079" s="58" t="str">
        <f>작성용!D1076</f>
        <v>케펠전문투자형사모부동산투자신탁제5호</v>
      </c>
      <c r="H1079" s="59" t="str">
        <f>작성용!E1076</f>
        <v>KBP2021060062</v>
      </c>
      <c r="I1079" s="58" t="str">
        <f>작성용!F1076</f>
        <v>B02</v>
      </c>
      <c r="J1079" s="58">
        <f>작성용!G1076</f>
        <v>0</v>
      </c>
      <c r="K1079" s="58" t="str">
        <f>작성용!H1076</f>
        <v>-</v>
      </c>
      <c r="L1079" s="58" t="str">
        <f>작성용!N1076</f>
        <v>반기</v>
      </c>
      <c r="M1079" s="57" t="str">
        <f>작성용!U1076</f>
        <v>2024.12.31</v>
      </c>
      <c r="N1079" s="57">
        <f>작성용!V1076</f>
        <v>45665</v>
      </c>
      <c r="O1079" s="57">
        <f>작성용!W1076</f>
        <v>45672</v>
      </c>
      <c r="P1079" s="57" t="str">
        <f>작성용!X1076</f>
        <v>-</v>
      </c>
      <c r="Q1079" s="58" t="str">
        <f>작성용!AD1076</f>
        <v>대체평가3사업본부</v>
      </c>
      <c r="R1079" s="60">
        <f>작성용!AE1076</f>
        <v>0</v>
      </c>
      <c r="S1079" s="58" t="str">
        <f>작성용!AF1076</f>
        <v>대체평가3사업본부</v>
      </c>
      <c r="T1079" s="61" t="str">
        <f>작성용!AG1076</f>
        <v>윤광일</v>
      </c>
      <c r="U1079" s="61" t="str">
        <f>작성용!AH1076</f>
        <v>윤광일</v>
      </c>
      <c r="V1079" s="56">
        <f>작성용!AA1076</f>
        <v>202412</v>
      </c>
      <c r="W1079" s="58" t="str">
        <f>작성용!AC1076</f>
        <v>[T]기타보험기관[1본부]</v>
      </c>
      <c r="X1079" s="58" t="str">
        <f>작성용!O1076</f>
        <v>임혁팀장, 정민화사원</v>
      </c>
      <c r="Y1079" s="58" t="str">
        <f>작성용!P1076</f>
        <v>02-3213-5109, 02-3213-5302</v>
      </c>
      <c r="Z1079" s="58" t="str">
        <f>작성용!Q1076</f>
        <v>hyukyim@lotte.net;minhwachung@lotte.net</v>
      </c>
      <c r="AA1079" s="56" t="str">
        <f>작성용!AJ1076</f>
        <v>회계반영</v>
      </c>
      <c r="AB1079" s="56">
        <f>작성용!AB1076</f>
        <v>0</v>
      </c>
    </row>
    <row r="1080" spans="1:28" s="12" customFormat="1" ht="16.5" hidden="1" customHeight="1" x14ac:dyDescent="0.3">
      <c r="A1080" s="54">
        <f>작성용!AL1077</f>
        <v>1076</v>
      </c>
      <c r="B1080" s="55" t="str">
        <f>작성용!AI1077</f>
        <v>-</v>
      </c>
      <c r="C1080" s="56" t="str">
        <f>작성용!AK1077</f>
        <v>개별종목</v>
      </c>
      <c r="D1080" s="57">
        <f>작성용!T1077</f>
        <v>45596</v>
      </c>
      <c r="E1080" s="58" t="str">
        <f>작성용!B1077</f>
        <v>롯데물산(수익증권)</v>
      </c>
      <c r="F1080" s="58" t="str">
        <f>작성용!C1077</f>
        <v>재평가</v>
      </c>
      <c r="G1080" s="58" t="str">
        <f>작성용!D1077</f>
        <v>코람코지속성장오피스제1의1호위탁관리자부동산투자회사</v>
      </c>
      <c r="H1080" s="59">
        <f>작성용!E1077</f>
        <v>1101117921334</v>
      </c>
      <c r="I1080" s="58" t="str">
        <f>작성용!F1077</f>
        <v>B06</v>
      </c>
      <c r="J1080" s="58">
        <f>작성용!G1077</f>
        <v>0</v>
      </c>
      <c r="K1080" s="58" t="str">
        <f>작성용!H1077</f>
        <v>-</v>
      </c>
      <c r="L1080" s="58" t="str">
        <f>작성용!N1077</f>
        <v>반기</v>
      </c>
      <c r="M1080" s="57" t="str">
        <f>작성용!U1077</f>
        <v>2024.12.31</v>
      </c>
      <c r="N1080" s="57">
        <f>작성용!V1077</f>
        <v>45665</v>
      </c>
      <c r="O1080" s="57">
        <f>작성용!W1077</f>
        <v>45672</v>
      </c>
      <c r="P1080" s="57" t="str">
        <f>작성용!X1077</f>
        <v>-</v>
      </c>
      <c r="Q1080" s="58" t="str">
        <f>작성용!AD1077</f>
        <v>윤광일</v>
      </c>
      <c r="R1080" s="60">
        <f>작성용!AE1077</f>
        <v>1</v>
      </c>
      <c r="S1080" s="58" t="str">
        <f>작성용!AF1077</f>
        <v>조현우</v>
      </c>
      <c r="T1080" s="61" t="str">
        <f>작성용!AG1077</f>
        <v>윤광일</v>
      </c>
      <c r="U1080" s="61" t="str">
        <f>작성용!AH1077</f>
        <v>윤광일</v>
      </c>
      <c r="V1080" s="56">
        <f>작성용!AA1077</f>
        <v>202412</v>
      </c>
      <c r="W1080" s="58" t="str">
        <f>작성용!AC1077</f>
        <v>[T]기타보험기관[1본부]</v>
      </c>
      <c r="X1080" s="58" t="str">
        <f>작성용!O1077</f>
        <v>임혁팀장, 정민화사원</v>
      </c>
      <c r="Y1080" s="58" t="str">
        <f>작성용!P1077</f>
        <v>02-3213-5109, 02-3213-5302</v>
      </c>
      <c r="Z1080" s="58" t="str">
        <f>작성용!Q1077</f>
        <v>hyukyim@lotte.net;minhwachung@lotte.net</v>
      </c>
      <c r="AA1080" s="56" t="str">
        <f>작성용!AJ1077</f>
        <v>회계반영</v>
      </c>
      <c r="AB1080" s="56">
        <f>작성용!AB1077</f>
        <v>0</v>
      </c>
    </row>
    <row r="1081" spans="1:28" s="12" customFormat="1" ht="16.5" hidden="1" customHeight="1" x14ac:dyDescent="0.3">
      <c r="A1081" s="54">
        <f>작성용!AL1078</f>
        <v>1077</v>
      </c>
      <c r="B1081" s="55" t="str">
        <f>작성용!AI1078</f>
        <v>-</v>
      </c>
      <c r="C1081" s="56" t="str">
        <f>작성용!AK1078</f>
        <v>개별종목</v>
      </c>
      <c r="D1081" s="57">
        <f>작성용!T1078</f>
        <v>45596</v>
      </c>
      <c r="E1081" s="58" t="str">
        <f>작성용!B1078</f>
        <v>롯데물산(수익증권)</v>
      </c>
      <c r="F1081" s="58" t="str">
        <f>작성용!C1078</f>
        <v>재평가</v>
      </c>
      <c r="G1081" s="58" t="str">
        <f>작성용!D1078</f>
        <v>코크렙제36호위탁관리부동산투자회사</v>
      </c>
      <c r="H1081" s="59">
        <f>작성용!E1078</f>
        <v>1101116142121</v>
      </c>
      <c r="I1081" s="58" t="str">
        <f>작성용!F1078</f>
        <v>B06</v>
      </c>
      <c r="J1081" s="58">
        <f>작성용!G1078</f>
        <v>0</v>
      </c>
      <c r="K1081" s="58" t="str">
        <f>작성용!H1078</f>
        <v>-</v>
      </c>
      <c r="L1081" s="58" t="str">
        <f>작성용!N1078</f>
        <v>반기</v>
      </c>
      <c r="M1081" s="57" t="str">
        <f>작성용!U1078</f>
        <v>2024.12.31</v>
      </c>
      <c r="N1081" s="57">
        <f>작성용!V1078</f>
        <v>45665</v>
      </c>
      <c r="O1081" s="57">
        <f>작성용!W1078</f>
        <v>45672</v>
      </c>
      <c r="P1081" s="57" t="str">
        <f>작성용!X1078</f>
        <v>-</v>
      </c>
      <c r="Q1081" s="58" t="str">
        <f>작성용!AD1078</f>
        <v>오영석</v>
      </c>
      <c r="R1081" s="60">
        <f>작성용!AE1078</f>
        <v>1</v>
      </c>
      <c r="S1081" s="58" t="str">
        <f>작성용!AF1078</f>
        <v>조현우</v>
      </c>
      <c r="T1081" s="61" t="str">
        <f>작성용!AG1078</f>
        <v>윤광일</v>
      </c>
      <c r="U1081" s="61" t="str">
        <f>작성용!AH1078</f>
        <v>윤광일</v>
      </c>
      <c r="V1081" s="56">
        <f>작성용!AA1078</f>
        <v>202412</v>
      </c>
      <c r="W1081" s="58" t="str">
        <f>작성용!AC1078</f>
        <v>[T]기타보험기관[1본부]</v>
      </c>
      <c r="X1081" s="58" t="str">
        <f>작성용!O1078</f>
        <v>임혁팀장, 정민화사원</v>
      </c>
      <c r="Y1081" s="58" t="str">
        <f>작성용!P1078</f>
        <v>02-3213-5109, 02-3213-5302</v>
      </c>
      <c r="Z1081" s="58" t="str">
        <f>작성용!Q1078</f>
        <v>hyukyim@lotte.net;minhwachung@lotte.net</v>
      </c>
      <c r="AA1081" s="56" t="str">
        <f>작성용!AJ1078</f>
        <v>회계반영</v>
      </c>
      <c r="AB1081" s="56">
        <f>작성용!AB1078</f>
        <v>0</v>
      </c>
    </row>
    <row r="1082" spans="1:28" s="12" customFormat="1" ht="16.5" hidden="1" customHeight="1" x14ac:dyDescent="0.3">
      <c r="A1082" s="54">
        <f>작성용!AL1079</f>
        <v>1078</v>
      </c>
      <c r="B1082" s="55" t="str">
        <f>작성용!AI1079</f>
        <v>-</v>
      </c>
      <c r="C1082" s="56" t="str">
        <f>작성용!AK1079</f>
        <v>개별종목</v>
      </c>
      <c r="D1082" s="57">
        <f>작성용!T1079</f>
        <v>45596</v>
      </c>
      <c r="E1082" s="58" t="str">
        <f>작성용!B1079</f>
        <v>롯데물산(수익증권)</v>
      </c>
      <c r="F1082" s="58" t="str">
        <f>작성용!C1079</f>
        <v>재평가</v>
      </c>
      <c r="G1082" s="58" t="str">
        <f>작성용!D1079</f>
        <v>코크렙제47호위탁관리부동산투자회사</v>
      </c>
      <c r="H1082" s="59">
        <f>작성용!E1079</f>
        <v>1101116904935</v>
      </c>
      <c r="I1082" s="58" t="str">
        <f>작성용!F1079</f>
        <v>B06</v>
      </c>
      <c r="J1082" s="58">
        <f>작성용!G1079</f>
        <v>1</v>
      </c>
      <c r="K1082" s="58" t="str">
        <f>작성용!H1079</f>
        <v>-</v>
      </c>
      <c r="L1082" s="58" t="str">
        <f>작성용!N1079</f>
        <v>반기</v>
      </c>
      <c r="M1082" s="57" t="str">
        <f>작성용!U1079</f>
        <v>2024.12.31</v>
      </c>
      <c r="N1082" s="57">
        <f>작성용!V1079</f>
        <v>45665</v>
      </c>
      <c r="O1082" s="57">
        <f>작성용!W1079</f>
        <v>45672</v>
      </c>
      <c r="P1082" s="57" t="str">
        <f>작성용!X1079</f>
        <v>-</v>
      </c>
      <c r="Q1082" s="58" t="str">
        <f>작성용!AD1079</f>
        <v>정은채</v>
      </c>
      <c r="R1082" s="60">
        <f>작성용!AE1079</f>
        <v>1</v>
      </c>
      <c r="S1082" s="58" t="str">
        <f>작성용!AF1079</f>
        <v>정은채</v>
      </c>
      <c r="T1082" s="61" t="str">
        <f>작성용!AG1079</f>
        <v>윤광일</v>
      </c>
      <c r="U1082" s="61" t="str">
        <f>작성용!AH1079</f>
        <v>윤광일</v>
      </c>
      <c r="V1082" s="56">
        <f>작성용!AA1079</f>
        <v>202412</v>
      </c>
      <c r="W1082" s="58" t="str">
        <f>작성용!AC1079</f>
        <v>[T]기타보험기관[1본부]</v>
      </c>
      <c r="X1082" s="58" t="str">
        <f>작성용!O1079</f>
        <v>임혁팀장, 정민화사원</v>
      </c>
      <c r="Y1082" s="58" t="str">
        <f>작성용!P1079</f>
        <v>02-3213-5109, 02-3213-5302</v>
      </c>
      <c r="Z1082" s="58" t="str">
        <f>작성용!Q1079</f>
        <v>hyukyim@lotte.net;minhwachung@lotte.net</v>
      </c>
      <c r="AA1082" s="56" t="str">
        <f>작성용!AJ1079</f>
        <v>회계반영</v>
      </c>
      <c r="AB1082" s="56">
        <f>작성용!AB1079</f>
        <v>0</v>
      </c>
    </row>
    <row r="1083" spans="1:28" s="12" customFormat="1" ht="16.5" hidden="1" customHeight="1" x14ac:dyDescent="0.3">
      <c r="A1083" s="54">
        <f>작성용!AL1080</f>
        <v>1079</v>
      </c>
      <c r="B1083" s="55" t="str">
        <f>작성용!AI1080</f>
        <v>-</v>
      </c>
      <c r="C1083" s="56" t="str">
        <f>작성용!AK1080</f>
        <v>개별종목</v>
      </c>
      <c r="D1083" s="57">
        <f>작성용!T1080</f>
        <v>45596</v>
      </c>
      <c r="E1083" s="58" t="str">
        <f>작성용!B1080</f>
        <v>롯데물산(수익증권)</v>
      </c>
      <c r="F1083" s="58" t="str">
        <f>작성용!C1080</f>
        <v>재평가</v>
      </c>
      <c r="G1083" s="58" t="str">
        <f>작성용!D1080</f>
        <v>코람코가치투자제4의6호위탁관리자부동산투자회사</v>
      </c>
      <c r="H1083" s="59">
        <f>작성용!E1080</f>
        <v>1101118777372</v>
      </c>
      <c r="I1083" s="58" t="str">
        <f>작성용!F1080</f>
        <v>B06</v>
      </c>
      <c r="J1083" s="58">
        <f>작성용!G1080</f>
        <v>0</v>
      </c>
      <c r="K1083" s="58" t="str">
        <f>작성용!H1080</f>
        <v>-</v>
      </c>
      <c r="L1083" s="58" t="str">
        <f>작성용!N1080</f>
        <v>반기</v>
      </c>
      <c r="M1083" s="57" t="str">
        <f>작성용!U1080</f>
        <v>2024.12.31</v>
      </c>
      <c r="N1083" s="57">
        <f>작성용!V1080</f>
        <v>45665</v>
      </c>
      <c r="O1083" s="57">
        <f>작성용!W1080</f>
        <v>45672</v>
      </c>
      <c r="P1083" s="57" t="str">
        <f>작성용!X1080</f>
        <v>-</v>
      </c>
      <c r="Q1083" s="58" t="str">
        <f>작성용!AD1080</f>
        <v>이상민</v>
      </c>
      <c r="R1083" s="60">
        <f>작성용!AE1080</f>
        <v>1</v>
      </c>
      <c r="S1083" s="58" t="str">
        <f>작성용!AF1080</f>
        <v>이상민</v>
      </c>
      <c r="T1083" s="61" t="str">
        <f>작성용!AG1080</f>
        <v>윤광일</v>
      </c>
      <c r="U1083" s="61" t="str">
        <f>작성용!AH1080</f>
        <v>윤광일</v>
      </c>
      <c r="V1083" s="56">
        <f>작성용!AA1080</f>
        <v>202412</v>
      </c>
      <c r="W1083" s="58" t="str">
        <f>작성용!AC1080</f>
        <v>[T]기타보험기관[1본부]</v>
      </c>
      <c r="X1083" s="58" t="str">
        <f>작성용!O1080</f>
        <v>임혁팀장, 정민화사원</v>
      </c>
      <c r="Y1083" s="58" t="str">
        <f>작성용!P1080</f>
        <v>02-3213-5109, 02-3213-5302</v>
      </c>
      <c r="Z1083" s="58" t="str">
        <f>작성용!Q1080</f>
        <v>hyukyim@lotte.net;minhwachung@lotte.net</v>
      </c>
      <c r="AA1083" s="56" t="str">
        <f>작성용!AJ1080</f>
        <v>회계반영</v>
      </c>
      <c r="AB1083" s="56">
        <f>작성용!AB1080</f>
        <v>0</v>
      </c>
    </row>
    <row r="1084" spans="1:28" s="12" customFormat="1" ht="16.5" customHeight="1" x14ac:dyDescent="0.3">
      <c r="A1084" s="54">
        <f>작성용!AL1081</f>
        <v>1080</v>
      </c>
      <c r="B1084" s="264" t="str">
        <f>작성용!AI1081</f>
        <v>-</v>
      </c>
      <c r="C1084" s="252" t="str">
        <f>작성용!AK1081</f>
        <v>개별종목</v>
      </c>
      <c r="D1084" s="265">
        <f>작성용!T1081</f>
        <v>45596</v>
      </c>
      <c r="E1084" s="253" t="str">
        <f>작성용!B1081</f>
        <v>미래에셋벤처투자</v>
      </c>
      <c r="F1084" s="253" t="str">
        <f>작성용!C1081</f>
        <v>신규</v>
      </c>
      <c r="G1084" s="253" t="str">
        <f>작성용!D1081</f>
        <v>더굿시스템</v>
      </c>
      <c r="H1084" s="266">
        <f>작성용!E1081</f>
        <v>1314110367683</v>
      </c>
      <c r="I1084" s="253" t="str">
        <f>작성용!F1081</f>
        <v>A04</v>
      </c>
      <c r="J1084" s="253">
        <f>작성용!G1081</f>
        <v>77</v>
      </c>
      <c r="K1084" s="253" t="str">
        <f>작성용!H1081</f>
        <v>-</v>
      </c>
      <c r="L1084" s="253" t="str">
        <f>작성용!N1081</f>
        <v>미정</v>
      </c>
      <c r="M1084" s="265" t="str">
        <f>작성용!U1081</f>
        <v>2024.09.30</v>
      </c>
      <c r="N1084" s="277">
        <f>작성용!V1081</f>
        <v>45609</v>
      </c>
      <c r="O1084" s="277">
        <f>작성용!W1081</f>
        <v>45616</v>
      </c>
      <c r="P1084" s="265" t="str">
        <f>작성용!X1081</f>
        <v>-</v>
      </c>
      <c r="Q1084" s="253" t="str">
        <f>작성용!AD1081</f>
        <v>심태진</v>
      </c>
      <c r="R1084" s="267">
        <f>작성용!AE1081</f>
        <v>1</v>
      </c>
      <c r="S1084" s="253" t="str">
        <f>작성용!AF1081</f>
        <v>신규</v>
      </c>
      <c r="T1084" s="268" t="str">
        <f>작성용!AG1081</f>
        <v>오영석</v>
      </c>
      <c r="U1084" s="268" t="str">
        <f>작성용!AH1081</f>
        <v>오영석</v>
      </c>
      <c r="V1084" s="252">
        <f>작성용!AA1081</f>
        <v>202411</v>
      </c>
      <c r="W1084" s="253" t="str">
        <f>작성용!AC1081</f>
        <v>[Y]금융기관</v>
      </c>
      <c r="X1084" s="253" t="str">
        <f>작성용!O1081</f>
        <v>김주희매니저</v>
      </c>
      <c r="Y1084" s="253" t="str">
        <f>작성용!P1081</f>
        <v>02-6205-2640</v>
      </c>
      <c r="Z1084" s="253" t="str">
        <f>작성용!Q1081</f>
        <v>juhee@miraeasset.com</v>
      </c>
      <c r="AA1084" s="252" t="str">
        <f>작성용!AJ1081</f>
        <v>국민연금제출</v>
      </c>
      <c r="AB1084" s="252">
        <f>작성용!AB1081</f>
        <v>0</v>
      </c>
    </row>
    <row r="1085" spans="1:28" s="12" customFormat="1" ht="16.5" customHeight="1" x14ac:dyDescent="0.3">
      <c r="A1085" s="54">
        <f>작성용!AL1082</f>
        <v>1081</v>
      </c>
      <c r="B1085" s="264" t="str">
        <f>작성용!AI1082</f>
        <v>-</v>
      </c>
      <c r="C1085" s="252" t="str">
        <f>작성용!AK1082</f>
        <v>개별종목</v>
      </c>
      <c r="D1085" s="265">
        <f>작성용!T1082</f>
        <v>45596</v>
      </c>
      <c r="E1085" s="253" t="str">
        <f>작성용!B1082</f>
        <v>미래에셋벤처투자</v>
      </c>
      <c r="F1085" s="253" t="str">
        <f>작성용!C1082</f>
        <v>신규</v>
      </c>
      <c r="G1085" s="253" t="str">
        <f>작성용!D1082</f>
        <v>포스크리에이티브파티</v>
      </c>
      <c r="H1085" s="266">
        <f>작성용!E1082</f>
        <v>1311110237379</v>
      </c>
      <c r="I1085" s="253" t="str">
        <f>작성용!F1082</f>
        <v>A04</v>
      </c>
      <c r="J1085" s="253">
        <f>작성용!G1082</f>
        <v>77</v>
      </c>
      <c r="K1085" s="253" t="str">
        <f>작성용!H1082</f>
        <v>-</v>
      </c>
      <c r="L1085" s="253" t="str">
        <f>작성용!N1082</f>
        <v>미정</v>
      </c>
      <c r="M1085" s="265" t="str">
        <f>작성용!U1082</f>
        <v>2024.09.30</v>
      </c>
      <c r="N1085" s="277">
        <f>작성용!V1082</f>
        <v>45609</v>
      </c>
      <c r="O1085" s="277">
        <f>작성용!W1082</f>
        <v>45616</v>
      </c>
      <c r="P1085" s="265" t="str">
        <f>작성용!X1082</f>
        <v>-</v>
      </c>
      <c r="Q1085" s="253" t="str">
        <f>작성용!AD1082</f>
        <v>정재형</v>
      </c>
      <c r="R1085" s="267">
        <f>작성용!AE1082</f>
        <v>1</v>
      </c>
      <c r="S1085" s="253" t="str">
        <f>작성용!AF1082</f>
        <v>신규</v>
      </c>
      <c r="T1085" s="268" t="str">
        <f>작성용!AG1082</f>
        <v>오영석</v>
      </c>
      <c r="U1085" s="268" t="str">
        <f>작성용!AH1082</f>
        <v>오영석</v>
      </c>
      <c r="V1085" s="252">
        <f>작성용!AA1082</f>
        <v>202411</v>
      </c>
      <c r="W1085" s="253" t="str">
        <f>작성용!AC1082</f>
        <v>[Y]금융기관</v>
      </c>
      <c r="X1085" s="253" t="str">
        <f>작성용!O1082</f>
        <v>김주희매니저</v>
      </c>
      <c r="Y1085" s="253" t="str">
        <f>작성용!P1082</f>
        <v>02-6205-2640</v>
      </c>
      <c r="Z1085" s="253" t="str">
        <f>작성용!Q1082</f>
        <v>juhee@miraeasset.com</v>
      </c>
      <c r="AA1085" s="252" t="str">
        <f>작성용!AJ1082</f>
        <v>국민연금제출</v>
      </c>
      <c r="AB1085" s="252">
        <f>작성용!AB1082</f>
        <v>0</v>
      </c>
    </row>
    <row r="1086" spans="1:28" s="12" customFormat="1" ht="16.5" customHeight="1" x14ac:dyDescent="0.3">
      <c r="A1086" s="54">
        <f>작성용!AL1083</f>
        <v>1082</v>
      </c>
      <c r="B1086" s="264" t="str">
        <f>작성용!AI1083</f>
        <v>-</v>
      </c>
      <c r="C1086" s="252" t="str">
        <f>작성용!AK1083</f>
        <v>개별종목</v>
      </c>
      <c r="D1086" s="265">
        <f>작성용!T1083</f>
        <v>45596</v>
      </c>
      <c r="E1086" s="253" t="str">
        <f>작성용!B1083</f>
        <v>미래에셋벤처투자</v>
      </c>
      <c r="F1086" s="253" t="str">
        <f>작성용!C1083</f>
        <v>신규</v>
      </c>
      <c r="G1086" s="253" t="str">
        <f>작성용!D1083</f>
        <v>네메시스</v>
      </c>
      <c r="H1086" s="266">
        <f>작성용!E1083</f>
        <v>1311110496157</v>
      </c>
      <c r="I1086" s="253" t="str">
        <f>작성용!F1083</f>
        <v>A04</v>
      </c>
      <c r="J1086" s="253">
        <f>작성용!G1083</f>
        <v>77</v>
      </c>
      <c r="K1086" s="253" t="str">
        <f>작성용!H1083</f>
        <v>-</v>
      </c>
      <c r="L1086" s="253" t="str">
        <f>작성용!N1083</f>
        <v>미정</v>
      </c>
      <c r="M1086" s="265" t="str">
        <f>작성용!U1083</f>
        <v>2024.09.30</v>
      </c>
      <c r="N1086" s="277">
        <f>작성용!V1083</f>
        <v>45609</v>
      </c>
      <c r="O1086" s="277">
        <f>작성용!W1083</f>
        <v>45616</v>
      </c>
      <c r="P1086" s="265" t="str">
        <f>작성용!X1083</f>
        <v>-</v>
      </c>
      <c r="Q1086" s="253" t="str">
        <f>작성용!AD1083</f>
        <v>최수민</v>
      </c>
      <c r="R1086" s="267">
        <f>작성용!AE1083</f>
        <v>1</v>
      </c>
      <c r="S1086" s="253" t="str">
        <f>작성용!AF1083</f>
        <v>최정배</v>
      </c>
      <c r="T1086" s="268" t="str">
        <f>작성용!AG1083</f>
        <v>오영석</v>
      </c>
      <c r="U1086" s="268" t="str">
        <f>작성용!AH1083</f>
        <v>오영석</v>
      </c>
      <c r="V1086" s="252">
        <f>작성용!AA1083</f>
        <v>202411</v>
      </c>
      <c r="W1086" s="253" t="str">
        <f>작성용!AC1083</f>
        <v>[Y]금융기관</v>
      </c>
      <c r="X1086" s="253" t="str">
        <f>작성용!O1083</f>
        <v>김주희매니저</v>
      </c>
      <c r="Y1086" s="253" t="str">
        <f>작성용!P1083</f>
        <v>02-6205-2640</v>
      </c>
      <c r="Z1086" s="253" t="str">
        <f>작성용!Q1083</f>
        <v>juhee@miraeasset.com</v>
      </c>
      <c r="AA1086" s="252" t="str">
        <f>작성용!AJ1083</f>
        <v>국민연금제출</v>
      </c>
      <c r="AB1086" s="252">
        <f>작성용!AB1083</f>
        <v>0</v>
      </c>
    </row>
    <row r="1087" spans="1:28" s="12" customFormat="1" ht="16.5" customHeight="1" x14ac:dyDescent="0.3">
      <c r="A1087" s="54">
        <f>작성용!AL1084</f>
        <v>1083</v>
      </c>
      <c r="B1087" s="264" t="str">
        <f>작성용!AI1084</f>
        <v>-</v>
      </c>
      <c r="C1087" s="252" t="str">
        <f>작성용!AK1084</f>
        <v>개별종목</v>
      </c>
      <c r="D1087" s="265">
        <f>작성용!T1084</f>
        <v>45596</v>
      </c>
      <c r="E1087" s="253" t="str">
        <f>작성용!B1084</f>
        <v>미래에셋벤처투자</v>
      </c>
      <c r="F1087" s="253" t="str">
        <f>작성용!C1084</f>
        <v>신규</v>
      </c>
      <c r="G1087" s="253" t="str">
        <f>작성용!D1084</f>
        <v>바로팜</v>
      </c>
      <c r="H1087" s="266">
        <f>작성용!E1084</f>
        <v>1101117302261</v>
      </c>
      <c r="I1087" s="253" t="str">
        <f>작성용!F1084</f>
        <v>A04</v>
      </c>
      <c r="J1087" s="253">
        <f>작성용!G1084</f>
        <v>77</v>
      </c>
      <c r="K1087" s="253" t="str">
        <f>작성용!H1084</f>
        <v>-</v>
      </c>
      <c r="L1087" s="253" t="str">
        <f>작성용!N1084</f>
        <v>미정</v>
      </c>
      <c r="M1087" s="265" t="str">
        <f>작성용!U1084</f>
        <v>2024.09.30</v>
      </c>
      <c r="N1087" s="277">
        <f>작성용!V1084</f>
        <v>45609</v>
      </c>
      <c r="O1087" s="277">
        <f>작성용!W1084</f>
        <v>45616</v>
      </c>
      <c r="P1087" s="265" t="str">
        <f>작성용!X1084</f>
        <v>-</v>
      </c>
      <c r="Q1087" s="253" t="str">
        <f>작성용!AD1084</f>
        <v>김에스더</v>
      </c>
      <c r="R1087" s="267">
        <f>작성용!AE1084</f>
        <v>1</v>
      </c>
      <c r="S1087" s="253" t="str">
        <f>작성용!AF1084</f>
        <v>신규</v>
      </c>
      <c r="T1087" s="268" t="str">
        <f>작성용!AG1084</f>
        <v>오영석</v>
      </c>
      <c r="U1087" s="268" t="str">
        <f>작성용!AH1084</f>
        <v>오영석</v>
      </c>
      <c r="V1087" s="252">
        <f>작성용!AA1084</f>
        <v>202411</v>
      </c>
      <c r="W1087" s="253" t="str">
        <f>작성용!AC1084</f>
        <v>[Y]금융기관</v>
      </c>
      <c r="X1087" s="253" t="str">
        <f>작성용!O1084</f>
        <v>김주희매니저</v>
      </c>
      <c r="Y1087" s="253" t="str">
        <f>작성용!P1084</f>
        <v>02-6205-2640</v>
      </c>
      <c r="Z1087" s="253" t="str">
        <f>작성용!Q1084</f>
        <v>juhee@miraeasset.com</v>
      </c>
      <c r="AA1087" s="252" t="str">
        <f>작성용!AJ1084</f>
        <v>국민연금제출</v>
      </c>
      <c r="AB1087" s="252">
        <f>작성용!AB1084</f>
        <v>0</v>
      </c>
    </row>
    <row r="1088" spans="1:28" s="12" customFormat="1" ht="16.5" customHeight="1" x14ac:dyDescent="0.3">
      <c r="A1088" s="54">
        <f>작성용!AL1085</f>
        <v>1084</v>
      </c>
      <c r="B1088" s="264" t="str">
        <f>작성용!AI1085</f>
        <v>-</v>
      </c>
      <c r="C1088" s="252" t="str">
        <f>작성용!AK1085</f>
        <v>개별종목</v>
      </c>
      <c r="D1088" s="265">
        <f>작성용!T1085</f>
        <v>45596</v>
      </c>
      <c r="E1088" s="253" t="str">
        <f>작성용!B1085</f>
        <v>미래에셋벤처투자</v>
      </c>
      <c r="F1088" s="253" t="str">
        <f>작성용!C1085</f>
        <v>신규</v>
      </c>
      <c r="G1088" s="253" t="str">
        <f>작성용!D1085</f>
        <v>바로팜</v>
      </c>
      <c r="H1088" s="266">
        <f>작성용!E1085</f>
        <v>1101117302261</v>
      </c>
      <c r="I1088" s="253" t="str">
        <f>작성용!F1085</f>
        <v>A01</v>
      </c>
      <c r="J1088" s="253">
        <f>작성용!G1085</f>
        <v>0</v>
      </c>
      <c r="K1088" s="253" t="str">
        <f>작성용!H1085</f>
        <v>-</v>
      </c>
      <c r="L1088" s="253" t="str">
        <f>작성용!N1085</f>
        <v>미정</v>
      </c>
      <c r="M1088" s="265" t="str">
        <f>작성용!U1085</f>
        <v>2024.09.30</v>
      </c>
      <c r="N1088" s="277">
        <f>작성용!V1085</f>
        <v>45609</v>
      </c>
      <c r="O1088" s="277">
        <f>작성용!W1085</f>
        <v>45616</v>
      </c>
      <c r="P1088" s="265" t="str">
        <f>작성용!X1085</f>
        <v>-</v>
      </c>
      <c r="Q1088" s="253" t="str">
        <f>작성용!AD1085</f>
        <v>김에스더</v>
      </c>
      <c r="R1088" s="267">
        <f>작성용!AE1085</f>
        <v>0</v>
      </c>
      <c r="S1088" s="253" t="str">
        <f>작성용!AF1085</f>
        <v>신규</v>
      </c>
      <c r="T1088" s="268" t="str">
        <f>작성용!AG1085</f>
        <v>오영석</v>
      </c>
      <c r="U1088" s="268" t="str">
        <f>작성용!AH1085</f>
        <v>오영석</v>
      </c>
      <c r="V1088" s="252">
        <f>작성용!AA1085</f>
        <v>202411</v>
      </c>
      <c r="W1088" s="253" t="str">
        <f>작성용!AC1085</f>
        <v>[Y]금융기관</v>
      </c>
      <c r="X1088" s="253" t="str">
        <f>작성용!O1085</f>
        <v>김주희매니저</v>
      </c>
      <c r="Y1088" s="253" t="str">
        <f>작성용!P1085</f>
        <v>02-6205-2640</v>
      </c>
      <c r="Z1088" s="253" t="str">
        <f>작성용!Q1085</f>
        <v>juhee@miraeasset.com</v>
      </c>
      <c r="AA1088" s="252" t="str">
        <f>작성용!AJ1085</f>
        <v>국민연금제출</v>
      </c>
      <c r="AB1088" s="252">
        <f>작성용!AB1085</f>
        <v>0</v>
      </c>
    </row>
    <row r="1089" spans="1:28" s="12" customFormat="1" ht="16.5" customHeight="1" x14ac:dyDescent="0.3">
      <c r="A1089" s="54">
        <f>작성용!AL1086</f>
        <v>1085</v>
      </c>
      <c r="B1089" s="264" t="str">
        <f>작성용!AI1086</f>
        <v>-</v>
      </c>
      <c r="C1089" s="252" t="str">
        <f>작성용!AK1086</f>
        <v>개별종목</v>
      </c>
      <c r="D1089" s="265">
        <f>작성용!T1086</f>
        <v>45596</v>
      </c>
      <c r="E1089" s="253" t="str">
        <f>작성용!B1086</f>
        <v>미래에셋벤처투자</v>
      </c>
      <c r="F1089" s="253" t="str">
        <f>작성용!C1086</f>
        <v>신규</v>
      </c>
      <c r="G1089" s="253" t="str">
        <f>작성용!D1086</f>
        <v>Cohere, Inc.</v>
      </c>
      <c r="H1089" s="266" t="str">
        <f>작성용!E1086</f>
        <v>KBP2024060048</v>
      </c>
      <c r="I1089" s="253" t="str">
        <f>작성용!F1086</f>
        <v>A05</v>
      </c>
      <c r="J1089" s="253">
        <f>작성용!G1086</f>
        <v>77</v>
      </c>
      <c r="K1089" s="253" t="str">
        <f>작성용!H1086</f>
        <v>-</v>
      </c>
      <c r="L1089" s="253" t="str">
        <f>작성용!N1086</f>
        <v>미정</v>
      </c>
      <c r="M1089" s="265" t="str">
        <f>작성용!U1086</f>
        <v>2024.09.30</v>
      </c>
      <c r="N1089" s="277">
        <f>작성용!V1086</f>
        <v>45609</v>
      </c>
      <c r="O1089" s="277">
        <f>작성용!W1086</f>
        <v>45616</v>
      </c>
      <c r="P1089" s="265" t="str">
        <f>작성용!X1086</f>
        <v>-</v>
      </c>
      <c r="Q1089" s="253" t="str">
        <f>작성용!AD1086</f>
        <v>오영석</v>
      </c>
      <c r="R1089" s="267">
        <f>작성용!AE1086</f>
        <v>1</v>
      </c>
      <c r="S1089" s="253" t="str">
        <f>작성용!AF1086</f>
        <v>신규</v>
      </c>
      <c r="T1089" s="268" t="str">
        <f>작성용!AG1086</f>
        <v>오영석</v>
      </c>
      <c r="U1089" s="268" t="str">
        <f>작성용!AH1086</f>
        <v>오영석</v>
      </c>
      <c r="V1089" s="252">
        <f>작성용!AA1086</f>
        <v>202411</v>
      </c>
      <c r="W1089" s="253" t="str">
        <f>작성용!AC1086</f>
        <v>[Y]금융기관</v>
      </c>
      <c r="X1089" s="253" t="str">
        <f>작성용!O1086</f>
        <v>김주희매니저</v>
      </c>
      <c r="Y1089" s="253" t="str">
        <f>작성용!P1086</f>
        <v>02-6205-2640</v>
      </c>
      <c r="Z1089" s="253" t="str">
        <f>작성용!Q1086</f>
        <v>juhee@miraeasset.com</v>
      </c>
      <c r="AA1089" s="252" t="str">
        <f>작성용!AJ1086</f>
        <v>국민연금제출</v>
      </c>
      <c r="AB1089" s="252">
        <f>작성용!AB1086</f>
        <v>0</v>
      </c>
    </row>
    <row r="1090" spans="1:28" s="12" customFormat="1" ht="16.5" customHeight="1" x14ac:dyDescent="0.3">
      <c r="A1090" s="54">
        <f>작성용!AL1087</f>
        <v>1086</v>
      </c>
      <c r="B1090" s="264" t="str">
        <f>작성용!AI1087</f>
        <v>-</v>
      </c>
      <c r="C1090" s="252" t="str">
        <f>작성용!AK1087</f>
        <v>개별종목</v>
      </c>
      <c r="D1090" s="265">
        <f>작성용!T1087</f>
        <v>45596</v>
      </c>
      <c r="E1090" s="253" t="str">
        <f>작성용!B1087</f>
        <v>미래에셋벤처투자</v>
      </c>
      <c r="F1090" s="253" t="str">
        <f>작성용!C1087</f>
        <v>신규</v>
      </c>
      <c r="G1090" s="253" t="str">
        <f>작성용!D1087</f>
        <v>파트리지시스템즈</v>
      </c>
      <c r="H1090" s="266">
        <f>작성용!E1087</f>
        <v>1345110479615</v>
      </c>
      <c r="I1090" s="253" t="str">
        <f>작성용!F1087</f>
        <v>A04</v>
      </c>
      <c r="J1090" s="253">
        <f>작성용!G1087</f>
        <v>77</v>
      </c>
      <c r="K1090" s="253" t="str">
        <f>작성용!H1087</f>
        <v>-</v>
      </c>
      <c r="L1090" s="253" t="str">
        <f>작성용!N1087</f>
        <v>미정</v>
      </c>
      <c r="M1090" s="265" t="str">
        <f>작성용!U1087</f>
        <v>2024.09.30</v>
      </c>
      <c r="N1090" s="277">
        <f>작성용!V1087</f>
        <v>45609</v>
      </c>
      <c r="O1090" s="277">
        <f>작성용!W1087</f>
        <v>45616</v>
      </c>
      <c r="P1090" s="265" t="str">
        <f>작성용!X1087</f>
        <v>-</v>
      </c>
      <c r="Q1090" s="253" t="str">
        <f>작성용!AD1087</f>
        <v>원정우</v>
      </c>
      <c r="R1090" s="267">
        <f>작성용!AE1087</f>
        <v>1</v>
      </c>
      <c r="S1090" s="253" t="str">
        <f>작성용!AF1087</f>
        <v>신규</v>
      </c>
      <c r="T1090" s="268" t="str">
        <f>작성용!AG1087</f>
        <v>오영석</v>
      </c>
      <c r="U1090" s="268" t="str">
        <f>작성용!AH1087</f>
        <v>오영석</v>
      </c>
      <c r="V1090" s="252">
        <f>작성용!AA1087</f>
        <v>202411</v>
      </c>
      <c r="W1090" s="253" t="str">
        <f>작성용!AC1087</f>
        <v>[Y]금융기관</v>
      </c>
      <c r="X1090" s="253" t="str">
        <f>작성용!O1087</f>
        <v>김주희매니저</v>
      </c>
      <c r="Y1090" s="253" t="str">
        <f>작성용!P1087</f>
        <v>02-6205-2640</v>
      </c>
      <c r="Z1090" s="253" t="str">
        <f>작성용!Q1087</f>
        <v>juhee@miraeasset.com</v>
      </c>
      <c r="AA1090" s="252" t="str">
        <f>작성용!AJ1087</f>
        <v>국민연금제출</v>
      </c>
      <c r="AB1090" s="252">
        <f>작성용!AB1087</f>
        <v>0</v>
      </c>
    </row>
    <row r="1091" spans="1:28" s="12" customFormat="1" ht="16.5" customHeight="1" x14ac:dyDescent="0.3">
      <c r="A1091" s="54">
        <f>작성용!AL1088</f>
        <v>1087</v>
      </c>
      <c r="B1091" s="264" t="str">
        <f>작성용!AI1088</f>
        <v>-</v>
      </c>
      <c r="C1091" s="252" t="str">
        <f>작성용!AK1088</f>
        <v>개별종목</v>
      </c>
      <c r="D1091" s="265">
        <f>작성용!T1088</f>
        <v>45596</v>
      </c>
      <c r="E1091" s="253" t="str">
        <f>작성용!B1088</f>
        <v>미래에셋벤처투자</v>
      </c>
      <c r="F1091" s="253" t="str">
        <f>작성용!C1088</f>
        <v>신규</v>
      </c>
      <c r="G1091" s="253" t="str">
        <f>작성용!D1088</f>
        <v>레드랩게임즈</v>
      </c>
      <c r="H1091" s="266">
        <f>작성용!E1088</f>
        <v>1101117828192</v>
      </c>
      <c r="I1091" s="253" t="str">
        <f>작성용!F1088</f>
        <v>A04</v>
      </c>
      <c r="J1091" s="253">
        <f>작성용!G1088</f>
        <v>77</v>
      </c>
      <c r="K1091" s="253" t="str">
        <f>작성용!H1088</f>
        <v>-</v>
      </c>
      <c r="L1091" s="253" t="str">
        <f>작성용!N1088</f>
        <v>미정</v>
      </c>
      <c r="M1091" s="265" t="str">
        <f>작성용!U1088</f>
        <v>2024.09.30</v>
      </c>
      <c r="N1091" s="277">
        <f>작성용!V1088</f>
        <v>45609</v>
      </c>
      <c r="O1091" s="277">
        <f>작성용!W1088</f>
        <v>45616</v>
      </c>
      <c r="P1091" s="265" t="str">
        <f>작성용!X1088</f>
        <v>-</v>
      </c>
      <c r="Q1091" s="253" t="str">
        <f>작성용!AD1088</f>
        <v>채동우</v>
      </c>
      <c r="R1091" s="267">
        <f>작성용!AE1088</f>
        <v>1</v>
      </c>
      <c r="S1091" s="253" t="str">
        <f>작성용!AF1088</f>
        <v>신규</v>
      </c>
      <c r="T1091" s="268" t="str">
        <f>작성용!AG1088</f>
        <v>오영석</v>
      </c>
      <c r="U1091" s="268" t="str">
        <f>작성용!AH1088</f>
        <v>오영석</v>
      </c>
      <c r="V1091" s="252">
        <f>작성용!AA1088</f>
        <v>202411</v>
      </c>
      <c r="W1091" s="253" t="str">
        <f>작성용!AC1088</f>
        <v>[Y]금융기관</v>
      </c>
      <c r="X1091" s="253" t="str">
        <f>작성용!O1088</f>
        <v>김주희매니저</v>
      </c>
      <c r="Y1091" s="253" t="str">
        <f>작성용!P1088</f>
        <v>02-6205-2640</v>
      </c>
      <c r="Z1091" s="253" t="str">
        <f>작성용!Q1088</f>
        <v>juhee@miraeasset.com</v>
      </c>
      <c r="AA1091" s="252" t="str">
        <f>작성용!AJ1088</f>
        <v>국민연금제출</v>
      </c>
      <c r="AB1091" s="252">
        <f>작성용!AB1088</f>
        <v>0</v>
      </c>
    </row>
    <row r="1092" spans="1:28" s="12" customFormat="1" ht="16.5" customHeight="1" x14ac:dyDescent="0.3">
      <c r="A1092" s="54">
        <f>작성용!AL1089</f>
        <v>1088</v>
      </c>
      <c r="B1092" s="264" t="str">
        <f>작성용!AI1089</f>
        <v>-</v>
      </c>
      <c r="C1092" s="252" t="str">
        <f>작성용!AK1089</f>
        <v>개별종목</v>
      </c>
      <c r="D1092" s="265">
        <f>작성용!T1089</f>
        <v>45596</v>
      </c>
      <c r="E1092" s="253" t="str">
        <f>작성용!B1089</f>
        <v>미래에셋벤처투자</v>
      </c>
      <c r="F1092" s="253" t="str">
        <f>작성용!C1089</f>
        <v>신규</v>
      </c>
      <c r="G1092" s="253" t="str">
        <f>작성용!D1089</f>
        <v>언박서즈</v>
      </c>
      <c r="H1092" s="266">
        <f>작성용!E1089</f>
        <v>1101118247002</v>
      </c>
      <c r="I1092" s="253" t="str">
        <f>작성용!F1089</f>
        <v>D06</v>
      </c>
      <c r="J1092" s="253">
        <f>작성용!G1089</f>
        <v>77</v>
      </c>
      <c r="K1092" s="253" t="str">
        <f>작성용!H1089</f>
        <v>-</v>
      </c>
      <c r="L1092" s="253" t="str">
        <f>작성용!N1089</f>
        <v>미정</v>
      </c>
      <c r="M1092" s="265" t="str">
        <f>작성용!U1089</f>
        <v>2024.09.30</v>
      </c>
      <c r="N1092" s="277">
        <f>작성용!V1089</f>
        <v>45609</v>
      </c>
      <c r="O1092" s="277">
        <f>작성용!W1089</f>
        <v>45616</v>
      </c>
      <c r="P1092" s="265" t="str">
        <f>작성용!X1089</f>
        <v>-</v>
      </c>
      <c r="Q1092" s="253" t="str">
        <f>작성용!AD1089</f>
        <v>정재형</v>
      </c>
      <c r="R1092" s="267">
        <f>작성용!AE1089</f>
        <v>1</v>
      </c>
      <c r="S1092" s="253" t="str">
        <f>작성용!AF1089</f>
        <v>신규</v>
      </c>
      <c r="T1092" s="268" t="str">
        <f>작성용!AG1089</f>
        <v>오영석</v>
      </c>
      <c r="U1092" s="268" t="str">
        <f>작성용!AH1089</f>
        <v>오영석</v>
      </c>
      <c r="V1092" s="252">
        <f>작성용!AA1089</f>
        <v>202411</v>
      </c>
      <c r="W1092" s="253" t="str">
        <f>작성용!AC1089</f>
        <v>[Y]금융기관</v>
      </c>
      <c r="X1092" s="253" t="str">
        <f>작성용!O1089</f>
        <v>김주희매니저</v>
      </c>
      <c r="Y1092" s="253" t="str">
        <f>작성용!P1089</f>
        <v>02-6205-2640</v>
      </c>
      <c r="Z1092" s="253" t="str">
        <f>작성용!Q1089</f>
        <v>juhee@miraeasset.com</v>
      </c>
      <c r="AA1092" s="252" t="str">
        <f>작성용!AJ1089</f>
        <v>국민연금제출</v>
      </c>
      <c r="AB1092" s="252">
        <f>작성용!AB1089</f>
        <v>0</v>
      </c>
    </row>
    <row r="1093" spans="1:28" s="12" customFormat="1" ht="16.5" customHeight="1" x14ac:dyDescent="0.3">
      <c r="A1093" s="54">
        <f>작성용!AL1090</f>
        <v>1089</v>
      </c>
      <c r="B1093" s="264" t="str">
        <f>작성용!AI1090</f>
        <v>-</v>
      </c>
      <c r="C1093" s="252" t="str">
        <f>작성용!AK1090</f>
        <v>개별종목</v>
      </c>
      <c r="D1093" s="265">
        <f>작성용!T1090</f>
        <v>45596</v>
      </c>
      <c r="E1093" s="253" t="str">
        <f>작성용!B1090</f>
        <v>미래에셋벤처투자</v>
      </c>
      <c r="F1093" s="253" t="str">
        <f>작성용!C1090</f>
        <v>신규</v>
      </c>
      <c r="G1093" s="253" t="str">
        <f>작성용!D1090</f>
        <v>크리모</v>
      </c>
      <c r="H1093" s="266">
        <f>작성용!E1090</f>
        <v>1717110129302</v>
      </c>
      <c r="I1093" s="253" t="str">
        <f>작성용!F1090</f>
        <v>A04</v>
      </c>
      <c r="J1093" s="253">
        <f>작성용!G1090</f>
        <v>77</v>
      </c>
      <c r="K1093" s="253" t="str">
        <f>작성용!H1090</f>
        <v>-</v>
      </c>
      <c r="L1093" s="253" t="str">
        <f>작성용!N1090</f>
        <v>미정</v>
      </c>
      <c r="M1093" s="265" t="str">
        <f>작성용!U1090</f>
        <v>2024.09.30</v>
      </c>
      <c r="N1093" s="277">
        <f>작성용!V1090</f>
        <v>45609</v>
      </c>
      <c r="O1093" s="277">
        <f>작성용!W1090</f>
        <v>45616</v>
      </c>
      <c r="P1093" s="265" t="str">
        <f>작성용!X1090</f>
        <v>-</v>
      </c>
      <c r="Q1093" s="253" t="str">
        <f>작성용!AD1090</f>
        <v>오수현</v>
      </c>
      <c r="R1093" s="267">
        <f>작성용!AE1090</f>
        <v>1</v>
      </c>
      <c r="S1093" s="253" t="str">
        <f>작성용!AF1090</f>
        <v>신규</v>
      </c>
      <c r="T1093" s="268" t="str">
        <f>작성용!AG1090</f>
        <v>오영석</v>
      </c>
      <c r="U1093" s="268" t="str">
        <f>작성용!AH1090</f>
        <v>오영석</v>
      </c>
      <c r="V1093" s="252">
        <f>작성용!AA1090</f>
        <v>202411</v>
      </c>
      <c r="W1093" s="253" t="str">
        <f>작성용!AC1090</f>
        <v>[Y]금융기관</v>
      </c>
      <c r="X1093" s="253" t="str">
        <f>작성용!O1090</f>
        <v>김주희매니저</v>
      </c>
      <c r="Y1093" s="253" t="str">
        <f>작성용!P1090</f>
        <v>02-6205-2640</v>
      </c>
      <c r="Z1093" s="253" t="str">
        <f>작성용!Q1090</f>
        <v>juhee@miraeasset.com</v>
      </c>
      <c r="AA1093" s="252" t="str">
        <f>작성용!AJ1090</f>
        <v>국민연금제출</v>
      </c>
      <c r="AB1093" s="252">
        <f>작성용!AB1090</f>
        <v>0</v>
      </c>
    </row>
    <row r="1094" spans="1:28" s="12" customFormat="1" ht="16.5" customHeight="1" x14ac:dyDescent="0.3">
      <c r="A1094" s="54">
        <f>작성용!AL1091</f>
        <v>1090</v>
      </c>
      <c r="B1094" s="264" t="str">
        <f>작성용!AI1091</f>
        <v>-</v>
      </c>
      <c r="C1094" s="252" t="str">
        <f>작성용!AK1091</f>
        <v>개별종목</v>
      </c>
      <c r="D1094" s="265">
        <f>작성용!T1091</f>
        <v>45596</v>
      </c>
      <c r="E1094" s="253" t="str">
        <f>작성용!B1091</f>
        <v>미래에셋벤처투자</v>
      </c>
      <c r="F1094" s="253" t="str">
        <f>작성용!C1091</f>
        <v>신규</v>
      </c>
      <c r="G1094" s="253" t="str">
        <f>작성용!D1091</f>
        <v>Septerna, Inc.</v>
      </c>
      <c r="H1094" s="266" t="str">
        <f>작성용!E1091</f>
        <v>KBP2024030028</v>
      </c>
      <c r="I1094" s="253" t="str">
        <f>작성용!F1091</f>
        <v>A05</v>
      </c>
      <c r="J1094" s="253">
        <f>작성용!G1091</f>
        <v>77</v>
      </c>
      <c r="K1094" s="253" t="str">
        <f>작성용!H1091</f>
        <v>-</v>
      </c>
      <c r="L1094" s="253" t="str">
        <f>작성용!N1091</f>
        <v>미정</v>
      </c>
      <c r="M1094" s="265" t="str">
        <f>작성용!U1091</f>
        <v>2024.09.30</v>
      </c>
      <c r="N1094" s="277">
        <f>작성용!V1091</f>
        <v>45609</v>
      </c>
      <c r="O1094" s="277">
        <f>작성용!W1091</f>
        <v>45616</v>
      </c>
      <c r="P1094" s="265" t="str">
        <f>작성용!X1091</f>
        <v>-</v>
      </c>
      <c r="Q1094" s="253" t="str">
        <f>작성용!AD1091</f>
        <v>윤광일</v>
      </c>
      <c r="R1094" s="267">
        <f>작성용!AE1091</f>
        <v>1</v>
      </c>
      <c r="S1094" s="253" t="str">
        <f>작성용!AF1091</f>
        <v>신규</v>
      </c>
      <c r="T1094" s="268" t="str">
        <f>작성용!AG1091</f>
        <v>오영석</v>
      </c>
      <c r="U1094" s="268" t="str">
        <f>작성용!AH1091</f>
        <v>오영석</v>
      </c>
      <c r="V1094" s="252">
        <f>작성용!AA1091</f>
        <v>202411</v>
      </c>
      <c r="W1094" s="253" t="str">
        <f>작성용!AC1091</f>
        <v>[Y]금융기관</v>
      </c>
      <c r="X1094" s="253" t="str">
        <f>작성용!O1091</f>
        <v>김주희매니저</v>
      </c>
      <c r="Y1094" s="253" t="str">
        <f>작성용!P1091</f>
        <v>02-6205-2640</v>
      </c>
      <c r="Z1094" s="253" t="str">
        <f>작성용!Q1091</f>
        <v>juhee@miraeasset.com</v>
      </c>
      <c r="AA1094" s="252" t="str">
        <f>작성용!AJ1091</f>
        <v>국민연금제출</v>
      </c>
      <c r="AB1094" s="252">
        <f>작성용!AB1091</f>
        <v>0</v>
      </c>
    </row>
    <row r="1095" spans="1:28" s="12" customFormat="1" ht="16.5" customHeight="1" x14ac:dyDescent="0.3">
      <c r="A1095" s="54">
        <f>작성용!AL1092</f>
        <v>1091</v>
      </c>
      <c r="B1095" s="264" t="str">
        <f>작성용!AI1092</f>
        <v>-</v>
      </c>
      <c r="C1095" s="252" t="str">
        <f>작성용!AK1092</f>
        <v>개별종목</v>
      </c>
      <c r="D1095" s="265">
        <f>작성용!T1092</f>
        <v>45596</v>
      </c>
      <c r="E1095" s="253" t="str">
        <f>작성용!B1092</f>
        <v>미래에셋벤처투자</v>
      </c>
      <c r="F1095" s="253" t="str">
        <f>작성용!C1092</f>
        <v>신규</v>
      </c>
      <c r="G1095" s="253" t="str">
        <f>작성용!D1092</f>
        <v>이노레이</v>
      </c>
      <c r="H1095" s="266">
        <f>작성용!E1092</f>
        <v>1601110533318</v>
      </c>
      <c r="I1095" s="253" t="str">
        <f>작성용!F1092</f>
        <v>A04</v>
      </c>
      <c r="J1095" s="253">
        <f>작성용!G1092</f>
        <v>77</v>
      </c>
      <c r="K1095" s="253" t="str">
        <f>작성용!H1092</f>
        <v>-</v>
      </c>
      <c r="L1095" s="253" t="str">
        <f>작성용!N1092</f>
        <v>미정</v>
      </c>
      <c r="M1095" s="265" t="str">
        <f>작성용!U1092</f>
        <v>2024.09.30</v>
      </c>
      <c r="N1095" s="277">
        <f>작성용!V1092</f>
        <v>45609</v>
      </c>
      <c r="O1095" s="277">
        <f>작성용!W1092</f>
        <v>45616</v>
      </c>
      <c r="P1095" s="265" t="str">
        <f>작성용!X1092</f>
        <v>-</v>
      </c>
      <c r="Q1095" s="253" t="str">
        <f>작성용!AD1092</f>
        <v>김에스더</v>
      </c>
      <c r="R1095" s="267">
        <f>작성용!AE1092</f>
        <v>1</v>
      </c>
      <c r="S1095" s="253" t="str">
        <f>작성용!AF1092</f>
        <v>신규</v>
      </c>
      <c r="T1095" s="268" t="str">
        <f>작성용!AG1092</f>
        <v>오영석</v>
      </c>
      <c r="U1095" s="268" t="str">
        <f>작성용!AH1092</f>
        <v>오영석</v>
      </c>
      <c r="V1095" s="252">
        <f>작성용!AA1092</f>
        <v>202411</v>
      </c>
      <c r="W1095" s="253" t="str">
        <f>작성용!AC1092</f>
        <v>[Y]금융기관</v>
      </c>
      <c r="X1095" s="253" t="str">
        <f>작성용!O1092</f>
        <v>김주희매니저</v>
      </c>
      <c r="Y1095" s="253" t="str">
        <f>작성용!P1092</f>
        <v>02-6205-2640</v>
      </c>
      <c r="Z1095" s="253" t="str">
        <f>작성용!Q1092</f>
        <v>juhee@miraeasset.com</v>
      </c>
      <c r="AA1095" s="252" t="str">
        <f>작성용!AJ1092</f>
        <v>국민연금제출</v>
      </c>
      <c r="AB1095" s="252">
        <f>작성용!AB1092</f>
        <v>0</v>
      </c>
    </row>
    <row r="1096" spans="1:28" s="12" customFormat="1" ht="16.5" customHeight="1" x14ac:dyDescent="0.3">
      <c r="A1096" s="54">
        <f>작성용!AL1093</f>
        <v>1092</v>
      </c>
      <c r="B1096" s="264" t="str">
        <f>작성용!AI1093</f>
        <v>-</v>
      </c>
      <c r="C1096" s="252" t="str">
        <f>작성용!AK1093</f>
        <v>개별종목</v>
      </c>
      <c r="D1096" s="265">
        <f>작성용!T1093</f>
        <v>45596</v>
      </c>
      <c r="E1096" s="253" t="str">
        <f>작성용!B1093</f>
        <v>미래에셋벤처투자</v>
      </c>
      <c r="F1096" s="253" t="str">
        <f>작성용!C1093</f>
        <v>신규</v>
      </c>
      <c r="G1096" s="253" t="str">
        <f>작성용!D1093</f>
        <v>피스피스스튜디오</v>
      </c>
      <c r="H1096" s="266">
        <f>작성용!E1093</f>
        <v>1101117572145</v>
      </c>
      <c r="I1096" s="253" t="str">
        <f>작성용!F1093</f>
        <v>A01</v>
      </c>
      <c r="J1096" s="253">
        <f>작성용!G1093</f>
        <v>0</v>
      </c>
      <c r="K1096" s="253" t="str">
        <f>작성용!H1093</f>
        <v>-</v>
      </c>
      <c r="L1096" s="253" t="str">
        <f>작성용!N1093</f>
        <v>미정</v>
      </c>
      <c r="M1096" s="265" t="str">
        <f>작성용!U1093</f>
        <v>2024.09.30</v>
      </c>
      <c r="N1096" s="277">
        <f>작성용!V1093</f>
        <v>45609</v>
      </c>
      <c r="O1096" s="277">
        <f>작성용!W1093</f>
        <v>45616</v>
      </c>
      <c r="P1096" s="265" t="str">
        <f>작성용!X1093</f>
        <v>-</v>
      </c>
      <c r="Q1096" s="253" t="str">
        <f>작성용!AD1093</f>
        <v>윤광일</v>
      </c>
      <c r="R1096" s="267">
        <f>작성용!AE1093</f>
        <v>1</v>
      </c>
      <c r="S1096" s="253" t="str">
        <f>작성용!AF1093</f>
        <v>신규</v>
      </c>
      <c r="T1096" s="268" t="str">
        <f>작성용!AG1093</f>
        <v>오영석</v>
      </c>
      <c r="U1096" s="268" t="str">
        <f>작성용!AH1093</f>
        <v>오영석</v>
      </c>
      <c r="V1096" s="252">
        <f>작성용!AA1093</f>
        <v>202411</v>
      </c>
      <c r="W1096" s="253" t="str">
        <f>작성용!AC1093</f>
        <v>[Y]금융기관</v>
      </c>
      <c r="X1096" s="253" t="str">
        <f>작성용!O1093</f>
        <v>김주희매니저</v>
      </c>
      <c r="Y1096" s="253" t="str">
        <f>작성용!P1093</f>
        <v>02-6205-2640</v>
      </c>
      <c r="Z1096" s="253" t="str">
        <f>작성용!Q1093</f>
        <v>juhee@miraeasset.com</v>
      </c>
      <c r="AA1096" s="252" t="str">
        <f>작성용!AJ1093</f>
        <v>국민연금제출</v>
      </c>
      <c r="AB1096" s="252">
        <f>작성용!AB1093</f>
        <v>0</v>
      </c>
    </row>
    <row r="1097" spans="1:28" s="12" customFormat="1" ht="16.5" customHeight="1" x14ac:dyDescent="0.3">
      <c r="A1097" s="54">
        <f>작성용!AL1094</f>
        <v>1093</v>
      </c>
      <c r="B1097" s="264" t="str">
        <f>작성용!AI1094</f>
        <v>-</v>
      </c>
      <c r="C1097" s="252" t="str">
        <f>작성용!AK1094</f>
        <v>개별종목</v>
      </c>
      <c r="D1097" s="265">
        <f>작성용!T1094</f>
        <v>45596</v>
      </c>
      <c r="E1097" s="253" t="str">
        <f>작성용!B1094</f>
        <v>미래에셋벤처투자</v>
      </c>
      <c r="F1097" s="253" t="str">
        <f>작성용!C1094</f>
        <v>신규</v>
      </c>
      <c r="G1097" s="253" t="str">
        <f>작성용!D1094</f>
        <v>피스피스스튜디오</v>
      </c>
      <c r="H1097" s="266">
        <f>작성용!E1094</f>
        <v>1101117572145</v>
      </c>
      <c r="I1097" s="253" t="str">
        <f>작성용!F1094</f>
        <v>A04</v>
      </c>
      <c r="J1097" s="253">
        <f>작성용!G1094</f>
        <v>77</v>
      </c>
      <c r="K1097" s="253" t="str">
        <f>작성용!H1094</f>
        <v>-</v>
      </c>
      <c r="L1097" s="253" t="str">
        <f>작성용!N1094</f>
        <v>미정</v>
      </c>
      <c r="M1097" s="265" t="str">
        <f>작성용!U1094</f>
        <v>2024.09.30</v>
      </c>
      <c r="N1097" s="277">
        <f>작성용!V1094</f>
        <v>45609</v>
      </c>
      <c r="O1097" s="277">
        <f>작성용!W1094</f>
        <v>45616</v>
      </c>
      <c r="P1097" s="265" t="str">
        <f>작성용!X1094</f>
        <v>-</v>
      </c>
      <c r="Q1097" s="253" t="str">
        <f>작성용!AD1094</f>
        <v>윤광일</v>
      </c>
      <c r="R1097" s="267">
        <f>작성용!AE1094</f>
        <v>0</v>
      </c>
      <c r="S1097" s="253" t="str">
        <f>작성용!AF1094</f>
        <v>신규</v>
      </c>
      <c r="T1097" s="268" t="str">
        <f>작성용!AG1094</f>
        <v>오영석</v>
      </c>
      <c r="U1097" s="268" t="str">
        <f>작성용!AH1094</f>
        <v>오영석</v>
      </c>
      <c r="V1097" s="252">
        <f>작성용!AA1094</f>
        <v>202411</v>
      </c>
      <c r="W1097" s="253" t="str">
        <f>작성용!AC1094</f>
        <v>[Y]금융기관</v>
      </c>
      <c r="X1097" s="253" t="str">
        <f>작성용!O1094</f>
        <v>김주희매니저</v>
      </c>
      <c r="Y1097" s="253" t="str">
        <f>작성용!P1094</f>
        <v>02-6205-2640</v>
      </c>
      <c r="Z1097" s="253" t="str">
        <f>작성용!Q1094</f>
        <v>juhee@miraeasset.com</v>
      </c>
      <c r="AA1097" s="252" t="str">
        <f>작성용!AJ1094</f>
        <v>국민연금제출</v>
      </c>
      <c r="AB1097" s="252">
        <f>작성용!AB1094</f>
        <v>0</v>
      </c>
    </row>
    <row r="1098" spans="1:28" s="12" customFormat="1" ht="16.5" customHeight="1" x14ac:dyDescent="0.3">
      <c r="A1098" s="54">
        <f>작성용!AL1095</f>
        <v>1094</v>
      </c>
      <c r="B1098" s="264" t="str">
        <f>작성용!AI1095</f>
        <v>-</v>
      </c>
      <c r="C1098" s="252" t="str">
        <f>작성용!AK1095</f>
        <v>개별종목</v>
      </c>
      <c r="D1098" s="265">
        <f>작성용!T1095</f>
        <v>45596</v>
      </c>
      <c r="E1098" s="253" t="str">
        <f>작성용!B1095</f>
        <v>미래에셋벤처투자</v>
      </c>
      <c r="F1098" s="253" t="str">
        <f>작성용!C1095</f>
        <v>신규</v>
      </c>
      <c r="G1098" s="253" t="str">
        <f>작성용!D1095</f>
        <v>스카이칩스</v>
      </c>
      <c r="H1098" s="266">
        <f>작성용!E1095</f>
        <v>1358110365396</v>
      </c>
      <c r="I1098" s="253" t="str">
        <f>작성용!F1095</f>
        <v>A04</v>
      </c>
      <c r="J1098" s="253">
        <f>작성용!G1095</f>
        <v>77</v>
      </c>
      <c r="K1098" s="253" t="str">
        <f>작성용!H1095</f>
        <v>-</v>
      </c>
      <c r="L1098" s="253" t="str">
        <f>작성용!N1095</f>
        <v>미정</v>
      </c>
      <c r="M1098" s="265" t="str">
        <f>작성용!U1095</f>
        <v>2024.09.30</v>
      </c>
      <c r="N1098" s="277">
        <f>작성용!V1095</f>
        <v>45609</v>
      </c>
      <c r="O1098" s="277">
        <f>작성용!W1095</f>
        <v>45616</v>
      </c>
      <c r="P1098" s="265" t="str">
        <f>작성용!X1095</f>
        <v>-</v>
      </c>
      <c r="Q1098" s="253" t="str">
        <f>작성용!AD1095</f>
        <v>신원준</v>
      </c>
      <c r="R1098" s="267">
        <f>작성용!AE1095</f>
        <v>1</v>
      </c>
      <c r="S1098" s="253" t="str">
        <f>작성용!AF1095</f>
        <v>신규</v>
      </c>
      <c r="T1098" s="268" t="str">
        <f>작성용!AG1095</f>
        <v>오영석</v>
      </c>
      <c r="U1098" s="268" t="str">
        <f>작성용!AH1095</f>
        <v>오영석</v>
      </c>
      <c r="V1098" s="252">
        <f>작성용!AA1095</f>
        <v>202411</v>
      </c>
      <c r="W1098" s="253" t="str">
        <f>작성용!AC1095</f>
        <v>[Y]금융기관</v>
      </c>
      <c r="X1098" s="253" t="str">
        <f>작성용!O1095</f>
        <v>김주희매니저</v>
      </c>
      <c r="Y1098" s="253" t="str">
        <f>작성용!P1095</f>
        <v>02-6205-2640</v>
      </c>
      <c r="Z1098" s="253" t="str">
        <f>작성용!Q1095</f>
        <v>juhee@miraeasset.com</v>
      </c>
      <c r="AA1098" s="252" t="str">
        <f>작성용!AJ1095</f>
        <v>국민연금제출</v>
      </c>
      <c r="AB1098" s="252">
        <f>작성용!AB1095</f>
        <v>0</v>
      </c>
    </row>
    <row r="1099" spans="1:28" s="12" customFormat="1" ht="16.5" customHeight="1" x14ac:dyDescent="0.3">
      <c r="A1099" s="54">
        <f>작성용!AL1096</f>
        <v>1095</v>
      </c>
      <c r="B1099" s="264" t="str">
        <f>작성용!AI1096</f>
        <v>-</v>
      </c>
      <c r="C1099" s="252" t="str">
        <f>작성용!AK1096</f>
        <v>개별종목</v>
      </c>
      <c r="D1099" s="265">
        <f>작성용!T1096</f>
        <v>45596</v>
      </c>
      <c r="E1099" s="253" t="str">
        <f>작성용!B1096</f>
        <v>미래에셋벤처투자</v>
      </c>
      <c r="F1099" s="253" t="str">
        <f>작성용!C1096</f>
        <v>신규</v>
      </c>
      <c r="G1099" s="253" t="str">
        <f>작성용!D1096</f>
        <v>Aquabyte, Inc.</v>
      </c>
      <c r="H1099" s="266" t="str">
        <f>작성용!E1096</f>
        <v>KBP2024110009</v>
      </c>
      <c r="I1099" s="253" t="str">
        <f>작성용!F1096</f>
        <v>A04</v>
      </c>
      <c r="J1099" s="253">
        <f>작성용!G1096</f>
        <v>77</v>
      </c>
      <c r="K1099" s="253" t="str">
        <f>작성용!H1096</f>
        <v>-</v>
      </c>
      <c r="L1099" s="253" t="str">
        <f>작성용!N1096</f>
        <v>미정</v>
      </c>
      <c r="M1099" s="265" t="str">
        <f>작성용!U1096</f>
        <v>2024.09.30</v>
      </c>
      <c r="N1099" s="277">
        <f>작성용!V1096</f>
        <v>45609</v>
      </c>
      <c r="O1099" s="277">
        <f>작성용!W1096</f>
        <v>45616</v>
      </c>
      <c r="P1099" s="265" t="str">
        <f>작성용!X1096</f>
        <v>-</v>
      </c>
      <c r="Q1099" s="253" t="str">
        <f>작성용!AD1096</f>
        <v>이진주</v>
      </c>
      <c r="R1099" s="267">
        <f>작성용!AE1096</f>
        <v>1</v>
      </c>
      <c r="S1099" s="253" t="str">
        <f>작성용!AF1096</f>
        <v>신규</v>
      </c>
      <c r="T1099" s="268" t="str">
        <f>작성용!AG1096</f>
        <v>오영석</v>
      </c>
      <c r="U1099" s="268" t="str">
        <f>작성용!AH1096</f>
        <v>오영석</v>
      </c>
      <c r="V1099" s="252">
        <f>작성용!AA1096</f>
        <v>202411</v>
      </c>
      <c r="W1099" s="253" t="str">
        <f>작성용!AC1096</f>
        <v>[Y]금융기관</v>
      </c>
      <c r="X1099" s="253" t="str">
        <f>작성용!O1096</f>
        <v>김주희매니저</v>
      </c>
      <c r="Y1099" s="253" t="str">
        <f>작성용!P1096</f>
        <v>02-6205-2640</v>
      </c>
      <c r="Z1099" s="253" t="str">
        <f>작성용!Q1096</f>
        <v>juhee@miraeasset.com</v>
      </c>
      <c r="AA1099" s="252" t="str">
        <f>작성용!AJ1096</f>
        <v>국민연금제출</v>
      </c>
      <c r="AB1099" s="252">
        <f>작성용!AB1096</f>
        <v>0</v>
      </c>
    </row>
    <row r="1100" spans="1:28" s="12" customFormat="1" ht="16.5" customHeight="1" x14ac:dyDescent="0.3">
      <c r="A1100" s="54">
        <f>작성용!AL1097</f>
        <v>1096</v>
      </c>
      <c r="B1100" s="264" t="str">
        <f>작성용!AI1097</f>
        <v>-</v>
      </c>
      <c r="C1100" s="252" t="str">
        <f>작성용!AK1097</f>
        <v>개별종목</v>
      </c>
      <c r="D1100" s="265">
        <f>작성용!T1097</f>
        <v>45596</v>
      </c>
      <c r="E1100" s="253" t="str">
        <f>작성용!B1097</f>
        <v>미래에셋벤처투자</v>
      </c>
      <c r="F1100" s="253" t="str">
        <f>작성용!C1097</f>
        <v>신규</v>
      </c>
      <c r="G1100" s="253" t="str">
        <f>작성용!D1097</f>
        <v>Contoro Inc.</v>
      </c>
      <c r="H1100" s="266" t="str">
        <f>작성용!E1097</f>
        <v>KBP2024110010</v>
      </c>
      <c r="I1100" s="253" t="str">
        <f>작성용!F1097</f>
        <v>A05</v>
      </c>
      <c r="J1100" s="253">
        <f>작성용!G1097</f>
        <v>77</v>
      </c>
      <c r="K1100" s="253" t="str">
        <f>작성용!H1097</f>
        <v>-</v>
      </c>
      <c r="L1100" s="253" t="str">
        <f>작성용!N1097</f>
        <v>미정</v>
      </c>
      <c r="M1100" s="265" t="str">
        <f>작성용!U1097</f>
        <v>2024.09.30</v>
      </c>
      <c r="N1100" s="277">
        <f>작성용!V1097</f>
        <v>45609</v>
      </c>
      <c r="O1100" s="277">
        <f>작성용!W1097</f>
        <v>45616</v>
      </c>
      <c r="P1100" s="265" t="str">
        <f>작성용!X1097</f>
        <v>-</v>
      </c>
      <c r="Q1100" s="253" t="str">
        <f>작성용!AD1097</f>
        <v>백형진</v>
      </c>
      <c r="R1100" s="267">
        <f>작성용!AE1097</f>
        <v>1</v>
      </c>
      <c r="S1100" s="253" t="str">
        <f>작성용!AF1097</f>
        <v>신규</v>
      </c>
      <c r="T1100" s="268" t="str">
        <f>작성용!AG1097</f>
        <v>오영석</v>
      </c>
      <c r="U1100" s="268" t="str">
        <f>작성용!AH1097</f>
        <v>오영석</v>
      </c>
      <c r="V1100" s="252">
        <f>작성용!AA1097</f>
        <v>202411</v>
      </c>
      <c r="W1100" s="253" t="str">
        <f>작성용!AC1097</f>
        <v>[Y]금융기관</v>
      </c>
      <c r="X1100" s="253" t="str">
        <f>작성용!O1097</f>
        <v>김주희매니저</v>
      </c>
      <c r="Y1100" s="253" t="str">
        <f>작성용!P1097</f>
        <v>02-6205-2640</v>
      </c>
      <c r="Z1100" s="253" t="str">
        <f>작성용!Q1097</f>
        <v>juhee@miraeasset.com</v>
      </c>
      <c r="AA1100" s="252" t="str">
        <f>작성용!AJ1097</f>
        <v>국민연금제출</v>
      </c>
      <c r="AB1100" s="252">
        <f>작성용!AB1097</f>
        <v>0</v>
      </c>
    </row>
    <row r="1101" spans="1:28" s="12" customFormat="1" ht="16.5" customHeight="1" x14ac:dyDescent="0.3">
      <c r="A1101" s="54">
        <f>작성용!AL1098</f>
        <v>1097</v>
      </c>
      <c r="B1101" s="264" t="str">
        <f>작성용!AI1098</f>
        <v>-</v>
      </c>
      <c r="C1101" s="252" t="str">
        <f>작성용!AK1098</f>
        <v>개별종목</v>
      </c>
      <c r="D1101" s="265">
        <f>작성용!T1098</f>
        <v>45596</v>
      </c>
      <c r="E1101" s="253" t="str">
        <f>작성용!B1098</f>
        <v>미래에셋벤처투자</v>
      </c>
      <c r="F1101" s="253" t="str">
        <f>작성용!C1098</f>
        <v>신규</v>
      </c>
      <c r="G1101" s="253" t="str">
        <f>작성용!D1098</f>
        <v>Foundry Technologies, Inc.</v>
      </c>
      <c r="H1101" s="266" t="str">
        <f>작성용!E1098</f>
        <v>KBP2024110011</v>
      </c>
      <c r="I1101" s="253" t="str">
        <f>작성용!F1098</f>
        <v>A04</v>
      </c>
      <c r="J1101" s="253">
        <f>작성용!G1098</f>
        <v>77</v>
      </c>
      <c r="K1101" s="253" t="str">
        <f>작성용!H1098</f>
        <v>-</v>
      </c>
      <c r="L1101" s="253" t="str">
        <f>작성용!N1098</f>
        <v>미정</v>
      </c>
      <c r="M1101" s="265" t="str">
        <f>작성용!U1098</f>
        <v>2024.09.30</v>
      </c>
      <c r="N1101" s="277">
        <f>작성용!V1098</f>
        <v>45609</v>
      </c>
      <c r="O1101" s="277">
        <f>작성용!W1098</f>
        <v>45616</v>
      </c>
      <c r="P1101" s="265" t="str">
        <f>작성용!X1098</f>
        <v>-</v>
      </c>
      <c r="Q1101" s="253" t="str">
        <f>작성용!AD1098</f>
        <v>신원준</v>
      </c>
      <c r="R1101" s="267">
        <f>작성용!AE1098</f>
        <v>1</v>
      </c>
      <c r="S1101" s="253" t="str">
        <f>작성용!AF1098</f>
        <v>신규</v>
      </c>
      <c r="T1101" s="268" t="str">
        <f>작성용!AG1098</f>
        <v>오영석</v>
      </c>
      <c r="U1101" s="268" t="str">
        <f>작성용!AH1098</f>
        <v>오영석</v>
      </c>
      <c r="V1101" s="252">
        <f>작성용!AA1098</f>
        <v>202411</v>
      </c>
      <c r="W1101" s="253" t="str">
        <f>작성용!AC1098</f>
        <v>[Y]금융기관</v>
      </c>
      <c r="X1101" s="253" t="str">
        <f>작성용!O1098</f>
        <v>김주희매니저</v>
      </c>
      <c r="Y1101" s="253" t="str">
        <f>작성용!P1098</f>
        <v>02-6205-2640</v>
      </c>
      <c r="Z1101" s="253" t="str">
        <f>작성용!Q1098</f>
        <v>juhee@miraeasset.com</v>
      </c>
      <c r="AA1101" s="252" t="str">
        <f>작성용!AJ1098</f>
        <v>국민연금제출</v>
      </c>
      <c r="AB1101" s="252">
        <f>작성용!AB1098</f>
        <v>0</v>
      </c>
    </row>
    <row r="1102" spans="1:28" s="12" customFormat="1" ht="16.5" customHeight="1" x14ac:dyDescent="0.3">
      <c r="A1102" s="54">
        <f>작성용!AL1099</f>
        <v>1098</v>
      </c>
      <c r="B1102" s="264" t="str">
        <f>작성용!AI1099</f>
        <v>-</v>
      </c>
      <c r="C1102" s="252" t="str">
        <f>작성용!AK1099</f>
        <v>개별종목</v>
      </c>
      <c r="D1102" s="265">
        <f>작성용!T1099</f>
        <v>45596</v>
      </c>
      <c r="E1102" s="253" t="str">
        <f>작성용!B1099</f>
        <v>미래에셋벤처투자</v>
      </c>
      <c r="F1102" s="253" t="str">
        <f>작성용!C1099</f>
        <v>신규</v>
      </c>
      <c r="G1102" s="253" t="str">
        <f>작성용!D1099</f>
        <v>Bria Artificial Intelligence</v>
      </c>
      <c r="H1102" s="266" t="str">
        <f>작성용!E1099</f>
        <v>KBP2023120161</v>
      </c>
      <c r="I1102" s="253" t="str">
        <f>작성용!F1099</f>
        <v>A01</v>
      </c>
      <c r="J1102" s="253">
        <f>작성용!G1099</f>
        <v>0</v>
      </c>
      <c r="K1102" s="253" t="str">
        <f>작성용!H1099</f>
        <v>-</v>
      </c>
      <c r="L1102" s="253" t="str">
        <f>작성용!N1099</f>
        <v>미정</v>
      </c>
      <c r="M1102" s="265" t="str">
        <f>작성용!U1099</f>
        <v>2024.09.30</v>
      </c>
      <c r="N1102" s="277">
        <f>작성용!V1099</f>
        <v>45609</v>
      </c>
      <c r="O1102" s="277">
        <f>작성용!W1099</f>
        <v>45616</v>
      </c>
      <c r="P1102" s="265" t="str">
        <f>작성용!X1099</f>
        <v>-</v>
      </c>
      <c r="Q1102" s="253" t="str">
        <f>작성용!AD1099</f>
        <v>이상민</v>
      </c>
      <c r="R1102" s="267">
        <f>작성용!AE1099</f>
        <v>1</v>
      </c>
      <c r="S1102" s="253" t="str">
        <f>작성용!AF1099</f>
        <v>신규</v>
      </c>
      <c r="T1102" s="268" t="str">
        <f>작성용!AG1099</f>
        <v>오영석</v>
      </c>
      <c r="U1102" s="268" t="str">
        <f>작성용!AH1099</f>
        <v>오영석</v>
      </c>
      <c r="V1102" s="252">
        <f>작성용!AA1099</f>
        <v>202411</v>
      </c>
      <c r="W1102" s="253" t="str">
        <f>작성용!AC1099</f>
        <v>[Y]금융기관</v>
      </c>
      <c r="X1102" s="253" t="str">
        <f>작성용!O1099</f>
        <v>김주희매니저</v>
      </c>
      <c r="Y1102" s="253" t="str">
        <f>작성용!P1099</f>
        <v>02-6205-2640</v>
      </c>
      <c r="Z1102" s="253" t="str">
        <f>작성용!Q1099</f>
        <v>juhee@miraeasset.com</v>
      </c>
      <c r="AA1102" s="252" t="str">
        <f>작성용!AJ1099</f>
        <v>국민연금제출</v>
      </c>
      <c r="AB1102" s="252">
        <f>작성용!AB1099</f>
        <v>0</v>
      </c>
    </row>
    <row r="1103" spans="1:28" s="12" customFormat="1" ht="16.5" customHeight="1" x14ac:dyDescent="0.3">
      <c r="A1103" s="54">
        <f>작성용!AL1100</f>
        <v>1099</v>
      </c>
      <c r="B1103" s="264" t="str">
        <f>작성용!AI1100</f>
        <v>-</v>
      </c>
      <c r="C1103" s="252" t="str">
        <f>작성용!AK1100</f>
        <v>개별종목</v>
      </c>
      <c r="D1103" s="265">
        <f>작성용!T1100</f>
        <v>45596</v>
      </c>
      <c r="E1103" s="253" t="str">
        <f>작성용!B1100</f>
        <v>미래에셋벤처투자</v>
      </c>
      <c r="F1103" s="253" t="str">
        <f>작성용!C1100</f>
        <v>신규</v>
      </c>
      <c r="G1103" s="253" t="str">
        <f>작성용!D1100</f>
        <v>Bria Artificial Intelligence</v>
      </c>
      <c r="H1103" s="266" t="str">
        <f>작성용!E1100</f>
        <v>KBP2023120161</v>
      </c>
      <c r="I1103" s="253" t="str">
        <f>작성용!F1100</f>
        <v>A04</v>
      </c>
      <c r="J1103" s="253">
        <f>작성용!G1100</f>
        <v>77</v>
      </c>
      <c r="K1103" s="253" t="str">
        <f>작성용!H1100</f>
        <v>-</v>
      </c>
      <c r="L1103" s="253" t="str">
        <f>작성용!N1100</f>
        <v>미정</v>
      </c>
      <c r="M1103" s="265" t="str">
        <f>작성용!U1100</f>
        <v>2024.09.30</v>
      </c>
      <c r="N1103" s="277">
        <f>작성용!V1100</f>
        <v>45609</v>
      </c>
      <c r="O1103" s="277">
        <f>작성용!W1100</f>
        <v>45616</v>
      </c>
      <c r="P1103" s="265" t="str">
        <f>작성용!X1100</f>
        <v>-</v>
      </c>
      <c r="Q1103" s="253" t="str">
        <f>작성용!AD1100</f>
        <v>이상민</v>
      </c>
      <c r="R1103" s="267">
        <f>작성용!AE1100</f>
        <v>0</v>
      </c>
      <c r="S1103" s="253" t="str">
        <f>작성용!AF1100</f>
        <v>신규</v>
      </c>
      <c r="T1103" s="268" t="str">
        <f>작성용!AG1100</f>
        <v>오영석</v>
      </c>
      <c r="U1103" s="268" t="str">
        <f>작성용!AH1100</f>
        <v>오영석</v>
      </c>
      <c r="V1103" s="252">
        <f>작성용!AA1100</f>
        <v>202411</v>
      </c>
      <c r="W1103" s="253" t="str">
        <f>작성용!AC1100</f>
        <v>[Y]금융기관</v>
      </c>
      <c r="X1103" s="253" t="str">
        <f>작성용!O1100</f>
        <v>김주희매니저</v>
      </c>
      <c r="Y1103" s="253" t="str">
        <f>작성용!P1100</f>
        <v>02-6205-2640</v>
      </c>
      <c r="Z1103" s="253" t="str">
        <f>작성용!Q1100</f>
        <v>juhee@miraeasset.com</v>
      </c>
      <c r="AA1103" s="252" t="str">
        <f>작성용!AJ1100</f>
        <v>국민연금제출</v>
      </c>
      <c r="AB1103" s="252">
        <f>작성용!AB1100</f>
        <v>0</v>
      </c>
    </row>
    <row r="1104" spans="1:28" s="12" customFormat="1" ht="16.5" customHeight="1" x14ac:dyDescent="0.3">
      <c r="A1104" s="54">
        <f>작성용!AL1101</f>
        <v>1100</v>
      </c>
      <c r="B1104" s="264" t="str">
        <f>작성용!AI1101</f>
        <v>-</v>
      </c>
      <c r="C1104" s="252" t="str">
        <f>작성용!AK1101</f>
        <v>개별종목</v>
      </c>
      <c r="D1104" s="265">
        <f>작성용!T1101</f>
        <v>45596</v>
      </c>
      <c r="E1104" s="253" t="str">
        <f>작성용!B1101</f>
        <v>미래에셋벤처투자</v>
      </c>
      <c r="F1104" s="253" t="str">
        <f>작성용!C1101</f>
        <v>신규</v>
      </c>
      <c r="G1104" s="253" t="str">
        <f>작성용!D1101</f>
        <v>씨엠티엑스(구,코마테크놀로지)</v>
      </c>
      <c r="H1104" s="266">
        <f>작성용!E1101</f>
        <v>2841110111983</v>
      </c>
      <c r="I1104" s="253" t="str">
        <f>작성용!F1101</f>
        <v>A01</v>
      </c>
      <c r="J1104" s="253">
        <f>작성용!G1101</f>
        <v>0</v>
      </c>
      <c r="K1104" s="253" t="str">
        <f>작성용!H1101</f>
        <v>-</v>
      </c>
      <c r="L1104" s="253" t="str">
        <f>작성용!N1101</f>
        <v>미정</v>
      </c>
      <c r="M1104" s="265" t="str">
        <f>작성용!U1101</f>
        <v>2024.09.30</v>
      </c>
      <c r="N1104" s="277">
        <f>작성용!V1101</f>
        <v>45609</v>
      </c>
      <c r="O1104" s="277">
        <f>작성용!W1101</f>
        <v>45616</v>
      </c>
      <c r="P1104" s="265" t="str">
        <f>작성용!X1101</f>
        <v>-</v>
      </c>
      <c r="Q1104" s="253" t="str">
        <f>작성용!AD1101</f>
        <v>이진주</v>
      </c>
      <c r="R1104" s="267">
        <f>작성용!AE1101</f>
        <v>1</v>
      </c>
      <c r="S1104" s="253" t="str">
        <f>작성용!AF1101</f>
        <v>신규</v>
      </c>
      <c r="T1104" s="268" t="str">
        <f>작성용!AG1101</f>
        <v>오영석</v>
      </c>
      <c r="U1104" s="268" t="str">
        <f>작성용!AH1101</f>
        <v>오영석</v>
      </c>
      <c r="V1104" s="252">
        <f>작성용!AA1101</f>
        <v>202411</v>
      </c>
      <c r="W1104" s="253" t="str">
        <f>작성용!AC1101</f>
        <v>[Y]금융기관</v>
      </c>
      <c r="X1104" s="253" t="str">
        <f>작성용!O1101</f>
        <v>김주희매니저</v>
      </c>
      <c r="Y1104" s="253" t="str">
        <f>작성용!P1101</f>
        <v>02-6205-2640</v>
      </c>
      <c r="Z1104" s="253" t="str">
        <f>작성용!Q1101</f>
        <v>juhee@miraeasset.com</v>
      </c>
      <c r="AA1104" s="252" t="str">
        <f>작성용!AJ1101</f>
        <v>국민연금제출</v>
      </c>
      <c r="AB1104" s="252">
        <f>작성용!AB1101</f>
        <v>0</v>
      </c>
    </row>
    <row r="1105" spans="1:28" s="12" customFormat="1" ht="16.5" customHeight="1" x14ac:dyDescent="0.3">
      <c r="A1105" s="54">
        <f>작성용!AL1102</f>
        <v>1101</v>
      </c>
      <c r="B1105" s="264" t="str">
        <f>작성용!AI1102</f>
        <v>-</v>
      </c>
      <c r="C1105" s="252" t="str">
        <f>작성용!AK1102</f>
        <v>개별종목</v>
      </c>
      <c r="D1105" s="265">
        <f>작성용!T1102</f>
        <v>45596</v>
      </c>
      <c r="E1105" s="253" t="str">
        <f>작성용!B1102</f>
        <v>미래에셋벤처투자</v>
      </c>
      <c r="F1105" s="253" t="str">
        <f>작성용!C1102</f>
        <v>신규</v>
      </c>
      <c r="G1105" s="253" t="str">
        <f>작성용!D1102</f>
        <v>씨엠티엑스(구,코마테크놀로지)</v>
      </c>
      <c r="H1105" s="266">
        <f>작성용!E1102</f>
        <v>2841110111983</v>
      </c>
      <c r="I1105" s="253" t="str">
        <f>작성용!F1102</f>
        <v>A04</v>
      </c>
      <c r="J1105" s="253">
        <f>작성용!G1102</f>
        <v>77</v>
      </c>
      <c r="K1105" s="253" t="str">
        <f>작성용!H1102</f>
        <v>-</v>
      </c>
      <c r="L1105" s="253" t="str">
        <f>작성용!N1102</f>
        <v>미정</v>
      </c>
      <c r="M1105" s="265" t="str">
        <f>작성용!U1102</f>
        <v>2024.09.30</v>
      </c>
      <c r="N1105" s="277">
        <f>작성용!V1102</f>
        <v>45609</v>
      </c>
      <c r="O1105" s="277">
        <f>작성용!W1102</f>
        <v>45616</v>
      </c>
      <c r="P1105" s="265" t="str">
        <f>작성용!X1102</f>
        <v>-</v>
      </c>
      <c r="Q1105" s="253" t="str">
        <f>작성용!AD1102</f>
        <v>이진주</v>
      </c>
      <c r="R1105" s="267">
        <f>작성용!AE1102</f>
        <v>0</v>
      </c>
      <c r="S1105" s="253" t="str">
        <f>작성용!AF1102</f>
        <v>신규</v>
      </c>
      <c r="T1105" s="268" t="str">
        <f>작성용!AG1102</f>
        <v>오영석</v>
      </c>
      <c r="U1105" s="268" t="str">
        <f>작성용!AH1102</f>
        <v>오영석</v>
      </c>
      <c r="V1105" s="252">
        <f>작성용!AA1102</f>
        <v>202411</v>
      </c>
      <c r="W1105" s="253" t="str">
        <f>작성용!AC1102</f>
        <v>[Y]금융기관</v>
      </c>
      <c r="X1105" s="253" t="str">
        <f>작성용!O1102</f>
        <v>김주희매니저</v>
      </c>
      <c r="Y1105" s="253" t="str">
        <f>작성용!P1102</f>
        <v>02-6205-2640</v>
      </c>
      <c r="Z1105" s="253" t="str">
        <f>작성용!Q1102</f>
        <v>juhee@miraeasset.com</v>
      </c>
      <c r="AA1105" s="252" t="str">
        <f>작성용!AJ1102</f>
        <v>국민연금제출</v>
      </c>
      <c r="AB1105" s="252">
        <f>작성용!AB1102</f>
        <v>0</v>
      </c>
    </row>
    <row r="1106" spans="1:28" s="12" customFormat="1" ht="16.5" customHeight="1" x14ac:dyDescent="0.3">
      <c r="A1106" s="54">
        <f>작성용!AL1103</f>
        <v>1102</v>
      </c>
      <c r="B1106" s="264" t="str">
        <f>작성용!AI1103</f>
        <v>-</v>
      </c>
      <c r="C1106" s="252" t="str">
        <f>작성용!AK1103</f>
        <v>개별종목</v>
      </c>
      <c r="D1106" s="265">
        <f>작성용!T1103</f>
        <v>45596</v>
      </c>
      <c r="E1106" s="253" t="str">
        <f>작성용!B1103</f>
        <v>미래에셋벤처투자</v>
      </c>
      <c r="F1106" s="253" t="str">
        <f>작성용!C1103</f>
        <v>신규</v>
      </c>
      <c r="G1106" s="253" t="str">
        <f>작성용!D1103</f>
        <v>이공이공</v>
      </c>
      <c r="H1106" s="266">
        <f>작성용!E1103</f>
        <v>1101117064457</v>
      </c>
      <c r="I1106" s="253" t="str">
        <f>작성용!F1103</f>
        <v>A04</v>
      </c>
      <c r="J1106" s="253">
        <f>작성용!G1103</f>
        <v>77</v>
      </c>
      <c r="K1106" s="253" t="str">
        <f>작성용!H1103</f>
        <v>-</v>
      </c>
      <c r="L1106" s="253" t="str">
        <f>작성용!N1103</f>
        <v>미정</v>
      </c>
      <c r="M1106" s="265" t="str">
        <f>작성용!U1103</f>
        <v>2024.09.30</v>
      </c>
      <c r="N1106" s="277">
        <f>작성용!V1103</f>
        <v>45609</v>
      </c>
      <c r="O1106" s="277">
        <f>작성용!W1103</f>
        <v>45616</v>
      </c>
      <c r="P1106" s="265" t="str">
        <f>작성용!X1103</f>
        <v>-</v>
      </c>
      <c r="Q1106" s="253" t="str">
        <f>작성용!AD1103</f>
        <v>이상민</v>
      </c>
      <c r="R1106" s="267">
        <f>작성용!AE1103</f>
        <v>1</v>
      </c>
      <c r="S1106" s="253" t="str">
        <f>작성용!AF1103</f>
        <v>신규</v>
      </c>
      <c r="T1106" s="268" t="str">
        <f>작성용!AG1103</f>
        <v>오영석</v>
      </c>
      <c r="U1106" s="268" t="str">
        <f>작성용!AH1103</f>
        <v>오영석</v>
      </c>
      <c r="V1106" s="252">
        <f>작성용!AA1103</f>
        <v>202411</v>
      </c>
      <c r="W1106" s="253" t="str">
        <f>작성용!AC1103</f>
        <v>[Y]금융기관</v>
      </c>
      <c r="X1106" s="253" t="str">
        <f>작성용!O1103</f>
        <v>김주희매니저</v>
      </c>
      <c r="Y1106" s="253" t="str">
        <f>작성용!P1103</f>
        <v>02-6205-2640</v>
      </c>
      <c r="Z1106" s="253" t="str">
        <f>작성용!Q1103</f>
        <v>juhee@miraeasset.com</v>
      </c>
      <c r="AA1106" s="252" t="str">
        <f>작성용!AJ1103</f>
        <v>국민연금제출</v>
      </c>
      <c r="AB1106" s="252">
        <f>작성용!AB1103</f>
        <v>0</v>
      </c>
    </row>
    <row r="1107" spans="1:28" s="12" customFormat="1" ht="16.5" customHeight="1" x14ac:dyDescent="0.3">
      <c r="A1107" s="54">
        <f>작성용!AL1104</f>
        <v>1103</v>
      </c>
      <c r="B1107" s="264" t="str">
        <f>작성용!AI1104</f>
        <v>-</v>
      </c>
      <c r="C1107" s="252" t="str">
        <f>작성용!AK1104</f>
        <v>개별종목</v>
      </c>
      <c r="D1107" s="265">
        <f>작성용!T1104</f>
        <v>45596</v>
      </c>
      <c r="E1107" s="253" t="str">
        <f>작성용!B1104</f>
        <v>미래에셋벤처투자</v>
      </c>
      <c r="F1107" s="253" t="str">
        <f>작성용!C1104</f>
        <v>신규</v>
      </c>
      <c r="G1107" s="253" t="str">
        <f>작성용!D1104</f>
        <v>큐심플러스</v>
      </c>
      <c r="H1107" s="266">
        <f>작성용!E1104</f>
        <v>1101117850541</v>
      </c>
      <c r="I1107" s="253" t="str">
        <f>작성용!F1104</f>
        <v>A04</v>
      </c>
      <c r="J1107" s="253">
        <f>작성용!G1104</f>
        <v>77</v>
      </c>
      <c r="K1107" s="253" t="str">
        <f>작성용!H1104</f>
        <v>-</v>
      </c>
      <c r="L1107" s="253" t="str">
        <f>작성용!N1104</f>
        <v>미정</v>
      </c>
      <c r="M1107" s="265" t="str">
        <f>작성용!U1104</f>
        <v>2024.09.30</v>
      </c>
      <c r="N1107" s="277">
        <f>작성용!V1104</f>
        <v>45609</v>
      </c>
      <c r="O1107" s="277">
        <f>작성용!W1104</f>
        <v>45616</v>
      </c>
      <c r="P1107" s="265" t="str">
        <f>작성용!X1104</f>
        <v>-</v>
      </c>
      <c r="Q1107" s="253" t="str">
        <f>작성용!AD1104</f>
        <v>서경덕</v>
      </c>
      <c r="R1107" s="267">
        <f>작성용!AE1104</f>
        <v>1</v>
      </c>
      <c r="S1107" s="253" t="str">
        <f>작성용!AF1104</f>
        <v>신규</v>
      </c>
      <c r="T1107" s="268" t="str">
        <f>작성용!AG1104</f>
        <v>오영석</v>
      </c>
      <c r="U1107" s="268" t="str">
        <f>작성용!AH1104</f>
        <v>오영석</v>
      </c>
      <c r="V1107" s="252">
        <f>작성용!AA1104</f>
        <v>202411</v>
      </c>
      <c r="W1107" s="253" t="str">
        <f>작성용!AC1104</f>
        <v>[Y]금융기관</v>
      </c>
      <c r="X1107" s="253" t="str">
        <f>작성용!O1104</f>
        <v>김주희매니저</v>
      </c>
      <c r="Y1107" s="253" t="str">
        <f>작성용!P1104</f>
        <v>02-6205-2640</v>
      </c>
      <c r="Z1107" s="253" t="str">
        <f>작성용!Q1104</f>
        <v>juhee@miraeasset.com</v>
      </c>
      <c r="AA1107" s="252" t="str">
        <f>작성용!AJ1104</f>
        <v>국민연금제출</v>
      </c>
      <c r="AB1107" s="252">
        <f>작성용!AB1104</f>
        <v>0</v>
      </c>
    </row>
    <row r="1108" spans="1:28" s="12" customFormat="1" ht="16.5" customHeight="1" x14ac:dyDescent="0.3">
      <c r="A1108" s="54">
        <f>작성용!AL1105</f>
        <v>1104</v>
      </c>
      <c r="B1108" s="264" t="str">
        <f>작성용!AI1105</f>
        <v>-</v>
      </c>
      <c r="C1108" s="252" t="str">
        <f>작성용!AK1105</f>
        <v>개별종목</v>
      </c>
      <c r="D1108" s="265">
        <f>작성용!T1105</f>
        <v>45596</v>
      </c>
      <c r="E1108" s="253" t="str">
        <f>작성용!B1105</f>
        <v>미래에셋벤처투자</v>
      </c>
      <c r="F1108" s="253" t="str">
        <f>작성용!C1105</f>
        <v>신규</v>
      </c>
      <c r="G1108" s="253" t="str">
        <f>작성용!D1105</f>
        <v>오렌지스퀘어(구,벨소프트)</v>
      </c>
      <c r="H1108" s="266">
        <f>작성용!E1105</f>
        <v>1101115075141</v>
      </c>
      <c r="I1108" s="253" t="str">
        <f>작성용!F1105</f>
        <v>A04</v>
      </c>
      <c r="J1108" s="253">
        <f>작성용!G1105</f>
        <v>77</v>
      </c>
      <c r="K1108" s="253" t="str">
        <f>작성용!H1105</f>
        <v>-</v>
      </c>
      <c r="L1108" s="253" t="str">
        <f>작성용!N1105</f>
        <v>미정</v>
      </c>
      <c r="M1108" s="265" t="str">
        <f>작성용!U1105</f>
        <v>2024.09.30</v>
      </c>
      <c r="N1108" s="277">
        <f>작성용!V1105</f>
        <v>45609</v>
      </c>
      <c r="O1108" s="277">
        <f>작성용!W1105</f>
        <v>45616</v>
      </c>
      <c r="P1108" s="265" t="str">
        <f>작성용!X1105</f>
        <v>-</v>
      </c>
      <c r="Q1108" s="253" t="str">
        <f>작성용!AD1105</f>
        <v>윤광일</v>
      </c>
      <c r="R1108" s="267">
        <f>작성용!AE1105</f>
        <v>1</v>
      </c>
      <c r="S1108" s="253" t="str">
        <f>작성용!AF1105</f>
        <v>신규</v>
      </c>
      <c r="T1108" s="268" t="str">
        <f>작성용!AG1105</f>
        <v>오영석</v>
      </c>
      <c r="U1108" s="268" t="str">
        <f>작성용!AH1105</f>
        <v>오영석</v>
      </c>
      <c r="V1108" s="252">
        <f>작성용!AA1105</f>
        <v>202411</v>
      </c>
      <c r="W1108" s="253" t="str">
        <f>작성용!AC1105</f>
        <v>[Y]금융기관</v>
      </c>
      <c r="X1108" s="253" t="str">
        <f>작성용!O1105</f>
        <v>김주희매니저</v>
      </c>
      <c r="Y1108" s="253" t="str">
        <f>작성용!P1105</f>
        <v>02-6205-2640</v>
      </c>
      <c r="Z1108" s="253" t="str">
        <f>작성용!Q1105</f>
        <v>juhee@miraeasset.com</v>
      </c>
      <c r="AA1108" s="252" t="str">
        <f>작성용!AJ1105</f>
        <v>국민연금제출</v>
      </c>
      <c r="AB1108" s="252">
        <f>작성용!AB1105</f>
        <v>0</v>
      </c>
    </row>
    <row r="1109" spans="1:28" s="12" customFormat="1" ht="16.5" customHeight="1" x14ac:dyDescent="0.3">
      <c r="A1109" s="54">
        <f>작성용!AL1106</f>
        <v>1105</v>
      </c>
      <c r="B1109" s="264" t="str">
        <f>작성용!AI1106</f>
        <v>-</v>
      </c>
      <c r="C1109" s="252" t="str">
        <f>작성용!AK1106</f>
        <v>개별종목</v>
      </c>
      <c r="D1109" s="265">
        <f>작성용!T1106</f>
        <v>45596</v>
      </c>
      <c r="E1109" s="253" t="str">
        <f>작성용!B1106</f>
        <v>미래에셋벤처투자</v>
      </c>
      <c r="F1109" s="253" t="str">
        <f>작성용!C1106</f>
        <v>신규</v>
      </c>
      <c r="G1109" s="253" t="str">
        <f>작성용!D1106</f>
        <v>오렌지스퀘어(구,벨소프트)</v>
      </c>
      <c r="H1109" s="266">
        <f>작성용!E1106</f>
        <v>1101115075141</v>
      </c>
      <c r="I1109" s="253" t="str">
        <f>작성용!F1106</f>
        <v>A04</v>
      </c>
      <c r="J1109" s="253">
        <f>작성용!G1106</f>
        <v>771</v>
      </c>
      <c r="K1109" s="253" t="str">
        <f>작성용!H1106</f>
        <v>-</v>
      </c>
      <c r="L1109" s="253" t="str">
        <f>작성용!N1106</f>
        <v>미정</v>
      </c>
      <c r="M1109" s="265" t="str">
        <f>작성용!U1106</f>
        <v>2024.09.30</v>
      </c>
      <c r="N1109" s="277">
        <f>작성용!V1106</f>
        <v>45609</v>
      </c>
      <c r="O1109" s="277">
        <f>작성용!W1106</f>
        <v>45616</v>
      </c>
      <c r="P1109" s="265" t="str">
        <f>작성용!X1106</f>
        <v>-</v>
      </c>
      <c r="Q1109" s="253" t="str">
        <f>작성용!AD1106</f>
        <v>윤광일</v>
      </c>
      <c r="R1109" s="267">
        <f>작성용!AE1106</f>
        <v>0</v>
      </c>
      <c r="S1109" s="253" t="str">
        <f>작성용!AF1106</f>
        <v>신규</v>
      </c>
      <c r="T1109" s="268" t="str">
        <f>작성용!AG1106</f>
        <v>오영석</v>
      </c>
      <c r="U1109" s="268" t="str">
        <f>작성용!AH1106</f>
        <v>오영석</v>
      </c>
      <c r="V1109" s="252">
        <f>작성용!AA1106</f>
        <v>202411</v>
      </c>
      <c r="W1109" s="253" t="str">
        <f>작성용!AC1106</f>
        <v>[Y]금융기관</v>
      </c>
      <c r="X1109" s="253" t="str">
        <f>작성용!O1106</f>
        <v>김주희매니저</v>
      </c>
      <c r="Y1109" s="253" t="str">
        <f>작성용!P1106</f>
        <v>02-6205-2640</v>
      </c>
      <c r="Z1109" s="253" t="str">
        <f>작성용!Q1106</f>
        <v>juhee@miraeasset.com</v>
      </c>
      <c r="AA1109" s="252" t="str">
        <f>작성용!AJ1106</f>
        <v>국민연금제출</v>
      </c>
      <c r="AB1109" s="252">
        <f>작성용!AB1106</f>
        <v>0</v>
      </c>
    </row>
    <row r="1110" spans="1:28" s="12" customFormat="1" ht="16.5" customHeight="1" x14ac:dyDescent="0.3">
      <c r="A1110" s="54">
        <f>작성용!AL1107</f>
        <v>1106</v>
      </c>
      <c r="B1110" s="264" t="str">
        <f>작성용!AI1107</f>
        <v>-</v>
      </c>
      <c r="C1110" s="252" t="str">
        <f>작성용!AK1107</f>
        <v>개별종목</v>
      </c>
      <c r="D1110" s="265">
        <f>작성용!T1107</f>
        <v>45596</v>
      </c>
      <c r="E1110" s="253" t="str">
        <f>작성용!B1107</f>
        <v>미래에셋벤처투자</v>
      </c>
      <c r="F1110" s="253" t="str">
        <f>작성용!C1107</f>
        <v>신규</v>
      </c>
      <c r="G1110" s="253" t="str">
        <f>작성용!D1107</f>
        <v>Accent Therapeutics, Inc.</v>
      </c>
      <c r="H1110" s="266" t="str">
        <f>작성용!E1107</f>
        <v>KBP2024110012</v>
      </c>
      <c r="I1110" s="253" t="str">
        <f>작성용!F1107</f>
        <v>A05</v>
      </c>
      <c r="J1110" s="253">
        <f>작성용!G1107</f>
        <v>77</v>
      </c>
      <c r="K1110" s="253" t="str">
        <f>작성용!H1107</f>
        <v>-</v>
      </c>
      <c r="L1110" s="253" t="str">
        <f>작성용!N1107</f>
        <v>미정</v>
      </c>
      <c r="M1110" s="265" t="str">
        <f>작성용!U1107</f>
        <v>2024.09.30</v>
      </c>
      <c r="N1110" s="277">
        <f>작성용!V1107</f>
        <v>45609</v>
      </c>
      <c r="O1110" s="277">
        <f>작성용!W1107</f>
        <v>45616</v>
      </c>
      <c r="P1110" s="265" t="str">
        <f>작성용!X1107</f>
        <v>-</v>
      </c>
      <c r="Q1110" s="253" t="str">
        <f>작성용!AD1107</f>
        <v>최수민</v>
      </c>
      <c r="R1110" s="267">
        <f>작성용!AE1107</f>
        <v>1</v>
      </c>
      <c r="S1110" s="253" t="str">
        <f>작성용!AF1107</f>
        <v>신규</v>
      </c>
      <c r="T1110" s="268" t="str">
        <f>작성용!AG1107</f>
        <v>오영석</v>
      </c>
      <c r="U1110" s="268" t="str">
        <f>작성용!AH1107</f>
        <v>오영석</v>
      </c>
      <c r="V1110" s="252">
        <f>작성용!AA1107</f>
        <v>202411</v>
      </c>
      <c r="W1110" s="253" t="str">
        <f>작성용!AC1107</f>
        <v>[Y]금융기관</v>
      </c>
      <c r="X1110" s="253" t="str">
        <f>작성용!O1107</f>
        <v>김주희매니저</v>
      </c>
      <c r="Y1110" s="253" t="str">
        <f>작성용!P1107</f>
        <v>02-6205-2640</v>
      </c>
      <c r="Z1110" s="253" t="str">
        <f>작성용!Q1107</f>
        <v>juhee@miraeasset.com</v>
      </c>
      <c r="AA1110" s="252" t="str">
        <f>작성용!AJ1107</f>
        <v>국민연금제출</v>
      </c>
      <c r="AB1110" s="252">
        <f>작성용!AB1107</f>
        <v>0</v>
      </c>
    </row>
    <row r="1111" spans="1:28" s="12" customFormat="1" ht="16.5" customHeight="1" x14ac:dyDescent="0.3">
      <c r="A1111" s="54">
        <f>작성용!AL1108</f>
        <v>1107</v>
      </c>
      <c r="B1111" s="264" t="str">
        <f>작성용!AI1108</f>
        <v>-</v>
      </c>
      <c r="C1111" s="252" t="str">
        <f>작성용!AK1108</f>
        <v>개별종목</v>
      </c>
      <c r="D1111" s="265">
        <f>작성용!T1108</f>
        <v>45597</v>
      </c>
      <c r="E1111" s="253" t="str">
        <f>작성용!B1108</f>
        <v>네오위즈</v>
      </c>
      <c r="F1111" s="253" t="str">
        <f>작성용!C1108</f>
        <v>신규</v>
      </c>
      <c r="G1111" s="253" t="str">
        <f>작성용!D1108</f>
        <v>제이앤존</v>
      </c>
      <c r="H1111" s="266">
        <f>작성용!E1108</f>
        <v>1101116821139</v>
      </c>
      <c r="I1111" s="253" t="str">
        <f>작성용!F1108</f>
        <v>A07</v>
      </c>
      <c r="J1111" s="253">
        <f>작성용!G1108</f>
        <v>0</v>
      </c>
      <c r="K1111" s="253" t="str">
        <f>작성용!H1108</f>
        <v>-</v>
      </c>
      <c r="L1111" s="253" t="str">
        <f>작성용!N1108</f>
        <v>연말</v>
      </c>
      <c r="M1111" s="265" t="str">
        <f>작성용!U1108</f>
        <v>2024.09.30</v>
      </c>
      <c r="N1111" s="265">
        <f>작성용!V1108</f>
        <v>45625</v>
      </c>
      <c r="O1111" s="265">
        <f>작성용!W1108</f>
        <v>45632</v>
      </c>
      <c r="P1111" s="265" t="str">
        <f>작성용!X1108</f>
        <v>-</v>
      </c>
      <c r="Q1111" s="253" t="str">
        <f>작성용!AD1108</f>
        <v>최수민</v>
      </c>
      <c r="R1111" s="267">
        <f>작성용!AE1108</f>
        <v>1</v>
      </c>
      <c r="S1111" s="253" t="str">
        <f>작성용!AF1108</f>
        <v>신규</v>
      </c>
      <c r="T1111" s="268" t="str">
        <f>작성용!AG1108</f>
        <v>서동현</v>
      </c>
      <c r="U1111" s="268" t="str">
        <f>작성용!AH1108</f>
        <v>서동현</v>
      </c>
      <c r="V1111" s="252">
        <f>작성용!AA1108</f>
        <v>202411</v>
      </c>
      <c r="W1111" s="253" t="str">
        <f>작성용!AC1108</f>
        <v>[X]일반기업</v>
      </c>
      <c r="X1111" s="253" t="str">
        <f>작성용!O1108</f>
        <v xml:space="preserve">네오위즈재무실회계2팀양민우팀장 </v>
      </c>
      <c r="Y1111" s="253" t="str">
        <f>작성용!P1108</f>
        <v xml:space="preserve">031-8023-7545 </v>
      </c>
      <c r="Z1111" s="253" t="str">
        <f>작성용!Q1108</f>
        <v xml:space="preserve">mwyang@neowiz.com </v>
      </c>
      <c r="AA1111" s="252" t="str">
        <f>작성용!AJ1108</f>
        <v>-</v>
      </c>
      <c r="AB1111" s="252">
        <f>작성용!AB1108</f>
        <v>0</v>
      </c>
    </row>
    <row r="1112" spans="1:28" s="12" customFormat="1" ht="16.5" customHeight="1" x14ac:dyDescent="0.3">
      <c r="A1112" s="54">
        <f>작성용!AL1109</f>
        <v>1108</v>
      </c>
      <c r="B1112" s="264" t="str">
        <f>작성용!AI1109</f>
        <v>-</v>
      </c>
      <c r="C1112" s="252" t="str">
        <f>작성용!AK1109</f>
        <v>개별종목</v>
      </c>
      <c r="D1112" s="265">
        <f>작성용!T1109</f>
        <v>45597</v>
      </c>
      <c r="E1112" s="253" t="str">
        <f>작성용!B1109</f>
        <v>네오위즈(수익증권)</v>
      </c>
      <c r="F1112" s="253" t="str">
        <f>작성용!C1109</f>
        <v>재평가</v>
      </c>
      <c r="G1112" s="253" t="str">
        <f>작성용!D1109</f>
        <v>파인밸류PreIPO10호일반사모투자신탁</v>
      </c>
      <c r="H1112" s="266" t="str">
        <f>작성용!E1109</f>
        <v>KBP2022110017</v>
      </c>
      <c r="I1112" s="253" t="str">
        <f>작성용!F1109</f>
        <v>B02</v>
      </c>
      <c r="J1112" s="253">
        <f>작성용!G1109</f>
        <v>0</v>
      </c>
      <c r="K1112" s="253" t="str">
        <f>작성용!H1109</f>
        <v>-</v>
      </c>
      <c r="L1112" s="253" t="str">
        <f>작성용!N1109</f>
        <v>연말</v>
      </c>
      <c r="M1112" s="265" t="str">
        <f>작성용!U1109</f>
        <v>2024.09.30</v>
      </c>
      <c r="N1112" s="265">
        <f>작성용!V1109</f>
        <v>45625</v>
      </c>
      <c r="O1112" s="265">
        <f>작성용!W1109</f>
        <v>45632</v>
      </c>
      <c r="P1112" s="265" t="str">
        <f>작성용!X1109</f>
        <v>-</v>
      </c>
      <c r="Q1112" s="253" t="str">
        <f>작성용!AD1109</f>
        <v>대체평가3사업본부</v>
      </c>
      <c r="R1112" s="267">
        <f>작성용!AE1109</f>
        <v>0</v>
      </c>
      <c r="S1112" s="253" t="str">
        <f>작성용!AF1109</f>
        <v>대체평가3사업본부</v>
      </c>
      <c r="T1112" s="268" t="str">
        <f>작성용!AG1109</f>
        <v>서동현</v>
      </c>
      <c r="U1112" s="268" t="str">
        <f>작성용!AH1109</f>
        <v>서동현</v>
      </c>
      <c r="V1112" s="252">
        <f>작성용!AA1109</f>
        <v>202411</v>
      </c>
      <c r="W1112" s="253" t="str">
        <f>작성용!AC1109</f>
        <v>[T]기타보험기관[1본부]</v>
      </c>
      <c r="X1112" s="253" t="str">
        <f>작성용!O1109</f>
        <v xml:space="preserve">네오위즈재무실회계2팀양민우팀장 </v>
      </c>
      <c r="Y1112" s="253" t="str">
        <f>작성용!P1109</f>
        <v xml:space="preserve">031-8023-7545 </v>
      </c>
      <c r="Z1112" s="253" t="str">
        <f>작성용!Q1109</f>
        <v xml:space="preserve">mwyang@neowiz.com </v>
      </c>
      <c r="AA1112" s="252" t="str">
        <f>작성용!AJ1109</f>
        <v>-</v>
      </c>
      <c r="AB1112" s="252">
        <f>작성용!AB1109</f>
        <v>0</v>
      </c>
    </row>
    <row r="1113" spans="1:28" s="12" customFormat="1" ht="16.5" customHeight="1" x14ac:dyDescent="0.3">
      <c r="A1113" s="54">
        <f>작성용!AL1110</f>
        <v>1109</v>
      </c>
      <c r="B1113" s="264" t="str">
        <f>작성용!AI1110</f>
        <v>-</v>
      </c>
      <c r="C1113" s="252" t="str">
        <f>작성용!AK1110</f>
        <v>개별종목</v>
      </c>
      <c r="D1113" s="265">
        <f>작성용!T1110</f>
        <v>45597</v>
      </c>
      <c r="E1113" s="253" t="str">
        <f>작성용!B1110</f>
        <v>네오위즈(수익증권)</v>
      </c>
      <c r="F1113" s="253" t="str">
        <f>작성용!C1110</f>
        <v>재평가</v>
      </c>
      <c r="G1113" s="253" t="str">
        <f>작성용!D1110</f>
        <v>타임폴리오코스닥벤처THEUNIQUE대체투자2호(종류C-I)</v>
      </c>
      <c r="H1113" s="266" t="str">
        <f>작성용!E1110</f>
        <v>KBP2021110035</v>
      </c>
      <c r="I1113" s="253" t="str">
        <f>작성용!F1110</f>
        <v>B02</v>
      </c>
      <c r="J1113" s="253">
        <f>작성용!G1110</f>
        <v>0</v>
      </c>
      <c r="K1113" s="253" t="str">
        <f>작성용!H1110</f>
        <v>-</v>
      </c>
      <c r="L1113" s="253" t="str">
        <f>작성용!N1110</f>
        <v>연말</v>
      </c>
      <c r="M1113" s="265" t="str">
        <f>작성용!U1110</f>
        <v>2024.09.30</v>
      </c>
      <c r="N1113" s="265">
        <f>작성용!V1110</f>
        <v>45625</v>
      </c>
      <c r="O1113" s="265">
        <f>작성용!W1110</f>
        <v>45632</v>
      </c>
      <c r="P1113" s="265" t="str">
        <f>작성용!X1110</f>
        <v>-</v>
      </c>
      <c r="Q1113" s="253" t="str">
        <f>작성용!AD1110</f>
        <v>대체평가3사업본부</v>
      </c>
      <c r="R1113" s="267">
        <f>작성용!AE1110</f>
        <v>0</v>
      </c>
      <c r="S1113" s="253" t="str">
        <f>작성용!AF1110</f>
        <v>대체평가3사업본부</v>
      </c>
      <c r="T1113" s="268" t="str">
        <f>작성용!AG1110</f>
        <v>서동현</v>
      </c>
      <c r="U1113" s="268" t="str">
        <f>작성용!AH1110</f>
        <v>서동현</v>
      </c>
      <c r="V1113" s="252">
        <f>작성용!AA1110</f>
        <v>202411</v>
      </c>
      <c r="W1113" s="253" t="str">
        <f>작성용!AC1110</f>
        <v>[T]기타보험기관[1본부]</v>
      </c>
      <c r="X1113" s="253" t="str">
        <f>작성용!O1110</f>
        <v xml:space="preserve">네오위즈재무실회계2팀양민우팀장 </v>
      </c>
      <c r="Y1113" s="253" t="str">
        <f>작성용!P1110</f>
        <v xml:space="preserve">031-8023-7545 </v>
      </c>
      <c r="Z1113" s="253" t="str">
        <f>작성용!Q1110</f>
        <v xml:space="preserve">mwyang@neowiz.com </v>
      </c>
      <c r="AA1113" s="252" t="str">
        <f>작성용!AJ1110</f>
        <v>-</v>
      </c>
      <c r="AB1113" s="252">
        <f>작성용!AB1110</f>
        <v>0</v>
      </c>
    </row>
    <row r="1114" spans="1:28" s="12" customFormat="1" ht="16.5" customHeight="1" x14ac:dyDescent="0.3">
      <c r="A1114" s="54">
        <f>작성용!AL1111</f>
        <v>1110</v>
      </c>
      <c r="B1114" s="264" t="str">
        <f>작성용!AI1111</f>
        <v>-</v>
      </c>
      <c r="C1114" s="252" t="str">
        <f>작성용!AK1111</f>
        <v>개별종목</v>
      </c>
      <c r="D1114" s="265">
        <f>작성용!T1111</f>
        <v>45597</v>
      </c>
      <c r="E1114" s="253" t="str">
        <f>작성용!B1111</f>
        <v>네오위즈</v>
      </c>
      <c r="F1114" s="253" t="str">
        <f>작성용!C1111</f>
        <v>재평가</v>
      </c>
      <c r="G1114" s="253" t="str">
        <f>작성용!D1111</f>
        <v>스마트대한민국라구나비대면펀드제4호</v>
      </c>
      <c r="H1114" s="266" t="str">
        <f>작성용!E1111</f>
        <v>KBP2022110018</v>
      </c>
      <c r="I1114" s="253" t="str">
        <f>작성용!F1111</f>
        <v>B01</v>
      </c>
      <c r="J1114" s="253">
        <f>작성용!G1111</f>
        <v>0</v>
      </c>
      <c r="K1114" s="253" t="str">
        <f>작성용!H1111</f>
        <v>-</v>
      </c>
      <c r="L1114" s="253" t="str">
        <f>작성용!N1111</f>
        <v>연말</v>
      </c>
      <c r="M1114" s="265" t="str">
        <f>작성용!U1111</f>
        <v>2024.09.30</v>
      </c>
      <c r="N1114" s="265">
        <f>작성용!V1111</f>
        <v>45625</v>
      </c>
      <c r="O1114" s="265">
        <f>작성용!W1111</f>
        <v>45632</v>
      </c>
      <c r="P1114" s="265" t="str">
        <f>작성용!X1111</f>
        <v>-</v>
      </c>
      <c r="Q1114" s="253" t="str">
        <f>작성용!AD1111</f>
        <v>조현우</v>
      </c>
      <c r="R1114" s="267">
        <f>작성용!AE1111</f>
        <v>1</v>
      </c>
      <c r="S1114" s="253" t="str">
        <f>작성용!AF1111</f>
        <v>신규</v>
      </c>
      <c r="T1114" s="268" t="str">
        <f>작성용!AG1111</f>
        <v>서동현</v>
      </c>
      <c r="U1114" s="268" t="str">
        <f>작성용!AH1111</f>
        <v>서동현</v>
      </c>
      <c r="V1114" s="252">
        <f>작성용!AA1111</f>
        <v>202411</v>
      </c>
      <c r="W1114" s="253" t="str">
        <f>작성용!AC1111</f>
        <v>[X]일반기업</v>
      </c>
      <c r="X1114" s="253" t="str">
        <f>작성용!O1111</f>
        <v xml:space="preserve">네오위즈재무실회계2팀양민우팀장 </v>
      </c>
      <c r="Y1114" s="253" t="str">
        <f>작성용!P1111</f>
        <v xml:space="preserve">031-8023-7545 </v>
      </c>
      <c r="Z1114" s="253" t="str">
        <f>작성용!Q1111</f>
        <v xml:space="preserve">mwyang@neowiz.com </v>
      </c>
      <c r="AA1114" s="252" t="str">
        <f>작성용!AJ1111</f>
        <v>-</v>
      </c>
      <c r="AB1114" s="252">
        <f>작성용!AB1111</f>
        <v>0</v>
      </c>
    </row>
    <row r="1115" spans="1:28" s="12" customFormat="1" ht="16.5" customHeight="1" x14ac:dyDescent="0.3">
      <c r="A1115" s="54">
        <f>작성용!AL1112</f>
        <v>1111</v>
      </c>
      <c r="B1115" s="264" t="str">
        <f>작성용!AI1112</f>
        <v>-</v>
      </c>
      <c r="C1115" s="252" t="str">
        <f>작성용!AK1112</f>
        <v>개별종목</v>
      </c>
      <c r="D1115" s="265">
        <f>작성용!T1112</f>
        <v>45597</v>
      </c>
      <c r="E1115" s="253" t="str">
        <f>작성용!B1112</f>
        <v>네오위즈</v>
      </c>
      <c r="F1115" s="253" t="str">
        <f>작성용!C1112</f>
        <v>신규</v>
      </c>
      <c r="G1115" s="253" t="str">
        <f>작성용!D1112</f>
        <v>크레이지마인드</v>
      </c>
      <c r="H1115" s="266" t="str">
        <f>작성용!E1112</f>
        <v>KBP2024110013</v>
      </c>
      <c r="I1115" s="253" t="str">
        <f>작성용!F1112</f>
        <v>A07</v>
      </c>
      <c r="J1115" s="253">
        <f>작성용!G1112</f>
        <v>0</v>
      </c>
      <c r="K1115" s="253" t="str">
        <f>작성용!H1112</f>
        <v>-</v>
      </c>
      <c r="L1115" s="253" t="str">
        <f>작성용!N1112</f>
        <v>연말</v>
      </c>
      <c r="M1115" s="265" t="str">
        <f>작성용!U1112</f>
        <v>2024.09.30</v>
      </c>
      <c r="N1115" s="265">
        <f>작성용!V1112</f>
        <v>45625</v>
      </c>
      <c r="O1115" s="265">
        <f>작성용!W1112</f>
        <v>45632</v>
      </c>
      <c r="P1115" s="265" t="str">
        <f>작성용!X1112</f>
        <v>-</v>
      </c>
      <c r="Q1115" s="258" t="str">
        <f>작성용!AD1112</f>
        <v>최수민</v>
      </c>
      <c r="R1115" s="267">
        <f>작성용!AE1112</f>
        <v>1</v>
      </c>
      <c r="S1115" s="253" t="str">
        <f>작성용!AF1112</f>
        <v>신규</v>
      </c>
      <c r="T1115" s="268" t="str">
        <f>작성용!AG1112</f>
        <v>서동현</v>
      </c>
      <c r="U1115" s="268" t="str">
        <f>작성용!AH1112</f>
        <v>서동현</v>
      </c>
      <c r="V1115" s="252">
        <f>작성용!AA1112</f>
        <v>202411</v>
      </c>
      <c r="W1115" s="253" t="str">
        <f>작성용!AC1112</f>
        <v>[X]일반기업</v>
      </c>
      <c r="X1115" s="253" t="str">
        <f>작성용!O1112</f>
        <v xml:space="preserve">네오위즈재무실회계2팀양민우팀장 </v>
      </c>
      <c r="Y1115" s="253" t="str">
        <f>작성용!P1112</f>
        <v xml:space="preserve">031-8023-7545 </v>
      </c>
      <c r="Z1115" s="253" t="str">
        <f>작성용!Q1112</f>
        <v xml:space="preserve">mwyang@neowiz.com </v>
      </c>
      <c r="AA1115" s="252" t="str">
        <f>작성용!AJ1112</f>
        <v>-</v>
      </c>
      <c r="AB1115" s="252">
        <f>작성용!AB1112</f>
        <v>0</v>
      </c>
    </row>
    <row r="1116" spans="1:28" s="12" customFormat="1" ht="16.5" customHeight="1" x14ac:dyDescent="0.3">
      <c r="A1116" s="54">
        <f>작성용!AL1113</f>
        <v>1112</v>
      </c>
      <c r="B1116" s="264" t="str">
        <f>작성용!AI1113</f>
        <v>-</v>
      </c>
      <c r="C1116" s="252" t="str">
        <f>작성용!AK1113</f>
        <v>개별종목</v>
      </c>
      <c r="D1116" s="265">
        <f>작성용!T1113</f>
        <v>45597</v>
      </c>
      <c r="E1116" s="253" t="str">
        <f>작성용!B1113</f>
        <v>네오위즈</v>
      </c>
      <c r="F1116" s="253" t="str">
        <f>작성용!C1113</f>
        <v>신규</v>
      </c>
      <c r="G1116" s="253" t="str">
        <f>작성용!D1113</f>
        <v>Hashed Emergent Fund VCC</v>
      </c>
      <c r="H1116" s="266" t="str">
        <f>작성용!E1113</f>
        <v>KBP2024110014</v>
      </c>
      <c r="I1116" s="253" t="str">
        <f>작성용!F1113</f>
        <v>B01</v>
      </c>
      <c r="J1116" s="253">
        <f>작성용!G1113</f>
        <v>0</v>
      </c>
      <c r="K1116" s="253" t="str">
        <f>작성용!H1113</f>
        <v>-</v>
      </c>
      <c r="L1116" s="253" t="str">
        <f>작성용!N1113</f>
        <v>연말</v>
      </c>
      <c r="M1116" s="265" t="str">
        <f>작성용!U1113</f>
        <v>2024.09.30</v>
      </c>
      <c r="N1116" s="265">
        <f>작성용!V1113</f>
        <v>45625</v>
      </c>
      <c r="O1116" s="265">
        <f>작성용!W1113</f>
        <v>45632</v>
      </c>
      <c r="P1116" s="265" t="str">
        <f>작성용!X1113</f>
        <v>-</v>
      </c>
      <c r="Q1116" s="258" t="str">
        <f>작성용!AD1113</f>
        <v>서경덕</v>
      </c>
      <c r="R1116" s="267">
        <f>작성용!AE1113</f>
        <v>1</v>
      </c>
      <c r="S1116" s="253" t="str">
        <f>작성용!AF1113</f>
        <v>신규</v>
      </c>
      <c r="T1116" s="268" t="str">
        <f>작성용!AG1113</f>
        <v>서동현</v>
      </c>
      <c r="U1116" s="268" t="str">
        <f>작성용!AH1113</f>
        <v>서동현</v>
      </c>
      <c r="V1116" s="252">
        <f>작성용!AA1113</f>
        <v>202411</v>
      </c>
      <c r="W1116" s="253" t="str">
        <f>작성용!AC1113</f>
        <v>[X]일반기업</v>
      </c>
      <c r="X1116" s="253" t="str">
        <f>작성용!O1113</f>
        <v xml:space="preserve">네오위즈재무실회계2팀양민우팀장 </v>
      </c>
      <c r="Y1116" s="253" t="str">
        <f>작성용!P1113</f>
        <v xml:space="preserve">031-8023-7545 </v>
      </c>
      <c r="Z1116" s="253" t="str">
        <f>작성용!Q1113</f>
        <v xml:space="preserve">mwyang@neowiz.com </v>
      </c>
      <c r="AA1116" s="252" t="str">
        <f>작성용!AJ1113</f>
        <v>-</v>
      </c>
      <c r="AB1116" s="252">
        <f>작성용!AB1113</f>
        <v>0</v>
      </c>
    </row>
    <row r="1117" spans="1:28" s="12" customFormat="1" ht="16.5" customHeight="1" x14ac:dyDescent="0.3">
      <c r="A1117" s="54">
        <f>작성용!AL1114</f>
        <v>1113</v>
      </c>
      <c r="B1117" s="264" t="str">
        <f>작성용!AI1114</f>
        <v>-</v>
      </c>
      <c r="C1117" s="252" t="str">
        <f>작성용!AK1114</f>
        <v>개별종목</v>
      </c>
      <c r="D1117" s="265">
        <f>작성용!T1114</f>
        <v>45597</v>
      </c>
      <c r="E1117" s="253" t="str">
        <f>작성용!B1114</f>
        <v>네오위즈</v>
      </c>
      <c r="F1117" s="253" t="str">
        <f>작성용!C1114</f>
        <v>신규</v>
      </c>
      <c r="G1117" s="253" t="str">
        <f>작성용!D1114</f>
        <v>REPUBLIC ASIA ECOSYSTEM FUND</v>
      </c>
      <c r="H1117" s="266" t="str">
        <f>작성용!E1114</f>
        <v>KBP2024110015</v>
      </c>
      <c r="I1117" s="253" t="str">
        <f>작성용!F1114</f>
        <v>B01</v>
      </c>
      <c r="J1117" s="253">
        <f>작성용!G1114</f>
        <v>0</v>
      </c>
      <c r="K1117" s="253" t="str">
        <f>작성용!H1114</f>
        <v>-</v>
      </c>
      <c r="L1117" s="253" t="str">
        <f>작성용!N1114</f>
        <v>연말</v>
      </c>
      <c r="M1117" s="265" t="str">
        <f>작성용!U1114</f>
        <v>2024.09.30</v>
      </c>
      <c r="N1117" s="265">
        <f>작성용!V1114</f>
        <v>45625</v>
      </c>
      <c r="O1117" s="265">
        <f>작성용!W1114</f>
        <v>45632</v>
      </c>
      <c r="P1117" s="265" t="str">
        <f>작성용!X1114</f>
        <v>-</v>
      </c>
      <c r="Q1117" s="258" t="str">
        <f>작성용!AD1114</f>
        <v>심태진</v>
      </c>
      <c r="R1117" s="267">
        <f>작성용!AE1114</f>
        <v>1</v>
      </c>
      <c r="S1117" s="253" t="str">
        <f>작성용!AF1114</f>
        <v>신규</v>
      </c>
      <c r="T1117" s="268" t="str">
        <f>작성용!AG1114</f>
        <v>서동현</v>
      </c>
      <c r="U1117" s="268" t="str">
        <f>작성용!AH1114</f>
        <v>서동현</v>
      </c>
      <c r="V1117" s="252">
        <f>작성용!AA1114</f>
        <v>202411</v>
      </c>
      <c r="W1117" s="253" t="str">
        <f>작성용!AC1114</f>
        <v>[X]일반기업</v>
      </c>
      <c r="X1117" s="253" t="str">
        <f>작성용!O1114</f>
        <v xml:space="preserve">네오위즈재무실회계2팀양민우팀장 </v>
      </c>
      <c r="Y1117" s="253" t="str">
        <f>작성용!P1114</f>
        <v xml:space="preserve">031-8023-7545 </v>
      </c>
      <c r="Z1117" s="253" t="str">
        <f>작성용!Q1114</f>
        <v xml:space="preserve">mwyang@neowiz.com </v>
      </c>
      <c r="AA1117" s="252" t="str">
        <f>작성용!AJ1114</f>
        <v>-</v>
      </c>
      <c r="AB1117" s="252">
        <f>작성용!AB1114</f>
        <v>0</v>
      </c>
    </row>
    <row r="1118" spans="1:28" s="12" customFormat="1" ht="16.5" customHeight="1" x14ac:dyDescent="0.3">
      <c r="A1118" s="54">
        <f>작성용!AL1115</f>
        <v>1114</v>
      </c>
      <c r="B1118" s="264" t="str">
        <f>작성용!AI1115</f>
        <v>-</v>
      </c>
      <c r="C1118" s="252" t="str">
        <f>작성용!AK1115</f>
        <v>개별종목</v>
      </c>
      <c r="D1118" s="265">
        <f>작성용!T1115</f>
        <v>45597</v>
      </c>
      <c r="E1118" s="253" t="str">
        <f>작성용!B1115</f>
        <v>네오위즈</v>
      </c>
      <c r="F1118" s="253" t="str">
        <f>작성용!C1115</f>
        <v>신규</v>
      </c>
      <c r="G1118" s="253" t="str">
        <f>작성용!D1115</f>
        <v>1Up Ventures Fund II</v>
      </c>
      <c r="H1118" s="266" t="str">
        <f>작성용!E1115</f>
        <v>KBP2024110016</v>
      </c>
      <c r="I1118" s="253" t="str">
        <f>작성용!F1115</f>
        <v>B01</v>
      </c>
      <c r="J1118" s="253">
        <f>작성용!G1115</f>
        <v>0</v>
      </c>
      <c r="K1118" s="253" t="str">
        <f>작성용!H1115</f>
        <v>-</v>
      </c>
      <c r="L1118" s="253" t="str">
        <f>작성용!N1115</f>
        <v>연말</v>
      </c>
      <c r="M1118" s="265" t="str">
        <f>작성용!U1115</f>
        <v>2024.09.30</v>
      </c>
      <c r="N1118" s="265">
        <f>작성용!V1115</f>
        <v>45625</v>
      </c>
      <c r="O1118" s="265">
        <f>작성용!W1115</f>
        <v>45632</v>
      </c>
      <c r="P1118" s="265" t="str">
        <f>작성용!X1115</f>
        <v>-</v>
      </c>
      <c r="Q1118" s="258" t="str">
        <f>작성용!AD1115</f>
        <v>이상민</v>
      </c>
      <c r="R1118" s="267">
        <f>작성용!AE1115</f>
        <v>1</v>
      </c>
      <c r="S1118" s="253" t="str">
        <f>작성용!AF1115</f>
        <v>신규</v>
      </c>
      <c r="T1118" s="268" t="str">
        <f>작성용!AG1115</f>
        <v>서동현</v>
      </c>
      <c r="U1118" s="268" t="str">
        <f>작성용!AH1115</f>
        <v>서동현</v>
      </c>
      <c r="V1118" s="252">
        <f>작성용!AA1115</f>
        <v>202411</v>
      </c>
      <c r="W1118" s="253" t="str">
        <f>작성용!AC1115</f>
        <v>[X]일반기업</v>
      </c>
      <c r="X1118" s="253" t="str">
        <f>작성용!O1115</f>
        <v xml:space="preserve">네오위즈재무실회계2팀양민우팀장 </v>
      </c>
      <c r="Y1118" s="253" t="str">
        <f>작성용!P1115</f>
        <v xml:space="preserve">031-8023-7545 </v>
      </c>
      <c r="Z1118" s="253" t="str">
        <f>작성용!Q1115</f>
        <v xml:space="preserve">mwyang@neowiz.com </v>
      </c>
      <c r="AA1118" s="252" t="str">
        <f>작성용!AJ1115</f>
        <v>-</v>
      </c>
      <c r="AB1118" s="252">
        <f>작성용!AB1115</f>
        <v>0</v>
      </c>
    </row>
    <row r="1119" spans="1:28" s="12" customFormat="1" ht="16.5" customHeight="1" x14ac:dyDescent="0.3">
      <c r="A1119" s="54">
        <f>작성용!AL1116</f>
        <v>1115</v>
      </c>
      <c r="B1119" s="264" t="str">
        <f>작성용!AI1116</f>
        <v>-</v>
      </c>
      <c r="C1119" s="252" t="str">
        <f>작성용!AK1116</f>
        <v>개별종목</v>
      </c>
      <c r="D1119" s="265">
        <f>작성용!T1116</f>
        <v>45597</v>
      </c>
      <c r="E1119" s="253" t="str">
        <f>작성용!B1116</f>
        <v>네오위즈</v>
      </c>
      <c r="F1119" s="253" t="str">
        <f>작성용!C1116</f>
        <v>신규</v>
      </c>
      <c r="G1119" s="253" t="str">
        <f>작성용!D1116</f>
        <v>GFT VENTURES I</v>
      </c>
      <c r="H1119" s="266" t="str">
        <f>작성용!E1116</f>
        <v>KBP2024110017</v>
      </c>
      <c r="I1119" s="253" t="str">
        <f>작성용!F1116</f>
        <v>B01</v>
      </c>
      <c r="J1119" s="253">
        <f>작성용!G1116</f>
        <v>0</v>
      </c>
      <c r="K1119" s="253" t="str">
        <f>작성용!H1116</f>
        <v>-</v>
      </c>
      <c r="L1119" s="253" t="str">
        <f>작성용!N1116</f>
        <v>연말</v>
      </c>
      <c r="M1119" s="265" t="str">
        <f>작성용!U1116</f>
        <v>2024.09.30</v>
      </c>
      <c r="N1119" s="265">
        <f>작성용!V1116</f>
        <v>45625</v>
      </c>
      <c r="O1119" s="265">
        <f>작성용!W1116</f>
        <v>45632</v>
      </c>
      <c r="P1119" s="265" t="str">
        <f>작성용!X1116</f>
        <v>-</v>
      </c>
      <c r="Q1119" s="258" t="str">
        <f>작성용!AD1116</f>
        <v>원정우</v>
      </c>
      <c r="R1119" s="267">
        <f>작성용!AE1116</f>
        <v>1</v>
      </c>
      <c r="S1119" s="253" t="str">
        <f>작성용!AF1116</f>
        <v>신규</v>
      </c>
      <c r="T1119" s="268" t="str">
        <f>작성용!AG1116</f>
        <v>서동현</v>
      </c>
      <c r="U1119" s="268" t="str">
        <f>작성용!AH1116</f>
        <v>서동현</v>
      </c>
      <c r="V1119" s="252">
        <f>작성용!AA1116</f>
        <v>202411</v>
      </c>
      <c r="W1119" s="253" t="str">
        <f>작성용!AC1116</f>
        <v>[X]일반기업</v>
      </c>
      <c r="X1119" s="253" t="str">
        <f>작성용!O1116</f>
        <v xml:space="preserve">네오위즈재무실회계2팀양민우팀장 </v>
      </c>
      <c r="Y1119" s="253" t="str">
        <f>작성용!P1116</f>
        <v xml:space="preserve">031-8023-7545 </v>
      </c>
      <c r="Z1119" s="253" t="str">
        <f>작성용!Q1116</f>
        <v xml:space="preserve">mwyang@neowiz.com </v>
      </c>
      <c r="AA1119" s="252" t="str">
        <f>작성용!AJ1116</f>
        <v>-</v>
      </c>
      <c r="AB1119" s="252">
        <f>작성용!AB1116</f>
        <v>0</v>
      </c>
    </row>
    <row r="1120" spans="1:28" s="12" customFormat="1" ht="16.5" customHeight="1" x14ac:dyDescent="0.3">
      <c r="A1120" s="54">
        <f>작성용!AL1117</f>
        <v>1116</v>
      </c>
      <c r="B1120" s="264" t="str">
        <f>작성용!AI1117</f>
        <v>-</v>
      </c>
      <c r="C1120" s="252" t="str">
        <f>작성용!AK1117</f>
        <v>개별종목</v>
      </c>
      <c r="D1120" s="265">
        <f>작성용!T1117</f>
        <v>45597</v>
      </c>
      <c r="E1120" s="253" t="str">
        <f>작성용!B1117</f>
        <v>네오위즈</v>
      </c>
      <c r="F1120" s="253" t="str">
        <f>작성용!C1117</f>
        <v>신규</v>
      </c>
      <c r="G1120" s="253" t="str">
        <f>작성용!D1117</f>
        <v>케이제이앤오픈워터K-문화상생투자조합</v>
      </c>
      <c r="H1120" s="266" t="str">
        <f>작성용!E1117</f>
        <v>KBP2024110018</v>
      </c>
      <c r="I1120" s="253" t="str">
        <f>작성용!F1117</f>
        <v>B01</v>
      </c>
      <c r="J1120" s="253">
        <f>작성용!G1117</f>
        <v>0</v>
      </c>
      <c r="K1120" s="253" t="str">
        <f>작성용!H1117</f>
        <v>-</v>
      </c>
      <c r="L1120" s="253" t="str">
        <f>작성용!N1117</f>
        <v>연말</v>
      </c>
      <c r="M1120" s="265" t="str">
        <f>작성용!U1117</f>
        <v>2024.09.30</v>
      </c>
      <c r="N1120" s="265">
        <f>작성용!V1117</f>
        <v>45625</v>
      </c>
      <c r="O1120" s="265">
        <f>작성용!W1117</f>
        <v>45632</v>
      </c>
      <c r="P1120" s="265" t="str">
        <f>작성용!X1117</f>
        <v>-</v>
      </c>
      <c r="Q1120" s="258" t="str">
        <f>작성용!AD1117</f>
        <v>김예림</v>
      </c>
      <c r="R1120" s="267">
        <f>작성용!AE1117</f>
        <v>1</v>
      </c>
      <c r="S1120" s="253" t="str">
        <f>작성용!AF1117</f>
        <v>신규</v>
      </c>
      <c r="T1120" s="268" t="str">
        <f>작성용!AG1117</f>
        <v>서동현</v>
      </c>
      <c r="U1120" s="268" t="str">
        <f>작성용!AH1117</f>
        <v>서동현</v>
      </c>
      <c r="V1120" s="252">
        <f>작성용!AA1117</f>
        <v>202411</v>
      </c>
      <c r="W1120" s="253" t="str">
        <f>작성용!AC1117</f>
        <v>[X]일반기업</v>
      </c>
      <c r="X1120" s="253" t="str">
        <f>작성용!O1117</f>
        <v xml:space="preserve">네오위즈재무실회계2팀양민우팀장 </v>
      </c>
      <c r="Y1120" s="253" t="str">
        <f>작성용!P1117</f>
        <v xml:space="preserve">031-8023-7545 </v>
      </c>
      <c r="Z1120" s="253" t="str">
        <f>작성용!Q1117</f>
        <v xml:space="preserve">mwyang@neowiz.com </v>
      </c>
      <c r="AA1120" s="252" t="str">
        <f>작성용!AJ1117</f>
        <v>-</v>
      </c>
      <c r="AB1120" s="252">
        <f>작성용!AB1117</f>
        <v>0</v>
      </c>
    </row>
    <row r="1121" spans="1:28" s="12" customFormat="1" ht="16.5" customHeight="1" x14ac:dyDescent="0.3">
      <c r="A1121" s="54">
        <f>작성용!AL1118</f>
        <v>1117</v>
      </c>
      <c r="B1121" s="264" t="str">
        <f>작성용!AI1118</f>
        <v>-</v>
      </c>
      <c r="C1121" s="252" t="str">
        <f>작성용!AK1118</f>
        <v>개별종목</v>
      </c>
      <c r="D1121" s="265">
        <f>작성용!T1118</f>
        <v>45597</v>
      </c>
      <c r="E1121" s="253" t="str">
        <f>작성용!B1118</f>
        <v>네오위즈파트너스</v>
      </c>
      <c r="F1121" s="253" t="str">
        <f>작성용!C1118</f>
        <v>신규</v>
      </c>
      <c r="G1121" s="253" t="str">
        <f>작성용!D1118</f>
        <v>오케스트라프라이빗에쿼티제4호사모투자</v>
      </c>
      <c r="H1121" s="266">
        <f>작성용!E1118</f>
        <v>1101130031318</v>
      </c>
      <c r="I1121" s="253" t="str">
        <f>작성용!F1118</f>
        <v>B01</v>
      </c>
      <c r="J1121" s="253">
        <f>작성용!G1118</f>
        <v>0</v>
      </c>
      <c r="K1121" s="253" t="str">
        <f>작성용!H1118</f>
        <v>-</v>
      </c>
      <c r="L1121" s="253" t="str">
        <f>작성용!N1118</f>
        <v>연말</v>
      </c>
      <c r="M1121" s="265" t="str">
        <f>작성용!U1118</f>
        <v>2024.09.30</v>
      </c>
      <c r="N1121" s="265">
        <f>작성용!V1118</f>
        <v>45625</v>
      </c>
      <c r="O1121" s="265">
        <f>작성용!W1118</f>
        <v>45632</v>
      </c>
      <c r="P1121" s="265" t="str">
        <f>작성용!X1118</f>
        <v>-</v>
      </c>
      <c r="Q1121" s="258" t="str">
        <f>작성용!AD1118</f>
        <v>서경덕</v>
      </c>
      <c r="R1121" s="267">
        <f>작성용!AE1118</f>
        <v>1</v>
      </c>
      <c r="S1121" s="253" t="str">
        <f>작성용!AF1118</f>
        <v>김혜지</v>
      </c>
      <c r="T1121" s="268" t="str">
        <f>작성용!AG1118</f>
        <v>서동현</v>
      </c>
      <c r="U1121" s="268" t="str">
        <f>작성용!AH1118</f>
        <v>서동현</v>
      </c>
      <c r="V1121" s="252">
        <f>작성용!AA1118</f>
        <v>202411</v>
      </c>
      <c r="W1121" s="253" t="str">
        <f>작성용!AC1118</f>
        <v>[X]일반기업</v>
      </c>
      <c r="X1121" s="253" t="str">
        <f>작성용!O1118</f>
        <v xml:space="preserve">네오위즈재무실회계2팀양민우팀장 </v>
      </c>
      <c r="Y1121" s="253" t="str">
        <f>작성용!P1118</f>
        <v xml:space="preserve">031-8023-7545 </v>
      </c>
      <c r="Z1121" s="253" t="str">
        <f>작성용!Q1118</f>
        <v xml:space="preserve">mwyang@neowiz.com </v>
      </c>
      <c r="AA1121" s="252" t="str">
        <f>작성용!AJ1118</f>
        <v>-</v>
      </c>
      <c r="AB1121" s="252">
        <f>작성용!AB1118</f>
        <v>0</v>
      </c>
    </row>
    <row r="1122" spans="1:28" s="12" customFormat="1" ht="16.5" customHeight="1" x14ac:dyDescent="0.3">
      <c r="A1122" s="54">
        <f>작성용!AL1119</f>
        <v>1118</v>
      </c>
      <c r="B1122" s="264" t="str">
        <f>작성용!AI1119</f>
        <v>-</v>
      </c>
      <c r="C1122" s="252" t="str">
        <f>작성용!AK1119</f>
        <v>개별종목</v>
      </c>
      <c r="D1122" s="265">
        <f>작성용!T1119</f>
        <v>45597</v>
      </c>
      <c r="E1122" s="253" t="str">
        <f>작성용!B1119</f>
        <v>네오위즈파트너스</v>
      </c>
      <c r="F1122" s="253" t="str">
        <f>작성용!C1119</f>
        <v>신규</v>
      </c>
      <c r="G1122" s="253" t="str">
        <f>작성용!D1119</f>
        <v>스톤브릿지티케브릿징사모투자</v>
      </c>
      <c r="H1122" s="266">
        <f>작성용!E1119</f>
        <v>1101130030790</v>
      </c>
      <c r="I1122" s="253" t="str">
        <f>작성용!F1119</f>
        <v>B01</v>
      </c>
      <c r="J1122" s="253">
        <f>작성용!G1119</f>
        <v>0</v>
      </c>
      <c r="K1122" s="253" t="str">
        <f>작성용!H1119</f>
        <v>-</v>
      </c>
      <c r="L1122" s="253" t="str">
        <f>작성용!N1119</f>
        <v>연말</v>
      </c>
      <c r="M1122" s="265" t="str">
        <f>작성용!U1119</f>
        <v>2024.09.30</v>
      </c>
      <c r="N1122" s="265">
        <f>작성용!V1119</f>
        <v>45625</v>
      </c>
      <c r="O1122" s="265">
        <f>작성용!W1119</f>
        <v>45632</v>
      </c>
      <c r="P1122" s="265" t="str">
        <f>작성용!X1119</f>
        <v>-</v>
      </c>
      <c r="Q1122" s="258" t="str">
        <f>작성용!AD1119</f>
        <v>심태진</v>
      </c>
      <c r="R1122" s="267">
        <f>작성용!AE1119</f>
        <v>1</v>
      </c>
      <c r="S1122" s="253" t="str">
        <f>작성용!AF1119</f>
        <v>이찬희</v>
      </c>
      <c r="T1122" s="268" t="str">
        <f>작성용!AG1119</f>
        <v>서동현</v>
      </c>
      <c r="U1122" s="268" t="str">
        <f>작성용!AH1119</f>
        <v>서동현</v>
      </c>
      <c r="V1122" s="252">
        <f>작성용!AA1119</f>
        <v>202411</v>
      </c>
      <c r="W1122" s="253" t="str">
        <f>작성용!AC1119</f>
        <v>[X]일반기업</v>
      </c>
      <c r="X1122" s="253" t="str">
        <f>작성용!O1119</f>
        <v xml:space="preserve">네오위즈재무실회계2팀양민우팀장 </v>
      </c>
      <c r="Y1122" s="253" t="str">
        <f>작성용!P1119</f>
        <v xml:space="preserve">031-8023-7545 </v>
      </c>
      <c r="Z1122" s="253" t="str">
        <f>작성용!Q1119</f>
        <v xml:space="preserve">mwyang@neowiz.com </v>
      </c>
      <c r="AA1122" s="252" t="str">
        <f>작성용!AJ1119</f>
        <v>-</v>
      </c>
      <c r="AB1122" s="252">
        <f>작성용!AB1119</f>
        <v>0</v>
      </c>
    </row>
    <row r="1123" spans="1:28" s="12" customFormat="1" ht="16.5" customHeight="1" x14ac:dyDescent="0.3">
      <c r="A1123" s="54">
        <f>작성용!AL1120</f>
        <v>1119</v>
      </c>
      <c r="B1123" s="264" t="str">
        <f>작성용!AI1120</f>
        <v>-</v>
      </c>
      <c r="C1123" s="252" t="str">
        <f>작성용!AK1120</f>
        <v>개별종목</v>
      </c>
      <c r="D1123" s="265">
        <f>작성용!T1120</f>
        <v>45597</v>
      </c>
      <c r="E1123" s="253" t="str">
        <f>작성용!B1120</f>
        <v>네오위즈파트너스</v>
      </c>
      <c r="F1123" s="253" t="str">
        <f>작성용!C1120</f>
        <v>신규</v>
      </c>
      <c r="G1123" s="253" t="str">
        <f>작성용!D1120</f>
        <v>베이스메트로놈1호벤처투자조합</v>
      </c>
      <c r="H1123" s="266" t="str">
        <f>작성용!E1120</f>
        <v>KBP2024110019</v>
      </c>
      <c r="I1123" s="253" t="str">
        <f>작성용!F1120</f>
        <v>B01</v>
      </c>
      <c r="J1123" s="253">
        <f>작성용!G1120</f>
        <v>0</v>
      </c>
      <c r="K1123" s="253" t="str">
        <f>작성용!H1120</f>
        <v>-</v>
      </c>
      <c r="L1123" s="253" t="str">
        <f>작성용!N1120</f>
        <v>연말</v>
      </c>
      <c r="M1123" s="265" t="str">
        <f>작성용!U1120</f>
        <v>2024.09.30</v>
      </c>
      <c r="N1123" s="265">
        <f>작성용!V1120</f>
        <v>45625</v>
      </c>
      <c r="O1123" s="265">
        <f>작성용!W1120</f>
        <v>45632</v>
      </c>
      <c r="P1123" s="265" t="str">
        <f>작성용!X1120</f>
        <v>-</v>
      </c>
      <c r="Q1123" s="258" t="str">
        <f>작성용!AD1120</f>
        <v>최수민</v>
      </c>
      <c r="R1123" s="267">
        <f>작성용!AE1120</f>
        <v>1</v>
      </c>
      <c r="S1123" s="253" t="str">
        <f>작성용!AF1120</f>
        <v>신규</v>
      </c>
      <c r="T1123" s="268" t="str">
        <f>작성용!AG1120</f>
        <v>서동현</v>
      </c>
      <c r="U1123" s="268" t="str">
        <f>작성용!AH1120</f>
        <v>서동현</v>
      </c>
      <c r="V1123" s="252">
        <f>작성용!AA1120</f>
        <v>202411</v>
      </c>
      <c r="W1123" s="253" t="str">
        <f>작성용!AC1120</f>
        <v>[X]일반기업</v>
      </c>
      <c r="X1123" s="253" t="str">
        <f>작성용!O1120</f>
        <v xml:space="preserve">네오위즈재무실회계2팀양민우팀장 </v>
      </c>
      <c r="Y1123" s="253" t="str">
        <f>작성용!P1120</f>
        <v xml:space="preserve">031-8023-7545 </v>
      </c>
      <c r="Z1123" s="253" t="str">
        <f>작성용!Q1120</f>
        <v xml:space="preserve">mwyang@neowiz.com </v>
      </c>
      <c r="AA1123" s="252" t="str">
        <f>작성용!AJ1120</f>
        <v>-</v>
      </c>
      <c r="AB1123" s="252">
        <f>작성용!AB1120</f>
        <v>0</v>
      </c>
    </row>
    <row r="1124" spans="1:28" s="12" customFormat="1" ht="16.5" customHeight="1" x14ac:dyDescent="0.3">
      <c r="A1124" s="54">
        <f>작성용!AL1121</f>
        <v>1120</v>
      </c>
      <c r="B1124" s="264" t="str">
        <f>작성용!AI1121</f>
        <v>-</v>
      </c>
      <c r="C1124" s="252" t="str">
        <f>작성용!AK1121</f>
        <v>개별종목</v>
      </c>
      <c r="D1124" s="265">
        <f>작성용!T1121</f>
        <v>45597</v>
      </c>
      <c r="E1124" s="253" t="str">
        <f>작성용!B1121</f>
        <v>네오위즈파트너스</v>
      </c>
      <c r="F1124" s="253" t="str">
        <f>작성용!C1121</f>
        <v>신규</v>
      </c>
      <c r="G1124" s="253" t="str">
        <f>작성용!D1121</f>
        <v>제이앤제1호사모투자</v>
      </c>
      <c r="H1124" s="266">
        <f>작성용!E1121</f>
        <v>1101130030972</v>
      </c>
      <c r="I1124" s="253" t="str">
        <f>작성용!F1121</f>
        <v>B01</v>
      </c>
      <c r="J1124" s="253">
        <f>작성용!G1121</f>
        <v>0</v>
      </c>
      <c r="K1124" s="253" t="str">
        <f>작성용!H1121</f>
        <v>-</v>
      </c>
      <c r="L1124" s="253" t="str">
        <f>작성용!N1121</f>
        <v>연말</v>
      </c>
      <c r="M1124" s="265" t="str">
        <f>작성용!U1121</f>
        <v>2024.09.30</v>
      </c>
      <c r="N1124" s="265">
        <f>작성용!V1121</f>
        <v>45625</v>
      </c>
      <c r="O1124" s="265">
        <f>작성용!W1121</f>
        <v>45632</v>
      </c>
      <c r="P1124" s="265" t="str">
        <f>작성용!X1121</f>
        <v>-</v>
      </c>
      <c r="Q1124" s="253" t="str">
        <f>작성용!AD1121</f>
        <v>오수현</v>
      </c>
      <c r="R1124" s="267">
        <f>작성용!AE1121</f>
        <v>1</v>
      </c>
      <c r="S1124" s="253" t="str">
        <f>작성용!AF1121</f>
        <v>신규</v>
      </c>
      <c r="T1124" s="268" t="str">
        <f>작성용!AG1121</f>
        <v>서동현</v>
      </c>
      <c r="U1124" s="268" t="str">
        <f>작성용!AH1121</f>
        <v>서동현</v>
      </c>
      <c r="V1124" s="252">
        <f>작성용!AA1121</f>
        <v>202411</v>
      </c>
      <c r="W1124" s="253" t="str">
        <f>작성용!AC1121</f>
        <v>[X]일반기업</v>
      </c>
      <c r="X1124" s="253" t="str">
        <f>작성용!O1121</f>
        <v xml:space="preserve">네오위즈재무실회계2팀양민우팀장 </v>
      </c>
      <c r="Y1124" s="253" t="str">
        <f>작성용!P1121</f>
        <v xml:space="preserve">031-8023-7545 </v>
      </c>
      <c r="Z1124" s="253" t="str">
        <f>작성용!Q1121</f>
        <v xml:space="preserve">mwyang@neowiz.com </v>
      </c>
      <c r="AA1124" s="252" t="str">
        <f>작성용!AJ1121</f>
        <v>-</v>
      </c>
      <c r="AB1124" s="252">
        <f>작성용!AB1121</f>
        <v>0</v>
      </c>
    </row>
    <row r="1125" spans="1:28" s="12" customFormat="1" ht="16.5" customHeight="1" x14ac:dyDescent="0.3">
      <c r="A1125" s="54">
        <f>작성용!AL1122</f>
        <v>1121</v>
      </c>
      <c r="B1125" s="264" t="str">
        <f>작성용!AI1122</f>
        <v>-</v>
      </c>
      <c r="C1125" s="252" t="str">
        <f>작성용!AK1122</f>
        <v>개별종목</v>
      </c>
      <c r="D1125" s="265">
        <f>작성용!T1122</f>
        <v>45597</v>
      </c>
      <c r="E1125" s="253" t="str">
        <f>작성용!B1122</f>
        <v>네오위즈파트너스</v>
      </c>
      <c r="F1125" s="253" t="str">
        <f>작성용!C1122</f>
        <v>신규</v>
      </c>
      <c r="G1125" s="253" t="str">
        <f>작성용!D1122</f>
        <v>엔드림</v>
      </c>
      <c r="H1125" s="266">
        <f>작성용!E1122</f>
        <v>1311110419068</v>
      </c>
      <c r="I1125" s="253" t="str">
        <f>작성용!F1122</f>
        <v>A01</v>
      </c>
      <c r="J1125" s="253">
        <f>작성용!G1122</f>
        <v>0</v>
      </c>
      <c r="K1125" s="253" t="str">
        <f>작성용!H1122</f>
        <v>-</v>
      </c>
      <c r="L1125" s="253" t="str">
        <f>작성용!N1122</f>
        <v>연말</v>
      </c>
      <c r="M1125" s="265" t="str">
        <f>작성용!U1122</f>
        <v>2024.09.30</v>
      </c>
      <c r="N1125" s="265">
        <f>작성용!V1122</f>
        <v>45625</v>
      </c>
      <c r="O1125" s="265">
        <f>작성용!W1122</f>
        <v>45632</v>
      </c>
      <c r="P1125" s="265" t="str">
        <f>작성용!X1122</f>
        <v>-</v>
      </c>
      <c r="Q1125" s="253" t="str">
        <f>작성용!AD1122</f>
        <v>윤광일</v>
      </c>
      <c r="R1125" s="267">
        <f>작성용!AE1122</f>
        <v>1</v>
      </c>
      <c r="S1125" s="253" t="str">
        <f>작성용!AF1122</f>
        <v>신규</v>
      </c>
      <c r="T1125" s="268" t="str">
        <f>작성용!AG1122</f>
        <v>서동현</v>
      </c>
      <c r="U1125" s="268" t="str">
        <f>작성용!AH1122</f>
        <v>서동현</v>
      </c>
      <c r="V1125" s="252">
        <f>작성용!AA1122</f>
        <v>202411</v>
      </c>
      <c r="W1125" s="253" t="str">
        <f>작성용!AC1122</f>
        <v>[X]일반기업</v>
      </c>
      <c r="X1125" s="253" t="str">
        <f>작성용!O1122</f>
        <v xml:space="preserve">네오위즈재무실회계2팀양민우팀장 </v>
      </c>
      <c r="Y1125" s="253" t="str">
        <f>작성용!P1122</f>
        <v xml:space="preserve">031-8023-7545 </v>
      </c>
      <c r="Z1125" s="253" t="str">
        <f>작성용!Q1122</f>
        <v xml:space="preserve">mwyang@neowiz.com </v>
      </c>
      <c r="AA1125" s="252" t="str">
        <f>작성용!AJ1122</f>
        <v>-</v>
      </c>
      <c r="AB1125" s="252">
        <f>작성용!AB1122</f>
        <v>0</v>
      </c>
    </row>
    <row r="1126" spans="1:28" s="12" customFormat="1" ht="16.5" customHeight="1" x14ac:dyDescent="0.3">
      <c r="A1126" s="54">
        <f>작성용!AL1123</f>
        <v>1122</v>
      </c>
      <c r="B1126" s="264" t="str">
        <f>작성용!AI1123</f>
        <v>-</v>
      </c>
      <c r="C1126" s="252" t="str">
        <f>작성용!AK1123</f>
        <v>개별종목</v>
      </c>
      <c r="D1126" s="265">
        <f>작성용!T1123</f>
        <v>45597</v>
      </c>
      <c r="E1126" s="253" t="str">
        <f>작성용!B1123</f>
        <v>네오위즈홀딩스(수익증권)</v>
      </c>
      <c r="F1126" s="253" t="str">
        <f>작성용!C1123</f>
        <v>재평가</v>
      </c>
      <c r="G1126" s="253" t="str">
        <f>작성용!D1123</f>
        <v>비전프로젝트타임트리전문투자형사모투자신탁제1호S</v>
      </c>
      <c r="H1126" s="266" t="str">
        <f>작성용!E1123</f>
        <v>KBP2019110010</v>
      </c>
      <c r="I1126" s="253" t="str">
        <f>작성용!F1123</f>
        <v>B02</v>
      </c>
      <c r="J1126" s="253">
        <f>작성용!G1123</f>
        <v>0</v>
      </c>
      <c r="K1126" s="253" t="str">
        <f>작성용!H1123</f>
        <v>-</v>
      </c>
      <c r="L1126" s="253" t="str">
        <f>작성용!N1123</f>
        <v>연말</v>
      </c>
      <c r="M1126" s="265" t="str">
        <f>작성용!U1123</f>
        <v>2024.09.30</v>
      </c>
      <c r="N1126" s="265">
        <f>작성용!V1123</f>
        <v>45625</v>
      </c>
      <c r="O1126" s="265">
        <f>작성용!W1123</f>
        <v>45632</v>
      </c>
      <c r="P1126" s="265" t="str">
        <f>작성용!X1123</f>
        <v>-</v>
      </c>
      <c r="Q1126" s="253" t="str">
        <f>작성용!AD1123</f>
        <v>대체평가3사업본부</v>
      </c>
      <c r="R1126" s="267">
        <f>작성용!AE1123</f>
        <v>0</v>
      </c>
      <c r="S1126" s="253" t="str">
        <f>작성용!AF1123</f>
        <v>대체평가3사업본부</v>
      </c>
      <c r="T1126" s="268" t="str">
        <f>작성용!AG1123</f>
        <v>서동현</v>
      </c>
      <c r="U1126" s="268" t="str">
        <f>작성용!AH1123</f>
        <v>서동현</v>
      </c>
      <c r="V1126" s="252">
        <f>작성용!AA1123</f>
        <v>202411</v>
      </c>
      <c r="W1126" s="253" t="str">
        <f>작성용!AC1123</f>
        <v>[T]기타보험기관[1본부]</v>
      </c>
      <c r="X1126" s="253" t="str">
        <f>작성용!O1123</f>
        <v xml:space="preserve">네오위즈재무실회계2팀양민우팀장 </v>
      </c>
      <c r="Y1126" s="253" t="str">
        <f>작성용!P1123</f>
        <v xml:space="preserve">031-8023-7545 </v>
      </c>
      <c r="Z1126" s="253" t="str">
        <f>작성용!Q1123</f>
        <v xml:space="preserve">mwyang@neowiz.com </v>
      </c>
      <c r="AA1126" s="252" t="str">
        <f>작성용!AJ1123</f>
        <v>-</v>
      </c>
      <c r="AB1126" s="252">
        <f>작성용!AB1123</f>
        <v>0</v>
      </c>
    </row>
    <row r="1127" spans="1:28" s="12" customFormat="1" ht="16.5" customHeight="1" x14ac:dyDescent="0.3">
      <c r="A1127" s="54">
        <f>작성용!AL1124</f>
        <v>1123</v>
      </c>
      <c r="B1127" s="264" t="str">
        <f>작성용!AI1124</f>
        <v>-</v>
      </c>
      <c r="C1127" s="252" t="str">
        <f>작성용!AK1124</f>
        <v>개별종목</v>
      </c>
      <c r="D1127" s="265">
        <f>작성용!T1124</f>
        <v>45597</v>
      </c>
      <c r="E1127" s="253" t="str">
        <f>작성용!B1124</f>
        <v>네오위즈홀딩스(수익증권)</v>
      </c>
      <c r="F1127" s="253" t="str">
        <f>작성용!C1124</f>
        <v>재평가</v>
      </c>
      <c r="G1127" s="253" t="str">
        <f>작성용!D1124</f>
        <v>마스턴KB전문투자형사모부동산투자신탁제64호제1종</v>
      </c>
      <c r="H1127" s="266" t="str">
        <f>작성용!E1124</f>
        <v>KBP2020030002</v>
      </c>
      <c r="I1127" s="253" t="str">
        <f>작성용!F1124</f>
        <v>B02</v>
      </c>
      <c r="J1127" s="253">
        <f>작성용!G1124</f>
        <v>0</v>
      </c>
      <c r="K1127" s="253" t="str">
        <f>작성용!H1124</f>
        <v>-</v>
      </c>
      <c r="L1127" s="253" t="str">
        <f>작성용!N1124</f>
        <v>연말</v>
      </c>
      <c r="M1127" s="265" t="str">
        <f>작성용!U1124</f>
        <v>2024.09.30</v>
      </c>
      <c r="N1127" s="265">
        <f>작성용!V1124</f>
        <v>45625</v>
      </c>
      <c r="O1127" s="265">
        <f>작성용!W1124</f>
        <v>45632</v>
      </c>
      <c r="P1127" s="265" t="str">
        <f>작성용!X1124</f>
        <v>-</v>
      </c>
      <c r="Q1127" s="253" t="str">
        <f>작성용!AD1124</f>
        <v>대체평가3사업본부</v>
      </c>
      <c r="R1127" s="267">
        <f>작성용!AE1124</f>
        <v>0</v>
      </c>
      <c r="S1127" s="253" t="str">
        <f>작성용!AF1124</f>
        <v>대체평가3사업본부</v>
      </c>
      <c r="T1127" s="268" t="str">
        <f>작성용!AG1124</f>
        <v>서동현</v>
      </c>
      <c r="U1127" s="268" t="str">
        <f>작성용!AH1124</f>
        <v>서동현</v>
      </c>
      <c r="V1127" s="252">
        <f>작성용!AA1124</f>
        <v>202411</v>
      </c>
      <c r="W1127" s="253" t="str">
        <f>작성용!AC1124</f>
        <v>[T]기타보험기관[1본부]</v>
      </c>
      <c r="X1127" s="253" t="str">
        <f>작성용!O1124</f>
        <v xml:space="preserve">네오위즈재무실회계2팀양민우팀장 </v>
      </c>
      <c r="Y1127" s="253" t="str">
        <f>작성용!P1124</f>
        <v xml:space="preserve">031-8023-7545 </v>
      </c>
      <c r="Z1127" s="253" t="str">
        <f>작성용!Q1124</f>
        <v xml:space="preserve">mwyang@neowiz.com </v>
      </c>
      <c r="AA1127" s="252" t="str">
        <f>작성용!AJ1124</f>
        <v>-</v>
      </c>
      <c r="AB1127" s="252">
        <f>작성용!AB1124</f>
        <v>0</v>
      </c>
    </row>
    <row r="1128" spans="1:28" s="12" customFormat="1" ht="16.5" customHeight="1" x14ac:dyDescent="0.3">
      <c r="A1128" s="54">
        <f>작성용!AL1125</f>
        <v>1124</v>
      </c>
      <c r="B1128" s="264" t="str">
        <f>작성용!AI1125</f>
        <v>-</v>
      </c>
      <c r="C1128" s="252" t="str">
        <f>작성용!AK1125</f>
        <v>개별종목</v>
      </c>
      <c r="D1128" s="265">
        <f>작성용!T1125</f>
        <v>45597</v>
      </c>
      <c r="E1128" s="253" t="str">
        <f>작성용!B1125</f>
        <v>네오위즈홀딩스</v>
      </c>
      <c r="F1128" s="253" t="str">
        <f>작성용!C1125</f>
        <v>신규</v>
      </c>
      <c r="G1128" s="253" t="str">
        <f>작성용!D1125</f>
        <v>아이엠엠씨에스케이티씨펀드</v>
      </c>
      <c r="H1128" s="266" t="str">
        <f>작성용!E1125</f>
        <v>KBP2024110020</v>
      </c>
      <c r="I1128" s="253" t="str">
        <f>작성용!F1125</f>
        <v>B01</v>
      </c>
      <c r="J1128" s="253">
        <f>작성용!G1125</f>
        <v>1</v>
      </c>
      <c r="K1128" s="253" t="str">
        <f>작성용!H1125</f>
        <v>-</v>
      </c>
      <c r="L1128" s="253" t="str">
        <f>작성용!N1125</f>
        <v>연말</v>
      </c>
      <c r="M1128" s="265" t="str">
        <f>작성용!U1125</f>
        <v>2024.09.30</v>
      </c>
      <c r="N1128" s="265">
        <f>작성용!V1125</f>
        <v>45625</v>
      </c>
      <c r="O1128" s="265">
        <f>작성용!W1125</f>
        <v>45632</v>
      </c>
      <c r="P1128" s="265" t="str">
        <f>작성용!X1125</f>
        <v>-</v>
      </c>
      <c r="Q1128" s="258" t="str">
        <f>작성용!AD1125</f>
        <v>정재형</v>
      </c>
      <c r="R1128" s="267">
        <f>작성용!AE1125</f>
        <v>1</v>
      </c>
      <c r="S1128" s="253" t="str">
        <f>작성용!AF1125</f>
        <v>신규</v>
      </c>
      <c r="T1128" s="268" t="str">
        <f>작성용!AG1125</f>
        <v>서동현</v>
      </c>
      <c r="U1128" s="268" t="str">
        <f>작성용!AH1125</f>
        <v>서동현</v>
      </c>
      <c r="V1128" s="252">
        <f>작성용!AA1125</f>
        <v>202411</v>
      </c>
      <c r="W1128" s="253" t="str">
        <f>작성용!AC1125</f>
        <v>[X]일반기업</v>
      </c>
      <c r="X1128" s="253" t="str">
        <f>작성용!O1125</f>
        <v xml:space="preserve">네오위즈재무실회계2팀양민우팀장 </v>
      </c>
      <c r="Y1128" s="253" t="str">
        <f>작성용!P1125</f>
        <v xml:space="preserve">031-8023-7545 </v>
      </c>
      <c r="Z1128" s="253" t="str">
        <f>작성용!Q1125</f>
        <v xml:space="preserve">mwyang@neowiz.com </v>
      </c>
      <c r="AA1128" s="252" t="str">
        <f>작성용!AJ1125</f>
        <v>-</v>
      </c>
      <c r="AB1128" s="252">
        <f>작성용!AB1125</f>
        <v>0</v>
      </c>
    </row>
    <row r="1129" spans="1:28" s="12" customFormat="1" ht="16.5" customHeight="1" x14ac:dyDescent="0.3">
      <c r="A1129" s="54">
        <f>작성용!AL1126</f>
        <v>1125</v>
      </c>
      <c r="B1129" s="264" t="str">
        <f>작성용!AI1126</f>
        <v>-</v>
      </c>
      <c r="C1129" s="252" t="str">
        <f>작성용!AK1126</f>
        <v>개별종목</v>
      </c>
      <c r="D1129" s="265">
        <f>작성용!T1126</f>
        <v>45597</v>
      </c>
      <c r="E1129" s="253" t="str">
        <f>작성용!B1126</f>
        <v>네오위즈홀딩스(수익증권)</v>
      </c>
      <c r="F1129" s="253" t="str">
        <f>작성용!C1126</f>
        <v>신규</v>
      </c>
      <c r="G1129" s="253" t="str">
        <f>작성용!D1126</f>
        <v>브이엠베스트하이일드일반사모투자신탁</v>
      </c>
      <c r="H1129" s="266" t="str">
        <f>작성용!E1126</f>
        <v>KBP2024110021</v>
      </c>
      <c r="I1129" s="253" t="str">
        <f>작성용!F1126</f>
        <v>B02</v>
      </c>
      <c r="J1129" s="253">
        <f>작성용!G1126</f>
        <v>0</v>
      </c>
      <c r="K1129" s="253" t="str">
        <f>작성용!H1126</f>
        <v>-</v>
      </c>
      <c r="L1129" s="253" t="str">
        <f>작성용!N1126</f>
        <v>연말</v>
      </c>
      <c r="M1129" s="265" t="str">
        <f>작성용!U1126</f>
        <v>2024.09.30</v>
      </c>
      <c r="N1129" s="265">
        <f>작성용!V1126</f>
        <v>45625</v>
      </c>
      <c r="O1129" s="265">
        <f>작성용!W1126</f>
        <v>45632</v>
      </c>
      <c r="P1129" s="265" t="str">
        <f>작성용!X1126</f>
        <v>-</v>
      </c>
      <c r="Q1129" s="253" t="str">
        <f>작성용!AD1126</f>
        <v>대체평가3사업본부</v>
      </c>
      <c r="R1129" s="267">
        <f>작성용!AE1126</f>
        <v>0</v>
      </c>
      <c r="S1129" s="253" t="str">
        <f>작성용!AF1126</f>
        <v>대체평가3사업본부</v>
      </c>
      <c r="T1129" s="268" t="str">
        <f>작성용!AG1126</f>
        <v>서동현</v>
      </c>
      <c r="U1129" s="268" t="str">
        <f>작성용!AH1126</f>
        <v>서동현</v>
      </c>
      <c r="V1129" s="252">
        <f>작성용!AA1126</f>
        <v>202411</v>
      </c>
      <c r="W1129" s="253" t="str">
        <f>작성용!AC1126</f>
        <v>[T]기타보험기관[1본부]</v>
      </c>
      <c r="X1129" s="253" t="str">
        <f>작성용!O1126</f>
        <v xml:space="preserve">네오위즈재무실회계2팀양민우팀장 </v>
      </c>
      <c r="Y1129" s="253" t="str">
        <f>작성용!P1126</f>
        <v xml:space="preserve">031-8023-7545 </v>
      </c>
      <c r="Z1129" s="253" t="str">
        <f>작성용!Q1126</f>
        <v xml:space="preserve">mwyang@neowiz.com </v>
      </c>
      <c r="AA1129" s="252" t="str">
        <f>작성용!AJ1126</f>
        <v>-</v>
      </c>
      <c r="AB1129" s="252">
        <f>작성용!AB1126</f>
        <v>0</v>
      </c>
    </row>
    <row r="1130" spans="1:28" s="12" customFormat="1" ht="16.5" customHeight="1" x14ac:dyDescent="0.3">
      <c r="A1130" s="54">
        <f>작성용!AL1127</f>
        <v>1126</v>
      </c>
      <c r="B1130" s="264" t="str">
        <f>작성용!AI1127</f>
        <v>-</v>
      </c>
      <c r="C1130" s="252" t="str">
        <f>작성용!AK1127</f>
        <v>개별종목</v>
      </c>
      <c r="D1130" s="265">
        <f>작성용!T1127</f>
        <v>45597</v>
      </c>
      <c r="E1130" s="253" t="str">
        <f>작성용!B1127</f>
        <v>네오위즈홀딩스</v>
      </c>
      <c r="F1130" s="253" t="str">
        <f>작성용!C1127</f>
        <v>재평가</v>
      </c>
      <c r="G1130" s="253" t="str">
        <f>작성용!D1127</f>
        <v>케이원제15호판교위탁관리부동산투자회사</v>
      </c>
      <c r="H1130" s="266">
        <f>작성용!E1127</f>
        <v>1101117869930</v>
      </c>
      <c r="I1130" s="253" t="str">
        <f>작성용!F1127</f>
        <v>B06</v>
      </c>
      <c r="J1130" s="253">
        <f>작성용!G1127</f>
        <v>1</v>
      </c>
      <c r="K1130" s="253" t="str">
        <f>작성용!H1127</f>
        <v>-</v>
      </c>
      <c r="L1130" s="253" t="str">
        <f>작성용!N1127</f>
        <v>연말</v>
      </c>
      <c r="M1130" s="265" t="str">
        <f>작성용!U1127</f>
        <v>2024.09.30</v>
      </c>
      <c r="N1130" s="265">
        <f>작성용!V1127</f>
        <v>45625</v>
      </c>
      <c r="O1130" s="265">
        <f>작성용!W1127</f>
        <v>45632</v>
      </c>
      <c r="P1130" s="265" t="str">
        <f>작성용!X1127</f>
        <v>-</v>
      </c>
      <c r="Q1130" s="253" t="str">
        <f>작성용!AD1127</f>
        <v>김수현</v>
      </c>
      <c r="R1130" s="267">
        <f>작성용!AE1127</f>
        <v>1</v>
      </c>
      <c r="S1130" s="253" t="str">
        <f>작성용!AF1127</f>
        <v>김수현</v>
      </c>
      <c r="T1130" s="268" t="str">
        <f>작성용!AG1127</f>
        <v>서동현</v>
      </c>
      <c r="U1130" s="268" t="str">
        <f>작성용!AH1127</f>
        <v>서동현</v>
      </c>
      <c r="V1130" s="252">
        <f>작성용!AA1127</f>
        <v>202411</v>
      </c>
      <c r="W1130" s="253" t="str">
        <f>작성용!AC1127</f>
        <v>[X]일반기업</v>
      </c>
      <c r="X1130" s="253" t="str">
        <f>작성용!O1127</f>
        <v xml:space="preserve">네오위즈재무실회계2팀양민우팀장 </v>
      </c>
      <c r="Y1130" s="253" t="str">
        <f>작성용!P1127</f>
        <v xml:space="preserve">031-8023-7545 </v>
      </c>
      <c r="Z1130" s="253" t="str">
        <f>작성용!Q1127</f>
        <v xml:space="preserve">mwyang@neowiz.com </v>
      </c>
      <c r="AA1130" s="252" t="str">
        <f>작성용!AJ1127</f>
        <v>-</v>
      </c>
      <c r="AB1130" s="252">
        <f>작성용!AB1127</f>
        <v>0</v>
      </c>
    </row>
    <row r="1131" spans="1:28" s="12" customFormat="1" ht="16.5" customHeight="1" x14ac:dyDescent="0.3">
      <c r="A1131" s="54">
        <f>작성용!AL1128</f>
        <v>1127</v>
      </c>
      <c r="B1131" s="264" t="str">
        <f>작성용!AI1128</f>
        <v>-</v>
      </c>
      <c r="C1131" s="252" t="str">
        <f>작성용!AK1128</f>
        <v>개별종목</v>
      </c>
      <c r="D1131" s="265">
        <f>작성용!T1128</f>
        <v>45597</v>
      </c>
      <c r="E1131" s="253" t="str">
        <f>작성용!B1128</f>
        <v>네오위즈홀딩스</v>
      </c>
      <c r="F1131" s="253" t="str">
        <f>작성용!C1128</f>
        <v>재평가</v>
      </c>
      <c r="G1131" s="253" t="str">
        <f>작성용!D1128</f>
        <v>엔에이치투자증권(DLS)</v>
      </c>
      <c r="H1131" s="266">
        <f>작성용!E1128</f>
        <v>1101110098130</v>
      </c>
      <c r="I1131" s="253" t="str">
        <f>작성용!F1128</f>
        <v>D06</v>
      </c>
      <c r="J1131" s="253">
        <f>작성용!G1128</f>
        <v>0</v>
      </c>
      <c r="K1131" s="253" t="str">
        <f>작성용!H1128</f>
        <v>-</v>
      </c>
      <c r="L1131" s="253" t="str">
        <f>작성용!N1128</f>
        <v>연말</v>
      </c>
      <c r="M1131" s="265" t="str">
        <f>작성용!U1128</f>
        <v>2024.09.30</v>
      </c>
      <c r="N1131" s="265">
        <f>작성용!V1128</f>
        <v>45625</v>
      </c>
      <c r="O1131" s="265">
        <f>작성용!W1128</f>
        <v>45632</v>
      </c>
      <c r="P1131" s="265" t="str">
        <f>작성용!X1128</f>
        <v>-</v>
      </c>
      <c r="Q1131" s="253" t="str">
        <f>작성용!AD1128</f>
        <v>상장</v>
      </c>
      <c r="R1131" s="267">
        <f>작성용!AE1128</f>
        <v>0</v>
      </c>
      <c r="S1131" s="253" t="str">
        <f>작성용!AF1128</f>
        <v>상장</v>
      </c>
      <c r="T1131" s="268" t="str">
        <f>작성용!AG1128</f>
        <v>서동현</v>
      </c>
      <c r="U1131" s="268" t="str">
        <f>작성용!AH1128</f>
        <v>서동현</v>
      </c>
      <c r="V1131" s="252">
        <f>작성용!AA1128</f>
        <v>202411</v>
      </c>
      <c r="W1131" s="253" t="str">
        <f>작성용!AC1128</f>
        <v>[X]일반기업</v>
      </c>
      <c r="X1131" s="253" t="str">
        <f>작성용!O1128</f>
        <v xml:space="preserve">네오위즈재무실회계2팀양민우팀장 </v>
      </c>
      <c r="Y1131" s="253" t="str">
        <f>작성용!P1128</f>
        <v xml:space="preserve">031-8023-7545 </v>
      </c>
      <c r="Z1131" s="253" t="str">
        <f>작성용!Q1128</f>
        <v xml:space="preserve">mwyang@neowiz.com </v>
      </c>
      <c r="AA1131" s="252" t="str">
        <f>작성용!AJ1128</f>
        <v>-</v>
      </c>
      <c r="AB1131" s="252">
        <f>작성용!AB1128</f>
        <v>0</v>
      </c>
    </row>
    <row r="1132" spans="1:28" s="12" customFormat="1" ht="16.5" customHeight="1" x14ac:dyDescent="0.3">
      <c r="A1132" s="54">
        <f>작성용!AL1129</f>
        <v>1128</v>
      </c>
      <c r="B1132" s="264" t="str">
        <f>작성용!AI1129</f>
        <v>-</v>
      </c>
      <c r="C1132" s="252" t="str">
        <f>작성용!AK1129</f>
        <v>개별종목</v>
      </c>
      <c r="D1132" s="265">
        <f>작성용!T1129</f>
        <v>45597</v>
      </c>
      <c r="E1132" s="253" t="str">
        <f>작성용!B1129</f>
        <v>네오위즈홀딩스</v>
      </c>
      <c r="F1132" s="253" t="str">
        <f>작성용!C1129</f>
        <v>재평가</v>
      </c>
      <c r="G1132" s="253" t="str">
        <f>작성용!D1129</f>
        <v>데일리임파워링바이오헬스케어펀드3호</v>
      </c>
      <c r="H1132" s="266" t="str">
        <f>작성용!E1129</f>
        <v>KBP2019110014</v>
      </c>
      <c r="I1132" s="253" t="str">
        <f>작성용!F1129</f>
        <v>B01</v>
      </c>
      <c r="J1132" s="253">
        <f>작성용!G1129</f>
        <v>1</v>
      </c>
      <c r="K1132" s="253" t="str">
        <f>작성용!H1129</f>
        <v>-</v>
      </c>
      <c r="L1132" s="253" t="str">
        <f>작성용!N1129</f>
        <v>연말</v>
      </c>
      <c r="M1132" s="265" t="str">
        <f>작성용!U1129</f>
        <v>2024.09.30</v>
      </c>
      <c r="N1132" s="265">
        <f>작성용!V1129</f>
        <v>45625</v>
      </c>
      <c r="O1132" s="265">
        <f>작성용!W1129</f>
        <v>45632</v>
      </c>
      <c r="P1132" s="265" t="str">
        <f>작성용!X1129</f>
        <v>-</v>
      </c>
      <c r="Q1132" s="258" t="str">
        <f>작성용!AD1129</f>
        <v>변혜진</v>
      </c>
      <c r="R1132" s="267">
        <f>작성용!AE1129</f>
        <v>1</v>
      </c>
      <c r="S1132" s="253" t="str">
        <f>작성용!AF1129</f>
        <v>윤현빈</v>
      </c>
      <c r="T1132" s="268" t="str">
        <f>작성용!AG1129</f>
        <v>서동현</v>
      </c>
      <c r="U1132" s="268" t="str">
        <f>작성용!AH1129</f>
        <v>서동현</v>
      </c>
      <c r="V1132" s="252">
        <f>작성용!AA1129</f>
        <v>202411</v>
      </c>
      <c r="W1132" s="253" t="str">
        <f>작성용!AC1129</f>
        <v>[X]일반기업</v>
      </c>
      <c r="X1132" s="253" t="str">
        <f>작성용!O1129</f>
        <v xml:space="preserve">네오위즈재무실회계2팀양민우팀장 </v>
      </c>
      <c r="Y1132" s="253" t="str">
        <f>작성용!P1129</f>
        <v xml:space="preserve">031-8023-7545 </v>
      </c>
      <c r="Z1132" s="253" t="str">
        <f>작성용!Q1129</f>
        <v xml:space="preserve">mwyang@neowiz.com </v>
      </c>
      <c r="AA1132" s="252" t="str">
        <f>작성용!AJ1129</f>
        <v>-</v>
      </c>
      <c r="AB1132" s="252">
        <f>작성용!AB1129</f>
        <v>0</v>
      </c>
    </row>
    <row r="1133" spans="1:28" s="12" customFormat="1" ht="16.5" customHeight="1" x14ac:dyDescent="0.3">
      <c r="A1133" s="54">
        <f>작성용!AL1130</f>
        <v>1129</v>
      </c>
      <c r="B1133" s="264" t="str">
        <f>작성용!AI1130</f>
        <v>-</v>
      </c>
      <c r="C1133" s="252" t="str">
        <f>작성용!AK1130</f>
        <v>개별종목</v>
      </c>
      <c r="D1133" s="265">
        <f>작성용!T1130</f>
        <v>45597</v>
      </c>
      <c r="E1133" s="253" t="str">
        <f>작성용!B1130</f>
        <v>네오위즈홀딩스</v>
      </c>
      <c r="F1133" s="253" t="str">
        <f>작성용!C1130</f>
        <v>신규</v>
      </c>
      <c r="G1133" s="253" t="str">
        <f>작성용!D1130</f>
        <v>아이엠엠세컨더리펀드</v>
      </c>
      <c r="H1133" s="266" t="str">
        <f>작성용!E1130</f>
        <v>KBP2024110022</v>
      </c>
      <c r="I1133" s="253" t="str">
        <f>작성용!F1130</f>
        <v>B01</v>
      </c>
      <c r="J1133" s="253">
        <f>작성용!G1130</f>
        <v>1</v>
      </c>
      <c r="K1133" s="253" t="str">
        <f>작성용!H1130</f>
        <v>-</v>
      </c>
      <c r="L1133" s="253" t="str">
        <f>작성용!N1130</f>
        <v>연말</v>
      </c>
      <c r="M1133" s="265" t="str">
        <f>작성용!U1130</f>
        <v>2024.09.30</v>
      </c>
      <c r="N1133" s="265">
        <f>작성용!V1130</f>
        <v>45625</v>
      </c>
      <c r="O1133" s="265">
        <f>작성용!W1130</f>
        <v>45632</v>
      </c>
      <c r="P1133" s="265" t="str">
        <f>작성용!X1130</f>
        <v>-</v>
      </c>
      <c r="Q1133" s="258" t="str">
        <f>작성용!AD1130</f>
        <v>채동우</v>
      </c>
      <c r="R1133" s="267">
        <f>작성용!AE1130</f>
        <v>1</v>
      </c>
      <c r="S1133" s="253" t="str">
        <f>작성용!AF1130</f>
        <v>신규</v>
      </c>
      <c r="T1133" s="268" t="str">
        <f>작성용!AG1130</f>
        <v>서동현</v>
      </c>
      <c r="U1133" s="268" t="str">
        <f>작성용!AH1130</f>
        <v>서동현</v>
      </c>
      <c r="V1133" s="252">
        <f>작성용!AA1130</f>
        <v>202411</v>
      </c>
      <c r="W1133" s="253" t="str">
        <f>작성용!AC1130</f>
        <v>[X]일반기업</v>
      </c>
      <c r="X1133" s="253" t="str">
        <f>작성용!O1130</f>
        <v xml:space="preserve">네오위즈재무실회계2팀양민우팀장 </v>
      </c>
      <c r="Y1133" s="253" t="str">
        <f>작성용!P1130</f>
        <v xml:space="preserve">031-8023-7545 </v>
      </c>
      <c r="Z1133" s="253" t="str">
        <f>작성용!Q1130</f>
        <v xml:space="preserve">mwyang@neowiz.com </v>
      </c>
      <c r="AA1133" s="252" t="str">
        <f>작성용!AJ1130</f>
        <v>-</v>
      </c>
      <c r="AB1133" s="252">
        <f>작성용!AB1130</f>
        <v>0</v>
      </c>
    </row>
    <row r="1134" spans="1:28" s="12" customFormat="1" ht="16.5" customHeight="1" x14ac:dyDescent="0.3">
      <c r="A1134" s="54">
        <f>작성용!AL1131</f>
        <v>1130</v>
      </c>
      <c r="B1134" s="264" t="str">
        <f>작성용!AI1131</f>
        <v>-</v>
      </c>
      <c r="C1134" s="252" t="str">
        <f>작성용!AK1131</f>
        <v>개별종목</v>
      </c>
      <c r="D1134" s="265">
        <f>작성용!T1131</f>
        <v>45597</v>
      </c>
      <c r="E1134" s="253" t="str">
        <f>작성용!B1131</f>
        <v>지온인베스트먼트</v>
      </c>
      <c r="F1134" s="253" t="str">
        <f>작성용!C1131</f>
        <v>신규</v>
      </c>
      <c r="G1134" s="253" t="str">
        <f>작성용!D1131</f>
        <v>소다크루</v>
      </c>
      <c r="H1134" s="266">
        <f>작성용!E1131</f>
        <v>1101115911056</v>
      </c>
      <c r="I1134" s="253" t="str">
        <f>작성용!F1131</f>
        <v>A07</v>
      </c>
      <c r="J1134" s="253">
        <f>작성용!G1131</f>
        <v>0</v>
      </c>
      <c r="K1134" s="253" t="str">
        <f>작성용!H1131</f>
        <v>-</v>
      </c>
      <c r="L1134" s="253" t="str">
        <f>작성용!N1131</f>
        <v>연말</v>
      </c>
      <c r="M1134" s="265" t="str">
        <f>작성용!U1131</f>
        <v>2024.09.30</v>
      </c>
      <c r="N1134" s="265">
        <f>작성용!V1131</f>
        <v>45625</v>
      </c>
      <c r="O1134" s="265">
        <f>작성용!W1131</f>
        <v>45632</v>
      </c>
      <c r="P1134" s="265" t="str">
        <f>작성용!X1131</f>
        <v>-</v>
      </c>
      <c r="Q1134" s="253" t="str">
        <f>작성용!AD1131</f>
        <v>서동현</v>
      </c>
      <c r="R1134" s="267">
        <f>작성용!AE1131</f>
        <v>1</v>
      </c>
      <c r="S1134" s="253" t="str">
        <f>작성용!AF1131</f>
        <v>신규</v>
      </c>
      <c r="T1134" s="268" t="str">
        <f>작성용!AG1131</f>
        <v>오수현</v>
      </c>
      <c r="U1134" s="268" t="str">
        <f>작성용!AH1131</f>
        <v>서동현</v>
      </c>
      <c r="V1134" s="252">
        <f>작성용!AA1131</f>
        <v>202411</v>
      </c>
      <c r="W1134" s="253" t="str">
        <f>작성용!AC1131</f>
        <v>[X]일반기업</v>
      </c>
      <c r="X1134" s="253" t="str">
        <f>작성용!O1131</f>
        <v xml:space="preserve">네오위즈재무실회계2팀양민우팀장 </v>
      </c>
      <c r="Y1134" s="253" t="str">
        <f>작성용!P1131</f>
        <v xml:space="preserve">031-8023-7545 </v>
      </c>
      <c r="Z1134" s="253" t="str">
        <f>작성용!Q1131</f>
        <v xml:space="preserve">mwyang@neowiz.com </v>
      </c>
      <c r="AA1134" s="252" t="str">
        <f>작성용!AJ1131</f>
        <v>-</v>
      </c>
      <c r="AB1134" s="252">
        <f>작성용!AB1131</f>
        <v>0</v>
      </c>
    </row>
    <row r="1135" spans="1:28" s="12" customFormat="1" ht="16.5" customHeight="1" x14ac:dyDescent="0.3">
      <c r="A1135" s="54">
        <f>작성용!AL1132</f>
        <v>1131</v>
      </c>
      <c r="B1135" s="264" t="str">
        <f>작성용!AI1132</f>
        <v>-</v>
      </c>
      <c r="C1135" s="252" t="str">
        <f>작성용!AK1132</f>
        <v>개별종목</v>
      </c>
      <c r="D1135" s="265">
        <f>작성용!T1132</f>
        <v>45597</v>
      </c>
      <c r="E1135" s="253" t="str">
        <f>작성용!B1132</f>
        <v>지온인베스트먼트</v>
      </c>
      <c r="F1135" s="253" t="str">
        <f>작성용!C1132</f>
        <v>신규</v>
      </c>
      <c r="G1135" s="253" t="str">
        <f>작성용!D1132</f>
        <v>피치스그룹코리아</v>
      </c>
      <c r="H1135" s="266">
        <f>작성용!E1132</f>
        <v>1101116786226</v>
      </c>
      <c r="I1135" s="253" t="str">
        <f>작성용!F1132</f>
        <v>A01</v>
      </c>
      <c r="J1135" s="253">
        <f>작성용!G1132</f>
        <v>0</v>
      </c>
      <c r="K1135" s="253" t="str">
        <f>작성용!H1132</f>
        <v>-</v>
      </c>
      <c r="L1135" s="253" t="str">
        <f>작성용!N1132</f>
        <v>연말</v>
      </c>
      <c r="M1135" s="265" t="str">
        <f>작성용!U1132</f>
        <v>2024.09.30</v>
      </c>
      <c r="N1135" s="265">
        <f>작성용!V1132</f>
        <v>45625</v>
      </c>
      <c r="O1135" s="265">
        <f>작성용!W1132</f>
        <v>45632</v>
      </c>
      <c r="P1135" s="265" t="str">
        <f>작성용!X1132</f>
        <v>-</v>
      </c>
      <c r="Q1135" s="253" t="str">
        <f>작성용!AD1132</f>
        <v>이상민</v>
      </c>
      <c r="R1135" s="267">
        <f>작성용!AE1132</f>
        <v>0</v>
      </c>
      <c r="S1135" s="253" t="str">
        <f>작성용!AF1132</f>
        <v>신규</v>
      </c>
      <c r="T1135" s="268" t="str">
        <f>작성용!AG1132</f>
        <v>오수현</v>
      </c>
      <c r="U1135" s="268" t="str">
        <f>작성용!AH1132</f>
        <v>서동현</v>
      </c>
      <c r="V1135" s="252">
        <f>작성용!AA1132</f>
        <v>202411</v>
      </c>
      <c r="W1135" s="253" t="str">
        <f>작성용!AC1132</f>
        <v>[X]일반기업</v>
      </c>
      <c r="X1135" s="253" t="str">
        <f>작성용!O1132</f>
        <v xml:space="preserve">네오위즈재무실회계2팀양민우팀장 </v>
      </c>
      <c r="Y1135" s="253" t="str">
        <f>작성용!P1132</f>
        <v xml:space="preserve">031-8023-7545 </v>
      </c>
      <c r="Z1135" s="253" t="str">
        <f>작성용!Q1132</f>
        <v xml:space="preserve">mwyang@neowiz.com </v>
      </c>
      <c r="AA1135" s="252" t="str">
        <f>작성용!AJ1132</f>
        <v>-</v>
      </c>
      <c r="AB1135" s="252">
        <f>작성용!AB1132</f>
        <v>0</v>
      </c>
    </row>
    <row r="1136" spans="1:28" s="12" customFormat="1" ht="16.5" customHeight="1" x14ac:dyDescent="0.3">
      <c r="A1136" s="54">
        <f>작성용!AL1133</f>
        <v>1132</v>
      </c>
      <c r="B1136" s="264" t="str">
        <f>작성용!AI1133</f>
        <v>-</v>
      </c>
      <c r="C1136" s="252" t="str">
        <f>작성용!AK1133</f>
        <v>개별종목</v>
      </c>
      <c r="D1136" s="265">
        <f>작성용!T1133</f>
        <v>45597</v>
      </c>
      <c r="E1136" s="253" t="str">
        <f>작성용!B1133</f>
        <v>지온인베스트먼트</v>
      </c>
      <c r="F1136" s="253" t="str">
        <f>작성용!C1133</f>
        <v>신규</v>
      </c>
      <c r="G1136" s="253" t="str">
        <f>작성용!D1133</f>
        <v>피치스그룹코리아</v>
      </c>
      <c r="H1136" s="266">
        <f>작성용!E1133</f>
        <v>1101116786226</v>
      </c>
      <c r="I1136" s="253" t="str">
        <f>작성용!F1133</f>
        <v>A07</v>
      </c>
      <c r="J1136" s="253">
        <f>작성용!G1133</f>
        <v>0</v>
      </c>
      <c r="K1136" s="253" t="str">
        <f>작성용!H1133</f>
        <v>-</v>
      </c>
      <c r="L1136" s="253" t="str">
        <f>작성용!N1133</f>
        <v>연말</v>
      </c>
      <c r="M1136" s="265" t="str">
        <f>작성용!U1133</f>
        <v>2024.09.30</v>
      </c>
      <c r="N1136" s="265">
        <f>작성용!V1133</f>
        <v>45625</v>
      </c>
      <c r="O1136" s="265">
        <f>작성용!W1133</f>
        <v>45632</v>
      </c>
      <c r="P1136" s="265" t="str">
        <f>작성용!X1133</f>
        <v>-</v>
      </c>
      <c r="Q1136" s="253" t="str">
        <f>작성용!AD1133</f>
        <v>이상민</v>
      </c>
      <c r="R1136" s="267">
        <f>작성용!AE1133</f>
        <v>0</v>
      </c>
      <c r="S1136" s="253" t="str">
        <f>작성용!AF1133</f>
        <v>신규</v>
      </c>
      <c r="T1136" s="268" t="str">
        <f>작성용!AG1133</f>
        <v>오수현</v>
      </c>
      <c r="U1136" s="268" t="str">
        <f>작성용!AH1133</f>
        <v>서동현</v>
      </c>
      <c r="V1136" s="252">
        <f>작성용!AA1133</f>
        <v>202411</v>
      </c>
      <c r="W1136" s="253" t="str">
        <f>작성용!AC1133</f>
        <v>[X]일반기업</v>
      </c>
      <c r="X1136" s="253" t="str">
        <f>작성용!O1133</f>
        <v xml:space="preserve">네오위즈재무실회계2팀양민우팀장 </v>
      </c>
      <c r="Y1136" s="253" t="str">
        <f>작성용!P1133</f>
        <v xml:space="preserve">031-8023-7545 </v>
      </c>
      <c r="Z1136" s="253" t="str">
        <f>작성용!Q1133</f>
        <v xml:space="preserve">mwyang@neowiz.com </v>
      </c>
      <c r="AA1136" s="252" t="str">
        <f>작성용!AJ1133</f>
        <v>-</v>
      </c>
      <c r="AB1136" s="252">
        <f>작성용!AB1133</f>
        <v>0</v>
      </c>
    </row>
    <row r="1137" spans="1:28" s="12" customFormat="1" ht="16.5" customHeight="1" x14ac:dyDescent="0.3">
      <c r="A1137" s="54">
        <f>작성용!AL1134</f>
        <v>1133</v>
      </c>
      <c r="B1137" s="264" t="str">
        <f>작성용!AI1134</f>
        <v>-</v>
      </c>
      <c r="C1137" s="252" t="str">
        <f>작성용!AK1134</f>
        <v>개별종목</v>
      </c>
      <c r="D1137" s="265">
        <f>작성용!T1134</f>
        <v>45597</v>
      </c>
      <c r="E1137" s="253" t="str">
        <f>작성용!B1134</f>
        <v>지온인베스트먼트</v>
      </c>
      <c r="F1137" s="253" t="str">
        <f>작성용!C1134</f>
        <v>신규</v>
      </c>
      <c r="G1137" s="253" t="str">
        <f>작성용!D1134</f>
        <v>아이디아이디</v>
      </c>
      <c r="H1137" s="266">
        <f>작성용!E1134</f>
        <v>1101116725505</v>
      </c>
      <c r="I1137" s="253" t="str">
        <f>작성용!F1134</f>
        <v>A07</v>
      </c>
      <c r="J1137" s="253">
        <f>작성용!G1134</f>
        <v>0</v>
      </c>
      <c r="K1137" s="253" t="str">
        <f>작성용!H1134</f>
        <v>-</v>
      </c>
      <c r="L1137" s="253" t="str">
        <f>작성용!N1134</f>
        <v>연말</v>
      </c>
      <c r="M1137" s="265" t="str">
        <f>작성용!U1134</f>
        <v>2024.09.30</v>
      </c>
      <c r="N1137" s="265">
        <f>작성용!V1134</f>
        <v>45625</v>
      </c>
      <c r="O1137" s="265">
        <f>작성용!W1134</f>
        <v>45632</v>
      </c>
      <c r="P1137" s="265" t="str">
        <f>작성용!X1134</f>
        <v>-</v>
      </c>
      <c r="Q1137" s="258" t="str">
        <f>작성용!AD1134</f>
        <v>김예림</v>
      </c>
      <c r="R1137" s="267">
        <f>작성용!AE1134</f>
        <v>1</v>
      </c>
      <c r="S1137" s="253" t="str">
        <f>작성용!AF1134</f>
        <v>신규</v>
      </c>
      <c r="T1137" s="268" t="str">
        <f>작성용!AG1134</f>
        <v>오수현</v>
      </c>
      <c r="U1137" s="268" t="str">
        <f>작성용!AH1134</f>
        <v>서동현</v>
      </c>
      <c r="V1137" s="252">
        <f>작성용!AA1134</f>
        <v>202411</v>
      </c>
      <c r="W1137" s="253" t="str">
        <f>작성용!AC1134</f>
        <v>[X]일반기업</v>
      </c>
      <c r="X1137" s="253" t="str">
        <f>작성용!O1134</f>
        <v xml:space="preserve">네오위즈재무실회계2팀양민우팀장 </v>
      </c>
      <c r="Y1137" s="253" t="str">
        <f>작성용!P1134</f>
        <v xml:space="preserve">031-8023-7545 </v>
      </c>
      <c r="Z1137" s="253" t="str">
        <f>작성용!Q1134</f>
        <v xml:space="preserve">mwyang@neowiz.com </v>
      </c>
      <c r="AA1137" s="252" t="str">
        <f>작성용!AJ1134</f>
        <v>-</v>
      </c>
      <c r="AB1137" s="252">
        <f>작성용!AB1134</f>
        <v>0</v>
      </c>
    </row>
    <row r="1138" spans="1:28" s="12" customFormat="1" ht="16.5" customHeight="1" x14ac:dyDescent="0.3">
      <c r="A1138" s="54">
        <f>작성용!AL1135</f>
        <v>1134</v>
      </c>
      <c r="B1138" s="264" t="str">
        <f>작성용!AI1135</f>
        <v>-</v>
      </c>
      <c r="C1138" s="252" t="str">
        <f>작성용!AK1135</f>
        <v>개별종목</v>
      </c>
      <c r="D1138" s="265">
        <f>작성용!T1135</f>
        <v>45597</v>
      </c>
      <c r="E1138" s="253" t="str">
        <f>작성용!B1135</f>
        <v>IBK투자증권(IPO2팀)</v>
      </c>
      <c r="F1138" s="253" t="str">
        <f>작성용!C1135</f>
        <v>재평가</v>
      </c>
      <c r="G1138" s="253" t="str">
        <f>작성용!D1135</f>
        <v>타조엔터테인먼트</v>
      </c>
      <c r="H1138" s="266">
        <f>작성용!E1135</f>
        <v>1101114663301</v>
      </c>
      <c r="I1138" s="253" t="str">
        <f>작성용!F1135</f>
        <v>D02</v>
      </c>
      <c r="J1138" s="253">
        <f>작성용!G1135</f>
        <v>0</v>
      </c>
      <c r="K1138" s="253" t="str">
        <f>작성용!H1135</f>
        <v>-</v>
      </c>
      <c r="L1138" s="253" t="str">
        <f>작성용!N1135</f>
        <v>분기</v>
      </c>
      <c r="M1138" s="265" t="str">
        <f>작성용!U1135</f>
        <v>2024.10.31</v>
      </c>
      <c r="N1138" s="265">
        <f>작성용!V1135</f>
        <v>45600</v>
      </c>
      <c r="O1138" s="265" t="str">
        <f>작성용!W1135</f>
        <v>보고서제공X</v>
      </c>
      <c r="P1138" s="265" t="str">
        <f>작성용!X1135</f>
        <v>-</v>
      </c>
      <c r="Q1138" s="253" t="str">
        <f>작성용!AD1135</f>
        <v>오영석</v>
      </c>
      <c r="R1138" s="267">
        <f>작성용!AE1135</f>
        <v>1</v>
      </c>
      <c r="S1138" s="253" t="str">
        <f>작성용!AF1135</f>
        <v>오영석</v>
      </c>
      <c r="T1138" s="268" t="str">
        <f>작성용!AG1135</f>
        <v>오영석</v>
      </c>
      <c r="U1138" s="268" t="str">
        <f>작성용!AH1135</f>
        <v>오영석</v>
      </c>
      <c r="V1138" s="252">
        <f>작성용!AA1135</f>
        <v>202410</v>
      </c>
      <c r="W1138" s="253" t="str">
        <f>작성용!AC1135</f>
        <v>[Y]금융기관</v>
      </c>
      <c r="X1138" s="253" t="str">
        <f>작성용!O1135</f>
        <v>표경림선임</v>
      </c>
      <c r="Y1138" s="253" t="str">
        <f>작성용!P1135</f>
        <v>02-6915-5574</v>
      </c>
      <c r="Z1138" s="253" t="str">
        <f>작성용!Q1135</f>
        <v>lana9959@ibks.com</v>
      </c>
      <c r="AA1138" s="252" t="str">
        <f>작성용!AJ1135</f>
        <v>회계반영</v>
      </c>
      <c r="AB1138" s="252">
        <f>작성용!AB1135</f>
        <v>0</v>
      </c>
    </row>
    <row r="1139" spans="1:28" s="12" customFormat="1" ht="16.5" customHeight="1" x14ac:dyDescent="0.3">
      <c r="A1139" s="54">
        <f>작성용!AL1136</f>
        <v>1135</v>
      </c>
      <c r="B1139" s="264" t="str">
        <f>작성용!AI1136</f>
        <v>-</v>
      </c>
      <c r="C1139" s="252" t="str">
        <f>작성용!AK1136</f>
        <v>개별종목</v>
      </c>
      <c r="D1139" s="265">
        <f>작성용!T1136</f>
        <v>45597</v>
      </c>
      <c r="E1139" s="253" t="str">
        <f>작성용!B1136</f>
        <v>미래나노텍</v>
      </c>
      <c r="F1139" s="253" t="str">
        <f>작성용!C1136</f>
        <v>재평가</v>
      </c>
      <c r="G1139" s="253" t="str">
        <f>작성용!D1136</f>
        <v>레드엔비아(구,티와이레드)</v>
      </c>
      <c r="H1139" s="266">
        <f>작성용!E1136</f>
        <v>1101116958502</v>
      </c>
      <c r="I1139" s="253" t="str">
        <f>작성용!F1136</f>
        <v>A01</v>
      </c>
      <c r="J1139" s="253">
        <f>작성용!G1136</f>
        <v>0</v>
      </c>
      <c r="K1139" s="253" t="str">
        <f>작성용!H1136</f>
        <v>-</v>
      </c>
      <c r="L1139" s="253" t="str">
        <f>작성용!N1136</f>
        <v>연말</v>
      </c>
      <c r="M1139" s="265" t="str">
        <f>작성용!U1136</f>
        <v>2024.11.30</v>
      </c>
      <c r="N1139" s="265">
        <f>작성용!V1136</f>
        <v>45650</v>
      </c>
      <c r="O1139" s="265">
        <f>작성용!W1136</f>
        <v>45657</v>
      </c>
      <c r="P1139" s="265" t="str">
        <f>작성용!X1136</f>
        <v>-</v>
      </c>
      <c r="Q1139" s="258" t="str">
        <f>작성용!AD1136</f>
        <v>이상민</v>
      </c>
      <c r="R1139" s="267">
        <f>작성용!AE1136</f>
        <v>1</v>
      </c>
      <c r="S1139" s="253" t="str">
        <f>작성용!AF1136</f>
        <v>고명주</v>
      </c>
      <c r="T1139" s="276" t="str">
        <f>작성용!AG1136</f>
        <v>신원준</v>
      </c>
      <c r="U1139" s="276" t="str">
        <f>작성용!AH1136</f>
        <v>신원준</v>
      </c>
      <c r="V1139" s="252">
        <f>작성용!AA1136</f>
        <v>202411</v>
      </c>
      <c r="W1139" s="253" t="str">
        <f>작성용!AC1136</f>
        <v>[X]일반기업</v>
      </c>
      <c r="X1139" s="253" t="str">
        <f>작성용!O1136</f>
        <v xml:space="preserve">경초현프로 </v>
      </c>
      <c r="Y1139" s="253" t="str">
        <f>작성용!P1136</f>
        <v xml:space="preserve">043-710-1550, 010-8842-5265 </v>
      </c>
      <c r="Z1139" s="253" t="str">
        <f>작성용!Q1136</f>
        <v xml:space="preserve">chkyung@mntech.co.kr </v>
      </c>
      <c r="AA1139" s="252" t="str">
        <f>작성용!AJ1136</f>
        <v>회계반영</v>
      </c>
      <c r="AB1139" s="252">
        <f>작성용!AB1136</f>
        <v>0</v>
      </c>
    </row>
    <row r="1140" spans="1:28" s="12" customFormat="1" ht="16.5" customHeight="1" x14ac:dyDescent="0.3">
      <c r="A1140" s="54">
        <f>작성용!AL1137</f>
        <v>1136</v>
      </c>
      <c r="B1140" s="264" t="str">
        <f>작성용!AI1137</f>
        <v>-</v>
      </c>
      <c r="C1140" s="252" t="str">
        <f>작성용!AK1137</f>
        <v>개별종목</v>
      </c>
      <c r="D1140" s="265">
        <f>작성용!T1137</f>
        <v>45597</v>
      </c>
      <c r="E1140" s="253" t="str">
        <f>작성용!B1137</f>
        <v>미래나노텍</v>
      </c>
      <c r="F1140" s="253" t="str">
        <f>작성용!C1137</f>
        <v>재평가</v>
      </c>
      <c r="G1140" s="253" t="str">
        <f>작성용!D1137</f>
        <v>애스톤사이언스</v>
      </c>
      <c r="H1140" s="266">
        <f>작성용!E1137</f>
        <v>1101116876423</v>
      </c>
      <c r="I1140" s="253" t="str">
        <f>작성용!F1137</f>
        <v>A01</v>
      </c>
      <c r="J1140" s="253">
        <f>작성용!G1137</f>
        <v>0</v>
      </c>
      <c r="K1140" s="253" t="str">
        <f>작성용!H1137</f>
        <v>-</v>
      </c>
      <c r="L1140" s="253" t="str">
        <f>작성용!N1137</f>
        <v>연말</v>
      </c>
      <c r="M1140" s="265" t="str">
        <f>작성용!U1137</f>
        <v>2024.11.30</v>
      </c>
      <c r="N1140" s="265">
        <f>작성용!V1137</f>
        <v>45650</v>
      </c>
      <c r="O1140" s="265">
        <f>작성용!W1137</f>
        <v>45657</v>
      </c>
      <c r="P1140" s="265" t="str">
        <f>작성용!X1137</f>
        <v>-</v>
      </c>
      <c r="Q1140" s="253" t="str">
        <f>작성용!AD1137</f>
        <v>서동현</v>
      </c>
      <c r="R1140" s="267">
        <f>작성용!AE1137</f>
        <v>1</v>
      </c>
      <c r="S1140" s="253" t="str">
        <f>작성용!AF1137</f>
        <v>서동현</v>
      </c>
      <c r="T1140" s="276" t="str">
        <f>작성용!AG1137</f>
        <v>신원준</v>
      </c>
      <c r="U1140" s="276" t="str">
        <f>작성용!AH1137</f>
        <v>신원준</v>
      </c>
      <c r="V1140" s="252">
        <f>작성용!AA1137</f>
        <v>202411</v>
      </c>
      <c r="W1140" s="253" t="str">
        <f>작성용!AC1137</f>
        <v>[X]일반기업</v>
      </c>
      <c r="X1140" s="253" t="str">
        <f>작성용!O1137</f>
        <v xml:space="preserve">경초현프로 </v>
      </c>
      <c r="Y1140" s="253" t="str">
        <f>작성용!P1137</f>
        <v xml:space="preserve">043-710-1550, 010-8842-5265 </v>
      </c>
      <c r="Z1140" s="253" t="str">
        <f>작성용!Q1137</f>
        <v xml:space="preserve">chkyung@mntech.co.kr </v>
      </c>
      <c r="AA1140" s="252" t="str">
        <f>작성용!AJ1137</f>
        <v>회계반영</v>
      </c>
      <c r="AB1140" s="252">
        <f>작성용!AB1137</f>
        <v>0</v>
      </c>
    </row>
    <row r="1141" spans="1:28" s="12" customFormat="1" ht="16.5" customHeight="1" x14ac:dyDescent="0.3">
      <c r="A1141" s="54">
        <f>작성용!AL1138</f>
        <v>1137</v>
      </c>
      <c r="B1141" s="264" t="str">
        <f>작성용!AI1138</f>
        <v>-</v>
      </c>
      <c r="C1141" s="252" t="str">
        <f>작성용!AK1138</f>
        <v>개별종목</v>
      </c>
      <c r="D1141" s="265">
        <f>작성용!T1138</f>
        <v>45597</v>
      </c>
      <c r="E1141" s="253" t="str">
        <f>작성용!B1138</f>
        <v>미래나노텍</v>
      </c>
      <c r="F1141" s="253" t="str">
        <f>작성용!C1138</f>
        <v>재평가</v>
      </c>
      <c r="G1141" s="253" t="str">
        <f>작성용!D1138</f>
        <v>애스톤사이언스</v>
      </c>
      <c r="H1141" s="266">
        <f>작성용!E1138</f>
        <v>1101116876423</v>
      </c>
      <c r="I1141" s="253" t="str">
        <f>작성용!F1138</f>
        <v>A07</v>
      </c>
      <c r="J1141" s="253">
        <f>작성용!G1138</f>
        <v>0</v>
      </c>
      <c r="K1141" s="253" t="str">
        <f>작성용!H1138</f>
        <v>-</v>
      </c>
      <c r="L1141" s="253" t="str">
        <f>작성용!N1138</f>
        <v>연말</v>
      </c>
      <c r="M1141" s="265" t="str">
        <f>작성용!U1138</f>
        <v>2024.11.30</v>
      </c>
      <c r="N1141" s="265">
        <f>작성용!V1138</f>
        <v>45650</v>
      </c>
      <c r="O1141" s="265">
        <f>작성용!W1138</f>
        <v>45657</v>
      </c>
      <c r="P1141" s="265" t="str">
        <f>작성용!X1138</f>
        <v>-</v>
      </c>
      <c r="Q1141" s="253" t="str">
        <f>작성용!AD1138</f>
        <v>서동현</v>
      </c>
      <c r="R1141" s="267">
        <f>작성용!AE1138</f>
        <v>0</v>
      </c>
      <c r="S1141" s="253" t="str">
        <f>작성용!AF1138</f>
        <v>서동현</v>
      </c>
      <c r="T1141" s="276" t="str">
        <f>작성용!AG1138</f>
        <v>신원준</v>
      </c>
      <c r="U1141" s="276" t="str">
        <f>작성용!AH1138</f>
        <v>신원준</v>
      </c>
      <c r="V1141" s="252">
        <f>작성용!AA1138</f>
        <v>202411</v>
      </c>
      <c r="W1141" s="253" t="str">
        <f>작성용!AC1138</f>
        <v>[X]일반기업</v>
      </c>
      <c r="X1141" s="253" t="str">
        <f>작성용!O1138</f>
        <v xml:space="preserve">경초현프로 </v>
      </c>
      <c r="Y1141" s="253" t="str">
        <f>작성용!P1138</f>
        <v xml:space="preserve">043-710-1550, 010-8842-5265 </v>
      </c>
      <c r="Z1141" s="253" t="str">
        <f>작성용!Q1138</f>
        <v xml:space="preserve">chkyung@mntech.co.kr </v>
      </c>
      <c r="AA1141" s="252" t="str">
        <f>작성용!AJ1138</f>
        <v>회계반영</v>
      </c>
      <c r="AB1141" s="252">
        <f>작성용!AB1138</f>
        <v>0</v>
      </c>
    </row>
    <row r="1142" spans="1:28" s="12" customFormat="1" ht="16.5" customHeight="1" x14ac:dyDescent="0.3">
      <c r="A1142" s="54">
        <f>작성용!AL1139</f>
        <v>1138</v>
      </c>
      <c r="B1142" s="264" t="str">
        <f>작성용!AI1139</f>
        <v>-</v>
      </c>
      <c r="C1142" s="252" t="str">
        <f>작성용!AK1139</f>
        <v>개별종목</v>
      </c>
      <c r="D1142" s="265">
        <f>작성용!T1139</f>
        <v>45597</v>
      </c>
      <c r="E1142" s="253" t="str">
        <f>작성용!B1139</f>
        <v>미래나노텍</v>
      </c>
      <c r="F1142" s="253" t="str">
        <f>작성용!C1139</f>
        <v>재평가</v>
      </c>
      <c r="G1142" s="253" t="str">
        <f>작성용!D1139</f>
        <v>에스테팜</v>
      </c>
      <c r="H1142" s="266">
        <f>작성용!E1139</f>
        <v>1101116271350</v>
      </c>
      <c r="I1142" s="253" t="str">
        <f>작성용!F1139</f>
        <v>D03</v>
      </c>
      <c r="J1142" s="253">
        <f>작성용!G1139</f>
        <v>4</v>
      </c>
      <c r="K1142" s="253" t="str">
        <f>작성용!H1139</f>
        <v>-</v>
      </c>
      <c r="L1142" s="253" t="str">
        <f>작성용!N1139</f>
        <v>연말</v>
      </c>
      <c r="M1142" s="265" t="str">
        <f>작성용!U1139</f>
        <v>2024.11.30</v>
      </c>
      <c r="N1142" s="265">
        <f>작성용!V1139</f>
        <v>45650</v>
      </c>
      <c r="O1142" s="265">
        <f>작성용!W1139</f>
        <v>45657</v>
      </c>
      <c r="P1142" s="265" t="str">
        <f>작성용!X1139</f>
        <v>-</v>
      </c>
      <c r="Q1142" s="253" t="str">
        <f>작성용!AD1139</f>
        <v>최수민</v>
      </c>
      <c r="R1142" s="267">
        <f>작성용!AE1139</f>
        <v>0</v>
      </c>
      <c r="S1142" s="253" t="str">
        <f>작성용!AF1139</f>
        <v>최수민</v>
      </c>
      <c r="T1142" s="276" t="str">
        <f>작성용!AG1139</f>
        <v>신원준</v>
      </c>
      <c r="U1142" s="276" t="str">
        <f>작성용!AH1139</f>
        <v>신원준</v>
      </c>
      <c r="V1142" s="252">
        <f>작성용!AA1139</f>
        <v>202411</v>
      </c>
      <c r="W1142" s="253" t="str">
        <f>작성용!AC1139</f>
        <v>[X]일반기업</v>
      </c>
      <c r="X1142" s="253" t="str">
        <f>작성용!O1139</f>
        <v xml:space="preserve">경초현프로 </v>
      </c>
      <c r="Y1142" s="253" t="str">
        <f>작성용!P1139</f>
        <v xml:space="preserve">043-710-1550, 010-8842-5265 </v>
      </c>
      <c r="Z1142" s="253" t="str">
        <f>작성용!Q1139</f>
        <v xml:space="preserve">chkyung@mntech.co.kr </v>
      </c>
      <c r="AA1142" s="252" t="str">
        <f>작성용!AJ1139</f>
        <v>회계반영</v>
      </c>
      <c r="AB1142" s="252">
        <f>작성용!AB1139</f>
        <v>0</v>
      </c>
    </row>
    <row r="1143" spans="1:28" s="12" customFormat="1" ht="16.5" customHeight="1" x14ac:dyDescent="0.3">
      <c r="A1143" s="54">
        <f>작성용!AL1140</f>
        <v>1139</v>
      </c>
      <c r="B1143" s="264" t="str">
        <f>작성용!AI1140</f>
        <v>-</v>
      </c>
      <c r="C1143" s="252" t="str">
        <f>작성용!AK1140</f>
        <v>개별종목</v>
      </c>
      <c r="D1143" s="265">
        <f>작성용!T1140</f>
        <v>45597</v>
      </c>
      <c r="E1143" s="253" t="str">
        <f>작성용!B1140</f>
        <v>미래나노텍</v>
      </c>
      <c r="F1143" s="253" t="str">
        <f>작성용!C1140</f>
        <v>재평가</v>
      </c>
      <c r="G1143" s="253" t="str">
        <f>작성용!D1140</f>
        <v>에스테팜</v>
      </c>
      <c r="H1143" s="266">
        <f>작성용!E1140</f>
        <v>1101116271350</v>
      </c>
      <c r="I1143" s="253" t="str">
        <f>작성용!F1140</f>
        <v>A01</v>
      </c>
      <c r="J1143" s="253">
        <f>작성용!G1140</f>
        <v>0</v>
      </c>
      <c r="K1143" s="253" t="str">
        <f>작성용!H1140</f>
        <v>-</v>
      </c>
      <c r="L1143" s="253" t="str">
        <f>작성용!N1140</f>
        <v>연말</v>
      </c>
      <c r="M1143" s="265" t="str">
        <f>작성용!U1140</f>
        <v>2024.11.30</v>
      </c>
      <c r="N1143" s="265">
        <f>작성용!V1140</f>
        <v>45650</v>
      </c>
      <c r="O1143" s="265">
        <f>작성용!W1140</f>
        <v>45657</v>
      </c>
      <c r="P1143" s="265" t="str">
        <f>작성용!X1140</f>
        <v>-</v>
      </c>
      <c r="Q1143" s="253" t="str">
        <f>작성용!AD1140</f>
        <v>최수민</v>
      </c>
      <c r="R1143" s="267">
        <f>작성용!AE1140</f>
        <v>1</v>
      </c>
      <c r="S1143" s="253" t="str">
        <f>작성용!AF1140</f>
        <v>최수민</v>
      </c>
      <c r="T1143" s="276" t="str">
        <f>작성용!AG1140</f>
        <v>신원준</v>
      </c>
      <c r="U1143" s="276" t="str">
        <f>작성용!AH1140</f>
        <v>신원준</v>
      </c>
      <c r="V1143" s="252">
        <f>작성용!AA1140</f>
        <v>202411</v>
      </c>
      <c r="W1143" s="253" t="str">
        <f>작성용!AC1140</f>
        <v>[X]일반기업</v>
      </c>
      <c r="X1143" s="253" t="str">
        <f>작성용!O1140</f>
        <v xml:space="preserve">경초현프로 </v>
      </c>
      <c r="Y1143" s="253" t="str">
        <f>작성용!P1140</f>
        <v xml:space="preserve">043-710-1550, 010-8842-5265 </v>
      </c>
      <c r="Z1143" s="253" t="str">
        <f>작성용!Q1140</f>
        <v xml:space="preserve">chkyung@mntech.co.kr </v>
      </c>
      <c r="AA1143" s="252" t="str">
        <f>작성용!AJ1140</f>
        <v>회계반영</v>
      </c>
      <c r="AB1143" s="252">
        <f>작성용!AB1140</f>
        <v>0</v>
      </c>
    </row>
    <row r="1144" spans="1:28" s="12" customFormat="1" ht="16.5" customHeight="1" x14ac:dyDescent="0.3">
      <c r="A1144" s="54">
        <f>작성용!AL1141</f>
        <v>1140</v>
      </c>
      <c r="B1144" s="264" t="str">
        <f>작성용!AI1141</f>
        <v>-</v>
      </c>
      <c r="C1144" s="252" t="str">
        <f>작성용!AK1141</f>
        <v>개별종목</v>
      </c>
      <c r="D1144" s="265">
        <f>작성용!T1141</f>
        <v>45597</v>
      </c>
      <c r="E1144" s="253" t="str">
        <f>작성용!B1141</f>
        <v>미래나노텍</v>
      </c>
      <c r="F1144" s="253" t="str">
        <f>작성용!C1141</f>
        <v>재평가</v>
      </c>
      <c r="G1144" s="253" t="str">
        <f>작성용!D1141</f>
        <v>에이피트바이오</v>
      </c>
      <c r="H1144" s="266">
        <f>작성용!E1141</f>
        <v>1101116955003</v>
      </c>
      <c r="I1144" s="253" t="str">
        <f>작성용!F1141</f>
        <v>A07</v>
      </c>
      <c r="J1144" s="253">
        <f>작성용!G1141</f>
        <v>0</v>
      </c>
      <c r="K1144" s="253" t="str">
        <f>작성용!H1141</f>
        <v>-</v>
      </c>
      <c r="L1144" s="253" t="str">
        <f>작성용!N1141</f>
        <v>연말</v>
      </c>
      <c r="M1144" s="265" t="str">
        <f>작성용!U1141</f>
        <v>2024.11.30</v>
      </c>
      <c r="N1144" s="265">
        <f>작성용!V1141</f>
        <v>45650</v>
      </c>
      <c r="O1144" s="265">
        <f>작성용!W1141</f>
        <v>45657</v>
      </c>
      <c r="P1144" s="265" t="str">
        <f>작성용!X1141</f>
        <v>-</v>
      </c>
      <c r="Q1144" s="253" t="str">
        <f>작성용!AD1141</f>
        <v>오수현</v>
      </c>
      <c r="R1144" s="267">
        <f>작성용!AE1141</f>
        <v>1</v>
      </c>
      <c r="S1144" s="253" t="str">
        <f>작성용!AF1141</f>
        <v>오수현</v>
      </c>
      <c r="T1144" s="276" t="str">
        <f>작성용!AG1141</f>
        <v>신원준</v>
      </c>
      <c r="U1144" s="276" t="str">
        <f>작성용!AH1141</f>
        <v>신원준</v>
      </c>
      <c r="V1144" s="252">
        <f>작성용!AA1141</f>
        <v>202411</v>
      </c>
      <c r="W1144" s="253" t="str">
        <f>작성용!AC1141</f>
        <v>[X]일반기업</v>
      </c>
      <c r="X1144" s="253" t="str">
        <f>작성용!O1141</f>
        <v xml:space="preserve">경초현프로 </v>
      </c>
      <c r="Y1144" s="253" t="str">
        <f>작성용!P1141</f>
        <v xml:space="preserve">043-710-1550, 010-8842-5265 </v>
      </c>
      <c r="Z1144" s="253" t="str">
        <f>작성용!Q1141</f>
        <v xml:space="preserve">chkyung@mntech.co.kr </v>
      </c>
      <c r="AA1144" s="252" t="str">
        <f>작성용!AJ1141</f>
        <v>회계반영</v>
      </c>
      <c r="AB1144" s="252">
        <f>작성용!AB1141</f>
        <v>0</v>
      </c>
    </row>
    <row r="1145" spans="1:28" s="12" customFormat="1" ht="16.5" customHeight="1" x14ac:dyDescent="0.3">
      <c r="A1145" s="54">
        <f>작성용!AL1142</f>
        <v>1141</v>
      </c>
      <c r="B1145" s="264" t="str">
        <f>작성용!AI1142</f>
        <v>-</v>
      </c>
      <c r="C1145" s="252" t="str">
        <f>작성용!AK1142</f>
        <v>개별종목</v>
      </c>
      <c r="D1145" s="265">
        <f>작성용!T1142</f>
        <v>45597</v>
      </c>
      <c r="E1145" s="253" t="str">
        <f>작성용!B1142</f>
        <v>미래나노텍</v>
      </c>
      <c r="F1145" s="253" t="str">
        <f>작성용!C1142</f>
        <v>재평가</v>
      </c>
      <c r="G1145" s="253" t="str">
        <f>작성용!D1142</f>
        <v>에이피트바이오</v>
      </c>
      <c r="H1145" s="266">
        <f>작성용!E1142</f>
        <v>1101116955003</v>
      </c>
      <c r="I1145" s="253" t="str">
        <f>작성용!F1142</f>
        <v>A04</v>
      </c>
      <c r="J1145" s="253">
        <f>작성용!G1142</f>
        <v>77</v>
      </c>
      <c r="K1145" s="253" t="str">
        <f>작성용!H1142</f>
        <v>-</v>
      </c>
      <c r="L1145" s="253" t="str">
        <f>작성용!N1142</f>
        <v>연말</v>
      </c>
      <c r="M1145" s="265" t="str">
        <f>작성용!U1142</f>
        <v>2024.11.30</v>
      </c>
      <c r="N1145" s="265">
        <f>작성용!V1142</f>
        <v>45650</v>
      </c>
      <c r="O1145" s="265">
        <f>작성용!W1142</f>
        <v>45657</v>
      </c>
      <c r="P1145" s="265" t="str">
        <f>작성용!X1142</f>
        <v>-</v>
      </c>
      <c r="Q1145" s="253" t="str">
        <f>작성용!AD1142</f>
        <v>오수현</v>
      </c>
      <c r="R1145" s="267">
        <f>작성용!AE1142</f>
        <v>0</v>
      </c>
      <c r="S1145" s="253" t="str">
        <f>작성용!AF1142</f>
        <v>오수현</v>
      </c>
      <c r="T1145" s="276" t="str">
        <f>작성용!AG1142</f>
        <v>신원준</v>
      </c>
      <c r="U1145" s="276" t="str">
        <f>작성용!AH1142</f>
        <v>신원준</v>
      </c>
      <c r="V1145" s="252">
        <f>작성용!AA1142</f>
        <v>202411</v>
      </c>
      <c r="W1145" s="253" t="str">
        <f>작성용!AC1142</f>
        <v>[X]일반기업</v>
      </c>
      <c r="X1145" s="253" t="str">
        <f>작성용!O1142</f>
        <v xml:space="preserve">경초현프로 </v>
      </c>
      <c r="Y1145" s="253" t="str">
        <f>작성용!P1142</f>
        <v xml:space="preserve">043-710-1550, 010-8842-5265 </v>
      </c>
      <c r="Z1145" s="253" t="str">
        <f>작성용!Q1142</f>
        <v xml:space="preserve">chkyung@mntech.co.kr </v>
      </c>
      <c r="AA1145" s="252" t="str">
        <f>작성용!AJ1142</f>
        <v>회계반영</v>
      </c>
      <c r="AB1145" s="252">
        <f>작성용!AB1142</f>
        <v>0</v>
      </c>
    </row>
    <row r="1146" spans="1:28" s="12" customFormat="1" ht="16.5" customHeight="1" x14ac:dyDescent="0.3">
      <c r="A1146" s="54">
        <f>작성용!AL1143</f>
        <v>1142</v>
      </c>
      <c r="B1146" s="264" t="str">
        <f>작성용!AI1143</f>
        <v>-</v>
      </c>
      <c r="C1146" s="252" t="str">
        <f>작성용!AK1143</f>
        <v>개별종목</v>
      </c>
      <c r="D1146" s="265">
        <f>작성용!T1143</f>
        <v>45597</v>
      </c>
      <c r="E1146" s="253" t="str">
        <f>작성용!B1143</f>
        <v>미래나노텍</v>
      </c>
      <c r="F1146" s="253" t="str">
        <f>작성용!C1143</f>
        <v>신규</v>
      </c>
      <c r="G1146" s="253" t="str">
        <f>작성용!D1143</f>
        <v>우경정보기술</v>
      </c>
      <c r="H1146" s="266">
        <f>작성용!E1143</f>
        <v>1701110367814</v>
      </c>
      <c r="I1146" s="253" t="str">
        <f>작성용!F1143</f>
        <v>A01</v>
      </c>
      <c r="J1146" s="253">
        <f>작성용!G1143</f>
        <v>0</v>
      </c>
      <c r="K1146" s="253" t="str">
        <f>작성용!H1143</f>
        <v>-</v>
      </c>
      <c r="L1146" s="253" t="str">
        <f>작성용!N1143</f>
        <v>연말</v>
      </c>
      <c r="M1146" s="265" t="str">
        <f>작성용!U1143</f>
        <v>2024.11.30</v>
      </c>
      <c r="N1146" s="265">
        <f>작성용!V1143</f>
        <v>45650</v>
      </c>
      <c r="O1146" s="265">
        <f>작성용!W1143</f>
        <v>45657</v>
      </c>
      <c r="P1146" s="265" t="str">
        <f>작성용!X1143</f>
        <v>-</v>
      </c>
      <c r="Q1146" s="258" t="str">
        <f>작성용!AD1143</f>
        <v>서경덕</v>
      </c>
      <c r="R1146" s="267">
        <f>작성용!AE1143</f>
        <v>1</v>
      </c>
      <c r="S1146" s="253" t="str">
        <f>작성용!AF1143</f>
        <v>여재현</v>
      </c>
      <c r="T1146" s="276" t="str">
        <f>작성용!AG1143</f>
        <v>신원준</v>
      </c>
      <c r="U1146" s="276" t="str">
        <f>작성용!AH1143</f>
        <v>신원준</v>
      </c>
      <c r="V1146" s="252">
        <f>작성용!AA1143</f>
        <v>202411</v>
      </c>
      <c r="W1146" s="253" t="str">
        <f>작성용!AC1143</f>
        <v>[X]일반기업</v>
      </c>
      <c r="X1146" s="253" t="str">
        <f>작성용!O1143</f>
        <v xml:space="preserve">경초현프로 </v>
      </c>
      <c r="Y1146" s="253" t="str">
        <f>작성용!P1143</f>
        <v xml:space="preserve">043-710-1550, 010-8842-5265 </v>
      </c>
      <c r="Z1146" s="253" t="str">
        <f>작성용!Q1143</f>
        <v xml:space="preserve">chkyung@mntech.co.kr </v>
      </c>
      <c r="AA1146" s="252" t="str">
        <f>작성용!AJ1143</f>
        <v>회계반영</v>
      </c>
      <c r="AB1146" s="252">
        <f>작성용!AB1143</f>
        <v>0</v>
      </c>
    </row>
    <row r="1147" spans="1:28" s="12" customFormat="1" ht="16.5" customHeight="1" x14ac:dyDescent="0.3">
      <c r="A1147" s="54">
        <f>작성용!AL1144</f>
        <v>1143</v>
      </c>
      <c r="B1147" s="264" t="str">
        <f>작성용!AI1144</f>
        <v>-</v>
      </c>
      <c r="C1147" s="252" t="str">
        <f>작성용!AK1144</f>
        <v>개별종목</v>
      </c>
      <c r="D1147" s="265">
        <f>작성용!T1144</f>
        <v>45597</v>
      </c>
      <c r="E1147" s="253" t="str">
        <f>작성용!B1144</f>
        <v>미래나노텍</v>
      </c>
      <c r="F1147" s="253" t="str">
        <f>작성용!C1144</f>
        <v>신규</v>
      </c>
      <c r="G1147" s="253" t="str">
        <f>작성용!D1144</f>
        <v>우경정보기술</v>
      </c>
      <c r="H1147" s="266">
        <f>작성용!E1144</f>
        <v>1701110367814</v>
      </c>
      <c r="I1147" s="253" t="str">
        <f>작성용!F1144</f>
        <v>A04</v>
      </c>
      <c r="J1147" s="253">
        <f>작성용!G1144</f>
        <v>77</v>
      </c>
      <c r="K1147" s="253" t="str">
        <f>작성용!H1144</f>
        <v>-</v>
      </c>
      <c r="L1147" s="253" t="str">
        <f>작성용!N1144</f>
        <v>연말</v>
      </c>
      <c r="M1147" s="265" t="str">
        <f>작성용!U1144</f>
        <v>2024.11.30</v>
      </c>
      <c r="N1147" s="265">
        <f>작성용!V1144</f>
        <v>45650</v>
      </c>
      <c r="O1147" s="265">
        <f>작성용!W1144</f>
        <v>45657</v>
      </c>
      <c r="P1147" s="265" t="str">
        <f>작성용!X1144</f>
        <v>-</v>
      </c>
      <c r="Q1147" s="258" t="str">
        <f>작성용!AD1144</f>
        <v>서경덕</v>
      </c>
      <c r="R1147" s="267">
        <f>작성용!AE1144</f>
        <v>0</v>
      </c>
      <c r="S1147" s="253" t="str">
        <f>작성용!AF1144</f>
        <v>여재현</v>
      </c>
      <c r="T1147" s="276" t="str">
        <f>작성용!AG1144</f>
        <v>신원준</v>
      </c>
      <c r="U1147" s="276" t="str">
        <f>작성용!AH1144</f>
        <v>신원준</v>
      </c>
      <c r="V1147" s="252">
        <f>작성용!AA1144</f>
        <v>202411</v>
      </c>
      <c r="W1147" s="253" t="str">
        <f>작성용!AC1144</f>
        <v>[X]일반기업</v>
      </c>
      <c r="X1147" s="253" t="str">
        <f>작성용!O1144</f>
        <v xml:space="preserve">경초현프로 </v>
      </c>
      <c r="Y1147" s="253" t="str">
        <f>작성용!P1144</f>
        <v xml:space="preserve">043-710-1550, 010-8842-5265 </v>
      </c>
      <c r="Z1147" s="253" t="str">
        <f>작성용!Q1144</f>
        <v xml:space="preserve">chkyung@mntech.co.kr </v>
      </c>
      <c r="AA1147" s="252" t="str">
        <f>작성용!AJ1144</f>
        <v>회계반영</v>
      </c>
      <c r="AB1147" s="252">
        <f>작성용!AB1144</f>
        <v>0</v>
      </c>
    </row>
    <row r="1148" spans="1:28" s="12" customFormat="1" ht="16.5" customHeight="1" x14ac:dyDescent="0.3">
      <c r="A1148" s="54">
        <f>작성용!AL1145</f>
        <v>1144</v>
      </c>
      <c r="B1148" s="264" t="str">
        <f>작성용!AI1145</f>
        <v>-</v>
      </c>
      <c r="C1148" s="252" t="str">
        <f>작성용!AK1145</f>
        <v>개별종목</v>
      </c>
      <c r="D1148" s="265">
        <f>작성용!T1145</f>
        <v>45597</v>
      </c>
      <c r="E1148" s="253" t="str">
        <f>작성용!B1145</f>
        <v>미래나노텍</v>
      </c>
      <c r="F1148" s="253" t="str">
        <f>작성용!C1145</f>
        <v>재평가</v>
      </c>
      <c r="G1148" s="253" t="str">
        <f>작성용!D1145</f>
        <v>코아시아넥셀(구,넥셀)</v>
      </c>
      <c r="H1148" s="266">
        <f>작성용!E1145</f>
        <v>1311110072634</v>
      </c>
      <c r="I1148" s="253" t="str">
        <f>작성용!F1145</f>
        <v>A01</v>
      </c>
      <c r="J1148" s="253">
        <f>작성용!G1145</f>
        <v>0</v>
      </c>
      <c r="K1148" s="253" t="str">
        <f>작성용!H1145</f>
        <v>-</v>
      </c>
      <c r="L1148" s="253" t="str">
        <f>작성용!N1145</f>
        <v>연말</v>
      </c>
      <c r="M1148" s="265" t="str">
        <f>작성용!U1145</f>
        <v>2024.11.30</v>
      </c>
      <c r="N1148" s="265">
        <f>작성용!V1145</f>
        <v>45650</v>
      </c>
      <c r="O1148" s="265">
        <f>작성용!W1145</f>
        <v>45657</v>
      </c>
      <c r="P1148" s="265" t="str">
        <f>작성용!X1145</f>
        <v>-</v>
      </c>
      <c r="Q1148" s="253" t="str">
        <f>작성용!AD1145</f>
        <v>신원준</v>
      </c>
      <c r="R1148" s="267">
        <f>작성용!AE1145</f>
        <v>1</v>
      </c>
      <c r="S1148" s="253" t="str">
        <f>작성용!AF1145</f>
        <v>신원준</v>
      </c>
      <c r="T1148" s="276" t="str">
        <f>작성용!AG1145</f>
        <v>신원준</v>
      </c>
      <c r="U1148" s="276" t="str">
        <f>작성용!AH1145</f>
        <v>신원준</v>
      </c>
      <c r="V1148" s="252">
        <f>작성용!AA1145</f>
        <v>202411</v>
      </c>
      <c r="W1148" s="253" t="str">
        <f>작성용!AC1145</f>
        <v>[X]일반기업</v>
      </c>
      <c r="X1148" s="253" t="str">
        <f>작성용!O1145</f>
        <v xml:space="preserve">경초현프로 </v>
      </c>
      <c r="Y1148" s="253" t="str">
        <f>작성용!P1145</f>
        <v xml:space="preserve">043-710-1550, 010-8842-5265 </v>
      </c>
      <c r="Z1148" s="253" t="str">
        <f>작성용!Q1145</f>
        <v xml:space="preserve">chkyung@mntech.co.kr </v>
      </c>
      <c r="AA1148" s="252" t="str">
        <f>작성용!AJ1145</f>
        <v>회계반영</v>
      </c>
      <c r="AB1148" s="252">
        <f>작성용!AB1145</f>
        <v>0</v>
      </c>
    </row>
    <row r="1149" spans="1:28" s="12" customFormat="1" ht="16.5" customHeight="1" x14ac:dyDescent="0.3">
      <c r="A1149" s="54">
        <f>작성용!AL1146</f>
        <v>1145</v>
      </c>
      <c r="B1149" s="264" t="str">
        <f>작성용!AI1146</f>
        <v>-</v>
      </c>
      <c r="C1149" s="252" t="str">
        <f>작성용!AK1146</f>
        <v>개별종목</v>
      </c>
      <c r="D1149" s="265">
        <f>작성용!T1146</f>
        <v>45597</v>
      </c>
      <c r="E1149" s="253" t="str">
        <f>작성용!B1146</f>
        <v>미래나노텍</v>
      </c>
      <c r="F1149" s="253" t="str">
        <f>작성용!C1146</f>
        <v>재평가</v>
      </c>
      <c r="G1149" s="253" t="str">
        <f>작성용!D1146</f>
        <v>프로엔테라퓨틱스</v>
      </c>
      <c r="H1149" s="266">
        <f>작성용!E1146</f>
        <v>1601110405278</v>
      </c>
      <c r="I1149" s="253" t="str">
        <f>작성용!F1146</f>
        <v>A01</v>
      </c>
      <c r="J1149" s="253">
        <f>작성용!G1146</f>
        <v>0</v>
      </c>
      <c r="K1149" s="253" t="str">
        <f>작성용!H1146</f>
        <v>-</v>
      </c>
      <c r="L1149" s="253" t="str">
        <f>작성용!N1146</f>
        <v>연말</v>
      </c>
      <c r="M1149" s="265" t="str">
        <f>작성용!U1146</f>
        <v>2024.11.30</v>
      </c>
      <c r="N1149" s="265">
        <f>작성용!V1146</f>
        <v>45650</v>
      </c>
      <c r="O1149" s="265">
        <f>작성용!W1146</f>
        <v>45657</v>
      </c>
      <c r="P1149" s="265" t="str">
        <f>작성용!X1146</f>
        <v>-</v>
      </c>
      <c r="Q1149" s="253" t="str">
        <f>작성용!AD1146</f>
        <v>서경덕</v>
      </c>
      <c r="R1149" s="267">
        <f>작성용!AE1146</f>
        <v>1</v>
      </c>
      <c r="S1149" s="253" t="str">
        <f>작성용!AF1146</f>
        <v>서경덕</v>
      </c>
      <c r="T1149" s="276" t="str">
        <f>작성용!AG1146</f>
        <v>신원준</v>
      </c>
      <c r="U1149" s="276" t="str">
        <f>작성용!AH1146</f>
        <v>신원준</v>
      </c>
      <c r="V1149" s="252">
        <f>작성용!AA1146</f>
        <v>202411</v>
      </c>
      <c r="W1149" s="253" t="str">
        <f>작성용!AC1146</f>
        <v>[X]일반기업</v>
      </c>
      <c r="X1149" s="253" t="str">
        <f>작성용!O1146</f>
        <v xml:space="preserve">경초현프로 </v>
      </c>
      <c r="Y1149" s="253" t="str">
        <f>작성용!P1146</f>
        <v xml:space="preserve">043-710-1550, 010-8842-5265 </v>
      </c>
      <c r="Z1149" s="253" t="str">
        <f>작성용!Q1146</f>
        <v xml:space="preserve">chkyung@mntech.co.kr </v>
      </c>
      <c r="AA1149" s="252" t="str">
        <f>작성용!AJ1146</f>
        <v>회계반영</v>
      </c>
      <c r="AB1149" s="252">
        <f>작성용!AB1146</f>
        <v>0</v>
      </c>
    </row>
    <row r="1150" spans="1:28" s="12" customFormat="1" ht="16.5" customHeight="1" x14ac:dyDescent="0.3">
      <c r="A1150" s="54">
        <f>작성용!AL1147</f>
        <v>1146</v>
      </c>
      <c r="B1150" s="264" t="str">
        <f>작성용!AI1147</f>
        <v>-</v>
      </c>
      <c r="C1150" s="252" t="str">
        <f>작성용!AK1147</f>
        <v>개별종목</v>
      </c>
      <c r="D1150" s="265">
        <f>작성용!T1147</f>
        <v>45597</v>
      </c>
      <c r="E1150" s="253" t="str">
        <f>작성용!B1147</f>
        <v>미래나노텍</v>
      </c>
      <c r="F1150" s="253" t="str">
        <f>작성용!C1147</f>
        <v>재평가</v>
      </c>
      <c r="G1150" s="253" t="str">
        <f>작성용!D1147</f>
        <v>프로엔테라퓨틱스</v>
      </c>
      <c r="H1150" s="266">
        <f>작성용!E1147</f>
        <v>1601110405278</v>
      </c>
      <c r="I1150" s="253" t="str">
        <f>작성용!F1147</f>
        <v>A07</v>
      </c>
      <c r="J1150" s="253">
        <f>작성용!G1147</f>
        <v>0</v>
      </c>
      <c r="K1150" s="253" t="str">
        <f>작성용!H1147</f>
        <v>-</v>
      </c>
      <c r="L1150" s="253" t="str">
        <f>작성용!N1147</f>
        <v>연말</v>
      </c>
      <c r="M1150" s="265" t="str">
        <f>작성용!U1147</f>
        <v>2024.11.30</v>
      </c>
      <c r="N1150" s="265">
        <f>작성용!V1147</f>
        <v>45650</v>
      </c>
      <c r="O1150" s="265">
        <f>작성용!W1147</f>
        <v>45657</v>
      </c>
      <c r="P1150" s="265" t="str">
        <f>작성용!X1147</f>
        <v>-</v>
      </c>
      <c r="Q1150" s="253" t="str">
        <f>작성용!AD1147</f>
        <v>서경덕</v>
      </c>
      <c r="R1150" s="267">
        <f>작성용!AE1147</f>
        <v>0</v>
      </c>
      <c r="S1150" s="253" t="str">
        <f>작성용!AF1147</f>
        <v>서경덕</v>
      </c>
      <c r="T1150" s="276" t="str">
        <f>작성용!AG1147</f>
        <v>신원준</v>
      </c>
      <c r="U1150" s="276" t="str">
        <f>작성용!AH1147</f>
        <v>신원준</v>
      </c>
      <c r="V1150" s="252">
        <f>작성용!AA1147</f>
        <v>202411</v>
      </c>
      <c r="W1150" s="253" t="str">
        <f>작성용!AC1147</f>
        <v>[X]일반기업</v>
      </c>
      <c r="X1150" s="253" t="str">
        <f>작성용!O1147</f>
        <v xml:space="preserve">경초현프로 </v>
      </c>
      <c r="Y1150" s="253" t="str">
        <f>작성용!P1147</f>
        <v xml:space="preserve">043-710-1550, 010-8842-5265 </v>
      </c>
      <c r="Z1150" s="253" t="str">
        <f>작성용!Q1147</f>
        <v xml:space="preserve">chkyung@mntech.co.kr </v>
      </c>
      <c r="AA1150" s="252" t="str">
        <f>작성용!AJ1147</f>
        <v>회계반영</v>
      </c>
      <c r="AB1150" s="252">
        <f>작성용!AB1147</f>
        <v>0</v>
      </c>
    </row>
    <row r="1151" spans="1:28" s="12" customFormat="1" ht="16.5" customHeight="1" x14ac:dyDescent="0.3">
      <c r="A1151" s="54">
        <f>작성용!AL1148</f>
        <v>1147</v>
      </c>
      <c r="B1151" s="264" t="str">
        <f>작성용!AI1148</f>
        <v>-</v>
      </c>
      <c r="C1151" s="252" t="str">
        <f>작성용!AK1148</f>
        <v>개별종목</v>
      </c>
      <c r="D1151" s="265">
        <f>작성용!T1148</f>
        <v>45597</v>
      </c>
      <c r="E1151" s="253" t="str">
        <f>작성용!B1148</f>
        <v>TCC스틸</v>
      </c>
      <c r="F1151" s="253" t="str">
        <f>작성용!C1148</f>
        <v>재평가</v>
      </c>
      <c r="G1151" s="253" t="str">
        <f>작성용!D1148</f>
        <v>오제이씨(구,원정제관)</v>
      </c>
      <c r="H1151" s="266">
        <f>작성용!E1148</f>
        <v>1101110139207</v>
      </c>
      <c r="I1151" s="253" t="str">
        <f>작성용!F1148</f>
        <v>A01</v>
      </c>
      <c r="J1151" s="253">
        <f>작성용!G1148</f>
        <v>0</v>
      </c>
      <c r="K1151" s="253" t="str">
        <f>작성용!H1148</f>
        <v>-</v>
      </c>
      <c r="L1151" s="253" t="str">
        <f>작성용!N1148</f>
        <v>연말</v>
      </c>
      <c r="M1151" s="265" t="str">
        <f>작성용!U1148</f>
        <v>2024.12.31</v>
      </c>
      <c r="N1151" s="265">
        <f>작성용!V1148</f>
        <v>45670</v>
      </c>
      <c r="O1151" s="265">
        <f>작성용!W1148</f>
        <v>45677</v>
      </c>
      <c r="P1151" s="265" t="str">
        <f>작성용!X1148</f>
        <v>-</v>
      </c>
      <c r="Q1151" s="253" t="str">
        <f>작성용!AD1148</f>
        <v>김영하</v>
      </c>
      <c r="R1151" s="267">
        <f>작성용!AE1148</f>
        <v>1</v>
      </c>
      <c r="S1151" s="253" t="str">
        <f>작성용!AF1148</f>
        <v>김영하</v>
      </c>
      <c r="T1151" s="276" t="str">
        <f>작성용!AG1148</f>
        <v>이상민</v>
      </c>
      <c r="U1151" s="276" t="str">
        <f>작성용!AH1148</f>
        <v>이상민</v>
      </c>
      <c r="V1151" s="252">
        <f>작성용!AA1148</f>
        <v>202412</v>
      </c>
      <c r="W1151" s="253" t="str">
        <f>작성용!AC1148</f>
        <v>[X]일반기업</v>
      </c>
      <c r="X1151" s="253" t="str">
        <f>작성용!O1148</f>
        <v>최용준책임</v>
      </c>
      <c r="Y1151" s="253" t="str">
        <f>작성용!P1148</f>
        <v>010-6761-3190</v>
      </c>
      <c r="Z1151" s="253" t="str">
        <f>작성용!Q1148</f>
        <v>emilio@tccsteel.com</v>
      </c>
      <c r="AA1151" s="252" t="str">
        <f>작성용!AJ1148</f>
        <v>회계반영</v>
      </c>
      <c r="AB1151" s="252">
        <f>작성용!AB1148</f>
        <v>0</v>
      </c>
    </row>
    <row r="1152" spans="1:28" s="12" customFormat="1" ht="16.5" customHeight="1" x14ac:dyDescent="0.3">
      <c r="A1152" s="54">
        <f>작성용!AL1149</f>
        <v>1148</v>
      </c>
      <c r="B1152" s="264" t="str">
        <f>작성용!AI1149</f>
        <v>-</v>
      </c>
      <c r="C1152" s="252" t="str">
        <f>작성용!AK1149</f>
        <v>개별종목</v>
      </c>
      <c r="D1152" s="265">
        <f>작성용!T1149</f>
        <v>45597</v>
      </c>
      <c r="E1152" s="253" t="str">
        <f>작성용!B1149</f>
        <v>TCC스틸</v>
      </c>
      <c r="F1152" s="253" t="str">
        <f>작성용!C1149</f>
        <v>재평가</v>
      </c>
      <c r="G1152" s="253" t="str">
        <f>작성용!D1149</f>
        <v>조선방송</v>
      </c>
      <c r="H1152" s="266">
        <f>작성용!E1149</f>
        <v>1101114528737</v>
      </c>
      <c r="I1152" s="253" t="str">
        <f>작성용!F1149</f>
        <v>A01</v>
      </c>
      <c r="J1152" s="253">
        <f>작성용!G1149</f>
        <v>0</v>
      </c>
      <c r="K1152" s="253" t="str">
        <f>작성용!H1149</f>
        <v>-</v>
      </c>
      <c r="L1152" s="253" t="str">
        <f>작성용!N1149</f>
        <v>연말</v>
      </c>
      <c r="M1152" s="265" t="str">
        <f>작성용!U1149</f>
        <v>2024.12.31</v>
      </c>
      <c r="N1152" s="265">
        <f>작성용!V1149</f>
        <v>45670</v>
      </c>
      <c r="O1152" s="265">
        <f>작성용!W1149</f>
        <v>45677</v>
      </c>
      <c r="P1152" s="265" t="str">
        <f>작성용!X1149</f>
        <v>-</v>
      </c>
      <c r="Q1152" s="258" t="str">
        <f>작성용!AD1149</f>
        <v>이상민</v>
      </c>
      <c r="R1152" s="267">
        <f>작성용!AE1149</f>
        <v>1</v>
      </c>
      <c r="S1152" s="253" t="str">
        <f>작성용!AF1149</f>
        <v>고명주</v>
      </c>
      <c r="T1152" s="276" t="str">
        <f>작성용!AG1149</f>
        <v>이상민</v>
      </c>
      <c r="U1152" s="276" t="str">
        <f>작성용!AH1149</f>
        <v>이상민</v>
      </c>
      <c r="V1152" s="252">
        <f>작성용!AA1149</f>
        <v>202412</v>
      </c>
      <c r="W1152" s="253" t="str">
        <f>작성용!AC1149</f>
        <v>[X]일반기업</v>
      </c>
      <c r="X1152" s="253" t="str">
        <f>작성용!O1149</f>
        <v>최용준책임</v>
      </c>
      <c r="Y1152" s="253" t="str">
        <f>작성용!P1149</f>
        <v>010-6761-3190</v>
      </c>
      <c r="Z1152" s="253" t="str">
        <f>작성용!Q1149</f>
        <v>emilio@tccsteel.com</v>
      </c>
      <c r="AA1152" s="252" t="str">
        <f>작성용!AJ1149</f>
        <v>회계반영</v>
      </c>
      <c r="AB1152" s="252">
        <f>작성용!AB1149</f>
        <v>0</v>
      </c>
    </row>
    <row r="1153" spans="1:28" s="12" customFormat="1" ht="16.5" customHeight="1" x14ac:dyDescent="0.3">
      <c r="A1153" s="54">
        <f>작성용!AL1150</f>
        <v>1149</v>
      </c>
      <c r="B1153" s="264" t="str">
        <f>작성용!AI1150</f>
        <v>-</v>
      </c>
      <c r="C1153" s="252" t="str">
        <f>작성용!AK1150</f>
        <v>개별종목</v>
      </c>
      <c r="D1153" s="265">
        <f>작성용!T1150</f>
        <v>45597</v>
      </c>
      <c r="E1153" s="253" t="str">
        <f>작성용!B1150</f>
        <v>TCC스틸</v>
      </c>
      <c r="F1153" s="253" t="str">
        <f>작성용!C1150</f>
        <v>재평가</v>
      </c>
      <c r="G1153" s="253" t="str">
        <f>작성용!D1150</f>
        <v>오제이씨커머스</v>
      </c>
      <c r="H1153" s="266">
        <f>작성용!E1150</f>
        <v>1101118041933</v>
      </c>
      <c r="I1153" s="253" t="str">
        <f>작성용!F1150</f>
        <v>A01</v>
      </c>
      <c r="J1153" s="253">
        <f>작성용!G1150</f>
        <v>0</v>
      </c>
      <c r="K1153" s="253" t="str">
        <f>작성용!H1150</f>
        <v>-</v>
      </c>
      <c r="L1153" s="253" t="str">
        <f>작성용!N1150</f>
        <v>연말</v>
      </c>
      <c r="M1153" s="265" t="str">
        <f>작성용!U1150</f>
        <v>2024.12.31</v>
      </c>
      <c r="N1153" s="265">
        <f>작성용!V1150</f>
        <v>45670</v>
      </c>
      <c r="O1153" s="265">
        <f>작성용!W1150</f>
        <v>45677</v>
      </c>
      <c r="P1153" s="265" t="str">
        <f>작성용!X1150</f>
        <v>-</v>
      </c>
      <c r="Q1153" s="253" t="str">
        <f>작성용!AD1150</f>
        <v>김수현</v>
      </c>
      <c r="R1153" s="267">
        <f>작성용!AE1150</f>
        <v>1</v>
      </c>
      <c r="S1153" s="253" t="str">
        <f>작성용!AF1150</f>
        <v>김수현</v>
      </c>
      <c r="T1153" s="276" t="str">
        <f>작성용!AG1150</f>
        <v>이상민</v>
      </c>
      <c r="U1153" s="276" t="str">
        <f>작성용!AH1150</f>
        <v>이상민</v>
      </c>
      <c r="V1153" s="252">
        <f>작성용!AA1150</f>
        <v>202412</v>
      </c>
      <c r="W1153" s="253" t="str">
        <f>작성용!AC1150</f>
        <v>[X]일반기업</v>
      </c>
      <c r="X1153" s="253" t="str">
        <f>작성용!O1150</f>
        <v>최용준책임</v>
      </c>
      <c r="Y1153" s="253" t="str">
        <f>작성용!P1150</f>
        <v>010-6761-3190</v>
      </c>
      <c r="Z1153" s="253" t="str">
        <f>작성용!Q1150</f>
        <v>emilio@tccsteel.com</v>
      </c>
      <c r="AA1153" s="252" t="str">
        <f>작성용!AJ1150</f>
        <v>회계반영</v>
      </c>
      <c r="AB1153" s="252">
        <f>작성용!AB1150</f>
        <v>0</v>
      </c>
    </row>
    <row r="1154" spans="1:28" s="12" customFormat="1" ht="16.5" customHeight="1" x14ac:dyDescent="0.3">
      <c r="A1154" s="54">
        <f>작성용!AL1151</f>
        <v>1150</v>
      </c>
      <c r="B1154" s="264" t="str">
        <f>작성용!AI1151</f>
        <v>-</v>
      </c>
      <c r="C1154" s="252" t="str">
        <f>작성용!AK1151</f>
        <v>개별종목</v>
      </c>
      <c r="D1154" s="265">
        <f>작성용!T1151</f>
        <v>45597</v>
      </c>
      <c r="E1154" s="253" t="str">
        <f>작성용!B1151</f>
        <v>TCC스틸</v>
      </c>
      <c r="F1154" s="253" t="str">
        <f>작성용!C1151</f>
        <v>재평가</v>
      </c>
      <c r="G1154" s="253" t="str">
        <f>작성용!D1151</f>
        <v>원알로이</v>
      </c>
      <c r="H1154" s="266">
        <f>작성용!E1151</f>
        <v>1243110004210</v>
      </c>
      <c r="I1154" s="253" t="str">
        <f>작성용!F1151</f>
        <v>A01</v>
      </c>
      <c r="J1154" s="253">
        <f>작성용!G1151</f>
        <v>0</v>
      </c>
      <c r="K1154" s="253" t="str">
        <f>작성용!H1151</f>
        <v>-</v>
      </c>
      <c r="L1154" s="253" t="str">
        <f>작성용!N1151</f>
        <v>연말</v>
      </c>
      <c r="M1154" s="265" t="str">
        <f>작성용!U1151</f>
        <v>2024.12.31</v>
      </c>
      <c r="N1154" s="265">
        <f>작성용!V1151</f>
        <v>45670</v>
      </c>
      <c r="O1154" s="265">
        <f>작성용!W1151</f>
        <v>45677</v>
      </c>
      <c r="P1154" s="265" t="str">
        <f>작성용!X1151</f>
        <v>-</v>
      </c>
      <c r="Q1154" s="253" t="str">
        <f>작성용!AD1151</f>
        <v>강성은</v>
      </c>
      <c r="R1154" s="267">
        <f>작성용!AE1151</f>
        <v>1</v>
      </c>
      <c r="S1154" s="253" t="str">
        <f>작성용!AF1151</f>
        <v>강성은</v>
      </c>
      <c r="T1154" s="276" t="str">
        <f>작성용!AG1151</f>
        <v>이상민</v>
      </c>
      <c r="U1154" s="276" t="str">
        <f>작성용!AH1151</f>
        <v>이상민</v>
      </c>
      <c r="V1154" s="252">
        <f>작성용!AA1151</f>
        <v>202412</v>
      </c>
      <c r="W1154" s="253" t="str">
        <f>작성용!AC1151</f>
        <v>[X]일반기업</v>
      </c>
      <c r="X1154" s="253" t="str">
        <f>작성용!O1151</f>
        <v>최용준책임</v>
      </c>
      <c r="Y1154" s="253" t="str">
        <f>작성용!P1151</f>
        <v>010-6761-3190</v>
      </c>
      <c r="Z1154" s="253" t="str">
        <f>작성용!Q1151</f>
        <v>emilio@tccsteel.com</v>
      </c>
      <c r="AA1154" s="252" t="str">
        <f>작성용!AJ1151</f>
        <v>회계반영</v>
      </c>
      <c r="AB1154" s="252">
        <f>작성용!AB1151</f>
        <v>0</v>
      </c>
    </row>
    <row r="1155" spans="1:28" s="12" customFormat="1" ht="16.5" customHeight="1" x14ac:dyDescent="0.3">
      <c r="A1155" s="54">
        <f>작성용!AL1152</f>
        <v>1151</v>
      </c>
      <c r="B1155" s="264" t="str">
        <f>작성용!AI1152</f>
        <v>-</v>
      </c>
      <c r="C1155" s="252" t="str">
        <f>작성용!AK1152</f>
        <v>개별종목</v>
      </c>
      <c r="D1155" s="265">
        <f>작성용!T1152</f>
        <v>45597</v>
      </c>
      <c r="E1155" s="253" t="str">
        <f>작성용!B1152</f>
        <v>TCC스틸</v>
      </c>
      <c r="F1155" s="253" t="str">
        <f>작성용!C1152</f>
        <v>신규</v>
      </c>
      <c r="G1155" s="253" t="str">
        <f>작성용!D1152</f>
        <v>우노메탈</v>
      </c>
      <c r="H1155" s="266">
        <f>작성용!E1152</f>
        <v>1717110038686</v>
      </c>
      <c r="I1155" s="253" t="str">
        <f>작성용!F1152</f>
        <v>A01</v>
      </c>
      <c r="J1155" s="253">
        <f>작성용!G1152</f>
        <v>0</v>
      </c>
      <c r="K1155" s="253" t="str">
        <f>작성용!H1152</f>
        <v>-</v>
      </c>
      <c r="L1155" s="253" t="str">
        <f>작성용!N1152</f>
        <v>연말</v>
      </c>
      <c r="M1155" s="265" t="str">
        <f>작성용!U1152</f>
        <v>2024.12.31</v>
      </c>
      <c r="N1155" s="265">
        <f>작성용!V1152</f>
        <v>45670</v>
      </c>
      <c r="O1155" s="265">
        <f>작성용!W1152</f>
        <v>45677</v>
      </c>
      <c r="P1155" s="265" t="str">
        <f>작성용!X1152</f>
        <v>-</v>
      </c>
      <c r="Q1155" s="258" t="str">
        <f>작성용!AD1152</f>
        <v>원정우</v>
      </c>
      <c r="R1155" s="267">
        <f>작성용!AE1152</f>
        <v>1</v>
      </c>
      <c r="S1155" s="253" t="str">
        <f>작성용!AF1152</f>
        <v>신규</v>
      </c>
      <c r="T1155" s="276" t="str">
        <f>작성용!AG1152</f>
        <v>이상민</v>
      </c>
      <c r="U1155" s="276" t="str">
        <f>작성용!AH1152</f>
        <v>이상민</v>
      </c>
      <c r="V1155" s="252">
        <f>작성용!AA1152</f>
        <v>202412</v>
      </c>
      <c r="W1155" s="253" t="str">
        <f>작성용!AC1152</f>
        <v>[X]일반기업</v>
      </c>
      <c r="X1155" s="253" t="str">
        <f>작성용!O1152</f>
        <v>최용준책임</v>
      </c>
      <c r="Y1155" s="253" t="str">
        <f>작성용!P1152</f>
        <v>010-6761-3190</v>
      </c>
      <c r="Z1155" s="253" t="str">
        <f>작성용!Q1152</f>
        <v>emilio@tccsteel.com</v>
      </c>
      <c r="AA1155" s="252" t="str">
        <f>작성용!AJ1152</f>
        <v>회계반영</v>
      </c>
      <c r="AB1155" s="252">
        <f>작성용!AB1152</f>
        <v>0</v>
      </c>
    </row>
  </sheetData>
  <autoFilter ref="A4:AB1155">
    <filterColumn colId="1">
      <colorFilter dxfId="17"/>
    </filterColumn>
  </autoFilter>
  <mergeCells count="1">
    <mergeCell ref="E1:F1"/>
  </mergeCells>
  <phoneticPr fontId="3" type="noConversion"/>
  <conditionalFormatting sqref="N1:O4 N1156:O1048576">
    <cfRule type="containsText" dxfId="16" priority="203" operator="containsText" text="평가철회">
      <formula>NOT(ISERROR(SEARCH("평가철회",N1)))</formula>
    </cfRule>
  </conditionalFormatting>
  <conditionalFormatting sqref="N5:O1155">
    <cfRule type="containsText" dxfId="15" priority="1" operator="containsText" text="평가철회">
      <formula>NOT(ISERROR(SEARCH("평가철회",N5)))</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153"/>
  <sheetViews>
    <sheetView showGridLines="0" topLeftCell="C1" zoomScale="85" zoomScaleNormal="85" workbookViewId="0">
      <selection activeCell="C1" sqref="C1"/>
    </sheetView>
  </sheetViews>
  <sheetFormatPr defaultColWidth="9" defaultRowHeight="13.5" outlineLevelCol="1" x14ac:dyDescent="0.3"/>
  <cols>
    <col min="1" max="1" width="9.75" style="142" hidden="1" customWidth="1" outlineLevel="1"/>
    <col min="2" max="2" width="9.375" style="142" hidden="1" customWidth="1" outlineLevel="1"/>
    <col min="3" max="3" width="24" style="64" customWidth="1" collapsed="1"/>
    <col min="4" max="4" width="10.875" style="64" bestFit="1" customWidth="1"/>
    <col min="5" max="5" width="14.125" style="64" bestFit="1" customWidth="1"/>
    <col min="6" max="6" width="7.75" style="64" bestFit="1" customWidth="1"/>
    <col min="7" max="7" width="6.125" style="64" customWidth="1"/>
    <col min="8" max="8" width="7.25" style="64" customWidth="1"/>
    <col min="9" max="9" width="6.125" style="64" customWidth="1"/>
    <col min="10" max="10" width="6" style="64" customWidth="1"/>
    <col min="11" max="11" width="7.125" style="64" customWidth="1"/>
    <col min="12" max="12" width="6" style="64" customWidth="1"/>
    <col min="13" max="13" width="6.125" style="64" customWidth="1"/>
    <col min="14" max="14" width="6.75" style="64" customWidth="1"/>
    <col min="15" max="15" width="10.375" style="64" customWidth="1"/>
    <col min="16" max="17" width="8.25" style="64" customWidth="1"/>
    <col min="18" max="18" width="9.875" style="64" customWidth="1"/>
    <col min="19" max="19" width="33.375" style="71" customWidth="1" outlineLevel="1"/>
    <col min="20" max="20" width="37.5" style="65" hidden="1" customWidth="1" outlineLevel="1"/>
    <col min="21" max="21" width="8.125" style="65" hidden="1" customWidth="1" outlineLevel="1"/>
    <col min="22" max="22" width="8.25" style="65" customWidth="1" collapsed="1"/>
    <col min="23" max="24" width="8.25" style="65" customWidth="1"/>
    <col min="25" max="27" width="10.25" style="66" customWidth="1"/>
    <col min="28" max="28" width="9.75" style="66" customWidth="1"/>
    <col min="29" max="29" width="9" style="67" customWidth="1"/>
    <col min="30" max="41" width="9" style="66" customWidth="1"/>
    <col min="42" max="16384" width="9" style="66"/>
  </cols>
  <sheetData>
    <row r="1" spans="1:39" ht="14.25" thickBot="1" x14ac:dyDescent="0.35">
      <c r="A1" s="62"/>
      <c r="B1" s="62"/>
      <c r="C1" s="63"/>
    </row>
    <row r="2" spans="1:39" s="70" customFormat="1" ht="14.25" thickBot="1" x14ac:dyDescent="0.35">
      <c r="A2" s="62"/>
      <c r="B2" s="62"/>
      <c r="C2" s="68" t="s">
        <v>92</v>
      </c>
      <c r="D2" s="69">
        <f ca="1">TODAY()</f>
        <v>45597</v>
      </c>
      <c r="L2" s="64"/>
      <c r="M2" s="64"/>
      <c r="N2" s="64"/>
      <c r="O2" s="64"/>
      <c r="P2" s="64"/>
      <c r="Q2" s="64"/>
      <c r="R2" s="64"/>
      <c r="S2" s="71"/>
      <c r="T2" s="71"/>
      <c r="U2" s="71"/>
      <c r="V2" s="71"/>
      <c r="W2" s="71"/>
      <c r="X2" s="71"/>
      <c r="AC2" s="64"/>
    </row>
    <row r="3" spans="1:39" s="70" customFormat="1" ht="14.25" thickBot="1" x14ac:dyDescent="0.35">
      <c r="A3" s="62"/>
      <c r="B3" s="62"/>
      <c r="C3" s="68" t="s">
        <v>93</v>
      </c>
      <c r="D3" s="72">
        <f ca="1">EOMONTH(D2,0)</f>
        <v>45626</v>
      </c>
      <c r="L3" s="64"/>
      <c r="M3" s="64"/>
      <c r="N3" s="64"/>
      <c r="O3" s="64"/>
      <c r="P3" s="64"/>
      <c r="Q3" s="64"/>
      <c r="R3" s="64"/>
      <c r="S3" s="71"/>
      <c r="T3" s="71"/>
      <c r="U3" s="71"/>
      <c r="V3" s="71"/>
      <c r="W3" s="71"/>
      <c r="X3" s="71"/>
      <c r="AC3" s="64"/>
    </row>
    <row r="4" spans="1:39" ht="14.25" thickBot="1" x14ac:dyDescent="0.35">
      <c r="A4" s="62"/>
      <c r="B4" s="62"/>
      <c r="C4" s="68" t="s">
        <v>94</v>
      </c>
      <c r="D4" s="73">
        <f ca="1">EOMONTH(D2,-1)</f>
        <v>45596</v>
      </c>
      <c r="E4" s="66"/>
      <c r="F4" s="66"/>
      <c r="J4" s="74"/>
      <c r="K4" s="74"/>
      <c r="L4" s="74"/>
      <c r="M4" s="74"/>
    </row>
    <row r="5" spans="1:39" x14ac:dyDescent="0.3">
      <c r="A5" s="62"/>
      <c r="B5" s="62"/>
      <c r="C5" s="75" t="s">
        <v>95</v>
      </c>
      <c r="J5" s="76"/>
      <c r="K5" s="76"/>
      <c r="L5" s="76"/>
      <c r="M5" s="76"/>
      <c r="Q5" s="187"/>
      <c r="R5" s="188"/>
      <c r="S5" s="192"/>
      <c r="AG5" s="67"/>
    </row>
    <row r="6" spans="1:39" ht="14.25" thickBot="1" x14ac:dyDescent="0.35">
      <c r="A6" s="62"/>
      <c r="B6" s="62"/>
      <c r="I6" s="273" t="s">
        <v>96</v>
      </c>
      <c r="J6" s="273"/>
      <c r="K6" s="273"/>
      <c r="L6" s="273" t="s">
        <v>97</v>
      </c>
      <c r="M6" s="273"/>
      <c r="N6" s="273"/>
      <c r="O6" s="77"/>
      <c r="P6" s="76"/>
      <c r="Q6" s="76"/>
      <c r="R6" s="76"/>
      <c r="S6" s="193"/>
      <c r="T6" s="76"/>
      <c r="AG6" s="67"/>
    </row>
    <row r="7" spans="1:39" s="67" customFormat="1" ht="27.75" customHeight="1" thickBot="1" x14ac:dyDescent="0.35">
      <c r="A7" s="78" t="s">
        <v>68</v>
      </c>
      <c r="B7" s="79" t="s">
        <v>69</v>
      </c>
      <c r="C7" s="80" t="s">
        <v>98</v>
      </c>
      <c r="D7" s="81" t="s">
        <v>99</v>
      </c>
      <c r="E7" s="81" t="s">
        <v>100</v>
      </c>
      <c r="F7" s="81" t="s">
        <v>101</v>
      </c>
      <c r="G7" s="82" t="s">
        <v>102</v>
      </c>
      <c r="H7" s="82" t="s">
        <v>3545</v>
      </c>
      <c r="I7" s="83">
        <f ca="1">L7</f>
        <v>45626</v>
      </c>
      <c r="J7" s="83">
        <f ca="1">M7</f>
        <v>45657</v>
      </c>
      <c r="K7" s="83">
        <f ca="1">N7</f>
        <v>45688</v>
      </c>
      <c r="L7" s="83">
        <f ca="1">D3</f>
        <v>45626</v>
      </c>
      <c r="M7" s="83">
        <f ca="1">EOMONTH(L7,1)</f>
        <v>45657</v>
      </c>
      <c r="N7" s="83">
        <f ca="1">EOMONTH(M7,1)</f>
        <v>45688</v>
      </c>
      <c r="O7" s="81" t="s">
        <v>103</v>
      </c>
      <c r="P7" s="81" t="s">
        <v>104</v>
      </c>
      <c r="Q7" s="81" t="s">
        <v>105</v>
      </c>
      <c r="R7" s="84" t="s">
        <v>106</v>
      </c>
      <c r="S7" s="85" t="s">
        <v>107</v>
      </c>
      <c r="T7" s="78" t="s">
        <v>108</v>
      </c>
      <c r="U7" s="86" t="s">
        <v>109</v>
      </c>
      <c r="V7" s="86" t="s">
        <v>3518</v>
      </c>
      <c r="W7" s="87" t="s">
        <v>110</v>
      </c>
      <c r="X7" s="87" t="s">
        <v>3498</v>
      </c>
      <c r="AA7" s="88" t="s">
        <v>111</v>
      </c>
      <c r="AB7" s="89" t="s">
        <v>112</v>
      </c>
      <c r="AC7" s="66"/>
      <c r="AE7" s="66"/>
      <c r="AF7" s="66"/>
    </row>
    <row r="8" spans="1:39" ht="14.25" customHeight="1" thickBot="1" x14ac:dyDescent="0.35">
      <c r="A8" s="90" t="e">
        <f>F8</f>
        <v>#DIV/0!</v>
      </c>
      <c r="B8" s="91">
        <f>R8</f>
        <v>1.4</v>
      </c>
      <c r="C8" s="92" t="s">
        <v>113</v>
      </c>
      <c r="D8" s="93" t="s">
        <v>13</v>
      </c>
      <c r="E8" s="94" t="s">
        <v>114</v>
      </c>
      <c r="F8" s="95" t="e">
        <f t="shared" ref="F8:F74" si="0">G8/Q8</f>
        <v>#DIV/0!</v>
      </c>
      <c r="G8" s="96">
        <f>SUMIF(종목관리대장!Q:Q,$D8,종목관리대장!R:R)+SUM($V8:$X8)</f>
        <v>1.4</v>
      </c>
      <c r="H8" s="189">
        <f t="shared" ref="H8:H39" si="1">G8/$G$74</f>
        <v>2.0783847980997625E-3</v>
      </c>
      <c r="I8" s="97">
        <f ca="1">COUNTIFS(종목관리대장!$N:$N,"&gt;="&amp;EOMONTH(I$7,-1)+1,종목관리대장!$N:$N,"&lt;="&amp;I$7,종목관리대장!$Q:$Q,$D8)</f>
        <v>3</v>
      </c>
      <c r="J8" s="97">
        <f ca="1">COUNTIFS(종목관리대장!$N:$N,"&gt;="&amp;EOMONTH(J$7,-1)+1,종목관리대장!$N:$N,"&lt;="&amp;J$7,종목관리대장!$Q:$Q,$D8)</f>
        <v>0</v>
      </c>
      <c r="K8" s="97">
        <f ca="1">COUNTIFS(종목관리대장!$N:$N,"&gt;="&amp;EOMONTH(K$7,-1)+1,종목관리대장!$N:$N,"&lt;="&amp;K$7,종목관리대장!$Q:$Q,$D8)</f>
        <v>0</v>
      </c>
      <c r="L8" s="97">
        <f ca="1">SUMIFS(종목관리대장!$R:$R,종목관리대장!$N:$N,"&gt;="&amp;EOMONTH(L$7,-1)+1,종목관리대장!$N:$N,"&lt;="&amp;L$7,종목관리대장!$Q:$Q,$D8)</f>
        <v>1.4</v>
      </c>
      <c r="M8" s="97">
        <f ca="1">SUMIFS(종목관리대장!$R:$R,종목관리대장!$N:$N,"&gt;="&amp;EOMONTH(M$7,-1)+1,종목관리대장!$N:$N,"&lt;="&amp;M$7,종목관리대장!$Q:$Q,$D8)</f>
        <v>0</v>
      </c>
      <c r="N8" s="97">
        <f ca="1">SUMIFS(종목관리대장!$R:$R,종목관리대장!$N:$N,"&gt;="&amp;EOMONTH(N$7,-1)+1,종목관리대장!$N:$N,"&lt;="&amp;N$7,종목관리대장!$Q:$Q,$D8)</f>
        <v>0</v>
      </c>
      <c r="O8" s="98">
        <v>0</v>
      </c>
      <c r="P8" s="93">
        <f t="shared" ref="P8:P39" si="2">O8/O$74</f>
        <v>0</v>
      </c>
      <c r="Q8" s="99">
        <f t="shared" ref="Q8:Q27" si="3">AB$8*P8</f>
        <v>0</v>
      </c>
      <c r="R8" s="100">
        <f t="shared" ref="R8:R56" si="4">G8-Q8</f>
        <v>1.4</v>
      </c>
      <c r="S8" s="191"/>
      <c r="T8" s="102"/>
      <c r="U8" s="103"/>
      <c r="V8" s="104"/>
      <c r="W8" s="104"/>
      <c r="X8" s="104"/>
      <c r="AA8" s="105">
        <f>G74-AB8</f>
        <v>0</v>
      </c>
      <c r="AB8" s="106">
        <f>SUM(종목관리대장!R:R)-SUMIF(U8:U73,"X",G8:G73)+SUM(V8:X73)</f>
        <v>673.60000000000014</v>
      </c>
      <c r="AC8" s="66"/>
      <c r="AD8" s="67"/>
    </row>
    <row r="9" spans="1:39" s="108" customFormat="1" ht="14.25" customHeight="1" thickBot="1" x14ac:dyDescent="0.35">
      <c r="A9" s="90">
        <f>F9</f>
        <v>1.1028058194774342</v>
      </c>
      <c r="B9" s="91">
        <f>R9</f>
        <v>1.5474860335195455</v>
      </c>
      <c r="C9" s="270" t="s">
        <v>115</v>
      </c>
      <c r="D9" s="215" t="s">
        <v>116</v>
      </c>
      <c r="E9" s="94" t="s">
        <v>117</v>
      </c>
      <c r="F9" s="126">
        <f t="shared" si="0"/>
        <v>1.1028058194774342</v>
      </c>
      <c r="G9" s="216">
        <f>SUMIF(종목관리대장!Q:Q,$D9,종목관리대장!R:R)+SUM($V9:$X9)</f>
        <v>16.600000000000001</v>
      </c>
      <c r="H9" s="217">
        <f t="shared" si="1"/>
        <v>2.4643705463182904E-2</v>
      </c>
      <c r="I9" s="177">
        <f ca="1">COUNTIFS(종목관리대장!$N:$N,"&gt;="&amp;EOMONTH(I$7,-1)+1,종목관리대장!$N:$N,"&lt;="&amp;I$7,종목관리대장!$Q:$Q,$D9)</f>
        <v>12</v>
      </c>
      <c r="J9" s="177">
        <f ca="1">COUNTIFS(종목관리대장!$N:$N,"&gt;="&amp;EOMONTH(J$7,-1)+1,종목관리대장!$N:$N,"&lt;="&amp;J$7,종목관리대장!$Q:$Q,$D9)</f>
        <v>3</v>
      </c>
      <c r="K9" s="177">
        <f ca="1">COUNTIFS(종목관리대장!$N:$N,"&gt;="&amp;EOMONTH(K$7,-1)+1,종목관리대장!$N:$N,"&lt;="&amp;K$7,종목관리대장!$Q:$Q,$D9)</f>
        <v>0</v>
      </c>
      <c r="L9" s="177">
        <f ca="1">SUMIFS(종목관리대장!$R:$R,종목관리대장!$N:$N,"&gt;="&amp;EOMONTH(L$7,-1)+1,종목관리대장!$N:$N,"&lt;="&amp;L$7,종목관리대장!$Q:$Q,$D9)</f>
        <v>13.6</v>
      </c>
      <c r="M9" s="177">
        <f ca="1">SUMIFS(종목관리대장!$R:$R,종목관리대장!$N:$N,"&gt;="&amp;EOMONTH(M$7,-1)+1,종목관리대장!$N:$N,"&lt;="&amp;M$7,종목관리대장!$Q:$Q,$D9)</f>
        <v>2</v>
      </c>
      <c r="N9" s="177">
        <f ca="1">SUMIFS(종목관리대장!$R:$R,종목관리대장!$N:$N,"&gt;="&amp;EOMONTH(N$7,-1)+1,종목관리대장!$N:$N,"&lt;="&amp;N$7,종목관리대장!$Q:$Q,$D9)</f>
        <v>0</v>
      </c>
      <c r="O9" s="98">
        <v>0.4</v>
      </c>
      <c r="P9" s="98">
        <f t="shared" si="2"/>
        <v>2.2346368715083807E-2</v>
      </c>
      <c r="Q9" s="218">
        <f t="shared" si="3"/>
        <v>15.052513966480456</v>
      </c>
      <c r="R9" s="219">
        <f t="shared" si="4"/>
        <v>1.5474860335195455</v>
      </c>
      <c r="S9" s="181"/>
      <c r="T9" s="182"/>
      <c r="U9" s="183"/>
      <c r="V9" s="184"/>
      <c r="W9" s="184">
        <v>1</v>
      </c>
      <c r="X9" s="184"/>
      <c r="AA9" s="109" t="s">
        <v>118</v>
      </c>
      <c r="AC9" s="66"/>
      <c r="AD9" s="67"/>
      <c r="AE9" s="66"/>
      <c r="AF9" s="66"/>
      <c r="AG9" s="66"/>
      <c r="AH9" s="66"/>
      <c r="AL9" s="66"/>
      <c r="AM9" s="66"/>
    </row>
    <row r="10" spans="1:39" ht="14.25" customHeight="1" thickBot="1" x14ac:dyDescent="0.35">
      <c r="A10" s="90">
        <f t="shared" ref="A10:A69" si="5">F10</f>
        <v>0.97990276128265963</v>
      </c>
      <c r="B10" s="91">
        <f t="shared" ref="B10:B69" si="6">R10</f>
        <v>-0.60502793296091539</v>
      </c>
      <c r="C10" s="271"/>
      <c r="D10" s="215" t="s">
        <v>119</v>
      </c>
      <c r="E10" s="94" t="s">
        <v>3621</v>
      </c>
      <c r="F10" s="126">
        <f t="shared" si="0"/>
        <v>0.97990276128265963</v>
      </c>
      <c r="G10" s="216">
        <f>SUMIF(종목관리대장!Q:Q,$D10,종목관리대장!R:R)+SUM($V10:$X10)</f>
        <v>29.499999999999996</v>
      </c>
      <c r="H10" s="217">
        <f t="shared" si="1"/>
        <v>4.3794536817102138E-2</v>
      </c>
      <c r="I10" s="177">
        <f ca="1">COUNTIFS(종목관리대장!$N:$N,"&gt;="&amp;EOMONTH(I$7,-1)+1,종목관리대장!$N:$N,"&lt;="&amp;I$7,종목관리대장!$Q:$Q,$D10)</f>
        <v>36</v>
      </c>
      <c r="J10" s="177">
        <f ca="1">COUNTIFS(종목관리대장!$N:$N,"&gt;="&amp;EOMONTH(J$7,-1)+1,종목관리대장!$N:$N,"&lt;="&amp;J$7,종목관리대장!$Q:$Q,$D10)</f>
        <v>5</v>
      </c>
      <c r="K10" s="177">
        <f ca="1">COUNTIFS(종목관리대장!$N:$N,"&gt;="&amp;EOMONTH(K$7,-1)+1,종목관리대장!$N:$N,"&lt;="&amp;K$7,종목관리대장!$Q:$Q,$D10)</f>
        <v>3</v>
      </c>
      <c r="L10" s="177">
        <f ca="1">SUMIFS(종목관리대장!$R:$R,종목관리대장!$N:$N,"&gt;="&amp;EOMONTH(L$7,-1)+1,종목관리대장!$N:$N,"&lt;="&amp;L$7,종목관리대장!$Q:$Q,$D10)</f>
        <v>22.7</v>
      </c>
      <c r="M10" s="177">
        <f ca="1">SUMIFS(종목관리대장!$R:$R,종목관리대장!$N:$N,"&gt;="&amp;EOMONTH(M$7,-1)+1,종목관리대장!$N:$N,"&lt;="&amp;M$7,종목관리대장!$Q:$Q,$D10)</f>
        <v>2.8</v>
      </c>
      <c r="N10" s="177">
        <f ca="1">SUMIFS(종목관리대장!$R:$R,종목관리대장!$N:$N,"&gt;="&amp;EOMONTH(N$7,-1)+1,종목관리대장!$N:$N,"&lt;="&amp;N$7,종목관리대장!$Q:$Q,$D10)</f>
        <v>3</v>
      </c>
      <c r="O10" s="98">
        <v>0.8</v>
      </c>
      <c r="P10" s="98">
        <f t="shared" si="2"/>
        <v>4.4692737430167613E-2</v>
      </c>
      <c r="Q10" s="218">
        <f t="shared" si="3"/>
        <v>30.105027932960912</v>
      </c>
      <c r="R10" s="219">
        <f t="shared" si="4"/>
        <v>-0.60502793296091539</v>
      </c>
      <c r="S10" s="181"/>
      <c r="T10" s="185"/>
      <c r="U10" s="183"/>
      <c r="V10" s="184"/>
      <c r="W10" s="184">
        <v>1</v>
      </c>
      <c r="X10" s="184"/>
      <c r="AA10" s="111" t="s">
        <v>121</v>
      </c>
      <c r="AB10" s="112" t="s">
        <v>122</v>
      </c>
      <c r="AC10" s="112" t="s">
        <v>3514</v>
      </c>
      <c r="AD10" s="112" t="s">
        <v>3515</v>
      </c>
      <c r="AE10" s="112" t="s">
        <v>3516</v>
      </c>
      <c r="AF10" s="112" t="s">
        <v>3517</v>
      </c>
      <c r="AG10" s="112" t="s">
        <v>3571</v>
      </c>
      <c r="AH10" s="112" t="s">
        <v>3572</v>
      </c>
      <c r="AI10" s="112" t="s">
        <v>3573</v>
      </c>
      <c r="AJ10" s="112" t="s">
        <v>3574</v>
      </c>
      <c r="AK10" s="112" t="s">
        <v>3581</v>
      </c>
      <c r="AL10" s="112" t="s">
        <v>3582</v>
      </c>
    </row>
    <row r="11" spans="1:39" ht="14.25" customHeight="1" x14ac:dyDescent="0.3">
      <c r="A11" s="90">
        <f t="shared" si="5"/>
        <v>0.92564825811559737</v>
      </c>
      <c r="B11" s="91">
        <f t="shared" si="6"/>
        <v>-1.6787709497206791</v>
      </c>
      <c r="C11" s="271"/>
      <c r="D11" s="215" t="s">
        <v>135</v>
      </c>
      <c r="E11" s="94" t="s">
        <v>132</v>
      </c>
      <c r="F11" s="126">
        <f t="shared" si="0"/>
        <v>0.92564825811559737</v>
      </c>
      <c r="G11" s="216">
        <f>SUMIF(종목관리대장!Q:Q,$D11,종목관리대장!R:R)+SUM($V11:$X11)</f>
        <v>20.9</v>
      </c>
      <c r="H11" s="217">
        <f t="shared" si="1"/>
        <v>3.1027315914489314E-2</v>
      </c>
      <c r="I11" s="177">
        <f ca="1">COUNTIFS(종목관리대장!$N:$N,"&gt;="&amp;EOMONTH(I$7,-1)+1,종목관리대장!$N:$N,"&lt;="&amp;I$7,종목관리대장!$Q:$Q,$D11)</f>
        <v>36</v>
      </c>
      <c r="J11" s="177">
        <f ca="1">COUNTIFS(종목관리대장!$N:$N,"&gt;="&amp;EOMONTH(J$7,-1)+1,종목관리대장!$N:$N,"&lt;="&amp;J$7,종목관리대장!$Q:$Q,$D11)</f>
        <v>9</v>
      </c>
      <c r="K11" s="177">
        <f ca="1">COUNTIFS(종목관리대장!$N:$N,"&gt;="&amp;EOMONTH(K$7,-1)+1,종목관리대장!$N:$N,"&lt;="&amp;K$7,종목관리대장!$Q:$Q,$D11)</f>
        <v>1</v>
      </c>
      <c r="L11" s="177">
        <f ca="1">SUMIFS(종목관리대장!$R:$R,종목관리대장!$N:$N,"&gt;="&amp;EOMONTH(L$7,-1)+1,종목관리대장!$N:$N,"&lt;="&amp;L$7,종목관리대장!$Q:$Q,$D11)</f>
        <v>16.7</v>
      </c>
      <c r="M11" s="177">
        <f ca="1">SUMIFS(종목관리대장!$R:$R,종목관리대장!$N:$N,"&gt;="&amp;EOMONTH(M$7,-1)+1,종목관리대장!$N:$N,"&lt;="&amp;M$7,종목관리대장!$Q:$Q,$D11)</f>
        <v>3.1999999999999997</v>
      </c>
      <c r="N11" s="177">
        <f ca="1">SUMIFS(종목관리대장!$R:$R,종목관리대장!$N:$N,"&gt;="&amp;EOMONTH(N$7,-1)+1,종목관리대장!$N:$N,"&lt;="&amp;N$7,종목관리대장!$Q:$Q,$D11)</f>
        <v>0</v>
      </c>
      <c r="O11" s="98">
        <v>0.6</v>
      </c>
      <c r="P11" s="98">
        <f t="shared" si="2"/>
        <v>3.3519553072625705E-2</v>
      </c>
      <c r="Q11" s="218">
        <f t="shared" si="3"/>
        <v>22.578770949720678</v>
      </c>
      <c r="R11" s="219">
        <f t="shared" si="4"/>
        <v>-1.6787709497206791</v>
      </c>
      <c r="S11" s="181"/>
      <c r="T11" s="205" t="s">
        <v>136</v>
      </c>
      <c r="U11" s="183"/>
      <c r="V11" s="184"/>
      <c r="W11" s="184">
        <v>1</v>
      </c>
      <c r="X11" s="184"/>
      <c r="AA11" s="113" t="str">
        <f>VLOOKUP($AA$12,$A$9:$D$35,4,)</f>
        <v>서경덕</v>
      </c>
      <c r="AB11" s="114" t="str">
        <f>VLOOKUP($AB$12,$B$9:$D$35,3,)</f>
        <v>서경덕</v>
      </c>
      <c r="AC11" s="114" t="str">
        <f>VLOOKUP($AC$12,$B$9:$D$35,3,)</f>
        <v>심태진</v>
      </c>
      <c r="AD11" s="114" t="str">
        <f>VLOOKUP($AD$12,$B$9:$D$35,3,)</f>
        <v>최수민</v>
      </c>
      <c r="AE11" s="114" t="str">
        <f>VLOOKUP($AE$12,$B$9:$D$35,3,)</f>
        <v>원정우</v>
      </c>
      <c r="AF11" s="114" t="str">
        <f>VLOOKUP($AF$12,$B$9:$D$35,3,)</f>
        <v>김예림</v>
      </c>
      <c r="AG11" s="114" t="str">
        <f t="shared" ref="AG11:AL11" si="7">VLOOKUP(AG$12,$B$9:$D$35,3,)</f>
        <v>정재형</v>
      </c>
      <c r="AH11" s="114" t="str">
        <f t="shared" si="7"/>
        <v>이상민</v>
      </c>
      <c r="AI11" s="114" t="str">
        <f t="shared" si="7"/>
        <v>이진주</v>
      </c>
      <c r="AJ11" s="114" t="str">
        <f t="shared" si="7"/>
        <v>변혜진</v>
      </c>
      <c r="AK11" s="114" t="str">
        <f t="shared" si="7"/>
        <v>오수현</v>
      </c>
      <c r="AL11" s="114" t="str">
        <f t="shared" si="7"/>
        <v>채동우</v>
      </c>
    </row>
    <row r="12" spans="1:39" ht="14.25" customHeight="1" thickBot="1" x14ac:dyDescent="0.35">
      <c r="A12" s="90">
        <f t="shared" si="5"/>
        <v>1.0662670724465553</v>
      </c>
      <c r="B12" s="91">
        <f t="shared" si="6"/>
        <v>1.9949720670390896</v>
      </c>
      <c r="C12" s="271"/>
      <c r="D12" s="215" t="s">
        <v>3548</v>
      </c>
      <c r="E12" s="94" t="s">
        <v>3595</v>
      </c>
      <c r="F12" s="126">
        <f t="shared" si="0"/>
        <v>1.0662670724465553</v>
      </c>
      <c r="G12" s="216">
        <f>SUMIF(종목관리대장!Q:Q,$D12,종목관리대장!R:R)+SUM($V12:$X12)</f>
        <v>32.1</v>
      </c>
      <c r="H12" s="217">
        <f t="shared" si="1"/>
        <v>4.7654394299287417E-2</v>
      </c>
      <c r="I12" s="177">
        <f ca="1">COUNTIFS(종목관리대장!$N:$N,"&gt;="&amp;EOMONTH(I$7,-1)+1,종목관리대장!$N:$N,"&lt;="&amp;I$7,종목관리대장!$Q:$Q,$D12)</f>
        <v>45</v>
      </c>
      <c r="J12" s="177">
        <f ca="1">COUNTIFS(종목관리대장!$N:$N,"&gt;="&amp;EOMONTH(J$7,-1)+1,종목관리대장!$N:$N,"&lt;="&amp;J$7,종목관리대장!$Q:$Q,$D12)</f>
        <v>9</v>
      </c>
      <c r="K12" s="177">
        <f ca="1">COUNTIFS(종목관리대장!$N:$N,"&gt;="&amp;EOMONTH(K$7,-1)+1,종목관리대장!$N:$N,"&lt;="&amp;K$7,종목관리대장!$Q:$Q,$D12)</f>
        <v>3</v>
      </c>
      <c r="L12" s="177">
        <f ca="1">SUMIFS(종목관리대장!$R:$R,종목관리대장!$N:$N,"&gt;="&amp;EOMONTH(L$7,-1)+1,종목관리대장!$N:$N,"&lt;="&amp;L$7,종목관리대장!$Q:$Q,$D12)</f>
        <v>22.3</v>
      </c>
      <c r="M12" s="177">
        <f ca="1">SUMIFS(종목관리대장!$R:$R,종목관리대장!$N:$N,"&gt;="&amp;EOMONTH(M$7,-1)+1,종목관리대장!$N:$N,"&lt;="&amp;M$7,종목관리대장!$Q:$Q,$D12)</f>
        <v>4.8000000000000007</v>
      </c>
      <c r="N12" s="177">
        <f ca="1">SUMIFS(종목관리대장!$R:$R,종목관리대장!$N:$N,"&gt;="&amp;EOMONTH(N$7,-1)+1,종목관리대장!$N:$N,"&lt;="&amp;N$7,종목관리대장!$Q:$Q,$D12)</f>
        <v>2</v>
      </c>
      <c r="O12" s="98">
        <v>0.8</v>
      </c>
      <c r="P12" s="98">
        <f t="shared" si="2"/>
        <v>4.4692737430167613E-2</v>
      </c>
      <c r="Q12" s="218">
        <f t="shared" si="3"/>
        <v>30.105027932960912</v>
      </c>
      <c r="R12" s="219">
        <f t="shared" si="4"/>
        <v>1.9949720670390896</v>
      </c>
      <c r="S12" s="181"/>
      <c r="T12" s="205" t="s">
        <v>4542</v>
      </c>
      <c r="U12" s="183"/>
      <c r="V12" s="184"/>
      <c r="W12" s="184">
        <v>1</v>
      </c>
      <c r="X12" s="184"/>
      <c r="AA12" s="115">
        <f>SMALL($F$9:$F$34,1)</f>
        <v>0.75924669155072921</v>
      </c>
      <c r="AB12" s="116">
        <f>SMALL($R$9:$R$34,1)</f>
        <v>-6.341899441340793</v>
      </c>
      <c r="AC12" s="116">
        <f>SMALL($R$9:$R$34,2)</f>
        <v>-5.9050279329609161</v>
      </c>
      <c r="AD12" s="116">
        <f>SMALL($R$9:$R$34,3)</f>
        <v>-4.2681564245810257</v>
      </c>
      <c r="AE12" s="116">
        <f>SMALL($R$9:$R$34,4)</f>
        <v>-3.4418994413407944</v>
      </c>
      <c r="AF12" s="116">
        <f>SMALL($R$9:$R$34,5)</f>
        <v>-3.1418994413407937</v>
      </c>
      <c r="AG12" s="116">
        <f>SMALL($R$9:$R$34,6)</f>
        <v>-2.8050279329609182</v>
      </c>
      <c r="AH12" s="116">
        <f>SMALL($R$9:$R$34,7)</f>
        <v>-2.6418994413407937</v>
      </c>
      <c r="AI12" s="116">
        <f>SMALL($R$9:$R$34,8)</f>
        <v>-2.5418994413407958</v>
      </c>
      <c r="AJ12" s="116">
        <f>SMALL($R$9:$R$34,9)</f>
        <v>-2.3050279329609147</v>
      </c>
      <c r="AK12" s="116">
        <f>SMALL($R$9:$R$34,10)</f>
        <v>-1.6787709497206791</v>
      </c>
      <c r="AL12" s="116">
        <f>SMALL($R$9:$R$34,11)</f>
        <v>-1.6050279329609154</v>
      </c>
    </row>
    <row r="13" spans="1:39" ht="14.25" customHeight="1" x14ac:dyDescent="0.3">
      <c r="A13" s="90">
        <f t="shared" si="5"/>
        <v>1.0249830335934844</v>
      </c>
      <c r="B13" s="91">
        <f t="shared" si="6"/>
        <v>0.65810055865920702</v>
      </c>
      <c r="C13" s="271"/>
      <c r="D13" s="215" t="s">
        <v>3584</v>
      </c>
      <c r="E13" s="94" t="s">
        <v>3639</v>
      </c>
      <c r="F13" s="126">
        <f>G13/Q13</f>
        <v>1.0249830335934844</v>
      </c>
      <c r="G13" s="216">
        <f>SUMIF(종목관리대장!Q:Q,$D13,종목관리대장!R:R)+SUM($V13:$X13)</f>
        <v>27</v>
      </c>
      <c r="H13" s="217">
        <f t="shared" si="1"/>
        <v>4.0083135391923999E-2</v>
      </c>
      <c r="I13" s="177">
        <f ca="1">COUNTIFS(종목관리대장!$N:$N,"&gt;="&amp;EOMONTH(I$7,-1)+1,종목관리대장!$N:$N,"&lt;="&amp;I$7,종목관리대장!$Q:$Q,$D13)</f>
        <v>31</v>
      </c>
      <c r="J13" s="177">
        <f ca="1">COUNTIFS(종목관리대장!$N:$N,"&gt;="&amp;EOMONTH(J$7,-1)+1,종목관리대장!$N:$N,"&lt;="&amp;J$7,종목관리대장!$Q:$Q,$D13)</f>
        <v>6</v>
      </c>
      <c r="K13" s="177">
        <f ca="1">COUNTIFS(종목관리대장!$N:$N,"&gt;="&amp;EOMONTH(K$7,-1)+1,종목관리대장!$N:$N,"&lt;="&amp;K$7,종목관리대장!$Q:$Q,$D13)</f>
        <v>1</v>
      </c>
      <c r="L13" s="177">
        <f ca="1">SUMIFS(종목관리대장!$R:$R,종목관리대장!$N:$N,"&gt;="&amp;EOMONTH(L$7,-1)+1,종목관리대장!$N:$N,"&lt;="&amp;L$7,종목관리대장!$Q:$Q,$D13)</f>
        <v>22.6</v>
      </c>
      <c r="M13" s="177">
        <f ca="1">SUMIFS(종목관리대장!$R:$R,종목관리대장!$N:$N,"&gt;="&amp;EOMONTH(M$7,-1)+1,종목관리대장!$N:$N,"&lt;="&amp;M$7,종목관리대장!$Q:$Q,$D13)</f>
        <v>3.4</v>
      </c>
      <c r="N13" s="177">
        <f ca="1">SUMIFS(종목관리대장!$R:$R,종목관리대장!$N:$N,"&gt;="&amp;EOMONTH(N$7,-1)+1,종목관리대장!$N:$N,"&lt;="&amp;N$7,종목관리대장!$Q:$Q,$D13)</f>
        <v>1</v>
      </c>
      <c r="O13" s="98">
        <v>0.7</v>
      </c>
      <c r="P13" s="98">
        <f t="shared" si="2"/>
        <v>3.9106145251396655E-2</v>
      </c>
      <c r="Q13" s="218">
        <f t="shared" si="3"/>
        <v>26.341899441340793</v>
      </c>
      <c r="R13" s="219">
        <f>G13-Q13</f>
        <v>0.65810055865920702</v>
      </c>
      <c r="S13" s="181"/>
      <c r="T13" s="182" t="s">
        <v>3591</v>
      </c>
      <c r="U13" s="183"/>
      <c r="V13" s="184"/>
      <c r="W13" s="184"/>
      <c r="X13" s="184"/>
      <c r="AC13" s="66"/>
      <c r="AD13" s="67"/>
    </row>
    <row r="14" spans="1:39" ht="14.25" customHeight="1" x14ac:dyDescent="0.3">
      <c r="A14" s="90">
        <f t="shared" si="5"/>
        <v>0.86933746182558491</v>
      </c>
      <c r="B14" s="91">
        <f t="shared" si="6"/>
        <v>-3.4418994413407944</v>
      </c>
      <c r="C14" s="271"/>
      <c r="D14" s="215" t="s">
        <v>3583</v>
      </c>
      <c r="E14" s="94" t="s">
        <v>3639</v>
      </c>
      <c r="F14" s="126">
        <f>G14/Q14</f>
        <v>0.86933746182558491</v>
      </c>
      <c r="G14" s="216">
        <f>SUMIF(종목관리대장!Q:Q,$D14,종목관리대장!R:R)+SUM($V14:$X14)</f>
        <v>22.9</v>
      </c>
      <c r="H14" s="217">
        <f t="shared" si="1"/>
        <v>3.3996437054631831E-2</v>
      </c>
      <c r="I14" s="177">
        <f ca="1">COUNTIFS(종목관리대장!$N:$N,"&gt;="&amp;EOMONTH(I$7,-1)+1,종목관리대장!$N:$N,"&lt;="&amp;I$7,종목관리대장!$Q:$Q,$D14)</f>
        <v>26</v>
      </c>
      <c r="J14" s="177">
        <f ca="1">COUNTIFS(종목관리대장!$N:$N,"&gt;="&amp;EOMONTH(J$7,-1)+1,종목관리대장!$N:$N,"&lt;="&amp;J$7,종목관리대장!$Q:$Q,$D14)</f>
        <v>6</v>
      </c>
      <c r="K14" s="177">
        <f ca="1">COUNTIFS(종목관리대장!$N:$N,"&gt;="&amp;EOMONTH(K$7,-1)+1,종목관리대장!$N:$N,"&lt;="&amp;K$7,종목관리대장!$Q:$Q,$D14)</f>
        <v>2</v>
      </c>
      <c r="L14" s="177">
        <f ca="1">SUMIFS(종목관리대장!$R:$R,종목관리대장!$N:$N,"&gt;="&amp;EOMONTH(L$7,-1)+1,종목관리대장!$N:$N,"&lt;="&amp;L$7,종목관리대장!$Q:$Q,$D14)</f>
        <v>17.5</v>
      </c>
      <c r="M14" s="177">
        <f ca="1">SUMIFS(종목관리대장!$R:$R,종목관리대장!$N:$N,"&gt;="&amp;EOMONTH(M$7,-1)+1,종목관리대장!$N:$N,"&lt;="&amp;M$7,종목관리대장!$Q:$Q,$D14)</f>
        <v>3.4</v>
      </c>
      <c r="N14" s="177">
        <f ca="1">SUMIFS(종목관리대장!$R:$R,종목관리대장!$N:$N,"&gt;="&amp;EOMONTH(N$7,-1)+1,종목관리대장!$N:$N,"&lt;="&amp;N$7,종목관리대장!$Q:$Q,$D14)</f>
        <v>2</v>
      </c>
      <c r="O14" s="98">
        <v>0.7</v>
      </c>
      <c r="P14" s="98">
        <f t="shared" si="2"/>
        <v>3.9106145251396655E-2</v>
      </c>
      <c r="Q14" s="218">
        <f t="shared" si="3"/>
        <v>26.341899441340793</v>
      </c>
      <c r="R14" s="219">
        <f>G14-Q14</f>
        <v>-3.4418994413407944</v>
      </c>
      <c r="S14" s="181"/>
      <c r="T14" s="182" t="s">
        <v>3599</v>
      </c>
      <c r="U14" s="183"/>
      <c r="V14" s="184"/>
      <c r="W14" s="184"/>
      <c r="X14" s="184"/>
      <c r="AA14" s="75" t="s">
        <v>130</v>
      </c>
      <c r="AC14" s="66"/>
      <c r="AD14" s="67"/>
    </row>
    <row r="15" spans="1:39" ht="14.25" customHeight="1" x14ac:dyDescent="0.3">
      <c r="A15" s="90">
        <f t="shared" si="5"/>
        <v>1.070537835086528</v>
      </c>
      <c r="B15" s="91">
        <f t="shared" si="6"/>
        <v>1.8581005586592028</v>
      </c>
      <c r="C15" s="272"/>
      <c r="D15" s="215" t="s">
        <v>3725</v>
      </c>
      <c r="E15" s="94" t="s">
        <v>3726</v>
      </c>
      <c r="F15" s="126">
        <f>G15/Q15</f>
        <v>1.070537835086528</v>
      </c>
      <c r="G15" s="216">
        <f>SUMIF(종목관리대장!Q:Q,$D15,종목관리대장!R:R)+SUM($V15:$X15)</f>
        <v>28.199999999999996</v>
      </c>
      <c r="H15" s="217">
        <f t="shared" si="1"/>
        <v>4.1864608076009502E-2</v>
      </c>
      <c r="I15" s="177">
        <f ca="1">COUNTIFS(종목관리대장!$N:$N,"&gt;="&amp;EOMONTH(I$7,-1)+1,종목관리대장!$N:$N,"&lt;="&amp;I$7,종목관리대장!$Q:$Q,$D15)</f>
        <v>30</v>
      </c>
      <c r="J15" s="177">
        <f ca="1">COUNTIFS(종목관리대장!$N:$N,"&gt;="&amp;EOMONTH(J$7,-1)+1,종목관리대장!$N:$N,"&lt;="&amp;J$7,종목관리대장!$Q:$Q,$D15)</f>
        <v>7</v>
      </c>
      <c r="K15" s="177">
        <f ca="1">COUNTIFS(종목관리대장!$N:$N,"&gt;="&amp;EOMONTH(K$7,-1)+1,종목관리대장!$N:$N,"&lt;="&amp;K$7,종목관리대장!$Q:$Q,$D15)</f>
        <v>3</v>
      </c>
      <c r="L15" s="177">
        <f ca="1">SUMIFS(종목관리대장!$R:$R,종목관리대장!$N:$N,"&gt;="&amp;EOMONTH(L$7,-1)+1,종목관리대장!$N:$N,"&lt;="&amp;L$7,종목관리대장!$Q:$Q,$D15)</f>
        <v>21</v>
      </c>
      <c r="M15" s="177">
        <f ca="1">SUMIFS(종목관리대장!$R:$R,종목관리대장!$N:$N,"&gt;="&amp;EOMONTH(M$7,-1)+1,종목관리대장!$N:$N,"&lt;="&amp;M$7,종목관리대장!$Q:$Q,$D15)</f>
        <v>4.2</v>
      </c>
      <c r="N15" s="177">
        <f ca="1">SUMIFS(종목관리대장!$R:$R,종목관리대장!$N:$N,"&gt;="&amp;EOMONTH(N$7,-1)+1,종목관리대장!$N:$N,"&lt;="&amp;N$7,종목관리대장!$Q:$Q,$D15)</f>
        <v>3</v>
      </c>
      <c r="O15" s="98">
        <v>0.7</v>
      </c>
      <c r="P15" s="98">
        <f t="shared" si="2"/>
        <v>3.9106145251396655E-2</v>
      </c>
      <c r="Q15" s="218">
        <f t="shared" si="3"/>
        <v>26.341899441340793</v>
      </c>
      <c r="R15" s="219">
        <f>G15-Q15</f>
        <v>1.8581005586592028</v>
      </c>
      <c r="S15" s="181"/>
      <c r="T15" s="182" t="s">
        <v>4671</v>
      </c>
      <c r="U15" s="183"/>
      <c r="V15" s="184"/>
      <c r="W15" s="184"/>
      <c r="X15" s="184"/>
      <c r="AA15" s="65" t="s">
        <v>134</v>
      </c>
      <c r="AC15" s="66"/>
      <c r="AD15" s="67"/>
      <c r="AF15" s="64"/>
      <c r="AG15" s="64"/>
      <c r="AH15" s="64"/>
    </row>
    <row r="16" spans="1:39" ht="14.25" customHeight="1" x14ac:dyDescent="0.3">
      <c r="A16" s="90">
        <f t="shared" si="5"/>
        <v>1.1227360451306405</v>
      </c>
      <c r="B16" s="91">
        <f t="shared" si="6"/>
        <v>1.8474860335195427</v>
      </c>
      <c r="C16" s="270" t="s">
        <v>141</v>
      </c>
      <c r="D16" s="215" t="s">
        <v>142</v>
      </c>
      <c r="E16" s="94" t="s">
        <v>70</v>
      </c>
      <c r="F16" s="126">
        <f t="shared" si="0"/>
        <v>1.1227360451306405</v>
      </c>
      <c r="G16" s="216">
        <f>SUMIF(종목관리대장!Q:Q,$D16,종목관리대장!R:R)+SUM($V16:$X16)</f>
        <v>16.899999999999999</v>
      </c>
      <c r="H16" s="217">
        <f t="shared" si="1"/>
        <v>2.5089073634204276E-2</v>
      </c>
      <c r="I16" s="177">
        <f ca="1">COUNTIFS(종목관리대장!$N:$N,"&gt;="&amp;EOMONTH(I$7,-1)+1,종목관리대장!$N:$N,"&lt;="&amp;I$7,종목관리대장!$Q:$Q,$D16)</f>
        <v>18</v>
      </c>
      <c r="J16" s="177">
        <f ca="1">COUNTIFS(종목관리대장!$N:$N,"&gt;="&amp;EOMONTH(J$7,-1)+1,종목관리대장!$N:$N,"&lt;="&amp;J$7,종목관리대장!$Q:$Q,$D16)</f>
        <v>3</v>
      </c>
      <c r="K16" s="177">
        <f ca="1">COUNTIFS(종목관리대장!$N:$N,"&gt;="&amp;EOMONTH(K$7,-1)+1,종목관리대장!$N:$N,"&lt;="&amp;K$7,종목관리대장!$Q:$Q,$D16)</f>
        <v>5</v>
      </c>
      <c r="L16" s="177">
        <f ca="1">SUMIFS(종목관리대장!$R:$R,종목관리대장!$N:$N,"&gt;="&amp;EOMONTH(L$7,-1)+1,종목관리대장!$N:$N,"&lt;="&amp;L$7,종목관리대장!$Q:$Q,$D16)</f>
        <v>10.9</v>
      </c>
      <c r="M16" s="177">
        <f ca="1">SUMIFS(종목관리대장!$R:$R,종목관리대장!$N:$N,"&gt;="&amp;EOMONTH(M$7,-1)+1,종목관리대장!$N:$N,"&lt;="&amp;M$7,종목관리대장!$Q:$Q,$D16)</f>
        <v>2</v>
      </c>
      <c r="N16" s="177">
        <f ca="1">SUMIFS(종목관리대장!$R:$R,종목관리대장!$N:$N,"&gt;="&amp;EOMONTH(N$7,-1)+1,종목관리대장!$N:$N,"&lt;="&amp;N$7,종목관리대장!$Q:$Q,$D16)</f>
        <v>3</v>
      </c>
      <c r="O16" s="98">
        <v>0.4</v>
      </c>
      <c r="P16" s="98">
        <f t="shared" si="2"/>
        <v>2.2346368715083807E-2</v>
      </c>
      <c r="Q16" s="218">
        <f t="shared" si="3"/>
        <v>15.052513966480456</v>
      </c>
      <c r="R16" s="219">
        <f t="shared" si="4"/>
        <v>1.8474860335195427</v>
      </c>
      <c r="S16" s="181"/>
      <c r="T16" s="185"/>
      <c r="U16" s="183"/>
      <c r="V16" s="184"/>
      <c r="W16" s="184">
        <v>1</v>
      </c>
      <c r="X16" s="184"/>
      <c r="AA16" s="65" t="s">
        <v>137</v>
      </c>
      <c r="AC16" s="66"/>
      <c r="AD16" s="67"/>
      <c r="AF16" s="199"/>
      <c r="AG16" s="64"/>
      <c r="AH16" s="200"/>
    </row>
    <row r="17" spans="1:36" ht="14.25" customHeight="1" x14ac:dyDescent="0.3">
      <c r="A17" s="90">
        <f>F17</f>
        <v>0.88072616219884592</v>
      </c>
      <c r="B17" s="91">
        <f>R17</f>
        <v>-3.1418994413407937</v>
      </c>
      <c r="C17" s="271"/>
      <c r="D17" s="215" t="s">
        <v>161</v>
      </c>
      <c r="E17" s="94" t="s">
        <v>120</v>
      </c>
      <c r="F17" s="126">
        <f>G17/Q17</f>
        <v>0.88072616219884592</v>
      </c>
      <c r="G17" s="216">
        <f>SUMIF(종목관리대장!Q:Q,$D17,종목관리대장!R:R)+SUM($V17:$X17)</f>
        <v>23.2</v>
      </c>
      <c r="H17" s="217">
        <f t="shared" si="1"/>
        <v>3.444180522565321E-2</v>
      </c>
      <c r="I17" s="177">
        <f ca="1">COUNTIFS(종목관리대장!$N:$N,"&gt;="&amp;EOMONTH(I$7,-1)+1,종목관리대장!$N:$N,"&lt;="&amp;I$7,종목관리대장!$Q:$Q,$D17)</f>
        <v>29</v>
      </c>
      <c r="J17" s="177">
        <f ca="1">COUNTIFS(종목관리대장!$N:$N,"&gt;="&amp;EOMONTH(J$7,-1)+1,종목관리대장!$N:$N,"&lt;="&amp;J$7,종목관리대장!$Q:$Q,$D17)</f>
        <v>1</v>
      </c>
      <c r="K17" s="177">
        <f ca="1">COUNTIFS(종목관리대장!$N:$N,"&gt;="&amp;EOMONTH(K$7,-1)+1,종목관리대장!$N:$N,"&lt;="&amp;K$7,종목관리대장!$Q:$Q,$D17)</f>
        <v>4</v>
      </c>
      <c r="L17" s="177">
        <f ca="1">SUMIFS(종목관리대장!$R:$R,종목관리대장!$N:$N,"&gt;="&amp;EOMONTH(L$7,-1)+1,종목관리대장!$N:$N,"&lt;="&amp;L$7,종목관리대장!$Q:$Q,$D17)</f>
        <v>19.2</v>
      </c>
      <c r="M17" s="177">
        <f ca="1">SUMIFS(종목관리대장!$R:$R,종목관리대장!$N:$N,"&gt;="&amp;EOMONTH(M$7,-1)+1,종목관리대장!$N:$N,"&lt;="&amp;M$7,종목관리대장!$Q:$Q,$D17)</f>
        <v>1</v>
      </c>
      <c r="N17" s="177">
        <f ca="1">SUMIFS(종목관리대장!$R:$R,종목관리대장!$N:$N,"&gt;="&amp;EOMONTH(N$7,-1)+1,종목관리대장!$N:$N,"&lt;="&amp;N$7,종목관리대장!$Q:$Q,$D17)</f>
        <v>3</v>
      </c>
      <c r="O17" s="98">
        <v>0.7</v>
      </c>
      <c r="P17" s="98">
        <f t="shared" si="2"/>
        <v>3.9106145251396655E-2</v>
      </c>
      <c r="Q17" s="218">
        <f t="shared" si="3"/>
        <v>26.341899441340793</v>
      </c>
      <c r="R17" s="219">
        <f>G17-Q17</f>
        <v>-3.1418994413407937</v>
      </c>
      <c r="S17" s="181"/>
      <c r="T17" s="205" t="s">
        <v>3651</v>
      </c>
      <c r="U17" s="183"/>
      <c r="V17" s="184"/>
      <c r="W17" s="184"/>
      <c r="X17" s="184"/>
      <c r="AA17" s="65"/>
      <c r="AC17" s="66"/>
      <c r="AD17" s="67"/>
      <c r="AF17" s="199"/>
      <c r="AG17" s="64"/>
      <c r="AH17" s="200"/>
    </row>
    <row r="18" spans="1:36" ht="14.25" customHeight="1" x14ac:dyDescent="0.3">
      <c r="A18" s="90">
        <f t="shared" si="5"/>
        <v>1.0762321852731584</v>
      </c>
      <c r="B18" s="91">
        <f t="shared" si="6"/>
        <v>2.2949720670390867</v>
      </c>
      <c r="C18" s="271"/>
      <c r="D18" s="215" t="s">
        <v>154</v>
      </c>
      <c r="E18" s="94" t="s">
        <v>152</v>
      </c>
      <c r="F18" s="126">
        <f t="shared" si="0"/>
        <v>1.0762321852731584</v>
      </c>
      <c r="G18" s="216">
        <f>SUMIF(종목관리대장!Q:Q,$D18,종목관리대장!R:R)+SUM($V18:$X18)</f>
        <v>32.4</v>
      </c>
      <c r="H18" s="217">
        <f t="shared" si="1"/>
        <v>4.8099762470308796E-2</v>
      </c>
      <c r="I18" s="177">
        <f ca="1">COUNTIFS(종목관리대장!$N:$N,"&gt;="&amp;EOMONTH(I$7,-1)+1,종목관리대장!$N:$N,"&lt;="&amp;I$7,종목관리대장!$Q:$Q,$D18)</f>
        <v>41</v>
      </c>
      <c r="J18" s="177">
        <f ca="1">COUNTIFS(종목관리대장!$N:$N,"&gt;="&amp;EOMONTH(J$7,-1)+1,종목관리대장!$N:$N,"&lt;="&amp;J$7,종목관리대장!$Q:$Q,$D18)</f>
        <v>7</v>
      </c>
      <c r="K18" s="177">
        <f ca="1">COUNTIFS(종목관리대장!$N:$N,"&gt;="&amp;EOMONTH(K$7,-1)+1,종목관리대장!$N:$N,"&lt;="&amp;K$7,종목관리대장!$Q:$Q,$D18)</f>
        <v>6</v>
      </c>
      <c r="L18" s="177">
        <f ca="1">SUMIFS(종목관리대장!$R:$R,종목관리대장!$N:$N,"&gt;="&amp;EOMONTH(L$7,-1)+1,종목관리대장!$N:$N,"&lt;="&amp;L$7,종목관리대장!$Q:$Q,$D18)</f>
        <v>21</v>
      </c>
      <c r="M18" s="177">
        <f ca="1">SUMIFS(종목관리대장!$R:$R,종목관리대장!$N:$N,"&gt;="&amp;EOMONTH(M$7,-1)+1,종목관리대장!$N:$N,"&lt;="&amp;M$7,종목관리대장!$Q:$Q,$D18)</f>
        <v>3.4</v>
      </c>
      <c r="N18" s="177">
        <f ca="1">SUMIFS(종목관리대장!$R:$R,종목관리대장!$N:$N,"&gt;="&amp;EOMONTH(N$7,-1)+1,종목관리대장!$N:$N,"&lt;="&amp;N$7,종목관리대장!$Q:$Q,$D18)</f>
        <v>5</v>
      </c>
      <c r="O18" s="98">
        <v>0.8</v>
      </c>
      <c r="P18" s="98">
        <f t="shared" si="2"/>
        <v>4.4692737430167613E-2</v>
      </c>
      <c r="Q18" s="218">
        <f t="shared" si="3"/>
        <v>30.105027932960912</v>
      </c>
      <c r="R18" s="219">
        <f t="shared" si="4"/>
        <v>2.2949720670390867</v>
      </c>
      <c r="S18" s="181"/>
      <c r="T18" s="205" t="s">
        <v>3652</v>
      </c>
      <c r="U18" s="183"/>
      <c r="V18" s="184"/>
      <c r="W18" s="184">
        <v>2</v>
      </c>
      <c r="X18" s="184"/>
      <c r="AA18" s="117" t="s">
        <v>140</v>
      </c>
      <c r="AC18" s="66"/>
      <c r="AD18" s="67"/>
      <c r="AF18" s="199"/>
      <c r="AG18" s="64"/>
      <c r="AH18" s="200"/>
    </row>
    <row r="19" spans="1:36" ht="14.25" customHeight="1" x14ac:dyDescent="0.3">
      <c r="A19" s="90">
        <f t="shared" si="5"/>
        <v>0.90682526722090184</v>
      </c>
      <c r="B19" s="91">
        <f t="shared" si="6"/>
        <v>-2.8050279329609182</v>
      </c>
      <c r="C19" s="271"/>
      <c r="D19" s="215" t="s">
        <v>3509</v>
      </c>
      <c r="E19" s="94" t="s">
        <v>3534</v>
      </c>
      <c r="F19" s="126">
        <f t="shared" si="0"/>
        <v>0.90682526722090184</v>
      </c>
      <c r="G19" s="216">
        <f>SUMIF(종목관리대장!Q:Q,$D19,종목관리대장!R:R)+SUM($V19:$X19)</f>
        <v>27.299999999999994</v>
      </c>
      <c r="H19" s="217">
        <f t="shared" si="1"/>
        <v>4.0528503562945364E-2</v>
      </c>
      <c r="I19" s="177">
        <f ca="1">COUNTIFS(종목관리대장!$N:$N,"&gt;="&amp;EOMONTH(I$7,-1)+1,종목관리대장!$N:$N,"&lt;="&amp;I$7,종목관리대장!$Q:$Q,$D19)</f>
        <v>30</v>
      </c>
      <c r="J19" s="177">
        <f ca="1">COUNTIFS(종목관리대장!$N:$N,"&gt;="&amp;EOMONTH(J$7,-1)+1,종목관리대장!$N:$N,"&lt;="&amp;J$7,종목관리대장!$Q:$Q,$D19)</f>
        <v>9</v>
      </c>
      <c r="K19" s="177">
        <f ca="1">COUNTIFS(종목관리대장!$N:$N,"&gt;="&amp;EOMONTH(K$7,-1)+1,종목관리대장!$N:$N,"&lt;="&amp;K$7,종목관리대장!$Q:$Q,$D19)</f>
        <v>0</v>
      </c>
      <c r="L19" s="177">
        <f ca="1">SUMIFS(종목관리대장!$R:$R,종목관리대장!$N:$N,"&gt;="&amp;EOMONTH(L$7,-1)+1,종목관리대장!$N:$N,"&lt;="&amp;L$7,종목관리대장!$Q:$Q,$D19)</f>
        <v>21.7</v>
      </c>
      <c r="M19" s="177">
        <f ca="1">SUMIFS(종목관리대장!$R:$R,종목관리대장!$N:$N,"&gt;="&amp;EOMONTH(M$7,-1)+1,종목관리대장!$N:$N,"&lt;="&amp;M$7,종목관리대장!$Q:$Q,$D19)</f>
        <v>4.6000000000000005</v>
      </c>
      <c r="N19" s="177">
        <f ca="1">SUMIFS(종목관리대장!$R:$R,종목관리대장!$N:$N,"&gt;="&amp;EOMONTH(N$7,-1)+1,종목관리대장!$N:$N,"&lt;="&amp;N$7,종목관리대장!$Q:$Q,$D19)</f>
        <v>0</v>
      </c>
      <c r="O19" s="98">
        <v>0.8</v>
      </c>
      <c r="P19" s="98">
        <f t="shared" si="2"/>
        <v>4.4692737430167613E-2</v>
      </c>
      <c r="Q19" s="218">
        <f t="shared" si="3"/>
        <v>30.105027932960912</v>
      </c>
      <c r="R19" s="219">
        <f t="shared" si="4"/>
        <v>-2.8050279329609182</v>
      </c>
      <c r="S19" s="181"/>
      <c r="T19" s="205" t="s">
        <v>3654</v>
      </c>
      <c r="U19" s="183"/>
      <c r="V19" s="184"/>
      <c r="W19" s="184">
        <v>1</v>
      </c>
      <c r="X19" s="184"/>
      <c r="AA19" s="65" t="s">
        <v>143</v>
      </c>
      <c r="AC19" s="66"/>
      <c r="AD19" s="67"/>
      <c r="AF19" s="64"/>
      <c r="AG19" s="64"/>
    </row>
    <row r="20" spans="1:36" s="108" customFormat="1" ht="14.25" customHeight="1" x14ac:dyDescent="0.3">
      <c r="A20" s="90">
        <f t="shared" si="5"/>
        <v>1.2223871733966738</v>
      </c>
      <c r="B20" s="91">
        <f t="shared" si="6"/>
        <v>6.6949720670390853</v>
      </c>
      <c r="C20" s="271"/>
      <c r="D20" s="215" t="s">
        <v>3512</v>
      </c>
      <c r="E20" s="94" t="s">
        <v>3534</v>
      </c>
      <c r="F20" s="126">
        <f t="shared" si="0"/>
        <v>1.2223871733966738</v>
      </c>
      <c r="G20" s="216">
        <f>SUMIF(종목관리대장!Q:Q,$D20,종목관리대장!R:R)+SUM($V20:$X20)</f>
        <v>36.799999999999997</v>
      </c>
      <c r="H20" s="217">
        <f t="shared" si="1"/>
        <v>5.4631828978622329E-2</v>
      </c>
      <c r="I20" s="177">
        <f ca="1">COUNTIFS(종목관리대장!$N:$N,"&gt;="&amp;EOMONTH(I$7,-1)+1,종목관리대장!$N:$N,"&lt;="&amp;I$7,종목관리대장!$Q:$Q,$D20)</f>
        <v>43</v>
      </c>
      <c r="J20" s="177">
        <f ca="1">COUNTIFS(종목관리대장!$N:$N,"&gt;="&amp;EOMONTH(J$7,-1)+1,종목관리대장!$N:$N,"&lt;="&amp;J$7,종목관리대장!$Q:$Q,$D20)</f>
        <v>8</v>
      </c>
      <c r="K20" s="177">
        <f ca="1">COUNTIFS(종목관리대장!$N:$N,"&gt;="&amp;EOMONTH(K$7,-1)+1,종목관리대장!$N:$N,"&lt;="&amp;K$7,종목관리대장!$Q:$Q,$D20)</f>
        <v>2</v>
      </c>
      <c r="L20" s="177">
        <f ca="1">SUMIFS(종목관리대장!$R:$R,종목관리대장!$N:$N,"&gt;="&amp;EOMONTH(L$7,-1)+1,종목관리대장!$N:$N,"&lt;="&amp;L$7,종목관리대장!$Q:$Q,$D20)</f>
        <v>31</v>
      </c>
      <c r="M20" s="177">
        <f ca="1">SUMIFS(종목관리대장!$R:$R,종목관리대장!$N:$N,"&gt;="&amp;EOMONTH(M$7,-1)+1,종목관리대장!$N:$N,"&lt;="&amp;M$7,종목관리대장!$Q:$Q,$D20)</f>
        <v>3.8</v>
      </c>
      <c r="N20" s="177">
        <f ca="1">SUMIFS(종목관리대장!$R:$R,종목관리대장!$N:$N,"&gt;="&amp;EOMONTH(N$7,-1)+1,종목관리대장!$N:$N,"&lt;="&amp;N$7,종목관리대장!$Q:$Q,$D20)</f>
        <v>2</v>
      </c>
      <c r="O20" s="98">
        <v>0.8</v>
      </c>
      <c r="P20" s="98">
        <f t="shared" si="2"/>
        <v>4.4692737430167613E-2</v>
      </c>
      <c r="Q20" s="218">
        <f t="shared" si="3"/>
        <v>30.105027932960912</v>
      </c>
      <c r="R20" s="219">
        <f t="shared" si="4"/>
        <v>6.6949720670390853</v>
      </c>
      <c r="S20" s="181"/>
      <c r="T20" s="205" t="s">
        <v>3655</v>
      </c>
      <c r="U20" s="183"/>
      <c r="V20" s="184"/>
      <c r="W20" s="184"/>
      <c r="X20" s="184"/>
      <c r="AA20" s="117" t="s">
        <v>145</v>
      </c>
      <c r="AB20" s="66"/>
      <c r="AC20" s="66"/>
      <c r="AD20" s="67"/>
      <c r="AE20" s="66"/>
      <c r="AF20" s="206"/>
      <c r="AG20" s="64"/>
      <c r="AH20" s="207"/>
      <c r="AI20" s="66"/>
      <c r="AJ20" s="66"/>
    </row>
    <row r="21" spans="1:36" ht="14.25" customHeight="1" x14ac:dyDescent="0.3">
      <c r="A21" s="90">
        <f t="shared" si="5"/>
        <v>0.9466857185273152</v>
      </c>
      <c r="B21" s="91">
        <f t="shared" si="6"/>
        <v>-1.6050279329609154</v>
      </c>
      <c r="C21" s="271"/>
      <c r="D21" s="215" t="s">
        <v>3552</v>
      </c>
      <c r="E21" s="94" t="s">
        <v>3595</v>
      </c>
      <c r="F21" s="126">
        <f t="shared" si="0"/>
        <v>0.9466857185273152</v>
      </c>
      <c r="G21" s="216">
        <f>SUMIF(종목관리대장!Q:Q,$D21,종목관리대장!R:R)+SUM($V21:$X21)</f>
        <v>28.499999999999996</v>
      </c>
      <c r="H21" s="217">
        <f t="shared" si="1"/>
        <v>4.2309976247030881E-2</v>
      </c>
      <c r="I21" s="177">
        <f ca="1">COUNTIFS(종목관리대장!$N:$N,"&gt;="&amp;EOMONTH(I$7,-1)+1,종목관리대장!$N:$N,"&lt;="&amp;I$7,종목관리대장!$Q:$Q,$D21)</f>
        <v>44</v>
      </c>
      <c r="J21" s="177">
        <f ca="1">COUNTIFS(종목관리대장!$N:$N,"&gt;="&amp;EOMONTH(J$7,-1)+1,종목관리대장!$N:$N,"&lt;="&amp;J$7,종목관리대장!$Q:$Q,$D21)</f>
        <v>9</v>
      </c>
      <c r="K21" s="177">
        <f ca="1">COUNTIFS(종목관리대장!$N:$N,"&gt;="&amp;EOMONTH(K$7,-1)+1,종목관리대장!$N:$N,"&lt;="&amp;K$7,종목관리대장!$Q:$Q,$D21)</f>
        <v>3</v>
      </c>
      <c r="L21" s="177">
        <f ca="1">SUMIFS(종목관리대장!$R:$R,종목관리대장!$N:$N,"&gt;="&amp;EOMONTH(L$7,-1)+1,종목관리대장!$N:$N,"&lt;="&amp;L$7,종목관리대장!$Q:$Q,$D21)</f>
        <v>21.3</v>
      </c>
      <c r="M21" s="177">
        <f ca="1">SUMIFS(종목관리대장!$R:$R,종목관리대장!$N:$N,"&gt;="&amp;EOMONTH(M$7,-1)+1,종목관리대장!$N:$N,"&lt;="&amp;M$7,종목관리대장!$Q:$Q,$D21)</f>
        <v>5.2000000000000011</v>
      </c>
      <c r="N21" s="177">
        <f ca="1">SUMIFS(종목관리대장!$R:$R,종목관리대장!$N:$N,"&gt;="&amp;EOMONTH(N$7,-1)+1,종목관리대장!$N:$N,"&lt;="&amp;N$7,종목관리대장!$Q:$Q,$D21)</f>
        <v>2</v>
      </c>
      <c r="O21" s="98">
        <v>0.8</v>
      </c>
      <c r="P21" s="98">
        <f t="shared" si="2"/>
        <v>4.4692737430167613E-2</v>
      </c>
      <c r="Q21" s="218">
        <f t="shared" si="3"/>
        <v>30.105027932960912</v>
      </c>
      <c r="R21" s="219">
        <f t="shared" si="4"/>
        <v>-1.6050279329609154</v>
      </c>
      <c r="S21" s="181"/>
      <c r="T21" s="205" t="s">
        <v>4542</v>
      </c>
      <c r="U21" s="183"/>
      <c r="V21" s="184"/>
      <c r="W21" s="184"/>
      <c r="X21" s="184"/>
      <c r="AA21" s="65"/>
      <c r="AC21" s="66"/>
      <c r="AD21" s="67"/>
      <c r="AF21" s="206"/>
      <c r="AG21" s="64"/>
      <c r="AH21" s="208"/>
    </row>
    <row r="22" spans="1:36" ht="14.25" customHeight="1" x14ac:dyDescent="0.3">
      <c r="A22" s="90">
        <f t="shared" si="5"/>
        <v>0.89970732948761412</v>
      </c>
      <c r="B22" s="91">
        <f t="shared" si="6"/>
        <v>-2.6418994413407937</v>
      </c>
      <c r="C22" s="272"/>
      <c r="D22" s="215" t="s">
        <v>3588</v>
      </c>
      <c r="E22" s="94" t="s">
        <v>3639</v>
      </c>
      <c r="F22" s="126">
        <f>G22/Q22</f>
        <v>0.89970732948761412</v>
      </c>
      <c r="G22" s="216">
        <f>SUMIF(종목관리대장!Q:Q,$D22,종목관리대장!R:R)+SUM($V22:$X22)</f>
        <v>23.7</v>
      </c>
      <c r="H22" s="217">
        <f t="shared" si="1"/>
        <v>3.5184085510688842E-2</v>
      </c>
      <c r="I22" s="177">
        <f ca="1">COUNTIFS(종목관리대장!$N:$N,"&gt;="&amp;EOMONTH(I$7,-1)+1,종목관리대장!$N:$N,"&lt;="&amp;I$7,종목관리대장!$Q:$Q,$D22)</f>
        <v>35</v>
      </c>
      <c r="J22" s="177">
        <f ca="1">COUNTIFS(종목관리대장!$N:$N,"&gt;="&amp;EOMONTH(J$7,-1)+1,종목관리대장!$N:$N,"&lt;="&amp;J$7,종목관리대장!$Q:$Q,$D22)</f>
        <v>7</v>
      </c>
      <c r="K22" s="177">
        <f ca="1">COUNTIFS(종목관리대장!$N:$N,"&gt;="&amp;EOMONTH(K$7,-1)+1,종목관리대장!$N:$N,"&lt;="&amp;K$7,종목관리대장!$Q:$Q,$D22)</f>
        <v>2</v>
      </c>
      <c r="L22" s="177">
        <f ca="1">SUMIFS(종목관리대장!$R:$R,종목관리대장!$N:$N,"&gt;="&amp;EOMONTH(L$7,-1)+1,종목관리대장!$N:$N,"&lt;="&amp;L$7,종목관리대장!$Q:$Q,$D22)</f>
        <v>16.7</v>
      </c>
      <c r="M22" s="177">
        <f ca="1">SUMIFS(종목관리대장!$R:$R,종목관리대장!$N:$N,"&gt;="&amp;EOMONTH(M$7,-1)+1,종목관리대장!$N:$N,"&lt;="&amp;M$7,종목관리대장!$Q:$Q,$D22)</f>
        <v>5</v>
      </c>
      <c r="N22" s="177">
        <f ca="1">SUMIFS(종목관리대장!$R:$R,종목관리대장!$N:$N,"&gt;="&amp;EOMONTH(N$7,-1)+1,종목관리대장!$N:$N,"&lt;="&amp;N$7,종목관리대장!$Q:$Q,$D22)</f>
        <v>2</v>
      </c>
      <c r="O22" s="98">
        <v>0.7</v>
      </c>
      <c r="P22" s="98">
        <f t="shared" si="2"/>
        <v>3.9106145251396655E-2</v>
      </c>
      <c r="Q22" s="218">
        <f t="shared" si="3"/>
        <v>26.341899441340793</v>
      </c>
      <c r="R22" s="219">
        <f>G22-Q22</f>
        <v>-2.6418994413407937</v>
      </c>
      <c r="S22" s="181"/>
      <c r="T22" s="182" t="s">
        <v>3591</v>
      </c>
      <c r="U22" s="183"/>
      <c r="V22" s="184"/>
      <c r="W22" s="184"/>
      <c r="X22" s="184"/>
      <c r="AA22" s="75" t="s">
        <v>150</v>
      </c>
      <c r="AC22" s="66"/>
      <c r="AD22" s="67"/>
      <c r="AH22" s="209"/>
    </row>
    <row r="23" spans="1:36" s="108" customFormat="1" ht="14.25" customHeight="1" x14ac:dyDescent="0.3">
      <c r="A23" s="90">
        <f t="shared" si="5"/>
        <v>1.4704077593032459</v>
      </c>
      <c r="B23" s="91">
        <f t="shared" si="6"/>
        <v>5.3106145251396626</v>
      </c>
      <c r="C23" s="270" t="s">
        <v>3529</v>
      </c>
      <c r="D23" s="215" t="s">
        <v>159</v>
      </c>
      <c r="E23" s="94" t="s">
        <v>70</v>
      </c>
      <c r="F23" s="126">
        <f t="shared" si="0"/>
        <v>1.4704077593032459</v>
      </c>
      <c r="G23" s="216">
        <f>SUMIF(종목관리대장!Q:Q,$D23,종목관리대장!R:R)+SUM($V23:$X23)</f>
        <v>16.600000000000001</v>
      </c>
      <c r="H23" s="217">
        <f t="shared" si="1"/>
        <v>2.4643705463182904E-2</v>
      </c>
      <c r="I23" s="177">
        <f ca="1">COUNTIFS(종목관리대장!$N:$N,"&gt;="&amp;EOMONTH(I$7,-1)+1,종목관리대장!$N:$N,"&lt;="&amp;I$7,종목관리대장!$Q:$Q,$D23)</f>
        <v>17</v>
      </c>
      <c r="J23" s="177">
        <f ca="1">COUNTIFS(종목관리대장!$N:$N,"&gt;="&amp;EOMONTH(J$7,-1)+1,종목관리대장!$N:$N,"&lt;="&amp;J$7,종목관리대장!$Q:$Q,$D23)</f>
        <v>0</v>
      </c>
      <c r="K23" s="177">
        <f ca="1">COUNTIFS(종목관리대장!$N:$N,"&gt;="&amp;EOMONTH(K$7,-1)+1,종목관리대장!$N:$N,"&lt;="&amp;K$7,종목관리대장!$Q:$Q,$D23)</f>
        <v>4</v>
      </c>
      <c r="L23" s="177">
        <f ca="1">SUMIFS(종목관리대장!$R:$R,종목관리대장!$N:$N,"&gt;="&amp;EOMONTH(L$7,-1)+1,종목관리대장!$N:$N,"&lt;="&amp;L$7,종목관리대장!$Q:$Q,$D23)</f>
        <v>13.6</v>
      </c>
      <c r="M23" s="177">
        <f ca="1">SUMIFS(종목관리대장!$R:$R,종목관리대장!$N:$N,"&gt;="&amp;EOMONTH(M$7,-1)+1,종목관리대장!$N:$N,"&lt;="&amp;M$7,종목관리대장!$Q:$Q,$D23)</f>
        <v>0</v>
      </c>
      <c r="N23" s="177">
        <f ca="1">SUMIFS(종목관리대장!$R:$R,종목관리대장!$N:$N,"&gt;="&amp;EOMONTH(N$7,-1)+1,종목관리대장!$N:$N,"&lt;="&amp;N$7,종목관리대장!$Q:$Q,$D23)</f>
        <v>3</v>
      </c>
      <c r="O23" s="98">
        <v>0.3</v>
      </c>
      <c r="P23" s="98">
        <f t="shared" si="2"/>
        <v>1.6759776536312852E-2</v>
      </c>
      <c r="Q23" s="218">
        <f t="shared" si="3"/>
        <v>11.289385474860339</v>
      </c>
      <c r="R23" s="219">
        <f t="shared" si="4"/>
        <v>5.3106145251396626</v>
      </c>
      <c r="S23" s="181"/>
      <c r="T23" s="185"/>
      <c r="U23" s="183"/>
      <c r="V23" s="184"/>
      <c r="W23" s="184"/>
      <c r="X23" s="184"/>
      <c r="AA23" s="65" t="s">
        <v>153</v>
      </c>
      <c r="AB23" s="66"/>
      <c r="AC23" s="66"/>
      <c r="AD23" s="67"/>
      <c r="AE23" s="66"/>
      <c r="AF23" s="66"/>
      <c r="AI23" s="66"/>
      <c r="AJ23" s="66"/>
    </row>
    <row r="24" spans="1:36" ht="14.25" customHeight="1" x14ac:dyDescent="0.3">
      <c r="A24" s="90">
        <f>F24</f>
        <v>0.75924669155072921</v>
      </c>
      <c r="B24" s="91">
        <f>R24</f>
        <v>-6.341899441340793</v>
      </c>
      <c r="C24" s="271"/>
      <c r="D24" s="215" t="s">
        <v>188</v>
      </c>
      <c r="E24" s="94" t="s">
        <v>3704</v>
      </c>
      <c r="F24" s="126">
        <f>G24/Q24</f>
        <v>0.75924669155072921</v>
      </c>
      <c r="G24" s="216">
        <f>SUMIF(종목관리대장!Q:Q,$D24,종목관리대장!R:R)+SUM($V24:$X24)</f>
        <v>20</v>
      </c>
      <c r="H24" s="217">
        <f t="shared" si="1"/>
        <v>2.9691211401425183E-2</v>
      </c>
      <c r="I24" s="177">
        <f ca="1">COUNTIFS(종목관리대장!$N:$N,"&gt;="&amp;EOMONTH(I$7,-1)+1,종목관리대장!$N:$N,"&lt;="&amp;I$7,종목관리대장!$Q:$Q,$D24)</f>
        <v>17</v>
      </c>
      <c r="J24" s="177">
        <f ca="1">COUNTIFS(종목관리대장!$N:$N,"&gt;="&amp;EOMONTH(J$7,-1)+1,종목관리대장!$N:$N,"&lt;="&amp;J$7,종목관리대장!$Q:$Q,$D24)</f>
        <v>9</v>
      </c>
      <c r="K24" s="177">
        <f ca="1">COUNTIFS(종목관리대장!$N:$N,"&gt;="&amp;EOMONTH(K$7,-1)+1,종목관리대장!$N:$N,"&lt;="&amp;K$7,종목관리대장!$Q:$Q,$D24)</f>
        <v>7</v>
      </c>
      <c r="L24" s="177">
        <f ca="1">SUMIFS(종목관리대장!$R:$R,종목관리대장!$N:$N,"&gt;="&amp;EOMONTH(L$7,-1)+1,종목관리대장!$N:$N,"&lt;="&amp;L$7,종목관리대장!$Q:$Q,$D24)</f>
        <v>10.6</v>
      </c>
      <c r="M24" s="177">
        <f ca="1">SUMIFS(종목관리대장!$R:$R,종목관리대장!$N:$N,"&gt;="&amp;EOMONTH(M$7,-1)+1,종목관리대장!$N:$N,"&lt;="&amp;M$7,종목관리대장!$Q:$Q,$D24)</f>
        <v>4.4000000000000004</v>
      </c>
      <c r="N24" s="177">
        <f ca="1">SUMIFS(종목관리대장!$R:$R,종목관리대장!$N:$N,"&gt;="&amp;EOMONTH(N$7,-1)+1,종목관리대장!$N:$N,"&lt;="&amp;N$7,종목관리대장!$Q:$Q,$D24)</f>
        <v>4</v>
      </c>
      <c r="O24" s="98">
        <v>0.7</v>
      </c>
      <c r="P24" s="98">
        <f t="shared" si="2"/>
        <v>3.9106145251396655E-2</v>
      </c>
      <c r="Q24" s="218">
        <f t="shared" si="3"/>
        <v>26.341899441340793</v>
      </c>
      <c r="R24" s="219">
        <f>G24-Q24</f>
        <v>-6.341899441340793</v>
      </c>
      <c r="S24" s="181"/>
      <c r="T24" s="205" t="s">
        <v>3656</v>
      </c>
      <c r="U24" s="183"/>
      <c r="V24" s="184"/>
      <c r="W24" s="184">
        <v>1</v>
      </c>
      <c r="X24" s="184"/>
      <c r="AA24" s="65" t="s">
        <v>156</v>
      </c>
      <c r="AC24" s="66"/>
      <c r="AD24" s="67"/>
    </row>
    <row r="25" spans="1:36" ht="14.25" customHeight="1" x14ac:dyDescent="0.3">
      <c r="A25" s="90">
        <f>F25</f>
        <v>0.8739773027183948</v>
      </c>
      <c r="B25" s="91">
        <f>R25</f>
        <v>-4.2681564245810257</v>
      </c>
      <c r="C25" s="271"/>
      <c r="D25" s="215" t="s">
        <v>3589</v>
      </c>
      <c r="E25" s="94" t="s">
        <v>3590</v>
      </c>
      <c r="F25" s="126">
        <f>G25/Q25</f>
        <v>0.8739773027183948</v>
      </c>
      <c r="G25" s="216">
        <f>SUMIF(종목관리대장!Q:Q,$D25,종목관리대장!R:R)+SUM($V25:$X25)</f>
        <v>29.599999999999998</v>
      </c>
      <c r="H25" s="217">
        <f t="shared" si="1"/>
        <v>4.3942992874109264E-2</v>
      </c>
      <c r="I25" s="177">
        <f ca="1">COUNTIFS(종목관리대장!$N:$N,"&gt;="&amp;EOMONTH(I$7,-1)+1,종목관리대장!$N:$N,"&lt;="&amp;I$7,종목관리대장!$Q:$Q,$D25)</f>
        <v>30</v>
      </c>
      <c r="J25" s="177">
        <f ca="1">COUNTIFS(종목관리대장!$N:$N,"&gt;="&amp;EOMONTH(J$7,-1)+1,종목관리대장!$N:$N,"&lt;="&amp;J$7,종목관리대장!$Q:$Q,$D25)</f>
        <v>9</v>
      </c>
      <c r="K25" s="177">
        <f ca="1">COUNTIFS(종목관리대장!$N:$N,"&gt;="&amp;EOMONTH(K$7,-1)+1,종목관리대장!$N:$N,"&lt;="&amp;K$7,종목관리대장!$Q:$Q,$D25)</f>
        <v>4</v>
      </c>
      <c r="L25" s="177">
        <f ca="1">SUMIFS(종목관리대장!$R:$R,종목관리대장!$N:$N,"&gt;="&amp;EOMONTH(L$7,-1)+1,종목관리대장!$N:$N,"&lt;="&amp;L$7,종목관리대장!$Q:$Q,$D25)</f>
        <v>21.2</v>
      </c>
      <c r="M25" s="177">
        <f ca="1">SUMIFS(종목관리대장!$R:$R,종목관리대장!$N:$N,"&gt;="&amp;EOMONTH(M$7,-1)+1,종목관리대장!$N:$N,"&lt;="&amp;M$7,종목관리대장!$Q:$Q,$D25)</f>
        <v>3.4</v>
      </c>
      <c r="N25" s="177">
        <f ca="1">SUMIFS(종목관리대장!$R:$R,종목관리대장!$N:$N,"&gt;="&amp;EOMONTH(N$7,-1)+1,종목관리대장!$N:$N,"&lt;="&amp;N$7,종목관리대장!$Q:$Q,$D25)</f>
        <v>2</v>
      </c>
      <c r="O25" s="98">
        <v>0.9</v>
      </c>
      <c r="P25" s="98">
        <f t="shared" si="2"/>
        <v>5.0279329608938564E-2</v>
      </c>
      <c r="Q25" s="218">
        <f t="shared" si="3"/>
        <v>33.868156424581024</v>
      </c>
      <c r="R25" s="219">
        <f>G25-Q25</f>
        <v>-4.2681564245810257</v>
      </c>
      <c r="S25" s="191" t="s">
        <v>6261</v>
      </c>
      <c r="T25" s="205" t="s">
        <v>3657</v>
      </c>
      <c r="U25" s="183"/>
      <c r="V25" s="184">
        <v>3</v>
      </c>
      <c r="W25" s="184"/>
      <c r="X25" s="184"/>
      <c r="AA25" s="118" t="s">
        <v>143</v>
      </c>
      <c r="AC25" s="66"/>
      <c r="AD25" s="67"/>
    </row>
    <row r="26" spans="1:36" ht="14.25" customHeight="1" x14ac:dyDescent="0.3">
      <c r="A26" s="90">
        <f t="shared" si="5"/>
        <v>1.1160926365795718</v>
      </c>
      <c r="B26" s="91">
        <f t="shared" si="6"/>
        <v>3.4949720670390896</v>
      </c>
      <c r="C26" s="271"/>
      <c r="D26" s="215" t="s">
        <v>165</v>
      </c>
      <c r="E26" s="94" t="s">
        <v>166</v>
      </c>
      <c r="F26" s="126">
        <f t="shared" si="0"/>
        <v>1.1160926365795718</v>
      </c>
      <c r="G26" s="216">
        <f>SUMIF(종목관리대장!Q:Q,$D26,종목관리대장!R:R)+SUM($V26:$X26)</f>
        <v>33.6</v>
      </c>
      <c r="H26" s="217">
        <f t="shared" si="1"/>
        <v>4.9881235154394306E-2</v>
      </c>
      <c r="I26" s="177">
        <f ca="1">COUNTIFS(종목관리대장!$N:$N,"&gt;="&amp;EOMONTH(I$7,-1)+1,종목관리대장!$N:$N,"&lt;="&amp;I$7,종목관리대장!$Q:$Q,$D26)</f>
        <v>36</v>
      </c>
      <c r="J26" s="177">
        <f ca="1">COUNTIFS(종목관리대장!$N:$N,"&gt;="&amp;EOMONTH(J$7,-1)+1,종목관리대장!$N:$N,"&lt;="&amp;J$7,종목관리대장!$Q:$Q,$D26)</f>
        <v>2</v>
      </c>
      <c r="K26" s="177">
        <f ca="1">COUNTIFS(종목관리대장!$N:$N,"&gt;="&amp;EOMONTH(K$7,-1)+1,종목관리대장!$N:$N,"&lt;="&amp;K$7,종목관리대장!$Q:$Q,$D26)</f>
        <v>5</v>
      </c>
      <c r="L26" s="177">
        <f ca="1">SUMIFS(종목관리대장!$R:$R,종목관리대장!$N:$N,"&gt;="&amp;EOMONTH(L$7,-1)+1,종목관리대장!$N:$N,"&lt;="&amp;L$7,종목관리대장!$Q:$Q,$D26)</f>
        <v>26.1</v>
      </c>
      <c r="M26" s="177">
        <f ca="1">SUMIFS(종목관리대장!$R:$R,종목관리대장!$N:$N,"&gt;="&amp;EOMONTH(M$7,-1)+1,종목관리대장!$N:$N,"&lt;="&amp;M$7,종목관리대장!$Q:$Q,$D26)</f>
        <v>2</v>
      </c>
      <c r="N26" s="177">
        <f ca="1">SUMIFS(종목관리대장!$R:$R,종목관리대장!$N:$N,"&gt;="&amp;EOMONTH(N$7,-1)+1,종목관리대장!$N:$N,"&lt;="&amp;N$7,종목관리대장!$Q:$Q,$D26)</f>
        <v>5</v>
      </c>
      <c r="O26" s="98">
        <v>0.8</v>
      </c>
      <c r="P26" s="98">
        <f t="shared" si="2"/>
        <v>4.4692737430167613E-2</v>
      </c>
      <c r="Q26" s="218">
        <f t="shared" si="3"/>
        <v>30.105027932960912</v>
      </c>
      <c r="R26" s="219">
        <f t="shared" si="4"/>
        <v>3.4949720670390896</v>
      </c>
      <c r="S26" s="181"/>
      <c r="T26" s="205" t="s">
        <v>3659</v>
      </c>
      <c r="U26" s="183"/>
      <c r="V26" s="184"/>
      <c r="W26" s="184">
        <v>0.5</v>
      </c>
      <c r="X26" s="184"/>
      <c r="AA26" s="118"/>
      <c r="AC26" s="66"/>
      <c r="AD26" s="67"/>
    </row>
    <row r="27" spans="1:36" ht="14.25" customHeight="1" x14ac:dyDescent="0.3">
      <c r="A27" s="90">
        <f t="shared" si="5"/>
        <v>0.92343378859857417</v>
      </c>
      <c r="B27" s="91">
        <f t="shared" si="6"/>
        <v>-2.3050279329609147</v>
      </c>
      <c r="C27" s="271"/>
      <c r="D27" s="215" t="s">
        <v>167</v>
      </c>
      <c r="E27" s="94" t="s">
        <v>166</v>
      </c>
      <c r="F27" s="126">
        <f t="shared" si="0"/>
        <v>0.92343378859857417</v>
      </c>
      <c r="G27" s="216">
        <f>SUMIF(종목관리대장!Q:Q,$D27,종목관리대장!R:R)+SUM($V27:$X27)</f>
        <v>27.799999999999997</v>
      </c>
      <c r="H27" s="217">
        <f t="shared" si="1"/>
        <v>4.1270783847980996E-2</v>
      </c>
      <c r="I27" s="177">
        <f ca="1">COUNTIFS(종목관리대장!$N:$N,"&gt;="&amp;EOMONTH(I$7,-1)+1,종목관리대장!$N:$N,"&lt;="&amp;I$7,종목관리대장!$Q:$Q,$D27)</f>
        <v>30</v>
      </c>
      <c r="J27" s="177">
        <f ca="1">COUNTIFS(종목관리대장!$N:$N,"&gt;="&amp;EOMONTH(J$7,-1)+1,종목관리대장!$N:$N,"&lt;="&amp;J$7,종목관리대장!$Q:$Q,$D27)</f>
        <v>6</v>
      </c>
      <c r="K27" s="177">
        <f ca="1">COUNTIFS(종목관리대장!$N:$N,"&gt;="&amp;EOMONTH(K$7,-1)+1,종목관리대장!$N:$N,"&lt;="&amp;K$7,종목관리대장!$Q:$Q,$D27)</f>
        <v>9</v>
      </c>
      <c r="L27" s="177">
        <f ca="1">SUMIFS(종목관리대장!$R:$R,종목관리대장!$N:$N,"&gt;="&amp;EOMONTH(L$7,-1)+1,종목관리대장!$N:$N,"&lt;="&amp;L$7,종목관리대장!$Q:$Q,$D27)</f>
        <v>17.2</v>
      </c>
      <c r="M27" s="177">
        <f ca="1">SUMIFS(종목관리대장!$R:$R,종목관리대장!$N:$N,"&gt;="&amp;EOMONTH(M$7,-1)+1,종목관리대장!$N:$N,"&lt;="&amp;M$7,종목관리대장!$Q:$Q,$D27)</f>
        <v>4.2</v>
      </c>
      <c r="N27" s="177">
        <f ca="1">SUMIFS(종목관리대장!$R:$R,종목관리대장!$N:$N,"&gt;="&amp;EOMONTH(N$7,-1)+1,종목관리대장!$N:$N,"&lt;="&amp;N$7,종목관리대장!$Q:$Q,$D27)</f>
        <v>5.4</v>
      </c>
      <c r="O27" s="98">
        <v>0.8</v>
      </c>
      <c r="P27" s="98">
        <f t="shared" si="2"/>
        <v>4.4692737430167613E-2</v>
      </c>
      <c r="Q27" s="218">
        <f t="shared" si="3"/>
        <v>30.105027932960912</v>
      </c>
      <c r="R27" s="219">
        <f t="shared" si="4"/>
        <v>-2.3050279329609147</v>
      </c>
      <c r="S27" s="181"/>
      <c r="T27" s="205" t="s">
        <v>3659</v>
      </c>
      <c r="U27" s="183"/>
      <c r="V27" s="184"/>
      <c r="W27" s="184">
        <v>1</v>
      </c>
      <c r="X27" s="184"/>
      <c r="AA27" s="118"/>
      <c r="AC27" s="66"/>
      <c r="AD27" s="67"/>
    </row>
    <row r="28" spans="1:36" ht="14.25" customHeight="1" x14ac:dyDescent="0.3">
      <c r="A28" s="90">
        <f t="shared" si="5"/>
        <v>0.80385243467933432</v>
      </c>
      <c r="B28" s="91">
        <f t="shared" si="6"/>
        <v>-5.9050279329609161</v>
      </c>
      <c r="C28" s="272"/>
      <c r="D28" s="215" t="s">
        <v>3550</v>
      </c>
      <c r="E28" s="94" t="s">
        <v>3595</v>
      </c>
      <c r="F28" s="126">
        <f t="shared" ref="F28:F34" si="8">G28/Q28</f>
        <v>0.80385243467933432</v>
      </c>
      <c r="G28" s="216">
        <f>SUMIF(종목관리대장!Q:Q,$D28,종목관리대장!R:R)+SUM($V28:$X28)</f>
        <v>24.199999999999996</v>
      </c>
      <c r="H28" s="217">
        <f t="shared" si="1"/>
        <v>3.5926365795724467E-2</v>
      </c>
      <c r="I28" s="177">
        <f ca="1">COUNTIFS(종목관리대장!$N:$N,"&gt;="&amp;EOMONTH(I$7,-1)+1,종목관리대장!$N:$N,"&lt;="&amp;I$7,종목관리대장!$Q:$Q,$D28)</f>
        <v>37</v>
      </c>
      <c r="J28" s="177">
        <f ca="1">COUNTIFS(종목관리대장!$N:$N,"&gt;="&amp;EOMONTH(J$7,-1)+1,종목관리대장!$N:$N,"&lt;="&amp;J$7,종목관리대장!$Q:$Q,$D28)</f>
        <v>6</v>
      </c>
      <c r="K28" s="177">
        <f ca="1">COUNTIFS(종목관리대장!$N:$N,"&gt;="&amp;EOMONTH(K$7,-1)+1,종목관리대장!$N:$N,"&lt;="&amp;K$7,종목관리대장!$Q:$Q,$D28)</f>
        <v>1</v>
      </c>
      <c r="L28" s="177">
        <f ca="1">SUMIFS(종목관리대장!$R:$R,종목관리대장!$N:$N,"&gt;="&amp;EOMONTH(L$7,-1)+1,종목관리대장!$N:$N,"&lt;="&amp;L$7,종목관리대장!$Q:$Q,$D28)</f>
        <v>21.4</v>
      </c>
      <c r="M28" s="177">
        <f ca="1">SUMIFS(종목관리대장!$R:$R,종목관리대장!$N:$N,"&gt;="&amp;EOMONTH(M$7,-1)+1,종목관리대장!$N:$N,"&lt;="&amp;M$7,종목관리대장!$Q:$Q,$D28)</f>
        <v>1.7999999999999998</v>
      </c>
      <c r="N28" s="177">
        <f ca="1">SUMIFS(종목관리대장!$R:$R,종목관리대장!$N:$N,"&gt;="&amp;EOMONTH(N$7,-1)+1,종목관리대장!$N:$N,"&lt;="&amp;N$7,종목관리대장!$Q:$Q,$D28)</f>
        <v>1</v>
      </c>
      <c r="O28" s="98">
        <v>0.8</v>
      </c>
      <c r="P28" s="98">
        <f t="shared" si="2"/>
        <v>4.4692737430167613E-2</v>
      </c>
      <c r="Q28" s="218">
        <f t="shared" ref="Q28:Q35" si="9">AB$8*P28</f>
        <v>30.105027932960912</v>
      </c>
      <c r="R28" s="219">
        <f t="shared" ref="R28:R35" si="10">G28-Q28</f>
        <v>-5.9050279329609161</v>
      </c>
      <c r="S28" s="181"/>
      <c r="T28" s="205" t="s">
        <v>4543</v>
      </c>
      <c r="U28" s="183"/>
      <c r="V28" s="184"/>
      <c r="W28" s="184"/>
      <c r="X28" s="184"/>
      <c r="AA28" s="118"/>
      <c r="AC28" s="66"/>
      <c r="AD28" s="67"/>
    </row>
    <row r="29" spans="1:36" ht="14.25" customHeight="1" x14ac:dyDescent="0.3">
      <c r="A29" s="90">
        <f t="shared" ref="A29:A34" si="11">F29</f>
        <v>1.5279839667458419</v>
      </c>
      <c r="B29" s="91">
        <f t="shared" ref="B29:B34" si="12">R29</f>
        <v>7.947486033519537</v>
      </c>
      <c r="C29" s="270" t="s">
        <v>3703</v>
      </c>
      <c r="D29" s="94" t="s">
        <v>86</v>
      </c>
      <c r="E29" s="94" t="s">
        <v>3705</v>
      </c>
      <c r="F29" s="126">
        <f t="shared" si="8"/>
        <v>1.5279839667458419</v>
      </c>
      <c r="G29" s="216">
        <f>SUMIF(종목관리대장!Q:Q,$D29,종목관리대장!R:R)+SUM($V29:$X29)</f>
        <v>22.999999999999993</v>
      </c>
      <c r="H29" s="217">
        <f t="shared" si="1"/>
        <v>3.4144893111638951E-2</v>
      </c>
      <c r="I29" s="177">
        <f ca="1">COUNTIFS(종목관리대장!$N:$N,"&gt;="&amp;EOMONTH(I$7,-1)+1,종목관리대장!$N:$N,"&lt;="&amp;I$7,종목관리대장!$Q:$Q,$D29)</f>
        <v>33</v>
      </c>
      <c r="J29" s="177">
        <f ca="1">COUNTIFS(종목관리대장!$N:$N,"&gt;="&amp;EOMONTH(J$7,-1)+1,종목관리대장!$N:$N,"&lt;="&amp;J$7,종목관리대장!$Q:$Q,$D29)</f>
        <v>11</v>
      </c>
      <c r="K29" s="177">
        <f ca="1">COUNTIFS(종목관리대장!$N:$N,"&gt;="&amp;EOMONTH(K$7,-1)+1,종목관리대장!$N:$N,"&lt;="&amp;K$7,종목관리대장!$Q:$Q,$D29)</f>
        <v>2</v>
      </c>
      <c r="L29" s="177">
        <f ca="1">SUMIFS(종목관리대장!$R:$R,종목관리대장!$N:$N,"&gt;="&amp;EOMONTH(L$7,-1)+1,종목관리대장!$N:$N,"&lt;="&amp;L$7,종목관리대장!$Q:$Q,$D29)</f>
        <v>16.399999999999999</v>
      </c>
      <c r="M29" s="177">
        <f ca="1">SUMIFS(종목관리대장!$R:$R,종목관리대장!$N:$N,"&gt;="&amp;EOMONTH(M$7,-1)+1,종목관리대장!$N:$N,"&lt;="&amp;M$7,종목관리대장!$Q:$Q,$D29)</f>
        <v>4.6000000000000005</v>
      </c>
      <c r="N29" s="177">
        <f ca="1">SUMIFS(종목관리대장!$R:$R,종목관리대장!$N:$N,"&gt;="&amp;EOMONTH(N$7,-1)+1,종목관리대장!$N:$N,"&lt;="&amp;N$7,종목관리대장!$Q:$Q,$D29)</f>
        <v>2</v>
      </c>
      <c r="O29" s="98">
        <v>0.4</v>
      </c>
      <c r="P29" s="98">
        <f t="shared" si="2"/>
        <v>2.2346368715083807E-2</v>
      </c>
      <c r="Q29" s="218">
        <f t="shared" si="9"/>
        <v>15.052513966480456</v>
      </c>
      <c r="R29" s="219">
        <f t="shared" si="10"/>
        <v>7.947486033519537</v>
      </c>
      <c r="S29" s="181"/>
      <c r="T29" s="182"/>
      <c r="U29" s="183"/>
      <c r="V29" s="184"/>
      <c r="W29" s="255"/>
      <c r="X29" s="184"/>
      <c r="AA29" s="117" t="s">
        <v>145</v>
      </c>
      <c r="AC29" s="66"/>
      <c r="AD29" s="67"/>
    </row>
    <row r="30" spans="1:36" ht="14.25" customHeight="1" x14ac:dyDescent="0.3">
      <c r="A30" s="90">
        <f t="shared" si="11"/>
        <v>1.0971114692908035</v>
      </c>
      <c r="B30" s="91">
        <f t="shared" si="12"/>
        <v>2.5581005586592021</v>
      </c>
      <c r="C30" s="271"/>
      <c r="D30" s="215" t="s">
        <v>125</v>
      </c>
      <c r="E30" s="94" t="s">
        <v>3706</v>
      </c>
      <c r="F30" s="126">
        <f t="shared" si="8"/>
        <v>1.0971114692908035</v>
      </c>
      <c r="G30" s="216">
        <f>SUMIF(종목관리대장!Q:Q,$D30,종목관리대장!R:R)+SUM($V30:$X30)</f>
        <v>28.899999999999995</v>
      </c>
      <c r="H30" s="217">
        <f t="shared" si="1"/>
        <v>4.290380047505938E-2</v>
      </c>
      <c r="I30" s="177">
        <f ca="1">COUNTIFS(종목관리대장!$N:$N,"&gt;="&amp;EOMONTH(I$7,-1)+1,종목관리대장!$N:$N,"&lt;="&amp;I$7,종목관리대장!$Q:$Q,$D30)</f>
        <v>36</v>
      </c>
      <c r="J30" s="177">
        <f ca="1">COUNTIFS(종목관리대장!$N:$N,"&gt;="&amp;EOMONTH(J$7,-1)+1,종목관리대장!$N:$N,"&lt;="&amp;J$7,종목관리대장!$Q:$Q,$D30)</f>
        <v>8</v>
      </c>
      <c r="K30" s="177">
        <f ca="1">COUNTIFS(종목관리대장!$N:$N,"&gt;="&amp;EOMONTH(K$7,-1)+1,종목관리대장!$N:$N,"&lt;="&amp;K$7,종목관리대장!$Q:$Q,$D30)</f>
        <v>4</v>
      </c>
      <c r="L30" s="177">
        <f ca="1">SUMIFS(종목관리대장!$R:$R,종목관리대장!$N:$N,"&gt;="&amp;EOMONTH(L$7,-1)+1,종목관리대장!$N:$N,"&lt;="&amp;L$7,종목관리대장!$Q:$Q,$D30)</f>
        <v>15.599999999999998</v>
      </c>
      <c r="M30" s="177">
        <f ca="1">SUMIFS(종목관리대장!$R:$R,종목관리대장!$N:$N,"&gt;="&amp;EOMONTH(M$7,-1)+1,종목관리대장!$N:$N,"&lt;="&amp;M$7,종목관리대장!$Q:$Q,$D30)</f>
        <v>4.8000000000000007</v>
      </c>
      <c r="N30" s="177">
        <f ca="1">SUMIFS(종목관리대장!$R:$R,종목관리대장!$N:$N,"&gt;="&amp;EOMONTH(N$7,-1)+1,종목관리대장!$N:$N,"&lt;="&amp;N$7,종목관리대장!$Q:$Q,$D30)</f>
        <v>4</v>
      </c>
      <c r="O30" s="98">
        <v>0.7</v>
      </c>
      <c r="P30" s="98">
        <f t="shared" si="2"/>
        <v>3.9106145251396655E-2</v>
      </c>
      <c r="Q30" s="218">
        <f t="shared" si="9"/>
        <v>26.341899441340793</v>
      </c>
      <c r="R30" s="219">
        <f t="shared" si="10"/>
        <v>2.5581005586592021</v>
      </c>
      <c r="S30" s="181" t="s">
        <v>4655</v>
      </c>
      <c r="T30" s="185"/>
      <c r="U30" s="183"/>
      <c r="V30" s="184">
        <v>2</v>
      </c>
      <c r="W30" s="184">
        <v>2.5</v>
      </c>
      <c r="X30" s="184"/>
      <c r="AA30" s="65" t="s">
        <v>160</v>
      </c>
      <c r="AC30" s="66"/>
      <c r="AD30" s="67"/>
    </row>
    <row r="31" spans="1:36" ht="14.25" customHeight="1" x14ac:dyDescent="0.3">
      <c r="A31" s="90">
        <f t="shared" si="11"/>
        <v>1.0230849168646077</v>
      </c>
      <c r="B31" s="91">
        <f t="shared" si="12"/>
        <v>0.69497206703909242</v>
      </c>
      <c r="C31" s="271"/>
      <c r="D31" s="220" t="s">
        <v>3506</v>
      </c>
      <c r="E31" s="94" t="s">
        <v>166</v>
      </c>
      <c r="F31" s="126">
        <f t="shared" si="8"/>
        <v>1.0230849168646077</v>
      </c>
      <c r="G31" s="216">
        <f>SUMIF(종목관리대장!Q:Q,$D31,종목관리대장!R:R)+SUM($V31:$X31)</f>
        <v>30.800000000000004</v>
      </c>
      <c r="H31" s="217">
        <f t="shared" si="1"/>
        <v>4.5724465558194788E-2</v>
      </c>
      <c r="I31" s="177">
        <f ca="1">COUNTIFS(종목관리대장!$N:$N,"&gt;="&amp;EOMONTH(I$7,-1)+1,종목관리대장!$N:$N,"&lt;="&amp;I$7,종목관리대장!$Q:$Q,$D31)</f>
        <v>49</v>
      </c>
      <c r="J31" s="177">
        <f ca="1">COUNTIFS(종목관리대장!$N:$N,"&gt;="&amp;EOMONTH(J$7,-1)+1,종목관리대장!$N:$N,"&lt;="&amp;J$7,종목관리대장!$Q:$Q,$D31)</f>
        <v>4</v>
      </c>
      <c r="K31" s="177">
        <f ca="1">COUNTIFS(종목관리대장!$N:$N,"&gt;="&amp;EOMONTH(K$7,-1)+1,종목관리대장!$N:$N,"&lt;="&amp;K$7,종목관리대장!$Q:$Q,$D31)</f>
        <v>6</v>
      </c>
      <c r="L31" s="177">
        <f ca="1">SUMIFS(종목관리대장!$R:$R,종목관리대장!$N:$N,"&gt;="&amp;EOMONTH(L$7,-1)+1,종목관리대장!$N:$N,"&lt;="&amp;L$7,종목관리대장!$Q:$Q,$D31)</f>
        <v>23.400000000000002</v>
      </c>
      <c r="M31" s="177">
        <f ca="1">SUMIFS(종목관리대장!$R:$R,종목관리대장!$N:$N,"&gt;="&amp;EOMONTH(M$7,-1)+1,종목관리대장!$N:$N,"&lt;="&amp;M$7,종목관리대장!$Q:$Q,$D31)</f>
        <v>3.4</v>
      </c>
      <c r="N31" s="177">
        <f ca="1">SUMIFS(종목관리대장!$R:$R,종목관리대장!$N:$N,"&gt;="&amp;EOMONTH(N$7,-1)+1,종목관리대장!$N:$N,"&lt;="&amp;N$7,종목관리대장!$Q:$Q,$D31)</f>
        <v>4</v>
      </c>
      <c r="O31" s="98">
        <v>0.8</v>
      </c>
      <c r="P31" s="98">
        <f t="shared" si="2"/>
        <v>4.4692737430167613E-2</v>
      </c>
      <c r="Q31" s="218">
        <f t="shared" si="9"/>
        <v>30.105027932960912</v>
      </c>
      <c r="R31" s="219">
        <f t="shared" si="10"/>
        <v>0.69497206703909242</v>
      </c>
      <c r="S31" s="181"/>
      <c r="T31" s="205" t="s">
        <v>3660</v>
      </c>
      <c r="U31" s="183"/>
      <c r="V31" s="184"/>
      <c r="W31" s="184"/>
      <c r="X31" s="184"/>
      <c r="AA31" s="117"/>
      <c r="AC31" s="66"/>
      <c r="AD31" s="67"/>
    </row>
    <row r="32" spans="1:36" ht="14.25" customHeight="1" x14ac:dyDescent="0.3">
      <c r="A32" s="90">
        <f t="shared" si="11"/>
        <v>0.9832244655581942</v>
      </c>
      <c r="B32" s="91">
        <f t="shared" si="12"/>
        <v>-0.44189944134079795</v>
      </c>
      <c r="C32" s="271"/>
      <c r="D32" s="215" t="s">
        <v>3586</v>
      </c>
      <c r="E32" s="94" t="s">
        <v>127</v>
      </c>
      <c r="F32" s="126">
        <f t="shared" si="8"/>
        <v>0.9832244655581942</v>
      </c>
      <c r="G32" s="216">
        <f>SUMIF(종목관리대장!Q:Q,$D32,종목관리대장!R:R)+SUM($V32:$X32)</f>
        <v>25.899999999999995</v>
      </c>
      <c r="H32" s="217">
        <f t="shared" si="1"/>
        <v>3.8450118764845602E-2</v>
      </c>
      <c r="I32" s="177">
        <f ca="1">COUNTIFS(종목관리대장!$N:$N,"&gt;="&amp;EOMONTH(I$7,-1)+1,종목관리대장!$N:$N,"&lt;="&amp;I$7,종목관리대장!$Q:$Q,$D32)</f>
        <v>33</v>
      </c>
      <c r="J32" s="177">
        <f ca="1">COUNTIFS(종목관리대장!$N:$N,"&gt;="&amp;EOMONTH(J$7,-1)+1,종목관리대장!$N:$N,"&lt;="&amp;J$7,종목관리대장!$Q:$Q,$D32)</f>
        <v>7</v>
      </c>
      <c r="K32" s="177">
        <f ca="1">COUNTIFS(종목관리대장!$N:$N,"&gt;="&amp;EOMONTH(K$7,-1)+1,종목관리대장!$N:$N,"&lt;="&amp;K$7,종목관리대장!$Q:$Q,$D32)</f>
        <v>3</v>
      </c>
      <c r="L32" s="177">
        <f ca="1">SUMIFS(종목관리대장!$R:$R,종목관리대장!$N:$N,"&gt;="&amp;EOMONTH(L$7,-1)+1,종목관리대장!$N:$N,"&lt;="&amp;L$7,종목관리대장!$Q:$Q,$D32)</f>
        <v>20.3</v>
      </c>
      <c r="M32" s="177">
        <f ca="1">SUMIFS(종목관리대장!$R:$R,종목관리대장!$N:$N,"&gt;="&amp;EOMONTH(M$7,-1)+1,종목관리대장!$N:$N,"&lt;="&amp;M$7,종목관리대장!$Q:$Q,$D32)</f>
        <v>3.5999999999999996</v>
      </c>
      <c r="N32" s="177">
        <f ca="1">SUMIFS(종목관리대장!$R:$R,종목관리대장!$N:$N,"&gt;="&amp;EOMONTH(N$7,-1)+1,종목관리대장!$N:$N,"&lt;="&amp;N$7,종목관리대장!$Q:$Q,$D32)</f>
        <v>2</v>
      </c>
      <c r="O32" s="98">
        <v>0.7</v>
      </c>
      <c r="P32" s="98">
        <f t="shared" si="2"/>
        <v>3.9106145251396655E-2</v>
      </c>
      <c r="Q32" s="218">
        <f t="shared" si="9"/>
        <v>26.341899441340793</v>
      </c>
      <c r="R32" s="219">
        <f t="shared" si="10"/>
        <v>-0.44189944134079795</v>
      </c>
      <c r="S32" s="181"/>
      <c r="T32" s="182" t="s">
        <v>4548</v>
      </c>
      <c r="U32" s="183"/>
      <c r="V32" s="184"/>
      <c r="W32" s="184"/>
      <c r="X32" s="184"/>
      <c r="AA32" s="75"/>
      <c r="AC32" s="66"/>
      <c r="AD32" s="67"/>
    </row>
    <row r="33" spans="1:36" ht="14.25" customHeight="1" x14ac:dyDescent="0.3">
      <c r="A33" s="90">
        <f t="shared" si="11"/>
        <v>0.90350356294536771</v>
      </c>
      <c r="B33" s="91">
        <f t="shared" si="12"/>
        <v>-2.5418994413407958</v>
      </c>
      <c r="C33" s="271"/>
      <c r="D33" s="215" t="s">
        <v>3587</v>
      </c>
      <c r="E33" s="94" t="s">
        <v>3639</v>
      </c>
      <c r="F33" s="126">
        <f t="shared" si="8"/>
        <v>0.90350356294536771</v>
      </c>
      <c r="G33" s="216">
        <f>SUMIF(종목관리대장!Q:Q,$D33,종목관리대장!R:R)+SUM($V33:$X33)</f>
        <v>23.799999999999997</v>
      </c>
      <c r="H33" s="217">
        <f t="shared" si="1"/>
        <v>3.5332541567695962E-2</v>
      </c>
      <c r="I33" s="177">
        <f ca="1">COUNTIFS(종목관리대장!$N:$N,"&gt;="&amp;EOMONTH(I$7,-1)+1,종목관리대장!$N:$N,"&lt;="&amp;I$7,종목관리대장!$Q:$Q,$D33)</f>
        <v>26</v>
      </c>
      <c r="J33" s="177">
        <f ca="1">COUNTIFS(종목관리대장!$N:$N,"&gt;="&amp;EOMONTH(J$7,-1)+1,종목관리대장!$N:$N,"&lt;="&amp;J$7,종목관리대장!$Q:$Q,$D33)</f>
        <v>7</v>
      </c>
      <c r="K33" s="177">
        <f ca="1">COUNTIFS(종목관리대장!$N:$N,"&gt;="&amp;EOMONTH(K$7,-1)+1,종목관리대장!$N:$N,"&lt;="&amp;K$7,종목관리대장!$Q:$Q,$D33)</f>
        <v>3</v>
      </c>
      <c r="L33" s="177">
        <f ca="1">SUMIFS(종목관리대장!$R:$R,종목관리대장!$N:$N,"&gt;="&amp;EOMONTH(L$7,-1)+1,종목관리대장!$N:$N,"&lt;="&amp;L$7,종목관리대장!$Q:$Q,$D33)</f>
        <v>17.399999999999999</v>
      </c>
      <c r="M33" s="177">
        <f ca="1">SUMIFS(종목관리대장!$R:$R,종목관리대장!$N:$N,"&gt;="&amp;EOMONTH(M$7,-1)+1,종목관리대장!$N:$N,"&lt;="&amp;M$7,종목관리대장!$Q:$Q,$D33)</f>
        <v>4.4000000000000004</v>
      </c>
      <c r="N33" s="177">
        <f ca="1">SUMIFS(종목관리대장!$R:$R,종목관리대장!$N:$N,"&gt;="&amp;EOMONTH(N$7,-1)+1,종목관리대장!$N:$N,"&lt;="&amp;N$7,종목관리대장!$Q:$Q,$D33)</f>
        <v>2</v>
      </c>
      <c r="O33" s="98">
        <v>0.7</v>
      </c>
      <c r="P33" s="98">
        <f t="shared" si="2"/>
        <v>3.9106145251396655E-2</v>
      </c>
      <c r="Q33" s="218">
        <f t="shared" si="9"/>
        <v>26.341899441340793</v>
      </c>
      <c r="R33" s="219">
        <f t="shared" si="10"/>
        <v>-2.5418994413407958</v>
      </c>
      <c r="S33" s="181"/>
      <c r="T33" s="182" t="s">
        <v>3593</v>
      </c>
      <c r="U33" s="183"/>
      <c r="V33" s="184"/>
      <c r="W33" s="184"/>
      <c r="X33" s="184"/>
      <c r="AC33" s="66"/>
      <c r="AD33" s="67"/>
    </row>
    <row r="34" spans="1:36" ht="14.25" customHeight="1" x14ac:dyDescent="0.3">
      <c r="A34" s="90">
        <f t="shared" si="11"/>
        <v>0.97436658749010263</v>
      </c>
      <c r="B34" s="91">
        <f t="shared" si="12"/>
        <v>-0.57877094972067766</v>
      </c>
      <c r="C34" s="272"/>
      <c r="D34" s="215" t="s">
        <v>3753</v>
      </c>
      <c r="E34" s="94" t="s">
        <v>4608</v>
      </c>
      <c r="F34" s="126">
        <f t="shared" si="8"/>
        <v>0.97436658749010263</v>
      </c>
      <c r="G34" s="216">
        <f>SUMIF(종목관리대장!Q:Q,$D34,종목관리대장!R:R)+SUM($V34:$X34)</f>
        <v>22</v>
      </c>
      <c r="H34" s="217">
        <f t="shared" si="1"/>
        <v>3.2660332541567701E-2</v>
      </c>
      <c r="I34" s="177">
        <f ca="1">COUNTIFS(종목관리대장!$N:$N,"&gt;="&amp;EOMONTH(I$7,-1)+1,종목관리대장!$N:$N,"&lt;="&amp;I$7,종목관리대장!$Q:$Q,$D34)</f>
        <v>19</v>
      </c>
      <c r="J34" s="177">
        <f ca="1">COUNTIFS(종목관리대장!$N:$N,"&gt;="&amp;EOMONTH(J$7,-1)+1,종목관리대장!$N:$N,"&lt;="&amp;J$7,종목관리대장!$Q:$Q,$D34)</f>
        <v>5</v>
      </c>
      <c r="K34" s="177">
        <f ca="1">COUNTIFS(종목관리대장!$N:$N,"&gt;="&amp;EOMONTH(K$7,-1)+1,종목관리대장!$N:$N,"&lt;="&amp;K$7,종목관리대장!$Q:$Q,$D34)</f>
        <v>8</v>
      </c>
      <c r="L34" s="177">
        <f ca="1">SUMIFS(종목관리대장!$R:$R,종목관리대장!$N:$N,"&gt;="&amp;EOMONTH(L$7,-1)+1,종목관리대장!$N:$N,"&lt;="&amp;L$7,종목관리대장!$Q:$Q,$D34)</f>
        <v>15.6</v>
      </c>
      <c r="M34" s="177">
        <f ca="1">SUMIFS(종목관리대장!$R:$R,종목관리대장!$N:$N,"&gt;="&amp;EOMONTH(M$7,-1)+1,종목관리대장!$N:$N,"&lt;="&amp;M$7,종목관리대장!$Q:$Q,$D34)</f>
        <v>2.4</v>
      </c>
      <c r="N34" s="177">
        <f ca="1">SUMIFS(종목관리대장!$R:$R,종목관리대장!$N:$N,"&gt;="&amp;EOMONTH(N$7,-1)+1,종목관리대장!$N:$N,"&lt;="&amp;N$7,종목관리대장!$Q:$Q,$D34)</f>
        <v>4</v>
      </c>
      <c r="O34" s="98">
        <v>0.6</v>
      </c>
      <c r="P34" s="98">
        <f t="shared" si="2"/>
        <v>3.3519553072625705E-2</v>
      </c>
      <c r="Q34" s="218">
        <f t="shared" si="9"/>
        <v>22.578770949720678</v>
      </c>
      <c r="R34" s="219">
        <f t="shared" si="10"/>
        <v>-0.57877094972067766</v>
      </c>
      <c r="S34" s="181"/>
      <c r="T34" s="182" t="s">
        <v>3754</v>
      </c>
      <c r="U34" s="183"/>
      <c r="V34" s="184"/>
      <c r="W34" s="184"/>
      <c r="X34" s="184"/>
      <c r="AC34" s="66"/>
      <c r="AD34" s="67"/>
    </row>
    <row r="35" spans="1:36" ht="14.25" customHeight="1" x14ac:dyDescent="0.3">
      <c r="A35" s="90" t="e">
        <f t="shared" si="5"/>
        <v>#DIV/0!</v>
      </c>
      <c r="B35" s="91">
        <f t="shared" si="6"/>
        <v>0</v>
      </c>
      <c r="C35" s="178"/>
      <c r="D35" s="107" t="s">
        <v>3546</v>
      </c>
      <c r="E35" s="94" t="s">
        <v>152</v>
      </c>
      <c r="F35" s="95" t="e">
        <f t="shared" si="0"/>
        <v>#DIV/0!</v>
      </c>
      <c r="G35" s="96">
        <f>SUMIF(종목관리대장!Q:Q,$D35,종목관리대장!R:R)+SUM($V35:$X35)</f>
        <v>0</v>
      </c>
      <c r="H35" s="189">
        <f t="shared" si="1"/>
        <v>0</v>
      </c>
      <c r="I35" s="177">
        <f ca="1">COUNTIFS(종목관리대장!$N:$N,"&gt;="&amp;EOMONTH(I$7,-1)+1,종목관리대장!$N:$N,"&lt;="&amp;I$7,종목관리대장!$Q:$Q,$D35)</f>
        <v>0</v>
      </c>
      <c r="J35" s="177">
        <f ca="1">COUNTIFS(종목관리대장!$N:$N,"&gt;="&amp;EOMONTH(J$7,-1)+1,종목관리대장!$N:$N,"&lt;="&amp;J$7,종목관리대장!$Q:$Q,$D35)</f>
        <v>0</v>
      </c>
      <c r="K35" s="177">
        <f ca="1">COUNTIFS(종목관리대장!$N:$N,"&gt;="&amp;EOMONTH(K$7,-1)+1,종목관리대장!$N:$N,"&lt;="&amp;K$7,종목관리대장!$Q:$Q,$D35)</f>
        <v>0</v>
      </c>
      <c r="L35" s="177">
        <f ca="1">SUMIFS(종목관리대장!$R:$R,종목관리대장!$N:$N,"&gt;="&amp;EOMONTH(L$7,-1)+1,종목관리대장!$N:$N,"&lt;="&amp;L$7,종목관리대장!$Q:$Q,$D35)</f>
        <v>0</v>
      </c>
      <c r="M35" s="177">
        <f ca="1">SUMIFS(종목관리대장!$R:$R,종목관리대장!$N:$N,"&gt;="&amp;EOMONTH(M$7,-1)+1,종목관리대장!$N:$N,"&lt;="&amp;M$7,종목관리대장!$Q:$Q,$D35)</f>
        <v>0</v>
      </c>
      <c r="N35" s="177">
        <f ca="1">SUMIFS(종목관리대장!$R:$R,종목관리대장!$N:$N,"&gt;="&amp;EOMONTH(N$7,-1)+1,종목관리대장!$N:$N,"&lt;="&amp;N$7,종목관리대장!$Q:$Q,$D35)</f>
        <v>0</v>
      </c>
      <c r="O35" s="98">
        <v>0</v>
      </c>
      <c r="P35" s="93">
        <f t="shared" si="2"/>
        <v>0</v>
      </c>
      <c r="Q35" s="99">
        <f t="shared" si="9"/>
        <v>0</v>
      </c>
      <c r="R35" s="100">
        <f t="shared" si="10"/>
        <v>0</v>
      </c>
      <c r="S35" s="181"/>
      <c r="T35" s="205" t="s">
        <v>3613</v>
      </c>
      <c r="U35" s="103"/>
      <c r="V35" s="104"/>
      <c r="W35" s="104"/>
      <c r="X35" s="104"/>
      <c r="AC35" s="66"/>
      <c r="AD35" s="67"/>
    </row>
    <row r="36" spans="1:36" ht="14.25" hidden="1" customHeight="1" x14ac:dyDescent="0.3">
      <c r="A36" s="90">
        <f t="shared" si="5"/>
        <v>0</v>
      </c>
      <c r="B36" s="91">
        <f t="shared" si="6"/>
        <v>-18.815642458100569</v>
      </c>
      <c r="C36" s="178"/>
      <c r="D36" s="107" t="s">
        <v>71</v>
      </c>
      <c r="E36" s="94" t="s">
        <v>171</v>
      </c>
      <c r="F36" s="95">
        <f t="shared" si="0"/>
        <v>0</v>
      </c>
      <c r="G36" s="96">
        <f>SUMIF(종목관리대장!Q:Q,$D36,종목관리대장!R:R)+SUM($V36:$X36)</f>
        <v>0</v>
      </c>
      <c r="H36" s="189">
        <f t="shared" si="1"/>
        <v>0</v>
      </c>
      <c r="I36" s="177">
        <f ca="1">COUNTIFS(종목관리대장!$N:$N,"&gt;="&amp;EOMONTH(I$7,-1)+1,종목관리대장!$N:$N,"&lt;="&amp;I$7,종목관리대장!$Q:$Q,$D36)</f>
        <v>0</v>
      </c>
      <c r="J36" s="177">
        <f ca="1">COUNTIFS(종목관리대장!$N:$N,"&gt;="&amp;EOMONTH(J$7,-1)+1,종목관리대장!$N:$N,"&lt;="&amp;J$7,종목관리대장!$Q:$Q,$D36)</f>
        <v>0</v>
      </c>
      <c r="K36" s="177">
        <f ca="1">COUNTIFS(종목관리대장!$N:$N,"&gt;="&amp;EOMONTH(K$7,-1)+1,종목관리대장!$N:$N,"&lt;="&amp;K$7,종목관리대장!$Q:$Q,$D36)</f>
        <v>0</v>
      </c>
      <c r="L36" s="177">
        <f ca="1">SUMIFS(종목관리대장!$R:$R,종목관리대장!$N:$N,"&gt;="&amp;EOMONTH(L$7,-1)+1,종목관리대장!$N:$N,"&lt;="&amp;L$7,종목관리대장!$Q:$Q,$D36)</f>
        <v>0</v>
      </c>
      <c r="M36" s="177">
        <f ca="1">SUMIFS(종목관리대장!$R:$R,종목관리대장!$N:$N,"&gt;="&amp;EOMONTH(M$7,-1)+1,종목관리대장!$N:$N,"&lt;="&amp;M$7,종목관리대장!$Q:$Q,$D36)</f>
        <v>0</v>
      </c>
      <c r="N36" s="177">
        <f ca="1">SUMIFS(종목관리대장!$R:$R,종목관리대장!$N:$N,"&gt;="&amp;EOMONTH(N$7,-1)+1,종목관리대장!$N:$N,"&lt;="&amp;N$7,종목관리대장!$Q:$Q,$D36)</f>
        <v>0</v>
      </c>
      <c r="O36" s="98">
        <v>0.5</v>
      </c>
      <c r="P36" s="93">
        <f t="shared" si="2"/>
        <v>2.7932960893854757E-2</v>
      </c>
      <c r="Q36" s="99">
        <f>AB$8*P36</f>
        <v>18.815642458100569</v>
      </c>
      <c r="R36" s="100">
        <f t="shared" si="4"/>
        <v>-18.815642458100569</v>
      </c>
      <c r="S36" s="101"/>
      <c r="T36" s="102"/>
      <c r="U36" s="103" t="s">
        <v>3511</v>
      </c>
      <c r="V36" s="104"/>
      <c r="W36" s="104"/>
      <c r="X36" s="104"/>
      <c r="AC36" s="66"/>
      <c r="AD36" s="67"/>
    </row>
    <row r="37" spans="1:36" ht="14.25" hidden="1" customHeight="1" x14ac:dyDescent="0.3">
      <c r="A37" s="90">
        <f t="shared" si="5"/>
        <v>0</v>
      </c>
      <c r="B37" s="91">
        <f t="shared" si="6"/>
        <v>-33.868156424581024</v>
      </c>
      <c r="C37" s="98"/>
      <c r="D37" s="107" t="s">
        <v>172</v>
      </c>
      <c r="E37" s="94" t="s">
        <v>173</v>
      </c>
      <c r="F37" s="95">
        <f t="shared" si="0"/>
        <v>0</v>
      </c>
      <c r="G37" s="96">
        <f>SUMIF(종목관리대장!Q:Q,$D37,종목관리대장!R:R)+SUM($V37:$X37)</f>
        <v>0</v>
      </c>
      <c r="H37" s="189">
        <f t="shared" si="1"/>
        <v>0</v>
      </c>
      <c r="I37" s="177">
        <f ca="1">COUNTIFS(종목관리대장!$N:$N,"&gt;="&amp;EOMONTH(I$7,-1)+1,종목관리대장!$N:$N,"&lt;="&amp;I$7,종목관리대장!$Q:$Q,$D37)</f>
        <v>0</v>
      </c>
      <c r="J37" s="177">
        <f ca="1">COUNTIFS(종목관리대장!$N:$N,"&gt;="&amp;EOMONTH(J$7,-1)+1,종목관리대장!$N:$N,"&lt;="&amp;J$7,종목관리대장!$Q:$Q,$D37)</f>
        <v>0</v>
      </c>
      <c r="K37" s="177">
        <f ca="1">COUNTIFS(종목관리대장!$N:$N,"&gt;="&amp;EOMONTH(K$7,-1)+1,종목관리대장!$N:$N,"&lt;="&amp;K$7,종목관리대장!$Q:$Q,$D37)</f>
        <v>0</v>
      </c>
      <c r="L37" s="177">
        <f ca="1">SUMIFS(종목관리대장!$R:$R,종목관리대장!$N:$N,"&gt;="&amp;EOMONTH(L$7,-1)+1,종목관리대장!$N:$N,"&lt;="&amp;L$7,종목관리대장!$Q:$Q,$D37)</f>
        <v>0</v>
      </c>
      <c r="M37" s="177">
        <f ca="1">SUMIFS(종목관리대장!$R:$R,종목관리대장!$N:$N,"&gt;="&amp;EOMONTH(M$7,-1)+1,종목관리대장!$N:$N,"&lt;="&amp;M$7,종목관리대장!$Q:$Q,$D37)</f>
        <v>0</v>
      </c>
      <c r="N37" s="177">
        <f ca="1">SUMIFS(종목관리대장!$R:$R,종목관리대장!$N:$N,"&gt;="&amp;EOMONTH(N$7,-1)+1,종목관리대장!$N:$N,"&lt;="&amp;N$7,종목관리대장!$Q:$Q,$D37)</f>
        <v>0</v>
      </c>
      <c r="O37" s="98">
        <v>0.9</v>
      </c>
      <c r="P37" s="93">
        <f t="shared" si="2"/>
        <v>5.0279329608938564E-2</v>
      </c>
      <c r="Q37" s="99">
        <f>AB$8*P37</f>
        <v>33.868156424581024</v>
      </c>
      <c r="R37" s="100">
        <f t="shared" si="4"/>
        <v>-33.868156424581024</v>
      </c>
      <c r="S37" s="101"/>
      <c r="T37" s="102"/>
      <c r="U37" s="103" t="s">
        <v>3511</v>
      </c>
      <c r="V37" s="104"/>
      <c r="W37" s="104"/>
      <c r="X37" s="104"/>
      <c r="AC37" s="66"/>
      <c r="AD37" s="67"/>
    </row>
    <row r="38" spans="1:36" ht="14.25" hidden="1" customHeight="1" x14ac:dyDescent="0.3">
      <c r="A38" s="90">
        <f t="shared" si="5"/>
        <v>0</v>
      </c>
      <c r="B38" s="91">
        <f t="shared" si="6"/>
        <v>-33.868156424581024</v>
      </c>
      <c r="C38" s="98"/>
      <c r="D38" s="107" t="s">
        <v>174</v>
      </c>
      <c r="E38" s="94" t="s">
        <v>147</v>
      </c>
      <c r="F38" s="95">
        <f t="shared" si="0"/>
        <v>0</v>
      </c>
      <c r="G38" s="96">
        <f>SUMIF(종목관리대장!Q:Q,$D38,종목관리대장!R:R)+SUM($V38:$X38)</f>
        <v>0</v>
      </c>
      <c r="H38" s="189">
        <f t="shared" si="1"/>
        <v>0</v>
      </c>
      <c r="I38" s="177">
        <f ca="1">COUNTIFS(종목관리대장!$N:$N,"&gt;="&amp;EOMONTH(I$7,-1)+1,종목관리대장!$N:$N,"&lt;="&amp;I$7,종목관리대장!$Q:$Q,$D38)</f>
        <v>0</v>
      </c>
      <c r="J38" s="177">
        <f ca="1">COUNTIFS(종목관리대장!$N:$N,"&gt;="&amp;EOMONTH(J$7,-1)+1,종목관리대장!$N:$N,"&lt;="&amp;J$7,종목관리대장!$Q:$Q,$D38)</f>
        <v>0</v>
      </c>
      <c r="K38" s="177">
        <f ca="1">COUNTIFS(종목관리대장!$N:$N,"&gt;="&amp;EOMONTH(K$7,-1)+1,종목관리대장!$N:$N,"&lt;="&amp;K$7,종목관리대장!$Q:$Q,$D38)</f>
        <v>0</v>
      </c>
      <c r="L38" s="177">
        <f ca="1">SUMIFS(종목관리대장!$R:$R,종목관리대장!$N:$N,"&gt;="&amp;EOMONTH(L$7,-1)+1,종목관리대장!$N:$N,"&lt;="&amp;L$7,종목관리대장!$Q:$Q,$D38)</f>
        <v>0</v>
      </c>
      <c r="M38" s="177">
        <f ca="1">SUMIFS(종목관리대장!$R:$R,종목관리대장!$N:$N,"&gt;="&amp;EOMONTH(M$7,-1)+1,종목관리대장!$N:$N,"&lt;="&amp;M$7,종목관리대장!$Q:$Q,$D38)</f>
        <v>0</v>
      </c>
      <c r="N38" s="177">
        <f ca="1">SUMIFS(종목관리대장!$R:$R,종목관리대장!$N:$N,"&gt;="&amp;EOMONTH(N$7,-1)+1,종목관리대장!$N:$N,"&lt;="&amp;N$7,종목관리대장!$Q:$Q,$D38)</f>
        <v>0</v>
      </c>
      <c r="O38" s="98">
        <v>0.9</v>
      </c>
      <c r="P38" s="93">
        <f t="shared" si="2"/>
        <v>5.0279329608938564E-2</v>
      </c>
      <c r="Q38" s="99">
        <f>AB$8*P38</f>
        <v>33.868156424581024</v>
      </c>
      <c r="R38" s="100">
        <f t="shared" si="4"/>
        <v>-33.868156424581024</v>
      </c>
      <c r="S38" s="101"/>
      <c r="T38" s="121"/>
      <c r="U38" s="103" t="s">
        <v>3511</v>
      </c>
      <c r="V38" s="104"/>
      <c r="W38" s="104"/>
      <c r="X38" s="104"/>
      <c r="AC38" s="66"/>
      <c r="AD38" s="67"/>
    </row>
    <row r="39" spans="1:36" ht="14.25" hidden="1" customHeight="1" x14ac:dyDescent="0.3">
      <c r="A39" s="90">
        <f t="shared" si="5"/>
        <v>0</v>
      </c>
      <c r="B39" s="91">
        <f t="shared" si="6"/>
        <v>-30.105027932960912</v>
      </c>
      <c r="C39" s="98"/>
      <c r="D39" s="107" t="s">
        <v>175</v>
      </c>
      <c r="E39" s="94" t="s">
        <v>152</v>
      </c>
      <c r="F39" s="95">
        <f t="shared" si="0"/>
        <v>0</v>
      </c>
      <c r="G39" s="96">
        <f>SUMIF(종목관리대장!Q:Q,$D39,종목관리대장!R:R)+SUM($V39:$X39)</f>
        <v>0</v>
      </c>
      <c r="H39" s="189">
        <f t="shared" si="1"/>
        <v>0</v>
      </c>
      <c r="I39" s="177">
        <f ca="1">COUNTIFS(종목관리대장!$N:$N,"&gt;="&amp;EOMONTH(I$7,-1)+1,종목관리대장!$N:$N,"&lt;="&amp;I$7,종목관리대장!$Q:$Q,$D39)</f>
        <v>0</v>
      </c>
      <c r="J39" s="177">
        <f ca="1">COUNTIFS(종목관리대장!$N:$N,"&gt;="&amp;EOMONTH(J$7,-1)+1,종목관리대장!$N:$N,"&lt;="&amp;J$7,종목관리대장!$Q:$Q,$D39)</f>
        <v>0</v>
      </c>
      <c r="K39" s="177">
        <f ca="1">COUNTIFS(종목관리대장!$N:$N,"&gt;="&amp;EOMONTH(K$7,-1)+1,종목관리대장!$N:$N,"&lt;="&amp;K$7,종목관리대장!$Q:$Q,$D39)</f>
        <v>0</v>
      </c>
      <c r="L39" s="177">
        <f ca="1">SUMIFS(종목관리대장!$R:$R,종목관리대장!$N:$N,"&gt;="&amp;EOMONTH(L$7,-1)+1,종목관리대장!$N:$N,"&lt;="&amp;L$7,종목관리대장!$Q:$Q,$D39)</f>
        <v>0</v>
      </c>
      <c r="M39" s="177">
        <f ca="1">SUMIFS(종목관리대장!$R:$R,종목관리대장!$N:$N,"&gt;="&amp;EOMONTH(M$7,-1)+1,종목관리대장!$N:$N,"&lt;="&amp;M$7,종목관리대장!$Q:$Q,$D39)</f>
        <v>0</v>
      </c>
      <c r="N39" s="177">
        <f ca="1">SUMIFS(종목관리대장!$R:$R,종목관리대장!$N:$N,"&gt;="&amp;EOMONTH(N$7,-1)+1,종목관리대장!$N:$N,"&lt;="&amp;N$7,종목관리대장!$Q:$Q,$D39)</f>
        <v>0</v>
      </c>
      <c r="O39" s="98">
        <v>0.8</v>
      </c>
      <c r="P39" s="93">
        <f t="shared" si="2"/>
        <v>4.4692737430167613E-2</v>
      </c>
      <c r="Q39" s="99">
        <f t="shared" ref="Q39:Q56" si="13">AB$8*P39</f>
        <v>30.105027932960912</v>
      </c>
      <c r="R39" s="100">
        <f t="shared" si="4"/>
        <v>-30.105027932960912</v>
      </c>
      <c r="S39" s="101"/>
      <c r="T39" s="102"/>
      <c r="U39" s="103" t="s">
        <v>3511</v>
      </c>
      <c r="V39" s="104"/>
      <c r="W39" s="104"/>
      <c r="X39" s="104"/>
      <c r="AA39" s="119"/>
      <c r="AB39" s="119"/>
      <c r="AC39" s="119"/>
      <c r="AD39" s="67"/>
    </row>
    <row r="40" spans="1:36" ht="14.25" hidden="1" customHeight="1" x14ac:dyDescent="0.3">
      <c r="A40" s="90">
        <f t="shared" si="5"/>
        <v>0</v>
      </c>
      <c r="B40" s="91">
        <f t="shared" si="6"/>
        <v>-30.105027932960912</v>
      </c>
      <c r="C40" s="98"/>
      <c r="D40" s="107" t="s">
        <v>176</v>
      </c>
      <c r="E40" s="94" t="s">
        <v>144</v>
      </c>
      <c r="F40" s="95">
        <f t="shared" si="0"/>
        <v>0</v>
      </c>
      <c r="G40" s="96">
        <f>SUMIF(종목관리대장!Q:Q,$D40,종목관리대장!R:R)+SUM($V40:$X40)</f>
        <v>0</v>
      </c>
      <c r="H40" s="189">
        <f t="shared" ref="H40:H71" si="14">G40/$G$74</f>
        <v>0</v>
      </c>
      <c r="I40" s="177">
        <f ca="1">COUNTIFS(종목관리대장!$N:$N,"&gt;="&amp;EOMONTH(I$7,-1)+1,종목관리대장!$N:$N,"&lt;="&amp;I$7,종목관리대장!$Q:$Q,$D40)</f>
        <v>0</v>
      </c>
      <c r="J40" s="177">
        <f ca="1">COUNTIFS(종목관리대장!$N:$N,"&gt;="&amp;EOMONTH(J$7,-1)+1,종목관리대장!$N:$N,"&lt;="&amp;J$7,종목관리대장!$Q:$Q,$D40)</f>
        <v>0</v>
      </c>
      <c r="K40" s="177">
        <f ca="1">COUNTIFS(종목관리대장!$N:$N,"&gt;="&amp;EOMONTH(K$7,-1)+1,종목관리대장!$N:$N,"&lt;="&amp;K$7,종목관리대장!$Q:$Q,$D40)</f>
        <v>0</v>
      </c>
      <c r="L40" s="177">
        <f ca="1">SUMIFS(종목관리대장!$R:$R,종목관리대장!$N:$N,"&gt;="&amp;EOMONTH(L$7,-1)+1,종목관리대장!$N:$N,"&lt;="&amp;L$7,종목관리대장!$Q:$Q,$D40)</f>
        <v>0</v>
      </c>
      <c r="M40" s="177">
        <f ca="1">SUMIFS(종목관리대장!$R:$R,종목관리대장!$N:$N,"&gt;="&amp;EOMONTH(M$7,-1)+1,종목관리대장!$N:$N,"&lt;="&amp;M$7,종목관리대장!$Q:$Q,$D40)</f>
        <v>0</v>
      </c>
      <c r="N40" s="177">
        <f ca="1">SUMIFS(종목관리대장!$R:$R,종목관리대장!$N:$N,"&gt;="&amp;EOMONTH(N$7,-1)+1,종목관리대장!$N:$N,"&lt;="&amp;N$7,종목관리대장!$Q:$Q,$D40)</f>
        <v>0</v>
      </c>
      <c r="O40" s="98">
        <v>0.8</v>
      </c>
      <c r="P40" s="93">
        <f t="shared" ref="P40:P71" si="15">O40/O$74</f>
        <v>4.4692737430167613E-2</v>
      </c>
      <c r="Q40" s="99">
        <f t="shared" si="13"/>
        <v>30.105027932960912</v>
      </c>
      <c r="R40" s="100">
        <f t="shared" si="4"/>
        <v>-30.105027932960912</v>
      </c>
      <c r="S40" s="101"/>
      <c r="T40" s="102"/>
      <c r="U40" s="103" t="s">
        <v>3511</v>
      </c>
      <c r="V40" s="104"/>
      <c r="W40" s="104"/>
      <c r="X40" s="104"/>
      <c r="AA40" s="119"/>
      <c r="AB40" s="119"/>
      <c r="AC40" s="119"/>
      <c r="AD40" s="67"/>
      <c r="AG40" s="67"/>
    </row>
    <row r="41" spans="1:36" ht="14.25" hidden="1" customHeight="1" x14ac:dyDescent="0.3">
      <c r="A41" s="90">
        <f t="shared" si="5"/>
        <v>0</v>
      </c>
      <c r="B41" s="91">
        <f t="shared" si="6"/>
        <v>-7.526256983240228</v>
      </c>
      <c r="C41" s="98"/>
      <c r="D41" s="98" t="s">
        <v>177</v>
      </c>
      <c r="E41" s="94" t="s">
        <v>178</v>
      </c>
      <c r="F41" s="95">
        <f t="shared" si="0"/>
        <v>0</v>
      </c>
      <c r="G41" s="96">
        <f>SUMIF(종목관리대장!Q:Q,$D41,종목관리대장!R:R)+SUM($V41:$X41)</f>
        <v>0</v>
      </c>
      <c r="H41" s="189">
        <f t="shared" si="14"/>
        <v>0</v>
      </c>
      <c r="I41" s="97">
        <f ca="1">COUNTIFS(종목관리대장!$N:$N,"&gt;="&amp;EOMONTH(I$7,-1)+1,종목관리대장!$N:$N,"&lt;="&amp;I$7,종목관리대장!$Q:$Q,$D41)</f>
        <v>0</v>
      </c>
      <c r="J41" s="97">
        <f ca="1">COUNTIFS(종목관리대장!$N:$N,"&gt;="&amp;EOMONTH(J$7,-1)+1,종목관리대장!$N:$N,"&lt;="&amp;J$7,종목관리대장!$Q:$Q,$D41)</f>
        <v>0</v>
      </c>
      <c r="K41" s="97">
        <f ca="1">COUNTIFS(종목관리대장!$N:$N,"&gt;="&amp;EOMONTH(K$7,-1)+1,종목관리대장!$N:$N,"&lt;="&amp;K$7,종목관리대장!$Q:$Q,$D41)</f>
        <v>0</v>
      </c>
      <c r="L41" s="97">
        <f ca="1">SUMIFS(종목관리대장!$R:$R,종목관리대장!$N:$N,"&gt;="&amp;EOMONTH(L$7,-1)+1,종목관리대장!$N:$N,"&lt;="&amp;L$7,종목관리대장!$Q:$Q,$D41)</f>
        <v>0</v>
      </c>
      <c r="M41" s="97">
        <f ca="1">SUMIFS(종목관리대장!$R:$R,종목관리대장!$N:$N,"&gt;="&amp;EOMONTH(M$7,-1)+1,종목관리대장!$N:$N,"&lt;="&amp;M$7,종목관리대장!$Q:$Q,$D41)</f>
        <v>0</v>
      </c>
      <c r="N41" s="97">
        <f ca="1">SUMIFS(종목관리대장!$R:$R,종목관리대장!$N:$N,"&gt;="&amp;EOMONTH(N$7,-1)+1,종목관리대장!$N:$N,"&lt;="&amp;N$7,종목관리대장!$Q:$Q,$D41)</f>
        <v>0</v>
      </c>
      <c r="O41" s="98">
        <v>0.2</v>
      </c>
      <c r="P41" s="93">
        <f t="shared" si="15"/>
        <v>1.1173184357541903E-2</v>
      </c>
      <c r="Q41" s="99">
        <f t="shared" si="13"/>
        <v>7.526256983240228</v>
      </c>
      <c r="R41" s="100">
        <f t="shared" si="4"/>
        <v>-7.526256983240228</v>
      </c>
      <c r="S41" s="101"/>
      <c r="T41" s="121"/>
      <c r="U41" s="103" t="s">
        <v>3511</v>
      </c>
      <c r="V41" s="104"/>
      <c r="W41" s="104"/>
      <c r="X41" s="104"/>
      <c r="AA41" s="119"/>
      <c r="AB41" s="119"/>
      <c r="AC41" s="119"/>
      <c r="AD41" s="67"/>
      <c r="AG41" s="67"/>
    </row>
    <row r="42" spans="1:36" ht="14.25" hidden="1" customHeight="1" x14ac:dyDescent="0.3">
      <c r="A42" s="90">
        <f t="shared" si="5"/>
        <v>0</v>
      </c>
      <c r="B42" s="91">
        <f t="shared" si="6"/>
        <v>-22.578770949720678</v>
      </c>
      <c r="C42" s="98"/>
      <c r="D42" s="98" t="s">
        <v>179</v>
      </c>
      <c r="E42" s="94" t="s">
        <v>152</v>
      </c>
      <c r="F42" s="95">
        <f t="shared" si="0"/>
        <v>0</v>
      </c>
      <c r="G42" s="96">
        <f>SUMIF(종목관리대장!Q:Q,$D42,종목관리대장!R:R)+SUM($W42:$X42)</f>
        <v>0</v>
      </c>
      <c r="H42" s="189">
        <f t="shared" si="14"/>
        <v>0</v>
      </c>
      <c r="I42" s="97">
        <f ca="1">COUNTIFS(종목관리대장!$N:$N,"&gt;="&amp;EOMONTH(I$7,-1)+1,종목관리대장!$N:$N,"&lt;="&amp;I$7,종목관리대장!$Q:$Q,$D42)</f>
        <v>0</v>
      </c>
      <c r="J42" s="97">
        <f ca="1">COUNTIFS(종목관리대장!$N:$N,"&gt;="&amp;EOMONTH(J$7,-1)+1,종목관리대장!$N:$N,"&lt;="&amp;J$7,종목관리대장!$Q:$Q,$D42)</f>
        <v>0</v>
      </c>
      <c r="K42" s="97">
        <f ca="1">COUNTIFS(종목관리대장!$N:$N,"&gt;="&amp;EOMONTH(K$7,-1)+1,종목관리대장!$N:$N,"&lt;="&amp;K$7,종목관리대장!$Q:$Q,$D42)</f>
        <v>0</v>
      </c>
      <c r="L42" s="97">
        <f ca="1">SUMIFS(종목관리대장!$R:$R,종목관리대장!$N:$N,"&gt;="&amp;EOMONTH(L$7,-1)+1,종목관리대장!$N:$N,"&lt;="&amp;L$7,종목관리대장!$Q:$Q,$D42)</f>
        <v>0</v>
      </c>
      <c r="M42" s="97">
        <f ca="1">SUMIFS(종목관리대장!$R:$R,종목관리대장!$N:$N,"&gt;="&amp;EOMONTH(M$7,-1)+1,종목관리대장!$N:$N,"&lt;="&amp;M$7,종목관리대장!$Q:$Q,$D42)</f>
        <v>0</v>
      </c>
      <c r="N42" s="97">
        <f ca="1">SUMIFS(종목관리대장!$R:$R,종목관리대장!$N:$N,"&gt;="&amp;EOMONTH(N$7,-1)+1,종목관리대장!$N:$N,"&lt;="&amp;N$7,종목관리대장!$Q:$Q,$D42)</f>
        <v>0</v>
      </c>
      <c r="O42" s="98">
        <v>0.6</v>
      </c>
      <c r="P42" s="93">
        <f t="shared" si="15"/>
        <v>3.3519553072625705E-2</v>
      </c>
      <c r="Q42" s="99">
        <f t="shared" si="13"/>
        <v>22.578770949720678</v>
      </c>
      <c r="R42" s="100">
        <f t="shared" si="4"/>
        <v>-22.578770949720678</v>
      </c>
      <c r="S42" s="122"/>
      <c r="T42" s="121"/>
      <c r="U42" s="103" t="s">
        <v>3511</v>
      </c>
      <c r="V42" s="104"/>
      <c r="W42" s="104"/>
      <c r="X42" s="104"/>
      <c r="AA42" s="120"/>
      <c r="AB42" s="119"/>
      <c r="AC42" s="119"/>
      <c r="AD42" s="67"/>
      <c r="AG42" s="67"/>
    </row>
    <row r="43" spans="1:36" ht="14.25" hidden="1" customHeight="1" x14ac:dyDescent="0.3">
      <c r="A43" s="90">
        <f t="shared" si="5"/>
        <v>0</v>
      </c>
      <c r="B43" s="91">
        <f t="shared" si="6"/>
        <v>-15.052513966480456</v>
      </c>
      <c r="C43" s="98"/>
      <c r="D43" s="98" t="s">
        <v>180</v>
      </c>
      <c r="E43" s="94" t="s">
        <v>178</v>
      </c>
      <c r="F43" s="95">
        <f t="shared" si="0"/>
        <v>0</v>
      </c>
      <c r="G43" s="96">
        <f>SUMIF(종목관리대장!Q:Q,$D43,종목관리대장!R:R)+SUM($W43:$X43)</f>
        <v>0</v>
      </c>
      <c r="H43" s="189">
        <f t="shared" si="14"/>
        <v>0</v>
      </c>
      <c r="I43" s="97">
        <f ca="1">COUNTIFS(종목관리대장!$N:$N,"&gt;="&amp;EOMONTH(I$7,-1)+1,종목관리대장!$N:$N,"&lt;="&amp;I$7,종목관리대장!$Q:$Q,$D43)</f>
        <v>0</v>
      </c>
      <c r="J43" s="97">
        <f ca="1">COUNTIFS(종목관리대장!$N:$N,"&gt;="&amp;EOMONTH(J$7,-1)+1,종목관리대장!$N:$N,"&lt;="&amp;J$7,종목관리대장!$Q:$Q,$D43)</f>
        <v>0</v>
      </c>
      <c r="K43" s="97">
        <f ca="1">COUNTIFS(종목관리대장!$N:$N,"&gt;="&amp;EOMONTH(K$7,-1)+1,종목관리대장!$N:$N,"&lt;="&amp;K$7,종목관리대장!$Q:$Q,$D43)</f>
        <v>0</v>
      </c>
      <c r="L43" s="97">
        <f ca="1">SUMIFS(종목관리대장!$R:$R,종목관리대장!$N:$N,"&gt;="&amp;EOMONTH(L$7,-1)+1,종목관리대장!$N:$N,"&lt;="&amp;L$7,종목관리대장!$Q:$Q,$D43)</f>
        <v>0</v>
      </c>
      <c r="M43" s="97">
        <f ca="1">SUMIFS(종목관리대장!$R:$R,종목관리대장!$N:$N,"&gt;="&amp;EOMONTH(M$7,-1)+1,종목관리대장!$N:$N,"&lt;="&amp;M$7,종목관리대장!$Q:$Q,$D43)</f>
        <v>0</v>
      </c>
      <c r="N43" s="97">
        <f ca="1">SUMIFS(종목관리대장!$R:$R,종목관리대장!$N:$N,"&gt;="&amp;EOMONTH(N$7,-1)+1,종목관리대장!$N:$N,"&lt;="&amp;N$7,종목관리대장!$Q:$Q,$D43)</f>
        <v>0</v>
      </c>
      <c r="O43" s="98">
        <v>0.4</v>
      </c>
      <c r="P43" s="93">
        <f t="shared" si="15"/>
        <v>2.2346368715083807E-2</v>
      </c>
      <c r="Q43" s="99">
        <f t="shared" si="13"/>
        <v>15.052513966480456</v>
      </c>
      <c r="R43" s="100">
        <f t="shared" si="4"/>
        <v>-15.052513966480456</v>
      </c>
      <c r="S43" s="101"/>
      <c r="T43" s="123"/>
      <c r="U43" s="103" t="s">
        <v>3511</v>
      </c>
      <c r="V43" s="104"/>
      <c r="W43" s="104"/>
      <c r="X43" s="104"/>
      <c r="AA43" s="119"/>
      <c r="AB43" s="119"/>
      <c r="AC43" s="119"/>
      <c r="AD43" s="67"/>
      <c r="AG43" s="67"/>
    </row>
    <row r="44" spans="1:36" s="119" customFormat="1" ht="14.25" hidden="1" customHeight="1" x14ac:dyDescent="0.3">
      <c r="A44" s="90">
        <f t="shared" si="5"/>
        <v>0</v>
      </c>
      <c r="B44" s="91">
        <f t="shared" si="6"/>
        <v>-26.341899441340793</v>
      </c>
      <c r="C44" s="98"/>
      <c r="D44" s="98" t="s">
        <v>181</v>
      </c>
      <c r="E44" s="94" t="s">
        <v>144</v>
      </c>
      <c r="F44" s="95">
        <f t="shared" si="0"/>
        <v>0</v>
      </c>
      <c r="G44" s="96">
        <f>SUMIF(종목관리대장!Q:Q,$D44,종목관리대장!R:R)+SUM($W44:$X44)</f>
        <v>0</v>
      </c>
      <c r="H44" s="189">
        <f t="shared" si="14"/>
        <v>0</v>
      </c>
      <c r="I44" s="97">
        <f ca="1">COUNTIFS(종목관리대장!$N:$N,"&gt;="&amp;EOMONTH(I$7,-1)+1,종목관리대장!$N:$N,"&lt;="&amp;I$7,종목관리대장!$Q:$Q,$D44)</f>
        <v>0</v>
      </c>
      <c r="J44" s="97">
        <f ca="1">COUNTIFS(종목관리대장!$N:$N,"&gt;="&amp;EOMONTH(J$7,-1)+1,종목관리대장!$N:$N,"&lt;="&amp;J$7,종목관리대장!$Q:$Q,$D44)</f>
        <v>0</v>
      </c>
      <c r="K44" s="97">
        <f ca="1">COUNTIFS(종목관리대장!$N:$N,"&gt;="&amp;EOMONTH(K$7,-1)+1,종목관리대장!$N:$N,"&lt;="&amp;K$7,종목관리대장!$Q:$Q,$D44)</f>
        <v>0</v>
      </c>
      <c r="L44" s="97">
        <f ca="1">SUMIFS(종목관리대장!$R:$R,종목관리대장!$N:$N,"&gt;="&amp;EOMONTH(L$7,-1)+1,종목관리대장!$N:$N,"&lt;="&amp;L$7,종목관리대장!$Q:$Q,$D44)</f>
        <v>0</v>
      </c>
      <c r="M44" s="97">
        <f ca="1">SUMIFS(종목관리대장!$R:$R,종목관리대장!$N:$N,"&gt;="&amp;EOMONTH(M$7,-1)+1,종목관리대장!$N:$N,"&lt;="&amp;M$7,종목관리대장!$Q:$Q,$D44)</f>
        <v>0</v>
      </c>
      <c r="N44" s="97">
        <f ca="1">SUMIFS(종목관리대장!$R:$R,종목관리대장!$N:$N,"&gt;="&amp;EOMONTH(N$7,-1)+1,종목관리대장!$N:$N,"&lt;="&amp;N$7,종목관리대장!$Q:$Q,$D44)</f>
        <v>0</v>
      </c>
      <c r="O44" s="98">
        <v>0.7</v>
      </c>
      <c r="P44" s="93">
        <f t="shared" si="15"/>
        <v>3.9106145251396655E-2</v>
      </c>
      <c r="Q44" s="99">
        <f t="shared" si="13"/>
        <v>26.341899441340793</v>
      </c>
      <c r="R44" s="100">
        <f t="shared" si="4"/>
        <v>-26.341899441340793</v>
      </c>
      <c r="S44" s="101"/>
      <c r="T44" s="110"/>
      <c r="U44" s="103" t="s">
        <v>3511</v>
      </c>
      <c r="V44" s="104"/>
      <c r="W44" s="104"/>
      <c r="X44" s="104"/>
      <c r="Y44" s="66"/>
      <c r="Z44" s="66"/>
      <c r="AA44" s="66"/>
      <c r="AB44" s="66"/>
      <c r="AC44" s="66"/>
      <c r="AD44" s="66"/>
      <c r="AE44" s="67"/>
      <c r="AF44" s="66"/>
      <c r="AG44" s="67"/>
    </row>
    <row r="45" spans="1:36" ht="14.25" hidden="1" customHeight="1" x14ac:dyDescent="0.3">
      <c r="A45" s="90">
        <f t="shared" si="5"/>
        <v>0</v>
      </c>
      <c r="B45" s="91">
        <f t="shared" si="6"/>
        <v>-33.868156424581024</v>
      </c>
      <c r="C45" s="98"/>
      <c r="D45" s="98" t="s">
        <v>72</v>
      </c>
      <c r="E45" s="94" t="s">
        <v>147</v>
      </c>
      <c r="F45" s="95">
        <f t="shared" si="0"/>
        <v>0</v>
      </c>
      <c r="G45" s="96">
        <f>SUMIF(종목관리대장!Q:Q,$D45,종목관리대장!R:R)+SUM($W45:$X45)</f>
        <v>0</v>
      </c>
      <c r="H45" s="189">
        <f t="shared" si="14"/>
        <v>0</v>
      </c>
      <c r="I45" s="97">
        <f ca="1">COUNTIFS(종목관리대장!$N:$N,"&gt;="&amp;EOMONTH(I$7,-1)+1,종목관리대장!$N:$N,"&lt;="&amp;I$7,종목관리대장!$Q:$Q,$D45)</f>
        <v>0</v>
      </c>
      <c r="J45" s="97">
        <f ca="1">COUNTIFS(종목관리대장!$N:$N,"&gt;="&amp;EOMONTH(J$7,-1)+1,종목관리대장!$N:$N,"&lt;="&amp;J$7,종목관리대장!$Q:$Q,$D45)</f>
        <v>0</v>
      </c>
      <c r="K45" s="97">
        <f ca="1">COUNTIFS(종목관리대장!$N:$N,"&gt;="&amp;EOMONTH(K$7,-1)+1,종목관리대장!$N:$N,"&lt;="&amp;K$7,종목관리대장!$Q:$Q,$D45)</f>
        <v>0</v>
      </c>
      <c r="L45" s="97">
        <f ca="1">SUMIFS(종목관리대장!$R:$R,종목관리대장!$N:$N,"&gt;="&amp;EOMONTH(L$7,-1)+1,종목관리대장!$N:$N,"&lt;="&amp;L$7,종목관리대장!$Q:$Q,$D45)</f>
        <v>0</v>
      </c>
      <c r="M45" s="97">
        <f ca="1">SUMIFS(종목관리대장!$R:$R,종목관리대장!$N:$N,"&gt;="&amp;EOMONTH(M$7,-1)+1,종목관리대장!$N:$N,"&lt;="&amp;M$7,종목관리대장!$Q:$Q,$D45)</f>
        <v>0</v>
      </c>
      <c r="N45" s="97">
        <f ca="1">SUMIFS(종목관리대장!$R:$R,종목관리대장!$N:$N,"&gt;="&amp;EOMONTH(N$7,-1)+1,종목관리대장!$N:$N,"&lt;="&amp;N$7,종목관리대장!$Q:$Q,$D45)</f>
        <v>0</v>
      </c>
      <c r="O45" s="98">
        <v>0.9</v>
      </c>
      <c r="P45" s="93">
        <f t="shared" si="15"/>
        <v>5.0279329608938564E-2</v>
      </c>
      <c r="Q45" s="99">
        <f t="shared" si="13"/>
        <v>33.868156424581024</v>
      </c>
      <c r="R45" s="100">
        <f t="shared" si="4"/>
        <v>-33.868156424581024</v>
      </c>
      <c r="S45" s="101"/>
      <c r="T45" s="110"/>
      <c r="U45" s="103" t="s">
        <v>3511</v>
      </c>
      <c r="V45" s="104"/>
      <c r="W45" s="104"/>
      <c r="X45" s="104"/>
      <c r="AC45" s="66"/>
      <c r="AE45" s="67"/>
      <c r="AF45" s="67"/>
      <c r="AG45" s="67"/>
    </row>
    <row r="46" spans="1:36" ht="14.25" hidden="1" customHeight="1" x14ac:dyDescent="0.3">
      <c r="A46" s="90" t="e">
        <f t="shared" si="5"/>
        <v>#DIV/0!</v>
      </c>
      <c r="B46" s="91">
        <f t="shared" si="6"/>
        <v>0</v>
      </c>
      <c r="C46" s="98"/>
      <c r="D46" s="124" t="s">
        <v>73</v>
      </c>
      <c r="E46" s="125" t="s">
        <v>182</v>
      </c>
      <c r="F46" s="95" t="e">
        <f t="shared" si="0"/>
        <v>#DIV/0!</v>
      </c>
      <c r="G46" s="96">
        <f>SUMIF(종목관리대장!Q:Q,$D46,종목관리대장!R:R)+SUM($W46:$X46)</f>
        <v>0</v>
      </c>
      <c r="H46" s="189">
        <f t="shared" si="14"/>
        <v>0</v>
      </c>
      <c r="I46" s="97">
        <f ca="1">COUNTIFS(종목관리대장!$N:$N,"&gt;="&amp;EOMONTH(I$7,-1)+1,종목관리대장!$N:$N,"&lt;="&amp;I$7,종목관리대장!$Q:$Q,$D46)</f>
        <v>0</v>
      </c>
      <c r="J46" s="97">
        <f ca="1">COUNTIFS(종목관리대장!$N:$N,"&gt;="&amp;EOMONTH(J$7,-1)+1,종목관리대장!$N:$N,"&lt;="&amp;J$7,종목관리대장!$Q:$Q,$D46)</f>
        <v>0</v>
      </c>
      <c r="K46" s="97">
        <f ca="1">COUNTIFS(종목관리대장!$N:$N,"&gt;="&amp;EOMONTH(K$7,-1)+1,종목관리대장!$N:$N,"&lt;="&amp;K$7,종목관리대장!$Q:$Q,$D46)</f>
        <v>0</v>
      </c>
      <c r="L46" s="97">
        <f ca="1">SUMIFS(종목관리대장!$R:$R,종목관리대장!$N:$N,"&gt;="&amp;EOMONTH(L$7,-1)+1,종목관리대장!$N:$N,"&lt;="&amp;L$7,종목관리대장!$Q:$Q,$D46)</f>
        <v>0</v>
      </c>
      <c r="M46" s="97">
        <f ca="1">SUMIFS(종목관리대장!$R:$R,종목관리대장!$N:$N,"&gt;="&amp;EOMONTH(M$7,-1)+1,종목관리대장!$N:$N,"&lt;="&amp;M$7,종목관리대장!$Q:$Q,$D46)</f>
        <v>0</v>
      </c>
      <c r="N46" s="97">
        <f ca="1">SUMIFS(종목관리대장!$R:$R,종목관리대장!$N:$N,"&gt;="&amp;EOMONTH(N$7,-1)+1,종목관리대장!$N:$N,"&lt;="&amp;N$7,종목관리대장!$Q:$Q,$D46)</f>
        <v>0</v>
      </c>
      <c r="O46" s="126">
        <v>0</v>
      </c>
      <c r="P46" s="93">
        <f t="shared" si="15"/>
        <v>0</v>
      </c>
      <c r="Q46" s="99">
        <f t="shared" si="13"/>
        <v>0</v>
      </c>
      <c r="R46" s="100">
        <f t="shared" si="4"/>
        <v>0</v>
      </c>
      <c r="S46" s="122" t="s">
        <v>184</v>
      </c>
      <c r="T46" s="110"/>
      <c r="U46" s="103" t="s">
        <v>3511</v>
      </c>
      <c r="V46" s="104"/>
      <c r="W46" s="104"/>
      <c r="X46" s="104"/>
      <c r="AC46" s="66"/>
      <c r="AE46" s="67"/>
      <c r="AF46" s="67"/>
      <c r="AG46" s="67"/>
    </row>
    <row r="47" spans="1:36" ht="14.25" hidden="1" customHeight="1" x14ac:dyDescent="0.3">
      <c r="A47" s="90">
        <f t="shared" si="5"/>
        <v>0</v>
      </c>
      <c r="B47" s="91">
        <f t="shared" si="6"/>
        <v>-22.578770949720678</v>
      </c>
      <c r="C47" s="98"/>
      <c r="D47" s="98" t="s">
        <v>183</v>
      </c>
      <c r="E47" s="94" t="s">
        <v>178</v>
      </c>
      <c r="F47" s="95">
        <f t="shared" si="0"/>
        <v>0</v>
      </c>
      <c r="G47" s="96">
        <f>SUMIF(종목관리대장!Q:Q,$D47,종목관리대장!R:R)+SUM($W47:$X47)</f>
        <v>0</v>
      </c>
      <c r="H47" s="189">
        <f t="shared" si="14"/>
        <v>0</v>
      </c>
      <c r="I47" s="97">
        <f ca="1">COUNTIFS(종목관리대장!$N:$N,"&gt;="&amp;EOMONTH(I$7,-1)+1,종목관리대장!$N:$N,"&lt;="&amp;I$7,종목관리대장!$Q:$Q,$D47)</f>
        <v>0</v>
      </c>
      <c r="J47" s="97">
        <f ca="1">COUNTIFS(종목관리대장!$N:$N,"&gt;="&amp;EOMONTH(J$7,-1)+1,종목관리대장!$N:$N,"&lt;="&amp;J$7,종목관리대장!$Q:$Q,$D47)</f>
        <v>0</v>
      </c>
      <c r="K47" s="97">
        <f ca="1">COUNTIFS(종목관리대장!$N:$N,"&gt;="&amp;EOMONTH(K$7,-1)+1,종목관리대장!$N:$N,"&lt;="&amp;K$7,종목관리대장!$Q:$Q,$D47)</f>
        <v>0</v>
      </c>
      <c r="L47" s="97">
        <f ca="1">SUMIFS(종목관리대장!$R:$R,종목관리대장!$N:$N,"&gt;="&amp;EOMONTH(L$7,-1)+1,종목관리대장!$N:$N,"&lt;="&amp;L$7,종목관리대장!$Q:$Q,$D47)</f>
        <v>0</v>
      </c>
      <c r="M47" s="97">
        <f ca="1">SUMIFS(종목관리대장!$R:$R,종목관리대장!$N:$N,"&gt;="&amp;EOMONTH(M$7,-1)+1,종목관리대장!$N:$N,"&lt;="&amp;M$7,종목관리대장!$Q:$Q,$D47)</f>
        <v>0</v>
      </c>
      <c r="N47" s="97">
        <f ca="1">SUMIFS(종목관리대장!$R:$R,종목관리대장!$N:$N,"&gt;="&amp;EOMONTH(N$7,-1)+1,종목관리대장!$N:$N,"&lt;="&amp;N$7,종목관리대장!$Q:$Q,$D47)</f>
        <v>0</v>
      </c>
      <c r="O47" s="98">
        <v>0.6</v>
      </c>
      <c r="P47" s="93">
        <f t="shared" si="15"/>
        <v>3.3519553072625705E-2</v>
      </c>
      <c r="Q47" s="99">
        <f t="shared" si="13"/>
        <v>22.578770949720678</v>
      </c>
      <c r="R47" s="100">
        <f t="shared" si="4"/>
        <v>-22.578770949720678</v>
      </c>
      <c r="S47" s="128"/>
      <c r="T47" s="127" t="s">
        <v>185</v>
      </c>
      <c r="U47" s="103" t="s">
        <v>3511</v>
      </c>
      <c r="V47" s="104"/>
      <c r="W47" s="104"/>
      <c r="X47" s="104"/>
      <c r="AF47" s="67"/>
      <c r="AG47" s="67"/>
    </row>
    <row r="48" spans="1:36" ht="14.25" hidden="1" customHeight="1" x14ac:dyDescent="0.3">
      <c r="A48" s="90">
        <f t="shared" si="5"/>
        <v>0</v>
      </c>
      <c r="B48" s="91">
        <f t="shared" si="6"/>
        <v>-18.815642458100569</v>
      </c>
      <c r="C48" s="98"/>
      <c r="D48" s="107" t="s">
        <v>186</v>
      </c>
      <c r="E48" s="94" t="s">
        <v>187</v>
      </c>
      <c r="F48" s="95">
        <f t="shared" si="0"/>
        <v>0</v>
      </c>
      <c r="G48" s="96">
        <f>SUMIF(종목관리대장!Q:Q,$D48,종목관리대장!R:R)+SUM($W48:$X48)</f>
        <v>0</v>
      </c>
      <c r="H48" s="189">
        <f t="shared" si="14"/>
        <v>0</v>
      </c>
      <c r="I48" s="97">
        <f ca="1">COUNTIFS(종목관리대장!$N:$N,"&gt;="&amp;EOMONTH(I$7,-1)+1,종목관리대장!$N:$N,"&lt;="&amp;I$7,종목관리대장!$Q:$Q,$D48)</f>
        <v>0</v>
      </c>
      <c r="J48" s="97">
        <f ca="1">COUNTIFS(종목관리대장!$N:$N,"&gt;="&amp;EOMONTH(J$7,-1)+1,종목관리대장!$N:$N,"&lt;="&amp;J$7,종목관리대장!$Q:$Q,$D48)</f>
        <v>0</v>
      </c>
      <c r="K48" s="97">
        <f ca="1">COUNTIFS(종목관리대장!$N:$N,"&gt;="&amp;EOMONTH(K$7,-1)+1,종목관리대장!$N:$N,"&lt;="&amp;K$7,종목관리대장!$Q:$Q,$D48)</f>
        <v>0</v>
      </c>
      <c r="L48" s="97">
        <f ca="1">SUMIFS(종목관리대장!$R:$R,종목관리대장!$N:$N,"&gt;="&amp;EOMONTH(L$7,-1)+1,종목관리대장!$N:$N,"&lt;="&amp;L$7,종목관리대장!$Q:$Q,$D48)</f>
        <v>0</v>
      </c>
      <c r="M48" s="97">
        <f ca="1">SUMIFS(종목관리대장!$R:$R,종목관리대장!$N:$N,"&gt;="&amp;EOMONTH(M$7,-1)+1,종목관리대장!$N:$N,"&lt;="&amp;M$7,종목관리대장!$Q:$Q,$D48)</f>
        <v>0</v>
      </c>
      <c r="N48" s="97">
        <f ca="1">SUMIFS(종목관리대장!$R:$R,종목관리대장!$N:$N,"&gt;="&amp;EOMONTH(N$7,-1)+1,종목관리대장!$N:$N,"&lt;="&amp;N$7,종목관리대장!$Q:$Q,$D48)</f>
        <v>0</v>
      </c>
      <c r="O48" s="98">
        <v>0.5</v>
      </c>
      <c r="P48" s="93">
        <f t="shared" si="15"/>
        <v>2.7932960893854757E-2</v>
      </c>
      <c r="Q48" s="99">
        <f t="shared" si="13"/>
        <v>18.815642458100569</v>
      </c>
      <c r="R48" s="100">
        <f t="shared" si="4"/>
        <v>-18.815642458100569</v>
      </c>
      <c r="S48" s="101"/>
      <c r="T48" s="129"/>
      <c r="U48" s="103" t="s">
        <v>3511</v>
      </c>
      <c r="V48" s="104"/>
      <c r="W48" s="104"/>
      <c r="X48" s="104"/>
      <c r="AH48" s="67"/>
      <c r="AI48" s="67"/>
      <c r="AJ48" s="67"/>
    </row>
    <row r="49" spans="1:36" s="119" customFormat="1" ht="14.25" hidden="1" customHeight="1" x14ac:dyDescent="0.3">
      <c r="A49" s="90">
        <f t="shared" si="5"/>
        <v>0</v>
      </c>
      <c r="B49" s="91">
        <f t="shared" si="6"/>
        <v>-30.105027932960912</v>
      </c>
      <c r="C49" s="98"/>
      <c r="D49" s="107" t="s">
        <v>74</v>
      </c>
      <c r="E49" s="94" t="s">
        <v>144</v>
      </c>
      <c r="F49" s="95">
        <f t="shared" si="0"/>
        <v>0</v>
      </c>
      <c r="G49" s="96">
        <f>SUMIF(종목관리대장!Q:Q,$D49,종목관리대장!R:R)+SUM($W49:$X49)</f>
        <v>0</v>
      </c>
      <c r="H49" s="189">
        <f t="shared" si="14"/>
        <v>0</v>
      </c>
      <c r="I49" s="97">
        <f ca="1">COUNTIFS(종목관리대장!$N:$N,"&gt;="&amp;EOMONTH(I$7,-1)+1,종목관리대장!$N:$N,"&lt;="&amp;I$7,종목관리대장!$Q:$Q,$D49)</f>
        <v>0</v>
      </c>
      <c r="J49" s="97">
        <f ca="1">COUNTIFS(종목관리대장!$N:$N,"&gt;="&amp;EOMONTH(J$7,-1)+1,종목관리대장!$N:$N,"&lt;="&amp;J$7,종목관리대장!$Q:$Q,$D49)</f>
        <v>0</v>
      </c>
      <c r="K49" s="97">
        <f ca="1">COUNTIFS(종목관리대장!$N:$N,"&gt;="&amp;EOMONTH(K$7,-1)+1,종목관리대장!$N:$N,"&lt;="&amp;K$7,종목관리대장!$Q:$Q,$D49)</f>
        <v>0</v>
      </c>
      <c r="L49" s="97">
        <f ca="1">SUMIFS(종목관리대장!$R:$R,종목관리대장!$N:$N,"&gt;="&amp;EOMONTH(L$7,-1)+1,종목관리대장!$N:$N,"&lt;="&amp;L$7,종목관리대장!$Q:$Q,$D49)</f>
        <v>0</v>
      </c>
      <c r="M49" s="97">
        <f ca="1">SUMIFS(종목관리대장!$R:$R,종목관리대장!$N:$N,"&gt;="&amp;EOMONTH(M$7,-1)+1,종목관리대장!$N:$N,"&lt;="&amp;M$7,종목관리대장!$Q:$Q,$D49)</f>
        <v>0</v>
      </c>
      <c r="N49" s="97">
        <f ca="1">SUMIFS(종목관리대장!$R:$R,종목관리대장!$N:$N,"&gt;="&amp;EOMONTH(N$7,-1)+1,종목관리대장!$N:$N,"&lt;="&amp;N$7,종목관리대장!$Q:$Q,$D49)</f>
        <v>0</v>
      </c>
      <c r="O49" s="98">
        <v>0.8</v>
      </c>
      <c r="P49" s="93">
        <f t="shared" si="15"/>
        <v>4.4692737430167613E-2</v>
      </c>
      <c r="Q49" s="99">
        <f t="shared" si="13"/>
        <v>30.105027932960912</v>
      </c>
      <c r="R49" s="100">
        <f t="shared" si="4"/>
        <v>-30.105027932960912</v>
      </c>
      <c r="S49" s="101"/>
      <c r="T49" s="110"/>
      <c r="U49" s="103" t="s">
        <v>3511</v>
      </c>
      <c r="V49" s="104"/>
      <c r="W49" s="104"/>
      <c r="X49" s="104"/>
      <c r="Y49" s="66"/>
      <c r="Z49" s="66"/>
      <c r="AA49" s="66"/>
      <c r="AB49" s="66"/>
      <c r="AC49" s="67"/>
      <c r="AD49" s="66"/>
      <c r="AE49" s="66"/>
      <c r="AF49" s="66"/>
      <c r="AG49" s="66"/>
      <c r="AH49" s="67"/>
      <c r="AI49" s="67"/>
      <c r="AJ49" s="67"/>
    </row>
    <row r="50" spans="1:36" ht="14.25" hidden="1" customHeight="1" x14ac:dyDescent="0.3">
      <c r="A50" s="90">
        <f t="shared" si="5"/>
        <v>0</v>
      </c>
      <c r="B50" s="91">
        <f t="shared" si="6"/>
        <v>-33.868156424581024</v>
      </c>
      <c r="C50" s="98"/>
      <c r="D50" s="107" t="s">
        <v>189</v>
      </c>
      <c r="E50" s="94" t="s">
        <v>147</v>
      </c>
      <c r="F50" s="95">
        <f t="shared" si="0"/>
        <v>0</v>
      </c>
      <c r="G50" s="96">
        <f>SUMIF(종목관리대장!Q:Q,$D50,종목관리대장!R:R)+SUM($W50:$X50)</f>
        <v>0</v>
      </c>
      <c r="H50" s="189">
        <f t="shared" si="14"/>
        <v>0</v>
      </c>
      <c r="I50" s="97">
        <f ca="1">COUNTIFS(종목관리대장!$N:$N,"&gt;="&amp;EOMONTH(I$7,-1)+1,종목관리대장!$N:$N,"&lt;="&amp;I$7,종목관리대장!$Q:$Q,$D50)</f>
        <v>0</v>
      </c>
      <c r="J50" s="97">
        <f ca="1">COUNTIFS(종목관리대장!$N:$N,"&gt;="&amp;EOMONTH(J$7,-1)+1,종목관리대장!$N:$N,"&lt;="&amp;J$7,종목관리대장!$Q:$Q,$D50)</f>
        <v>0</v>
      </c>
      <c r="K50" s="97">
        <f ca="1">COUNTIFS(종목관리대장!$N:$N,"&gt;="&amp;EOMONTH(K$7,-1)+1,종목관리대장!$N:$N,"&lt;="&amp;K$7,종목관리대장!$Q:$Q,$D50)</f>
        <v>0</v>
      </c>
      <c r="L50" s="97">
        <f ca="1">SUMIFS(종목관리대장!$R:$R,종목관리대장!$N:$N,"&gt;="&amp;EOMONTH(L$7,-1)+1,종목관리대장!$N:$N,"&lt;="&amp;L$7,종목관리대장!$Q:$Q,$D50)</f>
        <v>0</v>
      </c>
      <c r="M50" s="97">
        <f ca="1">SUMIFS(종목관리대장!$R:$R,종목관리대장!$N:$N,"&gt;="&amp;EOMONTH(M$7,-1)+1,종목관리대장!$N:$N,"&lt;="&amp;M$7,종목관리대장!$Q:$Q,$D50)</f>
        <v>0</v>
      </c>
      <c r="N50" s="97">
        <f ca="1">SUMIFS(종목관리대장!$R:$R,종목관리대장!$N:$N,"&gt;="&amp;EOMONTH(N$7,-1)+1,종목관리대장!$N:$N,"&lt;="&amp;N$7,종목관리대장!$Q:$Q,$D50)</f>
        <v>0</v>
      </c>
      <c r="O50" s="98">
        <v>0.9</v>
      </c>
      <c r="P50" s="93">
        <f t="shared" si="15"/>
        <v>5.0279329608938564E-2</v>
      </c>
      <c r="Q50" s="99">
        <f t="shared" si="13"/>
        <v>33.868156424581024</v>
      </c>
      <c r="R50" s="100">
        <f t="shared" si="4"/>
        <v>-33.868156424581024</v>
      </c>
      <c r="S50" s="101"/>
      <c r="T50" s="110"/>
      <c r="U50" s="103" t="s">
        <v>3511</v>
      </c>
      <c r="V50" s="104"/>
      <c r="W50" s="104"/>
      <c r="X50" s="104"/>
      <c r="Y50" s="65"/>
      <c r="Z50" s="65"/>
      <c r="AH50" s="67"/>
      <c r="AI50" s="67"/>
      <c r="AJ50" s="67"/>
    </row>
    <row r="51" spans="1:36" ht="14.25" hidden="1" customHeight="1" x14ac:dyDescent="0.3">
      <c r="A51" s="90">
        <f t="shared" si="5"/>
        <v>0</v>
      </c>
      <c r="B51" s="91">
        <f t="shared" si="6"/>
        <v>-33.868156424581024</v>
      </c>
      <c r="C51" s="98"/>
      <c r="D51" s="107" t="s">
        <v>190</v>
      </c>
      <c r="E51" s="94" t="s">
        <v>152</v>
      </c>
      <c r="F51" s="95">
        <f t="shared" si="0"/>
        <v>0</v>
      </c>
      <c r="G51" s="96">
        <f>SUMIF(종목관리대장!Q:Q,$D51,종목관리대장!R:R)+SUM($W51:$X51)</f>
        <v>0</v>
      </c>
      <c r="H51" s="189">
        <f t="shared" si="14"/>
        <v>0</v>
      </c>
      <c r="I51" s="97">
        <f ca="1">COUNTIFS(종목관리대장!$N:$N,"&gt;="&amp;EOMONTH(I$7,-1)+1,종목관리대장!$N:$N,"&lt;="&amp;I$7,종목관리대장!$Q:$Q,$D51)</f>
        <v>0</v>
      </c>
      <c r="J51" s="97">
        <f ca="1">COUNTIFS(종목관리대장!$N:$N,"&gt;="&amp;EOMONTH(J$7,-1)+1,종목관리대장!$N:$N,"&lt;="&amp;J$7,종목관리대장!$Q:$Q,$D51)</f>
        <v>0</v>
      </c>
      <c r="K51" s="97">
        <f ca="1">COUNTIFS(종목관리대장!$N:$N,"&gt;="&amp;EOMONTH(K$7,-1)+1,종목관리대장!$N:$N,"&lt;="&amp;K$7,종목관리대장!$Q:$Q,$D51)</f>
        <v>0</v>
      </c>
      <c r="L51" s="97">
        <f ca="1">SUMIFS(종목관리대장!$R:$R,종목관리대장!$N:$N,"&gt;="&amp;EOMONTH(L$7,-1)+1,종목관리대장!$N:$N,"&lt;="&amp;L$7,종목관리대장!$Q:$Q,$D51)</f>
        <v>0</v>
      </c>
      <c r="M51" s="97">
        <f ca="1">SUMIFS(종목관리대장!$R:$R,종목관리대장!$N:$N,"&gt;="&amp;EOMONTH(M$7,-1)+1,종목관리대장!$N:$N,"&lt;="&amp;M$7,종목관리대장!$Q:$Q,$D51)</f>
        <v>0</v>
      </c>
      <c r="N51" s="97">
        <f ca="1">SUMIFS(종목관리대장!$R:$R,종목관리대장!$N:$N,"&gt;="&amp;EOMONTH(N$7,-1)+1,종목관리대장!$N:$N,"&lt;="&amp;N$7,종목관리대장!$Q:$Q,$D51)</f>
        <v>0</v>
      </c>
      <c r="O51" s="98">
        <v>0.9</v>
      </c>
      <c r="P51" s="93">
        <f t="shared" si="15"/>
        <v>5.0279329608938564E-2</v>
      </c>
      <c r="Q51" s="99">
        <f t="shared" si="13"/>
        <v>33.868156424581024</v>
      </c>
      <c r="R51" s="100">
        <f t="shared" si="4"/>
        <v>-33.868156424581024</v>
      </c>
      <c r="S51" s="101"/>
      <c r="T51" s="127"/>
      <c r="U51" s="103" t="s">
        <v>3511</v>
      </c>
      <c r="V51" s="104"/>
      <c r="W51" s="104"/>
      <c r="X51" s="104"/>
      <c r="AH51" s="67"/>
      <c r="AI51" s="67"/>
      <c r="AJ51" s="67"/>
    </row>
    <row r="52" spans="1:36" ht="14.25" hidden="1" customHeight="1" x14ac:dyDescent="0.3">
      <c r="A52" s="90">
        <f t="shared" si="5"/>
        <v>0</v>
      </c>
      <c r="B52" s="91">
        <f t="shared" si="6"/>
        <v>-33.868156424581024</v>
      </c>
      <c r="C52" s="98"/>
      <c r="D52" s="107" t="s">
        <v>191</v>
      </c>
      <c r="E52" s="94" t="s">
        <v>147</v>
      </c>
      <c r="F52" s="95">
        <f t="shared" si="0"/>
        <v>0</v>
      </c>
      <c r="G52" s="96">
        <f>SUMIF(종목관리대장!Q:Q,$D52,종목관리대장!R:R)+SUM($W52:$X52)</f>
        <v>0</v>
      </c>
      <c r="H52" s="189">
        <f t="shared" si="14"/>
        <v>0</v>
      </c>
      <c r="I52" s="97">
        <f ca="1">COUNTIFS(종목관리대장!$N:$N,"&gt;="&amp;EOMONTH(I$7,-1)+1,종목관리대장!$N:$N,"&lt;="&amp;I$7,종목관리대장!$Q:$Q,$D52)</f>
        <v>0</v>
      </c>
      <c r="J52" s="97">
        <f ca="1">COUNTIFS(종목관리대장!$N:$N,"&gt;="&amp;EOMONTH(J$7,-1)+1,종목관리대장!$N:$N,"&lt;="&amp;J$7,종목관리대장!$Q:$Q,$D52)</f>
        <v>0</v>
      </c>
      <c r="K52" s="97">
        <f ca="1">COUNTIFS(종목관리대장!$N:$N,"&gt;="&amp;EOMONTH(K$7,-1)+1,종목관리대장!$N:$N,"&lt;="&amp;K$7,종목관리대장!$Q:$Q,$D52)</f>
        <v>0</v>
      </c>
      <c r="L52" s="97">
        <f ca="1">SUMIFS(종목관리대장!$R:$R,종목관리대장!$N:$N,"&gt;="&amp;EOMONTH(L$7,-1)+1,종목관리대장!$N:$N,"&lt;="&amp;L$7,종목관리대장!$Q:$Q,$D52)</f>
        <v>0</v>
      </c>
      <c r="M52" s="97">
        <f ca="1">SUMIFS(종목관리대장!$R:$R,종목관리대장!$N:$N,"&gt;="&amp;EOMONTH(M$7,-1)+1,종목관리대장!$N:$N,"&lt;="&amp;M$7,종목관리대장!$Q:$Q,$D52)</f>
        <v>0</v>
      </c>
      <c r="N52" s="97">
        <f ca="1">SUMIFS(종목관리대장!$R:$R,종목관리대장!$N:$N,"&gt;="&amp;EOMONTH(N$7,-1)+1,종목관리대장!$N:$N,"&lt;="&amp;N$7,종목관리대장!$Q:$Q,$D52)</f>
        <v>0</v>
      </c>
      <c r="O52" s="98">
        <v>0.9</v>
      </c>
      <c r="P52" s="93">
        <f t="shared" si="15"/>
        <v>5.0279329608938564E-2</v>
      </c>
      <c r="Q52" s="99">
        <f t="shared" si="13"/>
        <v>33.868156424581024</v>
      </c>
      <c r="R52" s="100">
        <f t="shared" si="4"/>
        <v>-33.868156424581024</v>
      </c>
      <c r="S52" s="101"/>
      <c r="T52" s="127"/>
      <c r="U52" s="103" t="s">
        <v>3511</v>
      </c>
      <c r="V52" s="104"/>
      <c r="W52" s="104"/>
      <c r="X52" s="104"/>
      <c r="AC52" s="66"/>
      <c r="AE52" s="67"/>
      <c r="AH52" s="67"/>
      <c r="AI52" s="67"/>
      <c r="AJ52" s="67"/>
    </row>
    <row r="53" spans="1:36" hidden="1" x14ac:dyDescent="0.3">
      <c r="A53" s="90">
        <f t="shared" si="5"/>
        <v>0</v>
      </c>
      <c r="B53" s="91">
        <f t="shared" si="6"/>
        <v>-30.105027932960912</v>
      </c>
      <c r="C53" s="126"/>
      <c r="D53" s="107" t="s">
        <v>75</v>
      </c>
      <c r="E53" s="94" t="s">
        <v>152</v>
      </c>
      <c r="F53" s="95">
        <f t="shared" si="0"/>
        <v>0</v>
      </c>
      <c r="G53" s="96">
        <f>SUMIF(종목관리대장!Q:Q,$D53,종목관리대장!R:R)+SUM($W53:$X53)</f>
        <v>0</v>
      </c>
      <c r="H53" s="189">
        <f t="shared" si="14"/>
        <v>0</v>
      </c>
      <c r="I53" s="97">
        <f ca="1">COUNTIFS(종목관리대장!$N:$N,"&gt;="&amp;EOMONTH(I$7,-1)+1,종목관리대장!$N:$N,"&lt;="&amp;I$7,종목관리대장!$Q:$Q,$D53)</f>
        <v>0</v>
      </c>
      <c r="J53" s="97">
        <f ca="1">COUNTIFS(종목관리대장!$N:$N,"&gt;="&amp;EOMONTH(J$7,-1)+1,종목관리대장!$N:$N,"&lt;="&amp;J$7,종목관리대장!$Q:$Q,$D53)</f>
        <v>0</v>
      </c>
      <c r="K53" s="97">
        <f ca="1">COUNTIFS(종목관리대장!$N:$N,"&gt;="&amp;EOMONTH(K$7,-1)+1,종목관리대장!$N:$N,"&lt;="&amp;K$7,종목관리대장!$Q:$Q,$D53)</f>
        <v>0</v>
      </c>
      <c r="L53" s="97">
        <f ca="1">SUMIFS(종목관리대장!$R:$R,종목관리대장!$N:$N,"&gt;="&amp;EOMONTH(L$7,-1)+1,종목관리대장!$N:$N,"&lt;="&amp;L$7,종목관리대장!$Q:$Q,$D53)</f>
        <v>0</v>
      </c>
      <c r="M53" s="97">
        <f ca="1">SUMIFS(종목관리대장!$R:$R,종목관리대장!$N:$N,"&gt;="&amp;EOMONTH(M$7,-1)+1,종목관리대장!$N:$N,"&lt;="&amp;M$7,종목관리대장!$Q:$Q,$D53)</f>
        <v>0</v>
      </c>
      <c r="N53" s="97">
        <f ca="1">SUMIFS(종목관리대장!$R:$R,종목관리대장!$N:$N,"&gt;="&amp;EOMONTH(N$7,-1)+1,종목관리대장!$N:$N,"&lt;="&amp;N$7,종목관리대장!$Q:$Q,$D53)</f>
        <v>0</v>
      </c>
      <c r="O53" s="98">
        <v>0.8</v>
      </c>
      <c r="P53" s="93">
        <f t="shared" si="15"/>
        <v>4.4692737430167613E-2</v>
      </c>
      <c r="Q53" s="99">
        <f t="shared" si="13"/>
        <v>30.105027932960912</v>
      </c>
      <c r="R53" s="100">
        <f t="shared" si="4"/>
        <v>-30.105027932960912</v>
      </c>
      <c r="S53" s="101"/>
      <c r="T53" s="127"/>
      <c r="U53" s="103" t="s">
        <v>3511</v>
      </c>
      <c r="V53" s="104"/>
      <c r="W53" s="104"/>
      <c r="X53" s="104"/>
      <c r="Y53" s="67"/>
      <c r="Z53" s="67"/>
      <c r="AF53" s="67"/>
      <c r="AG53" s="67"/>
    </row>
    <row r="54" spans="1:36" hidden="1" x14ac:dyDescent="0.3">
      <c r="A54" s="90">
        <f t="shared" si="5"/>
        <v>0</v>
      </c>
      <c r="B54" s="91">
        <f t="shared" si="6"/>
        <v>-6.3973184357541939</v>
      </c>
      <c r="C54" s="98"/>
      <c r="D54" s="107" t="s">
        <v>192</v>
      </c>
      <c r="E54" s="94" t="s">
        <v>139</v>
      </c>
      <c r="F54" s="95">
        <f t="shared" si="0"/>
        <v>0</v>
      </c>
      <c r="G54" s="96">
        <f>SUMIF(종목관리대장!Q:Q,$D54,종목관리대장!R:R)+SUM($W54:$X54)</f>
        <v>0</v>
      </c>
      <c r="H54" s="189">
        <f t="shared" si="14"/>
        <v>0</v>
      </c>
      <c r="I54" s="97">
        <f ca="1">COUNTIFS(종목관리대장!$N:$N,"&gt;="&amp;EOMONTH(I$7,-1)+1,종목관리대장!$N:$N,"&lt;="&amp;I$7,종목관리대장!$Q:$Q,$D54)</f>
        <v>0</v>
      </c>
      <c r="J54" s="97">
        <f ca="1">COUNTIFS(종목관리대장!$N:$N,"&gt;="&amp;EOMONTH(J$7,-1)+1,종목관리대장!$N:$N,"&lt;="&amp;J$7,종목관리대장!$Q:$Q,$D54)</f>
        <v>0</v>
      </c>
      <c r="K54" s="97">
        <f ca="1">COUNTIFS(종목관리대장!$N:$N,"&gt;="&amp;EOMONTH(K$7,-1)+1,종목관리대장!$N:$N,"&lt;="&amp;K$7,종목관리대장!$Q:$Q,$D54)</f>
        <v>0</v>
      </c>
      <c r="L54" s="97">
        <f ca="1">SUMIFS(종목관리대장!$R:$R,종목관리대장!$N:$N,"&gt;="&amp;EOMONTH(L$7,-1)+1,종목관리대장!$N:$N,"&lt;="&amp;L$7,종목관리대장!$Q:$Q,$D54)</f>
        <v>0</v>
      </c>
      <c r="M54" s="97">
        <f ca="1">SUMIFS(종목관리대장!$R:$R,종목관리대장!$N:$N,"&gt;="&amp;EOMONTH(M$7,-1)+1,종목관리대장!$N:$N,"&lt;="&amp;M$7,종목관리대장!$Q:$Q,$D54)</f>
        <v>0</v>
      </c>
      <c r="N54" s="97">
        <f ca="1">SUMIFS(종목관리대장!$R:$R,종목관리대장!$N:$N,"&gt;="&amp;EOMONTH(N$7,-1)+1,종목관리대장!$N:$N,"&lt;="&amp;N$7,종목관리대장!$Q:$Q,$D54)</f>
        <v>0</v>
      </c>
      <c r="O54" s="98">
        <v>0.17</v>
      </c>
      <c r="P54" s="93">
        <f t="shared" si="15"/>
        <v>9.4972067039106184E-3</v>
      </c>
      <c r="Q54" s="99">
        <f t="shared" si="13"/>
        <v>6.3973184357541939</v>
      </c>
      <c r="R54" s="100">
        <f t="shared" si="4"/>
        <v>-6.3973184357541939</v>
      </c>
      <c r="S54" s="101"/>
      <c r="T54" s="123" t="s">
        <v>76</v>
      </c>
      <c r="U54" s="103" t="s">
        <v>3511</v>
      </c>
      <c r="V54" s="104"/>
      <c r="W54" s="104"/>
      <c r="X54" s="104"/>
      <c r="AH54" s="67"/>
      <c r="AI54" s="67"/>
      <c r="AJ54" s="67"/>
    </row>
    <row r="55" spans="1:36" hidden="1" x14ac:dyDescent="0.3">
      <c r="A55" s="90">
        <f t="shared" si="5"/>
        <v>0</v>
      </c>
      <c r="B55" s="91">
        <f t="shared" si="6"/>
        <v>-30.105027932960912</v>
      </c>
      <c r="C55" s="98"/>
      <c r="D55" s="107" t="s">
        <v>151</v>
      </c>
      <c r="E55" s="94" t="s">
        <v>152</v>
      </c>
      <c r="F55" s="95">
        <f t="shared" si="0"/>
        <v>0</v>
      </c>
      <c r="G55" s="96">
        <f>SUMIF(종목관리대장!Q:Q,$D55,종목관리대장!R:R)+SUM($W55:$X55)</f>
        <v>0</v>
      </c>
      <c r="H55" s="189">
        <f t="shared" si="14"/>
        <v>0</v>
      </c>
      <c r="I55" s="97">
        <f ca="1">COUNTIFS(종목관리대장!$N:$N,"&gt;="&amp;EOMONTH(I$7,-1)+1,종목관리대장!$N:$N,"&lt;="&amp;I$7,종목관리대장!$Q:$Q,$D55)</f>
        <v>0</v>
      </c>
      <c r="J55" s="97">
        <f ca="1">COUNTIFS(종목관리대장!$N:$N,"&gt;="&amp;EOMONTH(J$7,-1)+1,종목관리대장!$N:$N,"&lt;="&amp;J$7,종목관리대장!$Q:$Q,$D55)</f>
        <v>0</v>
      </c>
      <c r="K55" s="97">
        <f ca="1">COUNTIFS(종목관리대장!$N:$N,"&gt;="&amp;EOMONTH(K$7,-1)+1,종목관리대장!$N:$N,"&lt;="&amp;K$7,종목관리대장!$Q:$Q,$D55)</f>
        <v>0</v>
      </c>
      <c r="L55" s="97">
        <f ca="1">SUMIFS(종목관리대장!$R:$R,종목관리대장!$N:$N,"&gt;="&amp;EOMONTH(L$7,-1)+1,종목관리대장!$N:$N,"&lt;="&amp;L$7,종목관리대장!$Q:$Q,$D55)</f>
        <v>0</v>
      </c>
      <c r="M55" s="97">
        <f ca="1">SUMIFS(종목관리대장!$R:$R,종목관리대장!$N:$N,"&gt;="&amp;EOMONTH(M$7,-1)+1,종목관리대장!$N:$N,"&lt;="&amp;M$7,종목관리대장!$Q:$Q,$D55)</f>
        <v>0</v>
      </c>
      <c r="N55" s="97">
        <f ca="1">SUMIFS(종목관리대장!$R:$R,종목관리대장!$N:$N,"&gt;="&amp;EOMONTH(N$7,-1)+1,종목관리대장!$N:$N,"&lt;="&amp;N$7,종목관리대장!$Q:$Q,$D55)</f>
        <v>0</v>
      </c>
      <c r="O55" s="98">
        <v>0.8</v>
      </c>
      <c r="P55" s="93">
        <f t="shared" si="15"/>
        <v>4.4692737430167613E-2</v>
      </c>
      <c r="Q55" s="99">
        <f t="shared" si="13"/>
        <v>30.105027932960912</v>
      </c>
      <c r="R55" s="100">
        <f t="shared" si="4"/>
        <v>-30.105027932960912</v>
      </c>
      <c r="T55" s="127"/>
      <c r="U55" s="103" t="s">
        <v>3511</v>
      </c>
      <c r="V55" s="104"/>
      <c r="W55" s="104"/>
      <c r="X55" s="104"/>
      <c r="AH55" s="67"/>
      <c r="AI55" s="67"/>
      <c r="AJ55" s="67"/>
    </row>
    <row r="56" spans="1:36" hidden="1" x14ac:dyDescent="0.3">
      <c r="A56" s="90">
        <f t="shared" si="5"/>
        <v>0</v>
      </c>
      <c r="B56" s="91">
        <f t="shared" si="6"/>
        <v>-15.052513966480456</v>
      </c>
      <c r="C56" s="98"/>
      <c r="D56" s="107" t="s">
        <v>170</v>
      </c>
      <c r="E56" s="94" t="s">
        <v>139</v>
      </c>
      <c r="F56" s="95">
        <f t="shared" si="0"/>
        <v>0</v>
      </c>
      <c r="G56" s="96">
        <f>SUMIF(종목관리대장!Q:Q,$D56,종목관리대장!R:R)+SUM($W56:$X56)</f>
        <v>0</v>
      </c>
      <c r="H56" s="189">
        <f t="shared" si="14"/>
        <v>0</v>
      </c>
      <c r="I56" s="97">
        <f ca="1">COUNTIFS(종목관리대장!$N:$N,"&gt;="&amp;EOMONTH(I$7,-1)+1,종목관리대장!$N:$N,"&lt;="&amp;I$7,종목관리대장!$Q:$Q,$D56)</f>
        <v>0</v>
      </c>
      <c r="J56" s="97">
        <f ca="1">COUNTIFS(종목관리대장!$N:$N,"&gt;="&amp;EOMONTH(J$7,-1)+1,종목관리대장!$N:$N,"&lt;="&amp;J$7,종목관리대장!$Q:$Q,$D56)</f>
        <v>0</v>
      </c>
      <c r="K56" s="97">
        <f ca="1">COUNTIFS(종목관리대장!$N:$N,"&gt;="&amp;EOMONTH(K$7,-1)+1,종목관리대장!$N:$N,"&lt;="&amp;K$7,종목관리대장!$Q:$Q,$D56)</f>
        <v>0</v>
      </c>
      <c r="L56" s="97">
        <f ca="1">SUMIFS(종목관리대장!$R:$R,종목관리대장!$N:$N,"&gt;="&amp;EOMONTH(L$7,-1)+1,종목관리대장!$N:$N,"&lt;="&amp;L$7,종목관리대장!$Q:$Q,$D56)</f>
        <v>0</v>
      </c>
      <c r="M56" s="97">
        <f ca="1">SUMIFS(종목관리대장!$R:$R,종목관리대장!$N:$N,"&gt;="&amp;EOMONTH(M$7,-1)+1,종목관리대장!$N:$N,"&lt;="&amp;M$7,종목관리대장!$Q:$Q,$D56)</f>
        <v>0</v>
      </c>
      <c r="N56" s="97">
        <f ca="1">SUMIFS(종목관리대장!$R:$R,종목관리대장!$N:$N,"&gt;="&amp;EOMONTH(N$7,-1)+1,종목관리대장!$N:$N,"&lt;="&amp;N$7,종목관리대장!$Q:$Q,$D56)</f>
        <v>0</v>
      </c>
      <c r="O56" s="98">
        <v>0.4</v>
      </c>
      <c r="P56" s="93">
        <f t="shared" si="15"/>
        <v>2.2346368715083807E-2</v>
      </c>
      <c r="Q56" s="99">
        <f t="shared" si="13"/>
        <v>15.052513966480456</v>
      </c>
      <c r="R56" s="100">
        <f t="shared" si="4"/>
        <v>-15.052513966480456</v>
      </c>
      <c r="S56" s="101"/>
      <c r="T56" s="123" t="s">
        <v>76</v>
      </c>
      <c r="U56" s="103" t="s">
        <v>3511</v>
      </c>
      <c r="V56" s="104"/>
      <c r="W56" s="104"/>
      <c r="X56" s="104"/>
      <c r="AH56" s="67"/>
      <c r="AI56" s="67"/>
      <c r="AJ56" s="67"/>
    </row>
    <row r="57" spans="1:36" hidden="1" x14ac:dyDescent="0.3">
      <c r="A57" s="90">
        <f t="shared" si="5"/>
        <v>0</v>
      </c>
      <c r="B57" s="91">
        <f t="shared" si="6"/>
        <v>-22.578770949720678</v>
      </c>
      <c r="C57" s="98"/>
      <c r="D57" s="107" t="s">
        <v>138</v>
      </c>
      <c r="E57" s="94" t="s">
        <v>132</v>
      </c>
      <c r="F57" s="95">
        <f t="shared" ref="F57:F63" si="16">G57/Q57</f>
        <v>0</v>
      </c>
      <c r="G57" s="96">
        <f>SUMIF(종목관리대장!Q:Q,$D57,종목관리대장!R:R)+SUM($V57:$X57)</f>
        <v>0</v>
      </c>
      <c r="H57" s="189">
        <f t="shared" si="14"/>
        <v>0</v>
      </c>
      <c r="I57" s="177">
        <f ca="1">COUNTIFS(종목관리대장!$N:$N,"&gt;="&amp;EOMONTH(I$7,-1)+1,종목관리대장!$N:$N,"&lt;="&amp;I$7,종목관리대장!$Q:$Q,$D57)</f>
        <v>0</v>
      </c>
      <c r="J57" s="177">
        <f ca="1">COUNTIFS(종목관리대장!$N:$N,"&gt;="&amp;EOMONTH(J$7,-1)+1,종목관리대장!$N:$N,"&lt;="&amp;J$7,종목관리대장!$Q:$Q,$D57)</f>
        <v>0</v>
      </c>
      <c r="K57" s="177">
        <f ca="1">COUNTIFS(종목관리대장!$N:$N,"&gt;="&amp;EOMONTH(K$7,-1)+1,종목관리대장!$N:$N,"&lt;="&amp;K$7,종목관리대장!$Q:$Q,$D57)</f>
        <v>0</v>
      </c>
      <c r="L57" s="177">
        <f ca="1">SUMIFS(종목관리대장!$R:$R,종목관리대장!$N:$N,"&gt;="&amp;EOMONTH(L$7,-1)+1,종목관리대장!$N:$N,"&lt;="&amp;L$7,종목관리대장!$Q:$Q,$D57)</f>
        <v>0</v>
      </c>
      <c r="M57" s="177">
        <f ca="1">SUMIFS(종목관리대장!$R:$R,종목관리대장!$N:$N,"&gt;="&amp;EOMONTH(M$7,-1)+1,종목관리대장!$N:$N,"&lt;="&amp;M$7,종목관리대장!$Q:$Q,$D57)</f>
        <v>0</v>
      </c>
      <c r="N57" s="177">
        <f ca="1">SUMIFS(종목관리대장!$R:$R,종목관리대장!$N:$N,"&gt;="&amp;EOMONTH(N$7,-1)+1,종목관리대장!$N:$N,"&lt;="&amp;N$7,종목관리대장!$Q:$Q,$D57)</f>
        <v>0</v>
      </c>
      <c r="O57" s="98">
        <v>0.6</v>
      </c>
      <c r="P57" s="93">
        <f t="shared" si="15"/>
        <v>3.3519553072625705E-2</v>
      </c>
      <c r="Q57" s="99">
        <f t="shared" ref="Q57:Q63" si="17">AB$8*P57</f>
        <v>22.578770949720678</v>
      </c>
      <c r="R57" s="100">
        <f t="shared" ref="R57:R63" si="18">G57-Q57</f>
        <v>-22.578770949720678</v>
      </c>
      <c r="S57" s="101"/>
      <c r="T57" s="123" t="s">
        <v>76</v>
      </c>
      <c r="U57" s="103" t="s">
        <v>3511</v>
      </c>
      <c r="V57" s="104"/>
      <c r="W57" s="104"/>
      <c r="X57" s="104"/>
      <c r="AH57" s="67"/>
      <c r="AI57" s="67"/>
      <c r="AJ57" s="67"/>
    </row>
    <row r="58" spans="1:36" hidden="1" x14ac:dyDescent="0.3">
      <c r="A58" s="90">
        <f t="shared" si="5"/>
        <v>0</v>
      </c>
      <c r="B58" s="91">
        <f t="shared" si="6"/>
        <v>-26.341899441340793</v>
      </c>
      <c r="C58" s="98"/>
      <c r="D58" s="107" t="s">
        <v>162</v>
      </c>
      <c r="E58" s="94" t="s">
        <v>152</v>
      </c>
      <c r="F58" s="95">
        <f t="shared" si="16"/>
        <v>0</v>
      </c>
      <c r="G58" s="96">
        <f>SUMIF(종목관리대장!Q:Q,$D58,종목관리대장!R:R)+SUM($V58:$X58)</f>
        <v>0</v>
      </c>
      <c r="H58" s="189">
        <f t="shared" si="14"/>
        <v>0</v>
      </c>
      <c r="I58" s="177">
        <f ca="1">COUNTIFS(종목관리대장!$N:$N,"&gt;="&amp;EOMONTH(I$7,-1)+1,종목관리대장!$N:$N,"&lt;="&amp;I$7,종목관리대장!$Q:$Q,$D58)</f>
        <v>0</v>
      </c>
      <c r="J58" s="177">
        <f ca="1">COUNTIFS(종목관리대장!$N:$N,"&gt;="&amp;EOMONTH(J$7,-1)+1,종목관리대장!$N:$N,"&lt;="&amp;J$7,종목관리대장!$Q:$Q,$D58)</f>
        <v>0</v>
      </c>
      <c r="K58" s="177">
        <f ca="1">COUNTIFS(종목관리대장!$N:$N,"&gt;="&amp;EOMONTH(K$7,-1)+1,종목관리대장!$N:$N,"&lt;="&amp;K$7,종목관리대장!$Q:$Q,$D58)</f>
        <v>0</v>
      </c>
      <c r="L58" s="177">
        <f ca="1">SUMIFS(종목관리대장!$R:$R,종목관리대장!$N:$N,"&gt;="&amp;EOMONTH(L$7,-1)+1,종목관리대장!$N:$N,"&lt;="&amp;L$7,종목관리대장!$Q:$Q,$D58)</f>
        <v>0</v>
      </c>
      <c r="M58" s="177">
        <f ca="1">SUMIFS(종목관리대장!$R:$R,종목관리대장!$N:$N,"&gt;="&amp;EOMONTH(M$7,-1)+1,종목관리대장!$N:$N,"&lt;="&amp;M$7,종목관리대장!$Q:$Q,$D58)</f>
        <v>0</v>
      </c>
      <c r="N58" s="177">
        <f ca="1">SUMIFS(종목관리대장!$R:$R,종목관리대장!$N:$N,"&gt;="&amp;EOMONTH(N$7,-1)+1,종목관리대장!$N:$N,"&lt;="&amp;N$7,종목관리대장!$Q:$Q,$D58)</f>
        <v>0</v>
      </c>
      <c r="O58" s="98">
        <v>0.7</v>
      </c>
      <c r="P58" s="93">
        <f t="shared" si="15"/>
        <v>3.9106145251396655E-2</v>
      </c>
      <c r="Q58" s="99">
        <f t="shared" si="17"/>
        <v>26.341899441340793</v>
      </c>
      <c r="R58" s="100">
        <f t="shared" si="18"/>
        <v>-26.341899441340793</v>
      </c>
      <c r="S58" s="101"/>
      <c r="T58" s="123" t="s">
        <v>163</v>
      </c>
      <c r="U58" s="103" t="s">
        <v>3511</v>
      </c>
      <c r="V58" s="104"/>
      <c r="W58" s="104"/>
      <c r="X58" s="104"/>
      <c r="AH58" s="67"/>
      <c r="AI58" s="67"/>
      <c r="AJ58" s="67"/>
    </row>
    <row r="59" spans="1:36" hidden="1" x14ac:dyDescent="0.3">
      <c r="A59" s="90">
        <f t="shared" si="5"/>
        <v>0</v>
      </c>
      <c r="B59" s="91">
        <f t="shared" si="6"/>
        <v>-22.578770949720678</v>
      </c>
      <c r="C59" s="98"/>
      <c r="D59" s="107" t="s">
        <v>168</v>
      </c>
      <c r="E59" s="94" t="s">
        <v>132</v>
      </c>
      <c r="F59" s="95">
        <f t="shared" si="16"/>
        <v>0</v>
      </c>
      <c r="G59" s="96">
        <f>SUMIF(종목관리대장!Q:Q,$D59,종목관리대장!R:R)+SUM($V59:$X59)</f>
        <v>0</v>
      </c>
      <c r="H59" s="189">
        <f t="shared" si="14"/>
        <v>0</v>
      </c>
      <c r="I59" s="177">
        <f ca="1">COUNTIFS(종목관리대장!$N:$N,"&gt;="&amp;EOMONTH(I$7,-1)+1,종목관리대장!$N:$N,"&lt;="&amp;I$7,종목관리대장!$Q:$Q,$D59)</f>
        <v>0</v>
      </c>
      <c r="J59" s="177">
        <f ca="1">COUNTIFS(종목관리대장!$N:$N,"&gt;="&amp;EOMONTH(J$7,-1)+1,종목관리대장!$N:$N,"&lt;="&amp;J$7,종목관리대장!$Q:$Q,$D59)</f>
        <v>0</v>
      </c>
      <c r="K59" s="177">
        <f ca="1">COUNTIFS(종목관리대장!$N:$N,"&gt;="&amp;EOMONTH(K$7,-1)+1,종목관리대장!$N:$N,"&lt;="&amp;K$7,종목관리대장!$Q:$Q,$D59)</f>
        <v>0</v>
      </c>
      <c r="L59" s="177">
        <f ca="1">SUMIFS(종목관리대장!$R:$R,종목관리대장!$N:$N,"&gt;="&amp;EOMONTH(L$7,-1)+1,종목관리대장!$N:$N,"&lt;="&amp;L$7,종목관리대장!$Q:$Q,$D59)</f>
        <v>0</v>
      </c>
      <c r="M59" s="177">
        <f ca="1">SUMIFS(종목관리대장!$R:$R,종목관리대장!$N:$N,"&gt;="&amp;EOMONTH(M$7,-1)+1,종목관리대장!$N:$N,"&lt;="&amp;M$7,종목관리대장!$Q:$Q,$D59)</f>
        <v>0</v>
      </c>
      <c r="N59" s="177">
        <f ca="1">SUMIFS(종목관리대장!$R:$R,종목관리대장!$N:$N,"&gt;="&amp;EOMONTH(N$7,-1)+1,종목관리대장!$N:$N,"&lt;="&amp;N$7,종목관리대장!$Q:$Q,$D59)</f>
        <v>0</v>
      </c>
      <c r="O59" s="98">
        <v>0.6</v>
      </c>
      <c r="P59" s="93">
        <f t="shared" si="15"/>
        <v>3.3519553072625705E-2</v>
      </c>
      <c r="Q59" s="99">
        <f t="shared" si="17"/>
        <v>22.578770949720678</v>
      </c>
      <c r="R59" s="100">
        <f t="shared" si="18"/>
        <v>-22.578770949720678</v>
      </c>
      <c r="S59" s="101"/>
      <c r="T59" s="123" t="s">
        <v>169</v>
      </c>
      <c r="U59" s="103" t="s">
        <v>3511</v>
      </c>
      <c r="V59" s="104"/>
      <c r="W59" s="104"/>
      <c r="X59" s="104"/>
      <c r="AH59" s="67"/>
      <c r="AI59" s="67"/>
      <c r="AJ59" s="67"/>
    </row>
    <row r="60" spans="1:36" hidden="1" x14ac:dyDescent="0.3">
      <c r="A60" s="90">
        <f t="shared" si="5"/>
        <v>0</v>
      </c>
      <c r="B60" s="91">
        <f t="shared" si="6"/>
        <v>-35.749720670391078</v>
      </c>
      <c r="C60" s="98"/>
      <c r="D60" s="107" t="s">
        <v>148</v>
      </c>
      <c r="E60" s="94" t="s">
        <v>149</v>
      </c>
      <c r="F60" s="95">
        <f t="shared" si="16"/>
        <v>0</v>
      </c>
      <c r="G60" s="96">
        <f>SUMIF(종목관리대장!Q:Q,$D60,종목관리대장!R:R)+SUM($V60:$X60)</f>
        <v>0</v>
      </c>
      <c r="H60" s="189">
        <f t="shared" si="14"/>
        <v>0</v>
      </c>
      <c r="I60" s="177">
        <f ca="1">COUNTIFS(종목관리대장!$N:$N,"&gt;="&amp;EOMONTH(I$7,-1)+1,종목관리대장!$N:$N,"&lt;="&amp;I$7,종목관리대장!$Q:$Q,$D60)</f>
        <v>0</v>
      </c>
      <c r="J60" s="177">
        <f ca="1">COUNTIFS(종목관리대장!$N:$N,"&gt;="&amp;EOMONTH(J$7,-1)+1,종목관리대장!$N:$N,"&lt;="&amp;J$7,종목관리대장!$Q:$Q,$D60)</f>
        <v>0</v>
      </c>
      <c r="K60" s="177">
        <f ca="1">COUNTIFS(종목관리대장!$N:$N,"&gt;="&amp;EOMONTH(K$7,-1)+1,종목관리대장!$N:$N,"&lt;="&amp;K$7,종목관리대장!$Q:$Q,$D60)</f>
        <v>0</v>
      </c>
      <c r="L60" s="177">
        <f ca="1">SUMIFS(종목관리대장!$R:$R,종목관리대장!$N:$N,"&gt;="&amp;EOMONTH(L$7,-1)+1,종목관리대장!$N:$N,"&lt;="&amp;L$7,종목관리대장!$Q:$Q,$D60)</f>
        <v>0</v>
      </c>
      <c r="M60" s="177">
        <f ca="1">SUMIFS(종목관리대장!$R:$R,종목관리대장!$N:$N,"&gt;="&amp;EOMONTH(M$7,-1)+1,종목관리대장!$N:$N,"&lt;="&amp;M$7,종목관리대장!$Q:$Q,$D60)</f>
        <v>0</v>
      </c>
      <c r="N60" s="177">
        <f ca="1">SUMIFS(종목관리대장!$R:$R,종목관리대장!$N:$N,"&gt;="&amp;EOMONTH(N$7,-1)+1,종목관리대장!$N:$N,"&lt;="&amp;N$7,종목관리대장!$Q:$Q,$D60)</f>
        <v>0</v>
      </c>
      <c r="O60" s="98">
        <v>0.95</v>
      </c>
      <c r="P60" s="93">
        <f t="shared" si="15"/>
        <v>5.3072625698324036E-2</v>
      </c>
      <c r="Q60" s="99">
        <f t="shared" si="17"/>
        <v>35.749720670391078</v>
      </c>
      <c r="R60" s="100">
        <f t="shared" si="18"/>
        <v>-35.749720670391078</v>
      </c>
      <c r="S60" s="181"/>
      <c r="T60" s="123"/>
      <c r="U60" s="183" t="s">
        <v>3533</v>
      </c>
      <c r="V60" s="184"/>
      <c r="W60" s="104"/>
      <c r="X60" s="104"/>
      <c r="AH60" s="67"/>
      <c r="AI60" s="67"/>
      <c r="AJ60" s="67"/>
    </row>
    <row r="61" spans="1:36" hidden="1" x14ac:dyDescent="0.3">
      <c r="A61" s="90">
        <f t="shared" si="5"/>
        <v>0</v>
      </c>
      <c r="B61" s="91">
        <f t="shared" si="6"/>
        <v>-30.105027932960912</v>
      </c>
      <c r="C61" s="98"/>
      <c r="D61" s="107" t="s">
        <v>157</v>
      </c>
      <c r="E61" s="94" t="s">
        <v>152</v>
      </c>
      <c r="F61" s="95">
        <f t="shared" si="16"/>
        <v>0</v>
      </c>
      <c r="G61" s="96">
        <f>SUMIF(종목관리대장!Q:Q,$D61,종목관리대장!R:R)+SUM($V61:$X61)</f>
        <v>0</v>
      </c>
      <c r="H61" s="189">
        <f t="shared" si="14"/>
        <v>0</v>
      </c>
      <c r="I61" s="177">
        <f ca="1">COUNTIFS(종목관리대장!$N:$N,"&gt;="&amp;EOMONTH(I$7,-1)+1,종목관리대장!$N:$N,"&lt;="&amp;I$7,종목관리대장!$Q:$Q,$D61)</f>
        <v>0</v>
      </c>
      <c r="J61" s="177">
        <f ca="1">COUNTIFS(종목관리대장!$N:$N,"&gt;="&amp;EOMONTH(J$7,-1)+1,종목관리대장!$N:$N,"&lt;="&amp;J$7,종목관리대장!$Q:$Q,$D61)</f>
        <v>0</v>
      </c>
      <c r="K61" s="177">
        <f ca="1">COUNTIFS(종목관리대장!$N:$N,"&gt;="&amp;EOMONTH(K$7,-1)+1,종목관리대장!$N:$N,"&lt;="&amp;K$7,종목관리대장!$Q:$Q,$D61)</f>
        <v>0</v>
      </c>
      <c r="L61" s="177">
        <f ca="1">SUMIFS(종목관리대장!$R:$R,종목관리대장!$N:$N,"&gt;="&amp;EOMONTH(L$7,-1)+1,종목관리대장!$N:$N,"&lt;="&amp;L$7,종목관리대장!$Q:$Q,$D61)</f>
        <v>0</v>
      </c>
      <c r="M61" s="177">
        <f ca="1">SUMIFS(종목관리대장!$R:$R,종목관리대장!$N:$N,"&gt;="&amp;EOMONTH(M$7,-1)+1,종목관리대장!$N:$N,"&lt;="&amp;M$7,종목관리대장!$Q:$Q,$D61)</f>
        <v>0</v>
      </c>
      <c r="N61" s="177">
        <f ca="1">SUMIFS(종목관리대장!$R:$R,종목관리대장!$N:$N,"&gt;="&amp;EOMONTH(N$7,-1)+1,종목관리대장!$N:$N,"&lt;="&amp;N$7,종목관리대장!$Q:$Q,$D61)</f>
        <v>0</v>
      </c>
      <c r="O61" s="98">
        <v>0.8</v>
      </c>
      <c r="P61" s="93">
        <f t="shared" si="15"/>
        <v>4.4692737430167613E-2</v>
      </c>
      <c r="Q61" s="99">
        <f t="shared" si="17"/>
        <v>30.105027932960912</v>
      </c>
      <c r="R61" s="100">
        <f t="shared" si="18"/>
        <v>-30.105027932960912</v>
      </c>
      <c r="S61" s="181"/>
      <c r="T61" s="123" t="s">
        <v>155</v>
      </c>
      <c r="U61" s="183" t="s">
        <v>3533</v>
      </c>
      <c r="V61" s="184"/>
      <c r="W61" s="104"/>
      <c r="X61" s="104"/>
      <c r="AH61" s="67"/>
      <c r="AI61" s="67"/>
      <c r="AJ61" s="67"/>
    </row>
    <row r="62" spans="1:36" hidden="1" x14ac:dyDescent="0.3">
      <c r="A62" s="90">
        <f t="shared" si="5"/>
        <v>0</v>
      </c>
      <c r="B62" s="91">
        <f t="shared" si="6"/>
        <v>-33.868156424581024</v>
      </c>
      <c r="C62" s="98"/>
      <c r="D62" s="107" t="s">
        <v>123</v>
      </c>
      <c r="E62" s="94" t="s">
        <v>124</v>
      </c>
      <c r="F62" s="95">
        <f t="shared" si="16"/>
        <v>0</v>
      </c>
      <c r="G62" s="96">
        <f>SUMIF(종목관리대장!Q:Q,$D62,종목관리대장!R:R)+SUM($V62:$X62)</f>
        <v>0</v>
      </c>
      <c r="H62" s="189">
        <f t="shared" si="14"/>
        <v>0</v>
      </c>
      <c r="I62" s="177">
        <f ca="1">COUNTIFS(종목관리대장!$N:$N,"&gt;="&amp;EOMONTH(I$7,-1)+1,종목관리대장!$N:$N,"&lt;="&amp;I$7,종목관리대장!$Q:$Q,$D62)</f>
        <v>0</v>
      </c>
      <c r="J62" s="177">
        <f ca="1">COUNTIFS(종목관리대장!$N:$N,"&gt;="&amp;EOMONTH(J$7,-1)+1,종목관리대장!$N:$N,"&lt;="&amp;J$7,종목관리대장!$Q:$Q,$D62)</f>
        <v>0</v>
      </c>
      <c r="K62" s="177">
        <f ca="1">COUNTIFS(종목관리대장!$N:$N,"&gt;="&amp;EOMONTH(K$7,-1)+1,종목관리대장!$N:$N,"&lt;="&amp;K$7,종목관리대장!$Q:$Q,$D62)</f>
        <v>0</v>
      </c>
      <c r="L62" s="177">
        <f ca="1">SUMIFS(종목관리대장!$R:$R,종목관리대장!$N:$N,"&gt;="&amp;EOMONTH(L$7,-1)+1,종목관리대장!$N:$N,"&lt;="&amp;L$7,종목관리대장!$Q:$Q,$D62)</f>
        <v>0</v>
      </c>
      <c r="M62" s="177">
        <f ca="1">SUMIFS(종목관리대장!$R:$R,종목관리대장!$N:$N,"&gt;="&amp;EOMONTH(M$7,-1)+1,종목관리대장!$N:$N,"&lt;="&amp;M$7,종목관리대장!$Q:$Q,$D62)</f>
        <v>0</v>
      </c>
      <c r="N62" s="177">
        <f ca="1">SUMIFS(종목관리대장!$R:$R,종목관리대장!$N:$N,"&gt;="&amp;EOMONTH(N$7,-1)+1,종목관리대장!$N:$N,"&lt;="&amp;N$7,종목관리대장!$Q:$Q,$D62)</f>
        <v>0</v>
      </c>
      <c r="O62" s="98">
        <v>0.9</v>
      </c>
      <c r="P62" s="93">
        <f t="shared" si="15"/>
        <v>5.0279329608938564E-2</v>
      </c>
      <c r="Q62" s="99">
        <f t="shared" si="17"/>
        <v>33.868156424581024</v>
      </c>
      <c r="R62" s="100">
        <f t="shared" si="18"/>
        <v>-33.868156424581024</v>
      </c>
      <c r="S62" s="181"/>
      <c r="T62" s="123"/>
      <c r="U62" s="183" t="s">
        <v>3558</v>
      </c>
      <c r="V62" s="184"/>
      <c r="W62" s="104"/>
      <c r="X62" s="104"/>
      <c r="AH62" s="67"/>
      <c r="AI62" s="67"/>
      <c r="AJ62" s="67"/>
    </row>
    <row r="63" spans="1:36" hidden="1" x14ac:dyDescent="0.3">
      <c r="A63" s="90">
        <f t="shared" si="5"/>
        <v>0</v>
      </c>
      <c r="B63" s="91">
        <f t="shared" si="6"/>
        <v>-26.341899441340793</v>
      </c>
      <c r="C63" s="98"/>
      <c r="D63" s="107" t="s">
        <v>3508</v>
      </c>
      <c r="E63" s="94" t="s">
        <v>166</v>
      </c>
      <c r="F63" s="95">
        <f t="shared" si="16"/>
        <v>0</v>
      </c>
      <c r="G63" s="96">
        <f>SUMIF(종목관리대장!Q:Q,$D63,종목관리대장!R:R)+SUM($V63:$X63)</f>
        <v>0</v>
      </c>
      <c r="H63" s="189">
        <f t="shared" si="14"/>
        <v>0</v>
      </c>
      <c r="I63" s="177">
        <f ca="1">COUNTIFS(종목관리대장!$N:$N,"&gt;="&amp;EOMONTH(I$7,-1)+1,종목관리대장!$N:$N,"&lt;="&amp;I$7,종목관리대장!$Q:$Q,$D63)</f>
        <v>0</v>
      </c>
      <c r="J63" s="177">
        <f ca="1">COUNTIFS(종목관리대장!$N:$N,"&gt;="&amp;EOMONTH(J$7,-1)+1,종목관리대장!$N:$N,"&lt;="&amp;J$7,종목관리대장!$Q:$Q,$D63)</f>
        <v>0</v>
      </c>
      <c r="K63" s="177">
        <f ca="1">COUNTIFS(종목관리대장!$N:$N,"&gt;="&amp;EOMONTH(K$7,-1)+1,종목관리대장!$N:$N,"&lt;="&amp;K$7,종목관리대장!$Q:$Q,$D63)</f>
        <v>0</v>
      </c>
      <c r="L63" s="177">
        <f ca="1">SUMIFS(종목관리대장!$R:$R,종목관리대장!$N:$N,"&gt;="&amp;EOMONTH(L$7,-1)+1,종목관리대장!$N:$N,"&lt;="&amp;L$7,종목관리대장!$Q:$Q,$D63)</f>
        <v>0</v>
      </c>
      <c r="M63" s="177">
        <f ca="1">SUMIFS(종목관리대장!$R:$R,종목관리대장!$N:$N,"&gt;="&amp;EOMONTH(M$7,-1)+1,종목관리대장!$N:$N,"&lt;="&amp;M$7,종목관리대장!$Q:$Q,$D63)</f>
        <v>0</v>
      </c>
      <c r="N63" s="177">
        <f ca="1">SUMIFS(종목관리대장!$R:$R,종목관리대장!$N:$N,"&gt;="&amp;EOMONTH(N$7,-1)+1,종목관리대장!$N:$N,"&lt;="&amp;N$7,종목관리대장!$Q:$Q,$D63)</f>
        <v>0</v>
      </c>
      <c r="O63" s="98">
        <v>0.7</v>
      </c>
      <c r="P63" s="93">
        <f t="shared" si="15"/>
        <v>3.9106145251396655E-2</v>
      </c>
      <c r="Q63" s="99">
        <f t="shared" si="17"/>
        <v>26.341899441340793</v>
      </c>
      <c r="R63" s="100">
        <f t="shared" si="18"/>
        <v>-26.341899441340793</v>
      </c>
      <c r="S63" s="181"/>
      <c r="T63" s="226" t="s">
        <v>3507</v>
      </c>
      <c r="U63" s="183" t="s">
        <v>3558</v>
      </c>
      <c r="V63" s="104"/>
      <c r="W63" s="104"/>
      <c r="X63" s="104"/>
      <c r="AH63" s="67"/>
      <c r="AI63" s="67"/>
      <c r="AJ63" s="67"/>
    </row>
    <row r="64" spans="1:36" hidden="1" x14ac:dyDescent="0.3">
      <c r="A64" s="90">
        <f t="shared" si="5"/>
        <v>0</v>
      </c>
      <c r="B64" s="91">
        <f t="shared" si="6"/>
        <v>-35.749720670391078</v>
      </c>
      <c r="C64" s="98"/>
      <c r="D64" s="107" t="s">
        <v>3520</v>
      </c>
      <c r="E64" s="94" t="s">
        <v>144</v>
      </c>
      <c r="F64" s="95">
        <f t="shared" ref="F64:F69" si="19">G64/Q64</f>
        <v>0</v>
      </c>
      <c r="G64" s="96">
        <f>SUMIF(종목관리대장!Q:Q,$D64,종목관리대장!R:R)+SUM($V64:$X64)</f>
        <v>0</v>
      </c>
      <c r="H64" s="189">
        <f t="shared" si="14"/>
        <v>0</v>
      </c>
      <c r="I64" s="177">
        <f ca="1">COUNTIFS(종목관리대장!$N:$N,"&gt;="&amp;EOMONTH(I$7,-1)+1,종목관리대장!$N:$N,"&lt;="&amp;I$7,종목관리대장!$Q:$Q,$D64)</f>
        <v>0</v>
      </c>
      <c r="J64" s="177">
        <f ca="1">COUNTIFS(종목관리대장!$N:$N,"&gt;="&amp;EOMONTH(J$7,-1)+1,종목관리대장!$N:$N,"&lt;="&amp;J$7,종목관리대장!$Q:$Q,$D64)</f>
        <v>0</v>
      </c>
      <c r="K64" s="177">
        <f ca="1">COUNTIFS(종목관리대장!$N:$N,"&gt;="&amp;EOMONTH(K$7,-1)+1,종목관리대장!$N:$N,"&lt;="&amp;K$7,종목관리대장!$Q:$Q,$D64)</f>
        <v>0</v>
      </c>
      <c r="L64" s="177">
        <f ca="1">SUMIFS(종목관리대장!$R:$R,종목관리대장!$N:$N,"&gt;="&amp;EOMONTH(L$7,-1)+1,종목관리대장!$N:$N,"&lt;="&amp;L$7,종목관리대장!$Q:$Q,$D64)</f>
        <v>0</v>
      </c>
      <c r="M64" s="177">
        <f ca="1">SUMIFS(종목관리대장!$R:$R,종목관리대장!$N:$N,"&gt;="&amp;EOMONTH(M$7,-1)+1,종목관리대장!$N:$N,"&lt;="&amp;M$7,종목관리대장!$Q:$Q,$D64)</f>
        <v>0</v>
      </c>
      <c r="N64" s="177">
        <f ca="1">SUMIFS(종목관리대장!$R:$R,종목관리대장!$N:$N,"&gt;="&amp;EOMONTH(N$7,-1)+1,종목관리대장!$N:$N,"&lt;="&amp;N$7,종목관리대장!$Q:$Q,$D64)</f>
        <v>0</v>
      </c>
      <c r="O64" s="98">
        <v>0.95</v>
      </c>
      <c r="P64" s="93">
        <f t="shared" si="15"/>
        <v>5.3072625698324036E-2</v>
      </c>
      <c r="Q64" s="99">
        <f t="shared" ref="Q64:Q69" si="20">AB$8*P64</f>
        <v>35.749720670391078</v>
      </c>
      <c r="R64" s="100">
        <f t="shared" ref="R64:R69" si="21">G64-Q64</f>
        <v>-35.749720670391078</v>
      </c>
      <c r="S64" s="181"/>
      <c r="T64" s="123"/>
      <c r="U64" s="183" t="s">
        <v>3558</v>
      </c>
      <c r="V64" s="184"/>
      <c r="W64" s="104"/>
      <c r="X64" s="104"/>
      <c r="AH64" s="67"/>
      <c r="AI64" s="67"/>
      <c r="AJ64" s="67"/>
    </row>
    <row r="65" spans="1:36" hidden="1" x14ac:dyDescent="0.3">
      <c r="A65" s="90">
        <f t="shared" si="5"/>
        <v>0</v>
      </c>
      <c r="B65" s="91">
        <f t="shared" si="6"/>
        <v>-30.105027932960912</v>
      </c>
      <c r="C65" s="98"/>
      <c r="D65" s="107" t="s">
        <v>126</v>
      </c>
      <c r="E65" s="94" t="s">
        <v>127</v>
      </c>
      <c r="F65" s="95">
        <f t="shared" si="19"/>
        <v>0</v>
      </c>
      <c r="G65" s="96">
        <f>SUMIF(종목관리대장!Q:Q,$D65,종목관리대장!R:R)+SUM($V65:$X65)</f>
        <v>0</v>
      </c>
      <c r="H65" s="189">
        <f t="shared" si="14"/>
        <v>0</v>
      </c>
      <c r="I65" s="177">
        <f ca="1">COUNTIFS(종목관리대장!$N:$N,"&gt;="&amp;EOMONTH(I$7,-1)+1,종목관리대장!$N:$N,"&lt;="&amp;I$7,종목관리대장!$Q:$Q,$D65)</f>
        <v>0</v>
      </c>
      <c r="J65" s="177">
        <f ca="1">COUNTIFS(종목관리대장!$N:$N,"&gt;="&amp;EOMONTH(J$7,-1)+1,종목관리대장!$N:$N,"&lt;="&amp;J$7,종목관리대장!$Q:$Q,$D65)</f>
        <v>0</v>
      </c>
      <c r="K65" s="177">
        <f ca="1">COUNTIFS(종목관리대장!$N:$N,"&gt;="&amp;EOMONTH(K$7,-1)+1,종목관리대장!$N:$N,"&lt;="&amp;K$7,종목관리대장!$Q:$Q,$D65)</f>
        <v>0</v>
      </c>
      <c r="L65" s="177">
        <f ca="1">SUMIFS(종목관리대장!$R:$R,종목관리대장!$N:$N,"&gt;="&amp;EOMONTH(L$7,-1)+1,종목관리대장!$N:$N,"&lt;="&amp;L$7,종목관리대장!$Q:$Q,$D65)</f>
        <v>0</v>
      </c>
      <c r="M65" s="177">
        <f ca="1">SUMIFS(종목관리대장!$R:$R,종목관리대장!$N:$N,"&gt;="&amp;EOMONTH(M$7,-1)+1,종목관리대장!$N:$N,"&lt;="&amp;M$7,종목관리대장!$Q:$Q,$D65)</f>
        <v>0</v>
      </c>
      <c r="N65" s="177">
        <f ca="1">SUMIFS(종목관리대장!$R:$R,종목관리대장!$N:$N,"&gt;="&amp;EOMONTH(N$7,-1)+1,종목관리대장!$N:$N,"&lt;="&amp;N$7,종목관리대장!$Q:$Q,$D65)</f>
        <v>0</v>
      </c>
      <c r="O65" s="98">
        <v>0.8</v>
      </c>
      <c r="P65" s="93">
        <f t="shared" si="15"/>
        <v>4.4692737430167613E-2</v>
      </c>
      <c r="Q65" s="99">
        <f t="shared" si="20"/>
        <v>30.105027932960912</v>
      </c>
      <c r="R65" s="100">
        <f t="shared" si="21"/>
        <v>-30.105027932960912</v>
      </c>
      <c r="S65" s="181"/>
      <c r="T65" s="123"/>
      <c r="U65" s="183" t="s">
        <v>3560</v>
      </c>
      <c r="V65" s="184"/>
      <c r="W65" s="104"/>
      <c r="X65" s="104"/>
      <c r="AH65" s="67"/>
      <c r="AI65" s="67"/>
      <c r="AJ65" s="67"/>
    </row>
    <row r="66" spans="1:36" hidden="1" x14ac:dyDescent="0.3">
      <c r="A66" s="90">
        <f t="shared" si="5"/>
        <v>0</v>
      </c>
      <c r="B66" s="91">
        <f t="shared" si="6"/>
        <v>-30.105027932960912</v>
      </c>
      <c r="C66" s="98"/>
      <c r="D66" s="107" t="s">
        <v>128</v>
      </c>
      <c r="E66" s="94" t="s">
        <v>129</v>
      </c>
      <c r="F66" s="95">
        <f t="shared" si="19"/>
        <v>0</v>
      </c>
      <c r="G66" s="96">
        <f>SUMIF(종목관리대장!Q:Q,$D66,종목관리대장!R:R)+SUM($V66:$X66)</f>
        <v>0</v>
      </c>
      <c r="H66" s="189">
        <f t="shared" si="14"/>
        <v>0</v>
      </c>
      <c r="I66" s="177">
        <f ca="1">COUNTIFS(종목관리대장!$N:$N,"&gt;="&amp;EOMONTH(I$7,-1)+1,종목관리대장!$N:$N,"&lt;="&amp;I$7,종목관리대장!$Q:$Q,$D66)</f>
        <v>0</v>
      </c>
      <c r="J66" s="177">
        <f ca="1">COUNTIFS(종목관리대장!$N:$N,"&gt;="&amp;EOMONTH(J$7,-1)+1,종목관리대장!$N:$N,"&lt;="&amp;J$7,종목관리대장!$Q:$Q,$D66)</f>
        <v>0</v>
      </c>
      <c r="K66" s="177">
        <f ca="1">COUNTIFS(종목관리대장!$N:$N,"&gt;="&amp;EOMONTH(K$7,-1)+1,종목관리대장!$N:$N,"&lt;="&amp;K$7,종목관리대장!$Q:$Q,$D66)</f>
        <v>0</v>
      </c>
      <c r="L66" s="177">
        <f ca="1">SUMIFS(종목관리대장!$R:$R,종목관리대장!$N:$N,"&gt;="&amp;EOMONTH(L$7,-1)+1,종목관리대장!$N:$N,"&lt;="&amp;L$7,종목관리대장!$Q:$Q,$D66)</f>
        <v>0</v>
      </c>
      <c r="M66" s="177">
        <f ca="1">SUMIFS(종목관리대장!$R:$R,종목관리대장!$N:$N,"&gt;="&amp;EOMONTH(M$7,-1)+1,종목관리대장!$N:$N,"&lt;="&amp;M$7,종목관리대장!$Q:$Q,$D66)</f>
        <v>0</v>
      </c>
      <c r="N66" s="177">
        <f ca="1">SUMIFS(종목관리대장!$R:$R,종목관리대장!$N:$N,"&gt;="&amp;EOMONTH(N$7,-1)+1,종목관리대장!$N:$N,"&lt;="&amp;N$7,종목관리대장!$Q:$Q,$D66)</f>
        <v>0</v>
      </c>
      <c r="O66" s="98">
        <v>0.8</v>
      </c>
      <c r="P66" s="93">
        <f t="shared" si="15"/>
        <v>4.4692737430167613E-2</v>
      </c>
      <c r="Q66" s="99">
        <f t="shared" si="20"/>
        <v>30.105027932960912</v>
      </c>
      <c r="R66" s="100">
        <f t="shared" si="21"/>
        <v>-30.105027932960912</v>
      </c>
      <c r="S66" s="181"/>
      <c r="T66" s="123"/>
      <c r="U66" s="103" t="s">
        <v>3577</v>
      </c>
      <c r="V66" s="184"/>
      <c r="W66" s="104"/>
      <c r="X66" s="104"/>
      <c r="AH66" s="67"/>
      <c r="AI66" s="67"/>
      <c r="AJ66" s="67"/>
    </row>
    <row r="67" spans="1:36" hidden="1" x14ac:dyDescent="0.3">
      <c r="A67" s="90">
        <f t="shared" si="5"/>
        <v>0</v>
      </c>
      <c r="B67" s="91">
        <f t="shared" si="6"/>
        <v>-30.105027932960912</v>
      </c>
      <c r="C67" s="98"/>
      <c r="D67" s="107" t="s">
        <v>131</v>
      </c>
      <c r="E67" s="94" t="s">
        <v>132</v>
      </c>
      <c r="F67" s="95">
        <f t="shared" si="19"/>
        <v>0</v>
      </c>
      <c r="G67" s="96">
        <f>SUMIF(종목관리대장!Q:Q,$D67,종목관리대장!R:R)+SUM($V67:$X67)</f>
        <v>0</v>
      </c>
      <c r="H67" s="189">
        <f t="shared" si="14"/>
        <v>0</v>
      </c>
      <c r="I67" s="177">
        <f ca="1">COUNTIFS(종목관리대장!$N:$N,"&gt;="&amp;EOMONTH(I$7,-1)+1,종목관리대장!$N:$N,"&lt;="&amp;I$7,종목관리대장!$Q:$Q,$D67)</f>
        <v>0</v>
      </c>
      <c r="J67" s="177">
        <f ca="1">COUNTIFS(종목관리대장!$N:$N,"&gt;="&amp;EOMONTH(J$7,-1)+1,종목관리대장!$N:$N,"&lt;="&amp;J$7,종목관리대장!$Q:$Q,$D67)</f>
        <v>0</v>
      </c>
      <c r="K67" s="177">
        <f ca="1">COUNTIFS(종목관리대장!$N:$N,"&gt;="&amp;EOMONTH(K$7,-1)+1,종목관리대장!$N:$N,"&lt;="&amp;K$7,종목관리대장!$Q:$Q,$D67)</f>
        <v>0</v>
      </c>
      <c r="L67" s="177">
        <f ca="1">SUMIFS(종목관리대장!$R:$R,종목관리대장!$N:$N,"&gt;="&amp;EOMONTH(L$7,-1)+1,종목관리대장!$N:$N,"&lt;="&amp;L$7,종목관리대장!$Q:$Q,$D67)</f>
        <v>0</v>
      </c>
      <c r="M67" s="177">
        <f ca="1">SUMIFS(종목관리대장!$R:$R,종목관리대장!$N:$N,"&gt;="&amp;EOMONTH(M$7,-1)+1,종목관리대장!$N:$N,"&lt;="&amp;M$7,종목관리대장!$Q:$Q,$D67)</f>
        <v>0</v>
      </c>
      <c r="N67" s="177">
        <f ca="1">SUMIFS(종목관리대장!$R:$R,종목관리대장!$N:$N,"&gt;="&amp;EOMONTH(N$7,-1)+1,종목관리대장!$N:$N,"&lt;="&amp;N$7,종목관리대장!$Q:$Q,$D67)</f>
        <v>0</v>
      </c>
      <c r="O67" s="98">
        <v>0.8</v>
      </c>
      <c r="P67" s="93">
        <f t="shared" si="15"/>
        <v>4.4692737430167613E-2</v>
      </c>
      <c r="Q67" s="99">
        <f t="shared" si="20"/>
        <v>30.105027932960912</v>
      </c>
      <c r="R67" s="100">
        <f t="shared" si="21"/>
        <v>-30.105027932960912</v>
      </c>
      <c r="S67" s="181"/>
      <c r="T67" s="123" t="s">
        <v>133</v>
      </c>
      <c r="U67" s="103" t="s">
        <v>3577</v>
      </c>
      <c r="V67" s="184"/>
      <c r="W67" s="104"/>
      <c r="X67" s="104"/>
      <c r="AH67" s="67"/>
      <c r="AI67" s="67"/>
      <c r="AJ67" s="67"/>
    </row>
    <row r="68" spans="1:36" hidden="1" x14ac:dyDescent="0.3">
      <c r="A68" s="90">
        <f t="shared" si="5"/>
        <v>0</v>
      </c>
      <c r="B68" s="91">
        <f t="shared" si="6"/>
        <v>-15.052513966480456</v>
      </c>
      <c r="C68" s="98"/>
      <c r="D68" s="107" t="s">
        <v>3551</v>
      </c>
      <c r="E68" s="94" t="s">
        <v>3547</v>
      </c>
      <c r="F68" s="95">
        <f t="shared" si="19"/>
        <v>0</v>
      </c>
      <c r="G68" s="96">
        <f>SUMIF(종목관리대장!Q:Q,$D68,종목관리대장!R:R)+SUM($V68:$X68)</f>
        <v>0</v>
      </c>
      <c r="H68" s="189">
        <f t="shared" si="14"/>
        <v>0</v>
      </c>
      <c r="I68" s="177">
        <f ca="1">COUNTIFS(종목관리대장!$N:$N,"&gt;="&amp;EOMONTH(I$7,-1)+1,종목관리대장!$N:$N,"&lt;="&amp;I$7,종목관리대장!$Q:$Q,$D68)</f>
        <v>0</v>
      </c>
      <c r="J68" s="177">
        <f ca="1">COUNTIFS(종목관리대장!$N:$N,"&gt;="&amp;EOMONTH(J$7,-1)+1,종목관리대장!$N:$N,"&lt;="&amp;J$7,종목관리대장!$Q:$Q,$D68)</f>
        <v>0</v>
      </c>
      <c r="K68" s="177">
        <f ca="1">COUNTIFS(종목관리대장!$N:$N,"&gt;="&amp;EOMONTH(K$7,-1)+1,종목관리대장!$N:$N,"&lt;="&amp;K$7,종목관리대장!$Q:$Q,$D68)</f>
        <v>0</v>
      </c>
      <c r="L68" s="177">
        <f ca="1">SUMIFS(종목관리대장!$R:$R,종목관리대장!$N:$N,"&gt;="&amp;EOMONTH(L$7,-1)+1,종목관리대장!$N:$N,"&lt;="&amp;L$7,종목관리대장!$Q:$Q,$D68)</f>
        <v>0</v>
      </c>
      <c r="M68" s="177">
        <f ca="1">SUMIFS(종목관리대장!$R:$R,종목관리대장!$N:$N,"&gt;="&amp;EOMONTH(M$7,-1)+1,종목관리대장!$N:$N,"&lt;="&amp;M$7,종목관리대장!$Q:$Q,$D68)</f>
        <v>0</v>
      </c>
      <c r="N68" s="177">
        <f ca="1">SUMIFS(종목관리대장!$R:$R,종목관리대장!$N:$N,"&gt;="&amp;EOMONTH(N$7,-1)+1,종목관리대장!$N:$N,"&lt;="&amp;N$7,종목관리대장!$Q:$Q,$D68)</f>
        <v>0</v>
      </c>
      <c r="O68" s="98">
        <v>0.4</v>
      </c>
      <c r="P68" s="93">
        <f t="shared" si="15"/>
        <v>2.2346368715083807E-2</v>
      </c>
      <c r="Q68" s="99">
        <f t="shared" si="20"/>
        <v>15.052513966480456</v>
      </c>
      <c r="R68" s="100">
        <f t="shared" si="21"/>
        <v>-15.052513966480456</v>
      </c>
      <c r="S68" s="181"/>
      <c r="T68" s="123" t="s">
        <v>3553</v>
      </c>
      <c r="U68" s="103" t="s">
        <v>3577</v>
      </c>
      <c r="V68" s="104"/>
      <c r="W68" s="104"/>
      <c r="X68" s="104"/>
      <c r="AH68" s="67"/>
      <c r="AI68" s="67"/>
      <c r="AJ68" s="67"/>
    </row>
    <row r="69" spans="1:36" hidden="1" x14ac:dyDescent="0.3">
      <c r="A69" s="90">
        <f t="shared" si="5"/>
        <v>0</v>
      </c>
      <c r="B69" s="91">
        <f t="shared" si="6"/>
        <v>-5.6446927374301694</v>
      </c>
      <c r="C69" s="98"/>
      <c r="D69" s="107" t="s">
        <v>3585</v>
      </c>
      <c r="E69" s="94" t="s">
        <v>3547</v>
      </c>
      <c r="F69" s="95">
        <f t="shared" si="19"/>
        <v>0</v>
      </c>
      <c r="G69" s="96">
        <f>SUMIF(종목관리대장!Q:Q,$D69,종목관리대장!R:R)+SUM($V69:$X69)</f>
        <v>0</v>
      </c>
      <c r="H69" s="189">
        <f t="shared" si="14"/>
        <v>0</v>
      </c>
      <c r="I69" s="177">
        <f ca="1">COUNTIFS(종목관리대장!$N:$N,"&gt;="&amp;EOMONTH(I$7,-1)+1,종목관리대장!$N:$N,"&lt;="&amp;I$7,종목관리대장!$Q:$Q,$D69)</f>
        <v>0</v>
      </c>
      <c r="J69" s="177">
        <f ca="1">COUNTIFS(종목관리대장!$N:$N,"&gt;="&amp;EOMONTH(J$7,-1)+1,종목관리대장!$N:$N,"&lt;="&amp;J$7,종목관리대장!$Q:$Q,$D69)</f>
        <v>0</v>
      </c>
      <c r="K69" s="177">
        <f ca="1">COUNTIFS(종목관리대장!$N:$N,"&gt;="&amp;EOMONTH(K$7,-1)+1,종목관리대장!$N:$N,"&lt;="&amp;K$7,종목관리대장!$Q:$Q,$D69)</f>
        <v>0</v>
      </c>
      <c r="L69" s="177">
        <f ca="1">SUMIFS(종목관리대장!$R:$R,종목관리대장!$N:$N,"&gt;="&amp;EOMONTH(L$7,-1)+1,종목관리대장!$N:$N,"&lt;="&amp;L$7,종목관리대장!$Q:$Q,$D69)</f>
        <v>0</v>
      </c>
      <c r="M69" s="177">
        <f ca="1">SUMIFS(종목관리대장!$R:$R,종목관리대장!$N:$N,"&gt;="&amp;EOMONTH(M$7,-1)+1,종목관리대장!$N:$N,"&lt;="&amp;M$7,종목관리대장!$Q:$Q,$D69)</f>
        <v>0</v>
      </c>
      <c r="N69" s="177">
        <f ca="1">SUMIFS(종목관리대장!$R:$R,종목관리대장!$N:$N,"&gt;="&amp;EOMONTH(N$7,-1)+1,종목관리대장!$N:$N,"&lt;="&amp;N$7,종목관리대장!$Q:$Q,$D69)</f>
        <v>0</v>
      </c>
      <c r="O69" s="98">
        <v>0.15</v>
      </c>
      <c r="P69" s="93">
        <f t="shared" si="15"/>
        <v>8.3798882681564262E-3</v>
      </c>
      <c r="Q69" s="99">
        <f t="shared" si="20"/>
        <v>5.6446927374301694</v>
      </c>
      <c r="R69" s="100">
        <f t="shared" si="21"/>
        <v>-5.6446927374301694</v>
      </c>
      <c r="S69" s="181"/>
      <c r="T69" s="123" t="s">
        <v>3592</v>
      </c>
      <c r="U69" s="103" t="s">
        <v>3577</v>
      </c>
      <c r="V69" s="184"/>
      <c r="W69" s="104"/>
      <c r="X69" s="104"/>
      <c r="AH69" s="67"/>
      <c r="AI69" s="67"/>
      <c r="AJ69" s="67"/>
    </row>
    <row r="70" spans="1:36" hidden="1" x14ac:dyDescent="0.3">
      <c r="A70" s="90">
        <f>F70</f>
        <v>0</v>
      </c>
      <c r="B70" s="91">
        <f>R70</f>
        <v>-33.868156424581024</v>
      </c>
      <c r="C70" s="98"/>
      <c r="D70" s="107" t="s">
        <v>146</v>
      </c>
      <c r="E70" s="94" t="s">
        <v>147</v>
      </c>
      <c r="F70" s="95">
        <f>G70/Q70</f>
        <v>0</v>
      </c>
      <c r="G70" s="96">
        <f>SUMIF(종목관리대장!Q:Q,$D70,종목관리대장!R:R)+SUM($V70:$X70)</f>
        <v>0</v>
      </c>
      <c r="H70" s="189">
        <f t="shared" si="14"/>
        <v>0</v>
      </c>
      <c r="I70" s="177">
        <f ca="1">COUNTIFS(종목관리대장!$N:$N,"&gt;="&amp;EOMONTH(I$7,-1)+1,종목관리대장!$N:$N,"&lt;="&amp;I$7,종목관리대장!$Q:$Q,$D70)</f>
        <v>0</v>
      </c>
      <c r="J70" s="177">
        <f ca="1">COUNTIFS(종목관리대장!$N:$N,"&gt;="&amp;EOMONTH(J$7,-1)+1,종목관리대장!$N:$N,"&lt;="&amp;J$7,종목관리대장!$Q:$Q,$D70)</f>
        <v>0</v>
      </c>
      <c r="K70" s="177">
        <f ca="1">COUNTIFS(종목관리대장!$N:$N,"&gt;="&amp;EOMONTH(K$7,-1)+1,종목관리대장!$N:$N,"&lt;="&amp;K$7,종목관리대장!$Q:$Q,$D70)</f>
        <v>0</v>
      </c>
      <c r="L70" s="177">
        <f ca="1">SUMIFS(종목관리대장!$R:$R,종목관리대장!$N:$N,"&gt;="&amp;EOMONTH(L$7,-1)+1,종목관리대장!$N:$N,"&lt;="&amp;L$7,종목관리대장!$Q:$Q,$D70)</f>
        <v>0</v>
      </c>
      <c r="M70" s="177">
        <f ca="1">SUMIFS(종목관리대장!$R:$R,종목관리대장!$N:$N,"&gt;="&amp;EOMONTH(M$7,-1)+1,종목관리대장!$N:$N,"&lt;="&amp;M$7,종목관리대장!$Q:$Q,$D70)</f>
        <v>0</v>
      </c>
      <c r="N70" s="177">
        <f ca="1">SUMIFS(종목관리대장!$R:$R,종목관리대장!$N:$N,"&gt;="&amp;EOMONTH(N$7,-1)+1,종목관리대장!$N:$N,"&lt;="&amp;N$7,종목관리대장!$Q:$Q,$D70)</f>
        <v>0</v>
      </c>
      <c r="O70" s="98">
        <v>0.9</v>
      </c>
      <c r="P70" s="93">
        <f t="shared" si="15"/>
        <v>5.0279329608938564E-2</v>
      </c>
      <c r="Q70" s="99">
        <f>AB$8*P70</f>
        <v>33.868156424581024</v>
      </c>
      <c r="R70" s="100">
        <f>G70-Q70</f>
        <v>-33.868156424581024</v>
      </c>
      <c r="S70" s="181"/>
      <c r="T70" s="123"/>
      <c r="U70" s="183" t="s">
        <v>3511</v>
      </c>
      <c r="V70" s="184"/>
      <c r="W70" s="104"/>
      <c r="X70" s="104"/>
      <c r="AH70" s="67"/>
      <c r="AI70" s="67"/>
      <c r="AJ70" s="67"/>
    </row>
    <row r="71" spans="1:36" hidden="1" x14ac:dyDescent="0.3">
      <c r="A71" s="90">
        <f>F71</f>
        <v>0</v>
      </c>
      <c r="B71" s="91">
        <f>R71</f>
        <v>-26.341899441340793</v>
      </c>
      <c r="C71" s="98"/>
      <c r="D71" s="107" t="s">
        <v>3549</v>
      </c>
      <c r="E71" s="94" t="s">
        <v>3648</v>
      </c>
      <c r="F71" s="95">
        <f>G71/Q71</f>
        <v>0</v>
      </c>
      <c r="G71" s="96">
        <f>SUMIF(종목관리대장!Q:Q,$D71,종목관리대장!R:R)+SUM($V71:$X71)</f>
        <v>0</v>
      </c>
      <c r="H71" s="189">
        <f t="shared" si="14"/>
        <v>0</v>
      </c>
      <c r="I71" s="177">
        <f ca="1">COUNTIFS(종목관리대장!$N:$N,"&gt;="&amp;EOMONTH(I$7,-1)+1,종목관리대장!$N:$N,"&lt;="&amp;I$7,종목관리대장!$Q:$Q,$D71)</f>
        <v>0</v>
      </c>
      <c r="J71" s="177">
        <f ca="1">COUNTIFS(종목관리대장!$N:$N,"&gt;="&amp;EOMONTH(J$7,-1)+1,종목관리대장!$N:$N,"&lt;="&amp;J$7,종목관리대장!$Q:$Q,$D71)</f>
        <v>0</v>
      </c>
      <c r="K71" s="177">
        <f ca="1">COUNTIFS(종목관리대장!$N:$N,"&gt;="&amp;EOMONTH(K$7,-1)+1,종목관리대장!$N:$N,"&lt;="&amp;K$7,종목관리대장!$Q:$Q,$D71)</f>
        <v>0</v>
      </c>
      <c r="L71" s="177">
        <f ca="1">SUMIFS(종목관리대장!$R:$R,종목관리대장!$N:$N,"&gt;="&amp;EOMONTH(L$7,-1)+1,종목관리대장!$N:$N,"&lt;="&amp;L$7,종목관리대장!$Q:$Q,$D71)</f>
        <v>0</v>
      </c>
      <c r="M71" s="177">
        <f ca="1">SUMIFS(종목관리대장!$R:$R,종목관리대장!$N:$N,"&gt;="&amp;EOMONTH(M$7,-1)+1,종목관리대장!$N:$N,"&lt;="&amp;M$7,종목관리대장!$Q:$Q,$D71)</f>
        <v>0</v>
      </c>
      <c r="N71" s="177">
        <f ca="1">SUMIFS(종목관리대장!$R:$R,종목관리대장!$N:$N,"&gt;="&amp;EOMONTH(N$7,-1)+1,종목관리대장!$N:$N,"&lt;="&amp;N$7,종목관리대장!$Q:$Q,$D71)</f>
        <v>0</v>
      </c>
      <c r="O71" s="98">
        <v>0.7</v>
      </c>
      <c r="P71" s="93">
        <f t="shared" si="15"/>
        <v>3.9106145251396655E-2</v>
      </c>
      <c r="Q71" s="99">
        <f>AB$8*P71</f>
        <v>26.341899441340793</v>
      </c>
      <c r="R71" s="100">
        <f>G71-Q71</f>
        <v>-26.341899441340793</v>
      </c>
      <c r="S71" s="122" t="s">
        <v>3649</v>
      </c>
      <c r="T71" s="123" t="s">
        <v>3553</v>
      </c>
      <c r="U71" s="183" t="s">
        <v>3641</v>
      </c>
      <c r="V71" s="184"/>
      <c r="W71" s="104"/>
      <c r="X71" s="104"/>
      <c r="AH71" s="67"/>
      <c r="AI71" s="67"/>
      <c r="AJ71" s="67"/>
    </row>
    <row r="72" spans="1:36" hidden="1" x14ac:dyDescent="0.3">
      <c r="A72" s="90">
        <f>F72</f>
        <v>0</v>
      </c>
      <c r="B72" s="91">
        <f>R72</f>
        <v>-30.105027932960912</v>
      </c>
      <c r="C72" s="98"/>
      <c r="D72" s="215" t="s">
        <v>158</v>
      </c>
      <c r="E72" s="94" t="s">
        <v>152</v>
      </c>
      <c r="F72" s="126">
        <f>G72/Q72</f>
        <v>0</v>
      </c>
      <c r="G72" s="216">
        <f>SUMIF(종목관리대장!Q:Q,$D72,종목관리대장!R:R)+SUM($V72:$X72)</f>
        <v>0</v>
      </c>
      <c r="H72" s="217">
        <f>G72/$G$74</f>
        <v>0</v>
      </c>
      <c r="I72" s="177">
        <f ca="1">COUNTIFS(종목관리대장!$N:$N,"&gt;="&amp;EOMONTH(I$7,-1)+1,종목관리대장!$N:$N,"&lt;="&amp;I$7,종목관리대장!$Q:$Q,$D72)</f>
        <v>0</v>
      </c>
      <c r="J72" s="177">
        <f ca="1">COUNTIFS(종목관리대장!$N:$N,"&gt;="&amp;EOMONTH(J$7,-1)+1,종목관리대장!$N:$N,"&lt;="&amp;J$7,종목관리대장!$Q:$Q,$D72)</f>
        <v>0</v>
      </c>
      <c r="K72" s="177">
        <f ca="1">COUNTIFS(종목관리대장!$N:$N,"&gt;="&amp;EOMONTH(K$7,-1)+1,종목관리대장!$N:$N,"&lt;="&amp;K$7,종목관리대장!$Q:$Q,$D72)</f>
        <v>0</v>
      </c>
      <c r="L72" s="177">
        <f ca="1">SUMIFS(종목관리대장!$R:$R,종목관리대장!$N:$N,"&gt;="&amp;EOMONTH(L$7,-1)+1,종목관리대장!$N:$N,"&lt;="&amp;L$7,종목관리대장!$Q:$Q,$D72)</f>
        <v>0</v>
      </c>
      <c r="M72" s="177">
        <f ca="1">SUMIFS(종목관리대장!$R:$R,종목관리대장!$N:$N,"&gt;="&amp;EOMONTH(M$7,-1)+1,종목관리대장!$N:$N,"&lt;="&amp;M$7,종목관리대장!$Q:$Q,$D72)</f>
        <v>0</v>
      </c>
      <c r="N72" s="177">
        <f ca="1">SUMIFS(종목관리대장!$R:$R,종목관리대장!$N:$N,"&gt;="&amp;EOMONTH(N$7,-1)+1,종목관리대장!$N:$N,"&lt;="&amp;N$7,종목관리대장!$Q:$Q,$D72)</f>
        <v>0</v>
      </c>
      <c r="O72" s="98">
        <v>0.8</v>
      </c>
      <c r="P72" s="98">
        <f>O72/O$74</f>
        <v>4.4692737430167613E-2</v>
      </c>
      <c r="Q72" s="218">
        <f>AB$8*P72</f>
        <v>30.105027932960912</v>
      </c>
      <c r="R72" s="219">
        <f>G72-Q72</f>
        <v>-30.105027932960912</v>
      </c>
      <c r="S72" s="181"/>
      <c r="T72" s="205" t="s">
        <v>3653</v>
      </c>
      <c r="U72" s="183" t="s">
        <v>3511</v>
      </c>
      <c r="V72" s="184"/>
      <c r="W72" s="184"/>
      <c r="X72" s="184"/>
      <c r="AH72" s="67"/>
      <c r="AI72" s="67"/>
      <c r="AJ72" s="67"/>
    </row>
    <row r="73" spans="1:36" hidden="1" x14ac:dyDescent="0.3">
      <c r="A73" s="90">
        <f>F73</f>
        <v>0</v>
      </c>
      <c r="B73" s="91">
        <f>R73</f>
        <v>-30.105027932960912</v>
      </c>
      <c r="C73" s="227"/>
      <c r="D73" s="215" t="s">
        <v>164</v>
      </c>
      <c r="E73" s="94" t="s">
        <v>152</v>
      </c>
      <c r="F73" s="126">
        <f>G73/Q73</f>
        <v>0</v>
      </c>
      <c r="G73" s="216">
        <f>SUMIF(종목관리대장!Q:Q,$D73,종목관리대장!R:R)+SUM($V73:$X73)</f>
        <v>0</v>
      </c>
      <c r="H73" s="217">
        <f>G73/$G$74</f>
        <v>0</v>
      </c>
      <c r="I73" s="177">
        <f ca="1">COUNTIFS(종목관리대장!$N:$N,"&gt;="&amp;EOMONTH(I$7,-1)+1,종목관리대장!$N:$N,"&lt;="&amp;I$7,종목관리대장!$Q:$Q,$D73)</f>
        <v>0</v>
      </c>
      <c r="J73" s="177">
        <f ca="1">COUNTIFS(종목관리대장!$N:$N,"&gt;="&amp;EOMONTH(J$7,-1)+1,종목관리대장!$N:$N,"&lt;="&amp;J$7,종목관리대장!$Q:$Q,$D73)</f>
        <v>0</v>
      </c>
      <c r="K73" s="177">
        <f ca="1">COUNTIFS(종목관리대장!$N:$N,"&gt;="&amp;EOMONTH(K$7,-1)+1,종목관리대장!$N:$N,"&lt;="&amp;K$7,종목관리대장!$Q:$Q,$D73)</f>
        <v>0</v>
      </c>
      <c r="L73" s="177">
        <f ca="1">SUMIFS(종목관리대장!$R:$R,종목관리대장!$N:$N,"&gt;="&amp;EOMONTH(L$7,-1)+1,종목관리대장!$N:$N,"&lt;="&amp;L$7,종목관리대장!$Q:$Q,$D73)</f>
        <v>0</v>
      </c>
      <c r="M73" s="177">
        <f ca="1">SUMIFS(종목관리대장!$R:$R,종목관리대장!$N:$N,"&gt;="&amp;EOMONTH(M$7,-1)+1,종목관리대장!$N:$N,"&lt;="&amp;M$7,종목관리대장!$Q:$Q,$D73)</f>
        <v>0</v>
      </c>
      <c r="N73" s="177">
        <f ca="1">SUMIFS(종목관리대장!$R:$R,종목관리대장!$N:$N,"&gt;="&amp;EOMONTH(N$7,-1)+1,종목관리대장!$N:$N,"&lt;="&amp;N$7,종목관리대장!$Q:$Q,$D73)</f>
        <v>0</v>
      </c>
      <c r="O73" s="98">
        <v>0.8</v>
      </c>
      <c r="P73" s="98">
        <f>O73/O$74</f>
        <v>4.4692737430167613E-2</v>
      </c>
      <c r="Q73" s="218">
        <f>AB$8*P73</f>
        <v>30.105027932960912</v>
      </c>
      <c r="R73" s="219">
        <f>G73-Q73</f>
        <v>-30.105027932960912</v>
      </c>
      <c r="S73" s="181"/>
      <c r="T73" s="205" t="s">
        <v>3658</v>
      </c>
      <c r="U73" s="183" t="s">
        <v>3511</v>
      </c>
      <c r="V73" s="184"/>
      <c r="W73" s="184"/>
      <c r="X73" s="184"/>
      <c r="AH73" s="67"/>
      <c r="AI73" s="67"/>
      <c r="AJ73" s="67"/>
    </row>
    <row r="74" spans="1:36" ht="14.25" thickBot="1" x14ac:dyDescent="0.35">
      <c r="A74" s="62"/>
      <c r="B74" s="62"/>
      <c r="C74" s="130"/>
      <c r="D74" s="130"/>
      <c r="E74" s="130"/>
      <c r="F74" s="131">
        <f t="shared" si="0"/>
        <v>0.99999999999999967</v>
      </c>
      <c r="G74" s="132">
        <f>SUM(G8:G73)-SUMIF(U8:U73,"X",G8:G73)</f>
        <v>673.59999999999991</v>
      </c>
      <c r="H74" s="190">
        <f>SUM(H8:H73)</f>
        <v>1.0000000000000002</v>
      </c>
      <c r="I74" s="132">
        <f ca="1">SUM(I8:I73)-SUMIF(U8:U73,"X",I8:I73)</f>
        <v>822</v>
      </c>
      <c r="J74" s="132">
        <f ca="1">SUM(J8:J73)-SUMIF(U8:U73,"X",J8:J73)</f>
        <v>163</v>
      </c>
      <c r="K74" s="132">
        <f ca="1">SUM(K8:K73)-SUMIF(U8:U73,"X",K8:K73)</f>
        <v>91</v>
      </c>
      <c r="L74" s="132">
        <f ca="1">SUM(L8:L73)-SUMIF(U8:U73,"X",L8:L73)</f>
        <v>498.4</v>
      </c>
      <c r="M74" s="132">
        <f ca="1">SUM(M8:M73)-SUMIF(U8:U73,"X",M8:M73)</f>
        <v>87.8</v>
      </c>
      <c r="N74" s="132">
        <f ca="1">SUM(N8:N73)-SUMIF(U8:U73,"X",N8:N73)</f>
        <v>66.400000000000006</v>
      </c>
      <c r="O74" s="133">
        <f>SUM(O8:O73)-SUMIF(U8:U73,"X",O8:O73)</f>
        <v>17.899999999999995</v>
      </c>
      <c r="P74" s="134">
        <f>SUM(P8:P73)-SUMIF(U8:U73,"X",P8:P73)</f>
        <v>1.0000000000000002</v>
      </c>
      <c r="Q74" s="135">
        <f>SUM(Q8:Q73)-SUMIF(U8:U73,"X",Q8:Q73)</f>
        <v>673.60000000000014</v>
      </c>
      <c r="R74" s="136">
        <f>SUM(R8:R73)-SUMIF(U8:U73,"X",R8:R73)</f>
        <v>0</v>
      </c>
      <c r="S74" s="137"/>
      <c r="T74" s="138"/>
      <c r="U74" s="103"/>
      <c r="V74" s="104"/>
      <c r="W74" s="104">
        <f>SUM(D130:D144)</f>
        <v>13</v>
      </c>
      <c r="X74" s="104">
        <f>SUM(X8:X68)</f>
        <v>0</v>
      </c>
      <c r="AH74" s="67"/>
      <c r="AI74" s="67"/>
      <c r="AJ74" s="67"/>
    </row>
    <row r="75" spans="1:36" x14ac:dyDescent="0.3">
      <c r="A75" s="62"/>
      <c r="B75" s="62"/>
      <c r="K75" s="139"/>
      <c r="L75" s="139"/>
      <c r="M75" s="139"/>
      <c r="R75" s="65"/>
      <c r="S75" s="65"/>
      <c r="T75" s="66"/>
      <c r="U75" s="66"/>
      <c r="V75" s="66"/>
      <c r="W75" s="66"/>
      <c r="X75" s="66"/>
      <c r="AH75" s="67"/>
      <c r="AI75" s="67"/>
      <c r="AJ75" s="67"/>
    </row>
    <row r="76" spans="1:36" x14ac:dyDescent="0.3">
      <c r="A76" s="62"/>
      <c r="B76" s="62"/>
      <c r="M76" s="139"/>
      <c r="N76" s="139"/>
      <c r="O76" s="139"/>
      <c r="AH76" s="67"/>
      <c r="AI76" s="67"/>
      <c r="AJ76" s="67"/>
    </row>
    <row r="77" spans="1:36" x14ac:dyDescent="0.3">
      <c r="A77" s="62"/>
      <c r="B77" s="62"/>
      <c r="T77" s="140"/>
      <c r="U77" s="75"/>
      <c r="V77" s="75"/>
      <c r="W77" s="75"/>
      <c r="X77" s="75"/>
      <c r="AH77" s="67"/>
      <c r="AI77" s="67"/>
      <c r="AJ77" s="67"/>
    </row>
    <row r="78" spans="1:36" ht="14.25" thickBot="1" x14ac:dyDescent="0.35">
      <c r="A78" s="62"/>
      <c r="B78" s="62"/>
      <c r="C78" s="75" t="s">
        <v>193</v>
      </c>
      <c r="J78" s="141"/>
      <c r="L78" s="141"/>
      <c r="AH78" s="67"/>
      <c r="AI78" s="67"/>
      <c r="AJ78" s="67"/>
    </row>
    <row r="79" spans="1:36" ht="14.25" thickBot="1" x14ac:dyDescent="0.35">
      <c r="C79" s="78" t="s">
        <v>194</v>
      </c>
      <c r="D79" s="78" t="s">
        <v>195</v>
      </c>
      <c r="J79" s="141"/>
      <c r="L79" s="141"/>
      <c r="R79" s="199"/>
      <c r="S79" s="201"/>
      <c r="AH79" s="67"/>
      <c r="AI79" s="67"/>
      <c r="AJ79" s="67"/>
    </row>
    <row r="80" spans="1:36" x14ac:dyDescent="0.3">
      <c r="C80" s="143" t="s">
        <v>196</v>
      </c>
      <c r="D80" s="144">
        <v>0.1</v>
      </c>
      <c r="U80" s="117"/>
      <c r="V80" s="117"/>
      <c r="W80" s="117"/>
      <c r="X80" s="117"/>
      <c r="AH80" s="67"/>
      <c r="AI80" s="67"/>
      <c r="AJ80" s="67"/>
    </row>
    <row r="81" spans="3:36" x14ac:dyDescent="0.3">
      <c r="C81" s="143" t="s">
        <v>77</v>
      </c>
      <c r="D81" s="144">
        <v>0.4</v>
      </c>
      <c r="AH81" s="67"/>
      <c r="AI81" s="67"/>
      <c r="AJ81" s="67"/>
    </row>
    <row r="82" spans="3:36" x14ac:dyDescent="0.3">
      <c r="C82" s="143" t="s">
        <v>197</v>
      </c>
      <c r="D82" s="144">
        <v>0.6</v>
      </c>
      <c r="U82" s="117"/>
      <c r="V82" s="117"/>
      <c r="W82" s="117"/>
      <c r="X82" s="117"/>
      <c r="AH82" s="67"/>
      <c r="AI82" s="67"/>
      <c r="AJ82" s="67"/>
    </row>
    <row r="83" spans="3:36" x14ac:dyDescent="0.3">
      <c r="C83" s="143" t="s">
        <v>198</v>
      </c>
      <c r="D83" s="144">
        <v>0.7</v>
      </c>
      <c r="U83" s="75"/>
      <c r="V83" s="75"/>
      <c r="W83" s="75"/>
      <c r="X83" s="75"/>
      <c r="AH83" s="67"/>
      <c r="AI83" s="67"/>
      <c r="AJ83" s="67"/>
    </row>
    <row r="84" spans="3:36" x14ac:dyDescent="0.3">
      <c r="C84" s="143" t="s">
        <v>3484</v>
      </c>
      <c r="D84" s="144">
        <v>0.8</v>
      </c>
      <c r="AH84" s="67"/>
      <c r="AI84" s="67"/>
      <c r="AJ84" s="67"/>
    </row>
    <row r="85" spans="3:36" x14ac:dyDescent="0.3">
      <c r="C85" s="143" t="s">
        <v>147</v>
      </c>
      <c r="D85" s="144">
        <v>0.9</v>
      </c>
      <c r="AH85" s="67"/>
      <c r="AI85" s="67"/>
      <c r="AJ85" s="67"/>
    </row>
    <row r="86" spans="3:36" x14ac:dyDescent="0.3">
      <c r="C86" s="143" t="s">
        <v>199</v>
      </c>
      <c r="D86" s="144">
        <v>1</v>
      </c>
      <c r="AH86" s="67"/>
      <c r="AI86" s="67"/>
      <c r="AJ86" s="67"/>
    </row>
    <row r="87" spans="3:36" x14ac:dyDescent="0.3">
      <c r="C87" s="143" t="s">
        <v>200</v>
      </c>
      <c r="D87" s="144">
        <v>1</v>
      </c>
      <c r="U87" s="118"/>
      <c r="V87" s="118"/>
      <c r="W87" s="118"/>
      <c r="X87" s="118"/>
      <c r="AH87" s="67"/>
      <c r="AI87" s="67"/>
      <c r="AJ87" s="67"/>
    </row>
    <row r="88" spans="3:36" x14ac:dyDescent="0.3">
      <c r="C88" s="145" t="s">
        <v>78</v>
      </c>
      <c r="D88" s="146">
        <v>0.4</v>
      </c>
      <c r="AH88" s="67"/>
      <c r="AI88" s="67"/>
      <c r="AJ88" s="67"/>
    </row>
    <row r="89" spans="3:36" ht="14.25" thickBot="1" x14ac:dyDescent="0.35">
      <c r="C89" s="147" t="s">
        <v>79</v>
      </c>
      <c r="D89" s="148">
        <v>-0.2</v>
      </c>
      <c r="U89" s="117"/>
      <c r="V89" s="117"/>
      <c r="W89" s="117"/>
      <c r="X89" s="117"/>
      <c r="AH89" s="67"/>
      <c r="AI89" s="67"/>
      <c r="AJ89" s="67"/>
    </row>
    <row r="90" spans="3:36" x14ac:dyDescent="0.3">
      <c r="C90" s="75" t="s">
        <v>201</v>
      </c>
      <c r="AH90" s="67"/>
      <c r="AI90" s="67"/>
      <c r="AJ90" s="67"/>
    </row>
    <row r="91" spans="3:36" x14ac:dyDescent="0.3">
      <c r="C91" s="75"/>
      <c r="AH91" s="67"/>
      <c r="AI91" s="67"/>
      <c r="AJ91" s="67"/>
    </row>
    <row r="92" spans="3:36" x14ac:dyDescent="0.3">
      <c r="C92" s="75"/>
      <c r="AH92" s="67"/>
      <c r="AI92" s="67"/>
      <c r="AJ92" s="67"/>
    </row>
    <row r="93" spans="3:36" x14ac:dyDescent="0.3">
      <c r="C93" s="75"/>
      <c r="AH93" s="67"/>
      <c r="AI93" s="67"/>
      <c r="AJ93" s="67"/>
    </row>
    <row r="94" spans="3:36" ht="14.25" thickBot="1" x14ac:dyDescent="0.35">
      <c r="C94" s="75" t="s">
        <v>202</v>
      </c>
    </row>
    <row r="95" spans="3:36" ht="14.25" thickBot="1" x14ac:dyDescent="0.35">
      <c r="C95" s="78" t="s">
        <v>80</v>
      </c>
      <c r="D95" s="78" t="s">
        <v>203</v>
      </c>
    </row>
    <row r="96" spans="3:36" x14ac:dyDescent="0.3">
      <c r="C96" s="149">
        <v>1</v>
      </c>
      <c r="D96" s="150">
        <v>1</v>
      </c>
    </row>
    <row r="97" spans="3:4" x14ac:dyDescent="0.3">
      <c r="C97" s="143">
        <v>2</v>
      </c>
      <c r="D97" s="151">
        <v>1.5</v>
      </c>
    </row>
    <row r="98" spans="3:4" x14ac:dyDescent="0.3">
      <c r="C98" s="143">
        <v>3</v>
      </c>
      <c r="D98" s="151">
        <v>2</v>
      </c>
    </row>
    <row r="99" spans="3:4" x14ac:dyDescent="0.3">
      <c r="C99" s="143">
        <v>4</v>
      </c>
      <c r="D99" s="151">
        <v>3</v>
      </c>
    </row>
    <row r="100" spans="3:4" x14ac:dyDescent="0.3">
      <c r="C100" s="143">
        <v>5</v>
      </c>
      <c r="D100" s="151">
        <v>3</v>
      </c>
    </row>
    <row r="101" spans="3:4" x14ac:dyDescent="0.3">
      <c r="C101" s="143">
        <v>6</v>
      </c>
      <c r="D101" s="151">
        <v>4</v>
      </c>
    </row>
    <row r="102" spans="3:4" x14ac:dyDescent="0.3">
      <c r="C102" s="143">
        <v>7</v>
      </c>
      <c r="D102" s="151">
        <v>5</v>
      </c>
    </row>
    <row r="103" spans="3:4" x14ac:dyDescent="0.3">
      <c r="C103" s="143">
        <v>8</v>
      </c>
      <c r="D103" s="151">
        <v>5</v>
      </c>
    </row>
    <row r="104" spans="3:4" x14ac:dyDescent="0.3">
      <c r="C104" s="143">
        <v>9</v>
      </c>
      <c r="D104" s="151">
        <v>6</v>
      </c>
    </row>
    <row r="105" spans="3:4" x14ac:dyDescent="0.3">
      <c r="C105" s="143">
        <v>11</v>
      </c>
      <c r="D105" s="151">
        <v>7</v>
      </c>
    </row>
    <row r="106" spans="3:4" x14ac:dyDescent="0.3">
      <c r="C106" s="143">
        <v>12</v>
      </c>
      <c r="D106" s="151">
        <v>8</v>
      </c>
    </row>
    <row r="107" spans="3:4" x14ac:dyDescent="0.3">
      <c r="C107" s="143">
        <v>13</v>
      </c>
      <c r="D107" s="151">
        <v>9</v>
      </c>
    </row>
    <row r="108" spans="3:4" x14ac:dyDescent="0.3">
      <c r="C108" s="143">
        <v>14</v>
      </c>
      <c r="D108" s="151">
        <v>9</v>
      </c>
    </row>
    <row r="109" spans="3:4" ht="14.25" thickBot="1" x14ac:dyDescent="0.35">
      <c r="C109" s="147">
        <v>15</v>
      </c>
      <c r="D109" s="152">
        <v>10</v>
      </c>
    </row>
    <row r="113" spans="3:29" ht="14.25" thickBot="1" x14ac:dyDescent="0.35">
      <c r="C113" s="75" t="s">
        <v>204</v>
      </c>
    </row>
    <row r="114" spans="3:29" ht="14.25" thickBot="1" x14ac:dyDescent="0.35">
      <c r="C114" s="78" t="s">
        <v>205</v>
      </c>
      <c r="D114" s="78" t="s">
        <v>203</v>
      </c>
    </row>
    <row r="115" spans="3:29" x14ac:dyDescent="0.3">
      <c r="C115" s="153" t="s">
        <v>3620</v>
      </c>
      <c r="D115" s="150">
        <v>3</v>
      </c>
      <c r="AA115" s="67"/>
      <c r="AC115" s="66"/>
    </row>
    <row r="116" spans="3:29" x14ac:dyDescent="0.3">
      <c r="C116" s="210" t="s">
        <v>3619</v>
      </c>
      <c r="D116" s="211">
        <v>0.5</v>
      </c>
      <c r="AA116" s="67"/>
      <c r="AC116" s="66"/>
    </row>
    <row r="117" spans="3:29" x14ac:dyDescent="0.3">
      <c r="C117" s="143" t="s">
        <v>206</v>
      </c>
      <c r="D117" s="151">
        <v>6</v>
      </c>
      <c r="AA117" s="67"/>
      <c r="AC117" s="66"/>
    </row>
    <row r="118" spans="3:29" x14ac:dyDescent="0.3">
      <c r="C118" s="154" t="s">
        <v>207</v>
      </c>
      <c r="D118" s="151">
        <v>4</v>
      </c>
      <c r="AC118" s="66"/>
    </row>
    <row r="119" spans="3:29" x14ac:dyDescent="0.3">
      <c r="C119" s="154" t="s">
        <v>208</v>
      </c>
      <c r="D119" s="151">
        <v>2</v>
      </c>
      <c r="AC119" s="66"/>
    </row>
    <row r="120" spans="3:29" x14ac:dyDescent="0.3">
      <c r="C120" s="154" t="s">
        <v>90</v>
      </c>
      <c r="D120" s="151">
        <v>1</v>
      </c>
      <c r="AC120" s="66"/>
    </row>
    <row r="121" spans="3:29" x14ac:dyDescent="0.3">
      <c r="C121" s="154" t="s">
        <v>91</v>
      </c>
      <c r="D121" s="151">
        <v>0.4</v>
      </c>
      <c r="AC121" s="66"/>
    </row>
    <row r="122" spans="3:29" x14ac:dyDescent="0.3">
      <c r="C122" s="195" t="s">
        <v>3579</v>
      </c>
      <c r="D122" s="197">
        <v>0.4</v>
      </c>
      <c r="AC122" s="66"/>
    </row>
    <row r="123" spans="3:29" x14ac:dyDescent="0.3">
      <c r="C123" s="195" t="s">
        <v>4614</v>
      </c>
      <c r="D123" s="197">
        <v>2</v>
      </c>
      <c r="AC123" s="66"/>
    </row>
    <row r="124" spans="3:29" ht="14.25" thickBot="1" x14ac:dyDescent="0.35">
      <c r="C124" s="155" t="s">
        <v>3564</v>
      </c>
      <c r="D124" s="152">
        <v>0.2</v>
      </c>
      <c r="AC124" s="66"/>
    </row>
    <row r="125" spans="3:29" x14ac:dyDescent="0.3">
      <c r="R125" s="65"/>
      <c r="S125" s="65"/>
      <c r="W125" s="66"/>
      <c r="X125" s="66"/>
      <c r="AC125" s="66"/>
    </row>
    <row r="126" spans="3:29" x14ac:dyDescent="0.3">
      <c r="R126" s="65"/>
      <c r="S126" s="65"/>
      <c r="W126" s="66"/>
      <c r="X126" s="66"/>
      <c r="AC126" s="66"/>
    </row>
    <row r="127" spans="3:29" x14ac:dyDescent="0.3">
      <c r="R127" s="65"/>
      <c r="S127" s="65"/>
      <c r="W127" s="66"/>
      <c r="X127" s="66"/>
      <c r="AC127" s="66"/>
    </row>
    <row r="128" spans="3:29" ht="14.25" thickBot="1" x14ac:dyDescent="0.35">
      <c r="C128" s="75" t="s">
        <v>209</v>
      </c>
      <c r="O128" s="65"/>
      <c r="P128" s="65"/>
      <c r="Q128" s="65"/>
      <c r="R128" s="65"/>
      <c r="S128" s="65"/>
      <c r="T128" s="66"/>
      <c r="U128" s="66"/>
      <c r="V128" s="66"/>
      <c r="W128" s="66"/>
      <c r="X128" s="67"/>
      <c r="AC128" s="66"/>
    </row>
    <row r="129" spans="3:29" ht="14.25" thickBot="1" x14ac:dyDescent="0.35">
      <c r="C129" s="78" t="s">
        <v>81</v>
      </c>
      <c r="D129" s="78" t="s">
        <v>210</v>
      </c>
      <c r="E129" s="78" t="s">
        <v>211</v>
      </c>
      <c r="F129" s="78" t="s">
        <v>212</v>
      </c>
      <c r="O129" s="65"/>
      <c r="P129" s="65"/>
      <c r="Q129" s="65"/>
      <c r="R129" s="65"/>
      <c r="S129" s="65"/>
      <c r="T129" s="66"/>
      <c r="U129" s="66"/>
      <c r="V129" s="66"/>
      <c r="W129" s="66"/>
      <c r="X129" s="67"/>
      <c r="AC129" s="66"/>
    </row>
    <row r="130" spans="3:29" x14ac:dyDescent="0.3">
      <c r="C130" s="153" t="s">
        <v>213</v>
      </c>
      <c r="D130" s="194">
        <v>1</v>
      </c>
      <c r="E130" s="194" t="s">
        <v>85</v>
      </c>
      <c r="F130" s="150" t="s">
        <v>3569</v>
      </c>
      <c r="O130" s="65"/>
      <c r="P130" s="65"/>
      <c r="Q130" s="65"/>
      <c r="R130" s="65"/>
      <c r="S130" s="65"/>
      <c r="T130" s="66"/>
      <c r="U130" s="66"/>
      <c r="V130" s="66"/>
      <c r="W130" s="66"/>
      <c r="X130" s="67"/>
      <c r="AC130" s="66"/>
    </row>
    <row r="131" spans="3:29" x14ac:dyDescent="0.3">
      <c r="C131" s="143" t="s">
        <v>214</v>
      </c>
      <c r="D131" s="156">
        <v>1</v>
      </c>
      <c r="E131" s="156" t="s">
        <v>82</v>
      </c>
      <c r="F131" s="151" t="s">
        <v>4051</v>
      </c>
      <c r="O131" s="65"/>
      <c r="P131" s="65"/>
      <c r="Q131" s="65"/>
      <c r="R131" s="65"/>
      <c r="S131" s="65"/>
      <c r="T131" s="66"/>
      <c r="U131" s="66"/>
      <c r="V131" s="66"/>
      <c r="W131" s="66"/>
      <c r="X131" s="67"/>
      <c r="AB131" s="67"/>
      <c r="AC131" s="66"/>
    </row>
    <row r="132" spans="3:29" ht="13.5" customHeight="1" x14ac:dyDescent="0.3">
      <c r="C132" s="154" t="s">
        <v>83</v>
      </c>
      <c r="D132" s="156">
        <v>1</v>
      </c>
      <c r="E132" s="156" t="s">
        <v>85</v>
      </c>
      <c r="F132" s="151" t="s">
        <v>3563</v>
      </c>
      <c r="O132" s="65"/>
      <c r="P132" s="65"/>
      <c r="Q132" s="65"/>
      <c r="R132" s="65"/>
      <c r="S132" s="65"/>
      <c r="T132" s="66"/>
      <c r="U132" s="66"/>
      <c r="V132" s="66"/>
      <c r="W132" s="66"/>
      <c r="X132" s="67"/>
      <c r="AB132" s="67"/>
      <c r="AC132" s="66"/>
    </row>
    <row r="133" spans="3:29" x14ac:dyDescent="0.3">
      <c r="C133" s="154" t="s">
        <v>84</v>
      </c>
      <c r="D133" s="156">
        <v>1</v>
      </c>
      <c r="E133" s="156" t="s">
        <v>85</v>
      </c>
      <c r="F133" s="151" t="s">
        <v>4553</v>
      </c>
      <c r="O133" s="65"/>
      <c r="P133" s="65"/>
      <c r="Q133" s="65"/>
      <c r="R133" s="65"/>
      <c r="S133" s="65"/>
      <c r="T133" s="66"/>
      <c r="U133" s="66"/>
      <c r="V133" s="66"/>
      <c r="W133" s="66"/>
      <c r="X133" s="67"/>
      <c r="AB133" s="67"/>
      <c r="AC133" s="66"/>
    </row>
    <row r="134" spans="3:29" x14ac:dyDescent="0.3">
      <c r="C134" s="154" t="s">
        <v>87</v>
      </c>
      <c r="D134" s="156">
        <v>1</v>
      </c>
      <c r="E134" s="156" t="s">
        <v>85</v>
      </c>
      <c r="F134" s="151" t="s">
        <v>3537</v>
      </c>
      <c r="O134" s="65"/>
      <c r="P134" s="65"/>
      <c r="Q134" s="65"/>
      <c r="R134" s="65"/>
      <c r="S134" s="65"/>
      <c r="T134" s="66"/>
      <c r="U134" s="66"/>
      <c r="V134" s="66"/>
      <c r="W134" s="66"/>
      <c r="X134" s="67"/>
    </row>
    <row r="135" spans="3:29" x14ac:dyDescent="0.3">
      <c r="C135" s="154" t="s">
        <v>215</v>
      </c>
      <c r="D135" s="156">
        <v>1</v>
      </c>
      <c r="E135" s="156" t="s">
        <v>85</v>
      </c>
      <c r="F135" s="151" t="s">
        <v>3661</v>
      </c>
      <c r="O135" s="65"/>
      <c r="P135" s="65"/>
      <c r="Q135" s="65"/>
      <c r="R135" s="65"/>
      <c r="S135" s="65"/>
      <c r="T135" s="66"/>
      <c r="U135" s="66"/>
      <c r="V135" s="66"/>
      <c r="W135" s="66"/>
      <c r="X135" s="67"/>
    </row>
    <row r="136" spans="3:29" x14ac:dyDescent="0.3">
      <c r="C136" s="154" t="s">
        <v>88</v>
      </c>
      <c r="D136" s="156">
        <v>1</v>
      </c>
      <c r="E136" s="156" t="s">
        <v>85</v>
      </c>
      <c r="F136" s="151" t="s">
        <v>3535</v>
      </c>
      <c r="O136" s="65"/>
      <c r="P136" s="65"/>
      <c r="Q136" s="65"/>
      <c r="R136" s="65"/>
      <c r="S136" s="65"/>
      <c r="T136" s="66"/>
      <c r="U136" s="66"/>
      <c r="V136" s="66"/>
      <c r="W136" s="66"/>
      <c r="X136" s="67"/>
    </row>
    <row r="137" spans="3:29" x14ac:dyDescent="0.3">
      <c r="C137" s="154" t="s">
        <v>3539</v>
      </c>
      <c r="D137" s="156">
        <v>1</v>
      </c>
      <c r="E137" s="156" t="s">
        <v>3540</v>
      </c>
      <c r="F137" s="254" t="s">
        <v>125</v>
      </c>
      <c r="O137" s="65"/>
      <c r="P137" s="65"/>
      <c r="Q137" s="65"/>
      <c r="R137" s="65"/>
      <c r="S137" s="65"/>
      <c r="T137" s="66"/>
      <c r="U137" s="66"/>
      <c r="V137" s="66"/>
      <c r="W137" s="66"/>
      <c r="X137" s="67"/>
    </row>
    <row r="138" spans="3:29" x14ac:dyDescent="0.3">
      <c r="C138" s="154" t="s">
        <v>3541</v>
      </c>
      <c r="D138" s="194">
        <v>0.5</v>
      </c>
      <c r="E138" s="194" t="s">
        <v>3542</v>
      </c>
      <c r="F138" s="151" t="s">
        <v>3557</v>
      </c>
      <c r="O138" s="65"/>
      <c r="P138" s="65"/>
      <c r="Q138" s="65"/>
      <c r="R138" s="65"/>
      <c r="S138" s="65"/>
      <c r="T138" s="66"/>
      <c r="U138" s="66"/>
      <c r="V138" s="66"/>
      <c r="W138" s="66"/>
      <c r="X138" s="67"/>
    </row>
    <row r="139" spans="3:29" x14ac:dyDescent="0.3">
      <c r="C139" s="154" t="s">
        <v>3543</v>
      </c>
      <c r="D139" s="156">
        <v>0.5</v>
      </c>
      <c r="E139" s="156" t="s">
        <v>3540</v>
      </c>
      <c r="F139" s="254" t="s">
        <v>125</v>
      </c>
      <c r="O139" s="65"/>
      <c r="P139" s="65"/>
      <c r="Q139" s="65"/>
      <c r="R139" s="65"/>
      <c r="S139" s="65"/>
      <c r="T139" s="66"/>
      <c r="U139" s="66"/>
      <c r="V139" s="66"/>
      <c r="W139" s="66"/>
      <c r="X139" s="67"/>
    </row>
    <row r="140" spans="3:29" ht="16.5" x14ac:dyDescent="0.3">
      <c r="C140" s="154" t="s">
        <v>89</v>
      </c>
      <c r="D140" s="156">
        <v>0.5</v>
      </c>
      <c r="E140" s="156" t="s">
        <v>85</v>
      </c>
      <c r="F140" s="254" t="s">
        <v>125</v>
      </c>
      <c r="H140"/>
      <c r="I140"/>
      <c r="R140" s="71"/>
      <c r="S140" s="65"/>
      <c r="X140" s="66"/>
    </row>
    <row r="141" spans="3:29" x14ac:dyDescent="0.3">
      <c r="C141" s="154" t="s">
        <v>3544</v>
      </c>
      <c r="D141" s="156">
        <v>0.5</v>
      </c>
      <c r="E141" s="156" t="s">
        <v>85</v>
      </c>
      <c r="F141" s="151" t="s">
        <v>3538</v>
      </c>
      <c r="R141" s="71"/>
      <c r="S141" s="65"/>
      <c r="X141" s="66"/>
    </row>
    <row r="142" spans="3:29" x14ac:dyDescent="0.3">
      <c r="C142" s="195" t="s">
        <v>3561</v>
      </c>
      <c r="D142" s="196">
        <v>1</v>
      </c>
      <c r="E142" s="196" t="s">
        <v>3562</v>
      </c>
      <c r="F142" s="151" t="s">
        <v>3509</v>
      </c>
    </row>
    <row r="143" spans="3:29" x14ac:dyDescent="0.3">
      <c r="C143" s="195" t="s">
        <v>216</v>
      </c>
      <c r="D143" s="196">
        <v>1</v>
      </c>
      <c r="E143" s="196" t="s">
        <v>4549</v>
      </c>
      <c r="F143" s="151" t="s">
        <v>4550</v>
      </c>
    </row>
    <row r="144" spans="3:29" ht="14.25" thickBot="1" x14ac:dyDescent="0.35">
      <c r="C144" s="155" t="s">
        <v>4551</v>
      </c>
      <c r="D144" s="157">
        <v>1</v>
      </c>
      <c r="E144" s="157" t="s">
        <v>4552</v>
      </c>
      <c r="F144" s="152" t="s">
        <v>119</v>
      </c>
    </row>
    <row r="145" spans="3:6" x14ac:dyDescent="0.3">
      <c r="C145" s="66"/>
      <c r="D145" s="66"/>
      <c r="E145" s="66"/>
      <c r="F145" s="66"/>
    </row>
    <row r="147" spans="3:6" ht="14.25" thickBot="1" x14ac:dyDescent="0.35">
      <c r="C147" s="75" t="s">
        <v>3485</v>
      </c>
    </row>
    <row r="148" spans="3:6" ht="14.25" thickBot="1" x14ac:dyDescent="0.35">
      <c r="C148" s="78" t="s">
        <v>3486</v>
      </c>
      <c r="D148" s="78" t="s">
        <v>3487</v>
      </c>
      <c r="E148" s="78" t="s">
        <v>3488</v>
      </c>
    </row>
    <row r="149" spans="3:6" x14ac:dyDescent="0.3">
      <c r="C149" s="153" t="s">
        <v>3489</v>
      </c>
      <c r="D149" s="156">
        <v>1</v>
      </c>
      <c r="E149" s="150"/>
    </row>
    <row r="150" spans="3:6" x14ac:dyDescent="0.3">
      <c r="C150" s="154" t="s">
        <v>3490</v>
      </c>
      <c r="D150" s="156">
        <v>0.4</v>
      </c>
      <c r="E150" s="151"/>
    </row>
    <row r="151" spans="3:6" x14ac:dyDescent="0.3">
      <c r="C151" s="154" t="s">
        <v>3491</v>
      </c>
      <c r="D151" s="156">
        <v>0.5</v>
      </c>
      <c r="E151" s="151" t="s">
        <v>3492</v>
      </c>
    </row>
    <row r="152" spans="3:6" x14ac:dyDescent="0.3">
      <c r="C152" s="154" t="s">
        <v>3493</v>
      </c>
      <c r="D152" s="156">
        <v>1</v>
      </c>
      <c r="E152" s="151" t="s">
        <v>3494</v>
      </c>
    </row>
    <row r="153" spans="3:6" ht="14.25" thickBot="1" x14ac:dyDescent="0.35">
      <c r="C153" s="155" t="s">
        <v>3495</v>
      </c>
      <c r="D153" s="157">
        <v>0.5</v>
      </c>
      <c r="E153" s="152" t="s">
        <v>3496</v>
      </c>
    </row>
  </sheetData>
  <autoFilter ref="C7:X74"/>
  <sortState ref="A32:X35">
    <sortCondition ref="D32:D35"/>
  </sortState>
  <mergeCells count="6">
    <mergeCell ref="C29:C34"/>
    <mergeCell ref="I6:K6"/>
    <mergeCell ref="L6:N6"/>
    <mergeCell ref="C9:C15"/>
    <mergeCell ref="C16:C22"/>
    <mergeCell ref="C23:C28"/>
  </mergeCells>
  <phoneticPr fontId="3" type="noConversion"/>
  <conditionalFormatting sqref="R8:R35">
    <cfRule type="top10" dxfId="14" priority="160" bottom="1" rank="10"/>
  </conditionalFormatting>
  <pageMargins left="0.25" right="0.25" top="0.75" bottom="0.75" header="0.3" footer="0.3"/>
  <pageSetup paperSize="9" scale="2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892"/>
  <sheetViews>
    <sheetView showGridLines="0" zoomScale="85" zoomScaleNormal="85" workbookViewId="0">
      <pane ySplit="2" topLeftCell="A3" activePane="bottomLeft" state="frozen"/>
      <selection pane="bottomLeft"/>
    </sheetView>
  </sheetViews>
  <sheetFormatPr defaultColWidth="9" defaultRowHeight="16.5" x14ac:dyDescent="0.3"/>
  <cols>
    <col min="1" max="1" width="8.5" style="12" bestFit="1" customWidth="1"/>
    <col min="2" max="2" width="30.625" style="12" customWidth="1"/>
    <col min="3" max="3" width="5.875" style="12" customWidth="1"/>
    <col min="4" max="4" width="30.625" style="12" customWidth="1"/>
    <col min="5" max="5" width="30.625" style="175" customWidth="1"/>
    <col min="6" max="6" width="9" style="171" customWidth="1"/>
    <col min="7" max="7" width="9.625" style="175" customWidth="1"/>
    <col min="8" max="9" width="9" style="162"/>
    <col min="10" max="10" width="10.375" style="162" customWidth="1"/>
    <col min="11" max="11" width="10.375" style="171" bestFit="1" customWidth="1"/>
    <col min="12" max="13" width="9" style="162"/>
    <col min="14" max="17" width="9" style="162" customWidth="1"/>
    <col min="18" max="16384" width="9" style="162"/>
  </cols>
  <sheetData>
    <row r="1" spans="1:18" s="198" customFormat="1" ht="17.25" thickBot="1" x14ac:dyDescent="0.35">
      <c r="A1" s="53"/>
      <c r="B1" s="53"/>
      <c r="C1" s="53"/>
      <c r="D1" s="53"/>
      <c r="E1" s="158"/>
      <c r="F1" s="159"/>
      <c r="G1" s="158"/>
      <c r="K1" s="159"/>
    </row>
    <row r="2" spans="1:18" s="198" customFormat="1" ht="17.25" thickBot="1" x14ac:dyDescent="0.35">
      <c r="A2" s="78" t="s">
        <v>6266</v>
      </c>
      <c r="B2" s="78" t="s">
        <v>6267</v>
      </c>
      <c r="C2" s="78" t="s">
        <v>6268</v>
      </c>
      <c r="D2" s="78" t="s">
        <v>217</v>
      </c>
      <c r="E2" s="160" t="s">
        <v>6269</v>
      </c>
      <c r="F2" s="161" t="s">
        <v>6270</v>
      </c>
      <c r="G2" s="161">
        <v>24.3</v>
      </c>
      <c r="I2" s="161" t="s">
        <v>6271</v>
      </c>
      <c r="J2" s="161" t="s">
        <v>6272</v>
      </c>
      <c r="K2" s="161" t="s">
        <v>6273</v>
      </c>
      <c r="L2" s="161" t="s">
        <v>6274</v>
      </c>
      <c r="N2" s="186" t="s">
        <v>6275</v>
      </c>
      <c r="O2" s="161" t="s">
        <v>6272</v>
      </c>
      <c r="P2" s="161" t="s">
        <v>6273</v>
      </c>
      <c r="Q2" s="161" t="s">
        <v>6274</v>
      </c>
      <c r="R2" s="162"/>
    </row>
    <row r="3" spans="1:18" ht="16.5" customHeight="1" x14ac:dyDescent="0.3">
      <c r="A3" s="163" t="s">
        <v>218</v>
      </c>
      <c r="B3" s="164" t="s">
        <v>219</v>
      </c>
      <c r="C3" s="165" t="str">
        <f>IFERROR(VLOOKUP($A3,작성용!A:AL,14,0),"-")</f>
        <v>-</v>
      </c>
      <c r="D3" s="166" t="s">
        <v>220</v>
      </c>
      <c r="E3" s="167" t="str">
        <f>IFERROR(VLOOKUP(A3,작성용!A:AL,34,0),"-")</f>
        <v>-</v>
      </c>
      <c r="F3" s="168" t="s">
        <v>2</v>
      </c>
      <c r="G3" s="179">
        <f>COUNTIF(작성용!A:B,$A3)-COUNTIFS(작성용!A:A,$A3,작성용!AA:AA,"평가철회")</f>
        <v>0</v>
      </c>
      <c r="I3" s="167" t="s">
        <v>6276</v>
      </c>
      <c r="J3" s="169">
        <f t="shared" ref="J3:J29" si="0">COUNTIF($D:$D,$I3)</f>
        <v>32</v>
      </c>
      <c r="K3" s="165">
        <f t="shared" ref="K3:K29" si="1">COUNTIFS($D:$D,$I3,$G:$G,"&gt;0")</f>
        <v>0</v>
      </c>
      <c r="L3" s="169">
        <f t="shared" ref="L3:L29" si="2">SUMIF($D:$D,$I3,$G:$G)</f>
        <v>0</v>
      </c>
      <c r="N3" s="167" t="s">
        <v>6277</v>
      </c>
      <c r="O3" s="169">
        <f t="shared" ref="O3:O21" si="3">COUNTIF($D:$D,$N3)</f>
        <v>1</v>
      </c>
      <c r="P3" s="165">
        <f t="shared" ref="P3:P21" si="4">COUNTIFS($D:$D,$N3,$G:$G,"&gt;0")</f>
        <v>0</v>
      </c>
      <c r="Q3" s="169">
        <f t="shared" ref="Q3:Q21" si="5">SUMIF($D:$D,$N3,$G:$G)</f>
        <v>0</v>
      </c>
    </row>
    <row r="4" spans="1:18" ht="16.5" customHeight="1" x14ac:dyDescent="0.3">
      <c r="A4" s="170" t="s">
        <v>221</v>
      </c>
      <c r="B4" s="165" t="s">
        <v>222</v>
      </c>
      <c r="C4" s="165" t="str">
        <f>IFERROR(VLOOKUP($A4,작성용!A:AL,14,0),"-")</f>
        <v>-</v>
      </c>
      <c r="D4" s="169" t="s">
        <v>220</v>
      </c>
      <c r="E4" s="167" t="str">
        <f>IFERROR(VLOOKUP(A4,작성용!A:AL,34,0),"-")</f>
        <v>-</v>
      </c>
      <c r="F4" s="168" t="s">
        <v>2</v>
      </c>
      <c r="G4" s="179">
        <f>COUNTIF(작성용!A:B,$A4)-COUNTIFS(작성용!A:A,$A4,작성용!AA:AA,"평가철회")</f>
        <v>0</v>
      </c>
      <c r="I4" s="167" t="s">
        <v>6278</v>
      </c>
      <c r="J4" s="169">
        <f t="shared" si="0"/>
        <v>40</v>
      </c>
      <c r="K4" s="165">
        <f t="shared" si="1"/>
        <v>4</v>
      </c>
      <c r="L4" s="169">
        <f t="shared" si="2"/>
        <v>115</v>
      </c>
      <c r="N4" s="167" t="s">
        <v>6279</v>
      </c>
      <c r="O4" s="169">
        <f t="shared" si="3"/>
        <v>12</v>
      </c>
      <c r="P4" s="165">
        <f t="shared" si="4"/>
        <v>0</v>
      </c>
      <c r="Q4" s="169">
        <f t="shared" si="5"/>
        <v>0</v>
      </c>
    </row>
    <row r="5" spans="1:18" ht="16.5" customHeight="1" x14ac:dyDescent="0.3">
      <c r="A5" s="170" t="s">
        <v>223</v>
      </c>
      <c r="B5" s="165" t="s">
        <v>224</v>
      </c>
      <c r="C5" s="165" t="str">
        <f>IFERROR(VLOOKUP($A5,작성용!A:AL,14,0),"-")</f>
        <v>-</v>
      </c>
      <c r="D5" s="169" t="s">
        <v>6280</v>
      </c>
      <c r="E5" s="167" t="str">
        <f>IFERROR(VLOOKUP(A5,작성용!A:AL,34,0),"-")</f>
        <v>-</v>
      </c>
      <c r="F5" s="168" t="s">
        <v>6270</v>
      </c>
      <c r="G5" s="179">
        <f>COUNTIF(작성용!A:B,$A5)-COUNTIFS(작성용!A:A,$A5,작성용!AA:AA,"평가철회")</f>
        <v>0</v>
      </c>
      <c r="I5" s="167" t="s">
        <v>6281</v>
      </c>
      <c r="J5" s="169">
        <f t="shared" si="0"/>
        <v>35</v>
      </c>
      <c r="K5" s="165">
        <f t="shared" si="1"/>
        <v>8</v>
      </c>
      <c r="L5" s="169">
        <f t="shared" si="2"/>
        <v>29</v>
      </c>
      <c r="N5" s="167" t="s">
        <v>6282</v>
      </c>
      <c r="O5" s="169">
        <f t="shared" si="3"/>
        <v>0</v>
      </c>
      <c r="P5" s="165">
        <f t="shared" si="4"/>
        <v>0</v>
      </c>
      <c r="Q5" s="169">
        <f t="shared" si="5"/>
        <v>0</v>
      </c>
    </row>
    <row r="6" spans="1:18" ht="16.5" customHeight="1" x14ac:dyDescent="0.3">
      <c r="A6" s="170" t="s">
        <v>225</v>
      </c>
      <c r="B6" s="165" t="s">
        <v>226</v>
      </c>
      <c r="C6" s="165" t="str">
        <f>IFERROR(VLOOKUP($A6,작성용!A:AL,14,0),"-")</f>
        <v>-</v>
      </c>
      <c r="D6" s="169" t="s">
        <v>220</v>
      </c>
      <c r="E6" s="167" t="str">
        <f>IFERROR(VLOOKUP(A6,작성용!A:AL,34,0),"-")</f>
        <v>-</v>
      </c>
      <c r="F6" s="168" t="s">
        <v>6283</v>
      </c>
      <c r="G6" s="179">
        <f>COUNTIF(작성용!A:B,$A6)-COUNTIFS(작성용!A:A,$A6,작성용!AA:AA,"평가철회")</f>
        <v>0</v>
      </c>
      <c r="I6" s="167" t="s">
        <v>6284</v>
      </c>
      <c r="J6" s="169">
        <f t="shared" si="0"/>
        <v>14</v>
      </c>
      <c r="K6" s="165">
        <f t="shared" si="1"/>
        <v>3</v>
      </c>
      <c r="L6" s="169">
        <f t="shared" si="2"/>
        <v>77</v>
      </c>
      <c r="N6" s="167" t="s">
        <v>6285</v>
      </c>
      <c r="O6" s="169">
        <f t="shared" si="3"/>
        <v>1</v>
      </c>
      <c r="P6" s="165">
        <f t="shared" si="4"/>
        <v>0</v>
      </c>
      <c r="Q6" s="169">
        <f t="shared" si="5"/>
        <v>0</v>
      </c>
    </row>
    <row r="7" spans="1:18" ht="16.5" customHeight="1" x14ac:dyDescent="0.3">
      <c r="A7" s="170" t="s">
        <v>227</v>
      </c>
      <c r="B7" s="165" t="s">
        <v>228</v>
      </c>
      <c r="C7" s="165" t="str">
        <f>IFERROR(VLOOKUP($A7,작성용!A:AL,14,0),"-")</f>
        <v>-</v>
      </c>
      <c r="D7" s="169" t="s">
        <v>220</v>
      </c>
      <c r="E7" s="167" t="str">
        <f>IFERROR(VLOOKUP(A7,작성용!A:AL,34,0),"-")</f>
        <v>-</v>
      </c>
      <c r="F7" s="168" t="s">
        <v>2</v>
      </c>
      <c r="G7" s="179">
        <f>COUNTIF(작성용!A:B,$A7)-COUNTIFS(작성용!A:A,$A7,작성용!AA:AA,"평가철회")</f>
        <v>0</v>
      </c>
      <c r="I7" s="167" t="s">
        <v>6286</v>
      </c>
      <c r="J7" s="169">
        <f t="shared" si="0"/>
        <v>11</v>
      </c>
      <c r="K7" s="165">
        <f t="shared" si="1"/>
        <v>4</v>
      </c>
      <c r="L7" s="169">
        <f t="shared" si="2"/>
        <v>40</v>
      </c>
      <c r="N7" s="167" t="s">
        <v>6287</v>
      </c>
      <c r="O7" s="169">
        <f t="shared" si="3"/>
        <v>28</v>
      </c>
      <c r="P7" s="165">
        <f t="shared" si="4"/>
        <v>0</v>
      </c>
      <c r="Q7" s="169">
        <f t="shared" si="5"/>
        <v>0</v>
      </c>
    </row>
    <row r="8" spans="1:18" ht="16.5" customHeight="1" x14ac:dyDescent="0.3">
      <c r="A8" s="170" t="s">
        <v>229</v>
      </c>
      <c r="B8" s="165" t="s">
        <v>230</v>
      </c>
      <c r="C8" s="165" t="str">
        <f>IFERROR(VLOOKUP($A8,작성용!A:AL,14,0),"-")</f>
        <v>-</v>
      </c>
      <c r="D8" s="169" t="s">
        <v>220</v>
      </c>
      <c r="E8" s="167" t="str">
        <f>IFERROR(VLOOKUP(A8,작성용!A:AL,34,0),"-")</f>
        <v>-</v>
      </c>
      <c r="F8" s="168" t="s">
        <v>2</v>
      </c>
      <c r="G8" s="179">
        <f>COUNTIF(작성용!A:B,$A8)-COUNTIFS(작성용!A:A,$A8,작성용!AA:AA,"평가철회")</f>
        <v>0</v>
      </c>
      <c r="I8" s="167" t="s">
        <v>6288</v>
      </c>
      <c r="J8" s="169">
        <f t="shared" si="0"/>
        <v>5</v>
      </c>
      <c r="K8" s="165">
        <f t="shared" si="1"/>
        <v>1</v>
      </c>
      <c r="L8" s="169">
        <f t="shared" si="2"/>
        <v>12</v>
      </c>
      <c r="N8" s="167" t="s">
        <v>6289</v>
      </c>
      <c r="O8" s="169">
        <f t="shared" si="3"/>
        <v>5</v>
      </c>
      <c r="P8" s="165">
        <f t="shared" si="4"/>
        <v>0</v>
      </c>
      <c r="Q8" s="169">
        <f t="shared" si="5"/>
        <v>0</v>
      </c>
    </row>
    <row r="9" spans="1:18" ht="16.5" customHeight="1" x14ac:dyDescent="0.3">
      <c r="A9" s="170" t="s">
        <v>7</v>
      </c>
      <c r="B9" s="165" t="s">
        <v>8</v>
      </c>
      <c r="C9" s="165" t="str">
        <f>IFERROR(VLOOKUP($A9,작성용!A:AL,14,0),"-")</f>
        <v>월</v>
      </c>
      <c r="D9" s="169" t="s">
        <v>220</v>
      </c>
      <c r="E9" s="167" t="str">
        <f>IFERROR(VLOOKUP(A9,작성용!A:AL,34,0),"-")</f>
        <v>메자닌평가팀</v>
      </c>
      <c r="F9" s="168" t="s">
        <v>6270</v>
      </c>
      <c r="G9" s="179">
        <f>COUNTIF(작성용!A:B,$A9)-COUNTIFS(작성용!A:A,$A9,작성용!AA:AA,"평가철회")</f>
        <v>1</v>
      </c>
      <c r="I9" s="167" t="s">
        <v>6290</v>
      </c>
      <c r="J9" s="169">
        <f t="shared" si="0"/>
        <v>8</v>
      </c>
      <c r="K9" s="165">
        <f t="shared" si="1"/>
        <v>4</v>
      </c>
      <c r="L9" s="169">
        <f t="shared" si="2"/>
        <v>19</v>
      </c>
      <c r="N9" s="167" t="s">
        <v>6291</v>
      </c>
      <c r="O9" s="169">
        <f t="shared" si="3"/>
        <v>5</v>
      </c>
      <c r="P9" s="165">
        <f t="shared" si="4"/>
        <v>0</v>
      </c>
      <c r="Q9" s="169">
        <f t="shared" si="5"/>
        <v>0</v>
      </c>
    </row>
    <row r="10" spans="1:18" ht="16.5" customHeight="1" x14ac:dyDescent="0.3">
      <c r="A10" s="170" t="s">
        <v>231</v>
      </c>
      <c r="B10" s="165" t="s">
        <v>232</v>
      </c>
      <c r="C10" s="165" t="str">
        <f>IFERROR(VLOOKUP($A10,작성용!A:AL,14,0),"-")</f>
        <v>-</v>
      </c>
      <c r="D10" s="169" t="s">
        <v>6292</v>
      </c>
      <c r="E10" s="167" t="str">
        <f>IFERROR(VLOOKUP(A10,작성용!A:AL,34,0),"-")</f>
        <v>-</v>
      </c>
      <c r="F10" s="168" t="s">
        <v>6283</v>
      </c>
      <c r="G10" s="179">
        <f>COUNTIF(작성용!A:B,$A10)-COUNTIFS(작성용!A:A,$A10,작성용!AA:AA,"평가철회")</f>
        <v>0</v>
      </c>
      <c r="I10" s="167" t="s">
        <v>6293</v>
      </c>
      <c r="J10" s="169">
        <f t="shared" si="0"/>
        <v>13</v>
      </c>
      <c r="K10" s="165">
        <f t="shared" si="1"/>
        <v>3</v>
      </c>
      <c r="L10" s="169">
        <f t="shared" si="2"/>
        <v>42</v>
      </c>
      <c r="N10" s="167" t="s">
        <v>6294</v>
      </c>
      <c r="O10" s="169">
        <f t="shared" si="3"/>
        <v>23</v>
      </c>
      <c r="P10" s="165">
        <f t="shared" si="4"/>
        <v>0</v>
      </c>
      <c r="Q10" s="169">
        <f t="shared" si="5"/>
        <v>0</v>
      </c>
    </row>
    <row r="11" spans="1:18" ht="16.5" customHeight="1" x14ac:dyDescent="0.3">
      <c r="A11" s="170" t="s">
        <v>233</v>
      </c>
      <c r="B11" s="165" t="s">
        <v>234</v>
      </c>
      <c r="C11" s="165" t="str">
        <f>IFERROR(VLOOKUP($A11,작성용!A:AL,14,0),"-")</f>
        <v>-</v>
      </c>
      <c r="D11" s="169" t="s">
        <v>6292</v>
      </c>
      <c r="E11" s="167" t="str">
        <f>IFERROR(VLOOKUP(A11,작성용!A:AL,34,0),"-")</f>
        <v>-</v>
      </c>
      <c r="F11" s="168" t="s">
        <v>6283</v>
      </c>
      <c r="G11" s="179">
        <f>COUNTIF(작성용!A:B,$A11)-COUNTIFS(작성용!A:A,$A11,작성용!AA:AA,"평가철회")</f>
        <v>0</v>
      </c>
      <c r="I11" s="167" t="s">
        <v>6295</v>
      </c>
      <c r="J11" s="169">
        <f t="shared" si="0"/>
        <v>25</v>
      </c>
      <c r="K11" s="165">
        <f t="shared" si="1"/>
        <v>1</v>
      </c>
      <c r="L11" s="169">
        <f t="shared" si="2"/>
        <v>1</v>
      </c>
      <c r="N11" s="167" t="s">
        <v>6296</v>
      </c>
      <c r="O11" s="169">
        <f t="shared" si="3"/>
        <v>0</v>
      </c>
      <c r="P11" s="165">
        <f t="shared" si="4"/>
        <v>0</v>
      </c>
      <c r="Q11" s="169">
        <f t="shared" si="5"/>
        <v>0</v>
      </c>
    </row>
    <row r="12" spans="1:18" ht="16.5" customHeight="1" x14ac:dyDescent="0.3">
      <c r="A12" s="170" t="s">
        <v>235</v>
      </c>
      <c r="B12" s="165" t="s">
        <v>236</v>
      </c>
      <c r="C12" s="165" t="str">
        <f>IFERROR(VLOOKUP($A12,작성용!A:AL,14,0),"-")</f>
        <v>-</v>
      </c>
      <c r="D12" s="169" t="s">
        <v>6297</v>
      </c>
      <c r="E12" s="167" t="str">
        <f>IFERROR(VLOOKUP(A12,작성용!A:AL,34,0),"-")</f>
        <v>-</v>
      </c>
      <c r="F12" s="168" t="s">
        <v>6270</v>
      </c>
      <c r="G12" s="179">
        <f>COUNTIF(작성용!A:B,$A12)-COUNTIFS(작성용!A:A,$A12,작성용!AA:AA,"평가철회")</f>
        <v>0</v>
      </c>
      <c r="I12" s="167" t="s">
        <v>6298</v>
      </c>
      <c r="J12" s="169">
        <f t="shared" si="0"/>
        <v>17</v>
      </c>
      <c r="K12" s="165">
        <f t="shared" si="1"/>
        <v>4</v>
      </c>
      <c r="L12" s="169">
        <f t="shared" si="2"/>
        <v>35</v>
      </c>
      <c r="N12" s="167" t="s">
        <v>6299</v>
      </c>
      <c r="O12" s="169">
        <f t="shared" si="3"/>
        <v>8</v>
      </c>
      <c r="P12" s="165">
        <f t="shared" si="4"/>
        <v>0</v>
      </c>
      <c r="Q12" s="169">
        <f t="shared" si="5"/>
        <v>0</v>
      </c>
    </row>
    <row r="13" spans="1:18" ht="16.5" customHeight="1" x14ac:dyDescent="0.3">
      <c r="A13" s="170" t="s">
        <v>237</v>
      </c>
      <c r="B13" s="165" t="s">
        <v>238</v>
      </c>
      <c r="C13" s="165" t="str">
        <f>IFERROR(VLOOKUP($A13,작성용!A:AL,14,0),"-")</f>
        <v>-</v>
      </c>
      <c r="D13" s="169" t="s">
        <v>239</v>
      </c>
      <c r="E13" s="167" t="str">
        <f>IFERROR(VLOOKUP(A13,작성용!A:AL,34,0),"-")</f>
        <v>-</v>
      </c>
      <c r="F13" s="168" t="s">
        <v>2</v>
      </c>
      <c r="G13" s="179">
        <f>COUNTIF(작성용!A:B,$A13)-COUNTIFS(작성용!A:A,$A13,작성용!AA:AA,"평가철회")</f>
        <v>0</v>
      </c>
      <c r="I13" s="167" t="s">
        <v>6300</v>
      </c>
      <c r="J13" s="169">
        <f t="shared" si="0"/>
        <v>9</v>
      </c>
      <c r="K13" s="165">
        <f t="shared" si="1"/>
        <v>1</v>
      </c>
      <c r="L13" s="169">
        <f t="shared" si="2"/>
        <v>1</v>
      </c>
      <c r="N13" s="167" t="s">
        <v>6301</v>
      </c>
      <c r="O13" s="169">
        <f t="shared" si="3"/>
        <v>41</v>
      </c>
      <c r="P13" s="165">
        <f t="shared" si="4"/>
        <v>0</v>
      </c>
      <c r="Q13" s="169">
        <f t="shared" si="5"/>
        <v>0</v>
      </c>
    </row>
    <row r="14" spans="1:18" ht="16.5" customHeight="1" x14ac:dyDescent="0.3">
      <c r="A14" s="170" t="s">
        <v>240</v>
      </c>
      <c r="B14" s="165" t="s">
        <v>241</v>
      </c>
      <c r="C14" s="165" t="str">
        <f>IFERROR(VLOOKUP($A14,작성용!A:AL,14,0),"-")</f>
        <v>-</v>
      </c>
      <c r="D14" s="169" t="s">
        <v>220</v>
      </c>
      <c r="E14" s="167" t="str">
        <f>IFERROR(VLOOKUP(A14,작성용!A:AL,34,0),"-")</f>
        <v>-</v>
      </c>
      <c r="F14" s="168" t="s">
        <v>6270</v>
      </c>
      <c r="G14" s="179">
        <f>COUNTIF(작성용!A:B,$A14)-COUNTIFS(작성용!A:A,$A14,작성용!AA:AA,"평가철회")</f>
        <v>0</v>
      </c>
      <c r="I14" s="167" t="s">
        <v>6302</v>
      </c>
      <c r="J14" s="169">
        <f t="shared" si="0"/>
        <v>8</v>
      </c>
      <c r="K14" s="165">
        <f t="shared" si="1"/>
        <v>0</v>
      </c>
      <c r="L14" s="169">
        <f t="shared" si="2"/>
        <v>0</v>
      </c>
      <c r="N14" s="167" t="s">
        <v>6303</v>
      </c>
      <c r="O14" s="169">
        <f t="shared" si="3"/>
        <v>3</v>
      </c>
      <c r="P14" s="165">
        <f t="shared" si="4"/>
        <v>0</v>
      </c>
      <c r="Q14" s="169">
        <f t="shared" si="5"/>
        <v>0</v>
      </c>
    </row>
    <row r="15" spans="1:18" ht="16.5" customHeight="1" x14ac:dyDescent="0.3">
      <c r="A15" s="170" t="s">
        <v>242</v>
      </c>
      <c r="B15" s="165" t="s">
        <v>243</v>
      </c>
      <c r="C15" s="165" t="str">
        <f>IFERROR(VLOOKUP($A15,작성용!A:AL,14,0),"-")</f>
        <v>-</v>
      </c>
      <c r="D15" s="169" t="s">
        <v>6292</v>
      </c>
      <c r="E15" s="167" t="str">
        <f>IFERROR(VLOOKUP(A15,작성용!A:AL,34,0),"-")</f>
        <v>-</v>
      </c>
      <c r="F15" s="168" t="s">
        <v>6304</v>
      </c>
      <c r="G15" s="179">
        <f>COUNTIF(작성용!A:B,$A15)-COUNTIFS(작성용!A:A,$A15,작성용!AA:AA,"평가철회")</f>
        <v>0</v>
      </c>
      <c r="I15" s="167" t="s">
        <v>6305</v>
      </c>
      <c r="J15" s="169">
        <f t="shared" si="0"/>
        <v>10</v>
      </c>
      <c r="K15" s="165">
        <f t="shared" si="1"/>
        <v>3</v>
      </c>
      <c r="L15" s="169">
        <f t="shared" si="2"/>
        <v>28</v>
      </c>
      <c r="N15" s="167" t="s">
        <v>6306</v>
      </c>
      <c r="O15" s="169">
        <f t="shared" si="3"/>
        <v>4</v>
      </c>
      <c r="P15" s="165">
        <f t="shared" si="4"/>
        <v>0</v>
      </c>
      <c r="Q15" s="169">
        <f t="shared" si="5"/>
        <v>0</v>
      </c>
    </row>
    <row r="16" spans="1:18" ht="16.5" customHeight="1" x14ac:dyDescent="0.3">
      <c r="A16" s="170" t="s">
        <v>245</v>
      </c>
      <c r="B16" s="165" t="s">
        <v>246</v>
      </c>
      <c r="C16" s="165" t="str">
        <f>IFERROR(VLOOKUP($A16,작성용!A:AL,14,0),"-")</f>
        <v>-</v>
      </c>
      <c r="D16" s="169" t="s">
        <v>247</v>
      </c>
      <c r="E16" s="167" t="str">
        <f>IFERROR(VLOOKUP(A16,작성용!A:AL,34,0),"-")</f>
        <v>-</v>
      </c>
      <c r="F16" s="168" t="s">
        <v>2</v>
      </c>
      <c r="G16" s="179">
        <f>COUNTIF(작성용!A:B,$A16)-COUNTIFS(작성용!A:A,$A16,작성용!AA:AA,"평가철회")</f>
        <v>0</v>
      </c>
      <c r="I16" s="167" t="s">
        <v>6307</v>
      </c>
      <c r="J16" s="169">
        <f t="shared" si="0"/>
        <v>4</v>
      </c>
      <c r="K16" s="165">
        <f t="shared" si="1"/>
        <v>2</v>
      </c>
      <c r="L16" s="169">
        <f t="shared" si="2"/>
        <v>10</v>
      </c>
      <c r="N16" s="167" t="s">
        <v>6308</v>
      </c>
      <c r="O16" s="169">
        <f t="shared" si="3"/>
        <v>2</v>
      </c>
      <c r="P16" s="165">
        <f t="shared" si="4"/>
        <v>0</v>
      </c>
      <c r="Q16" s="169">
        <f t="shared" si="5"/>
        <v>0</v>
      </c>
    </row>
    <row r="17" spans="1:17" ht="16.5" customHeight="1" x14ac:dyDescent="0.3">
      <c r="A17" s="170" t="s">
        <v>248</v>
      </c>
      <c r="B17" s="165" t="s">
        <v>249</v>
      </c>
      <c r="C17" s="165" t="str">
        <f>IFERROR(VLOOKUP($A17,작성용!A:AL,14,0),"-")</f>
        <v>-</v>
      </c>
      <c r="D17" s="169" t="s">
        <v>6309</v>
      </c>
      <c r="E17" s="167" t="str">
        <f>IFERROR(VLOOKUP(A17,작성용!A:AL,34,0),"-")</f>
        <v>-</v>
      </c>
      <c r="F17" s="168" t="s">
        <v>2</v>
      </c>
      <c r="G17" s="179">
        <f>COUNTIF(작성용!A:B,$A17)-COUNTIFS(작성용!A:A,$A17,작성용!AA:AA,"평가철회")</f>
        <v>0</v>
      </c>
      <c r="I17" s="167" t="s">
        <v>6310</v>
      </c>
      <c r="J17" s="169">
        <f t="shared" si="0"/>
        <v>40</v>
      </c>
      <c r="K17" s="165">
        <f t="shared" si="1"/>
        <v>0</v>
      </c>
      <c r="L17" s="169">
        <f t="shared" si="2"/>
        <v>0</v>
      </c>
      <c r="N17" s="167" t="s">
        <v>6311</v>
      </c>
      <c r="O17" s="169">
        <f t="shared" si="3"/>
        <v>0</v>
      </c>
      <c r="P17" s="165">
        <f t="shared" si="4"/>
        <v>0</v>
      </c>
      <c r="Q17" s="169">
        <f t="shared" si="5"/>
        <v>0</v>
      </c>
    </row>
    <row r="18" spans="1:17" ht="16.5" customHeight="1" x14ac:dyDescent="0.3">
      <c r="A18" s="170" t="s">
        <v>250</v>
      </c>
      <c r="B18" s="165" t="s">
        <v>251</v>
      </c>
      <c r="C18" s="165" t="str">
        <f>IFERROR(VLOOKUP($A18,작성용!A:AL,14,0),"-")</f>
        <v>-</v>
      </c>
      <c r="D18" s="169" t="s">
        <v>220</v>
      </c>
      <c r="E18" s="167" t="str">
        <f>IFERROR(VLOOKUP(A18,작성용!A:AL,34,0),"-")</f>
        <v>-</v>
      </c>
      <c r="F18" s="168" t="s">
        <v>2</v>
      </c>
      <c r="G18" s="179">
        <f>COUNTIF(작성용!A:B,$A18)-COUNTIFS(작성용!A:A,$A18,작성용!AA:AA,"평가철회")</f>
        <v>0</v>
      </c>
      <c r="I18" s="167" t="s">
        <v>6312</v>
      </c>
      <c r="J18" s="169">
        <f t="shared" si="0"/>
        <v>32</v>
      </c>
      <c r="K18" s="165">
        <f t="shared" si="1"/>
        <v>4</v>
      </c>
      <c r="L18" s="169">
        <f t="shared" si="2"/>
        <v>38</v>
      </c>
      <c r="N18" s="167" t="s">
        <v>6313</v>
      </c>
      <c r="O18" s="169">
        <f t="shared" si="3"/>
        <v>2</v>
      </c>
      <c r="P18" s="165">
        <f t="shared" si="4"/>
        <v>0</v>
      </c>
      <c r="Q18" s="169">
        <f t="shared" si="5"/>
        <v>0</v>
      </c>
    </row>
    <row r="19" spans="1:17" ht="16.5" customHeight="1" x14ac:dyDescent="0.3">
      <c r="A19" s="170" t="s">
        <v>252</v>
      </c>
      <c r="B19" s="165" t="s">
        <v>14</v>
      </c>
      <c r="C19" s="165" t="str">
        <f>IFERROR(VLOOKUP($A19,작성용!A:AL,14,0),"-")</f>
        <v>-</v>
      </c>
      <c r="D19" s="169" t="s">
        <v>6314</v>
      </c>
      <c r="E19" s="167" t="str">
        <f>IFERROR(VLOOKUP(A19,작성용!A:AL,34,0),"-")</f>
        <v>-</v>
      </c>
      <c r="F19" s="168" t="s">
        <v>6315</v>
      </c>
      <c r="G19" s="179">
        <f>COUNTIF(작성용!A:B,$A19)-COUNTIFS(작성용!A:A,$A19,작성용!AA:AA,"평가철회")</f>
        <v>0</v>
      </c>
      <c r="I19" s="167" t="s">
        <v>6316</v>
      </c>
      <c r="J19" s="169">
        <f t="shared" si="0"/>
        <v>41</v>
      </c>
      <c r="K19" s="165">
        <f t="shared" si="1"/>
        <v>3</v>
      </c>
      <c r="L19" s="169">
        <f t="shared" si="2"/>
        <v>55</v>
      </c>
      <c r="N19" s="167" t="s">
        <v>6280</v>
      </c>
      <c r="O19" s="169">
        <f t="shared" si="3"/>
        <v>11</v>
      </c>
      <c r="P19" s="165">
        <f t="shared" si="4"/>
        <v>0</v>
      </c>
      <c r="Q19" s="169">
        <f t="shared" si="5"/>
        <v>0</v>
      </c>
    </row>
    <row r="20" spans="1:17" ht="16.5" customHeight="1" x14ac:dyDescent="0.3">
      <c r="A20" s="170" t="s">
        <v>253</v>
      </c>
      <c r="B20" s="165" t="s">
        <v>254</v>
      </c>
      <c r="C20" s="165" t="str">
        <f>IFERROR(VLOOKUP($A20,작성용!A:AL,14,0),"-")</f>
        <v>-</v>
      </c>
      <c r="D20" s="169" t="s">
        <v>6317</v>
      </c>
      <c r="E20" s="167" t="str">
        <f>IFERROR(VLOOKUP(A20,작성용!A:AL,34,0),"-")</f>
        <v>-</v>
      </c>
      <c r="F20" s="168" t="s">
        <v>6304</v>
      </c>
      <c r="G20" s="179">
        <f>COUNTIF(작성용!A:B,$A20)-COUNTIFS(작성용!A:A,$A20,작성용!AA:AA,"평가철회")</f>
        <v>0</v>
      </c>
      <c r="I20" s="167" t="s">
        <v>6318</v>
      </c>
      <c r="J20" s="169">
        <f t="shared" si="0"/>
        <v>12</v>
      </c>
      <c r="K20" s="165">
        <f t="shared" si="1"/>
        <v>3</v>
      </c>
      <c r="L20" s="169">
        <f t="shared" si="2"/>
        <v>34</v>
      </c>
      <c r="N20" s="167" t="s">
        <v>6319</v>
      </c>
      <c r="O20" s="169">
        <f t="shared" si="3"/>
        <v>14</v>
      </c>
      <c r="P20" s="165">
        <f t="shared" si="4"/>
        <v>0</v>
      </c>
      <c r="Q20" s="169">
        <f t="shared" si="5"/>
        <v>0</v>
      </c>
    </row>
    <row r="21" spans="1:17" ht="16.5" customHeight="1" x14ac:dyDescent="0.3">
      <c r="A21" s="170" t="s">
        <v>255</v>
      </c>
      <c r="B21" s="165" t="s">
        <v>256</v>
      </c>
      <c r="C21" s="165" t="str">
        <f>IFERROR(VLOOKUP($A21,작성용!A:AL,14,0),"-")</f>
        <v>-</v>
      </c>
      <c r="D21" s="169" t="s">
        <v>220</v>
      </c>
      <c r="E21" s="167" t="str">
        <f>IFERROR(VLOOKUP(A21,작성용!A:AL,34,0),"-")</f>
        <v>-</v>
      </c>
      <c r="F21" s="168" t="s">
        <v>2</v>
      </c>
      <c r="G21" s="179">
        <f>COUNTIF(작성용!A:B,$A21)-COUNTIFS(작성용!A:A,$A21,작성용!AA:AA,"평가철회")</f>
        <v>0</v>
      </c>
      <c r="I21" s="167" t="s">
        <v>6320</v>
      </c>
      <c r="J21" s="169">
        <f t="shared" si="0"/>
        <v>16</v>
      </c>
      <c r="K21" s="165">
        <f t="shared" si="1"/>
        <v>1</v>
      </c>
      <c r="L21" s="169">
        <f t="shared" si="2"/>
        <v>41</v>
      </c>
      <c r="N21" s="167" t="s">
        <v>6321</v>
      </c>
      <c r="O21" s="169">
        <f t="shared" si="3"/>
        <v>17</v>
      </c>
      <c r="P21" s="165">
        <f t="shared" si="4"/>
        <v>0</v>
      </c>
      <c r="Q21" s="169">
        <f t="shared" si="5"/>
        <v>0</v>
      </c>
    </row>
    <row r="22" spans="1:17" ht="16.5" customHeight="1" x14ac:dyDescent="0.3">
      <c r="A22" s="170" t="s">
        <v>3</v>
      </c>
      <c r="B22" s="165" t="s">
        <v>4</v>
      </c>
      <c r="C22" s="165" t="str">
        <f>IFERROR(VLOOKUP($A22,작성용!A:AL,14,0),"-")</f>
        <v>-</v>
      </c>
      <c r="D22" s="169" t="s">
        <v>220</v>
      </c>
      <c r="E22" s="167" t="str">
        <f>IFERROR(VLOOKUP(A22,작성용!A:AL,34,0),"-")</f>
        <v>-</v>
      </c>
      <c r="F22" s="168" t="s">
        <v>6283</v>
      </c>
      <c r="G22" s="179">
        <f>COUNTIF(작성용!A:B,$A22)-COUNTIFS(작성용!A:A,$A22,작성용!AA:AA,"평가철회")</f>
        <v>0</v>
      </c>
      <c r="I22" s="167" t="s">
        <v>6322</v>
      </c>
      <c r="J22" s="169">
        <f t="shared" si="0"/>
        <v>21</v>
      </c>
      <c r="K22" s="165">
        <f t="shared" si="1"/>
        <v>2</v>
      </c>
      <c r="L22" s="169">
        <f t="shared" si="2"/>
        <v>5</v>
      </c>
    </row>
    <row r="23" spans="1:17" ht="16.5" customHeight="1" x14ac:dyDescent="0.3">
      <c r="A23" s="170" t="s">
        <v>257</v>
      </c>
      <c r="B23" s="165" t="s">
        <v>258</v>
      </c>
      <c r="C23" s="165" t="str">
        <f>IFERROR(VLOOKUP($A23,작성용!A:AL,14,0),"-")</f>
        <v>-</v>
      </c>
      <c r="D23" s="169" t="s">
        <v>13</v>
      </c>
      <c r="E23" s="167" t="str">
        <f>IFERROR(VLOOKUP(A23,작성용!A:AL,34,0),"-")</f>
        <v>-</v>
      </c>
      <c r="F23" s="168" t="s">
        <v>2</v>
      </c>
      <c r="G23" s="179">
        <f>COUNTIF(작성용!A:B,$A23)-COUNTIFS(작성용!A:A,$A23,작성용!AA:AA,"평가철회")</f>
        <v>0</v>
      </c>
      <c r="I23" s="167" t="s">
        <v>6323</v>
      </c>
      <c r="J23" s="169">
        <f t="shared" si="0"/>
        <v>7</v>
      </c>
      <c r="K23" s="165">
        <f t="shared" si="1"/>
        <v>1</v>
      </c>
      <c r="L23" s="169">
        <f t="shared" si="2"/>
        <v>9</v>
      </c>
    </row>
    <row r="24" spans="1:17" ht="16.5" customHeight="1" x14ac:dyDescent="0.3">
      <c r="A24" s="170" t="s">
        <v>259</v>
      </c>
      <c r="B24" s="165" t="s">
        <v>260</v>
      </c>
      <c r="C24" s="165" t="str">
        <f>IFERROR(VLOOKUP($A24,작성용!A:AL,14,0),"-")</f>
        <v>-</v>
      </c>
      <c r="D24" s="169" t="s">
        <v>2</v>
      </c>
      <c r="E24" s="167" t="str">
        <f>IFERROR(VLOOKUP(A24,작성용!A:AL,34,0),"-")</f>
        <v>-</v>
      </c>
      <c r="F24" s="168" t="s">
        <v>6304</v>
      </c>
      <c r="G24" s="179">
        <f>COUNTIF(작성용!A:B,$A24)-COUNTIFS(작성용!A:A,$A24,작성용!AA:AA,"평가철회")</f>
        <v>0</v>
      </c>
      <c r="I24" s="167" t="s">
        <v>6324</v>
      </c>
      <c r="J24" s="169">
        <f t="shared" si="0"/>
        <v>52</v>
      </c>
      <c r="K24" s="165">
        <f t="shared" si="1"/>
        <v>6</v>
      </c>
      <c r="L24" s="169">
        <f t="shared" si="2"/>
        <v>78</v>
      </c>
    </row>
    <row r="25" spans="1:17" ht="16.5" customHeight="1" x14ac:dyDescent="0.3">
      <c r="A25" s="170" t="s">
        <v>261</v>
      </c>
      <c r="B25" s="165" t="s">
        <v>262</v>
      </c>
      <c r="C25" s="165" t="str">
        <f>IFERROR(VLOOKUP($A25,작성용!A:AL,14,0),"-")</f>
        <v>-</v>
      </c>
      <c r="D25" s="169" t="s">
        <v>220</v>
      </c>
      <c r="E25" s="167" t="str">
        <f>IFERROR(VLOOKUP(A25,작성용!A:AL,34,0),"-")</f>
        <v>-</v>
      </c>
      <c r="F25" s="168" t="s">
        <v>6283</v>
      </c>
      <c r="G25" s="179">
        <f>COUNTIF(작성용!A:B,$A25)-COUNTIFS(작성용!A:A,$A25,작성용!AA:AA,"평가철회")</f>
        <v>0</v>
      </c>
      <c r="I25" s="167" t="s">
        <v>6325</v>
      </c>
      <c r="J25" s="169">
        <f t="shared" si="0"/>
        <v>31</v>
      </c>
      <c r="K25" s="165">
        <f t="shared" si="1"/>
        <v>0</v>
      </c>
      <c r="L25" s="169">
        <f t="shared" si="2"/>
        <v>0</v>
      </c>
    </row>
    <row r="26" spans="1:17" ht="16.5" customHeight="1" x14ac:dyDescent="0.3">
      <c r="A26" s="170" t="s">
        <v>263</v>
      </c>
      <c r="B26" s="165" t="s">
        <v>264</v>
      </c>
      <c r="C26" s="165" t="str">
        <f>IFERROR(VLOOKUP($A26,작성용!A:AL,14,0),"-")</f>
        <v>-</v>
      </c>
      <c r="D26" s="169" t="s">
        <v>220</v>
      </c>
      <c r="E26" s="167" t="str">
        <f>IFERROR(VLOOKUP(A26,작성용!A:AL,34,0),"-")</f>
        <v>-</v>
      </c>
      <c r="F26" s="168" t="s">
        <v>6326</v>
      </c>
      <c r="G26" s="179">
        <f>COUNTIF(작성용!A:B,$A26)-COUNTIFS(작성용!A:A,$A26,작성용!AA:AA,"평가철회")</f>
        <v>0</v>
      </c>
      <c r="I26" s="167" t="s">
        <v>6327</v>
      </c>
      <c r="J26" s="169">
        <f t="shared" si="0"/>
        <v>16</v>
      </c>
      <c r="K26" s="165">
        <f t="shared" si="1"/>
        <v>6</v>
      </c>
      <c r="L26" s="169">
        <f t="shared" si="2"/>
        <v>100</v>
      </c>
    </row>
    <row r="27" spans="1:17" ht="16.5" customHeight="1" x14ac:dyDescent="0.3">
      <c r="A27" s="170" t="s">
        <v>265</v>
      </c>
      <c r="B27" s="165" t="s">
        <v>266</v>
      </c>
      <c r="C27" s="165" t="str">
        <f>IFERROR(VLOOKUP($A27,작성용!A:AL,14,0),"-")</f>
        <v>-</v>
      </c>
      <c r="D27" s="169" t="s">
        <v>220</v>
      </c>
      <c r="E27" s="167" t="str">
        <f>IFERROR(VLOOKUP(A27,작성용!A:AL,34,0),"-")</f>
        <v>-</v>
      </c>
      <c r="F27" s="168" t="s">
        <v>2</v>
      </c>
      <c r="G27" s="179">
        <f>COUNTIF(작성용!A:B,$A27)-COUNTIFS(작성용!A:A,$A27,작성용!AA:AA,"평가철회")</f>
        <v>0</v>
      </c>
      <c r="I27" s="167" t="s">
        <v>6328</v>
      </c>
      <c r="J27" s="169">
        <f t="shared" si="0"/>
        <v>5</v>
      </c>
      <c r="K27" s="165">
        <f t="shared" si="1"/>
        <v>1</v>
      </c>
      <c r="L27" s="169">
        <f t="shared" si="2"/>
        <v>6</v>
      </c>
    </row>
    <row r="28" spans="1:17" ht="16.5" customHeight="1" x14ac:dyDescent="0.3">
      <c r="A28" s="170" t="s">
        <v>267</v>
      </c>
      <c r="B28" s="165" t="s">
        <v>268</v>
      </c>
      <c r="C28" s="165" t="str">
        <f>IFERROR(VLOOKUP($A28,작성용!A:AL,14,0),"-")</f>
        <v>-</v>
      </c>
      <c r="D28" s="169" t="s">
        <v>220</v>
      </c>
      <c r="E28" s="167" t="str">
        <f>IFERROR(VLOOKUP(A28,작성용!A:AL,34,0),"-")</f>
        <v>-</v>
      </c>
      <c r="F28" s="168" t="s">
        <v>6283</v>
      </c>
      <c r="G28" s="179">
        <f>COUNTIF(작성용!A:B,$A28)-COUNTIFS(작성용!A:A,$A28,작성용!AA:AA,"평가철회")</f>
        <v>0</v>
      </c>
      <c r="I28" s="167" t="s">
        <v>6329</v>
      </c>
      <c r="J28" s="169">
        <f t="shared" si="0"/>
        <v>5</v>
      </c>
      <c r="K28" s="165">
        <f t="shared" si="1"/>
        <v>0</v>
      </c>
      <c r="L28" s="169">
        <f t="shared" si="2"/>
        <v>0</v>
      </c>
    </row>
    <row r="29" spans="1:17" ht="16.5" customHeight="1" x14ac:dyDescent="0.3">
      <c r="A29" s="170" t="s">
        <v>22</v>
      </c>
      <c r="B29" s="165" t="s">
        <v>23</v>
      </c>
      <c r="C29" s="165" t="str">
        <f>IFERROR(VLOOKUP($A29,작성용!A:AL,14,0),"-")</f>
        <v>-</v>
      </c>
      <c r="D29" s="169" t="s">
        <v>6330</v>
      </c>
      <c r="E29" s="167" t="str">
        <f>IFERROR(VLOOKUP(A29,작성용!A:AL,34,0),"-")</f>
        <v>-</v>
      </c>
      <c r="F29" s="168" t="s">
        <v>6331</v>
      </c>
      <c r="G29" s="179">
        <f>COUNTIF(작성용!A:B,$A29)-COUNTIFS(작성용!A:A,$A29,작성용!AA:AA,"평가철회")</f>
        <v>0</v>
      </c>
      <c r="I29" s="167" t="s">
        <v>6332</v>
      </c>
      <c r="J29" s="169">
        <f t="shared" si="0"/>
        <v>5</v>
      </c>
      <c r="K29" s="165">
        <f t="shared" si="1"/>
        <v>2</v>
      </c>
      <c r="L29" s="169">
        <f t="shared" si="2"/>
        <v>28</v>
      </c>
    </row>
    <row r="30" spans="1:17" ht="16.5" customHeight="1" x14ac:dyDescent="0.3">
      <c r="A30" s="170" t="s">
        <v>269</v>
      </c>
      <c r="B30" s="165" t="s">
        <v>270</v>
      </c>
      <c r="C30" s="165" t="str">
        <f>IFERROR(VLOOKUP($A30,작성용!A:AL,14,0),"-")</f>
        <v>-</v>
      </c>
      <c r="D30" s="169" t="s">
        <v>6276</v>
      </c>
      <c r="E30" s="167" t="str">
        <f>IFERROR(VLOOKUP(A30,작성용!A:AL,34,0),"-")</f>
        <v>-</v>
      </c>
      <c r="F30" s="168" t="s">
        <v>6331</v>
      </c>
      <c r="G30" s="179">
        <f>COUNTIF(작성용!A:B,$A30)-COUNTIFS(작성용!A:A,$A30,작성용!AA:AA,"평가철회")</f>
        <v>0</v>
      </c>
    </row>
    <row r="31" spans="1:17" ht="16.5" customHeight="1" x14ac:dyDescent="0.3">
      <c r="A31" s="170" t="s">
        <v>271</v>
      </c>
      <c r="B31" s="165" t="s">
        <v>272</v>
      </c>
      <c r="C31" s="165" t="str">
        <f>IFERROR(VLOOKUP($A31,작성용!A:AL,14,0),"-")</f>
        <v>-</v>
      </c>
      <c r="D31" s="169" t="s">
        <v>273</v>
      </c>
      <c r="E31" s="167" t="str">
        <f>IFERROR(VLOOKUP(A31,작성용!A:AL,34,0),"-")</f>
        <v>-</v>
      </c>
      <c r="F31" s="168" t="s">
        <v>2</v>
      </c>
      <c r="G31" s="179">
        <f>COUNTIF(작성용!A:B,$A31)-COUNTIFS(작성용!A:A,$A31,작성용!AA:AA,"평가철회")</f>
        <v>0</v>
      </c>
    </row>
    <row r="32" spans="1:17" ht="16.5" customHeight="1" x14ac:dyDescent="0.3">
      <c r="A32" s="170" t="s">
        <v>274</v>
      </c>
      <c r="B32" s="165" t="s">
        <v>275</v>
      </c>
      <c r="C32" s="165" t="str">
        <f>IFERROR(VLOOKUP($A32,작성용!A:AL,14,0),"-")</f>
        <v>-</v>
      </c>
      <c r="D32" s="169" t="s">
        <v>6333</v>
      </c>
      <c r="E32" s="167" t="str">
        <f>IFERROR(VLOOKUP(A32,작성용!A:AL,34,0),"-")</f>
        <v>-</v>
      </c>
      <c r="F32" s="168" t="s">
        <v>6270</v>
      </c>
      <c r="G32" s="179">
        <f>COUNTIF(작성용!A:B,$A32)-COUNTIFS(작성용!A:A,$A32,작성용!AA:AA,"평가철회")</f>
        <v>0</v>
      </c>
    </row>
    <row r="33" spans="1:7" ht="16.5" customHeight="1" x14ac:dyDescent="0.3">
      <c r="A33" s="170" t="s">
        <v>276</v>
      </c>
      <c r="B33" s="165" t="s">
        <v>228</v>
      </c>
      <c r="C33" s="165" t="str">
        <f>IFERROR(VLOOKUP($A33,작성용!A:AL,14,0),"-")</f>
        <v>-</v>
      </c>
      <c r="D33" s="169" t="s">
        <v>244</v>
      </c>
      <c r="E33" s="167" t="str">
        <f>IFERROR(VLOOKUP(A33,작성용!A:AL,34,0),"-")</f>
        <v>-</v>
      </c>
      <c r="F33" s="168" t="s">
        <v>2</v>
      </c>
      <c r="G33" s="179">
        <f>COUNTIF(작성용!A:B,$A33)-COUNTIFS(작성용!A:A,$A33,작성용!AA:AA,"평가철회")</f>
        <v>0</v>
      </c>
    </row>
    <row r="34" spans="1:7" ht="16.5" customHeight="1" x14ac:dyDescent="0.3">
      <c r="A34" s="170" t="s">
        <v>277</v>
      </c>
      <c r="B34" s="165" t="s">
        <v>278</v>
      </c>
      <c r="C34" s="165" t="str">
        <f>IFERROR(VLOOKUP($A34,작성용!A:AL,14,0),"-")</f>
        <v>-</v>
      </c>
      <c r="D34" s="169" t="s">
        <v>6334</v>
      </c>
      <c r="E34" s="167" t="str">
        <f>IFERROR(VLOOKUP(A34,작성용!A:AL,34,0),"-")</f>
        <v>-</v>
      </c>
      <c r="F34" s="168" t="s">
        <v>6335</v>
      </c>
      <c r="G34" s="179">
        <f>COUNTIF(작성용!A:B,$A34)-COUNTIFS(작성용!A:A,$A34,작성용!AA:AA,"평가철회")</f>
        <v>0</v>
      </c>
    </row>
    <row r="35" spans="1:7" ht="16.5" customHeight="1" x14ac:dyDescent="0.3">
      <c r="A35" s="170" t="s">
        <v>279</v>
      </c>
      <c r="B35" s="165" t="s">
        <v>280</v>
      </c>
      <c r="C35" s="165" t="str">
        <f>IFERROR(VLOOKUP($A35,작성용!A:AL,14,0),"-")</f>
        <v>-</v>
      </c>
      <c r="D35" s="169" t="s">
        <v>6288</v>
      </c>
      <c r="E35" s="167" t="str">
        <f>IFERROR(VLOOKUP(A35,작성용!A:AL,34,0),"-")</f>
        <v>-</v>
      </c>
      <c r="F35" s="168" t="s">
        <v>6270</v>
      </c>
      <c r="G35" s="179">
        <f>COUNTIF(작성용!A:B,$A35)-COUNTIFS(작성용!A:A,$A35,작성용!AA:AA,"평가철회")</f>
        <v>0</v>
      </c>
    </row>
    <row r="36" spans="1:7" ht="16.5" customHeight="1" x14ac:dyDescent="0.3">
      <c r="A36" s="170" t="s">
        <v>281</v>
      </c>
      <c r="B36" s="165" t="s">
        <v>282</v>
      </c>
      <c r="C36" s="165" t="str">
        <f>IFERROR(VLOOKUP($A36,작성용!A:AL,14,0),"-")</f>
        <v>-</v>
      </c>
      <c r="D36" s="169" t="s">
        <v>6324</v>
      </c>
      <c r="E36" s="167" t="str">
        <f>IFERROR(VLOOKUP(A36,작성용!A:AL,34,0),"-")</f>
        <v>-</v>
      </c>
      <c r="F36" s="168" t="s">
        <v>85</v>
      </c>
      <c r="G36" s="179">
        <f>COUNTIF(작성용!A:B,$A36)-COUNTIFS(작성용!A:A,$A36,작성용!AA:AA,"평가철회")</f>
        <v>0</v>
      </c>
    </row>
    <row r="37" spans="1:7" ht="16.5" customHeight="1" x14ac:dyDescent="0.3">
      <c r="A37" s="170" t="s">
        <v>283</v>
      </c>
      <c r="B37" s="165" t="s">
        <v>284</v>
      </c>
      <c r="C37" s="165" t="str">
        <f>IFERROR(VLOOKUP($A37,작성용!A:AL,14,0),"-")</f>
        <v>-</v>
      </c>
      <c r="D37" s="169" t="s">
        <v>220</v>
      </c>
      <c r="E37" s="167" t="str">
        <f>IFERROR(VLOOKUP(A37,작성용!A:AL,34,0),"-")</f>
        <v>-</v>
      </c>
      <c r="F37" s="168" t="s">
        <v>2</v>
      </c>
      <c r="G37" s="179">
        <f>COUNTIF(작성용!A:B,$A37)-COUNTIFS(작성용!A:A,$A37,작성용!AA:AA,"평가철회")</f>
        <v>0</v>
      </c>
    </row>
    <row r="38" spans="1:7" ht="16.5" customHeight="1" x14ac:dyDescent="0.3">
      <c r="A38" s="170" t="s">
        <v>285</v>
      </c>
      <c r="B38" s="165" t="s">
        <v>286</v>
      </c>
      <c r="C38" s="165" t="str">
        <f>IFERROR(VLOOKUP($A38,작성용!A:AL,14,0),"-")</f>
        <v>-</v>
      </c>
      <c r="D38" s="169" t="s">
        <v>220</v>
      </c>
      <c r="E38" s="167" t="str">
        <f>IFERROR(VLOOKUP(A38,작성용!A:AL,34,0),"-")</f>
        <v>-</v>
      </c>
      <c r="F38" s="168" t="s">
        <v>6283</v>
      </c>
      <c r="G38" s="179">
        <f>COUNTIF(작성용!A:B,$A38)-COUNTIFS(작성용!A:A,$A38,작성용!AA:AA,"평가철회")</f>
        <v>0</v>
      </c>
    </row>
    <row r="39" spans="1:7" ht="16.5" customHeight="1" x14ac:dyDescent="0.3">
      <c r="A39" s="170" t="s">
        <v>287</v>
      </c>
      <c r="B39" s="165" t="s">
        <v>288</v>
      </c>
      <c r="C39" s="165" t="str">
        <f>IFERROR(VLOOKUP($A39,작성용!A:AL,14,0),"-")</f>
        <v>-</v>
      </c>
      <c r="D39" s="169" t="s">
        <v>220</v>
      </c>
      <c r="E39" s="167" t="str">
        <f>IFERROR(VLOOKUP(A39,작성용!A:AL,34,0),"-")</f>
        <v>-</v>
      </c>
      <c r="F39" s="168" t="s">
        <v>2</v>
      </c>
      <c r="G39" s="179">
        <f>COUNTIF(작성용!A:B,$A39)-COUNTIFS(작성용!A:A,$A39,작성용!AA:AA,"평가철회")</f>
        <v>0</v>
      </c>
    </row>
    <row r="40" spans="1:7" ht="16.5" customHeight="1" x14ac:dyDescent="0.3">
      <c r="A40" s="170" t="s">
        <v>289</v>
      </c>
      <c r="B40" s="165" t="s">
        <v>290</v>
      </c>
      <c r="C40" s="165" t="str">
        <f>IFERROR(VLOOKUP($A40,작성용!A:AL,14,0),"-")</f>
        <v>-</v>
      </c>
      <c r="D40" s="169" t="s">
        <v>220</v>
      </c>
      <c r="E40" s="167" t="str">
        <f>IFERROR(VLOOKUP(A40,작성용!A:AL,34,0),"-")</f>
        <v>-</v>
      </c>
      <c r="F40" s="168" t="s">
        <v>2</v>
      </c>
      <c r="G40" s="179">
        <f>COUNTIF(작성용!A:B,$A40)-COUNTIFS(작성용!A:A,$A40,작성용!AA:AA,"평가철회")</f>
        <v>0</v>
      </c>
    </row>
    <row r="41" spans="1:7" ht="16.5" customHeight="1" x14ac:dyDescent="0.3">
      <c r="A41" s="170" t="s">
        <v>291</v>
      </c>
      <c r="B41" s="165" t="s">
        <v>292</v>
      </c>
      <c r="C41" s="165" t="str">
        <f>IFERROR(VLOOKUP($A41,작성용!A:AL,14,0),"-")</f>
        <v>-</v>
      </c>
      <c r="D41" s="169" t="s">
        <v>220</v>
      </c>
      <c r="E41" s="167" t="str">
        <f>IFERROR(VLOOKUP(A41,작성용!A:AL,34,0),"-")</f>
        <v>-</v>
      </c>
      <c r="F41" s="168" t="s">
        <v>2</v>
      </c>
      <c r="G41" s="179">
        <f>COUNTIF(작성용!A:B,$A41)-COUNTIFS(작성용!A:A,$A41,작성용!AA:AA,"평가철회")</f>
        <v>0</v>
      </c>
    </row>
    <row r="42" spans="1:7" ht="16.5" customHeight="1" x14ac:dyDescent="0.3">
      <c r="A42" s="170" t="s">
        <v>293</v>
      </c>
      <c r="B42" s="165" t="s">
        <v>294</v>
      </c>
      <c r="C42" s="165" t="str">
        <f>IFERROR(VLOOKUP($A42,작성용!A:AL,14,0),"-")</f>
        <v>-</v>
      </c>
      <c r="D42" s="169" t="s">
        <v>21</v>
      </c>
      <c r="E42" s="167" t="str">
        <f>IFERROR(VLOOKUP(A42,작성용!A:AL,34,0),"-")</f>
        <v>-</v>
      </c>
      <c r="F42" s="168" t="s">
        <v>6270</v>
      </c>
      <c r="G42" s="179">
        <f>COUNTIF(작성용!A:B,$A42)-COUNTIFS(작성용!A:A,$A42,작성용!AA:AA,"평가철회")</f>
        <v>0</v>
      </c>
    </row>
    <row r="43" spans="1:7" ht="16.5" customHeight="1" x14ac:dyDescent="0.3">
      <c r="A43" s="170" t="s">
        <v>295</v>
      </c>
      <c r="B43" s="165" t="s">
        <v>296</v>
      </c>
      <c r="C43" s="165" t="str">
        <f>IFERROR(VLOOKUP($A43,작성용!A:AL,14,0),"-")</f>
        <v>-</v>
      </c>
      <c r="D43" s="169" t="s">
        <v>6312</v>
      </c>
      <c r="E43" s="167" t="str">
        <f>IFERROR(VLOOKUP(A43,작성용!A:AL,34,0),"-")</f>
        <v>-</v>
      </c>
      <c r="F43" s="168" t="s">
        <v>85</v>
      </c>
      <c r="G43" s="179">
        <f>COUNTIF(작성용!A:B,$A43)-COUNTIFS(작성용!A:A,$A43,작성용!AA:AA,"평가철회")</f>
        <v>0</v>
      </c>
    </row>
    <row r="44" spans="1:7" ht="16.5" customHeight="1" x14ac:dyDescent="0.3">
      <c r="A44" s="170" t="s">
        <v>297</v>
      </c>
      <c r="B44" s="165" t="s">
        <v>298</v>
      </c>
      <c r="C44" s="165" t="str">
        <f>IFERROR(VLOOKUP($A44,작성용!A:AL,14,0),"-")</f>
        <v>-</v>
      </c>
      <c r="D44" s="169" t="s">
        <v>6310</v>
      </c>
      <c r="E44" s="167" t="str">
        <f>IFERROR(VLOOKUP(A44,작성용!A:AL,34,0),"-")</f>
        <v>-</v>
      </c>
      <c r="F44" s="168" t="s">
        <v>4021</v>
      </c>
      <c r="G44" s="179">
        <f>COUNTIF(작성용!A:B,$A44)-COUNTIFS(작성용!A:A,$A44,작성용!AA:AA,"평가철회")</f>
        <v>0</v>
      </c>
    </row>
    <row r="45" spans="1:7" ht="16.5" customHeight="1" x14ac:dyDescent="0.3">
      <c r="A45" s="170" t="s">
        <v>299</v>
      </c>
      <c r="B45" s="165" t="s">
        <v>300</v>
      </c>
      <c r="C45" s="165" t="str">
        <f>IFERROR(VLOOKUP($A45,작성용!A:AL,14,0),"-")</f>
        <v>-</v>
      </c>
      <c r="D45" s="169" t="s">
        <v>6309</v>
      </c>
      <c r="E45" s="167" t="str">
        <f>IFERROR(VLOOKUP(A45,작성용!A:AL,34,0),"-")</f>
        <v>-</v>
      </c>
      <c r="F45" s="168" t="s">
        <v>401</v>
      </c>
      <c r="G45" s="179">
        <f>COUNTIF(작성용!A:B,$A45)-COUNTIFS(작성용!A:A,$A45,작성용!AA:AA,"평가철회")</f>
        <v>0</v>
      </c>
    </row>
    <row r="46" spans="1:7" ht="16.5" customHeight="1" x14ac:dyDescent="0.3">
      <c r="A46" s="170" t="s">
        <v>301</v>
      </c>
      <c r="B46" s="165" t="s">
        <v>302</v>
      </c>
      <c r="C46" s="165" t="str">
        <f>IFERROR(VLOOKUP($A46,작성용!A:AL,14,0),"-")</f>
        <v>-</v>
      </c>
      <c r="D46" s="169" t="s">
        <v>6294</v>
      </c>
      <c r="E46" s="167" t="str">
        <f>IFERROR(VLOOKUP(A46,작성용!A:AL,34,0),"-")</f>
        <v>-</v>
      </c>
      <c r="F46" s="168" t="s">
        <v>2</v>
      </c>
      <c r="G46" s="179">
        <f>COUNTIF(작성용!A:B,$A46)-COUNTIFS(작성용!A:A,$A46,작성용!AA:AA,"평가철회")</f>
        <v>0</v>
      </c>
    </row>
    <row r="47" spans="1:7" ht="16.5" customHeight="1" x14ac:dyDescent="0.3">
      <c r="A47" s="170" t="s">
        <v>303</v>
      </c>
      <c r="B47" s="165" t="s">
        <v>304</v>
      </c>
      <c r="C47" s="165" t="str">
        <f>IFERROR(VLOOKUP($A47,작성용!A:AL,14,0),"-")</f>
        <v>-</v>
      </c>
      <c r="D47" s="169" t="s">
        <v>305</v>
      </c>
      <c r="E47" s="167" t="str">
        <f>IFERROR(VLOOKUP(A47,작성용!A:AL,34,0),"-")</f>
        <v>-</v>
      </c>
      <c r="F47" s="168" t="s">
        <v>2</v>
      </c>
      <c r="G47" s="179">
        <f>COUNTIF(작성용!A:B,$A47)-COUNTIFS(작성용!A:A,$A47,작성용!AA:AA,"평가철회")</f>
        <v>0</v>
      </c>
    </row>
    <row r="48" spans="1:7" ht="16.5" customHeight="1" x14ac:dyDescent="0.3">
      <c r="A48" s="170" t="s">
        <v>306</v>
      </c>
      <c r="B48" s="165" t="s">
        <v>307</v>
      </c>
      <c r="C48" s="165" t="str">
        <f>IFERROR(VLOOKUP($A48,작성용!A:AL,14,0),"-")</f>
        <v>-</v>
      </c>
      <c r="D48" s="169" t="s">
        <v>220</v>
      </c>
      <c r="E48" s="167" t="str">
        <f>IFERROR(VLOOKUP(A48,작성용!A:AL,34,0),"-")</f>
        <v>-</v>
      </c>
      <c r="F48" s="168" t="s">
        <v>2</v>
      </c>
      <c r="G48" s="179">
        <f>COUNTIF(작성용!A:B,$A48)-COUNTIFS(작성용!A:A,$A48,작성용!AA:AA,"평가철회")</f>
        <v>0</v>
      </c>
    </row>
    <row r="49" spans="1:7" ht="16.5" customHeight="1" x14ac:dyDescent="0.3">
      <c r="A49" s="170" t="s">
        <v>308</v>
      </c>
      <c r="B49" s="165" t="s">
        <v>309</v>
      </c>
      <c r="C49" s="165" t="str">
        <f>IFERROR(VLOOKUP($A49,작성용!A:AL,14,0),"-")</f>
        <v>-</v>
      </c>
      <c r="D49" s="169" t="s">
        <v>220</v>
      </c>
      <c r="E49" s="167" t="str">
        <f>IFERROR(VLOOKUP(A49,작성용!A:AL,34,0),"-")</f>
        <v>-</v>
      </c>
      <c r="F49" s="168" t="s">
        <v>6336</v>
      </c>
      <c r="G49" s="179">
        <f>COUNTIF(작성용!A:B,$A49)-COUNTIFS(작성용!A:A,$A49,작성용!AA:AA,"평가철회")</f>
        <v>0</v>
      </c>
    </row>
    <row r="50" spans="1:7" ht="16.5" customHeight="1" x14ac:dyDescent="0.3">
      <c r="A50" s="170" t="s">
        <v>310</v>
      </c>
      <c r="B50" s="165" t="s">
        <v>311</v>
      </c>
      <c r="C50" s="165" t="str">
        <f>IFERROR(VLOOKUP($A50,작성용!A:AL,14,0),"-")</f>
        <v>-</v>
      </c>
      <c r="D50" s="169" t="s">
        <v>220</v>
      </c>
      <c r="E50" s="167" t="str">
        <f>IFERROR(VLOOKUP(A50,작성용!A:AL,34,0),"-")</f>
        <v>-</v>
      </c>
      <c r="F50" s="168" t="s">
        <v>2</v>
      </c>
      <c r="G50" s="179">
        <f>COUNTIF(작성용!A:B,$A50)-COUNTIFS(작성용!A:A,$A50,작성용!AA:AA,"평가철회")</f>
        <v>0</v>
      </c>
    </row>
    <row r="51" spans="1:7" ht="16.5" customHeight="1" x14ac:dyDescent="0.3">
      <c r="A51" s="170" t="s">
        <v>312</v>
      </c>
      <c r="B51" s="165" t="s">
        <v>313</v>
      </c>
      <c r="C51" s="165" t="str">
        <f>IFERROR(VLOOKUP($A51,작성용!A:AL,14,0),"-")</f>
        <v>-</v>
      </c>
      <c r="D51" s="169" t="s">
        <v>220</v>
      </c>
      <c r="E51" s="167" t="str">
        <f>IFERROR(VLOOKUP(A51,작성용!A:AL,34,0),"-")</f>
        <v>-</v>
      </c>
      <c r="F51" s="168" t="s">
        <v>2</v>
      </c>
      <c r="G51" s="179">
        <f>COUNTIF(작성용!A:B,$A51)-COUNTIFS(작성용!A:A,$A51,작성용!AA:AA,"평가철회")</f>
        <v>0</v>
      </c>
    </row>
    <row r="52" spans="1:7" ht="16.5" customHeight="1" x14ac:dyDescent="0.3">
      <c r="A52" s="170" t="s">
        <v>314</v>
      </c>
      <c r="B52" s="165" t="s">
        <v>315</v>
      </c>
      <c r="C52" s="165" t="str">
        <f>IFERROR(VLOOKUP($A52,작성용!A:AL,14,0),"-")</f>
        <v>-</v>
      </c>
      <c r="D52" s="169" t="s">
        <v>220</v>
      </c>
      <c r="E52" s="167" t="str">
        <f>IFERROR(VLOOKUP(A52,작성용!A:AL,34,0),"-")</f>
        <v>-</v>
      </c>
      <c r="F52" s="168" t="s">
        <v>2</v>
      </c>
      <c r="G52" s="179">
        <f>COUNTIF(작성용!A:B,$A52)-COUNTIFS(작성용!A:A,$A52,작성용!AA:AA,"평가철회")</f>
        <v>0</v>
      </c>
    </row>
    <row r="53" spans="1:7" ht="16.5" customHeight="1" x14ac:dyDescent="0.3">
      <c r="A53" s="170" t="s">
        <v>316</v>
      </c>
      <c r="B53" s="165" t="s">
        <v>317</v>
      </c>
      <c r="C53" s="165" t="str">
        <f>IFERROR(VLOOKUP($A53,작성용!A:AL,14,0),"-")</f>
        <v>-</v>
      </c>
      <c r="D53" s="169" t="s">
        <v>220</v>
      </c>
      <c r="E53" s="167" t="str">
        <f>IFERROR(VLOOKUP(A53,작성용!A:AL,34,0),"-")</f>
        <v>-</v>
      </c>
      <c r="F53" s="168" t="s">
        <v>2</v>
      </c>
      <c r="G53" s="179">
        <f>COUNTIF(작성용!A:B,$A53)-COUNTIFS(작성용!A:A,$A53,작성용!AA:AA,"평가철회")</f>
        <v>0</v>
      </c>
    </row>
    <row r="54" spans="1:7" ht="16.5" customHeight="1" x14ac:dyDescent="0.3">
      <c r="A54" s="170" t="s">
        <v>318</v>
      </c>
      <c r="B54" s="165" t="s">
        <v>319</v>
      </c>
      <c r="C54" s="165" t="str">
        <f>IFERROR(VLOOKUP($A54,작성용!A:AL,14,0),"-")</f>
        <v>-</v>
      </c>
      <c r="D54" s="169" t="s">
        <v>220</v>
      </c>
      <c r="E54" s="167" t="str">
        <f>IFERROR(VLOOKUP(A54,작성용!A:AL,34,0),"-")</f>
        <v>-</v>
      </c>
      <c r="F54" s="168" t="s">
        <v>6283</v>
      </c>
      <c r="G54" s="179">
        <f>COUNTIF(작성용!A:B,$A54)-COUNTIFS(작성용!A:A,$A54,작성용!AA:AA,"평가철회")</f>
        <v>0</v>
      </c>
    </row>
    <row r="55" spans="1:7" ht="16.5" customHeight="1" x14ac:dyDescent="0.3">
      <c r="A55" s="170" t="s">
        <v>320</v>
      </c>
      <c r="B55" s="165" t="s">
        <v>321</v>
      </c>
      <c r="C55" s="165" t="str">
        <f>IFERROR(VLOOKUP($A55,작성용!A:AL,14,0),"-")</f>
        <v>-</v>
      </c>
      <c r="D55" s="169" t="s">
        <v>220</v>
      </c>
      <c r="E55" s="167" t="str">
        <f>IFERROR(VLOOKUP(A55,작성용!A:AL,34,0),"-")</f>
        <v>-</v>
      </c>
      <c r="F55" s="168" t="s">
        <v>6283</v>
      </c>
      <c r="G55" s="179">
        <f>COUNTIF(작성용!A:B,$A55)-COUNTIFS(작성용!A:A,$A55,작성용!AA:AA,"평가철회")</f>
        <v>0</v>
      </c>
    </row>
    <row r="56" spans="1:7" ht="16.5" customHeight="1" x14ac:dyDescent="0.3">
      <c r="A56" s="170" t="s">
        <v>322</v>
      </c>
      <c r="B56" s="165" t="s">
        <v>323</v>
      </c>
      <c r="C56" s="165" t="str">
        <f>IFERROR(VLOOKUP($A56,작성용!A:AL,14,0),"-")</f>
        <v>-</v>
      </c>
      <c r="D56" s="169" t="s">
        <v>220</v>
      </c>
      <c r="E56" s="167" t="str">
        <f>IFERROR(VLOOKUP(A56,작성용!A:AL,34,0),"-")</f>
        <v>-</v>
      </c>
      <c r="F56" s="168" t="s">
        <v>2</v>
      </c>
      <c r="G56" s="179">
        <f>COUNTIF(작성용!A:B,$A56)-COUNTIFS(작성용!A:A,$A56,작성용!AA:AA,"평가철회")</f>
        <v>0</v>
      </c>
    </row>
    <row r="57" spans="1:7" ht="16.5" customHeight="1" x14ac:dyDescent="0.3">
      <c r="A57" s="170" t="s">
        <v>324</v>
      </c>
      <c r="B57" s="165" t="s">
        <v>325</v>
      </c>
      <c r="C57" s="165" t="str">
        <f>IFERROR(VLOOKUP($A57,작성용!A:AL,14,0),"-")</f>
        <v>-</v>
      </c>
      <c r="D57" s="169" t="s">
        <v>220</v>
      </c>
      <c r="E57" s="167" t="str">
        <f>IFERROR(VLOOKUP(A57,작성용!A:AL,34,0),"-")</f>
        <v>-</v>
      </c>
      <c r="F57" s="168" t="s">
        <v>2</v>
      </c>
      <c r="G57" s="179">
        <f>COUNTIF(작성용!A:B,$A57)-COUNTIFS(작성용!A:A,$A57,작성용!AA:AA,"평가철회")</f>
        <v>0</v>
      </c>
    </row>
    <row r="58" spans="1:7" ht="16.5" customHeight="1" x14ac:dyDescent="0.3">
      <c r="A58" s="170" t="s">
        <v>326</v>
      </c>
      <c r="B58" s="165" t="s">
        <v>327</v>
      </c>
      <c r="C58" s="165" t="str">
        <f>IFERROR(VLOOKUP($A58,작성용!A:AL,14,0),"-")</f>
        <v>-</v>
      </c>
      <c r="D58" s="169" t="s">
        <v>220</v>
      </c>
      <c r="E58" s="167" t="str">
        <f>IFERROR(VLOOKUP(A58,작성용!A:AL,34,0),"-")</f>
        <v>-</v>
      </c>
      <c r="F58" s="168" t="s">
        <v>6336</v>
      </c>
      <c r="G58" s="179">
        <f>COUNTIF(작성용!A:B,$A58)-COUNTIFS(작성용!A:A,$A58,작성용!AA:AA,"평가철회")</f>
        <v>0</v>
      </c>
    </row>
    <row r="59" spans="1:7" ht="16.5" customHeight="1" x14ac:dyDescent="0.3">
      <c r="A59" s="170" t="s">
        <v>328</v>
      </c>
      <c r="B59" s="165" t="s">
        <v>329</v>
      </c>
      <c r="C59" s="165" t="str">
        <f>IFERROR(VLOOKUP($A59,작성용!A:AL,14,0),"-")</f>
        <v>-</v>
      </c>
      <c r="D59" s="169" t="s">
        <v>220</v>
      </c>
      <c r="E59" s="167" t="str">
        <f>IFERROR(VLOOKUP(A59,작성용!A:AL,34,0),"-")</f>
        <v>-</v>
      </c>
      <c r="F59" s="168" t="s">
        <v>475</v>
      </c>
      <c r="G59" s="179">
        <f>COUNTIF(작성용!A:B,$A59)-COUNTIFS(작성용!A:A,$A59,작성용!AA:AA,"평가철회")</f>
        <v>0</v>
      </c>
    </row>
    <row r="60" spans="1:7" ht="16.5" customHeight="1" x14ac:dyDescent="0.3">
      <c r="A60" s="170" t="s">
        <v>330</v>
      </c>
      <c r="B60" s="165" t="s">
        <v>331</v>
      </c>
      <c r="C60" s="165" t="str">
        <f>IFERROR(VLOOKUP($A60,작성용!A:AL,14,0),"-")</f>
        <v>-</v>
      </c>
      <c r="D60" s="169" t="s">
        <v>220</v>
      </c>
      <c r="E60" s="167" t="str">
        <f>IFERROR(VLOOKUP(A60,작성용!A:AL,34,0),"-")</f>
        <v>-</v>
      </c>
      <c r="F60" s="168" t="s">
        <v>6283</v>
      </c>
      <c r="G60" s="179">
        <f>COUNTIF(작성용!A:B,$A60)-COUNTIFS(작성용!A:A,$A60,작성용!AA:AA,"평가철회")</f>
        <v>0</v>
      </c>
    </row>
    <row r="61" spans="1:7" ht="16.5" customHeight="1" x14ac:dyDescent="0.3">
      <c r="A61" s="170" t="s">
        <v>332</v>
      </c>
      <c r="B61" s="165" t="s">
        <v>333</v>
      </c>
      <c r="C61" s="165" t="str">
        <f>IFERROR(VLOOKUP($A61,작성용!A:AL,14,0),"-")</f>
        <v>-</v>
      </c>
      <c r="D61" s="169" t="s">
        <v>220</v>
      </c>
      <c r="E61" s="167" t="str">
        <f>IFERROR(VLOOKUP(A61,작성용!A:AL,34,0),"-")</f>
        <v>-</v>
      </c>
      <c r="F61" s="168" t="s">
        <v>6283</v>
      </c>
      <c r="G61" s="179">
        <f>COUNTIF(작성용!A:B,$A61)-COUNTIFS(작성용!A:A,$A61,작성용!AA:AA,"평가철회")</f>
        <v>0</v>
      </c>
    </row>
    <row r="62" spans="1:7" ht="16.5" customHeight="1" x14ac:dyDescent="0.3">
      <c r="A62" s="170" t="s">
        <v>334</v>
      </c>
      <c r="B62" s="165" t="s">
        <v>335</v>
      </c>
      <c r="C62" s="165" t="str">
        <f>IFERROR(VLOOKUP($A62,작성용!A:AL,14,0),"-")</f>
        <v>-</v>
      </c>
      <c r="D62" s="169" t="s">
        <v>336</v>
      </c>
      <c r="E62" s="167" t="str">
        <f>IFERROR(VLOOKUP(A62,작성용!A:AL,34,0),"-")</f>
        <v>-</v>
      </c>
      <c r="F62" s="168" t="s">
        <v>6335</v>
      </c>
      <c r="G62" s="179">
        <f>COUNTIF(작성용!A:B,$A62)-COUNTIFS(작성용!A:A,$A62,작성용!AA:AA,"평가철회")</f>
        <v>0</v>
      </c>
    </row>
    <row r="63" spans="1:7" ht="16.5" customHeight="1" x14ac:dyDescent="0.3">
      <c r="A63" s="170" t="s">
        <v>337</v>
      </c>
      <c r="B63" s="165" t="s">
        <v>338</v>
      </c>
      <c r="C63" s="165" t="str">
        <f>IFERROR(VLOOKUP($A63,작성용!A:AL,14,0),"-")</f>
        <v>-</v>
      </c>
      <c r="D63" s="169" t="s">
        <v>339</v>
      </c>
      <c r="E63" s="167" t="str">
        <f>IFERROR(VLOOKUP(A63,작성용!A:AL,34,0),"-")</f>
        <v>-</v>
      </c>
      <c r="F63" s="168" t="s">
        <v>85</v>
      </c>
      <c r="G63" s="179">
        <f>COUNTIF(작성용!A:B,$A63)-COUNTIFS(작성용!A:A,$A63,작성용!AA:AA,"평가철회")</f>
        <v>0</v>
      </c>
    </row>
    <row r="64" spans="1:7" ht="16.5" customHeight="1" x14ac:dyDescent="0.3">
      <c r="A64" s="170" t="s">
        <v>340</v>
      </c>
      <c r="B64" s="165" t="s">
        <v>341</v>
      </c>
      <c r="C64" s="165" t="str">
        <f>IFERROR(VLOOKUP($A64,작성용!A:AL,14,0),"-")</f>
        <v>-</v>
      </c>
      <c r="D64" s="169" t="s">
        <v>220</v>
      </c>
      <c r="E64" s="167" t="str">
        <f>IFERROR(VLOOKUP(A64,작성용!A:AL,34,0),"-")</f>
        <v>-</v>
      </c>
      <c r="F64" s="168" t="s">
        <v>401</v>
      </c>
      <c r="G64" s="179">
        <f>COUNTIF(작성용!A:B,$A64)-COUNTIFS(작성용!A:A,$A64,작성용!AA:AA,"평가철회")</f>
        <v>0</v>
      </c>
    </row>
    <row r="65" spans="1:7" ht="16.5" customHeight="1" x14ac:dyDescent="0.3">
      <c r="A65" s="170" t="s">
        <v>342</v>
      </c>
      <c r="B65" s="165" t="s">
        <v>343</v>
      </c>
      <c r="C65" s="165" t="str">
        <f>IFERROR(VLOOKUP($A65,작성용!A:AL,14,0),"-")</f>
        <v>-</v>
      </c>
      <c r="D65" s="169" t="s">
        <v>220</v>
      </c>
      <c r="E65" s="167" t="str">
        <f>IFERROR(VLOOKUP(A65,작성용!A:AL,34,0),"-")</f>
        <v>-</v>
      </c>
      <c r="F65" s="168" t="s">
        <v>6283</v>
      </c>
      <c r="G65" s="179">
        <f>COUNTIF(작성용!A:B,$A65)-COUNTIFS(작성용!A:A,$A65,작성용!AA:AA,"평가철회")</f>
        <v>0</v>
      </c>
    </row>
    <row r="66" spans="1:7" ht="16.5" customHeight="1" x14ac:dyDescent="0.3">
      <c r="A66" s="170" t="s">
        <v>344</v>
      </c>
      <c r="B66" s="165" t="s">
        <v>345</v>
      </c>
      <c r="C66" s="165" t="str">
        <f>IFERROR(VLOOKUP($A66,작성용!A:AL,14,0),"-")</f>
        <v>-</v>
      </c>
      <c r="D66" s="169" t="s">
        <v>220</v>
      </c>
      <c r="E66" s="167" t="str">
        <f>IFERROR(VLOOKUP(A66,작성용!A:AL,34,0),"-")</f>
        <v>-</v>
      </c>
      <c r="F66" s="168" t="s">
        <v>85</v>
      </c>
      <c r="G66" s="179">
        <f>COUNTIF(작성용!A:B,$A66)-COUNTIFS(작성용!A:A,$A66,작성용!AA:AA,"평가철회")</f>
        <v>0</v>
      </c>
    </row>
    <row r="67" spans="1:7" ht="16.5" customHeight="1" x14ac:dyDescent="0.3">
      <c r="A67" s="170" t="s">
        <v>346</v>
      </c>
      <c r="B67" s="165" t="s">
        <v>347</v>
      </c>
      <c r="C67" s="165" t="str">
        <f>IFERROR(VLOOKUP($A67,작성용!A:AL,14,0),"-")</f>
        <v>-</v>
      </c>
      <c r="D67" s="169" t="s">
        <v>220</v>
      </c>
      <c r="E67" s="167" t="str">
        <f>IFERROR(VLOOKUP(A67,작성용!A:AL,34,0),"-")</f>
        <v>-</v>
      </c>
      <c r="F67" s="168" t="s">
        <v>2</v>
      </c>
      <c r="G67" s="179">
        <f>COUNTIF(작성용!A:B,$A67)-COUNTIFS(작성용!A:A,$A67,작성용!AA:AA,"평가철회")</f>
        <v>0</v>
      </c>
    </row>
    <row r="68" spans="1:7" ht="16.5" customHeight="1" x14ac:dyDescent="0.3">
      <c r="A68" s="170" t="s">
        <v>348</v>
      </c>
      <c r="B68" s="165" t="s">
        <v>349</v>
      </c>
      <c r="C68" s="165" t="str">
        <f>IFERROR(VLOOKUP($A68,작성용!A:AL,14,0),"-")</f>
        <v>-</v>
      </c>
      <c r="D68" s="169" t="s">
        <v>220</v>
      </c>
      <c r="E68" s="167" t="str">
        <f>IFERROR(VLOOKUP(A68,작성용!A:AL,34,0),"-")</f>
        <v>-</v>
      </c>
      <c r="F68" s="168" t="s">
        <v>6304</v>
      </c>
      <c r="G68" s="179">
        <f>COUNTIF(작성용!A:B,$A68)-COUNTIFS(작성용!A:A,$A68,작성용!AA:AA,"평가철회")</f>
        <v>0</v>
      </c>
    </row>
    <row r="69" spans="1:7" ht="16.5" customHeight="1" x14ac:dyDescent="0.3">
      <c r="A69" s="170" t="s">
        <v>350</v>
      </c>
      <c r="B69" s="165" t="s">
        <v>351</v>
      </c>
      <c r="C69" s="165" t="str">
        <f>IFERROR(VLOOKUP($A69,작성용!A:AL,14,0),"-")</f>
        <v>-</v>
      </c>
      <c r="D69" s="169" t="s">
        <v>220</v>
      </c>
      <c r="E69" s="167" t="str">
        <f>IFERROR(VLOOKUP(A69,작성용!A:AL,34,0),"-")</f>
        <v>-</v>
      </c>
      <c r="F69" s="168" t="s">
        <v>2</v>
      </c>
      <c r="G69" s="179">
        <f>COUNTIF(작성용!A:B,$A69)-COUNTIFS(작성용!A:A,$A69,작성용!AA:AA,"평가철회")</f>
        <v>0</v>
      </c>
    </row>
    <row r="70" spans="1:7" ht="16.5" customHeight="1" x14ac:dyDescent="0.3">
      <c r="A70" s="170" t="s">
        <v>352</v>
      </c>
      <c r="B70" s="165" t="s">
        <v>353</v>
      </c>
      <c r="C70" s="165" t="str">
        <f>IFERROR(VLOOKUP($A70,작성용!A:AL,14,0),"-")</f>
        <v>-</v>
      </c>
      <c r="D70" s="169" t="s">
        <v>220</v>
      </c>
      <c r="E70" s="167" t="str">
        <f>IFERROR(VLOOKUP(A70,작성용!A:AL,34,0),"-")</f>
        <v>-</v>
      </c>
      <c r="F70" s="168" t="s">
        <v>6335</v>
      </c>
      <c r="G70" s="179">
        <f>COUNTIF(작성용!A:B,$A70)-COUNTIFS(작성용!A:A,$A70,작성용!AA:AA,"평가철회")</f>
        <v>0</v>
      </c>
    </row>
    <row r="71" spans="1:7" ht="16.5" customHeight="1" x14ac:dyDescent="0.3">
      <c r="A71" s="170" t="s">
        <v>354</v>
      </c>
      <c r="B71" s="165" t="s">
        <v>355</v>
      </c>
      <c r="C71" s="165" t="str">
        <f>IFERROR(VLOOKUP($A71,작성용!A:AL,14,0),"-")</f>
        <v>-</v>
      </c>
      <c r="D71" s="169" t="s">
        <v>220</v>
      </c>
      <c r="E71" s="167" t="str">
        <f>IFERROR(VLOOKUP(A71,작성용!A:AL,34,0),"-")</f>
        <v>-</v>
      </c>
      <c r="F71" s="168" t="s">
        <v>2</v>
      </c>
      <c r="G71" s="179">
        <f>COUNTIF(작성용!A:B,$A71)-COUNTIFS(작성용!A:A,$A71,작성용!AA:AA,"평가철회")</f>
        <v>0</v>
      </c>
    </row>
    <row r="72" spans="1:7" ht="16.5" customHeight="1" x14ac:dyDescent="0.3">
      <c r="A72" s="170" t="s">
        <v>356</v>
      </c>
      <c r="B72" s="165" t="s">
        <v>357</v>
      </c>
      <c r="C72" s="165" t="str">
        <f>IFERROR(VLOOKUP($A72,작성용!A:AL,14,0),"-")</f>
        <v>-</v>
      </c>
      <c r="D72" s="169" t="s">
        <v>220</v>
      </c>
      <c r="E72" s="167" t="str">
        <f>IFERROR(VLOOKUP(A72,작성용!A:AL,34,0),"-")</f>
        <v>-</v>
      </c>
      <c r="F72" s="168" t="s">
        <v>2</v>
      </c>
      <c r="G72" s="179">
        <f>COUNTIF(작성용!A:B,$A72)-COUNTIFS(작성용!A:A,$A72,작성용!AA:AA,"평가철회")</f>
        <v>0</v>
      </c>
    </row>
    <row r="73" spans="1:7" ht="16.5" customHeight="1" x14ac:dyDescent="0.3">
      <c r="A73" s="170" t="s">
        <v>358</v>
      </c>
      <c r="B73" s="165" t="s">
        <v>359</v>
      </c>
      <c r="C73" s="165" t="str">
        <f>IFERROR(VLOOKUP($A73,작성용!A:AL,14,0),"-")</f>
        <v>-</v>
      </c>
      <c r="D73" s="169" t="s">
        <v>220</v>
      </c>
      <c r="E73" s="167" t="str">
        <f>IFERROR(VLOOKUP(A73,작성용!A:AL,34,0),"-")</f>
        <v>-</v>
      </c>
      <c r="F73" s="168" t="s">
        <v>6337</v>
      </c>
      <c r="G73" s="179">
        <f>COUNTIF(작성용!A:B,$A73)-COUNTIFS(작성용!A:A,$A73,작성용!AA:AA,"평가철회")</f>
        <v>0</v>
      </c>
    </row>
    <row r="74" spans="1:7" ht="16.5" customHeight="1" x14ac:dyDescent="0.3">
      <c r="A74" s="170" t="s">
        <v>360</v>
      </c>
      <c r="B74" s="165" t="s">
        <v>361</v>
      </c>
      <c r="C74" s="165" t="str">
        <f>IFERROR(VLOOKUP($A74,작성용!A:AL,14,0),"-")</f>
        <v>-</v>
      </c>
      <c r="D74" s="169" t="s">
        <v>362</v>
      </c>
      <c r="E74" s="167" t="str">
        <f>IFERROR(VLOOKUP(A74,작성용!A:AL,34,0),"-")</f>
        <v>-</v>
      </c>
      <c r="F74" s="168" t="s">
        <v>6270</v>
      </c>
      <c r="G74" s="179">
        <f>COUNTIF(작성용!A:B,$A74)-COUNTIFS(작성용!A:A,$A74,작성용!AA:AA,"평가철회")</f>
        <v>0</v>
      </c>
    </row>
    <row r="75" spans="1:7" ht="16.5" customHeight="1" x14ac:dyDescent="0.3">
      <c r="A75" s="170" t="s">
        <v>363</v>
      </c>
      <c r="B75" s="165" t="s">
        <v>364</v>
      </c>
      <c r="C75" s="165" t="str">
        <f>IFERROR(VLOOKUP($A75,작성용!A:AL,14,0),"-")</f>
        <v>-</v>
      </c>
      <c r="D75" s="169" t="s">
        <v>220</v>
      </c>
      <c r="E75" s="167" t="str">
        <f>IFERROR(VLOOKUP(A75,작성용!A:AL,34,0),"-")</f>
        <v>-</v>
      </c>
      <c r="F75" s="168" t="s">
        <v>401</v>
      </c>
      <c r="G75" s="179">
        <f>COUNTIF(작성용!A:B,$A75)-COUNTIFS(작성용!A:A,$A75,작성용!AA:AA,"평가철회")</f>
        <v>0</v>
      </c>
    </row>
    <row r="76" spans="1:7" ht="16.5" customHeight="1" x14ac:dyDescent="0.3">
      <c r="A76" s="170" t="s">
        <v>365</v>
      </c>
      <c r="B76" s="165" t="s">
        <v>366</v>
      </c>
      <c r="C76" s="165" t="str">
        <f>IFERROR(VLOOKUP($A76,작성용!A:AL,14,0),"-")</f>
        <v>-</v>
      </c>
      <c r="D76" s="169" t="s">
        <v>6338</v>
      </c>
      <c r="E76" s="167" t="str">
        <f>IFERROR(VLOOKUP(A76,작성용!A:AL,34,0),"-")</f>
        <v>-</v>
      </c>
      <c r="F76" s="168" t="s">
        <v>6270</v>
      </c>
      <c r="G76" s="179">
        <f>COUNTIF(작성용!A:B,$A76)-COUNTIFS(작성용!A:A,$A76,작성용!AA:AA,"평가철회")</f>
        <v>0</v>
      </c>
    </row>
    <row r="77" spans="1:7" ht="16.5" customHeight="1" x14ac:dyDescent="0.3">
      <c r="A77" s="170" t="s">
        <v>367</v>
      </c>
      <c r="B77" s="165" t="s">
        <v>368</v>
      </c>
      <c r="C77" s="165" t="str">
        <f>IFERROR(VLOOKUP($A77,작성용!A:AL,14,0),"-")</f>
        <v>-</v>
      </c>
      <c r="D77" s="169" t="s">
        <v>6339</v>
      </c>
      <c r="E77" s="167" t="str">
        <f>IFERROR(VLOOKUP(A77,작성용!A:AL,34,0),"-")</f>
        <v>-</v>
      </c>
      <c r="F77" s="168" t="s">
        <v>6336</v>
      </c>
      <c r="G77" s="179">
        <f>COUNTIF(작성용!A:B,$A77)-COUNTIFS(작성용!A:A,$A77,작성용!AA:AA,"평가철회")</f>
        <v>0</v>
      </c>
    </row>
    <row r="78" spans="1:7" ht="16.5" customHeight="1" x14ac:dyDescent="0.3">
      <c r="A78" s="170" t="s">
        <v>369</v>
      </c>
      <c r="B78" s="165" t="s">
        <v>370</v>
      </c>
      <c r="C78" s="165" t="str">
        <f>IFERROR(VLOOKUP($A78,작성용!A:AL,14,0),"-")</f>
        <v>월</v>
      </c>
      <c r="D78" s="169" t="s">
        <v>6340</v>
      </c>
      <c r="E78" s="167" t="str">
        <f>IFERROR(VLOOKUP(A78,작성용!A:AL,34,0),"-")</f>
        <v>오영석</v>
      </c>
      <c r="F78" s="168" t="s">
        <v>6283</v>
      </c>
      <c r="G78" s="179">
        <f>COUNTIF(작성용!A:B,$A78)-COUNTIFS(작성용!A:A,$A78,작성용!AA:AA,"평가철회")</f>
        <v>2</v>
      </c>
    </row>
    <row r="79" spans="1:7" ht="16.5" customHeight="1" x14ac:dyDescent="0.3">
      <c r="A79" s="170" t="s">
        <v>371</v>
      </c>
      <c r="B79" s="165" t="s">
        <v>372</v>
      </c>
      <c r="C79" s="165" t="str">
        <f>IFERROR(VLOOKUP($A79,작성용!A:AL,14,0),"-")</f>
        <v>분기</v>
      </c>
      <c r="D79" s="169" t="s">
        <v>6341</v>
      </c>
      <c r="E79" s="167" t="str">
        <f>IFERROR(VLOOKUP(A79,작성용!A:AL,34,0),"-")</f>
        <v>오영석</v>
      </c>
      <c r="F79" s="168" t="s">
        <v>6283</v>
      </c>
      <c r="G79" s="179">
        <f>COUNTIF(작성용!A:B,$A79)-COUNTIFS(작성용!A:A,$A79,작성용!AA:AA,"평가철회")</f>
        <v>1</v>
      </c>
    </row>
    <row r="80" spans="1:7" ht="16.5" customHeight="1" x14ac:dyDescent="0.3">
      <c r="A80" s="170" t="s">
        <v>373</v>
      </c>
      <c r="B80" s="165" t="s">
        <v>374</v>
      </c>
      <c r="C80" s="165" t="str">
        <f>IFERROR(VLOOKUP($A80,작성용!A:AL,14,0),"-")</f>
        <v>-</v>
      </c>
      <c r="D80" s="169" t="s">
        <v>3712</v>
      </c>
      <c r="E80" s="167" t="str">
        <f>IFERROR(VLOOKUP(A80,작성용!A:AL,34,0),"-")</f>
        <v>-</v>
      </c>
      <c r="F80" s="168" t="s">
        <v>6270</v>
      </c>
      <c r="G80" s="179">
        <f>COUNTIF(작성용!A:B,$A80)-COUNTIFS(작성용!A:A,$A80,작성용!AA:AA,"평가철회")</f>
        <v>0</v>
      </c>
    </row>
    <row r="81" spans="1:7" ht="16.5" customHeight="1" x14ac:dyDescent="0.3">
      <c r="A81" s="170" t="s">
        <v>375</v>
      </c>
      <c r="B81" s="165" t="s">
        <v>376</v>
      </c>
      <c r="C81" s="165" t="str">
        <f>IFERROR(VLOOKUP($A81,작성용!A:AL,14,0),"-")</f>
        <v>-</v>
      </c>
      <c r="D81" s="169" t="s">
        <v>220</v>
      </c>
      <c r="E81" s="167" t="str">
        <f>IFERROR(VLOOKUP(A81,작성용!A:AL,34,0),"-")</f>
        <v>-</v>
      </c>
      <c r="F81" s="168" t="s">
        <v>2</v>
      </c>
      <c r="G81" s="179">
        <f>COUNTIF(작성용!A:B,$A81)-COUNTIFS(작성용!A:A,$A81,작성용!AA:AA,"평가철회")</f>
        <v>0</v>
      </c>
    </row>
    <row r="82" spans="1:7" ht="16.5" customHeight="1" x14ac:dyDescent="0.3">
      <c r="A82" s="170" t="s">
        <v>377</v>
      </c>
      <c r="B82" s="165" t="s">
        <v>378</v>
      </c>
      <c r="C82" s="165" t="str">
        <f>IFERROR(VLOOKUP($A82,작성용!A:AL,14,0),"-")</f>
        <v>-</v>
      </c>
      <c r="D82" s="169" t="s">
        <v>220</v>
      </c>
      <c r="E82" s="167" t="str">
        <f>IFERROR(VLOOKUP(A82,작성용!A:AL,34,0),"-")</f>
        <v>-</v>
      </c>
      <c r="F82" s="168" t="s">
        <v>6342</v>
      </c>
      <c r="G82" s="179">
        <f>COUNTIF(작성용!A:B,$A82)-COUNTIFS(작성용!A:A,$A82,작성용!AA:AA,"평가철회")</f>
        <v>0</v>
      </c>
    </row>
    <row r="83" spans="1:7" ht="16.5" customHeight="1" x14ac:dyDescent="0.3">
      <c r="A83" s="170" t="s">
        <v>379</v>
      </c>
      <c r="B83" s="165" t="s">
        <v>380</v>
      </c>
      <c r="C83" s="165" t="str">
        <f>IFERROR(VLOOKUP($A83,작성용!A:AL,14,0),"-")</f>
        <v>-</v>
      </c>
      <c r="D83" s="169" t="s">
        <v>220</v>
      </c>
      <c r="E83" s="167" t="str">
        <f>IFERROR(VLOOKUP(A83,작성용!A:AL,34,0),"-")</f>
        <v>-</v>
      </c>
      <c r="F83" s="168" t="s">
        <v>6283</v>
      </c>
      <c r="G83" s="179">
        <f>COUNTIF(작성용!A:B,$A83)-COUNTIFS(작성용!A:A,$A83,작성용!AA:AA,"평가철회")</f>
        <v>0</v>
      </c>
    </row>
    <row r="84" spans="1:7" ht="16.5" customHeight="1" x14ac:dyDescent="0.3">
      <c r="A84" s="170" t="s">
        <v>381</v>
      </c>
      <c r="B84" s="165" t="s">
        <v>382</v>
      </c>
      <c r="C84" s="165" t="str">
        <f>IFERROR(VLOOKUP($A84,작성용!A:AL,14,0),"-")</f>
        <v>-</v>
      </c>
      <c r="D84" s="169" t="s">
        <v>220</v>
      </c>
      <c r="E84" s="167" t="str">
        <f>IFERROR(VLOOKUP(A84,작성용!A:AL,34,0),"-")</f>
        <v>-</v>
      </c>
      <c r="F84" s="168" t="s">
        <v>2</v>
      </c>
      <c r="G84" s="179">
        <f>COUNTIF(작성용!A:B,$A84)-COUNTIFS(작성용!A:A,$A84,작성용!AA:AA,"평가철회")</f>
        <v>0</v>
      </c>
    </row>
    <row r="85" spans="1:7" ht="16.5" customHeight="1" x14ac:dyDescent="0.3">
      <c r="A85" s="170" t="s">
        <v>383</v>
      </c>
      <c r="B85" s="165" t="s">
        <v>384</v>
      </c>
      <c r="C85" s="165" t="str">
        <f>IFERROR(VLOOKUP($A85,작성용!A:AL,14,0),"-")</f>
        <v>-</v>
      </c>
      <c r="D85" s="169" t="s">
        <v>220</v>
      </c>
      <c r="E85" s="167" t="str">
        <f>IFERROR(VLOOKUP(A85,작성용!A:AL,34,0),"-")</f>
        <v>-</v>
      </c>
      <c r="F85" s="168" t="s">
        <v>401</v>
      </c>
      <c r="G85" s="179">
        <f>COUNTIF(작성용!A:B,$A85)-COUNTIFS(작성용!A:A,$A85,작성용!AA:AA,"평가철회")</f>
        <v>0</v>
      </c>
    </row>
    <row r="86" spans="1:7" ht="16.5" customHeight="1" x14ac:dyDescent="0.3">
      <c r="A86" s="170" t="s">
        <v>385</v>
      </c>
      <c r="B86" s="165" t="s">
        <v>386</v>
      </c>
      <c r="C86" s="165" t="str">
        <f>IFERROR(VLOOKUP($A86,작성용!A:AL,14,0),"-")</f>
        <v>-</v>
      </c>
      <c r="D86" s="169" t="s">
        <v>142</v>
      </c>
      <c r="E86" s="167" t="str">
        <f>IFERROR(VLOOKUP(A86,작성용!A:AL,34,0),"-")</f>
        <v>-</v>
      </c>
      <c r="F86" s="168" t="s">
        <v>6270</v>
      </c>
      <c r="G86" s="179">
        <f>COUNTIF(작성용!A:B,$A86)-COUNTIFS(작성용!A:A,$A86,작성용!AA:AA,"평가철회")</f>
        <v>0</v>
      </c>
    </row>
    <row r="87" spans="1:7" ht="16.5" customHeight="1" x14ac:dyDescent="0.3">
      <c r="A87" s="170" t="s">
        <v>387</v>
      </c>
      <c r="B87" s="165" t="s">
        <v>388</v>
      </c>
      <c r="C87" s="165" t="str">
        <f>IFERROR(VLOOKUP($A87,작성용!A:AL,14,0),"-")</f>
        <v>-</v>
      </c>
      <c r="D87" s="169" t="s">
        <v>220</v>
      </c>
      <c r="E87" s="167" t="str">
        <f>IFERROR(VLOOKUP(A87,작성용!A:AL,34,0),"-")</f>
        <v>-</v>
      </c>
      <c r="F87" s="168" t="s">
        <v>2</v>
      </c>
      <c r="G87" s="179">
        <f>COUNTIF(작성용!A:B,$A87)-COUNTIFS(작성용!A:A,$A87,작성용!AA:AA,"평가철회")</f>
        <v>0</v>
      </c>
    </row>
    <row r="88" spans="1:7" ht="16.5" customHeight="1" x14ac:dyDescent="0.3">
      <c r="A88" s="170" t="s">
        <v>389</v>
      </c>
      <c r="B88" s="165" t="s">
        <v>390</v>
      </c>
      <c r="C88" s="165" t="str">
        <f>IFERROR(VLOOKUP($A88,작성용!A:AL,14,0),"-")</f>
        <v>-</v>
      </c>
      <c r="D88" s="169" t="s">
        <v>220</v>
      </c>
      <c r="E88" s="167" t="str">
        <f>IFERROR(VLOOKUP(A88,작성용!A:AL,34,0),"-")</f>
        <v>-</v>
      </c>
      <c r="F88" s="168" t="s">
        <v>2</v>
      </c>
      <c r="G88" s="179">
        <f>COUNTIF(작성용!A:B,$A88)-COUNTIFS(작성용!A:A,$A88,작성용!AA:AA,"평가철회")</f>
        <v>0</v>
      </c>
    </row>
    <row r="89" spans="1:7" ht="16.5" customHeight="1" x14ac:dyDescent="0.3">
      <c r="A89" s="170" t="s">
        <v>391</v>
      </c>
      <c r="B89" s="165" t="s">
        <v>392</v>
      </c>
      <c r="C89" s="165" t="str">
        <f>IFERROR(VLOOKUP($A89,작성용!A:AL,14,0),"-")</f>
        <v>-</v>
      </c>
      <c r="D89" s="169" t="s">
        <v>220</v>
      </c>
      <c r="E89" s="167" t="str">
        <f>IFERROR(VLOOKUP(A89,작성용!A:AL,34,0),"-")</f>
        <v>-</v>
      </c>
      <c r="F89" s="168" t="s">
        <v>6283</v>
      </c>
      <c r="G89" s="179">
        <f>COUNTIF(작성용!A:B,$A89)-COUNTIFS(작성용!A:A,$A89,작성용!AA:AA,"평가철회")</f>
        <v>0</v>
      </c>
    </row>
    <row r="90" spans="1:7" ht="16.5" customHeight="1" x14ac:dyDescent="0.3">
      <c r="A90" s="170" t="s">
        <v>6343</v>
      </c>
      <c r="B90" s="165" t="s">
        <v>394</v>
      </c>
      <c r="C90" s="165" t="str">
        <f>IFERROR(VLOOKUP($A90,작성용!A:AL,14,0),"-")</f>
        <v>-</v>
      </c>
      <c r="D90" s="169" t="s">
        <v>6321</v>
      </c>
      <c r="E90" s="167" t="str">
        <f>IFERROR(VLOOKUP(A90,작성용!A:AL,34,0),"-")</f>
        <v>-</v>
      </c>
      <c r="F90" s="168" t="s">
        <v>6270</v>
      </c>
      <c r="G90" s="179">
        <f>COUNTIF(작성용!A:B,$A90)-COUNTIFS(작성용!A:A,$A90,작성용!AA:AA,"평가철회")</f>
        <v>0</v>
      </c>
    </row>
    <row r="91" spans="1:7" ht="16.5" customHeight="1" x14ac:dyDescent="0.3">
      <c r="A91" s="170" t="s">
        <v>395</v>
      </c>
      <c r="B91" s="165" t="s">
        <v>396</v>
      </c>
      <c r="C91" s="165" t="str">
        <f>IFERROR(VLOOKUP($A91,작성용!A:AL,14,0),"-")</f>
        <v>-</v>
      </c>
      <c r="D91" s="169" t="s">
        <v>220</v>
      </c>
      <c r="E91" s="167" t="str">
        <f>IFERROR(VLOOKUP(A91,작성용!A:AL,34,0),"-")</f>
        <v>-</v>
      </c>
      <c r="F91" s="168" t="s">
        <v>6337</v>
      </c>
      <c r="G91" s="179">
        <f>COUNTIF(작성용!A:B,$A91)-COUNTIFS(작성용!A:A,$A91,작성용!AA:AA,"평가철회")</f>
        <v>0</v>
      </c>
    </row>
    <row r="92" spans="1:7" ht="16.5" customHeight="1" x14ac:dyDescent="0.3">
      <c r="A92" s="170" t="s">
        <v>397</v>
      </c>
      <c r="B92" s="165" t="s">
        <v>398</v>
      </c>
      <c r="C92" s="165" t="str">
        <f>IFERROR(VLOOKUP($A92,작성용!A:AL,14,0),"-")</f>
        <v>-</v>
      </c>
      <c r="D92" s="169" t="s">
        <v>6295</v>
      </c>
      <c r="E92" s="167" t="str">
        <f>IFERROR(VLOOKUP(A92,작성용!A:AL,34,0),"-")</f>
        <v>-</v>
      </c>
      <c r="F92" s="168" t="s">
        <v>6336</v>
      </c>
      <c r="G92" s="179">
        <f>COUNTIF(작성용!A:B,$A92)-COUNTIFS(작성용!A:A,$A92,작성용!AA:AA,"평가철회")</f>
        <v>0</v>
      </c>
    </row>
    <row r="93" spans="1:7" ht="16.5" customHeight="1" x14ac:dyDescent="0.3">
      <c r="A93" s="170" t="s">
        <v>399</v>
      </c>
      <c r="B93" s="165" t="s">
        <v>400</v>
      </c>
      <c r="C93" s="165" t="str">
        <f>IFERROR(VLOOKUP($A93,작성용!A:AL,14,0),"-")</f>
        <v>-</v>
      </c>
      <c r="D93" s="169" t="s">
        <v>336</v>
      </c>
      <c r="E93" s="167" t="str">
        <f>IFERROR(VLOOKUP(A93,작성용!A:AL,34,0),"-")</f>
        <v>-</v>
      </c>
      <c r="F93" s="168" t="s">
        <v>401</v>
      </c>
      <c r="G93" s="179">
        <f>COUNTIF(작성용!A:B,$A93)-COUNTIFS(작성용!A:A,$A93,작성용!AA:AA,"평가철회")</f>
        <v>0</v>
      </c>
    </row>
    <row r="94" spans="1:7" ht="16.5" customHeight="1" x14ac:dyDescent="0.3">
      <c r="A94" s="170" t="s">
        <v>402</v>
      </c>
      <c r="B94" s="165" t="s">
        <v>403</v>
      </c>
      <c r="C94" s="165" t="str">
        <f>IFERROR(VLOOKUP($A94,작성용!A:AL,14,0),"-")</f>
        <v>-</v>
      </c>
      <c r="D94" s="169" t="s">
        <v>220</v>
      </c>
      <c r="E94" s="167" t="str">
        <f>IFERROR(VLOOKUP(A94,작성용!A:AL,34,0),"-")</f>
        <v>-</v>
      </c>
      <c r="F94" s="168" t="s">
        <v>6337</v>
      </c>
      <c r="G94" s="179">
        <f>COUNTIF(작성용!A:B,$A94)-COUNTIFS(작성용!A:A,$A94,작성용!AA:AA,"평가철회")</f>
        <v>0</v>
      </c>
    </row>
    <row r="95" spans="1:7" ht="16.5" customHeight="1" x14ac:dyDescent="0.3">
      <c r="A95" s="170" t="s">
        <v>404</v>
      </c>
      <c r="B95" s="165" t="s">
        <v>405</v>
      </c>
      <c r="C95" s="165" t="str">
        <f>IFERROR(VLOOKUP($A95,작성용!A:AL,14,0),"-")</f>
        <v>-</v>
      </c>
      <c r="D95" s="169" t="s">
        <v>220</v>
      </c>
      <c r="E95" s="167" t="str">
        <f>IFERROR(VLOOKUP(A95,작성용!A:AL,34,0),"-")</f>
        <v>-</v>
      </c>
      <c r="F95" s="168" t="s">
        <v>2</v>
      </c>
      <c r="G95" s="179">
        <f>COUNTIF(작성용!A:B,$A95)-COUNTIFS(작성용!A:A,$A95,작성용!AA:AA,"평가철회")</f>
        <v>0</v>
      </c>
    </row>
    <row r="96" spans="1:7" ht="16.5" customHeight="1" x14ac:dyDescent="0.3">
      <c r="A96" s="170" t="s">
        <v>406</v>
      </c>
      <c r="B96" s="165" t="s">
        <v>6</v>
      </c>
      <c r="C96" s="165" t="str">
        <f>IFERROR(VLOOKUP($A96,작성용!A:AL,14,0),"-")</f>
        <v>-</v>
      </c>
      <c r="D96" s="169" t="s">
        <v>220</v>
      </c>
      <c r="E96" s="167" t="str">
        <f>IFERROR(VLOOKUP(A96,작성용!A:AL,34,0),"-")</f>
        <v>-</v>
      </c>
      <c r="F96" s="168" t="s">
        <v>6270</v>
      </c>
      <c r="G96" s="179">
        <f>COUNTIF(작성용!A:B,$A96)-COUNTIFS(작성용!A:A,$A96,작성용!AA:AA,"평가철회")</f>
        <v>0</v>
      </c>
    </row>
    <row r="97" spans="1:7" ht="16.5" customHeight="1" x14ac:dyDescent="0.3">
      <c r="A97" s="170" t="s">
        <v>407</v>
      </c>
      <c r="B97" s="165" t="s">
        <v>408</v>
      </c>
      <c r="C97" s="165" t="str">
        <f>IFERROR(VLOOKUP($A97,작성용!A:AL,14,0),"-")</f>
        <v>-</v>
      </c>
      <c r="D97" s="169" t="s">
        <v>220</v>
      </c>
      <c r="E97" s="167" t="str">
        <f>IFERROR(VLOOKUP(A97,작성용!A:AL,34,0),"-")</f>
        <v>-</v>
      </c>
      <c r="F97" s="168" t="s">
        <v>2</v>
      </c>
      <c r="G97" s="179">
        <f>COUNTIF(작성용!A:B,$A97)-COUNTIFS(작성용!A:A,$A97,작성용!AA:AA,"평가철회")</f>
        <v>0</v>
      </c>
    </row>
    <row r="98" spans="1:7" ht="16.5" customHeight="1" x14ac:dyDescent="0.3">
      <c r="A98" s="170" t="s">
        <v>409</v>
      </c>
      <c r="B98" s="165" t="s">
        <v>410</v>
      </c>
      <c r="C98" s="165" t="str">
        <f>IFERROR(VLOOKUP($A98,작성용!A:AL,14,0),"-")</f>
        <v>-</v>
      </c>
      <c r="D98" s="169" t="s">
        <v>220</v>
      </c>
      <c r="E98" s="167" t="str">
        <f>IFERROR(VLOOKUP(A98,작성용!A:AL,34,0),"-")</f>
        <v>-</v>
      </c>
      <c r="F98" s="168" t="s">
        <v>2</v>
      </c>
      <c r="G98" s="179">
        <f>COUNTIF(작성용!A:B,$A98)-COUNTIFS(작성용!A:A,$A98,작성용!AA:AA,"평가철회")</f>
        <v>0</v>
      </c>
    </row>
    <row r="99" spans="1:7" ht="16.5" customHeight="1" x14ac:dyDescent="0.3">
      <c r="A99" s="170" t="s">
        <v>411</v>
      </c>
      <c r="B99" s="165" t="s">
        <v>412</v>
      </c>
      <c r="C99" s="165" t="str">
        <f>IFERROR(VLOOKUP($A99,작성용!A:AL,14,0),"-")</f>
        <v>-</v>
      </c>
      <c r="D99" s="169" t="s">
        <v>220</v>
      </c>
      <c r="E99" s="167" t="str">
        <f>IFERROR(VLOOKUP(A99,작성용!A:AL,34,0),"-")</f>
        <v>-</v>
      </c>
      <c r="F99" s="168" t="s">
        <v>6335</v>
      </c>
      <c r="G99" s="179">
        <f>COUNTIF(작성용!A:B,$A99)-COUNTIFS(작성용!A:A,$A99,작성용!AA:AA,"평가철회")</f>
        <v>0</v>
      </c>
    </row>
    <row r="100" spans="1:7" ht="16.5" customHeight="1" x14ac:dyDescent="0.3">
      <c r="A100" s="170" t="s">
        <v>414</v>
      </c>
      <c r="B100" s="165" t="s">
        <v>415</v>
      </c>
      <c r="C100" s="165" t="str">
        <f>IFERROR(VLOOKUP($A100,작성용!A:AL,14,0),"-")</f>
        <v>-</v>
      </c>
      <c r="D100" s="169" t="s">
        <v>220</v>
      </c>
      <c r="E100" s="167" t="str">
        <f>IFERROR(VLOOKUP(A100,작성용!A:AL,34,0),"-")</f>
        <v>-</v>
      </c>
      <c r="F100" s="168" t="s">
        <v>6304</v>
      </c>
      <c r="G100" s="179">
        <f>COUNTIF(작성용!A:B,$A100)-COUNTIFS(작성용!A:A,$A100,작성용!AA:AA,"평가철회")</f>
        <v>0</v>
      </c>
    </row>
    <row r="101" spans="1:7" ht="16.5" customHeight="1" x14ac:dyDescent="0.3">
      <c r="A101" s="170" t="s">
        <v>416</v>
      </c>
      <c r="B101" s="165" t="s">
        <v>417</v>
      </c>
      <c r="C101" s="165" t="str">
        <f>IFERROR(VLOOKUP($A101,작성용!A:AL,14,0),"-")</f>
        <v>-</v>
      </c>
      <c r="D101" s="169" t="s">
        <v>6344</v>
      </c>
      <c r="E101" s="167" t="str">
        <f>IFERROR(VLOOKUP(A101,작성용!A:AL,34,0),"-")</f>
        <v>-</v>
      </c>
      <c r="F101" s="168" t="s">
        <v>85</v>
      </c>
      <c r="G101" s="179">
        <f>COUNTIF(작성용!A:B,$A101)-COUNTIFS(작성용!A:A,$A101,작성용!AA:AA,"평가철회")</f>
        <v>0</v>
      </c>
    </row>
    <row r="102" spans="1:7" ht="16.5" customHeight="1" x14ac:dyDescent="0.3">
      <c r="A102" s="170" t="s">
        <v>418</v>
      </c>
      <c r="B102" s="165" t="s">
        <v>419</v>
      </c>
      <c r="C102" s="165" t="str">
        <f>IFERROR(VLOOKUP($A102,작성용!A:AL,14,0),"-")</f>
        <v>-</v>
      </c>
      <c r="D102" s="169" t="s">
        <v>6345</v>
      </c>
      <c r="E102" s="167" t="str">
        <f>IFERROR(VLOOKUP(A102,작성용!A:AL,34,0),"-")</f>
        <v>-</v>
      </c>
      <c r="F102" s="168" t="s">
        <v>6270</v>
      </c>
      <c r="G102" s="179">
        <f>COUNTIF(작성용!A:B,$A102)-COUNTIFS(작성용!A:A,$A102,작성용!AA:AA,"평가철회")</f>
        <v>0</v>
      </c>
    </row>
    <row r="103" spans="1:7" ht="16.5" customHeight="1" x14ac:dyDescent="0.3">
      <c r="A103" s="170" t="s">
        <v>420</v>
      </c>
      <c r="B103" s="165" t="s">
        <v>421</v>
      </c>
      <c r="C103" s="165" t="str">
        <f>IFERROR(VLOOKUP($A103,작성용!A:AL,14,0),"-")</f>
        <v>-</v>
      </c>
      <c r="D103" s="169" t="s">
        <v>220</v>
      </c>
      <c r="E103" s="167" t="str">
        <f>IFERROR(VLOOKUP(A103,작성용!A:AL,34,0),"-")</f>
        <v>-</v>
      </c>
      <c r="F103" s="168" t="s">
        <v>2</v>
      </c>
      <c r="G103" s="179">
        <f>COUNTIF(작성용!A:B,$A103)-COUNTIFS(작성용!A:A,$A103,작성용!AA:AA,"평가철회")</f>
        <v>0</v>
      </c>
    </row>
    <row r="104" spans="1:7" ht="16.5" customHeight="1" x14ac:dyDescent="0.3">
      <c r="A104" s="170" t="s">
        <v>422</v>
      </c>
      <c r="B104" s="165" t="s">
        <v>423</v>
      </c>
      <c r="C104" s="165" t="str">
        <f>IFERROR(VLOOKUP($A104,작성용!A:AL,14,0),"-")</f>
        <v>-</v>
      </c>
      <c r="D104" s="169" t="s">
        <v>220</v>
      </c>
      <c r="E104" s="167" t="str">
        <f>IFERROR(VLOOKUP(A104,작성용!A:AL,34,0),"-")</f>
        <v>-</v>
      </c>
      <c r="F104" s="168" t="s">
        <v>2</v>
      </c>
      <c r="G104" s="179">
        <f>COUNTIF(작성용!A:B,$A104)-COUNTIFS(작성용!A:A,$A104,작성용!AA:AA,"평가철회")</f>
        <v>0</v>
      </c>
    </row>
    <row r="105" spans="1:7" ht="16.5" customHeight="1" x14ac:dyDescent="0.3">
      <c r="A105" s="170" t="s">
        <v>424</v>
      </c>
      <c r="B105" s="165" t="s">
        <v>425</v>
      </c>
      <c r="C105" s="165" t="str">
        <f>IFERROR(VLOOKUP($A105,작성용!A:AL,14,0),"-")</f>
        <v>-</v>
      </c>
      <c r="D105" s="169" t="s">
        <v>426</v>
      </c>
      <c r="E105" s="167" t="str">
        <f>IFERROR(VLOOKUP(A105,작성용!A:AL,34,0),"-")</f>
        <v>-</v>
      </c>
      <c r="F105" s="168" t="s">
        <v>2</v>
      </c>
      <c r="G105" s="179">
        <f>COUNTIF(작성용!A:B,$A105)-COUNTIFS(작성용!A:A,$A105,작성용!AA:AA,"평가철회")</f>
        <v>0</v>
      </c>
    </row>
    <row r="106" spans="1:7" ht="16.5" customHeight="1" x14ac:dyDescent="0.3">
      <c r="A106" s="170" t="s">
        <v>427</v>
      </c>
      <c r="B106" s="165" t="s">
        <v>428</v>
      </c>
      <c r="C106" s="165" t="str">
        <f>IFERROR(VLOOKUP($A106,작성용!A:AL,14,0),"-")</f>
        <v>-</v>
      </c>
      <c r="D106" s="169" t="s">
        <v>220</v>
      </c>
      <c r="E106" s="167" t="str">
        <f>IFERROR(VLOOKUP(A106,작성용!A:AL,34,0),"-")</f>
        <v>-</v>
      </c>
      <c r="F106" s="168" t="s">
        <v>2</v>
      </c>
      <c r="G106" s="179">
        <f>COUNTIF(작성용!A:B,$A106)-COUNTIFS(작성용!A:A,$A106,작성용!AA:AA,"평가철회")</f>
        <v>0</v>
      </c>
    </row>
    <row r="107" spans="1:7" ht="16.5" customHeight="1" x14ac:dyDescent="0.3">
      <c r="A107" s="170" t="s">
        <v>5</v>
      </c>
      <c r="B107" s="165" t="s">
        <v>429</v>
      </c>
      <c r="C107" s="165" t="str">
        <f>IFERROR(VLOOKUP($A107,작성용!A:AL,14,0),"-")</f>
        <v>-</v>
      </c>
      <c r="D107" s="169" t="s">
        <v>6316</v>
      </c>
      <c r="E107" s="167" t="str">
        <f>IFERROR(VLOOKUP(A107,작성용!A:AL,34,0),"-")</f>
        <v>-</v>
      </c>
      <c r="F107" s="168" t="s">
        <v>85</v>
      </c>
      <c r="G107" s="179">
        <f>COUNTIF(작성용!A:B,$A107)-COUNTIFS(작성용!A:A,$A107,작성용!AA:AA,"평가철회")</f>
        <v>0</v>
      </c>
    </row>
    <row r="108" spans="1:7" ht="16.5" customHeight="1" x14ac:dyDescent="0.3">
      <c r="A108" s="170" t="s">
        <v>430</v>
      </c>
      <c r="B108" s="165" t="s">
        <v>431</v>
      </c>
      <c r="C108" s="165" t="str">
        <f>IFERROR(VLOOKUP($A108,작성용!A:AL,14,0),"-")</f>
        <v>-</v>
      </c>
      <c r="D108" s="169" t="s">
        <v>6346</v>
      </c>
      <c r="E108" s="167" t="str">
        <f>IFERROR(VLOOKUP(A108,작성용!A:AL,34,0),"-")</f>
        <v>-</v>
      </c>
      <c r="F108" s="168" t="s">
        <v>6331</v>
      </c>
      <c r="G108" s="179">
        <f>COUNTIF(작성용!A:B,$A108)-COUNTIFS(작성용!A:A,$A108,작성용!AA:AA,"평가철회")</f>
        <v>0</v>
      </c>
    </row>
    <row r="109" spans="1:7" ht="16.5" customHeight="1" x14ac:dyDescent="0.3">
      <c r="A109" s="170" t="s">
        <v>432</v>
      </c>
      <c r="B109" s="165" t="s">
        <v>433</v>
      </c>
      <c r="C109" s="165" t="str">
        <f>IFERROR(VLOOKUP($A109,작성용!A:AL,14,0),"-")</f>
        <v>-</v>
      </c>
      <c r="D109" s="169" t="s">
        <v>6325</v>
      </c>
      <c r="E109" s="167" t="str">
        <f>IFERROR(VLOOKUP(A109,작성용!A:AL,34,0),"-")</f>
        <v>-</v>
      </c>
      <c r="F109" s="168" t="s">
        <v>6270</v>
      </c>
      <c r="G109" s="179">
        <f>COUNTIF(작성용!A:B,$A109)-COUNTIFS(작성용!A:A,$A109,작성용!AA:AA,"평가철회")</f>
        <v>0</v>
      </c>
    </row>
    <row r="110" spans="1:7" ht="16.5" customHeight="1" x14ac:dyDescent="0.3">
      <c r="A110" s="170" t="s">
        <v>434</v>
      </c>
      <c r="B110" s="165" t="s">
        <v>435</v>
      </c>
      <c r="C110" s="165" t="str">
        <f>IFERROR(VLOOKUP($A110,작성용!A:AL,14,0),"-")</f>
        <v>-</v>
      </c>
      <c r="D110" s="169" t="s">
        <v>436</v>
      </c>
      <c r="E110" s="167" t="str">
        <f>IFERROR(VLOOKUP(A110,작성용!A:AL,34,0),"-")</f>
        <v>-</v>
      </c>
      <c r="F110" s="168" t="s">
        <v>2</v>
      </c>
      <c r="G110" s="179">
        <f>COUNTIF(작성용!A:B,$A110)-COUNTIFS(작성용!A:A,$A110,작성용!AA:AA,"평가철회")</f>
        <v>0</v>
      </c>
    </row>
    <row r="111" spans="1:7" ht="16.5" customHeight="1" x14ac:dyDescent="0.3">
      <c r="A111" s="170" t="s">
        <v>437</v>
      </c>
      <c r="B111" s="165" t="s">
        <v>6347</v>
      </c>
      <c r="C111" s="165" t="str">
        <f>IFERROR(VLOOKUP($A111,작성용!A:AL,14,0),"-")</f>
        <v>-</v>
      </c>
      <c r="D111" s="169" t="s">
        <v>6295</v>
      </c>
      <c r="E111" s="167" t="str">
        <f>IFERROR(VLOOKUP(A111,작성용!A:AL,34,0),"-")</f>
        <v>-</v>
      </c>
      <c r="F111" s="168" t="s">
        <v>6270</v>
      </c>
      <c r="G111" s="179">
        <f>COUNTIF(작성용!A:B,$A111)-COUNTIFS(작성용!A:A,$A111,작성용!AA:AA,"평가철회")</f>
        <v>0</v>
      </c>
    </row>
    <row r="112" spans="1:7" ht="16.5" customHeight="1" x14ac:dyDescent="0.3">
      <c r="A112" s="170" t="s">
        <v>438</v>
      </c>
      <c r="B112" s="165" t="s">
        <v>439</v>
      </c>
      <c r="C112" s="165" t="str">
        <f>IFERROR(VLOOKUP($A112,작성용!A:AL,14,0),"-")</f>
        <v>-</v>
      </c>
      <c r="D112" s="169" t="s">
        <v>6299</v>
      </c>
      <c r="E112" s="167" t="str">
        <f>IFERROR(VLOOKUP(A112,작성용!A:AL,34,0),"-")</f>
        <v>-</v>
      </c>
      <c r="F112" s="168" t="s">
        <v>85</v>
      </c>
      <c r="G112" s="179">
        <f>COUNTIF(작성용!A:B,$A112)-COUNTIFS(작성용!A:A,$A112,작성용!AA:AA,"평가철회")</f>
        <v>0</v>
      </c>
    </row>
    <row r="113" spans="1:7" ht="16.5" customHeight="1" x14ac:dyDescent="0.3">
      <c r="A113" s="170" t="s">
        <v>10</v>
      </c>
      <c r="B113" s="165" t="s">
        <v>11</v>
      </c>
      <c r="C113" s="165" t="str">
        <f>IFERROR(VLOOKUP($A113,작성용!A:AL,14,0),"-")</f>
        <v>-</v>
      </c>
      <c r="D113" s="169" t="s">
        <v>6322</v>
      </c>
      <c r="E113" s="167" t="str">
        <f>IFERROR(VLOOKUP(A113,작성용!A:AL,34,0),"-")</f>
        <v>-</v>
      </c>
      <c r="F113" s="168" t="s">
        <v>6270</v>
      </c>
      <c r="G113" s="179">
        <f>COUNTIF(작성용!A:B,$A113)-COUNTIFS(작성용!A:A,$A113,작성용!AA:AA,"평가철회")</f>
        <v>0</v>
      </c>
    </row>
    <row r="114" spans="1:7" ht="16.5" customHeight="1" x14ac:dyDescent="0.3">
      <c r="A114" s="170" t="s">
        <v>440</v>
      </c>
      <c r="B114" s="165" t="s">
        <v>441</v>
      </c>
      <c r="C114" s="165" t="str">
        <f>IFERROR(VLOOKUP($A114,작성용!A:AL,14,0),"-")</f>
        <v>-</v>
      </c>
      <c r="D114" s="169" t="s">
        <v>244</v>
      </c>
      <c r="E114" s="167" t="str">
        <f>IFERROR(VLOOKUP(A114,작성용!A:AL,34,0),"-")</f>
        <v>-</v>
      </c>
      <c r="F114" s="168" t="s">
        <v>2</v>
      </c>
      <c r="G114" s="179">
        <f>COUNTIF(작성용!A:B,$A114)-COUNTIFS(작성용!A:A,$A114,작성용!AA:AA,"평가철회")</f>
        <v>0</v>
      </c>
    </row>
    <row r="115" spans="1:7" ht="16.5" customHeight="1" x14ac:dyDescent="0.3">
      <c r="A115" s="170" t="s">
        <v>442</v>
      </c>
      <c r="B115" s="165" t="s">
        <v>443</v>
      </c>
      <c r="C115" s="165" t="str">
        <f>IFERROR(VLOOKUP($A115,작성용!A:AL,14,0),"-")</f>
        <v>미정</v>
      </c>
      <c r="D115" s="169" t="s">
        <v>6318</v>
      </c>
      <c r="E115" s="167" t="str">
        <f>IFERROR(VLOOKUP(A115,작성용!A:AL,34,0),"-")</f>
        <v>최수민</v>
      </c>
      <c r="F115" s="168" t="s">
        <v>6337</v>
      </c>
      <c r="G115" s="179">
        <f>COUNTIF(작성용!A:B,$A115)-COUNTIFS(작성용!A:A,$A115,작성용!AA:AA,"평가철회")</f>
        <v>5</v>
      </c>
    </row>
    <row r="116" spans="1:7" ht="16.5" customHeight="1" x14ac:dyDescent="0.3">
      <c r="A116" s="170" t="s">
        <v>444</v>
      </c>
      <c r="B116" s="165" t="s">
        <v>445</v>
      </c>
      <c r="C116" s="165" t="str">
        <f>IFERROR(VLOOKUP($A116,작성용!A:AL,14,0),"-")</f>
        <v>-</v>
      </c>
      <c r="D116" s="169" t="s">
        <v>220</v>
      </c>
      <c r="E116" s="167" t="str">
        <f>IFERROR(VLOOKUP(A116,작성용!A:AL,34,0),"-")</f>
        <v>-</v>
      </c>
      <c r="F116" s="168" t="s">
        <v>6336</v>
      </c>
      <c r="G116" s="179">
        <f>COUNTIF(작성용!A:B,$A116)-COUNTIFS(작성용!A:A,$A116,작성용!AA:AA,"평가철회")</f>
        <v>0</v>
      </c>
    </row>
    <row r="117" spans="1:7" ht="16.5" customHeight="1" x14ac:dyDescent="0.3">
      <c r="A117" s="170" t="s">
        <v>446</v>
      </c>
      <c r="B117" s="165" t="s">
        <v>447</v>
      </c>
      <c r="C117" s="165" t="str">
        <f>IFERROR(VLOOKUP($A117,작성용!A:AL,14,0),"-")</f>
        <v>-</v>
      </c>
      <c r="D117" s="169" t="s">
        <v>220</v>
      </c>
      <c r="E117" s="167" t="str">
        <f>IFERROR(VLOOKUP(A117,작성용!A:AL,34,0),"-")</f>
        <v>-</v>
      </c>
      <c r="F117" s="168" t="s">
        <v>6283</v>
      </c>
      <c r="G117" s="179">
        <f>COUNTIF(작성용!A:B,$A117)-COUNTIFS(작성용!A:A,$A117,작성용!AA:AA,"평가철회")</f>
        <v>0</v>
      </c>
    </row>
    <row r="118" spans="1:7" ht="16.5" customHeight="1" x14ac:dyDescent="0.3">
      <c r="A118" s="170" t="s">
        <v>448</v>
      </c>
      <c r="B118" s="165" t="s">
        <v>449</v>
      </c>
      <c r="C118" s="165" t="str">
        <f>IFERROR(VLOOKUP($A118,작성용!A:AL,14,0),"-")</f>
        <v>-</v>
      </c>
      <c r="D118" s="169" t="s">
        <v>220</v>
      </c>
      <c r="E118" s="167" t="str">
        <f>IFERROR(VLOOKUP(A118,작성용!A:AL,34,0),"-")</f>
        <v>-</v>
      </c>
      <c r="F118" s="168" t="s">
        <v>6283</v>
      </c>
      <c r="G118" s="179">
        <f>COUNTIF(작성용!A:B,$A118)-COUNTIFS(작성용!A:A,$A118,작성용!AA:AA,"평가철회")</f>
        <v>0</v>
      </c>
    </row>
    <row r="119" spans="1:7" ht="16.5" customHeight="1" x14ac:dyDescent="0.3">
      <c r="A119" s="170" t="s">
        <v>450</v>
      </c>
      <c r="B119" s="165" t="s">
        <v>451</v>
      </c>
      <c r="C119" s="165" t="str">
        <f>IFERROR(VLOOKUP($A119,작성용!A:AL,14,0),"-")</f>
        <v>-</v>
      </c>
      <c r="D119" s="169" t="s">
        <v>220</v>
      </c>
      <c r="E119" s="167" t="str">
        <f>IFERROR(VLOOKUP(A119,작성용!A:AL,34,0),"-")</f>
        <v>-</v>
      </c>
      <c r="F119" s="168" t="s">
        <v>2</v>
      </c>
      <c r="G119" s="179">
        <f>COUNTIF(작성용!A:B,$A119)-COUNTIFS(작성용!A:A,$A119,작성용!AA:AA,"평가철회")</f>
        <v>0</v>
      </c>
    </row>
    <row r="120" spans="1:7" ht="16.5" customHeight="1" x14ac:dyDescent="0.3">
      <c r="A120" s="170" t="s">
        <v>452</v>
      </c>
      <c r="B120" s="165" t="s">
        <v>453</v>
      </c>
      <c r="C120" s="165" t="str">
        <f>IFERROR(VLOOKUP($A120,작성용!A:AL,14,0),"-")</f>
        <v>-</v>
      </c>
      <c r="D120" s="169" t="s">
        <v>220</v>
      </c>
      <c r="E120" s="167" t="str">
        <f>IFERROR(VLOOKUP(A120,작성용!A:AL,34,0),"-")</f>
        <v>-</v>
      </c>
      <c r="F120" s="168" t="s">
        <v>2</v>
      </c>
      <c r="G120" s="179">
        <f>COUNTIF(작성용!A:B,$A120)-COUNTIFS(작성용!A:A,$A120,작성용!AA:AA,"평가철회")</f>
        <v>0</v>
      </c>
    </row>
    <row r="121" spans="1:7" ht="16.5" customHeight="1" x14ac:dyDescent="0.3">
      <c r="A121" s="170" t="s">
        <v>454</v>
      </c>
      <c r="B121" s="165" t="s">
        <v>455</v>
      </c>
      <c r="C121" s="165" t="str">
        <f>IFERROR(VLOOKUP($A121,작성용!A:AL,14,0),"-")</f>
        <v>-</v>
      </c>
      <c r="D121" s="169" t="s">
        <v>220</v>
      </c>
      <c r="E121" s="167" t="str">
        <f>IFERROR(VLOOKUP(A121,작성용!A:AL,34,0),"-")</f>
        <v>-</v>
      </c>
      <c r="F121" s="168" t="s">
        <v>2</v>
      </c>
      <c r="G121" s="179">
        <f>COUNTIF(작성용!A:B,$A121)-COUNTIFS(작성용!A:A,$A121,작성용!AA:AA,"평가철회")</f>
        <v>0</v>
      </c>
    </row>
    <row r="122" spans="1:7" ht="16.5" customHeight="1" x14ac:dyDescent="0.3">
      <c r="A122" s="170" t="s">
        <v>456</v>
      </c>
      <c r="B122" s="165" t="s">
        <v>457</v>
      </c>
      <c r="C122" s="165" t="str">
        <f>IFERROR(VLOOKUP($A122,작성용!A:AL,14,0),"-")</f>
        <v>-</v>
      </c>
      <c r="D122" s="169" t="s">
        <v>220</v>
      </c>
      <c r="E122" s="167" t="str">
        <f>IFERROR(VLOOKUP(A122,작성용!A:AL,34,0),"-")</f>
        <v>-</v>
      </c>
      <c r="F122" s="168" t="s">
        <v>6283</v>
      </c>
      <c r="G122" s="179">
        <f>COUNTIF(작성용!A:B,$A122)-COUNTIFS(작성용!A:A,$A122,작성용!AA:AA,"평가철회")</f>
        <v>0</v>
      </c>
    </row>
    <row r="123" spans="1:7" ht="16.5" customHeight="1" x14ac:dyDescent="0.3">
      <c r="A123" s="170" t="s">
        <v>458</v>
      </c>
      <c r="B123" s="165" t="s">
        <v>459</v>
      </c>
      <c r="C123" s="165" t="str">
        <f>IFERROR(VLOOKUP($A123,작성용!A:AL,14,0),"-")</f>
        <v>-</v>
      </c>
      <c r="D123" s="169" t="s">
        <v>220</v>
      </c>
      <c r="E123" s="167" t="str">
        <f>IFERROR(VLOOKUP(A123,작성용!A:AL,34,0),"-")</f>
        <v>-</v>
      </c>
      <c r="F123" s="168" t="s">
        <v>2</v>
      </c>
      <c r="G123" s="179">
        <f>COUNTIF(작성용!A:B,$A123)-COUNTIFS(작성용!A:A,$A123,작성용!AA:AA,"평가철회")</f>
        <v>0</v>
      </c>
    </row>
    <row r="124" spans="1:7" ht="16.5" customHeight="1" x14ac:dyDescent="0.3">
      <c r="A124" s="170" t="s">
        <v>460</v>
      </c>
      <c r="B124" s="165" t="s">
        <v>243</v>
      </c>
      <c r="C124" s="165" t="str">
        <f>IFERROR(VLOOKUP($A124,작성용!A:AL,14,0),"-")</f>
        <v>-</v>
      </c>
      <c r="D124" s="169" t="s">
        <v>6314</v>
      </c>
      <c r="E124" s="167" t="str">
        <f>IFERROR(VLOOKUP(A124,작성용!A:AL,34,0),"-")</f>
        <v>-</v>
      </c>
      <c r="F124" s="168" t="s">
        <v>2</v>
      </c>
      <c r="G124" s="179">
        <f>COUNTIF(작성용!A:B,$A124)-COUNTIFS(작성용!A:A,$A124,작성용!AA:AA,"평가철회")</f>
        <v>0</v>
      </c>
    </row>
    <row r="125" spans="1:7" ht="16.5" customHeight="1" x14ac:dyDescent="0.3">
      <c r="A125" s="170" t="s">
        <v>461</v>
      </c>
      <c r="B125" s="165" t="s">
        <v>462</v>
      </c>
      <c r="C125" s="165" t="str">
        <f>IFERROR(VLOOKUP($A125,작성용!A:AL,14,0),"-")</f>
        <v>미정</v>
      </c>
      <c r="D125" s="169" t="s">
        <v>6348</v>
      </c>
      <c r="E125" s="167" t="str">
        <f>IFERROR(VLOOKUP(A125,작성용!A:AL,34,0),"-")</f>
        <v>정재형</v>
      </c>
      <c r="F125" s="168" t="s">
        <v>2</v>
      </c>
      <c r="G125" s="179">
        <f>COUNTIF(작성용!A:B,$A125)-COUNTIFS(작성용!A:A,$A125,작성용!AA:AA,"평가철회")</f>
        <v>1</v>
      </c>
    </row>
    <row r="126" spans="1:7" ht="16.5" customHeight="1" x14ac:dyDescent="0.3">
      <c r="A126" s="170" t="s">
        <v>464</v>
      </c>
      <c r="B126" s="165" t="s">
        <v>6349</v>
      </c>
      <c r="C126" s="165" t="str">
        <f>IFERROR(VLOOKUP($A126,작성용!A:AL,14,0),"-")</f>
        <v>-</v>
      </c>
      <c r="D126" s="169" t="s">
        <v>3710</v>
      </c>
      <c r="E126" s="167" t="str">
        <f>IFERROR(VLOOKUP(A126,작성용!A:AL,34,0),"-")</f>
        <v>-</v>
      </c>
      <c r="F126" s="168" t="s">
        <v>6304</v>
      </c>
      <c r="G126" s="179">
        <f>COUNTIF(작성용!A:B,$A126)-COUNTIFS(작성용!A:A,$A126,작성용!AA:AA,"평가철회")</f>
        <v>0</v>
      </c>
    </row>
    <row r="127" spans="1:7" ht="16.5" customHeight="1" x14ac:dyDescent="0.3">
      <c r="A127" s="170" t="s">
        <v>465</v>
      </c>
      <c r="B127" s="165" t="s">
        <v>466</v>
      </c>
      <c r="C127" s="165" t="str">
        <f>IFERROR(VLOOKUP($A127,작성용!A:AL,14,0),"-")</f>
        <v>-</v>
      </c>
      <c r="D127" s="169" t="s">
        <v>220</v>
      </c>
      <c r="E127" s="167" t="str">
        <f>IFERROR(VLOOKUP(A127,작성용!A:AL,34,0),"-")</f>
        <v>-</v>
      </c>
      <c r="F127" s="168" t="s">
        <v>2</v>
      </c>
      <c r="G127" s="179">
        <f>COUNTIF(작성용!A:B,$A127)-COUNTIFS(작성용!A:A,$A127,작성용!AA:AA,"평가철회")</f>
        <v>0</v>
      </c>
    </row>
    <row r="128" spans="1:7" ht="16.5" customHeight="1" x14ac:dyDescent="0.3">
      <c r="A128" s="170" t="s">
        <v>467</v>
      </c>
      <c r="B128" s="165" t="s">
        <v>6350</v>
      </c>
      <c r="C128" s="165" t="str">
        <f>IFERROR(VLOOKUP($A128,작성용!A:AL,14,0),"-")</f>
        <v>-</v>
      </c>
      <c r="D128" s="169" t="s">
        <v>6351</v>
      </c>
      <c r="E128" s="167" t="str">
        <f>IFERROR(VLOOKUP(A128,작성용!A:AL,34,0),"-")</f>
        <v>-</v>
      </c>
      <c r="F128" s="168" t="s">
        <v>6336</v>
      </c>
      <c r="G128" s="179">
        <f>COUNTIF(작성용!A:B,$A128)-COUNTIFS(작성용!A:A,$A128,작성용!AA:AA,"평가철회")</f>
        <v>0</v>
      </c>
    </row>
    <row r="129" spans="1:7" ht="16.5" customHeight="1" x14ac:dyDescent="0.3">
      <c r="A129" s="170" t="s">
        <v>468</v>
      </c>
      <c r="B129" s="165" t="s">
        <v>469</v>
      </c>
      <c r="C129" s="165" t="str">
        <f>IFERROR(VLOOKUP($A129,작성용!A:AL,14,0),"-")</f>
        <v>-</v>
      </c>
      <c r="D129" s="169" t="s">
        <v>6352</v>
      </c>
      <c r="E129" s="167" t="str">
        <f>IFERROR(VLOOKUP(A129,작성용!A:AL,34,0),"-")</f>
        <v>-</v>
      </c>
      <c r="F129" s="168" t="s">
        <v>6331</v>
      </c>
      <c r="G129" s="179">
        <f>COUNTIF(작성용!A:B,$A129)-COUNTIFS(작성용!A:A,$A129,작성용!AA:AA,"평가철회")</f>
        <v>0</v>
      </c>
    </row>
    <row r="130" spans="1:7" ht="16.5" customHeight="1" x14ac:dyDescent="0.3">
      <c r="A130" s="170" t="s">
        <v>470</v>
      </c>
      <c r="B130" s="165" t="s">
        <v>471</v>
      </c>
      <c r="C130" s="165" t="str">
        <f>IFERROR(VLOOKUP($A130,작성용!A:AL,14,0),"-")</f>
        <v>-</v>
      </c>
      <c r="D130" s="169" t="s">
        <v>220</v>
      </c>
      <c r="E130" s="167" t="str">
        <f>IFERROR(VLOOKUP(A130,작성용!A:AL,34,0),"-")</f>
        <v>-</v>
      </c>
      <c r="F130" s="168" t="s">
        <v>2</v>
      </c>
      <c r="G130" s="179">
        <f>COUNTIF(작성용!A:B,$A130)-COUNTIFS(작성용!A:A,$A130,작성용!AA:AA,"평가철회")</f>
        <v>0</v>
      </c>
    </row>
    <row r="131" spans="1:7" ht="16.5" customHeight="1" x14ac:dyDescent="0.3">
      <c r="A131" s="170" t="s">
        <v>472</v>
      </c>
      <c r="B131" s="165" t="s">
        <v>473</v>
      </c>
      <c r="C131" s="165" t="str">
        <f>IFERROR(VLOOKUP($A131,작성용!A:AL,14,0),"-")</f>
        <v>-</v>
      </c>
      <c r="D131" s="169" t="s">
        <v>220</v>
      </c>
      <c r="E131" s="167" t="str">
        <f>IFERROR(VLOOKUP(A131,작성용!A:AL,34,0),"-")</f>
        <v>-</v>
      </c>
      <c r="F131" s="168" t="s">
        <v>2</v>
      </c>
      <c r="G131" s="179">
        <f>COUNTIF(작성용!A:B,$A131)-COUNTIFS(작성용!A:A,$A131,작성용!AA:AA,"평가철회")</f>
        <v>0</v>
      </c>
    </row>
    <row r="132" spans="1:7" ht="16.5" customHeight="1" x14ac:dyDescent="0.3">
      <c r="A132" s="170" t="s">
        <v>474</v>
      </c>
      <c r="B132" s="165" t="s">
        <v>3525</v>
      </c>
      <c r="C132" s="165" t="str">
        <f>IFERROR(VLOOKUP($A132,작성용!A:AL,14,0),"-")</f>
        <v>-</v>
      </c>
      <c r="D132" s="169" t="s">
        <v>6292</v>
      </c>
      <c r="E132" s="167" t="str">
        <f>IFERROR(VLOOKUP(A132,작성용!A:AL,34,0),"-")</f>
        <v>-</v>
      </c>
      <c r="F132" s="168" t="s">
        <v>475</v>
      </c>
      <c r="G132" s="179">
        <f>COUNTIF(작성용!A:B,$A132)-COUNTIFS(작성용!A:A,$A132,작성용!AA:AA,"평가철회")</f>
        <v>0</v>
      </c>
    </row>
    <row r="133" spans="1:7" ht="16.5" customHeight="1" x14ac:dyDescent="0.3">
      <c r="A133" s="170" t="s">
        <v>476</v>
      </c>
      <c r="B133" s="165" t="s">
        <v>477</v>
      </c>
      <c r="C133" s="165" t="str">
        <f>IFERROR(VLOOKUP($A133,작성용!A:AL,14,0),"-")</f>
        <v>-</v>
      </c>
      <c r="D133" s="169" t="s">
        <v>220</v>
      </c>
      <c r="E133" s="167" t="str">
        <f>IFERROR(VLOOKUP(A133,작성용!A:AL,34,0),"-")</f>
        <v>-</v>
      </c>
      <c r="F133" s="168" t="s">
        <v>2</v>
      </c>
      <c r="G133" s="179">
        <f>COUNTIF(작성용!A:B,$A133)-COUNTIFS(작성용!A:A,$A133,작성용!AA:AA,"평가철회")</f>
        <v>0</v>
      </c>
    </row>
    <row r="134" spans="1:7" ht="16.5" customHeight="1" x14ac:dyDescent="0.3">
      <c r="A134" s="170" t="s">
        <v>478</v>
      </c>
      <c r="B134" s="165" t="s">
        <v>479</v>
      </c>
      <c r="C134" s="165" t="str">
        <f>IFERROR(VLOOKUP($A134,작성용!A:AL,14,0),"-")</f>
        <v>-</v>
      </c>
      <c r="D134" s="169" t="s">
        <v>6353</v>
      </c>
      <c r="E134" s="167" t="str">
        <f>IFERROR(VLOOKUP(A134,작성용!A:AL,34,0),"-")</f>
        <v>-</v>
      </c>
      <c r="F134" s="168" t="s">
        <v>6304</v>
      </c>
      <c r="G134" s="179">
        <f>COUNTIF(작성용!A:B,$A134)-COUNTIFS(작성용!A:A,$A134,작성용!AA:AA,"평가철회")</f>
        <v>0</v>
      </c>
    </row>
    <row r="135" spans="1:7" ht="16.5" customHeight="1" x14ac:dyDescent="0.3">
      <c r="A135" s="170" t="s">
        <v>480</v>
      </c>
      <c r="B135" s="165" t="s">
        <v>481</v>
      </c>
      <c r="C135" s="165" t="str">
        <f>IFERROR(VLOOKUP($A135,작성용!A:AL,14,0),"-")</f>
        <v>-</v>
      </c>
      <c r="D135" s="169" t="s">
        <v>6295</v>
      </c>
      <c r="E135" s="167" t="str">
        <f>IFERROR(VLOOKUP(A135,작성용!A:AL,34,0),"-")</f>
        <v>-</v>
      </c>
      <c r="F135" s="168" t="s">
        <v>6283</v>
      </c>
      <c r="G135" s="179">
        <f>COUNTIF(작성용!A:B,$A135)-COUNTIFS(작성용!A:A,$A135,작성용!AA:AA,"평가철회")</f>
        <v>0</v>
      </c>
    </row>
    <row r="136" spans="1:7" ht="16.5" customHeight="1" x14ac:dyDescent="0.3">
      <c r="A136" s="170" t="s">
        <v>482</v>
      </c>
      <c r="B136" s="165" t="s">
        <v>6354</v>
      </c>
      <c r="C136" s="165" t="str">
        <f>IFERROR(VLOOKUP($A136,작성용!A:AL,14,0),"-")</f>
        <v>-</v>
      </c>
      <c r="D136" s="169" t="s">
        <v>6322</v>
      </c>
      <c r="E136" s="167" t="str">
        <f>IFERROR(VLOOKUP(A136,작성용!A:AL,34,0),"-")</f>
        <v>-</v>
      </c>
      <c r="F136" s="168" t="s">
        <v>6336</v>
      </c>
      <c r="G136" s="179">
        <f>COUNTIF(작성용!A:B,$A136)-COUNTIFS(작성용!A:A,$A136,작성용!AA:AA,"평가철회")</f>
        <v>0</v>
      </c>
    </row>
    <row r="137" spans="1:7" x14ac:dyDescent="0.3">
      <c r="A137" s="170" t="s">
        <v>483</v>
      </c>
      <c r="B137" s="165" t="s">
        <v>309</v>
      </c>
      <c r="C137" s="165" t="str">
        <f>IFERROR(VLOOKUP($A137,작성용!A:AL,14,0),"-")</f>
        <v>-</v>
      </c>
      <c r="D137" s="169" t="s">
        <v>6322</v>
      </c>
      <c r="E137" s="167" t="str">
        <f>IFERROR(VLOOKUP(A137,작성용!A:AL,34,0),"-")</f>
        <v>-</v>
      </c>
      <c r="F137" s="168" t="s">
        <v>6283</v>
      </c>
      <c r="G137" s="179">
        <f>COUNTIF(작성용!A:B,$A137)-COUNTIFS(작성용!A:A,$A137,작성용!AA:AA,"평가철회")</f>
        <v>0</v>
      </c>
    </row>
    <row r="138" spans="1:7" ht="16.5" customHeight="1" x14ac:dyDescent="0.3">
      <c r="A138" s="170" t="s">
        <v>484</v>
      </c>
      <c r="B138" s="165" t="s">
        <v>485</v>
      </c>
      <c r="C138" s="165" t="str">
        <f>IFERROR(VLOOKUP($A138,작성용!A:AL,14,0),"-")</f>
        <v>-</v>
      </c>
      <c r="D138" s="169" t="s">
        <v>220</v>
      </c>
      <c r="E138" s="167" t="str">
        <f>IFERROR(VLOOKUP(A138,작성용!A:AL,34,0),"-")</f>
        <v>-</v>
      </c>
      <c r="F138" s="168" t="s">
        <v>6283</v>
      </c>
      <c r="G138" s="179">
        <f>COUNTIF(작성용!A:B,$A138)-COUNTIFS(작성용!A:A,$A138,작성용!AA:AA,"평가철회")</f>
        <v>0</v>
      </c>
    </row>
    <row r="139" spans="1:7" ht="16.5" customHeight="1" x14ac:dyDescent="0.3">
      <c r="A139" s="170" t="s">
        <v>486</v>
      </c>
      <c r="B139" s="165" t="s">
        <v>487</v>
      </c>
      <c r="C139" s="165" t="str">
        <f>IFERROR(VLOOKUP($A139,작성용!A:AL,14,0),"-")</f>
        <v>-</v>
      </c>
      <c r="D139" s="169" t="s">
        <v>220</v>
      </c>
      <c r="E139" s="167" t="str">
        <f>IFERROR(VLOOKUP(A139,작성용!A:AL,34,0),"-")</f>
        <v>-</v>
      </c>
      <c r="F139" s="168" t="s">
        <v>6270</v>
      </c>
      <c r="G139" s="179">
        <f>COUNTIF(작성용!A:B,$A139)-COUNTIFS(작성용!A:A,$A139,작성용!AA:AA,"평가철회")</f>
        <v>0</v>
      </c>
    </row>
    <row r="140" spans="1:7" ht="16.5" customHeight="1" x14ac:dyDescent="0.3">
      <c r="A140" s="170" t="s">
        <v>488</v>
      </c>
      <c r="B140" s="165" t="s">
        <v>489</v>
      </c>
      <c r="C140" s="165" t="str">
        <f>IFERROR(VLOOKUP($A140,작성용!A:AL,14,0),"-")</f>
        <v>-</v>
      </c>
      <c r="D140" s="169" t="s">
        <v>71</v>
      </c>
      <c r="E140" s="167" t="str">
        <f>IFERROR(VLOOKUP(A140,작성용!A:AL,34,0),"-")</f>
        <v>-</v>
      </c>
      <c r="F140" s="168" t="s">
        <v>2</v>
      </c>
      <c r="G140" s="179">
        <f>COUNTIF(작성용!A:B,$A140)-COUNTIFS(작성용!A:A,$A140,작성용!AA:AA,"평가철회")</f>
        <v>0</v>
      </c>
    </row>
    <row r="141" spans="1:7" ht="16.5" customHeight="1" x14ac:dyDescent="0.3">
      <c r="A141" s="170" t="s">
        <v>490</v>
      </c>
      <c r="B141" s="165" t="s">
        <v>491</v>
      </c>
      <c r="C141" s="165" t="str">
        <f>IFERROR(VLOOKUP($A141,작성용!A:AL,14,0),"-")</f>
        <v>-</v>
      </c>
      <c r="D141" s="169" t="s">
        <v>492</v>
      </c>
      <c r="E141" s="167" t="str">
        <f>IFERROR(VLOOKUP(A141,작성용!A:AL,34,0),"-")</f>
        <v>-</v>
      </c>
      <c r="F141" s="168" t="s">
        <v>2</v>
      </c>
      <c r="G141" s="179">
        <f>COUNTIF(작성용!A:B,$A141)-COUNTIFS(작성용!A:A,$A141,작성용!AA:AA,"평가철회")</f>
        <v>0</v>
      </c>
    </row>
    <row r="142" spans="1:7" ht="16.5" customHeight="1" x14ac:dyDescent="0.3">
      <c r="A142" s="170" t="s">
        <v>493</v>
      </c>
      <c r="B142" s="165" t="s">
        <v>494</v>
      </c>
      <c r="C142" s="165" t="str">
        <f>IFERROR(VLOOKUP($A142,작성용!A:AL,14,0),"-")</f>
        <v>-</v>
      </c>
      <c r="D142" s="169" t="s">
        <v>495</v>
      </c>
      <c r="E142" s="167" t="str">
        <f>IFERROR(VLOOKUP(A142,작성용!A:AL,34,0),"-")</f>
        <v>-</v>
      </c>
      <c r="F142" s="168" t="s">
        <v>2</v>
      </c>
      <c r="G142" s="179">
        <f>COUNTIF(작성용!A:B,$A142)-COUNTIFS(작성용!A:A,$A142,작성용!AA:AA,"평가철회")</f>
        <v>0</v>
      </c>
    </row>
    <row r="143" spans="1:7" ht="16.5" customHeight="1" x14ac:dyDescent="0.3">
      <c r="A143" s="170" t="s">
        <v>496</v>
      </c>
      <c r="B143" s="165" t="s">
        <v>497</v>
      </c>
      <c r="C143" s="165" t="str">
        <f>IFERROR(VLOOKUP($A143,작성용!A:AL,14,0),"-")</f>
        <v>-</v>
      </c>
      <c r="D143" s="169" t="s">
        <v>498</v>
      </c>
      <c r="E143" s="167" t="str">
        <f>IFERROR(VLOOKUP(A143,작성용!A:AL,34,0),"-")</f>
        <v>-</v>
      </c>
      <c r="F143" s="168" t="s">
        <v>6270</v>
      </c>
      <c r="G143" s="179">
        <f>COUNTIF(작성용!A:B,$A143)-COUNTIFS(작성용!A:A,$A143,작성용!AA:AA,"평가철회")</f>
        <v>0</v>
      </c>
    </row>
    <row r="144" spans="1:7" ht="16.5" customHeight="1" x14ac:dyDescent="0.3">
      <c r="A144" s="170" t="s">
        <v>499</v>
      </c>
      <c r="B144" s="165" t="s">
        <v>500</v>
      </c>
      <c r="C144" s="165" t="str">
        <f>IFERROR(VLOOKUP($A144,작성용!A:AL,14,0),"-")</f>
        <v>-</v>
      </c>
      <c r="D144" s="169" t="s">
        <v>220</v>
      </c>
      <c r="E144" s="167" t="str">
        <f>IFERROR(VLOOKUP(A144,작성용!A:AL,34,0),"-")</f>
        <v>-</v>
      </c>
      <c r="F144" s="168" t="s">
        <v>6270</v>
      </c>
      <c r="G144" s="179">
        <f>COUNTIF(작성용!A:B,$A144)-COUNTIFS(작성용!A:A,$A144,작성용!AA:AA,"평가철회")</f>
        <v>0</v>
      </c>
    </row>
    <row r="145" spans="1:7" ht="16.5" customHeight="1" x14ac:dyDescent="0.3">
      <c r="A145" s="170" t="s">
        <v>501</v>
      </c>
      <c r="B145" s="165" t="s">
        <v>502</v>
      </c>
      <c r="C145" s="165" t="str">
        <f>IFERROR(VLOOKUP($A145,작성용!A:AL,14,0),"-")</f>
        <v>-</v>
      </c>
      <c r="D145" s="169" t="s">
        <v>220</v>
      </c>
      <c r="E145" s="167" t="str">
        <f>IFERROR(VLOOKUP(A145,작성용!A:AL,34,0),"-")</f>
        <v>-</v>
      </c>
      <c r="F145" s="168" t="s">
        <v>2</v>
      </c>
      <c r="G145" s="179">
        <f>COUNTIF(작성용!A:B,$A145)-COUNTIFS(작성용!A:A,$A145,작성용!AA:AA,"평가철회")</f>
        <v>0</v>
      </c>
    </row>
    <row r="146" spans="1:7" ht="16.5" customHeight="1" x14ac:dyDescent="0.3">
      <c r="A146" s="170" t="s">
        <v>503</v>
      </c>
      <c r="B146" s="165" t="s">
        <v>504</v>
      </c>
      <c r="C146" s="165" t="str">
        <f>IFERROR(VLOOKUP($A146,작성용!A:AL,14,0),"-")</f>
        <v>-</v>
      </c>
      <c r="D146" s="169" t="s">
        <v>220</v>
      </c>
      <c r="E146" s="167" t="str">
        <f>IFERROR(VLOOKUP(A146,작성용!A:AL,34,0),"-")</f>
        <v>-</v>
      </c>
      <c r="F146" s="168" t="s">
        <v>6283</v>
      </c>
      <c r="G146" s="179">
        <f>COUNTIF(작성용!A:B,$A146)-COUNTIFS(작성용!A:A,$A146,작성용!AA:AA,"평가철회")</f>
        <v>0</v>
      </c>
    </row>
    <row r="147" spans="1:7" ht="16.5" customHeight="1" x14ac:dyDescent="0.3">
      <c r="A147" s="170" t="s">
        <v>505</v>
      </c>
      <c r="B147" s="165" t="s">
        <v>506</v>
      </c>
      <c r="C147" s="165" t="str">
        <f>IFERROR(VLOOKUP($A147,작성용!A:AL,14,0),"-")</f>
        <v>-</v>
      </c>
      <c r="D147" s="169" t="s">
        <v>220</v>
      </c>
      <c r="E147" s="167" t="str">
        <f>IFERROR(VLOOKUP(A147,작성용!A:AL,34,0),"-")</f>
        <v>-</v>
      </c>
      <c r="F147" s="168" t="s">
        <v>6336</v>
      </c>
      <c r="G147" s="179">
        <f>COUNTIF(작성용!A:B,$A147)-COUNTIFS(작성용!A:A,$A147,작성용!AA:AA,"평가철회")</f>
        <v>0</v>
      </c>
    </row>
    <row r="148" spans="1:7" ht="16.5" customHeight="1" x14ac:dyDescent="0.3">
      <c r="A148" s="170" t="s">
        <v>507</v>
      </c>
      <c r="B148" s="165" t="s">
        <v>508</v>
      </c>
      <c r="C148" s="165" t="str">
        <f>IFERROR(VLOOKUP($A148,작성용!A:AL,14,0),"-")</f>
        <v>-</v>
      </c>
      <c r="D148" s="169" t="s">
        <v>220</v>
      </c>
      <c r="E148" s="167" t="str">
        <f>IFERROR(VLOOKUP(A148,작성용!A:AL,34,0),"-")</f>
        <v>-</v>
      </c>
      <c r="F148" s="168" t="s">
        <v>2</v>
      </c>
      <c r="G148" s="179">
        <f>COUNTIF(작성용!A:B,$A148)-COUNTIFS(작성용!A:A,$A148,작성용!AA:AA,"평가철회")</f>
        <v>0</v>
      </c>
    </row>
    <row r="149" spans="1:7" ht="16.5" customHeight="1" x14ac:dyDescent="0.3">
      <c r="A149" s="170" t="s">
        <v>509</v>
      </c>
      <c r="B149" s="165" t="s">
        <v>510</v>
      </c>
      <c r="C149" s="165" t="str">
        <f>IFERROR(VLOOKUP($A149,작성용!A:AL,14,0),"-")</f>
        <v>-</v>
      </c>
      <c r="D149" s="169" t="s">
        <v>220</v>
      </c>
      <c r="E149" s="167" t="str">
        <f>IFERROR(VLOOKUP(A149,작성용!A:AL,34,0),"-")</f>
        <v>-</v>
      </c>
      <c r="F149" s="168" t="s">
        <v>2</v>
      </c>
      <c r="G149" s="179">
        <f>COUNTIF(작성용!A:B,$A149)-COUNTIFS(작성용!A:A,$A149,작성용!AA:AA,"평가철회")</f>
        <v>0</v>
      </c>
    </row>
    <row r="150" spans="1:7" ht="16.5" customHeight="1" x14ac:dyDescent="0.3">
      <c r="A150" s="170" t="s">
        <v>511</v>
      </c>
      <c r="B150" s="165" t="s">
        <v>512</v>
      </c>
      <c r="C150" s="165" t="str">
        <f>IFERROR(VLOOKUP($A150,작성용!A:AL,14,0),"-")</f>
        <v>-</v>
      </c>
      <c r="D150" s="169" t="s">
        <v>220</v>
      </c>
      <c r="E150" s="167" t="str">
        <f>IFERROR(VLOOKUP(A150,작성용!A:AL,34,0),"-")</f>
        <v>-</v>
      </c>
      <c r="F150" s="168" t="s">
        <v>2</v>
      </c>
      <c r="G150" s="179">
        <f>COUNTIF(작성용!A:B,$A150)-COUNTIFS(작성용!A:A,$A150,작성용!AA:AA,"평가철회")</f>
        <v>0</v>
      </c>
    </row>
    <row r="151" spans="1:7" ht="16.5" customHeight="1" x14ac:dyDescent="0.3">
      <c r="A151" s="170" t="s">
        <v>513</v>
      </c>
      <c r="B151" s="165" t="s">
        <v>514</v>
      </c>
      <c r="C151" s="165" t="str">
        <f>IFERROR(VLOOKUP($A151,작성용!A:AL,14,0),"-")</f>
        <v>-</v>
      </c>
      <c r="D151" s="169" t="s">
        <v>220</v>
      </c>
      <c r="E151" s="167" t="str">
        <f>IFERROR(VLOOKUP(A151,작성용!A:AL,34,0),"-")</f>
        <v>-</v>
      </c>
      <c r="F151" s="168" t="s">
        <v>6336</v>
      </c>
      <c r="G151" s="179">
        <f>COUNTIF(작성용!A:B,$A151)-COUNTIFS(작성용!A:A,$A151,작성용!AA:AA,"평가철회")</f>
        <v>0</v>
      </c>
    </row>
    <row r="152" spans="1:7" ht="16.5" customHeight="1" x14ac:dyDescent="0.3">
      <c r="A152" s="170" t="s">
        <v>515</v>
      </c>
      <c r="B152" s="165" t="s">
        <v>516</v>
      </c>
      <c r="C152" s="165" t="str">
        <f>IFERROR(VLOOKUP($A152,작성용!A:AL,14,0),"-")</f>
        <v>-</v>
      </c>
      <c r="D152" s="169" t="s">
        <v>220</v>
      </c>
      <c r="E152" s="167" t="str">
        <f>IFERROR(VLOOKUP(A152,작성용!A:AL,34,0),"-")</f>
        <v>-</v>
      </c>
      <c r="F152" s="168" t="s">
        <v>6336</v>
      </c>
      <c r="G152" s="179">
        <f>COUNTIF(작성용!A:B,$A152)-COUNTIFS(작성용!A:A,$A152,작성용!AA:AA,"평가철회")</f>
        <v>0</v>
      </c>
    </row>
    <row r="153" spans="1:7" ht="16.5" customHeight="1" x14ac:dyDescent="0.3">
      <c r="A153" s="170" t="s">
        <v>517</v>
      </c>
      <c r="B153" s="165" t="s">
        <v>518</v>
      </c>
      <c r="C153" s="165" t="str">
        <f>IFERROR(VLOOKUP($A153,작성용!A:AL,14,0),"-")</f>
        <v>-</v>
      </c>
      <c r="D153" s="169" t="s">
        <v>220</v>
      </c>
      <c r="E153" s="167" t="str">
        <f>IFERROR(VLOOKUP(A153,작성용!A:AL,34,0),"-")</f>
        <v>-</v>
      </c>
      <c r="F153" s="168" t="s">
        <v>2</v>
      </c>
      <c r="G153" s="179">
        <f>COUNTIF(작성용!A:B,$A153)-COUNTIFS(작성용!A:A,$A153,작성용!AA:AA,"평가철회")</f>
        <v>0</v>
      </c>
    </row>
    <row r="154" spans="1:7" ht="16.5" customHeight="1" x14ac:dyDescent="0.3">
      <c r="A154" s="170" t="s">
        <v>519</v>
      </c>
      <c r="B154" s="165" t="s">
        <v>520</v>
      </c>
      <c r="C154" s="165" t="str">
        <f>IFERROR(VLOOKUP($A154,작성용!A:AL,14,0),"-")</f>
        <v>-</v>
      </c>
      <c r="D154" s="169" t="s">
        <v>521</v>
      </c>
      <c r="E154" s="167" t="str">
        <f>IFERROR(VLOOKUP(A154,작성용!A:AL,34,0),"-")</f>
        <v>-</v>
      </c>
      <c r="F154" s="168" t="s">
        <v>2</v>
      </c>
      <c r="G154" s="179">
        <f>COUNTIF(작성용!A:B,$A154)-COUNTIFS(작성용!A:A,$A154,작성용!AA:AA,"평가철회")</f>
        <v>0</v>
      </c>
    </row>
    <row r="155" spans="1:7" ht="16.5" customHeight="1" x14ac:dyDescent="0.3">
      <c r="A155" s="170" t="s">
        <v>522</v>
      </c>
      <c r="B155" s="165" t="s">
        <v>523</v>
      </c>
      <c r="C155" s="165" t="str">
        <f>IFERROR(VLOOKUP($A155,작성용!A:AL,14,0),"-")</f>
        <v>-</v>
      </c>
      <c r="D155" s="169" t="s">
        <v>13</v>
      </c>
      <c r="E155" s="167" t="str">
        <f>IFERROR(VLOOKUP(A155,작성용!A:AL,34,0),"-")</f>
        <v>-</v>
      </c>
      <c r="F155" s="168" t="s">
        <v>6335</v>
      </c>
      <c r="G155" s="179">
        <f>COUNTIF(작성용!A:B,$A155)-COUNTIFS(작성용!A:A,$A155,작성용!AA:AA,"평가철회")</f>
        <v>0</v>
      </c>
    </row>
    <row r="156" spans="1:7" ht="16.5" customHeight="1" x14ac:dyDescent="0.3">
      <c r="A156" s="170" t="s">
        <v>524</v>
      </c>
      <c r="B156" s="165" t="s">
        <v>525</v>
      </c>
      <c r="C156" s="165" t="str">
        <f>IFERROR(VLOOKUP($A156,작성용!A:AL,14,0),"-")</f>
        <v>-</v>
      </c>
      <c r="D156" s="169" t="s">
        <v>2</v>
      </c>
      <c r="E156" s="167" t="str">
        <f>IFERROR(VLOOKUP(A156,작성용!A:AL,34,0),"-")</f>
        <v>-</v>
      </c>
      <c r="F156" s="168" t="s">
        <v>2</v>
      </c>
      <c r="G156" s="179">
        <f>COUNTIF(작성용!A:B,$A156)-COUNTIFS(작성용!A:A,$A156,작성용!AA:AA,"평가철회")</f>
        <v>0</v>
      </c>
    </row>
    <row r="157" spans="1:7" ht="16.5" customHeight="1" x14ac:dyDescent="0.3">
      <c r="A157" s="170" t="s">
        <v>526</v>
      </c>
      <c r="B157" s="165" t="s">
        <v>527</v>
      </c>
      <c r="C157" s="165" t="str">
        <f>IFERROR(VLOOKUP($A157,작성용!A:AL,14,0),"-")</f>
        <v>-</v>
      </c>
      <c r="D157" s="169" t="s">
        <v>220</v>
      </c>
      <c r="E157" s="167" t="str">
        <f>IFERROR(VLOOKUP(A157,작성용!A:AL,34,0),"-")</f>
        <v>-</v>
      </c>
      <c r="F157" s="168" t="s">
        <v>6337</v>
      </c>
      <c r="G157" s="179">
        <f>COUNTIF(작성용!A:B,$A157)-COUNTIFS(작성용!A:A,$A157,작성용!AA:AA,"평가철회")</f>
        <v>0</v>
      </c>
    </row>
    <row r="158" spans="1:7" ht="16.5" customHeight="1" x14ac:dyDescent="0.3">
      <c r="A158" s="170" t="s">
        <v>528</v>
      </c>
      <c r="B158" s="165" t="s">
        <v>529</v>
      </c>
      <c r="C158" s="165" t="str">
        <f>IFERROR(VLOOKUP($A158,작성용!A:AL,14,0),"-")</f>
        <v>-</v>
      </c>
      <c r="D158" s="169" t="s">
        <v>220</v>
      </c>
      <c r="E158" s="167" t="str">
        <f>IFERROR(VLOOKUP(A158,작성용!A:AL,34,0),"-")</f>
        <v>-</v>
      </c>
      <c r="F158" s="168" t="s">
        <v>2</v>
      </c>
      <c r="G158" s="179">
        <f>COUNTIF(작성용!A:B,$A158)-COUNTIFS(작성용!A:A,$A158,작성용!AA:AA,"평가철회")</f>
        <v>0</v>
      </c>
    </row>
    <row r="159" spans="1:7" ht="16.5" customHeight="1" x14ac:dyDescent="0.3">
      <c r="A159" s="170" t="s">
        <v>530</v>
      </c>
      <c r="B159" s="165" t="s">
        <v>531</v>
      </c>
      <c r="C159" s="165" t="str">
        <f>IFERROR(VLOOKUP($A159,작성용!A:AL,14,0),"-")</f>
        <v>-</v>
      </c>
      <c r="D159" s="169" t="s">
        <v>220</v>
      </c>
      <c r="E159" s="167" t="str">
        <f>IFERROR(VLOOKUP(A159,작성용!A:AL,34,0),"-")</f>
        <v>-</v>
      </c>
      <c r="F159" s="168" t="s">
        <v>2</v>
      </c>
      <c r="G159" s="179">
        <f>COUNTIF(작성용!A:B,$A159)-COUNTIFS(작성용!A:A,$A159,작성용!AA:AA,"평가철회")</f>
        <v>0</v>
      </c>
    </row>
    <row r="160" spans="1:7" ht="16.5" customHeight="1" x14ac:dyDescent="0.3">
      <c r="A160" s="170" t="s">
        <v>532</v>
      </c>
      <c r="B160" s="165" t="s">
        <v>533</v>
      </c>
      <c r="C160" s="165" t="str">
        <f>IFERROR(VLOOKUP($A160,작성용!A:AL,14,0),"-")</f>
        <v>-</v>
      </c>
      <c r="D160" s="169" t="s">
        <v>220</v>
      </c>
      <c r="E160" s="167" t="str">
        <f>IFERROR(VLOOKUP(A160,작성용!A:AL,34,0),"-")</f>
        <v>-</v>
      </c>
      <c r="F160" s="168" t="s">
        <v>2</v>
      </c>
      <c r="G160" s="179">
        <f>COUNTIF(작성용!A:B,$A160)-COUNTIFS(작성용!A:A,$A160,작성용!AA:AA,"평가철회")</f>
        <v>0</v>
      </c>
    </row>
    <row r="161" spans="1:7" ht="16.5" customHeight="1" x14ac:dyDescent="0.3">
      <c r="A161" s="170" t="s">
        <v>534</v>
      </c>
      <c r="B161" s="165" t="s">
        <v>535</v>
      </c>
      <c r="C161" s="165" t="str">
        <f>IFERROR(VLOOKUP($A161,작성용!A:AL,14,0),"-")</f>
        <v>-</v>
      </c>
      <c r="D161" s="169" t="s">
        <v>6355</v>
      </c>
      <c r="E161" s="167" t="str">
        <f>IFERROR(VLOOKUP(A161,작성용!A:AL,34,0),"-")</f>
        <v>-</v>
      </c>
      <c r="F161" s="168" t="s">
        <v>6337</v>
      </c>
      <c r="G161" s="179">
        <f>COUNTIF(작성용!A:B,$A161)-COUNTIFS(작성용!A:A,$A161,작성용!AA:AA,"평가철회")</f>
        <v>0</v>
      </c>
    </row>
    <row r="162" spans="1:7" ht="16.5" customHeight="1" x14ac:dyDescent="0.3">
      <c r="A162" s="170" t="s">
        <v>536</v>
      </c>
      <c r="B162" s="165" t="s">
        <v>6356</v>
      </c>
      <c r="C162" s="165" t="str">
        <f>IFERROR(VLOOKUP($A162,작성용!A:AL,14,0),"-")</f>
        <v>-</v>
      </c>
      <c r="D162" s="169" t="s">
        <v>6278</v>
      </c>
      <c r="E162" s="167" t="str">
        <f>IFERROR(VLOOKUP(A162,작성용!A:AL,34,0),"-")</f>
        <v>-</v>
      </c>
      <c r="F162" s="168" t="s">
        <v>6335</v>
      </c>
      <c r="G162" s="179">
        <f>COUNTIF(작성용!A:B,$A162)-COUNTIFS(작성용!A:A,$A162,작성용!AA:AA,"평가철회")</f>
        <v>0</v>
      </c>
    </row>
    <row r="163" spans="1:7" ht="16.5" customHeight="1" x14ac:dyDescent="0.3">
      <c r="A163" s="170" t="s">
        <v>537</v>
      </c>
      <c r="B163" s="165" t="s">
        <v>538</v>
      </c>
      <c r="C163" s="165" t="str">
        <f>IFERROR(VLOOKUP($A163,작성용!A:AL,14,0),"-")</f>
        <v>-</v>
      </c>
      <c r="D163" s="169" t="s">
        <v>220</v>
      </c>
      <c r="E163" s="167" t="str">
        <f>IFERROR(VLOOKUP(A163,작성용!A:AL,34,0),"-")</f>
        <v>-</v>
      </c>
      <c r="F163" s="168" t="s">
        <v>6331</v>
      </c>
      <c r="G163" s="179">
        <f>COUNTIF(작성용!A:B,$A163)-COUNTIFS(작성용!A:A,$A163,작성용!AA:AA,"평가철회")</f>
        <v>0</v>
      </c>
    </row>
    <row r="164" spans="1:7" ht="16.5" customHeight="1" x14ac:dyDescent="0.3">
      <c r="A164" s="170" t="s">
        <v>539</v>
      </c>
      <c r="B164" s="165" t="s">
        <v>540</v>
      </c>
      <c r="C164" s="165" t="str">
        <f>IFERROR(VLOOKUP($A164,작성용!A:AL,14,0),"-")</f>
        <v>-</v>
      </c>
      <c r="D164" s="169" t="s">
        <v>220</v>
      </c>
      <c r="E164" s="167" t="str">
        <f>IFERROR(VLOOKUP(A164,작성용!A:AL,34,0),"-")</f>
        <v>-</v>
      </c>
      <c r="F164" s="168" t="s">
        <v>2</v>
      </c>
      <c r="G164" s="179">
        <f>COUNTIF(작성용!A:B,$A164)-COUNTIFS(작성용!A:A,$A164,작성용!AA:AA,"평가철회")</f>
        <v>0</v>
      </c>
    </row>
    <row r="165" spans="1:7" ht="16.5" customHeight="1" x14ac:dyDescent="0.3">
      <c r="A165" s="170" t="s">
        <v>541</v>
      </c>
      <c r="B165" s="165" t="s">
        <v>542</v>
      </c>
      <c r="C165" s="165" t="str">
        <f>IFERROR(VLOOKUP($A165,작성용!A:AL,14,0),"-")</f>
        <v>-</v>
      </c>
      <c r="D165" s="169" t="s">
        <v>492</v>
      </c>
      <c r="E165" s="167" t="str">
        <f>IFERROR(VLOOKUP(A165,작성용!A:AL,34,0),"-")</f>
        <v>-</v>
      </c>
      <c r="F165" s="168" t="s">
        <v>2</v>
      </c>
      <c r="G165" s="179">
        <f>COUNTIF(작성용!A:B,$A165)-COUNTIFS(작성용!A:A,$A165,작성용!AA:AA,"평가철회")</f>
        <v>0</v>
      </c>
    </row>
    <row r="166" spans="1:7" ht="16.5" customHeight="1" x14ac:dyDescent="0.3">
      <c r="A166" s="170" t="s">
        <v>543</v>
      </c>
      <c r="B166" s="165" t="s">
        <v>256</v>
      </c>
      <c r="C166" s="165" t="str">
        <f>IFERROR(VLOOKUP($A166,작성용!A:AL,14,0),"-")</f>
        <v>-</v>
      </c>
      <c r="D166" s="169" t="s">
        <v>6357</v>
      </c>
      <c r="E166" s="167" t="str">
        <f>IFERROR(VLOOKUP(A166,작성용!A:AL,34,0),"-")</f>
        <v>-</v>
      </c>
      <c r="F166" s="168" t="s">
        <v>6283</v>
      </c>
      <c r="G166" s="179">
        <f>COUNTIF(작성용!A:B,$A166)-COUNTIFS(작성용!A:A,$A166,작성용!AA:AA,"평가철회")</f>
        <v>0</v>
      </c>
    </row>
    <row r="167" spans="1:7" ht="16.5" customHeight="1" x14ac:dyDescent="0.3">
      <c r="A167" s="170" t="s">
        <v>544</v>
      </c>
      <c r="B167" s="165" t="s">
        <v>545</v>
      </c>
      <c r="C167" s="165" t="str">
        <f>IFERROR(VLOOKUP($A167,작성용!A:AL,14,0),"-")</f>
        <v>-</v>
      </c>
      <c r="D167" s="169" t="s">
        <v>220</v>
      </c>
      <c r="E167" s="167" t="str">
        <f>IFERROR(VLOOKUP(A167,작성용!A:AL,34,0),"-")</f>
        <v>-</v>
      </c>
      <c r="F167" s="168" t="s">
        <v>6336</v>
      </c>
      <c r="G167" s="179">
        <f>COUNTIF(작성용!A:B,$A167)-COUNTIFS(작성용!A:A,$A167,작성용!AA:AA,"평가철회")</f>
        <v>0</v>
      </c>
    </row>
    <row r="168" spans="1:7" ht="16.5" customHeight="1" x14ac:dyDescent="0.3">
      <c r="A168" s="170" t="s">
        <v>546</v>
      </c>
      <c r="B168" s="165" t="s">
        <v>547</v>
      </c>
      <c r="C168" s="165" t="str">
        <f>IFERROR(VLOOKUP($A168,작성용!A:AL,14,0),"-")</f>
        <v>-</v>
      </c>
      <c r="D168" s="169" t="s">
        <v>220</v>
      </c>
      <c r="E168" s="167" t="str">
        <f>IFERROR(VLOOKUP(A168,작성용!A:AL,34,0),"-")</f>
        <v>-</v>
      </c>
      <c r="F168" s="168" t="s">
        <v>6336</v>
      </c>
      <c r="G168" s="179">
        <f>COUNTIF(작성용!A:B,$A168)-COUNTIFS(작성용!A:A,$A168,작성용!AA:AA,"평가철회")</f>
        <v>0</v>
      </c>
    </row>
    <row r="169" spans="1:7" ht="16.5" customHeight="1" x14ac:dyDescent="0.3">
      <c r="A169" s="170" t="s">
        <v>548</v>
      </c>
      <c r="B169" s="165" t="s">
        <v>549</v>
      </c>
      <c r="C169" s="165" t="str">
        <f>IFERROR(VLOOKUP($A169,작성용!A:AL,14,0),"-")</f>
        <v>-</v>
      </c>
      <c r="D169" s="169" t="s">
        <v>220</v>
      </c>
      <c r="E169" s="167" t="str">
        <f>IFERROR(VLOOKUP(A169,작성용!A:AL,34,0),"-")</f>
        <v>-</v>
      </c>
      <c r="F169" s="168" t="s">
        <v>2</v>
      </c>
      <c r="G169" s="179">
        <f>COUNTIF(작성용!A:B,$A169)-COUNTIFS(작성용!A:A,$A169,작성용!AA:AA,"평가철회")</f>
        <v>0</v>
      </c>
    </row>
    <row r="170" spans="1:7" ht="16.5" customHeight="1" x14ac:dyDescent="0.3">
      <c r="A170" s="170" t="s">
        <v>550</v>
      </c>
      <c r="B170" s="165" t="s">
        <v>551</v>
      </c>
      <c r="C170" s="165" t="str">
        <f>IFERROR(VLOOKUP($A170,작성용!A:AL,14,0),"-")</f>
        <v>-</v>
      </c>
      <c r="D170" s="169" t="s">
        <v>220</v>
      </c>
      <c r="E170" s="167" t="str">
        <f>IFERROR(VLOOKUP(A170,작성용!A:AL,34,0),"-")</f>
        <v>-</v>
      </c>
      <c r="F170" s="168" t="s">
        <v>2</v>
      </c>
      <c r="G170" s="179">
        <f>COUNTIF(작성용!A:B,$A170)-COUNTIFS(작성용!A:A,$A170,작성용!AA:AA,"평가철회")</f>
        <v>0</v>
      </c>
    </row>
    <row r="171" spans="1:7" ht="16.5" customHeight="1" x14ac:dyDescent="0.3">
      <c r="A171" s="170" t="s">
        <v>552</v>
      </c>
      <c r="B171" s="165" t="s">
        <v>553</v>
      </c>
      <c r="C171" s="165" t="str">
        <f>IFERROR(VLOOKUP($A171,작성용!A:AL,14,0),"-")</f>
        <v>-</v>
      </c>
      <c r="D171" s="169" t="s">
        <v>220</v>
      </c>
      <c r="E171" s="167" t="str">
        <f>IFERROR(VLOOKUP(A171,작성용!A:AL,34,0),"-")</f>
        <v>-</v>
      </c>
      <c r="F171" s="168" t="s">
        <v>2</v>
      </c>
      <c r="G171" s="179">
        <f>COUNTIF(작성용!A:B,$A171)-COUNTIFS(작성용!A:A,$A171,작성용!AA:AA,"평가철회")</f>
        <v>0</v>
      </c>
    </row>
    <row r="172" spans="1:7" ht="16.5" customHeight="1" x14ac:dyDescent="0.3">
      <c r="A172" s="170" t="s">
        <v>554</v>
      </c>
      <c r="B172" s="165" t="s">
        <v>555</v>
      </c>
      <c r="C172" s="165" t="str">
        <f>IFERROR(VLOOKUP($A172,작성용!A:AL,14,0),"-")</f>
        <v>-</v>
      </c>
      <c r="D172" s="169" t="s">
        <v>556</v>
      </c>
      <c r="E172" s="167" t="str">
        <f>IFERROR(VLOOKUP(A172,작성용!A:AL,34,0),"-")</f>
        <v>-</v>
      </c>
      <c r="F172" s="168" t="s">
        <v>2</v>
      </c>
      <c r="G172" s="179">
        <f>COUNTIF(작성용!A:B,$A172)-COUNTIFS(작성용!A:A,$A172,작성용!AA:AA,"평가철회")</f>
        <v>0</v>
      </c>
    </row>
    <row r="173" spans="1:7" ht="16.5" customHeight="1" x14ac:dyDescent="0.3">
      <c r="A173" s="170" t="s">
        <v>557</v>
      </c>
      <c r="B173" s="165" t="s">
        <v>558</v>
      </c>
      <c r="C173" s="165" t="str">
        <f>IFERROR(VLOOKUP($A173,작성용!A:AL,14,0),"-")</f>
        <v>-</v>
      </c>
      <c r="D173" s="169" t="s">
        <v>220</v>
      </c>
      <c r="E173" s="167" t="str">
        <f>IFERROR(VLOOKUP(A173,작성용!A:AL,34,0),"-")</f>
        <v>-</v>
      </c>
      <c r="F173" s="168" t="s">
        <v>6342</v>
      </c>
      <c r="G173" s="179">
        <f>COUNTIF(작성용!A:B,$A173)-COUNTIFS(작성용!A:A,$A173,작성용!AA:AA,"평가철회")</f>
        <v>0</v>
      </c>
    </row>
    <row r="174" spans="1:7" ht="16.5" customHeight="1" x14ac:dyDescent="0.3">
      <c r="A174" s="170" t="s">
        <v>559</v>
      </c>
      <c r="B174" s="165" t="s">
        <v>560</v>
      </c>
      <c r="C174" s="165" t="str">
        <f>IFERROR(VLOOKUP($A174,작성용!A:AL,14,0),"-")</f>
        <v>-</v>
      </c>
      <c r="D174" s="169" t="s">
        <v>220</v>
      </c>
      <c r="E174" s="167" t="str">
        <f>IFERROR(VLOOKUP(A174,작성용!A:AL,34,0),"-")</f>
        <v>-</v>
      </c>
      <c r="F174" s="168" t="s">
        <v>2</v>
      </c>
      <c r="G174" s="179">
        <f>COUNTIF(작성용!A:B,$A174)-COUNTIFS(작성용!A:A,$A174,작성용!AA:AA,"평가철회")</f>
        <v>0</v>
      </c>
    </row>
    <row r="175" spans="1:7" ht="16.5" customHeight="1" x14ac:dyDescent="0.3">
      <c r="A175" s="170" t="s">
        <v>561</v>
      </c>
      <c r="B175" s="165" t="s">
        <v>6358</v>
      </c>
      <c r="C175" s="165" t="str">
        <f>IFERROR(VLOOKUP($A175,작성용!A:AL,14,0),"-")</f>
        <v>-</v>
      </c>
      <c r="D175" s="169" t="s">
        <v>6351</v>
      </c>
      <c r="E175" s="167" t="str">
        <f>IFERROR(VLOOKUP(A175,작성용!A:AL,34,0),"-")</f>
        <v>-</v>
      </c>
      <c r="F175" s="168" t="s">
        <v>6335</v>
      </c>
      <c r="G175" s="179">
        <f>COUNTIF(작성용!A:B,$A175)-COUNTIFS(작성용!A:A,$A175,작성용!AA:AA,"평가철회")</f>
        <v>0</v>
      </c>
    </row>
    <row r="176" spans="1:7" ht="16.5" customHeight="1" x14ac:dyDescent="0.3">
      <c r="A176" s="170" t="s">
        <v>562</v>
      </c>
      <c r="B176" s="165" t="s">
        <v>423</v>
      </c>
      <c r="C176" s="165" t="str">
        <f>IFERROR(VLOOKUP($A176,작성용!A:AL,14,0),"-")</f>
        <v>-</v>
      </c>
      <c r="D176" s="169" t="s">
        <v>72</v>
      </c>
      <c r="E176" s="167" t="str">
        <f>IFERROR(VLOOKUP(A176,작성용!A:AL,34,0),"-")</f>
        <v>-</v>
      </c>
      <c r="F176" s="168" t="s">
        <v>2</v>
      </c>
      <c r="G176" s="179">
        <f>COUNTIF(작성용!A:B,$A176)-COUNTIFS(작성용!A:A,$A176,작성용!AA:AA,"평가철회")</f>
        <v>0</v>
      </c>
    </row>
    <row r="177" spans="1:7" ht="16.5" customHeight="1" x14ac:dyDescent="0.3">
      <c r="A177" s="170" t="s">
        <v>563</v>
      </c>
      <c r="B177" s="165" t="s">
        <v>564</v>
      </c>
      <c r="C177" s="165" t="str">
        <f>IFERROR(VLOOKUP($A177,작성용!A:AL,14,0),"-")</f>
        <v>-</v>
      </c>
      <c r="D177" s="169" t="s">
        <v>220</v>
      </c>
      <c r="E177" s="167" t="str">
        <f>IFERROR(VLOOKUP(A177,작성용!A:AL,34,0),"-")</f>
        <v>-</v>
      </c>
      <c r="F177" s="168" t="s">
        <v>2</v>
      </c>
      <c r="G177" s="179">
        <f>COUNTIF(작성용!A:B,$A177)-COUNTIFS(작성용!A:A,$A177,작성용!AA:AA,"평가철회")</f>
        <v>0</v>
      </c>
    </row>
    <row r="178" spans="1:7" ht="16.5" customHeight="1" x14ac:dyDescent="0.3">
      <c r="A178" s="170" t="s">
        <v>565</v>
      </c>
      <c r="B178" s="165" t="s">
        <v>566</v>
      </c>
      <c r="C178" s="165" t="str">
        <f>IFERROR(VLOOKUP($A178,작성용!A:AL,14,0),"-")</f>
        <v>-</v>
      </c>
      <c r="D178" s="169" t="s">
        <v>220</v>
      </c>
      <c r="E178" s="167" t="str">
        <f>IFERROR(VLOOKUP(A178,작성용!A:AL,34,0),"-")</f>
        <v>-</v>
      </c>
      <c r="F178" s="168" t="s">
        <v>6336</v>
      </c>
      <c r="G178" s="179">
        <f>COUNTIF(작성용!A:B,$A178)-COUNTIFS(작성용!A:A,$A178,작성용!AA:AA,"평가철회")</f>
        <v>0</v>
      </c>
    </row>
    <row r="179" spans="1:7" ht="16.5" customHeight="1" x14ac:dyDescent="0.3">
      <c r="A179" s="170" t="s">
        <v>567</v>
      </c>
      <c r="B179" s="165" t="s">
        <v>568</v>
      </c>
      <c r="C179" s="165" t="str">
        <f>IFERROR(VLOOKUP($A179,작성용!A:AL,14,0),"-")</f>
        <v>-</v>
      </c>
      <c r="D179" s="169" t="s">
        <v>273</v>
      </c>
      <c r="E179" s="167" t="str">
        <f>IFERROR(VLOOKUP(A179,작성용!A:AL,34,0),"-")</f>
        <v>-</v>
      </c>
      <c r="F179" s="168" t="s">
        <v>2</v>
      </c>
      <c r="G179" s="179">
        <f>COUNTIF(작성용!A:B,$A179)-COUNTIFS(작성용!A:A,$A179,작성용!AA:AA,"평가철회")</f>
        <v>0</v>
      </c>
    </row>
    <row r="180" spans="1:7" ht="16.5" customHeight="1" x14ac:dyDescent="0.3">
      <c r="A180" s="170" t="s">
        <v>569</v>
      </c>
      <c r="B180" s="165" t="s">
        <v>268</v>
      </c>
      <c r="C180" s="165" t="str">
        <f>IFERROR(VLOOKUP($A180,작성용!A:AL,14,0),"-")</f>
        <v>-</v>
      </c>
      <c r="D180" s="169" t="s">
        <v>6340</v>
      </c>
      <c r="E180" s="167" t="str">
        <f>IFERROR(VLOOKUP(A180,작성용!A:AL,34,0),"-")</f>
        <v>-</v>
      </c>
      <c r="F180" s="168" t="s">
        <v>2</v>
      </c>
      <c r="G180" s="179">
        <f>COUNTIF(작성용!A:B,$A180)-COUNTIFS(작성용!A:A,$A180,작성용!AA:AA,"평가철회")</f>
        <v>0</v>
      </c>
    </row>
    <row r="181" spans="1:7" ht="16.5" customHeight="1" x14ac:dyDescent="0.3">
      <c r="A181" s="170" t="s">
        <v>570</v>
      </c>
      <c r="B181" s="165" t="s">
        <v>571</v>
      </c>
      <c r="C181" s="165" t="str">
        <f>IFERROR(VLOOKUP($A181,작성용!A:AL,14,0),"-")</f>
        <v>-</v>
      </c>
      <c r="D181" s="169" t="s">
        <v>6359</v>
      </c>
      <c r="E181" s="167" t="str">
        <f>IFERROR(VLOOKUP(A181,작성용!A:AL,34,0),"-")</f>
        <v>-</v>
      </c>
      <c r="F181" s="168" t="s">
        <v>2</v>
      </c>
      <c r="G181" s="179">
        <f>COUNTIF(작성용!A:B,$A181)-COUNTIFS(작성용!A:A,$A181,작성용!AA:AA,"평가철회")</f>
        <v>0</v>
      </c>
    </row>
    <row r="182" spans="1:7" ht="16.5" customHeight="1" x14ac:dyDescent="0.3">
      <c r="A182" s="170" t="s">
        <v>572</v>
      </c>
      <c r="B182" s="165" t="s">
        <v>573</v>
      </c>
      <c r="C182" s="165" t="str">
        <f>IFERROR(VLOOKUP($A182,작성용!A:AL,14,0),"-")</f>
        <v>-</v>
      </c>
      <c r="D182" s="169" t="s">
        <v>220</v>
      </c>
      <c r="E182" s="167" t="str">
        <f>IFERROR(VLOOKUP(A182,작성용!A:AL,34,0),"-")</f>
        <v>-</v>
      </c>
      <c r="F182" s="168" t="s">
        <v>6336</v>
      </c>
      <c r="G182" s="179">
        <f>COUNTIF(작성용!A:B,$A182)-COUNTIFS(작성용!A:A,$A182,작성용!AA:AA,"평가철회")</f>
        <v>0</v>
      </c>
    </row>
    <row r="183" spans="1:7" ht="16.5" customHeight="1" x14ac:dyDescent="0.3">
      <c r="A183" s="170" t="s">
        <v>574</v>
      </c>
      <c r="B183" s="165" t="s">
        <v>575</v>
      </c>
      <c r="C183" s="165" t="str">
        <f>IFERROR(VLOOKUP($A183,작성용!A:AL,14,0),"-")</f>
        <v>-</v>
      </c>
      <c r="D183" s="169" t="s">
        <v>220</v>
      </c>
      <c r="E183" s="167" t="str">
        <f>IFERROR(VLOOKUP(A183,작성용!A:AL,34,0),"-")</f>
        <v>-</v>
      </c>
      <c r="F183" s="168" t="s">
        <v>6336</v>
      </c>
      <c r="G183" s="179">
        <f>COUNTIF(작성용!A:B,$A183)-COUNTIFS(작성용!A:A,$A183,작성용!AA:AA,"평가철회")</f>
        <v>0</v>
      </c>
    </row>
    <row r="184" spans="1:7" ht="16.5" customHeight="1" x14ac:dyDescent="0.3">
      <c r="A184" s="170" t="s">
        <v>576</v>
      </c>
      <c r="B184" s="165" t="s">
        <v>577</v>
      </c>
      <c r="C184" s="165" t="str">
        <f>IFERROR(VLOOKUP($A184,작성용!A:AL,14,0),"-")</f>
        <v>-</v>
      </c>
      <c r="D184" s="169" t="s">
        <v>220</v>
      </c>
      <c r="E184" s="167" t="str">
        <f>IFERROR(VLOOKUP(A184,작성용!A:AL,34,0),"-")</f>
        <v>-</v>
      </c>
      <c r="F184" s="168" t="s">
        <v>2</v>
      </c>
      <c r="G184" s="179">
        <f>COUNTIF(작성용!A:B,$A184)-COUNTIFS(작성용!A:A,$A184,작성용!AA:AA,"평가철회")</f>
        <v>0</v>
      </c>
    </row>
    <row r="185" spans="1:7" ht="16.5" customHeight="1" x14ac:dyDescent="0.3">
      <c r="A185" s="170" t="s">
        <v>578</v>
      </c>
      <c r="B185" s="165" t="s">
        <v>579</v>
      </c>
      <c r="C185" s="165" t="str">
        <f>IFERROR(VLOOKUP($A185,작성용!A:AL,14,0),"-")</f>
        <v>-</v>
      </c>
      <c r="D185" s="169" t="s">
        <v>220</v>
      </c>
      <c r="E185" s="167" t="str">
        <f>IFERROR(VLOOKUP(A185,작성용!A:AL,34,0),"-")</f>
        <v>-</v>
      </c>
      <c r="F185" s="168" t="s">
        <v>2</v>
      </c>
      <c r="G185" s="179">
        <f>COUNTIF(작성용!A:B,$A185)-COUNTIFS(작성용!A:A,$A185,작성용!AA:AA,"평가철회")</f>
        <v>0</v>
      </c>
    </row>
    <row r="186" spans="1:7" ht="16.5" customHeight="1" x14ac:dyDescent="0.3">
      <c r="A186" s="170" t="s">
        <v>580</v>
      </c>
      <c r="B186" s="165" t="s">
        <v>275</v>
      </c>
      <c r="C186" s="165" t="str">
        <f>IFERROR(VLOOKUP($A186,작성용!A:AL,14,0),"-")</f>
        <v>-</v>
      </c>
      <c r="D186" s="169" t="s">
        <v>220</v>
      </c>
      <c r="E186" s="167" t="str">
        <f>IFERROR(VLOOKUP(A186,작성용!A:AL,34,0),"-")</f>
        <v>-</v>
      </c>
      <c r="F186" s="168" t="s">
        <v>6270</v>
      </c>
      <c r="G186" s="179">
        <f>COUNTIF(작성용!A:B,$A186)-COUNTIFS(작성용!A:A,$A186,작성용!AA:AA,"평가철회")</f>
        <v>0</v>
      </c>
    </row>
    <row r="187" spans="1:7" ht="16.5" customHeight="1" x14ac:dyDescent="0.3">
      <c r="A187" s="170" t="s">
        <v>581</v>
      </c>
      <c r="B187" s="165" t="s">
        <v>582</v>
      </c>
      <c r="C187" s="165" t="str">
        <f>IFERROR(VLOOKUP($A187,작성용!A:AL,14,0),"-")</f>
        <v>-</v>
      </c>
      <c r="D187" s="169" t="s">
        <v>6338</v>
      </c>
      <c r="E187" s="167" t="str">
        <f>IFERROR(VLOOKUP(A187,작성용!A:AL,34,0),"-")</f>
        <v>-</v>
      </c>
      <c r="F187" s="168" t="s">
        <v>6331</v>
      </c>
      <c r="G187" s="179">
        <f>COUNTIF(작성용!A:B,$A187)-COUNTIFS(작성용!A:A,$A187,작성용!AA:AA,"평가철회")</f>
        <v>0</v>
      </c>
    </row>
    <row r="188" spans="1:7" ht="16.5" customHeight="1" x14ac:dyDescent="0.3">
      <c r="A188" s="170" t="s">
        <v>584</v>
      </c>
      <c r="B188" s="165" t="s">
        <v>585</v>
      </c>
      <c r="C188" s="165" t="str">
        <f>IFERROR(VLOOKUP($A188,작성용!A:AL,14,0),"-")</f>
        <v>-</v>
      </c>
      <c r="D188" s="169" t="s">
        <v>13</v>
      </c>
      <c r="E188" s="167" t="str">
        <f>IFERROR(VLOOKUP(A188,작성용!A:AL,34,0),"-")</f>
        <v>-</v>
      </c>
      <c r="F188" s="168" t="s">
        <v>2</v>
      </c>
      <c r="G188" s="179">
        <f>COUNTIF(작성용!A:B,$A188)-COUNTIFS(작성용!A:A,$A188,작성용!AA:AA,"평가철회")</f>
        <v>0</v>
      </c>
    </row>
    <row r="189" spans="1:7" ht="16.5" customHeight="1" x14ac:dyDescent="0.3">
      <c r="A189" s="170" t="s">
        <v>586</v>
      </c>
      <c r="B189" s="165" t="s">
        <v>587</v>
      </c>
      <c r="C189" s="165" t="str">
        <f>IFERROR(VLOOKUP($A189,작성용!A:AL,14,0),"-")</f>
        <v>-</v>
      </c>
      <c r="D189" s="169" t="s">
        <v>220</v>
      </c>
      <c r="E189" s="167" t="str">
        <f>IFERROR(VLOOKUP(A189,작성용!A:AL,34,0),"-")</f>
        <v>-</v>
      </c>
      <c r="F189" s="168" t="s">
        <v>2</v>
      </c>
      <c r="G189" s="179">
        <f>COUNTIF(작성용!A:B,$A189)-COUNTIFS(작성용!A:A,$A189,작성용!AA:AA,"평가철회")</f>
        <v>0</v>
      </c>
    </row>
    <row r="190" spans="1:7" ht="16.5" customHeight="1" x14ac:dyDescent="0.3">
      <c r="A190" s="170" t="s">
        <v>588</v>
      </c>
      <c r="B190" s="165" t="s">
        <v>589</v>
      </c>
      <c r="C190" s="165" t="str">
        <f>IFERROR(VLOOKUP($A190,작성용!A:AL,14,0),"-")</f>
        <v>-</v>
      </c>
      <c r="D190" s="169" t="s">
        <v>220</v>
      </c>
      <c r="E190" s="167" t="str">
        <f>IFERROR(VLOOKUP(A190,작성용!A:AL,34,0),"-")</f>
        <v>-</v>
      </c>
      <c r="F190" s="168" t="s">
        <v>2</v>
      </c>
      <c r="G190" s="179">
        <f>COUNTIF(작성용!A:B,$A190)-COUNTIFS(작성용!A:A,$A190,작성용!AA:AA,"평가철회")</f>
        <v>0</v>
      </c>
    </row>
    <row r="191" spans="1:7" ht="16.5" customHeight="1" x14ac:dyDescent="0.3">
      <c r="A191" s="170" t="s">
        <v>590</v>
      </c>
      <c r="B191" s="165" t="s">
        <v>591</v>
      </c>
      <c r="C191" s="165" t="str">
        <f>IFERROR(VLOOKUP($A191,작성용!A:AL,14,0),"-")</f>
        <v>-</v>
      </c>
      <c r="D191" s="169" t="s">
        <v>592</v>
      </c>
      <c r="E191" s="167" t="str">
        <f>IFERROR(VLOOKUP(A191,작성용!A:AL,34,0),"-")</f>
        <v>-</v>
      </c>
      <c r="F191" s="168" t="s">
        <v>2</v>
      </c>
      <c r="G191" s="179">
        <f>COUNTIF(작성용!A:B,$A191)-COUNTIFS(작성용!A:A,$A191,작성용!AA:AA,"평가철회")</f>
        <v>0</v>
      </c>
    </row>
    <row r="192" spans="1:7" ht="16.5" customHeight="1" x14ac:dyDescent="0.3">
      <c r="A192" s="170" t="s">
        <v>594</v>
      </c>
      <c r="B192" s="165" t="s">
        <v>595</v>
      </c>
      <c r="C192" s="165" t="str">
        <f>IFERROR(VLOOKUP($A192,작성용!A:AL,14,0),"-")</f>
        <v>-</v>
      </c>
      <c r="D192" s="169" t="s">
        <v>273</v>
      </c>
      <c r="E192" s="167" t="str">
        <f>IFERROR(VLOOKUP(A192,작성용!A:AL,34,0),"-")</f>
        <v>-</v>
      </c>
      <c r="F192" s="168" t="s">
        <v>2</v>
      </c>
      <c r="G192" s="179">
        <f>COUNTIF(작성용!A:B,$A192)-COUNTIFS(작성용!A:A,$A192,작성용!AA:AA,"평가철회")</f>
        <v>0</v>
      </c>
    </row>
    <row r="193" spans="1:7" ht="16.5" customHeight="1" x14ac:dyDescent="0.3">
      <c r="A193" s="170" t="s">
        <v>596</v>
      </c>
      <c r="B193" s="165" t="s">
        <v>6360</v>
      </c>
      <c r="C193" s="165" t="str">
        <f>IFERROR(VLOOKUP($A193,작성용!A:AL,14,0),"-")</f>
        <v>-</v>
      </c>
      <c r="D193" s="169" t="s">
        <v>6351</v>
      </c>
      <c r="E193" s="167" t="str">
        <f>IFERROR(VLOOKUP(A193,작성용!A:AL,34,0),"-")</f>
        <v>-</v>
      </c>
      <c r="F193" s="168" t="s">
        <v>6335</v>
      </c>
      <c r="G193" s="179">
        <f>COUNTIF(작성용!A:B,$A193)-COUNTIFS(작성용!A:A,$A193,작성용!AA:AA,"평가철회")</f>
        <v>0</v>
      </c>
    </row>
    <row r="194" spans="1:7" ht="16.5" customHeight="1" x14ac:dyDescent="0.3">
      <c r="A194" s="170" t="s">
        <v>597</v>
      </c>
      <c r="B194" s="165" t="s">
        <v>598</v>
      </c>
      <c r="C194" s="165" t="str">
        <f>IFERROR(VLOOKUP($A194,작성용!A:AL,14,0),"-")</f>
        <v>-</v>
      </c>
      <c r="D194" s="169" t="s">
        <v>220</v>
      </c>
      <c r="E194" s="167" t="str">
        <f>IFERROR(VLOOKUP(A194,작성용!A:AL,34,0),"-")</f>
        <v>-</v>
      </c>
      <c r="F194" s="168" t="s">
        <v>6336</v>
      </c>
      <c r="G194" s="179">
        <f>COUNTIF(작성용!A:B,$A194)-COUNTIFS(작성용!A:A,$A194,작성용!AA:AA,"평가철회")</f>
        <v>0</v>
      </c>
    </row>
    <row r="195" spans="1:7" ht="16.5" customHeight="1" x14ac:dyDescent="0.3">
      <c r="A195" s="170" t="s">
        <v>599</v>
      </c>
      <c r="B195" s="165" t="s">
        <v>600</v>
      </c>
      <c r="C195" s="165" t="str">
        <f>IFERROR(VLOOKUP($A195,작성용!A:AL,14,0),"-")</f>
        <v>-</v>
      </c>
      <c r="D195" s="169" t="s">
        <v>220</v>
      </c>
      <c r="E195" s="167" t="str">
        <f>IFERROR(VLOOKUP(A195,작성용!A:AL,34,0),"-")</f>
        <v>-</v>
      </c>
      <c r="F195" s="168" t="s">
        <v>2</v>
      </c>
      <c r="G195" s="179">
        <f>COUNTIF(작성용!A:B,$A195)-COUNTIFS(작성용!A:A,$A195,작성용!AA:AA,"평가철회")</f>
        <v>0</v>
      </c>
    </row>
    <row r="196" spans="1:7" ht="16.5" customHeight="1" x14ac:dyDescent="0.3">
      <c r="A196" s="170" t="s">
        <v>601</v>
      </c>
      <c r="B196" s="165" t="s">
        <v>602</v>
      </c>
      <c r="C196" s="165" t="str">
        <f>IFERROR(VLOOKUP($A196,작성용!A:AL,14,0),"-")</f>
        <v>-</v>
      </c>
      <c r="D196" s="169" t="s">
        <v>220</v>
      </c>
      <c r="E196" s="167" t="str">
        <f>IFERROR(VLOOKUP(A196,작성용!A:AL,34,0),"-")</f>
        <v>-</v>
      </c>
      <c r="F196" s="168" t="s">
        <v>6336</v>
      </c>
      <c r="G196" s="179">
        <f>COUNTIF(작성용!A:B,$A196)-COUNTIFS(작성용!A:A,$A196,작성용!AA:AA,"평가철회")</f>
        <v>0</v>
      </c>
    </row>
    <row r="197" spans="1:7" ht="16.5" customHeight="1" x14ac:dyDescent="0.3">
      <c r="A197" s="170" t="s">
        <v>603</v>
      </c>
      <c r="B197" s="165" t="s">
        <v>604</v>
      </c>
      <c r="C197" s="165" t="str">
        <f>IFERROR(VLOOKUP($A197,작성용!A:AL,14,0),"-")</f>
        <v>-</v>
      </c>
      <c r="D197" s="169" t="s">
        <v>498</v>
      </c>
      <c r="E197" s="167" t="str">
        <f>IFERROR(VLOOKUP(A197,작성용!A:AL,34,0),"-")</f>
        <v>-</v>
      </c>
      <c r="F197" s="168" t="s">
        <v>2</v>
      </c>
      <c r="G197" s="179">
        <f>COUNTIF(작성용!A:B,$A197)-COUNTIFS(작성용!A:A,$A197,작성용!AA:AA,"평가철회")</f>
        <v>0</v>
      </c>
    </row>
    <row r="198" spans="1:7" ht="16.5" customHeight="1" x14ac:dyDescent="0.3">
      <c r="A198" s="170" t="s">
        <v>605</v>
      </c>
      <c r="B198" s="165" t="s">
        <v>606</v>
      </c>
      <c r="C198" s="165" t="str">
        <f>IFERROR(VLOOKUP($A198,작성용!A:AL,14,0),"-")</f>
        <v>-</v>
      </c>
      <c r="D198" s="169" t="s">
        <v>220</v>
      </c>
      <c r="E198" s="167" t="str">
        <f>IFERROR(VLOOKUP(A198,작성용!A:AL,34,0),"-")</f>
        <v>-</v>
      </c>
      <c r="F198" s="168" t="s">
        <v>2</v>
      </c>
      <c r="G198" s="179">
        <f>COUNTIF(작성용!A:B,$A198)-COUNTIFS(작성용!A:A,$A198,작성용!AA:AA,"평가철회")</f>
        <v>0</v>
      </c>
    </row>
    <row r="199" spans="1:7" ht="16.5" customHeight="1" x14ac:dyDescent="0.3">
      <c r="A199" s="170" t="s">
        <v>607</v>
      </c>
      <c r="B199" s="165" t="s">
        <v>608</v>
      </c>
      <c r="C199" s="165" t="str">
        <f>IFERROR(VLOOKUP($A199,작성용!A:AL,14,0),"-")</f>
        <v>-</v>
      </c>
      <c r="D199" s="169" t="s">
        <v>220</v>
      </c>
      <c r="E199" s="167" t="str">
        <f>IFERROR(VLOOKUP(A199,작성용!A:AL,34,0),"-")</f>
        <v>-</v>
      </c>
      <c r="F199" s="168" t="s">
        <v>2</v>
      </c>
      <c r="G199" s="179">
        <f>COUNTIF(작성용!A:B,$A199)-COUNTIFS(작성용!A:A,$A199,작성용!AA:AA,"평가철회")</f>
        <v>0</v>
      </c>
    </row>
    <row r="200" spans="1:7" ht="16.5" customHeight="1" x14ac:dyDescent="0.3">
      <c r="A200" s="170" t="s">
        <v>609</v>
      </c>
      <c r="B200" s="165" t="s">
        <v>610</v>
      </c>
      <c r="C200" s="165" t="str">
        <f>IFERROR(VLOOKUP($A200,작성용!A:AL,14,0),"-")</f>
        <v>-</v>
      </c>
      <c r="D200" s="169" t="s">
        <v>220</v>
      </c>
      <c r="E200" s="167" t="str">
        <f>IFERROR(VLOOKUP(A200,작성용!A:AL,34,0),"-")</f>
        <v>-</v>
      </c>
      <c r="F200" s="168" t="s">
        <v>2</v>
      </c>
      <c r="G200" s="179">
        <f>COUNTIF(작성용!A:B,$A200)-COUNTIFS(작성용!A:A,$A200,작성용!AA:AA,"평가철회")</f>
        <v>0</v>
      </c>
    </row>
    <row r="201" spans="1:7" ht="16.5" customHeight="1" x14ac:dyDescent="0.3">
      <c r="A201" s="170" t="s">
        <v>611</v>
      </c>
      <c r="B201" s="165" t="s">
        <v>612</v>
      </c>
      <c r="C201" s="165" t="str">
        <f>IFERROR(VLOOKUP($A201,작성용!A:AL,14,0),"-")</f>
        <v>-</v>
      </c>
      <c r="D201" s="169" t="s">
        <v>6361</v>
      </c>
      <c r="E201" s="167" t="str">
        <f>IFERROR(VLOOKUP(A201,작성용!A:AL,34,0),"-")</f>
        <v>-</v>
      </c>
      <c r="F201" s="168" t="s">
        <v>6331</v>
      </c>
      <c r="G201" s="179">
        <f>COUNTIF(작성용!A:B,$A201)-COUNTIFS(작성용!A:A,$A201,작성용!AA:AA,"평가철회")</f>
        <v>0</v>
      </c>
    </row>
    <row r="202" spans="1:7" ht="16.5" customHeight="1" x14ac:dyDescent="0.3">
      <c r="A202" s="170" t="s">
        <v>613</v>
      </c>
      <c r="B202" s="165" t="s">
        <v>614</v>
      </c>
      <c r="C202" s="165" t="str">
        <f>IFERROR(VLOOKUP($A202,작성용!A:AL,14,0),"-")</f>
        <v>-</v>
      </c>
      <c r="D202" s="169" t="s">
        <v>6319</v>
      </c>
      <c r="E202" s="167" t="str">
        <f>IFERROR(VLOOKUP(A202,작성용!A:AL,34,0),"-")</f>
        <v>-</v>
      </c>
      <c r="F202" s="168" t="s">
        <v>2</v>
      </c>
      <c r="G202" s="179">
        <f>COUNTIF(작성용!A:B,$A202)-COUNTIFS(작성용!A:A,$A202,작성용!AA:AA,"평가철회")</f>
        <v>0</v>
      </c>
    </row>
    <row r="203" spans="1:7" ht="16.5" customHeight="1" x14ac:dyDescent="0.3">
      <c r="A203" s="170" t="s">
        <v>615</v>
      </c>
      <c r="B203" s="165" t="s">
        <v>616</v>
      </c>
      <c r="C203" s="165" t="str">
        <f>IFERROR(VLOOKUP($A203,작성용!A:AL,14,0),"-")</f>
        <v>-</v>
      </c>
      <c r="D203" s="169" t="s">
        <v>220</v>
      </c>
      <c r="E203" s="167" t="str">
        <f>IFERROR(VLOOKUP(A203,작성용!A:AL,34,0),"-")</f>
        <v>-</v>
      </c>
      <c r="F203" s="168" t="s">
        <v>2</v>
      </c>
      <c r="G203" s="179">
        <f>COUNTIF(작성용!A:B,$A203)-COUNTIFS(작성용!A:A,$A203,작성용!AA:AA,"평가철회")</f>
        <v>0</v>
      </c>
    </row>
    <row r="204" spans="1:7" ht="16.5" customHeight="1" x14ac:dyDescent="0.3">
      <c r="A204" s="170" t="s">
        <v>617</v>
      </c>
      <c r="B204" s="165" t="s">
        <v>618</v>
      </c>
      <c r="C204" s="165" t="str">
        <f>IFERROR(VLOOKUP($A204,작성용!A:AL,14,0),"-")</f>
        <v>-</v>
      </c>
      <c r="D204" s="169" t="s">
        <v>220</v>
      </c>
      <c r="E204" s="167" t="str">
        <f>IFERROR(VLOOKUP(A204,작성용!A:AL,34,0),"-")</f>
        <v>-</v>
      </c>
      <c r="F204" s="168" t="s">
        <v>2</v>
      </c>
      <c r="G204" s="179">
        <f>COUNTIF(작성용!A:B,$A204)-COUNTIFS(작성용!A:A,$A204,작성용!AA:AA,"평가철회")</f>
        <v>0</v>
      </c>
    </row>
    <row r="205" spans="1:7" ht="16.5" customHeight="1" x14ac:dyDescent="0.3">
      <c r="A205" s="170" t="s">
        <v>619</v>
      </c>
      <c r="B205" s="165" t="s">
        <v>620</v>
      </c>
      <c r="C205" s="165" t="str">
        <f>IFERROR(VLOOKUP($A205,작성용!A:AL,14,0),"-")</f>
        <v>-</v>
      </c>
      <c r="D205" s="169" t="s">
        <v>247</v>
      </c>
      <c r="E205" s="167" t="str">
        <f>IFERROR(VLOOKUP(A205,작성용!A:AL,34,0),"-")</f>
        <v>-</v>
      </c>
      <c r="F205" s="168" t="s">
        <v>2</v>
      </c>
      <c r="G205" s="179">
        <f>COUNTIF(작성용!A:B,$A205)-COUNTIFS(작성용!A:A,$A205,작성용!AA:AA,"평가철회")</f>
        <v>0</v>
      </c>
    </row>
    <row r="206" spans="1:7" ht="16.5" customHeight="1" x14ac:dyDescent="0.3">
      <c r="A206" s="170" t="s">
        <v>621</v>
      </c>
      <c r="B206" s="165" t="s">
        <v>622</v>
      </c>
      <c r="C206" s="165" t="str">
        <f>IFERROR(VLOOKUP($A206,작성용!A:AL,14,0),"-")</f>
        <v>-</v>
      </c>
      <c r="D206" s="169" t="s">
        <v>498</v>
      </c>
      <c r="E206" s="167" t="str">
        <f>IFERROR(VLOOKUP(A206,작성용!A:AL,34,0),"-")</f>
        <v>-</v>
      </c>
      <c r="F206" s="168" t="s">
        <v>6335</v>
      </c>
      <c r="G206" s="179">
        <f>COUNTIF(작성용!A:B,$A206)-COUNTIFS(작성용!A:A,$A206,작성용!AA:AA,"평가철회")</f>
        <v>0</v>
      </c>
    </row>
    <row r="207" spans="1:7" ht="16.5" customHeight="1" x14ac:dyDescent="0.3">
      <c r="A207" s="170" t="s">
        <v>623</v>
      </c>
      <c r="B207" s="165" t="s">
        <v>624</v>
      </c>
      <c r="C207" s="165" t="str">
        <f>IFERROR(VLOOKUP($A207,작성용!A:AL,14,0),"-")</f>
        <v>-</v>
      </c>
      <c r="D207" s="169" t="s">
        <v>220</v>
      </c>
      <c r="E207" s="167" t="str">
        <f>IFERROR(VLOOKUP(A207,작성용!A:AL,34,0),"-")</f>
        <v>-</v>
      </c>
      <c r="F207" s="168" t="s">
        <v>2</v>
      </c>
      <c r="G207" s="179">
        <f>COUNTIF(작성용!A:B,$A207)-COUNTIFS(작성용!A:A,$A207,작성용!AA:AA,"평가철회")</f>
        <v>0</v>
      </c>
    </row>
    <row r="208" spans="1:7" ht="16.5" customHeight="1" x14ac:dyDescent="0.3">
      <c r="A208" s="170" t="s">
        <v>625</v>
      </c>
      <c r="B208" s="165" t="s">
        <v>626</v>
      </c>
      <c r="C208" s="165" t="str">
        <f>IFERROR(VLOOKUP($A208,작성용!A:AL,14,0),"-")</f>
        <v>-</v>
      </c>
      <c r="D208" s="169" t="s">
        <v>6362</v>
      </c>
      <c r="E208" s="167" t="str">
        <f>IFERROR(VLOOKUP(A208,작성용!A:AL,34,0),"-")</f>
        <v>-</v>
      </c>
      <c r="F208" s="168" t="s">
        <v>6270</v>
      </c>
      <c r="G208" s="179">
        <f>COUNTIF(작성용!A:B,$A208)-COUNTIFS(작성용!A:A,$A208,작성용!AA:AA,"평가철회")</f>
        <v>0</v>
      </c>
    </row>
    <row r="209" spans="1:7" ht="16.5" customHeight="1" x14ac:dyDescent="0.3">
      <c r="A209" s="170" t="s">
        <v>627</v>
      </c>
      <c r="B209" s="165" t="s">
        <v>628</v>
      </c>
      <c r="C209" s="165" t="str">
        <f>IFERROR(VLOOKUP($A209,작성용!A:AL,14,0),"-")</f>
        <v>연말</v>
      </c>
      <c r="D209" s="169" t="s">
        <v>6355</v>
      </c>
      <c r="E209" s="167" t="str">
        <f>IFERROR(VLOOKUP(A209,작성용!A:AL,34,0),"-")</f>
        <v>김예림</v>
      </c>
      <c r="F209" s="168" t="s">
        <v>6335</v>
      </c>
      <c r="G209" s="179">
        <f>COUNTIF(작성용!A:B,$A209)-COUNTIFS(작성용!A:A,$A209,작성용!AA:AA,"평가철회")</f>
        <v>7</v>
      </c>
    </row>
    <row r="210" spans="1:7" ht="16.5" customHeight="1" x14ac:dyDescent="0.3">
      <c r="A210" s="170" t="s">
        <v>629</v>
      </c>
      <c r="B210" s="165" t="s">
        <v>630</v>
      </c>
      <c r="C210" s="165" t="str">
        <f>IFERROR(VLOOKUP($A210,작성용!A:AL,14,0),"-")</f>
        <v>-</v>
      </c>
      <c r="D210" s="169" t="s">
        <v>6341</v>
      </c>
      <c r="E210" s="167" t="str">
        <f>IFERROR(VLOOKUP(A210,작성용!A:AL,34,0),"-")</f>
        <v>-</v>
      </c>
      <c r="F210" s="168" t="s">
        <v>6336</v>
      </c>
      <c r="G210" s="179">
        <f>COUNTIF(작성용!A:B,$A210)-COUNTIFS(작성용!A:A,$A210,작성용!AA:AA,"평가철회")</f>
        <v>0</v>
      </c>
    </row>
    <row r="211" spans="1:7" ht="16.5" customHeight="1" x14ac:dyDescent="0.3">
      <c r="A211" s="170" t="s">
        <v>631</v>
      </c>
      <c r="B211" s="165" t="s">
        <v>632</v>
      </c>
      <c r="C211" s="165" t="str">
        <f>IFERROR(VLOOKUP($A211,작성용!A:AL,14,0),"-")</f>
        <v>-</v>
      </c>
      <c r="D211" s="172" t="s">
        <v>6310</v>
      </c>
      <c r="E211" s="167" t="str">
        <f>IFERROR(VLOOKUP(A211,작성용!A:AL,34,0),"-")</f>
        <v>-</v>
      </c>
      <c r="F211" s="168" t="s">
        <v>6335</v>
      </c>
      <c r="G211" s="179">
        <f>COUNTIF(작성용!A:B,$A211)-COUNTIFS(작성용!A:A,$A211,작성용!AA:AA,"평가철회")</f>
        <v>0</v>
      </c>
    </row>
    <row r="212" spans="1:7" ht="16.5" customHeight="1" x14ac:dyDescent="0.3">
      <c r="A212" s="170" t="s">
        <v>18</v>
      </c>
      <c r="B212" s="165" t="s">
        <v>19</v>
      </c>
      <c r="C212" s="165" t="str">
        <f>IFERROR(VLOOKUP($A212,작성용!A:AL,14,0),"-")</f>
        <v>-</v>
      </c>
      <c r="D212" s="169" t="s">
        <v>6334</v>
      </c>
      <c r="E212" s="167" t="str">
        <f>IFERROR(VLOOKUP(A212,작성용!A:AL,34,0),"-")</f>
        <v>-</v>
      </c>
      <c r="F212" s="168" t="s">
        <v>6283</v>
      </c>
      <c r="G212" s="179">
        <f>COUNTIF(작성용!A:B,$A212)-COUNTIFS(작성용!A:A,$A212,작성용!AA:AA,"평가철회")</f>
        <v>0</v>
      </c>
    </row>
    <row r="213" spans="1:7" ht="16.5" customHeight="1" x14ac:dyDescent="0.3">
      <c r="A213" s="170" t="s">
        <v>633</v>
      </c>
      <c r="B213" s="165" t="s">
        <v>634</v>
      </c>
      <c r="C213" s="165" t="str">
        <f>IFERROR(VLOOKUP($A213,작성용!A:AL,14,0),"-")</f>
        <v>-</v>
      </c>
      <c r="D213" s="169" t="s">
        <v>635</v>
      </c>
      <c r="E213" s="167" t="str">
        <f>IFERROR(VLOOKUP(A213,작성용!A:AL,34,0),"-")</f>
        <v>-</v>
      </c>
      <c r="F213" s="168" t="s">
        <v>2</v>
      </c>
      <c r="G213" s="179">
        <f>COUNTIF(작성용!A:B,$A213)-COUNTIFS(작성용!A:A,$A213,작성용!AA:AA,"평가철회")</f>
        <v>0</v>
      </c>
    </row>
    <row r="214" spans="1:7" ht="16.5" customHeight="1" x14ac:dyDescent="0.3">
      <c r="A214" s="170" t="s">
        <v>636</v>
      </c>
      <c r="B214" s="165" t="s">
        <v>637</v>
      </c>
      <c r="C214" s="165" t="str">
        <f>IFERROR(VLOOKUP($A214,작성용!A:AL,14,0),"-")</f>
        <v>-</v>
      </c>
      <c r="D214" s="169" t="s">
        <v>463</v>
      </c>
      <c r="E214" s="167" t="str">
        <f>IFERROR(VLOOKUP(A214,작성용!A:AL,34,0),"-")</f>
        <v>-</v>
      </c>
      <c r="F214" s="168" t="s">
        <v>6283</v>
      </c>
      <c r="G214" s="179">
        <f>COUNTIF(작성용!A:B,$A214)-COUNTIFS(작성용!A:A,$A214,작성용!AA:AA,"평가철회")</f>
        <v>0</v>
      </c>
    </row>
    <row r="215" spans="1:7" ht="16.5" customHeight="1" x14ac:dyDescent="0.3">
      <c r="A215" s="170" t="s">
        <v>638</v>
      </c>
      <c r="B215" s="165" t="s">
        <v>639</v>
      </c>
      <c r="C215" s="165" t="str">
        <f>IFERROR(VLOOKUP($A215,작성용!A:AL,14,0),"-")</f>
        <v>-</v>
      </c>
      <c r="D215" s="169" t="s">
        <v>640</v>
      </c>
      <c r="E215" s="167" t="str">
        <f>IFERROR(VLOOKUP(A215,작성용!A:AL,34,0),"-")</f>
        <v>-</v>
      </c>
      <c r="F215" s="168" t="s">
        <v>6336</v>
      </c>
      <c r="G215" s="179">
        <f>COUNTIF(작성용!A:B,$A215)-COUNTIFS(작성용!A:A,$A215,작성용!AA:AA,"평가철회")</f>
        <v>0</v>
      </c>
    </row>
    <row r="216" spans="1:7" ht="16.5" customHeight="1" x14ac:dyDescent="0.3">
      <c r="A216" s="170" t="s">
        <v>641</v>
      </c>
      <c r="B216" s="165" t="s">
        <v>642</v>
      </c>
      <c r="C216" s="165" t="str">
        <f>IFERROR(VLOOKUP($A216,작성용!A:AL,14,0),"-")</f>
        <v>-</v>
      </c>
      <c r="D216" s="169" t="s">
        <v>643</v>
      </c>
      <c r="E216" s="167" t="str">
        <f>IFERROR(VLOOKUP(A216,작성용!A:AL,34,0),"-")</f>
        <v>-</v>
      </c>
      <c r="F216" s="168" t="s">
        <v>2</v>
      </c>
      <c r="G216" s="179">
        <f>COUNTIF(작성용!A:B,$A216)-COUNTIFS(작성용!A:A,$A216,작성용!AA:AA,"평가철회")</f>
        <v>0</v>
      </c>
    </row>
    <row r="217" spans="1:7" ht="16.5" customHeight="1" x14ac:dyDescent="0.3">
      <c r="A217" s="170" t="s">
        <v>644</v>
      </c>
      <c r="B217" s="165" t="s">
        <v>645</v>
      </c>
      <c r="C217" s="165" t="str">
        <f>IFERROR(VLOOKUP($A217,작성용!A:AL,14,0),"-")</f>
        <v>-</v>
      </c>
      <c r="D217" s="169" t="s">
        <v>247</v>
      </c>
      <c r="E217" s="167" t="str">
        <f>IFERROR(VLOOKUP(A217,작성용!A:AL,34,0),"-")</f>
        <v>-</v>
      </c>
      <c r="F217" s="168" t="s">
        <v>2</v>
      </c>
      <c r="G217" s="179">
        <f>COUNTIF(작성용!A:B,$A217)-COUNTIFS(작성용!A:A,$A217,작성용!AA:AA,"평가철회")</f>
        <v>0</v>
      </c>
    </row>
    <row r="218" spans="1:7" ht="16.5" customHeight="1" x14ac:dyDescent="0.3">
      <c r="A218" s="170" t="s">
        <v>646</v>
      </c>
      <c r="B218" s="165" t="s">
        <v>647</v>
      </c>
      <c r="C218" s="165" t="str">
        <f>IFERROR(VLOOKUP($A218,작성용!A:AL,14,0),"-")</f>
        <v>-</v>
      </c>
      <c r="D218" s="169" t="s">
        <v>336</v>
      </c>
      <c r="E218" s="167" t="str">
        <f>IFERROR(VLOOKUP(A218,작성용!A:AL,34,0),"-")</f>
        <v>-</v>
      </c>
      <c r="F218" s="168" t="s">
        <v>2</v>
      </c>
      <c r="G218" s="179">
        <f>COUNTIF(작성용!A:B,$A218)-COUNTIFS(작성용!A:A,$A218,작성용!AA:AA,"평가철회")</f>
        <v>0</v>
      </c>
    </row>
    <row r="219" spans="1:7" ht="16.5" customHeight="1" x14ac:dyDescent="0.3">
      <c r="A219" s="170" t="s">
        <v>648</v>
      </c>
      <c r="B219" s="165" t="s">
        <v>649</v>
      </c>
      <c r="C219" s="165" t="str">
        <f>IFERROR(VLOOKUP($A219,작성용!A:AL,14,0),"-")</f>
        <v>-</v>
      </c>
      <c r="D219" s="169" t="s">
        <v>6363</v>
      </c>
      <c r="E219" s="167" t="str">
        <f>IFERROR(VLOOKUP(A219,작성용!A:AL,34,0),"-")</f>
        <v>-</v>
      </c>
      <c r="F219" s="168" t="s">
        <v>6336</v>
      </c>
      <c r="G219" s="179">
        <f>COUNTIF(작성용!A:B,$A219)-COUNTIFS(작성용!A:A,$A219,작성용!AA:AA,"평가철회")</f>
        <v>0</v>
      </c>
    </row>
    <row r="220" spans="1:7" ht="16.5" customHeight="1" x14ac:dyDescent="0.3">
      <c r="A220" s="170" t="s">
        <v>650</v>
      </c>
      <c r="B220" s="165" t="s">
        <v>651</v>
      </c>
      <c r="C220" s="165" t="str">
        <f>IFERROR(VLOOKUP($A220,작성용!A:AL,14,0),"-")</f>
        <v>-</v>
      </c>
      <c r="D220" s="169" t="s">
        <v>6364</v>
      </c>
      <c r="E220" s="167" t="str">
        <f>IFERROR(VLOOKUP(A220,작성용!A:AL,34,0),"-")</f>
        <v>-</v>
      </c>
      <c r="F220" s="168" t="s">
        <v>6342</v>
      </c>
      <c r="G220" s="179">
        <f>COUNTIF(작성용!A:B,$A220)-COUNTIFS(작성용!A:A,$A220,작성용!AA:AA,"평가철회")</f>
        <v>0</v>
      </c>
    </row>
    <row r="221" spans="1:7" ht="16.5" customHeight="1" x14ac:dyDescent="0.3">
      <c r="A221" s="170" t="s">
        <v>652</v>
      </c>
      <c r="B221" s="165" t="s">
        <v>653</v>
      </c>
      <c r="C221" s="165" t="str">
        <f>IFERROR(VLOOKUP($A221,작성용!A:AL,14,0),"-")</f>
        <v>-</v>
      </c>
      <c r="D221" s="169" t="s">
        <v>13</v>
      </c>
      <c r="E221" s="167" t="str">
        <f>IFERROR(VLOOKUP(A221,작성용!A:AL,34,0),"-")</f>
        <v>-</v>
      </c>
      <c r="F221" s="168" t="s">
        <v>2</v>
      </c>
      <c r="G221" s="179">
        <f>COUNTIF(작성용!A:B,$A221)-COUNTIFS(작성용!A:A,$A221,작성용!AA:AA,"평가철회")</f>
        <v>0</v>
      </c>
    </row>
    <row r="222" spans="1:7" ht="16.5" customHeight="1" x14ac:dyDescent="0.3">
      <c r="A222" s="170" t="s">
        <v>654</v>
      </c>
      <c r="B222" s="165" t="s">
        <v>655</v>
      </c>
      <c r="C222" s="165" t="str">
        <f>IFERROR(VLOOKUP($A222,작성용!A:AL,14,0),"-")</f>
        <v>-</v>
      </c>
      <c r="D222" s="169" t="s">
        <v>656</v>
      </c>
      <c r="E222" s="167" t="str">
        <f>IFERROR(VLOOKUP(A222,작성용!A:AL,34,0),"-")</f>
        <v>-</v>
      </c>
      <c r="F222" s="168" t="s">
        <v>2</v>
      </c>
      <c r="G222" s="179">
        <f>COUNTIF(작성용!A:B,$A222)-COUNTIFS(작성용!A:A,$A222,작성용!AA:AA,"평가철회")</f>
        <v>0</v>
      </c>
    </row>
    <row r="223" spans="1:7" ht="16.5" customHeight="1" x14ac:dyDescent="0.3">
      <c r="A223" s="170" t="s">
        <v>657</v>
      </c>
      <c r="B223" s="165" t="s">
        <v>6365</v>
      </c>
      <c r="C223" s="165" t="str">
        <f>IFERROR(VLOOKUP($A223,작성용!A:AL,14,0),"-")</f>
        <v>-</v>
      </c>
      <c r="D223" s="169" t="s">
        <v>6324</v>
      </c>
      <c r="E223" s="167" t="str">
        <f>IFERROR(VLOOKUP(A223,작성용!A:AL,34,0),"-")</f>
        <v>-</v>
      </c>
      <c r="F223" s="168" t="s">
        <v>6304</v>
      </c>
      <c r="G223" s="179">
        <f>COUNTIF(작성용!A:B,$A223)-COUNTIFS(작성용!A:A,$A223,작성용!AA:AA,"평가철회")</f>
        <v>0</v>
      </c>
    </row>
    <row r="224" spans="1:7" ht="16.5" customHeight="1" x14ac:dyDescent="0.3">
      <c r="A224" s="170" t="s">
        <v>658</v>
      </c>
      <c r="B224" s="165" t="s">
        <v>11</v>
      </c>
      <c r="C224" s="165" t="str">
        <f>IFERROR(VLOOKUP($A224,작성용!A:AL,14,0),"-")</f>
        <v>-</v>
      </c>
      <c r="D224" s="169" t="s">
        <v>6355</v>
      </c>
      <c r="E224" s="167" t="str">
        <f>IFERROR(VLOOKUP(A224,작성용!A:AL,34,0),"-")</f>
        <v>-</v>
      </c>
      <c r="F224" s="168" t="s">
        <v>6331</v>
      </c>
      <c r="G224" s="179">
        <f>COUNTIF(작성용!A:B,$A224)-COUNTIFS(작성용!A:A,$A224,작성용!AA:AA,"평가철회")</f>
        <v>0</v>
      </c>
    </row>
    <row r="225" spans="1:7" ht="16.5" customHeight="1" x14ac:dyDescent="0.3">
      <c r="A225" s="170" t="s">
        <v>659</v>
      </c>
      <c r="B225" s="165" t="s">
        <v>660</v>
      </c>
      <c r="C225" s="165" t="str">
        <f>IFERROR(VLOOKUP($A225,작성용!A:AL,14,0),"-")</f>
        <v>-</v>
      </c>
      <c r="D225" s="169" t="s">
        <v>2</v>
      </c>
      <c r="E225" s="167" t="str">
        <f>IFERROR(VLOOKUP(A225,작성용!A:AL,34,0),"-")</f>
        <v>-</v>
      </c>
      <c r="F225" s="168" t="s">
        <v>2</v>
      </c>
      <c r="G225" s="179">
        <f>COUNTIF(작성용!A:B,$A225)-COUNTIFS(작성용!A:A,$A225,작성용!AA:AA,"평가철회")</f>
        <v>0</v>
      </c>
    </row>
    <row r="226" spans="1:7" ht="16.5" customHeight="1" x14ac:dyDescent="0.3">
      <c r="A226" s="170" t="s">
        <v>661</v>
      </c>
      <c r="B226" s="165" t="s">
        <v>6366</v>
      </c>
      <c r="C226" s="165" t="str">
        <f>IFERROR(VLOOKUP($A226,작성용!A:AL,14,0),"-")</f>
        <v>-</v>
      </c>
      <c r="D226" s="169" t="s">
        <v>6351</v>
      </c>
      <c r="E226" s="167" t="str">
        <f>IFERROR(VLOOKUP(A226,작성용!A:AL,34,0),"-")</f>
        <v>-</v>
      </c>
      <c r="F226" s="168" t="s">
        <v>6335</v>
      </c>
      <c r="G226" s="179">
        <f>COUNTIF(작성용!A:B,$A226)-COUNTIFS(작성용!A:A,$A226,작성용!AA:AA,"평가철회")</f>
        <v>0</v>
      </c>
    </row>
    <row r="227" spans="1:7" ht="16.5" customHeight="1" x14ac:dyDescent="0.3">
      <c r="A227" s="170" t="s">
        <v>662</v>
      </c>
      <c r="B227" s="165" t="s">
        <v>663</v>
      </c>
      <c r="C227" s="165" t="str">
        <f>IFERROR(VLOOKUP($A227,작성용!A:AL,14,0),"-")</f>
        <v>-</v>
      </c>
      <c r="D227" s="169" t="s">
        <v>72</v>
      </c>
      <c r="E227" s="167" t="str">
        <f>IFERROR(VLOOKUP(A227,작성용!A:AL,34,0),"-")</f>
        <v>-</v>
      </c>
      <c r="F227" s="168" t="s">
        <v>6336</v>
      </c>
      <c r="G227" s="179">
        <f>COUNTIF(작성용!A:B,$A227)-COUNTIFS(작성용!A:A,$A227,작성용!AA:AA,"평가철회")</f>
        <v>0</v>
      </c>
    </row>
    <row r="228" spans="1:7" ht="16.5" customHeight="1" x14ac:dyDescent="0.3">
      <c r="A228" s="170" t="s">
        <v>664</v>
      </c>
      <c r="B228" s="165" t="s">
        <v>665</v>
      </c>
      <c r="C228" s="165" t="str">
        <f>IFERROR(VLOOKUP($A228,작성용!A:AL,14,0),"-")</f>
        <v>-</v>
      </c>
      <c r="D228" s="169" t="s">
        <v>6319</v>
      </c>
      <c r="E228" s="167" t="str">
        <f>IFERROR(VLOOKUP(A228,작성용!A:AL,34,0),"-")</f>
        <v>-</v>
      </c>
      <c r="F228" s="168" t="s">
        <v>6304</v>
      </c>
      <c r="G228" s="179">
        <f>COUNTIF(작성용!A:B,$A228)-COUNTIFS(작성용!A:A,$A228,작성용!AA:AA,"평가철회")</f>
        <v>0</v>
      </c>
    </row>
    <row r="229" spans="1:7" ht="16.5" customHeight="1" x14ac:dyDescent="0.3">
      <c r="A229" s="170" t="s">
        <v>666</v>
      </c>
      <c r="B229" s="165" t="s">
        <v>667</v>
      </c>
      <c r="C229" s="165" t="str">
        <f>IFERROR(VLOOKUP($A229,작성용!A:AL,14,0),"-")</f>
        <v>-</v>
      </c>
      <c r="D229" s="169" t="s">
        <v>244</v>
      </c>
      <c r="E229" s="167" t="str">
        <f>IFERROR(VLOOKUP(A229,작성용!A:AL,34,0),"-")</f>
        <v>-</v>
      </c>
      <c r="F229" s="168" t="s">
        <v>2</v>
      </c>
      <c r="G229" s="179">
        <f>COUNTIF(작성용!A:B,$A229)-COUNTIFS(작성용!A:A,$A229,작성용!AA:AA,"평가철회")</f>
        <v>0</v>
      </c>
    </row>
    <row r="230" spans="1:7" ht="16.5" customHeight="1" x14ac:dyDescent="0.3">
      <c r="A230" s="170" t="s">
        <v>668</v>
      </c>
      <c r="B230" s="165" t="s">
        <v>669</v>
      </c>
      <c r="C230" s="165" t="str">
        <f>IFERROR(VLOOKUP($A230,작성용!A:AL,14,0),"-")</f>
        <v>-</v>
      </c>
      <c r="D230" s="169" t="s">
        <v>239</v>
      </c>
      <c r="E230" s="167" t="str">
        <f>IFERROR(VLOOKUP(A230,작성용!A:AL,34,0),"-")</f>
        <v>-</v>
      </c>
      <c r="F230" s="168" t="s">
        <v>6331</v>
      </c>
      <c r="G230" s="179">
        <f>COUNTIF(작성용!A:B,$A230)-COUNTIFS(작성용!A:A,$A230,작성용!AA:AA,"평가철회")</f>
        <v>0</v>
      </c>
    </row>
    <row r="231" spans="1:7" ht="16.5" customHeight="1" x14ac:dyDescent="0.3">
      <c r="A231" s="170" t="s">
        <v>670</v>
      </c>
      <c r="B231" s="165" t="s">
        <v>6367</v>
      </c>
      <c r="C231" s="165" t="str">
        <f>IFERROR(VLOOKUP($A231,작성용!A:AL,14,0),"-")</f>
        <v>-</v>
      </c>
      <c r="D231" s="169" t="s">
        <v>6368</v>
      </c>
      <c r="E231" s="167" t="str">
        <f>IFERROR(VLOOKUP(A231,작성용!A:AL,34,0),"-")</f>
        <v>-</v>
      </c>
      <c r="F231" s="168" t="s">
        <v>6335</v>
      </c>
      <c r="G231" s="179">
        <f>COUNTIF(작성용!A:B,$A231)-COUNTIFS(작성용!A:A,$A231,작성용!AA:AA,"평가철회")</f>
        <v>0</v>
      </c>
    </row>
    <row r="232" spans="1:7" ht="16.5" customHeight="1" x14ac:dyDescent="0.3">
      <c r="A232" s="170" t="s">
        <v>671</v>
      </c>
      <c r="B232" s="165" t="s">
        <v>672</v>
      </c>
      <c r="C232" s="165" t="str">
        <f>IFERROR(VLOOKUP($A232,작성용!A:AL,14,0),"-")</f>
        <v>-</v>
      </c>
      <c r="D232" s="169" t="s">
        <v>2</v>
      </c>
      <c r="E232" s="167" t="str">
        <f>IFERROR(VLOOKUP(A232,작성용!A:AL,34,0),"-")</f>
        <v>-</v>
      </c>
      <c r="F232" s="168" t="s">
        <v>2</v>
      </c>
      <c r="G232" s="179">
        <f>COUNTIF(작성용!A:B,$A232)-COUNTIFS(작성용!A:A,$A232,작성용!AA:AA,"평가철회")</f>
        <v>0</v>
      </c>
    </row>
    <row r="233" spans="1:7" ht="16.5" customHeight="1" x14ac:dyDescent="0.3">
      <c r="A233" s="170" t="s">
        <v>673</v>
      </c>
      <c r="B233" s="165" t="s">
        <v>674</v>
      </c>
      <c r="C233" s="165" t="str">
        <f>IFERROR(VLOOKUP($A233,작성용!A:AL,14,0),"-")</f>
        <v>-</v>
      </c>
      <c r="D233" s="169" t="s">
        <v>73</v>
      </c>
      <c r="E233" s="167" t="str">
        <f>IFERROR(VLOOKUP(A233,작성용!A:AL,34,0),"-")</f>
        <v>-</v>
      </c>
      <c r="F233" s="168" t="s">
        <v>2</v>
      </c>
      <c r="G233" s="179">
        <f>COUNTIF(작성용!A:B,$A233)-COUNTIFS(작성용!A:A,$A233,작성용!AA:AA,"평가철회")</f>
        <v>0</v>
      </c>
    </row>
    <row r="234" spans="1:7" ht="16.5" customHeight="1" x14ac:dyDescent="0.3">
      <c r="A234" s="170" t="s">
        <v>675</v>
      </c>
      <c r="B234" s="165" t="s">
        <v>676</v>
      </c>
      <c r="C234" s="165" t="str">
        <f>IFERROR(VLOOKUP($A234,작성용!A:AL,14,0),"-")</f>
        <v>-</v>
      </c>
      <c r="D234" s="169" t="s">
        <v>2</v>
      </c>
      <c r="E234" s="167" t="str">
        <f>IFERROR(VLOOKUP(A234,작성용!A:AL,34,0),"-")</f>
        <v>-</v>
      </c>
      <c r="F234" s="168" t="s">
        <v>2</v>
      </c>
      <c r="G234" s="179">
        <f>COUNTIF(작성용!A:B,$A234)-COUNTIFS(작성용!A:A,$A234,작성용!AA:AA,"평가철회")</f>
        <v>0</v>
      </c>
    </row>
    <row r="235" spans="1:7" ht="16.5" customHeight="1" x14ac:dyDescent="0.3">
      <c r="A235" s="170" t="s">
        <v>677</v>
      </c>
      <c r="B235" s="165" t="s">
        <v>678</v>
      </c>
      <c r="C235" s="165" t="str">
        <f>IFERROR(VLOOKUP($A235,작성용!A:AL,14,0),"-")</f>
        <v>-</v>
      </c>
      <c r="D235" s="169" t="s">
        <v>6361</v>
      </c>
      <c r="E235" s="167" t="str">
        <f>IFERROR(VLOOKUP(A235,작성용!A:AL,34,0),"-")</f>
        <v>-</v>
      </c>
      <c r="F235" s="168" t="s">
        <v>6342</v>
      </c>
      <c r="G235" s="179">
        <f>COUNTIF(작성용!A:B,$A235)-COUNTIFS(작성용!A:A,$A235,작성용!AA:AA,"평가철회")</f>
        <v>0</v>
      </c>
    </row>
    <row r="236" spans="1:7" ht="16.5" customHeight="1" x14ac:dyDescent="0.3">
      <c r="A236" s="170" t="s">
        <v>679</v>
      </c>
      <c r="B236" s="165" t="s">
        <v>680</v>
      </c>
      <c r="C236" s="165" t="str">
        <f>IFERROR(VLOOKUP($A236,작성용!A:AL,14,0),"-")</f>
        <v>-</v>
      </c>
      <c r="D236" s="169" t="s">
        <v>2</v>
      </c>
      <c r="E236" s="167" t="str">
        <f>IFERROR(VLOOKUP(A236,작성용!A:AL,34,0),"-")</f>
        <v>-</v>
      </c>
      <c r="F236" s="168" t="s">
        <v>2</v>
      </c>
      <c r="G236" s="179">
        <f>COUNTIF(작성용!A:B,$A236)-COUNTIFS(작성용!A:A,$A236,작성용!AA:AA,"평가철회")</f>
        <v>0</v>
      </c>
    </row>
    <row r="237" spans="1:7" ht="16.5" customHeight="1" x14ac:dyDescent="0.3">
      <c r="A237" s="170" t="s">
        <v>681</v>
      </c>
      <c r="B237" s="165" t="s">
        <v>682</v>
      </c>
      <c r="C237" s="165" t="str">
        <f>IFERROR(VLOOKUP($A237,작성용!A:AL,14,0),"-")</f>
        <v>-</v>
      </c>
      <c r="D237" s="169" t="s">
        <v>6369</v>
      </c>
      <c r="E237" s="167" t="str">
        <f>IFERROR(VLOOKUP(A237,작성용!A:AL,34,0),"-")</f>
        <v>-</v>
      </c>
      <c r="F237" s="168" t="s">
        <v>6335</v>
      </c>
      <c r="G237" s="179">
        <f>COUNTIF(작성용!A:B,$A237)-COUNTIFS(작성용!A:A,$A237,작성용!AA:AA,"평가철회")</f>
        <v>0</v>
      </c>
    </row>
    <row r="238" spans="1:7" ht="16.5" customHeight="1" x14ac:dyDescent="0.3">
      <c r="A238" s="170" t="s">
        <v>683</v>
      </c>
      <c r="B238" s="165" t="s">
        <v>6370</v>
      </c>
      <c r="C238" s="165" t="str">
        <f>IFERROR(VLOOKUP($A238,작성용!A:AL,14,0),"-")</f>
        <v>-</v>
      </c>
      <c r="D238" s="169" t="s">
        <v>6371</v>
      </c>
      <c r="E238" s="167" t="str">
        <f>IFERROR(VLOOKUP(A238,작성용!A:AL,34,0),"-")</f>
        <v>-</v>
      </c>
      <c r="F238" s="168" t="s">
        <v>6335</v>
      </c>
      <c r="G238" s="179">
        <f>COUNTIF(작성용!A:B,$A238)-COUNTIFS(작성용!A:A,$A238,작성용!AA:AA,"평가철회")</f>
        <v>0</v>
      </c>
    </row>
    <row r="239" spans="1:7" ht="16.5" customHeight="1" x14ac:dyDescent="0.3">
      <c r="A239" s="170" t="s">
        <v>684</v>
      </c>
      <c r="B239" s="165" t="s">
        <v>685</v>
      </c>
      <c r="C239" s="165" t="str">
        <f>IFERROR(VLOOKUP($A239,작성용!A:AL,14,0),"-")</f>
        <v>-</v>
      </c>
      <c r="D239" s="169" t="s">
        <v>6325</v>
      </c>
      <c r="E239" s="167" t="str">
        <f>IFERROR(VLOOKUP(A239,작성용!A:AL,34,0),"-")</f>
        <v>-</v>
      </c>
      <c r="F239" s="168" t="s">
        <v>2</v>
      </c>
      <c r="G239" s="179">
        <f>COUNTIF(작성용!A:B,$A239)-COUNTIFS(작성용!A:A,$A239,작성용!AA:AA,"평가철회")</f>
        <v>0</v>
      </c>
    </row>
    <row r="240" spans="1:7" ht="16.5" customHeight="1" x14ac:dyDescent="0.3">
      <c r="A240" s="170" t="s">
        <v>686</v>
      </c>
      <c r="B240" s="165" t="s">
        <v>687</v>
      </c>
      <c r="C240" s="165" t="str">
        <f>IFERROR(VLOOKUP($A240,작성용!A:AL,14,0),"-")</f>
        <v>-</v>
      </c>
      <c r="D240" s="169" t="s">
        <v>2</v>
      </c>
      <c r="E240" s="167" t="str">
        <f>IFERROR(VLOOKUP(A240,작성용!A:AL,34,0),"-")</f>
        <v>-</v>
      </c>
      <c r="F240" s="168" t="s">
        <v>2</v>
      </c>
      <c r="G240" s="179">
        <f>COUNTIF(작성용!A:B,$A240)-COUNTIFS(작성용!A:A,$A240,작성용!AA:AA,"평가철회")</f>
        <v>0</v>
      </c>
    </row>
    <row r="241" spans="1:7" ht="16.5" customHeight="1" x14ac:dyDescent="0.3">
      <c r="A241" s="170" t="s">
        <v>688</v>
      </c>
      <c r="B241" s="165" t="s">
        <v>689</v>
      </c>
      <c r="C241" s="165" t="str">
        <f>IFERROR(VLOOKUP($A241,작성용!A:AL,14,0),"-")</f>
        <v>-</v>
      </c>
      <c r="D241" s="169" t="s">
        <v>2</v>
      </c>
      <c r="E241" s="167" t="str">
        <f>IFERROR(VLOOKUP(A241,작성용!A:AL,34,0),"-")</f>
        <v>-</v>
      </c>
      <c r="F241" s="168" t="s">
        <v>2</v>
      </c>
      <c r="G241" s="179">
        <f>COUNTIF(작성용!A:B,$A241)-COUNTIFS(작성용!A:A,$A241,작성용!AA:AA,"평가철회")</f>
        <v>0</v>
      </c>
    </row>
    <row r="242" spans="1:7" ht="16.5" customHeight="1" x14ac:dyDescent="0.3">
      <c r="A242" s="170" t="s">
        <v>690</v>
      </c>
      <c r="B242" s="165" t="s">
        <v>691</v>
      </c>
      <c r="C242" s="165" t="str">
        <f>IFERROR(VLOOKUP($A242,작성용!A:AL,14,0),"-")</f>
        <v>-</v>
      </c>
      <c r="D242" s="169" t="s">
        <v>6372</v>
      </c>
      <c r="E242" s="167" t="str">
        <f>IFERROR(VLOOKUP(A242,작성용!A:AL,34,0),"-")</f>
        <v>-</v>
      </c>
      <c r="F242" s="168" t="s">
        <v>6337</v>
      </c>
      <c r="G242" s="179">
        <f>COUNTIF(작성용!A:B,$A242)-COUNTIFS(작성용!A:A,$A242,작성용!AA:AA,"평가철회")</f>
        <v>0</v>
      </c>
    </row>
    <row r="243" spans="1:7" ht="16.5" customHeight="1" x14ac:dyDescent="0.3">
      <c r="A243" s="170" t="s">
        <v>692</v>
      </c>
      <c r="B243" s="165" t="s">
        <v>693</v>
      </c>
      <c r="C243" s="165" t="str">
        <f>IFERROR(VLOOKUP($A243,작성용!A:AL,14,0),"-")</f>
        <v>-</v>
      </c>
      <c r="D243" s="169" t="s">
        <v>694</v>
      </c>
      <c r="E243" s="167" t="str">
        <f>IFERROR(VLOOKUP(A243,작성용!A:AL,34,0),"-")</f>
        <v>-</v>
      </c>
      <c r="F243" s="168" t="s">
        <v>2</v>
      </c>
      <c r="G243" s="179">
        <f>COUNTIF(작성용!A:B,$A243)-COUNTIFS(작성용!A:A,$A243,작성용!AA:AA,"평가철회")</f>
        <v>0</v>
      </c>
    </row>
    <row r="244" spans="1:7" ht="16.5" customHeight="1" x14ac:dyDescent="0.3">
      <c r="A244" s="170" t="s">
        <v>695</v>
      </c>
      <c r="B244" s="165" t="s">
        <v>696</v>
      </c>
      <c r="C244" s="165" t="str">
        <f>IFERROR(VLOOKUP($A244,작성용!A:AL,14,0),"-")</f>
        <v>-</v>
      </c>
      <c r="D244" s="169" t="s">
        <v>694</v>
      </c>
      <c r="E244" s="167" t="str">
        <f>IFERROR(VLOOKUP(A244,작성용!A:AL,34,0),"-")</f>
        <v>-</v>
      </c>
      <c r="F244" s="168" t="s">
        <v>2</v>
      </c>
      <c r="G244" s="179">
        <f>COUNTIF(작성용!A:B,$A244)-COUNTIFS(작성용!A:A,$A244,작성용!AA:AA,"평가철회")</f>
        <v>0</v>
      </c>
    </row>
    <row r="245" spans="1:7" ht="16.5" customHeight="1" x14ac:dyDescent="0.3">
      <c r="A245" s="170" t="s">
        <v>697</v>
      </c>
      <c r="B245" s="165" t="s">
        <v>698</v>
      </c>
      <c r="C245" s="165" t="str">
        <f>IFERROR(VLOOKUP($A245,작성용!A:AL,14,0),"-")</f>
        <v>-</v>
      </c>
      <c r="D245" s="169" t="s">
        <v>6373</v>
      </c>
      <c r="E245" s="167" t="str">
        <f>IFERROR(VLOOKUP(A245,작성용!A:AL,34,0),"-")</f>
        <v>-</v>
      </c>
      <c r="F245" s="168" t="s">
        <v>2</v>
      </c>
      <c r="G245" s="179">
        <f>COUNTIF(작성용!A:B,$A245)-COUNTIFS(작성용!A:A,$A245,작성용!AA:AA,"평가철회")</f>
        <v>0</v>
      </c>
    </row>
    <row r="246" spans="1:7" ht="16.5" customHeight="1" x14ac:dyDescent="0.3">
      <c r="A246" s="170" t="s">
        <v>699</v>
      </c>
      <c r="B246" s="165" t="s">
        <v>700</v>
      </c>
      <c r="C246" s="165" t="str">
        <f>IFERROR(VLOOKUP($A246,작성용!A:AL,14,0),"-")</f>
        <v>-</v>
      </c>
      <c r="D246" s="169" t="s">
        <v>2</v>
      </c>
      <c r="E246" s="167" t="str">
        <f>IFERROR(VLOOKUP(A246,작성용!A:AL,34,0),"-")</f>
        <v>-</v>
      </c>
      <c r="F246" s="168" t="s">
        <v>2</v>
      </c>
      <c r="G246" s="179">
        <f>COUNTIF(작성용!A:B,$A246)-COUNTIFS(작성용!A:A,$A246,작성용!AA:AA,"평가철회")</f>
        <v>0</v>
      </c>
    </row>
    <row r="247" spans="1:7" ht="16.5" customHeight="1" x14ac:dyDescent="0.3">
      <c r="A247" s="170" t="s">
        <v>701</v>
      </c>
      <c r="B247" s="165" t="s">
        <v>702</v>
      </c>
      <c r="C247" s="165" t="str">
        <f>IFERROR(VLOOKUP($A247,작성용!A:AL,14,0),"-")</f>
        <v>-</v>
      </c>
      <c r="D247" s="169" t="s">
        <v>694</v>
      </c>
      <c r="E247" s="167" t="str">
        <f>IFERROR(VLOOKUP(A247,작성용!A:AL,34,0),"-")</f>
        <v>-</v>
      </c>
      <c r="F247" s="168" t="s">
        <v>2</v>
      </c>
      <c r="G247" s="179">
        <f>COUNTIF(작성용!A:B,$A247)-COUNTIFS(작성용!A:A,$A247,작성용!AA:AA,"평가철회")</f>
        <v>0</v>
      </c>
    </row>
    <row r="248" spans="1:7" ht="16.5" customHeight="1" x14ac:dyDescent="0.3">
      <c r="A248" s="170" t="s">
        <v>703</v>
      </c>
      <c r="B248" s="165" t="s">
        <v>704</v>
      </c>
      <c r="C248" s="165" t="str">
        <f>IFERROR(VLOOKUP($A248,작성용!A:AL,14,0),"-")</f>
        <v>-</v>
      </c>
      <c r="D248" s="169" t="s">
        <v>2</v>
      </c>
      <c r="E248" s="167" t="str">
        <f>IFERROR(VLOOKUP(A248,작성용!A:AL,34,0),"-")</f>
        <v>-</v>
      </c>
      <c r="F248" s="168" t="s">
        <v>2</v>
      </c>
      <c r="G248" s="179">
        <f>COUNTIF(작성용!A:B,$A248)-COUNTIFS(작성용!A:A,$A248,작성용!AA:AA,"평가철회")</f>
        <v>0</v>
      </c>
    </row>
    <row r="249" spans="1:7" ht="16.5" customHeight="1" x14ac:dyDescent="0.3">
      <c r="A249" s="170" t="s">
        <v>705</v>
      </c>
      <c r="B249" s="165" t="s">
        <v>706</v>
      </c>
      <c r="C249" s="165" t="str">
        <f>IFERROR(VLOOKUP($A249,작성용!A:AL,14,0),"-")</f>
        <v xml:space="preserve">반기 </v>
      </c>
      <c r="D249" s="169" t="s">
        <v>6374</v>
      </c>
      <c r="E249" s="167" t="str">
        <f>IFERROR(VLOOKUP(A249,작성용!A:AL,34,0),"-")</f>
        <v>원정우</v>
      </c>
      <c r="F249" s="168" t="s">
        <v>2</v>
      </c>
      <c r="G249" s="179">
        <f>COUNTIF(작성용!A:B,$A249)-COUNTIFS(작성용!A:A,$A249,작성용!AA:AA,"평가철회")</f>
        <v>6</v>
      </c>
    </row>
    <row r="250" spans="1:7" ht="16.5" customHeight="1" x14ac:dyDescent="0.3">
      <c r="A250" s="170" t="s">
        <v>707</v>
      </c>
      <c r="B250" s="165" t="s">
        <v>708</v>
      </c>
      <c r="C250" s="165" t="str">
        <f>IFERROR(VLOOKUP($A250,작성용!A:AL,14,0),"-")</f>
        <v>-</v>
      </c>
      <c r="D250" s="169" t="s">
        <v>2</v>
      </c>
      <c r="E250" s="167" t="str">
        <f>IFERROR(VLOOKUP(A250,작성용!A:AL,34,0),"-")</f>
        <v>-</v>
      </c>
      <c r="F250" s="168" t="s">
        <v>2</v>
      </c>
      <c r="G250" s="179">
        <f>COUNTIF(작성용!A:B,$A250)-COUNTIFS(작성용!A:A,$A250,작성용!AA:AA,"평가철회")</f>
        <v>0</v>
      </c>
    </row>
    <row r="251" spans="1:7" ht="16.5" customHeight="1" x14ac:dyDescent="0.3">
      <c r="A251" s="170" t="s">
        <v>709</v>
      </c>
      <c r="B251" s="165" t="s">
        <v>710</v>
      </c>
      <c r="C251" s="165" t="str">
        <f>IFERROR(VLOOKUP($A251,작성용!A:AL,14,0),"-")</f>
        <v>-</v>
      </c>
      <c r="D251" s="169" t="s">
        <v>2</v>
      </c>
      <c r="E251" s="167" t="str">
        <f>IFERROR(VLOOKUP(A251,작성용!A:AL,34,0),"-")</f>
        <v>-</v>
      </c>
      <c r="F251" s="168" t="s">
        <v>2</v>
      </c>
      <c r="G251" s="179">
        <f>COUNTIF(작성용!A:B,$A251)-COUNTIFS(작성용!A:A,$A251,작성용!AA:AA,"평가철회")</f>
        <v>0</v>
      </c>
    </row>
    <row r="252" spans="1:7" ht="16.5" customHeight="1" x14ac:dyDescent="0.3">
      <c r="A252" s="170" t="s">
        <v>711</v>
      </c>
      <c r="B252" s="165" t="s">
        <v>712</v>
      </c>
      <c r="C252" s="165" t="str">
        <f>IFERROR(VLOOKUP($A252,작성용!A:AL,14,0),"-")</f>
        <v>-</v>
      </c>
      <c r="D252" s="169" t="s">
        <v>2</v>
      </c>
      <c r="E252" s="167" t="str">
        <f>IFERROR(VLOOKUP(A252,작성용!A:AL,34,0),"-")</f>
        <v>-</v>
      </c>
      <c r="F252" s="168" t="s">
        <v>2</v>
      </c>
      <c r="G252" s="179">
        <f>COUNTIF(작성용!A:B,$A252)-COUNTIFS(작성용!A:A,$A252,작성용!AA:AA,"평가철회")</f>
        <v>0</v>
      </c>
    </row>
    <row r="253" spans="1:7" ht="16.5" customHeight="1" x14ac:dyDescent="0.3">
      <c r="A253" s="170" t="s">
        <v>713</v>
      </c>
      <c r="B253" s="165" t="s">
        <v>714</v>
      </c>
      <c r="C253" s="165" t="str">
        <f>IFERROR(VLOOKUP($A253,작성용!A:AL,14,0),"-")</f>
        <v>-</v>
      </c>
      <c r="D253" s="169" t="s">
        <v>2</v>
      </c>
      <c r="E253" s="167" t="str">
        <f>IFERROR(VLOOKUP(A253,작성용!A:AL,34,0),"-")</f>
        <v>-</v>
      </c>
      <c r="F253" s="168" t="s">
        <v>2</v>
      </c>
      <c r="G253" s="179">
        <f>COUNTIF(작성용!A:B,$A253)-COUNTIFS(작성용!A:A,$A253,작성용!AA:AA,"평가철회")</f>
        <v>0</v>
      </c>
    </row>
    <row r="254" spans="1:7" ht="16.5" customHeight="1" x14ac:dyDescent="0.3">
      <c r="A254" s="170" t="s">
        <v>715</v>
      </c>
      <c r="B254" s="165" t="s">
        <v>716</v>
      </c>
      <c r="C254" s="165" t="str">
        <f>IFERROR(VLOOKUP($A254,작성용!A:AL,14,0),"-")</f>
        <v>-</v>
      </c>
      <c r="D254" s="169" t="s">
        <v>2</v>
      </c>
      <c r="E254" s="167" t="str">
        <f>IFERROR(VLOOKUP(A254,작성용!A:AL,34,0),"-")</f>
        <v>-</v>
      </c>
      <c r="F254" s="168" t="s">
        <v>2</v>
      </c>
      <c r="G254" s="179">
        <f>COUNTIF(작성용!A:B,$A254)-COUNTIFS(작성용!A:A,$A254,작성용!AA:AA,"평가철회")</f>
        <v>0</v>
      </c>
    </row>
    <row r="255" spans="1:7" ht="16.5" customHeight="1" x14ac:dyDescent="0.3">
      <c r="A255" s="170" t="s">
        <v>717</v>
      </c>
      <c r="B255" s="165" t="s">
        <v>718</v>
      </c>
      <c r="C255" s="165" t="str">
        <f>IFERROR(VLOOKUP($A255,작성용!A:AL,14,0),"-")</f>
        <v>-</v>
      </c>
      <c r="D255" s="169" t="s">
        <v>2</v>
      </c>
      <c r="E255" s="167" t="str">
        <f>IFERROR(VLOOKUP(A255,작성용!A:AL,34,0),"-")</f>
        <v>-</v>
      </c>
      <c r="F255" s="168" t="s">
        <v>2</v>
      </c>
      <c r="G255" s="179">
        <f>COUNTIF(작성용!A:B,$A255)-COUNTIFS(작성용!A:A,$A255,작성용!AA:AA,"평가철회")</f>
        <v>0</v>
      </c>
    </row>
    <row r="256" spans="1:7" ht="16.5" customHeight="1" x14ac:dyDescent="0.3">
      <c r="A256" s="170" t="s">
        <v>719</v>
      </c>
      <c r="B256" s="165" t="s">
        <v>720</v>
      </c>
      <c r="C256" s="165" t="str">
        <f>IFERROR(VLOOKUP($A256,작성용!A:AL,14,0),"-")</f>
        <v>-</v>
      </c>
      <c r="D256" s="169" t="s">
        <v>2</v>
      </c>
      <c r="E256" s="167" t="str">
        <f>IFERROR(VLOOKUP(A256,작성용!A:AL,34,0),"-")</f>
        <v>-</v>
      </c>
      <c r="F256" s="168" t="s">
        <v>2</v>
      </c>
      <c r="G256" s="179">
        <f>COUNTIF(작성용!A:B,$A256)-COUNTIFS(작성용!A:A,$A256,작성용!AA:AA,"평가철회")</f>
        <v>0</v>
      </c>
    </row>
    <row r="257" spans="1:7" ht="16.5" customHeight="1" x14ac:dyDescent="0.3">
      <c r="A257" s="170" t="s">
        <v>721</v>
      </c>
      <c r="B257" s="165" t="s">
        <v>722</v>
      </c>
      <c r="C257" s="165" t="str">
        <f>IFERROR(VLOOKUP($A257,작성용!A:AL,14,0),"-")</f>
        <v>-</v>
      </c>
      <c r="D257" s="169" t="s">
        <v>2</v>
      </c>
      <c r="E257" s="167" t="str">
        <f>IFERROR(VLOOKUP(A257,작성용!A:AL,34,0),"-")</f>
        <v>-</v>
      </c>
      <c r="F257" s="168" t="s">
        <v>2</v>
      </c>
      <c r="G257" s="179">
        <f>COUNTIF(작성용!A:B,$A257)-COUNTIFS(작성용!A:A,$A257,작성용!AA:AA,"평가철회")</f>
        <v>0</v>
      </c>
    </row>
    <row r="258" spans="1:7" ht="16.5" customHeight="1" x14ac:dyDescent="0.3">
      <c r="A258" s="170" t="s">
        <v>723</v>
      </c>
      <c r="B258" s="165" t="s">
        <v>724</v>
      </c>
      <c r="C258" s="165" t="str">
        <f>IFERROR(VLOOKUP($A258,작성용!A:AL,14,0),"-")</f>
        <v>-</v>
      </c>
      <c r="D258" s="169" t="s">
        <v>694</v>
      </c>
      <c r="E258" s="167" t="str">
        <f>IFERROR(VLOOKUP(A258,작성용!A:AL,34,0),"-")</f>
        <v>-</v>
      </c>
      <c r="F258" s="168" t="s">
        <v>2</v>
      </c>
      <c r="G258" s="179">
        <f>COUNTIF(작성용!A:B,$A258)-COUNTIFS(작성용!A:A,$A258,작성용!AA:AA,"평가철회")</f>
        <v>0</v>
      </c>
    </row>
    <row r="259" spans="1:7" ht="16.5" customHeight="1" x14ac:dyDescent="0.3">
      <c r="A259" s="170" t="s">
        <v>725</v>
      </c>
      <c r="B259" s="165" t="s">
        <v>726</v>
      </c>
      <c r="C259" s="165" t="str">
        <f>IFERROR(VLOOKUP($A259,작성용!A:AL,14,0),"-")</f>
        <v>-</v>
      </c>
      <c r="D259" s="169" t="s">
        <v>2</v>
      </c>
      <c r="E259" s="167" t="str">
        <f>IFERROR(VLOOKUP(A259,작성용!A:AL,34,0),"-")</f>
        <v>-</v>
      </c>
      <c r="F259" s="168" t="s">
        <v>2</v>
      </c>
      <c r="G259" s="179">
        <f>COUNTIF(작성용!A:B,$A259)-COUNTIFS(작성용!A:A,$A259,작성용!AA:AA,"평가철회")</f>
        <v>0</v>
      </c>
    </row>
    <row r="260" spans="1:7" ht="16.5" customHeight="1" x14ac:dyDescent="0.3">
      <c r="A260" s="170" t="s">
        <v>727</v>
      </c>
      <c r="B260" s="165" t="s">
        <v>728</v>
      </c>
      <c r="C260" s="165" t="str">
        <f>IFERROR(VLOOKUP($A260,작성용!A:AL,14,0),"-")</f>
        <v>-</v>
      </c>
      <c r="D260" s="169" t="s">
        <v>2</v>
      </c>
      <c r="E260" s="167" t="str">
        <f>IFERROR(VLOOKUP(A260,작성용!A:AL,34,0),"-")</f>
        <v>-</v>
      </c>
      <c r="F260" s="168" t="s">
        <v>2</v>
      </c>
      <c r="G260" s="179">
        <f>COUNTIF(작성용!A:B,$A260)-COUNTIFS(작성용!A:A,$A260,작성용!AA:AA,"평가철회")</f>
        <v>0</v>
      </c>
    </row>
    <row r="261" spans="1:7" ht="16.5" customHeight="1" x14ac:dyDescent="0.3">
      <c r="A261" s="170" t="s">
        <v>729</v>
      </c>
      <c r="B261" s="165" t="s">
        <v>730</v>
      </c>
      <c r="C261" s="165" t="str">
        <f>IFERROR(VLOOKUP($A261,작성용!A:AL,14,0),"-")</f>
        <v>-</v>
      </c>
      <c r="D261" s="169" t="s">
        <v>2</v>
      </c>
      <c r="E261" s="167" t="str">
        <f>IFERROR(VLOOKUP(A261,작성용!A:AL,34,0),"-")</f>
        <v>-</v>
      </c>
      <c r="F261" s="168" t="s">
        <v>2</v>
      </c>
      <c r="G261" s="179">
        <f>COUNTIF(작성용!A:B,$A261)-COUNTIFS(작성용!A:A,$A261,작성용!AA:AA,"평가철회")</f>
        <v>0</v>
      </c>
    </row>
    <row r="262" spans="1:7" ht="16.5" customHeight="1" x14ac:dyDescent="0.3">
      <c r="A262" s="170" t="s">
        <v>731</v>
      </c>
      <c r="B262" s="165" t="s">
        <v>732</v>
      </c>
      <c r="C262" s="165" t="str">
        <f>IFERROR(VLOOKUP($A262,작성용!A:AL,14,0),"-")</f>
        <v>-</v>
      </c>
      <c r="D262" s="169" t="s">
        <v>694</v>
      </c>
      <c r="E262" s="167" t="str">
        <f>IFERROR(VLOOKUP(A262,작성용!A:AL,34,0),"-")</f>
        <v>-</v>
      </c>
      <c r="F262" s="168" t="s">
        <v>2</v>
      </c>
      <c r="G262" s="179">
        <f>COUNTIF(작성용!A:B,$A262)-COUNTIFS(작성용!A:A,$A262,작성용!AA:AA,"평가철회")</f>
        <v>0</v>
      </c>
    </row>
    <row r="263" spans="1:7" ht="16.5" customHeight="1" x14ac:dyDescent="0.3">
      <c r="A263" s="170" t="s">
        <v>733</v>
      </c>
      <c r="B263" s="165" t="s">
        <v>734</v>
      </c>
      <c r="C263" s="165" t="str">
        <f>IFERROR(VLOOKUP($A263,작성용!A:AL,14,0),"-")</f>
        <v>-</v>
      </c>
      <c r="D263" s="169" t="s">
        <v>2</v>
      </c>
      <c r="E263" s="167" t="str">
        <f>IFERROR(VLOOKUP(A263,작성용!A:AL,34,0),"-")</f>
        <v>-</v>
      </c>
      <c r="F263" s="168" t="s">
        <v>2</v>
      </c>
      <c r="G263" s="179">
        <f>COUNTIF(작성용!A:B,$A263)-COUNTIFS(작성용!A:A,$A263,작성용!AA:AA,"평가철회")</f>
        <v>0</v>
      </c>
    </row>
    <row r="264" spans="1:7" ht="16.5" customHeight="1" x14ac:dyDescent="0.3">
      <c r="A264" s="170" t="s">
        <v>735</v>
      </c>
      <c r="B264" s="165" t="s">
        <v>736</v>
      </c>
      <c r="C264" s="165" t="str">
        <f>IFERROR(VLOOKUP($A264,작성용!A:AL,14,0),"-")</f>
        <v xml:space="preserve">반기 </v>
      </c>
      <c r="D264" s="169" t="s">
        <v>6375</v>
      </c>
      <c r="E264" s="167" t="str">
        <f>IFERROR(VLOOKUP(A264,작성용!A:AL,34,0),"-")</f>
        <v>백형진</v>
      </c>
      <c r="F264" s="168" t="s">
        <v>6342</v>
      </c>
      <c r="G264" s="179">
        <f>COUNTIF(작성용!A:B,$A264)-COUNTIFS(작성용!A:A,$A264,작성용!AA:AA,"평가철회")</f>
        <v>1</v>
      </c>
    </row>
    <row r="265" spans="1:7" ht="16.5" customHeight="1" x14ac:dyDescent="0.3">
      <c r="A265" s="170" t="s">
        <v>737</v>
      </c>
      <c r="B265" s="165" t="s">
        <v>738</v>
      </c>
      <c r="C265" s="165" t="str">
        <f>IFERROR(VLOOKUP($A265,작성용!A:AL,14,0),"-")</f>
        <v>-</v>
      </c>
      <c r="D265" s="169" t="s">
        <v>694</v>
      </c>
      <c r="E265" s="167" t="str">
        <f>IFERROR(VLOOKUP(A265,작성용!A:AL,34,0),"-")</f>
        <v>-</v>
      </c>
      <c r="F265" s="168" t="s">
        <v>2</v>
      </c>
      <c r="G265" s="179">
        <f>COUNTIF(작성용!A:B,$A265)-COUNTIFS(작성용!A:A,$A265,작성용!AA:AA,"평가철회")</f>
        <v>0</v>
      </c>
    </row>
    <row r="266" spans="1:7" ht="16.5" customHeight="1" x14ac:dyDescent="0.3">
      <c r="A266" s="170" t="s">
        <v>739</v>
      </c>
      <c r="B266" s="165" t="s">
        <v>740</v>
      </c>
      <c r="C266" s="165" t="str">
        <f>IFERROR(VLOOKUP($A266,작성용!A:AL,14,0),"-")</f>
        <v>-</v>
      </c>
      <c r="D266" s="169" t="s">
        <v>694</v>
      </c>
      <c r="E266" s="167" t="str">
        <f>IFERROR(VLOOKUP(A266,작성용!A:AL,34,0),"-")</f>
        <v>-</v>
      </c>
      <c r="F266" s="168" t="s">
        <v>2</v>
      </c>
      <c r="G266" s="179">
        <f>COUNTIF(작성용!A:B,$A266)-COUNTIFS(작성용!A:A,$A266,작성용!AA:AA,"평가철회")</f>
        <v>0</v>
      </c>
    </row>
    <row r="267" spans="1:7" ht="16.5" customHeight="1" x14ac:dyDescent="0.3">
      <c r="A267" s="170" t="s">
        <v>741</v>
      </c>
      <c r="B267" s="165" t="s">
        <v>742</v>
      </c>
      <c r="C267" s="165" t="str">
        <f>IFERROR(VLOOKUP($A267,작성용!A:AL,14,0),"-")</f>
        <v>-</v>
      </c>
      <c r="D267" s="169" t="s">
        <v>2</v>
      </c>
      <c r="E267" s="167" t="str">
        <f>IFERROR(VLOOKUP(A267,작성용!A:AL,34,0),"-")</f>
        <v>-</v>
      </c>
      <c r="F267" s="168" t="s">
        <v>2</v>
      </c>
      <c r="G267" s="179">
        <f>COUNTIF(작성용!A:B,$A267)-COUNTIFS(작성용!A:A,$A267,작성용!AA:AA,"평가철회")</f>
        <v>0</v>
      </c>
    </row>
    <row r="268" spans="1:7" ht="16.5" customHeight="1" x14ac:dyDescent="0.3">
      <c r="A268" s="170" t="s">
        <v>743</v>
      </c>
      <c r="B268" s="165" t="s">
        <v>744</v>
      </c>
      <c r="C268" s="165" t="str">
        <f>IFERROR(VLOOKUP($A268,작성용!A:AL,14,0),"-")</f>
        <v>-</v>
      </c>
      <c r="D268" s="169" t="s">
        <v>2</v>
      </c>
      <c r="E268" s="167" t="str">
        <f>IFERROR(VLOOKUP(A268,작성용!A:AL,34,0),"-")</f>
        <v>-</v>
      </c>
      <c r="F268" s="168" t="s">
        <v>2</v>
      </c>
      <c r="G268" s="179">
        <f>COUNTIF(작성용!A:B,$A268)-COUNTIFS(작성용!A:A,$A268,작성용!AA:AA,"평가철회")</f>
        <v>0</v>
      </c>
    </row>
    <row r="269" spans="1:7" ht="16.5" customHeight="1" x14ac:dyDescent="0.3">
      <c r="A269" s="170" t="s">
        <v>745</v>
      </c>
      <c r="B269" s="165" t="s">
        <v>746</v>
      </c>
      <c r="C269" s="165" t="str">
        <f>IFERROR(VLOOKUP($A269,작성용!A:AL,14,0),"-")</f>
        <v>-</v>
      </c>
      <c r="D269" s="169" t="s">
        <v>2</v>
      </c>
      <c r="E269" s="167" t="str">
        <f>IFERROR(VLOOKUP(A269,작성용!A:AL,34,0),"-")</f>
        <v>-</v>
      </c>
      <c r="F269" s="168" t="s">
        <v>2</v>
      </c>
      <c r="G269" s="179">
        <f>COUNTIF(작성용!A:B,$A269)-COUNTIFS(작성용!A:A,$A269,작성용!AA:AA,"평가철회")</f>
        <v>0</v>
      </c>
    </row>
    <row r="270" spans="1:7" ht="16.5" customHeight="1" x14ac:dyDescent="0.3">
      <c r="A270" s="170" t="s">
        <v>747</v>
      </c>
      <c r="B270" s="165" t="s">
        <v>748</v>
      </c>
      <c r="C270" s="165" t="str">
        <f>IFERROR(VLOOKUP($A270,작성용!A:AL,14,0),"-")</f>
        <v>-</v>
      </c>
      <c r="D270" s="169" t="s">
        <v>2</v>
      </c>
      <c r="E270" s="167" t="str">
        <f>IFERROR(VLOOKUP(A270,작성용!A:AL,34,0),"-")</f>
        <v>-</v>
      </c>
      <c r="F270" s="168" t="s">
        <v>2</v>
      </c>
      <c r="G270" s="179">
        <f>COUNTIF(작성용!A:B,$A270)-COUNTIFS(작성용!A:A,$A270,작성용!AA:AA,"평가철회")</f>
        <v>0</v>
      </c>
    </row>
    <row r="271" spans="1:7" ht="16.5" customHeight="1" x14ac:dyDescent="0.3">
      <c r="A271" s="170" t="s">
        <v>749</v>
      </c>
      <c r="B271" s="165" t="s">
        <v>750</v>
      </c>
      <c r="C271" s="165" t="str">
        <f>IFERROR(VLOOKUP($A271,작성용!A:AL,14,0),"-")</f>
        <v>-</v>
      </c>
      <c r="D271" s="169" t="s">
        <v>694</v>
      </c>
      <c r="E271" s="167" t="str">
        <f>IFERROR(VLOOKUP(A271,작성용!A:AL,34,0),"-")</f>
        <v>-</v>
      </c>
      <c r="F271" s="168" t="s">
        <v>2</v>
      </c>
      <c r="G271" s="179">
        <f>COUNTIF(작성용!A:B,$A271)-COUNTIFS(작성용!A:A,$A271,작성용!AA:AA,"평가철회")</f>
        <v>0</v>
      </c>
    </row>
    <row r="272" spans="1:7" ht="16.5" customHeight="1" x14ac:dyDescent="0.3">
      <c r="A272" s="170" t="s">
        <v>751</v>
      </c>
      <c r="B272" s="165" t="s">
        <v>752</v>
      </c>
      <c r="C272" s="165" t="str">
        <f>IFERROR(VLOOKUP($A272,작성용!A:AL,14,0),"-")</f>
        <v>-</v>
      </c>
      <c r="D272" s="169" t="s">
        <v>2</v>
      </c>
      <c r="E272" s="167" t="str">
        <f>IFERROR(VLOOKUP(A272,작성용!A:AL,34,0),"-")</f>
        <v>-</v>
      </c>
      <c r="F272" s="168" t="s">
        <v>2</v>
      </c>
      <c r="G272" s="179">
        <f>COUNTIF(작성용!A:B,$A272)-COUNTIFS(작성용!A:A,$A272,작성용!AA:AA,"평가철회")</f>
        <v>0</v>
      </c>
    </row>
    <row r="273" spans="1:7" ht="16.5" customHeight="1" x14ac:dyDescent="0.3">
      <c r="A273" s="170" t="s">
        <v>753</v>
      </c>
      <c r="B273" s="165" t="s">
        <v>6376</v>
      </c>
      <c r="C273" s="165" t="str">
        <f>IFERROR(VLOOKUP($A273,작성용!A:AL,14,0),"-")</f>
        <v>-</v>
      </c>
      <c r="D273" s="169" t="s">
        <v>6377</v>
      </c>
      <c r="E273" s="167" t="str">
        <f>IFERROR(VLOOKUP(A273,작성용!A:AL,34,0),"-")</f>
        <v>-</v>
      </c>
      <c r="F273" s="168" t="s">
        <v>6378</v>
      </c>
      <c r="G273" s="179">
        <f>COUNTIF(작성용!A:B,$A273)-COUNTIFS(작성용!A:A,$A273,작성용!AA:AA,"평가철회")</f>
        <v>0</v>
      </c>
    </row>
    <row r="274" spans="1:7" ht="16.5" customHeight="1" x14ac:dyDescent="0.3">
      <c r="A274" s="170" t="s">
        <v>754</v>
      </c>
      <c r="B274" s="165" t="s">
        <v>755</v>
      </c>
      <c r="C274" s="165" t="str">
        <f>IFERROR(VLOOKUP($A274,작성용!A:AL,14,0),"-")</f>
        <v>-</v>
      </c>
      <c r="D274" s="169" t="s">
        <v>694</v>
      </c>
      <c r="E274" s="167" t="str">
        <f>IFERROR(VLOOKUP(A274,작성용!A:AL,34,0),"-")</f>
        <v>-</v>
      </c>
      <c r="F274" s="168" t="s">
        <v>2</v>
      </c>
      <c r="G274" s="179">
        <f>COUNTIF(작성용!A:B,$A274)-COUNTIFS(작성용!A:A,$A274,작성용!AA:AA,"평가철회")</f>
        <v>0</v>
      </c>
    </row>
    <row r="275" spans="1:7" ht="16.5" customHeight="1" x14ac:dyDescent="0.3">
      <c r="A275" s="170" t="s">
        <v>756</v>
      </c>
      <c r="B275" s="165" t="s">
        <v>757</v>
      </c>
      <c r="C275" s="165" t="str">
        <f>IFERROR(VLOOKUP($A275,작성용!A:AL,14,0),"-")</f>
        <v>-</v>
      </c>
      <c r="D275" s="169" t="s">
        <v>2</v>
      </c>
      <c r="E275" s="167" t="str">
        <f>IFERROR(VLOOKUP(A275,작성용!A:AL,34,0),"-")</f>
        <v>-</v>
      </c>
      <c r="F275" s="168" t="s">
        <v>2</v>
      </c>
      <c r="G275" s="179">
        <f>COUNTIF(작성용!A:B,$A275)-COUNTIFS(작성용!A:A,$A275,작성용!AA:AA,"평가철회")</f>
        <v>0</v>
      </c>
    </row>
    <row r="276" spans="1:7" ht="16.5" customHeight="1" x14ac:dyDescent="0.3">
      <c r="A276" s="170" t="s">
        <v>758</v>
      </c>
      <c r="B276" s="165" t="s">
        <v>759</v>
      </c>
      <c r="C276" s="165" t="str">
        <f>IFERROR(VLOOKUP($A276,작성용!A:AL,14,0),"-")</f>
        <v>-</v>
      </c>
      <c r="D276" s="169" t="s">
        <v>760</v>
      </c>
      <c r="E276" s="167" t="str">
        <f>IFERROR(VLOOKUP(A276,작성용!A:AL,34,0),"-")</f>
        <v>-</v>
      </c>
      <c r="F276" s="168" t="s">
        <v>2</v>
      </c>
      <c r="G276" s="179">
        <f>COUNTIF(작성용!A:B,$A276)-COUNTIFS(작성용!A:A,$A276,작성용!AA:AA,"평가철회")</f>
        <v>0</v>
      </c>
    </row>
    <row r="277" spans="1:7" ht="16.5" customHeight="1" x14ac:dyDescent="0.3">
      <c r="A277" s="170" t="s">
        <v>761</v>
      </c>
      <c r="B277" s="165" t="s">
        <v>762</v>
      </c>
      <c r="C277" s="165" t="str">
        <f>IFERROR(VLOOKUP($A277,작성용!A:AL,14,0),"-")</f>
        <v>-</v>
      </c>
      <c r="D277" s="169" t="s">
        <v>6379</v>
      </c>
      <c r="E277" s="167" t="str">
        <f>IFERROR(VLOOKUP(A277,작성용!A:AL,34,0),"-")</f>
        <v>-</v>
      </c>
      <c r="F277" s="168" t="s">
        <v>6380</v>
      </c>
      <c r="G277" s="179">
        <f>COUNTIF(작성용!A:B,$A277)-COUNTIFS(작성용!A:A,$A277,작성용!AA:AA,"평가철회")</f>
        <v>0</v>
      </c>
    </row>
    <row r="278" spans="1:7" ht="16.5" customHeight="1" x14ac:dyDescent="0.3">
      <c r="A278" s="170" t="s">
        <v>763</v>
      </c>
      <c r="B278" s="165" t="s">
        <v>764</v>
      </c>
      <c r="C278" s="165" t="str">
        <f>IFERROR(VLOOKUP($A278,작성용!A:AL,14,0),"-")</f>
        <v>연말</v>
      </c>
      <c r="D278" s="169" t="s">
        <v>6322</v>
      </c>
      <c r="E278" s="167" t="str">
        <f>IFERROR(VLOOKUP(A278,작성용!A:AL,34,0),"-")</f>
        <v>변혜진</v>
      </c>
      <c r="F278" s="168" t="s">
        <v>6304</v>
      </c>
      <c r="G278" s="179">
        <f>COUNTIF(작성용!A:B,$A278)-COUNTIFS(작성용!A:A,$A278,작성용!AA:AA,"평가철회")</f>
        <v>4</v>
      </c>
    </row>
    <row r="279" spans="1:7" ht="16.5" customHeight="1" x14ac:dyDescent="0.3">
      <c r="A279" s="170" t="s">
        <v>765</v>
      </c>
      <c r="B279" s="165" t="s">
        <v>766</v>
      </c>
      <c r="C279" s="165" t="str">
        <f>IFERROR(VLOOKUP($A279,작성용!A:AL,14,0),"-")</f>
        <v>-</v>
      </c>
      <c r="D279" s="169" t="s">
        <v>6377</v>
      </c>
      <c r="E279" s="167" t="str">
        <f>IFERROR(VLOOKUP(A279,작성용!A:AL,34,0),"-")</f>
        <v>-</v>
      </c>
      <c r="F279" s="168" t="s">
        <v>6378</v>
      </c>
      <c r="G279" s="179">
        <f>COUNTIF(작성용!A:B,$A279)-COUNTIFS(작성용!A:A,$A279,작성용!AA:AA,"평가철회")</f>
        <v>0</v>
      </c>
    </row>
    <row r="280" spans="1:7" ht="16.5" customHeight="1" x14ac:dyDescent="0.3">
      <c r="A280" s="170" t="s">
        <v>767</v>
      </c>
      <c r="B280" s="165" t="s">
        <v>768</v>
      </c>
      <c r="C280" s="165" t="str">
        <f>IFERROR(VLOOKUP($A280,작성용!A:AL,14,0),"-")</f>
        <v>연말</v>
      </c>
      <c r="D280" s="169" t="s">
        <v>6309</v>
      </c>
      <c r="E280" s="167" t="str">
        <f>IFERROR(VLOOKUP(A280,작성용!A:AL,34,0),"-")</f>
        <v>이문수</v>
      </c>
      <c r="F280" s="168" t="s">
        <v>6378</v>
      </c>
      <c r="G280" s="179">
        <f>COUNTIF(작성용!A:B,$A280)-COUNTIFS(작성용!A:A,$A280,작성용!AA:AA,"평가철회")</f>
        <v>2</v>
      </c>
    </row>
    <row r="281" spans="1:7" ht="16.5" customHeight="1" x14ac:dyDescent="0.3">
      <c r="A281" s="170" t="s">
        <v>769</v>
      </c>
      <c r="B281" s="165" t="s">
        <v>770</v>
      </c>
      <c r="C281" s="165" t="str">
        <f>IFERROR(VLOOKUP($A281,작성용!A:AL,14,0),"-")</f>
        <v>연말</v>
      </c>
      <c r="D281" s="169" t="s">
        <v>6379</v>
      </c>
      <c r="E281" s="167" t="str">
        <f>IFERROR(VLOOKUP(A281,작성용!A:AL,34,0),"-")</f>
        <v>강승현</v>
      </c>
      <c r="F281" s="168" t="s">
        <v>6378</v>
      </c>
      <c r="G281" s="179">
        <f>COUNTIF(작성용!A:B,$A281)-COUNTIFS(작성용!A:A,$A281,작성용!AA:AA,"평가철회")</f>
        <v>1</v>
      </c>
    </row>
    <row r="282" spans="1:7" ht="16.5" customHeight="1" x14ac:dyDescent="0.3">
      <c r="A282" s="170" t="s">
        <v>771</v>
      </c>
      <c r="B282" s="165" t="s">
        <v>772</v>
      </c>
      <c r="C282" s="165" t="str">
        <f>IFERROR(VLOOKUP($A282,작성용!A:AL,14,0),"-")</f>
        <v>-</v>
      </c>
      <c r="D282" s="169" t="s">
        <v>6377</v>
      </c>
      <c r="E282" s="167" t="str">
        <f>IFERROR(VLOOKUP(A282,작성용!A:AL,34,0),"-")</f>
        <v>-</v>
      </c>
      <c r="F282" s="168" t="s">
        <v>6304</v>
      </c>
      <c r="G282" s="179">
        <f>COUNTIF(작성용!A:B,$A282)-COUNTIFS(작성용!A:A,$A282,작성용!AA:AA,"평가철회")</f>
        <v>0</v>
      </c>
    </row>
    <row r="283" spans="1:7" ht="16.5" customHeight="1" x14ac:dyDescent="0.3">
      <c r="A283" s="170" t="s">
        <v>773</v>
      </c>
      <c r="B283" s="165" t="s">
        <v>774</v>
      </c>
      <c r="C283" s="165" t="str">
        <f>IFERROR(VLOOKUP($A283,작성용!A:AL,14,0),"-")</f>
        <v>-</v>
      </c>
      <c r="D283" s="169" t="s">
        <v>6312</v>
      </c>
      <c r="E283" s="167" t="str">
        <f>IFERROR(VLOOKUP(A283,작성용!A:AL,34,0),"-")</f>
        <v>-</v>
      </c>
      <c r="F283" s="168" t="s">
        <v>6381</v>
      </c>
      <c r="G283" s="179">
        <f>COUNTIF(작성용!A:B,$A283)-COUNTIFS(작성용!A:A,$A283,작성용!AA:AA,"평가철회")</f>
        <v>0</v>
      </c>
    </row>
    <row r="284" spans="1:7" ht="16.5" customHeight="1" x14ac:dyDescent="0.3">
      <c r="A284" s="170" t="s">
        <v>775</v>
      </c>
      <c r="B284" s="165" t="s">
        <v>776</v>
      </c>
      <c r="C284" s="165" t="str">
        <f>IFERROR(VLOOKUP($A284,작성용!A:AL,14,0),"-")</f>
        <v>-</v>
      </c>
      <c r="D284" s="169" t="s">
        <v>6306</v>
      </c>
      <c r="E284" s="167" t="str">
        <f>IFERROR(VLOOKUP(A284,작성용!A:AL,34,0),"-")</f>
        <v>-</v>
      </c>
      <c r="F284" s="168" t="s">
        <v>6382</v>
      </c>
      <c r="G284" s="179">
        <f>COUNTIF(작성용!A:B,$A284)-COUNTIFS(작성용!A:A,$A284,작성용!AA:AA,"평가철회")</f>
        <v>0</v>
      </c>
    </row>
    <row r="285" spans="1:7" ht="16.5" customHeight="1" x14ac:dyDescent="0.3">
      <c r="A285" s="170" t="s">
        <v>777</v>
      </c>
      <c r="B285" s="165" t="s">
        <v>778</v>
      </c>
      <c r="C285" s="165" t="str">
        <f>IFERROR(VLOOKUP($A285,작성용!A:AL,14,0),"-")</f>
        <v>-</v>
      </c>
      <c r="D285" s="169" t="s">
        <v>6383</v>
      </c>
      <c r="E285" s="167" t="str">
        <f>IFERROR(VLOOKUP(A285,작성용!A:AL,34,0),"-")</f>
        <v>-</v>
      </c>
      <c r="F285" s="168" t="s">
        <v>6378</v>
      </c>
      <c r="G285" s="179">
        <f>COUNTIF(작성용!A:B,$A285)-COUNTIFS(작성용!A:A,$A285,작성용!AA:AA,"평가철회")</f>
        <v>0</v>
      </c>
    </row>
    <row r="286" spans="1:7" ht="16.5" customHeight="1" x14ac:dyDescent="0.3">
      <c r="A286" s="170" t="s">
        <v>779</v>
      </c>
      <c r="B286" s="165" t="s">
        <v>780</v>
      </c>
      <c r="C286" s="165" t="str">
        <f>IFERROR(VLOOKUP($A286,작성용!A:AL,14,0),"-")</f>
        <v>-</v>
      </c>
      <c r="D286" s="169" t="s">
        <v>6383</v>
      </c>
      <c r="E286" s="167" t="str">
        <f>IFERROR(VLOOKUP(A286,작성용!A:AL,34,0),"-")</f>
        <v>-</v>
      </c>
      <c r="F286" s="168" t="s">
        <v>6382</v>
      </c>
      <c r="G286" s="179">
        <f>COUNTIF(작성용!A:B,$A286)-COUNTIFS(작성용!A:A,$A286,작성용!AA:AA,"평가철회")</f>
        <v>0</v>
      </c>
    </row>
    <row r="287" spans="1:7" ht="16.5" customHeight="1" x14ac:dyDescent="0.3">
      <c r="A287" s="170" t="s">
        <v>781</v>
      </c>
      <c r="B287" s="165" t="s">
        <v>782</v>
      </c>
      <c r="C287" s="165" t="str">
        <f>IFERROR(VLOOKUP($A287,작성용!A:AL,14,0),"-")</f>
        <v>-</v>
      </c>
      <c r="D287" s="169" t="s">
        <v>6308</v>
      </c>
      <c r="E287" s="167" t="str">
        <f>IFERROR(VLOOKUP(A287,작성용!A:AL,34,0),"-")</f>
        <v>-</v>
      </c>
      <c r="F287" s="168" t="s">
        <v>6382</v>
      </c>
      <c r="G287" s="179">
        <f>COUNTIF(작성용!A:B,$A287)-COUNTIFS(작성용!A:A,$A287,작성용!AA:AA,"평가철회")</f>
        <v>0</v>
      </c>
    </row>
    <row r="288" spans="1:7" ht="16.5" customHeight="1" x14ac:dyDescent="0.3">
      <c r="A288" s="170" t="s">
        <v>783</v>
      </c>
      <c r="B288" s="165" t="s">
        <v>784</v>
      </c>
      <c r="C288" s="165" t="str">
        <f>IFERROR(VLOOKUP($A288,작성용!A:AL,14,0),"-")</f>
        <v>년</v>
      </c>
      <c r="D288" s="169" t="s">
        <v>6324</v>
      </c>
      <c r="E288" s="167" t="str">
        <f>IFERROR(VLOOKUP(A288,작성용!A:AL,34,0),"-")</f>
        <v>조현우</v>
      </c>
      <c r="F288" s="168" t="s">
        <v>6382</v>
      </c>
      <c r="G288" s="179">
        <f>COUNTIF(작성용!A:B,$A288)-COUNTIFS(작성용!A:A,$A288,작성용!AA:AA,"평가철회")</f>
        <v>4</v>
      </c>
    </row>
    <row r="289" spans="1:7" ht="16.5" customHeight="1" x14ac:dyDescent="0.3">
      <c r="A289" s="170" t="s">
        <v>785</v>
      </c>
      <c r="B289" s="165" t="s">
        <v>786</v>
      </c>
      <c r="C289" s="165" t="str">
        <f>IFERROR(VLOOKUP($A289,작성용!A:AL,14,0),"-")</f>
        <v>-</v>
      </c>
      <c r="D289" s="169" t="s">
        <v>6384</v>
      </c>
      <c r="E289" s="167" t="str">
        <f>IFERROR(VLOOKUP(A289,작성용!A:AL,34,0),"-")</f>
        <v>-</v>
      </c>
      <c r="F289" s="168" t="s">
        <v>6378</v>
      </c>
      <c r="G289" s="179">
        <f>COUNTIF(작성용!A:B,$A289)-COUNTIFS(작성용!A:A,$A289,작성용!AA:AA,"평가철회")</f>
        <v>0</v>
      </c>
    </row>
    <row r="290" spans="1:7" ht="16.5" customHeight="1" x14ac:dyDescent="0.3">
      <c r="A290" s="170" t="s">
        <v>787</v>
      </c>
      <c r="B290" s="165" t="s">
        <v>788</v>
      </c>
      <c r="C290" s="165" t="str">
        <f>IFERROR(VLOOKUP($A290,작성용!A:AL,14,0),"-")</f>
        <v>-</v>
      </c>
      <c r="D290" s="169" t="s">
        <v>6324</v>
      </c>
      <c r="E290" s="167" t="str">
        <f>IFERROR(VLOOKUP(A290,작성용!A:AL,34,0),"-")</f>
        <v>-</v>
      </c>
      <c r="F290" s="168" t="s">
        <v>6378</v>
      </c>
      <c r="G290" s="179">
        <f>COUNTIF(작성용!A:B,$A290)-COUNTIFS(작성용!A:A,$A290,작성용!AA:AA,"평가철회")</f>
        <v>0</v>
      </c>
    </row>
    <row r="291" spans="1:7" ht="16.5" customHeight="1" x14ac:dyDescent="0.3">
      <c r="A291" s="170" t="s">
        <v>789</v>
      </c>
      <c r="B291" s="165" t="s">
        <v>790</v>
      </c>
      <c r="C291" s="165" t="str">
        <f>IFERROR(VLOOKUP($A291,작성용!A:AL,14,0),"-")</f>
        <v>-</v>
      </c>
      <c r="D291" s="169" t="s">
        <v>6377</v>
      </c>
      <c r="E291" s="167" t="str">
        <f>IFERROR(VLOOKUP(A291,작성용!A:AL,34,0),"-")</f>
        <v>-</v>
      </c>
      <c r="F291" s="168" t="s">
        <v>6382</v>
      </c>
      <c r="G291" s="179">
        <f>COUNTIF(작성용!A:B,$A291)-COUNTIFS(작성용!A:A,$A291,작성용!AA:AA,"평가철회")</f>
        <v>0</v>
      </c>
    </row>
    <row r="292" spans="1:7" ht="16.5" customHeight="1" x14ac:dyDescent="0.3">
      <c r="A292" s="170" t="s">
        <v>791</v>
      </c>
      <c r="B292" s="165" t="s">
        <v>792</v>
      </c>
      <c r="C292" s="165" t="str">
        <f>IFERROR(VLOOKUP($A292,작성용!A:AL,14,0),"-")</f>
        <v>연말</v>
      </c>
      <c r="D292" s="169" t="s">
        <v>6385</v>
      </c>
      <c r="E292" s="167" t="str">
        <f>IFERROR(VLOOKUP(A292,작성용!A:AL,34,0),"-")</f>
        <v>김영하</v>
      </c>
      <c r="F292" s="168" t="s">
        <v>6378</v>
      </c>
      <c r="G292" s="179">
        <f>COUNTIF(작성용!A:B,$A292)-COUNTIFS(작성용!A:A,$A292,작성용!AA:AA,"평가철회")</f>
        <v>1</v>
      </c>
    </row>
    <row r="293" spans="1:7" ht="16.5" customHeight="1" x14ac:dyDescent="0.3">
      <c r="A293" s="170" t="s">
        <v>793</v>
      </c>
      <c r="B293" s="165" t="s">
        <v>3570</v>
      </c>
      <c r="C293" s="165" t="str">
        <f>IFERROR(VLOOKUP($A293,작성용!A:AL,14,0),"-")</f>
        <v>-</v>
      </c>
      <c r="D293" s="169" t="s">
        <v>6386</v>
      </c>
      <c r="E293" s="167" t="str">
        <f>IFERROR(VLOOKUP(A293,작성용!A:AL,34,0),"-")</f>
        <v>-</v>
      </c>
      <c r="F293" s="168" t="s">
        <v>6380</v>
      </c>
      <c r="G293" s="179">
        <f>COUNTIF(작성용!A:B,$A293)-COUNTIFS(작성용!A:A,$A293,작성용!AA:AA,"평가철회")</f>
        <v>0</v>
      </c>
    </row>
    <row r="294" spans="1:7" ht="16.5" customHeight="1" x14ac:dyDescent="0.3">
      <c r="A294" s="170" t="s">
        <v>794</v>
      </c>
      <c r="B294" s="165" t="s">
        <v>6387</v>
      </c>
      <c r="C294" s="165" t="str">
        <f>IFERROR(VLOOKUP($A294,작성용!A:AL,14,0),"-")</f>
        <v>-</v>
      </c>
      <c r="D294" s="169" t="s">
        <v>6383</v>
      </c>
      <c r="E294" s="167" t="str">
        <f>IFERROR(VLOOKUP(A294,작성용!A:AL,34,0),"-")</f>
        <v>-</v>
      </c>
      <c r="F294" s="168" t="s">
        <v>2</v>
      </c>
      <c r="G294" s="179">
        <f>COUNTIF(작성용!A:B,$A294)-COUNTIFS(작성용!A:A,$A294,작성용!AA:AA,"평가철회")</f>
        <v>0</v>
      </c>
    </row>
    <row r="295" spans="1:7" ht="16.5" customHeight="1" x14ac:dyDescent="0.3">
      <c r="A295" s="170" t="s">
        <v>795</v>
      </c>
      <c r="B295" s="165" t="s">
        <v>796</v>
      </c>
      <c r="C295" s="165" t="str">
        <f>IFERROR(VLOOKUP($A295,작성용!A:AL,14,0),"-")</f>
        <v>-</v>
      </c>
      <c r="D295" s="169" t="s">
        <v>6386</v>
      </c>
      <c r="E295" s="167" t="str">
        <f>IFERROR(VLOOKUP(A295,작성용!A:AL,34,0),"-")</f>
        <v>-</v>
      </c>
      <c r="F295" s="168" t="s">
        <v>6382</v>
      </c>
      <c r="G295" s="179">
        <f>COUNTIF(작성용!A:B,$A295)-COUNTIFS(작성용!A:A,$A295,작성용!AA:AA,"평가철회")</f>
        <v>0</v>
      </c>
    </row>
    <row r="296" spans="1:7" ht="16.5" customHeight="1" x14ac:dyDescent="0.3">
      <c r="A296" s="170" t="s">
        <v>797</v>
      </c>
      <c r="B296" s="165" t="s">
        <v>798</v>
      </c>
      <c r="C296" s="165" t="str">
        <f>IFERROR(VLOOKUP($A296,작성용!A:AL,14,0),"-")</f>
        <v>-</v>
      </c>
      <c r="D296" s="169" t="s">
        <v>6386</v>
      </c>
      <c r="E296" s="167" t="str">
        <f>IFERROR(VLOOKUP(A296,작성용!A:AL,34,0),"-")</f>
        <v>-</v>
      </c>
      <c r="F296" s="168" t="s">
        <v>6283</v>
      </c>
      <c r="G296" s="179">
        <f>COUNTIF(작성용!A:B,$A296)-COUNTIFS(작성용!A:A,$A296,작성용!AA:AA,"평가철회")</f>
        <v>0</v>
      </c>
    </row>
    <row r="297" spans="1:7" ht="16.5" customHeight="1" x14ac:dyDescent="0.3">
      <c r="A297" s="170" t="s">
        <v>799</v>
      </c>
      <c r="B297" s="165" t="s">
        <v>800</v>
      </c>
      <c r="C297" s="165" t="str">
        <f>IFERROR(VLOOKUP($A297,작성용!A:AL,14,0),"-")</f>
        <v>-</v>
      </c>
      <c r="D297" s="169" t="s">
        <v>6386</v>
      </c>
      <c r="E297" s="167" t="str">
        <f>IFERROR(VLOOKUP(A297,작성용!A:AL,34,0),"-")</f>
        <v>-</v>
      </c>
      <c r="F297" s="168" t="s">
        <v>6380</v>
      </c>
      <c r="G297" s="179">
        <f>COUNTIF(작성용!A:B,$A297)-COUNTIFS(작성용!A:A,$A297,작성용!AA:AA,"평가철회")</f>
        <v>0</v>
      </c>
    </row>
    <row r="298" spans="1:7" ht="16.5" customHeight="1" x14ac:dyDescent="0.3">
      <c r="A298" s="170" t="s">
        <v>801</v>
      </c>
      <c r="B298" s="165" t="s">
        <v>802</v>
      </c>
      <c r="C298" s="165" t="str">
        <f>IFERROR(VLOOKUP($A298,작성용!A:AL,14,0),"-")</f>
        <v>-</v>
      </c>
      <c r="D298" s="169" t="s">
        <v>6386</v>
      </c>
      <c r="E298" s="167" t="str">
        <f>IFERROR(VLOOKUP(A298,작성용!A:AL,34,0),"-")</f>
        <v>-</v>
      </c>
      <c r="F298" s="168" t="s">
        <v>6283</v>
      </c>
      <c r="G298" s="179">
        <f>COUNTIF(작성용!A:B,$A298)-COUNTIFS(작성용!A:A,$A298,작성용!AA:AA,"평가철회")</f>
        <v>0</v>
      </c>
    </row>
    <row r="299" spans="1:7" ht="16.5" customHeight="1" x14ac:dyDescent="0.3">
      <c r="A299" s="170" t="s">
        <v>803</v>
      </c>
      <c r="B299" s="165" t="s">
        <v>804</v>
      </c>
      <c r="C299" s="165" t="str">
        <f>IFERROR(VLOOKUP($A299,작성용!A:AL,14,0),"-")</f>
        <v>-</v>
      </c>
      <c r="D299" s="169" t="s">
        <v>6386</v>
      </c>
      <c r="E299" s="167" t="str">
        <f>IFERROR(VLOOKUP(A299,작성용!A:AL,34,0),"-")</f>
        <v>-</v>
      </c>
      <c r="F299" s="168" t="s">
        <v>6380</v>
      </c>
      <c r="G299" s="179">
        <f>COUNTIF(작성용!A:B,$A299)-COUNTIFS(작성용!A:A,$A299,작성용!AA:AA,"평가철회")</f>
        <v>0</v>
      </c>
    </row>
    <row r="300" spans="1:7" ht="16.5" customHeight="1" x14ac:dyDescent="0.3">
      <c r="A300" s="170" t="s">
        <v>805</v>
      </c>
      <c r="B300" s="165" t="s">
        <v>806</v>
      </c>
      <c r="C300" s="165" t="str">
        <f>IFERROR(VLOOKUP($A300,작성용!A:AL,14,0),"-")</f>
        <v>-</v>
      </c>
      <c r="D300" s="169" t="s">
        <v>6386</v>
      </c>
      <c r="E300" s="167" t="str">
        <f>IFERROR(VLOOKUP(A300,작성용!A:AL,34,0),"-")</f>
        <v>-</v>
      </c>
      <c r="F300" s="168" t="s">
        <v>6382</v>
      </c>
      <c r="G300" s="179">
        <f>COUNTIF(작성용!A:B,$A300)-COUNTIFS(작성용!A:A,$A300,작성용!AA:AA,"평가철회")</f>
        <v>0</v>
      </c>
    </row>
    <row r="301" spans="1:7" ht="16.5" customHeight="1" x14ac:dyDescent="0.3">
      <c r="A301" s="170" t="s">
        <v>807</v>
      </c>
      <c r="B301" s="165" t="s">
        <v>808</v>
      </c>
      <c r="C301" s="165" t="str">
        <f>IFERROR(VLOOKUP($A301,작성용!A:AL,14,0),"-")</f>
        <v>-</v>
      </c>
      <c r="D301" s="169" t="s">
        <v>6278</v>
      </c>
      <c r="E301" s="167" t="str">
        <f>IFERROR(VLOOKUP(A301,작성용!A:AL,34,0),"-")</f>
        <v>-</v>
      </c>
      <c r="F301" s="168" t="s">
        <v>6380</v>
      </c>
      <c r="G301" s="179">
        <f>COUNTIF(작성용!A:B,$A301)-COUNTIFS(작성용!A:A,$A301,작성용!AA:AA,"평가철회")</f>
        <v>0</v>
      </c>
    </row>
    <row r="302" spans="1:7" ht="16.5" customHeight="1" x14ac:dyDescent="0.3">
      <c r="A302" s="170" t="s">
        <v>809</v>
      </c>
      <c r="B302" s="165" t="s">
        <v>810</v>
      </c>
      <c r="C302" s="165" t="str">
        <f>IFERROR(VLOOKUP($A302,작성용!A:AL,14,0),"-")</f>
        <v>-</v>
      </c>
      <c r="D302" s="169" t="s">
        <v>6386</v>
      </c>
      <c r="E302" s="167" t="str">
        <f>IFERROR(VLOOKUP(A302,작성용!A:AL,34,0),"-")</f>
        <v>-</v>
      </c>
      <c r="F302" s="168" t="s">
        <v>6380</v>
      </c>
      <c r="G302" s="179">
        <f>COUNTIF(작성용!A:B,$A302)-COUNTIFS(작성용!A:A,$A302,작성용!AA:AA,"평가철회")</f>
        <v>0</v>
      </c>
    </row>
    <row r="303" spans="1:7" ht="16.5" customHeight="1" x14ac:dyDescent="0.3">
      <c r="A303" s="170" t="s">
        <v>811</v>
      </c>
      <c r="B303" s="165" t="s">
        <v>812</v>
      </c>
      <c r="C303" s="165" t="str">
        <f>IFERROR(VLOOKUP($A303,작성용!A:AL,14,0),"-")</f>
        <v>-</v>
      </c>
      <c r="D303" s="169" t="s">
        <v>6386</v>
      </c>
      <c r="E303" s="167" t="str">
        <f>IFERROR(VLOOKUP(A303,작성용!A:AL,34,0),"-")</f>
        <v>-</v>
      </c>
      <c r="F303" s="168" t="s">
        <v>6342</v>
      </c>
      <c r="G303" s="179">
        <f>COUNTIF(작성용!A:B,$A303)-COUNTIFS(작성용!A:A,$A303,작성용!AA:AA,"평가철회")</f>
        <v>0</v>
      </c>
    </row>
    <row r="304" spans="1:7" ht="16.5" customHeight="1" x14ac:dyDescent="0.3">
      <c r="A304" s="170" t="s">
        <v>813</v>
      </c>
      <c r="B304" s="165" t="s">
        <v>814</v>
      </c>
      <c r="C304" s="165" t="str">
        <f>IFERROR(VLOOKUP($A304,작성용!A:AL,14,0),"-")</f>
        <v>-</v>
      </c>
      <c r="D304" s="169" t="s">
        <v>6386</v>
      </c>
      <c r="E304" s="167" t="str">
        <f>IFERROR(VLOOKUP(A304,작성용!A:AL,34,0),"-")</f>
        <v>-</v>
      </c>
      <c r="F304" s="168" t="s">
        <v>6382</v>
      </c>
      <c r="G304" s="179">
        <f>COUNTIF(작성용!A:B,$A304)-COUNTIFS(작성용!A:A,$A304,작성용!AA:AA,"평가철회")</f>
        <v>0</v>
      </c>
    </row>
    <row r="305" spans="1:7" ht="16.5" customHeight="1" x14ac:dyDescent="0.3">
      <c r="A305" s="170" t="s">
        <v>815</v>
      </c>
      <c r="B305" s="165" t="s">
        <v>816</v>
      </c>
      <c r="C305" s="165" t="str">
        <f>IFERROR(VLOOKUP($A305,작성용!A:AL,14,0),"-")</f>
        <v>-</v>
      </c>
      <c r="D305" s="169" t="s">
        <v>6386</v>
      </c>
      <c r="E305" s="167" t="str">
        <f>IFERROR(VLOOKUP(A305,작성용!A:AL,34,0),"-")</f>
        <v>-</v>
      </c>
      <c r="F305" s="168" t="s">
        <v>6382</v>
      </c>
      <c r="G305" s="179">
        <f>COUNTIF(작성용!A:B,$A305)-COUNTIFS(작성용!A:A,$A305,작성용!AA:AA,"평가철회")</f>
        <v>0</v>
      </c>
    </row>
    <row r="306" spans="1:7" ht="16.5" customHeight="1" x14ac:dyDescent="0.3">
      <c r="A306" s="170" t="s">
        <v>817</v>
      </c>
      <c r="B306" s="165" t="s">
        <v>818</v>
      </c>
      <c r="C306" s="165" t="str">
        <f>IFERROR(VLOOKUP($A306,작성용!A:AL,14,0),"-")</f>
        <v>-</v>
      </c>
      <c r="D306" s="169" t="s">
        <v>6386</v>
      </c>
      <c r="E306" s="167" t="str">
        <f>IFERROR(VLOOKUP(A306,작성용!A:AL,34,0),"-")</f>
        <v>-</v>
      </c>
      <c r="F306" s="168" t="s">
        <v>6342</v>
      </c>
      <c r="G306" s="179">
        <f>COUNTIF(작성용!A:B,$A306)-COUNTIFS(작성용!A:A,$A306,작성용!AA:AA,"평가철회")</f>
        <v>0</v>
      </c>
    </row>
    <row r="307" spans="1:7" ht="16.5" customHeight="1" x14ac:dyDescent="0.3">
      <c r="A307" s="170" t="s">
        <v>819</v>
      </c>
      <c r="B307" s="165" t="s">
        <v>820</v>
      </c>
      <c r="C307" s="165" t="str">
        <f>IFERROR(VLOOKUP($A307,작성용!A:AL,14,0),"-")</f>
        <v>-</v>
      </c>
      <c r="D307" s="169" t="s">
        <v>6386</v>
      </c>
      <c r="E307" s="167" t="str">
        <f>IFERROR(VLOOKUP(A307,작성용!A:AL,34,0),"-")</f>
        <v>-</v>
      </c>
      <c r="F307" s="168" t="s">
        <v>6382</v>
      </c>
      <c r="G307" s="179">
        <f>COUNTIF(작성용!A:B,$A307)-COUNTIFS(작성용!A:A,$A307,작성용!AA:AA,"평가철회")</f>
        <v>0</v>
      </c>
    </row>
    <row r="308" spans="1:7" ht="16.5" customHeight="1" x14ac:dyDescent="0.3">
      <c r="A308" s="170" t="s">
        <v>821</v>
      </c>
      <c r="B308" s="165" t="s">
        <v>822</v>
      </c>
      <c r="C308" s="165" t="str">
        <f>IFERROR(VLOOKUP($A308,작성용!A:AL,14,0),"-")</f>
        <v>-</v>
      </c>
      <c r="D308" s="169" t="s">
        <v>6386</v>
      </c>
      <c r="E308" s="167" t="str">
        <f>IFERROR(VLOOKUP(A308,작성용!A:AL,34,0),"-")</f>
        <v>-</v>
      </c>
      <c r="F308" s="168" t="s">
        <v>6283</v>
      </c>
      <c r="G308" s="179">
        <f>COUNTIF(작성용!A:B,$A308)-COUNTIFS(작성용!A:A,$A308,작성용!AA:AA,"평가철회")</f>
        <v>0</v>
      </c>
    </row>
    <row r="309" spans="1:7" ht="16.5" customHeight="1" x14ac:dyDescent="0.3">
      <c r="A309" s="170" t="s">
        <v>823</v>
      </c>
      <c r="B309" s="165" t="s">
        <v>824</v>
      </c>
      <c r="C309" s="165" t="str">
        <f>IFERROR(VLOOKUP($A309,작성용!A:AL,14,0),"-")</f>
        <v>-</v>
      </c>
      <c r="D309" s="169" t="s">
        <v>6377</v>
      </c>
      <c r="E309" s="167" t="str">
        <f>IFERROR(VLOOKUP(A309,작성용!A:AL,34,0),"-")</f>
        <v>-</v>
      </c>
      <c r="F309" s="168" t="s">
        <v>6381</v>
      </c>
      <c r="G309" s="179">
        <f>COUNTIF(작성용!A:B,$A309)-COUNTIFS(작성용!A:A,$A309,작성용!AA:AA,"평가철회")</f>
        <v>0</v>
      </c>
    </row>
    <row r="310" spans="1:7" ht="16.5" customHeight="1" x14ac:dyDescent="0.3">
      <c r="A310" s="170" t="s">
        <v>825</v>
      </c>
      <c r="B310" s="165" t="s">
        <v>826</v>
      </c>
      <c r="C310" s="165" t="str">
        <f>IFERROR(VLOOKUP($A310,작성용!A:AL,14,0),"-")</f>
        <v>-</v>
      </c>
      <c r="D310" s="169" t="s">
        <v>6385</v>
      </c>
      <c r="E310" s="167" t="str">
        <f>IFERROR(VLOOKUP(A310,작성용!A:AL,34,0),"-")</f>
        <v>-</v>
      </c>
      <c r="F310" s="168" t="s">
        <v>6283</v>
      </c>
      <c r="G310" s="179">
        <f>COUNTIF(작성용!A:B,$A310)-COUNTIFS(작성용!A:A,$A310,작성용!AA:AA,"평가철회")</f>
        <v>0</v>
      </c>
    </row>
    <row r="311" spans="1:7" ht="16.5" customHeight="1" x14ac:dyDescent="0.3">
      <c r="A311" s="170" t="s">
        <v>827</v>
      </c>
      <c r="B311" s="165" t="s">
        <v>828</v>
      </c>
      <c r="C311" s="165" t="str">
        <f>IFERROR(VLOOKUP($A311,작성용!A:AL,14,0),"-")</f>
        <v>-</v>
      </c>
      <c r="D311" s="169" t="s">
        <v>2</v>
      </c>
      <c r="E311" s="167" t="str">
        <f>IFERROR(VLOOKUP(A311,작성용!A:AL,34,0),"-")</f>
        <v>-</v>
      </c>
      <c r="F311" s="168" t="s">
        <v>2</v>
      </c>
      <c r="G311" s="179">
        <f>COUNTIF(작성용!A:B,$A311)-COUNTIFS(작성용!A:A,$A311,작성용!AA:AA,"평가철회")</f>
        <v>0</v>
      </c>
    </row>
    <row r="312" spans="1:7" ht="16.5" customHeight="1" x14ac:dyDescent="0.3">
      <c r="A312" s="170" t="s">
        <v>829</v>
      </c>
      <c r="B312" s="165" t="s">
        <v>830</v>
      </c>
      <c r="C312" s="165" t="str">
        <f>IFERROR(VLOOKUP($A312,작성용!A:AL,14,0),"-")</f>
        <v>-</v>
      </c>
      <c r="D312" s="169" t="s">
        <v>2</v>
      </c>
      <c r="E312" s="167" t="str">
        <f>IFERROR(VLOOKUP(A312,작성용!A:AL,34,0),"-")</f>
        <v>-</v>
      </c>
      <c r="F312" s="168" t="s">
        <v>2</v>
      </c>
      <c r="G312" s="179">
        <f>COUNTIF(작성용!A:B,$A312)-COUNTIFS(작성용!A:A,$A312,작성용!AA:AA,"평가철회")</f>
        <v>0</v>
      </c>
    </row>
    <row r="313" spans="1:7" ht="16.5" customHeight="1" x14ac:dyDescent="0.3">
      <c r="A313" s="170" t="s">
        <v>831</v>
      </c>
      <c r="B313" s="165" t="s">
        <v>832</v>
      </c>
      <c r="C313" s="165" t="str">
        <f>IFERROR(VLOOKUP($A313,작성용!A:AL,14,0),"-")</f>
        <v>-</v>
      </c>
      <c r="D313" s="169" t="s">
        <v>2</v>
      </c>
      <c r="E313" s="167" t="str">
        <f>IFERROR(VLOOKUP(A313,작성용!A:AL,34,0),"-")</f>
        <v>-</v>
      </c>
      <c r="F313" s="168" t="s">
        <v>2</v>
      </c>
      <c r="G313" s="179">
        <f>COUNTIF(작성용!A:B,$A313)-COUNTIFS(작성용!A:A,$A313,작성용!AA:AA,"평가철회")</f>
        <v>0</v>
      </c>
    </row>
    <row r="314" spans="1:7" ht="16.5" customHeight="1" x14ac:dyDescent="0.3">
      <c r="A314" s="170" t="s">
        <v>833</v>
      </c>
      <c r="B314" s="165" t="s">
        <v>834</v>
      </c>
      <c r="C314" s="165" t="str">
        <f>IFERROR(VLOOKUP($A314,작성용!A:AL,14,0),"-")</f>
        <v>-</v>
      </c>
      <c r="D314" s="169" t="s">
        <v>2</v>
      </c>
      <c r="E314" s="167" t="str">
        <f>IFERROR(VLOOKUP(A314,작성용!A:AL,34,0),"-")</f>
        <v>-</v>
      </c>
      <c r="F314" s="168" t="s">
        <v>2</v>
      </c>
      <c r="G314" s="179">
        <f>COUNTIF(작성용!A:B,$A314)-COUNTIFS(작성용!A:A,$A314,작성용!AA:AA,"평가철회")</f>
        <v>0</v>
      </c>
    </row>
    <row r="315" spans="1:7" ht="16.5" customHeight="1" x14ac:dyDescent="0.3">
      <c r="A315" s="170" t="s">
        <v>835</v>
      </c>
      <c r="B315" s="165" t="s">
        <v>836</v>
      </c>
      <c r="C315" s="165" t="str">
        <f>IFERROR(VLOOKUP($A315,작성용!A:AL,14,0),"-")</f>
        <v>-</v>
      </c>
      <c r="D315" s="169" t="s">
        <v>2</v>
      </c>
      <c r="E315" s="167" t="str">
        <f>IFERROR(VLOOKUP(A315,작성용!A:AL,34,0),"-")</f>
        <v>-</v>
      </c>
      <c r="F315" s="168" t="s">
        <v>2</v>
      </c>
      <c r="G315" s="179">
        <f>COUNTIF(작성용!A:B,$A315)-COUNTIFS(작성용!A:A,$A315,작성용!AA:AA,"평가철회")</f>
        <v>0</v>
      </c>
    </row>
    <row r="316" spans="1:7" ht="16.5" customHeight="1" x14ac:dyDescent="0.3">
      <c r="A316" s="170" t="s">
        <v>837</v>
      </c>
      <c r="B316" s="165" t="s">
        <v>838</v>
      </c>
      <c r="C316" s="165" t="str">
        <f>IFERROR(VLOOKUP($A316,작성용!A:AL,14,0),"-")</f>
        <v>-</v>
      </c>
      <c r="D316" s="169" t="s">
        <v>6373</v>
      </c>
      <c r="E316" s="167" t="str">
        <f>IFERROR(VLOOKUP(A316,작성용!A:AL,34,0),"-")</f>
        <v>-</v>
      </c>
      <c r="F316" s="168" t="s">
        <v>2</v>
      </c>
      <c r="G316" s="179">
        <f>COUNTIF(작성용!A:B,$A316)-COUNTIFS(작성용!A:A,$A316,작성용!AA:AA,"평가철회")</f>
        <v>0</v>
      </c>
    </row>
    <row r="317" spans="1:7" ht="16.5" customHeight="1" x14ac:dyDescent="0.3">
      <c r="A317" s="170" t="s">
        <v>839</v>
      </c>
      <c r="B317" s="165" t="s">
        <v>840</v>
      </c>
      <c r="C317" s="165" t="str">
        <f>IFERROR(VLOOKUP($A317,작성용!A:AL,14,0),"-")</f>
        <v>-</v>
      </c>
      <c r="D317" s="169" t="s">
        <v>2</v>
      </c>
      <c r="E317" s="167" t="str">
        <f>IFERROR(VLOOKUP(A317,작성용!A:AL,34,0),"-")</f>
        <v>-</v>
      </c>
      <c r="F317" s="168" t="s">
        <v>2</v>
      </c>
      <c r="G317" s="179">
        <f>COUNTIF(작성용!A:B,$A317)-COUNTIFS(작성용!A:A,$A317,작성용!AA:AA,"평가철회")</f>
        <v>0</v>
      </c>
    </row>
    <row r="318" spans="1:7" ht="16.5" customHeight="1" x14ac:dyDescent="0.3">
      <c r="A318" s="170" t="s">
        <v>841</v>
      </c>
      <c r="B318" s="165" t="s">
        <v>842</v>
      </c>
      <c r="C318" s="165" t="str">
        <f>IFERROR(VLOOKUP($A318,작성용!A:AL,14,0),"-")</f>
        <v>-</v>
      </c>
      <c r="D318" s="169" t="s">
        <v>6388</v>
      </c>
      <c r="E318" s="167" t="str">
        <f>IFERROR(VLOOKUP(A318,작성용!A:AL,34,0),"-")</f>
        <v>-</v>
      </c>
      <c r="F318" s="168" t="s">
        <v>2</v>
      </c>
      <c r="G318" s="179">
        <f>COUNTIF(작성용!A:B,$A318)-COUNTIFS(작성용!A:A,$A318,작성용!AA:AA,"평가철회")</f>
        <v>0</v>
      </c>
    </row>
    <row r="319" spans="1:7" ht="16.5" customHeight="1" x14ac:dyDescent="0.3">
      <c r="A319" s="170" t="s">
        <v>843</v>
      </c>
      <c r="B319" s="165" t="s">
        <v>361</v>
      </c>
      <c r="C319" s="165" t="str">
        <f>IFERROR(VLOOKUP($A319,작성용!A:AL,14,0),"-")</f>
        <v>-</v>
      </c>
      <c r="D319" s="169" t="s">
        <v>6373</v>
      </c>
      <c r="E319" s="167" t="str">
        <f>IFERROR(VLOOKUP(A319,작성용!A:AL,34,0),"-")</f>
        <v>-</v>
      </c>
      <c r="F319" s="168" t="s">
        <v>2</v>
      </c>
      <c r="G319" s="179">
        <f>COUNTIF(작성용!A:B,$A319)-COUNTIFS(작성용!A:A,$A319,작성용!AA:AA,"평가철회")</f>
        <v>0</v>
      </c>
    </row>
    <row r="320" spans="1:7" ht="16.5" customHeight="1" x14ac:dyDescent="0.3">
      <c r="A320" s="170" t="s">
        <v>844</v>
      </c>
      <c r="B320" s="165" t="s">
        <v>845</v>
      </c>
      <c r="C320" s="165" t="str">
        <f>IFERROR(VLOOKUP($A320,작성용!A:AL,14,0),"-")</f>
        <v>-</v>
      </c>
      <c r="D320" s="169" t="s">
        <v>6389</v>
      </c>
      <c r="E320" s="167" t="str">
        <f>IFERROR(VLOOKUP(A320,작성용!A:AL,34,0),"-")</f>
        <v>-</v>
      </c>
      <c r="F320" s="168" t="s">
        <v>2</v>
      </c>
      <c r="G320" s="179">
        <f>COUNTIF(작성용!A:B,$A320)-COUNTIFS(작성용!A:A,$A320,작성용!AA:AA,"평가철회")</f>
        <v>0</v>
      </c>
    </row>
    <row r="321" spans="1:7" ht="16.5" customHeight="1" x14ac:dyDescent="0.3">
      <c r="A321" s="170" t="s">
        <v>846</v>
      </c>
      <c r="B321" s="165" t="s">
        <v>847</v>
      </c>
      <c r="C321" s="165" t="str">
        <f>IFERROR(VLOOKUP($A321,작성용!A:AL,14,0),"-")</f>
        <v>-</v>
      </c>
      <c r="D321" s="169" t="s">
        <v>6390</v>
      </c>
      <c r="E321" s="167" t="str">
        <f>IFERROR(VLOOKUP(A321,작성용!A:AL,34,0),"-")</f>
        <v>-</v>
      </c>
      <c r="F321" s="168" t="s">
        <v>6270</v>
      </c>
      <c r="G321" s="179">
        <f>COUNTIF(작성용!A:B,$A321)-COUNTIFS(작성용!A:A,$A321,작성용!AA:AA,"평가철회")</f>
        <v>0</v>
      </c>
    </row>
    <row r="322" spans="1:7" ht="16.5" customHeight="1" x14ac:dyDescent="0.3">
      <c r="A322" s="170" t="s">
        <v>848</v>
      </c>
      <c r="B322" s="165" t="s">
        <v>849</v>
      </c>
      <c r="C322" s="165" t="str">
        <f>IFERROR(VLOOKUP($A322,작성용!A:AL,14,0),"-")</f>
        <v>-</v>
      </c>
      <c r="D322" s="169" t="s">
        <v>6373</v>
      </c>
      <c r="E322" s="167" t="str">
        <f>IFERROR(VLOOKUP(A322,작성용!A:AL,34,0),"-")</f>
        <v>-</v>
      </c>
      <c r="F322" s="168" t="s">
        <v>2</v>
      </c>
      <c r="G322" s="179">
        <f>COUNTIF(작성용!A:B,$A322)-COUNTIFS(작성용!A:A,$A322,작성용!AA:AA,"평가철회")</f>
        <v>0</v>
      </c>
    </row>
    <row r="323" spans="1:7" ht="16.5" customHeight="1" x14ac:dyDescent="0.3">
      <c r="A323" s="170" t="s">
        <v>850</v>
      </c>
      <c r="B323" s="165" t="s">
        <v>851</v>
      </c>
      <c r="C323" s="165" t="str">
        <f>IFERROR(VLOOKUP($A323,작성용!A:AL,14,0),"-")</f>
        <v>-</v>
      </c>
      <c r="D323" s="169" t="s">
        <v>6391</v>
      </c>
      <c r="E323" s="167" t="str">
        <f>IFERROR(VLOOKUP(A323,작성용!A:AL,34,0),"-")</f>
        <v>-</v>
      </c>
      <c r="F323" s="168" t="s">
        <v>6381</v>
      </c>
      <c r="G323" s="179">
        <f>COUNTIF(작성용!A:B,$A323)-COUNTIFS(작성용!A:A,$A323,작성용!AA:AA,"평가철회")</f>
        <v>0</v>
      </c>
    </row>
    <row r="324" spans="1:7" ht="16.5" customHeight="1" x14ac:dyDescent="0.3">
      <c r="A324" s="170" t="s">
        <v>852</v>
      </c>
      <c r="B324" s="165" t="s">
        <v>853</v>
      </c>
      <c r="C324" s="165" t="str">
        <f>IFERROR(VLOOKUP($A324,작성용!A:AL,14,0),"-")</f>
        <v>-</v>
      </c>
      <c r="D324" s="169" t="s">
        <v>6392</v>
      </c>
      <c r="E324" s="167" t="str">
        <f>IFERROR(VLOOKUP(A324,작성용!A:AL,34,0),"-")</f>
        <v>-</v>
      </c>
      <c r="F324" s="168" t="s">
        <v>6270</v>
      </c>
      <c r="G324" s="179">
        <f>COUNTIF(작성용!A:B,$A324)-COUNTIFS(작성용!A:A,$A324,작성용!AA:AA,"평가철회")</f>
        <v>0</v>
      </c>
    </row>
    <row r="325" spans="1:7" ht="16.5" customHeight="1" x14ac:dyDescent="0.3">
      <c r="A325" s="170" t="s">
        <v>854</v>
      </c>
      <c r="B325" s="165" t="s">
        <v>602</v>
      </c>
      <c r="C325" s="165" t="str">
        <f>IFERROR(VLOOKUP($A325,작성용!A:AL,14,0),"-")</f>
        <v>-</v>
      </c>
      <c r="D325" s="169" t="s">
        <v>6373</v>
      </c>
      <c r="E325" s="167" t="str">
        <f>IFERROR(VLOOKUP(A325,작성용!A:AL,34,0),"-")</f>
        <v>-</v>
      </c>
      <c r="F325" s="168" t="s">
        <v>6382</v>
      </c>
      <c r="G325" s="179">
        <f>COUNTIF(작성용!A:B,$A325)-COUNTIFS(작성용!A:A,$A325,작성용!AA:AA,"평가철회")</f>
        <v>0</v>
      </c>
    </row>
    <row r="326" spans="1:7" ht="16.5" customHeight="1" x14ac:dyDescent="0.3">
      <c r="A326" s="170" t="s">
        <v>855</v>
      </c>
      <c r="B326" s="165" t="s">
        <v>710</v>
      </c>
      <c r="C326" s="165" t="str">
        <f>IFERROR(VLOOKUP($A326,작성용!A:AL,14,0),"-")</f>
        <v>-</v>
      </c>
      <c r="D326" s="169" t="s">
        <v>6393</v>
      </c>
      <c r="E326" s="167" t="str">
        <f>IFERROR(VLOOKUP(A326,작성용!A:AL,34,0),"-")</f>
        <v>-</v>
      </c>
      <c r="F326" s="168" t="s">
        <v>6380</v>
      </c>
      <c r="G326" s="179">
        <f>COUNTIF(작성용!A:B,$A326)-COUNTIFS(작성용!A:A,$A326,작성용!AA:AA,"평가철회")</f>
        <v>0</v>
      </c>
    </row>
    <row r="327" spans="1:7" ht="16.5" customHeight="1" x14ac:dyDescent="0.3">
      <c r="A327" s="170" t="s">
        <v>856</v>
      </c>
      <c r="B327" s="165" t="s">
        <v>857</v>
      </c>
      <c r="C327" s="165" t="str">
        <f>IFERROR(VLOOKUP($A327,작성용!A:AL,14,0),"-")</f>
        <v>-</v>
      </c>
      <c r="D327" s="169" t="s">
        <v>6394</v>
      </c>
      <c r="E327" s="167" t="str">
        <f>IFERROR(VLOOKUP(A327,작성용!A:AL,34,0),"-")</f>
        <v>-</v>
      </c>
      <c r="F327" s="168" t="s">
        <v>6270</v>
      </c>
      <c r="G327" s="179">
        <f>COUNTIF(작성용!A:B,$A327)-COUNTIFS(작성용!A:A,$A327,작성용!AA:AA,"평가철회")</f>
        <v>0</v>
      </c>
    </row>
    <row r="328" spans="1:7" ht="16.5" customHeight="1" x14ac:dyDescent="0.3">
      <c r="A328" s="170" t="s">
        <v>858</v>
      </c>
      <c r="B328" s="165" t="s">
        <v>859</v>
      </c>
      <c r="C328" s="165" t="str">
        <f>IFERROR(VLOOKUP($A328,작성용!A:AL,14,0),"-")</f>
        <v>-</v>
      </c>
      <c r="D328" s="169" t="s">
        <v>305</v>
      </c>
      <c r="E328" s="167" t="str">
        <f>IFERROR(VLOOKUP(A328,작성용!A:AL,34,0),"-")</f>
        <v>-</v>
      </c>
      <c r="F328" s="168" t="s">
        <v>6381</v>
      </c>
      <c r="G328" s="179">
        <f>COUNTIF(작성용!A:B,$A328)-COUNTIFS(작성용!A:A,$A328,작성용!AA:AA,"평가철회")</f>
        <v>0</v>
      </c>
    </row>
    <row r="329" spans="1:7" ht="16.5" customHeight="1" x14ac:dyDescent="0.3">
      <c r="A329" s="170" t="s">
        <v>860</v>
      </c>
      <c r="B329" s="165" t="s">
        <v>832</v>
      </c>
      <c r="C329" s="165" t="str">
        <f>IFERROR(VLOOKUP($A329,작성용!A:AL,14,0),"-")</f>
        <v>-</v>
      </c>
      <c r="D329" s="169" t="s">
        <v>6373</v>
      </c>
      <c r="E329" s="167" t="str">
        <f>IFERROR(VLOOKUP(A329,작성용!A:AL,34,0),"-")</f>
        <v>-</v>
      </c>
      <c r="F329" s="168" t="s">
        <v>2</v>
      </c>
      <c r="G329" s="179">
        <f>COUNTIF(작성용!A:B,$A329)-COUNTIFS(작성용!A:A,$A329,작성용!AA:AA,"평가철회")</f>
        <v>0</v>
      </c>
    </row>
    <row r="330" spans="1:7" ht="16.5" customHeight="1" x14ac:dyDescent="0.3">
      <c r="A330" s="170" t="s">
        <v>861</v>
      </c>
      <c r="B330" s="165" t="s">
        <v>862</v>
      </c>
      <c r="C330" s="165" t="str">
        <f>IFERROR(VLOOKUP($A330,작성용!A:AL,14,0),"-")</f>
        <v>-</v>
      </c>
      <c r="D330" s="169" t="s">
        <v>6395</v>
      </c>
      <c r="E330" s="167" t="str">
        <f>IFERROR(VLOOKUP(A330,작성용!A:AL,34,0),"-")</f>
        <v>-</v>
      </c>
      <c r="F330" s="168" t="s">
        <v>6270</v>
      </c>
      <c r="G330" s="179">
        <f>COUNTIF(작성용!A:B,$A330)-COUNTIFS(작성용!A:A,$A330,작성용!AA:AA,"평가철회")</f>
        <v>0</v>
      </c>
    </row>
    <row r="331" spans="1:7" ht="16.5" customHeight="1" x14ac:dyDescent="0.3">
      <c r="A331" s="170" t="s">
        <v>863</v>
      </c>
      <c r="B331" s="165" t="s">
        <v>864</v>
      </c>
      <c r="C331" s="165" t="str">
        <f>IFERROR(VLOOKUP($A331,작성용!A:AL,14,0),"-")</f>
        <v>-</v>
      </c>
      <c r="D331" s="169" t="s">
        <v>305</v>
      </c>
      <c r="E331" s="167" t="str">
        <f>IFERROR(VLOOKUP(A331,작성용!A:AL,34,0),"-")</f>
        <v>-</v>
      </c>
      <c r="F331" s="168" t="s">
        <v>6270</v>
      </c>
      <c r="G331" s="179">
        <f>COUNTIF(작성용!A:B,$A331)-COUNTIFS(작성용!A:A,$A331,작성용!AA:AA,"평가철회")</f>
        <v>0</v>
      </c>
    </row>
    <row r="332" spans="1:7" ht="16.5" customHeight="1" x14ac:dyDescent="0.3">
      <c r="A332" s="170" t="s">
        <v>865</v>
      </c>
      <c r="B332" s="165" t="s">
        <v>866</v>
      </c>
      <c r="C332" s="165" t="str">
        <f>IFERROR(VLOOKUP($A332,작성용!A:AL,14,0),"-")</f>
        <v>-</v>
      </c>
      <c r="D332" s="169" t="s">
        <v>6396</v>
      </c>
      <c r="E332" s="167" t="str">
        <f>IFERROR(VLOOKUP(A332,작성용!A:AL,34,0),"-")</f>
        <v>-</v>
      </c>
      <c r="F332" s="168" t="s">
        <v>2</v>
      </c>
      <c r="G332" s="179">
        <f>COUNTIF(작성용!A:B,$A332)-COUNTIFS(작성용!A:A,$A332,작성용!AA:AA,"평가철회")</f>
        <v>0</v>
      </c>
    </row>
    <row r="333" spans="1:7" ht="16.5" customHeight="1" x14ac:dyDescent="0.3">
      <c r="A333" s="170" t="s">
        <v>867</v>
      </c>
      <c r="B333" s="165" t="s">
        <v>868</v>
      </c>
      <c r="C333" s="165" t="str">
        <f>IFERROR(VLOOKUP($A333,작성용!A:AL,14,0),"-")</f>
        <v>-</v>
      </c>
      <c r="D333" s="169" t="s">
        <v>6397</v>
      </c>
      <c r="E333" s="167" t="str">
        <f>IFERROR(VLOOKUP(A333,작성용!A:AL,34,0),"-")</f>
        <v>-</v>
      </c>
      <c r="F333" s="168" t="s">
        <v>6304</v>
      </c>
      <c r="G333" s="179">
        <f>COUNTIF(작성용!A:B,$A333)-COUNTIFS(작성용!A:A,$A333,작성용!AA:AA,"평가철회")</f>
        <v>0</v>
      </c>
    </row>
    <row r="334" spans="1:7" ht="16.5" customHeight="1" x14ac:dyDescent="0.3">
      <c r="A334" s="170" t="s">
        <v>869</v>
      </c>
      <c r="B334" s="165" t="s">
        <v>870</v>
      </c>
      <c r="C334" s="165" t="str">
        <f>IFERROR(VLOOKUP($A334,작성용!A:AL,14,0),"-")</f>
        <v>-</v>
      </c>
      <c r="D334" s="169" t="s">
        <v>6394</v>
      </c>
      <c r="E334" s="167" t="str">
        <f>IFERROR(VLOOKUP(A334,작성용!A:AL,34,0),"-")</f>
        <v>-</v>
      </c>
      <c r="F334" s="168" t="s">
        <v>2</v>
      </c>
      <c r="G334" s="179">
        <f>COUNTIF(작성용!A:B,$A334)-COUNTIFS(작성용!A:A,$A334,작성용!AA:AA,"평가철회")</f>
        <v>0</v>
      </c>
    </row>
    <row r="335" spans="1:7" ht="16.5" customHeight="1" x14ac:dyDescent="0.3">
      <c r="A335" s="170" t="s">
        <v>871</v>
      </c>
      <c r="B335" s="165" t="s">
        <v>872</v>
      </c>
      <c r="C335" s="165" t="str">
        <f>IFERROR(VLOOKUP($A335,작성용!A:AL,14,0),"-")</f>
        <v>-</v>
      </c>
      <c r="D335" s="169" t="s">
        <v>6373</v>
      </c>
      <c r="E335" s="167" t="str">
        <f>IFERROR(VLOOKUP(A335,작성용!A:AL,34,0),"-")</f>
        <v>-</v>
      </c>
      <c r="F335" s="168" t="s">
        <v>2</v>
      </c>
      <c r="G335" s="179">
        <f>COUNTIF(작성용!A:B,$A335)-COUNTIFS(작성용!A:A,$A335,작성용!AA:AA,"평가철회")</f>
        <v>0</v>
      </c>
    </row>
    <row r="336" spans="1:7" ht="16.5" customHeight="1" x14ac:dyDescent="0.3">
      <c r="A336" s="170" t="s">
        <v>873</v>
      </c>
      <c r="B336" s="165" t="s">
        <v>874</v>
      </c>
      <c r="C336" s="165" t="str">
        <f>IFERROR(VLOOKUP($A336,작성용!A:AL,14,0),"-")</f>
        <v>-</v>
      </c>
      <c r="D336" s="169" t="s">
        <v>6398</v>
      </c>
      <c r="E336" s="167" t="str">
        <f>IFERROR(VLOOKUP(A336,작성용!A:AL,34,0),"-")</f>
        <v>-</v>
      </c>
      <c r="F336" s="168" t="s">
        <v>2</v>
      </c>
      <c r="G336" s="179">
        <f>COUNTIF(작성용!A:B,$A336)-COUNTIFS(작성용!A:A,$A336,작성용!AA:AA,"평가철회")</f>
        <v>0</v>
      </c>
    </row>
    <row r="337" spans="1:7" ht="16.5" customHeight="1" x14ac:dyDescent="0.3">
      <c r="A337" s="170" t="s">
        <v>875</v>
      </c>
      <c r="B337" s="165" t="s">
        <v>876</v>
      </c>
      <c r="C337" s="165" t="str">
        <f>IFERROR(VLOOKUP($A337,작성용!A:AL,14,0),"-")</f>
        <v>-</v>
      </c>
      <c r="D337" s="169" t="s">
        <v>362</v>
      </c>
      <c r="E337" s="167" t="str">
        <f>IFERROR(VLOOKUP(A337,작성용!A:AL,34,0),"-")</f>
        <v>-</v>
      </c>
      <c r="F337" s="168" t="s">
        <v>6381</v>
      </c>
      <c r="G337" s="179">
        <f>COUNTIF(작성용!A:B,$A337)-COUNTIFS(작성용!A:A,$A337,작성용!AA:AA,"평가철회")</f>
        <v>0</v>
      </c>
    </row>
    <row r="338" spans="1:7" ht="16.5" customHeight="1" x14ac:dyDescent="0.3">
      <c r="A338" s="170" t="s">
        <v>877</v>
      </c>
      <c r="B338" s="165" t="s">
        <v>878</v>
      </c>
      <c r="C338" s="165" t="str">
        <f>IFERROR(VLOOKUP($A338,작성용!A:AL,14,0),"-")</f>
        <v>-</v>
      </c>
      <c r="D338" s="169" t="s">
        <v>6373</v>
      </c>
      <c r="E338" s="167" t="str">
        <f>IFERROR(VLOOKUP(A338,작성용!A:AL,34,0),"-")</f>
        <v>-</v>
      </c>
      <c r="F338" s="168" t="s">
        <v>2</v>
      </c>
      <c r="G338" s="179">
        <f>COUNTIF(작성용!A:B,$A338)-COUNTIFS(작성용!A:A,$A338,작성용!AA:AA,"평가철회")</f>
        <v>0</v>
      </c>
    </row>
    <row r="339" spans="1:7" ht="16.5" customHeight="1" x14ac:dyDescent="0.3">
      <c r="A339" s="170" t="s">
        <v>879</v>
      </c>
      <c r="B339" s="165" t="s">
        <v>880</v>
      </c>
      <c r="C339" s="165" t="str">
        <f>IFERROR(VLOOKUP($A339,작성용!A:AL,14,0),"-")</f>
        <v>-</v>
      </c>
      <c r="D339" s="169" t="s">
        <v>6373</v>
      </c>
      <c r="E339" s="167" t="str">
        <f>IFERROR(VLOOKUP(A339,작성용!A:AL,34,0),"-")</f>
        <v>-</v>
      </c>
      <c r="F339" s="168" t="s">
        <v>2</v>
      </c>
      <c r="G339" s="179">
        <f>COUNTIF(작성용!A:B,$A339)-COUNTIFS(작성용!A:A,$A339,작성용!AA:AA,"평가철회")</f>
        <v>0</v>
      </c>
    </row>
    <row r="340" spans="1:7" ht="16.5" customHeight="1" x14ac:dyDescent="0.3">
      <c r="A340" s="170" t="s">
        <v>881</v>
      </c>
      <c r="B340" s="165" t="s">
        <v>882</v>
      </c>
      <c r="C340" s="165" t="str">
        <f>IFERROR(VLOOKUP($A340,작성용!A:AL,14,0),"-")</f>
        <v>-</v>
      </c>
      <c r="D340" s="169" t="s">
        <v>6373</v>
      </c>
      <c r="E340" s="167" t="str">
        <f>IFERROR(VLOOKUP(A340,작성용!A:AL,34,0),"-")</f>
        <v>-</v>
      </c>
      <c r="F340" s="168" t="s">
        <v>2</v>
      </c>
      <c r="G340" s="179">
        <f>COUNTIF(작성용!A:B,$A340)-COUNTIFS(작성용!A:A,$A340,작성용!AA:AA,"평가철회")</f>
        <v>0</v>
      </c>
    </row>
    <row r="341" spans="1:7" ht="16.5" customHeight="1" x14ac:dyDescent="0.3">
      <c r="A341" s="170" t="s">
        <v>883</v>
      </c>
      <c r="B341" s="165" t="s">
        <v>884</v>
      </c>
      <c r="C341" s="165" t="str">
        <f>IFERROR(VLOOKUP($A341,작성용!A:AL,14,0),"-")</f>
        <v>-</v>
      </c>
      <c r="D341" s="169" t="s">
        <v>6373</v>
      </c>
      <c r="E341" s="167" t="str">
        <f>IFERROR(VLOOKUP(A341,작성용!A:AL,34,0),"-")</f>
        <v>-</v>
      </c>
      <c r="F341" s="168" t="s">
        <v>2</v>
      </c>
      <c r="G341" s="179">
        <f>COUNTIF(작성용!A:B,$A341)-COUNTIFS(작성용!A:A,$A341,작성용!AA:AA,"평가철회")</f>
        <v>0</v>
      </c>
    </row>
    <row r="342" spans="1:7" ht="16.5" customHeight="1" x14ac:dyDescent="0.3">
      <c r="A342" s="170" t="s">
        <v>885</v>
      </c>
      <c r="B342" s="165" t="s">
        <v>886</v>
      </c>
      <c r="C342" s="165" t="str">
        <f>IFERROR(VLOOKUP($A342,작성용!A:AL,14,0),"-")</f>
        <v>-</v>
      </c>
      <c r="D342" s="169" t="s">
        <v>362</v>
      </c>
      <c r="E342" s="167" t="str">
        <f>IFERROR(VLOOKUP(A342,작성용!A:AL,34,0),"-")</f>
        <v>-</v>
      </c>
      <c r="F342" s="168" t="s">
        <v>2</v>
      </c>
      <c r="G342" s="179">
        <f>COUNTIF(작성용!A:B,$A342)-COUNTIFS(작성용!A:A,$A342,작성용!AA:AA,"평가철회")</f>
        <v>0</v>
      </c>
    </row>
    <row r="343" spans="1:7" ht="16.5" customHeight="1" x14ac:dyDescent="0.3">
      <c r="A343" s="170" t="s">
        <v>887</v>
      </c>
      <c r="B343" s="165" t="s">
        <v>888</v>
      </c>
      <c r="C343" s="165" t="str">
        <f>IFERROR(VLOOKUP($A343,작성용!A:AL,14,0),"-")</f>
        <v>-</v>
      </c>
      <c r="D343" s="169" t="s">
        <v>6398</v>
      </c>
      <c r="E343" s="167" t="str">
        <f>IFERROR(VLOOKUP(A343,작성용!A:AL,34,0),"-")</f>
        <v>-</v>
      </c>
      <c r="F343" s="168" t="s">
        <v>6378</v>
      </c>
      <c r="G343" s="179">
        <f>COUNTIF(작성용!A:B,$A343)-COUNTIFS(작성용!A:A,$A343,작성용!AA:AA,"평가철회")</f>
        <v>0</v>
      </c>
    </row>
    <row r="344" spans="1:7" ht="16.5" customHeight="1" x14ac:dyDescent="0.3">
      <c r="A344" s="170" t="s">
        <v>889</v>
      </c>
      <c r="B344" s="165" t="s">
        <v>890</v>
      </c>
      <c r="C344" s="165" t="str">
        <f>IFERROR(VLOOKUP($A344,작성용!A:AL,14,0),"-")</f>
        <v>-</v>
      </c>
      <c r="D344" s="169" t="s">
        <v>6398</v>
      </c>
      <c r="E344" s="167" t="str">
        <f>IFERROR(VLOOKUP(A344,작성용!A:AL,34,0),"-")</f>
        <v>-</v>
      </c>
      <c r="F344" s="168" t="s">
        <v>6304</v>
      </c>
      <c r="G344" s="179">
        <f>COUNTIF(작성용!A:B,$A344)-COUNTIFS(작성용!A:A,$A344,작성용!AA:AA,"평가철회")</f>
        <v>0</v>
      </c>
    </row>
    <row r="345" spans="1:7" ht="16.5" customHeight="1" x14ac:dyDescent="0.3">
      <c r="A345" s="170" t="s">
        <v>891</v>
      </c>
      <c r="B345" s="165" t="s">
        <v>892</v>
      </c>
      <c r="C345" s="165" t="str">
        <f>IFERROR(VLOOKUP($A345,작성용!A:AL,14,0),"-")</f>
        <v>-</v>
      </c>
      <c r="D345" s="169" t="s">
        <v>220</v>
      </c>
      <c r="E345" s="167" t="str">
        <f>IFERROR(VLOOKUP(A345,작성용!A:AL,34,0),"-")</f>
        <v>-</v>
      </c>
      <c r="F345" s="168" t="s">
        <v>6382</v>
      </c>
      <c r="G345" s="179">
        <f>COUNTIF(작성용!A:B,$A345)-COUNTIFS(작성용!A:A,$A345,작성용!AA:AA,"평가철회")</f>
        <v>0</v>
      </c>
    </row>
    <row r="346" spans="1:7" ht="16.5" customHeight="1" x14ac:dyDescent="0.3">
      <c r="A346" s="170" t="s">
        <v>893</v>
      </c>
      <c r="B346" s="165" t="s">
        <v>894</v>
      </c>
      <c r="C346" s="165" t="str">
        <f>IFERROR(VLOOKUP($A346,작성용!A:AL,14,0),"-")</f>
        <v>-</v>
      </c>
      <c r="D346" s="169" t="s">
        <v>220</v>
      </c>
      <c r="E346" s="167" t="str">
        <f>IFERROR(VLOOKUP(A346,작성용!A:AL,34,0),"-")</f>
        <v>-</v>
      </c>
      <c r="F346" s="168" t="s">
        <v>2</v>
      </c>
      <c r="G346" s="179">
        <f>COUNTIF(작성용!A:B,$A346)-COUNTIFS(작성용!A:A,$A346,작성용!AA:AA,"평가철회")</f>
        <v>0</v>
      </c>
    </row>
    <row r="347" spans="1:7" ht="16.5" customHeight="1" x14ac:dyDescent="0.3">
      <c r="A347" s="170" t="s">
        <v>895</v>
      </c>
      <c r="B347" s="165" t="s">
        <v>896</v>
      </c>
      <c r="C347" s="165" t="str">
        <f>IFERROR(VLOOKUP($A347,작성용!A:AL,14,0),"-")</f>
        <v>-</v>
      </c>
      <c r="D347" s="169" t="s">
        <v>220</v>
      </c>
      <c r="E347" s="167" t="str">
        <f>IFERROR(VLOOKUP(A347,작성용!A:AL,34,0),"-")</f>
        <v>-</v>
      </c>
      <c r="F347" s="168" t="s">
        <v>6382</v>
      </c>
      <c r="G347" s="179">
        <f>COUNTIF(작성용!A:B,$A347)-COUNTIFS(작성용!A:A,$A347,작성용!AA:AA,"평가철회")</f>
        <v>0</v>
      </c>
    </row>
    <row r="348" spans="1:7" ht="16.5" customHeight="1" x14ac:dyDescent="0.3">
      <c r="A348" s="170" t="s">
        <v>24</v>
      </c>
      <c r="B348" s="165" t="s">
        <v>897</v>
      </c>
      <c r="C348" s="165" t="str">
        <f>IFERROR(VLOOKUP($A348,작성용!A:AL,14,0),"-")</f>
        <v>월</v>
      </c>
      <c r="D348" s="169" t="s">
        <v>220</v>
      </c>
      <c r="E348" s="167" t="str">
        <f>IFERROR(VLOOKUP(A348,작성용!A:AL,34,0),"-")</f>
        <v>메자닌평가팀</v>
      </c>
      <c r="F348" s="168" t="s">
        <v>6399</v>
      </c>
      <c r="G348" s="179">
        <f>COUNTIF(작성용!A:B,$A348)-COUNTIFS(작성용!A:A,$A348,작성용!AA:AA,"평가철회")</f>
        <v>2</v>
      </c>
    </row>
    <row r="349" spans="1:7" ht="16.5" customHeight="1" x14ac:dyDescent="0.3">
      <c r="A349" s="170" t="s">
        <v>898</v>
      </c>
      <c r="B349" s="165" t="s">
        <v>899</v>
      </c>
      <c r="C349" s="165" t="str">
        <f>IFERROR(VLOOKUP($A349,작성용!A:AL,14,0),"-")</f>
        <v>-</v>
      </c>
      <c r="D349" s="169" t="s">
        <v>220</v>
      </c>
      <c r="E349" s="167" t="str">
        <f>IFERROR(VLOOKUP(A349,작성용!A:AL,34,0),"-")</f>
        <v>-</v>
      </c>
      <c r="F349" s="168" t="s">
        <v>2</v>
      </c>
      <c r="G349" s="179">
        <f>COUNTIF(작성용!A:B,$A349)-COUNTIFS(작성용!A:A,$A349,작성용!AA:AA,"평가철회")</f>
        <v>0</v>
      </c>
    </row>
    <row r="350" spans="1:7" ht="16.5" customHeight="1" x14ac:dyDescent="0.3">
      <c r="A350" s="170" t="s">
        <v>900</v>
      </c>
      <c r="B350" s="165" t="s">
        <v>901</v>
      </c>
      <c r="C350" s="165" t="str">
        <f>IFERROR(VLOOKUP($A350,작성용!A:AL,14,0),"-")</f>
        <v>-</v>
      </c>
      <c r="D350" s="169" t="s">
        <v>220</v>
      </c>
      <c r="E350" s="167" t="str">
        <f>IFERROR(VLOOKUP(A350,작성용!A:AL,34,0),"-")</f>
        <v>-</v>
      </c>
      <c r="F350" s="168" t="s">
        <v>2</v>
      </c>
      <c r="G350" s="179">
        <f>COUNTIF(작성용!A:B,$A350)-COUNTIFS(작성용!A:A,$A350,작성용!AA:AA,"평가철회")</f>
        <v>0</v>
      </c>
    </row>
    <row r="351" spans="1:7" ht="16.5" customHeight="1" x14ac:dyDescent="0.3">
      <c r="A351" s="170" t="s">
        <v>902</v>
      </c>
      <c r="B351" s="165" t="s">
        <v>903</v>
      </c>
      <c r="C351" s="165" t="str">
        <f>IFERROR(VLOOKUP($A351,작성용!A:AL,14,0),"-")</f>
        <v>-</v>
      </c>
      <c r="D351" s="169" t="s">
        <v>220</v>
      </c>
      <c r="E351" s="167" t="str">
        <f>IFERROR(VLOOKUP(A351,작성용!A:AL,34,0),"-")</f>
        <v>-</v>
      </c>
      <c r="F351" s="168" t="s">
        <v>2</v>
      </c>
      <c r="G351" s="179">
        <f>COUNTIF(작성용!A:B,$A351)-COUNTIFS(작성용!A:A,$A351,작성용!AA:AA,"평가철회")</f>
        <v>0</v>
      </c>
    </row>
    <row r="352" spans="1:7" ht="16.5" customHeight="1" x14ac:dyDescent="0.3">
      <c r="A352" s="170" t="s">
        <v>904</v>
      </c>
      <c r="B352" s="165" t="s">
        <v>905</v>
      </c>
      <c r="C352" s="165" t="str">
        <f>IFERROR(VLOOKUP($A352,작성용!A:AL,14,0),"-")</f>
        <v>-</v>
      </c>
      <c r="D352" s="169" t="s">
        <v>6400</v>
      </c>
      <c r="E352" s="167" t="str">
        <f>IFERROR(VLOOKUP(A352,작성용!A:AL,34,0),"-")</f>
        <v>-</v>
      </c>
      <c r="F352" s="168" t="s">
        <v>6270</v>
      </c>
      <c r="G352" s="179">
        <f>COUNTIF(작성용!A:B,$A352)-COUNTIFS(작성용!A:A,$A352,작성용!AA:AA,"평가철회")</f>
        <v>0</v>
      </c>
    </row>
    <row r="353" spans="1:7" ht="16.5" customHeight="1" x14ac:dyDescent="0.3">
      <c r="A353" s="170" t="s">
        <v>906</v>
      </c>
      <c r="B353" s="165" t="s">
        <v>907</v>
      </c>
      <c r="C353" s="165" t="str">
        <f>IFERROR(VLOOKUP($A353,작성용!A:AL,14,0),"-")</f>
        <v>-</v>
      </c>
      <c r="D353" s="169" t="s">
        <v>220</v>
      </c>
      <c r="E353" s="167" t="str">
        <f>IFERROR(VLOOKUP(A353,작성용!A:AL,34,0),"-")</f>
        <v>-</v>
      </c>
      <c r="F353" s="168" t="s">
        <v>2</v>
      </c>
      <c r="G353" s="179">
        <f>COUNTIF(작성용!A:B,$A353)-COUNTIFS(작성용!A:A,$A353,작성용!AA:AA,"평가철회")</f>
        <v>0</v>
      </c>
    </row>
    <row r="354" spans="1:7" ht="16.5" customHeight="1" x14ac:dyDescent="0.3">
      <c r="A354" s="170" t="s">
        <v>908</v>
      </c>
      <c r="B354" s="165" t="s">
        <v>857</v>
      </c>
      <c r="C354" s="165" t="str">
        <f>IFERROR(VLOOKUP($A354,작성용!A:AL,14,0),"-")</f>
        <v>-</v>
      </c>
      <c r="D354" s="169" t="s">
        <v>220</v>
      </c>
      <c r="E354" s="167" t="str">
        <f>IFERROR(VLOOKUP(A354,작성용!A:AL,34,0),"-")</f>
        <v>-</v>
      </c>
      <c r="F354" s="168" t="s">
        <v>6283</v>
      </c>
      <c r="G354" s="179">
        <f>COUNTIF(작성용!A:B,$A354)-COUNTIFS(작성용!A:A,$A354,작성용!AA:AA,"평가철회")</f>
        <v>0</v>
      </c>
    </row>
    <row r="355" spans="1:7" ht="16.5" customHeight="1" x14ac:dyDescent="0.3">
      <c r="A355" s="170" t="s">
        <v>909</v>
      </c>
      <c r="B355" s="165" t="s">
        <v>910</v>
      </c>
      <c r="C355" s="165" t="str">
        <f>IFERROR(VLOOKUP($A355,작성용!A:AL,14,0),"-")</f>
        <v>-</v>
      </c>
      <c r="D355" s="169" t="s">
        <v>220</v>
      </c>
      <c r="E355" s="167" t="str">
        <f>IFERROR(VLOOKUP(A355,작성용!A:AL,34,0),"-")</f>
        <v>-</v>
      </c>
      <c r="F355" s="168" t="s">
        <v>2</v>
      </c>
      <c r="G355" s="179">
        <f>COUNTIF(작성용!A:B,$A355)-COUNTIFS(작성용!A:A,$A355,작성용!AA:AA,"평가철회")</f>
        <v>0</v>
      </c>
    </row>
    <row r="356" spans="1:7" ht="16.5" customHeight="1" x14ac:dyDescent="0.3">
      <c r="A356" s="170" t="s">
        <v>911</v>
      </c>
      <c r="B356" s="165" t="s">
        <v>912</v>
      </c>
      <c r="C356" s="165" t="str">
        <f>IFERROR(VLOOKUP($A356,작성용!A:AL,14,0),"-")</f>
        <v>-</v>
      </c>
      <c r="D356" s="169" t="s">
        <v>220</v>
      </c>
      <c r="E356" s="167" t="str">
        <f>IFERROR(VLOOKUP(A356,작성용!A:AL,34,0),"-")</f>
        <v>-</v>
      </c>
      <c r="F356" s="168" t="s">
        <v>2</v>
      </c>
      <c r="G356" s="179">
        <f>COUNTIF(작성용!A:B,$A356)-COUNTIFS(작성용!A:A,$A356,작성용!AA:AA,"평가철회")</f>
        <v>0</v>
      </c>
    </row>
    <row r="357" spans="1:7" ht="16.5" customHeight="1" x14ac:dyDescent="0.3">
      <c r="A357" s="170" t="s">
        <v>913</v>
      </c>
      <c r="B357" s="165" t="s">
        <v>6401</v>
      </c>
      <c r="C357" s="165" t="str">
        <f>IFERROR(VLOOKUP($A357,작성용!A:AL,14,0),"-")</f>
        <v>-</v>
      </c>
      <c r="D357" s="169" t="s">
        <v>6292</v>
      </c>
      <c r="E357" s="167" t="str">
        <f>IFERROR(VLOOKUP(A357,작성용!A:AL,34,0),"-")</f>
        <v>-</v>
      </c>
      <c r="F357" s="168" t="s">
        <v>6304</v>
      </c>
      <c r="G357" s="179">
        <f>COUNTIF(작성용!A:B,$A357)-COUNTIFS(작성용!A:A,$A357,작성용!AA:AA,"평가철회")</f>
        <v>0</v>
      </c>
    </row>
    <row r="358" spans="1:7" ht="16.5" customHeight="1" x14ac:dyDescent="0.3">
      <c r="A358" s="170" t="s">
        <v>914</v>
      </c>
      <c r="B358" s="165" t="s">
        <v>915</v>
      </c>
      <c r="C358" s="165" t="str">
        <f>IFERROR(VLOOKUP($A358,작성용!A:AL,14,0),"-")</f>
        <v>-</v>
      </c>
      <c r="D358" s="169" t="s">
        <v>220</v>
      </c>
      <c r="E358" s="167" t="str">
        <f>IFERROR(VLOOKUP(A358,작성용!A:AL,34,0),"-")</f>
        <v>-</v>
      </c>
      <c r="F358" s="168" t="s">
        <v>6283</v>
      </c>
      <c r="G358" s="179">
        <f>COUNTIF(작성용!A:B,$A358)-COUNTIFS(작성용!A:A,$A358,작성용!AA:AA,"평가철회")</f>
        <v>0</v>
      </c>
    </row>
    <row r="359" spans="1:7" ht="16.5" customHeight="1" x14ac:dyDescent="0.3">
      <c r="A359" s="170" t="s">
        <v>916</v>
      </c>
      <c r="B359" s="165" t="s">
        <v>917</v>
      </c>
      <c r="C359" s="165" t="str">
        <f>IFERROR(VLOOKUP($A359,작성용!A:AL,14,0),"-")</f>
        <v>-</v>
      </c>
      <c r="D359" s="169" t="s">
        <v>220</v>
      </c>
      <c r="E359" s="167" t="str">
        <f>IFERROR(VLOOKUP(A359,작성용!A:AL,34,0),"-")</f>
        <v>-</v>
      </c>
      <c r="F359" s="168" t="s">
        <v>2</v>
      </c>
      <c r="G359" s="179">
        <f>COUNTIF(작성용!A:B,$A359)-COUNTIFS(작성용!A:A,$A359,작성용!AA:AA,"평가철회")</f>
        <v>0</v>
      </c>
    </row>
    <row r="360" spans="1:7" ht="16.5" customHeight="1" x14ac:dyDescent="0.3">
      <c r="A360" s="170" t="s">
        <v>918</v>
      </c>
      <c r="B360" s="165" t="s">
        <v>919</v>
      </c>
      <c r="C360" s="165" t="str">
        <f>IFERROR(VLOOKUP($A360,작성용!A:AL,14,0),"-")</f>
        <v>-</v>
      </c>
      <c r="D360" s="169" t="s">
        <v>220</v>
      </c>
      <c r="E360" s="167" t="str">
        <f>IFERROR(VLOOKUP(A360,작성용!A:AL,34,0),"-")</f>
        <v>-</v>
      </c>
      <c r="F360" s="168" t="s">
        <v>2</v>
      </c>
      <c r="G360" s="179">
        <f>COUNTIF(작성용!A:B,$A360)-COUNTIFS(작성용!A:A,$A360,작성용!AA:AA,"평가철회")</f>
        <v>0</v>
      </c>
    </row>
    <row r="361" spans="1:7" ht="16.5" customHeight="1" x14ac:dyDescent="0.3">
      <c r="A361" s="170" t="s">
        <v>920</v>
      </c>
      <c r="B361" s="165" t="s">
        <v>921</v>
      </c>
      <c r="C361" s="165" t="str">
        <f>IFERROR(VLOOKUP($A361,작성용!A:AL,14,0),"-")</f>
        <v>-</v>
      </c>
      <c r="D361" s="169" t="s">
        <v>220</v>
      </c>
      <c r="E361" s="167" t="str">
        <f>IFERROR(VLOOKUP(A361,작성용!A:AL,34,0),"-")</f>
        <v>-</v>
      </c>
      <c r="F361" s="168" t="s">
        <v>2</v>
      </c>
      <c r="G361" s="179">
        <f>COUNTIF(작성용!A:B,$A361)-COUNTIFS(작성용!A:A,$A361,작성용!AA:AA,"평가철회")</f>
        <v>0</v>
      </c>
    </row>
    <row r="362" spans="1:7" ht="16.5" customHeight="1" x14ac:dyDescent="0.3">
      <c r="A362" s="170" t="s">
        <v>922</v>
      </c>
      <c r="B362" s="165" t="s">
        <v>923</v>
      </c>
      <c r="C362" s="165" t="str">
        <f>IFERROR(VLOOKUP($A362,작성용!A:AL,14,0),"-")</f>
        <v>-</v>
      </c>
      <c r="D362" s="169" t="s">
        <v>220</v>
      </c>
      <c r="E362" s="167" t="str">
        <f>IFERROR(VLOOKUP(A362,작성용!A:AL,34,0),"-")</f>
        <v>-</v>
      </c>
      <c r="F362" s="168" t="s">
        <v>2</v>
      </c>
      <c r="G362" s="179">
        <f>COUNTIF(작성용!A:B,$A362)-COUNTIFS(작성용!A:A,$A362,작성용!AA:AA,"평가철회")</f>
        <v>0</v>
      </c>
    </row>
    <row r="363" spans="1:7" ht="16.5" customHeight="1" x14ac:dyDescent="0.3">
      <c r="A363" s="170" t="s">
        <v>924</v>
      </c>
      <c r="B363" s="165" t="s">
        <v>925</v>
      </c>
      <c r="C363" s="165" t="str">
        <f>IFERROR(VLOOKUP($A363,작성용!A:AL,14,0),"-")</f>
        <v>-</v>
      </c>
      <c r="D363" s="169" t="s">
        <v>220</v>
      </c>
      <c r="E363" s="167" t="str">
        <f>IFERROR(VLOOKUP(A363,작성용!A:AL,34,0),"-")</f>
        <v>-</v>
      </c>
      <c r="F363" s="168" t="s">
        <v>6342</v>
      </c>
      <c r="G363" s="179">
        <f>COUNTIF(작성용!A:B,$A363)-COUNTIFS(작성용!A:A,$A363,작성용!AA:AA,"평가철회")</f>
        <v>0</v>
      </c>
    </row>
    <row r="364" spans="1:7" ht="16.5" customHeight="1" x14ac:dyDescent="0.3">
      <c r="A364" s="170" t="s">
        <v>926</v>
      </c>
      <c r="B364" s="165" t="s">
        <v>927</v>
      </c>
      <c r="C364" s="165" t="str">
        <f>IFERROR(VLOOKUP($A364,작성용!A:AL,14,0),"-")</f>
        <v>-</v>
      </c>
      <c r="D364" s="169" t="s">
        <v>220</v>
      </c>
      <c r="E364" s="167" t="str">
        <f>IFERROR(VLOOKUP(A364,작성용!A:AL,34,0),"-")</f>
        <v>-</v>
      </c>
      <c r="F364" s="168" t="s">
        <v>6342</v>
      </c>
      <c r="G364" s="179">
        <f>COUNTIF(작성용!A:B,$A364)-COUNTIFS(작성용!A:A,$A364,작성용!AA:AA,"평가철회")</f>
        <v>0</v>
      </c>
    </row>
    <row r="365" spans="1:7" ht="16.5" customHeight="1" x14ac:dyDescent="0.3">
      <c r="A365" s="170" t="s">
        <v>928</v>
      </c>
      <c r="B365" s="165" t="s">
        <v>929</v>
      </c>
      <c r="C365" s="165" t="str">
        <f>IFERROR(VLOOKUP($A365,작성용!A:AL,14,0),"-")</f>
        <v>-</v>
      </c>
      <c r="D365" s="169" t="s">
        <v>220</v>
      </c>
      <c r="E365" s="167" t="str">
        <f>IFERROR(VLOOKUP(A365,작성용!A:AL,34,0),"-")</f>
        <v>-</v>
      </c>
      <c r="F365" s="168" t="s">
        <v>6283</v>
      </c>
      <c r="G365" s="179">
        <f>COUNTIF(작성용!A:B,$A365)-COUNTIFS(작성용!A:A,$A365,작성용!AA:AA,"평가철회")</f>
        <v>0</v>
      </c>
    </row>
    <row r="366" spans="1:7" ht="16.5" customHeight="1" x14ac:dyDescent="0.3">
      <c r="A366" s="170" t="s">
        <v>930</v>
      </c>
      <c r="B366" s="165" t="s">
        <v>931</v>
      </c>
      <c r="C366" s="165" t="str">
        <f>IFERROR(VLOOKUP($A366,작성용!A:AL,14,0),"-")</f>
        <v>-</v>
      </c>
      <c r="D366" s="169" t="s">
        <v>220</v>
      </c>
      <c r="E366" s="167" t="str">
        <f>IFERROR(VLOOKUP(A366,작성용!A:AL,34,0),"-")</f>
        <v>-</v>
      </c>
      <c r="F366" s="168" t="s">
        <v>2</v>
      </c>
      <c r="G366" s="179">
        <f>COUNTIF(작성용!A:B,$A366)-COUNTIFS(작성용!A:A,$A366,작성용!AA:AA,"평가철회")</f>
        <v>0</v>
      </c>
    </row>
    <row r="367" spans="1:7" ht="16.5" customHeight="1" x14ac:dyDescent="0.3">
      <c r="A367" s="170" t="s">
        <v>932</v>
      </c>
      <c r="B367" s="165" t="s">
        <v>933</v>
      </c>
      <c r="C367" s="165" t="str">
        <f>IFERROR(VLOOKUP($A367,작성용!A:AL,14,0),"-")</f>
        <v>-</v>
      </c>
      <c r="D367" s="169" t="s">
        <v>220</v>
      </c>
      <c r="E367" s="167" t="str">
        <f>IFERROR(VLOOKUP(A367,작성용!A:AL,34,0),"-")</f>
        <v>-</v>
      </c>
      <c r="F367" s="168" t="s">
        <v>2</v>
      </c>
      <c r="G367" s="179">
        <f>COUNTIF(작성용!A:B,$A367)-COUNTIFS(작성용!A:A,$A367,작성용!AA:AA,"평가철회")</f>
        <v>0</v>
      </c>
    </row>
    <row r="368" spans="1:7" ht="16.5" customHeight="1" x14ac:dyDescent="0.3">
      <c r="A368" s="170" t="s">
        <v>934</v>
      </c>
      <c r="B368" s="165" t="s">
        <v>935</v>
      </c>
      <c r="C368" s="165" t="str">
        <f>IFERROR(VLOOKUP($A368,작성용!A:AL,14,0),"-")</f>
        <v>-</v>
      </c>
      <c r="D368" s="169" t="s">
        <v>220</v>
      </c>
      <c r="E368" s="167" t="str">
        <f>IFERROR(VLOOKUP(A368,작성용!A:AL,34,0),"-")</f>
        <v>-</v>
      </c>
      <c r="F368" s="168" t="s">
        <v>2</v>
      </c>
      <c r="G368" s="179">
        <f>COUNTIF(작성용!A:B,$A368)-COUNTIFS(작성용!A:A,$A368,작성용!AA:AA,"평가철회")</f>
        <v>0</v>
      </c>
    </row>
    <row r="369" spans="1:7" ht="16.5" customHeight="1" x14ac:dyDescent="0.3">
      <c r="A369" s="170" t="s">
        <v>936</v>
      </c>
      <c r="B369" s="165" t="s">
        <v>937</v>
      </c>
      <c r="C369" s="165" t="str">
        <f>IFERROR(VLOOKUP($A369,작성용!A:AL,14,0),"-")</f>
        <v>-</v>
      </c>
      <c r="D369" s="169" t="s">
        <v>220</v>
      </c>
      <c r="E369" s="167" t="str">
        <f>IFERROR(VLOOKUP(A369,작성용!A:AL,34,0),"-")</f>
        <v>-</v>
      </c>
      <c r="F369" s="168" t="s">
        <v>6283</v>
      </c>
      <c r="G369" s="179">
        <f>COUNTIF(작성용!A:B,$A369)-COUNTIFS(작성용!A:A,$A369,작성용!AA:AA,"평가철회")</f>
        <v>0</v>
      </c>
    </row>
    <row r="370" spans="1:7" ht="16.5" customHeight="1" x14ac:dyDescent="0.3">
      <c r="A370" s="170" t="s">
        <v>938</v>
      </c>
      <c r="B370" s="165" t="s">
        <v>939</v>
      </c>
      <c r="C370" s="165" t="str">
        <f>IFERROR(VLOOKUP($A370,작성용!A:AL,14,0),"-")</f>
        <v>-</v>
      </c>
      <c r="D370" s="169" t="s">
        <v>220</v>
      </c>
      <c r="E370" s="167" t="str">
        <f>IFERROR(VLOOKUP(A370,작성용!A:AL,34,0),"-")</f>
        <v>-</v>
      </c>
      <c r="F370" s="168" t="s">
        <v>2</v>
      </c>
      <c r="G370" s="179">
        <f>COUNTIF(작성용!A:B,$A370)-COUNTIFS(작성용!A:A,$A370,작성용!AA:AA,"평가철회")</f>
        <v>0</v>
      </c>
    </row>
    <row r="371" spans="1:7" ht="16.5" customHeight="1" x14ac:dyDescent="0.3">
      <c r="A371" s="170" t="s">
        <v>940</v>
      </c>
      <c r="B371" s="165" t="s">
        <v>941</v>
      </c>
      <c r="C371" s="165" t="str">
        <f>IFERROR(VLOOKUP($A371,작성용!A:AL,14,0),"-")</f>
        <v>-</v>
      </c>
      <c r="D371" s="169" t="s">
        <v>220</v>
      </c>
      <c r="E371" s="167" t="str">
        <f>IFERROR(VLOOKUP(A371,작성용!A:AL,34,0),"-")</f>
        <v>-</v>
      </c>
      <c r="F371" s="168" t="s">
        <v>2</v>
      </c>
      <c r="G371" s="179">
        <f>COUNTIF(작성용!A:B,$A371)-COUNTIFS(작성용!A:A,$A371,작성용!AA:AA,"평가철회")</f>
        <v>0</v>
      </c>
    </row>
    <row r="372" spans="1:7" ht="16.5" customHeight="1" x14ac:dyDescent="0.3">
      <c r="A372" s="170" t="s">
        <v>942</v>
      </c>
      <c r="B372" s="165" t="s">
        <v>943</v>
      </c>
      <c r="C372" s="165" t="str">
        <f>IFERROR(VLOOKUP($A372,작성용!A:AL,14,0),"-")</f>
        <v>-</v>
      </c>
      <c r="D372" s="169" t="s">
        <v>220</v>
      </c>
      <c r="E372" s="167" t="str">
        <f>IFERROR(VLOOKUP(A372,작성용!A:AL,34,0),"-")</f>
        <v>-</v>
      </c>
      <c r="F372" s="168" t="s">
        <v>6283</v>
      </c>
      <c r="G372" s="179">
        <f>COUNTIF(작성용!A:B,$A372)-COUNTIFS(작성용!A:A,$A372,작성용!AA:AA,"평가철회")</f>
        <v>0</v>
      </c>
    </row>
    <row r="373" spans="1:7" ht="16.5" customHeight="1" x14ac:dyDescent="0.3">
      <c r="A373" s="170" t="s">
        <v>944</v>
      </c>
      <c r="B373" s="165" t="s">
        <v>945</v>
      </c>
      <c r="C373" s="165" t="str">
        <f>IFERROR(VLOOKUP($A373,작성용!A:AL,14,0),"-")</f>
        <v>-</v>
      </c>
      <c r="D373" s="169" t="s">
        <v>220</v>
      </c>
      <c r="E373" s="167" t="str">
        <f>IFERROR(VLOOKUP(A373,작성용!A:AL,34,0),"-")</f>
        <v>-</v>
      </c>
      <c r="F373" s="168" t="s">
        <v>2</v>
      </c>
      <c r="G373" s="179">
        <f>COUNTIF(작성용!A:B,$A373)-COUNTIFS(작성용!A:A,$A373,작성용!AA:AA,"평가철회")</f>
        <v>0</v>
      </c>
    </row>
    <row r="374" spans="1:7" ht="16.5" customHeight="1" x14ac:dyDescent="0.3">
      <c r="A374" s="170" t="s">
        <v>946</v>
      </c>
      <c r="B374" s="165" t="s">
        <v>947</v>
      </c>
      <c r="C374" s="165" t="str">
        <f>IFERROR(VLOOKUP($A374,작성용!A:AL,14,0),"-")</f>
        <v>-</v>
      </c>
      <c r="D374" s="169" t="s">
        <v>220</v>
      </c>
      <c r="E374" s="167" t="str">
        <f>IFERROR(VLOOKUP(A374,작성용!A:AL,34,0),"-")</f>
        <v>-</v>
      </c>
      <c r="F374" s="168" t="s">
        <v>2</v>
      </c>
      <c r="G374" s="179">
        <f>COUNTIF(작성용!A:B,$A374)-COUNTIFS(작성용!A:A,$A374,작성용!AA:AA,"평가철회")</f>
        <v>0</v>
      </c>
    </row>
    <row r="375" spans="1:7" ht="16.5" customHeight="1" x14ac:dyDescent="0.3">
      <c r="A375" s="170" t="s">
        <v>948</v>
      </c>
      <c r="B375" s="165" t="s">
        <v>949</v>
      </c>
      <c r="C375" s="165" t="str">
        <f>IFERROR(VLOOKUP($A375,작성용!A:AL,14,0),"-")</f>
        <v>-</v>
      </c>
      <c r="D375" s="169" t="s">
        <v>220</v>
      </c>
      <c r="E375" s="167" t="str">
        <f>IFERROR(VLOOKUP(A375,작성용!A:AL,34,0),"-")</f>
        <v>-</v>
      </c>
      <c r="F375" s="168" t="s">
        <v>2</v>
      </c>
      <c r="G375" s="179">
        <f>COUNTIF(작성용!A:B,$A375)-COUNTIFS(작성용!A:A,$A375,작성용!AA:AA,"평가철회")</f>
        <v>0</v>
      </c>
    </row>
    <row r="376" spans="1:7" ht="16.5" customHeight="1" x14ac:dyDescent="0.3">
      <c r="A376" s="170" t="s">
        <v>950</v>
      </c>
      <c r="B376" s="165" t="s">
        <v>951</v>
      </c>
      <c r="C376" s="165" t="str">
        <f>IFERROR(VLOOKUP($A376,작성용!A:AL,14,0),"-")</f>
        <v>-</v>
      </c>
      <c r="D376" s="169" t="s">
        <v>220</v>
      </c>
      <c r="E376" s="167" t="str">
        <f>IFERROR(VLOOKUP(A376,작성용!A:AL,34,0),"-")</f>
        <v>-</v>
      </c>
      <c r="F376" s="168" t="s">
        <v>2</v>
      </c>
      <c r="G376" s="179">
        <f>COUNTIF(작성용!A:B,$A376)-COUNTIFS(작성용!A:A,$A376,작성용!AA:AA,"평가철회")</f>
        <v>0</v>
      </c>
    </row>
    <row r="377" spans="1:7" ht="16.5" customHeight="1" x14ac:dyDescent="0.3">
      <c r="A377" s="170" t="s">
        <v>952</v>
      </c>
      <c r="B377" s="165" t="s">
        <v>953</v>
      </c>
      <c r="C377" s="165" t="str">
        <f>IFERROR(VLOOKUP($A377,작성용!A:AL,14,0),"-")</f>
        <v>-</v>
      </c>
      <c r="D377" s="169" t="s">
        <v>220</v>
      </c>
      <c r="E377" s="167" t="str">
        <f>IFERROR(VLOOKUP(A377,작성용!A:AL,34,0),"-")</f>
        <v>-</v>
      </c>
      <c r="F377" s="168" t="s">
        <v>6283</v>
      </c>
      <c r="G377" s="179">
        <f>COUNTIF(작성용!A:B,$A377)-COUNTIFS(작성용!A:A,$A377,작성용!AA:AA,"평가철회")</f>
        <v>0</v>
      </c>
    </row>
    <row r="378" spans="1:7" ht="16.5" customHeight="1" x14ac:dyDescent="0.3">
      <c r="A378" s="170" t="s">
        <v>954</v>
      </c>
      <c r="B378" s="165" t="s">
        <v>955</v>
      </c>
      <c r="C378" s="165" t="str">
        <f>IFERROR(VLOOKUP($A378,작성용!A:AL,14,0),"-")</f>
        <v>-</v>
      </c>
      <c r="D378" s="169" t="s">
        <v>220</v>
      </c>
      <c r="E378" s="167" t="str">
        <f>IFERROR(VLOOKUP(A378,작성용!A:AL,34,0),"-")</f>
        <v>-</v>
      </c>
      <c r="F378" s="168" t="s">
        <v>6283</v>
      </c>
      <c r="G378" s="179">
        <f>COUNTIF(작성용!A:B,$A378)-COUNTIFS(작성용!A:A,$A378,작성용!AA:AA,"평가철회")</f>
        <v>0</v>
      </c>
    </row>
    <row r="379" spans="1:7" ht="16.5" customHeight="1" x14ac:dyDescent="0.3">
      <c r="A379" s="170" t="s">
        <v>956</v>
      </c>
      <c r="B379" s="165" t="s">
        <v>957</v>
      </c>
      <c r="C379" s="165" t="str">
        <f>IFERROR(VLOOKUP($A379,작성용!A:AL,14,0),"-")</f>
        <v>-</v>
      </c>
      <c r="D379" s="169" t="s">
        <v>220</v>
      </c>
      <c r="E379" s="167" t="str">
        <f>IFERROR(VLOOKUP(A379,작성용!A:AL,34,0),"-")</f>
        <v>-</v>
      </c>
      <c r="F379" s="168" t="s">
        <v>6283</v>
      </c>
      <c r="G379" s="179">
        <f>COUNTIF(작성용!A:B,$A379)-COUNTIFS(작성용!A:A,$A379,작성용!AA:AA,"평가철회")</f>
        <v>0</v>
      </c>
    </row>
    <row r="380" spans="1:7" ht="16.5" customHeight="1" x14ac:dyDescent="0.3">
      <c r="A380" s="170" t="s">
        <v>958</v>
      </c>
      <c r="B380" s="165" t="s">
        <v>959</v>
      </c>
      <c r="C380" s="165" t="str">
        <f>IFERROR(VLOOKUP($A380,작성용!A:AL,14,0),"-")</f>
        <v>-</v>
      </c>
      <c r="D380" s="169" t="s">
        <v>220</v>
      </c>
      <c r="E380" s="167" t="str">
        <f>IFERROR(VLOOKUP(A380,작성용!A:AL,34,0),"-")</f>
        <v>-</v>
      </c>
      <c r="F380" s="168" t="s">
        <v>6283</v>
      </c>
      <c r="G380" s="179">
        <f>COUNTIF(작성용!A:B,$A380)-COUNTIFS(작성용!A:A,$A380,작성용!AA:AA,"평가철회")</f>
        <v>0</v>
      </c>
    </row>
    <row r="381" spans="1:7" ht="16.5" customHeight="1" x14ac:dyDescent="0.3">
      <c r="A381" s="170" t="s">
        <v>960</v>
      </c>
      <c r="B381" s="165" t="s">
        <v>961</v>
      </c>
      <c r="C381" s="165" t="str">
        <f>IFERROR(VLOOKUP($A381,작성용!A:AL,14,0),"-")</f>
        <v>-</v>
      </c>
      <c r="D381" s="169" t="s">
        <v>220</v>
      </c>
      <c r="E381" s="167" t="str">
        <f>IFERROR(VLOOKUP(A381,작성용!A:AL,34,0),"-")</f>
        <v>-</v>
      </c>
      <c r="F381" s="168" t="s">
        <v>2</v>
      </c>
      <c r="G381" s="179">
        <f>COUNTIF(작성용!A:B,$A381)-COUNTIFS(작성용!A:A,$A381,작성용!AA:AA,"평가철회")</f>
        <v>0</v>
      </c>
    </row>
    <row r="382" spans="1:7" ht="16.5" customHeight="1" x14ac:dyDescent="0.3">
      <c r="A382" s="170" t="s">
        <v>962</v>
      </c>
      <c r="B382" s="165" t="s">
        <v>963</v>
      </c>
      <c r="C382" s="165" t="str">
        <f>IFERROR(VLOOKUP($A382,작성용!A:AL,14,0),"-")</f>
        <v>-</v>
      </c>
      <c r="D382" s="169" t="s">
        <v>220</v>
      </c>
      <c r="E382" s="167" t="str">
        <f>IFERROR(VLOOKUP(A382,작성용!A:AL,34,0),"-")</f>
        <v>-</v>
      </c>
      <c r="F382" s="168" t="s">
        <v>6283</v>
      </c>
      <c r="G382" s="179">
        <f>COUNTIF(작성용!A:B,$A382)-COUNTIFS(작성용!A:A,$A382,작성용!AA:AA,"평가철회")</f>
        <v>0</v>
      </c>
    </row>
    <row r="383" spans="1:7" ht="16.5" customHeight="1" x14ac:dyDescent="0.3">
      <c r="A383" s="170" t="s">
        <v>964</v>
      </c>
      <c r="B383" s="165" t="s">
        <v>965</v>
      </c>
      <c r="C383" s="165" t="str">
        <f>IFERROR(VLOOKUP($A383,작성용!A:AL,14,0),"-")</f>
        <v>-</v>
      </c>
      <c r="D383" s="169" t="s">
        <v>220</v>
      </c>
      <c r="E383" s="167" t="str">
        <f>IFERROR(VLOOKUP(A383,작성용!A:AL,34,0),"-")</f>
        <v>-</v>
      </c>
      <c r="F383" s="168" t="s">
        <v>6270</v>
      </c>
      <c r="G383" s="179">
        <f>COUNTIF(작성용!A:B,$A383)-COUNTIFS(작성용!A:A,$A383,작성용!AA:AA,"평가철회")</f>
        <v>0</v>
      </c>
    </row>
    <row r="384" spans="1:7" ht="16.5" customHeight="1" x14ac:dyDescent="0.3">
      <c r="A384" s="170" t="s">
        <v>966</v>
      </c>
      <c r="B384" s="165" t="s">
        <v>967</v>
      </c>
      <c r="C384" s="165" t="str">
        <f>IFERROR(VLOOKUP($A384,작성용!A:AL,14,0),"-")</f>
        <v>-</v>
      </c>
      <c r="D384" s="169" t="s">
        <v>220</v>
      </c>
      <c r="E384" s="167" t="str">
        <f>IFERROR(VLOOKUP(A384,작성용!A:AL,34,0),"-")</f>
        <v>-</v>
      </c>
      <c r="F384" s="168" t="s">
        <v>6283</v>
      </c>
      <c r="G384" s="179">
        <f>COUNTIF(작성용!A:B,$A384)-COUNTIFS(작성용!A:A,$A384,작성용!AA:AA,"평가철회")</f>
        <v>0</v>
      </c>
    </row>
    <row r="385" spans="1:7" ht="16.5" customHeight="1" x14ac:dyDescent="0.3">
      <c r="A385" s="170" t="s">
        <v>968</v>
      </c>
      <c r="B385" s="165" t="s">
        <v>969</v>
      </c>
      <c r="C385" s="165" t="str">
        <f>IFERROR(VLOOKUP($A385,작성용!A:AL,14,0),"-")</f>
        <v>-</v>
      </c>
      <c r="D385" s="169" t="s">
        <v>220</v>
      </c>
      <c r="E385" s="167" t="str">
        <f>IFERROR(VLOOKUP(A385,작성용!A:AL,34,0),"-")</f>
        <v>-</v>
      </c>
      <c r="F385" s="168" t="s">
        <v>6283</v>
      </c>
      <c r="G385" s="179">
        <f>COUNTIF(작성용!A:B,$A385)-COUNTIFS(작성용!A:A,$A385,작성용!AA:AA,"평가철회")</f>
        <v>0</v>
      </c>
    </row>
    <row r="386" spans="1:7" ht="16.5" customHeight="1" x14ac:dyDescent="0.3">
      <c r="A386" s="170" t="s">
        <v>970</v>
      </c>
      <c r="B386" s="165" t="s">
        <v>971</v>
      </c>
      <c r="C386" s="165" t="str">
        <f>IFERROR(VLOOKUP($A386,작성용!A:AL,14,0),"-")</f>
        <v>-</v>
      </c>
      <c r="D386" s="169" t="s">
        <v>220</v>
      </c>
      <c r="E386" s="167" t="str">
        <f>IFERROR(VLOOKUP(A386,작성용!A:AL,34,0),"-")</f>
        <v>-</v>
      </c>
      <c r="F386" s="168" t="s">
        <v>2</v>
      </c>
      <c r="G386" s="179">
        <f>COUNTIF(작성용!A:B,$A386)-COUNTIFS(작성용!A:A,$A386,작성용!AA:AA,"평가철회")</f>
        <v>0</v>
      </c>
    </row>
    <row r="387" spans="1:7" ht="16.5" customHeight="1" x14ac:dyDescent="0.3">
      <c r="A387" s="170" t="s">
        <v>972</v>
      </c>
      <c r="B387" s="165" t="s">
        <v>973</v>
      </c>
      <c r="C387" s="165" t="str">
        <f>IFERROR(VLOOKUP($A387,작성용!A:AL,14,0),"-")</f>
        <v>-</v>
      </c>
      <c r="D387" s="169" t="s">
        <v>6292</v>
      </c>
      <c r="E387" s="167" t="str">
        <f>IFERROR(VLOOKUP(A387,작성용!A:AL,34,0),"-")</f>
        <v>-</v>
      </c>
      <c r="F387" s="168" t="s">
        <v>6342</v>
      </c>
      <c r="G387" s="179">
        <f>COUNTIF(작성용!A:B,$A387)-COUNTIFS(작성용!A:A,$A387,작성용!AA:AA,"평가철회")</f>
        <v>0</v>
      </c>
    </row>
    <row r="388" spans="1:7" ht="16.5" customHeight="1" x14ac:dyDescent="0.3">
      <c r="A388" s="170" t="s">
        <v>974</v>
      </c>
      <c r="B388" s="165" t="s">
        <v>975</v>
      </c>
      <c r="C388" s="165" t="str">
        <f>IFERROR(VLOOKUP($A388,작성용!A:AL,14,0),"-")</f>
        <v>-</v>
      </c>
      <c r="D388" s="169" t="s">
        <v>220</v>
      </c>
      <c r="E388" s="167" t="str">
        <f>IFERROR(VLOOKUP(A388,작성용!A:AL,34,0),"-")</f>
        <v>-</v>
      </c>
      <c r="F388" s="168" t="s">
        <v>6270</v>
      </c>
      <c r="G388" s="179">
        <f>COUNTIF(작성용!A:B,$A388)-COUNTIFS(작성용!A:A,$A388,작성용!AA:AA,"평가철회")</f>
        <v>0</v>
      </c>
    </row>
    <row r="389" spans="1:7" ht="16.5" customHeight="1" x14ac:dyDescent="0.3">
      <c r="A389" s="170" t="s">
        <v>976</v>
      </c>
      <c r="B389" s="165" t="s">
        <v>977</v>
      </c>
      <c r="C389" s="165" t="str">
        <f>IFERROR(VLOOKUP($A389,작성용!A:AL,14,0),"-")</f>
        <v>-</v>
      </c>
      <c r="D389" s="169" t="s">
        <v>6292</v>
      </c>
      <c r="E389" s="167" t="str">
        <f>IFERROR(VLOOKUP(A389,작성용!A:AL,34,0),"-")</f>
        <v>-</v>
      </c>
      <c r="F389" s="168" t="s">
        <v>6283</v>
      </c>
      <c r="G389" s="179">
        <f>COUNTIF(작성용!A:B,$A389)-COUNTIFS(작성용!A:A,$A389,작성용!AA:AA,"평가철회")</f>
        <v>0</v>
      </c>
    </row>
    <row r="390" spans="1:7" ht="16.5" customHeight="1" x14ac:dyDescent="0.3">
      <c r="A390" s="170" t="s">
        <v>978</v>
      </c>
      <c r="B390" s="165" t="s">
        <v>979</v>
      </c>
      <c r="C390" s="165" t="str">
        <f>IFERROR(VLOOKUP($A390,작성용!A:AL,14,0),"-")</f>
        <v>-</v>
      </c>
      <c r="D390" s="169" t="s">
        <v>220</v>
      </c>
      <c r="E390" s="167" t="str">
        <f>IFERROR(VLOOKUP(A390,작성용!A:AL,34,0),"-")</f>
        <v>-</v>
      </c>
      <c r="F390" s="168" t="s">
        <v>6283</v>
      </c>
      <c r="G390" s="179">
        <f>COUNTIF(작성용!A:B,$A390)-COUNTIFS(작성용!A:A,$A390,작성용!AA:AA,"평가철회")</f>
        <v>0</v>
      </c>
    </row>
    <row r="391" spans="1:7" ht="16.5" customHeight="1" x14ac:dyDescent="0.3">
      <c r="A391" s="170" t="s">
        <v>980</v>
      </c>
      <c r="B391" s="165" t="s">
        <v>981</v>
      </c>
      <c r="C391" s="165" t="str">
        <f>IFERROR(VLOOKUP($A391,작성용!A:AL,14,0),"-")</f>
        <v>-</v>
      </c>
      <c r="D391" s="169" t="s">
        <v>220</v>
      </c>
      <c r="E391" s="167" t="str">
        <f>IFERROR(VLOOKUP(A391,작성용!A:AL,34,0),"-")</f>
        <v>-</v>
      </c>
      <c r="F391" s="168" t="s">
        <v>2</v>
      </c>
      <c r="G391" s="179">
        <f>COUNTIF(작성용!A:B,$A391)-COUNTIFS(작성용!A:A,$A391,작성용!AA:AA,"평가철회")</f>
        <v>0</v>
      </c>
    </row>
    <row r="392" spans="1:7" ht="16.5" customHeight="1" x14ac:dyDescent="0.3">
      <c r="A392" s="170" t="s">
        <v>982</v>
      </c>
      <c r="B392" s="165" t="s">
        <v>983</v>
      </c>
      <c r="C392" s="165" t="str">
        <f>IFERROR(VLOOKUP($A392,작성용!A:AL,14,0),"-")</f>
        <v>-</v>
      </c>
      <c r="D392" s="169" t="s">
        <v>220</v>
      </c>
      <c r="E392" s="167" t="str">
        <f>IFERROR(VLOOKUP(A392,작성용!A:AL,34,0),"-")</f>
        <v>-</v>
      </c>
      <c r="F392" s="168" t="s">
        <v>6283</v>
      </c>
      <c r="G392" s="179">
        <f>COUNTIF(작성용!A:B,$A392)-COUNTIFS(작성용!A:A,$A392,작성용!AA:AA,"평가철회")</f>
        <v>0</v>
      </c>
    </row>
    <row r="393" spans="1:7" ht="16.5" customHeight="1" x14ac:dyDescent="0.3">
      <c r="A393" s="170" t="s">
        <v>984</v>
      </c>
      <c r="B393" s="165" t="s">
        <v>6402</v>
      </c>
      <c r="C393" s="165" t="str">
        <f>IFERROR(VLOOKUP($A393,작성용!A:AL,14,0),"-")</f>
        <v>-</v>
      </c>
      <c r="D393" s="169" t="s">
        <v>6292</v>
      </c>
      <c r="E393" s="167" t="str">
        <f>IFERROR(VLOOKUP(A393,작성용!A:AL,34,0),"-")</f>
        <v>-</v>
      </c>
      <c r="F393" s="168" t="s">
        <v>6304</v>
      </c>
      <c r="G393" s="179">
        <f>COUNTIF(작성용!A:B,$A393)-COUNTIFS(작성용!A:A,$A393,작성용!AA:AA,"평가철회")</f>
        <v>0</v>
      </c>
    </row>
    <row r="394" spans="1:7" ht="16.5" customHeight="1" x14ac:dyDescent="0.3">
      <c r="A394" s="170" t="s">
        <v>985</v>
      </c>
      <c r="B394" s="165" t="s">
        <v>986</v>
      </c>
      <c r="C394" s="165" t="str">
        <f>IFERROR(VLOOKUP($A394,작성용!A:AL,14,0),"-")</f>
        <v>-</v>
      </c>
      <c r="D394" s="169" t="s">
        <v>220</v>
      </c>
      <c r="E394" s="167" t="str">
        <f>IFERROR(VLOOKUP(A394,작성용!A:AL,34,0),"-")</f>
        <v>-</v>
      </c>
      <c r="F394" s="168" t="s">
        <v>2</v>
      </c>
      <c r="G394" s="179">
        <f>COUNTIF(작성용!A:B,$A394)-COUNTIFS(작성용!A:A,$A394,작성용!AA:AA,"평가철회")</f>
        <v>0</v>
      </c>
    </row>
    <row r="395" spans="1:7" ht="16.5" customHeight="1" x14ac:dyDescent="0.3">
      <c r="A395" s="170" t="s">
        <v>987</v>
      </c>
      <c r="B395" s="165" t="s">
        <v>988</v>
      </c>
      <c r="C395" s="165" t="str">
        <f>IFERROR(VLOOKUP($A395,작성용!A:AL,14,0),"-")</f>
        <v>-</v>
      </c>
      <c r="D395" s="169" t="s">
        <v>220</v>
      </c>
      <c r="E395" s="167" t="str">
        <f>IFERROR(VLOOKUP(A395,작성용!A:AL,34,0),"-")</f>
        <v>-</v>
      </c>
      <c r="F395" s="168" t="s">
        <v>6283</v>
      </c>
      <c r="G395" s="179">
        <f>COUNTIF(작성용!A:B,$A395)-COUNTIFS(작성용!A:A,$A395,작성용!AA:AA,"평가철회")</f>
        <v>0</v>
      </c>
    </row>
    <row r="396" spans="1:7" ht="16.5" customHeight="1" x14ac:dyDescent="0.3">
      <c r="A396" s="170" t="s">
        <v>989</v>
      </c>
      <c r="B396" s="165" t="s">
        <v>990</v>
      </c>
      <c r="C396" s="165" t="str">
        <f>IFERROR(VLOOKUP($A396,작성용!A:AL,14,0),"-")</f>
        <v>-</v>
      </c>
      <c r="D396" s="169" t="s">
        <v>220</v>
      </c>
      <c r="E396" s="167" t="str">
        <f>IFERROR(VLOOKUP(A396,작성용!A:AL,34,0),"-")</f>
        <v>-</v>
      </c>
      <c r="F396" s="168" t="s">
        <v>6283</v>
      </c>
      <c r="G396" s="179">
        <f>COUNTIF(작성용!A:B,$A396)-COUNTIFS(작성용!A:A,$A396,작성용!AA:AA,"평가철회")</f>
        <v>0</v>
      </c>
    </row>
    <row r="397" spans="1:7" ht="16.5" customHeight="1" x14ac:dyDescent="0.3">
      <c r="A397" s="170" t="s">
        <v>991</v>
      </c>
      <c r="B397" s="165" t="s">
        <v>992</v>
      </c>
      <c r="C397" s="165" t="str">
        <f>IFERROR(VLOOKUP($A397,작성용!A:AL,14,0),"-")</f>
        <v>-</v>
      </c>
      <c r="D397" s="169" t="s">
        <v>220</v>
      </c>
      <c r="E397" s="167" t="str">
        <f>IFERROR(VLOOKUP(A397,작성용!A:AL,34,0),"-")</f>
        <v>-</v>
      </c>
      <c r="F397" s="168" t="s">
        <v>6283</v>
      </c>
      <c r="G397" s="179">
        <f>COUNTIF(작성용!A:B,$A397)-COUNTIFS(작성용!A:A,$A397,작성용!AA:AA,"평가철회")</f>
        <v>0</v>
      </c>
    </row>
    <row r="398" spans="1:7" ht="16.5" customHeight="1" x14ac:dyDescent="0.3">
      <c r="A398" s="170" t="s">
        <v>993</v>
      </c>
      <c r="B398" s="165" t="s">
        <v>994</v>
      </c>
      <c r="C398" s="165" t="str">
        <f>IFERROR(VLOOKUP($A398,작성용!A:AL,14,0),"-")</f>
        <v>-</v>
      </c>
      <c r="D398" s="169" t="s">
        <v>220</v>
      </c>
      <c r="E398" s="167" t="str">
        <f>IFERROR(VLOOKUP(A398,작성용!A:AL,34,0),"-")</f>
        <v>-</v>
      </c>
      <c r="F398" s="168" t="s">
        <v>6283</v>
      </c>
      <c r="G398" s="179">
        <f>COUNTIF(작성용!A:B,$A398)-COUNTIFS(작성용!A:A,$A398,작성용!AA:AA,"평가철회")</f>
        <v>0</v>
      </c>
    </row>
    <row r="399" spans="1:7" ht="16.5" customHeight="1" x14ac:dyDescent="0.3">
      <c r="A399" s="170" t="s">
        <v>995</v>
      </c>
      <c r="B399" s="165" t="s">
        <v>6403</v>
      </c>
      <c r="C399" s="165" t="str">
        <f>IFERROR(VLOOKUP($A399,작성용!A:AL,14,0),"-")</f>
        <v>-</v>
      </c>
      <c r="D399" s="169" t="s">
        <v>6292</v>
      </c>
      <c r="E399" s="167" t="str">
        <f>IFERROR(VLOOKUP(A399,작성용!A:AL,34,0),"-")</f>
        <v>-</v>
      </c>
      <c r="F399" s="168" t="s">
        <v>2</v>
      </c>
      <c r="G399" s="179">
        <f>COUNTIF(작성용!A:B,$A399)-COUNTIFS(작성용!A:A,$A399,작성용!AA:AA,"평가철회")</f>
        <v>0</v>
      </c>
    </row>
    <row r="400" spans="1:7" ht="16.5" customHeight="1" x14ac:dyDescent="0.3">
      <c r="A400" s="170" t="s">
        <v>996</v>
      </c>
      <c r="B400" s="165" t="s">
        <v>997</v>
      </c>
      <c r="C400" s="165" t="str">
        <f>IFERROR(VLOOKUP($A400,작성용!A:AL,14,0),"-")</f>
        <v>-</v>
      </c>
      <c r="D400" s="169" t="s">
        <v>220</v>
      </c>
      <c r="E400" s="167" t="str">
        <f>IFERROR(VLOOKUP(A400,작성용!A:AL,34,0),"-")</f>
        <v>-</v>
      </c>
      <c r="F400" s="168" t="s">
        <v>2</v>
      </c>
      <c r="G400" s="179">
        <f>COUNTIF(작성용!A:B,$A400)-COUNTIFS(작성용!A:A,$A400,작성용!AA:AA,"평가철회")</f>
        <v>0</v>
      </c>
    </row>
    <row r="401" spans="1:7" ht="16.5" customHeight="1" x14ac:dyDescent="0.3">
      <c r="A401" s="170" t="s">
        <v>998</v>
      </c>
      <c r="B401" s="165" t="s">
        <v>999</v>
      </c>
      <c r="C401" s="165" t="str">
        <f>IFERROR(VLOOKUP($A401,작성용!A:AL,14,0),"-")</f>
        <v>-</v>
      </c>
      <c r="D401" s="169" t="s">
        <v>220</v>
      </c>
      <c r="E401" s="167" t="str">
        <f>IFERROR(VLOOKUP(A401,작성용!A:AL,34,0),"-")</f>
        <v>-</v>
      </c>
      <c r="F401" s="168" t="s">
        <v>2</v>
      </c>
      <c r="G401" s="179">
        <f>COUNTIF(작성용!A:B,$A401)-COUNTIFS(작성용!A:A,$A401,작성용!AA:AA,"평가철회")</f>
        <v>0</v>
      </c>
    </row>
    <row r="402" spans="1:7" ht="16.5" customHeight="1" x14ac:dyDescent="0.3">
      <c r="A402" s="170" t="s">
        <v>1000</v>
      </c>
      <c r="B402" s="165" t="s">
        <v>1001</v>
      </c>
      <c r="C402" s="165" t="str">
        <f>IFERROR(VLOOKUP($A402,작성용!A:AL,14,0),"-")</f>
        <v>-</v>
      </c>
      <c r="D402" s="169" t="s">
        <v>220</v>
      </c>
      <c r="E402" s="167" t="str">
        <f>IFERROR(VLOOKUP(A402,작성용!A:AL,34,0),"-")</f>
        <v>-</v>
      </c>
      <c r="F402" s="168" t="s">
        <v>6283</v>
      </c>
      <c r="G402" s="179">
        <f>COUNTIF(작성용!A:B,$A402)-COUNTIFS(작성용!A:A,$A402,작성용!AA:AA,"평가철회")</f>
        <v>0</v>
      </c>
    </row>
    <row r="403" spans="1:7" ht="16.5" customHeight="1" x14ac:dyDescent="0.3">
      <c r="A403" s="170" t="s">
        <v>1002</v>
      </c>
      <c r="B403" s="165" t="s">
        <v>1003</v>
      </c>
      <c r="C403" s="165" t="str">
        <f>IFERROR(VLOOKUP($A403,작성용!A:AL,14,0),"-")</f>
        <v>-</v>
      </c>
      <c r="D403" s="169" t="s">
        <v>220</v>
      </c>
      <c r="E403" s="167" t="str">
        <f>IFERROR(VLOOKUP(A403,작성용!A:AL,34,0),"-")</f>
        <v>-</v>
      </c>
      <c r="F403" s="168" t="s">
        <v>2</v>
      </c>
      <c r="G403" s="179">
        <f>COUNTIF(작성용!A:B,$A403)-COUNTIFS(작성용!A:A,$A403,작성용!AA:AA,"평가철회")</f>
        <v>0</v>
      </c>
    </row>
    <row r="404" spans="1:7" ht="16.5" customHeight="1" x14ac:dyDescent="0.3">
      <c r="A404" s="170" t="s">
        <v>1004</v>
      </c>
      <c r="B404" s="165" t="s">
        <v>1005</v>
      </c>
      <c r="C404" s="165" t="str">
        <f>IFERROR(VLOOKUP($A404,작성용!A:AL,14,0),"-")</f>
        <v>-</v>
      </c>
      <c r="D404" s="169" t="s">
        <v>220</v>
      </c>
      <c r="E404" s="167" t="str">
        <f>IFERROR(VLOOKUP(A404,작성용!A:AL,34,0),"-")</f>
        <v>-</v>
      </c>
      <c r="F404" s="168" t="s">
        <v>2</v>
      </c>
      <c r="G404" s="179">
        <f>COUNTIF(작성용!A:B,$A404)-COUNTIFS(작성용!A:A,$A404,작성용!AA:AA,"평가철회")</f>
        <v>0</v>
      </c>
    </row>
    <row r="405" spans="1:7" ht="16.5" customHeight="1" x14ac:dyDescent="0.3">
      <c r="A405" s="170" t="s">
        <v>1006</v>
      </c>
      <c r="B405" s="165" t="s">
        <v>1007</v>
      </c>
      <c r="C405" s="165" t="str">
        <f>IFERROR(VLOOKUP($A405,작성용!A:AL,14,0),"-")</f>
        <v>-</v>
      </c>
      <c r="D405" s="169" t="s">
        <v>220</v>
      </c>
      <c r="E405" s="167" t="str">
        <f>IFERROR(VLOOKUP(A405,작성용!A:AL,34,0),"-")</f>
        <v>-</v>
      </c>
      <c r="F405" s="168" t="s">
        <v>6270</v>
      </c>
      <c r="G405" s="179">
        <f>COUNTIF(작성용!A:B,$A405)-COUNTIFS(작성용!A:A,$A405,작성용!AA:AA,"평가철회")</f>
        <v>0</v>
      </c>
    </row>
    <row r="406" spans="1:7" ht="16.5" customHeight="1" x14ac:dyDescent="0.3">
      <c r="A406" s="170" t="s">
        <v>1008</v>
      </c>
      <c r="B406" s="165" t="s">
        <v>1009</v>
      </c>
      <c r="C406" s="165" t="str">
        <f>IFERROR(VLOOKUP($A406,작성용!A:AL,14,0),"-")</f>
        <v>-</v>
      </c>
      <c r="D406" s="169" t="s">
        <v>220</v>
      </c>
      <c r="E406" s="167" t="str">
        <f>IFERROR(VLOOKUP(A406,작성용!A:AL,34,0),"-")</f>
        <v>-</v>
      </c>
      <c r="F406" s="168" t="s">
        <v>2</v>
      </c>
      <c r="G406" s="179">
        <f>COUNTIF(작성용!A:B,$A406)-COUNTIFS(작성용!A:A,$A406,작성용!AA:AA,"평가철회")</f>
        <v>0</v>
      </c>
    </row>
    <row r="407" spans="1:7" ht="16.5" customHeight="1" x14ac:dyDescent="0.3">
      <c r="A407" s="170" t="s">
        <v>1010</v>
      </c>
      <c r="B407" s="165" t="s">
        <v>1011</v>
      </c>
      <c r="C407" s="165" t="str">
        <f>IFERROR(VLOOKUP($A407,작성용!A:AL,14,0),"-")</f>
        <v>-</v>
      </c>
      <c r="D407" s="169" t="s">
        <v>6299</v>
      </c>
      <c r="E407" s="167" t="str">
        <f>IFERROR(VLOOKUP(A407,작성용!A:AL,34,0),"-")</f>
        <v>-</v>
      </c>
      <c r="F407" s="168" t="s">
        <v>2</v>
      </c>
      <c r="G407" s="179">
        <f>COUNTIF(작성용!A:B,$A407)-COUNTIFS(작성용!A:A,$A407,작성용!AA:AA,"평가철회")</f>
        <v>0</v>
      </c>
    </row>
    <row r="408" spans="1:7" ht="16.5" customHeight="1" x14ac:dyDescent="0.3">
      <c r="A408" s="170" t="s">
        <v>1012</v>
      </c>
      <c r="B408" s="165" t="s">
        <v>6404</v>
      </c>
      <c r="C408" s="165" t="str">
        <f>IFERROR(VLOOKUP($A408,작성용!A:AL,14,0),"-")</f>
        <v>-</v>
      </c>
      <c r="D408" s="169" t="s">
        <v>6292</v>
      </c>
      <c r="E408" s="167" t="str">
        <f>IFERROR(VLOOKUP(A408,작성용!A:AL,34,0),"-")</f>
        <v>-</v>
      </c>
      <c r="F408" s="168" t="s">
        <v>6304</v>
      </c>
      <c r="G408" s="179">
        <f>COUNTIF(작성용!A:B,$A408)-COUNTIFS(작성용!A:A,$A408,작성용!AA:AA,"평가철회")</f>
        <v>0</v>
      </c>
    </row>
    <row r="409" spans="1:7" ht="16.5" customHeight="1" x14ac:dyDescent="0.3">
      <c r="A409" s="170" t="s">
        <v>1013</v>
      </c>
      <c r="B409" s="165" t="s">
        <v>1014</v>
      </c>
      <c r="C409" s="165" t="str">
        <f>IFERROR(VLOOKUP($A409,작성용!A:AL,14,0),"-")</f>
        <v>-</v>
      </c>
      <c r="D409" s="169" t="s">
        <v>220</v>
      </c>
      <c r="E409" s="167" t="str">
        <f>IFERROR(VLOOKUP(A409,작성용!A:AL,34,0),"-")</f>
        <v>-</v>
      </c>
      <c r="F409" s="168" t="s">
        <v>6283</v>
      </c>
      <c r="G409" s="179">
        <f>COUNTIF(작성용!A:B,$A409)-COUNTIFS(작성용!A:A,$A409,작성용!AA:AA,"평가철회")</f>
        <v>0</v>
      </c>
    </row>
    <row r="410" spans="1:7" ht="16.5" customHeight="1" x14ac:dyDescent="0.3">
      <c r="A410" s="170" t="s">
        <v>1015</v>
      </c>
      <c r="B410" s="165" t="s">
        <v>1016</v>
      </c>
      <c r="C410" s="165" t="str">
        <f>IFERROR(VLOOKUP($A410,작성용!A:AL,14,0),"-")</f>
        <v>-</v>
      </c>
      <c r="D410" s="169" t="s">
        <v>220</v>
      </c>
      <c r="E410" s="167" t="str">
        <f>IFERROR(VLOOKUP(A410,작성용!A:AL,34,0),"-")</f>
        <v>-</v>
      </c>
      <c r="F410" s="168" t="s">
        <v>2</v>
      </c>
      <c r="G410" s="179">
        <f>COUNTIF(작성용!A:B,$A410)-COUNTIFS(작성용!A:A,$A410,작성용!AA:AA,"평가철회")</f>
        <v>0</v>
      </c>
    </row>
    <row r="411" spans="1:7" ht="16.5" customHeight="1" x14ac:dyDescent="0.3">
      <c r="A411" s="170" t="s">
        <v>1017</v>
      </c>
      <c r="B411" s="165" t="s">
        <v>1018</v>
      </c>
      <c r="C411" s="165" t="str">
        <f>IFERROR(VLOOKUP($A411,작성용!A:AL,14,0),"-")</f>
        <v>-</v>
      </c>
      <c r="D411" s="169" t="s">
        <v>220</v>
      </c>
      <c r="E411" s="167" t="str">
        <f>IFERROR(VLOOKUP(A411,작성용!A:AL,34,0),"-")</f>
        <v>-</v>
      </c>
      <c r="F411" s="168" t="s">
        <v>6283</v>
      </c>
      <c r="G411" s="179">
        <f>COUNTIF(작성용!A:B,$A411)-COUNTIFS(작성용!A:A,$A411,작성용!AA:AA,"평가철회")</f>
        <v>0</v>
      </c>
    </row>
    <row r="412" spans="1:7" ht="16.5" customHeight="1" x14ac:dyDescent="0.3">
      <c r="A412" s="170" t="s">
        <v>1019</v>
      </c>
      <c r="B412" s="165" t="s">
        <v>1020</v>
      </c>
      <c r="C412" s="165" t="str">
        <f>IFERROR(VLOOKUP($A412,작성용!A:AL,14,0),"-")</f>
        <v>-</v>
      </c>
      <c r="D412" s="169" t="s">
        <v>220</v>
      </c>
      <c r="E412" s="167" t="str">
        <f>IFERROR(VLOOKUP(A412,작성용!A:AL,34,0),"-")</f>
        <v>-</v>
      </c>
      <c r="F412" s="168" t="s">
        <v>2</v>
      </c>
      <c r="G412" s="179">
        <f>COUNTIF(작성용!A:B,$A412)-COUNTIFS(작성용!A:A,$A412,작성용!AA:AA,"평가철회")</f>
        <v>0</v>
      </c>
    </row>
    <row r="413" spans="1:7" ht="16.5" customHeight="1" x14ac:dyDescent="0.3">
      <c r="A413" s="170" t="s">
        <v>1021</v>
      </c>
      <c r="B413" s="165" t="s">
        <v>1022</v>
      </c>
      <c r="C413" s="165" t="str">
        <f>IFERROR(VLOOKUP($A413,작성용!A:AL,14,0),"-")</f>
        <v>-</v>
      </c>
      <c r="D413" s="169" t="s">
        <v>220</v>
      </c>
      <c r="E413" s="167" t="str">
        <f>IFERROR(VLOOKUP(A413,작성용!A:AL,34,0),"-")</f>
        <v>-</v>
      </c>
      <c r="F413" s="168" t="s">
        <v>2</v>
      </c>
      <c r="G413" s="179">
        <f>COUNTIF(작성용!A:B,$A413)-COUNTIFS(작성용!A:A,$A413,작성용!AA:AA,"평가철회")</f>
        <v>0</v>
      </c>
    </row>
    <row r="414" spans="1:7" ht="16.5" customHeight="1" x14ac:dyDescent="0.3">
      <c r="A414" s="170" t="s">
        <v>1023</v>
      </c>
      <c r="B414" s="165" t="s">
        <v>1024</v>
      </c>
      <c r="C414" s="165" t="str">
        <f>IFERROR(VLOOKUP($A414,작성용!A:AL,14,0),"-")</f>
        <v>-</v>
      </c>
      <c r="D414" s="169" t="s">
        <v>220</v>
      </c>
      <c r="E414" s="167" t="str">
        <f>IFERROR(VLOOKUP(A414,작성용!A:AL,34,0),"-")</f>
        <v>-</v>
      </c>
      <c r="F414" s="168" t="s">
        <v>2</v>
      </c>
      <c r="G414" s="179">
        <f>COUNTIF(작성용!A:B,$A414)-COUNTIFS(작성용!A:A,$A414,작성용!AA:AA,"평가철회")</f>
        <v>0</v>
      </c>
    </row>
    <row r="415" spans="1:7" ht="16.5" customHeight="1" x14ac:dyDescent="0.3">
      <c r="A415" s="170" t="s">
        <v>1025</v>
      </c>
      <c r="B415" s="165" t="s">
        <v>1026</v>
      </c>
      <c r="C415" s="165" t="str">
        <f>IFERROR(VLOOKUP($A415,작성용!A:AL,14,0),"-")</f>
        <v>-</v>
      </c>
      <c r="D415" s="169" t="s">
        <v>220</v>
      </c>
      <c r="E415" s="167" t="str">
        <f>IFERROR(VLOOKUP(A415,작성용!A:AL,34,0),"-")</f>
        <v>-</v>
      </c>
      <c r="F415" s="168" t="s">
        <v>2</v>
      </c>
      <c r="G415" s="179">
        <f>COUNTIF(작성용!A:B,$A415)-COUNTIFS(작성용!A:A,$A415,작성용!AA:AA,"평가철회")</f>
        <v>0</v>
      </c>
    </row>
    <row r="416" spans="1:7" ht="16.5" customHeight="1" x14ac:dyDescent="0.3">
      <c r="A416" s="170" t="s">
        <v>1027</v>
      </c>
      <c r="B416" s="165" t="s">
        <v>1028</v>
      </c>
      <c r="C416" s="165" t="str">
        <f>IFERROR(VLOOKUP($A416,작성용!A:AL,14,0),"-")</f>
        <v>-</v>
      </c>
      <c r="D416" s="169" t="s">
        <v>220</v>
      </c>
      <c r="E416" s="167" t="str">
        <f>IFERROR(VLOOKUP(A416,작성용!A:AL,34,0),"-")</f>
        <v>-</v>
      </c>
      <c r="F416" s="168" t="s">
        <v>2</v>
      </c>
      <c r="G416" s="179">
        <f>COUNTIF(작성용!A:B,$A416)-COUNTIFS(작성용!A:A,$A416,작성용!AA:AA,"평가철회")</f>
        <v>0</v>
      </c>
    </row>
    <row r="417" spans="1:7" ht="16.5" customHeight="1" x14ac:dyDescent="0.3">
      <c r="A417" s="170" t="s">
        <v>1029</v>
      </c>
      <c r="B417" s="165" t="s">
        <v>6405</v>
      </c>
      <c r="C417" s="165" t="str">
        <f>IFERROR(VLOOKUP($A417,작성용!A:AL,14,0),"-")</f>
        <v>-</v>
      </c>
      <c r="D417" s="169" t="s">
        <v>6292</v>
      </c>
      <c r="E417" s="167" t="str">
        <f>IFERROR(VLOOKUP(A417,작성용!A:AL,34,0),"-")</f>
        <v>-</v>
      </c>
      <c r="F417" s="168" t="s">
        <v>6283</v>
      </c>
      <c r="G417" s="179">
        <f>COUNTIF(작성용!A:B,$A417)-COUNTIFS(작성용!A:A,$A417,작성용!AA:AA,"평가철회")</f>
        <v>0</v>
      </c>
    </row>
    <row r="418" spans="1:7" ht="16.5" customHeight="1" x14ac:dyDescent="0.3">
      <c r="A418" s="170" t="s">
        <v>1030</v>
      </c>
      <c r="B418" s="165" t="s">
        <v>1031</v>
      </c>
      <c r="C418" s="165" t="str">
        <f>IFERROR(VLOOKUP($A418,작성용!A:AL,14,0),"-")</f>
        <v>-</v>
      </c>
      <c r="D418" s="169" t="s">
        <v>220</v>
      </c>
      <c r="E418" s="167" t="str">
        <f>IFERROR(VLOOKUP(A418,작성용!A:AL,34,0),"-")</f>
        <v>-</v>
      </c>
      <c r="F418" s="168" t="s">
        <v>2</v>
      </c>
      <c r="G418" s="179">
        <f>COUNTIF(작성용!A:B,$A418)-COUNTIFS(작성용!A:A,$A418,작성용!AA:AA,"평가철회")</f>
        <v>0</v>
      </c>
    </row>
    <row r="419" spans="1:7" ht="16.5" customHeight="1" x14ac:dyDescent="0.3">
      <c r="A419" s="170" t="s">
        <v>1032</v>
      </c>
      <c r="B419" s="165" t="s">
        <v>1033</v>
      </c>
      <c r="C419" s="165" t="str">
        <f>IFERROR(VLOOKUP($A419,작성용!A:AL,14,0),"-")</f>
        <v>-</v>
      </c>
      <c r="D419" s="169" t="s">
        <v>220</v>
      </c>
      <c r="E419" s="167" t="str">
        <f>IFERROR(VLOOKUP(A419,작성용!A:AL,34,0),"-")</f>
        <v>-</v>
      </c>
      <c r="F419" s="168" t="s">
        <v>2</v>
      </c>
      <c r="G419" s="179">
        <f>COUNTIF(작성용!A:B,$A419)-COUNTIFS(작성용!A:A,$A419,작성용!AA:AA,"평가철회")</f>
        <v>0</v>
      </c>
    </row>
    <row r="420" spans="1:7" ht="16.5" customHeight="1" x14ac:dyDescent="0.3">
      <c r="A420" s="170" t="s">
        <v>1034</v>
      </c>
      <c r="B420" s="165" t="s">
        <v>1035</v>
      </c>
      <c r="C420" s="165" t="str">
        <f>IFERROR(VLOOKUP($A420,작성용!A:AL,14,0),"-")</f>
        <v>-</v>
      </c>
      <c r="D420" s="169" t="s">
        <v>220</v>
      </c>
      <c r="E420" s="167" t="str">
        <f>IFERROR(VLOOKUP(A420,작성용!A:AL,34,0),"-")</f>
        <v>-</v>
      </c>
      <c r="F420" s="168" t="s">
        <v>2</v>
      </c>
      <c r="G420" s="179">
        <f>COUNTIF(작성용!A:B,$A420)-COUNTIFS(작성용!A:A,$A420,작성용!AA:AA,"평가철회")</f>
        <v>0</v>
      </c>
    </row>
    <row r="421" spans="1:7" ht="16.5" customHeight="1" x14ac:dyDescent="0.3">
      <c r="A421" s="170" t="s">
        <v>1036</v>
      </c>
      <c r="B421" s="165" t="s">
        <v>1037</v>
      </c>
      <c r="C421" s="165" t="str">
        <f>IFERROR(VLOOKUP($A421,작성용!A:AL,14,0),"-")</f>
        <v>-</v>
      </c>
      <c r="D421" s="169" t="s">
        <v>220</v>
      </c>
      <c r="E421" s="167" t="str">
        <f>IFERROR(VLOOKUP(A421,작성용!A:AL,34,0),"-")</f>
        <v>-</v>
      </c>
      <c r="F421" s="168" t="s">
        <v>2</v>
      </c>
      <c r="G421" s="179">
        <f>COUNTIF(작성용!A:B,$A421)-COUNTIFS(작성용!A:A,$A421,작성용!AA:AA,"평가철회")</f>
        <v>0</v>
      </c>
    </row>
    <row r="422" spans="1:7" ht="16.5" customHeight="1" x14ac:dyDescent="0.3">
      <c r="A422" s="170" t="s">
        <v>1038</v>
      </c>
      <c r="B422" s="165" t="s">
        <v>1039</v>
      </c>
      <c r="C422" s="165" t="str">
        <f>IFERROR(VLOOKUP($A422,작성용!A:AL,14,0),"-")</f>
        <v>-</v>
      </c>
      <c r="D422" s="169" t="s">
        <v>220</v>
      </c>
      <c r="E422" s="167" t="str">
        <f>IFERROR(VLOOKUP(A422,작성용!A:AL,34,0),"-")</f>
        <v>-</v>
      </c>
      <c r="F422" s="168" t="s">
        <v>401</v>
      </c>
      <c r="G422" s="179">
        <f>COUNTIF(작성용!A:B,$A422)-COUNTIFS(작성용!A:A,$A422,작성용!AA:AA,"평가철회")</f>
        <v>0</v>
      </c>
    </row>
    <row r="423" spans="1:7" ht="16.5" customHeight="1" x14ac:dyDescent="0.3">
      <c r="A423" s="170" t="s">
        <v>1040</v>
      </c>
      <c r="B423" s="165" t="s">
        <v>1041</v>
      </c>
      <c r="C423" s="165" t="str">
        <f>IFERROR(VLOOKUP($A423,작성용!A:AL,14,0),"-")</f>
        <v>-</v>
      </c>
      <c r="D423" s="169" t="s">
        <v>220</v>
      </c>
      <c r="E423" s="167" t="str">
        <f>IFERROR(VLOOKUP(A423,작성용!A:AL,34,0),"-")</f>
        <v>-</v>
      </c>
      <c r="F423" s="168" t="s">
        <v>2</v>
      </c>
      <c r="G423" s="179">
        <f>COUNTIF(작성용!A:B,$A423)-COUNTIFS(작성용!A:A,$A423,작성용!AA:AA,"평가철회")</f>
        <v>0</v>
      </c>
    </row>
    <row r="424" spans="1:7" ht="16.5" customHeight="1" x14ac:dyDescent="0.3">
      <c r="A424" s="170" t="s">
        <v>1042</v>
      </c>
      <c r="B424" s="165" t="s">
        <v>1043</v>
      </c>
      <c r="C424" s="165" t="str">
        <f>IFERROR(VLOOKUP($A424,작성용!A:AL,14,0),"-")</f>
        <v>-</v>
      </c>
      <c r="D424" s="169" t="s">
        <v>220</v>
      </c>
      <c r="E424" s="167" t="str">
        <f>IFERROR(VLOOKUP(A424,작성용!A:AL,34,0),"-")</f>
        <v>-</v>
      </c>
      <c r="F424" s="168" t="s">
        <v>2</v>
      </c>
      <c r="G424" s="179">
        <f>COUNTIF(작성용!A:B,$A424)-COUNTIFS(작성용!A:A,$A424,작성용!AA:AA,"평가철회")</f>
        <v>0</v>
      </c>
    </row>
    <row r="425" spans="1:7" ht="16.5" customHeight="1" x14ac:dyDescent="0.3">
      <c r="A425" s="170" t="s">
        <v>1044</v>
      </c>
      <c r="B425" s="165" t="s">
        <v>1045</v>
      </c>
      <c r="C425" s="165" t="str">
        <f>IFERROR(VLOOKUP($A425,작성용!A:AL,14,0),"-")</f>
        <v>-</v>
      </c>
      <c r="D425" s="169" t="s">
        <v>220</v>
      </c>
      <c r="E425" s="167" t="str">
        <f>IFERROR(VLOOKUP(A425,작성용!A:AL,34,0),"-")</f>
        <v>-</v>
      </c>
      <c r="F425" s="168" t="s">
        <v>2</v>
      </c>
      <c r="G425" s="179">
        <f>COUNTIF(작성용!A:B,$A425)-COUNTIFS(작성용!A:A,$A425,작성용!AA:AA,"평가철회")</f>
        <v>0</v>
      </c>
    </row>
    <row r="426" spans="1:7" ht="16.5" customHeight="1" x14ac:dyDescent="0.3">
      <c r="A426" s="170" t="s">
        <v>1046</v>
      </c>
      <c r="B426" s="165" t="s">
        <v>1047</v>
      </c>
      <c r="C426" s="165" t="str">
        <f>IFERROR(VLOOKUP($A426,작성용!A:AL,14,0),"-")</f>
        <v>-</v>
      </c>
      <c r="D426" s="169" t="s">
        <v>220</v>
      </c>
      <c r="E426" s="167" t="str">
        <f>IFERROR(VLOOKUP(A426,작성용!A:AL,34,0),"-")</f>
        <v>-</v>
      </c>
      <c r="F426" s="168" t="s">
        <v>6283</v>
      </c>
      <c r="G426" s="179">
        <f>COUNTIF(작성용!A:B,$A426)-COUNTIFS(작성용!A:A,$A426,작성용!AA:AA,"평가철회")</f>
        <v>0</v>
      </c>
    </row>
    <row r="427" spans="1:7" ht="16.5" customHeight="1" x14ac:dyDescent="0.3">
      <c r="A427" s="170" t="s">
        <v>1048</v>
      </c>
      <c r="B427" s="165" t="s">
        <v>1049</v>
      </c>
      <c r="C427" s="165" t="str">
        <f>IFERROR(VLOOKUP($A427,작성용!A:AL,14,0),"-")</f>
        <v>-</v>
      </c>
      <c r="D427" s="169" t="s">
        <v>220</v>
      </c>
      <c r="E427" s="167" t="str">
        <f>IFERROR(VLOOKUP(A427,작성용!A:AL,34,0),"-")</f>
        <v>-</v>
      </c>
      <c r="F427" s="168" t="s">
        <v>2</v>
      </c>
      <c r="G427" s="179">
        <f>COUNTIF(작성용!A:B,$A427)-COUNTIFS(작성용!A:A,$A427,작성용!AA:AA,"평가철회")</f>
        <v>0</v>
      </c>
    </row>
    <row r="428" spans="1:7" ht="16.5" customHeight="1" x14ac:dyDescent="0.3">
      <c r="A428" s="170" t="s">
        <v>1050</v>
      </c>
      <c r="B428" s="165" t="s">
        <v>1051</v>
      </c>
      <c r="C428" s="165" t="str">
        <f>IFERROR(VLOOKUP($A428,작성용!A:AL,14,0),"-")</f>
        <v>-</v>
      </c>
      <c r="D428" s="169" t="s">
        <v>220</v>
      </c>
      <c r="E428" s="167" t="str">
        <f>IFERROR(VLOOKUP(A428,작성용!A:AL,34,0),"-")</f>
        <v>-</v>
      </c>
      <c r="F428" s="168" t="s">
        <v>2</v>
      </c>
      <c r="G428" s="179">
        <f>COUNTIF(작성용!A:B,$A428)-COUNTIFS(작성용!A:A,$A428,작성용!AA:AA,"평가철회")</f>
        <v>0</v>
      </c>
    </row>
    <row r="429" spans="1:7" ht="16.5" customHeight="1" x14ac:dyDescent="0.3">
      <c r="A429" s="170" t="s">
        <v>1052</v>
      </c>
      <c r="B429" s="165" t="s">
        <v>6406</v>
      </c>
      <c r="C429" s="165" t="str">
        <f>IFERROR(VLOOKUP($A429,작성용!A:AL,14,0),"-")</f>
        <v>-</v>
      </c>
      <c r="D429" s="169" t="s">
        <v>6292</v>
      </c>
      <c r="E429" s="167" t="str">
        <f>IFERROR(VLOOKUP(A429,작성용!A:AL,34,0),"-")</f>
        <v>-</v>
      </c>
      <c r="F429" s="168" t="s">
        <v>6283</v>
      </c>
      <c r="G429" s="179">
        <f>COUNTIF(작성용!A:B,$A429)-COUNTIFS(작성용!A:A,$A429,작성용!AA:AA,"평가철회")</f>
        <v>0</v>
      </c>
    </row>
    <row r="430" spans="1:7" ht="16.5" customHeight="1" x14ac:dyDescent="0.3">
      <c r="A430" s="170" t="s">
        <v>1053</v>
      </c>
      <c r="B430" s="165" t="s">
        <v>1054</v>
      </c>
      <c r="C430" s="165" t="str">
        <f>IFERROR(VLOOKUP($A430,작성용!A:AL,14,0),"-")</f>
        <v>-</v>
      </c>
      <c r="D430" s="169" t="s">
        <v>220</v>
      </c>
      <c r="E430" s="167" t="str">
        <f>IFERROR(VLOOKUP(A430,작성용!A:AL,34,0),"-")</f>
        <v>-</v>
      </c>
      <c r="F430" s="168" t="s">
        <v>2</v>
      </c>
      <c r="G430" s="179">
        <f>COUNTIF(작성용!A:B,$A430)-COUNTIFS(작성용!A:A,$A430,작성용!AA:AA,"평가철회")</f>
        <v>0</v>
      </c>
    </row>
    <row r="431" spans="1:7" ht="16.5" customHeight="1" x14ac:dyDescent="0.3">
      <c r="A431" s="170" t="s">
        <v>1055</v>
      </c>
      <c r="B431" s="165" t="s">
        <v>1056</v>
      </c>
      <c r="C431" s="165" t="str">
        <f>IFERROR(VLOOKUP($A431,작성용!A:AL,14,0),"-")</f>
        <v>-</v>
      </c>
      <c r="D431" s="169" t="s">
        <v>220</v>
      </c>
      <c r="E431" s="167" t="str">
        <f>IFERROR(VLOOKUP(A431,작성용!A:AL,34,0),"-")</f>
        <v>-</v>
      </c>
      <c r="F431" s="168" t="s">
        <v>2</v>
      </c>
      <c r="G431" s="179">
        <f>COUNTIF(작성용!A:B,$A431)-COUNTIFS(작성용!A:A,$A431,작성용!AA:AA,"평가철회")</f>
        <v>0</v>
      </c>
    </row>
    <row r="432" spans="1:7" ht="16.5" customHeight="1" x14ac:dyDescent="0.3">
      <c r="A432" s="170" t="s">
        <v>1057</v>
      </c>
      <c r="B432" s="165" t="s">
        <v>1058</v>
      </c>
      <c r="C432" s="165" t="str">
        <f>IFERROR(VLOOKUP($A432,작성용!A:AL,14,0),"-")</f>
        <v>-</v>
      </c>
      <c r="D432" s="169" t="s">
        <v>220</v>
      </c>
      <c r="E432" s="167" t="str">
        <f>IFERROR(VLOOKUP(A432,작성용!A:AL,34,0),"-")</f>
        <v>-</v>
      </c>
      <c r="F432" s="168" t="s">
        <v>6283</v>
      </c>
      <c r="G432" s="179">
        <f>COUNTIF(작성용!A:B,$A432)-COUNTIFS(작성용!A:A,$A432,작성용!AA:AA,"평가철회")</f>
        <v>0</v>
      </c>
    </row>
    <row r="433" spans="1:7" ht="16.5" customHeight="1" x14ac:dyDescent="0.3">
      <c r="A433" s="170" t="s">
        <v>1059</v>
      </c>
      <c r="B433" s="165" t="s">
        <v>1060</v>
      </c>
      <c r="C433" s="165" t="str">
        <f>IFERROR(VLOOKUP($A433,작성용!A:AL,14,0),"-")</f>
        <v>-</v>
      </c>
      <c r="D433" s="169" t="s">
        <v>220</v>
      </c>
      <c r="E433" s="167" t="str">
        <f>IFERROR(VLOOKUP(A433,작성용!A:AL,34,0),"-")</f>
        <v>-</v>
      </c>
      <c r="F433" s="168" t="s">
        <v>6283</v>
      </c>
      <c r="G433" s="179">
        <f>COUNTIF(작성용!A:B,$A433)-COUNTIFS(작성용!A:A,$A433,작성용!AA:AA,"평가철회")</f>
        <v>0</v>
      </c>
    </row>
    <row r="434" spans="1:7" ht="16.5" customHeight="1" x14ac:dyDescent="0.3">
      <c r="A434" s="170" t="s">
        <v>1061</v>
      </c>
      <c r="B434" s="165" t="s">
        <v>1062</v>
      </c>
      <c r="C434" s="165" t="str">
        <f>IFERROR(VLOOKUP($A434,작성용!A:AL,14,0),"-")</f>
        <v>-</v>
      </c>
      <c r="D434" s="169" t="s">
        <v>220</v>
      </c>
      <c r="E434" s="167" t="str">
        <f>IFERROR(VLOOKUP(A434,작성용!A:AL,34,0),"-")</f>
        <v>-</v>
      </c>
      <c r="F434" s="168" t="s">
        <v>2</v>
      </c>
      <c r="G434" s="179">
        <f>COUNTIF(작성용!A:B,$A434)-COUNTIFS(작성용!A:A,$A434,작성용!AA:AA,"평가철회")</f>
        <v>0</v>
      </c>
    </row>
    <row r="435" spans="1:7" ht="16.5" customHeight="1" x14ac:dyDescent="0.3">
      <c r="A435" s="170" t="s">
        <v>1063</v>
      </c>
      <c r="B435" s="165" t="s">
        <v>1064</v>
      </c>
      <c r="C435" s="165" t="str">
        <f>IFERROR(VLOOKUP($A435,작성용!A:AL,14,0),"-")</f>
        <v xml:space="preserve">반기 </v>
      </c>
      <c r="D435" s="169" t="s">
        <v>220</v>
      </c>
      <c r="E435" s="167" t="str">
        <f>IFERROR(VLOOKUP(A435,작성용!A:AL,34,0),"-")</f>
        <v>메자닌평가팀</v>
      </c>
      <c r="F435" s="168" t="s">
        <v>6342</v>
      </c>
      <c r="G435" s="179">
        <f>COUNTIF(작성용!A:B,$A435)-COUNTIFS(작성용!A:A,$A435,작성용!AA:AA,"평가철회")</f>
        <v>1</v>
      </c>
    </row>
    <row r="436" spans="1:7" ht="16.5" customHeight="1" x14ac:dyDescent="0.3">
      <c r="A436" s="170" t="s">
        <v>1065</v>
      </c>
      <c r="B436" s="165" t="s">
        <v>1066</v>
      </c>
      <c r="C436" s="165" t="str">
        <f>IFERROR(VLOOKUP($A436,작성용!A:AL,14,0),"-")</f>
        <v>-</v>
      </c>
      <c r="D436" s="169" t="s">
        <v>220</v>
      </c>
      <c r="E436" s="167" t="str">
        <f>IFERROR(VLOOKUP(A436,작성용!A:AL,34,0),"-")</f>
        <v>-</v>
      </c>
      <c r="F436" s="168" t="s">
        <v>2</v>
      </c>
      <c r="G436" s="179">
        <f>COUNTIF(작성용!A:B,$A436)-COUNTIFS(작성용!A:A,$A436,작성용!AA:AA,"평가철회")</f>
        <v>0</v>
      </c>
    </row>
    <row r="437" spans="1:7" ht="16.5" customHeight="1" x14ac:dyDescent="0.3">
      <c r="A437" s="170" t="s">
        <v>1067</v>
      </c>
      <c r="B437" s="165" t="s">
        <v>1068</v>
      </c>
      <c r="C437" s="165" t="str">
        <f>IFERROR(VLOOKUP($A437,작성용!A:AL,14,0),"-")</f>
        <v>-</v>
      </c>
      <c r="D437" s="169" t="s">
        <v>220</v>
      </c>
      <c r="E437" s="167" t="str">
        <f>IFERROR(VLOOKUP(A437,작성용!A:AL,34,0),"-")</f>
        <v>-</v>
      </c>
      <c r="F437" s="168" t="s">
        <v>2</v>
      </c>
      <c r="G437" s="179">
        <f>COUNTIF(작성용!A:B,$A437)-COUNTIFS(작성용!A:A,$A437,작성용!AA:AA,"평가철회")</f>
        <v>0</v>
      </c>
    </row>
    <row r="438" spans="1:7" ht="16.5" customHeight="1" x14ac:dyDescent="0.3">
      <c r="A438" s="170" t="s">
        <v>1069</v>
      </c>
      <c r="B438" s="165" t="s">
        <v>1070</v>
      </c>
      <c r="C438" s="165" t="str">
        <f>IFERROR(VLOOKUP($A438,작성용!A:AL,14,0),"-")</f>
        <v>-</v>
      </c>
      <c r="D438" s="169" t="s">
        <v>220</v>
      </c>
      <c r="E438" s="167" t="str">
        <f>IFERROR(VLOOKUP(A438,작성용!A:AL,34,0),"-")</f>
        <v>-</v>
      </c>
      <c r="F438" s="168" t="s">
        <v>6283</v>
      </c>
      <c r="G438" s="179">
        <f>COUNTIF(작성용!A:B,$A438)-COUNTIFS(작성용!A:A,$A438,작성용!AA:AA,"평가철회")</f>
        <v>0</v>
      </c>
    </row>
    <row r="439" spans="1:7" ht="16.5" customHeight="1" x14ac:dyDescent="0.3">
      <c r="A439" s="170" t="s">
        <v>1071</v>
      </c>
      <c r="B439" s="165" t="s">
        <v>1072</v>
      </c>
      <c r="C439" s="165" t="str">
        <f>IFERROR(VLOOKUP($A439,작성용!A:AL,14,0),"-")</f>
        <v>-</v>
      </c>
      <c r="D439" s="169" t="s">
        <v>220</v>
      </c>
      <c r="E439" s="167" t="str">
        <f>IFERROR(VLOOKUP(A439,작성용!A:AL,34,0),"-")</f>
        <v>-</v>
      </c>
      <c r="F439" s="168" t="s">
        <v>401</v>
      </c>
      <c r="G439" s="179">
        <f>COUNTIF(작성용!A:B,$A439)-COUNTIFS(작성용!A:A,$A439,작성용!AA:AA,"평가철회")</f>
        <v>0</v>
      </c>
    </row>
    <row r="440" spans="1:7" ht="16.5" customHeight="1" x14ac:dyDescent="0.3">
      <c r="A440" s="170" t="s">
        <v>1073</v>
      </c>
      <c r="B440" s="165" t="s">
        <v>1074</v>
      </c>
      <c r="C440" s="165" t="str">
        <f>IFERROR(VLOOKUP($A440,작성용!A:AL,14,0),"-")</f>
        <v>-</v>
      </c>
      <c r="D440" s="169" t="s">
        <v>220</v>
      </c>
      <c r="E440" s="167" t="str">
        <f>IFERROR(VLOOKUP(A440,작성용!A:AL,34,0),"-")</f>
        <v>-</v>
      </c>
      <c r="F440" s="168" t="s">
        <v>6283</v>
      </c>
      <c r="G440" s="179">
        <f>COUNTIF(작성용!A:B,$A440)-COUNTIFS(작성용!A:A,$A440,작성용!AA:AA,"평가철회")</f>
        <v>0</v>
      </c>
    </row>
    <row r="441" spans="1:7" ht="16.5" customHeight="1" x14ac:dyDescent="0.3">
      <c r="A441" s="170" t="s">
        <v>1075</v>
      </c>
      <c r="B441" s="165" t="s">
        <v>6407</v>
      </c>
      <c r="C441" s="165" t="str">
        <f>IFERROR(VLOOKUP($A441,작성용!A:AL,14,0),"-")</f>
        <v>-</v>
      </c>
      <c r="D441" s="169" t="s">
        <v>6292</v>
      </c>
      <c r="E441" s="167" t="str">
        <f>IFERROR(VLOOKUP(A441,작성용!A:AL,34,0),"-")</f>
        <v>-</v>
      </c>
      <c r="F441" s="168" t="s">
        <v>475</v>
      </c>
      <c r="G441" s="179">
        <f>COUNTIF(작성용!A:B,$A441)-COUNTIFS(작성용!A:A,$A441,작성용!AA:AA,"평가철회")</f>
        <v>0</v>
      </c>
    </row>
    <row r="442" spans="1:7" ht="16.5" customHeight="1" x14ac:dyDescent="0.3">
      <c r="A442" s="170" t="s">
        <v>1076</v>
      </c>
      <c r="B442" s="165" t="s">
        <v>1077</v>
      </c>
      <c r="C442" s="165" t="str">
        <f>IFERROR(VLOOKUP($A442,작성용!A:AL,14,0),"-")</f>
        <v>-</v>
      </c>
      <c r="D442" s="169" t="s">
        <v>220</v>
      </c>
      <c r="E442" s="167" t="str">
        <f>IFERROR(VLOOKUP(A442,작성용!A:AL,34,0),"-")</f>
        <v>-</v>
      </c>
      <c r="F442" s="168" t="s">
        <v>6283</v>
      </c>
      <c r="G442" s="179">
        <f>COUNTIF(작성용!A:B,$A442)-COUNTIFS(작성용!A:A,$A442,작성용!AA:AA,"평가철회")</f>
        <v>0</v>
      </c>
    </row>
    <row r="443" spans="1:7" ht="16.5" customHeight="1" x14ac:dyDescent="0.3">
      <c r="A443" s="170" t="s">
        <v>1078</v>
      </c>
      <c r="B443" s="165" t="s">
        <v>1079</v>
      </c>
      <c r="C443" s="165" t="str">
        <f>IFERROR(VLOOKUP($A443,작성용!A:AL,14,0),"-")</f>
        <v>-</v>
      </c>
      <c r="D443" s="169" t="s">
        <v>220</v>
      </c>
      <c r="E443" s="167" t="str">
        <f>IFERROR(VLOOKUP(A443,작성용!A:AL,34,0),"-")</f>
        <v>-</v>
      </c>
      <c r="F443" s="168" t="s">
        <v>2</v>
      </c>
      <c r="G443" s="179">
        <f>COUNTIF(작성용!A:B,$A443)-COUNTIFS(작성용!A:A,$A443,작성용!AA:AA,"평가철회")</f>
        <v>0</v>
      </c>
    </row>
    <row r="444" spans="1:7" ht="16.5" customHeight="1" x14ac:dyDescent="0.3">
      <c r="A444" s="170" t="s">
        <v>1080</v>
      </c>
      <c r="B444" s="165" t="s">
        <v>1081</v>
      </c>
      <c r="C444" s="165" t="str">
        <f>IFERROR(VLOOKUP($A444,작성용!A:AL,14,0),"-")</f>
        <v>-</v>
      </c>
      <c r="D444" s="169" t="s">
        <v>220</v>
      </c>
      <c r="E444" s="167" t="str">
        <f>IFERROR(VLOOKUP(A444,작성용!A:AL,34,0),"-")</f>
        <v>-</v>
      </c>
      <c r="F444" s="168" t="s">
        <v>6283</v>
      </c>
      <c r="G444" s="179">
        <f>COUNTIF(작성용!A:B,$A444)-COUNTIFS(작성용!A:A,$A444,작성용!AA:AA,"평가철회")</f>
        <v>0</v>
      </c>
    </row>
    <row r="445" spans="1:7" ht="16.5" customHeight="1" x14ac:dyDescent="0.3">
      <c r="A445" s="170" t="s">
        <v>1082</v>
      </c>
      <c r="B445" s="165" t="s">
        <v>6408</v>
      </c>
      <c r="C445" s="165" t="str">
        <f>IFERROR(VLOOKUP($A445,작성용!A:AL,14,0),"-")</f>
        <v>-</v>
      </c>
      <c r="D445" s="169" t="s">
        <v>220</v>
      </c>
      <c r="E445" s="167" t="str">
        <f>IFERROR(VLOOKUP(A445,작성용!A:AL,34,0),"-")</f>
        <v>-</v>
      </c>
      <c r="F445" s="168" t="s">
        <v>6270</v>
      </c>
      <c r="G445" s="179">
        <f>COUNTIF(작성용!A:B,$A445)-COUNTIFS(작성용!A:A,$A445,작성용!AA:AA,"평가철회")</f>
        <v>0</v>
      </c>
    </row>
    <row r="446" spans="1:7" ht="16.5" customHeight="1" x14ac:dyDescent="0.3">
      <c r="A446" s="170" t="s">
        <v>1083</v>
      </c>
      <c r="B446" s="165" t="s">
        <v>1084</v>
      </c>
      <c r="C446" s="165" t="str">
        <f>IFERROR(VLOOKUP($A446,작성용!A:AL,14,0),"-")</f>
        <v>-</v>
      </c>
      <c r="D446" s="169" t="s">
        <v>220</v>
      </c>
      <c r="E446" s="167" t="str">
        <f>IFERROR(VLOOKUP(A446,작성용!A:AL,34,0),"-")</f>
        <v>-</v>
      </c>
      <c r="F446" s="168" t="s">
        <v>6283</v>
      </c>
      <c r="G446" s="179">
        <f>COUNTIF(작성용!A:B,$A446)-COUNTIFS(작성용!A:A,$A446,작성용!AA:AA,"평가철회")</f>
        <v>0</v>
      </c>
    </row>
    <row r="447" spans="1:7" ht="16.5" customHeight="1" x14ac:dyDescent="0.3">
      <c r="A447" s="170" t="s">
        <v>1085</v>
      </c>
      <c r="B447" s="165" t="s">
        <v>1086</v>
      </c>
      <c r="C447" s="165" t="str">
        <f>IFERROR(VLOOKUP($A447,작성용!A:AL,14,0),"-")</f>
        <v>-</v>
      </c>
      <c r="D447" s="169" t="s">
        <v>220</v>
      </c>
      <c r="E447" s="167" t="str">
        <f>IFERROR(VLOOKUP(A447,작성용!A:AL,34,0),"-")</f>
        <v>-</v>
      </c>
      <c r="F447" s="168" t="s">
        <v>2</v>
      </c>
      <c r="G447" s="179">
        <f>COUNTIF(작성용!A:B,$A447)-COUNTIFS(작성용!A:A,$A447,작성용!AA:AA,"평가철회")</f>
        <v>0</v>
      </c>
    </row>
    <row r="448" spans="1:7" ht="16.5" customHeight="1" x14ac:dyDescent="0.3">
      <c r="A448" s="170" t="s">
        <v>1087</v>
      </c>
      <c r="B448" s="165" t="s">
        <v>1088</v>
      </c>
      <c r="C448" s="165" t="str">
        <f>IFERROR(VLOOKUP($A448,작성용!A:AL,14,0),"-")</f>
        <v>-</v>
      </c>
      <c r="D448" s="169" t="s">
        <v>220</v>
      </c>
      <c r="E448" s="167" t="str">
        <f>IFERROR(VLOOKUP(A448,작성용!A:AL,34,0),"-")</f>
        <v>-</v>
      </c>
      <c r="F448" s="168" t="s">
        <v>6283</v>
      </c>
      <c r="G448" s="179">
        <f>COUNTIF(작성용!A:B,$A448)-COUNTIFS(작성용!A:A,$A448,작성용!AA:AA,"평가철회")</f>
        <v>0</v>
      </c>
    </row>
    <row r="449" spans="1:7" ht="16.5" customHeight="1" x14ac:dyDescent="0.3">
      <c r="A449" s="170" t="s">
        <v>1089</v>
      </c>
      <c r="B449" s="165" t="s">
        <v>3626</v>
      </c>
      <c r="C449" s="165" t="str">
        <f>IFERROR(VLOOKUP($A449,작성용!A:AL,14,0),"-")</f>
        <v>-</v>
      </c>
      <c r="D449" s="169" t="s">
        <v>6292</v>
      </c>
      <c r="E449" s="167" t="str">
        <f>IFERROR(VLOOKUP(A449,작성용!A:AL,34,0),"-")</f>
        <v>-</v>
      </c>
      <c r="F449" s="168" t="s">
        <v>6283</v>
      </c>
      <c r="G449" s="179">
        <f>COUNTIF(작성용!A:B,$A449)-COUNTIFS(작성용!A:A,$A449,작성용!AA:AA,"평가철회")</f>
        <v>0</v>
      </c>
    </row>
    <row r="450" spans="1:7" ht="16.5" customHeight="1" x14ac:dyDescent="0.3">
      <c r="A450" s="170" t="s">
        <v>1090</v>
      </c>
      <c r="B450" s="165" t="s">
        <v>1091</v>
      </c>
      <c r="C450" s="165" t="str">
        <f>IFERROR(VLOOKUP($A450,작성용!A:AL,14,0),"-")</f>
        <v>-</v>
      </c>
      <c r="D450" s="169" t="s">
        <v>220</v>
      </c>
      <c r="E450" s="167" t="str">
        <f>IFERROR(VLOOKUP(A450,작성용!A:AL,34,0),"-")</f>
        <v>-</v>
      </c>
      <c r="F450" s="168" t="s">
        <v>2</v>
      </c>
      <c r="G450" s="179">
        <f>COUNTIF(작성용!A:B,$A450)-COUNTIFS(작성용!A:A,$A450,작성용!AA:AA,"평가철회")</f>
        <v>0</v>
      </c>
    </row>
    <row r="451" spans="1:7" ht="16.5" customHeight="1" x14ac:dyDescent="0.3">
      <c r="A451" s="170" t="s">
        <v>1092</v>
      </c>
      <c r="B451" s="165" t="s">
        <v>1093</v>
      </c>
      <c r="C451" s="165" t="str">
        <f>IFERROR(VLOOKUP($A451,작성용!A:AL,14,0),"-")</f>
        <v>-</v>
      </c>
      <c r="D451" s="169" t="s">
        <v>220</v>
      </c>
      <c r="E451" s="167" t="str">
        <f>IFERROR(VLOOKUP(A451,작성용!A:AL,34,0),"-")</f>
        <v>-</v>
      </c>
      <c r="F451" s="168" t="s">
        <v>2</v>
      </c>
      <c r="G451" s="179">
        <f>COUNTIF(작성용!A:B,$A451)-COUNTIFS(작성용!A:A,$A451,작성용!AA:AA,"평가철회")</f>
        <v>0</v>
      </c>
    </row>
    <row r="452" spans="1:7" ht="16.5" customHeight="1" x14ac:dyDescent="0.3">
      <c r="A452" s="170" t="s">
        <v>1094</v>
      </c>
      <c r="B452" s="165" t="s">
        <v>1095</v>
      </c>
      <c r="C452" s="165" t="str">
        <f>IFERROR(VLOOKUP($A452,작성용!A:AL,14,0),"-")</f>
        <v>-</v>
      </c>
      <c r="D452" s="169" t="s">
        <v>220</v>
      </c>
      <c r="E452" s="167" t="str">
        <f>IFERROR(VLOOKUP(A452,작성용!A:AL,34,0),"-")</f>
        <v>-</v>
      </c>
      <c r="F452" s="168" t="s">
        <v>401</v>
      </c>
      <c r="G452" s="179">
        <f>COUNTIF(작성용!A:B,$A452)-COUNTIFS(작성용!A:A,$A452,작성용!AA:AA,"평가철회")</f>
        <v>0</v>
      </c>
    </row>
    <row r="453" spans="1:7" ht="16.5" customHeight="1" x14ac:dyDescent="0.3">
      <c r="A453" s="170" t="s">
        <v>1096</v>
      </c>
      <c r="B453" s="165" t="s">
        <v>1097</v>
      </c>
      <c r="C453" s="165" t="str">
        <f>IFERROR(VLOOKUP($A453,작성용!A:AL,14,0),"-")</f>
        <v>-</v>
      </c>
      <c r="D453" s="169" t="s">
        <v>220</v>
      </c>
      <c r="E453" s="167" t="str">
        <f>IFERROR(VLOOKUP(A453,작성용!A:AL,34,0),"-")</f>
        <v>-</v>
      </c>
      <c r="F453" s="168" t="s">
        <v>2</v>
      </c>
      <c r="G453" s="179">
        <f>COUNTIF(작성용!A:B,$A453)-COUNTIFS(작성용!A:A,$A453,작성용!AA:AA,"평가철회")</f>
        <v>0</v>
      </c>
    </row>
    <row r="454" spans="1:7" ht="16.5" customHeight="1" x14ac:dyDescent="0.3">
      <c r="A454" s="170" t="s">
        <v>1098</v>
      </c>
      <c r="B454" s="165" t="s">
        <v>1099</v>
      </c>
      <c r="C454" s="165" t="str">
        <f>IFERROR(VLOOKUP($A454,작성용!A:AL,14,0),"-")</f>
        <v>-</v>
      </c>
      <c r="D454" s="169" t="s">
        <v>220</v>
      </c>
      <c r="E454" s="167" t="str">
        <f>IFERROR(VLOOKUP(A454,작성용!A:AL,34,0),"-")</f>
        <v>-</v>
      </c>
      <c r="F454" s="168" t="s">
        <v>6283</v>
      </c>
      <c r="G454" s="179">
        <f>COUNTIF(작성용!A:B,$A454)-COUNTIFS(작성용!A:A,$A454,작성용!AA:AA,"평가철회")</f>
        <v>0</v>
      </c>
    </row>
    <row r="455" spans="1:7" ht="16.5" customHeight="1" x14ac:dyDescent="0.3">
      <c r="A455" s="170" t="s">
        <v>1100</v>
      </c>
      <c r="B455" s="165" t="s">
        <v>1101</v>
      </c>
      <c r="C455" s="165" t="str">
        <f>IFERROR(VLOOKUP($A455,작성용!A:AL,14,0),"-")</f>
        <v>-</v>
      </c>
      <c r="D455" s="169" t="s">
        <v>220</v>
      </c>
      <c r="E455" s="167" t="str">
        <f>IFERROR(VLOOKUP(A455,작성용!A:AL,34,0),"-")</f>
        <v>-</v>
      </c>
      <c r="F455" s="168" t="s">
        <v>6270</v>
      </c>
      <c r="G455" s="179">
        <f>COUNTIF(작성용!A:B,$A455)-COUNTIFS(작성용!A:A,$A455,작성용!AA:AA,"평가철회")</f>
        <v>0</v>
      </c>
    </row>
    <row r="456" spans="1:7" ht="16.5" customHeight="1" x14ac:dyDescent="0.3">
      <c r="A456" s="170" t="s">
        <v>1102</v>
      </c>
      <c r="B456" s="165" t="s">
        <v>1103</v>
      </c>
      <c r="C456" s="165" t="str">
        <f>IFERROR(VLOOKUP($A456,작성용!A:AL,14,0),"-")</f>
        <v>-</v>
      </c>
      <c r="D456" s="169" t="s">
        <v>220</v>
      </c>
      <c r="E456" s="167" t="str">
        <f>IFERROR(VLOOKUP(A456,작성용!A:AL,34,0),"-")</f>
        <v>-</v>
      </c>
      <c r="F456" s="168" t="s">
        <v>6304</v>
      </c>
      <c r="G456" s="179">
        <f>COUNTIF(작성용!A:B,$A456)-COUNTIFS(작성용!A:A,$A456,작성용!AA:AA,"평가철회")</f>
        <v>0</v>
      </c>
    </row>
    <row r="457" spans="1:7" ht="16.5" customHeight="1" x14ac:dyDescent="0.3">
      <c r="A457" s="170" t="s">
        <v>1104</v>
      </c>
      <c r="B457" s="165" t="s">
        <v>3631</v>
      </c>
      <c r="C457" s="165" t="str">
        <f>IFERROR(VLOOKUP($A457,작성용!A:AL,14,0),"-")</f>
        <v>-</v>
      </c>
      <c r="D457" s="169" t="s">
        <v>3625</v>
      </c>
      <c r="E457" s="167" t="str">
        <f>IFERROR(VLOOKUP(A457,작성용!A:AL,34,0),"-")</f>
        <v>-</v>
      </c>
      <c r="F457" s="168" t="s">
        <v>6304</v>
      </c>
      <c r="G457" s="179">
        <f>COUNTIF(작성용!A:B,$A457)-COUNTIFS(작성용!A:A,$A457,작성용!AA:AA,"평가철회")</f>
        <v>0</v>
      </c>
    </row>
    <row r="458" spans="1:7" ht="16.5" customHeight="1" x14ac:dyDescent="0.3">
      <c r="A458" s="170" t="s">
        <v>1105</v>
      </c>
      <c r="B458" s="165" t="s">
        <v>1106</v>
      </c>
      <c r="C458" s="165" t="str">
        <f>IFERROR(VLOOKUP($A458,작성용!A:AL,14,0),"-")</f>
        <v>-</v>
      </c>
      <c r="D458" s="169" t="s">
        <v>220</v>
      </c>
      <c r="E458" s="167" t="str">
        <f>IFERROR(VLOOKUP(A458,작성용!A:AL,34,0),"-")</f>
        <v>-</v>
      </c>
      <c r="F458" s="168" t="s">
        <v>6283</v>
      </c>
      <c r="G458" s="179">
        <f>COUNTIF(작성용!A:B,$A458)-COUNTIFS(작성용!A:A,$A458,작성용!AA:AA,"평가철회")</f>
        <v>0</v>
      </c>
    </row>
    <row r="459" spans="1:7" ht="16.5" customHeight="1" x14ac:dyDescent="0.3">
      <c r="A459" s="170" t="s">
        <v>1107</v>
      </c>
      <c r="B459" s="165" t="s">
        <v>1108</v>
      </c>
      <c r="C459" s="165" t="str">
        <f>IFERROR(VLOOKUP($A459,작성용!A:AL,14,0),"-")</f>
        <v>-</v>
      </c>
      <c r="D459" s="169" t="s">
        <v>220</v>
      </c>
      <c r="E459" s="167" t="str">
        <f>IFERROR(VLOOKUP(A459,작성용!A:AL,34,0),"-")</f>
        <v>-</v>
      </c>
      <c r="F459" s="168" t="s">
        <v>2</v>
      </c>
      <c r="G459" s="179">
        <f>COUNTIF(작성용!A:B,$A459)-COUNTIFS(작성용!A:A,$A459,작성용!AA:AA,"평가철회")</f>
        <v>0</v>
      </c>
    </row>
    <row r="460" spans="1:7" ht="16.5" customHeight="1" x14ac:dyDescent="0.3">
      <c r="A460" s="170" t="s">
        <v>1109</v>
      </c>
      <c r="B460" s="165" t="s">
        <v>1110</v>
      </c>
      <c r="C460" s="165" t="str">
        <f>IFERROR(VLOOKUP($A460,작성용!A:AL,14,0),"-")</f>
        <v>-</v>
      </c>
      <c r="D460" s="169" t="s">
        <v>220</v>
      </c>
      <c r="E460" s="167" t="str">
        <f>IFERROR(VLOOKUP(A460,작성용!A:AL,34,0),"-")</f>
        <v>-</v>
      </c>
      <c r="F460" s="168" t="s">
        <v>6342</v>
      </c>
      <c r="G460" s="179">
        <f>COUNTIF(작성용!A:B,$A460)-COUNTIFS(작성용!A:A,$A460,작성용!AA:AA,"평가철회")</f>
        <v>0</v>
      </c>
    </row>
    <row r="461" spans="1:7" ht="16.5" customHeight="1" x14ac:dyDescent="0.3">
      <c r="A461" s="170" t="s">
        <v>1111</v>
      </c>
      <c r="B461" s="165" t="s">
        <v>1112</v>
      </c>
      <c r="C461" s="165" t="str">
        <f>IFERROR(VLOOKUP($A461,작성용!A:AL,14,0),"-")</f>
        <v>-</v>
      </c>
      <c r="D461" s="169" t="s">
        <v>6292</v>
      </c>
      <c r="E461" s="167" t="str">
        <f>IFERROR(VLOOKUP(A461,작성용!A:AL,34,0),"-")</f>
        <v>-</v>
      </c>
      <c r="F461" s="168" t="s">
        <v>401</v>
      </c>
      <c r="G461" s="179">
        <f>COUNTIF(작성용!A:B,$A461)-COUNTIFS(작성용!A:A,$A461,작성용!AA:AA,"평가철회")</f>
        <v>0</v>
      </c>
    </row>
    <row r="462" spans="1:7" ht="16.5" customHeight="1" x14ac:dyDescent="0.3">
      <c r="A462" s="170" t="s">
        <v>1113</v>
      </c>
      <c r="B462" s="165" t="s">
        <v>1114</v>
      </c>
      <c r="C462" s="165" t="str">
        <f>IFERROR(VLOOKUP($A462,작성용!A:AL,14,0),"-")</f>
        <v>-</v>
      </c>
      <c r="D462" s="169" t="s">
        <v>220</v>
      </c>
      <c r="E462" s="167" t="str">
        <f>IFERROR(VLOOKUP(A462,작성용!A:AL,34,0),"-")</f>
        <v>-</v>
      </c>
      <c r="F462" s="168" t="s">
        <v>6342</v>
      </c>
      <c r="G462" s="179">
        <f>COUNTIF(작성용!A:B,$A462)-COUNTIFS(작성용!A:A,$A462,작성용!AA:AA,"평가철회")</f>
        <v>0</v>
      </c>
    </row>
    <row r="463" spans="1:7" ht="16.5" customHeight="1" x14ac:dyDescent="0.3">
      <c r="A463" s="170" t="s">
        <v>1115</v>
      </c>
      <c r="B463" s="165" t="s">
        <v>1116</v>
      </c>
      <c r="C463" s="165" t="str">
        <f>IFERROR(VLOOKUP($A463,작성용!A:AL,14,0),"-")</f>
        <v>-</v>
      </c>
      <c r="D463" s="169" t="s">
        <v>220</v>
      </c>
      <c r="E463" s="167" t="str">
        <f>IFERROR(VLOOKUP(A463,작성용!A:AL,34,0),"-")</f>
        <v>-</v>
      </c>
      <c r="F463" s="168" t="s">
        <v>2</v>
      </c>
      <c r="G463" s="179">
        <f>COUNTIF(작성용!A:B,$A463)-COUNTIFS(작성용!A:A,$A463,작성용!AA:AA,"평가철회")</f>
        <v>0</v>
      </c>
    </row>
    <row r="464" spans="1:7" ht="16.5" customHeight="1" x14ac:dyDescent="0.3">
      <c r="A464" s="170" t="s">
        <v>1117</v>
      </c>
      <c r="B464" s="165" t="s">
        <v>1118</v>
      </c>
      <c r="C464" s="165" t="str">
        <f>IFERROR(VLOOKUP($A464,작성용!A:AL,14,0),"-")</f>
        <v>-</v>
      </c>
      <c r="D464" s="169" t="s">
        <v>220</v>
      </c>
      <c r="E464" s="167" t="str">
        <f>IFERROR(VLOOKUP(A464,작성용!A:AL,34,0),"-")</f>
        <v>-</v>
      </c>
      <c r="F464" s="168" t="s">
        <v>2</v>
      </c>
      <c r="G464" s="179">
        <f>COUNTIF(작성용!A:B,$A464)-COUNTIFS(작성용!A:A,$A464,작성용!AA:AA,"평가철회")</f>
        <v>0</v>
      </c>
    </row>
    <row r="465" spans="1:7" ht="16.5" customHeight="1" x14ac:dyDescent="0.3">
      <c r="A465" s="170" t="s">
        <v>1119</v>
      </c>
      <c r="B465" s="165" t="s">
        <v>1120</v>
      </c>
      <c r="C465" s="165" t="str">
        <f>IFERROR(VLOOKUP($A465,작성용!A:AL,14,0),"-")</f>
        <v>-</v>
      </c>
      <c r="D465" s="169" t="s">
        <v>220</v>
      </c>
      <c r="E465" s="167" t="str">
        <f>IFERROR(VLOOKUP(A465,작성용!A:AL,34,0),"-")</f>
        <v>-</v>
      </c>
      <c r="F465" s="168" t="s">
        <v>2</v>
      </c>
      <c r="G465" s="179">
        <f>COUNTIF(작성용!A:B,$A465)-COUNTIFS(작성용!A:A,$A465,작성용!AA:AA,"평가철회")</f>
        <v>0</v>
      </c>
    </row>
    <row r="466" spans="1:7" ht="16.5" customHeight="1" x14ac:dyDescent="0.3">
      <c r="A466" s="170" t="s">
        <v>1121</v>
      </c>
      <c r="B466" s="165" t="s">
        <v>1122</v>
      </c>
      <c r="C466" s="165" t="str">
        <f>IFERROR(VLOOKUP($A466,작성용!A:AL,14,0),"-")</f>
        <v>-</v>
      </c>
      <c r="D466" s="169" t="s">
        <v>220</v>
      </c>
      <c r="E466" s="167" t="str">
        <f>IFERROR(VLOOKUP(A466,작성용!A:AL,34,0),"-")</f>
        <v>-</v>
      </c>
      <c r="F466" s="168" t="s">
        <v>2</v>
      </c>
      <c r="G466" s="179">
        <f>COUNTIF(작성용!A:B,$A466)-COUNTIFS(작성용!A:A,$A466,작성용!AA:AA,"평가철회")</f>
        <v>0</v>
      </c>
    </row>
    <row r="467" spans="1:7" ht="16.5" customHeight="1" x14ac:dyDescent="0.3">
      <c r="A467" s="170" t="s">
        <v>1123</v>
      </c>
      <c r="B467" s="165" t="s">
        <v>1124</v>
      </c>
      <c r="C467" s="165" t="str">
        <f>IFERROR(VLOOKUP($A467,작성용!A:AL,14,0),"-")</f>
        <v>-</v>
      </c>
      <c r="D467" s="169" t="s">
        <v>220</v>
      </c>
      <c r="E467" s="167" t="str">
        <f>IFERROR(VLOOKUP(A467,작성용!A:AL,34,0),"-")</f>
        <v>-</v>
      </c>
      <c r="F467" s="168" t="s">
        <v>2</v>
      </c>
      <c r="G467" s="179">
        <f>COUNTIF(작성용!A:B,$A467)-COUNTIFS(작성용!A:A,$A467,작성용!AA:AA,"평가철회")</f>
        <v>0</v>
      </c>
    </row>
    <row r="468" spans="1:7" ht="16.5" customHeight="1" x14ac:dyDescent="0.3">
      <c r="A468" s="170" t="s">
        <v>1125</v>
      </c>
      <c r="B468" s="165" t="s">
        <v>1126</v>
      </c>
      <c r="C468" s="165" t="str">
        <f>IFERROR(VLOOKUP($A468,작성용!A:AL,14,0),"-")</f>
        <v>-</v>
      </c>
      <c r="D468" s="169" t="s">
        <v>220</v>
      </c>
      <c r="E468" s="167" t="str">
        <f>IFERROR(VLOOKUP(A468,작성용!A:AL,34,0),"-")</f>
        <v>-</v>
      </c>
      <c r="F468" s="168" t="s">
        <v>2</v>
      </c>
      <c r="G468" s="179">
        <f>COUNTIF(작성용!A:B,$A468)-COUNTIFS(작성용!A:A,$A468,작성용!AA:AA,"평가철회")</f>
        <v>0</v>
      </c>
    </row>
    <row r="469" spans="1:7" ht="16.5" customHeight="1" x14ac:dyDescent="0.3">
      <c r="A469" s="170" t="s">
        <v>1127</v>
      </c>
      <c r="B469" s="165" t="s">
        <v>1128</v>
      </c>
      <c r="C469" s="165" t="str">
        <f>IFERROR(VLOOKUP($A469,작성용!A:AL,14,0),"-")</f>
        <v>-</v>
      </c>
      <c r="D469" s="169" t="s">
        <v>220</v>
      </c>
      <c r="E469" s="167" t="str">
        <f>IFERROR(VLOOKUP(A469,작성용!A:AL,34,0),"-")</f>
        <v>-</v>
      </c>
      <c r="F469" s="168" t="s">
        <v>2</v>
      </c>
      <c r="G469" s="179">
        <f>COUNTIF(작성용!A:B,$A469)-COUNTIFS(작성용!A:A,$A469,작성용!AA:AA,"평가철회")</f>
        <v>0</v>
      </c>
    </row>
    <row r="470" spans="1:7" ht="16.5" customHeight="1" x14ac:dyDescent="0.3">
      <c r="A470" s="170" t="s">
        <v>1129</v>
      </c>
      <c r="B470" s="165" t="s">
        <v>1130</v>
      </c>
      <c r="C470" s="165" t="str">
        <f>IFERROR(VLOOKUP($A470,작성용!A:AL,14,0),"-")</f>
        <v>-</v>
      </c>
      <c r="D470" s="169" t="s">
        <v>220</v>
      </c>
      <c r="E470" s="167" t="str">
        <f>IFERROR(VLOOKUP(A470,작성용!A:AL,34,0),"-")</f>
        <v>-</v>
      </c>
      <c r="F470" s="168" t="s">
        <v>2</v>
      </c>
      <c r="G470" s="179">
        <f>COUNTIF(작성용!A:B,$A470)-COUNTIFS(작성용!A:A,$A470,작성용!AA:AA,"평가철회")</f>
        <v>0</v>
      </c>
    </row>
    <row r="471" spans="1:7" ht="16.5" customHeight="1" x14ac:dyDescent="0.3">
      <c r="A471" s="170" t="s">
        <v>1131</v>
      </c>
      <c r="B471" s="165" t="s">
        <v>1132</v>
      </c>
      <c r="C471" s="165" t="str">
        <f>IFERROR(VLOOKUP($A471,작성용!A:AL,14,0),"-")</f>
        <v>-</v>
      </c>
      <c r="D471" s="169" t="s">
        <v>220</v>
      </c>
      <c r="E471" s="167" t="str">
        <f>IFERROR(VLOOKUP(A471,작성용!A:AL,34,0),"-")</f>
        <v>-</v>
      </c>
      <c r="F471" s="168" t="s">
        <v>2</v>
      </c>
      <c r="G471" s="179">
        <f>COUNTIF(작성용!A:B,$A471)-COUNTIFS(작성용!A:A,$A471,작성용!AA:AA,"평가철회")</f>
        <v>0</v>
      </c>
    </row>
    <row r="472" spans="1:7" ht="16.5" customHeight="1" x14ac:dyDescent="0.3">
      <c r="A472" s="170" t="s">
        <v>1133</v>
      </c>
      <c r="B472" s="165" t="s">
        <v>1134</v>
      </c>
      <c r="C472" s="165" t="str">
        <f>IFERROR(VLOOKUP($A472,작성용!A:AL,14,0),"-")</f>
        <v>-</v>
      </c>
      <c r="D472" s="169" t="s">
        <v>220</v>
      </c>
      <c r="E472" s="167" t="str">
        <f>IFERROR(VLOOKUP(A472,작성용!A:AL,34,0),"-")</f>
        <v>-</v>
      </c>
      <c r="F472" s="168" t="s">
        <v>6283</v>
      </c>
      <c r="G472" s="179">
        <f>COUNTIF(작성용!A:B,$A472)-COUNTIFS(작성용!A:A,$A472,작성용!AA:AA,"평가철회")</f>
        <v>0</v>
      </c>
    </row>
    <row r="473" spans="1:7" ht="16.5" customHeight="1" x14ac:dyDescent="0.3">
      <c r="A473" s="170" t="s">
        <v>1135</v>
      </c>
      <c r="B473" s="165" t="s">
        <v>1136</v>
      </c>
      <c r="C473" s="165" t="str">
        <f>IFERROR(VLOOKUP($A473,작성용!A:AL,14,0),"-")</f>
        <v>-</v>
      </c>
      <c r="D473" s="169" t="s">
        <v>220</v>
      </c>
      <c r="E473" s="167" t="str">
        <f>IFERROR(VLOOKUP(A473,작성용!A:AL,34,0),"-")</f>
        <v>-</v>
      </c>
      <c r="F473" s="168" t="s">
        <v>2</v>
      </c>
      <c r="G473" s="179">
        <f>COUNTIF(작성용!A:B,$A473)-COUNTIFS(작성용!A:A,$A473,작성용!AA:AA,"평가철회")</f>
        <v>0</v>
      </c>
    </row>
    <row r="474" spans="1:7" ht="16.5" customHeight="1" x14ac:dyDescent="0.3">
      <c r="A474" s="170" t="s">
        <v>1137</v>
      </c>
      <c r="B474" s="165" t="s">
        <v>1138</v>
      </c>
      <c r="C474" s="165" t="str">
        <f>IFERROR(VLOOKUP($A474,작성용!A:AL,14,0),"-")</f>
        <v>-</v>
      </c>
      <c r="D474" s="169" t="s">
        <v>220</v>
      </c>
      <c r="E474" s="167" t="str">
        <f>IFERROR(VLOOKUP(A474,작성용!A:AL,34,0),"-")</f>
        <v>-</v>
      </c>
      <c r="F474" s="168" t="s">
        <v>2</v>
      </c>
      <c r="G474" s="179">
        <f>COUNTIF(작성용!A:B,$A474)-COUNTIFS(작성용!A:A,$A474,작성용!AA:AA,"평가철회")</f>
        <v>0</v>
      </c>
    </row>
    <row r="475" spans="1:7" ht="16.5" customHeight="1" x14ac:dyDescent="0.3">
      <c r="A475" s="170" t="s">
        <v>1139</v>
      </c>
      <c r="B475" s="165" t="s">
        <v>1140</v>
      </c>
      <c r="C475" s="165" t="str">
        <f>IFERROR(VLOOKUP($A475,작성용!A:AL,14,0),"-")</f>
        <v>-</v>
      </c>
      <c r="D475" s="169" t="s">
        <v>220</v>
      </c>
      <c r="E475" s="167" t="str">
        <f>IFERROR(VLOOKUP(A475,작성용!A:AL,34,0),"-")</f>
        <v>-</v>
      </c>
      <c r="F475" s="168" t="s">
        <v>2</v>
      </c>
      <c r="G475" s="179">
        <f>COUNTIF(작성용!A:B,$A475)-COUNTIFS(작성용!A:A,$A475,작성용!AA:AA,"평가철회")</f>
        <v>0</v>
      </c>
    </row>
    <row r="476" spans="1:7" ht="16.5" customHeight="1" x14ac:dyDescent="0.3">
      <c r="A476" s="170" t="s">
        <v>1141</v>
      </c>
      <c r="B476" s="165" t="s">
        <v>3632</v>
      </c>
      <c r="C476" s="165" t="str">
        <f>IFERROR(VLOOKUP($A476,작성용!A:AL,14,0),"-")</f>
        <v>-</v>
      </c>
      <c r="D476" s="169" t="s">
        <v>3625</v>
      </c>
      <c r="E476" s="167" t="str">
        <f>IFERROR(VLOOKUP(A476,작성용!A:AL,34,0),"-")</f>
        <v>-</v>
      </c>
      <c r="F476" s="168" t="s">
        <v>6304</v>
      </c>
      <c r="G476" s="179">
        <f>COUNTIF(작성용!A:B,$A476)-COUNTIFS(작성용!A:A,$A476,작성용!AA:AA,"평가철회")</f>
        <v>0</v>
      </c>
    </row>
    <row r="477" spans="1:7" ht="16.5" customHeight="1" x14ac:dyDescent="0.3">
      <c r="A477" s="170" t="s">
        <v>1142</v>
      </c>
      <c r="B477" s="165" t="s">
        <v>1143</v>
      </c>
      <c r="C477" s="165" t="str">
        <f>IFERROR(VLOOKUP($A477,작성용!A:AL,14,0),"-")</f>
        <v>-</v>
      </c>
      <c r="D477" s="169" t="s">
        <v>220</v>
      </c>
      <c r="E477" s="167" t="str">
        <f>IFERROR(VLOOKUP(A477,작성용!A:AL,34,0),"-")</f>
        <v>-</v>
      </c>
      <c r="F477" s="168" t="s">
        <v>6283</v>
      </c>
      <c r="G477" s="179">
        <f>COUNTIF(작성용!A:B,$A477)-COUNTIFS(작성용!A:A,$A477,작성용!AA:AA,"평가철회")</f>
        <v>0</v>
      </c>
    </row>
    <row r="478" spans="1:7" ht="16.5" customHeight="1" x14ac:dyDescent="0.3">
      <c r="A478" s="170" t="s">
        <v>1144</v>
      </c>
      <c r="B478" s="165" t="s">
        <v>1145</v>
      </c>
      <c r="C478" s="165" t="str">
        <f>IFERROR(VLOOKUP($A478,작성용!A:AL,14,0),"-")</f>
        <v>-</v>
      </c>
      <c r="D478" s="169" t="s">
        <v>220</v>
      </c>
      <c r="E478" s="167" t="str">
        <f>IFERROR(VLOOKUP(A478,작성용!A:AL,34,0),"-")</f>
        <v>-</v>
      </c>
      <c r="F478" s="168" t="s">
        <v>2</v>
      </c>
      <c r="G478" s="179">
        <f>COUNTIF(작성용!A:B,$A478)-COUNTIFS(작성용!A:A,$A478,작성용!AA:AA,"평가철회")</f>
        <v>0</v>
      </c>
    </row>
    <row r="479" spans="1:7" ht="16.5" customHeight="1" x14ac:dyDescent="0.3">
      <c r="A479" s="170" t="s">
        <v>1146</v>
      </c>
      <c r="B479" s="165" t="s">
        <v>1147</v>
      </c>
      <c r="C479" s="165" t="str">
        <f>IFERROR(VLOOKUP($A479,작성용!A:AL,14,0),"-")</f>
        <v>-</v>
      </c>
      <c r="D479" s="169" t="s">
        <v>220</v>
      </c>
      <c r="E479" s="167" t="str">
        <f>IFERROR(VLOOKUP(A479,작성용!A:AL,34,0),"-")</f>
        <v>-</v>
      </c>
      <c r="F479" s="168" t="s">
        <v>2</v>
      </c>
      <c r="G479" s="179">
        <f>COUNTIF(작성용!A:B,$A479)-COUNTIFS(작성용!A:A,$A479,작성용!AA:AA,"평가철회")</f>
        <v>0</v>
      </c>
    </row>
    <row r="480" spans="1:7" ht="16.5" customHeight="1" x14ac:dyDescent="0.3">
      <c r="A480" s="170" t="s">
        <v>1148</v>
      </c>
      <c r="B480" s="165" t="s">
        <v>1149</v>
      </c>
      <c r="C480" s="165" t="str">
        <f>IFERROR(VLOOKUP($A480,작성용!A:AL,14,0),"-")</f>
        <v>-</v>
      </c>
      <c r="D480" s="169" t="s">
        <v>220</v>
      </c>
      <c r="E480" s="167" t="str">
        <f>IFERROR(VLOOKUP(A480,작성용!A:AL,34,0),"-")</f>
        <v>-</v>
      </c>
      <c r="F480" s="168" t="s">
        <v>2</v>
      </c>
      <c r="G480" s="179">
        <f>COUNTIF(작성용!A:B,$A480)-COUNTIFS(작성용!A:A,$A480,작성용!AA:AA,"평가철회")</f>
        <v>0</v>
      </c>
    </row>
    <row r="481" spans="1:7" ht="16.5" customHeight="1" x14ac:dyDescent="0.3">
      <c r="A481" s="170" t="s">
        <v>1150</v>
      </c>
      <c r="B481" s="165" t="s">
        <v>1151</v>
      </c>
      <c r="C481" s="165" t="str">
        <f>IFERROR(VLOOKUP($A481,작성용!A:AL,14,0),"-")</f>
        <v>-</v>
      </c>
      <c r="D481" s="169" t="s">
        <v>220</v>
      </c>
      <c r="E481" s="167" t="str">
        <f>IFERROR(VLOOKUP(A481,작성용!A:AL,34,0),"-")</f>
        <v>-</v>
      </c>
      <c r="F481" s="168" t="s">
        <v>2</v>
      </c>
      <c r="G481" s="179">
        <f>COUNTIF(작성용!A:B,$A481)-COUNTIFS(작성용!A:A,$A481,작성용!AA:AA,"평가철회")</f>
        <v>0</v>
      </c>
    </row>
    <row r="482" spans="1:7" ht="16.5" customHeight="1" x14ac:dyDescent="0.3">
      <c r="A482" s="170" t="s">
        <v>1152</v>
      </c>
      <c r="B482" s="165" t="s">
        <v>1153</v>
      </c>
      <c r="C482" s="165" t="str">
        <f>IFERROR(VLOOKUP($A482,작성용!A:AL,14,0),"-")</f>
        <v>-</v>
      </c>
      <c r="D482" s="169" t="s">
        <v>220</v>
      </c>
      <c r="E482" s="167" t="str">
        <f>IFERROR(VLOOKUP(A482,작성용!A:AL,34,0),"-")</f>
        <v>-</v>
      </c>
      <c r="F482" s="168" t="s">
        <v>2</v>
      </c>
      <c r="G482" s="179">
        <f>COUNTIF(작성용!A:B,$A482)-COUNTIFS(작성용!A:A,$A482,작성용!AA:AA,"평가철회")</f>
        <v>0</v>
      </c>
    </row>
    <row r="483" spans="1:7" ht="16.5" customHeight="1" x14ac:dyDescent="0.3">
      <c r="A483" s="170" t="s">
        <v>1154</v>
      </c>
      <c r="B483" s="165" t="s">
        <v>1155</v>
      </c>
      <c r="C483" s="165" t="str">
        <f>IFERROR(VLOOKUP($A483,작성용!A:AL,14,0),"-")</f>
        <v>-</v>
      </c>
      <c r="D483" s="169" t="s">
        <v>220</v>
      </c>
      <c r="E483" s="167" t="str">
        <f>IFERROR(VLOOKUP(A483,작성용!A:AL,34,0),"-")</f>
        <v>-</v>
      </c>
      <c r="F483" s="168" t="s">
        <v>6304</v>
      </c>
      <c r="G483" s="179">
        <f>COUNTIF(작성용!A:B,$A483)-COUNTIFS(작성용!A:A,$A483,작성용!AA:AA,"평가철회")</f>
        <v>0</v>
      </c>
    </row>
    <row r="484" spans="1:7" ht="16.5" customHeight="1" x14ac:dyDescent="0.3">
      <c r="A484" s="170" t="s">
        <v>1156</v>
      </c>
      <c r="B484" s="165" t="s">
        <v>1157</v>
      </c>
      <c r="C484" s="165" t="str">
        <f>IFERROR(VLOOKUP($A484,작성용!A:AL,14,0),"-")</f>
        <v>-</v>
      </c>
      <c r="D484" s="169" t="s">
        <v>220</v>
      </c>
      <c r="E484" s="167" t="str">
        <f>IFERROR(VLOOKUP(A484,작성용!A:AL,34,0),"-")</f>
        <v>-</v>
      </c>
      <c r="F484" s="168" t="s">
        <v>2</v>
      </c>
      <c r="G484" s="179">
        <f>COUNTIF(작성용!A:B,$A484)-COUNTIFS(작성용!A:A,$A484,작성용!AA:AA,"평가철회")</f>
        <v>0</v>
      </c>
    </row>
    <row r="485" spans="1:7" ht="16.5" customHeight="1" x14ac:dyDescent="0.3">
      <c r="A485" s="170" t="s">
        <v>1158</v>
      </c>
      <c r="B485" s="165" t="s">
        <v>1159</v>
      </c>
      <c r="C485" s="165" t="str">
        <f>IFERROR(VLOOKUP($A485,작성용!A:AL,14,0),"-")</f>
        <v>-</v>
      </c>
      <c r="D485" s="169" t="s">
        <v>220</v>
      </c>
      <c r="E485" s="167" t="str">
        <f>IFERROR(VLOOKUP(A485,작성용!A:AL,34,0),"-")</f>
        <v>-</v>
      </c>
      <c r="F485" s="168" t="s">
        <v>6283</v>
      </c>
      <c r="G485" s="179">
        <f>COUNTIF(작성용!A:B,$A485)-COUNTIFS(작성용!A:A,$A485,작성용!AA:AA,"평가철회")</f>
        <v>0</v>
      </c>
    </row>
    <row r="486" spans="1:7" ht="16.5" customHeight="1" x14ac:dyDescent="0.3">
      <c r="A486" s="170" t="s">
        <v>1160</v>
      </c>
      <c r="B486" s="165" t="s">
        <v>1161</v>
      </c>
      <c r="C486" s="165" t="str">
        <f>IFERROR(VLOOKUP($A486,작성용!A:AL,14,0),"-")</f>
        <v>-</v>
      </c>
      <c r="D486" s="169" t="s">
        <v>220</v>
      </c>
      <c r="E486" s="167" t="str">
        <f>IFERROR(VLOOKUP(A486,작성용!A:AL,34,0),"-")</f>
        <v>-</v>
      </c>
      <c r="F486" s="168" t="s">
        <v>2</v>
      </c>
      <c r="G486" s="179">
        <f>COUNTIF(작성용!A:B,$A486)-COUNTIFS(작성용!A:A,$A486,작성용!AA:AA,"평가철회")</f>
        <v>0</v>
      </c>
    </row>
    <row r="487" spans="1:7" ht="16.5" customHeight="1" x14ac:dyDescent="0.3">
      <c r="A487" s="170" t="s">
        <v>1162</v>
      </c>
      <c r="B487" s="165" t="s">
        <v>1163</v>
      </c>
      <c r="C487" s="165" t="str">
        <f>IFERROR(VLOOKUP($A487,작성용!A:AL,14,0),"-")</f>
        <v>-</v>
      </c>
      <c r="D487" s="169" t="s">
        <v>220</v>
      </c>
      <c r="E487" s="167" t="str">
        <f>IFERROR(VLOOKUP(A487,작성용!A:AL,34,0),"-")</f>
        <v>-</v>
      </c>
      <c r="F487" s="168" t="s">
        <v>2</v>
      </c>
      <c r="G487" s="179">
        <f>COUNTIF(작성용!A:B,$A487)-COUNTIFS(작성용!A:A,$A487,작성용!AA:AA,"평가철회")</f>
        <v>0</v>
      </c>
    </row>
    <row r="488" spans="1:7" ht="16.5" customHeight="1" x14ac:dyDescent="0.3">
      <c r="A488" s="170" t="s">
        <v>1164</v>
      </c>
      <c r="B488" s="165" t="s">
        <v>1165</v>
      </c>
      <c r="C488" s="165" t="str">
        <f>IFERROR(VLOOKUP($A488,작성용!A:AL,14,0),"-")</f>
        <v>-</v>
      </c>
      <c r="D488" s="169" t="s">
        <v>220</v>
      </c>
      <c r="E488" s="167" t="str">
        <f>IFERROR(VLOOKUP(A488,작성용!A:AL,34,0),"-")</f>
        <v>-</v>
      </c>
      <c r="F488" s="168" t="s">
        <v>2</v>
      </c>
      <c r="G488" s="179">
        <f>COUNTIF(작성용!A:B,$A488)-COUNTIFS(작성용!A:A,$A488,작성용!AA:AA,"평가철회")</f>
        <v>0</v>
      </c>
    </row>
    <row r="489" spans="1:7" ht="16.5" customHeight="1" x14ac:dyDescent="0.3">
      <c r="A489" s="170" t="s">
        <v>1166</v>
      </c>
      <c r="B489" s="165" t="s">
        <v>6409</v>
      </c>
      <c r="C489" s="165" t="str">
        <f>IFERROR(VLOOKUP($A489,작성용!A:AL,14,0),"-")</f>
        <v>-</v>
      </c>
      <c r="D489" s="169" t="s">
        <v>6292</v>
      </c>
      <c r="E489" s="167" t="str">
        <f>IFERROR(VLOOKUP(A489,작성용!A:AL,34,0),"-")</f>
        <v>-</v>
      </c>
      <c r="F489" s="168" t="s">
        <v>6283</v>
      </c>
      <c r="G489" s="179">
        <f>COUNTIF(작성용!A:B,$A489)-COUNTIFS(작성용!A:A,$A489,작성용!AA:AA,"평가철회")</f>
        <v>0</v>
      </c>
    </row>
    <row r="490" spans="1:7" ht="16.5" customHeight="1" x14ac:dyDescent="0.3">
      <c r="A490" s="170" t="s">
        <v>1167</v>
      </c>
      <c r="B490" s="165" t="s">
        <v>1168</v>
      </c>
      <c r="C490" s="165" t="str">
        <f>IFERROR(VLOOKUP($A490,작성용!A:AL,14,0),"-")</f>
        <v>-</v>
      </c>
      <c r="D490" s="169" t="s">
        <v>220</v>
      </c>
      <c r="E490" s="167" t="str">
        <f>IFERROR(VLOOKUP(A490,작성용!A:AL,34,0),"-")</f>
        <v>-</v>
      </c>
      <c r="F490" s="168" t="s">
        <v>2</v>
      </c>
      <c r="G490" s="179">
        <f>COUNTIF(작성용!A:B,$A490)-COUNTIFS(작성용!A:A,$A490,작성용!AA:AA,"평가철회")</f>
        <v>0</v>
      </c>
    </row>
    <row r="491" spans="1:7" ht="16.5" customHeight="1" x14ac:dyDescent="0.3">
      <c r="A491" s="170" t="s">
        <v>1169</v>
      </c>
      <c r="B491" s="165" t="s">
        <v>1170</v>
      </c>
      <c r="C491" s="165" t="str">
        <f>IFERROR(VLOOKUP($A491,작성용!A:AL,14,0),"-")</f>
        <v>-</v>
      </c>
      <c r="D491" s="169" t="s">
        <v>220</v>
      </c>
      <c r="E491" s="167" t="str">
        <f>IFERROR(VLOOKUP(A491,작성용!A:AL,34,0),"-")</f>
        <v>-</v>
      </c>
      <c r="F491" s="168" t="s">
        <v>2</v>
      </c>
      <c r="G491" s="179">
        <f>COUNTIF(작성용!A:B,$A491)-COUNTIFS(작성용!A:A,$A491,작성용!AA:AA,"평가철회")</f>
        <v>0</v>
      </c>
    </row>
    <row r="492" spans="1:7" ht="16.5" customHeight="1" x14ac:dyDescent="0.3">
      <c r="A492" s="170" t="s">
        <v>1171</v>
      </c>
      <c r="B492" s="165" t="s">
        <v>1172</v>
      </c>
      <c r="C492" s="165" t="str">
        <f>IFERROR(VLOOKUP($A492,작성용!A:AL,14,0),"-")</f>
        <v>-</v>
      </c>
      <c r="D492" s="169" t="s">
        <v>220</v>
      </c>
      <c r="E492" s="167" t="str">
        <f>IFERROR(VLOOKUP(A492,작성용!A:AL,34,0),"-")</f>
        <v>-</v>
      </c>
      <c r="F492" s="168" t="s">
        <v>2</v>
      </c>
      <c r="G492" s="179">
        <f>COUNTIF(작성용!A:B,$A492)-COUNTIFS(작성용!A:A,$A492,작성용!AA:AA,"평가철회")</f>
        <v>0</v>
      </c>
    </row>
    <row r="493" spans="1:7" ht="16.5" customHeight="1" x14ac:dyDescent="0.3">
      <c r="A493" s="170" t="s">
        <v>1173</v>
      </c>
      <c r="B493" s="165" t="s">
        <v>1174</v>
      </c>
      <c r="C493" s="165" t="str">
        <f>IFERROR(VLOOKUP($A493,작성용!A:AL,14,0),"-")</f>
        <v>-</v>
      </c>
      <c r="D493" s="169" t="s">
        <v>220</v>
      </c>
      <c r="E493" s="167" t="str">
        <f>IFERROR(VLOOKUP(A493,작성용!A:AL,34,0),"-")</f>
        <v>-</v>
      </c>
      <c r="F493" s="168" t="s">
        <v>2</v>
      </c>
      <c r="G493" s="179">
        <f>COUNTIF(작성용!A:B,$A493)-COUNTIFS(작성용!A:A,$A493,작성용!AA:AA,"평가철회")</f>
        <v>0</v>
      </c>
    </row>
    <row r="494" spans="1:7" ht="16.5" customHeight="1" x14ac:dyDescent="0.3">
      <c r="A494" s="170" t="s">
        <v>1175</v>
      </c>
      <c r="B494" s="165" t="s">
        <v>6410</v>
      </c>
      <c r="C494" s="165" t="str">
        <f>IFERROR(VLOOKUP($A494,작성용!A:AL,14,0),"-")</f>
        <v>-</v>
      </c>
      <c r="D494" s="169" t="s">
        <v>6292</v>
      </c>
      <c r="E494" s="167" t="str">
        <f>IFERROR(VLOOKUP(A494,작성용!A:AL,34,0),"-")</f>
        <v>-</v>
      </c>
      <c r="F494" s="168" t="s">
        <v>6283</v>
      </c>
      <c r="G494" s="179">
        <f>COUNTIF(작성용!A:B,$A494)-COUNTIFS(작성용!A:A,$A494,작성용!AA:AA,"평가철회")</f>
        <v>0</v>
      </c>
    </row>
    <row r="495" spans="1:7" ht="16.5" customHeight="1" x14ac:dyDescent="0.3">
      <c r="A495" s="170" t="s">
        <v>1176</v>
      </c>
      <c r="B495" s="165" t="s">
        <v>1177</v>
      </c>
      <c r="C495" s="165" t="str">
        <f>IFERROR(VLOOKUP($A495,작성용!A:AL,14,0),"-")</f>
        <v>-</v>
      </c>
      <c r="D495" s="169" t="s">
        <v>220</v>
      </c>
      <c r="E495" s="167" t="str">
        <f>IFERROR(VLOOKUP(A495,작성용!A:AL,34,0),"-")</f>
        <v>-</v>
      </c>
      <c r="F495" s="168" t="s">
        <v>2</v>
      </c>
      <c r="G495" s="179">
        <f>COUNTIF(작성용!A:B,$A495)-COUNTIFS(작성용!A:A,$A495,작성용!AA:AA,"평가철회")</f>
        <v>0</v>
      </c>
    </row>
    <row r="496" spans="1:7" ht="16.5" customHeight="1" x14ac:dyDescent="0.3">
      <c r="A496" s="170" t="s">
        <v>1178</v>
      </c>
      <c r="B496" s="165" t="s">
        <v>1179</v>
      </c>
      <c r="C496" s="165" t="str">
        <f>IFERROR(VLOOKUP($A496,작성용!A:AL,14,0),"-")</f>
        <v>-</v>
      </c>
      <c r="D496" s="169" t="s">
        <v>220</v>
      </c>
      <c r="E496" s="167" t="str">
        <f>IFERROR(VLOOKUP(A496,작성용!A:AL,34,0),"-")</f>
        <v>-</v>
      </c>
      <c r="F496" s="168" t="s">
        <v>2</v>
      </c>
      <c r="G496" s="179">
        <f>COUNTIF(작성용!A:B,$A496)-COUNTIFS(작성용!A:A,$A496,작성용!AA:AA,"평가철회")</f>
        <v>0</v>
      </c>
    </row>
    <row r="497" spans="1:7" ht="16.5" customHeight="1" x14ac:dyDescent="0.3">
      <c r="A497" s="170" t="s">
        <v>1180</v>
      </c>
      <c r="B497" s="165" t="s">
        <v>1181</v>
      </c>
      <c r="C497" s="165" t="str">
        <f>IFERROR(VLOOKUP($A497,작성용!A:AL,14,0),"-")</f>
        <v>-</v>
      </c>
      <c r="D497" s="169" t="s">
        <v>220</v>
      </c>
      <c r="E497" s="167" t="str">
        <f>IFERROR(VLOOKUP(A497,작성용!A:AL,34,0),"-")</f>
        <v>-</v>
      </c>
      <c r="F497" s="168" t="s">
        <v>6304</v>
      </c>
      <c r="G497" s="179">
        <f>COUNTIF(작성용!A:B,$A497)-COUNTIFS(작성용!A:A,$A497,작성용!AA:AA,"평가철회")</f>
        <v>0</v>
      </c>
    </row>
    <row r="498" spans="1:7" ht="16.5" customHeight="1" x14ac:dyDescent="0.3">
      <c r="A498" s="170" t="s">
        <v>1182</v>
      </c>
      <c r="B498" s="165" t="s">
        <v>1183</v>
      </c>
      <c r="C498" s="165" t="str">
        <f>IFERROR(VLOOKUP($A498,작성용!A:AL,14,0),"-")</f>
        <v>-</v>
      </c>
      <c r="D498" s="169" t="s">
        <v>220</v>
      </c>
      <c r="E498" s="167" t="str">
        <f>IFERROR(VLOOKUP(A498,작성용!A:AL,34,0),"-")</f>
        <v>-</v>
      </c>
      <c r="F498" s="168" t="s">
        <v>6283</v>
      </c>
      <c r="G498" s="179">
        <f>COUNTIF(작성용!A:B,$A498)-COUNTIFS(작성용!A:A,$A498,작성용!AA:AA,"평가철회")</f>
        <v>0</v>
      </c>
    </row>
    <row r="499" spans="1:7" ht="16.5" customHeight="1" x14ac:dyDescent="0.3">
      <c r="A499" s="170" t="s">
        <v>1184</v>
      </c>
      <c r="B499" s="165" t="s">
        <v>1185</v>
      </c>
      <c r="C499" s="165" t="str">
        <f>IFERROR(VLOOKUP($A499,작성용!A:AL,14,0),"-")</f>
        <v>-</v>
      </c>
      <c r="D499" s="169" t="s">
        <v>220</v>
      </c>
      <c r="E499" s="167" t="str">
        <f>IFERROR(VLOOKUP(A499,작성용!A:AL,34,0),"-")</f>
        <v>-</v>
      </c>
      <c r="F499" s="168" t="s">
        <v>6283</v>
      </c>
      <c r="G499" s="179">
        <f>COUNTIF(작성용!A:B,$A499)-COUNTIFS(작성용!A:A,$A499,작성용!AA:AA,"평가철회")</f>
        <v>0</v>
      </c>
    </row>
    <row r="500" spans="1:7" ht="16.5" customHeight="1" x14ac:dyDescent="0.3">
      <c r="A500" s="170" t="s">
        <v>1186</v>
      </c>
      <c r="B500" s="165" t="s">
        <v>1187</v>
      </c>
      <c r="C500" s="165" t="str">
        <f>IFERROR(VLOOKUP($A500,작성용!A:AL,14,0),"-")</f>
        <v>-</v>
      </c>
      <c r="D500" s="169" t="s">
        <v>220</v>
      </c>
      <c r="E500" s="167" t="str">
        <f>IFERROR(VLOOKUP(A500,작성용!A:AL,34,0),"-")</f>
        <v>-</v>
      </c>
      <c r="F500" s="168" t="s">
        <v>6304</v>
      </c>
      <c r="G500" s="179">
        <f>COUNTIF(작성용!A:B,$A500)-COUNTIFS(작성용!A:A,$A500,작성용!AA:AA,"평가철회")</f>
        <v>0</v>
      </c>
    </row>
    <row r="501" spans="1:7" ht="16.5" customHeight="1" x14ac:dyDescent="0.3">
      <c r="A501" s="170" t="s">
        <v>1188</v>
      </c>
      <c r="B501" s="165" t="s">
        <v>1189</v>
      </c>
      <c r="C501" s="165" t="str">
        <f>IFERROR(VLOOKUP($A501,작성용!A:AL,14,0),"-")</f>
        <v>-</v>
      </c>
      <c r="D501" s="169" t="s">
        <v>220</v>
      </c>
      <c r="E501" s="167" t="str">
        <f>IFERROR(VLOOKUP(A501,작성용!A:AL,34,0),"-")</f>
        <v>-</v>
      </c>
      <c r="F501" s="168" t="s">
        <v>6283</v>
      </c>
      <c r="G501" s="179">
        <f>COUNTIF(작성용!A:B,$A501)-COUNTIFS(작성용!A:A,$A501,작성용!AA:AA,"평가철회")</f>
        <v>0</v>
      </c>
    </row>
    <row r="502" spans="1:7" ht="16.5" customHeight="1" x14ac:dyDescent="0.3">
      <c r="A502" s="170" t="s">
        <v>1190</v>
      </c>
      <c r="B502" s="165" t="s">
        <v>1191</v>
      </c>
      <c r="C502" s="165" t="str">
        <f>IFERROR(VLOOKUP($A502,작성용!A:AL,14,0),"-")</f>
        <v>-</v>
      </c>
      <c r="D502" s="169" t="s">
        <v>220</v>
      </c>
      <c r="E502" s="167" t="str">
        <f>IFERROR(VLOOKUP(A502,작성용!A:AL,34,0),"-")</f>
        <v>-</v>
      </c>
      <c r="F502" s="168" t="s">
        <v>6270</v>
      </c>
      <c r="G502" s="179">
        <f>COUNTIF(작성용!A:B,$A502)-COUNTIFS(작성용!A:A,$A502,작성용!AA:AA,"평가철회")</f>
        <v>0</v>
      </c>
    </row>
    <row r="503" spans="1:7" ht="16.5" customHeight="1" x14ac:dyDescent="0.3">
      <c r="A503" s="170" t="s">
        <v>1192</v>
      </c>
      <c r="B503" s="165" t="s">
        <v>6411</v>
      </c>
      <c r="C503" s="165" t="str">
        <f>IFERROR(VLOOKUP($A503,작성용!A:AL,14,0),"-")</f>
        <v>-</v>
      </c>
      <c r="D503" s="169" t="s">
        <v>6292</v>
      </c>
      <c r="E503" s="167" t="str">
        <f>IFERROR(VLOOKUP(A503,작성용!A:AL,34,0),"-")</f>
        <v>-</v>
      </c>
      <c r="F503" s="168" t="s">
        <v>6283</v>
      </c>
      <c r="G503" s="179">
        <f>COUNTIF(작성용!A:B,$A503)-COUNTIFS(작성용!A:A,$A503,작성용!AA:AA,"평가철회")</f>
        <v>0</v>
      </c>
    </row>
    <row r="504" spans="1:7" ht="16.5" customHeight="1" x14ac:dyDescent="0.3">
      <c r="A504" s="170" t="s">
        <v>1193</v>
      </c>
      <c r="B504" s="165" t="s">
        <v>1194</v>
      </c>
      <c r="C504" s="165" t="str">
        <f>IFERROR(VLOOKUP($A504,작성용!A:AL,14,0),"-")</f>
        <v>-</v>
      </c>
      <c r="D504" s="169" t="s">
        <v>220</v>
      </c>
      <c r="E504" s="167" t="str">
        <f>IFERROR(VLOOKUP(A504,작성용!A:AL,34,0),"-")</f>
        <v>-</v>
      </c>
      <c r="F504" s="168" t="s">
        <v>6283</v>
      </c>
      <c r="G504" s="179">
        <f>COUNTIF(작성용!A:B,$A504)-COUNTIFS(작성용!A:A,$A504,작성용!AA:AA,"평가철회")</f>
        <v>0</v>
      </c>
    </row>
    <row r="505" spans="1:7" ht="16.5" customHeight="1" x14ac:dyDescent="0.3">
      <c r="A505" s="170" t="s">
        <v>1195</v>
      </c>
      <c r="B505" s="165" t="s">
        <v>6412</v>
      </c>
      <c r="C505" s="165" t="str">
        <f>IFERROR(VLOOKUP($A505,작성용!A:AL,14,0),"-")</f>
        <v>-</v>
      </c>
      <c r="D505" s="169" t="s">
        <v>6292</v>
      </c>
      <c r="E505" s="167" t="str">
        <f>IFERROR(VLOOKUP(A505,작성용!A:AL,34,0),"-")</f>
        <v>-</v>
      </c>
      <c r="F505" s="168" t="s">
        <v>6283</v>
      </c>
      <c r="G505" s="179">
        <f>COUNTIF(작성용!A:B,$A505)-COUNTIFS(작성용!A:A,$A505,작성용!AA:AA,"평가철회")</f>
        <v>0</v>
      </c>
    </row>
    <row r="506" spans="1:7" ht="16.5" customHeight="1" x14ac:dyDescent="0.3">
      <c r="A506" s="170" t="s">
        <v>1196</v>
      </c>
      <c r="B506" s="165" t="s">
        <v>1197</v>
      </c>
      <c r="C506" s="165" t="str">
        <f>IFERROR(VLOOKUP($A506,작성용!A:AL,14,0),"-")</f>
        <v>-</v>
      </c>
      <c r="D506" s="169" t="s">
        <v>220</v>
      </c>
      <c r="E506" s="167" t="str">
        <f>IFERROR(VLOOKUP(A506,작성용!A:AL,34,0),"-")</f>
        <v>-</v>
      </c>
      <c r="F506" s="168" t="s">
        <v>6283</v>
      </c>
      <c r="G506" s="179">
        <f>COUNTIF(작성용!A:B,$A506)-COUNTIFS(작성용!A:A,$A506,작성용!AA:AA,"평가철회")</f>
        <v>0</v>
      </c>
    </row>
    <row r="507" spans="1:7" ht="16.5" customHeight="1" x14ac:dyDescent="0.3">
      <c r="A507" s="170" t="s">
        <v>1198</v>
      </c>
      <c r="B507" s="165" t="s">
        <v>1199</v>
      </c>
      <c r="C507" s="165" t="str">
        <f>IFERROR(VLOOKUP($A507,작성용!A:AL,14,0),"-")</f>
        <v>-</v>
      </c>
      <c r="D507" s="169" t="s">
        <v>220</v>
      </c>
      <c r="E507" s="167" t="str">
        <f>IFERROR(VLOOKUP(A507,작성용!A:AL,34,0),"-")</f>
        <v>-</v>
      </c>
      <c r="F507" s="168" t="s">
        <v>6304</v>
      </c>
      <c r="G507" s="179">
        <f>COUNTIF(작성용!A:B,$A507)-COUNTIFS(작성용!A:A,$A507,작성용!AA:AA,"평가철회")</f>
        <v>0</v>
      </c>
    </row>
    <row r="508" spans="1:7" ht="16.5" customHeight="1" x14ac:dyDescent="0.3">
      <c r="A508" s="170" t="s">
        <v>1200</v>
      </c>
      <c r="B508" s="165" t="s">
        <v>1201</v>
      </c>
      <c r="C508" s="165" t="str">
        <f>IFERROR(VLOOKUP($A508,작성용!A:AL,14,0),"-")</f>
        <v>-</v>
      </c>
      <c r="D508" s="169" t="s">
        <v>220</v>
      </c>
      <c r="E508" s="167" t="str">
        <f>IFERROR(VLOOKUP(A508,작성용!A:AL,34,0),"-")</f>
        <v>-</v>
      </c>
      <c r="F508" s="168" t="s">
        <v>2</v>
      </c>
      <c r="G508" s="179">
        <f>COUNTIF(작성용!A:B,$A508)-COUNTIFS(작성용!A:A,$A508,작성용!AA:AA,"평가철회")</f>
        <v>0</v>
      </c>
    </row>
    <row r="509" spans="1:7" ht="16.5" customHeight="1" x14ac:dyDescent="0.3">
      <c r="A509" s="170" t="s">
        <v>1202</v>
      </c>
      <c r="B509" s="165" t="s">
        <v>1203</v>
      </c>
      <c r="C509" s="165" t="str">
        <f>IFERROR(VLOOKUP($A509,작성용!A:AL,14,0),"-")</f>
        <v>-</v>
      </c>
      <c r="D509" s="169" t="s">
        <v>220</v>
      </c>
      <c r="E509" s="167" t="str">
        <f>IFERROR(VLOOKUP(A509,작성용!A:AL,34,0),"-")</f>
        <v>-</v>
      </c>
      <c r="F509" s="168" t="s">
        <v>2</v>
      </c>
      <c r="G509" s="179">
        <f>COUNTIF(작성용!A:B,$A509)-COUNTIFS(작성용!A:A,$A509,작성용!AA:AA,"평가철회")</f>
        <v>0</v>
      </c>
    </row>
    <row r="510" spans="1:7" ht="16.5" customHeight="1" x14ac:dyDescent="0.3">
      <c r="A510" s="170" t="s">
        <v>1204</v>
      </c>
      <c r="B510" s="165" t="s">
        <v>1205</v>
      </c>
      <c r="C510" s="165" t="str">
        <f>IFERROR(VLOOKUP($A510,작성용!A:AL,14,0),"-")</f>
        <v>-</v>
      </c>
      <c r="D510" s="169" t="s">
        <v>220</v>
      </c>
      <c r="E510" s="167" t="str">
        <f>IFERROR(VLOOKUP(A510,작성용!A:AL,34,0),"-")</f>
        <v>-</v>
      </c>
      <c r="F510" s="168" t="s">
        <v>2</v>
      </c>
      <c r="G510" s="179">
        <f>COUNTIF(작성용!A:B,$A510)-COUNTIFS(작성용!A:A,$A510,작성용!AA:AA,"평가철회")</f>
        <v>0</v>
      </c>
    </row>
    <row r="511" spans="1:7" ht="16.5" customHeight="1" x14ac:dyDescent="0.3">
      <c r="A511" s="170" t="s">
        <v>1206</v>
      </c>
      <c r="B511" s="165" t="s">
        <v>1207</v>
      </c>
      <c r="C511" s="165" t="str">
        <f>IFERROR(VLOOKUP($A511,작성용!A:AL,14,0),"-")</f>
        <v>-</v>
      </c>
      <c r="D511" s="169" t="s">
        <v>220</v>
      </c>
      <c r="E511" s="167" t="str">
        <f>IFERROR(VLOOKUP(A511,작성용!A:AL,34,0),"-")</f>
        <v>-</v>
      </c>
      <c r="F511" s="168" t="s">
        <v>6283</v>
      </c>
      <c r="G511" s="179">
        <f>COUNTIF(작성용!A:B,$A511)-COUNTIFS(작성용!A:A,$A511,작성용!AA:AA,"평가철회")</f>
        <v>0</v>
      </c>
    </row>
    <row r="512" spans="1:7" ht="16.5" customHeight="1" x14ac:dyDescent="0.3">
      <c r="A512" s="170" t="s">
        <v>1208</v>
      </c>
      <c r="B512" s="165" t="s">
        <v>323</v>
      </c>
      <c r="C512" s="165" t="str">
        <f>IFERROR(VLOOKUP($A512,작성용!A:AL,14,0),"-")</f>
        <v>-</v>
      </c>
      <c r="D512" s="169" t="s">
        <v>1209</v>
      </c>
      <c r="E512" s="167" t="str">
        <f>IFERROR(VLOOKUP(A512,작성용!A:AL,34,0),"-")</f>
        <v>-</v>
      </c>
      <c r="F512" s="168" t="s">
        <v>2</v>
      </c>
      <c r="G512" s="179">
        <f>COUNTIF(작성용!A:B,$A512)-COUNTIFS(작성용!A:A,$A512,작성용!AA:AA,"평가철회")</f>
        <v>0</v>
      </c>
    </row>
    <row r="513" spans="1:7" ht="16.5" customHeight="1" x14ac:dyDescent="0.3">
      <c r="A513" s="170" t="s">
        <v>1210</v>
      </c>
      <c r="B513" s="165" t="s">
        <v>1211</v>
      </c>
      <c r="C513" s="165" t="str">
        <f>IFERROR(VLOOKUP($A513,작성용!A:AL,14,0),"-")</f>
        <v>-</v>
      </c>
      <c r="D513" s="169" t="s">
        <v>220</v>
      </c>
      <c r="E513" s="167" t="str">
        <f>IFERROR(VLOOKUP(A513,작성용!A:AL,34,0),"-")</f>
        <v>-</v>
      </c>
      <c r="F513" s="168" t="s">
        <v>2</v>
      </c>
      <c r="G513" s="179">
        <f>COUNTIF(작성용!A:B,$A513)-COUNTIFS(작성용!A:A,$A513,작성용!AA:AA,"평가철회")</f>
        <v>0</v>
      </c>
    </row>
    <row r="514" spans="1:7" ht="16.5" customHeight="1" x14ac:dyDescent="0.3">
      <c r="A514" s="170" t="s">
        <v>1212</v>
      </c>
      <c r="B514" s="165" t="s">
        <v>1213</v>
      </c>
      <c r="C514" s="165" t="str">
        <f>IFERROR(VLOOKUP($A514,작성용!A:AL,14,0),"-")</f>
        <v>-</v>
      </c>
      <c r="D514" s="169" t="s">
        <v>220</v>
      </c>
      <c r="E514" s="167" t="str">
        <f>IFERROR(VLOOKUP(A514,작성용!A:AL,34,0),"-")</f>
        <v>-</v>
      </c>
      <c r="F514" s="168" t="s">
        <v>6270</v>
      </c>
      <c r="G514" s="179">
        <f>COUNTIF(작성용!A:B,$A514)-COUNTIFS(작성용!A:A,$A514,작성용!AA:AA,"평가철회")</f>
        <v>0</v>
      </c>
    </row>
    <row r="515" spans="1:7" ht="16.5" customHeight="1" x14ac:dyDescent="0.3">
      <c r="A515" s="170" t="s">
        <v>1214</v>
      </c>
      <c r="B515" s="165" t="s">
        <v>1215</v>
      </c>
      <c r="C515" s="165" t="str">
        <f>IFERROR(VLOOKUP($A515,작성용!A:AL,14,0),"-")</f>
        <v>-</v>
      </c>
      <c r="D515" s="169" t="s">
        <v>220</v>
      </c>
      <c r="E515" s="167" t="str">
        <f>IFERROR(VLOOKUP(A515,작성용!A:AL,34,0),"-")</f>
        <v>-</v>
      </c>
      <c r="F515" s="168" t="s">
        <v>2</v>
      </c>
      <c r="G515" s="179">
        <f>COUNTIF(작성용!A:B,$A515)-COUNTIFS(작성용!A:A,$A515,작성용!AA:AA,"평가철회")</f>
        <v>0</v>
      </c>
    </row>
    <row r="516" spans="1:7" ht="16.5" customHeight="1" x14ac:dyDescent="0.3">
      <c r="A516" s="170" t="s">
        <v>1216</v>
      </c>
      <c r="B516" s="165" t="s">
        <v>1217</v>
      </c>
      <c r="C516" s="165" t="str">
        <f>IFERROR(VLOOKUP($A516,작성용!A:AL,14,0),"-")</f>
        <v>-</v>
      </c>
      <c r="D516" s="169" t="s">
        <v>220</v>
      </c>
      <c r="E516" s="167" t="str">
        <f>IFERROR(VLOOKUP(A516,작성용!A:AL,34,0),"-")</f>
        <v>-</v>
      </c>
      <c r="F516" s="168" t="s">
        <v>2</v>
      </c>
      <c r="G516" s="179">
        <f>COUNTIF(작성용!A:B,$A516)-COUNTIFS(작성용!A:A,$A516,작성용!AA:AA,"평가철회")</f>
        <v>0</v>
      </c>
    </row>
    <row r="517" spans="1:7" ht="16.5" customHeight="1" x14ac:dyDescent="0.3">
      <c r="A517" s="170" t="s">
        <v>1218</v>
      </c>
      <c r="B517" s="165" t="s">
        <v>1219</v>
      </c>
      <c r="C517" s="165" t="str">
        <f>IFERROR(VLOOKUP($A517,작성용!A:AL,14,0),"-")</f>
        <v>-</v>
      </c>
      <c r="D517" s="169" t="s">
        <v>220</v>
      </c>
      <c r="E517" s="167" t="str">
        <f>IFERROR(VLOOKUP(A517,작성용!A:AL,34,0),"-")</f>
        <v>-</v>
      </c>
      <c r="F517" s="168" t="s">
        <v>2</v>
      </c>
      <c r="G517" s="179">
        <f>COUNTIF(작성용!A:B,$A517)-COUNTIFS(작성용!A:A,$A517,작성용!AA:AA,"평가철회")</f>
        <v>0</v>
      </c>
    </row>
    <row r="518" spans="1:7" ht="16.5" customHeight="1" x14ac:dyDescent="0.3">
      <c r="A518" s="170" t="s">
        <v>1220</v>
      </c>
      <c r="B518" s="165" t="s">
        <v>1221</v>
      </c>
      <c r="C518" s="165" t="str">
        <f>IFERROR(VLOOKUP($A518,작성용!A:AL,14,0),"-")</f>
        <v>-</v>
      </c>
      <c r="D518" s="169" t="s">
        <v>220</v>
      </c>
      <c r="E518" s="167" t="str">
        <f>IFERROR(VLOOKUP(A518,작성용!A:AL,34,0),"-")</f>
        <v>-</v>
      </c>
      <c r="F518" s="168" t="s">
        <v>2</v>
      </c>
      <c r="G518" s="179">
        <f>COUNTIF(작성용!A:B,$A518)-COUNTIFS(작성용!A:A,$A518,작성용!AA:AA,"평가철회")</f>
        <v>0</v>
      </c>
    </row>
    <row r="519" spans="1:7" ht="16.5" customHeight="1" x14ac:dyDescent="0.3">
      <c r="A519" s="170" t="s">
        <v>1222</v>
      </c>
      <c r="B519" s="165" t="s">
        <v>1223</v>
      </c>
      <c r="C519" s="165" t="str">
        <f>IFERROR(VLOOKUP($A519,작성용!A:AL,14,0),"-")</f>
        <v>-</v>
      </c>
      <c r="D519" s="169" t="s">
        <v>220</v>
      </c>
      <c r="E519" s="167" t="str">
        <f>IFERROR(VLOOKUP(A519,작성용!A:AL,34,0),"-")</f>
        <v>-</v>
      </c>
      <c r="F519" s="168" t="s">
        <v>2</v>
      </c>
      <c r="G519" s="179">
        <f>COUNTIF(작성용!A:B,$A519)-COUNTIFS(작성용!A:A,$A519,작성용!AA:AA,"평가철회")</f>
        <v>0</v>
      </c>
    </row>
    <row r="520" spans="1:7" ht="16.5" customHeight="1" x14ac:dyDescent="0.3">
      <c r="A520" s="170" t="s">
        <v>1224</v>
      </c>
      <c r="B520" s="165" t="s">
        <v>1225</v>
      </c>
      <c r="C520" s="165" t="str">
        <f>IFERROR(VLOOKUP($A520,작성용!A:AL,14,0),"-")</f>
        <v>-</v>
      </c>
      <c r="D520" s="169" t="s">
        <v>220</v>
      </c>
      <c r="E520" s="167" t="str">
        <f>IFERROR(VLOOKUP(A520,작성용!A:AL,34,0),"-")</f>
        <v>-</v>
      </c>
      <c r="F520" s="168" t="s">
        <v>2</v>
      </c>
      <c r="G520" s="179">
        <f>COUNTIF(작성용!A:B,$A520)-COUNTIFS(작성용!A:A,$A520,작성용!AA:AA,"평가철회")</f>
        <v>0</v>
      </c>
    </row>
    <row r="521" spans="1:7" ht="16.5" customHeight="1" x14ac:dyDescent="0.3">
      <c r="A521" s="170" t="s">
        <v>1226</v>
      </c>
      <c r="B521" s="165" t="s">
        <v>1227</v>
      </c>
      <c r="C521" s="165" t="str">
        <f>IFERROR(VLOOKUP($A521,작성용!A:AL,14,0),"-")</f>
        <v>-</v>
      </c>
      <c r="D521" s="169" t="s">
        <v>220</v>
      </c>
      <c r="E521" s="167" t="str">
        <f>IFERROR(VLOOKUP(A521,작성용!A:AL,34,0),"-")</f>
        <v>-</v>
      </c>
      <c r="F521" s="168" t="s">
        <v>2</v>
      </c>
      <c r="G521" s="179">
        <f>COUNTIF(작성용!A:B,$A521)-COUNTIFS(작성용!A:A,$A521,작성용!AA:AA,"평가철회")</f>
        <v>0</v>
      </c>
    </row>
    <row r="522" spans="1:7" ht="16.5" customHeight="1" x14ac:dyDescent="0.3">
      <c r="A522" s="170" t="s">
        <v>1228</v>
      </c>
      <c r="B522" s="165" t="s">
        <v>1229</v>
      </c>
      <c r="C522" s="165" t="str">
        <f>IFERROR(VLOOKUP($A522,작성용!A:AL,14,0),"-")</f>
        <v>-</v>
      </c>
      <c r="D522" s="169" t="s">
        <v>220</v>
      </c>
      <c r="E522" s="167" t="str">
        <f>IFERROR(VLOOKUP(A522,작성용!A:AL,34,0),"-")</f>
        <v>-</v>
      </c>
      <c r="F522" s="168" t="s">
        <v>2</v>
      </c>
      <c r="G522" s="179">
        <f>COUNTIF(작성용!A:B,$A522)-COUNTIFS(작성용!A:A,$A522,작성용!AA:AA,"평가철회")</f>
        <v>0</v>
      </c>
    </row>
    <row r="523" spans="1:7" ht="16.5" customHeight="1" x14ac:dyDescent="0.3">
      <c r="A523" s="170" t="s">
        <v>1230</v>
      </c>
      <c r="B523" s="165" t="s">
        <v>1231</v>
      </c>
      <c r="C523" s="165" t="str">
        <f>IFERROR(VLOOKUP($A523,작성용!A:AL,14,0),"-")</f>
        <v>-</v>
      </c>
      <c r="D523" s="169" t="s">
        <v>220</v>
      </c>
      <c r="E523" s="167" t="str">
        <f>IFERROR(VLOOKUP(A523,작성용!A:AL,34,0),"-")</f>
        <v>-</v>
      </c>
      <c r="F523" s="168" t="s">
        <v>6283</v>
      </c>
      <c r="G523" s="179">
        <f>COUNTIF(작성용!A:B,$A523)-COUNTIFS(작성용!A:A,$A523,작성용!AA:AA,"평가철회")</f>
        <v>0</v>
      </c>
    </row>
    <row r="524" spans="1:7" ht="16.5" customHeight="1" x14ac:dyDescent="0.3">
      <c r="A524" s="170" t="s">
        <v>1232</v>
      </c>
      <c r="B524" s="165" t="s">
        <v>1233</v>
      </c>
      <c r="C524" s="165" t="str">
        <f>IFERROR(VLOOKUP($A524,작성용!A:AL,14,0),"-")</f>
        <v>-</v>
      </c>
      <c r="D524" s="169" t="s">
        <v>220</v>
      </c>
      <c r="E524" s="167" t="str">
        <f>IFERROR(VLOOKUP(A524,작성용!A:AL,34,0),"-")</f>
        <v>-</v>
      </c>
      <c r="F524" s="168" t="s">
        <v>2</v>
      </c>
      <c r="G524" s="179">
        <f>COUNTIF(작성용!A:B,$A524)-COUNTIFS(작성용!A:A,$A524,작성용!AA:AA,"평가철회")</f>
        <v>0</v>
      </c>
    </row>
    <row r="525" spans="1:7" ht="16.5" customHeight="1" x14ac:dyDescent="0.3">
      <c r="A525" s="170" t="s">
        <v>1234</v>
      </c>
      <c r="B525" s="165" t="s">
        <v>1235</v>
      </c>
      <c r="C525" s="165" t="str">
        <f>IFERROR(VLOOKUP($A525,작성용!A:AL,14,0),"-")</f>
        <v>-</v>
      </c>
      <c r="D525" s="169" t="s">
        <v>220</v>
      </c>
      <c r="E525" s="167" t="str">
        <f>IFERROR(VLOOKUP(A525,작성용!A:AL,34,0),"-")</f>
        <v>-</v>
      </c>
      <c r="F525" s="168" t="s">
        <v>2</v>
      </c>
      <c r="G525" s="179">
        <f>COUNTIF(작성용!A:B,$A525)-COUNTIFS(작성용!A:A,$A525,작성용!AA:AA,"평가철회")</f>
        <v>0</v>
      </c>
    </row>
    <row r="526" spans="1:7" ht="16.5" customHeight="1" x14ac:dyDescent="0.3">
      <c r="A526" s="170" t="s">
        <v>1236</v>
      </c>
      <c r="B526" s="165" t="s">
        <v>1237</v>
      </c>
      <c r="C526" s="165" t="str">
        <f>IFERROR(VLOOKUP($A526,작성용!A:AL,14,0),"-")</f>
        <v>-</v>
      </c>
      <c r="D526" s="169" t="s">
        <v>220</v>
      </c>
      <c r="E526" s="167" t="str">
        <f>IFERROR(VLOOKUP(A526,작성용!A:AL,34,0),"-")</f>
        <v>-</v>
      </c>
      <c r="F526" s="168" t="s">
        <v>2</v>
      </c>
      <c r="G526" s="179">
        <f>COUNTIF(작성용!A:B,$A526)-COUNTIFS(작성용!A:A,$A526,작성용!AA:AA,"평가철회")</f>
        <v>0</v>
      </c>
    </row>
    <row r="527" spans="1:7" ht="16.5" customHeight="1" x14ac:dyDescent="0.3">
      <c r="A527" s="170" t="s">
        <v>1238</v>
      </c>
      <c r="B527" s="165" t="s">
        <v>1239</v>
      </c>
      <c r="C527" s="165" t="str">
        <f>IFERROR(VLOOKUP($A527,작성용!A:AL,14,0),"-")</f>
        <v>-</v>
      </c>
      <c r="D527" s="169" t="s">
        <v>220</v>
      </c>
      <c r="E527" s="167" t="str">
        <f>IFERROR(VLOOKUP(A527,작성용!A:AL,34,0),"-")</f>
        <v>-</v>
      </c>
      <c r="F527" s="168" t="s">
        <v>6283</v>
      </c>
      <c r="G527" s="179">
        <f>COUNTIF(작성용!A:B,$A527)-COUNTIFS(작성용!A:A,$A527,작성용!AA:AA,"평가철회")</f>
        <v>0</v>
      </c>
    </row>
    <row r="528" spans="1:7" ht="16.5" customHeight="1" x14ac:dyDescent="0.3">
      <c r="A528" s="170" t="s">
        <v>1240</v>
      </c>
      <c r="B528" s="165" t="s">
        <v>1241</v>
      </c>
      <c r="C528" s="165" t="str">
        <f>IFERROR(VLOOKUP($A528,작성용!A:AL,14,0),"-")</f>
        <v>-</v>
      </c>
      <c r="D528" s="169" t="s">
        <v>220</v>
      </c>
      <c r="E528" s="167" t="str">
        <f>IFERROR(VLOOKUP(A528,작성용!A:AL,34,0),"-")</f>
        <v>-</v>
      </c>
      <c r="F528" s="168" t="s">
        <v>6304</v>
      </c>
      <c r="G528" s="179">
        <f>COUNTIF(작성용!A:B,$A528)-COUNTIFS(작성용!A:A,$A528,작성용!AA:AA,"평가철회")</f>
        <v>0</v>
      </c>
    </row>
    <row r="529" spans="1:7" ht="16.5" customHeight="1" x14ac:dyDescent="0.3">
      <c r="A529" s="170" t="s">
        <v>1242</v>
      </c>
      <c r="B529" s="165" t="s">
        <v>1243</v>
      </c>
      <c r="C529" s="165" t="str">
        <f>IFERROR(VLOOKUP($A529,작성용!A:AL,14,0),"-")</f>
        <v>-</v>
      </c>
      <c r="D529" s="169" t="s">
        <v>220</v>
      </c>
      <c r="E529" s="167" t="str">
        <f>IFERROR(VLOOKUP(A529,작성용!A:AL,34,0),"-")</f>
        <v>-</v>
      </c>
      <c r="F529" s="168" t="s">
        <v>6283</v>
      </c>
      <c r="G529" s="179">
        <f>COUNTIF(작성용!A:B,$A529)-COUNTIFS(작성용!A:A,$A529,작성용!AA:AA,"평가철회")</f>
        <v>0</v>
      </c>
    </row>
    <row r="530" spans="1:7" ht="16.5" customHeight="1" x14ac:dyDescent="0.3">
      <c r="A530" s="170" t="s">
        <v>1244</v>
      </c>
      <c r="B530" s="165" t="s">
        <v>1245</v>
      </c>
      <c r="C530" s="165" t="str">
        <f>IFERROR(VLOOKUP($A530,작성용!A:AL,14,0),"-")</f>
        <v>-</v>
      </c>
      <c r="D530" s="169" t="s">
        <v>220</v>
      </c>
      <c r="E530" s="167" t="str">
        <f>IFERROR(VLOOKUP(A530,작성용!A:AL,34,0),"-")</f>
        <v>-</v>
      </c>
      <c r="F530" s="168" t="s">
        <v>6283</v>
      </c>
      <c r="G530" s="179">
        <f>COUNTIF(작성용!A:B,$A530)-COUNTIFS(작성용!A:A,$A530,작성용!AA:AA,"평가철회")</f>
        <v>0</v>
      </c>
    </row>
    <row r="531" spans="1:7" ht="16.5" customHeight="1" x14ac:dyDescent="0.3">
      <c r="A531" s="170" t="s">
        <v>1246</v>
      </c>
      <c r="B531" s="165" t="s">
        <v>1247</v>
      </c>
      <c r="C531" s="165" t="str">
        <f>IFERROR(VLOOKUP($A531,작성용!A:AL,14,0),"-")</f>
        <v>-</v>
      </c>
      <c r="D531" s="169" t="s">
        <v>220</v>
      </c>
      <c r="E531" s="167" t="str">
        <f>IFERROR(VLOOKUP(A531,작성용!A:AL,34,0),"-")</f>
        <v>-</v>
      </c>
      <c r="F531" s="168" t="s">
        <v>2</v>
      </c>
      <c r="G531" s="179">
        <f>COUNTIF(작성용!A:B,$A531)-COUNTIFS(작성용!A:A,$A531,작성용!AA:AA,"평가철회")</f>
        <v>0</v>
      </c>
    </row>
    <row r="532" spans="1:7" ht="16.5" customHeight="1" x14ac:dyDescent="0.3">
      <c r="A532" s="170" t="s">
        <v>1248</v>
      </c>
      <c r="B532" s="165" t="s">
        <v>1249</v>
      </c>
      <c r="C532" s="165" t="str">
        <f>IFERROR(VLOOKUP($A532,작성용!A:AL,14,0),"-")</f>
        <v>-</v>
      </c>
      <c r="D532" s="169" t="s">
        <v>220</v>
      </c>
      <c r="E532" s="167" t="str">
        <f>IFERROR(VLOOKUP(A532,작성용!A:AL,34,0),"-")</f>
        <v>-</v>
      </c>
      <c r="F532" s="168" t="s">
        <v>6283</v>
      </c>
      <c r="G532" s="179">
        <f>COUNTIF(작성용!A:B,$A532)-COUNTIFS(작성용!A:A,$A532,작성용!AA:AA,"평가철회")</f>
        <v>0</v>
      </c>
    </row>
    <row r="533" spans="1:7" ht="16.5" customHeight="1" x14ac:dyDescent="0.3">
      <c r="A533" s="170" t="s">
        <v>1250</v>
      </c>
      <c r="B533" s="165" t="s">
        <v>1251</v>
      </c>
      <c r="C533" s="165" t="str">
        <f>IFERROR(VLOOKUP($A533,작성용!A:AL,14,0),"-")</f>
        <v>-</v>
      </c>
      <c r="D533" s="169" t="s">
        <v>220</v>
      </c>
      <c r="E533" s="167" t="str">
        <f>IFERROR(VLOOKUP(A533,작성용!A:AL,34,0),"-")</f>
        <v>-</v>
      </c>
      <c r="F533" s="168" t="s">
        <v>2</v>
      </c>
      <c r="G533" s="179">
        <f>COUNTIF(작성용!A:B,$A533)-COUNTIFS(작성용!A:A,$A533,작성용!AA:AA,"평가철회")</f>
        <v>0</v>
      </c>
    </row>
    <row r="534" spans="1:7" ht="16.5" customHeight="1" x14ac:dyDescent="0.3">
      <c r="A534" s="170" t="s">
        <v>1252</v>
      </c>
      <c r="B534" s="165" t="s">
        <v>1253</v>
      </c>
      <c r="C534" s="165" t="str">
        <f>IFERROR(VLOOKUP($A534,작성용!A:AL,14,0),"-")</f>
        <v>-</v>
      </c>
      <c r="D534" s="169" t="s">
        <v>220</v>
      </c>
      <c r="E534" s="167" t="str">
        <f>IFERROR(VLOOKUP(A534,작성용!A:AL,34,0),"-")</f>
        <v>-</v>
      </c>
      <c r="F534" s="168" t="s">
        <v>6283</v>
      </c>
      <c r="G534" s="179">
        <f>COUNTIF(작성용!A:B,$A534)-COUNTIFS(작성용!A:A,$A534,작성용!AA:AA,"평가철회")</f>
        <v>0</v>
      </c>
    </row>
    <row r="535" spans="1:7" ht="16.5" customHeight="1" x14ac:dyDescent="0.3">
      <c r="A535" s="170" t="s">
        <v>1254</v>
      </c>
      <c r="B535" s="165" t="s">
        <v>1255</v>
      </c>
      <c r="C535" s="165" t="str">
        <f>IFERROR(VLOOKUP($A535,작성용!A:AL,14,0),"-")</f>
        <v>-</v>
      </c>
      <c r="D535" s="169" t="s">
        <v>220</v>
      </c>
      <c r="E535" s="167" t="str">
        <f>IFERROR(VLOOKUP(A535,작성용!A:AL,34,0),"-")</f>
        <v>-</v>
      </c>
      <c r="F535" s="168" t="s">
        <v>2</v>
      </c>
      <c r="G535" s="179">
        <f>COUNTIF(작성용!A:B,$A535)-COUNTIFS(작성용!A:A,$A535,작성용!AA:AA,"평가철회")</f>
        <v>0</v>
      </c>
    </row>
    <row r="536" spans="1:7" ht="16.5" customHeight="1" x14ac:dyDescent="0.3">
      <c r="A536" s="170" t="s">
        <v>1256</v>
      </c>
      <c r="B536" s="165" t="s">
        <v>1257</v>
      </c>
      <c r="C536" s="165" t="str">
        <f>IFERROR(VLOOKUP($A536,작성용!A:AL,14,0),"-")</f>
        <v>-</v>
      </c>
      <c r="D536" s="169" t="s">
        <v>220</v>
      </c>
      <c r="E536" s="167" t="str">
        <f>IFERROR(VLOOKUP(A536,작성용!A:AL,34,0),"-")</f>
        <v>-</v>
      </c>
      <c r="F536" s="168" t="s">
        <v>6283</v>
      </c>
      <c r="G536" s="179">
        <f>COUNTIF(작성용!A:B,$A536)-COUNTIFS(작성용!A:A,$A536,작성용!AA:AA,"평가철회")</f>
        <v>0</v>
      </c>
    </row>
    <row r="537" spans="1:7" ht="16.5" customHeight="1" x14ac:dyDescent="0.3">
      <c r="A537" s="170" t="s">
        <v>1258</v>
      </c>
      <c r="B537" s="165" t="s">
        <v>1259</v>
      </c>
      <c r="C537" s="165" t="str">
        <f>IFERROR(VLOOKUP($A537,작성용!A:AL,14,0),"-")</f>
        <v>-</v>
      </c>
      <c r="D537" s="169" t="s">
        <v>220</v>
      </c>
      <c r="E537" s="167" t="str">
        <f>IFERROR(VLOOKUP(A537,작성용!A:AL,34,0),"-")</f>
        <v>-</v>
      </c>
      <c r="F537" s="168" t="s">
        <v>2</v>
      </c>
      <c r="G537" s="179">
        <f>COUNTIF(작성용!A:B,$A537)-COUNTIFS(작성용!A:A,$A537,작성용!AA:AA,"평가철회")</f>
        <v>0</v>
      </c>
    </row>
    <row r="538" spans="1:7" ht="16.5" customHeight="1" x14ac:dyDescent="0.3">
      <c r="A538" s="170" t="s">
        <v>1260</v>
      </c>
      <c r="B538" s="165" t="s">
        <v>1261</v>
      </c>
      <c r="C538" s="165" t="str">
        <f>IFERROR(VLOOKUP($A538,작성용!A:AL,14,0),"-")</f>
        <v>-</v>
      </c>
      <c r="D538" s="169" t="s">
        <v>220</v>
      </c>
      <c r="E538" s="167" t="str">
        <f>IFERROR(VLOOKUP(A538,작성용!A:AL,34,0),"-")</f>
        <v>-</v>
      </c>
      <c r="F538" s="168" t="s">
        <v>2</v>
      </c>
      <c r="G538" s="179">
        <f>COUNTIF(작성용!A:B,$A538)-COUNTIFS(작성용!A:A,$A538,작성용!AA:AA,"평가철회")</f>
        <v>0</v>
      </c>
    </row>
    <row r="539" spans="1:7" ht="16.5" customHeight="1" x14ac:dyDescent="0.3">
      <c r="A539" s="170" t="s">
        <v>1262</v>
      </c>
      <c r="B539" s="165" t="s">
        <v>1263</v>
      </c>
      <c r="C539" s="165" t="str">
        <f>IFERROR(VLOOKUP($A539,작성용!A:AL,14,0),"-")</f>
        <v>-</v>
      </c>
      <c r="D539" s="169" t="s">
        <v>220</v>
      </c>
      <c r="E539" s="167" t="str">
        <f>IFERROR(VLOOKUP(A539,작성용!A:AL,34,0),"-")</f>
        <v>-</v>
      </c>
      <c r="F539" s="168" t="s">
        <v>6342</v>
      </c>
      <c r="G539" s="179">
        <f>COUNTIF(작성용!A:B,$A539)-COUNTIFS(작성용!A:A,$A539,작성용!AA:AA,"평가철회")</f>
        <v>0</v>
      </c>
    </row>
    <row r="540" spans="1:7" ht="16.5" customHeight="1" x14ac:dyDescent="0.3">
      <c r="A540" s="170" t="s">
        <v>1264</v>
      </c>
      <c r="B540" s="165" t="s">
        <v>1265</v>
      </c>
      <c r="C540" s="165" t="str">
        <f>IFERROR(VLOOKUP($A540,작성용!A:AL,14,0),"-")</f>
        <v>-</v>
      </c>
      <c r="D540" s="169" t="s">
        <v>220</v>
      </c>
      <c r="E540" s="167" t="str">
        <f>IFERROR(VLOOKUP(A540,작성용!A:AL,34,0),"-")</f>
        <v>-</v>
      </c>
      <c r="F540" s="168" t="s">
        <v>6283</v>
      </c>
      <c r="G540" s="179">
        <f>COUNTIF(작성용!A:B,$A540)-COUNTIFS(작성용!A:A,$A540,작성용!AA:AA,"평가철회")</f>
        <v>0</v>
      </c>
    </row>
    <row r="541" spans="1:7" ht="16.5" customHeight="1" x14ac:dyDescent="0.3">
      <c r="A541" s="170" t="s">
        <v>1266</v>
      </c>
      <c r="B541" s="165" t="s">
        <v>1267</v>
      </c>
      <c r="C541" s="165" t="str">
        <f>IFERROR(VLOOKUP($A541,작성용!A:AL,14,0),"-")</f>
        <v>-</v>
      </c>
      <c r="D541" s="169" t="s">
        <v>220</v>
      </c>
      <c r="E541" s="167" t="str">
        <f>IFERROR(VLOOKUP(A541,작성용!A:AL,34,0),"-")</f>
        <v>-</v>
      </c>
      <c r="F541" s="168" t="s">
        <v>2</v>
      </c>
      <c r="G541" s="179">
        <f>COUNTIF(작성용!A:B,$A541)-COUNTIFS(작성용!A:A,$A541,작성용!AA:AA,"평가철회")</f>
        <v>0</v>
      </c>
    </row>
    <row r="542" spans="1:7" ht="16.5" customHeight="1" x14ac:dyDescent="0.3">
      <c r="A542" s="170" t="s">
        <v>1268</v>
      </c>
      <c r="B542" s="165" t="s">
        <v>1269</v>
      </c>
      <c r="C542" s="165" t="str">
        <f>IFERROR(VLOOKUP($A542,작성용!A:AL,14,0),"-")</f>
        <v>-</v>
      </c>
      <c r="D542" s="169" t="s">
        <v>220</v>
      </c>
      <c r="E542" s="167" t="str">
        <f>IFERROR(VLOOKUP(A542,작성용!A:AL,34,0),"-")</f>
        <v>-</v>
      </c>
      <c r="F542" s="168" t="s">
        <v>2</v>
      </c>
      <c r="G542" s="179">
        <f>COUNTIF(작성용!A:B,$A542)-COUNTIFS(작성용!A:A,$A542,작성용!AA:AA,"평가철회")</f>
        <v>0</v>
      </c>
    </row>
    <row r="543" spans="1:7" ht="16.5" customHeight="1" x14ac:dyDescent="0.3">
      <c r="A543" s="170" t="s">
        <v>1270</v>
      </c>
      <c r="B543" s="165" t="s">
        <v>1271</v>
      </c>
      <c r="C543" s="165" t="str">
        <f>IFERROR(VLOOKUP($A543,작성용!A:AL,14,0),"-")</f>
        <v>-</v>
      </c>
      <c r="D543" s="169" t="s">
        <v>220</v>
      </c>
      <c r="E543" s="167" t="str">
        <f>IFERROR(VLOOKUP(A543,작성용!A:AL,34,0),"-")</f>
        <v>-</v>
      </c>
      <c r="F543" s="168" t="s">
        <v>6283</v>
      </c>
      <c r="G543" s="179">
        <f>COUNTIF(작성용!A:B,$A543)-COUNTIFS(작성용!A:A,$A543,작성용!AA:AA,"평가철회")</f>
        <v>0</v>
      </c>
    </row>
    <row r="544" spans="1:7" ht="16.5" customHeight="1" x14ac:dyDescent="0.3">
      <c r="A544" s="170" t="s">
        <v>1272</v>
      </c>
      <c r="B544" s="165" t="s">
        <v>1273</v>
      </c>
      <c r="C544" s="165" t="str">
        <f>IFERROR(VLOOKUP($A544,작성용!A:AL,14,0),"-")</f>
        <v>-</v>
      </c>
      <c r="D544" s="169" t="s">
        <v>220</v>
      </c>
      <c r="E544" s="167" t="str">
        <f>IFERROR(VLOOKUP(A544,작성용!A:AL,34,0),"-")</f>
        <v>-</v>
      </c>
      <c r="F544" s="168" t="s">
        <v>6283</v>
      </c>
      <c r="G544" s="179">
        <f>COUNTIF(작성용!A:B,$A544)-COUNTIFS(작성용!A:A,$A544,작성용!AA:AA,"평가철회")</f>
        <v>0</v>
      </c>
    </row>
    <row r="545" spans="1:7" ht="16.5" customHeight="1" x14ac:dyDescent="0.3">
      <c r="A545" s="170" t="s">
        <v>1274</v>
      </c>
      <c r="B545" s="165" t="s">
        <v>1275</v>
      </c>
      <c r="C545" s="165" t="str">
        <f>IFERROR(VLOOKUP($A545,작성용!A:AL,14,0),"-")</f>
        <v>-</v>
      </c>
      <c r="D545" s="169" t="s">
        <v>220</v>
      </c>
      <c r="E545" s="167" t="str">
        <f>IFERROR(VLOOKUP(A545,작성용!A:AL,34,0),"-")</f>
        <v>-</v>
      </c>
      <c r="F545" s="168" t="s">
        <v>6336</v>
      </c>
      <c r="G545" s="179">
        <f>COUNTIF(작성용!A:B,$A545)-COUNTIFS(작성용!A:A,$A545,작성용!AA:AA,"평가철회")</f>
        <v>0</v>
      </c>
    </row>
    <row r="546" spans="1:7" ht="16.5" customHeight="1" x14ac:dyDescent="0.3">
      <c r="A546" s="170" t="s">
        <v>1</v>
      </c>
      <c r="B546" s="165" t="s">
        <v>6413</v>
      </c>
      <c r="C546" s="165" t="str">
        <f>IFERROR(VLOOKUP($A546,작성용!A:AL,14,0),"-")</f>
        <v>-</v>
      </c>
      <c r="D546" s="169" t="s">
        <v>6351</v>
      </c>
      <c r="E546" s="167" t="str">
        <f>IFERROR(VLOOKUP(A546,작성용!A:AL,34,0),"-")</f>
        <v>-</v>
      </c>
      <c r="F546" s="168" t="s">
        <v>6283</v>
      </c>
      <c r="G546" s="179">
        <f>COUNTIF(작성용!A:B,$A546)-COUNTIFS(작성용!A:A,$A546,작성용!AA:AA,"평가철회")</f>
        <v>0</v>
      </c>
    </row>
    <row r="547" spans="1:7" ht="16.5" customHeight="1" x14ac:dyDescent="0.3">
      <c r="A547" s="170" t="s">
        <v>1276</v>
      </c>
      <c r="B547" s="165" t="s">
        <v>1277</v>
      </c>
      <c r="C547" s="165" t="str">
        <f>IFERROR(VLOOKUP($A547,작성용!A:AL,14,0),"-")</f>
        <v>-</v>
      </c>
      <c r="D547" s="169" t="s">
        <v>220</v>
      </c>
      <c r="E547" s="167" t="str">
        <f>IFERROR(VLOOKUP(A547,작성용!A:AL,34,0),"-")</f>
        <v>-</v>
      </c>
      <c r="F547" s="168" t="s">
        <v>2</v>
      </c>
      <c r="G547" s="179">
        <f>COUNTIF(작성용!A:B,$A547)-COUNTIFS(작성용!A:A,$A547,작성용!AA:AA,"평가철회")</f>
        <v>0</v>
      </c>
    </row>
    <row r="548" spans="1:7" ht="16.5" customHeight="1" x14ac:dyDescent="0.3">
      <c r="A548" s="170" t="s">
        <v>1278</v>
      </c>
      <c r="B548" s="165" t="s">
        <v>1279</v>
      </c>
      <c r="C548" s="165" t="str">
        <f>IFERROR(VLOOKUP($A548,작성용!A:AL,14,0),"-")</f>
        <v>-</v>
      </c>
      <c r="D548" s="169" t="s">
        <v>6351</v>
      </c>
      <c r="E548" s="167" t="str">
        <f>IFERROR(VLOOKUP(A548,작성용!A:AL,34,0),"-")</f>
        <v>-</v>
      </c>
      <c r="F548" s="168" t="s">
        <v>6283</v>
      </c>
      <c r="G548" s="179">
        <f>COUNTIF(작성용!A:B,$A548)-COUNTIFS(작성용!A:A,$A548,작성용!AA:AA,"평가철회")</f>
        <v>0</v>
      </c>
    </row>
    <row r="549" spans="1:7" ht="16.5" customHeight="1" x14ac:dyDescent="0.3">
      <c r="A549" s="170" t="s">
        <v>1280</v>
      </c>
      <c r="B549" s="165" t="s">
        <v>6414</v>
      </c>
      <c r="C549" s="165" t="str">
        <f>IFERROR(VLOOKUP($A549,작성용!A:AL,14,0),"-")</f>
        <v>-</v>
      </c>
      <c r="D549" s="169" t="s">
        <v>6292</v>
      </c>
      <c r="E549" s="167" t="str">
        <f>IFERROR(VLOOKUP(A549,작성용!A:AL,34,0),"-")</f>
        <v>-</v>
      </c>
      <c r="F549" s="168" t="s">
        <v>6336</v>
      </c>
      <c r="G549" s="179">
        <f>COUNTIF(작성용!A:B,$A549)-COUNTIFS(작성용!A:A,$A549,작성용!AA:AA,"평가철회")</f>
        <v>0</v>
      </c>
    </row>
    <row r="550" spans="1:7" ht="16.5" customHeight="1" x14ac:dyDescent="0.3">
      <c r="A550" s="170" t="s">
        <v>1281</v>
      </c>
      <c r="B550" s="165" t="s">
        <v>1282</v>
      </c>
      <c r="C550" s="165" t="str">
        <f>IFERROR(VLOOKUP($A550,작성용!A:AL,14,0),"-")</f>
        <v>분기</v>
      </c>
      <c r="D550" s="169" t="s">
        <v>220</v>
      </c>
      <c r="E550" s="167" t="str">
        <f>IFERROR(VLOOKUP(A550,작성용!A:AL,34,0),"-")</f>
        <v>메자닌평가팀</v>
      </c>
      <c r="F550" s="168" t="s">
        <v>6283</v>
      </c>
      <c r="G550" s="179">
        <f>COUNTIF(작성용!A:B,$A550)-COUNTIFS(작성용!A:A,$A550,작성용!AA:AA,"평가철회")</f>
        <v>3</v>
      </c>
    </row>
    <row r="551" spans="1:7" ht="16.5" customHeight="1" x14ac:dyDescent="0.3">
      <c r="A551" s="170" t="s">
        <v>1283</v>
      </c>
      <c r="B551" s="165" t="s">
        <v>1284</v>
      </c>
      <c r="C551" s="165" t="str">
        <f>IFERROR(VLOOKUP($A551,작성용!A:AL,14,0),"-")</f>
        <v>-</v>
      </c>
      <c r="D551" s="169" t="s">
        <v>220</v>
      </c>
      <c r="E551" s="167" t="str">
        <f>IFERROR(VLOOKUP(A551,작성용!A:AL,34,0),"-")</f>
        <v>-</v>
      </c>
      <c r="F551" s="168" t="s">
        <v>6283</v>
      </c>
      <c r="G551" s="179">
        <f>COUNTIF(작성용!A:B,$A551)-COUNTIFS(작성용!A:A,$A551,작성용!AA:AA,"평가철회")</f>
        <v>0</v>
      </c>
    </row>
    <row r="552" spans="1:7" ht="16.5" customHeight="1" x14ac:dyDescent="0.3">
      <c r="A552" s="170" t="s">
        <v>1285</v>
      </c>
      <c r="B552" s="165" t="s">
        <v>1286</v>
      </c>
      <c r="C552" s="165" t="str">
        <f>IFERROR(VLOOKUP($A552,작성용!A:AL,14,0),"-")</f>
        <v>-</v>
      </c>
      <c r="D552" s="169" t="s">
        <v>220</v>
      </c>
      <c r="E552" s="167" t="str">
        <f>IFERROR(VLOOKUP(A552,작성용!A:AL,34,0),"-")</f>
        <v>-</v>
      </c>
      <c r="F552" s="168" t="s">
        <v>2</v>
      </c>
      <c r="G552" s="179">
        <f>COUNTIF(작성용!A:B,$A552)-COUNTIFS(작성용!A:A,$A552,작성용!AA:AA,"평가철회")</f>
        <v>0</v>
      </c>
    </row>
    <row r="553" spans="1:7" ht="16.5" customHeight="1" x14ac:dyDescent="0.3">
      <c r="A553" s="170" t="s">
        <v>1287</v>
      </c>
      <c r="B553" s="165" t="s">
        <v>1288</v>
      </c>
      <c r="C553" s="165" t="str">
        <f>IFERROR(VLOOKUP($A553,작성용!A:AL,14,0),"-")</f>
        <v>-</v>
      </c>
      <c r="D553" s="169" t="s">
        <v>220</v>
      </c>
      <c r="E553" s="167" t="str">
        <f>IFERROR(VLOOKUP(A553,작성용!A:AL,34,0),"-")</f>
        <v>-</v>
      </c>
      <c r="F553" s="168" t="s">
        <v>2</v>
      </c>
      <c r="G553" s="179">
        <f>COUNTIF(작성용!A:B,$A553)-COUNTIFS(작성용!A:A,$A553,작성용!AA:AA,"평가철회")</f>
        <v>0</v>
      </c>
    </row>
    <row r="554" spans="1:7" ht="16.5" customHeight="1" x14ac:dyDescent="0.3">
      <c r="A554" s="170" t="s">
        <v>1289</v>
      </c>
      <c r="B554" s="165" t="s">
        <v>1290</v>
      </c>
      <c r="C554" s="165" t="str">
        <f>IFERROR(VLOOKUP($A554,작성용!A:AL,14,0),"-")</f>
        <v>-</v>
      </c>
      <c r="D554" s="169" t="s">
        <v>220</v>
      </c>
      <c r="E554" s="167" t="str">
        <f>IFERROR(VLOOKUP(A554,작성용!A:AL,34,0),"-")</f>
        <v>-</v>
      </c>
      <c r="F554" s="168" t="s">
        <v>6336</v>
      </c>
      <c r="G554" s="179">
        <f>COUNTIF(작성용!A:B,$A554)-COUNTIFS(작성용!A:A,$A554,작성용!AA:AA,"평가철회")</f>
        <v>0</v>
      </c>
    </row>
    <row r="555" spans="1:7" ht="16.5" customHeight="1" x14ac:dyDescent="0.3">
      <c r="A555" s="170" t="s">
        <v>1291</v>
      </c>
      <c r="B555" s="165" t="s">
        <v>1292</v>
      </c>
      <c r="C555" s="165" t="str">
        <f>IFERROR(VLOOKUP($A555,작성용!A:AL,14,0),"-")</f>
        <v>-</v>
      </c>
      <c r="D555" s="169" t="s">
        <v>220</v>
      </c>
      <c r="E555" s="167" t="str">
        <f>IFERROR(VLOOKUP(A555,작성용!A:AL,34,0),"-")</f>
        <v>-</v>
      </c>
      <c r="F555" s="168" t="s">
        <v>6331</v>
      </c>
      <c r="G555" s="179">
        <f>COUNTIF(작성용!A:B,$A555)-COUNTIFS(작성용!A:A,$A555,작성용!AA:AA,"평가철회")</f>
        <v>0</v>
      </c>
    </row>
    <row r="556" spans="1:7" ht="16.5" customHeight="1" x14ac:dyDescent="0.3">
      <c r="A556" s="170" t="s">
        <v>1293</v>
      </c>
      <c r="B556" s="165" t="s">
        <v>1294</v>
      </c>
      <c r="C556" s="165" t="str">
        <f>IFERROR(VLOOKUP($A556,작성용!A:AL,14,0),"-")</f>
        <v>-</v>
      </c>
      <c r="D556" s="169" t="s">
        <v>220</v>
      </c>
      <c r="E556" s="167" t="str">
        <f>IFERROR(VLOOKUP(A556,작성용!A:AL,34,0),"-")</f>
        <v>-</v>
      </c>
      <c r="F556" s="168" t="s">
        <v>2</v>
      </c>
      <c r="G556" s="179">
        <f>COUNTIF(작성용!A:B,$A556)-COUNTIFS(작성용!A:A,$A556,작성용!AA:AA,"평가철회")</f>
        <v>0</v>
      </c>
    </row>
    <row r="557" spans="1:7" ht="16.5" customHeight="1" x14ac:dyDescent="0.3">
      <c r="A557" s="170" t="s">
        <v>1295</v>
      </c>
      <c r="B557" s="165" t="s">
        <v>1296</v>
      </c>
      <c r="C557" s="165" t="str">
        <f>IFERROR(VLOOKUP($A557,작성용!A:AL,14,0),"-")</f>
        <v>-</v>
      </c>
      <c r="D557" s="169" t="s">
        <v>220</v>
      </c>
      <c r="E557" s="167" t="str">
        <f>IFERROR(VLOOKUP(A557,작성용!A:AL,34,0),"-")</f>
        <v>-</v>
      </c>
      <c r="F557" s="168" t="s">
        <v>6270</v>
      </c>
      <c r="G557" s="179">
        <f>COUNTIF(작성용!A:B,$A557)-COUNTIFS(작성용!A:A,$A557,작성용!AA:AA,"평가철회")</f>
        <v>0</v>
      </c>
    </row>
    <row r="558" spans="1:7" ht="16.5" customHeight="1" x14ac:dyDescent="0.3">
      <c r="A558" s="170" t="s">
        <v>1297</v>
      </c>
      <c r="B558" s="165" t="s">
        <v>1298</v>
      </c>
      <c r="C558" s="165" t="str">
        <f>IFERROR(VLOOKUP($A558,작성용!A:AL,14,0),"-")</f>
        <v>-</v>
      </c>
      <c r="D558" s="169" t="s">
        <v>220</v>
      </c>
      <c r="E558" s="167" t="str">
        <f>IFERROR(VLOOKUP(A558,작성용!A:AL,34,0),"-")</f>
        <v>-</v>
      </c>
      <c r="F558" s="168" t="s">
        <v>6283</v>
      </c>
      <c r="G558" s="179">
        <f>COUNTIF(작성용!A:B,$A558)-COUNTIFS(작성용!A:A,$A558,작성용!AA:AA,"평가철회")</f>
        <v>0</v>
      </c>
    </row>
    <row r="559" spans="1:7" ht="16.5" customHeight="1" x14ac:dyDescent="0.3">
      <c r="A559" s="170" t="s">
        <v>1299</v>
      </c>
      <c r="B559" s="165" t="s">
        <v>1300</v>
      </c>
      <c r="C559" s="165" t="str">
        <f>IFERROR(VLOOKUP($A559,작성용!A:AL,14,0),"-")</f>
        <v>-</v>
      </c>
      <c r="D559" s="169" t="s">
        <v>220</v>
      </c>
      <c r="E559" s="167" t="str">
        <f>IFERROR(VLOOKUP(A559,작성용!A:AL,34,0),"-")</f>
        <v>-</v>
      </c>
      <c r="F559" s="168" t="s">
        <v>6336</v>
      </c>
      <c r="G559" s="179">
        <f>COUNTIF(작성용!A:B,$A559)-COUNTIFS(작성용!A:A,$A559,작성용!AA:AA,"평가철회")</f>
        <v>0</v>
      </c>
    </row>
    <row r="560" spans="1:7" ht="16.5" customHeight="1" x14ac:dyDescent="0.3">
      <c r="A560" s="170" t="s">
        <v>1301</v>
      </c>
      <c r="B560" s="165" t="s">
        <v>1302</v>
      </c>
      <c r="C560" s="165" t="str">
        <f>IFERROR(VLOOKUP($A560,작성용!A:AL,14,0),"-")</f>
        <v>-</v>
      </c>
      <c r="D560" s="169" t="s">
        <v>220</v>
      </c>
      <c r="E560" s="167" t="str">
        <f>IFERROR(VLOOKUP(A560,작성용!A:AL,34,0),"-")</f>
        <v>-</v>
      </c>
      <c r="F560" s="168" t="s">
        <v>6283</v>
      </c>
      <c r="G560" s="179">
        <f>COUNTIF(작성용!A:B,$A560)-COUNTIFS(작성용!A:A,$A560,작성용!AA:AA,"평가철회")</f>
        <v>0</v>
      </c>
    </row>
    <row r="561" spans="1:7" ht="16.5" customHeight="1" x14ac:dyDescent="0.3">
      <c r="A561" s="170" t="s">
        <v>1303</v>
      </c>
      <c r="B561" s="165" t="s">
        <v>1304</v>
      </c>
      <c r="C561" s="165" t="str">
        <f>IFERROR(VLOOKUP($A561,작성용!A:AL,14,0),"-")</f>
        <v>-</v>
      </c>
      <c r="D561" s="169" t="s">
        <v>6351</v>
      </c>
      <c r="E561" s="167" t="str">
        <f>IFERROR(VLOOKUP(A561,작성용!A:AL,34,0),"-")</f>
        <v>-</v>
      </c>
      <c r="F561" s="168" t="s">
        <v>2</v>
      </c>
      <c r="G561" s="179">
        <f>COUNTIF(작성용!A:B,$A561)-COUNTIFS(작성용!A:A,$A561,작성용!AA:AA,"평가철회")</f>
        <v>0</v>
      </c>
    </row>
    <row r="562" spans="1:7" ht="16.5" customHeight="1" x14ac:dyDescent="0.3">
      <c r="A562" s="170" t="s">
        <v>1305</v>
      </c>
      <c r="B562" s="165" t="s">
        <v>1306</v>
      </c>
      <c r="C562" s="165" t="str">
        <f>IFERROR(VLOOKUP($A562,작성용!A:AL,14,0),"-")</f>
        <v>-</v>
      </c>
      <c r="D562" s="169" t="s">
        <v>220</v>
      </c>
      <c r="E562" s="167" t="str">
        <f>IFERROR(VLOOKUP(A562,작성용!A:AL,34,0),"-")</f>
        <v>-</v>
      </c>
      <c r="F562" s="168" t="s">
        <v>2</v>
      </c>
      <c r="G562" s="179">
        <f>COUNTIF(작성용!A:B,$A562)-COUNTIFS(작성용!A:A,$A562,작성용!AA:AA,"평가철회")</f>
        <v>0</v>
      </c>
    </row>
    <row r="563" spans="1:7" ht="16.5" customHeight="1" x14ac:dyDescent="0.3">
      <c r="A563" s="170" t="s">
        <v>1307</v>
      </c>
      <c r="B563" s="165" t="s">
        <v>1308</v>
      </c>
      <c r="C563" s="165" t="str">
        <f>IFERROR(VLOOKUP($A563,작성용!A:AL,14,0),"-")</f>
        <v>-</v>
      </c>
      <c r="D563" s="169" t="s">
        <v>220</v>
      </c>
      <c r="E563" s="167" t="str">
        <f>IFERROR(VLOOKUP(A563,작성용!A:AL,34,0),"-")</f>
        <v>-</v>
      </c>
      <c r="F563" s="168" t="s">
        <v>6283</v>
      </c>
      <c r="G563" s="179">
        <f>COUNTIF(작성용!A:B,$A563)-COUNTIFS(작성용!A:A,$A563,작성용!AA:AA,"평가철회")</f>
        <v>0</v>
      </c>
    </row>
    <row r="564" spans="1:7" ht="16.5" customHeight="1" x14ac:dyDescent="0.3">
      <c r="A564" s="170" t="s">
        <v>1309</v>
      </c>
      <c r="B564" s="165" t="s">
        <v>1310</v>
      </c>
      <c r="C564" s="165" t="str">
        <f>IFERROR(VLOOKUP($A564,작성용!A:AL,14,0),"-")</f>
        <v>-</v>
      </c>
      <c r="D564" s="169" t="s">
        <v>220</v>
      </c>
      <c r="E564" s="167" t="str">
        <f>IFERROR(VLOOKUP(A564,작성용!A:AL,34,0),"-")</f>
        <v>-</v>
      </c>
      <c r="F564" s="168" t="s">
        <v>2</v>
      </c>
      <c r="G564" s="179">
        <f>COUNTIF(작성용!A:B,$A564)-COUNTIFS(작성용!A:A,$A564,작성용!AA:AA,"평가철회")</f>
        <v>0</v>
      </c>
    </row>
    <row r="565" spans="1:7" ht="16.5" customHeight="1" x14ac:dyDescent="0.3">
      <c r="A565" s="170" t="s">
        <v>1311</v>
      </c>
      <c r="B565" s="165" t="s">
        <v>1312</v>
      </c>
      <c r="C565" s="165" t="str">
        <f>IFERROR(VLOOKUP($A565,작성용!A:AL,14,0),"-")</f>
        <v>-</v>
      </c>
      <c r="D565" s="169" t="s">
        <v>220</v>
      </c>
      <c r="E565" s="167" t="str">
        <f>IFERROR(VLOOKUP(A565,작성용!A:AL,34,0),"-")</f>
        <v>-</v>
      </c>
      <c r="F565" s="168" t="s">
        <v>2</v>
      </c>
      <c r="G565" s="179">
        <f>COUNTIF(작성용!A:B,$A565)-COUNTIFS(작성용!A:A,$A565,작성용!AA:AA,"평가철회")</f>
        <v>0</v>
      </c>
    </row>
    <row r="566" spans="1:7" ht="16.5" customHeight="1" x14ac:dyDescent="0.3">
      <c r="A566" s="170" t="s">
        <v>1313</v>
      </c>
      <c r="B566" s="165" t="s">
        <v>1314</v>
      </c>
      <c r="C566" s="165" t="str">
        <f>IFERROR(VLOOKUP($A566,작성용!A:AL,14,0),"-")</f>
        <v>-</v>
      </c>
      <c r="D566" s="169" t="s">
        <v>220</v>
      </c>
      <c r="E566" s="167" t="str">
        <f>IFERROR(VLOOKUP(A566,작성용!A:AL,34,0),"-")</f>
        <v>-</v>
      </c>
      <c r="F566" s="168" t="s">
        <v>2</v>
      </c>
      <c r="G566" s="179">
        <f>COUNTIF(작성용!A:B,$A566)-COUNTIFS(작성용!A:A,$A566,작성용!AA:AA,"평가철회")</f>
        <v>0</v>
      </c>
    </row>
    <row r="567" spans="1:7" ht="16.5" customHeight="1" x14ac:dyDescent="0.3">
      <c r="A567" s="170" t="s">
        <v>1315</v>
      </c>
      <c r="B567" s="165" t="s">
        <v>1316</v>
      </c>
      <c r="C567" s="165" t="str">
        <f>IFERROR(VLOOKUP($A567,작성용!A:AL,14,0),"-")</f>
        <v>-</v>
      </c>
      <c r="D567" s="169" t="s">
        <v>220</v>
      </c>
      <c r="E567" s="167" t="str">
        <f>IFERROR(VLOOKUP(A567,작성용!A:AL,34,0),"-")</f>
        <v>-</v>
      </c>
      <c r="F567" s="168" t="s">
        <v>6336</v>
      </c>
      <c r="G567" s="179">
        <f>COUNTIF(작성용!A:B,$A567)-COUNTIFS(작성용!A:A,$A567,작성용!AA:AA,"평가철회")</f>
        <v>0</v>
      </c>
    </row>
    <row r="568" spans="1:7" ht="16.5" customHeight="1" x14ac:dyDescent="0.3">
      <c r="A568" s="170" t="s">
        <v>1317</v>
      </c>
      <c r="B568" s="165" t="s">
        <v>1318</v>
      </c>
      <c r="C568" s="165" t="str">
        <f>IFERROR(VLOOKUP($A568,작성용!A:AL,14,0),"-")</f>
        <v>-</v>
      </c>
      <c r="D568" s="169" t="s">
        <v>220</v>
      </c>
      <c r="E568" s="167" t="str">
        <f>IFERROR(VLOOKUP(A568,작성용!A:AL,34,0),"-")</f>
        <v>-</v>
      </c>
      <c r="F568" s="168" t="s">
        <v>6336</v>
      </c>
      <c r="G568" s="179">
        <f>COUNTIF(작성용!A:B,$A568)-COUNTIFS(작성용!A:A,$A568,작성용!AA:AA,"평가철회")</f>
        <v>0</v>
      </c>
    </row>
    <row r="569" spans="1:7" ht="16.5" customHeight="1" x14ac:dyDescent="0.3">
      <c r="A569" s="170" t="s">
        <v>1319</v>
      </c>
      <c r="B569" s="165" t="s">
        <v>1320</v>
      </c>
      <c r="C569" s="165" t="str">
        <f>IFERROR(VLOOKUP($A569,작성용!A:AL,14,0),"-")</f>
        <v>-</v>
      </c>
      <c r="D569" s="169" t="s">
        <v>220</v>
      </c>
      <c r="E569" s="167" t="str">
        <f>IFERROR(VLOOKUP(A569,작성용!A:AL,34,0),"-")</f>
        <v>-</v>
      </c>
      <c r="F569" s="168" t="s">
        <v>6336</v>
      </c>
      <c r="G569" s="179">
        <f>COUNTIF(작성용!A:B,$A569)-COUNTIFS(작성용!A:A,$A569,작성용!AA:AA,"평가철회")</f>
        <v>0</v>
      </c>
    </row>
    <row r="570" spans="1:7" ht="16.5" customHeight="1" x14ac:dyDescent="0.3">
      <c r="A570" s="170" t="s">
        <v>1321</v>
      </c>
      <c r="B570" s="165" t="s">
        <v>1322</v>
      </c>
      <c r="C570" s="165" t="str">
        <f>IFERROR(VLOOKUP($A570,작성용!A:AL,14,0),"-")</f>
        <v>-</v>
      </c>
      <c r="D570" s="169" t="s">
        <v>220</v>
      </c>
      <c r="E570" s="167" t="str">
        <f>IFERROR(VLOOKUP(A570,작성용!A:AL,34,0),"-")</f>
        <v>-</v>
      </c>
      <c r="F570" s="168" t="s">
        <v>2</v>
      </c>
      <c r="G570" s="179">
        <f>COUNTIF(작성용!A:B,$A570)-COUNTIFS(작성용!A:A,$A570,작성용!AA:AA,"평가철회")</f>
        <v>0</v>
      </c>
    </row>
    <row r="571" spans="1:7" ht="16.5" customHeight="1" x14ac:dyDescent="0.3">
      <c r="A571" s="170" t="s">
        <v>1323</v>
      </c>
      <c r="B571" s="165" t="s">
        <v>1324</v>
      </c>
      <c r="C571" s="165" t="str">
        <f>IFERROR(VLOOKUP($A571,작성용!A:AL,14,0),"-")</f>
        <v>-</v>
      </c>
      <c r="D571" s="169" t="s">
        <v>220</v>
      </c>
      <c r="E571" s="167" t="str">
        <f>IFERROR(VLOOKUP(A571,작성용!A:AL,34,0),"-")</f>
        <v>-</v>
      </c>
      <c r="F571" s="168" t="s">
        <v>6336</v>
      </c>
      <c r="G571" s="179">
        <f>COUNTIF(작성용!A:B,$A571)-COUNTIFS(작성용!A:A,$A571,작성용!AA:AA,"평가철회")</f>
        <v>0</v>
      </c>
    </row>
    <row r="572" spans="1:7" ht="16.5" customHeight="1" x14ac:dyDescent="0.3">
      <c r="A572" s="170" t="s">
        <v>1325</v>
      </c>
      <c r="B572" s="165" t="s">
        <v>1326</v>
      </c>
      <c r="C572" s="165" t="str">
        <f>IFERROR(VLOOKUP($A572,작성용!A:AL,14,0),"-")</f>
        <v>-</v>
      </c>
      <c r="D572" s="169" t="s">
        <v>220</v>
      </c>
      <c r="E572" s="167" t="str">
        <f>IFERROR(VLOOKUP(A572,작성용!A:AL,34,0),"-")</f>
        <v>-</v>
      </c>
      <c r="F572" s="168" t="s">
        <v>2</v>
      </c>
      <c r="G572" s="179">
        <f>COUNTIF(작성용!A:B,$A572)-COUNTIFS(작성용!A:A,$A572,작성용!AA:AA,"평가철회")</f>
        <v>0</v>
      </c>
    </row>
    <row r="573" spans="1:7" ht="16.5" customHeight="1" x14ac:dyDescent="0.3">
      <c r="A573" s="170" t="s">
        <v>1327</v>
      </c>
      <c r="B573" s="165" t="s">
        <v>1328</v>
      </c>
      <c r="C573" s="165" t="str">
        <f>IFERROR(VLOOKUP($A573,작성용!A:AL,14,0),"-")</f>
        <v>-</v>
      </c>
      <c r="D573" s="169" t="s">
        <v>220</v>
      </c>
      <c r="E573" s="167" t="str">
        <f>IFERROR(VLOOKUP(A573,작성용!A:AL,34,0),"-")</f>
        <v>-</v>
      </c>
      <c r="F573" s="168" t="s">
        <v>6283</v>
      </c>
      <c r="G573" s="179">
        <f>COUNTIF(작성용!A:B,$A573)-COUNTIFS(작성용!A:A,$A573,작성용!AA:AA,"평가철회")</f>
        <v>0</v>
      </c>
    </row>
    <row r="574" spans="1:7" ht="16.5" customHeight="1" x14ac:dyDescent="0.3">
      <c r="A574" s="170" t="s">
        <v>1329</v>
      </c>
      <c r="B574" s="165" t="s">
        <v>1330</v>
      </c>
      <c r="C574" s="165" t="str">
        <f>IFERROR(VLOOKUP($A574,작성용!A:AL,14,0),"-")</f>
        <v>-</v>
      </c>
      <c r="D574" s="169" t="s">
        <v>220</v>
      </c>
      <c r="E574" s="167" t="str">
        <f>IFERROR(VLOOKUP(A574,작성용!A:AL,34,0),"-")</f>
        <v>-</v>
      </c>
      <c r="F574" s="168" t="s">
        <v>6336</v>
      </c>
      <c r="G574" s="179">
        <f>COUNTIF(작성용!A:B,$A574)-COUNTIFS(작성용!A:A,$A574,작성용!AA:AA,"평가철회")</f>
        <v>0</v>
      </c>
    </row>
    <row r="575" spans="1:7" ht="16.5" customHeight="1" x14ac:dyDescent="0.3">
      <c r="A575" s="170" t="s">
        <v>1331</v>
      </c>
      <c r="B575" s="165" t="s">
        <v>1332</v>
      </c>
      <c r="C575" s="165" t="str">
        <f>IFERROR(VLOOKUP($A575,작성용!A:AL,14,0),"-")</f>
        <v>-</v>
      </c>
      <c r="D575" s="169" t="s">
        <v>220</v>
      </c>
      <c r="E575" s="167" t="str">
        <f>IFERROR(VLOOKUP(A575,작성용!A:AL,34,0),"-")</f>
        <v>-</v>
      </c>
      <c r="F575" s="168" t="s">
        <v>2</v>
      </c>
      <c r="G575" s="179">
        <f>COUNTIF(작성용!A:B,$A575)-COUNTIFS(작성용!A:A,$A575,작성용!AA:AA,"평가철회")</f>
        <v>0</v>
      </c>
    </row>
    <row r="576" spans="1:7" ht="16.5" customHeight="1" x14ac:dyDescent="0.3">
      <c r="A576" s="170" t="s">
        <v>1333</v>
      </c>
      <c r="B576" s="165" t="s">
        <v>1334</v>
      </c>
      <c r="C576" s="165" t="str">
        <f>IFERROR(VLOOKUP($A576,작성용!A:AL,14,0),"-")</f>
        <v>-</v>
      </c>
      <c r="D576" s="169" t="s">
        <v>220</v>
      </c>
      <c r="E576" s="167" t="str">
        <f>IFERROR(VLOOKUP(A576,작성용!A:AL,34,0),"-")</f>
        <v>-</v>
      </c>
      <c r="F576" s="168" t="s">
        <v>2</v>
      </c>
      <c r="G576" s="179">
        <f>COUNTIF(작성용!A:B,$A576)-COUNTIFS(작성용!A:A,$A576,작성용!AA:AA,"평가철회")</f>
        <v>0</v>
      </c>
    </row>
    <row r="577" spans="1:7" ht="16.5" customHeight="1" x14ac:dyDescent="0.3">
      <c r="A577" s="170" t="s">
        <v>1335</v>
      </c>
      <c r="B577" s="165" t="s">
        <v>1336</v>
      </c>
      <c r="C577" s="165" t="str">
        <f>IFERROR(VLOOKUP($A577,작성용!A:AL,14,0),"-")</f>
        <v>-</v>
      </c>
      <c r="D577" s="169" t="s">
        <v>220</v>
      </c>
      <c r="E577" s="167" t="str">
        <f>IFERROR(VLOOKUP(A577,작성용!A:AL,34,0),"-")</f>
        <v>-</v>
      </c>
      <c r="F577" s="168" t="s">
        <v>6331</v>
      </c>
      <c r="G577" s="179">
        <f>COUNTIF(작성용!A:B,$A577)-COUNTIFS(작성용!A:A,$A577,작성용!AA:AA,"평가철회")</f>
        <v>0</v>
      </c>
    </row>
    <row r="578" spans="1:7" ht="16.5" customHeight="1" x14ac:dyDescent="0.3">
      <c r="A578" s="170" t="s">
        <v>1337</v>
      </c>
      <c r="B578" s="165" t="s">
        <v>1338</v>
      </c>
      <c r="C578" s="165" t="str">
        <f>IFERROR(VLOOKUP($A578,작성용!A:AL,14,0),"-")</f>
        <v>-</v>
      </c>
      <c r="D578" s="169" t="s">
        <v>6292</v>
      </c>
      <c r="E578" s="167" t="str">
        <f>IFERROR(VLOOKUP(A578,작성용!A:AL,34,0),"-")</f>
        <v>-</v>
      </c>
      <c r="F578" s="168" t="s">
        <v>6336</v>
      </c>
      <c r="G578" s="179">
        <f>COUNTIF(작성용!A:B,$A578)-COUNTIFS(작성용!A:A,$A578,작성용!AA:AA,"평가철회")</f>
        <v>0</v>
      </c>
    </row>
    <row r="579" spans="1:7" ht="16.5" customHeight="1" x14ac:dyDescent="0.3">
      <c r="A579" s="170" t="s">
        <v>1339</v>
      </c>
      <c r="B579" s="165" t="s">
        <v>1340</v>
      </c>
      <c r="C579" s="165" t="str">
        <f>IFERROR(VLOOKUP($A579,작성용!A:AL,14,0),"-")</f>
        <v>-</v>
      </c>
      <c r="D579" s="169" t="s">
        <v>220</v>
      </c>
      <c r="E579" s="167" t="str">
        <f>IFERROR(VLOOKUP(A579,작성용!A:AL,34,0),"-")</f>
        <v>-</v>
      </c>
      <c r="F579" s="168" t="s">
        <v>6342</v>
      </c>
      <c r="G579" s="179">
        <f>COUNTIF(작성용!A:B,$A579)-COUNTIFS(작성용!A:A,$A579,작성용!AA:AA,"평가철회")</f>
        <v>0</v>
      </c>
    </row>
    <row r="580" spans="1:7" ht="16.5" customHeight="1" x14ac:dyDescent="0.3">
      <c r="A580" s="170" t="s">
        <v>1341</v>
      </c>
      <c r="B580" s="165" t="s">
        <v>1342</v>
      </c>
      <c r="C580" s="165" t="str">
        <f>IFERROR(VLOOKUP($A580,작성용!A:AL,14,0),"-")</f>
        <v>-</v>
      </c>
      <c r="D580" s="169" t="s">
        <v>220</v>
      </c>
      <c r="E580" s="167" t="str">
        <f>IFERROR(VLOOKUP(A580,작성용!A:AL,34,0),"-")</f>
        <v>-</v>
      </c>
      <c r="F580" s="168" t="s">
        <v>2</v>
      </c>
      <c r="G580" s="179">
        <f>COUNTIF(작성용!A:B,$A580)-COUNTIFS(작성용!A:A,$A580,작성용!AA:AA,"평가철회")</f>
        <v>0</v>
      </c>
    </row>
    <row r="581" spans="1:7" ht="16.5" customHeight="1" x14ac:dyDescent="0.3">
      <c r="A581" s="170" t="s">
        <v>1343</v>
      </c>
      <c r="B581" s="165" t="s">
        <v>1344</v>
      </c>
      <c r="C581" s="165" t="str">
        <f>IFERROR(VLOOKUP($A581,작성용!A:AL,14,0),"-")</f>
        <v>-</v>
      </c>
      <c r="D581" s="169" t="s">
        <v>220</v>
      </c>
      <c r="E581" s="167" t="str">
        <f>IFERROR(VLOOKUP(A581,작성용!A:AL,34,0),"-")</f>
        <v>-</v>
      </c>
      <c r="F581" s="168" t="s">
        <v>6283</v>
      </c>
      <c r="G581" s="179">
        <f>COUNTIF(작성용!A:B,$A581)-COUNTIFS(작성용!A:A,$A581,작성용!AA:AA,"평가철회")</f>
        <v>0</v>
      </c>
    </row>
    <row r="582" spans="1:7" ht="16.5" customHeight="1" x14ac:dyDescent="0.3">
      <c r="A582" s="170" t="s">
        <v>1345</v>
      </c>
      <c r="B582" s="165" t="s">
        <v>1346</v>
      </c>
      <c r="C582" s="165" t="str">
        <f>IFERROR(VLOOKUP($A582,작성용!A:AL,14,0),"-")</f>
        <v>-</v>
      </c>
      <c r="D582" s="169" t="s">
        <v>220</v>
      </c>
      <c r="E582" s="167" t="str">
        <f>IFERROR(VLOOKUP(A582,작성용!A:AL,34,0),"-")</f>
        <v>-</v>
      </c>
      <c r="F582" s="168" t="s">
        <v>6335</v>
      </c>
      <c r="G582" s="179">
        <f>COUNTIF(작성용!A:B,$A582)-COUNTIFS(작성용!A:A,$A582,작성용!AA:AA,"평가철회")</f>
        <v>0</v>
      </c>
    </row>
    <row r="583" spans="1:7" ht="16.5" customHeight="1" x14ac:dyDescent="0.3">
      <c r="A583" s="170" t="s">
        <v>1347</v>
      </c>
      <c r="B583" s="165" t="s">
        <v>1348</v>
      </c>
      <c r="C583" s="165" t="str">
        <f>IFERROR(VLOOKUP($A583,작성용!A:AL,14,0),"-")</f>
        <v>-</v>
      </c>
      <c r="D583" s="169" t="s">
        <v>220</v>
      </c>
      <c r="E583" s="167" t="str">
        <f>IFERROR(VLOOKUP(A583,작성용!A:AL,34,0),"-")</f>
        <v>-</v>
      </c>
      <c r="F583" s="168" t="s">
        <v>2</v>
      </c>
      <c r="G583" s="179">
        <f>COUNTIF(작성용!A:B,$A583)-COUNTIFS(작성용!A:A,$A583,작성용!AA:AA,"평가철회")</f>
        <v>0</v>
      </c>
    </row>
    <row r="584" spans="1:7" ht="16.5" customHeight="1" x14ac:dyDescent="0.3">
      <c r="A584" s="170" t="s">
        <v>1349</v>
      </c>
      <c r="B584" s="165" t="s">
        <v>1350</v>
      </c>
      <c r="C584" s="165" t="str">
        <f>IFERROR(VLOOKUP($A584,작성용!A:AL,14,0),"-")</f>
        <v>-</v>
      </c>
      <c r="D584" s="169" t="s">
        <v>220</v>
      </c>
      <c r="E584" s="167" t="str">
        <f>IFERROR(VLOOKUP(A584,작성용!A:AL,34,0),"-")</f>
        <v>-</v>
      </c>
      <c r="F584" s="168" t="s">
        <v>2</v>
      </c>
      <c r="G584" s="179">
        <f>COUNTIF(작성용!A:B,$A584)-COUNTIFS(작성용!A:A,$A584,작성용!AA:AA,"평가철회")</f>
        <v>0</v>
      </c>
    </row>
    <row r="585" spans="1:7" ht="16.5" customHeight="1" x14ac:dyDescent="0.3">
      <c r="A585" s="170" t="s">
        <v>1351</v>
      </c>
      <c r="B585" s="165" t="s">
        <v>1352</v>
      </c>
      <c r="C585" s="165" t="str">
        <f>IFERROR(VLOOKUP($A585,작성용!A:AL,14,0),"-")</f>
        <v>-</v>
      </c>
      <c r="D585" s="169" t="s">
        <v>220</v>
      </c>
      <c r="E585" s="167" t="str">
        <f>IFERROR(VLOOKUP(A585,작성용!A:AL,34,0),"-")</f>
        <v>-</v>
      </c>
      <c r="F585" s="168" t="s">
        <v>6337</v>
      </c>
      <c r="G585" s="179">
        <f>COUNTIF(작성용!A:B,$A585)-COUNTIFS(작성용!A:A,$A585,작성용!AA:AA,"평가철회")</f>
        <v>0</v>
      </c>
    </row>
    <row r="586" spans="1:7" ht="16.5" customHeight="1" x14ac:dyDescent="0.3">
      <c r="A586" s="170" t="s">
        <v>1353</v>
      </c>
      <c r="B586" s="165" t="s">
        <v>6415</v>
      </c>
      <c r="C586" s="165" t="str">
        <f>IFERROR(VLOOKUP($A586,작성용!A:AL,14,0),"-")</f>
        <v>-</v>
      </c>
      <c r="D586" s="169" t="s">
        <v>6351</v>
      </c>
      <c r="E586" s="167" t="str">
        <f>IFERROR(VLOOKUP(A586,작성용!A:AL,34,0),"-")</f>
        <v>-</v>
      </c>
      <c r="F586" s="168" t="s">
        <v>6335</v>
      </c>
      <c r="G586" s="179">
        <f>COUNTIF(작성용!A:B,$A586)-COUNTIFS(작성용!A:A,$A586,작성용!AA:AA,"평가철회")</f>
        <v>0</v>
      </c>
    </row>
    <row r="587" spans="1:7" ht="16.5" customHeight="1" x14ac:dyDescent="0.3">
      <c r="A587" s="170" t="s">
        <v>1354</v>
      </c>
      <c r="B587" s="165" t="s">
        <v>6416</v>
      </c>
      <c r="C587" s="165" t="str">
        <f>IFERROR(VLOOKUP($A587,작성용!A:AL,14,0),"-")</f>
        <v>-</v>
      </c>
      <c r="D587" s="169" t="s">
        <v>6351</v>
      </c>
      <c r="E587" s="167" t="str">
        <f>IFERROR(VLOOKUP(A587,작성용!A:AL,34,0),"-")</f>
        <v>-</v>
      </c>
      <c r="F587" s="168" t="s">
        <v>6336</v>
      </c>
      <c r="G587" s="179">
        <f>COUNTIF(작성용!A:B,$A587)-COUNTIFS(작성용!A:A,$A587,작성용!AA:AA,"평가철회")</f>
        <v>0</v>
      </c>
    </row>
    <row r="588" spans="1:7" ht="16.5" customHeight="1" x14ac:dyDescent="0.3">
      <c r="A588" s="170" t="s">
        <v>1355</v>
      </c>
      <c r="B588" s="165" t="s">
        <v>1356</v>
      </c>
      <c r="C588" s="165" t="str">
        <f>IFERROR(VLOOKUP($A588,작성용!A:AL,14,0),"-")</f>
        <v>-</v>
      </c>
      <c r="D588" s="169" t="s">
        <v>220</v>
      </c>
      <c r="E588" s="167" t="str">
        <f>IFERROR(VLOOKUP(A588,작성용!A:AL,34,0),"-")</f>
        <v>-</v>
      </c>
      <c r="F588" s="168" t="s">
        <v>2</v>
      </c>
      <c r="G588" s="179">
        <f>COUNTIF(작성용!A:B,$A588)-COUNTIFS(작성용!A:A,$A588,작성용!AA:AA,"평가철회")</f>
        <v>0</v>
      </c>
    </row>
    <row r="589" spans="1:7" ht="16.5" customHeight="1" x14ac:dyDescent="0.3">
      <c r="A589" s="170" t="s">
        <v>1357</v>
      </c>
      <c r="B589" s="165" t="s">
        <v>1358</v>
      </c>
      <c r="C589" s="165" t="str">
        <f>IFERROR(VLOOKUP($A589,작성용!A:AL,14,0),"-")</f>
        <v>-</v>
      </c>
      <c r="D589" s="169" t="s">
        <v>220</v>
      </c>
      <c r="E589" s="167" t="str">
        <f>IFERROR(VLOOKUP(A589,작성용!A:AL,34,0),"-")</f>
        <v>-</v>
      </c>
      <c r="F589" s="168" t="s">
        <v>2</v>
      </c>
      <c r="G589" s="179">
        <f>COUNTIF(작성용!A:B,$A589)-COUNTIFS(작성용!A:A,$A589,작성용!AA:AA,"평가철회")</f>
        <v>0</v>
      </c>
    </row>
    <row r="590" spans="1:7" ht="16.5" customHeight="1" x14ac:dyDescent="0.3">
      <c r="A590" s="170" t="s">
        <v>1359</v>
      </c>
      <c r="B590" s="165" t="s">
        <v>1360</v>
      </c>
      <c r="C590" s="165" t="str">
        <f>IFERROR(VLOOKUP($A590,작성용!A:AL,14,0),"-")</f>
        <v>-</v>
      </c>
      <c r="D590" s="169" t="s">
        <v>220</v>
      </c>
      <c r="E590" s="167" t="str">
        <f>IFERROR(VLOOKUP(A590,작성용!A:AL,34,0),"-")</f>
        <v>-</v>
      </c>
      <c r="F590" s="168" t="s">
        <v>2</v>
      </c>
      <c r="G590" s="179">
        <f>COUNTIF(작성용!A:B,$A590)-COUNTIFS(작성용!A:A,$A590,작성용!AA:AA,"평가철회")</f>
        <v>0</v>
      </c>
    </row>
    <row r="591" spans="1:7" ht="16.5" customHeight="1" x14ac:dyDescent="0.3">
      <c r="A591" s="170" t="s">
        <v>1361</v>
      </c>
      <c r="B591" s="165" t="s">
        <v>1362</v>
      </c>
      <c r="C591" s="165" t="str">
        <f>IFERROR(VLOOKUP($A591,작성용!A:AL,14,0),"-")</f>
        <v>-</v>
      </c>
      <c r="D591" s="169" t="s">
        <v>220</v>
      </c>
      <c r="E591" s="167" t="str">
        <f>IFERROR(VLOOKUP(A591,작성용!A:AL,34,0),"-")</f>
        <v>-</v>
      </c>
      <c r="F591" s="168" t="s">
        <v>2</v>
      </c>
      <c r="G591" s="179">
        <f>COUNTIF(작성용!A:B,$A591)-COUNTIFS(작성용!A:A,$A591,작성용!AA:AA,"평가철회")</f>
        <v>0</v>
      </c>
    </row>
    <row r="592" spans="1:7" ht="16.5" customHeight="1" x14ac:dyDescent="0.3">
      <c r="A592" s="170" t="s">
        <v>1363</v>
      </c>
      <c r="B592" s="165" t="s">
        <v>1364</v>
      </c>
      <c r="C592" s="165" t="str">
        <f>IFERROR(VLOOKUP($A592,작성용!A:AL,14,0),"-")</f>
        <v>-</v>
      </c>
      <c r="D592" s="169" t="s">
        <v>220</v>
      </c>
      <c r="E592" s="167" t="str">
        <f>IFERROR(VLOOKUP(A592,작성용!A:AL,34,0),"-")</f>
        <v>-</v>
      </c>
      <c r="F592" s="168" t="s">
        <v>6336</v>
      </c>
      <c r="G592" s="179">
        <f>COUNTIF(작성용!A:B,$A592)-COUNTIFS(작성용!A:A,$A592,작성용!AA:AA,"평가철회")</f>
        <v>0</v>
      </c>
    </row>
    <row r="593" spans="1:7" ht="16.5" customHeight="1" x14ac:dyDescent="0.3">
      <c r="A593" s="170" t="s">
        <v>1365</v>
      </c>
      <c r="B593" s="165" t="s">
        <v>1366</v>
      </c>
      <c r="C593" s="165" t="str">
        <f>IFERROR(VLOOKUP($A593,작성용!A:AL,14,0),"-")</f>
        <v>-</v>
      </c>
      <c r="D593" s="169" t="s">
        <v>220</v>
      </c>
      <c r="E593" s="167" t="str">
        <f>IFERROR(VLOOKUP(A593,작성용!A:AL,34,0),"-")</f>
        <v>-</v>
      </c>
      <c r="F593" s="168" t="s">
        <v>2</v>
      </c>
      <c r="G593" s="179">
        <f>COUNTIF(작성용!A:B,$A593)-COUNTIFS(작성용!A:A,$A593,작성용!AA:AA,"평가철회")</f>
        <v>0</v>
      </c>
    </row>
    <row r="594" spans="1:7" ht="16.5" customHeight="1" x14ac:dyDescent="0.3">
      <c r="A594" s="170" t="s">
        <v>1367</v>
      </c>
      <c r="B594" s="165" t="s">
        <v>1368</v>
      </c>
      <c r="C594" s="165" t="str">
        <f>IFERROR(VLOOKUP($A594,작성용!A:AL,14,0),"-")</f>
        <v>-</v>
      </c>
      <c r="D594" s="169" t="s">
        <v>220</v>
      </c>
      <c r="E594" s="167" t="str">
        <f>IFERROR(VLOOKUP(A594,작성용!A:AL,34,0),"-")</f>
        <v>-</v>
      </c>
      <c r="F594" s="168" t="s">
        <v>6331</v>
      </c>
      <c r="G594" s="179">
        <f>COUNTIF(작성용!A:B,$A594)-COUNTIFS(작성용!A:A,$A594,작성용!AA:AA,"평가철회")</f>
        <v>0</v>
      </c>
    </row>
    <row r="595" spans="1:7" ht="16.5" customHeight="1" x14ac:dyDescent="0.3">
      <c r="A595" s="170" t="s">
        <v>1369</v>
      </c>
      <c r="B595" s="165" t="s">
        <v>1370</v>
      </c>
      <c r="C595" s="165" t="str">
        <f>IFERROR(VLOOKUP($A595,작성용!A:AL,14,0),"-")</f>
        <v>-</v>
      </c>
      <c r="D595" s="169" t="s">
        <v>220</v>
      </c>
      <c r="E595" s="167" t="str">
        <f>IFERROR(VLOOKUP(A595,작성용!A:AL,34,0),"-")</f>
        <v>-</v>
      </c>
      <c r="F595" s="168" t="s">
        <v>2</v>
      </c>
      <c r="G595" s="179">
        <f>COUNTIF(작성용!A:B,$A595)-COUNTIFS(작성용!A:A,$A595,작성용!AA:AA,"평가철회")</f>
        <v>0</v>
      </c>
    </row>
    <row r="596" spans="1:7" ht="16.5" customHeight="1" x14ac:dyDescent="0.3">
      <c r="A596" s="170" t="s">
        <v>1371</v>
      </c>
      <c r="B596" s="165" t="s">
        <v>1372</v>
      </c>
      <c r="C596" s="165" t="str">
        <f>IFERROR(VLOOKUP($A596,작성용!A:AL,14,0),"-")</f>
        <v>-</v>
      </c>
      <c r="D596" s="169" t="s">
        <v>220</v>
      </c>
      <c r="E596" s="167" t="str">
        <f>IFERROR(VLOOKUP(A596,작성용!A:AL,34,0),"-")</f>
        <v>-</v>
      </c>
      <c r="F596" s="168" t="s">
        <v>6270</v>
      </c>
      <c r="G596" s="179">
        <f>COUNTIF(작성용!A:B,$A596)-COUNTIFS(작성용!A:A,$A596,작성용!AA:AA,"평가철회")</f>
        <v>0</v>
      </c>
    </row>
    <row r="597" spans="1:7" ht="16.5" customHeight="1" x14ac:dyDescent="0.3">
      <c r="A597" s="170" t="s">
        <v>1373</v>
      </c>
      <c r="B597" s="165" t="s">
        <v>1374</v>
      </c>
      <c r="C597" s="165" t="str">
        <f>IFERROR(VLOOKUP($A597,작성용!A:AL,14,0),"-")</f>
        <v>-</v>
      </c>
      <c r="D597" s="169" t="s">
        <v>220</v>
      </c>
      <c r="E597" s="167" t="str">
        <f>IFERROR(VLOOKUP(A597,작성용!A:AL,34,0),"-")</f>
        <v>-</v>
      </c>
      <c r="F597" s="168" t="s">
        <v>6283</v>
      </c>
      <c r="G597" s="179">
        <f>COUNTIF(작성용!A:B,$A597)-COUNTIFS(작성용!A:A,$A597,작성용!AA:AA,"평가철회")</f>
        <v>0</v>
      </c>
    </row>
    <row r="598" spans="1:7" ht="16.5" customHeight="1" x14ac:dyDescent="0.3">
      <c r="A598" s="170" t="s">
        <v>1375</v>
      </c>
      <c r="B598" s="165" t="s">
        <v>1376</v>
      </c>
      <c r="C598" s="165" t="str">
        <f>IFERROR(VLOOKUP($A598,작성용!A:AL,14,0),"-")</f>
        <v>-</v>
      </c>
      <c r="D598" s="169" t="s">
        <v>220</v>
      </c>
      <c r="E598" s="167" t="str">
        <f>IFERROR(VLOOKUP(A598,작성용!A:AL,34,0),"-")</f>
        <v>-</v>
      </c>
      <c r="F598" s="168" t="s">
        <v>6336</v>
      </c>
      <c r="G598" s="179">
        <f>COUNTIF(작성용!A:B,$A598)-COUNTIFS(작성용!A:A,$A598,작성용!AA:AA,"평가철회")</f>
        <v>0</v>
      </c>
    </row>
    <row r="599" spans="1:7" ht="16.5" customHeight="1" x14ac:dyDescent="0.3">
      <c r="A599" s="170" t="s">
        <v>1377</v>
      </c>
      <c r="B599" s="165" t="s">
        <v>1378</v>
      </c>
      <c r="C599" s="165" t="str">
        <f>IFERROR(VLOOKUP($A599,작성용!A:AL,14,0),"-")</f>
        <v>-</v>
      </c>
      <c r="D599" s="169" t="s">
        <v>220</v>
      </c>
      <c r="E599" s="167" t="str">
        <f>IFERROR(VLOOKUP(A599,작성용!A:AL,34,0),"-")</f>
        <v>-</v>
      </c>
      <c r="F599" s="168" t="s">
        <v>6283</v>
      </c>
      <c r="G599" s="179">
        <f>COUNTIF(작성용!A:B,$A599)-COUNTIFS(작성용!A:A,$A599,작성용!AA:AA,"평가철회")</f>
        <v>0</v>
      </c>
    </row>
    <row r="600" spans="1:7" ht="16.5" customHeight="1" x14ac:dyDescent="0.3">
      <c r="A600" s="170" t="s">
        <v>1379</v>
      </c>
      <c r="B600" s="165" t="s">
        <v>1380</v>
      </c>
      <c r="C600" s="165" t="str">
        <f>IFERROR(VLOOKUP($A600,작성용!A:AL,14,0),"-")</f>
        <v>-</v>
      </c>
      <c r="D600" s="169" t="s">
        <v>220</v>
      </c>
      <c r="E600" s="167" t="str">
        <f>IFERROR(VLOOKUP(A600,작성용!A:AL,34,0),"-")</f>
        <v>-</v>
      </c>
      <c r="F600" s="168" t="s">
        <v>6336</v>
      </c>
      <c r="G600" s="179">
        <f>COUNTIF(작성용!A:B,$A600)-COUNTIFS(작성용!A:A,$A600,작성용!AA:AA,"평가철회")</f>
        <v>0</v>
      </c>
    </row>
    <row r="601" spans="1:7" ht="16.5" customHeight="1" x14ac:dyDescent="0.3">
      <c r="A601" s="170" t="s">
        <v>1381</v>
      </c>
      <c r="B601" s="165" t="s">
        <v>1382</v>
      </c>
      <c r="C601" s="165" t="str">
        <f>IFERROR(VLOOKUP($A601,작성용!A:AL,14,0),"-")</f>
        <v>-</v>
      </c>
      <c r="D601" s="169" t="s">
        <v>220</v>
      </c>
      <c r="E601" s="167" t="str">
        <f>IFERROR(VLOOKUP(A601,작성용!A:AL,34,0),"-")</f>
        <v>-</v>
      </c>
      <c r="F601" s="168" t="s">
        <v>6283</v>
      </c>
      <c r="G601" s="179">
        <f>COUNTIF(작성용!A:B,$A601)-COUNTIFS(작성용!A:A,$A601,작성용!AA:AA,"평가철회")</f>
        <v>0</v>
      </c>
    </row>
    <row r="602" spans="1:7" ht="16.5" customHeight="1" x14ac:dyDescent="0.3">
      <c r="A602" s="170" t="s">
        <v>1383</v>
      </c>
      <c r="B602" s="165" t="s">
        <v>1384</v>
      </c>
      <c r="C602" s="165" t="str">
        <f>IFERROR(VLOOKUP($A602,작성용!A:AL,14,0),"-")</f>
        <v>-</v>
      </c>
      <c r="D602" s="169" t="s">
        <v>220</v>
      </c>
      <c r="E602" s="167" t="str">
        <f>IFERROR(VLOOKUP(A602,작성용!A:AL,34,0),"-")</f>
        <v>-</v>
      </c>
      <c r="F602" s="168" t="s">
        <v>6283</v>
      </c>
      <c r="G602" s="179">
        <f>COUNTIF(작성용!A:B,$A602)-COUNTIFS(작성용!A:A,$A602,작성용!AA:AA,"평가철회")</f>
        <v>0</v>
      </c>
    </row>
    <row r="603" spans="1:7" ht="16.5" customHeight="1" x14ac:dyDescent="0.3">
      <c r="A603" s="170" t="s">
        <v>1385</v>
      </c>
      <c r="B603" s="165" t="s">
        <v>1386</v>
      </c>
      <c r="C603" s="165" t="str">
        <f>IFERROR(VLOOKUP($A603,작성용!A:AL,14,0),"-")</f>
        <v>-</v>
      </c>
      <c r="D603" s="169" t="s">
        <v>1387</v>
      </c>
      <c r="E603" s="167" t="str">
        <f>IFERROR(VLOOKUP(A603,작성용!A:AL,34,0),"-")</f>
        <v>-</v>
      </c>
      <c r="F603" s="168" t="s">
        <v>2</v>
      </c>
      <c r="G603" s="179">
        <f>COUNTIF(작성용!A:B,$A603)-COUNTIFS(작성용!A:A,$A603,작성용!AA:AA,"평가철회")</f>
        <v>0</v>
      </c>
    </row>
    <row r="604" spans="1:7" ht="16.5" customHeight="1" x14ac:dyDescent="0.3">
      <c r="A604" s="170" t="s">
        <v>1388</v>
      </c>
      <c r="B604" s="165" t="s">
        <v>1389</v>
      </c>
      <c r="C604" s="165" t="str">
        <f>IFERROR(VLOOKUP($A604,작성용!A:AL,14,0),"-")</f>
        <v>-</v>
      </c>
      <c r="D604" s="169" t="s">
        <v>220</v>
      </c>
      <c r="E604" s="167" t="str">
        <f>IFERROR(VLOOKUP(A604,작성용!A:AL,34,0),"-")</f>
        <v>-</v>
      </c>
      <c r="F604" s="168" t="s">
        <v>2</v>
      </c>
      <c r="G604" s="179">
        <f>COUNTIF(작성용!A:B,$A604)-COUNTIFS(작성용!A:A,$A604,작성용!AA:AA,"평가철회")</f>
        <v>0</v>
      </c>
    </row>
    <row r="605" spans="1:7" ht="16.5" customHeight="1" x14ac:dyDescent="0.3">
      <c r="A605" s="170" t="s">
        <v>1390</v>
      </c>
      <c r="B605" s="165" t="s">
        <v>1391</v>
      </c>
      <c r="C605" s="165" t="str">
        <f>IFERROR(VLOOKUP($A605,작성용!A:AL,14,0),"-")</f>
        <v>-</v>
      </c>
      <c r="D605" s="169" t="s">
        <v>220</v>
      </c>
      <c r="E605" s="167" t="str">
        <f>IFERROR(VLOOKUP(A605,작성용!A:AL,34,0),"-")</f>
        <v>-</v>
      </c>
      <c r="F605" s="168" t="s">
        <v>2</v>
      </c>
      <c r="G605" s="179">
        <f>COUNTIF(작성용!A:B,$A605)-COUNTIFS(작성용!A:A,$A605,작성용!AA:AA,"평가철회")</f>
        <v>0</v>
      </c>
    </row>
    <row r="606" spans="1:7" ht="16.5" customHeight="1" x14ac:dyDescent="0.3">
      <c r="A606" s="170" t="s">
        <v>1392</v>
      </c>
      <c r="B606" s="165" t="s">
        <v>1393</v>
      </c>
      <c r="C606" s="165" t="str">
        <f>IFERROR(VLOOKUP($A606,작성용!A:AL,14,0),"-")</f>
        <v>-</v>
      </c>
      <c r="D606" s="169" t="s">
        <v>220</v>
      </c>
      <c r="E606" s="167" t="str">
        <f>IFERROR(VLOOKUP(A606,작성용!A:AL,34,0),"-")</f>
        <v>-</v>
      </c>
      <c r="F606" s="168" t="s">
        <v>6270</v>
      </c>
      <c r="G606" s="179">
        <f>COUNTIF(작성용!A:B,$A606)-COUNTIFS(작성용!A:A,$A606,작성용!AA:AA,"평가철회")</f>
        <v>0</v>
      </c>
    </row>
    <row r="607" spans="1:7" ht="16.5" customHeight="1" x14ac:dyDescent="0.3">
      <c r="A607" s="170" t="s">
        <v>1394</v>
      </c>
      <c r="B607" s="165" t="s">
        <v>1395</v>
      </c>
      <c r="C607" s="165" t="str">
        <f>IFERROR(VLOOKUP($A607,작성용!A:AL,14,0),"-")</f>
        <v>-</v>
      </c>
      <c r="D607" s="169" t="s">
        <v>220</v>
      </c>
      <c r="E607" s="167" t="str">
        <f>IFERROR(VLOOKUP(A607,작성용!A:AL,34,0),"-")</f>
        <v>-</v>
      </c>
      <c r="F607" s="168" t="s">
        <v>6270</v>
      </c>
      <c r="G607" s="179">
        <f>COUNTIF(작성용!A:B,$A607)-COUNTIFS(작성용!A:A,$A607,작성용!AA:AA,"평가철회")</f>
        <v>0</v>
      </c>
    </row>
    <row r="608" spans="1:7" ht="16.5" customHeight="1" x14ac:dyDescent="0.3">
      <c r="A608" s="170" t="s">
        <v>1396</v>
      </c>
      <c r="B608" s="165" t="s">
        <v>1397</v>
      </c>
      <c r="C608" s="165" t="str">
        <f>IFERROR(VLOOKUP($A608,작성용!A:AL,14,0),"-")</f>
        <v>-</v>
      </c>
      <c r="D608" s="169" t="s">
        <v>220</v>
      </c>
      <c r="E608" s="167" t="str">
        <f>IFERROR(VLOOKUP(A608,작성용!A:AL,34,0),"-")</f>
        <v>-</v>
      </c>
      <c r="F608" s="168" t="s">
        <v>2</v>
      </c>
      <c r="G608" s="179">
        <f>COUNTIF(작성용!A:B,$A608)-COUNTIFS(작성용!A:A,$A608,작성용!AA:AA,"평가철회")</f>
        <v>0</v>
      </c>
    </row>
    <row r="609" spans="1:7" ht="16.5" customHeight="1" x14ac:dyDescent="0.3">
      <c r="A609" s="170" t="s">
        <v>1398</v>
      </c>
      <c r="B609" s="165" t="s">
        <v>1399</v>
      </c>
      <c r="C609" s="165" t="str">
        <f>IFERROR(VLOOKUP($A609,작성용!A:AL,14,0),"-")</f>
        <v>-</v>
      </c>
      <c r="D609" s="169" t="s">
        <v>220</v>
      </c>
      <c r="E609" s="167" t="str">
        <f>IFERROR(VLOOKUP(A609,작성용!A:AL,34,0),"-")</f>
        <v>-</v>
      </c>
      <c r="F609" s="168" t="s">
        <v>2</v>
      </c>
      <c r="G609" s="179">
        <f>COUNTIF(작성용!A:B,$A609)-COUNTIFS(작성용!A:A,$A609,작성용!AA:AA,"평가철회")</f>
        <v>0</v>
      </c>
    </row>
    <row r="610" spans="1:7" ht="16.5" customHeight="1" x14ac:dyDescent="0.3">
      <c r="A610" s="170" t="s">
        <v>1400</v>
      </c>
      <c r="B610" s="165" t="s">
        <v>1401</v>
      </c>
      <c r="C610" s="165" t="str">
        <f>IFERROR(VLOOKUP($A610,작성용!A:AL,14,0),"-")</f>
        <v>-</v>
      </c>
      <c r="D610" s="169" t="s">
        <v>220</v>
      </c>
      <c r="E610" s="167" t="str">
        <f>IFERROR(VLOOKUP(A610,작성용!A:AL,34,0),"-")</f>
        <v>-</v>
      </c>
      <c r="F610" s="168" t="s">
        <v>6283</v>
      </c>
      <c r="G610" s="179">
        <f>COUNTIF(작성용!A:B,$A610)-COUNTIFS(작성용!A:A,$A610,작성용!AA:AA,"평가철회")</f>
        <v>0</v>
      </c>
    </row>
    <row r="611" spans="1:7" ht="16.5" customHeight="1" x14ac:dyDescent="0.3">
      <c r="A611" s="170" t="s">
        <v>1402</v>
      </c>
      <c r="B611" s="165" t="s">
        <v>1403</v>
      </c>
      <c r="C611" s="165" t="str">
        <f>IFERROR(VLOOKUP($A611,작성용!A:AL,14,0),"-")</f>
        <v>-</v>
      </c>
      <c r="D611" s="169" t="s">
        <v>220</v>
      </c>
      <c r="E611" s="167" t="str">
        <f>IFERROR(VLOOKUP(A611,작성용!A:AL,34,0),"-")</f>
        <v>-</v>
      </c>
      <c r="F611" s="168" t="s">
        <v>6283</v>
      </c>
      <c r="G611" s="179">
        <f>COUNTIF(작성용!A:B,$A611)-COUNTIFS(작성용!A:A,$A611,작성용!AA:AA,"평가철회")</f>
        <v>0</v>
      </c>
    </row>
    <row r="612" spans="1:7" ht="16.5" customHeight="1" x14ac:dyDescent="0.3">
      <c r="A612" s="170" t="s">
        <v>1404</v>
      </c>
      <c r="B612" s="165" t="s">
        <v>1405</v>
      </c>
      <c r="C612" s="165" t="str">
        <f>IFERROR(VLOOKUP($A612,작성용!A:AL,14,0),"-")</f>
        <v>-</v>
      </c>
      <c r="D612" s="169" t="s">
        <v>6292</v>
      </c>
      <c r="E612" s="167" t="str">
        <f>IFERROR(VLOOKUP(A612,작성용!A:AL,34,0),"-")</f>
        <v>-</v>
      </c>
      <c r="F612" s="168" t="s">
        <v>6283</v>
      </c>
      <c r="G612" s="179">
        <f>COUNTIF(작성용!A:B,$A612)-COUNTIFS(작성용!A:A,$A612,작성용!AA:AA,"평가철회")</f>
        <v>0</v>
      </c>
    </row>
    <row r="613" spans="1:7" ht="16.5" customHeight="1" x14ac:dyDescent="0.3">
      <c r="A613" s="170" t="s">
        <v>1406</v>
      </c>
      <c r="B613" s="165" t="s">
        <v>1407</v>
      </c>
      <c r="C613" s="165" t="str">
        <f>IFERROR(VLOOKUP($A613,작성용!A:AL,14,0),"-")</f>
        <v>-</v>
      </c>
      <c r="D613" s="169" t="s">
        <v>220</v>
      </c>
      <c r="E613" s="167" t="str">
        <f>IFERROR(VLOOKUP(A613,작성용!A:AL,34,0),"-")</f>
        <v>-</v>
      </c>
      <c r="F613" s="168" t="s">
        <v>6283</v>
      </c>
      <c r="G613" s="179">
        <f>COUNTIF(작성용!A:B,$A613)-COUNTIFS(작성용!A:A,$A613,작성용!AA:AA,"평가철회")</f>
        <v>0</v>
      </c>
    </row>
    <row r="614" spans="1:7" ht="16.5" customHeight="1" x14ac:dyDescent="0.3">
      <c r="A614" s="170" t="s">
        <v>1408</v>
      </c>
      <c r="B614" s="165" t="s">
        <v>1409</v>
      </c>
      <c r="C614" s="165" t="str">
        <f>IFERROR(VLOOKUP($A614,작성용!A:AL,14,0),"-")</f>
        <v>-</v>
      </c>
      <c r="D614" s="169" t="s">
        <v>71</v>
      </c>
      <c r="E614" s="167" t="str">
        <f>IFERROR(VLOOKUP(A614,작성용!A:AL,34,0),"-")</f>
        <v>-</v>
      </c>
      <c r="F614" s="168" t="s">
        <v>2</v>
      </c>
      <c r="G614" s="179">
        <f>COUNTIF(작성용!A:B,$A614)-COUNTIFS(작성용!A:A,$A614,작성용!AA:AA,"평가철회")</f>
        <v>0</v>
      </c>
    </row>
    <row r="615" spans="1:7" ht="16.5" customHeight="1" x14ac:dyDescent="0.3">
      <c r="A615" s="170" t="s">
        <v>1410</v>
      </c>
      <c r="B615" s="165" t="s">
        <v>1411</v>
      </c>
      <c r="C615" s="165" t="str">
        <f>IFERROR(VLOOKUP($A615,작성용!A:AL,14,0),"-")</f>
        <v>-</v>
      </c>
      <c r="D615" s="169" t="s">
        <v>6417</v>
      </c>
      <c r="E615" s="167" t="str">
        <f>IFERROR(VLOOKUP(A615,작성용!A:AL,34,0),"-")</f>
        <v>-</v>
      </c>
      <c r="F615" s="168" t="s">
        <v>6378</v>
      </c>
      <c r="G615" s="179">
        <f>COUNTIF(작성용!A:B,$A615)-COUNTIFS(작성용!A:A,$A615,작성용!AA:AA,"평가철회")</f>
        <v>0</v>
      </c>
    </row>
    <row r="616" spans="1:7" ht="16.5" customHeight="1" x14ac:dyDescent="0.3">
      <c r="A616" s="170" t="s">
        <v>1412</v>
      </c>
      <c r="B616" s="165" t="s">
        <v>1413</v>
      </c>
      <c r="C616" s="165" t="str">
        <f>IFERROR(VLOOKUP($A616,작성용!A:AL,14,0),"-")</f>
        <v>-</v>
      </c>
      <c r="D616" s="169" t="s">
        <v>492</v>
      </c>
      <c r="E616" s="167" t="str">
        <f>IFERROR(VLOOKUP(A616,작성용!A:AL,34,0),"-")</f>
        <v>-</v>
      </c>
      <c r="F616" s="168" t="s">
        <v>2</v>
      </c>
      <c r="G616" s="179">
        <f>COUNTIF(작성용!A:B,$A616)-COUNTIFS(작성용!A:A,$A616,작성용!AA:AA,"평가철회")</f>
        <v>0</v>
      </c>
    </row>
    <row r="617" spans="1:7" ht="16.5" customHeight="1" x14ac:dyDescent="0.3">
      <c r="A617" s="170" t="s">
        <v>1414</v>
      </c>
      <c r="B617" s="165" t="s">
        <v>1415</v>
      </c>
      <c r="C617" s="165" t="str">
        <f>IFERROR(VLOOKUP($A617,작성용!A:AL,14,0),"-")</f>
        <v>-</v>
      </c>
      <c r="D617" s="169" t="s">
        <v>71</v>
      </c>
      <c r="E617" s="167" t="str">
        <f>IFERROR(VLOOKUP(A617,작성용!A:AL,34,0),"-")</f>
        <v>-</v>
      </c>
      <c r="F617" s="168" t="s">
        <v>2</v>
      </c>
      <c r="G617" s="179">
        <f>COUNTIF(작성용!A:B,$A617)-COUNTIFS(작성용!A:A,$A617,작성용!AA:AA,"평가철회")</f>
        <v>0</v>
      </c>
    </row>
    <row r="618" spans="1:7" ht="16.5" customHeight="1" x14ac:dyDescent="0.3">
      <c r="A618" s="170" t="s">
        <v>1416</v>
      </c>
      <c r="B618" s="165" t="s">
        <v>1417</v>
      </c>
      <c r="C618" s="165" t="str">
        <f>IFERROR(VLOOKUP($A618,작성용!A:AL,14,0),"-")</f>
        <v>-</v>
      </c>
      <c r="D618" s="169" t="s">
        <v>656</v>
      </c>
      <c r="E618" s="167" t="str">
        <f>IFERROR(VLOOKUP(A618,작성용!A:AL,34,0),"-")</f>
        <v>-</v>
      </c>
      <c r="F618" s="168" t="s">
        <v>2</v>
      </c>
      <c r="G618" s="179">
        <f>COUNTIF(작성용!A:B,$A618)-COUNTIFS(작성용!A:A,$A618,작성용!AA:AA,"평가철회")</f>
        <v>0</v>
      </c>
    </row>
    <row r="619" spans="1:7" ht="16.5" customHeight="1" x14ac:dyDescent="0.3">
      <c r="A619" s="170" t="s">
        <v>1418</v>
      </c>
      <c r="B619" s="165" t="s">
        <v>1419</v>
      </c>
      <c r="C619" s="165" t="str">
        <f>IFERROR(VLOOKUP($A619,작성용!A:AL,14,0),"-")</f>
        <v>-</v>
      </c>
      <c r="D619" s="169" t="s">
        <v>635</v>
      </c>
      <c r="E619" s="167" t="str">
        <f>IFERROR(VLOOKUP(A619,작성용!A:AL,34,0),"-")</f>
        <v>-</v>
      </c>
      <c r="F619" s="168" t="s">
        <v>2</v>
      </c>
      <c r="G619" s="179">
        <f>COUNTIF(작성용!A:B,$A619)-COUNTIFS(작성용!A:A,$A619,작성용!AA:AA,"평가철회")</f>
        <v>0</v>
      </c>
    </row>
    <row r="620" spans="1:7" ht="16.5" customHeight="1" x14ac:dyDescent="0.3">
      <c r="A620" s="170" t="s">
        <v>1420</v>
      </c>
      <c r="B620" s="165" t="s">
        <v>1421</v>
      </c>
      <c r="C620" s="165" t="str">
        <f>IFERROR(VLOOKUP($A620,작성용!A:AL,14,0),"-")</f>
        <v>-</v>
      </c>
      <c r="D620" s="169" t="s">
        <v>521</v>
      </c>
      <c r="E620" s="167" t="str">
        <f>IFERROR(VLOOKUP(A620,작성용!A:AL,34,0),"-")</f>
        <v>-</v>
      </c>
      <c r="F620" s="168" t="s">
        <v>2</v>
      </c>
      <c r="G620" s="179">
        <f>COUNTIF(작성용!A:B,$A620)-COUNTIFS(작성용!A:A,$A620,작성용!AA:AA,"평가철회")</f>
        <v>0</v>
      </c>
    </row>
    <row r="621" spans="1:7" ht="16.5" customHeight="1" x14ac:dyDescent="0.3">
      <c r="A621" s="170" t="s">
        <v>1422</v>
      </c>
      <c r="B621" s="165" t="s">
        <v>343</v>
      </c>
      <c r="C621" s="165" t="str">
        <f>IFERROR(VLOOKUP($A621,작성용!A:AL,14,0),"-")</f>
        <v>-</v>
      </c>
      <c r="D621" s="169" t="s">
        <v>6418</v>
      </c>
      <c r="E621" s="167" t="str">
        <f>IFERROR(VLOOKUP(A621,작성용!A:AL,34,0),"-")</f>
        <v>-</v>
      </c>
      <c r="F621" s="168" t="s">
        <v>6335</v>
      </c>
      <c r="G621" s="179">
        <f>COUNTIF(작성용!A:B,$A621)-COUNTIFS(작성용!A:A,$A621,작성용!AA:AA,"평가철회")</f>
        <v>0</v>
      </c>
    </row>
    <row r="622" spans="1:7" ht="16.5" customHeight="1" x14ac:dyDescent="0.3">
      <c r="A622" s="170" t="s">
        <v>1423</v>
      </c>
      <c r="B622" s="165" t="s">
        <v>1424</v>
      </c>
      <c r="C622" s="165" t="str">
        <f>IFERROR(VLOOKUP($A622,작성용!A:AL,14,0),"-")</f>
        <v>-</v>
      </c>
      <c r="D622" s="169" t="s">
        <v>463</v>
      </c>
      <c r="E622" s="167" t="str">
        <f>IFERROR(VLOOKUP(A622,작성용!A:AL,34,0),"-")</f>
        <v>-</v>
      </c>
      <c r="F622" s="168" t="s">
        <v>2</v>
      </c>
      <c r="G622" s="179">
        <f>COUNTIF(작성용!A:B,$A622)-COUNTIFS(작성용!A:A,$A622,작성용!AA:AA,"평가철회")</f>
        <v>0</v>
      </c>
    </row>
    <row r="623" spans="1:7" ht="16.5" customHeight="1" x14ac:dyDescent="0.3">
      <c r="A623" s="170" t="s">
        <v>1425</v>
      </c>
      <c r="B623" s="165" t="s">
        <v>1426</v>
      </c>
      <c r="C623" s="165" t="str">
        <f>IFERROR(VLOOKUP($A623,작성용!A:AL,14,0),"-")</f>
        <v>-</v>
      </c>
      <c r="D623" s="169" t="s">
        <v>71</v>
      </c>
      <c r="E623" s="167" t="str">
        <f>IFERROR(VLOOKUP(A623,작성용!A:AL,34,0),"-")</f>
        <v>-</v>
      </c>
      <c r="F623" s="168" t="s">
        <v>6336</v>
      </c>
      <c r="G623" s="179">
        <f>COUNTIF(작성용!A:B,$A623)-COUNTIFS(작성용!A:A,$A623,작성용!AA:AA,"평가철회")</f>
        <v>0</v>
      </c>
    </row>
    <row r="624" spans="1:7" ht="16.5" customHeight="1" x14ac:dyDescent="0.3">
      <c r="A624" s="170" t="s">
        <v>1427</v>
      </c>
      <c r="B624" s="165" t="s">
        <v>1428</v>
      </c>
      <c r="C624" s="165" t="str">
        <f>IFERROR(VLOOKUP($A624,작성용!A:AL,14,0),"-")</f>
        <v>-</v>
      </c>
      <c r="D624" s="169" t="s">
        <v>244</v>
      </c>
      <c r="E624" s="167" t="str">
        <f>IFERROR(VLOOKUP(A624,작성용!A:AL,34,0),"-")</f>
        <v>-</v>
      </c>
      <c r="F624" s="168" t="s">
        <v>2</v>
      </c>
      <c r="G624" s="179">
        <f>COUNTIF(작성용!A:B,$A624)-COUNTIFS(작성용!A:A,$A624,작성용!AA:AA,"평가철회")</f>
        <v>0</v>
      </c>
    </row>
    <row r="625" spans="1:7" ht="16.5" customHeight="1" x14ac:dyDescent="0.3">
      <c r="A625" s="170" t="s">
        <v>1429</v>
      </c>
      <c r="B625" s="165" t="s">
        <v>1430</v>
      </c>
      <c r="C625" s="165" t="str">
        <f>IFERROR(VLOOKUP($A625,작성용!A:AL,14,0),"-")</f>
        <v>-</v>
      </c>
      <c r="D625" s="169" t="s">
        <v>1431</v>
      </c>
      <c r="E625" s="167" t="str">
        <f>IFERROR(VLOOKUP(A625,작성용!A:AL,34,0),"-")</f>
        <v>-</v>
      </c>
      <c r="F625" s="168" t="s">
        <v>2</v>
      </c>
      <c r="G625" s="179">
        <f>COUNTIF(작성용!A:B,$A625)-COUNTIFS(작성용!A:A,$A625,작성용!AA:AA,"평가철회")</f>
        <v>0</v>
      </c>
    </row>
    <row r="626" spans="1:7" ht="16.5" customHeight="1" x14ac:dyDescent="0.3">
      <c r="A626" s="170" t="s">
        <v>1432</v>
      </c>
      <c r="B626" s="165" t="s">
        <v>1433</v>
      </c>
      <c r="C626" s="165" t="str">
        <f>IFERROR(VLOOKUP($A626,작성용!A:AL,14,0),"-")</f>
        <v>-</v>
      </c>
      <c r="D626" s="169" t="s">
        <v>463</v>
      </c>
      <c r="E626" s="167" t="str">
        <f>IFERROR(VLOOKUP(A626,작성용!A:AL,34,0),"-")</f>
        <v>-</v>
      </c>
      <c r="F626" s="168" t="s">
        <v>2</v>
      </c>
      <c r="G626" s="179">
        <f>COUNTIF(작성용!A:B,$A626)-COUNTIFS(작성용!A:A,$A626,작성용!AA:AA,"평가철회")</f>
        <v>0</v>
      </c>
    </row>
    <row r="627" spans="1:7" ht="16.5" customHeight="1" x14ac:dyDescent="0.3">
      <c r="A627" s="170" t="s">
        <v>1434</v>
      </c>
      <c r="B627" s="165" t="s">
        <v>1435</v>
      </c>
      <c r="C627" s="165" t="str">
        <f>IFERROR(VLOOKUP($A627,작성용!A:AL,14,0),"-")</f>
        <v>연말</v>
      </c>
      <c r="D627" s="169" t="s">
        <v>6377</v>
      </c>
      <c r="E627" s="167" t="str">
        <f>IFERROR(VLOOKUP(A627,작성용!A:AL,34,0),"-")</f>
        <v>서동현</v>
      </c>
      <c r="F627" s="168" t="s">
        <v>6304</v>
      </c>
      <c r="G627" s="179">
        <f>COUNTIF(작성용!A:B,$A627)-COUNTIFS(작성용!A:A,$A627,작성용!AA:AA,"평가철회")</f>
        <v>5</v>
      </c>
    </row>
    <row r="628" spans="1:7" ht="16.5" customHeight="1" x14ac:dyDescent="0.3">
      <c r="A628" s="170" t="s">
        <v>1436</v>
      </c>
      <c r="B628" s="165" t="s">
        <v>1437</v>
      </c>
      <c r="C628" s="165" t="str">
        <f>IFERROR(VLOOKUP($A628,작성용!A:AL,14,0),"-")</f>
        <v>-</v>
      </c>
      <c r="D628" s="169" t="s">
        <v>220</v>
      </c>
      <c r="E628" s="167" t="str">
        <f>IFERROR(VLOOKUP(A628,작성용!A:AL,34,0),"-")</f>
        <v>-</v>
      </c>
      <c r="F628" s="168" t="s">
        <v>2</v>
      </c>
      <c r="G628" s="179">
        <f>COUNTIF(작성용!A:B,$A628)-COUNTIFS(작성용!A:A,$A628,작성용!AA:AA,"평가철회")</f>
        <v>0</v>
      </c>
    </row>
    <row r="629" spans="1:7" ht="16.5" customHeight="1" x14ac:dyDescent="0.3">
      <c r="A629" s="170" t="s">
        <v>1438</v>
      </c>
      <c r="B629" s="165" t="s">
        <v>1439</v>
      </c>
      <c r="C629" s="165" t="str">
        <f>IFERROR(VLOOKUP($A629,작성용!A:AL,14,0),"-")</f>
        <v>-</v>
      </c>
      <c r="D629" s="169" t="s">
        <v>73</v>
      </c>
      <c r="E629" s="167" t="str">
        <f>IFERROR(VLOOKUP(A629,작성용!A:AL,34,0),"-")</f>
        <v>-</v>
      </c>
      <c r="F629" s="168" t="s">
        <v>2</v>
      </c>
      <c r="G629" s="179">
        <f>COUNTIF(작성용!A:B,$A629)-COUNTIFS(작성용!A:A,$A629,작성용!AA:AA,"평가철회")</f>
        <v>0</v>
      </c>
    </row>
    <row r="630" spans="1:7" ht="16.5" customHeight="1" x14ac:dyDescent="0.3">
      <c r="A630" s="170" t="s">
        <v>1440</v>
      </c>
      <c r="B630" s="165" t="s">
        <v>1441</v>
      </c>
      <c r="C630" s="165" t="str">
        <f>IFERROR(VLOOKUP($A630,작성용!A:AL,14,0),"-")</f>
        <v>-</v>
      </c>
      <c r="D630" s="169" t="s">
        <v>6419</v>
      </c>
      <c r="E630" s="167" t="str">
        <f>IFERROR(VLOOKUP(A630,작성용!A:AL,34,0),"-")</f>
        <v>-</v>
      </c>
      <c r="F630" s="168" t="s">
        <v>6378</v>
      </c>
      <c r="G630" s="179">
        <f>COUNTIF(작성용!A:B,$A630)-COUNTIFS(작성용!A:A,$A630,작성용!AA:AA,"평가철회")</f>
        <v>0</v>
      </c>
    </row>
    <row r="631" spans="1:7" ht="16.5" customHeight="1" x14ac:dyDescent="0.3">
      <c r="A631" s="170" t="s">
        <v>1442</v>
      </c>
      <c r="B631" s="165" t="s">
        <v>376</v>
      </c>
      <c r="C631" s="165" t="str">
        <f>IFERROR(VLOOKUP($A631,작성용!A:AL,14,0),"-")</f>
        <v>-</v>
      </c>
      <c r="D631" s="169" t="s">
        <v>6290</v>
      </c>
      <c r="E631" s="167" t="str">
        <f>IFERROR(VLOOKUP(A631,작성용!A:AL,34,0),"-")</f>
        <v>-</v>
      </c>
      <c r="F631" s="168" t="s">
        <v>6380</v>
      </c>
      <c r="G631" s="179">
        <f>COUNTIF(작성용!A:B,$A631)-COUNTIFS(작성용!A:A,$A631,작성용!AA:AA,"평가철회")</f>
        <v>0</v>
      </c>
    </row>
    <row r="632" spans="1:7" ht="16.5" customHeight="1" x14ac:dyDescent="0.3">
      <c r="A632" s="170" t="s">
        <v>1443</v>
      </c>
      <c r="B632" s="165" t="s">
        <v>1444</v>
      </c>
      <c r="C632" s="165" t="str">
        <f>IFERROR(VLOOKUP($A632,작성용!A:AL,14,0),"-")</f>
        <v>-</v>
      </c>
      <c r="D632" s="169" t="s">
        <v>6299</v>
      </c>
      <c r="E632" s="167" t="str">
        <f>IFERROR(VLOOKUP(A632,작성용!A:AL,34,0),"-")</f>
        <v>-</v>
      </c>
      <c r="F632" s="168" t="s">
        <v>6304</v>
      </c>
      <c r="G632" s="179">
        <f>COUNTIF(작성용!A:B,$A632)-COUNTIFS(작성용!A:A,$A632,작성용!AA:AA,"평가철회")</f>
        <v>0</v>
      </c>
    </row>
    <row r="633" spans="1:7" ht="16.5" customHeight="1" x14ac:dyDescent="0.3">
      <c r="A633" s="170" t="s">
        <v>1445</v>
      </c>
      <c r="B633" s="165" t="s">
        <v>1446</v>
      </c>
      <c r="C633" s="165" t="str">
        <f>IFERROR(VLOOKUP($A633,작성용!A:AL,14,0),"-")</f>
        <v>-</v>
      </c>
      <c r="D633" s="169" t="s">
        <v>1447</v>
      </c>
      <c r="E633" s="167" t="str">
        <f>IFERROR(VLOOKUP(A633,작성용!A:AL,34,0),"-")</f>
        <v>-</v>
      </c>
      <c r="F633" s="168" t="s">
        <v>2</v>
      </c>
      <c r="G633" s="179">
        <f>COUNTIF(작성용!A:B,$A633)-COUNTIFS(작성용!A:A,$A633,작성용!AA:AA,"평가철회")</f>
        <v>0</v>
      </c>
    </row>
    <row r="634" spans="1:7" ht="16.5" customHeight="1" x14ac:dyDescent="0.3">
      <c r="A634" s="170" t="s">
        <v>1448</v>
      </c>
      <c r="B634" s="165" t="s">
        <v>1449</v>
      </c>
      <c r="C634" s="165" t="str">
        <f>IFERROR(VLOOKUP($A634,작성용!A:AL,14,0),"-")</f>
        <v>-</v>
      </c>
      <c r="D634" s="169" t="s">
        <v>6307</v>
      </c>
      <c r="E634" s="167" t="str">
        <f>IFERROR(VLOOKUP(A634,작성용!A:AL,34,0),"-")</f>
        <v>-</v>
      </c>
      <c r="F634" s="168" t="s">
        <v>6331</v>
      </c>
      <c r="G634" s="179">
        <f>COUNTIF(작성용!A:B,$A634)-COUNTIFS(작성용!A:A,$A634,작성용!AA:AA,"평가철회")</f>
        <v>0</v>
      </c>
    </row>
    <row r="635" spans="1:7" ht="16.5" customHeight="1" x14ac:dyDescent="0.3">
      <c r="A635" s="170" t="s">
        <v>1450</v>
      </c>
      <c r="B635" s="165" t="s">
        <v>6420</v>
      </c>
      <c r="C635" s="165" t="str">
        <f>IFERROR(VLOOKUP($A635,작성용!A:AL,14,0),"-")</f>
        <v>-</v>
      </c>
      <c r="D635" s="169" t="s">
        <v>6351</v>
      </c>
      <c r="E635" s="167" t="str">
        <f>IFERROR(VLOOKUP(A635,작성용!A:AL,34,0),"-")</f>
        <v>-</v>
      </c>
      <c r="F635" s="168" t="s">
        <v>6335</v>
      </c>
      <c r="G635" s="179">
        <f>COUNTIF(작성용!A:B,$A635)-COUNTIFS(작성용!A:A,$A635,작성용!AA:AA,"평가철회")</f>
        <v>0</v>
      </c>
    </row>
    <row r="636" spans="1:7" ht="16.5" customHeight="1" x14ac:dyDescent="0.3">
      <c r="A636" s="170" t="s">
        <v>1451</v>
      </c>
      <c r="B636" s="165" t="s">
        <v>1452</v>
      </c>
      <c r="C636" s="165" t="str">
        <f>IFERROR(VLOOKUP($A636,작성용!A:AL,14,0),"-")</f>
        <v>-</v>
      </c>
      <c r="D636" s="169" t="s">
        <v>6312</v>
      </c>
      <c r="E636" s="167" t="str">
        <f>IFERROR(VLOOKUP(A636,작성용!A:AL,34,0),"-")</f>
        <v>-</v>
      </c>
      <c r="F636" s="168" t="s">
        <v>6378</v>
      </c>
      <c r="G636" s="179">
        <f>COUNTIF(작성용!A:B,$A636)-COUNTIFS(작성용!A:A,$A636,작성용!AA:AA,"평가철회")</f>
        <v>0</v>
      </c>
    </row>
    <row r="637" spans="1:7" ht="16.5" customHeight="1" x14ac:dyDescent="0.3">
      <c r="A637" s="170" t="s">
        <v>1453</v>
      </c>
      <c r="B637" s="165" t="s">
        <v>1454</v>
      </c>
      <c r="C637" s="165" t="str">
        <f>IFERROR(VLOOKUP($A637,작성용!A:AL,14,0),"-")</f>
        <v>-</v>
      </c>
      <c r="D637" s="169" t="s">
        <v>273</v>
      </c>
      <c r="E637" s="167" t="str">
        <f>IFERROR(VLOOKUP(A637,작성용!A:AL,34,0),"-")</f>
        <v>-</v>
      </c>
      <c r="F637" s="168" t="s">
        <v>2</v>
      </c>
      <c r="G637" s="179">
        <f>COUNTIF(작성용!A:B,$A637)-COUNTIFS(작성용!A:A,$A637,작성용!AA:AA,"평가철회")</f>
        <v>0</v>
      </c>
    </row>
    <row r="638" spans="1:7" ht="16.5" customHeight="1" x14ac:dyDescent="0.3">
      <c r="A638" s="170" t="s">
        <v>1455</v>
      </c>
      <c r="B638" s="165" t="s">
        <v>6421</v>
      </c>
      <c r="C638" s="165" t="str">
        <f>IFERROR(VLOOKUP($A638,작성용!A:AL,14,0),"-")</f>
        <v>-</v>
      </c>
      <c r="D638" s="169" t="s">
        <v>6310</v>
      </c>
      <c r="E638" s="167" t="str">
        <f>IFERROR(VLOOKUP(A638,작성용!A:AL,34,0),"-")</f>
        <v>-</v>
      </c>
      <c r="F638" s="168" t="s">
        <v>2</v>
      </c>
      <c r="G638" s="179">
        <f>COUNTIF(작성용!A:B,$A638)-COUNTIFS(작성용!A:A,$A638,작성용!AA:AA,"평가철회")</f>
        <v>0</v>
      </c>
    </row>
    <row r="639" spans="1:7" ht="16.5" customHeight="1" x14ac:dyDescent="0.3">
      <c r="A639" s="170" t="s">
        <v>1456</v>
      </c>
      <c r="B639" s="165" t="s">
        <v>1457</v>
      </c>
      <c r="C639" s="165" t="str">
        <f>IFERROR(VLOOKUP($A639,작성용!A:AL,14,0),"-")</f>
        <v>-</v>
      </c>
      <c r="D639" s="169" t="s">
        <v>244</v>
      </c>
      <c r="E639" s="167" t="str">
        <f>IFERROR(VLOOKUP(A639,작성용!A:AL,34,0),"-")</f>
        <v>-</v>
      </c>
      <c r="F639" s="168" t="s">
        <v>6337</v>
      </c>
      <c r="G639" s="179">
        <f>COUNTIF(작성용!A:B,$A639)-COUNTIFS(작성용!A:A,$A639,작성용!AA:AA,"평가철회")</f>
        <v>0</v>
      </c>
    </row>
    <row r="640" spans="1:7" ht="16.5" customHeight="1" x14ac:dyDescent="0.3">
      <c r="A640" s="170" t="s">
        <v>1458</v>
      </c>
      <c r="B640" s="165" t="s">
        <v>1459</v>
      </c>
      <c r="C640" s="165" t="str">
        <f>IFERROR(VLOOKUP($A640,작성용!A:AL,14,0),"-")</f>
        <v>-</v>
      </c>
      <c r="D640" s="169" t="s">
        <v>436</v>
      </c>
      <c r="E640" s="167" t="str">
        <f>IFERROR(VLOOKUP(A640,작성용!A:AL,34,0),"-")</f>
        <v>-</v>
      </c>
      <c r="F640" s="168" t="s">
        <v>2</v>
      </c>
      <c r="G640" s="179">
        <f>COUNTIF(작성용!A:B,$A640)-COUNTIFS(작성용!A:A,$A640,작성용!AA:AA,"평가철회")</f>
        <v>0</v>
      </c>
    </row>
    <row r="641" spans="1:7" ht="16.5" customHeight="1" x14ac:dyDescent="0.3">
      <c r="A641" s="170" t="s">
        <v>1460</v>
      </c>
      <c r="B641" s="165" t="s">
        <v>1461</v>
      </c>
      <c r="C641" s="165" t="str">
        <f>IFERROR(VLOOKUP($A641,작성용!A:AL,14,0),"-")</f>
        <v>-</v>
      </c>
      <c r="D641" s="169" t="s">
        <v>1462</v>
      </c>
      <c r="E641" s="167" t="str">
        <f>IFERROR(VLOOKUP(A641,작성용!A:AL,34,0),"-")</f>
        <v>-</v>
      </c>
      <c r="F641" s="168" t="s">
        <v>2</v>
      </c>
      <c r="G641" s="179">
        <f>COUNTIF(작성용!A:B,$A641)-COUNTIFS(작성용!A:A,$A641,작성용!AA:AA,"평가철회")</f>
        <v>0</v>
      </c>
    </row>
    <row r="642" spans="1:7" ht="16.5" customHeight="1" x14ac:dyDescent="0.3">
      <c r="A642" s="170" t="s">
        <v>1463</v>
      </c>
      <c r="B642" s="165" t="s">
        <v>382</v>
      </c>
      <c r="C642" s="165" t="str">
        <f>IFERROR(VLOOKUP($A642,작성용!A:AL,14,0),"-")</f>
        <v>-</v>
      </c>
      <c r="D642" s="169" t="s">
        <v>6345</v>
      </c>
      <c r="E642" s="167" t="str">
        <f>IFERROR(VLOOKUP(A642,작성용!A:AL,34,0),"-")</f>
        <v>-</v>
      </c>
      <c r="F642" s="168" t="s">
        <v>6336</v>
      </c>
      <c r="G642" s="179">
        <f>COUNTIF(작성용!A:B,$A642)-COUNTIFS(작성용!A:A,$A642,작성용!AA:AA,"평가철회")</f>
        <v>0</v>
      </c>
    </row>
    <row r="643" spans="1:7" ht="16.5" customHeight="1" x14ac:dyDescent="0.3">
      <c r="A643" s="170" t="s">
        <v>1464</v>
      </c>
      <c r="B643" s="165" t="s">
        <v>1465</v>
      </c>
      <c r="C643" s="165" t="str">
        <f>IFERROR(VLOOKUP($A643,작성용!A:AL,14,0),"-")</f>
        <v>-</v>
      </c>
      <c r="D643" s="169" t="s">
        <v>74</v>
      </c>
      <c r="E643" s="167" t="str">
        <f>IFERROR(VLOOKUP(A643,작성용!A:AL,34,0),"-")</f>
        <v>-</v>
      </c>
      <c r="F643" s="168" t="s">
        <v>2</v>
      </c>
      <c r="G643" s="179">
        <f>COUNTIF(작성용!A:B,$A643)-COUNTIFS(작성용!A:A,$A643,작성용!AA:AA,"평가철회")</f>
        <v>0</v>
      </c>
    </row>
    <row r="644" spans="1:7" ht="16.5" customHeight="1" x14ac:dyDescent="0.3">
      <c r="A644" s="170" t="s">
        <v>1466</v>
      </c>
      <c r="B644" s="165" t="s">
        <v>1467</v>
      </c>
      <c r="C644" s="165" t="str">
        <f>IFERROR(VLOOKUP($A644,작성용!A:AL,14,0),"-")</f>
        <v>-</v>
      </c>
      <c r="D644" s="169" t="s">
        <v>635</v>
      </c>
      <c r="E644" s="167" t="str">
        <f>IFERROR(VLOOKUP(A644,작성용!A:AL,34,0),"-")</f>
        <v>-</v>
      </c>
      <c r="F644" s="168" t="s">
        <v>2</v>
      </c>
      <c r="G644" s="179">
        <f>COUNTIF(작성용!A:B,$A644)-COUNTIFS(작성용!A:A,$A644,작성용!AA:AA,"평가철회")</f>
        <v>0</v>
      </c>
    </row>
    <row r="645" spans="1:7" ht="16.5" customHeight="1" x14ac:dyDescent="0.3">
      <c r="A645" s="170" t="s">
        <v>1468</v>
      </c>
      <c r="B645" s="165" t="s">
        <v>1469</v>
      </c>
      <c r="C645" s="165" t="str">
        <f>IFERROR(VLOOKUP($A645,작성용!A:AL,14,0),"-")</f>
        <v>-</v>
      </c>
      <c r="D645" s="169" t="s">
        <v>463</v>
      </c>
      <c r="E645" s="167" t="str">
        <f>IFERROR(VLOOKUP(A645,작성용!A:AL,34,0),"-")</f>
        <v>-</v>
      </c>
      <c r="F645" s="168" t="s">
        <v>2</v>
      </c>
      <c r="G645" s="179">
        <f>COUNTIF(작성용!A:B,$A645)-COUNTIFS(작성용!A:A,$A645,작성용!AA:AA,"평가철회")</f>
        <v>0</v>
      </c>
    </row>
    <row r="646" spans="1:7" ht="16.5" customHeight="1" x14ac:dyDescent="0.3">
      <c r="A646" s="170" t="s">
        <v>1470</v>
      </c>
      <c r="B646" s="165" t="s">
        <v>1471</v>
      </c>
      <c r="C646" s="165" t="str">
        <f>IFERROR(VLOOKUP($A646,작성용!A:AL,14,0),"-")</f>
        <v>-</v>
      </c>
      <c r="D646" s="169" t="s">
        <v>6355</v>
      </c>
      <c r="E646" s="167" t="str">
        <f>IFERROR(VLOOKUP(A646,작성용!A:AL,34,0),"-")</f>
        <v>-</v>
      </c>
      <c r="F646" s="168" t="s">
        <v>6304</v>
      </c>
      <c r="G646" s="179">
        <f>COUNTIF(작성용!A:B,$A646)-COUNTIFS(작성용!A:A,$A646,작성용!AA:AA,"평가철회")</f>
        <v>0</v>
      </c>
    </row>
    <row r="647" spans="1:7" ht="16.5" customHeight="1" x14ac:dyDescent="0.3">
      <c r="A647" s="170" t="s">
        <v>1472</v>
      </c>
      <c r="B647" s="165" t="s">
        <v>1473</v>
      </c>
      <c r="C647" s="165" t="str">
        <f>IFERROR(VLOOKUP($A647,작성용!A:AL,14,0),"-")</f>
        <v>-</v>
      </c>
      <c r="D647" s="169" t="s">
        <v>6422</v>
      </c>
      <c r="E647" s="167" t="str">
        <f>IFERROR(VLOOKUP(A647,작성용!A:AL,34,0),"-")</f>
        <v>-</v>
      </c>
      <c r="F647" s="168" t="s">
        <v>6378</v>
      </c>
      <c r="G647" s="179">
        <f>COUNTIF(작성용!A:B,$A647)-COUNTIFS(작성용!A:A,$A647,작성용!AA:AA,"평가철회")</f>
        <v>0</v>
      </c>
    </row>
    <row r="648" spans="1:7" ht="16.5" customHeight="1" x14ac:dyDescent="0.3">
      <c r="A648" s="170" t="s">
        <v>1474</v>
      </c>
      <c r="B648" s="165" t="s">
        <v>1475</v>
      </c>
      <c r="C648" s="165" t="str">
        <f>IFERROR(VLOOKUP($A648,작성용!A:AL,14,0),"-")</f>
        <v>-</v>
      </c>
      <c r="D648" s="169" t="s">
        <v>72</v>
      </c>
      <c r="E648" s="167" t="str">
        <f>IFERROR(VLOOKUP(A648,작성용!A:AL,34,0),"-")</f>
        <v>-</v>
      </c>
      <c r="F648" s="168" t="s">
        <v>2</v>
      </c>
      <c r="G648" s="179">
        <f>COUNTIF(작성용!A:B,$A648)-COUNTIFS(작성용!A:A,$A648,작성용!AA:AA,"평가철회")</f>
        <v>0</v>
      </c>
    </row>
    <row r="649" spans="1:7" ht="16.5" customHeight="1" x14ac:dyDescent="0.3">
      <c r="A649" s="170" t="s">
        <v>1476</v>
      </c>
      <c r="B649" s="165" t="s">
        <v>6423</v>
      </c>
      <c r="C649" s="165" t="str">
        <f>IFERROR(VLOOKUP($A649,작성용!A:AL,14,0),"-")</f>
        <v>-</v>
      </c>
      <c r="D649" s="169" t="s">
        <v>6355</v>
      </c>
      <c r="E649" s="167" t="str">
        <f>IFERROR(VLOOKUP(A649,작성용!A:AL,34,0),"-")</f>
        <v>-</v>
      </c>
      <c r="F649" s="168" t="s">
        <v>6304</v>
      </c>
      <c r="G649" s="179">
        <f>COUNTIF(작성용!A:B,$A649)-COUNTIFS(작성용!A:A,$A649,작성용!AA:AA,"평가철회")</f>
        <v>0</v>
      </c>
    </row>
    <row r="650" spans="1:7" ht="16.5" customHeight="1" x14ac:dyDescent="0.3">
      <c r="A650" s="170" t="s">
        <v>1477</v>
      </c>
      <c r="B650" s="165" t="s">
        <v>6424</v>
      </c>
      <c r="C650" s="165" t="str">
        <f>IFERROR(VLOOKUP($A650,작성용!A:AL,14,0),"-")</f>
        <v>-</v>
      </c>
      <c r="D650" s="169" t="s">
        <v>6375</v>
      </c>
      <c r="E650" s="167" t="str">
        <f>IFERROR(VLOOKUP(A650,작성용!A:AL,34,0),"-")</f>
        <v>-</v>
      </c>
      <c r="F650" s="168" t="s">
        <v>6304</v>
      </c>
      <c r="G650" s="179">
        <f>COUNTIF(작성용!A:B,$A650)-COUNTIFS(작성용!A:A,$A650,작성용!AA:AA,"평가철회")</f>
        <v>0</v>
      </c>
    </row>
    <row r="651" spans="1:7" ht="16.5" customHeight="1" x14ac:dyDescent="0.3">
      <c r="A651" s="170" t="s">
        <v>1478</v>
      </c>
      <c r="B651" s="165" t="s">
        <v>6425</v>
      </c>
      <c r="C651" s="165" t="str">
        <f>IFERROR(VLOOKUP($A651,작성용!A:AL,14,0),"-")</f>
        <v>-</v>
      </c>
      <c r="D651" s="169" t="s">
        <v>6426</v>
      </c>
      <c r="E651" s="167" t="str">
        <f>IFERROR(VLOOKUP(A651,작성용!A:AL,34,0),"-")</f>
        <v>-</v>
      </c>
      <c r="F651" s="168" t="s">
        <v>6336</v>
      </c>
      <c r="G651" s="179">
        <f>COUNTIF(작성용!A:B,$A651)-COUNTIFS(작성용!A:A,$A651,작성용!AA:AA,"평가철회")</f>
        <v>0</v>
      </c>
    </row>
    <row r="652" spans="1:7" ht="16.5" customHeight="1" x14ac:dyDescent="0.3">
      <c r="A652" s="170" t="s">
        <v>1479</v>
      </c>
      <c r="B652" s="165" t="s">
        <v>1480</v>
      </c>
      <c r="C652" s="165" t="str">
        <f>IFERROR(VLOOKUP($A652,작성용!A:AL,14,0),"-")</f>
        <v>-</v>
      </c>
      <c r="D652" s="169" t="s">
        <v>273</v>
      </c>
      <c r="E652" s="167" t="str">
        <f>IFERROR(VLOOKUP(A652,작성용!A:AL,34,0),"-")</f>
        <v>-</v>
      </c>
      <c r="F652" s="168" t="s">
        <v>2</v>
      </c>
      <c r="G652" s="179">
        <f>COUNTIF(작성용!A:B,$A652)-COUNTIFS(작성용!A:A,$A652,작성용!AA:AA,"평가철회")</f>
        <v>0</v>
      </c>
    </row>
    <row r="653" spans="1:7" ht="16.5" customHeight="1" x14ac:dyDescent="0.3">
      <c r="A653" s="170" t="s">
        <v>1481</v>
      </c>
      <c r="B653" s="165" t="s">
        <v>1482</v>
      </c>
      <c r="C653" s="165" t="str">
        <f>IFERROR(VLOOKUP($A653,작성용!A:AL,14,0),"-")</f>
        <v>-</v>
      </c>
      <c r="D653" s="169" t="s">
        <v>74</v>
      </c>
      <c r="E653" s="167" t="str">
        <f>IFERROR(VLOOKUP(A653,작성용!A:AL,34,0),"-")</f>
        <v>-</v>
      </c>
      <c r="F653" s="168" t="s">
        <v>2</v>
      </c>
      <c r="G653" s="179">
        <f>COUNTIF(작성용!A:B,$A653)-COUNTIFS(작성용!A:A,$A653,작성용!AA:AA,"평가철회")</f>
        <v>0</v>
      </c>
    </row>
    <row r="654" spans="1:7" ht="16.5" customHeight="1" x14ac:dyDescent="0.3">
      <c r="A654" s="170" t="s">
        <v>1483</v>
      </c>
      <c r="B654" s="165" t="s">
        <v>1484</v>
      </c>
      <c r="C654" s="165" t="str">
        <f>IFERROR(VLOOKUP($A654,작성용!A:AL,14,0),"-")</f>
        <v>-</v>
      </c>
      <c r="D654" s="169" t="s">
        <v>498</v>
      </c>
      <c r="E654" s="167" t="str">
        <f>IFERROR(VLOOKUP(A654,작성용!A:AL,34,0),"-")</f>
        <v>-</v>
      </c>
      <c r="F654" s="168" t="s">
        <v>2</v>
      </c>
      <c r="G654" s="179">
        <f>COUNTIF(작성용!A:B,$A654)-COUNTIFS(작성용!A:A,$A654,작성용!AA:AA,"평가철회")</f>
        <v>0</v>
      </c>
    </row>
    <row r="655" spans="1:7" ht="16.5" customHeight="1" x14ac:dyDescent="0.3">
      <c r="A655" s="170" t="s">
        <v>1485</v>
      </c>
      <c r="B655" s="165" t="s">
        <v>1486</v>
      </c>
      <c r="C655" s="165" t="str">
        <f>IFERROR(VLOOKUP($A655,작성용!A:AL,14,0),"-")</f>
        <v>-</v>
      </c>
      <c r="D655" s="169" t="s">
        <v>6427</v>
      </c>
      <c r="E655" s="167" t="str">
        <f>IFERROR(VLOOKUP(A655,작성용!A:AL,34,0),"-")</f>
        <v>-</v>
      </c>
      <c r="F655" s="168" t="s">
        <v>2</v>
      </c>
      <c r="G655" s="179">
        <f>COUNTIF(작성용!A:B,$A655)-COUNTIFS(작성용!A:A,$A655,작성용!AA:AA,"평가철회")</f>
        <v>0</v>
      </c>
    </row>
    <row r="656" spans="1:7" ht="16.5" customHeight="1" x14ac:dyDescent="0.3">
      <c r="A656" s="170" t="s">
        <v>1487</v>
      </c>
      <c r="B656" s="165" t="s">
        <v>1488</v>
      </c>
      <c r="C656" s="165" t="str">
        <f>IFERROR(VLOOKUP($A656,작성용!A:AL,14,0),"-")</f>
        <v>-</v>
      </c>
      <c r="D656" s="169" t="s">
        <v>74</v>
      </c>
      <c r="E656" s="167" t="str">
        <f>IFERROR(VLOOKUP(A656,작성용!A:AL,34,0),"-")</f>
        <v>-</v>
      </c>
      <c r="F656" s="168" t="s">
        <v>2</v>
      </c>
      <c r="G656" s="179">
        <f>COUNTIF(작성용!A:B,$A656)-COUNTIFS(작성용!A:A,$A656,작성용!AA:AA,"평가철회")</f>
        <v>0</v>
      </c>
    </row>
    <row r="657" spans="1:7" ht="16.5" customHeight="1" x14ac:dyDescent="0.3">
      <c r="A657" s="170" t="s">
        <v>1489</v>
      </c>
      <c r="B657" s="165" t="s">
        <v>457</v>
      </c>
      <c r="C657" s="165" t="str">
        <f>IFERROR(VLOOKUP($A657,작성용!A:AL,14,0),"-")</f>
        <v>-</v>
      </c>
      <c r="D657" s="169" t="s">
        <v>244</v>
      </c>
      <c r="E657" s="167" t="str">
        <f>IFERROR(VLOOKUP(A657,작성용!A:AL,34,0),"-")</f>
        <v>-</v>
      </c>
      <c r="F657" s="168" t="s">
        <v>2</v>
      </c>
      <c r="G657" s="179">
        <f>COUNTIF(작성용!A:B,$A657)-COUNTIFS(작성용!A:A,$A657,작성용!AA:AA,"평가철회")</f>
        <v>0</v>
      </c>
    </row>
    <row r="658" spans="1:7" ht="16.5" customHeight="1" x14ac:dyDescent="0.3">
      <c r="A658" s="170" t="s">
        <v>1490</v>
      </c>
      <c r="B658" s="165" t="s">
        <v>1491</v>
      </c>
      <c r="C658" s="165" t="str">
        <f>IFERROR(VLOOKUP($A658,작성용!A:AL,14,0),"-")</f>
        <v>-</v>
      </c>
      <c r="D658" s="169" t="s">
        <v>72</v>
      </c>
      <c r="E658" s="167" t="str">
        <f>IFERROR(VLOOKUP(A658,작성용!A:AL,34,0),"-")</f>
        <v>-</v>
      </c>
      <c r="F658" s="168" t="s">
        <v>2</v>
      </c>
      <c r="G658" s="179">
        <f>COUNTIF(작성용!A:B,$A658)-COUNTIFS(작성용!A:A,$A658,작성용!AA:AA,"평가철회")</f>
        <v>0</v>
      </c>
    </row>
    <row r="659" spans="1:7" ht="16.5" customHeight="1" x14ac:dyDescent="0.3">
      <c r="A659" s="170" t="s">
        <v>1492</v>
      </c>
      <c r="B659" s="165" t="s">
        <v>1493</v>
      </c>
      <c r="C659" s="165" t="str">
        <f>IFERROR(VLOOKUP($A659,작성용!A:AL,14,0),"-")</f>
        <v>-</v>
      </c>
      <c r="D659" s="169" t="s">
        <v>74</v>
      </c>
      <c r="E659" s="167" t="str">
        <f>IFERROR(VLOOKUP(A659,작성용!A:AL,34,0),"-")</f>
        <v>-</v>
      </c>
      <c r="F659" s="168" t="s">
        <v>2</v>
      </c>
      <c r="G659" s="179">
        <f>COUNTIF(작성용!A:B,$A659)-COUNTIFS(작성용!A:A,$A659,작성용!AA:AA,"평가철회")</f>
        <v>0</v>
      </c>
    </row>
    <row r="660" spans="1:7" ht="16.5" customHeight="1" x14ac:dyDescent="0.3">
      <c r="A660" s="170" t="s">
        <v>1494</v>
      </c>
      <c r="B660" s="165" t="s">
        <v>1495</v>
      </c>
      <c r="C660" s="165" t="str">
        <f>IFERROR(VLOOKUP($A660,작성용!A:AL,14,0),"-")</f>
        <v>-</v>
      </c>
      <c r="D660" s="169" t="s">
        <v>656</v>
      </c>
      <c r="E660" s="167" t="str">
        <f>IFERROR(VLOOKUP(A660,작성용!A:AL,34,0),"-")</f>
        <v>-</v>
      </c>
      <c r="F660" s="168" t="s">
        <v>6304</v>
      </c>
      <c r="G660" s="179">
        <f>COUNTIF(작성용!A:B,$A660)-COUNTIFS(작성용!A:A,$A660,작성용!AA:AA,"평가철회")</f>
        <v>0</v>
      </c>
    </row>
    <row r="661" spans="1:7" ht="16.5" customHeight="1" x14ac:dyDescent="0.3">
      <c r="A661" s="170" t="s">
        <v>1496</v>
      </c>
      <c r="B661" s="165" t="s">
        <v>1497</v>
      </c>
      <c r="C661" s="165" t="str">
        <f>IFERROR(VLOOKUP($A661,작성용!A:AL,14,0),"-")</f>
        <v>-</v>
      </c>
      <c r="D661" s="169" t="s">
        <v>463</v>
      </c>
      <c r="E661" s="167" t="str">
        <f>IFERROR(VLOOKUP(A661,작성용!A:AL,34,0),"-")</f>
        <v>-</v>
      </c>
      <c r="F661" s="168" t="s">
        <v>6283</v>
      </c>
      <c r="G661" s="179">
        <f>COUNTIF(작성용!A:B,$A661)-COUNTIFS(작성용!A:A,$A661,작성용!AA:AA,"평가철회")</f>
        <v>0</v>
      </c>
    </row>
    <row r="662" spans="1:7" ht="16.5" customHeight="1" x14ac:dyDescent="0.3">
      <c r="A662" s="170" t="s">
        <v>1498</v>
      </c>
      <c r="B662" s="165" t="s">
        <v>1499</v>
      </c>
      <c r="C662" s="165" t="str">
        <f>IFERROR(VLOOKUP($A662,작성용!A:AL,14,0),"-")</f>
        <v>-</v>
      </c>
      <c r="D662" s="169" t="s">
        <v>6280</v>
      </c>
      <c r="E662" s="167" t="str">
        <f>IFERROR(VLOOKUP(A662,작성용!A:AL,34,0),"-")</f>
        <v>-</v>
      </c>
      <c r="F662" s="168" t="s">
        <v>6283</v>
      </c>
      <c r="G662" s="179">
        <f>COUNTIF(작성용!A:B,$A662)-COUNTIFS(작성용!A:A,$A662,작성용!AA:AA,"평가철회")</f>
        <v>0</v>
      </c>
    </row>
    <row r="663" spans="1:7" ht="16.5" customHeight="1" x14ac:dyDescent="0.3">
      <c r="A663" s="170" t="s">
        <v>1500</v>
      </c>
      <c r="B663" s="165" t="s">
        <v>6428</v>
      </c>
      <c r="C663" s="165" t="str">
        <f>IFERROR(VLOOKUP($A663,작성용!A:AL,14,0),"-")</f>
        <v>-</v>
      </c>
      <c r="D663" s="169" t="s">
        <v>6429</v>
      </c>
      <c r="E663" s="167" t="str">
        <f>IFERROR(VLOOKUP(A663,작성용!A:AL,34,0),"-")</f>
        <v>-</v>
      </c>
      <c r="F663" s="168" t="s">
        <v>6335</v>
      </c>
      <c r="G663" s="179">
        <f>COUNTIF(작성용!A:B,$A663)-COUNTIFS(작성용!A:A,$A663,작성용!AA:AA,"평가철회")</f>
        <v>0</v>
      </c>
    </row>
    <row r="664" spans="1:7" ht="16.5" customHeight="1" x14ac:dyDescent="0.3">
      <c r="A664" s="170" t="s">
        <v>1501</v>
      </c>
      <c r="B664" s="165" t="s">
        <v>487</v>
      </c>
      <c r="C664" s="165" t="str">
        <f>IFERROR(VLOOKUP($A664,작성용!A:AL,14,0),"-")</f>
        <v>-</v>
      </c>
      <c r="D664" s="169" t="s">
        <v>1502</v>
      </c>
      <c r="E664" s="167" t="str">
        <f>IFERROR(VLOOKUP(A664,작성용!A:AL,34,0),"-")</f>
        <v>-</v>
      </c>
      <c r="F664" s="168" t="s">
        <v>2</v>
      </c>
      <c r="G664" s="179">
        <f>COUNTIF(작성용!A:B,$A664)-COUNTIFS(작성용!A:A,$A664,작성용!AA:AA,"평가철회")</f>
        <v>0</v>
      </c>
    </row>
    <row r="665" spans="1:7" ht="16.5" customHeight="1" x14ac:dyDescent="0.3">
      <c r="A665" s="170" t="s">
        <v>1503</v>
      </c>
      <c r="B665" s="165" t="s">
        <v>1504</v>
      </c>
      <c r="C665" s="165" t="str">
        <f>IFERROR(VLOOKUP($A665,작성용!A:AL,14,0),"-")</f>
        <v>-</v>
      </c>
      <c r="D665" s="169" t="s">
        <v>6277</v>
      </c>
      <c r="E665" s="167" t="str">
        <f>IFERROR(VLOOKUP(A665,작성용!A:AL,34,0),"-")</f>
        <v>-</v>
      </c>
      <c r="F665" s="168" t="s">
        <v>6378</v>
      </c>
      <c r="G665" s="179">
        <f>COUNTIF(작성용!A:B,$A665)-COUNTIFS(작성용!A:A,$A665,작성용!AA:AA,"평가철회")</f>
        <v>0</v>
      </c>
    </row>
    <row r="666" spans="1:7" ht="16.5" customHeight="1" x14ac:dyDescent="0.3">
      <c r="A666" s="170" t="s">
        <v>1505</v>
      </c>
      <c r="B666" s="165" t="s">
        <v>1506</v>
      </c>
      <c r="C666" s="165" t="str">
        <f>IFERROR(VLOOKUP($A666,작성용!A:AL,14,0),"-")</f>
        <v>-</v>
      </c>
      <c r="D666" s="169" t="s">
        <v>13</v>
      </c>
      <c r="E666" s="167" t="str">
        <f>IFERROR(VLOOKUP(A666,작성용!A:AL,34,0),"-")</f>
        <v>-</v>
      </c>
      <c r="F666" s="168" t="s">
        <v>2</v>
      </c>
      <c r="G666" s="179">
        <f>COUNTIF(작성용!A:B,$A666)-COUNTIFS(작성용!A:A,$A666,작성용!AA:AA,"평가철회")</f>
        <v>0</v>
      </c>
    </row>
    <row r="667" spans="1:7" ht="16.5" customHeight="1" x14ac:dyDescent="0.3">
      <c r="A667" s="170" t="s">
        <v>1507</v>
      </c>
      <c r="B667" s="165" t="s">
        <v>1508</v>
      </c>
      <c r="C667" s="165" t="str">
        <f>IFERROR(VLOOKUP($A667,작성용!A:AL,14,0),"-")</f>
        <v>-</v>
      </c>
      <c r="D667" s="169" t="s">
        <v>74</v>
      </c>
      <c r="E667" s="167" t="str">
        <f>IFERROR(VLOOKUP(A667,작성용!A:AL,34,0),"-")</f>
        <v>-</v>
      </c>
      <c r="F667" s="168" t="s">
        <v>2</v>
      </c>
      <c r="G667" s="179">
        <f>COUNTIF(작성용!A:B,$A667)-COUNTIFS(작성용!A:A,$A667,작성용!AA:AA,"평가철회")</f>
        <v>0</v>
      </c>
    </row>
    <row r="668" spans="1:7" ht="16.5" customHeight="1" x14ac:dyDescent="0.3">
      <c r="A668" s="170" t="s">
        <v>1509</v>
      </c>
      <c r="B668" s="165" t="s">
        <v>6430</v>
      </c>
      <c r="C668" s="165" t="str">
        <f>IFERROR(VLOOKUP($A668,작성용!A:AL,14,0),"-")</f>
        <v>-</v>
      </c>
      <c r="D668" s="169" t="s">
        <v>6431</v>
      </c>
      <c r="E668" s="167" t="str">
        <f>IFERROR(VLOOKUP(A668,작성용!A:AL,34,0),"-")</f>
        <v>-</v>
      </c>
      <c r="F668" s="168" t="s">
        <v>6380</v>
      </c>
      <c r="G668" s="179">
        <f>COUNTIF(작성용!A:B,$A668)-COUNTIFS(작성용!A:A,$A668,작성용!AA:AA,"평가철회")</f>
        <v>0</v>
      </c>
    </row>
    <row r="669" spans="1:7" ht="16.5" customHeight="1" x14ac:dyDescent="0.3">
      <c r="A669" s="170" t="s">
        <v>1510</v>
      </c>
      <c r="B669" s="165" t="s">
        <v>502</v>
      </c>
      <c r="C669" s="165" t="str">
        <f>IFERROR(VLOOKUP($A669,작성용!A:AL,14,0),"-")</f>
        <v>-</v>
      </c>
      <c r="D669" s="169" t="s">
        <v>273</v>
      </c>
      <c r="E669" s="167" t="str">
        <f>IFERROR(VLOOKUP(A669,작성용!A:AL,34,0),"-")</f>
        <v>-</v>
      </c>
      <c r="F669" s="168" t="s">
        <v>2</v>
      </c>
      <c r="G669" s="179">
        <f>COUNTIF(작성용!A:B,$A669)-COUNTIFS(작성용!A:A,$A669,작성용!AA:AA,"평가철회")</f>
        <v>0</v>
      </c>
    </row>
    <row r="670" spans="1:7" ht="16.5" customHeight="1" x14ac:dyDescent="0.3">
      <c r="A670" s="170" t="s">
        <v>1511</v>
      </c>
      <c r="B670" s="165" t="s">
        <v>1512</v>
      </c>
      <c r="C670" s="165" t="str">
        <f>IFERROR(VLOOKUP($A670,작성용!A:AL,14,0),"-")</f>
        <v>-</v>
      </c>
      <c r="D670" s="169" t="s">
        <v>495</v>
      </c>
      <c r="E670" s="167" t="str">
        <f>IFERROR(VLOOKUP(A670,작성용!A:AL,34,0),"-")</f>
        <v>-</v>
      </c>
      <c r="F670" s="168" t="s">
        <v>6304</v>
      </c>
      <c r="G670" s="179">
        <f>COUNTIF(작성용!A:B,$A670)-COUNTIFS(작성용!A:A,$A670,작성용!AA:AA,"평가철회")</f>
        <v>0</v>
      </c>
    </row>
    <row r="671" spans="1:7" ht="16.5" customHeight="1" x14ac:dyDescent="0.3">
      <c r="A671" s="170" t="s">
        <v>1513</v>
      </c>
      <c r="B671" s="165" t="s">
        <v>1514</v>
      </c>
      <c r="C671" s="165" t="str">
        <f>IFERROR(VLOOKUP($A671,작성용!A:AL,14,0),"-")</f>
        <v>-</v>
      </c>
      <c r="D671" s="169" t="s">
        <v>6319</v>
      </c>
      <c r="E671" s="167" t="str">
        <f>IFERROR(VLOOKUP(A671,작성용!A:AL,34,0),"-")</f>
        <v>-</v>
      </c>
      <c r="F671" s="168" t="s">
        <v>6304</v>
      </c>
      <c r="G671" s="179">
        <f>COUNTIF(작성용!A:B,$A671)-COUNTIFS(작성용!A:A,$A671,작성용!AA:AA,"평가철회")</f>
        <v>0</v>
      </c>
    </row>
    <row r="672" spans="1:7" ht="16.5" customHeight="1" x14ac:dyDescent="0.3">
      <c r="A672" s="170" t="s">
        <v>1515</v>
      </c>
      <c r="B672" s="165" t="s">
        <v>1516</v>
      </c>
      <c r="C672" s="165" t="str">
        <f>IFERROR(VLOOKUP($A672,작성용!A:AL,14,0),"-")</f>
        <v>-</v>
      </c>
      <c r="D672" s="169" t="s">
        <v>6419</v>
      </c>
      <c r="E672" s="167" t="str">
        <f>IFERROR(VLOOKUP(A672,작성용!A:AL,34,0),"-")</f>
        <v>-</v>
      </c>
      <c r="F672" s="168" t="s">
        <v>6304</v>
      </c>
      <c r="G672" s="179">
        <f>COUNTIF(작성용!A:B,$A672)-COUNTIFS(작성용!A:A,$A672,작성용!AA:AA,"평가철회")</f>
        <v>0</v>
      </c>
    </row>
    <row r="673" spans="1:7" ht="16.5" customHeight="1" x14ac:dyDescent="0.3">
      <c r="A673" s="170" t="s">
        <v>1517</v>
      </c>
      <c r="B673" s="165" t="s">
        <v>1518</v>
      </c>
      <c r="C673" s="165" t="str">
        <f>IFERROR(VLOOKUP($A673,작성용!A:AL,14,0),"-")</f>
        <v>-</v>
      </c>
      <c r="D673" s="169" t="s">
        <v>6324</v>
      </c>
      <c r="E673" s="167" t="str">
        <f>IFERROR(VLOOKUP(A673,작성용!A:AL,34,0),"-")</f>
        <v>-</v>
      </c>
      <c r="F673" s="168" t="s">
        <v>6337</v>
      </c>
      <c r="G673" s="179">
        <f>COUNTIF(작성용!A:B,$A673)-COUNTIFS(작성용!A:A,$A673,작성용!AA:AA,"평가철회")</f>
        <v>0</v>
      </c>
    </row>
    <row r="674" spans="1:7" ht="16.5" customHeight="1" x14ac:dyDescent="0.3">
      <c r="A674" s="170" t="s">
        <v>1519</v>
      </c>
      <c r="B674" s="165" t="s">
        <v>1520</v>
      </c>
      <c r="C674" s="165" t="str">
        <f>IFERROR(VLOOKUP($A674,작성용!A:AL,14,0),"-")</f>
        <v>-</v>
      </c>
      <c r="D674" s="169" t="s">
        <v>6372</v>
      </c>
      <c r="E674" s="167" t="str">
        <f>IFERROR(VLOOKUP(A674,작성용!A:AL,34,0),"-")</f>
        <v>-</v>
      </c>
      <c r="F674" s="168" t="s">
        <v>6335</v>
      </c>
      <c r="G674" s="179">
        <f>COUNTIF(작성용!A:B,$A674)-COUNTIFS(작성용!A:A,$A674,작성용!AA:AA,"평가철회")</f>
        <v>0</v>
      </c>
    </row>
    <row r="675" spans="1:7" ht="16.5" customHeight="1" x14ac:dyDescent="0.3">
      <c r="A675" s="170" t="s">
        <v>1521</v>
      </c>
      <c r="B675" s="165" t="s">
        <v>6432</v>
      </c>
      <c r="C675" s="165" t="str">
        <f>IFERROR(VLOOKUP($A675,작성용!A:AL,14,0),"-")</f>
        <v>-</v>
      </c>
      <c r="D675" s="169" t="s">
        <v>6373</v>
      </c>
      <c r="E675" s="167" t="str">
        <f>IFERROR(VLOOKUP(A675,작성용!A:AL,34,0),"-")</f>
        <v>-</v>
      </c>
      <c r="F675" s="168" t="s">
        <v>6335</v>
      </c>
      <c r="G675" s="179">
        <f>COUNTIF(작성용!A:B,$A675)-COUNTIFS(작성용!A:A,$A675,작성용!AA:AA,"평가철회")</f>
        <v>0</v>
      </c>
    </row>
    <row r="676" spans="1:7" ht="16.5" customHeight="1" x14ac:dyDescent="0.3">
      <c r="A676" s="170" t="s">
        <v>1522</v>
      </c>
      <c r="B676" s="165" t="s">
        <v>1523</v>
      </c>
      <c r="C676" s="165" t="str">
        <f>IFERROR(VLOOKUP($A676,작성용!A:AL,14,0),"-")</f>
        <v>-</v>
      </c>
      <c r="D676" s="169" t="s">
        <v>74</v>
      </c>
      <c r="E676" s="167" t="str">
        <f>IFERROR(VLOOKUP(A676,작성용!A:AL,34,0),"-")</f>
        <v>-</v>
      </c>
      <c r="F676" s="168" t="s">
        <v>2</v>
      </c>
      <c r="G676" s="179">
        <f>COUNTIF(작성용!A:B,$A676)-COUNTIFS(작성용!A:A,$A676,작성용!AA:AA,"평가철회")</f>
        <v>0</v>
      </c>
    </row>
    <row r="677" spans="1:7" ht="16.5" customHeight="1" x14ac:dyDescent="0.3">
      <c r="A677" s="170" t="s">
        <v>1524</v>
      </c>
      <c r="B677" s="165" t="s">
        <v>1525</v>
      </c>
      <c r="C677" s="165" t="str">
        <f>IFERROR(VLOOKUP($A677,작성용!A:AL,14,0),"-")</f>
        <v>-</v>
      </c>
      <c r="D677" s="169" t="s">
        <v>1462</v>
      </c>
      <c r="E677" s="167" t="str">
        <f>IFERROR(VLOOKUP(A677,작성용!A:AL,34,0),"-")</f>
        <v>-</v>
      </c>
      <c r="F677" s="168" t="s">
        <v>2</v>
      </c>
      <c r="G677" s="179">
        <f>COUNTIF(작성용!A:B,$A677)-COUNTIFS(작성용!A:A,$A677,작성용!AA:AA,"평가철회")</f>
        <v>0</v>
      </c>
    </row>
    <row r="678" spans="1:7" ht="16.5" customHeight="1" x14ac:dyDescent="0.3">
      <c r="A678" s="170" t="s">
        <v>1526</v>
      </c>
      <c r="B678" s="165" t="s">
        <v>1527</v>
      </c>
      <c r="C678" s="165" t="str">
        <f>IFERROR(VLOOKUP($A678,작성용!A:AL,14,0),"-")</f>
        <v>-</v>
      </c>
      <c r="D678" s="169" t="s">
        <v>656</v>
      </c>
      <c r="E678" s="167" t="str">
        <f>IFERROR(VLOOKUP(A678,작성용!A:AL,34,0),"-")</f>
        <v>-</v>
      </c>
      <c r="F678" s="168" t="s">
        <v>6382</v>
      </c>
      <c r="G678" s="179">
        <f>COUNTIF(작성용!A:B,$A678)-COUNTIFS(작성용!A:A,$A678,작성용!AA:AA,"평가철회")</f>
        <v>0</v>
      </c>
    </row>
    <row r="679" spans="1:7" ht="16.5" customHeight="1" x14ac:dyDescent="0.3">
      <c r="A679" s="170" t="s">
        <v>1528</v>
      </c>
      <c r="B679" s="165" t="s">
        <v>6433</v>
      </c>
      <c r="C679" s="165" t="str">
        <f>IFERROR(VLOOKUP($A679,작성용!A:AL,14,0),"-")</f>
        <v>-</v>
      </c>
      <c r="D679" s="169" t="s">
        <v>6434</v>
      </c>
      <c r="E679" s="167" t="str">
        <f>IFERROR(VLOOKUP(A679,작성용!A:AL,34,0),"-")</f>
        <v>-</v>
      </c>
      <c r="F679" s="168" t="s">
        <v>6335</v>
      </c>
      <c r="G679" s="179">
        <f>COUNTIF(작성용!A:B,$A679)-COUNTIFS(작성용!A:A,$A679,작성용!AA:AA,"평가철회")</f>
        <v>0</v>
      </c>
    </row>
    <row r="680" spans="1:7" ht="16.5" customHeight="1" x14ac:dyDescent="0.3">
      <c r="A680" s="170" t="s">
        <v>1529</v>
      </c>
      <c r="B680" s="165" t="s">
        <v>1530</v>
      </c>
      <c r="C680" s="165" t="str">
        <f>IFERROR(VLOOKUP($A680,작성용!A:AL,14,0),"-")</f>
        <v>-</v>
      </c>
      <c r="D680" s="169" t="s">
        <v>1447</v>
      </c>
      <c r="E680" s="167" t="str">
        <f>IFERROR(VLOOKUP(A680,작성용!A:AL,34,0),"-")</f>
        <v>-</v>
      </c>
      <c r="F680" s="168" t="s">
        <v>2</v>
      </c>
      <c r="G680" s="179">
        <f>COUNTIF(작성용!A:B,$A680)-COUNTIFS(작성용!A:A,$A680,작성용!AA:AA,"평가철회")</f>
        <v>0</v>
      </c>
    </row>
    <row r="681" spans="1:7" ht="16.5" customHeight="1" x14ac:dyDescent="0.3">
      <c r="A681" s="170" t="s">
        <v>1531</v>
      </c>
      <c r="B681" s="165" t="s">
        <v>1532</v>
      </c>
      <c r="C681" s="165" t="str">
        <f>IFERROR(VLOOKUP($A681,작성용!A:AL,14,0),"-")</f>
        <v>-</v>
      </c>
      <c r="D681" s="169" t="s">
        <v>75</v>
      </c>
      <c r="E681" s="167" t="str">
        <f>IFERROR(VLOOKUP(A681,작성용!A:AL,34,0),"-")</f>
        <v>-</v>
      </c>
      <c r="F681" s="168" t="s">
        <v>2</v>
      </c>
      <c r="G681" s="179">
        <f>COUNTIF(작성용!A:B,$A681)-COUNTIFS(작성용!A:A,$A681,작성용!AA:AA,"평가철회")</f>
        <v>0</v>
      </c>
    </row>
    <row r="682" spans="1:7" ht="16.5" customHeight="1" x14ac:dyDescent="0.3">
      <c r="A682" s="170" t="s">
        <v>1533</v>
      </c>
      <c r="B682" s="165" t="s">
        <v>1534</v>
      </c>
      <c r="C682" s="165" t="str">
        <f>IFERROR(VLOOKUP($A682,작성용!A:AL,14,0),"-")</f>
        <v>-</v>
      </c>
      <c r="D682" s="169" t="s">
        <v>220</v>
      </c>
      <c r="E682" s="167" t="str">
        <f>IFERROR(VLOOKUP(A682,작성용!A:AL,34,0),"-")</f>
        <v>-</v>
      </c>
      <c r="F682" s="168" t="s">
        <v>2</v>
      </c>
      <c r="G682" s="179">
        <f>COUNTIF(작성용!A:B,$A682)-COUNTIFS(작성용!A:A,$A682,작성용!AA:AA,"평가철회")</f>
        <v>0</v>
      </c>
    </row>
    <row r="683" spans="1:7" ht="16.5" customHeight="1" x14ac:dyDescent="0.3">
      <c r="A683" s="170" t="s">
        <v>1535</v>
      </c>
      <c r="B683" s="165" t="s">
        <v>1536</v>
      </c>
      <c r="C683" s="165" t="str">
        <f>IFERROR(VLOOKUP($A683,작성용!A:AL,14,0),"-")</f>
        <v>-</v>
      </c>
      <c r="D683" s="169" t="s">
        <v>492</v>
      </c>
      <c r="E683" s="167" t="str">
        <f>IFERROR(VLOOKUP(A683,작성용!A:AL,34,0),"-")</f>
        <v>-</v>
      </c>
      <c r="F683" s="168" t="s">
        <v>2</v>
      </c>
      <c r="G683" s="179">
        <f>COUNTIF(작성용!A:B,$A683)-COUNTIFS(작성용!A:A,$A683,작성용!AA:AA,"평가철회")</f>
        <v>0</v>
      </c>
    </row>
    <row r="684" spans="1:7" ht="16.5" customHeight="1" x14ac:dyDescent="0.3">
      <c r="A684" s="170" t="s">
        <v>1537</v>
      </c>
      <c r="B684" s="165" t="s">
        <v>1538</v>
      </c>
      <c r="C684" s="165" t="str">
        <f>IFERROR(VLOOKUP($A684,작성용!A:AL,14,0),"-")</f>
        <v>-</v>
      </c>
      <c r="D684" s="169" t="s">
        <v>492</v>
      </c>
      <c r="E684" s="167" t="str">
        <f>IFERROR(VLOOKUP(A684,작성용!A:AL,34,0),"-")</f>
        <v>-</v>
      </c>
      <c r="F684" s="168" t="s">
        <v>2</v>
      </c>
      <c r="G684" s="179">
        <f>COUNTIF(작성용!A:B,$A684)-COUNTIFS(작성용!A:A,$A684,작성용!AA:AA,"평가철회")</f>
        <v>0</v>
      </c>
    </row>
    <row r="685" spans="1:7" ht="16.5" customHeight="1" x14ac:dyDescent="0.3">
      <c r="A685" s="170" t="s">
        <v>1539</v>
      </c>
      <c r="B685" s="165" t="s">
        <v>1540</v>
      </c>
      <c r="C685" s="165" t="str">
        <f>IFERROR(VLOOKUP($A685,작성용!A:AL,14,0),"-")</f>
        <v>-</v>
      </c>
      <c r="D685" s="169" t="s">
        <v>656</v>
      </c>
      <c r="E685" s="167" t="str">
        <f>IFERROR(VLOOKUP(A685,작성용!A:AL,34,0),"-")</f>
        <v>-</v>
      </c>
      <c r="F685" s="168" t="s">
        <v>2</v>
      </c>
      <c r="G685" s="179">
        <f>COUNTIF(작성용!A:B,$A685)-COUNTIFS(작성용!A:A,$A685,작성용!AA:AA,"평가철회")</f>
        <v>0</v>
      </c>
    </row>
    <row r="686" spans="1:7" ht="16.5" customHeight="1" x14ac:dyDescent="0.3">
      <c r="A686" s="170" t="s">
        <v>1541</v>
      </c>
      <c r="B686" s="165" t="s">
        <v>1542</v>
      </c>
      <c r="C686" s="165" t="str">
        <f>IFERROR(VLOOKUP($A686,작성용!A:AL,14,0),"-")</f>
        <v>-</v>
      </c>
      <c r="D686" s="169" t="s">
        <v>1462</v>
      </c>
      <c r="E686" s="167" t="str">
        <f>IFERROR(VLOOKUP(A686,작성용!A:AL,34,0),"-")</f>
        <v>-</v>
      </c>
      <c r="F686" s="168" t="s">
        <v>2</v>
      </c>
      <c r="G686" s="179">
        <f>COUNTIF(작성용!A:B,$A686)-COUNTIFS(작성용!A:A,$A686,작성용!AA:AA,"평가철회")</f>
        <v>0</v>
      </c>
    </row>
    <row r="687" spans="1:7" ht="16.5" customHeight="1" x14ac:dyDescent="0.3">
      <c r="A687" s="170" t="s">
        <v>1543</v>
      </c>
      <c r="B687" s="165" t="s">
        <v>1544</v>
      </c>
      <c r="C687" s="165" t="str">
        <f>IFERROR(VLOOKUP($A687,작성용!A:AL,14,0),"-")</f>
        <v>-</v>
      </c>
      <c r="D687" s="169" t="s">
        <v>6435</v>
      </c>
      <c r="E687" s="167" t="str">
        <f>IFERROR(VLOOKUP(A687,작성용!A:AL,34,0),"-")</f>
        <v>-</v>
      </c>
      <c r="F687" s="168" t="s">
        <v>6283</v>
      </c>
      <c r="G687" s="179">
        <f>COUNTIF(작성용!A:B,$A687)-COUNTIFS(작성용!A:A,$A687,작성용!AA:AA,"평가철회")</f>
        <v>0</v>
      </c>
    </row>
    <row r="688" spans="1:7" ht="16.5" customHeight="1" x14ac:dyDescent="0.3">
      <c r="A688" s="170" t="s">
        <v>1545</v>
      </c>
      <c r="B688" s="165" t="s">
        <v>1546</v>
      </c>
      <c r="C688" s="165" t="str">
        <f>IFERROR(VLOOKUP($A688,작성용!A:AL,14,0),"-")</f>
        <v>-</v>
      </c>
      <c r="D688" s="169" t="s">
        <v>6322</v>
      </c>
      <c r="E688" s="167" t="str">
        <f>IFERROR(VLOOKUP(A688,작성용!A:AL,34,0),"-")</f>
        <v>-</v>
      </c>
      <c r="F688" s="168" t="s">
        <v>2</v>
      </c>
      <c r="G688" s="179">
        <f>COUNTIF(작성용!A:B,$A688)-COUNTIFS(작성용!A:A,$A688,작성용!AA:AA,"평가철회")</f>
        <v>0</v>
      </c>
    </row>
    <row r="689" spans="1:7" ht="16.5" customHeight="1" x14ac:dyDescent="0.3">
      <c r="A689" s="170" t="s">
        <v>1547</v>
      </c>
      <c r="B689" s="165" t="s">
        <v>1548</v>
      </c>
      <c r="C689" s="165" t="str">
        <f>IFERROR(VLOOKUP($A689,작성용!A:AL,14,0),"-")</f>
        <v>-</v>
      </c>
      <c r="D689" s="169" t="s">
        <v>1462</v>
      </c>
      <c r="E689" s="167" t="str">
        <f>IFERROR(VLOOKUP(A689,작성용!A:AL,34,0),"-")</f>
        <v>-</v>
      </c>
      <c r="F689" s="168" t="s">
        <v>2</v>
      </c>
      <c r="G689" s="179">
        <f>COUNTIF(작성용!A:B,$A689)-COUNTIFS(작성용!A:A,$A689,작성용!AA:AA,"평가철회")</f>
        <v>0</v>
      </c>
    </row>
    <row r="690" spans="1:7" ht="16.5" customHeight="1" x14ac:dyDescent="0.3">
      <c r="A690" s="170" t="s">
        <v>1549</v>
      </c>
      <c r="B690" s="165" t="s">
        <v>1550</v>
      </c>
      <c r="C690" s="165" t="str">
        <f>IFERROR(VLOOKUP($A690,작성용!A:AL,14,0),"-")</f>
        <v>-</v>
      </c>
      <c r="D690" s="169" t="s">
        <v>1551</v>
      </c>
      <c r="E690" s="167" t="str">
        <f>IFERROR(VLOOKUP(A690,작성용!A:AL,34,0),"-")</f>
        <v>-</v>
      </c>
      <c r="F690" s="168" t="s">
        <v>2</v>
      </c>
      <c r="G690" s="179">
        <f>COUNTIF(작성용!A:B,$A690)-COUNTIFS(작성용!A:A,$A690,작성용!AA:AA,"평가철회")</f>
        <v>0</v>
      </c>
    </row>
    <row r="691" spans="1:7" ht="16.5" customHeight="1" x14ac:dyDescent="0.3">
      <c r="A691" s="170" t="s">
        <v>1552</v>
      </c>
      <c r="B691" s="165" t="s">
        <v>1553</v>
      </c>
      <c r="C691" s="165" t="str">
        <f>IFERROR(VLOOKUP($A691,작성용!A:AL,14,0),"-")</f>
        <v>-</v>
      </c>
      <c r="D691" s="169" t="s">
        <v>495</v>
      </c>
      <c r="E691" s="167" t="str">
        <f>IFERROR(VLOOKUP(A691,작성용!A:AL,34,0),"-")</f>
        <v>-</v>
      </c>
      <c r="F691" s="168" t="s">
        <v>2</v>
      </c>
      <c r="G691" s="179">
        <f>COUNTIF(작성용!A:B,$A691)-COUNTIFS(작성용!A:A,$A691,작성용!AA:AA,"평가철회")</f>
        <v>0</v>
      </c>
    </row>
    <row r="692" spans="1:7" ht="16.5" customHeight="1" x14ac:dyDescent="0.3">
      <c r="A692" s="170" t="s">
        <v>1554</v>
      </c>
      <c r="B692" s="165" t="s">
        <v>1555</v>
      </c>
      <c r="C692" s="165" t="str">
        <f>IFERROR(VLOOKUP($A692,작성용!A:AL,14,0),"-")</f>
        <v>-</v>
      </c>
      <c r="D692" s="169" t="s">
        <v>244</v>
      </c>
      <c r="E692" s="167" t="str">
        <f>IFERROR(VLOOKUP(A692,작성용!A:AL,34,0),"-")</f>
        <v>-</v>
      </c>
      <c r="F692" s="168" t="s">
        <v>2</v>
      </c>
      <c r="G692" s="179">
        <f>COUNTIF(작성용!A:B,$A692)-COUNTIFS(작성용!A:A,$A692,작성용!AA:AA,"평가철회")</f>
        <v>0</v>
      </c>
    </row>
    <row r="693" spans="1:7" ht="16.5" customHeight="1" x14ac:dyDescent="0.3">
      <c r="A693" s="170" t="s">
        <v>1556</v>
      </c>
      <c r="B693" s="165" t="s">
        <v>1557</v>
      </c>
      <c r="C693" s="165" t="str">
        <f>IFERROR(VLOOKUP($A693,작성용!A:AL,14,0),"-")</f>
        <v>-</v>
      </c>
      <c r="D693" s="169" t="s">
        <v>643</v>
      </c>
      <c r="E693" s="167" t="str">
        <f>IFERROR(VLOOKUP(A693,작성용!A:AL,34,0),"-")</f>
        <v>-</v>
      </c>
      <c r="F693" s="168" t="s">
        <v>2</v>
      </c>
      <c r="G693" s="179">
        <f>COUNTIF(작성용!A:B,$A693)-COUNTIFS(작성용!A:A,$A693,작성용!AA:AA,"평가철회")</f>
        <v>0</v>
      </c>
    </row>
    <row r="694" spans="1:7" ht="16.5" customHeight="1" x14ac:dyDescent="0.3">
      <c r="A694" s="170" t="s">
        <v>1558</v>
      </c>
      <c r="B694" s="165" t="s">
        <v>1559</v>
      </c>
      <c r="C694" s="165" t="str">
        <f>IFERROR(VLOOKUP($A694,작성용!A:AL,14,0),"-")</f>
        <v>-</v>
      </c>
      <c r="D694" s="169" t="s">
        <v>521</v>
      </c>
      <c r="E694" s="167" t="str">
        <f>IFERROR(VLOOKUP(A694,작성용!A:AL,34,0),"-")</f>
        <v>-</v>
      </c>
      <c r="F694" s="168" t="s">
        <v>2</v>
      </c>
      <c r="G694" s="179">
        <f>COUNTIF(작성용!A:B,$A694)-COUNTIFS(작성용!A:A,$A694,작성용!AA:AA,"평가철회")</f>
        <v>0</v>
      </c>
    </row>
    <row r="695" spans="1:7" ht="16.5" customHeight="1" x14ac:dyDescent="0.3">
      <c r="A695" s="170" t="s">
        <v>1560</v>
      </c>
      <c r="B695" s="165" t="s">
        <v>1561</v>
      </c>
      <c r="C695" s="165" t="str">
        <f>IFERROR(VLOOKUP($A695,작성용!A:AL,14,0),"-")</f>
        <v>-</v>
      </c>
      <c r="D695" s="169" t="s">
        <v>71</v>
      </c>
      <c r="E695" s="167" t="str">
        <f>IFERROR(VLOOKUP(A695,작성용!A:AL,34,0),"-")</f>
        <v>-</v>
      </c>
      <c r="F695" s="168" t="s">
        <v>2</v>
      </c>
      <c r="G695" s="179">
        <f>COUNTIF(작성용!A:B,$A695)-COUNTIFS(작성용!A:A,$A695,작성용!AA:AA,"평가철회")</f>
        <v>0</v>
      </c>
    </row>
    <row r="696" spans="1:7" ht="16.5" customHeight="1" x14ac:dyDescent="0.3">
      <c r="A696" s="170" t="s">
        <v>1562</v>
      </c>
      <c r="B696" s="165" t="s">
        <v>549</v>
      </c>
      <c r="C696" s="165" t="str">
        <f>IFERROR(VLOOKUP($A696,작성용!A:AL,14,0),"-")</f>
        <v>-</v>
      </c>
      <c r="D696" s="169" t="s">
        <v>694</v>
      </c>
      <c r="E696" s="167" t="str">
        <f>IFERROR(VLOOKUP(A696,작성용!A:AL,34,0),"-")</f>
        <v>-</v>
      </c>
      <c r="F696" s="168" t="s">
        <v>2</v>
      </c>
      <c r="G696" s="179">
        <f>COUNTIF(작성용!A:B,$A696)-COUNTIFS(작성용!A:A,$A696,작성용!AA:AA,"평가철회")</f>
        <v>0</v>
      </c>
    </row>
    <row r="697" spans="1:7" ht="16.5" customHeight="1" x14ac:dyDescent="0.3">
      <c r="A697" s="170" t="s">
        <v>1563</v>
      </c>
      <c r="B697" s="165" t="s">
        <v>1564</v>
      </c>
      <c r="C697" s="165" t="str">
        <f>IFERROR(VLOOKUP($A697,작성용!A:AL,14,0),"-")</f>
        <v>-</v>
      </c>
      <c r="D697" s="169" t="s">
        <v>13</v>
      </c>
      <c r="E697" s="167" t="str">
        <f>IFERROR(VLOOKUP(A697,작성용!A:AL,34,0),"-")</f>
        <v>-</v>
      </c>
      <c r="F697" s="168" t="s">
        <v>2</v>
      </c>
      <c r="G697" s="179">
        <f>COUNTIF(작성용!A:B,$A697)-COUNTIFS(작성용!A:A,$A697,작성용!AA:AA,"평가철회")</f>
        <v>0</v>
      </c>
    </row>
    <row r="698" spans="1:7" ht="16.5" customHeight="1" x14ac:dyDescent="0.3">
      <c r="A698" s="170" t="s">
        <v>1565</v>
      </c>
      <c r="B698" s="165" t="s">
        <v>1566</v>
      </c>
      <c r="C698" s="165" t="str">
        <f>IFERROR(VLOOKUP($A698,작성용!A:AL,14,0),"-")</f>
        <v>-</v>
      </c>
      <c r="D698" s="169" t="s">
        <v>6299</v>
      </c>
      <c r="E698" s="167" t="str">
        <f>IFERROR(VLOOKUP(A698,작성용!A:AL,34,0),"-")</f>
        <v>-</v>
      </c>
      <c r="F698" s="168" t="s">
        <v>6336</v>
      </c>
      <c r="G698" s="179">
        <f>COUNTIF(작성용!A:B,$A698)-COUNTIFS(작성용!A:A,$A698,작성용!AA:AA,"평가철회")</f>
        <v>0</v>
      </c>
    </row>
    <row r="699" spans="1:7" ht="16.5" customHeight="1" x14ac:dyDescent="0.3">
      <c r="A699" s="170" t="s">
        <v>1567</v>
      </c>
      <c r="B699" s="165" t="s">
        <v>1568</v>
      </c>
      <c r="C699" s="165" t="str">
        <f>IFERROR(VLOOKUP($A699,작성용!A:AL,14,0),"-")</f>
        <v>-</v>
      </c>
      <c r="D699" s="169" t="s">
        <v>336</v>
      </c>
      <c r="E699" s="167" t="str">
        <f>IFERROR(VLOOKUP(A699,작성용!A:AL,34,0),"-")</f>
        <v>-</v>
      </c>
      <c r="F699" s="168" t="s">
        <v>6382</v>
      </c>
      <c r="G699" s="179">
        <f>COUNTIF(작성용!A:B,$A699)-COUNTIFS(작성용!A:A,$A699,작성용!AA:AA,"평가철회")</f>
        <v>0</v>
      </c>
    </row>
    <row r="700" spans="1:7" ht="16.5" customHeight="1" x14ac:dyDescent="0.3">
      <c r="A700" s="170" t="s">
        <v>1569</v>
      </c>
      <c r="B700" s="165" t="s">
        <v>1570</v>
      </c>
      <c r="C700" s="165" t="str">
        <f>IFERROR(VLOOKUP($A700,작성용!A:AL,14,0),"-")</f>
        <v>-</v>
      </c>
      <c r="D700" s="169" t="s">
        <v>244</v>
      </c>
      <c r="E700" s="167" t="str">
        <f>IFERROR(VLOOKUP(A700,작성용!A:AL,34,0),"-")</f>
        <v>-</v>
      </c>
      <c r="F700" s="168" t="s">
        <v>2</v>
      </c>
      <c r="G700" s="179">
        <f>COUNTIF(작성용!A:B,$A700)-COUNTIFS(작성용!A:A,$A700,작성용!AA:AA,"평가철회")</f>
        <v>0</v>
      </c>
    </row>
    <row r="701" spans="1:7" ht="16.5" customHeight="1" x14ac:dyDescent="0.3">
      <c r="A701" s="170" t="s">
        <v>1571</v>
      </c>
      <c r="B701" s="165" t="s">
        <v>553</v>
      </c>
      <c r="C701" s="165" t="str">
        <f>IFERROR(VLOOKUP($A701,작성용!A:AL,14,0),"-")</f>
        <v>-</v>
      </c>
      <c r="D701" s="169" t="s">
        <v>336</v>
      </c>
      <c r="E701" s="167" t="str">
        <f>IFERROR(VLOOKUP(A701,작성용!A:AL,34,0),"-")</f>
        <v>-</v>
      </c>
      <c r="F701" s="168" t="s">
        <v>2</v>
      </c>
      <c r="G701" s="179">
        <f>COUNTIF(작성용!A:B,$A701)-COUNTIFS(작성용!A:A,$A701,작성용!AA:AA,"평가철회")</f>
        <v>0</v>
      </c>
    </row>
    <row r="702" spans="1:7" ht="16.5" customHeight="1" x14ac:dyDescent="0.3">
      <c r="A702" s="170" t="s">
        <v>1572</v>
      </c>
      <c r="B702" s="165" t="s">
        <v>1573</v>
      </c>
      <c r="C702" s="165" t="str">
        <f>IFERROR(VLOOKUP($A702,작성용!A:AL,14,0),"-")</f>
        <v>-</v>
      </c>
      <c r="D702" s="169" t="s">
        <v>694</v>
      </c>
      <c r="E702" s="167" t="str">
        <f>IFERROR(VLOOKUP(A702,작성용!A:AL,34,0),"-")</f>
        <v>-</v>
      </c>
      <c r="F702" s="168" t="s">
        <v>2</v>
      </c>
      <c r="G702" s="179">
        <f>COUNTIF(작성용!A:B,$A702)-COUNTIFS(작성용!A:A,$A702,작성용!AA:AA,"평가철회")</f>
        <v>0</v>
      </c>
    </row>
    <row r="703" spans="1:7" ht="16.5" customHeight="1" x14ac:dyDescent="0.3">
      <c r="A703" s="170" t="s">
        <v>1574</v>
      </c>
      <c r="B703" s="165" t="s">
        <v>1575</v>
      </c>
      <c r="C703" s="165" t="str">
        <f>IFERROR(VLOOKUP($A703,작성용!A:AL,14,0),"-")</f>
        <v>-</v>
      </c>
      <c r="D703" s="169" t="s">
        <v>1462</v>
      </c>
      <c r="E703" s="167" t="str">
        <f>IFERROR(VLOOKUP(A703,작성용!A:AL,34,0),"-")</f>
        <v>-</v>
      </c>
      <c r="F703" s="168" t="s">
        <v>2</v>
      </c>
      <c r="G703" s="179">
        <f>COUNTIF(작성용!A:B,$A703)-COUNTIFS(작성용!A:A,$A703,작성용!AA:AA,"평가철회")</f>
        <v>0</v>
      </c>
    </row>
    <row r="704" spans="1:7" ht="16.5" customHeight="1" x14ac:dyDescent="0.3">
      <c r="A704" s="170" t="s">
        <v>1576</v>
      </c>
      <c r="B704" s="165" t="s">
        <v>1577</v>
      </c>
      <c r="C704" s="165" t="str">
        <f>IFERROR(VLOOKUP($A704,작성용!A:AL,14,0),"-")</f>
        <v>-</v>
      </c>
      <c r="D704" s="169" t="s">
        <v>6427</v>
      </c>
      <c r="E704" s="167" t="str">
        <f>IFERROR(VLOOKUP(A704,작성용!A:AL,34,0),"-")</f>
        <v>-</v>
      </c>
      <c r="F704" s="168" t="s">
        <v>6336</v>
      </c>
      <c r="G704" s="179">
        <f>COUNTIF(작성용!A:B,$A704)-COUNTIFS(작성용!A:A,$A704,작성용!AA:AA,"평가철회")</f>
        <v>0</v>
      </c>
    </row>
    <row r="705" spans="1:7" ht="16.5" customHeight="1" x14ac:dyDescent="0.3">
      <c r="A705" s="170" t="s">
        <v>1578</v>
      </c>
      <c r="B705" s="165" t="s">
        <v>1579</v>
      </c>
      <c r="C705" s="165" t="str">
        <f>IFERROR(VLOOKUP($A705,작성용!A:AL,14,0),"-")</f>
        <v>-</v>
      </c>
      <c r="D705" s="169" t="s">
        <v>220</v>
      </c>
      <c r="E705" s="167" t="str">
        <f>IFERROR(VLOOKUP(A705,작성용!A:AL,34,0),"-")</f>
        <v>-</v>
      </c>
      <c r="F705" s="168" t="s">
        <v>6378</v>
      </c>
      <c r="G705" s="179">
        <f>COUNTIF(작성용!A:B,$A705)-COUNTIFS(작성용!A:A,$A705,작성용!AA:AA,"평가철회")</f>
        <v>0</v>
      </c>
    </row>
    <row r="706" spans="1:7" ht="16.5" customHeight="1" x14ac:dyDescent="0.3">
      <c r="A706" s="170" t="s">
        <v>1580</v>
      </c>
      <c r="B706" s="165" t="s">
        <v>1581</v>
      </c>
      <c r="C706" s="165" t="str">
        <f>IFERROR(VLOOKUP($A706,작성용!A:AL,14,0),"-")</f>
        <v>-</v>
      </c>
      <c r="D706" s="169" t="s">
        <v>6436</v>
      </c>
      <c r="E706" s="167" t="str">
        <f>IFERROR(VLOOKUP(A706,작성용!A:AL,34,0),"-")</f>
        <v>-</v>
      </c>
      <c r="F706" s="168" t="s">
        <v>6336</v>
      </c>
      <c r="G706" s="179">
        <f>COUNTIF(작성용!A:B,$A706)-COUNTIFS(작성용!A:A,$A706,작성용!AA:AA,"평가철회")</f>
        <v>0</v>
      </c>
    </row>
    <row r="707" spans="1:7" ht="16.5" customHeight="1" x14ac:dyDescent="0.3">
      <c r="A707" s="170" t="s">
        <v>1582</v>
      </c>
      <c r="B707" s="165" t="s">
        <v>1583</v>
      </c>
      <c r="C707" s="165" t="str">
        <f>IFERROR(VLOOKUP($A707,작성용!A:AL,14,0),"-")</f>
        <v>-</v>
      </c>
      <c r="D707" s="169" t="s">
        <v>436</v>
      </c>
      <c r="E707" s="167" t="str">
        <f>IFERROR(VLOOKUP(A707,작성용!A:AL,34,0),"-")</f>
        <v>-</v>
      </c>
      <c r="F707" s="168" t="s">
        <v>2</v>
      </c>
      <c r="G707" s="179">
        <f>COUNTIF(작성용!A:B,$A707)-COUNTIFS(작성용!A:A,$A707,작성용!AA:AA,"평가철회")</f>
        <v>0</v>
      </c>
    </row>
    <row r="708" spans="1:7" ht="16.5" customHeight="1" x14ac:dyDescent="0.3">
      <c r="A708" s="170" t="s">
        <v>1584</v>
      </c>
      <c r="B708" s="165" t="s">
        <v>1585</v>
      </c>
      <c r="C708" s="165" t="str">
        <f>IFERROR(VLOOKUP($A708,작성용!A:AL,14,0),"-")</f>
        <v>-</v>
      </c>
      <c r="D708" s="169" t="s">
        <v>6437</v>
      </c>
      <c r="E708" s="167" t="str">
        <f>IFERROR(VLOOKUP(A708,작성용!A:AL,34,0),"-")</f>
        <v>-</v>
      </c>
      <c r="F708" s="168" t="s">
        <v>6304</v>
      </c>
      <c r="G708" s="179">
        <f>COUNTIF(작성용!A:B,$A708)-COUNTIFS(작성용!A:A,$A708,작성용!AA:AA,"평가철회")</f>
        <v>0</v>
      </c>
    </row>
    <row r="709" spans="1:7" ht="16.5" customHeight="1" x14ac:dyDescent="0.3">
      <c r="A709" s="170" t="s">
        <v>1586</v>
      </c>
      <c r="B709" s="165" t="s">
        <v>1587</v>
      </c>
      <c r="C709" s="165" t="str">
        <f>IFERROR(VLOOKUP($A709,작성용!A:AL,14,0),"-")</f>
        <v>-</v>
      </c>
      <c r="D709" s="169" t="s">
        <v>521</v>
      </c>
      <c r="E709" s="167" t="str">
        <f>IFERROR(VLOOKUP(A709,작성용!A:AL,34,0),"-")</f>
        <v>-</v>
      </c>
      <c r="F709" s="168" t="s">
        <v>2</v>
      </c>
      <c r="G709" s="179">
        <f>COUNTIF(작성용!A:B,$A709)-COUNTIFS(작성용!A:A,$A709,작성용!AA:AA,"평가철회")</f>
        <v>0</v>
      </c>
    </row>
    <row r="710" spans="1:7" ht="16.5" customHeight="1" x14ac:dyDescent="0.3">
      <c r="A710" s="170" t="s">
        <v>1588</v>
      </c>
      <c r="B710" s="165" t="s">
        <v>1589</v>
      </c>
      <c r="C710" s="165" t="str">
        <f>IFERROR(VLOOKUP($A710,작성용!A:AL,14,0),"-")</f>
        <v>-</v>
      </c>
      <c r="D710" s="169" t="s">
        <v>74</v>
      </c>
      <c r="E710" s="167" t="str">
        <f>IFERROR(VLOOKUP(A710,작성용!A:AL,34,0),"-")</f>
        <v>-</v>
      </c>
      <c r="F710" s="168" t="s">
        <v>2</v>
      </c>
      <c r="G710" s="179">
        <f>COUNTIF(작성용!A:B,$A710)-COUNTIFS(작성용!A:A,$A710,작성용!AA:AA,"평가철회")</f>
        <v>0</v>
      </c>
    </row>
    <row r="711" spans="1:7" ht="16.5" customHeight="1" x14ac:dyDescent="0.3">
      <c r="A711" s="170" t="s">
        <v>1590</v>
      </c>
      <c r="B711" s="165" t="s">
        <v>1591</v>
      </c>
      <c r="C711" s="165" t="str">
        <f>IFERROR(VLOOKUP($A711,작성용!A:AL,14,0),"-")</f>
        <v>-</v>
      </c>
      <c r="D711" s="167" t="s">
        <v>2</v>
      </c>
      <c r="E711" s="167" t="str">
        <f>IFERROR(VLOOKUP(A711,작성용!A:AL,34,0),"-")</f>
        <v>-</v>
      </c>
      <c r="F711" s="168" t="s">
        <v>2</v>
      </c>
      <c r="G711" s="179">
        <f>COUNTIF(작성용!A:B,$A711)-COUNTIFS(작성용!A:A,$A711,작성용!AA:AA,"평가철회")</f>
        <v>0</v>
      </c>
    </row>
    <row r="712" spans="1:7" ht="16.5" customHeight="1" x14ac:dyDescent="0.3">
      <c r="A712" s="170" t="s">
        <v>1592</v>
      </c>
      <c r="B712" s="165" t="s">
        <v>1593</v>
      </c>
      <c r="C712" s="165" t="str">
        <f>IFERROR(VLOOKUP($A712,작성용!A:AL,14,0),"-")</f>
        <v>-</v>
      </c>
      <c r="D712" s="169" t="s">
        <v>6438</v>
      </c>
      <c r="E712" s="167" t="str">
        <f>IFERROR(VLOOKUP(A712,작성용!A:AL,34,0),"-")</f>
        <v>-</v>
      </c>
      <c r="F712" s="168" t="s">
        <v>2</v>
      </c>
      <c r="G712" s="179">
        <f>COUNTIF(작성용!A:B,$A712)-COUNTIFS(작성용!A:A,$A712,작성용!AA:AA,"평가철회")</f>
        <v>0</v>
      </c>
    </row>
    <row r="713" spans="1:7" ht="16.5" customHeight="1" x14ac:dyDescent="0.3">
      <c r="A713" s="170" t="s">
        <v>1594</v>
      </c>
      <c r="B713" s="165" t="s">
        <v>1595</v>
      </c>
      <c r="C713" s="165" t="str">
        <f>IFERROR(VLOOKUP($A713,작성용!A:AL,14,0),"-")</f>
        <v>-</v>
      </c>
      <c r="D713" s="169" t="s">
        <v>6439</v>
      </c>
      <c r="E713" s="167" t="str">
        <f>IFERROR(VLOOKUP(A713,작성용!A:AL,34,0),"-")</f>
        <v>-</v>
      </c>
      <c r="F713" s="168" t="s">
        <v>6378</v>
      </c>
      <c r="G713" s="179">
        <f>COUNTIF(작성용!A:B,$A713)-COUNTIFS(작성용!A:A,$A713,작성용!AA:AA,"평가철회")</f>
        <v>0</v>
      </c>
    </row>
    <row r="714" spans="1:7" ht="16.5" customHeight="1" x14ac:dyDescent="0.3">
      <c r="A714" s="170" t="s">
        <v>1596</v>
      </c>
      <c r="B714" s="165" t="s">
        <v>1597</v>
      </c>
      <c r="C714" s="165" t="str">
        <f>IFERROR(VLOOKUP($A714,작성용!A:AL,14,0),"-")</f>
        <v>-</v>
      </c>
      <c r="D714" s="169" t="s">
        <v>6440</v>
      </c>
      <c r="E714" s="167" t="str">
        <f>IFERROR(VLOOKUP(A714,작성용!A:AL,34,0),"-")</f>
        <v>-</v>
      </c>
      <c r="F714" s="168" t="s">
        <v>6378</v>
      </c>
      <c r="G714" s="179">
        <f>COUNTIF(작성용!A:B,$A714)-COUNTIFS(작성용!A:A,$A714,작성용!AA:AA,"평가철회")</f>
        <v>0</v>
      </c>
    </row>
    <row r="715" spans="1:7" ht="16.5" customHeight="1" x14ac:dyDescent="0.3">
      <c r="A715" s="170" t="s">
        <v>1598</v>
      </c>
      <c r="B715" s="165" t="s">
        <v>1599</v>
      </c>
      <c r="C715" s="165" t="str">
        <f>IFERROR(VLOOKUP($A715,작성용!A:AL,14,0),"-")</f>
        <v>-</v>
      </c>
      <c r="D715" s="169" t="s">
        <v>6441</v>
      </c>
      <c r="E715" s="167" t="str">
        <f>IFERROR(VLOOKUP(A715,작성용!A:AL,34,0),"-")</f>
        <v>-</v>
      </c>
      <c r="F715" s="168" t="s">
        <v>6283</v>
      </c>
      <c r="G715" s="179">
        <f>COUNTIF(작성용!A:B,$A715)-COUNTIFS(작성용!A:A,$A715,작성용!AA:AA,"평가철회")</f>
        <v>0</v>
      </c>
    </row>
    <row r="716" spans="1:7" ht="16.5" customHeight="1" x14ac:dyDescent="0.3">
      <c r="A716" s="170" t="s">
        <v>1600</v>
      </c>
      <c r="B716" s="165" t="s">
        <v>1601</v>
      </c>
      <c r="C716" s="165" t="str">
        <f>IFERROR(VLOOKUP($A716,작성용!A:AL,14,0),"-")</f>
        <v>-</v>
      </c>
      <c r="D716" s="169" t="s">
        <v>15</v>
      </c>
      <c r="E716" s="167" t="str">
        <f>IFERROR(VLOOKUP(A716,작성용!A:AL,34,0),"-")</f>
        <v>-</v>
      </c>
      <c r="F716" s="168" t="s">
        <v>6270</v>
      </c>
      <c r="G716" s="179">
        <f>COUNTIF(작성용!A:B,$A716)-COUNTIFS(작성용!A:A,$A716,작성용!AA:AA,"평가철회")</f>
        <v>0</v>
      </c>
    </row>
    <row r="717" spans="1:7" ht="16.5" customHeight="1" x14ac:dyDescent="0.3">
      <c r="A717" s="170" t="s">
        <v>1602</v>
      </c>
      <c r="B717" s="165" t="s">
        <v>610</v>
      </c>
      <c r="C717" s="165" t="str">
        <f>IFERROR(VLOOKUP($A717,작성용!A:AL,14,0),"-")</f>
        <v>-</v>
      </c>
      <c r="D717" s="169" t="s">
        <v>74</v>
      </c>
      <c r="E717" s="167" t="str">
        <f>IFERROR(VLOOKUP(A717,작성용!A:AL,34,0),"-")</f>
        <v>-</v>
      </c>
      <c r="F717" s="168" t="s">
        <v>2</v>
      </c>
      <c r="G717" s="179">
        <f>COUNTIF(작성용!A:B,$A717)-COUNTIFS(작성용!A:A,$A717,작성용!AA:AA,"평가철회")</f>
        <v>0</v>
      </c>
    </row>
    <row r="718" spans="1:7" ht="16.5" customHeight="1" x14ac:dyDescent="0.3">
      <c r="A718" s="170" t="s">
        <v>1603</v>
      </c>
      <c r="B718" s="165" t="s">
        <v>1604</v>
      </c>
      <c r="C718" s="165" t="str">
        <f>IFERROR(VLOOKUP($A718,작성용!A:AL,14,0),"-")</f>
        <v>-</v>
      </c>
      <c r="D718" s="169" t="s">
        <v>6279</v>
      </c>
      <c r="E718" s="167" t="str">
        <f>IFERROR(VLOOKUP(A718,작성용!A:AL,34,0),"-")</f>
        <v>-</v>
      </c>
      <c r="F718" s="168" t="s">
        <v>6304</v>
      </c>
      <c r="G718" s="179">
        <f>COUNTIF(작성용!A:B,$A718)-COUNTIFS(작성용!A:A,$A718,작성용!AA:AA,"평가철회")</f>
        <v>0</v>
      </c>
    </row>
    <row r="719" spans="1:7" ht="16.5" customHeight="1" x14ac:dyDescent="0.3">
      <c r="A719" s="170" t="s">
        <v>1605</v>
      </c>
      <c r="B719" s="165" t="s">
        <v>1606</v>
      </c>
      <c r="C719" s="165" t="str">
        <f>IFERROR(VLOOKUP($A719,작성용!A:AL,14,0),"-")</f>
        <v>-</v>
      </c>
      <c r="D719" s="169" t="s">
        <v>6442</v>
      </c>
      <c r="E719" s="167" t="str">
        <f>IFERROR(VLOOKUP(A719,작성용!A:AL,34,0),"-")</f>
        <v>-</v>
      </c>
      <c r="F719" s="168" t="s">
        <v>6382</v>
      </c>
      <c r="G719" s="179">
        <f>COUNTIF(작성용!A:B,$A719)-COUNTIFS(작성용!A:A,$A719,작성용!AA:AA,"평가철회")</f>
        <v>0</v>
      </c>
    </row>
    <row r="720" spans="1:7" ht="16.5" customHeight="1" x14ac:dyDescent="0.3">
      <c r="A720" s="170" t="s">
        <v>1607</v>
      </c>
      <c r="B720" s="165" t="s">
        <v>1608</v>
      </c>
      <c r="C720" s="165" t="str">
        <f>IFERROR(VLOOKUP($A720,작성용!A:AL,14,0),"-")</f>
        <v>-</v>
      </c>
      <c r="D720" s="169" t="s">
        <v>6443</v>
      </c>
      <c r="E720" s="167" t="str">
        <f>IFERROR(VLOOKUP(A720,작성용!A:AL,34,0),"-")</f>
        <v>-</v>
      </c>
      <c r="F720" s="168" t="s">
        <v>6382</v>
      </c>
      <c r="G720" s="179">
        <f>COUNTIF(작성용!A:B,$A720)-COUNTIFS(작성용!A:A,$A720,작성용!AA:AA,"평가철회")</f>
        <v>0</v>
      </c>
    </row>
    <row r="721" spans="1:7" ht="16.5" customHeight="1" x14ac:dyDescent="0.3">
      <c r="A721" s="170" t="s">
        <v>1609</v>
      </c>
      <c r="B721" s="165" t="s">
        <v>1610</v>
      </c>
      <c r="C721" s="165" t="str">
        <f>IFERROR(VLOOKUP($A721,작성용!A:AL,14,0),"-")</f>
        <v>-</v>
      </c>
      <c r="D721" s="169" t="s">
        <v>6377</v>
      </c>
      <c r="E721" s="167" t="str">
        <f>IFERROR(VLOOKUP(A721,작성용!A:AL,34,0),"-")</f>
        <v>-</v>
      </c>
      <c r="F721" s="168" t="s">
        <v>6378</v>
      </c>
      <c r="G721" s="179">
        <f>COUNTIF(작성용!A:B,$A721)-COUNTIFS(작성용!A:A,$A721,작성용!AA:AA,"평가철회")</f>
        <v>0</v>
      </c>
    </row>
    <row r="722" spans="1:7" ht="16.5" customHeight="1" x14ac:dyDescent="0.3">
      <c r="A722" s="170" t="s">
        <v>1611</v>
      </c>
      <c r="B722" s="165" t="s">
        <v>1612</v>
      </c>
      <c r="C722" s="165" t="str">
        <f>IFERROR(VLOOKUP($A722,작성용!A:AL,14,0),"-")</f>
        <v>-</v>
      </c>
      <c r="D722" s="169" t="s">
        <v>463</v>
      </c>
      <c r="E722" s="167" t="str">
        <f>IFERROR(VLOOKUP(A722,작성용!A:AL,34,0),"-")</f>
        <v>-</v>
      </c>
      <c r="F722" s="168" t="s">
        <v>2</v>
      </c>
      <c r="G722" s="179">
        <f>COUNTIF(작성용!A:B,$A722)-COUNTIFS(작성용!A:A,$A722,작성용!AA:AA,"평가철회")</f>
        <v>0</v>
      </c>
    </row>
    <row r="723" spans="1:7" ht="16.5" customHeight="1" x14ac:dyDescent="0.3">
      <c r="A723" s="170" t="s">
        <v>1613</v>
      </c>
      <c r="B723" s="165" t="s">
        <v>1614</v>
      </c>
      <c r="C723" s="165" t="str">
        <f>IFERROR(VLOOKUP($A723,작성용!A:AL,14,0),"-")</f>
        <v>-</v>
      </c>
      <c r="D723" s="169" t="s">
        <v>521</v>
      </c>
      <c r="E723" s="167" t="str">
        <f>IFERROR(VLOOKUP(A723,작성용!A:AL,34,0),"-")</f>
        <v>-</v>
      </c>
      <c r="F723" s="168" t="s">
        <v>2</v>
      </c>
      <c r="G723" s="179">
        <f>COUNTIF(작성용!A:B,$A723)-COUNTIFS(작성용!A:A,$A723,작성용!AA:AA,"평가철회")</f>
        <v>0</v>
      </c>
    </row>
    <row r="724" spans="1:7" ht="16.5" customHeight="1" x14ac:dyDescent="0.3">
      <c r="A724" s="170" t="s">
        <v>1615</v>
      </c>
      <c r="B724" s="165" t="s">
        <v>1616</v>
      </c>
      <c r="C724" s="165" t="str">
        <f>IFERROR(VLOOKUP($A724,작성용!A:AL,14,0),"-")</f>
        <v>-</v>
      </c>
      <c r="D724" s="169" t="s">
        <v>6440</v>
      </c>
      <c r="E724" s="167" t="str">
        <f>IFERROR(VLOOKUP(A724,작성용!A:AL,34,0),"-")</f>
        <v>-</v>
      </c>
      <c r="F724" s="168" t="s">
        <v>2</v>
      </c>
      <c r="G724" s="179">
        <f>COUNTIF(작성용!A:B,$A724)-COUNTIFS(작성용!A:A,$A724,작성용!AA:AA,"평가철회")</f>
        <v>0</v>
      </c>
    </row>
    <row r="725" spans="1:7" ht="16.5" customHeight="1" x14ac:dyDescent="0.3">
      <c r="A725" s="170" t="s">
        <v>1617</v>
      </c>
      <c r="B725" s="165" t="s">
        <v>1618</v>
      </c>
      <c r="C725" s="165" t="str">
        <f>IFERROR(VLOOKUP($A725,작성용!A:AL,14,0),"-")</f>
        <v>-</v>
      </c>
      <c r="D725" s="169" t="s">
        <v>1619</v>
      </c>
      <c r="E725" s="167" t="str">
        <f>IFERROR(VLOOKUP(A725,작성용!A:AL,34,0),"-")</f>
        <v>-</v>
      </c>
      <c r="F725" s="168" t="s">
        <v>6378</v>
      </c>
      <c r="G725" s="179">
        <f>COUNTIF(작성용!A:B,$A725)-COUNTIFS(작성용!A:A,$A725,작성용!AA:AA,"평가철회")</f>
        <v>0</v>
      </c>
    </row>
    <row r="726" spans="1:7" ht="16.5" customHeight="1" x14ac:dyDescent="0.3">
      <c r="A726" s="170" t="s">
        <v>1620</v>
      </c>
      <c r="B726" s="165" t="s">
        <v>1621</v>
      </c>
      <c r="C726" s="165" t="str">
        <f>IFERROR(VLOOKUP($A726,작성용!A:AL,14,0),"-")</f>
        <v>-</v>
      </c>
      <c r="D726" s="169" t="s">
        <v>495</v>
      </c>
      <c r="E726" s="167" t="str">
        <f>IFERROR(VLOOKUP(A726,작성용!A:AL,34,0),"-")</f>
        <v>-</v>
      </c>
      <c r="F726" s="168" t="s">
        <v>2</v>
      </c>
      <c r="G726" s="179">
        <f>COUNTIF(작성용!A:B,$A726)-COUNTIFS(작성용!A:A,$A726,작성용!AA:AA,"평가철회")</f>
        <v>0</v>
      </c>
    </row>
    <row r="727" spans="1:7" ht="16.5" customHeight="1" x14ac:dyDescent="0.3">
      <c r="A727" s="170" t="s">
        <v>1622</v>
      </c>
      <c r="B727" s="165" t="s">
        <v>1623</v>
      </c>
      <c r="C727" s="165" t="str">
        <f>IFERROR(VLOOKUP($A727,작성용!A:AL,14,0),"-")</f>
        <v>-</v>
      </c>
      <c r="D727" s="169" t="s">
        <v>1431</v>
      </c>
      <c r="E727" s="167" t="str">
        <f>IFERROR(VLOOKUP(A727,작성용!A:AL,34,0),"-")</f>
        <v>-</v>
      </c>
      <c r="F727" s="168" t="s">
        <v>2</v>
      </c>
      <c r="G727" s="179">
        <f>COUNTIF(작성용!A:B,$A727)-COUNTIFS(작성용!A:A,$A727,작성용!AA:AA,"평가철회")</f>
        <v>0</v>
      </c>
    </row>
    <row r="728" spans="1:7" ht="16.5" customHeight="1" x14ac:dyDescent="0.3">
      <c r="A728" s="170" t="s">
        <v>1624</v>
      </c>
      <c r="B728" s="165" t="s">
        <v>1625</v>
      </c>
      <c r="C728" s="165" t="str">
        <f>IFERROR(VLOOKUP($A728,작성용!A:AL,14,0),"-")</f>
        <v>-</v>
      </c>
      <c r="D728" s="169" t="s">
        <v>13</v>
      </c>
      <c r="E728" s="167" t="str">
        <f>IFERROR(VLOOKUP(A728,작성용!A:AL,34,0),"-")</f>
        <v>-</v>
      </c>
      <c r="F728" s="168" t="s">
        <v>2</v>
      </c>
      <c r="G728" s="179">
        <f>COUNTIF(작성용!A:B,$A728)-COUNTIFS(작성용!A:A,$A728,작성용!AA:AA,"평가철회")</f>
        <v>0</v>
      </c>
    </row>
    <row r="729" spans="1:7" ht="16.5" customHeight="1" x14ac:dyDescent="0.3">
      <c r="A729" s="170" t="s">
        <v>1626</v>
      </c>
      <c r="B729" s="165" t="s">
        <v>1627</v>
      </c>
      <c r="C729" s="165" t="str">
        <f>IFERROR(VLOOKUP($A729,작성용!A:AL,14,0),"-")</f>
        <v>-</v>
      </c>
      <c r="D729" s="169" t="s">
        <v>495</v>
      </c>
      <c r="E729" s="167" t="str">
        <f>IFERROR(VLOOKUP(A729,작성용!A:AL,34,0),"-")</f>
        <v>-</v>
      </c>
      <c r="F729" s="168" t="s">
        <v>2</v>
      </c>
      <c r="G729" s="179">
        <f>COUNTIF(작성용!A:B,$A729)-COUNTIFS(작성용!A:A,$A729,작성용!AA:AA,"평가철회")</f>
        <v>0</v>
      </c>
    </row>
    <row r="730" spans="1:7" ht="16.5" customHeight="1" x14ac:dyDescent="0.3">
      <c r="A730" s="170" t="s">
        <v>1628</v>
      </c>
      <c r="B730" s="165" t="s">
        <v>1629</v>
      </c>
      <c r="C730" s="165" t="str">
        <f>IFERROR(VLOOKUP($A730,작성용!A:AL,14,0),"-")</f>
        <v>-</v>
      </c>
      <c r="D730" s="169" t="s">
        <v>1462</v>
      </c>
      <c r="E730" s="167" t="str">
        <f>IFERROR(VLOOKUP(A730,작성용!A:AL,34,0),"-")</f>
        <v>-</v>
      </c>
      <c r="F730" s="168" t="s">
        <v>2</v>
      </c>
      <c r="G730" s="179">
        <f>COUNTIF(작성용!A:B,$A730)-COUNTIFS(작성용!A:A,$A730,작성용!AA:AA,"평가철회")</f>
        <v>0</v>
      </c>
    </row>
    <row r="731" spans="1:7" ht="16.5" customHeight="1" x14ac:dyDescent="0.3">
      <c r="A731" s="170" t="s">
        <v>1630</v>
      </c>
      <c r="B731" s="165" t="s">
        <v>1631</v>
      </c>
      <c r="C731" s="165" t="str">
        <f>IFERROR(VLOOKUP($A731,작성용!A:AL,14,0),"-")</f>
        <v>-</v>
      </c>
      <c r="D731" s="169" t="s">
        <v>1551</v>
      </c>
      <c r="E731" s="167" t="str">
        <f>IFERROR(VLOOKUP(A731,작성용!A:AL,34,0),"-")</f>
        <v>-</v>
      </c>
      <c r="F731" s="168" t="s">
        <v>2</v>
      </c>
      <c r="G731" s="179">
        <f>COUNTIF(작성용!A:B,$A731)-COUNTIFS(작성용!A:A,$A731,작성용!AA:AA,"평가철회")</f>
        <v>0</v>
      </c>
    </row>
    <row r="732" spans="1:7" ht="16.5" customHeight="1" x14ac:dyDescent="0.3">
      <c r="A732" s="170" t="s">
        <v>1632</v>
      </c>
      <c r="B732" s="165" t="s">
        <v>1633</v>
      </c>
      <c r="C732" s="165" t="str">
        <f>IFERROR(VLOOKUP($A732,작성용!A:AL,14,0),"-")</f>
        <v>-</v>
      </c>
      <c r="D732" s="169" t="s">
        <v>6388</v>
      </c>
      <c r="E732" s="167" t="str">
        <f>IFERROR(VLOOKUP(A732,작성용!A:AL,34,0),"-")</f>
        <v>-</v>
      </c>
      <c r="F732" s="168" t="s">
        <v>6283</v>
      </c>
      <c r="G732" s="179">
        <f>COUNTIF(작성용!A:B,$A732)-COUNTIFS(작성용!A:A,$A732,작성용!AA:AA,"평가철회")</f>
        <v>0</v>
      </c>
    </row>
    <row r="733" spans="1:7" ht="16.5" customHeight="1" x14ac:dyDescent="0.3">
      <c r="A733" s="170" t="s">
        <v>1634</v>
      </c>
      <c r="B733" s="165" t="s">
        <v>1635</v>
      </c>
      <c r="C733" s="165" t="str">
        <f>IFERROR(VLOOKUP($A733,작성용!A:AL,14,0),"-")</f>
        <v xml:space="preserve">연말 </v>
      </c>
      <c r="D733" s="169" t="s">
        <v>6316</v>
      </c>
      <c r="E733" s="167" t="str">
        <f>IFERROR(VLOOKUP(A733,작성용!A:AL,34,0),"-")</f>
        <v>서경덕</v>
      </c>
      <c r="F733" s="168" t="s">
        <v>6378</v>
      </c>
      <c r="G733" s="179">
        <f>COUNTIF(작성용!A:B,$A733)-COUNTIFS(작성용!A:A,$A733,작성용!AA:AA,"평가철회")</f>
        <v>1</v>
      </c>
    </row>
    <row r="734" spans="1:7" ht="16.5" customHeight="1" x14ac:dyDescent="0.3">
      <c r="A734" s="170" t="s">
        <v>1636</v>
      </c>
      <c r="B734" s="165" t="s">
        <v>1637</v>
      </c>
      <c r="C734" s="165" t="str">
        <f>IFERROR(VLOOKUP($A734,작성용!A:AL,14,0),"-")</f>
        <v>-</v>
      </c>
      <c r="D734" s="169" t="s">
        <v>6385</v>
      </c>
      <c r="E734" s="167" t="str">
        <f>IFERROR(VLOOKUP(A734,작성용!A:AL,34,0),"-")</f>
        <v>-</v>
      </c>
      <c r="F734" s="168" t="s">
        <v>2</v>
      </c>
      <c r="G734" s="179">
        <f>COUNTIF(작성용!A:B,$A734)-COUNTIFS(작성용!A:A,$A734,작성용!AA:AA,"평가철회")</f>
        <v>0</v>
      </c>
    </row>
    <row r="735" spans="1:7" ht="16.5" customHeight="1" x14ac:dyDescent="0.3">
      <c r="A735" s="170" t="s">
        <v>1638</v>
      </c>
      <c r="B735" s="165" t="s">
        <v>1639</v>
      </c>
      <c r="C735" s="165" t="str">
        <f>IFERROR(VLOOKUP($A735,작성용!A:AL,14,0),"-")</f>
        <v>-</v>
      </c>
      <c r="D735" s="169" t="s">
        <v>6320</v>
      </c>
      <c r="E735" s="167" t="str">
        <f>IFERROR(VLOOKUP(A735,작성용!A:AL,34,0),"-")</f>
        <v>-</v>
      </c>
      <c r="F735" s="168" t="s">
        <v>6304</v>
      </c>
      <c r="G735" s="179">
        <f>COUNTIF(작성용!A:B,$A735)-COUNTIFS(작성용!A:A,$A735,작성용!AA:AA,"평가철회")</f>
        <v>0</v>
      </c>
    </row>
    <row r="736" spans="1:7" ht="16.5" customHeight="1" x14ac:dyDescent="0.3">
      <c r="A736" s="170" t="s">
        <v>1640</v>
      </c>
      <c r="B736" s="165" t="s">
        <v>1641</v>
      </c>
      <c r="C736" s="165" t="str">
        <f>IFERROR(VLOOKUP($A736,작성용!A:AL,14,0),"-")</f>
        <v>연말</v>
      </c>
      <c r="D736" s="169" t="s">
        <v>3584</v>
      </c>
      <c r="E736" s="167" t="str">
        <f>IFERROR(VLOOKUP(A736,작성용!A:AL,34,0),"-")</f>
        <v>신원준</v>
      </c>
      <c r="F736" s="168" t="s">
        <v>6378</v>
      </c>
      <c r="G736" s="179">
        <f>COUNTIF(작성용!A:B,$A736)-COUNTIFS(작성용!A:A,$A736,작성용!AA:AA,"평가철회")</f>
        <v>12</v>
      </c>
    </row>
    <row r="737" spans="1:7" ht="16.5" customHeight="1" x14ac:dyDescent="0.3">
      <c r="A737" s="170" t="s">
        <v>1642</v>
      </c>
      <c r="B737" s="165" t="s">
        <v>1643</v>
      </c>
      <c r="C737" s="165" t="str">
        <f>IFERROR(VLOOKUP($A737,작성용!A:AL,14,0),"-")</f>
        <v>-</v>
      </c>
      <c r="D737" s="169" t="s">
        <v>247</v>
      </c>
      <c r="E737" s="167" t="str">
        <f>IFERROR(VLOOKUP(A737,작성용!A:AL,34,0),"-")</f>
        <v>-</v>
      </c>
      <c r="F737" s="168" t="s">
        <v>2</v>
      </c>
      <c r="G737" s="179">
        <f>COUNTIF(작성용!A:B,$A737)-COUNTIFS(작성용!A:A,$A737,작성용!AA:AA,"평가철회")</f>
        <v>0</v>
      </c>
    </row>
    <row r="738" spans="1:7" ht="16.5" customHeight="1" x14ac:dyDescent="0.3">
      <c r="A738" s="170" t="s">
        <v>1644</v>
      </c>
      <c r="B738" s="165" t="s">
        <v>1645</v>
      </c>
      <c r="C738" s="165" t="str">
        <f>IFERROR(VLOOKUP($A738,작성용!A:AL,14,0),"-")</f>
        <v>-</v>
      </c>
      <c r="D738" s="169" t="s">
        <v>656</v>
      </c>
      <c r="E738" s="167" t="str">
        <f>IFERROR(VLOOKUP(A738,작성용!A:AL,34,0),"-")</f>
        <v>-</v>
      </c>
      <c r="F738" s="168" t="s">
        <v>2</v>
      </c>
      <c r="G738" s="179">
        <f>COUNTIF(작성용!A:B,$A738)-COUNTIFS(작성용!A:A,$A738,작성용!AA:AA,"평가철회")</f>
        <v>0</v>
      </c>
    </row>
    <row r="739" spans="1:7" ht="16.5" customHeight="1" x14ac:dyDescent="0.3">
      <c r="A739" s="170" t="s">
        <v>1646</v>
      </c>
      <c r="B739" s="165" t="s">
        <v>1647</v>
      </c>
      <c r="C739" s="165" t="str">
        <f>IFERROR(VLOOKUP($A739,작성용!A:AL,14,0),"-")</f>
        <v>-</v>
      </c>
      <c r="D739" s="169" t="s">
        <v>6445</v>
      </c>
      <c r="E739" s="167" t="str">
        <f>IFERROR(VLOOKUP(A739,작성용!A:AL,34,0),"-")</f>
        <v>-</v>
      </c>
      <c r="F739" s="168" t="s">
        <v>6378</v>
      </c>
      <c r="G739" s="179">
        <f>COUNTIF(작성용!A:B,$A739)-COUNTIFS(작성용!A:A,$A739,작성용!AA:AA,"평가철회")</f>
        <v>0</v>
      </c>
    </row>
    <row r="740" spans="1:7" ht="16.5" customHeight="1" x14ac:dyDescent="0.3">
      <c r="A740" s="170" t="s">
        <v>1648</v>
      </c>
      <c r="B740" s="165" t="s">
        <v>1649</v>
      </c>
      <c r="C740" s="165" t="str">
        <f>IFERROR(VLOOKUP($A740,작성용!A:AL,14,0),"-")</f>
        <v>-</v>
      </c>
      <c r="D740" s="169" t="s">
        <v>6446</v>
      </c>
      <c r="E740" s="167" t="str">
        <f>IFERROR(VLOOKUP(A740,작성용!A:AL,34,0),"-")</f>
        <v>-</v>
      </c>
      <c r="F740" s="168" t="s">
        <v>6382</v>
      </c>
      <c r="G740" s="179">
        <f>COUNTIF(작성용!A:B,$A740)-COUNTIFS(작성용!A:A,$A740,작성용!AA:AA,"평가철회")</f>
        <v>0</v>
      </c>
    </row>
    <row r="741" spans="1:7" ht="16.5" customHeight="1" x14ac:dyDescent="0.3">
      <c r="A741" s="170" t="s">
        <v>1650</v>
      </c>
      <c r="B741" s="165" t="s">
        <v>1651</v>
      </c>
      <c r="C741" s="165" t="str">
        <f>IFERROR(VLOOKUP($A741,작성용!A:AL,14,0),"-")</f>
        <v>-</v>
      </c>
      <c r="D741" s="169" t="s">
        <v>1652</v>
      </c>
      <c r="E741" s="167" t="str">
        <f>IFERROR(VLOOKUP(A741,작성용!A:AL,34,0),"-")</f>
        <v>-</v>
      </c>
      <c r="F741" s="168" t="s">
        <v>2</v>
      </c>
      <c r="G741" s="179">
        <f>COUNTIF(작성용!A:B,$A741)-COUNTIFS(작성용!A:A,$A741,작성용!AA:AA,"평가철회")</f>
        <v>0</v>
      </c>
    </row>
    <row r="742" spans="1:7" ht="16.5" customHeight="1" x14ac:dyDescent="0.3">
      <c r="A742" s="170" t="s">
        <v>1653</v>
      </c>
      <c r="B742" s="165" t="s">
        <v>1654</v>
      </c>
      <c r="C742" s="165" t="str">
        <f>IFERROR(VLOOKUP($A742,작성용!A:AL,14,0),"-")</f>
        <v>-</v>
      </c>
      <c r="D742" s="169" t="s">
        <v>1652</v>
      </c>
      <c r="E742" s="167" t="str">
        <f>IFERROR(VLOOKUP(A742,작성용!A:AL,34,0),"-")</f>
        <v>-</v>
      </c>
      <c r="F742" s="168" t="s">
        <v>6382</v>
      </c>
      <c r="G742" s="179">
        <f>COUNTIF(작성용!A:B,$A742)-COUNTIFS(작성용!A:A,$A742,작성용!AA:AA,"평가철회")</f>
        <v>0</v>
      </c>
    </row>
    <row r="743" spans="1:7" ht="16.5" customHeight="1" x14ac:dyDescent="0.3">
      <c r="A743" s="170" t="s">
        <v>1655</v>
      </c>
      <c r="B743" s="165" t="s">
        <v>1656</v>
      </c>
      <c r="C743" s="165" t="str">
        <f>IFERROR(VLOOKUP($A743,작성용!A:AL,14,0),"-")</f>
        <v>-</v>
      </c>
      <c r="D743" s="169" t="s">
        <v>6385</v>
      </c>
      <c r="E743" s="167" t="str">
        <f>IFERROR(VLOOKUP(A743,작성용!A:AL,34,0),"-")</f>
        <v>-</v>
      </c>
      <c r="F743" s="168" t="s">
        <v>6304</v>
      </c>
      <c r="G743" s="179">
        <f>COUNTIF(작성용!A:B,$A743)-COUNTIFS(작성용!A:A,$A743,작성용!AA:AA,"평가철회")</f>
        <v>0</v>
      </c>
    </row>
    <row r="744" spans="1:7" ht="16.5" customHeight="1" x14ac:dyDescent="0.3">
      <c r="A744" s="170" t="s">
        <v>1657</v>
      </c>
      <c r="B744" s="165" t="s">
        <v>1658</v>
      </c>
      <c r="C744" s="165" t="str">
        <f>IFERROR(VLOOKUP($A744,작성용!A:AL,14,0),"-")</f>
        <v>-</v>
      </c>
      <c r="D744" s="169" t="s">
        <v>71</v>
      </c>
      <c r="E744" s="167" t="str">
        <f>IFERROR(VLOOKUP(A744,작성용!A:AL,34,0),"-")</f>
        <v>-</v>
      </c>
      <c r="F744" s="168" t="s">
        <v>2</v>
      </c>
      <c r="G744" s="179">
        <f>COUNTIF(작성용!A:B,$A744)-COUNTIFS(작성용!A:A,$A744,작성용!AA:AA,"평가철회")</f>
        <v>0</v>
      </c>
    </row>
    <row r="745" spans="1:7" ht="16.5" customHeight="1" x14ac:dyDescent="0.3">
      <c r="A745" s="170" t="s">
        <v>1659</v>
      </c>
      <c r="B745" s="165" t="s">
        <v>1660</v>
      </c>
      <c r="C745" s="165" t="str">
        <f>IFERROR(VLOOKUP($A745,작성용!A:AL,14,0),"-")</f>
        <v>-</v>
      </c>
      <c r="D745" s="169" t="s">
        <v>498</v>
      </c>
      <c r="E745" s="167" t="str">
        <f>IFERROR(VLOOKUP(A745,작성용!A:AL,34,0),"-")</f>
        <v>-</v>
      </c>
      <c r="F745" s="168" t="s">
        <v>2</v>
      </c>
      <c r="G745" s="179">
        <f>COUNTIF(작성용!A:B,$A745)-COUNTIFS(작성용!A:A,$A745,작성용!AA:AA,"평가철회")</f>
        <v>0</v>
      </c>
    </row>
    <row r="746" spans="1:7" ht="16.5" customHeight="1" x14ac:dyDescent="0.3">
      <c r="A746" s="170" t="s">
        <v>1661</v>
      </c>
      <c r="B746" s="165" t="s">
        <v>951</v>
      </c>
      <c r="C746" s="165" t="str">
        <f>IFERROR(VLOOKUP($A746,작성용!A:AL,14,0),"-")</f>
        <v>-</v>
      </c>
      <c r="D746" s="169" t="s">
        <v>694</v>
      </c>
      <c r="E746" s="167" t="str">
        <f>IFERROR(VLOOKUP(A746,작성용!A:AL,34,0),"-")</f>
        <v>-</v>
      </c>
      <c r="F746" s="168" t="s">
        <v>2</v>
      </c>
      <c r="G746" s="179">
        <f>COUNTIF(작성용!A:B,$A746)-COUNTIFS(작성용!A:A,$A746,작성용!AA:AA,"평가철회")</f>
        <v>0</v>
      </c>
    </row>
    <row r="747" spans="1:7" ht="16.5" customHeight="1" x14ac:dyDescent="0.3">
      <c r="A747" s="170" t="s">
        <v>1662</v>
      </c>
      <c r="B747" s="165" t="s">
        <v>953</v>
      </c>
      <c r="C747" s="165" t="str">
        <f>IFERROR(VLOOKUP($A747,작성용!A:AL,14,0),"-")</f>
        <v>-</v>
      </c>
      <c r="D747" s="169" t="s">
        <v>6447</v>
      </c>
      <c r="E747" s="167" t="str">
        <f>IFERROR(VLOOKUP(A747,작성용!A:AL,34,0),"-")</f>
        <v>-</v>
      </c>
      <c r="F747" s="168" t="s">
        <v>6380</v>
      </c>
      <c r="G747" s="179">
        <f>COUNTIF(작성용!A:B,$A747)-COUNTIFS(작성용!A:A,$A747,작성용!AA:AA,"평가철회")</f>
        <v>0</v>
      </c>
    </row>
    <row r="748" spans="1:7" ht="16.5" customHeight="1" x14ac:dyDescent="0.3">
      <c r="A748" s="170" t="s">
        <v>1663</v>
      </c>
      <c r="B748" s="165" t="s">
        <v>957</v>
      </c>
      <c r="C748" s="165" t="str">
        <f>IFERROR(VLOOKUP($A748,작성용!A:AL,14,0),"-")</f>
        <v>-</v>
      </c>
      <c r="D748" s="169" t="s">
        <v>6388</v>
      </c>
      <c r="E748" s="167" t="str">
        <f>IFERROR(VLOOKUP(A748,작성용!A:AL,34,0),"-")</f>
        <v>-</v>
      </c>
      <c r="F748" s="168" t="s">
        <v>2</v>
      </c>
      <c r="G748" s="179">
        <f>COUNTIF(작성용!A:B,$A748)-COUNTIFS(작성용!A:A,$A748,작성용!AA:AA,"평가철회")</f>
        <v>0</v>
      </c>
    </row>
    <row r="749" spans="1:7" ht="16.5" customHeight="1" x14ac:dyDescent="0.3">
      <c r="A749" s="170" t="s">
        <v>1664</v>
      </c>
      <c r="B749" s="165" t="s">
        <v>1665</v>
      </c>
      <c r="C749" s="165" t="str">
        <f>IFERROR(VLOOKUP($A749,작성용!A:AL,14,0),"-")</f>
        <v>-</v>
      </c>
      <c r="D749" s="169" t="s">
        <v>247</v>
      </c>
      <c r="E749" s="167" t="str">
        <f>IFERROR(VLOOKUP(A749,작성용!A:AL,34,0),"-")</f>
        <v>-</v>
      </c>
      <c r="F749" s="168" t="s">
        <v>2</v>
      </c>
      <c r="G749" s="179">
        <f>COUNTIF(작성용!A:B,$A749)-COUNTIFS(작성용!A:A,$A749,작성용!AA:AA,"평가철회")</f>
        <v>0</v>
      </c>
    </row>
    <row r="750" spans="1:7" ht="16.5" customHeight="1" x14ac:dyDescent="0.3">
      <c r="A750" s="170" t="s">
        <v>1666</v>
      </c>
      <c r="B750" s="165" t="s">
        <v>1667</v>
      </c>
      <c r="C750" s="165" t="str">
        <f>IFERROR(VLOOKUP($A750,작성용!A:AL,14,0),"-")</f>
        <v>-</v>
      </c>
      <c r="D750" s="169" t="s">
        <v>71</v>
      </c>
      <c r="E750" s="167" t="str">
        <f>IFERROR(VLOOKUP(A750,작성용!A:AL,34,0),"-")</f>
        <v>-</v>
      </c>
      <c r="F750" s="168" t="s">
        <v>2</v>
      </c>
      <c r="G750" s="179">
        <f>COUNTIF(작성용!A:B,$A750)-COUNTIFS(작성용!A:A,$A750,작성용!AA:AA,"평가철회")</f>
        <v>0</v>
      </c>
    </row>
    <row r="751" spans="1:7" ht="16.5" customHeight="1" x14ac:dyDescent="0.3">
      <c r="A751" s="170" t="s">
        <v>1668</v>
      </c>
      <c r="B751" s="165" t="s">
        <v>1669</v>
      </c>
      <c r="C751" s="165" t="str">
        <f>IFERROR(VLOOKUP($A751,작성용!A:AL,14,0),"-")</f>
        <v>-</v>
      </c>
      <c r="D751" s="169" t="s">
        <v>6325</v>
      </c>
      <c r="E751" s="167" t="str">
        <f>IFERROR(VLOOKUP(A751,작성용!A:AL,34,0),"-")</f>
        <v>-</v>
      </c>
      <c r="F751" s="168" t="s">
        <v>2</v>
      </c>
      <c r="G751" s="179">
        <f>COUNTIF(작성용!A:B,$A751)-COUNTIFS(작성용!A:A,$A751,작성용!AA:AA,"평가철회")</f>
        <v>0</v>
      </c>
    </row>
    <row r="752" spans="1:7" ht="16.5" customHeight="1" x14ac:dyDescent="0.3">
      <c r="A752" s="170" t="s">
        <v>1670</v>
      </c>
      <c r="B752" s="165" t="s">
        <v>1671</v>
      </c>
      <c r="C752" s="165" t="str">
        <f>IFERROR(VLOOKUP($A752,작성용!A:AL,14,0),"-")</f>
        <v>-</v>
      </c>
      <c r="D752" s="169" t="s">
        <v>1672</v>
      </c>
      <c r="E752" s="167" t="str">
        <f>IFERROR(VLOOKUP(A752,작성용!A:AL,34,0),"-")</f>
        <v>-</v>
      </c>
      <c r="F752" s="168" t="s">
        <v>2</v>
      </c>
      <c r="G752" s="179">
        <f>COUNTIF(작성용!A:B,$A752)-COUNTIFS(작성용!A:A,$A752,작성용!AA:AA,"평가철회")</f>
        <v>0</v>
      </c>
    </row>
    <row r="753" spans="1:7" ht="16.5" customHeight="1" x14ac:dyDescent="0.3">
      <c r="A753" s="170" t="s">
        <v>1673</v>
      </c>
      <c r="B753" s="165" t="s">
        <v>961</v>
      </c>
      <c r="C753" s="165" t="str">
        <f>IFERROR(VLOOKUP($A753,작성용!A:AL,14,0),"-")</f>
        <v>-</v>
      </c>
      <c r="D753" s="169" t="s">
        <v>6442</v>
      </c>
      <c r="E753" s="167" t="str">
        <f>IFERROR(VLOOKUP(A753,작성용!A:AL,34,0),"-")</f>
        <v>-</v>
      </c>
      <c r="F753" s="168" t="s">
        <v>6378</v>
      </c>
      <c r="G753" s="179">
        <f>COUNTIF(작성용!A:B,$A753)-COUNTIFS(작성용!A:A,$A753,작성용!AA:AA,"평가철회")</f>
        <v>0</v>
      </c>
    </row>
    <row r="754" spans="1:7" ht="16.5" customHeight="1" x14ac:dyDescent="0.3">
      <c r="A754" s="170" t="s">
        <v>1674</v>
      </c>
      <c r="B754" s="165" t="s">
        <v>1675</v>
      </c>
      <c r="C754" s="165" t="str">
        <f>IFERROR(VLOOKUP($A754,작성용!A:AL,14,0),"-")</f>
        <v>-</v>
      </c>
      <c r="D754" s="169" t="s">
        <v>6279</v>
      </c>
      <c r="E754" s="167" t="str">
        <f>IFERROR(VLOOKUP(A754,작성용!A:AL,34,0),"-")</f>
        <v>-</v>
      </c>
      <c r="F754" s="168" t="s">
        <v>6283</v>
      </c>
      <c r="G754" s="179">
        <f>COUNTIF(작성용!A:B,$A754)-COUNTIFS(작성용!A:A,$A754,작성용!AA:AA,"평가철회")</f>
        <v>0</v>
      </c>
    </row>
    <row r="755" spans="1:7" ht="16.5" customHeight="1" x14ac:dyDescent="0.3">
      <c r="A755" s="170" t="s">
        <v>1676</v>
      </c>
      <c r="B755" s="165" t="s">
        <v>6448</v>
      </c>
      <c r="C755" s="165" t="str">
        <f>IFERROR(VLOOKUP($A755,작성용!A:AL,14,0),"-")</f>
        <v>-</v>
      </c>
      <c r="D755" s="169" t="s">
        <v>6449</v>
      </c>
      <c r="E755" s="167" t="str">
        <f>IFERROR(VLOOKUP(A755,작성용!A:AL,34,0),"-")</f>
        <v>-</v>
      </c>
      <c r="F755" s="168" t="s">
        <v>6378</v>
      </c>
      <c r="G755" s="179">
        <f>COUNTIF(작성용!A:B,$A755)-COUNTIFS(작성용!A:A,$A755,작성용!AA:AA,"평가철회")</f>
        <v>0</v>
      </c>
    </row>
    <row r="756" spans="1:7" ht="16.5" customHeight="1" x14ac:dyDescent="0.3">
      <c r="A756" s="170" t="s">
        <v>1677</v>
      </c>
      <c r="B756" s="165" t="s">
        <v>1678</v>
      </c>
      <c r="C756" s="165" t="str">
        <f>IFERROR(VLOOKUP($A756,작성용!A:AL,14,0),"-")</f>
        <v>-</v>
      </c>
      <c r="D756" s="169" t="s">
        <v>273</v>
      </c>
      <c r="E756" s="167" t="str">
        <f>IFERROR(VLOOKUP(A756,작성용!A:AL,34,0),"-")</f>
        <v>-</v>
      </c>
      <c r="F756" s="168" t="s">
        <v>2</v>
      </c>
      <c r="G756" s="179">
        <f>COUNTIF(작성용!A:B,$A756)-COUNTIFS(작성용!A:A,$A756,작성용!AA:AA,"평가철회")</f>
        <v>0</v>
      </c>
    </row>
    <row r="757" spans="1:7" ht="16.5" customHeight="1" x14ac:dyDescent="0.3">
      <c r="A757" s="170" t="s">
        <v>1679</v>
      </c>
      <c r="B757" s="165" t="s">
        <v>1680</v>
      </c>
      <c r="C757" s="165" t="str">
        <f>IFERROR(VLOOKUP($A757,작성용!A:AL,14,0),"-")</f>
        <v>-</v>
      </c>
      <c r="D757" s="169" t="s">
        <v>1681</v>
      </c>
      <c r="E757" s="167" t="str">
        <f>IFERROR(VLOOKUP(A757,작성용!A:AL,34,0),"-")</f>
        <v>-</v>
      </c>
      <c r="F757" s="168" t="s">
        <v>2</v>
      </c>
      <c r="G757" s="179">
        <f>COUNTIF(작성용!A:B,$A757)-COUNTIFS(작성용!A:A,$A757,작성용!AA:AA,"평가철회")</f>
        <v>0</v>
      </c>
    </row>
    <row r="758" spans="1:7" ht="16.5" customHeight="1" x14ac:dyDescent="0.3">
      <c r="A758" s="170" t="s">
        <v>1682</v>
      </c>
      <c r="B758" s="165" t="s">
        <v>1683</v>
      </c>
      <c r="C758" s="165" t="str">
        <f>IFERROR(VLOOKUP($A758,작성용!A:AL,14,0),"-")</f>
        <v>-</v>
      </c>
      <c r="D758" s="169" t="s">
        <v>592</v>
      </c>
      <c r="E758" s="167" t="str">
        <f>IFERROR(VLOOKUP(A758,작성용!A:AL,34,0),"-")</f>
        <v>-</v>
      </c>
      <c r="F758" s="168" t="s">
        <v>2</v>
      </c>
      <c r="G758" s="179">
        <f>COUNTIF(작성용!A:B,$A758)-COUNTIFS(작성용!A:A,$A758,작성용!AA:AA,"평가철회")</f>
        <v>0</v>
      </c>
    </row>
    <row r="759" spans="1:7" ht="16.5" customHeight="1" x14ac:dyDescent="0.3">
      <c r="A759" s="170" t="s">
        <v>1684</v>
      </c>
      <c r="B759" s="165" t="s">
        <v>1685</v>
      </c>
      <c r="C759" s="165" t="str">
        <f>IFERROR(VLOOKUP($A759,작성용!A:AL,14,0),"-")</f>
        <v>-</v>
      </c>
      <c r="D759" s="169" t="s">
        <v>74</v>
      </c>
      <c r="E759" s="167" t="str">
        <f>IFERROR(VLOOKUP(A759,작성용!A:AL,34,0),"-")</f>
        <v>-</v>
      </c>
      <c r="F759" s="168" t="s">
        <v>2</v>
      </c>
      <c r="G759" s="179">
        <f>COUNTIF(작성용!A:B,$A759)-COUNTIFS(작성용!A:A,$A759,작성용!AA:AA,"평가철회")</f>
        <v>0</v>
      </c>
    </row>
    <row r="760" spans="1:7" ht="16.5" customHeight="1" x14ac:dyDescent="0.3">
      <c r="A760" s="170" t="s">
        <v>1686</v>
      </c>
      <c r="B760" s="165" t="s">
        <v>1687</v>
      </c>
      <c r="C760" s="165" t="str">
        <f>IFERROR(VLOOKUP($A760,작성용!A:AL,14,0),"-")</f>
        <v>-</v>
      </c>
      <c r="D760" s="169" t="s">
        <v>694</v>
      </c>
      <c r="E760" s="167" t="str">
        <f>IFERROR(VLOOKUP(A760,작성용!A:AL,34,0),"-")</f>
        <v>-</v>
      </c>
      <c r="F760" s="168" t="s">
        <v>2</v>
      </c>
      <c r="G760" s="179">
        <f>COUNTIF(작성용!A:B,$A760)-COUNTIFS(작성용!A:A,$A760,작성용!AA:AA,"평가철회")</f>
        <v>0</v>
      </c>
    </row>
    <row r="761" spans="1:7" ht="16.5" customHeight="1" x14ac:dyDescent="0.3">
      <c r="A761" s="170" t="s">
        <v>1688</v>
      </c>
      <c r="B761" s="165" t="s">
        <v>1689</v>
      </c>
      <c r="C761" s="165" t="str">
        <f>IFERROR(VLOOKUP($A761,작성용!A:AL,14,0),"-")</f>
        <v>-</v>
      </c>
      <c r="D761" s="169" t="s">
        <v>1431</v>
      </c>
      <c r="E761" s="167" t="str">
        <f>IFERROR(VLOOKUP(A761,작성용!A:AL,34,0),"-")</f>
        <v>-</v>
      </c>
      <c r="F761" s="168" t="s">
        <v>2</v>
      </c>
      <c r="G761" s="179">
        <f>COUNTIF(작성용!A:B,$A761)-COUNTIFS(작성용!A:A,$A761,작성용!AA:AA,"평가철회")</f>
        <v>0</v>
      </c>
    </row>
    <row r="762" spans="1:7" ht="16.5" customHeight="1" x14ac:dyDescent="0.3">
      <c r="A762" s="170" t="s">
        <v>1690</v>
      </c>
      <c r="B762" s="165" t="s">
        <v>1691</v>
      </c>
      <c r="C762" s="165" t="str">
        <f>IFERROR(VLOOKUP($A762,작성용!A:AL,14,0),"-")</f>
        <v>-</v>
      </c>
      <c r="D762" s="169" t="s">
        <v>13</v>
      </c>
      <c r="E762" s="167" t="str">
        <f>IFERROR(VLOOKUP(A762,작성용!A:AL,34,0),"-")</f>
        <v>-</v>
      </c>
      <c r="F762" s="168" t="s">
        <v>2</v>
      </c>
      <c r="G762" s="179">
        <f>COUNTIF(작성용!A:B,$A762)-COUNTIFS(작성용!A:A,$A762,작성용!AA:AA,"평가철회")</f>
        <v>0</v>
      </c>
    </row>
    <row r="763" spans="1:7" ht="16.5" customHeight="1" x14ac:dyDescent="0.3">
      <c r="A763" s="170" t="s">
        <v>1692</v>
      </c>
      <c r="B763" s="165" t="s">
        <v>975</v>
      </c>
      <c r="C763" s="165" t="str">
        <f>IFERROR(VLOOKUP($A763,작성용!A:AL,14,0),"-")</f>
        <v>-</v>
      </c>
      <c r="D763" s="169" t="s">
        <v>71</v>
      </c>
      <c r="E763" s="167" t="str">
        <f>IFERROR(VLOOKUP(A763,작성용!A:AL,34,0),"-")</f>
        <v>-</v>
      </c>
      <c r="F763" s="168" t="s">
        <v>2</v>
      </c>
      <c r="G763" s="179">
        <f>COUNTIF(작성용!A:B,$A763)-COUNTIFS(작성용!A:A,$A763,작성용!AA:AA,"평가철회")</f>
        <v>0</v>
      </c>
    </row>
    <row r="764" spans="1:7" ht="16.5" customHeight="1" x14ac:dyDescent="0.3">
      <c r="A764" s="170" t="s">
        <v>1693</v>
      </c>
      <c r="B764" s="165" t="s">
        <v>1694</v>
      </c>
      <c r="C764" s="165" t="str">
        <f>IFERROR(VLOOKUP($A764,작성용!A:AL,14,0),"-")</f>
        <v>-</v>
      </c>
      <c r="D764" s="169" t="s">
        <v>13</v>
      </c>
      <c r="E764" s="167" t="str">
        <f>IFERROR(VLOOKUP(A764,작성용!A:AL,34,0),"-")</f>
        <v>-</v>
      </c>
      <c r="F764" s="168" t="s">
        <v>2</v>
      </c>
      <c r="G764" s="179">
        <f>COUNTIF(작성용!A:B,$A764)-COUNTIFS(작성용!A:A,$A764,작성용!AA:AA,"평가철회")</f>
        <v>0</v>
      </c>
    </row>
    <row r="765" spans="1:7" ht="16.5" customHeight="1" x14ac:dyDescent="0.3">
      <c r="A765" s="170" t="s">
        <v>1695</v>
      </c>
      <c r="B765" s="165" t="s">
        <v>1696</v>
      </c>
      <c r="C765" s="165" t="str">
        <f>IFERROR(VLOOKUP($A765,작성용!A:AL,14,0),"-")</f>
        <v>-</v>
      </c>
      <c r="D765" s="169" t="s">
        <v>436</v>
      </c>
      <c r="E765" s="167" t="str">
        <f>IFERROR(VLOOKUP(A765,작성용!A:AL,34,0),"-")</f>
        <v>-</v>
      </c>
      <c r="F765" s="168" t="s">
        <v>2</v>
      </c>
      <c r="G765" s="179">
        <f>COUNTIF(작성용!A:B,$A765)-COUNTIFS(작성용!A:A,$A765,작성용!AA:AA,"평가철회")</f>
        <v>0</v>
      </c>
    </row>
    <row r="766" spans="1:7" ht="16.5" customHeight="1" x14ac:dyDescent="0.3">
      <c r="A766" s="170" t="s">
        <v>1697</v>
      </c>
      <c r="B766" s="165" t="s">
        <v>1698</v>
      </c>
      <c r="C766" s="165" t="str">
        <f>IFERROR(VLOOKUP($A766,작성용!A:AL,14,0),"-")</f>
        <v>-</v>
      </c>
      <c r="D766" s="169" t="s">
        <v>6383</v>
      </c>
      <c r="E766" s="167" t="str">
        <f>IFERROR(VLOOKUP(A766,작성용!A:AL,34,0),"-")</f>
        <v>-</v>
      </c>
      <c r="F766" s="168" t="s">
        <v>6382</v>
      </c>
      <c r="G766" s="179">
        <f>COUNTIF(작성용!A:B,$A766)-COUNTIFS(작성용!A:A,$A766,작성용!AA:AA,"평가철회")</f>
        <v>0</v>
      </c>
    </row>
    <row r="767" spans="1:7" ht="16.5" customHeight="1" x14ac:dyDescent="0.3">
      <c r="A767" s="170" t="s">
        <v>1699</v>
      </c>
      <c r="B767" s="165" t="s">
        <v>1700</v>
      </c>
      <c r="C767" s="165" t="str">
        <f>IFERROR(VLOOKUP($A767,작성용!A:AL,14,0),"-")</f>
        <v>-</v>
      </c>
      <c r="D767" s="169" t="s">
        <v>2</v>
      </c>
      <c r="E767" s="167" t="str">
        <f>IFERROR(VLOOKUP(A767,작성용!A:AL,34,0),"-")</f>
        <v>-</v>
      </c>
      <c r="F767" s="168" t="s">
        <v>2</v>
      </c>
      <c r="G767" s="179">
        <f>COUNTIF(작성용!A:B,$A767)-COUNTIFS(작성용!A:A,$A767,작성용!AA:AA,"평가철회")</f>
        <v>0</v>
      </c>
    </row>
    <row r="768" spans="1:7" ht="16.5" customHeight="1" x14ac:dyDescent="0.3">
      <c r="A768" s="170" t="s">
        <v>1701</v>
      </c>
      <c r="B768" s="165" t="s">
        <v>1702</v>
      </c>
      <c r="C768" s="165" t="str">
        <f>IFERROR(VLOOKUP($A768,작성용!A:AL,14,0),"-")</f>
        <v>-</v>
      </c>
      <c r="D768" s="169" t="s">
        <v>2</v>
      </c>
      <c r="E768" s="167" t="str">
        <f>IFERROR(VLOOKUP(A768,작성용!A:AL,34,0),"-")</f>
        <v>-</v>
      </c>
      <c r="F768" s="168" t="s">
        <v>6378</v>
      </c>
      <c r="G768" s="179">
        <f>COUNTIF(작성용!A:B,$A768)-COUNTIFS(작성용!A:A,$A768,작성용!AA:AA,"평가철회")</f>
        <v>0</v>
      </c>
    </row>
    <row r="769" spans="1:7" ht="16.5" customHeight="1" x14ac:dyDescent="0.3">
      <c r="A769" s="170" t="s">
        <v>1703</v>
      </c>
      <c r="B769" s="165" t="s">
        <v>1704</v>
      </c>
      <c r="C769" s="165" t="str">
        <f>IFERROR(VLOOKUP($A769,작성용!A:AL,14,0),"-")</f>
        <v>-</v>
      </c>
      <c r="D769" s="169" t="s">
        <v>71</v>
      </c>
      <c r="E769" s="167" t="str">
        <f>IFERROR(VLOOKUP(A769,작성용!A:AL,34,0),"-")</f>
        <v>-</v>
      </c>
      <c r="F769" s="168" t="s">
        <v>6378</v>
      </c>
      <c r="G769" s="179">
        <f>COUNTIF(작성용!A:B,$A769)-COUNTIFS(작성용!A:A,$A769,작성용!AA:AA,"평가철회")</f>
        <v>0</v>
      </c>
    </row>
    <row r="770" spans="1:7" ht="16.5" customHeight="1" x14ac:dyDescent="0.3">
      <c r="A770" s="170" t="s">
        <v>1705</v>
      </c>
      <c r="B770" s="165" t="s">
        <v>1706</v>
      </c>
      <c r="C770" s="165" t="str">
        <f>IFERROR(VLOOKUP($A770,작성용!A:AL,14,0),"-")</f>
        <v>-</v>
      </c>
      <c r="D770" s="169" t="s">
        <v>1652</v>
      </c>
      <c r="E770" s="167" t="str">
        <f>IFERROR(VLOOKUP(A770,작성용!A:AL,34,0),"-")</f>
        <v>-</v>
      </c>
      <c r="F770" s="168" t="s">
        <v>6378</v>
      </c>
      <c r="G770" s="179">
        <f>COUNTIF(작성용!A:B,$A770)-COUNTIFS(작성용!A:A,$A770,작성용!AA:AA,"평가철회")</f>
        <v>0</v>
      </c>
    </row>
    <row r="771" spans="1:7" ht="16.5" customHeight="1" x14ac:dyDescent="0.3">
      <c r="A771" s="170" t="s">
        <v>1707</v>
      </c>
      <c r="B771" s="165" t="s">
        <v>1708</v>
      </c>
      <c r="C771" s="165" t="str">
        <f>IFERROR(VLOOKUP($A771,작성용!A:AL,14,0),"-")</f>
        <v>-</v>
      </c>
      <c r="D771" s="169" t="s">
        <v>492</v>
      </c>
      <c r="E771" s="167" t="str">
        <f>IFERROR(VLOOKUP(A771,작성용!A:AL,34,0),"-")</f>
        <v>-</v>
      </c>
      <c r="F771" s="168" t="s">
        <v>2</v>
      </c>
      <c r="G771" s="179">
        <f>COUNTIF(작성용!A:B,$A771)-COUNTIFS(작성용!A:A,$A771,작성용!AA:AA,"평가철회")</f>
        <v>0</v>
      </c>
    </row>
    <row r="772" spans="1:7" ht="16.5" customHeight="1" x14ac:dyDescent="0.3">
      <c r="A772" s="170" t="s">
        <v>1709</v>
      </c>
      <c r="B772" s="165" t="s">
        <v>1710</v>
      </c>
      <c r="C772" s="165" t="str">
        <f>IFERROR(VLOOKUP($A772,작성용!A:AL,14,0),"-")</f>
        <v>-</v>
      </c>
      <c r="D772" s="169" t="s">
        <v>463</v>
      </c>
      <c r="E772" s="167" t="str">
        <f>IFERROR(VLOOKUP(A772,작성용!A:AL,34,0),"-")</f>
        <v>-</v>
      </c>
      <c r="F772" s="168" t="s">
        <v>6378</v>
      </c>
      <c r="G772" s="179">
        <f>COUNTIF(작성용!A:B,$A772)-COUNTIFS(작성용!A:A,$A772,작성용!AA:AA,"평가철회")</f>
        <v>0</v>
      </c>
    </row>
    <row r="773" spans="1:7" ht="16.5" customHeight="1" x14ac:dyDescent="0.3">
      <c r="A773" s="170" t="s">
        <v>1711</v>
      </c>
      <c r="B773" s="165" t="s">
        <v>1712</v>
      </c>
      <c r="C773" s="165" t="str">
        <f>IFERROR(VLOOKUP($A773,작성용!A:AL,14,0),"-")</f>
        <v>-</v>
      </c>
      <c r="D773" s="169" t="s">
        <v>6450</v>
      </c>
      <c r="E773" s="167" t="str">
        <f>IFERROR(VLOOKUP(A773,작성용!A:AL,34,0),"-")</f>
        <v>-</v>
      </c>
      <c r="F773" s="168" t="s">
        <v>6378</v>
      </c>
      <c r="G773" s="179">
        <f>COUNTIF(작성용!A:B,$A773)-COUNTIFS(작성용!A:A,$A773,작성용!AA:AA,"평가철회")</f>
        <v>0</v>
      </c>
    </row>
    <row r="774" spans="1:7" ht="16.5" customHeight="1" x14ac:dyDescent="0.3">
      <c r="A774" s="170" t="s">
        <v>1713</v>
      </c>
      <c r="B774" s="165" t="s">
        <v>1714</v>
      </c>
      <c r="C774" s="165" t="str">
        <f>IFERROR(VLOOKUP($A774,작성용!A:AL,14,0),"-")</f>
        <v>-</v>
      </c>
      <c r="D774" s="169" t="s">
        <v>1715</v>
      </c>
      <c r="E774" s="167" t="str">
        <f>IFERROR(VLOOKUP(A774,작성용!A:AL,34,0),"-")</f>
        <v>-</v>
      </c>
      <c r="F774" s="168" t="s">
        <v>2</v>
      </c>
      <c r="G774" s="179">
        <f>COUNTIF(작성용!A:B,$A774)-COUNTIFS(작성용!A:A,$A774,작성용!AA:AA,"평가철회")</f>
        <v>0</v>
      </c>
    </row>
    <row r="775" spans="1:7" ht="16.5" customHeight="1" x14ac:dyDescent="0.3">
      <c r="A775" s="170" t="s">
        <v>1716</v>
      </c>
      <c r="B775" s="165" t="s">
        <v>1717</v>
      </c>
      <c r="C775" s="165" t="str">
        <f>IFERROR(VLOOKUP($A775,작성용!A:AL,14,0),"-")</f>
        <v>-</v>
      </c>
      <c r="D775" s="169" t="s">
        <v>498</v>
      </c>
      <c r="E775" s="167" t="str">
        <f>IFERROR(VLOOKUP(A775,작성용!A:AL,34,0),"-")</f>
        <v>-</v>
      </c>
      <c r="F775" s="168" t="s">
        <v>2</v>
      </c>
      <c r="G775" s="179">
        <f>COUNTIF(작성용!A:B,$A775)-COUNTIFS(작성용!A:A,$A775,작성용!AA:AA,"평가철회")</f>
        <v>0</v>
      </c>
    </row>
    <row r="776" spans="1:7" ht="16.5" customHeight="1" x14ac:dyDescent="0.3">
      <c r="A776" s="170" t="s">
        <v>1718</v>
      </c>
      <c r="B776" s="165" t="s">
        <v>1719</v>
      </c>
      <c r="C776" s="165" t="str">
        <f>IFERROR(VLOOKUP($A776,작성용!A:AL,14,0),"-")</f>
        <v>-</v>
      </c>
      <c r="D776" s="169" t="s">
        <v>635</v>
      </c>
      <c r="E776" s="167" t="str">
        <f>IFERROR(VLOOKUP(A776,작성용!A:AL,34,0),"-")</f>
        <v>-</v>
      </c>
      <c r="F776" s="168" t="s">
        <v>2</v>
      </c>
      <c r="G776" s="179">
        <f>COUNTIF(작성용!A:B,$A776)-COUNTIFS(작성용!A:A,$A776,작성용!AA:AA,"평가철회")</f>
        <v>0</v>
      </c>
    </row>
    <row r="777" spans="1:7" ht="16.5" customHeight="1" x14ac:dyDescent="0.3">
      <c r="A777" s="170" t="s">
        <v>1720</v>
      </c>
      <c r="B777" s="165" t="s">
        <v>1721</v>
      </c>
      <c r="C777" s="165" t="str">
        <f>IFERROR(VLOOKUP($A777,작성용!A:AL,14,0),"-")</f>
        <v>-</v>
      </c>
      <c r="D777" s="169" t="s">
        <v>1551</v>
      </c>
      <c r="E777" s="167" t="str">
        <f>IFERROR(VLOOKUP(A777,작성용!A:AL,34,0),"-")</f>
        <v>-</v>
      </c>
      <c r="F777" s="168" t="s">
        <v>2</v>
      </c>
      <c r="G777" s="179">
        <f>COUNTIF(작성용!A:B,$A777)-COUNTIFS(작성용!A:A,$A777,작성용!AA:AA,"평가철회")</f>
        <v>0</v>
      </c>
    </row>
    <row r="778" spans="1:7" ht="16.5" customHeight="1" x14ac:dyDescent="0.3">
      <c r="A778" s="170" t="s">
        <v>1722</v>
      </c>
      <c r="B778" s="165" t="s">
        <v>1723</v>
      </c>
      <c r="C778" s="165" t="str">
        <f>IFERROR(VLOOKUP($A778,작성용!A:AL,14,0),"-")</f>
        <v>-</v>
      </c>
      <c r="D778" s="169" t="s">
        <v>6451</v>
      </c>
      <c r="E778" s="167" t="str">
        <f>IFERROR(VLOOKUP(A778,작성용!A:AL,34,0),"-")</f>
        <v>-</v>
      </c>
      <c r="F778" s="168" t="s">
        <v>6382</v>
      </c>
      <c r="G778" s="179">
        <f>COUNTIF(작성용!A:B,$A778)-COUNTIFS(작성용!A:A,$A778,작성용!AA:AA,"평가철회")</f>
        <v>0</v>
      </c>
    </row>
    <row r="779" spans="1:7" ht="16.5" customHeight="1" x14ac:dyDescent="0.3">
      <c r="A779" s="170" t="s">
        <v>1724</v>
      </c>
      <c r="B779" s="165" t="s">
        <v>1725</v>
      </c>
      <c r="C779" s="165" t="str">
        <f>IFERROR(VLOOKUP($A779,작성용!A:AL,14,0),"-")</f>
        <v>-</v>
      </c>
      <c r="D779" s="169" t="s">
        <v>6377</v>
      </c>
      <c r="E779" s="167" t="str">
        <f>IFERROR(VLOOKUP(A779,작성용!A:AL,34,0),"-")</f>
        <v>-</v>
      </c>
      <c r="F779" s="168" t="s">
        <v>6378</v>
      </c>
      <c r="G779" s="179">
        <f>COUNTIF(작성용!A:B,$A779)-COUNTIFS(작성용!A:A,$A779,작성용!AA:AA,"평가철회")</f>
        <v>0</v>
      </c>
    </row>
    <row r="780" spans="1:7" ht="16.5" customHeight="1" x14ac:dyDescent="0.3">
      <c r="A780" s="170" t="s">
        <v>1726</v>
      </c>
      <c r="B780" s="165" t="s">
        <v>1727</v>
      </c>
      <c r="C780" s="165" t="str">
        <f>IFERROR(VLOOKUP($A780,작성용!A:AL,14,0),"-")</f>
        <v>-</v>
      </c>
      <c r="D780" s="169" t="s">
        <v>1728</v>
      </c>
      <c r="E780" s="167" t="str">
        <f>IFERROR(VLOOKUP(A780,작성용!A:AL,34,0),"-")</f>
        <v>-</v>
      </c>
      <c r="F780" s="168" t="s">
        <v>2</v>
      </c>
      <c r="G780" s="179">
        <f>COUNTIF(작성용!A:B,$A780)-COUNTIFS(작성용!A:A,$A780,작성용!AA:AA,"평가철회")</f>
        <v>0</v>
      </c>
    </row>
    <row r="781" spans="1:7" ht="16.5" customHeight="1" x14ac:dyDescent="0.3">
      <c r="A781" s="170" t="s">
        <v>1729</v>
      </c>
      <c r="B781" s="165" t="s">
        <v>1730</v>
      </c>
      <c r="C781" s="165" t="str">
        <f>IFERROR(VLOOKUP($A781,작성용!A:AL,14,0),"-")</f>
        <v>-</v>
      </c>
      <c r="D781" s="169" t="s">
        <v>1652</v>
      </c>
      <c r="E781" s="167" t="str">
        <f>IFERROR(VLOOKUP(A781,작성용!A:AL,34,0),"-")</f>
        <v>-</v>
      </c>
      <c r="F781" s="168" t="s">
        <v>2</v>
      </c>
      <c r="G781" s="179">
        <f>COUNTIF(작성용!A:B,$A781)-COUNTIFS(작성용!A:A,$A781,작성용!AA:AA,"평가철회")</f>
        <v>0</v>
      </c>
    </row>
    <row r="782" spans="1:7" ht="16.5" customHeight="1" x14ac:dyDescent="0.3">
      <c r="A782" s="170" t="s">
        <v>1731</v>
      </c>
      <c r="B782" s="165" t="s">
        <v>1732</v>
      </c>
      <c r="C782" s="165" t="str">
        <f>IFERROR(VLOOKUP($A782,작성용!A:AL,14,0),"-")</f>
        <v>-</v>
      </c>
      <c r="D782" s="169" t="s">
        <v>13</v>
      </c>
      <c r="E782" s="167" t="str">
        <f>IFERROR(VLOOKUP(A782,작성용!A:AL,34,0),"-")</f>
        <v>-</v>
      </c>
      <c r="F782" s="168" t="s">
        <v>2</v>
      </c>
      <c r="G782" s="179">
        <f>COUNTIF(작성용!A:B,$A782)-COUNTIFS(작성용!A:A,$A782,작성용!AA:AA,"평가철회")</f>
        <v>0</v>
      </c>
    </row>
    <row r="783" spans="1:7" ht="16.5" customHeight="1" x14ac:dyDescent="0.3">
      <c r="A783" s="170" t="s">
        <v>1733</v>
      </c>
      <c r="B783" s="165" t="s">
        <v>1734</v>
      </c>
      <c r="C783" s="165" t="str">
        <f>IFERROR(VLOOKUP($A783,작성용!A:AL,14,0),"-")</f>
        <v>-</v>
      </c>
      <c r="D783" s="169" t="s">
        <v>72</v>
      </c>
      <c r="E783" s="167" t="str">
        <f>IFERROR(VLOOKUP(A783,작성용!A:AL,34,0),"-")</f>
        <v>-</v>
      </c>
      <c r="F783" s="168" t="s">
        <v>2</v>
      </c>
      <c r="G783" s="179">
        <f>COUNTIF(작성용!A:B,$A783)-COUNTIFS(작성용!A:A,$A783,작성용!AA:AA,"평가철회")</f>
        <v>0</v>
      </c>
    </row>
    <row r="784" spans="1:7" ht="16.5" customHeight="1" x14ac:dyDescent="0.3">
      <c r="A784" s="170" t="s">
        <v>1735</v>
      </c>
      <c r="B784" s="165" t="s">
        <v>1736</v>
      </c>
      <c r="C784" s="165" t="str">
        <f>IFERROR(VLOOKUP($A784,작성용!A:AL,14,0),"-")</f>
        <v>-</v>
      </c>
      <c r="D784" s="169" t="s">
        <v>6386</v>
      </c>
      <c r="E784" s="167" t="str">
        <f>IFERROR(VLOOKUP(A784,작성용!A:AL,34,0),"-")</f>
        <v>-</v>
      </c>
      <c r="F784" s="168" t="s">
        <v>6378</v>
      </c>
      <c r="G784" s="179">
        <f>COUNTIF(작성용!A:B,$A784)-COUNTIFS(작성용!A:A,$A784,작성용!AA:AA,"평가철회")</f>
        <v>0</v>
      </c>
    </row>
    <row r="785" spans="1:7" ht="16.5" customHeight="1" x14ac:dyDescent="0.3">
      <c r="A785" s="170" t="s">
        <v>1737</v>
      </c>
      <c r="B785" s="165" t="s">
        <v>1738</v>
      </c>
      <c r="C785" s="165" t="str">
        <f>IFERROR(VLOOKUP($A785,작성용!A:AL,14,0),"-")</f>
        <v>-</v>
      </c>
      <c r="D785" s="169" t="s">
        <v>6323</v>
      </c>
      <c r="E785" s="167" t="str">
        <f>IFERROR(VLOOKUP(A785,작성용!A:AL,34,0),"-")</f>
        <v>-</v>
      </c>
      <c r="F785" s="168" t="s">
        <v>6378</v>
      </c>
      <c r="G785" s="179">
        <f>COUNTIF(작성용!A:B,$A785)-COUNTIFS(작성용!A:A,$A785,작성용!AA:AA,"평가철회")</f>
        <v>0</v>
      </c>
    </row>
    <row r="786" spans="1:7" ht="16.5" customHeight="1" x14ac:dyDescent="0.3">
      <c r="A786" s="170" t="s">
        <v>1739</v>
      </c>
      <c r="B786" s="165" t="s">
        <v>1740</v>
      </c>
      <c r="C786" s="165" t="str">
        <f>IFERROR(VLOOKUP($A786,작성용!A:AL,14,0),"-")</f>
        <v>-</v>
      </c>
      <c r="D786" s="169" t="s">
        <v>6452</v>
      </c>
      <c r="E786" s="167" t="str">
        <f>IFERROR(VLOOKUP(A786,작성용!A:AL,34,0),"-")</f>
        <v>-</v>
      </c>
      <c r="F786" s="168" t="s">
        <v>6382</v>
      </c>
      <c r="G786" s="179">
        <f>COUNTIF(작성용!A:B,$A786)-COUNTIFS(작성용!A:A,$A786,작성용!AA:AA,"평가철회")</f>
        <v>0</v>
      </c>
    </row>
    <row r="787" spans="1:7" ht="16.5" customHeight="1" x14ac:dyDescent="0.3">
      <c r="A787" s="170" t="s">
        <v>1741</v>
      </c>
      <c r="B787" s="165" t="s">
        <v>1742</v>
      </c>
      <c r="C787" s="165" t="str">
        <f>IFERROR(VLOOKUP($A787,작성용!A:AL,14,0),"-")</f>
        <v>-</v>
      </c>
      <c r="D787" s="169" t="s">
        <v>694</v>
      </c>
      <c r="E787" s="167" t="str">
        <f>IFERROR(VLOOKUP(A787,작성용!A:AL,34,0),"-")</f>
        <v>-</v>
      </c>
      <c r="F787" s="168" t="s">
        <v>2</v>
      </c>
      <c r="G787" s="179">
        <f>COUNTIF(작성용!A:B,$A787)-COUNTIFS(작성용!A:A,$A787,작성용!AA:AA,"평가철회")</f>
        <v>0</v>
      </c>
    </row>
    <row r="788" spans="1:7" ht="16.5" customHeight="1" x14ac:dyDescent="0.3">
      <c r="A788" s="170" t="s">
        <v>1743</v>
      </c>
      <c r="B788" s="165" t="s">
        <v>1041</v>
      </c>
      <c r="C788" s="165" t="str">
        <f>IFERROR(VLOOKUP($A788,작성용!A:AL,14,0),"-")</f>
        <v>-</v>
      </c>
      <c r="D788" s="169" t="s">
        <v>1462</v>
      </c>
      <c r="E788" s="167" t="str">
        <f>IFERROR(VLOOKUP(A788,작성용!A:AL,34,0),"-")</f>
        <v>-</v>
      </c>
      <c r="F788" s="168" t="s">
        <v>2</v>
      </c>
      <c r="G788" s="179">
        <f>COUNTIF(작성용!A:B,$A788)-COUNTIFS(작성용!A:A,$A788,작성용!AA:AA,"평가철회")</f>
        <v>0</v>
      </c>
    </row>
    <row r="789" spans="1:7" ht="16.5" customHeight="1" x14ac:dyDescent="0.3">
      <c r="A789" s="170" t="s">
        <v>1744</v>
      </c>
      <c r="B789" s="165" t="s">
        <v>1745</v>
      </c>
      <c r="C789" s="165" t="str">
        <f>IFERROR(VLOOKUP($A789,작성용!A:AL,14,0),"-")</f>
        <v>-</v>
      </c>
      <c r="D789" s="169" t="s">
        <v>72</v>
      </c>
      <c r="E789" s="167" t="str">
        <f>IFERROR(VLOOKUP(A789,작성용!A:AL,34,0),"-")</f>
        <v>-</v>
      </c>
      <c r="F789" s="168" t="s">
        <v>2</v>
      </c>
      <c r="G789" s="179">
        <f>COUNTIF(작성용!A:B,$A789)-COUNTIFS(작성용!A:A,$A789,작성용!AA:AA,"평가철회")</f>
        <v>0</v>
      </c>
    </row>
    <row r="790" spans="1:7" ht="16.5" customHeight="1" x14ac:dyDescent="0.3">
      <c r="A790" s="170" t="s">
        <v>1746</v>
      </c>
      <c r="B790" s="165" t="s">
        <v>1043</v>
      </c>
      <c r="C790" s="165" t="str">
        <f>IFERROR(VLOOKUP($A790,작성용!A:AL,14,0),"-")</f>
        <v>-</v>
      </c>
      <c r="D790" s="169" t="s">
        <v>1462</v>
      </c>
      <c r="E790" s="167" t="str">
        <f>IFERROR(VLOOKUP(A790,작성용!A:AL,34,0),"-")</f>
        <v>-</v>
      </c>
      <c r="F790" s="168" t="s">
        <v>2</v>
      </c>
      <c r="G790" s="179">
        <f>COUNTIF(작성용!A:B,$A790)-COUNTIFS(작성용!A:A,$A790,작성용!AA:AA,"평가철회")</f>
        <v>0</v>
      </c>
    </row>
    <row r="791" spans="1:7" ht="16.5" customHeight="1" x14ac:dyDescent="0.3">
      <c r="A791" s="170" t="s">
        <v>1747</v>
      </c>
      <c r="B791" s="165" t="s">
        <v>1047</v>
      </c>
      <c r="C791" s="165" t="str">
        <f>IFERROR(VLOOKUP($A791,작성용!A:AL,14,0),"-")</f>
        <v>-</v>
      </c>
      <c r="D791" s="169" t="s">
        <v>6316</v>
      </c>
      <c r="E791" s="167" t="str">
        <f>IFERROR(VLOOKUP(A791,작성용!A:AL,34,0),"-")</f>
        <v>-</v>
      </c>
      <c r="F791" s="168" t="s">
        <v>6382</v>
      </c>
      <c r="G791" s="179">
        <f>COUNTIF(작성용!A:B,$A791)-COUNTIFS(작성용!A:A,$A791,작성용!AA:AA,"평가철회")</f>
        <v>0</v>
      </c>
    </row>
    <row r="792" spans="1:7" ht="16.5" customHeight="1" x14ac:dyDescent="0.3">
      <c r="A792" s="170" t="s">
        <v>1748</v>
      </c>
      <c r="B792" s="165" t="s">
        <v>6453</v>
      </c>
      <c r="C792" s="165" t="str">
        <f>IFERROR(VLOOKUP($A792,작성용!A:AL,14,0),"-")</f>
        <v>-</v>
      </c>
      <c r="D792" s="169" t="s">
        <v>6454</v>
      </c>
      <c r="E792" s="167" t="str">
        <f>IFERROR(VLOOKUP(A792,작성용!A:AL,34,0),"-")</f>
        <v>-</v>
      </c>
      <c r="F792" s="168" t="s">
        <v>6378</v>
      </c>
      <c r="G792" s="179">
        <f>COUNTIF(작성용!A:B,$A792)-COUNTIFS(작성용!A:A,$A792,작성용!AA:AA,"평가철회")</f>
        <v>0</v>
      </c>
    </row>
    <row r="793" spans="1:7" ht="16.5" customHeight="1" x14ac:dyDescent="0.3">
      <c r="A793" s="170" t="s">
        <v>1749</v>
      </c>
      <c r="B793" s="165" t="s">
        <v>1750</v>
      </c>
      <c r="C793" s="165" t="str">
        <f>IFERROR(VLOOKUP($A793,작성용!A:AL,14,0),"-")</f>
        <v>-</v>
      </c>
      <c r="D793" s="169" t="s">
        <v>273</v>
      </c>
      <c r="E793" s="167" t="str">
        <f>IFERROR(VLOOKUP(A793,작성용!A:AL,34,0),"-")</f>
        <v>-</v>
      </c>
      <c r="F793" s="168" t="s">
        <v>2</v>
      </c>
      <c r="G793" s="179">
        <f>COUNTIF(작성용!A:B,$A793)-COUNTIFS(작성용!A:A,$A793,작성용!AA:AA,"평가철회")</f>
        <v>0</v>
      </c>
    </row>
    <row r="794" spans="1:7" ht="16.5" customHeight="1" x14ac:dyDescent="0.3">
      <c r="A794" s="170" t="s">
        <v>1751</v>
      </c>
      <c r="B794" s="165" t="s">
        <v>1752</v>
      </c>
      <c r="C794" s="165" t="str">
        <f>IFERROR(VLOOKUP($A794,작성용!A:AL,14,0),"-")</f>
        <v>-</v>
      </c>
      <c r="D794" s="169" t="s">
        <v>1551</v>
      </c>
      <c r="E794" s="167" t="str">
        <f>IFERROR(VLOOKUP(A794,작성용!A:AL,34,0),"-")</f>
        <v>-</v>
      </c>
      <c r="F794" s="168" t="s">
        <v>2</v>
      </c>
      <c r="G794" s="179">
        <f>COUNTIF(작성용!A:B,$A794)-COUNTIFS(작성용!A:A,$A794,작성용!AA:AA,"평가철회")</f>
        <v>0</v>
      </c>
    </row>
    <row r="795" spans="1:7" ht="16.5" customHeight="1" x14ac:dyDescent="0.3">
      <c r="A795" s="170" t="s">
        <v>1753</v>
      </c>
      <c r="B795" s="165" t="s">
        <v>1754</v>
      </c>
      <c r="C795" s="165" t="str">
        <f>IFERROR(VLOOKUP($A795,작성용!A:AL,14,0),"-")</f>
        <v>-</v>
      </c>
      <c r="D795" s="169" t="s">
        <v>643</v>
      </c>
      <c r="E795" s="167" t="str">
        <f>IFERROR(VLOOKUP(A795,작성용!A:AL,34,0),"-")</f>
        <v>-</v>
      </c>
      <c r="F795" s="168" t="s">
        <v>2</v>
      </c>
      <c r="G795" s="179">
        <f>COUNTIF(작성용!A:B,$A795)-COUNTIFS(작성용!A:A,$A795,작성용!AA:AA,"평가철회")</f>
        <v>0</v>
      </c>
    </row>
    <row r="796" spans="1:7" ht="16.5" customHeight="1" x14ac:dyDescent="0.3">
      <c r="A796" s="170" t="s">
        <v>1755</v>
      </c>
      <c r="B796" s="165" t="s">
        <v>1756</v>
      </c>
      <c r="C796" s="165" t="str">
        <f>IFERROR(VLOOKUP($A796,작성용!A:AL,14,0),"-")</f>
        <v>-</v>
      </c>
      <c r="D796" s="169" t="s">
        <v>640</v>
      </c>
      <c r="E796" s="167" t="str">
        <f>IFERROR(VLOOKUP(A796,작성용!A:AL,34,0),"-")</f>
        <v>-</v>
      </c>
      <c r="F796" s="168" t="s">
        <v>2</v>
      </c>
      <c r="G796" s="179">
        <f>COUNTIF(작성용!A:B,$A796)-COUNTIFS(작성용!A:A,$A796,작성용!AA:AA,"평가철회")</f>
        <v>0</v>
      </c>
    </row>
    <row r="797" spans="1:7" ht="16.5" customHeight="1" x14ac:dyDescent="0.3">
      <c r="A797" s="170" t="s">
        <v>1757</v>
      </c>
      <c r="B797" s="165" t="s">
        <v>6455</v>
      </c>
      <c r="C797" s="165" t="str">
        <f>IFERROR(VLOOKUP($A797,작성용!A:AL,14,0),"-")</f>
        <v>-</v>
      </c>
      <c r="D797" s="169" t="s">
        <v>6437</v>
      </c>
      <c r="E797" s="167" t="str">
        <f>IFERROR(VLOOKUP(A797,작성용!A:AL,34,0),"-")</f>
        <v>-</v>
      </c>
      <c r="F797" s="168" t="s">
        <v>6378</v>
      </c>
      <c r="G797" s="179">
        <f>COUNTIF(작성용!A:B,$A797)-COUNTIFS(작성용!A:A,$A797,작성용!AA:AA,"평가철회")</f>
        <v>0</v>
      </c>
    </row>
    <row r="798" spans="1:7" ht="16.5" customHeight="1" x14ac:dyDescent="0.3">
      <c r="A798" s="170" t="s">
        <v>1758</v>
      </c>
      <c r="B798" s="165" t="s">
        <v>1062</v>
      </c>
      <c r="C798" s="165" t="str">
        <f>IFERROR(VLOOKUP($A798,작성용!A:AL,14,0),"-")</f>
        <v>-</v>
      </c>
      <c r="D798" s="169" t="s">
        <v>1652</v>
      </c>
      <c r="E798" s="167" t="str">
        <f>IFERROR(VLOOKUP(A798,작성용!A:AL,34,0),"-")</f>
        <v>-</v>
      </c>
      <c r="F798" s="168" t="s">
        <v>2</v>
      </c>
      <c r="G798" s="179">
        <f>COUNTIF(작성용!A:B,$A798)-COUNTIFS(작성용!A:A,$A798,작성용!AA:AA,"평가철회")</f>
        <v>0</v>
      </c>
    </row>
    <row r="799" spans="1:7" ht="16.5" customHeight="1" x14ac:dyDescent="0.3">
      <c r="A799" s="170" t="s">
        <v>1759</v>
      </c>
      <c r="B799" s="165" t="s">
        <v>1760</v>
      </c>
      <c r="C799" s="165" t="str">
        <f>IFERROR(VLOOKUP($A799,작성용!A:AL,14,0),"-")</f>
        <v>-</v>
      </c>
      <c r="D799" s="169" t="s">
        <v>556</v>
      </c>
      <c r="E799" s="167" t="str">
        <f>IFERROR(VLOOKUP(A799,작성용!A:AL,34,0),"-")</f>
        <v>-</v>
      </c>
      <c r="F799" s="168" t="s">
        <v>2</v>
      </c>
      <c r="G799" s="179">
        <f>COUNTIF(작성용!A:B,$A799)-COUNTIFS(작성용!A:A,$A799,작성용!AA:AA,"평가철회")</f>
        <v>0</v>
      </c>
    </row>
    <row r="800" spans="1:7" ht="16.5" customHeight="1" x14ac:dyDescent="0.3">
      <c r="A800" s="170" t="s">
        <v>1761</v>
      </c>
      <c r="B800" s="165" t="s">
        <v>1762</v>
      </c>
      <c r="C800" s="165" t="str">
        <f>IFERROR(VLOOKUP($A800,작성용!A:AL,14,0),"-")</f>
        <v>-</v>
      </c>
      <c r="D800" s="169" t="s">
        <v>6385</v>
      </c>
      <c r="E800" s="167" t="str">
        <f>IFERROR(VLOOKUP(A800,작성용!A:AL,34,0),"-")</f>
        <v>-</v>
      </c>
      <c r="F800" s="168" t="s">
        <v>6382</v>
      </c>
      <c r="G800" s="179">
        <f>COUNTIF(작성용!A:B,$A800)-COUNTIFS(작성용!A:A,$A800,작성용!AA:AA,"평가철회")</f>
        <v>0</v>
      </c>
    </row>
    <row r="801" spans="1:7" ht="16.5" customHeight="1" x14ac:dyDescent="0.3">
      <c r="A801" s="170" t="s">
        <v>1763</v>
      </c>
      <c r="B801" s="165" t="s">
        <v>6456</v>
      </c>
      <c r="C801" s="165" t="str">
        <f>IFERROR(VLOOKUP($A801,작성용!A:AL,14,0),"-")</f>
        <v>-</v>
      </c>
      <c r="D801" s="169" t="s">
        <v>6454</v>
      </c>
      <c r="E801" s="167" t="str">
        <f>IFERROR(VLOOKUP(A801,작성용!A:AL,34,0),"-")</f>
        <v>-</v>
      </c>
      <c r="F801" s="168" t="s">
        <v>6378</v>
      </c>
      <c r="G801" s="179">
        <f>COUNTIF(작성용!A:B,$A801)-COUNTIFS(작성용!A:A,$A801,작성용!AA:AA,"평가철회")</f>
        <v>0</v>
      </c>
    </row>
    <row r="802" spans="1:7" ht="16.5" customHeight="1" x14ac:dyDescent="0.3">
      <c r="A802" s="170" t="s">
        <v>1764</v>
      </c>
      <c r="B802" s="165" t="s">
        <v>1765</v>
      </c>
      <c r="C802" s="165" t="str">
        <f>IFERROR(VLOOKUP($A802,작성용!A:AL,14,0),"-")</f>
        <v>-</v>
      </c>
      <c r="D802" s="169" t="s">
        <v>1551</v>
      </c>
      <c r="E802" s="167" t="str">
        <f>IFERROR(VLOOKUP(A802,작성용!A:AL,34,0),"-")</f>
        <v>-</v>
      </c>
      <c r="F802" s="168" t="s">
        <v>6382</v>
      </c>
      <c r="G802" s="179">
        <f>COUNTIF(작성용!A:B,$A802)-COUNTIFS(작성용!A:A,$A802,작성용!AA:AA,"평가철회")</f>
        <v>0</v>
      </c>
    </row>
    <row r="803" spans="1:7" ht="16.5" customHeight="1" x14ac:dyDescent="0.3">
      <c r="A803" s="170" t="s">
        <v>1766</v>
      </c>
      <c r="B803" s="165" t="s">
        <v>1767</v>
      </c>
      <c r="C803" s="165" t="str">
        <f>IFERROR(VLOOKUP($A803,작성용!A:AL,14,0),"-")</f>
        <v>-</v>
      </c>
      <c r="D803" s="169" t="s">
        <v>521</v>
      </c>
      <c r="E803" s="167" t="str">
        <f>IFERROR(VLOOKUP(A803,작성용!A:AL,34,0),"-")</f>
        <v>-</v>
      </c>
      <c r="F803" s="168" t="s">
        <v>2</v>
      </c>
      <c r="G803" s="179">
        <f>COUNTIF(작성용!A:B,$A803)-COUNTIFS(작성용!A:A,$A803,작성용!AA:AA,"평가철회")</f>
        <v>0</v>
      </c>
    </row>
    <row r="804" spans="1:7" ht="16.5" customHeight="1" x14ac:dyDescent="0.3">
      <c r="A804" s="170" t="s">
        <v>1768</v>
      </c>
      <c r="B804" s="165" t="s">
        <v>6457</v>
      </c>
      <c r="C804" s="165" t="str">
        <f>IFERROR(VLOOKUP($A804,작성용!A:AL,14,0),"-")</f>
        <v>-</v>
      </c>
      <c r="D804" s="169" t="s">
        <v>6458</v>
      </c>
      <c r="E804" s="167" t="str">
        <f>IFERROR(VLOOKUP(A804,작성용!A:AL,34,0),"-")</f>
        <v>-</v>
      </c>
      <c r="F804" s="168" t="s">
        <v>2</v>
      </c>
      <c r="G804" s="179">
        <f>COUNTIF(작성용!A:B,$A804)-COUNTIFS(작성용!A:A,$A804,작성용!AA:AA,"평가철회")</f>
        <v>0</v>
      </c>
    </row>
    <row r="805" spans="1:7" ht="16.5" customHeight="1" x14ac:dyDescent="0.3">
      <c r="A805" s="170" t="s">
        <v>1769</v>
      </c>
      <c r="B805" s="165" t="s">
        <v>1770</v>
      </c>
      <c r="C805" s="165" t="str">
        <f>IFERROR(VLOOKUP($A805,작성용!A:AL,14,0),"-")</f>
        <v>미정</v>
      </c>
      <c r="D805" s="169" t="s">
        <v>6375</v>
      </c>
      <c r="E805" s="167" t="str">
        <f>IFERROR(VLOOKUP(A805,작성용!A:AL,34,0),"-")</f>
        <v>백형진</v>
      </c>
      <c r="F805" s="168" t="s">
        <v>6378</v>
      </c>
      <c r="G805" s="179">
        <f>COUNTIF(작성용!A:B,$A805)-COUNTIFS(작성용!A:A,$A805,작성용!AA:AA,"평가철회")</f>
        <v>4</v>
      </c>
    </row>
    <row r="806" spans="1:7" ht="16.5" customHeight="1" x14ac:dyDescent="0.3">
      <c r="A806" s="170" t="s">
        <v>1771</v>
      </c>
      <c r="B806" s="165" t="s">
        <v>1772</v>
      </c>
      <c r="C806" s="165" t="str">
        <f>IFERROR(VLOOKUP($A806,작성용!A:AL,14,0),"-")</f>
        <v>-</v>
      </c>
      <c r="D806" s="169" t="s">
        <v>6388</v>
      </c>
      <c r="E806" s="167" t="str">
        <f>IFERROR(VLOOKUP(A806,작성용!A:AL,34,0),"-")</f>
        <v>-</v>
      </c>
      <c r="F806" s="168" t="s">
        <v>6378</v>
      </c>
      <c r="G806" s="179">
        <f>COUNTIF(작성용!A:B,$A806)-COUNTIFS(작성용!A:A,$A806,작성용!AA:AA,"평가철회")</f>
        <v>0</v>
      </c>
    </row>
    <row r="807" spans="1:7" ht="16.5" customHeight="1" x14ac:dyDescent="0.3">
      <c r="A807" s="170" t="s">
        <v>1773</v>
      </c>
      <c r="B807" s="165" t="s">
        <v>1774</v>
      </c>
      <c r="C807" s="165" t="str">
        <f>IFERROR(VLOOKUP($A807,작성용!A:AL,14,0),"-")</f>
        <v>-</v>
      </c>
      <c r="D807" s="169" t="s">
        <v>244</v>
      </c>
      <c r="E807" s="167" t="str">
        <f>IFERROR(VLOOKUP(A807,작성용!A:AL,34,0),"-")</f>
        <v>-</v>
      </c>
      <c r="F807" s="168" t="s">
        <v>2</v>
      </c>
      <c r="G807" s="179">
        <f>COUNTIF(작성용!A:B,$A807)-COUNTIFS(작성용!A:A,$A807,작성용!AA:AA,"평가철회")</f>
        <v>0</v>
      </c>
    </row>
    <row r="808" spans="1:7" ht="16.5" customHeight="1" x14ac:dyDescent="0.3">
      <c r="A808" s="170" t="s">
        <v>1775</v>
      </c>
      <c r="B808" s="165" t="s">
        <v>1776</v>
      </c>
      <c r="C808" s="165" t="str">
        <f>IFERROR(VLOOKUP($A808,작성용!A:AL,14,0),"-")</f>
        <v>-</v>
      </c>
      <c r="D808" s="169" t="s">
        <v>273</v>
      </c>
      <c r="E808" s="167" t="str">
        <f>IFERROR(VLOOKUP(A808,작성용!A:AL,34,0),"-")</f>
        <v>-</v>
      </c>
      <c r="F808" s="168" t="s">
        <v>2</v>
      </c>
      <c r="G808" s="179">
        <f>COUNTIF(작성용!A:B,$A808)-COUNTIFS(작성용!A:A,$A808,작성용!AA:AA,"평가철회")</f>
        <v>0</v>
      </c>
    </row>
    <row r="809" spans="1:7" ht="16.5" customHeight="1" x14ac:dyDescent="0.3">
      <c r="A809" s="170" t="s">
        <v>1777</v>
      </c>
      <c r="B809" s="165" t="s">
        <v>1778</v>
      </c>
      <c r="C809" s="165" t="str">
        <f>IFERROR(VLOOKUP($A809,작성용!A:AL,14,0),"-")</f>
        <v>-</v>
      </c>
      <c r="D809" s="169" t="s">
        <v>72</v>
      </c>
      <c r="E809" s="167" t="str">
        <f>IFERROR(VLOOKUP(A809,작성용!A:AL,34,0),"-")</f>
        <v>-</v>
      </c>
      <c r="F809" s="168" t="s">
        <v>2</v>
      </c>
      <c r="G809" s="179">
        <f>COUNTIF(작성용!A:B,$A809)-COUNTIFS(작성용!A:A,$A809,작성용!AA:AA,"평가철회")</f>
        <v>0</v>
      </c>
    </row>
    <row r="810" spans="1:7" ht="16.5" customHeight="1" x14ac:dyDescent="0.3">
      <c r="A810" s="170" t="s">
        <v>1779</v>
      </c>
      <c r="B810" s="165" t="s">
        <v>1780</v>
      </c>
      <c r="C810" s="165" t="str">
        <f>IFERROR(VLOOKUP($A810,작성용!A:AL,14,0),"-")</f>
        <v>-</v>
      </c>
      <c r="D810" s="169" t="s">
        <v>13</v>
      </c>
      <c r="E810" s="167" t="str">
        <f>IFERROR(VLOOKUP(A810,작성용!A:AL,34,0),"-")</f>
        <v>-</v>
      </c>
      <c r="F810" s="168" t="s">
        <v>2</v>
      </c>
      <c r="G810" s="179">
        <f>COUNTIF(작성용!A:B,$A810)-COUNTIFS(작성용!A:A,$A810,작성용!AA:AA,"평가철회")</f>
        <v>0</v>
      </c>
    </row>
    <row r="811" spans="1:7" ht="16.5" customHeight="1" x14ac:dyDescent="0.3">
      <c r="A811" s="170" t="s">
        <v>1781</v>
      </c>
      <c r="B811" s="165" t="s">
        <v>6459</v>
      </c>
      <c r="C811" s="165" t="str">
        <f>IFERROR(VLOOKUP($A811,작성용!A:AL,14,0),"-")</f>
        <v>-</v>
      </c>
      <c r="D811" s="169" t="s">
        <v>6460</v>
      </c>
      <c r="E811" s="167" t="str">
        <f>IFERROR(VLOOKUP(A811,작성용!A:AL,34,0),"-")</f>
        <v>-</v>
      </c>
      <c r="F811" s="168" t="s">
        <v>6304</v>
      </c>
      <c r="G811" s="179">
        <f>COUNTIF(작성용!A:B,$A811)-COUNTIFS(작성용!A:A,$A811,작성용!AA:AA,"평가철회")</f>
        <v>0</v>
      </c>
    </row>
    <row r="812" spans="1:7" ht="16.5" customHeight="1" x14ac:dyDescent="0.3">
      <c r="A812" s="170" t="s">
        <v>1782</v>
      </c>
      <c r="B812" s="165" t="s">
        <v>1783</v>
      </c>
      <c r="C812" s="165" t="str">
        <f>IFERROR(VLOOKUP($A812,작성용!A:AL,14,0),"-")</f>
        <v>-</v>
      </c>
      <c r="D812" s="169" t="s">
        <v>556</v>
      </c>
      <c r="E812" s="167" t="str">
        <f>IFERROR(VLOOKUP(A812,작성용!A:AL,34,0),"-")</f>
        <v>-</v>
      </c>
      <c r="F812" s="168" t="s">
        <v>2</v>
      </c>
      <c r="G812" s="179">
        <f>COUNTIF(작성용!A:B,$A812)-COUNTIFS(작성용!A:A,$A812,작성용!AA:AA,"평가철회")</f>
        <v>0</v>
      </c>
    </row>
    <row r="813" spans="1:7" ht="16.5" customHeight="1" x14ac:dyDescent="0.3">
      <c r="A813" s="170" t="s">
        <v>1784</v>
      </c>
      <c r="B813" s="165" t="s">
        <v>1785</v>
      </c>
      <c r="C813" s="165" t="str">
        <f>IFERROR(VLOOKUP($A813,작성용!A:AL,14,0),"-")</f>
        <v>-</v>
      </c>
      <c r="D813" s="169" t="s">
        <v>6461</v>
      </c>
      <c r="E813" s="167" t="str">
        <f>IFERROR(VLOOKUP(A813,작성용!A:AL,34,0),"-")</f>
        <v>-</v>
      </c>
      <c r="F813" s="168" t="s">
        <v>6382</v>
      </c>
      <c r="G813" s="179">
        <f>COUNTIF(작성용!A:B,$A813)-COUNTIFS(작성용!A:A,$A813,작성용!AA:AA,"평가철회")</f>
        <v>0</v>
      </c>
    </row>
    <row r="814" spans="1:7" ht="16.5" customHeight="1" x14ac:dyDescent="0.3">
      <c r="A814" s="170" t="s">
        <v>1786</v>
      </c>
      <c r="B814" s="165" t="s">
        <v>1787</v>
      </c>
      <c r="C814" s="165" t="str">
        <f>IFERROR(VLOOKUP($A814,작성용!A:AL,14,0),"-")</f>
        <v>년</v>
      </c>
      <c r="D814" s="169" t="s">
        <v>6427</v>
      </c>
      <c r="E814" s="167" t="str">
        <f>IFERROR(VLOOKUP(A814,작성용!A:AL,34,0),"-")</f>
        <v>조현우</v>
      </c>
      <c r="F814" s="168" t="s">
        <v>6382</v>
      </c>
      <c r="G814" s="179">
        <f>COUNTIF(작성용!A:B,$A814)-COUNTIFS(작성용!A:A,$A814,작성용!AA:AA,"평가철회")</f>
        <v>4</v>
      </c>
    </row>
    <row r="815" spans="1:7" ht="16.5" customHeight="1" x14ac:dyDescent="0.3">
      <c r="A815" s="170" t="s">
        <v>1788</v>
      </c>
      <c r="B815" s="165" t="s">
        <v>1789</v>
      </c>
      <c r="C815" s="165" t="str">
        <f>IFERROR(VLOOKUP($A815,작성용!A:AL,14,0),"-")</f>
        <v>-</v>
      </c>
      <c r="D815" s="169" t="s">
        <v>6444</v>
      </c>
      <c r="E815" s="167" t="str">
        <f>IFERROR(VLOOKUP(A815,작성용!A:AL,34,0),"-")</f>
        <v>-</v>
      </c>
      <c r="F815" s="168" t="s">
        <v>6378</v>
      </c>
      <c r="G815" s="179">
        <f>COUNTIF(작성용!A:B,$A815)-COUNTIFS(작성용!A:A,$A815,작성용!AA:AA,"평가철회")</f>
        <v>0</v>
      </c>
    </row>
    <row r="816" spans="1:7" ht="16.5" customHeight="1" x14ac:dyDescent="0.3">
      <c r="A816" s="170" t="s">
        <v>1790</v>
      </c>
      <c r="B816" s="165" t="s">
        <v>1791</v>
      </c>
      <c r="C816" s="165" t="str">
        <f>IFERROR(VLOOKUP($A816,작성용!A:AL,14,0),"-")</f>
        <v>-</v>
      </c>
      <c r="D816" s="169" t="s">
        <v>220</v>
      </c>
      <c r="E816" s="167" t="str">
        <f>IFERROR(VLOOKUP(A816,작성용!A:AL,34,0),"-")</f>
        <v>-</v>
      </c>
      <c r="F816" s="168" t="s">
        <v>6283</v>
      </c>
      <c r="G816" s="179">
        <f>COUNTIF(작성용!A:B,$A816)-COUNTIFS(작성용!A:A,$A816,작성용!AA:AA,"평가철회")</f>
        <v>0</v>
      </c>
    </row>
    <row r="817" spans="1:7" ht="16.5" customHeight="1" x14ac:dyDescent="0.3">
      <c r="A817" s="170" t="s">
        <v>1792</v>
      </c>
      <c r="B817" s="165" t="s">
        <v>1793</v>
      </c>
      <c r="C817" s="165" t="str">
        <f>IFERROR(VLOOKUP($A817,작성용!A:AL,14,0),"-")</f>
        <v>-</v>
      </c>
      <c r="D817" s="169" t="s">
        <v>492</v>
      </c>
      <c r="E817" s="167" t="str">
        <f>IFERROR(VLOOKUP(A817,작성용!A:AL,34,0),"-")</f>
        <v>-</v>
      </c>
      <c r="F817" s="168" t="s">
        <v>2</v>
      </c>
      <c r="G817" s="179">
        <f>COUNTIF(작성용!A:B,$A817)-COUNTIFS(작성용!A:A,$A817,작성용!AA:AA,"평가철회")</f>
        <v>0</v>
      </c>
    </row>
    <row r="818" spans="1:7" ht="16.5" customHeight="1" x14ac:dyDescent="0.3">
      <c r="A818" s="170" t="s">
        <v>1794</v>
      </c>
      <c r="B818" s="165" t="s">
        <v>1084</v>
      </c>
      <c r="C818" s="165" t="str">
        <f>IFERROR(VLOOKUP($A818,작성용!A:AL,14,0),"-")</f>
        <v>-</v>
      </c>
      <c r="D818" s="169" t="s">
        <v>1795</v>
      </c>
      <c r="E818" s="167" t="str">
        <f>IFERROR(VLOOKUP(A818,작성용!A:AL,34,0),"-")</f>
        <v>-</v>
      </c>
      <c r="F818" s="168" t="s">
        <v>2</v>
      </c>
      <c r="G818" s="179">
        <f>COUNTIF(작성용!A:B,$A818)-COUNTIFS(작성용!A:A,$A818,작성용!AA:AA,"평가철회")</f>
        <v>0</v>
      </c>
    </row>
    <row r="819" spans="1:7" ht="16.5" customHeight="1" x14ac:dyDescent="0.3">
      <c r="A819" s="170" t="s">
        <v>1796</v>
      </c>
      <c r="B819" s="165" t="s">
        <v>1797</v>
      </c>
      <c r="C819" s="165" t="str">
        <f>IFERROR(VLOOKUP($A819,작성용!A:AL,14,0),"-")</f>
        <v>-</v>
      </c>
      <c r="D819" s="169" t="s">
        <v>6309</v>
      </c>
      <c r="E819" s="167" t="str">
        <f>IFERROR(VLOOKUP(A819,작성용!A:AL,34,0),"-")</f>
        <v>-</v>
      </c>
      <c r="F819" s="168" t="s">
        <v>6283</v>
      </c>
      <c r="G819" s="179">
        <f>COUNTIF(작성용!A:B,$A819)-COUNTIFS(작성용!A:A,$A819,작성용!AA:AA,"평가철회")</f>
        <v>0</v>
      </c>
    </row>
    <row r="820" spans="1:7" ht="16.5" customHeight="1" x14ac:dyDescent="0.3">
      <c r="A820" s="170" t="s">
        <v>1798</v>
      </c>
      <c r="B820" s="165" t="s">
        <v>6462</v>
      </c>
      <c r="C820" s="165" t="str">
        <f>IFERROR(VLOOKUP($A820,작성용!A:AL,14,0),"-")</f>
        <v>-</v>
      </c>
      <c r="D820" s="169" t="s">
        <v>6463</v>
      </c>
      <c r="E820" s="167" t="str">
        <f>IFERROR(VLOOKUP(A820,작성용!A:AL,34,0),"-")</f>
        <v>-</v>
      </c>
      <c r="F820" s="168" t="s">
        <v>6378</v>
      </c>
      <c r="G820" s="179">
        <f>COUNTIF(작성용!A:B,$A820)-COUNTIFS(작성용!A:A,$A820,작성용!AA:AA,"평가철회")</f>
        <v>0</v>
      </c>
    </row>
    <row r="821" spans="1:7" ht="16.5" customHeight="1" x14ac:dyDescent="0.3">
      <c r="A821" s="170" t="s">
        <v>1799</v>
      </c>
      <c r="B821" s="165" t="s">
        <v>1800</v>
      </c>
      <c r="C821" s="165" t="str">
        <f>IFERROR(VLOOKUP($A821,작성용!A:AL,14,0),"-")</f>
        <v>-</v>
      </c>
      <c r="D821" s="169" t="s">
        <v>71</v>
      </c>
      <c r="E821" s="167" t="str">
        <f>IFERROR(VLOOKUP(A821,작성용!A:AL,34,0),"-")</f>
        <v>-</v>
      </c>
      <c r="F821" s="168" t="s">
        <v>2</v>
      </c>
      <c r="G821" s="179">
        <f>COUNTIF(작성용!A:B,$A821)-COUNTIFS(작성용!A:A,$A821,작성용!AA:AA,"평가철회")</f>
        <v>0</v>
      </c>
    </row>
    <row r="822" spans="1:7" ht="16.5" customHeight="1" x14ac:dyDescent="0.3">
      <c r="A822" s="170" t="s">
        <v>1801</v>
      </c>
      <c r="B822" s="165" t="s">
        <v>1802</v>
      </c>
      <c r="C822" s="165" t="str">
        <f>IFERROR(VLOOKUP($A822,작성용!A:AL,14,0),"-")</f>
        <v>-</v>
      </c>
      <c r="D822" s="169" t="s">
        <v>492</v>
      </c>
      <c r="E822" s="167" t="str">
        <f>IFERROR(VLOOKUP(A822,작성용!A:AL,34,0),"-")</f>
        <v>-</v>
      </c>
      <c r="F822" s="168" t="s">
        <v>2</v>
      </c>
      <c r="G822" s="179">
        <f>COUNTIF(작성용!A:B,$A822)-COUNTIFS(작성용!A:A,$A822,작성용!AA:AA,"평가철회")</f>
        <v>0</v>
      </c>
    </row>
    <row r="823" spans="1:7" ht="16.5" customHeight="1" x14ac:dyDescent="0.3">
      <c r="A823" s="170" t="s">
        <v>1803</v>
      </c>
      <c r="B823" s="165" t="s">
        <v>1101</v>
      </c>
      <c r="C823" s="165" t="str">
        <f>IFERROR(VLOOKUP($A823,작성용!A:AL,14,0),"-")</f>
        <v>-</v>
      </c>
      <c r="D823" s="169" t="s">
        <v>247</v>
      </c>
      <c r="E823" s="167" t="str">
        <f>IFERROR(VLOOKUP(A823,작성용!A:AL,34,0),"-")</f>
        <v>-</v>
      </c>
      <c r="F823" s="168" t="s">
        <v>2</v>
      </c>
      <c r="G823" s="179">
        <f>COUNTIF(작성용!A:B,$A823)-COUNTIFS(작성용!A:A,$A823,작성용!AA:AA,"평가철회")</f>
        <v>0</v>
      </c>
    </row>
    <row r="824" spans="1:7" ht="16.5" customHeight="1" x14ac:dyDescent="0.3">
      <c r="A824" s="170" t="s">
        <v>1804</v>
      </c>
      <c r="B824" s="165" t="s">
        <v>1805</v>
      </c>
      <c r="C824" s="165" t="str">
        <f>IFERROR(VLOOKUP($A824,작성용!A:AL,14,0),"-")</f>
        <v>-</v>
      </c>
      <c r="D824" s="169" t="s">
        <v>656</v>
      </c>
      <c r="E824" s="167" t="str">
        <f>IFERROR(VLOOKUP(A824,작성용!A:AL,34,0),"-")</f>
        <v>-</v>
      </c>
      <c r="F824" s="168" t="s">
        <v>2</v>
      </c>
      <c r="G824" s="179">
        <f>COUNTIF(작성용!A:B,$A824)-COUNTIFS(작성용!A:A,$A824,작성용!AA:AA,"평가철회")</f>
        <v>0</v>
      </c>
    </row>
    <row r="825" spans="1:7" ht="16.5" customHeight="1" x14ac:dyDescent="0.3">
      <c r="A825" s="170" t="s">
        <v>1806</v>
      </c>
      <c r="B825" s="165" t="s">
        <v>1807</v>
      </c>
      <c r="C825" s="165" t="str">
        <f>IFERROR(VLOOKUP($A825,작성용!A:AL,14,0),"-")</f>
        <v>-</v>
      </c>
      <c r="D825" s="169" t="s">
        <v>6440</v>
      </c>
      <c r="E825" s="167" t="str">
        <f>IFERROR(VLOOKUP(A825,작성용!A:AL,34,0),"-")</f>
        <v>-</v>
      </c>
      <c r="F825" s="168" t="s">
        <v>2</v>
      </c>
      <c r="G825" s="179">
        <f>COUNTIF(작성용!A:B,$A825)-COUNTIFS(작성용!A:A,$A825,작성용!AA:AA,"평가철회")</f>
        <v>0</v>
      </c>
    </row>
    <row r="826" spans="1:7" ht="16.5" customHeight="1" x14ac:dyDescent="0.3">
      <c r="A826" s="170" t="s">
        <v>1808</v>
      </c>
      <c r="B826" s="165" t="s">
        <v>1809</v>
      </c>
      <c r="C826" s="165" t="str">
        <f>IFERROR(VLOOKUP($A826,작성용!A:AL,14,0),"-")</f>
        <v>-</v>
      </c>
      <c r="D826" s="169" t="s">
        <v>498</v>
      </c>
      <c r="E826" s="167" t="str">
        <f>IFERROR(VLOOKUP(A826,작성용!A:AL,34,0),"-")</f>
        <v>-</v>
      </c>
      <c r="F826" s="168" t="s">
        <v>6342</v>
      </c>
      <c r="G826" s="179">
        <f>COUNTIF(작성용!A:B,$A826)-COUNTIFS(작성용!A:A,$A826,작성용!AA:AA,"평가철회")</f>
        <v>0</v>
      </c>
    </row>
    <row r="827" spans="1:7" ht="16.5" customHeight="1" x14ac:dyDescent="0.3">
      <c r="A827" s="170" t="s">
        <v>1810</v>
      </c>
      <c r="B827" s="165" t="s">
        <v>1811</v>
      </c>
      <c r="C827" s="165" t="str">
        <f>IFERROR(VLOOKUP($A827,작성용!A:AL,14,0),"-")</f>
        <v>-</v>
      </c>
      <c r="D827" s="169" t="s">
        <v>74</v>
      </c>
      <c r="E827" s="167" t="str">
        <f>IFERROR(VLOOKUP(A827,작성용!A:AL,34,0),"-")</f>
        <v>-</v>
      </c>
      <c r="F827" s="168" t="s">
        <v>2</v>
      </c>
      <c r="G827" s="179">
        <f>COUNTIF(작성용!A:B,$A827)-COUNTIFS(작성용!A:A,$A827,작성용!AA:AA,"평가철회")</f>
        <v>0</v>
      </c>
    </row>
    <row r="828" spans="1:7" ht="16.5" customHeight="1" x14ac:dyDescent="0.3">
      <c r="A828" s="170" t="s">
        <v>1812</v>
      </c>
      <c r="B828" s="165" t="s">
        <v>1813</v>
      </c>
      <c r="C828" s="165" t="str">
        <f>IFERROR(VLOOKUP($A828,작성용!A:AL,14,0),"-")</f>
        <v>-</v>
      </c>
      <c r="D828" s="169" t="s">
        <v>1814</v>
      </c>
      <c r="E828" s="167" t="str">
        <f>IFERROR(VLOOKUP(A828,작성용!A:AL,34,0),"-")</f>
        <v>-</v>
      </c>
      <c r="F828" s="168" t="s">
        <v>2</v>
      </c>
      <c r="G828" s="179">
        <f>COUNTIF(작성용!A:B,$A828)-COUNTIFS(작성용!A:A,$A828,작성용!AA:AA,"평가철회")</f>
        <v>0</v>
      </c>
    </row>
    <row r="829" spans="1:7" ht="16.5" customHeight="1" x14ac:dyDescent="0.3">
      <c r="A829" s="170" t="s">
        <v>1815</v>
      </c>
      <c r="B829" s="165" t="s">
        <v>1816</v>
      </c>
      <c r="C829" s="165" t="str">
        <f>IFERROR(VLOOKUP($A829,작성용!A:AL,14,0),"-")</f>
        <v>-</v>
      </c>
      <c r="D829" s="169" t="s">
        <v>521</v>
      </c>
      <c r="E829" s="167" t="str">
        <f>IFERROR(VLOOKUP(A829,작성용!A:AL,34,0),"-")</f>
        <v>-</v>
      </c>
      <c r="F829" s="168" t="s">
        <v>2</v>
      </c>
      <c r="G829" s="179">
        <f>COUNTIF(작성용!A:B,$A829)-COUNTIFS(작성용!A:A,$A829,작성용!AA:AA,"평가철회")</f>
        <v>0</v>
      </c>
    </row>
    <row r="830" spans="1:7" ht="16.5" customHeight="1" x14ac:dyDescent="0.3">
      <c r="A830" s="170" t="s">
        <v>1817</v>
      </c>
      <c r="B830" s="165" t="s">
        <v>1818</v>
      </c>
      <c r="C830" s="165" t="str">
        <f>IFERROR(VLOOKUP($A830,작성용!A:AL,14,0),"-")</f>
        <v>-</v>
      </c>
      <c r="D830" s="169" t="s">
        <v>694</v>
      </c>
      <c r="E830" s="167" t="str">
        <f>IFERROR(VLOOKUP(A830,작성용!A:AL,34,0),"-")</f>
        <v>-</v>
      </c>
      <c r="F830" s="168" t="s">
        <v>6382</v>
      </c>
      <c r="G830" s="179">
        <f>COUNTIF(작성용!A:B,$A830)-COUNTIFS(작성용!A:A,$A830,작성용!AA:AA,"평가철회")</f>
        <v>0</v>
      </c>
    </row>
    <row r="831" spans="1:7" ht="16.5" customHeight="1" x14ac:dyDescent="0.3">
      <c r="A831" s="170" t="s">
        <v>1819</v>
      </c>
      <c r="B831" s="165" t="s">
        <v>1114</v>
      </c>
      <c r="C831" s="165" t="str">
        <f>IFERROR(VLOOKUP($A831,작성용!A:AL,14,0),"-")</f>
        <v>-</v>
      </c>
      <c r="D831" s="169" t="s">
        <v>656</v>
      </c>
      <c r="E831" s="167" t="str">
        <f>IFERROR(VLOOKUP(A831,작성용!A:AL,34,0),"-")</f>
        <v>-</v>
      </c>
      <c r="F831" s="168" t="s">
        <v>2</v>
      </c>
      <c r="G831" s="179">
        <f>COUNTIF(작성용!A:B,$A831)-COUNTIFS(작성용!A:A,$A831,작성용!AA:AA,"평가철회")</f>
        <v>0</v>
      </c>
    </row>
    <row r="832" spans="1:7" ht="16.5" customHeight="1" x14ac:dyDescent="0.3">
      <c r="A832" s="170" t="s">
        <v>1820</v>
      </c>
      <c r="B832" s="165" t="s">
        <v>1116</v>
      </c>
      <c r="C832" s="165" t="str">
        <f>IFERROR(VLOOKUP($A832,작성용!A:AL,14,0),"-")</f>
        <v>-</v>
      </c>
      <c r="D832" s="169" t="s">
        <v>244</v>
      </c>
      <c r="E832" s="167" t="str">
        <f>IFERROR(VLOOKUP(A832,작성용!A:AL,34,0),"-")</f>
        <v>-</v>
      </c>
      <c r="F832" s="168" t="s">
        <v>2</v>
      </c>
      <c r="G832" s="179">
        <f>COUNTIF(작성용!A:B,$A832)-COUNTIFS(작성용!A:A,$A832,작성용!AA:AA,"평가철회")</f>
        <v>0</v>
      </c>
    </row>
    <row r="833" spans="1:7" ht="16.5" customHeight="1" x14ac:dyDescent="0.3">
      <c r="A833" s="170" t="s">
        <v>1821</v>
      </c>
      <c r="B833" s="165" t="s">
        <v>1822</v>
      </c>
      <c r="C833" s="165" t="str">
        <f>IFERROR(VLOOKUP($A833,작성용!A:AL,14,0),"-")</f>
        <v>-</v>
      </c>
      <c r="D833" s="169" t="s">
        <v>6460</v>
      </c>
      <c r="E833" s="167" t="str">
        <f>IFERROR(VLOOKUP(A833,작성용!A:AL,34,0),"-")</f>
        <v>-</v>
      </c>
      <c r="F833" s="168" t="s">
        <v>6304</v>
      </c>
      <c r="G833" s="179">
        <f>COUNTIF(작성용!A:B,$A833)-COUNTIFS(작성용!A:A,$A833,작성용!AA:AA,"평가철회")</f>
        <v>0</v>
      </c>
    </row>
    <row r="834" spans="1:7" ht="16.5" customHeight="1" x14ac:dyDescent="0.3">
      <c r="A834" s="170" t="s">
        <v>1823</v>
      </c>
      <c r="B834" s="165" t="s">
        <v>1824</v>
      </c>
      <c r="C834" s="165" t="str">
        <f>IFERROR(VLOOKUP($A834,작성용!A:AL,14,0),"-")</f>
        <v>-</v>
      </c>
      <c r="D834" s="169" t="s">
        <v>1825</v>
      </c>
      <c r="E834" s="167" t="str">
        <f>IFERROR(VLOOKUP(A834,작성용!A:AL,34,0),"-")</f>
        <v>-</v>
      </c>
      <c r="F834" s="168" t="s">
        <v>2</v>
      </c>
      <c r="G834" s="179">
        <f>COUNTIF(작성용!A:B,$A834)-COUNTIFS(작성용!A:A,$A834,작성용!AA:AA,"평가철회")</f>
        <v>0</v>
      </c>
    </row>
    <row r="835" spans="1:7" ht="16.5" customHeight="1" x14ac:dyDescent="0.3">
      <c r="A835" s="170" t="s">
        <v>1826</v>
      </c>
      <c r="B835" s="165" t="s">
        <v>1827</v>
      </c>
      <c r="C835" s="165" t="str">
        <f>IFERROR(VLOOKUP($A835,작성용!A:AL,14,0),"-")</f>
        <v>-</v>
      </c>
      <c r="D835" s="169" t="s">
        <v>1828</v>
      </c>
      <c r="E835" s="167" t="str">
        <f>IFERROR(VLOOKUP(A835,작성용!A:AL,34,0),"-")</f>
        <v>-</v>
      </c>
      <c r="F835" s="168" t="s">
        <v>2</v>
      </c>
      <c r="G835" s="179">
        <f>COUNTIF(작성용!A:B,$A835)-COUNTIFS(작성용!A:A,$A835,작성용!AA:AA,"평가철회")</f>
        <v>0</v>
      </c>
    </row>
    <row r="836" spans="1:7" ht="16.5" customHeight="1" x14ac:dyDescent="0.3">
      <c r="A836" s="170" t="s">
        <v>1829</v>
      </c>
      <c r="B836" s="165" t="s">
        <v>1830</v>
      </c>
      <c r="C836" s="165" t="str">
        <f>IFERROR(VLOOKUP($A836,작성용!A:AL,14,0),"-")</f>
        <v>-</v>
      </c>
      <c r="D836" s="169" t="s">
        <v>72</v>
      </c>
      <c r="E836" s="167" t="str">
        <f>IFERROR(VLOOKUP(A836,작성용!A:AL,34,0),"-")</f>
        <v>-</v>
      </c>
      <c r="F836" s="168" t="s">
        <v>2</v>
      </c>
      <c r="G836" s="179">
        <f>COUNTIF(작성용!A:B,$A836)-COUNTIFS(작성용!A:A,$A836,작성용!AA:AA,"평가철회")</f>
        <v>0</v>
      </c>
    </row>
    <row r="837" spans="1:7" ht="16.5" customHeight="1" x14ac:dyDescent="0.3">
      <c r="A837" s="170" t="s">
        <v>1831</v>
      </c>
      <c r="B837" s="165" t="s">
        <v>1120</v>
      </c>
      <c r="C837" s="165" t="str">
        <f>IFERROR(VLOOKUP($A837,작성용!A:AL,14,0),"-")</f>
        <v>-</v>
      </c>
      <c r="D837" s="169" t="s">
        <v>247</v>
      </c>
      <c r="E837" s="167" t="str">
        <f>IFERROR(VLOOKUP(A837,작성용!A:AL,34,0),"-")</f>
        <v>-</v>
      </c>
      <c r="F837" s="168" t="s">
        <v>2</v>
      </c>
      <c r="G837" s="179">
        <f>COUNTIF(작성용!A:B,$A837)-COUNTIFS(작성용!A:A,$A837,작성용!AA:AA,"평가철회")</f>
        <v>0</v>
      </c>
    </row>
    <row r="838" spans="1:7" ht="16.5" customHeight="1" x14ac:dyDescent="0.3">
      <c r="A838" s="170" t="s">
        <v>1832</v>
      </c>
      <c r="B838" s="165" t="s">
        <v>1833</v>
      </c>
      <c r="C838" s="165" t="str">
        <f>IFERROR(VLOOKUP($A838,작성용!A:AL,14,0),"-")</f>
        <v>-</v>
      </c>
      <c r="D838" s="169" t="s">
        <v>6464</v>
      </c>
      <c r="E838" s="167" t="str">
        <f>IFERROR(VLOOKUP(A838,작성용!A:AL,34,0),"-")</f>
        <v>-</v>
      </c>
      <c r="F838" s="168" t="s">
        <v>6378</v>
      </c>
      <c r="G838" s="179">
        <f>COUNTIF(작성용!A:B,$A838)-COUNTIFS(작성용!A:A,$A838,작성용!AA:AA,"평가철회")</f>
        <v>0</v>
      </c>
    </row>
    <row r="839" spans="1:7" ht="16.5" customHeight="1" x14ac:dyDescent="0.3">
      <c r="A839" s="170" t="s">
        <v>1834</v>
      </c>
      <c r="B839" s="165" t="s">
        <v>1835</v>
      </c>
      <c r="C839" s="165" t="str">
        <f>IFERROR(VLOOKUP($A839,작성용!A:AL,14,0),"-")</f>
        <v>-</v>
      </c>
      <c r="D839" s="169" t="s">
        <v>463</v>
      </c>
      <c r="E839" s="167" t="str">
        <f>IFERROR(VLOOKUP(A839,작성용!A:AL,34,0),"-")</f>
        <v>-</v>
      </c>
      <c r="F839" s="168" t="s">
        <v>2</v>
      </c>
      <c r="G839" s="179">
        <f>COUNTIF(작성용!A:B,$A839)-COUNTIFS(작성용!A:A,$A839,작성용!AA:AA,"평가철회")</f>
        <v>0</v>
      </c>
    </row>
    <row r="840" spans="1:7" ht="16.5" customHeight="1" x14ac:dyDescent="0.3">
      <c r="A840" s="170" t="s">
        <v>1836</v>
      </c>
      <c r="B840" s="165" t="s">
        <v>1837</v>
      </c>
      <c r="C840" s="165" t="str">
        <f>IFERROR(VLOOKUP($A840,작성용!A:AL,14,0),"-")</f>
        <v>-</v>
      </c>
      <c r="D840" s="169" t="s">
        <v>6464</v>
      </c>
      <c r="E840" s="167" t="str">
        <f>IFERROR(VLOOKUP(A840,작성용!A:AL,34,0),"-")</f>
        <v>-</v>
      </c>
      <c r="F840" s="168" t="s">
        <v>6382</v>
      </c>
      <c r="G840" s="179">
        <f>COUNTIF(작성용!A:B,$A840)-COUNTIFS(작성용!A:A,$A840,작성용!AA:AA,"평가철회")</f>
        <v>0</v>
      </c>
    </row>
    <row r="841" spans="1:7" ht="16.5" customHeight="1" x14ac:dyDescent="0.3">
      <c r="A841" s="170" t="s">
        <v>1838</v>
      </c>
      <c r="B841" s="165" t="s">
        <v>1839</v>
      </c>
      <c r="C841" s="165" t="str">
        <f>IFERROR(VLOOKUP($A841,작성용!A:AL,14,0),"-")</f>
        <v>-</v>
      </c>
      <c r="D841" s="169" t="s">
        <v>495</v>
      </c>
      <c r="E841" s="167" t="str">
        <f>IFERROR(VLOOKUP(A841,작성용!A:AL,34,0),"-")</f>
        <v>-</v>
      </c>
      <c r="F841" s="168" t="s">
        <v>6382</v>
      </c>
      <c r="G841" s="179">
        <f>COUNTIF(작성용!A:B,$A841)-COUNTIFS(작성용!A:A,$A841,작성용!AA:AA,"평가철회")</f>
        <v>0</v>
      </c>
    </row>
    <row r="842" spans="1:7" ht="16.5" customHeight="1" x14ac:dyDescent="0.3">
      <c r="A842" s="170" t="s">
        <v>1840</v>
      </c>
      <c r="B842" s="165" t="s">
        <v>1841</v>
      </c>
      <c r="C842" s="165" t="str">
        <f>IFERROR(VLOOKUP($A842,작성용!A:AL,14,0),"-")</f>
        <v>-</v>
      </c>
      <c r="D842" s="169" t="s">
        <v>6450</v>
      </c>
      <c r="E842" s="167" t="str">
        <f>IFERROR(VLOOKUP(A842,작성용!A:AL,34,0),"-")</f>
        <v>-</v>
      </c>
      <c r="F842" s="168" t="s">
        <v>2</v>
      </c>
      <c r="G842" s="179">
        <f>COUNTIF(작성용!A:B,$A842)-COUNTIFS(작성용!A:A,$A842,작성용!AA:AA,"평가철회")</f>
        <v>0</v>
      </c>
    </row>
    <row r="843" spans="1:7" ht="16.5" customHeight="1" x14ac:dyDescent="0.3">
      <c r="A843" s="170" t="s">
        <v>1842</v>
      </c>
      <c r="B843" s="165" t="s">
        <v>6465</v>
      </c>
      <c r="C843" s="165" t="str">
        <f>IFERROR(VLOOKUP($A843,작성용!A:AL,14,0),"-")</f>
        <v>-</v>
      </c>
      <c r="D843" s="169" t="s">
        <v>6464</v>
      </c>
      <c r="E843" s="167" t="str">
        <f>IFERROR(VLOOKUP(A843,작성용!A:AL,34,0),"-")</f>
        <v>-</v>
      </c>
      <c r="F843" s="168" t="s">
        <v>6378</v>
      </c>
      <c r="G843" s="179">
        <f>COUNTIF(작성용!A:B,$A843)-COUNTIFS(작성용!A:A,$A843,작성용!AA:AA,"평가철회")</f>
        <v>0</v>
      </c>
    </row>
    <row r="844" spans="1:7" ht="16.5" customHeight="1" x14ac:dyDescent="0.3">
      <c r="A844" s="170" t="s">
        <v>1843</v>
      </c>
      <c r="B844" s="165" t="s">
        <v>6466</v>
      </c>
      <c r="C844" s="165" t="str">
        <f>IFERROR(VLOOKUP($A844,작성용!A:AL,14,0),"-")</f>
        <v>-</v>
      </c>
      <c r="D844" s="169" t="s">
        <v>6385</v>
      </c>
      <c r="E844" s="167" t="str">
        <f>IFERROR(VLOOKUP(A844,작성용!A:AL,34,0),"-")</f>
        <v>-</v>
      </c>
      <c r="F844" s="168" t="s">
        <v>6378</v>
      </c>
      <c r="G844" s="179">
        <f>COUNTIF(작성용!A:B,$A844)-COUNTIFS(작성용!A:A,$A844,작성용!AA:AA,"평가철회")</f>
        <v>0</v>
      </c>
    </row>
    <row r="845" spans="1:7" ht="16.5" customHeight="1" x14ac:dyDescent="0.3">
      <c r="A845" s="170" t="s">
        <v>1844</v>
      </c>
      <c r="B845" s="165" t="s">
        <v>1845</v>
      </c>
      <c r="C845" s="165" t="str">
        <f>IFERROR(VLOOKUP($A845,작성용!A:AL,14,0),"-")</f>
        <v>-</v>
      </c>
      <c r="D845" s="169" t="s">
        <v>1462</v>
      </c>
      <c r="E845" s="167" t="str">
        <f>IFERROR(VLOOKUP(A845,작성용!A:AL,34,0),"-")</f>
        <v>-</v>
      </c>
      <c r="F845" s="168" t="s">
        <v>2</v>
      </c>
      <c r="G845" s="179">
        <f>COUNTIF(작성용!A:B,$A845)-COUNTIFS(작성용!A:A,$A845,작성용!AA:AA,"평가철회")</f>
        <v>0</v>
      </c>
    </row>
    <row r="846" spans="1:7" ht="16.5" customHeight="1" x14ac:dyDescent="0.3">
      <c r="A846" s="170" t="s">
        <v>1846</v>
      </c>
      <c r="B846" s="165" t="s">
        <v>1847</v>
      </c>
      <c r="C846" s="165" t="str">
        <f>IFERROR(VLOOKUP($A846,작성용!A:AL,14,0),"-")</f>
        <v>-</v>
      </c>
      <c r="D846" s="169" t="s">
        <v>247</v>
      </c>
      <c r="E846" s="167" t="str">
        <f>IFERROR(VLOOKUP(A846,작성용!A:AL,34,0),"-")</f>
        <v>-</v>
      </c>
      <c r="F846" s="168" t="s">
        <v>2</v>
      </c>
      <c r="G846" s="179">
        <f>COUNTIF(작성용!A:B,$A846)-COUNTIFS(작성용!A:A,$A846,작성용!AA:AA,"평가철회")</f>
        <v>0</v>
      </c>
    </row>
    <row r="847" spans="1:7" ht="16.5" customHeight="1" x14ac:dyDescent="0.3">
      <c r="A847" s="170" t="s">
        <v>1848</v>
      </c>
      <c r="B847" s="165" t="s">
        <v>1849</v>
      </c>
      <c r="C847" s="165" t="str">
        <f>IFERROR(VLOOKUP($A847,작성용!A:AL,14,0),"-")</f>
        <v>-</v>
      </c>
      <c r="D847" s="169" t="s">
        <v>492</v>
      </c>
      <c r="E847" s="167" t="str">
        <f>IFERROR(VLOOKUP(A847,작성용!A:AL,34,0),"-")</f>
        <v>-</v>
      </c>
      <c r="F847" s="168" t="s">
        <v>2</v>
      </c>
      <c r="G847" s="179">
        <f>COUNTIF(작성용!A:B,$A847)-COUNTIFS(작성용!A:A,$A847,작성용!AA:AA,"평가철회")</f>
        <v>0</v>
      </c>
    </row>
    <row r="848" spans="1:7" ht="16.5" customHeight="1" x14ac:dyDescent="0.3">
      <c r="A848" s="170" t="s">
        <v>1850</v>
      </c>
      <c r="B848" s="165" t="s">
        <v>1851</v>
      </c>
      <c r="C848" s="165" t="str">
        <f>IFERROR(VLOOKUP($A848,작성용!A:AL,14,0),"-")</f>
        <v>-</v>
      </c>
      <c r="D848" s="169" t="s">
        <v>72</v>
      </c>
      <c r="E848" s="167" t="str">
        <f>IFERROR(VLOOKUP(A848,작성용!A:AL,34,0),"-")</f>
        <v>-</v>
      </c>
      <c r="F848" s="168" t="s">
        <v>2</v>
      </c>
      <c r="G848" s="179">
        <f>COUNTIF(작성용!A:B,$A848)-COUNTIFS(작성용!A:A,$A848,작성용!AA:AA,"평가철회")</f>
        <v>0</v>
      </c>
    </row>
    <row r="849" spans="1:7" ht="16.5" customHeight="1" x14ac:dyDescent="0.3">
      <c r="A849" s="170" t="s">
        <v>1852</v>
      </c>
      <c r="B849" s="165" t="s">
        <v>1853</v>
      </c>
      <c r="C849" s="165" t="str">
        <f>IFERROR(VLOOKUP($A849,작성용!A:AL,14,0),"-")</f>
        <v>-</v>
      </c>
      <c r="D849" s="169" t="s">
        <v>1854</v>
      </c>
      <c r="E849" s="167" t="str">
        <f>IFERROR(VLOOKUP(A849,작성용!A:AL,34,0),"-")</f>
        <v>-</v>
      </c>
      <c r="F849" s="168" t="s">
        <v>2</v>
      </c>
      <c r="G849" s="179">
        <f>COUNTIF(작성용!A:B,$A849)-COUNTIFS(작성용!A:A,$A849,작성용!AA:AA,"평가철회")</f>
        <v>0</v>
      </c>
    </row>
    <row r="850" spans="1:7" ht="16.5" customHeight="1" x14ac:dyDescent="0.3">
      <c r="A850" s="170" t="s">
        <v>1855</v>
      </c>
      <c r="B850" s="165" t="s">
        <v>1856</v>
      </c>
      <c r="C850" s="165" t="str">
        <f>IFERROR(VLOOKUP($A850,작성용!A:AL,14,0),"-")</f>
        <v>-</v>
      </c>
      <c r="D850" s="169" t="s">
        <v>6467</v>
      </c>
      <c r="E850" s="167" t="str">
        <f>IFERROR(VLOOKUP(A850,작성용!A:AL,34,0),"-")</f>
        <v>-</v>
      </c>
      <c r="F850" s="168" t="s">
        <v>6382</v>
      </c>
      <c r="G850" s="179">
        <f>COUNTIF(작성용!A:B,$A850)-COUNTIFS(작성용!A:A,$A850,작성용!AA:AA,"평가철회")</f>
        <v>0</v>
      </c>
    </row>
    <row r="851" spans="1:7" ht="16.5" customHeight="1" x14ac:dyDescent="0.3">
      <c r="A851" s="170" t="s">
        <v>1857</v>
      </c>
      <c r="B851" s="165" t="s">
        <v>1858</v>
      </c>
      <c r="C851" s="165" t="str">
        <f>IFERROR(VLOOKUP($A851,작성용!A:AL,14,0),"-")</f>
        <v>-</v>
      </c>
      <c r="D851" s="169" t="s">
        <v>6388</v>
      </c>
      <c r="E851" s="167" t="str">
        <f>IFERROR(VLOOKUP(A851,작성용!A:AL,34,0),"-")</f>
        <v>-</v>
      </c>
      <c r="F851" s="168" t="s">
        <v>6380</v>
      </c>
      <c r="G851" s="179">
        <f>COUNTIF(작성용!A:B,$A851)-COUNTIFS(작성용!A:A,$A851,작성용!AA:AA,"평가철회")</f>
        <v>0</v>
      </c>
    </row>
    <row r="852" spans="1:7" ht="16.5" customHeight="1" x14ac:dyDescent="0.3">
      <c r="A852" s="170" t="s">
        <v>1859</v>
      </c>
      <c r="B852" s="165" t="s">
        <v>1860</v>
      </c>
      <c r="C852" s="165" t="str">
        <f>IFERROR(VLOOKUP($A852,작성용!A:AL,14,0),"-")</f>
        <v>-</v>
      </c>
      <c r="D852" s="169" t="s">
        <v>6385</v>
      </c>
      <c r="E852" s="167" t="str">
        <f>IFERROR(VLOOKUP(A852,작성용!A:AL,34,0),"-")</f>
        <v>-</v>
      </c>
      <c r="F852" s="168" t="s">
        <v>6378</v>
      </c>
      <c r="G852" s="179">
        <f>COUNTIF(작성용!A:B,$A852)-COUNTIFS(작성용!A:A,$A852,작성용!AA:AA,"평가철회")</f>
        <v>0</v>
      </c>
    </row>
    <row r="853" spans="1:7" ht="16.5" customHeight="1" x14ac:dyDescent="0.3">
      <c r="A853" s="170" t="s">
        <v>1861</v>
      </c>
      <c r="B853" s="165" t="s">
        <v>1862</v>
      </c>
      <c r="C853" s="165" t="str">
        <f>IFERROR(VLOOKUP($A853,작성용!A:AL,14,0),"-")</f>
        <v>-</v>
      </c>
      <c r="D853" s="169" t="s">
        <v>6458</v>
      </c>
      <c r="E853" s="167" t="str">
        <f>IFERROR(VLOOKUP(A853,작성용!A:AL,34,0),"-")</f>
        <v>-</v>
      </c>
      <c r="F853" s="168" t="s">
        <v>2</v>
      </c>
      <c r="G853" s="179">
        <f>COUNTIF(작성용!A:B,$A853)-COUNTIFS(작성용!A:A,$A853,작성용!AA:AA,"평가철회")</f>
        <v>0</v>
      </c>
    </row>
    <row r="854" spans="1:7" ht="16.5" customHeight="1" x14ac:dyDescent="0.3">
      <c r="A854" s="170" t="s">
        <v>1863</v>
      </c>
      <c r="B854" s="165" t="s">
        <v>1864</v>
      </c>
      <c r="C854" s="165" t="str">
        <f>IFERROR(VLOOKUP($A854,작성용!A:AL,14,0),"-")</f>
        <v>-</v>
      </c>
      <c r="D854" s="169" t="s">
        <v>6454</v>
      </c>
      <c r="E854" s="167" t="str">
        <f>IFERROR(VLOOKUP(A854,작성용!A:AL,34,0),"-")</f>
        <v>-</v>
      </c>
      <c r="F854" s="168" t="s">
        <v>6304</v>
      </c>
      <c r="G854" s="179">
        <f>COUNTIF(작성용!A:B,$A854)-COUNTIFS(작성용!A:A,$A854,작성용!AA:AA,"평가철회")</f>
        <v>0</v>
      </c>
    </row>
    <row r="855" spans="1:7" ht="16.5" customHeight="1" x14ac:dyDescent="0.3">
      <c r="A855" s="170" t="s">
        <v>1865</v>
      </c>
      <c r="B855" s="165" t="s">
        <v>1866</v>
      </c>
      <c r="C855" s="165" t="str">
        <f>IFERROR(VLOOKUP($A855,작성용!A:AL,14,0),"-")</f>
        <v>-</v>
      </c>
      <c r="D855" s="169" t="s">
        <v>1867</v>
      </c>
      <c r="E855" s="167" t="str">
        <f>IFERROR(VLOOKUP(A855,작성용!A:AL,34,0),"-")</f>
        <v>-</v>
      </c>
      <c r="F855" s="168" t="s">
        <v>2</v>
      </c>
      <c r="G855" s="179">
        <f>COUNTIF(작성용!A:B,$A855)-COUNTIFS(작성용!A:A,$A855,작성용!AA:AA,"평가철회")</f>
        <v>0</v>
      </c>
    </row>
    <row r="856" spans="1:7" ht="16.5" customHeight="1" x14ac:dyDescent="0.3">
      <c r="A856" s="170" t="s">
        <v>1868</v>
      </c>
      <c r="B856" s="165" t="s">
        <v>6468</v>
      </c>
      <c r="C856" s="165" t="str">
        <f>IFERROR(VLOOKUP($A856,작성용!A:AL,14,0),"-")</f>
        <v>-</v>
      </c>
      <c r="D856" s="169" t="s">
        <v>6469</v>
      </c>
      <c r="E856" s="167" t="str">
        <f>IFERROR(VLOOKUP(A856,작성용!A:AL,34,0),"-")</f>
        <v>-</v>
      </c>
      <c r="F856" s="168" t="s">
        <v>6304</v>
      </c>
      <c r="G856" s="179">
        <f>COUNTIF(작성용!A:B,$A856)-COUNTIFS(작성용!A:A,$A856,작성용!AA:AA,"평가철회")</f>
        <v>0</v>
      </c>
    </row>
    <row r="857" spans="1:7" ht="16.5" customHeight="1" x14ac:dyDescent="0.3">
      <c r="A857" s="170" t="s">
        <v>1869</v>
      </c>
      <c r="B857" s="165" t="s">
        <v>1870</v>
      </c>
      <c r="C857" s="165" t="str">
        <f>IFERROR(VLOOKUP($A857,작성용!A:AL,14,0),"-")</f>
        <v>-</v>
      </c>
      <c r="D857" s="169" t="s">
        <v>247</v>
      </c>
      <c r="E857" s="167" t="str">
        <f>IFERROR(VLOOKUP(A857,작성용!A:AL,34,0),"-")</f>
        <v>-</v>
      </c>
      <c r="F857" s="168" t="s">
        <v>2</v>
      </c>
      <c r="G857" s="179">
        <f>COUNTIF(작성용!A:B,$A857)-COUNTIFS(작성용!A:A,$A857,작성용!AA:AA,"평가철회")</f>
        <v>0</v>
      </c>
    </row>
    <row r="858" spans="1:7" ht="16.5" customHeight="1" x14ac:dyDescent="0.3">
      <c r="A858" s="170" t="s">
        <v>1871</v>
      </c>
      <c r="B858" s="165" t="s">
        <v>6470</v>
      </c>
      <c r="C858" s="165" t="str">
        <f>IFERROR(VLOOKUP($A858,작성용!A:AL,14,0),"-")</f>
        <v>미정</v>
      </c>
      <c r="D858" s="169" t="s">
        <v>6324</v>
      </c>
      <c r="E858" s="167" t="str">
        <f>IFERROR(VLOOKUP(A858,작성용!A:AL,34,0),"-")</f>
        <v>조현우</v>
      </c>
      <c r="F858" s="168" t="s">
        <v>6382</v>
      </c>
      <c r="G858" s="179">
        <f>COUNTIF(작성용!A:B,$A858)-COUNTIFS(작성용!A:A,$A858,작성용!AA:AA,"평가철회")</f>
        <v>3</v>
      </c>
    </row>
    <row r="859" spans="1:7" ht="16.5" customHeight="1" x14ac:dyDescent="0.3">
      <c r="A859" s="170" t="s">
        <v>1872</v>
      </c>
      <c r="B859" s="165" t="s">
        <v>1157</v>
      </c>
      <c r="C859" s="165" t="str">
        <f>IFERROR(VLOOKUP($A859,작성용!A:AL,14,0),"-")</f>
        <v>-</v>
      </c>
      <c r="D859" s="169" t="s">
        <v>75</v>
      </c>
      <c r="E859" s="167" t="str">
        <f>IFERROR(VLOOKUP(A859,작성용!A:AL,34,0),"-")</f>
        <v>-</v>
      </c>
      <c r="F859" s="168" t="s">
        <v>2</v>
      </c>
      <c r="G859" s="179">
        <f>COUNTIF(작성용!A:B,$A859)-COUNTIFS(작성용!A:A,$A859,작성용!AA:AA,"평가철회")</f>
        <v>0</v>
      </c>
    </row>
    <row r="860" spans="1:7" ht="16.5" customHeight="1" x14ac:dyDescent="0.3">
      <c r="A860" s="170" t="s">
        <v>1873</v>
      </c>
      <c r="B860" s="165" t="s">
        <v>1874</v>
      </c>
      <c r="C860" s="165" t="str">
        <f>IFERROR(VLOOKUP($A860,작성용!A:AL,14,0),"-")</f>
        <v>-</v>
      </c>
      <c r="D860" s="169" t="s">
        <v>6471</v>
      </c>
      <c r="E860" s="167" t="str">
        <f>IFERROR(VLOOKUP(A860,작성용!A:AL,34,0),"-")</f>
        <v>-</v>
      </c>
      <c r="F860" s="168" t="s">
        <v>6380</v>
      </c>
      <c r="G860" s="179">
        <f>COUNTIF(작성용!A:B,$A860)-COUNTIFS(작성용!A:A,$A860,작성용!AA:AA,"평가철회")</f>
        <v>0</v>
      </c>
    </row>
    <row r="861" spans="1:7" ht="16.5" customHeight="1" x14ac:dyDescent="0.3">
      <c r="A861" s="170" t="s">
        <v>1875</v>
      </c>
      <c r="B861" s="165" t="s">
        <v>1876</v>
      </c>
      <c r="C861" s="165" t="str">
        <f>IFERROR(VLOOKUP($A861,작성용!A:AL,14,0),"-")</f>
        <v>-</v>
      </c>
      <c r="D861" s="169" t="s">
        <v>694</v>
      </c>
      <c r="E861" s="167" t="str">
        <f>IFERROR(VLOOKUP(A861,작성용!A:AL,34,0),"-")</f>
        <v>-</v>
      </c>
      <c r="F861" s="168" t="s">
        <v>6382</v>
      </c>
      <c r="G861" s="179">
        <f>COUNTIF(작성용!A:B,$A861)-COUNTIFS(작성용!A:A,$A861,작성용!AA:AA,"평가철회")</f>
        <v>0</v>
      </c>
    </row>
    <row r="862" spans="1:7" ht="16.5" customHeight="1" x14ac:dyDescent="0.3">
      <c r="A862" s="170" t="s">
        <v>1877</v>
      </c>
      <c r="B862" s="165" t="s">
        <v>1170</v>
      </c>
      <c r="C862" s="165" t="str">
        <f>IFERROR(VLOOKUP($A862,작성용!A:AL,14,0),"-")</f>
        <v>-</v>
      </c>
      <c r="D862" s="169" t="s">
        <v>13</v>
      </c>
      <c r="E862" s="167" t="str">
        <f>IFERROR(VLOOKUP(A862,작성용!A:AL,34,0),"-")</f>
        <v>-</v>
      </c>
      <c r="F862" s="168" t="s">
        <v>2</v>
      </c>
      <c r="G862" s="179">
        <f>COUNTIF(작성용!A:B,$A862)-COUNTIFS(작성용!A:A,$A862,작성용!AA:AA,"평가철회")</f>
        <v>0</v>
      </c>
    </row>
    <row r="863" spans="1:7" ht="16.5" customHeight="1" x14ac:dyDescent="0.3">
      <c r="A863" s="170" t="s">
        <v>1878</v>
      </c>
      <c r="B863" s="165" t="s">
        <v>1879</v>
      </c>
      <c r="C863" s="165" t="str">
        <f>IFERROR(VLOOKUP($A863,작성용!A:AL,14,0),"-")</f>
        <v>-</v>
      </c>
      <c r="D863" s="169" t="s">
        <v>498</v>
      </c>
      <c r="E863" s="167" t="str">
        <f>IFERROR(VLOOKUP(A863,작성용!A:AL,34,0),"-")</f>
        <v>-</v>
      </c>
      <c r="F863" s="168" t="s">
        <v>2</v>
      </c>
      <c r="G863" s="179">
        <f>COUNTIF(작성용!A:B,$A863)-COUNTIFS(작성용!A:A,$A863,작성용!AA:AA,"평가철회")</f>
        <v>0</v>
      </c>
    </row>
    <row r="864" spans="1:7" ht="16.5" customHeight="1" x14ac:dyDescent="0.3">
      <c r="A864" s="170" t="s">
        <v>1880</v>
      </c>
      <c r="B864" s="165" t="s">
        <v>1881</v>
      </c>
      <c r="C864" s="165" t="str">
        <f>IFERROR(VLOOKUP($A864,작성용!A:AL,14,0),"-")</f>
        <v>-</v>
      </c>
      <c r="D864" s="169" t="s">
        <v>1882</v>
      </c>
      <c r="E864" s="167" t="str">
        <f>IFERROR(VLOOKUP(A864,작성용!A:AL,34,0),"-")</f>
        <v>-</v>
      </c>
      <c r="F864" s="168" t="s">
        <v>2</v>
      </c>
      <c r="G864" s="179">
        <f>COUNTIF(작성용!A:B,$A864)-COUNTIFS(작성용!A:A,$A864,작성용!AA:AA,"평가철회")</f>
        <v>0</v>
      </c>
    </row>
    <row r="865" spans="1:7" ht="16.5" customHeight="1" x14ac:dyDescent="0.3">
      <c r="A865" s="170" t="s">
        <v>1883</v>
      </c>
      <c r="B865" s="165" t="s">
        <v>1884</v>
      </c>
      <c r="C865" s="165" t="str">
        <f>IFERROR(VLOOKUP($A865,작성용!A:AL,14,0),"-")</f>
        <v>-</v>
      </c>
      <c r="D865" s="169" t="s">
        <v>336</v>
      </c>
      <c r="E865" s="167" t="str">
        <f>IFERROR(VLOOKUP(A865,작성용!A:AL,34,0),"-")</f>
        <v>-</v>
      </c>
      <c r="F865" s="168" t="s">
        <v>2</v>
      </c>
      <c r="G865" s="179">
        <f>COUNTIF(작성용!A:B,$A865)-COUNTIFS(작성용!A:A,$A865,작성용!AA:AA,"평가철회")</f>
        <v>0</v>
      </c>
    </row>
    <row r="866" spans="1:7" ht="16.5" customHeight="1" x14ac:dyDescent="0.3">
      <c r="A866" s="170" t="s">
        <v>1885</v>
      </c>
      <c r="B866" s="165" t="s">
        <v>1886</v>
      </c>
      <c r="C866" s="165" t="str">
        <f>IFERROR(VLOOKUP($A866,작성용!A:AL,14,0),"-")</f>
        <v>-</v>
      </c>
      <c r="D866" s="169" t="s">
        <v>521</v>
      </c>
      <c r="E866" s="167" t="str">
        <f>IFERROR(VLOOKUP(A866,작성용!A:AL,34,0),"-")</f>
        <v>-</v>
      </c>
      <c r="F866" s="168" t="s">
        <v>2</v>
      </c>
      <c r="G866" s="179">
        <f>COUNTIF(작성용!A:B,$A866)-COUNTIFS(작성용!A:A,$A866,작성용!AA:AA,"평가철회")</f>
        <v>0</v>
      </c>
    </row>
    <row r="867" spans="1:7" ht="16.5" customHeight="1" x14ac:dyDescent="0.3">
      <c r="A867" s="170" t="s">
        <v>1887</v>
      </c>
      <c r="B867" s="165" t="s">
        <v>6472</v>
      </c>
      <c r="C867" s="165" t="str">
        <f>IFERROR(VLOOKUP($A867,작성용!A:AL,14,0),"-")</f>
        <v>-</v>
      </c>
      <c r="D867" s="169" t="s">
        <v>6301</v>
      </c>
      <c r="E867" s="167" t="str">
        <f>IFERROR(VLOOKUP(A867,작성용!A:AL,34,0),"-")</f>
        <v>-</v>
      </c>
      <c r="F867" s="168" t="s">
        <v>6378</v>
      </c>
      <c r="G867" s="179">
        <f>COUNTIF(작성용!A:B,$A867)-COUNTIFS(작성용!A:A,$A867,작성용!AA:AA,"평가철회")</f>
        <v>0</v>
      </c>
    </row>
    <row r="868" spans="1:7" ht="16.5" customHeight="1" x14ac:dyDescent="0.3">
      <c r="A868" s="170" t="s">
        <v>1888</v>
      </c>
      <c r="B868" s="165" t="s">
        <v>1889</v>
      </c>
      <c r="C868" s="165" t="str">
        <f>IFERROR(VLOOKUP($A868,작성용!A:AL,14,0),"-")</f>
        <v>-</v>
      </c>
      <c r="D868" s="169" t="s">
        <v>6316</v>
      </c>
      <c r="E868" s="167" t="str">
        <f>IFERROR(VLOOKUP(A868,작성용!A:AL,34,0),"-")</f>
        <v>-</v>
      </c>
      <c r="F868" s="168" t="s">
        <v>6382</v>
      </c>
      <c r="G868" s="179">
        <f>COUNTIF(작성용!A:B,$A868)-COUNTIFS(작성용!A:A,$A868,작성용!AA:AA,"평가철회")</f>
        <v>0</v>
      </c>
    </row>
    <row r="869" spans="1:7" ht="16.5" customHeight="1" x14ac:dyDescent="0.3">
      <c r="A869" s="170" t="s">
        <v>1890</v>
      </c>
      <c r="B869" s="165" t="s">
        <v>1891</v>
      </c>
      <c r="C869" s="165" t="str">
        <f>IFERROR(VLOOKUP($A869,작성용!A:AL,14,0),"-")</f>
        <v>-</v>
      </c>
      <c r="D869" s="169" t="s">
        <v>336</v>
      </c>
      <c r="E869" s="167" t="str">
        <f>IFERROR(VLOOKUP(A869,작성용!A:AL,34,0),"-")</f>
        <v>-</v>
      </c>
      <c r="F869" s="168" t="s">
        <v>2</v>
      </c>
      <c r="G869" s="179">
        <f>COUNTIF(작성용!A:B,$A869)-COUNTIFS(작성용!A:A,$A869,작성용!AA:AA,"평가철회")</f>
        <v>0</v>
      </c>
    </row>
    <row r="870" spans="1:7" ht="16.5" customHeight="1" x14ac:dyDescent="0.3">
      <c r="A870" s="170" t="s">
        <v>1892</v>
      </c>
      <c r="B870" s="165" t="s">
        <v>1893</v>
      </c>
      <c r="C870" s="165" t="str">
        <f>IFERROR(VLOOKUP($A870,작성용!A:AL,14,0),"-")</f>
        <v>-</v>
      </c>
      <c r="D870" s="169" t="s">
        <v>656</v>
      </c>
      <c r="E870" s="167" t="str">
        <f>IFERROR(VLOOKUP(A870,작성용!A:AL,34,0),"-")</f>
        <v>-</v>
      </c>
      <c r="F870" s="168" t="s">
        <v>2</v>
      </c>
      <c r="G870" s="179">
        <f>COUNTIF(작성용!A:B,$A870)-COUNTIFS(작성용!A:A,$A870,작성용!AA:AA,"평가철회")</f>
        <v>0</v>
      </c>
    </row>
    <row r="871" spans="1:7" ht="16.5" customHeight="1" x14ac:dyDescent="0.3">
      <c r="A871" s="170" t="s">
        <v>1894</v>
      </c>
      <c r="B871" s="165" t="s">
        <v>1895</v>
      </c>
      <c r="C871" s="165" t="str">
        <f>IFERROR(VLOOKUP($A871,작성용!A:AL,14,0),"-")</f>
        <v>-</v>
      </c>
      <c r="D871" s="169" t="s">
        <v>1896</v>
      </c>
      <c r="E871" s="167" t="str">
        <f>IFERROR(VLOOKUP(A871,작성용!A:AL,34,0),"-")</f>
        <v>-</v>
      </c>
      <c r="F871" s="168" t="s">
        <v>6382</v>
      </c>
      <c r="G871" s="179">
        <f>COUNTIF(작성용!A:B,$A871)-COUNTIFS(작성용!A:A,$A871,작성용!AA:AA,"평가철회")</f>
        <v>0</v>
      </c>
    </row>
    <row r="872" spans="1:7" ht="16.5" customHeight="1" x14ac:dyDescent="0.3">
      <c r="A872" s="170" t="s">
        <v>1897</v>
      </c>
      <c r="B872" s="165" t="s">
        <v>1898</v>
      </c>
      <c r="C872" s="165" t="str">
        <f>IFERROR(VLOOKUP($A872,작성용!A:AL,14,0),"-")</f>
        <v>-</v>
      </c>
      <c r="D872" s="169" t="s">
        <v>656</v>
      </c>
      <c r="E872" s="167" t="str">
        <f>IFERROR(VLOOKUP(A872,작성용!A:AL,34,0),"-")</f>
        <v>-</v>
      </c>
      <c r="F872" s="168" t="s">
        <v>2</v>
      </c>
      <c r="G872" s="179">
        <f>COUNTIF(작성용!A:B,$A872)-COUNTIFS(작성용!A:A,$A872,작성용!AA:AA,"평가철회")</f>
        <v>0</v>
      </c>
    </row>
    <row r="873" spans="1:7" ht="16.5" customHeight="1" x14ac:dyDescent="0.3">
      <c r="A873" s="170" t="s">
        <v>1899</v>
      </c>
      <c r="B873" s="165" t="s">
        <v>1900</v>
      </c>
      <c r="C873" s="165" t="str">
        <f>IFERROR(VLOOKUP($A873,작성용!A:AL,14,0),"-")</f>
        <v>-</v>
      </c>
      <c r="D873" s="169" t="s">
        <v>492</v>
      </c>
      <c r="E873" s="167" t="str">
        <f>IFERROR(VLOOKUP(A873,작성용!A:AL,34,0),"-")</f>
        <v>-</v>
      </c>
      <c r="F873" s="168" t="s">
        <v>2</v>
      </c>
      <c r="G873" s="179">
        <f>COUNTIF(작성용!A:B,$A873)-COUNTIFS(작성용!A:A,$A873,작성용!AA:AA,"평가철회")</f>
        <v>0</v>
      </c>
    </row>
    <row r="874" spans="1:7" ht="16.5" customHeight="1" x14ac:dyDescent="0.3">
      <c r="A874" s="170" t="s">
        <v>1901</v>
      </c>
      <c r="B874" s="165" t="s">
        <v>6473</v>
      </c>
      <c r="C874" s="165" t="str">
        <f>IFERROR(VLOOKUP($A874,작성용!A:AL,14,0),"-")</f>
        <v>-</v>
      </c>
      <c r="D874" s="169" t="s">
        <v>6440</v>
      </c>
      <c r="E874" s="167" t="str">
        <f>IFERROR(VLOOKUP(A874,작성용!A:AL,34,0),"-")</f>
        <v>-</v>
      </c>
      <c r="F874" s="168" t="s">
        <v>6378</v>
      </c>
      <c r="G874" s="179">
        <f>COUNTIF(작성용!A:B,$A874)-COUNTIFS(작성용!A:A,$A874,작성용!AA:AA,"평가철회")</f>
        <v>0</v>
      </c>
    </row>
    <row r="875" spans="1:7" ht="16.5" customHeight="1" x14ac:dyDescent="0.3">
      <c r="A875" s="170" t="s">
        <v>1902</v>
      </c>
      <c r="B875" s="165" t="s">
        <v>1903</v>
      </c>
      <c r="C875" s="165" t="str">
        <f>IFERROR(VLOOKUP($A875,작성용!A:AL,14,0),"-")</f>
        <v>-</v>
      </c>
      <c r="D875" s="169" t="s">
        <v>1904</v>
      </c>
      <c r="E875" s="167" t="str">
        <f>IFERROR(VLOOKUP(A875,작성용!A:AL,34,0),"-")</f>
        <v>-</v>
      </c>
      <c r="F875" s="168" t="s">
        <v>2</v>
      </c>
      <c r="G875" s="179">
        <f>COUNTIF(작성용!A:B,$A875)-COUNTIFS(작성용!A:A,$A875,작성용!AA:AA,"평가철회")</f>
        <v>0</v>
      </c>
    </row>
    <row r="876" spans="1:7" ht="16.5" customHeight="1" x14ac:dyDescent="0.3">
      <c r="A876" s="170" t="s">
        <v>1905</v>
      </c>
      <c r="B876" s="165" t="s">
        <v>6474</v>
      </c>
      <c r="C876" s="165" t="str">
        <f>IFERROR(VLOOKUP($A876,작성용!A:AL,14,0),"-")</f>
        <v>-</v>
      </c>
      <c r="D876" s="169" t="s">
        <v>6384</v>
      </c>
      <c r="E876" s="167" t="str">
        <f>IFERROR(VLOOKUP(A876,작성용!A:AL,34,0),"-")</f>
        <v>-</v>
      </c>
      <c r="F876" s="168" t="s">
        <v>2</v>
      </c>
      <c r="G876" s="179">
        <f>COUNTIF(작성용!A:B,$A876)-COUNTIFS(작성용!A:A,$A876,작성용!AA:AA,"평가철회")</f>
        <v>0</v>
      </c>
    </row>
    <row r="877" spans="1:7" ht="16.5" customHeight="1" x14ac:dyDescent="0.3">
      <c r="A877" s="170" t="s">
        <v>1906</v>
      </c>
      <c r="B877" s="165" t="s">
        <v>1907</v>
      </c>
      <c r="C877" s="165" t="str">
        <f>IFERROR(VLOOKUP($A877,작성용!A:AL,14,0),"-")</f>
        <v>-</v>
      </c>
      <c r="D877" s="169" t="s">
        <v>656</v>
      </c>
      <c r="E877" s="167" t="str">
        <f>IFERROR(VLOOKUP(A877,작성용!A:AL,34,0),"-")</f>
        <v>-</v>
      </c>
      <c r="F877" s="168" t="s">
        <v>6283</v>
      </c>
      <c r="G877" s="179">
        <f>COUNTIF(작성용!A:B,$A877)-COUNTIFS(작성용!A:A,$A877,작성용!AA:AA,"평가철회")</f>
        <v>0</v>
      </c>
    </row>
    <row r="878" spans="1:7" ht="16.5" customHeight="1" x14ac:dyDescent="0.3">
      <c r="A878" s="170" t="s">
        <v>1908</v>
      </c>
      <c r="B878" s="165" t="s">
        <v>1909</v>
      </c>
      <c r="C878" s="165" t="str">
        <f>IFERROR(VLOOKUP($A878,작성용!A:AL,14,0),"-")</f>
        <v>-</v>
      </c>
      <c r="D878" s="169" t="s">
        <v>1462</v>
      </c>
      <c r="E878" s="167" t="str">
        <f>IFERROR(VLOOKUP(A878,작성용!A:AL,34,0),"-")</f>
        <v>-</v>
      </c>
      <c r="F878" s="168" t="s">
        <v>2</v>
      </c>
      <c r="G878" s="179">
        <f>COUNTIF(작성용!A:B,$A878)-COUNTIFS(작성용!A:A,$A878,작성용!AA:AA,"평가철회")</f>
        <v>0</v>
      </c>
    </row>
    <row r="879" spans="1:7" ht="16.5" customHeight="1" x14ac:dyDescent="0.3">
      <c r="A879" s="170" t="s">
        <v>1910</v>
      </c>
      <c r="B879" s="165" t="s">
        <v>1911</v>
      </c>
      <c r="C879" s="165" t="str">
        <f>IFERROR(VLOOKUP($A879,작성용!A:AL,14,0),"-")</f>
        <v>-</v>
      </c>
      <c r="D879" s="169" t="s">
        <v>6325</v>
      </c>
      <c r="E879" s="167" t="str">
        <f>IFERROR(VLOOKUP(A879,작성용!A:AL,34,0),"-")</f>
        <v>-</v>
      </c>
      <c r="F879" s="168" t="s">
        <v>6378</v>
      </c>
      <c r="G879" s="179">
        <f>COUNTIF(작성용!A:B,$A879)-COUNTIFS(작성용!A:A,$A879,작성용!AA:AA,"평가철회")</f>
        <v>0</v>
      </c>
    </row>
    <row r="880" spans="1:7" ht="16.5" customHeight="1" x14ac:dyDescent="0.3">
      <c r="A880" s="170" t="s">
        <v>1912</v>
      </c>
      <c r="B880" s="165" t="s">
        <v>1913</v>
      </c>
      <c r="C880" s="165" t="str">
        <f>IFERROR(VLOOKUP($A880,작성용!A:AL,14,0),"-")</f>
        <v>-</v>
      </c>
      <c r="D880" s="169" t="s">
        <v>220</v>
      </c>
      <c r="E880" s="167" t="str">
        <f>IFERROR(VLOOKUP(A880,작성용!A:AL,34,0),"-")</f>
        <v>-</v>
      </c>
      <c r="F880" s="168" t="s">
        <v>2</v>
      </c>
      <c r="G880" s="179">
        <f>COUNTIF(작성용!A:B,$A880)-COUNTIFS(작성용!A:A,$A880,작성용!AA:AA,"평가철회")</f>
        <v>0</v>
      </c>
    </row>
    <row r="881" spans="1:7" ht="16.5" customHeight="1" x14ac:dyDescent="0.3">
      <c r="A881" s="170" t="s">
        <v>1914</v>
      </c>
      <c r="B881" s="165" t="s">
        <v>1915</v>
      </c>
      <c r="C881" s="165" t="str">
        <f>IFERROR(VLOOKUP($A881,작성용!A:AL,14,0),"-")</f>
        <v>-</v>
      </c>
      <c r="D881" s="169" t="s">
        <v>556</v>
      </c>
      <c r="E881" s="167" t="str">
        <f>IFERROR(VLOOKUP(A881,작성용!A:AL,34,0),"-")</f>
        <v>-</v>
      </c>
      <c r="F881" s="168" t="s">
        <v>2</v>
      </c>
      <c r="G881" s="179">
        <f>COUNTIF(작성용!A:B,$A881)-COUNTIFS(작성용!A:A,$A881,작성용!AA:AA,"평가철회")</f>
        <v>0</v>
      </c>
    </row>
    <row r="882" spans="1:7" ht="16.5" customHeight="1" x14ac:dyDescent="0.3">
      <c r="A882" s="170" t="s">
        <v>1916</v>
      </c>
      <c r="B882" s="165" t="s">
        <v>6475</v>
      </c>
      <c r="C882" s="165" t="str">
        <f>IFERROR(VLOOKUP($A882,작성용!A:AL,14,0),"-")</f>
        <v>-</v>
      </c>
      <c r="D882" s="169" t="s">
        <v>6438</v>
      </c>
      <c r="E882" s="167" t="str">
        <f>IFERROR(VLOOKUP(A882,작성용!A:AL,34,0),"-")</f>
        <v>-</v>
      </c>
      <c r="F882" s="168" t="s">
        <v>6382</v>
      </c>
      <c r="G882" s="179">
        <f>COUNTIF(작성용!A:B,$A882)-COUNTIFS(작성용!A:A,$A882,작성용!AA:AA,"평가철회")</f>
        <v>0</v>
      </c>
    </row>
    <row r="883" spans="1:7" ht="16.5" customHeight="1" x14ac:dyDescent="0.3">
      <c r="A883" s="170" t="s">
        <v>1917</v>
      </c>
      <c r="B883" s="165" t="s">
        <v>1918</v>
      </c>
      <c r="C883" s="165" t="str">
        <f>IFERROR(VLOOKUP($A883,작성용!A:AL,14,0),"-")</f>
        <v>-</v>
      </c>
      <c r="D883" s="169" t="s">
        <v>492</v>
      </c>
      <c r="E883" s="167" t="str">
        <f>IFERROR(VLOOKUP(A883,작성용!A:AL,34,0),"-")</f>
        <v>-</v>
      </c>
      <c r="F883" s="168" t="s">
        <v>2</v>
      </c>
      <c r="G883" s="179">
        <f>COUNTIF(작성용!A:B,$A883)-COUNTIFS(작성용!A:A,$A883,작성용!AA:AA,"평가철회")</f>
        <v>0</v>
      </c>
    </row>
    <row r="884" spans="1:7" ht="16.5" customHeight="1" x14ac:dyDescent="0.3">
      <c r="A884" s="170" t="s">
        <v>1919</v>
      </c>
      <c r="B884" s="165" t="s">
        <v>1920</v>
      </c>
      <c r="C884" s="165" t="str">
        <f>IFERROR(VLOOKUP($A884,작성용!A:AL,14,0),"-")</f>
        <v>-</v>
      </c>
      <c r="D884" s="169" t="s">
        <v>521</v>
      </c>
      <c r="E884" s="167" t="str">
        <f>IFERROR(VLOOKUP(A884,작성용!A:AL,34,0),"-")</f>
        <v>-</v>
      </c>
      <c r="F884" s="168" t="s">
        <v>2</v>
      </c>
      <c r="G884" s="179">
        <f>COUNTIF(작성용!A:B,$A884)-COUNTIFS(작성용!A:A,$A884,작성용!AA:AA,"평가철회")</f>
        <v>0</v>
      </c>
    </row>
    <row r="885" spans="1:7" ht="16.5" customHeight="1" x14ac:dyDescent="0.3">
      <c r="A885" s="170" t="s">
        <v>1921</v>
      </c>
      <c r="B885" s="165" t="s">
        <v>1922</v>
      </c>
      <c r="C885" s="165" t="str">
        <f>IFERROR(VLOOKUP($A885,작성용!A:AL,14,0),"-")</f>
        <v>-</v>
      </c>
      <c r="D885" s="169" t="s">
        <v>72</v>
      </c>
      <c r="E885" s="167" t="str">
        <f>IFERROR(VLOOKUP(A885,작성용!A:AL,34,0),"-")</f>
        <v>-</v>
      </c>
      <c r="F885" s="168" t="s">
        <v>2</v>
      </c>
      <c r="G885" s="179">
        <f>COUNTIF(작성용!A:B,$A885)-COUNTIFS(작성용!A:A,$A885,작성용!AA:AA,"평가철회")</f>
        <v>0</v>
      </c>
    </row>
    <row r="886" spans="1:7" ht="16.5" customHeight="1" x14ac:dyDescent="0.3">
      <c r="A886" s="170" t="s">
        <v>1923</v>
      </c>
      <c r="B886" s="165" t="s">
        <v>1215</v>
      </c>
      <c r="C886" s="165" t="str">
        <f>IFERROR(VLOOKUP($A886,작성용!A:AL,14,0),"-")</f>
        <v>-</v>
      </c>
      <c r="D886" s="169" t="s">
        <v>273</v>
      </c>
      <c r="E886" s="167" t="str">
        <f>IFERROR(VLOOKUP(A886,작성용!A:AL,34,0),"-")</f>
        <v>-</v>
      </c>
      <c r="F886" s="168" t="s">
        <v>2</v>
      </c>
      <c r="G886" s="179">
        <f>COUNTIF(작성용!A:B,$A886)-COUNTIFS(작성용!A:A,$A886,작성용!AA:AA,"평가철회")</f>
        <v>0</v>
      </c>
    </row>
    <row r="887" spans="1:7" ht="16.5" customHeight="1" x14ac:dyDescent="0.3">
      <c r="A887" s="170" t="s">
        <v>1924</v>
      </c>
      <c r="B887" s="165" t="s">
        <v>1925</v>
      </c>
      <c r="C887" s="165" t="str">
        <f>IFERROR(VLOOKUP($A887,작성용!A:AL,14,0),"-")</f>
        <v>-</v>
      </c>
      <c r="D887" s="169" t="s">
        <v>74</v>
      </c>
      <c r="E887" s="167" t="str">
        <f>IFERROR(VLOOKUP(A887,작성용!A:AL,34,0),"-")</f>
        <v>-</v>
      </c>
      <c r="F887" s="168" t="s">
        <v>2</v>
      </c>
      <c r="G887" s="179">
        <f>COUNTIF(작성용!A:B,$A887)-COUNTIFS(작성용!A:A,$A887,작성용!AA:AA,"평가철회")</f>
        <v>0</v>
      </c>
    </row>
    <row r="888" spans="1:7" ht="16.5" customHeight="1" x14ac:dyDescent="0.3">
      <c r="A888" s="170" t="s">
        <v>1926</v>
      </c>
      <c r="B888" s="165" t="s">
        <v>1927</v>
      </c>
      <c r="C888" s="165" t="str">
        <f>IFERROR(VLOOKUP($A888,작성용!A:AL,14,0),"-")</f>
        <v>-</v>
      </c>
      <c r="D888" s="169" t="s">
        <v>1462</v>
      </c>
      <c r="E888" s="167" t="str">
        <f>IFERROR(VLOOKUP(A888,작성용!A:AL,34,0),"-")</f>
        <v>-</v>
      </c>
      <c r="F888" s="168" t="s">
        <v>2</v>
      </c>
      <c r="G888" s="179">
        <f>COUNTIF(작성용!A:B,$A888)-COUNTIFS(작성용!A:A,$A888,작성용!AA:AA,"평가철회")</f>
        <v>0</v>
      </c>
    </row>
    <row r="889" spans="1:7" ht="16.5" customHeight="1" x14ac:dyDescent="0.3">
      <c r="A889" s="170" t="s">
        <v>1928</v>
      </c>
      <c r="B889" s="165" t="s">
        <v>6476</v>
      </c>
      <c r="C889" s="165" t="str">
        <f>IFERROR(VLOOKUP($A889,작성용!A:AL,14,0),"-")</f>
        <v>-</v>
      </c>
      <c r="D889" s="169" t="s">
        <v>6460</v>
      </c>
      <c r="E889" s="167" t="str">
        <f>IFERROR(VLOOKUP(A889,작성용!A:AL,34,0),"-")</f>
        <v>-</v>
      </c>
      <c r="F889" s="168" t="s">
        <v>6378</v>
      </c>
      <c r="G889" s="179">
        <f>COUNTIF(작성용!A:B,$A889)-COUNTIFS(작성용!A:A,$A889,작성용!AA:AA,"평가철회")</f>
        <v>0</v>
      </c>
    </row>
    <row r="890" spans="1:7" ht="16.5" customHeight="1" x14ac:dyDescent="0.3">
      <c r="A890" s="170" t="s">
        <v>1929</v>
      </c>
      <c r="B890" s="165" t="s">
        <v>1227</v>
      </c>
      <c r="C890" s="165" t="str">
        <f>IFERROR(VLOOKUP($A890,작성용!A:AL,14,0),"-")</f>
        <v>-</v>
      </c>
      <c r="D890" s="169" t="s">
        <v>1930</v>
      </c>
      <c r="E890" s="167" t="str">
        <f>IFERROR(VLOOKUP(A890,작성용!A:AL,34,0),"-")</f>
        <v>-</v>
      </c>
      <c r="F890" s="168" t="s">
        <v>2</v>
      </c>
      <c r="G890" s="179">
        <f>COUNTIF(작성용!A:B,$A890)-COUNTIFS(작성용!A:A,$A890,작성용!AA:AA,"평가철회")</f>
        <v>0</v>
      </c>
    </row>
    <row r="891" spans="1:7" ht="16.5" customHeight="1" x14ac:dyDescent="0.3">
      <c r="A891" s="170" t="s">
        <v>1931</v>
      </c>
      <c r="B891" s="165" t="s">
        <v>1932</v>
      </c>
      <c r="C891" s="165" t="str">
        <f>IFERROR(VLOOKUP($A891,작성용!A:AL,14,0),"-")</f>
        <v>-</v>
      </c>
      <c r="D891" s="169" t="s">
        <v>244</v>
      </c>
      <c r="E891" s="167" t="str">
        <f>IFERROR(VLOOKUP(A891,작성용!A:AL,34,0),"-")</f>
        <v>-</v>
      </c>
      <c r="F891" s="168" t="s">
        <v>2</v>
      </c>
      <c r="G891" s="179">
        <f>COUNTIF(작성용!A:B,$A891)-COUNTIFS(작성용!A:A,$A891,작성용!AA:AA,"평가철회")</f>
        <v>0</v>
      </c>
    </row>
    <row r="892" spans="1:7" ht="16.5" customHeight="1" x14ac:dyDescent="0.3">
      <c r="A892" s="170" t="s">
        <v>1933</v>
      </c>
      <c r="B892" s="165" t="s">
        <v>1934</v>
      </c>
      <c r="C892" s="165" t="str">
        <f>IFERROR(VLOOKUP($A892,작성용!A:AL,14,0),"-")</f>
        <v>-</v>
      </c>
      <c r="D892" s="169" t="s">
        <v>1431</v>
      </c>
      <c r="E892" s="167" t="str">
        <f>IFERROR(VLOOKUP(A892,작성용!A:AL,34,0),"-")</f>
        <v>-</v>
      </c>
      <c r="F892" s="168" t="s">
        <v>2</v>
      </c>
      <c r="G892" s="179">
        <f>COUNTIF(작성용!A:B,$A892)-COUNTIFS(작성용!A:A,$A892,작성용!AA:AA,"평가철회")</f>
        <v>0</v>
      </c>
    </row>
    <row r="893" spans="1:7" ht="16.5" customHeight="1" x14ac:dyDescent="0.3">
      <c r="A893" s="170" t="s">
        <v>1935</v>
      </c>
      <c r="B893" s="165" t="s">
        <v>1936</v>
      </c>
      <c r="C893" s="165" t="str">
        <f>IFERROR(VLOOKUP($A893,작성용!A:AL,14,0),"-")</f>
        <v>-</v>
      </c>
      <c r="D893" s="169" t="s">
        <v>694</v>
      </c>
      <c r="E893" s="167" t="str">
        <f>IFERROR(VLOOKUP(A893,작성용!A:AL,34,0),"-")</f>
        <v>-</v>
      </c>
      <c r="F893" s="168" t="s">
        <v>2</v>
      </c>
      <c r="G893" s="179">
        <f>COUNTIF(작성용!A:B,$A893)-COUNTIFS(작성용!A:A,$A893,작성용!AA:AA,"평가철회")</f>
        <v>0</v>
      </c>
    </row>
    <row r="894" spans="1:7" ht="16.5" customHeight="1" x14ac:dyDescent="0.3">
      <c r="A894" s="170" t="s">
        <v>1937</v>
      </c>
      <c r="B894" s="165" t="s">
        <v>1938</v>
      </c>
      <c r="C894" s="165" t="str">
        <f>IFERROR(VLOOKUP($A894,작성용!A:AL,14,0),"-")</f>
        <v>-</v>
      </c>
      <c r="D894" s="169" t="s">
        <v>495</v>
      </c>
      <c r="E894" s="167" t="str">
        <f>IFERROR(VLOOKUP(A894,작성용!A:AL,34,0),"-")</f>
        <v>-</v>
      </c>
      <c r="F894" s="168" t="s">
        <v>6378</v>
      </c>
      <c r="G894" s="179">
        <f>COUNTIF(작성용!A:B,$A894)-COUNTIFS(작성용!A:A,$A894,작성용!AA:AA,"평가철회")</f>
        <v>0</v>
      </c>
    </row>
    <row r="895" spans="1:7" ht="16.5" customHeight="1" x14ac:dyDescent="0.3">
      <c r="A895" s="170" t="s">
        <v>1939</v>
      </c>
      <c r="B895" s="165" t="s">
        <v>6477</v>
      </c>
      <c r="C895" s="165" t="str">
        <f>IFERROR(VLOOKUP($A895,작성용!A:AL,14,0),"-")</f>
        <v>-</v>
      </c>
      <c r="D895" s="169" t="s">
        <v>6478</v>
      </c>
      <c r="E895" s="167" t="str">
        <f>IFERROR(VLOOKUP(A895,작성용!A:AL,34,0),"-")</f>
        <v>-</v>
      </c>
      <c r="F895" s="168" t="s">
        <v>6378</v>
      </c>
      <c r="G895" s="179">
        <f>COUNTIF(작성용!A:B,$A895)-COUNTIFS(작성용!A:A,$A895,작성용!AA:AA,"평가철회")</f>
        <v>0</v>
      </c>
    </row>
    <row r="896" spans="1:7" ht="16.5" customHeight="1" x14ac:dyDescent="0.3">
      <c r="A896" s="170" t="s">
        <v>1940</v>
      </c>
      <c r="B896" s="165" t="s">
        <v>1941</v>
      </c>
      <c r="C896" s="165" t="str">
        <f>IFERROR(VLOOKUP($A896,작성용!A:AL,14,0),"-")</f>
        <v>-</v>
      </c>
      <c r="D896" s="169" t="s">
        <v>6442</v>
      </c>
      <c r="E896" s="167" t="str">
        <f>IFERROR(VLOOKUP(A896,작성용!A:AL,34,0),"-")</f>
        <v>-</v>
      </c>
      <c r="F896" s="168" t="s">
        <v>2</v>
      </c>
      <c r="G896" s="179">
        <f>COUNTIF(작성용!A:B,$A896)-COUNTIFS(작성용!A:A,$A896,작성용!AA:AA,"평가철회")</f>
        <v>0</v>
      </c>
    </row>
    <row r="897" spans="1:7" ht="16.5" customHeight="1" x14ac:dyDescent="0.3">
      <c r="A897" s="170" t="s">
        <v>1942</v>
      </c>
      <c r="B897" s="165" t="s">
        <v>1943</v>
      </c>
      <c r="C897" s="165" t="str">
        <f>IFERROR(VLOOKUP($A897,작성용!A:AL,14,0),"-")</f>
        <v>-</v>
      </c>
      <c r="D897" s="169" t="s">
        <v>6384</v>
      </c>
      <c r="E897" s="167" t="str">
        <f>IFERROR(VLOOKUP(A897,작성용!A:AL,34,0),"-")</f>
        <v>-</v>
      </c>
      <c r="F897" s="168" t="s">
        <v>2</v>
      </c>
      <c r="G897" s="179">
        <f>COUNTIF(작성용!A:B,$A897)-COUNTIFS(작성용!A:A,$A897,작성용!AA:AA,"평가철회")</f>
        <v>0</v>
      </c>
    </row>
    <row r="898" spans="1:7" ht="16.5" customHeight="1" x14ac:dyDescent="0.3">
      <c r="A898" s="170" t="s">
        <v>1944</v>
      </c>
      <c r="B898" s="165" t="s">
        <v>1247</v>
      </c>
      <c r="C898" s="165" t="str">
        <f>IFERROR(VLOOKUP($A898,작성용!A:AL,14,0),"-")</f>
        <v>-</v>
      </c>
      <c r="D898" s="169" t="s">
        <v>244</v>
      </c>
      <c r="E898" s="167" t="str">
        <f>IFERROR(VLOOKUP(A898,작성용!A:AL,34,0),"-")</f>
        <v>-</v>
      </c>
      <c r="F898" s="168" t="s">
        <v>2</v>
      </c>
      <c r="G898" s="179">
        <f>COUNTIF(작성용!A:B,$A898)-COUNTIFS(작성용!A:A,$A898,작성용!AA:AA,"평가철회")</f>
        <v>0</v>
      </c>
    </row>
    <row r="899" spans="1:7" ht="16.5" customHeight="1" x14ac:dyDescent="0.3">
      <c r="A899" s="170" t="s">
        <v>1945</v>
      </c>
      <c r="B899" s="165" t="s">
        <v>1249</v>
      </c>
      <c r="C899" s="165" t="str">
        <f>IFERROR(VLOOKUP($A899,작성용!A:AL,14,0),"-")</f>
        <v>-</v>
      </c>
      <c r="D899" s="169" t="s">
        <v>6479</v>
      </c>
      <c r="E899" s="167" t="str">
        <f>IFERROR(VLOOKUP(A899,작성용!A:AL,34,0),"-")</f>
        <v>-</v>
      </c>
      <c r="F899" s="168" t="s">
        <v>6378</v>
      </c>
      <c r="G899" s="179">
        <f>COUNTIF(작성용!A:B,$A899)-COUNTIFS(작성용!A:A,$A899,작성용!AA:AA,"평가철회")</f>
        <v>0</v>
      </c>
    </row>
    <row r="900" spans="1:7" ht="16.5" customHeight="1" x14ac:dyDescent="0.3">
      <c r="A900" s="170" t="s">
        <v>1946</v>
      </c>
      <c r="B900" s="165" t="s">
        <v>1947</v>
      </c>
      <c r="C900" s="165" t="str">
        <f>IFERROR(VLOOKUP($A900,작성용!A:AL,14,0),"-")</f>
        <v>-</v>
      </c>
      <c r="D900" s="169" t="s">
        <v>640</v>
      </c>
      <c r="E900" s="167" t="str">
        <f>IFERROR(VLOOKUP(A900,작성용!A:AL,34,0),"-")</f>
        <v>-</v>
      </c>
      <c r="F900" s="168" t="s">
        <v>6378</v>
      </c>
      <c r="G900" s="179">
        <f>COUNTIF(작성용!A:B,$A900)-COUNTIFS(작성용!A:A,$A900,작성용!AA:AA,"평가철회")</f>
        <v>0</v>
      </c>
    </row>
    <row r="901" spans="1:7" ht="16.5" customHeight="1" x14ac:dyDescent="0.3">
      <c r="A901" s="170" t="s">
        <v>1948</v>
      </c>
      <c r="B901" s="165" t="s">
        <v>1949</v>
      </c>
      <c r="C901" s="165" t="str">
        <f>IFERROR(VLOOKUP($A901,작성용!A:AL,14,0),"-")</f>
        <v>-</v>
      </c>
      <c r="D901" s="169" t="s">
        <v>1619</v>
      </c>
      <c r="E901" s="167" t="str">
        <f>IFERROR(VLOOKUP(A901,작성용!A:AL,34,0),"-")</f>
        <v>-</v>
      </c>
      <c r="F901" s="168" t="s">
        <v>6380</v>
      </c>
      <c r="G901" s="179">
        <f>COUNTIF(작성용!A:B,$A901)-COUNTIFS(작성용!A:A,$A901,작성용!AA:AA,"평가철회")</f>
        <v>0</v>
      </c>
    </row>
    <row r="902" spans="1:7" ht="16.5" customHeight="1" x14ac:dyDescent="0.3">
      <c r="A902" s="170" t="s">
        <v>1950</v>
      </c>
      <c r="B902" s="165" t="s">
        <v>1951</v>
      </c>
      <c r="C902" s="165" t="str">
        <f>IFERROR(VLOOKUP($A902,작성용!A:AL,14,0),"-")</f>
        <v>-</v>
      </c>
      <c r="D902" s="169" t="s">
        <v>1431</v>
      </c>
      <c r="E902" s="167" t="str">
        <f>IFERROR(VLOOKUP(A902,작성용!A:AL,34,0),"-")</f>
        <v>-</v>
      </c>
      <c r="F902" s="168" t="s">
        <v>2</v>
      </c>
      <c r="G902" s="179">
        <f>COUNTIF(작성용!A:B,$A902)-COUNTIFS(작성용!A:A,$A902,작성용!AA:AA,"평가철회")</f>
        <v>0</v>
      </c>
    </row>
    <row r="903" spans="1:7" ht="16.5" customHeight="1" x14ac:dyDescent="0.3">
      <c r="A903" s="170" t="s">
        <v>1952</v>
      </c>
      <c r="B903" s="165" t="s">
        <v>1953</v>
      </c>
      <c r="C903" s="165" t="str">
        <f>IFERROR(VLOOKUP($A903,작성용!A:AL,14,0),"-")</f>
        <v>-</v>
      </c>
      <c r="D903" s="169" t="s">
        <v>336</v>
      </c>
      <c r="E903" s="167" t="str">
        <f>IFERROR(VLOOKUP(A903,작성용!A:AL,34,0),"-")</f>
        <v>-</v>
      </c>
      <c r="F903" s="168" t="s">
        <v>6378</v>
      </c>
      <c r="G903" s="179">
        <f>COUNTIF(작성용!A:B,$A903)-COUNTIFS(작성용!A:A,$A903,작성용!AA:AA,"평가철회")</f>
        <v>0</v>
      </c>
    </row>
    <row r="904" spans="1:7" ht="16.5" customHeight="1" x14ac:dyDescent="0.3">
      <c r="A904" s="170" t="s">
        <v>1954</v>
      </c>
      <c r="B904" s="165" t="s">
        <v>1955</v>
      </c>
      <c r="C904" s="165" t="str">
        <f>IFERROR(VLOOKUP($A904,작성용!A:AL,14,0),"-")</f>
        <v>-</v>
      </c>
      <c r="D904" s="169" t="s">
        <v>72</v>
      </c>
      <c r="E904" s="167" t="str">
        <f>IFERROR(VLOOKUP(A904,작성용!A:AL,34,0),"-")</f>
        <v>-</v>
      </c>
      <c r="F904" s="168" t="s">
        <v>2</v>
      </c>
      <c r="G904" s="179">
        <f>COUNTIF(작성용!A:B,$A904)-COUNTIFS(작성용!A:A,$A904,작성용!AA:AA,"평가철회")</f>
        <v>0</v>
      </c>
    </row>
    <row r="905" spans="1:7" ht="16.5" customHeight="1" x14ac:dyDescent="0.3">
      <c r="A905" s="170" t="s">
        <v>1956</v>
      </c>
      <c r="B905" s="165" t="s">
        <v>1957</v>
      </c>
      <c r="C905" s="165" t="str">
        <f>IFERROR(VLOOKUP($A905,작성용!A:AL,14,0),"-")</f>
        <v>-</v>
      </c>
      <c r="D905" s="169" t="s">
        <v>495</v>
      </c>
      <c r="E905" s="167" t="str">
        <f>IFERROR(VLOOKUP(A905,작성용!A:AL,34,0),"-")</f>
        <v>-</v>
      </c>
      <c r="F905" s="168" t="s">
        <v>2</v>
      </c>
      <c r="G905" s="179">
        <f>COUNTIF(작성용!A:B,$A905)-COUNTIFS(작성용!A:A,$A905,작성용!AA:AA,"평가철회")</f>
        <v>0</v>
      </c>
    </row>
    <row r="906" spans="1:7" ht="16.5" customHeight="1" x14ac:dyDescent="0.3">
      <c r="A906" s="170" t="s">
        <v>1958</v>
      </c>
      <c r="B906" s="165" t="s">
        <v>1959</v>
      </c>
      <c r="C906" s="165" t="str">
        <f>IFERROR(VLOOKUP($A906,작성용!A:AL,14,0),"-")</f>
        <v>-</v>
      </c>
      <c r="D906" s="169" t="s">
        <v>495</v>
      </c>
      <c r="E906" s="167" t="str">
        <f>IFERROR(VLOOKUP(A906,작성용!A:AL,34,0),"-")</f>
        <v>-</v>
      </c>
      <c r="F906" s="168" t="s">
        <v>2</v>
      </c>
      <c r="G906" s="179">
        <f>COUNTIF(작성용!A:B,$A906)-COUNTIFS(작성용!A:A,$A906,작성용!AA:AA,"평가철회")</f>
        <v>0</v>
      </c>
    </row>
    <row r="907" spans="1:7" ht="16.5" customHeight="1" x14ac:dyDescent="0.3">
      <c r="A907" s="170" t="s">
        <v>1960</v>
      </c>
      <c r="B907" s="165" t="s">
        <v>1961</v>
      </c>
      <c r="C907" s="165" t="str">
        <f>IFERROR(VLOOKUP($A907,작성용!A:AL,14,0),"-")</f>
        <v>-</v>
      </c>
      <c r="D907" s="169" t="s">
        <v>495</v>
      </c>
      <c r="E907" s="167" t="str">
        <f>IFERROR(VLOOKUP(A907,작성용!A:AL,34,0),"-")</f>
        <v>-</v>
      </c>
      <c r="F907" s="168" t="s">
        <v>6378</v>
      </c>
      <c r="G907" s="179">
        <f>COUNTIF(작성용!A:B,$A907)-COUNTIFS(작성용!A:A,$A907,작성용!AA:AA,"평가철회")</f>
        <v>0</v>
      </c>
    </row>
    <row r="908" spans="1:7" ht="16.5" customHeight="1" x14ac:dyDescent="0.3">
      <c r="A908" s="170" t="s">
        <v>1962</v>
      </c>
      <c r="B908" s="165" t="s">
        <v>1963</v>
      </c>
      <c r="C908" s="165" t="str">
        <f>IFERROR(VLOOKUP($A908,작성용!A:AL,14,0),"-")</f>
        <v>-</v>
      </c>
      <c r="D908" s="169" t="s">
        <v>656</v>
      </c>
      <c r="E908" s="167" t="str">
        <f>IFERROR(VLOOKUP(A908,작성용!A:AL,34,0),"-")</f>
        <v>-</v>
      </c>
      <c r="F908" s="168" t="s">
        <v>2</v>
      </c>
      <c r="G908" s="179">
        <f>COUNTIF(작성용!A:B,$A908)-COUNTIFS(작성용!A:A,$A908,작성용!AA:AA,"평가철회")</f>
        <v>0</v>
      </c>
    </row>
    <row r="909" spans="1:7" ht="16.5" customHeight="1" x14ac:dyDescent="0.3">
      <c r="A909" s="170" t="s">
        <v>1964</v>
      </c>
      <c r="B909" s="165" t="s">
        <v>1965</v>
      </c>
      <c r="C909" s="165" t="str">
        <f>IFERROR(VLOOKUP($A909,작성용!A:AL,14,0),"-")</f>
        <v>-</v>
      </c>
      <c r="D909" s="169" t="s">
        <v>247</v>
      </c>
      <c r="E909" s="167" t="str">
        <f>IFERROR(VLOOKUP(A909,작성용!A:AL,34,0),"-")</f>
        <v>-</v>
      </c>
      <c r="F909" s="168" t="s">
        <v>2</v>
      </c>
      <c r="G909" s="179">
        <f>COUNTIF(작성용!A:B,$A909)-COUNTIFS(작성용!A:A,$A909,작성용!AA:AA,"평가철회")</f>
        <v>0</v>
      </c>
    </row>
    <row r="910" spans="1:7" ht="16.5" customHeight="1" x14ac:dyDescent="0.3">
      <c r="A910" s="170" t="s">
        <v>1966</v>
      </c>
      <c r="B910" s="165" t="s">
        <v>6480</v>
      </c>
      <c r="C910" s="165" t="str">
        <f>IFERROR(VLOOKUP($A910,작성용!A:AL,14,0),"-")</f>
        <v>-</v>
      </c>
      <c r="D910" s="169" t="s">
        <v>6438</v>
      </c>
      <c r="E910" s="167" t="str">
        <f>IFERROR(VLOOKUP(A910,작성용!A:AL,34,0),"-")</f>
        <v>-</v>
      </c>
      <c r="F910" s="168" t="s">
        <v>6382</v>
      </c>
      <c r="G910" s="179">
        <f>COUNTIF(작성용!A:B,$A910)-COUNTIFS(작성용!A:A,$A910,작성용!AA:AA,"평가철회")</f>
        <v>0</v>
      </c>
    </row>
    <row r="911" spans="1:7" ht="16.5" customHeight="1" x14ac:dyDescent="0.3">
      <c r="A911" s="170" t="s">
        <v>1967</v>
      </c>
      <c r="B911" s="165" t="s">
        <v>1968</v>
      </c>
      <c r="C911" s="165" t="str">
        <f>IFERROR(VLOOKUP($A911,작성용!A:AL,14,0),"-")</f>
        <v>-</v>
      </c>
      <c r="D911" s="169" t="s">
        <v>492</v>
      </c>
      <c r="E911" s="167" t="str">
        <f>IFERROR(VLOOKUP(A911,작성용!A:AL,34,0),"-")</f>
        <v>-</v>
      </c>
      <c r="F911" s="168" t="s">
        <v>2</v>
      </c>
      <c r="G911" s="179">
        <f>COUNTIF(작성용!A:B,$A911)-COUNTIFS(작성용!A:A,$A911,작성용!AA:AA,"평가철회")</f>
        <v>0</v>
      </c>
    </row>
    <row r="912" spans="1:7" ht="16.5" customHeight="1" x14ac:dyDescent="0.3">
      <c r="A912" s="170" t="s">
        <v>1969</v>
      </c>
      <c r="B912" s="165" t="s">
        <v>1970</v>
      </c>
      <c r="C912" s="165" t="str">
        <f>IFERROR(VLOOKUP($A912,작성용!A:AL,14,0),"-")</f>
        <v>-</v>
      </c>
      <c r="D912" s="169" t="s">
        <v>6379</v>
      </c>
      <c r="E912" s="167" t="str">
        <f>IFERROR(VLOOKUP(A912,작성용!A:AL,34,0),"-")</f>
        <v>-</v>
      </c>
      <c r="F912" s="168" t="s">
        <v>6378</v>
      </c>
      <c r="G912" s="179">
        <f>COUNTIF(작성용!A:B,$A912)-COUNTIFS(작성용!A:A,$A912,작성용!AA:AA,"평가철회")</f>
        <v>0</v>
      </c>
    </row>
    <row r="913" spans="1:7" ht="16.5" customHeight="1" x14ac:dyDescent="0.3">
      <c r="A913" s="170" t="s">
        <v>1971</v>
      </c>
      <c r="B913" s="165" t="s">
        <v>1972</v>
      </c>
      <c r="C913" s="165" t="str">
        <f>IFERROR(VLOOKUP($A913,작성용!A:AL,14,0),"-")</f>
        <v>-</v>
      </c>
      <c r="D913" s="169" t="s">
        <v>6481</v>
      </c>
      <c r="E913" s="167" t="str">
        <f>IFERROR(VLOOKUP(A913,작성용!A:AL,34,0),"-")</f>
        <v>-</v>
      </c>
      <c r="F913" s="168" t="s">
        <v>6378</v>
      </c>
      <c r="G913" s="179">
        <f>COUNTIF(작성용!A:B,$A913)-COUNTIFS(작성용!A:A,$A913,작성용!AA:AA,"평가철회")</f>
        <v>0</v>
      </c>
    </row>
    <row r="914" spans="1:7" ht="16.5" customHeight="1" x14ac:dyDescent="0.3">
      <c r="A914" s="170" t="s">
        <v>1973</v>
      </c>
      <c r="B914" s="165" t="s">
        <v>1974</v>
      </c>
      <c r="C914" s="165" t="str">
        <f>IFERROR(VLOOKUP($A914,작성용!A:AL,14,0),"-")</f>
        <v>-</v>
      </c>
      <c r="D914" s="169" t="s">
        <v>6314</v>
      </c>
      <c r="E914" s="167" t="str">
        <f>IFERROR(VLOOKUP(A914,작성용!A:AL,34,0),"-")</f>
        <v>-</v>
      </c>
      <c r="F914" s="168" t="s">
        <v>6304</v>
      </c>
      <c r="G914" s="179">
        <f>COUNTIF(작성용!A:B,$A914)-COUNTIFS(작성용!A:A,$A914,작성용!AA:AA,"평가철회")</f>
        <v>0</v>
      </c>
    </row>
    <row r="915" spans="1:7" ht="16.5" customHeight="1" x14ac:dyDescent="0.3">
      <c r="A915" s="170" t="s">
        <v>1975</v>
      </c>
      <c r="B915" s="165" t="s">
        <v>1265</v>
      </c>
      <c r="C915" s="165" t="str">
        <f>IFERROR(VLOOKUP($A915,작성용!A:AL,14,0),"-")</f>
        <v>-</v>
      </c>
      <c r="D915" s="169" t="s">
        <v>1976</v>
      </c>
      <c r="E915" s="167" t="str">
        <f>IFERROR(VLOOKUP(A915,작성용!A:AL,34,0),"-")</f>
        <v>-</v>
      </c>
      <c r="F915" s="168" t="s">
        <v>2</v>
      </c>
      <c r="G915" s="179">
        <f>COUNTIF(작성용!A:B,$A915)-COUNTIFS(작성용!A:A,$A915,작성용!AA:AA,"평가철회")</f>
        <v>0</v>
      </c>
    </row>
    <row r="916" spans="1:7" ht="16.5" customHeight="1" x14ac:dyDescent="0.3">
      <c r="A916" s="170" t="s">
        <v>1977</v>
      </c>
      <c r="B916" s="165" t="s">
        <v>1267</v>
      </c>
      <c r="C916" s="165" t="str">
        <f>IFERROR(VLOOKUP($A916,작성용!A:AL,14,0),"-")</f>
        <v>-</v>
      </c>
      <c r="D916" s="169" t="s">
        <v>1978</v>
      </c>
      <c r="E916" s="167" t="str">
        <f>IFERROR(VLOOKUP(A916,작성용!A:AL,34,0),"-")</f>
        <v>-</v>
      </c>
      <c r="F916" s="168" t="s">
        <v>6378</v>
      </c>
      <c r="G916" s="179">
        <f>COUNTIF(작성용!A:B,$A916)-COUNTIFS(작성용!A:A,$A916,작성용!AA:AA,"평가철회")</f>
        <v>0</v>
      </c>
    </row>
    <row r="917" spans="1:7" ht="16.5" customHeight="1" x14ac:dyDescent="0.3">
      <c r="A917" s="170" t="s">
        <v>1979</v>
      </c>
      <c r="B917" s="165" t="s">
        <v>1980</v>
      </c>
      <c r="C917" s="165" t="str">
        <f>IFERROR(VLOOKUP($A917,작성용!A:AL,14,0),"-")</f>
        <v>-</v>
      </c>
      <c r="D917" s="169" t="s">
        <v>1462</v>
      </c>
      <c r="E917" s="167" t="str">
        <f>IFERROR(VLOOKUP(A917,작성용!A:AL,34,0),"-")</f>
        <v>-</v>
      </c>
      <c r="F917" s="168" t="s">
        <v>2</v>
      </c>
      <c r="G917" s="179">
        <f>COUNTIF(작성용!A:B,$A917)-COUNTIFS(작성용!A:A,$A917,작성용!AA:AA,"평가철회")</f>
        <v>0</v>
      </c>
    </row>
    <row r="918" spans="1:7" ht="16.5" customHeight="1" x14ac:dyDescent="0.3">
      <c r="A918" s="170" t="s">
        <v>1981</v>
      </c>
      <c r="B918" s="165" t="s">
        <v>1982</v>
      </c>
      <c r="C918" s="165" t="str">
        <f>IFERROR(VLOOKUP($A918,작성용!A:AL,14,0),"-")</f>
        <v>-</v>
      </c>
      <c r="D918" s="169" t="s">
        <v>6377</v>
      </c>
      <c r="E918" s="167" t="str">
        <f>IFERROR(VLOOKUP(A918,작성용!A:AL,34,0),"-")</f>
        <v>-</v>
      </c>
      <c r="F918" s="168" t="s">
        <v>6378</v>
      </c>
      <c r="G918" s="179">
        <f>COUNTIF(작성용!A:B,$A918)-COUNTIFS(작성용!A:A,$A918,작성용!AA:AA,"평가철회")</f>
        <v>0</v>
      </c>
    </row>
    <row r="919" spans="1:7" ht="16.5" customHeight="1" x14ac:dyDescent="0.3">
      <c r="A919" s="170" t="s">
        <v>1983</v>
      </c>
      <c r="B919" s="165" t="s">
        <v>1984</v>
      </c>
      <c r="C919" s="165" t="str">
        <f>IFERROR(VLOOKUP($A919,작성용!A:AL,14,0),"-")</f>
        <v>-</v>
      </c>
      <c r="D919" s="169" t="s">
        <v>463</v>
      </c>
      <c r="E919" s="167" t="str">
        <f>IFERROR(VLOOKUP(A919,작성용!A:AL,34,0),"-")</f>
        <v>-</v>
      </c>
      <c r="F919" s="168" t="s">
        <v>2</v>
      </c>
      <c r="G919" s="179">
        <f>COUNTIF(작성용!A:B,$A919)-COUNTIFS(작성용!A:A,$A919,작성용!AA:AA,"평가철회")</f>
        <v>0</v>
      </c>
    </row>
    <row r="920" spans="1:7" ht="16.5" customHeight="1" x14ac:dyDescent="0.3">
      <c r="A920" s="170" t="s">
        <v>1985</v>
      </c>
      <c r="B920" s="165" t="s">
        <v>1273</v>
      </c>
      <c r="C920" s="165" t="str">
        <f>IFERROR(VLOOKUP($A920,작성용!A:AL,14,0),"-")</f>
        <v>-</v>
      </c>
      <c r="D920" s="169" t="s">
        <v>2</v>
      </c>
      <c r="E920" s="167" t="str">
        <f>IFERROR(VLOOKUP(A920,작성용!A:AL,34,0),"-")</f>
        <v>-</v>
      </c>
      <c r="F920" s="168" t="s">
        <v>2</v>
      </c>
      <c r="G920" s="179">
        <f>COUNTIF(작성용!A:B,$A920)-COUNTIFS(작성용!A:A,$A920,작성용!AA:AA,"평가철회")</f>
        <v>0</v>
      </c>
    </row>
    <row r="921" spans="1:7" ht="16.5" customHeight="1" x14ac:dyDescent="0.3">
      <c r="A921" s="170" t="s">
        <v>1986</v>
      </c>
      <c r="B921" s="165" t="s">
        <v>1987</v>
      </c>
      <c r="C921" s="165" t="str">
        <f>IFERROR(VLOOKUP($A921,작성용!A:AL,14,0),"-")</f>
        <v>-</v>
      </c>
      <c r="D921" s="169" t="s">
        <v>436</v>
      </c>
      <c r="E921" s="167" t="str">
        <f>IFERROR(VLOOKUP(A921,작성용!A:AL,34,0),"-")</f>
        <v>-</v>
      </c>
      <c r="F921" s="168" t="s">
        <v>6382</v>
      </c>
      <c r="G921" s="179">
        <f>COUNTIF(작성용!A:B,$A921)-COUNTIFS(작성용!A:A,$A921,작성용!AA:AA,"평가철회")</f>
        <v>0</v>
      </c>
    </row>
    <row r="922" spans="1:7" ht="16.5" customHeight="1" x14ac:dyDescent="0.3">
      <c r="A922" s="170" t="s">
        <v>1988</v>
      </c>
      <c r="B922" s="165" t="s">
        <v>6482</v>
      </c>
      <c r="C922" s="165" t="str">
        <f>IFERROR(VLOOKUP($A922,작성용!A:AL,14,0),"-")</f>
        <v>-</v>
      </c>
      <c r="D922" s="169" t="s">
        <v>6388</v>
      </c>
      <c r="E922" s="167" t="str">
        <f>IFERROR(VLOOKUP(A922,작성용!A:AL,34,0),"-")</f>
        <v>-</v>
      </c>
      <c r="F922" s="168" t="s">
        <v>6378</v>
      </c>
      <c r="G922" s="179">
        <f>COUNTIF(작성용!A:B,$A922)-COUNTIFS(작성용!A:A,$A922,작성용!AA:AA,"평가철회")</f>
        <v>0</v>
      </c>
    </row>
    <row r="923" spans="1:7" ht="16.5" customHeight="1" x14ac:dyDescent="0.3">
      <c r="A923" s="170" t="s">
        <v>1989</v>
      </c>
      <c r="B923" s="165" t="s">
        <v>1990</v>
      </c>
      <c r="C923" s="165" t="str">
        <f>IFERROR(VLOOKUP($A923,작성용!A:AL,14,0),"-")</f>
        <v>-</v>
      </c>
      <c r="D923" s="169" t="s">
        <v>6388</v>
      </c>
      <c r="E923" s="167" t="str">
        <f>IFERROR(VLOOKUP(A923,작성용!A:AL,34,0),"-")</f>
        <v>-</v>
      </c>
      <c r="F923" s="168" t="s">
        <v>6382</v>
      </c>
      <c r="G923" s="179">
        <f>COUNTIF(작성용!A:B,$A923)-COUNTIFS(작성용!A:A,$A923,작성용!AA:AA,"평가철회")</f>
        <v>0</v>
      </c>
    </row>
    <row r="924" spans="1:7" ht="16.5" customHeight="1" x14ac:dyDescent="0.3">
      <c r="A924" s="170" t="s">
        <v>1991</v>
      </c>
      <c r="B924" s="165" t="s">
        <v>1992</v>
      </c>
      <c r="C924" s="165" t="str">
        <f>IFERROR(VLOOKUP($A924,작성용!A:AL,14,0),"-")</f>
        <v>-</v>
      </c>
      <c r="D924" s="169" t="s">
        <v>1431</v>
      </c>
      <c r="E924" s="167" t="str">
        <f>IFERROR(VLOOKUP(A924,작성용!A:AL,34,0),"-")</f>
        <v>-</v>
      </c>
      <c r="F924" s="168" t="s">
        <v>2</v>
      </c>
      <c r="G924" s="179">
        <f>COUNTIF(작성용!A:B,$A924)-COUNTIFS(작성용!A:A,$A924,작성용!AA:AA,"평가철회")</f>
        <v>0</v>
      </c>
    </row>
    <row r="925" spans="1:7" ht="16.5" customHeight="1" x14ac:dyDescent="0.3">
      <c r="A925" s="170" t="s">
        <v>1993</v>
      </c>
      <c r="B925" s="165" t="s">
        <v>1994</v>
      </c>
      <c r="C925" s="165" t="str">
        <f>IFERROR(VLOOKUP($A925,작성용!A:AL,14,0),"-")</f>
        <v>-</v>
      </c>
      <c r="D925" s="169" t="s">
        <v>336</v>
      </c>
      <c r="E925" s="167" t="str">
        <f>IFERROR(VLOOKUP(A925,작성용!A:AL,34,0),"-")</f>
        <v>-</v>
      </c>
      <c r="F925" s="168" t="s">
        <v>2</v>
      </c>
      <c r="G925" s="179">
        <f>COUNTIF(작성용!A:B,$A925)-COUNTIFS(작성용!A:A,$A925,작성용!AA:AA,"평가철회")</f>
        <v>0</v>
      </c>
    </row>
    <row r="926" spans="1:7" ht="16.5" customHeight="1" x14ac:dyDescent="0.3">
      <c r="A926" s="170" t="s">
        <v>1995</v>
      </c>
      <c r="B926" s="165" t="s">
        <v>1996</v>
      </c>
      <c r="C926" s="165" t="str">
        <f>IFERROR(VLOOKUP($A926,작성용!A:AL,14,0),"-")</f>
        <v>-</v>
      </c>
      <c r="D926" s="169" t="s">
        <v>495</v>
      </c>
      <c r="E926" s="167" t="str">
        <f>IFERROR(VLOOKUP(A926,작성용!A:AL,34,0),"-")</f>
        <v>-</v>
      </c>
      <c r="F926" s="168" t="s">
        <v>2</v>
      </c>
      <c r="G926" s="179">
        <f>COUNTIF(작성용!A:B,$A926)-COUNTIFS(작성용!A:A,$A926,작성용!AA:AA,"평가철회")</f>
        <v>0</v>
      </c>
    </row>
    <row r="927" spans="1:7" ht="16.5" customHeight="1" x14ac:dyDescent="0.3">
      <c r="A927" s="170" t="s">
        <v>1997</v>
      </c>
      <c r="B927" s="165" t="s">
        <v>1998</v>
      </c>
      <c r="C927" s="165" t="str">
        <f>IFERROR(VLOOKUP($A927,작성용!A:AL,14,0),"-")</f>
        <v>-</v>
      </c>
      <c r="D927" s="169" t="s">
        <v>521</v>
      </c>
      <c r="E927" s="167" t="str">
        <f>IFERROR(VLOOKUP(A927,작성용!A:AL,34,0),"-")</f>
        <v>-</v>
      </c>
      <c r="F927" s="168" t="s">
        <v>2</v>
      </c>
      <c r="G927" s="179">
        <f>COUNTIF(작성용!A:B,$A927)-COUNTIFS(작성용!A:A,$A927,작성용!AA:AA,"평가철회")</f>
        <v>0</v>
      </c>
    </row>
    <row r="928" spans="1:7" ht="16.5" customHeight="1" x14ac:dyDescent="0.3">
      <c r="A928" s="170" t="s">
        <v>1999</v>
      </c>
      <c r="B928" s="165" t="s">
        <v>2000</v>
      </c>
      <c r="C928" s="165" t="str">
        <f>IFERROR(VLOOKUP($A928,작성용!A:AL,14,0),"-")</f>
        <v>-</v>
      </c>
      <c r="D928" s="169" t="s">
        <v>71</v>
      </c>
      <c r="E928" s="167" t="str">
        <f>IFERROR(VLOOKUP(A928,작성용!A:AL,34,0),"-")</f>
        <v>-</v>
      </c>
      <c r="F928" s="168" t="s">
        <v>2</v>
      </c>
      <c r="G928" s="179">
        <f>COUNTIF(작성용!A:B,$A928)-COUNTIFS(작성용!A:A,$A928,작성용!AA:AA,"평가철회")</f>
        <v>0</v>
      </c>
    </row>
    <row r="929" spans="1:7" ht="16.5" customHeight="1" x14ac:dyDescent="0.3">
      <c r="A929" s="170" t="s">
        <v>2001</v>
      </c>
      <c r="B929" s="165" t="s">
        <v>2002</v>
      </c>
      <c r="C929" s="165" t="str">
        <f>IFERROR(VLOOKUP($A929,작성용!A:AL,14,0),"-")</f>
        <v>-</v>
      </c>
      <c r="D929" s="169" t="s">
        <v>492</v>
      </c>
      <c r="E929" s="167" t="str">
        <f>IFERROR(VLOOKUP(A929,작성용!A:AL,34,0),"-")</f>
        <v>-</v>
      </c>
      <c r="F929" s="168" t="s">
        <v>6382</v>
      </c>
      <c r="G929" s="179">
        <f>COUNTIF(작성용!A:B,$A929)-COUNTIFS(작성용!A:A,$A929,작성용!AA:AA,"평가철회")</f>
        <v>0</v>
      </c>
    </row>
    <row r="930" spans="1:7" ht="16.5" customHeight="1" x14ac:dyDescent="0.3">
      <c r="A930" s="170" t="s">
        <v>2003</v>
      </c>
      <c r="B930" s="165" t="s">
        <v>1282</v>
      </c>
      <c r="C930" s="165" t="str">
        <f>IFERROR(VLOOKUP($A930,작성용!A:AL,14,0),"-")</f>
        <v>-</v>
      </c>
      <c r="D930" s="169" t="s">
        <v>6438</v>
      </c>
      <c r="E930" s="167" t="str">
        <f>IFERROR(VLOOKUP(A930,작성용!A:AL,34,0),"-")</f>
        <v>-</v>
      </c>
      <c r="F930" s="168" t="s">
        <v>6342</v>
      </c>
      <c r="G930" s="179">
        <f>COUNTIF(작성용!A:B,$A930)-COUNTIFS(작성용!A:A,$A930,작성용!AA:AA,"평가철회")</f>
        <v>0</v>
      </c>
    </row>
    <row r="931" spans="1:7" ht="16.5" customHeight="1" x14ac:dyDescent="0.3">
      <c r="A931" s="170" t="s">
        <v>2004</v>
      </c>
      <c r="B931" s="165" t="s">
        <v>2005</v>
      </c>
      <c r="C931" s="165" t="str">
        <f>IFERROR(VLOOKUP($A931,작성용!A:AL,14,0),"-")</f>
        <v>-</v>
      </c>
      <c r="D931" s="169" t="s">
        <v>6483</v>
      </c>
      <c r="E931" s="167" t="str">
        <f>IFERROR(VLOOKUP(A931,작성용!A:AL,34,0),"-")</f>
        <v>-</v>
      </c>
      <c r="F931" s="168" t="s">
        <v>6380</v>
      </c>
      <c r="G931" s="179">
        <f>COUNTIF(작성용!A:B,$A931)-COUNTIFS(작성용!A:A,$A931,작성용!AA:AA,"평가철회")</f>
        <v>0</v>
      </c>
    </row>
    <row r="932" spans="1:7" ht="16.5" customHeight="1" x14ac:dyDescent="0.3">
      <c r="A932" s="170" t="s">
        <v>2006</v>
      </c>
      <c r="B932" s="165" t="s">
        <v>2007</v>
      </c>
      <c r="C932" s="165" t="str">
        <f>IFERROR(VLOOKUP($A932,작성용!A:AL,14,0),"-")</f>
        <v>-</v>
      </c>
      <c r="D932" s="169" t="s">
        <v>6444</v>
      </c>
      <c r="E932" s="167" t="str">
        <f>IFERROR(VLOOKUP(A932,작성용!A:AL,34,0),"-")</f>
        <v>-</v>
      </c>
      <c r="F932" s="168" t="s">
        <v>6380</v>
      </c>
      <c r="G932" s="179">
        <f>COUNTIF(작성용!A:B,$A932)-COUNTIFS(작성용!A:A,$A932,작성용!AA:AA,"평가철회")</f>
        <v>0</v>
      </c>
    </row>
    <row r="933" spans="1:7" ht="16.5" customHeight="1" x14ac:dyDescent="0.3">
      <c r="A933" s="170" t="s">
        <v>2008</v>
      </c>
      <c r="B933" s="165" t="s">
        <v>2009</v>
      </c>
      <c r="C933" s="165" t="str">
        <f>IFERROR(VLOOKUP($A933,작성용!A:AL,14,0),"-")</f>
        <v>-</v>
      </c>
      <c r="D933" s="169" t="s">
        <v>556</v>
      </c>
      <c r="E933" s="167" t="str">
        <f>IFERROR(VLOOKUP(A933,작성용!A:AL,34,0),"-")</f>
        <v>-</v>
      </c>
      <c r="F933" s="168" t="s">
        <v>2</v>
      </c>
      <c r="G933" s="179">
        <f>COUNTIF(작성용!A:B,$A933)-COUNTIFS(작성용!A:A,$A933,작성용!AA:AA,"평가철회")</f>
        <v>0</v>
      </c>
    </row>
    <row r="934" spans="1:7" ht="16.5" customHeight="1" x14ac:dyDescent="0.3">
      <c r="A934" s="170" t="s">
        <v>2010</v>
      </c>
      <c r="B934" s="165" t="s">
        <v>2011</v>
      </c>
      <c r="C934" s="165" t="str">
        <f>IFERROR(VLOOKUP($A934,작성용!A:AL,14,0),"-")</f>
        <v>-</v>
      </c>
      <c r="D934" s="169" t="s">
        <v>6280</v>
      </c>
      <c r="E934" s="167" t="str">
        <f>IFERROR(VLOOKUP(A934,작성용!A:AL,34,0),"-")</f>
        <v>-</v>
      </c>
      <c r="F934" s="168" t="s">
        <v>6380</v>
      </c>
      <c r="G934" s="179">
        <f>COUNTIF(작성용!A:B,$A934)-COUNTIFS(작성용!A:A,$A934,작성용!AA:AA,"평가철회")</f>
        <v>0</v>
      </c>
    </row>
    <row r="935" spans="1:7" ht="16.5" customHeight="1" x14ac:dyDescent="0.3">
      <c r="A935" s="170" t="s">
        <v>2012</v>
      </c>
      <c r="B935" s="165" t="s">
        <v>2013</v>
      </c>
      <c r="C935" s="165" t="str">
        <f>IFERROR(VLOOKUP($A935,작성용!A:AL,14,0),"-")</f>
        <v>-</v>
      </c>
      <c r="D935" s="169" t="s">
        <v>6427</v>
      </c>
      <c r="E935" s="167" t="str">
        <f>IFERROR(VLOOKUP(A935,작성용!A:AL,34,0),"-")</f>
        <v>-</v>
      </c>
      <c r="F935" s="168" t="s">
        <v>6380</v>
      </c>
      <c r="G935" s="179">
        <f>COUNTIF(작성용!A:B,$A935)-COUNTIFS(작성용!A:A,$A935,작성용!AA:AA,"평가철회")</f>
        <v>0</v>
      </c>
    </row>
    <row r="936" spans="1:7" ht="16.5" customHeight="1" x14ac:dyDescent="0.3">
      <c r="A936" s="170" t="s">
        <v>2014</v>
      </c>
      <c r="B936" s="165" t="s">
        <v>2015</v>
      </c>
      <c r="C936" s="165" t="str">
        <f>IFERROR(VLOOKUP($A936,작성용!A:AL,14,0),"-")</f>
        <v>-</v>
      </c>
      <c r="D936" s="169" t="s">
        <v>247</v>
      </c>
      <c r="E936" s="167" t="str">
        <f>IFERROR(VLOOKUP(A936,작성용!A:AL,34,0),"-")</f>
        <v>-</v>
      </c>
      <c r="F936" s="168" t="s">
        <v>2</v>
      </c>
      <c r="G936" s="179">
        <f>COUNTIF(작성용!A:B,$A936)-COUNTIFS(작성용!A:A,$A936,작성용!AA:AA,"평가철회")</f>
        <v>0</v>
      </c>
    </row>
    <row r="937" spans="1:7" ht="16.5" customHeight="1" x14ac:dyDescent="0.3">
      <c r="A937" s="170" t="s">
        <v>2016</v>
      </c>
      <c r="B937" s="165" t="s">
        <v>2017</v>
      </c>
      <c r="C937" s="165" t="str">
        <f>IFERROR(VLOOKUP($A937,작성용!A:AL,14,0),"-")</f>
        <v>-</v>
      </c>
      <c r="D937" s="169" t="s">
        <v>244</v>
      </c>
      <c r="E937" s="167" t="str">
        <f>IFERROR(VLOOKUP(A937,작성용!A:AL,34,0),"-")</f>
        <v>-</v>
      </c>
      <c r="F937" s="168" t="s">
        <v>6380</v>
      </c>
      <c r="G937" s="179">
        <f>COUNTIF(작성용!A:B,$A937)-COUNTIFS(작성용!A:A,$A937,작성용!AA:AA,"평가철회")</f>
        <v>0</v>
      </c>
    </row>
    <row r="938" spans="1:7" ht="16.5" customHeight="1" x14ac:dyDescent="0.3">
      <c r="A938" s="170" t="s">
        <v>2018</v>
      </c>
      <c r="B938" s="165" t="s">
        <v>2019</v>
      </c>
      <c r="C938" s="165" t="str">
        <f>IFERROR(VLOOKUP($A938,작성용!A:AL,14,0),"-")</f>
        <v>-</v>
      </c>
      <c r="D938" s="169" t="s">
        <v>74</v>
      </c>
      <c r="E938" s="167" t="str">
        <f>IFERROR(VLOOKUP(A938,작성용!A:AL,34,0),"-")</f>
        <v>-</v>
      </c>
      <c r="F938" s="168" t="s">
        <v>2</v>
      </c>
      <c r="G938" s="179">
        <f>COUNTIF(작성용!A:B,$A938)-COUNTIFS(작성용!A:A,$A938,작성용!AA:AA,"평가철회")</f>
        <v>0</v>
      </c>
    </row>
    <row r="939" spans="1:7" ht="16.5" customHeight="1" x14ac:dyDescent="0.3">
      <c r="A939" s="170" t="s">
        <v>2020</v>
      </c>
      <c r="B939" s="165" t="s">
        <v>2021</v>
      </c>
      <c r="C939" s="165" t="str">
        <f>IFERROR(VLOOKUP($A939,작성용!A:AL,14,0),"-")</f>
        <v>-</v>
      </c>
      <c r="D939" s="169" t="s">
        <v>492</v>
      </c>
      <c r="E939" s="167" t="str">
        <f>IFERROR(VLOOKUP(A939,작성용!A:AL,34,0),"-")</f>
        <v>-</v>
      </c>
      <c r="F939" s="168" t="s">
        <v>2</v>
      </c>
      <c r="G939" s="179">
        <f>COUNTIF(작성용!A:B,$A939)-COUNTIFS(작성용!A:A,$A939,작성용!AA:AA,"평가철회")</f>
        <v>0</v>
      </c>
    </row>
    <row r="940" spans="1:7" ht="16.5" customHeight="1" x14ac:dyDescent="0.3">
      <c r="A940" s="170" t="s">
        <v>2022</v>
      </c>
      <c r="B940" s="165" t="s">
        <v>2023</v>
      </c>
      <c r="C940" s="165" t="str">
        <f>IFERROR(VLOOKUP($A940,작성용!A:AL,14,0),"-")</f>
        <v>-</v>
      </c>
      <c r="D940" s="169" t="s">
        <v>72</v>
      </c>
      <c r="E940" s="167" t="str">
        <f>IFERROR(VLOOKUP(A940,작성용!A:AL,34,0),"-")</f>
        <v>-</v>
      </c>
      <c r="F940" s="168" t="s">
        <v>2</v>
      </c>
      <c r="G940" s="179">
        <f>COUNTIF(작성용!A:B,$A940)-COUNTIFS(작성용!A:A,$A940,작성용!AA:AA,"평가철회")</f>
        <v>0</v>
      </c>
    </row>
    <row r="941" spans="1:7" ht="16.5" customHeight="1" x14ac:dyDescent="0.3">
      <c r="A941" s="170" t="s">
        <v>2024</v>
      </c>
      <c r="B941" s="165" t="s">
        <v>1286</v>
      </c>
      <c r="C941" s="165" t="str">
        <f>IFERROR(VLOOKUP($A941,작성용!A:AL,14,0),"-")</f>
        <v>-</v>
      </c>
      <c r="D941" s="169" t="s">
        <v>2025</v>
      </c>
      <c r="E941" s="167" t="str">
        <f>IFERROR(VLOOKUP(A941,작성용!A:AL,34,0),"-")</f>
        <v>-</v>
      </c>
      <c r="F941" s="168" t="s">
        <v>2</v>
      </c>
      <c r="G941" s="179">
        <f>COUNTIF(작성용!A:B,$A941)-COUNTIFS(작성용!A:A,$A941,작성용!AA:AA,"평가철회")</f>
        <v>0</v>
      </c>
    </row>
    <row r="942" spans="1:7" ht="16.5" customHeight="1" x14ac:dyDescent="0.3">
      <c r="A942" s="170" t="s">
        <v>2026</v>
      </c>
      <c r="B942" s="165" t="s">
        <v>2027</v>
      </c>
      <c r="C942" s="165" t="str">
        <f>IFERROR(VLOOKUP($A942,작성용!A:AL,14,0),"-")</f>
        <v>-</v>
      </c>
      <c r="D942" s="169" t="s">
        <v>1431</v>
      </c>
      <c r="E942" s="167" t="str">
        <f>IFERROR(VLOOKUP(A942,작성용!A:AL,34,0),"-")</f>
        <v>-</v>
      </c>
      <c r="F942" s="168" t="s">
        <v>6382</v>
      </c>
      <c r="G942" s="179">
        <f>COUNTIF(작성용!A:B,$A942)-COUNTIFS(작성용!A:A,$A942,작성용!AA:AA,"평가철회")</f>
        <v>0</v>
      </c>
    </row>
    <row r="943" spans="1:7" ht="16.5" customHeight="1" x14ac:dyDescent="0.3">
      <c r="A943" s="170" t="s">
        <v>2028</v>
      </c>
      <c r="B943" s="165" t="s">
        <v>1290</v>
      </c>
      <c r="C943" s="165" t="str">
        <f>IFERROR(VLOOKUP($A943,작성용!A:AL,14,0),"-")</f>
        <v>-</v>
      </c>
      <c r="D943" s="169" t="s">
        <v>492</v>
      </c>
      <c r="E943" s="167" t="str">
        <f>IFERROR(VLOOKUP(A943,작성용!A:AL,34,0),"-")</f>
        <v>-</v>
      </c>
      <c r="F943" s="168" t="s">
        <v>6382</v>
      </c>
      <c r="G943" s="179">
        <f>COUNTIF(작성용!A:B,$A943)-COUNTIFS(작성용!A:A,$A943,작성용!AA:AA,"평가철회")</f>
        <v>0</v>
      </c>
    </row>
    <row r="944" spans="1:7" ht="16.5" customHeight="1" x14ac:dyDescent="0.3">
      <c r="A944" s="170" t="s">
        <v>2029</v>
      </c>
      <c r="B944" s="165" t="s">
        <v>2030</v>
      </c>
      <c r="C944" s="165" t="str">
        <f>IFERROR(VLOOKUP($A944,작성용!A:AL,14,0),"-")</f>
        <v>-</v>
      </c>
      <c r="D944" s="169" t="s">
        <v>495</v>
      </c>
      <c r="E944" s="167" t="str">
        <f>IFERROR(VLOOKUP(A944,작성용!A:AL,34,0),"-")</f>
        <v>-</v>
      </c>
      <c r="F944" s="168" t="s">
        <v>6283</v>
      </c>
      <c r="G944" s="179">
        <f>COUNTIF(작성용!A:B,$A944)-COUNTIFS(작성용!A:A,$A944,작성용!AA:AA,"평가철회")</f>
        <v>0</v>
      </c>
    </row>
    <row r="945" spans="1:7" ht="16.5" customHeight="1" x14ac:dyDescent="0.3">
      <c r="A945" s="170" t="s">
        <v>2031</v>
      </c>
      <c r="B945" s="165" t="s">
        <v>2032</v>
      </c>
      <c r="C945" s="165" t="str">
        <f>IFERROR(VLOOKUP($A945,작성용!A:AL,14,0),"-")</f>
        <v>-</v>
      </c>
      <c r="D945" s="169" t="s">
        <v>6444</v>
      </c>
      <c r="E945" s="167" t="str">
        <f>IFERROR(VLOOKUP(A945,작성용!A:AL,34,0),"-")</f>
        <v>-</v>
      </c>
      <c r="F945" s="168" t="s">
        <v>6378</v>
      </c>
      <c r="G945" s="179">
        <f>COUNTIF(작성용!A:B,$A945)-COUNTIFS(작성용!A:A,$A945,작성용!AA:AA,"평가철회")</f>
        <v>0</v>
      </c>
    </row>
    <row r="946" spans="1:7" ht="16.5" customHeight="1" x14ac:dyDescent="0.3">
      <c r="A946" s="170" t="s">
        <v>2033</v>
      </c>
      <c r="B946" s="165" t="s">
        <v>2034</v>
      </c>
      <c r="C946" s="165" t="str">
        <f>IFERROR(VLOOKUP($A946,작성용!A:AL,14,0),"-")</f>
        <v>-</v>
      </c>
      <c r="D946" s="169" t="s">
        <v>1825</v>
      </c>
      <c r="E946" s="167" t="str">
        <f>IFERROR(VLOOKUP(A946,작성용!A:AL,34,0),"-")</f>
        <v>-</v>
      </c>
      <c r="F946" s="168" t="s">
        <v>2</v>
      </c>
      <c r="G946" s="179">
        <f>COUNTIF(작성용!A:B,$A946)-COUNTIFS(작성용!A:A,$A946,작성용!AA:AA,"평가철회")</f>
        <v>0</v>
      </c>
    </row>
    <row r="947" spans="1:7" ht="16.5" customHeight="1" x14ac:dyDescent="0.3">
      <c r="A947" s="170" t="s">
        <v>2035</v>
      </c>
      <c r="B947" s="165" t="s">
        <v>2036</v>
      </c>
      <c r="C947" s="165" t="str">
        <f>IFERROR(VLOOKUP($A947,작성용!A:AL,14,0),"-")</f>
        <v>-</v>
      </c>
      <c r="D947" s="169" t="s">
        <v>6310</v>
      </c>
      <c r="E947" s="167" t="str">
        <f>IFERROR(VLOOKUP(A947,작성용!A:AL,34,0),"-")</f>
        <v>-</v>
      </c>
      <c r="F947" s="168" t="s">
        <v>6378</v>
      </c>
      <c r="G947" s="179">
        <f>COUNTIF(작성용!A:B,$A947)-COUNTIFS(작성용!A:A,$A947,작성용!AA:AA,"평가철회")</f>
        <v>0</v>
      </c>
    </row>
    <row r="948" spans="1:7" ht="16.5" customHeight="1" x14ac:dyDescent="0.3">
      <c r="A948" s="170" t="s">
        <v>2037</v>
      </c>
      <c r="B948" s="165" t="s">
        <v>2038</v>
      </c>
      <c r="C948" s="165" t="str">
        <f>IFERROR(VLOOKUP($A948,작성용!A:AL,14,0),"-")</f>
        <v>-</v>
      </c>
      <c r="D948" s="169" t="s">
        <v>640</v>
      </c>
      <c r="E948" s="167" t="str">
        <f>IFERROR(VLOOKUP(A948,작성용!A:AL,34,0),"-")</f>
        <v>-</v>
      </c>
      <c r="F948" s="168" t="s">
        <v>2</v>
      </c>
      <c r="G948" s="179">
        <f>COUNTIF(작성용!A:B,$A948)-COUNTIFS(작성용!A:A,$A948,작성용!AA:AA,"평가철회")</f>
        <v>0</v>
      </c>
    </row>
    <row r="949" spans="1:7" ht="16.5" customHeight="1" x14ac:dyDescent="0.3">
      <c r="A949" s="170" t="s">
        <v>2039</v>
      </c>
      <c r="B949" s="165" t="s">
        <v>2040</v>
      </c>
      <c r="C949" s="165" t="str">
        <f>IFERROR(VLOOKUP($A949,작성용!A:AL,14,0),"-")</f>
        <v>-</v>
      </c>
      <c r="D949" s="169" t="s">
        <v>273</v>
      </c>
      <c r="E949" s="167" t="str">
        <f>IFERROR(VLOOKUP(A949,작성용!A:AL,34,0),"-")</f>
        <v>-</v>
      </c>
      <c r="F949" s="168" t="s">
        <v>2</v>
      </c>
      <c r="G949" s="179">
        <f>COUNTIF(작성용!A:B,$A949)-COUNTIFS(작성용!A:A,$A949,작성용!AA:AA,"평가철회")</f>
        <v>0</v>
      </c>
    </row>
    <row r="950" spans="1:7" x14ac:dyDescent="0.3">
      <c r="A950" s="170" t="s">
        <v>2041</v>
      </c>
      <c r="B950" s="165" t="s">
        <v>2042</v>
      </c>
      <c r="C950" s="165" t="str">
        <f>IFERROR(VLOOKUP($A950,작성용!A:AL,14,0),"-")</f>
        <v>-</v>
      </c>
      <c r="D950" s="169" t="s">
        <v>6484</v>
      </c>
      <c r="E950" s="167" t="str">
        <f>IFERROR(VLOOKUP(A950,작성용!A:AL,34,0),"-")</f>
        <v>-</v>
      </c>
      <c r="F950" s="168" t="s">
        <v>6380</v>
      </c>
      <c r="G950" s="179">
        <f>COUNTIF(작성용!A:B,$A950)-COUNTIFS(작성용!A:A,$A950,작성용!AA:AA,"평가철회")</f>
        <v>0</v>
      </c>
    </row>
    <row r="951" spans="1:7" ht="16.5" customHeight="1" x14ac:dyDescent="0.3">
      <c r="A951" s="170" t="s">
        <v>2043</v>
      </c>
      <c r="B951" s="165" t="s">
        <v>2044</v>
      </c>
      <c r="C951" s="165" t="str">
        <f>IFERROR(VLOOKUP($A951,작성용!A:AL,14,0),"-")</f>
        <v xml:space="preserve">연말 </v>
      </c>
      <c r="D951" s="169" t="s">
        <v>6374</v>
      </c>
      <c r="E951" s="167" t="str">
        <f>IFERROR(VLOOKUP(A951,작성용!A:AL,34,0),"-")</f>
        <v>원정우</v>
      </c>
      <c r="F951" s="168" t="s">
        <v>6378</v>
      </c>
      <c r="G951" s="179">
        <f>COUNTIF(작성용!A:B,$A951)-COUNTIFS(작성용!A:A,$A951,작성용!AA:AA,"평가철회")</f>
        <v>2</v>
      </c>
    </row>
    <row r="952" spans="1:7" ht="16.5" customHeight="1" x14ac:dyDescent="0.3">
      <c r="A952" s="170" t="s">
        <v>2045</v>
      </c>
      <c r="B952" s="165" t="s">
        <v>2046</v>
      </c>
      <c r="C952" s="165" t="str">
        <f>IFERROR(VLOOKUP($A952,작성용!A:AL,14,0),"-")</f>
        <v>-</v>
      </c>
      <c r="D952" s="169" t="s">
        <v>1431</v>
      </c>
      <c r="E952" s="167" t="str">
        <f>IFERROR(VLOOKUP(A952,작성용!A:AL,34,0),"-")</f>
        <v>-</v>
      </c>
      <c r="F952" s="168" t="s">
        <v>2</v>
      </c>
      <c r="G952" s="179">
        <f>COUNTIF(작성용!A:B,$A952)-COUNTIFS(작성용!A:A,$A952,작성용!AA:AA,"평가철회")</f>
        <v>0</v>
      </c>
    </row>
    <row r="953" spans="1:7" ht="16.5" customHeight="1" x14ac:dyDescent="0.3">
      <c r="A953" s="170" t="s">
        <v>2047</v>
      </c>
      <c r="B953" s="165" t="s">
        <v>2048</v>
      </c>
      <c r="C953" s="165" t="str">
        <f>IFERROR(VLOOKUP($A953,작성용!A:AL,14,0),"-")</f>
        <v>-</v>
      </c>
      <c r="D953" s="169" t="s">
        <v>6471</v>
      </c>
      <c r="E953" s="167" t="str">
        <f>IFERROR(VLOOKUP(A953,작성용!A:AL,34,0),"-")</f>
        <v>-</v>
      </c>
      <c r="F953" s="168" t="s">
        <v>6382</v>
      </c>
      <c r="G953" s="179">
        <f>COUNTIF(작성용!A:B,$A953)-COUNTIFS(작성용!A:A,$A953,작성용!AA:AA,"평가철회")</f>
        <v>0</v>
      </c>
    </row>
    <row r="954" spans="1:7" ht="16.5" customHeight="1" x14ac:dyDescent="0.3">
      <c r="A954" s="170" t="s">
        <v>2049</v>
      </c>
      <c r="B954" s="165" t="s">
        <v>2050</v>
      </c>
      <c r="C954" s="165" t="str">
        <f>IFERROR(VLOOKUP($A954,작성용!A:AL,14,0),"-")</f>
        <v>-</v>
      </c>
      <c r="D954" s="169" t="s">
        <v>71</v>
      </c>
      <c r="E954" s="167" t="str">
        <f>IFERROR(VLOOKUP(A954,작성용!A:AL,34,0),"-")</f>
        <v>-</v>
      </c>
      <c r="F954" s="168" t="s">
        <v>2</v>
      </c>
      <c r="G954" s="179">
        <f>COUNTIF(작성용!A:B,$A954)-COUNTIFS(작성용!A:A,$A954,작성용!AA:AA,"평가철회")</f>
        <v>0</v>
      </c>
    </row>
    <row r="955" spans="1:7" ht="16.5" customHeight="1" x14ac:dyDescent="0.3">
      <c r="A955" s="170" t="s">
        <v>2051</v>
      </c>
      <c r="B955" s="165" t="s">
        <v>2052</v>
      </c>
      <c r="C955" s="165" t="str">
        <f>IFERROR(VLOOKUP($A955,작성용!A:AL,14,0),"-")</f>
        <v>-</v>
      </c>
      <c r="D955" s="169" t="s">
        <v>244</v>
      </c>
      <c r="E955" s="167" t="str">
        <f>IFERROR(VLOOKUP(A955,작성용!A:AL,34,0),"-")</f>
        <v>-</v>
      </c>
      <c r="F955" s="168" t="s">
        <v>2</v>
      </c>
      <c r="G955" s="179">
        <f>COUNTIF(작성용!A:B,$A955)-COUNTIFS(작성용!A:A,$A955,작성용!AA:AA,"평가철회")</f>
        <v>0</v>
      </c>
    </row>
    <row r="956" spans="1:7" ht="16.5" customHeight="1" x14ac:dyDescent="0.3">
      <c r="A956" s="170" t="s">
        <v>2053</v>
      </c>
      <c r="B956" s="165" t="s">
        <v>2054</v>
      </c>
      <c r="C956" s="165" t="str">
        <f>IFERROR(VLOOKUP($A956,작성용!A:AL,14,0),"-")</f>
        <v>-</v>
      </c>
      <c r="D956" s="169" t="s">
        <v>71</v>
      </c>
      <c r="E956" s="167" t="str">
        <f>IFERROR(VLOOKUP(A956,작성용!A:AL,34,0),"-")</f>
        <v>-</v>
      </c>
      <c r="F956" s="168" t="s">
        <v>2</v>
      </c>
      <c r="G956" s="179">
        <f>COUNTIF(작성용!A:B,$A956)-COUNTIFS(작성용!A:A,$A956,작성용!AA:AA,"평가철회")</f>
        <v>0</v>
      </c>
    </row>
    <row r="957" spans="1:7" ht="16.5" customHeight="1" x14ac:dyDescent="0.3">
      <c r="A957" s="170" t="s">
        <v>2055</v>
      </c>
      <c r="B957" s="165" t="s">
        <v>2056</v>
      </c>
      <c r="C957" s="165" t="str">
        <f>IFERROR(VLOOKUP($A957,작성용!A:AL,14,0),"-")</f>
        <v>-</v>
      </c>
      <c r="D957" s="169" t="s">
        <v>75</v>
      </c>
      <c r="E957" s="167" t="str">
        <f>IFERROR(VLOOKUP(A957,작성용!A:AL,34,0),"-")</f>
        <v>-</v>
      </c>
      <c r="F957" s="168" t="s">
        <v>2</v>
      </c>
      <c r="G957" s="179">
        <f>COUNTIF(작성용!A:B,$A957)-COUNTIFS(작성용!A:A,$A957,작성용!AA:AA,"평가철회")</f>
        <v>0</v>
      </c>
    </row>
    <row r="958" spans="1:7" ht="16.5" customHeight="1" x14ac:dyDescent="0.3">
      <c r="A958" s="170" t="s">
        <v>2057</v>
      </c>
      <c r="B958" s="165" t="s">
        <v>2058</v>
      </c>
      <c r="C958" s="165" t="str">
        <f>IFERROR(VLOOKUP($A958,작성용!A:AL,14,0),"-")</f>
        <v>-</v>
      </c>
      <c r="D958" s="169" t="s">
        <v>1619</v>
      </c>
      <c r="E958" s="167" t="str">
        <f>IFERROR(VLOOKUP(A958,작성용!A:AL,34,0),"-")</f>
        <v>-</v>
      </c>
      <c r="F958" s="168" t="s">
        <v>6378</v>
      </c>
      <c r="G958" s="179">
        <f>COUNTIF(작성용!A:B,$A958)-COUNTIFS(작성용!A:A,$A958,작성용!AA:AA,"평가철회")</f>
        <v>0</v>
      </c>
    </row>
    <row r="959" spans="1:7" ht="16.5" customHeight="1" x14ac:dyDescent="0.3">
      <c r="A959" s="170" t="s">
        <v>2059</v>
      </c>
      <c r="B959" s="165" t="s">
        <v>2060</v>
      </c>
      <c r="C959" s="165" t="str">
        <f>IFERROR(VLOOKUP($A959,작성용!A:AL,14,0),"-")</f>
        <v>-</v>
      </c>
      <c r="D959" s="169" t="s">
        <v>6471</v>
      </c>
      <c r="E959" s="167" t="str">
        <f>IFERROR(VLOOKUP(A959,작성용!A:AL,34,0),"-")</f>
        <v>-</v>
      </c>
      <c r="F959" s="168" t="s">
        <v>6382</v>
      </c>
      <c r="G959" s="179">
        <f>COUNTIF(작성용!A:B,$A959)-COUNTIFS(작성용!A:A,$A959,작성용!AA:AA,"평가철회")</f>
        <v>0</v>
      </c>
    </row>
    <row r="960" spans="1:7" ht="16.5" customHeight="1" x14ac:dyDescent="0.3">
      <c r="A960" s="170" t="s">
        <v>2061</v>
      </c>
      <c r="B960" s="165" t="s">
        <v>2062</v>
      </c>
      <c r="C960" s="165" t="str">
        <f>IFERROR(VLOOKUP($A960,작성용!A:AL,14,0),"-")</f>
        <v>-</v>
      </c>
      <c r="D960" s="169" t="s">
        <v>2</v>
      </c>
      <c r="E960" s="167" t="str">
        <f>IFERROR(VLOOKUP(A960,작성용!A:AL,34,0),"-")</f>
        <v>-</v>
      </c>
      <c r="F960" s="168" t="s">
        <v>6382</v>
      </c>
      <c r="G960" s="179">
        <f>COUNTIF(작성용!A:B,$A960)-COUNTIFS(작성용!A:A,$A960,작성용!AA:AA,"평가철회")</f>
        <v>0</v>
      </c>
    </row>
    <row r="961" spans="1:7" ht="16.5" customHeight="1" x14ac:dyDescent="0.3">
      <c r="A961" s="170" t="s">
        <v>2063</v>
      </c>
      <c r="B961" s="165" t="s">
        <v>2064</v>
      </c>
      <c r="C961" s="165" t="str">
        <f>IFERROR(VLOOKUP($A961,작성용!A:AL,14,0),"-")</f>
        <v>-</v>
      </c>
      <c r="D961" s="169" t="s">
        <v>492</v>
      </c>
      <c r="E961" s="167" t="str">
        <f>IFERROR(VLOOKUP(A961,작성용!A:AL,34,0),"-")</f>
        <v>-</v>
      </c>
      <c r="F961" s="168" t="s">
        <v>2</v>
      </c>
      <c r="G961" s="179">
        <f>COUNTIF(작성용!A:B,$A961)-COUNTIFS(작성용!A:A,$A961,작성용!AA:AA,"평가철회")</f>
        <v>0</v>
      </c>
    </row>
    <row r="962" spans="1:7" ht="16.5" customHeight="1" x14ac:dyDescent="0.3">
      <c r="A962" s="170" t="s">
        <v>2065</v>
      </c>
      <c r="B962" s="165" t="s">
        <v>2066</v>
      </c>
      <c r="C962" s="165" t="str">
        <f>IFERROR(VLOOKUP($A962,작성용!A:AL,14,0),"-")</f>
        <v>-</v>
      </c>
      <c r="D962" s="169" t="s">
        <v>71</v>
      </c>
      <c r="E962" s="167" t="str">
        <f>IFERROR(VLOOKUP(A962,작성용!A:AL,34,0),"-")</f>
        <v>-</v>
      </c>
      <c r="F962" s="168" t="s">
        <v>6382</v>
      </c>
      <c r="G962" s="179">
        <f>COUNTIF(작성용!A:B,$A962)-COUNTIFS(작성용!A:A,$A962,작성용!AA:AA,"평가철회")</f>
        <v>0</v>
      </c>
    </row>
    <row r="963" spans="1:7" ht="16.5" customHeight="1" x14ac:dyDescent="0.3">
      <c r="A963" s="170" t="s">
        <v>2067</v>
      </c>
      <c r="B963" s="165" t="s">
        <v>2068</v>
      </c>
      <c r="C963" s="165" t="str">
        <f>IFERROR(VLOOKUP($A963,작성용!A:AL,14,0),"-")</f>
        <v>-</v>
      </c>
      <c r="D963" s="169" t="s">
        <v>6485</v>
      </c>
      <c r="E963" s="167" t="str">
        <f>IFERROR(VLOOKUP(A963,작성용!A:AL,34,0),"-")</f>
        <v>-</v>
      </c>
      <c r="F963" s="168" t="s">
        <v>6378</v>
      </c>
      <c r="G963" s="179">
        <f>COUNTIF(작성용!A:B,$A963)-COUNTIFS(작성용!A:A,$A963,작성용!AA:AA,"평가철회")</f>
        <v>0</v>
      </c>
    </row>
    <row r="964" spans="1:7" ht="16.5" customHeight="1" x14ac:dyDescent="0.3">
      <c r="A964" s="170" t="s">
        <v>2069</v>
      </c>
      <c r="B964" s="165" t="s">
        <v>2070</v>
      </c>
      <c r="C964" s="165" t="str">
        <f>IFERROR(VLOOKUP($A964,작성용!A:AL,14,0),"-")</f>
        <v>-</v>
      </c>
      <c r="D964" s="169" t="s">
        <v>6461</v>
      </c>
      <c r="E964" s="167" t="str">
        <f>IFERROR(VLOOKUP(A964,작성용!A:AL,34,0),"-")</f>
        <v>-</v>
      </c>
      <c r="F964" s="168" t="s">
        <v>6380</v>
      </c>
      <c r="G964" s="179">
        <f>COUNTIF(작성용!A:B,$A964)-COUNTIFS(작성용!A:A,$A964,작성용!AA:AA,"평가철회")</f>
        <v>0</v>
      </c>
    </row>
    <row r="965" spans="1:7" ht="16.5" customHeight="1" x14ac:dyDescent="0.3">
      <c r="A965" s="170" t="s">
        <v>2071</v>
      </c>
      <c r="B965" s="165" t="s">
        <v>2072</v>
      </c>
      <c r="C965" s="165" t="str">
        <f>IFERROR(VLOOKUP($A965,작성용!A:AL,14,0),"-")</f>
        <v>-</v>
      </c>
      <c r="D965" s="169" t="s">
        <v>74</v>
      </c>
      <c r="E965" s="167" t="str">
        <f>IFERROR(VLOOKUP(A965,작성용!A:AL,34,0),"-")</f>
        <v>-</v>
      </c>
      <c r="F965" s="168" t="s">
        <v>2</v>
      </c>
      <c r="G965" s="179">
        <f>COUNTIF(작성용!A:B,$A965)-COUNTIFS(작성용!A:A,$A965,작성용!AA:AA,"평가철회")</f>
        <v>0</v>
      </c>
    </row>
    <row r="966" spans="1:7" ht="16.5" customHeight="1" x14ac:dyDescent="0.3">
      <c r="A966" s="170" t="s">
        <v>2073</v>
      </c>
      <c r="B966" s="165" t="s">
        <v>2074</v>
      </c>
      <c r="C966" s="165" t="str">
        <f>IFERROR(VLOOKUP($A966,작성용!A:AL,14,0),"-")</f>
        <v>-</v>
      </c>
      <c r="D966" s="169" t="s">
        <v>336</v>
      </c>
      <c r="E966" s="167" t="str">
        <f>IFERROR(VLOOKUP(A966,작성용!A:AL,34,0),"-")</f>
        <v>-</v>
      </c>
      <c r="F966" s="168" t="s">
        <v>2</v>
      </c>
      <c r="G966" s="179">
        <f>COUNTIF(작성용!A:B,$A966)-COUNTIFS(작성용!A:A,$A966,작성용!AA:AA,"평가철회")</f>
        <v>0</v>
      </c>
    </row>
    <row r="967" spans="1:7" ht="16.5" customHeight="1" x14ac:dyDescent="0.3">
      <c r="A967" s="170" t="s">
        <v>2075</v>
      </c>
      <c r="B967" s="165" t="s">
        <v>2076</v>
      </c>
      <c r="C967" s="165" t="str">
        <f>IFERROR(VLOOKUP($A967,작성용!A:AL,14,0),"-")</f>
        <v>-</v>
      </c>
      <c r="D967" s="169" t="s">
        <v>495</v>
      </c>
      <c r="E967" s="167" t="str">
        <f>IFERROR(VLOOKUP(A967,작성용!A:AL,34,0),"-")</f>
        <v>-</v>
      </c>
      <c r="F967" s="168" t="s">
        <v>6382</v>
      </c>
      <c r="G967" s="179">
        <f>COUNTIF(작성용!A:B,$A967)-COUNTIFS(작성용!A:A,$A967,작성용!AA:AA,"평가철회")</f>
        <v>0</v>
      </c>
    </row>
    <row r="968" spans="1:7" ht="16.5" customHeight="1" x14ac:dyDescent="0.3">
      <c r="A968" s="170" t="s">
        <v>2077</v>
      </c>
      <c r="B968" s="165" t="s">
        <v>2078</v>
      </c>
      <c r="C968" s="165" t="str">
        <f>IFERROR(VLOOKUP($A968,작성용!A:AL,14,0),"-")</f>
        <v>-</v>
      </c>
      <c r="D968" s="169" t="s">
        <v>336</v>
      </c>
      <c r="E968" s="167" t="str">
        <f>IFERROR(VLOOKUP(A968,작성용!A:AL,34,0),"-")</f>
        <v>-</v>
      </c>
      <c r="F968" s="168" t="s">
        <v>2</v>
      </c>
      <c r="G968" s="179">
        <f>COUNTIF(작성용!A:B,$A968)-COUNTIFS(작성용!A:A,$A968,작성용!AA:AA,"평가철회")</f>
        <v>0</v>
      </c>
    </row>
    <row r="969" spans="1:7" ht="16.5" customHeight="1" x14ac:dyDescent="0.3">
      <c r="A969" s="170" t="s">
        <v>2079</v>
      </c>
      <c r="B969" s="165" t="s">
        <v>1336</v>
      </c>
      <c r="C969" s="165" t="str">
        <f>IFERROR(VLOOKUP($A969,작성용!A:AL,14,0),"-")</f>
        <v>-</v>
      </c>
      <c r="D969" s="169" t="s">
        <v>6486</v>
      </c>
      <c r="E969" s="167" t="str">
        <f>IFERROR(VLOOKUP(A969,작성용!A:AL,34,0),"-")</f>
        <v>-</v>
      </c>
      <c r="F969" s="168" t="s">
        <v>6380</v>
      </c>
      <c r="G969" s="179">
        <f>COUNTIF(작성용!A:B,$A969)-COUNTIFS(작성용!A:A,$A969,작성용!AA:AA,"평가철회")</f>
        <v>0</v>
      </c>
    </row>
    <row r="970" spans="1:7" ht="16.5" customHeight="1" x14ac:dyDescent="0.3">
      <c r="A970" s="170" t="s">
        <v>2080</v>
      </c>
      <c r="B970" s="165" t="s">
        <v>1338</v>
      </c>
      <c r="C970" s="165" t="str">
        <f>IFERROR(VLOOKUP($A970,작성용!A:AL,14,0),"-")</f>
        <v>-</v>
      </c>
      <c r="D970" s="169" t="s">
        <v>492</v>
      </c>
      <c r="E970" s="167" t="str">
        <f>IFERROR(VLOOKUP(A970,작성용!A:AL,34,0),"-")</f>
        <v>-</v>
      </c>
      <c r="F970" s="168" t="s">
        <v>2</v>
      </c>
      <c r="G970" s="179">
        <f>COUNTIF(작성용!A:B,$A970)-COUNTIFS(작성용!A:A,$A970,작성용!AA:AA,"평가철회")</f>
        <v>0</v>
      </c>
    </row>
    <row r="971" spans="1:7" ht="16.5" customHeight="1" x14ac:dyDescent="0.3">
      <c r="A971" s="170" t="s">
        <v>2081</v>
      </c>
      <c r="B971" s="165" t="s">
        <v>2082</v>
      </c>
      <c r="C971" s="165" t="str">
        <f>IFERROR(VLOOKUP($A971,작성용!A:AL,14,0),"-")</f>
        <v>-</v>
      </c>
      <c r="D971" s="169" t="s">
        <v>694</v>
      </c>
      <c r="E971" s="167" t="str">
        <f>IFERROR(VLOOKUP(A971,작성용!A:AL,34,0),"-")</f>
        <v>-</v>
      </c>
      <c r="F971" s="168" t="s">
        <v>6382</v>
      </c>
      <c r="G971" s="179">
        <f>COUNTIF(작성용!A:B,$A971)-COUNTIFS(작성용!A:A,$A971,작성용!AA:AA,"평가철회")</f>
        <v>0</v>
      </c>
    </row>
    <row r="972" spans="1:7" ht="16.5" customHeight="1" x14ac:dyDescent="0.3">
      <c r="A972" s="170" t="s">
        <v>2083</v>
      </c>
      <c r="B972" s="165" t="s">
        <v>2084</v>
      </c>
      <c r="C972" s="165" t="str">
        <f>IFERROR(VLOOKUP($A972,작성용!A:AL,14,0),"-")</f>
        <v>-</v>
      </c>
      <c r="D972" s="169" t="s">
        <v>6486</v>
      </c>
      <c r="E972" s="167" t="str">
        <f>IFERROR(VLOOKUP(A972,작성용!A:AL,34,0),"-")</f>
        <v>-</v>
      </c>
      <c r="F972" s="168" t="s">
        <v>6378</v>
      </c>
      <c r="G972" s="179">
        <f>COUNTIF(작성용!A:B,$A972)-COUNTIFS(작성용!A:A,$A972,작성용!AA:AA,"평가철회")</f>
        <v>0</v>
      </c>
    </row>
    <row r="973" spans="1:7" ht="16.5" customHeight="1" x14ac:dyDescent="0.3">
      <c r="A973" s="170" t="s">
        <v>2085</v>
      </c>
      <c r="B973" s="165" t="s">
        <v>2086</v>
      </c>
      <c r="C973" s="165" t="str">
        <f>IFERROR(VLOOKUP($A973,작성용!A:AL,14,0),"-")</f>
        <v>-</v>
      </c>
      <c r="D973" s="169" t="s">
        <v>6386</v>
      </c>
      <c r="E973" s="167" t="str">
        <f>IFERROR(VLOOKUP(A973,작성용!A:AL,34,0),"-")</f>
        <v>-</v>
      </c>
      <c r="F973" s="168" t="s">
        <v>6382</v>
      </c>
      <c r="G973" s="179">
        <f>COUNTIF(작성용!A:B,$A973)-COUNTIFS(작성용!A:A,$A973,작성용!AA:AA,"평가철회")</f>
        <v>0</v>
      </c>
    </row>
    <row r="974" spans="1:7" ht="16.5" customHeight="1" x14ac:dyDescent="0.3">
      <c r="A974" s="170" t="s">
        <v>2087</v>
      </c>
      <c r="B974" s="165" t="s">
        <v>2088</v>
      </c>
      <c r="C974" s="165" t="str">
        <f>IFERROR(VLOOKUP($A974,작성용!A:AL,14,0),"-")</f>
        <v>-</v>
      </c>
      <c r="D974" s="169" t="s">
        <v>6484</v>
      </c>
      <c r="E974" s="167" t="str">
        <f>IFERROR(VLOOKUP(A974,작성용!A:AL,34,0),"-")</f>
        <v>-</v>
      </c>
      <c r="F974" s="168" t="s">
        <v>6378</v>
      </c>
      <c r="G974" s="179">
        <f>COUNTIF(작성용!A:B,$A974)-COUNTIFS(작성용!A:A,$A974,작성용!AA:AA,"평가철회")</f>
        <v>0</v>
      </c>
    </row>
    <row r="975" spans="1:7" ht="16.5" customHeight="1" x14ac:dyDescent="0.3">
      <c r="A975" s="170" t="s">
        <v>2089</v>
      </c>
      <c r="B975" s="165" t="s">
        <v>2090</v>
      </c>
      <c r="C975" s="165" t="str">
        <f>IFERROR(VLOOKUP($A975,작성용!A:AL,14,0),"-")</f>
        <v>-</v>
      </c>
      <c r="D975" s="169" t="s">
        <v>273</v>
      </c>
      <c r="E975" s="167" t="str">
        <f>IFERROR(VLOOKUP(A975,작성용!A:AL,34,0),"-")</f>
        <v>-</v>
      </c>
      <c r="F975" s="168" t="s">
        <v>2</v>
      </c>
      <c r="G975" s="179">
        <f>COUNTIF(작성용!A:B,$A975)-COUNTIFS(작성용!A:A,$A975,작성용!AA:AA,"평가철회")</f>
        <v>0</v>
      </c>
    </row>
    <row r="976" spans="1:7" ht="16.5" customHeight="1" x14ac:dyDescent="0.3">
      <c r="A976" s="170" t="s">
        <v>2091</v>
      </c>
      <c r="B976" s="165" t="s">
        <v>2092</v>
      </c>
      <c r="C976" s="165" t="str">
        <f>IFERROR(VLOOKUP($A976,작성용!A:AL,14,0),"-")</f>
        <v>-</v>
      </c>
      <c r="D976" s="169" t="s">
        <v>6384</v>
      </c>
      <c r="E976" s="167" t="str">
        <f>IFERROR(VLOOKUP(A976,작성용!A:AL,34,0),"-")</f>
        <v>-</v>
      </c>
      <c r="F976" s="168" t="s">
        <v>6382</v>
      </c>
      <c r="G976" s="179">
        <f>COUNTIF(작성용!A:B,$A976)-COUNTIFS(작성용!A:A,$A976,작성용!AA:AA,"평가철회")</f>
        <v>0</v>
      </c>
    </row>
    <row r="977" spans="1:7" ht="16.5" customHeight="1" x14ac:dyDescent="0.3">
      <c r="A977" s="170" t="s">
        <v>2093</v>
      </c>
      <c r="B977" s="165" t="s">
        <v>2094</v>
      </c>
      <c r="C977" s="165" t="str">
        <f>IFERROR(VLOOKUP($A977,작성용!A:AL,14,0),"-")</f>
        <v>-</v>
      </c>
      <c r="D977" s="169" t="s">
        <v>6479</v>
      </c>
      <c r="E977" s="167" t="str">
        <f>IFERROR(VLOOKUP(A977,작성용!A:AL,34,0),"-")</f>
        <v>-</v>
      </c>
      <c r="F977" s="168" t="s">
        <v>6378</v>
      </c>
      <c r="G977" s="179">
        <f>COUNTIF(작성용!A:B,$A977)-COUNTIFS(작성용!A:A,$A977,작성용!AA:AA,"평가철회")</f>
        <v>0</v>
      </c>
    </row>
    <row r="978" spans="1:7" ht="16.5" customHeight="1" x14ac:dyDescent="0.3">
      <c r="A978" s="170" t="s">
        <v>2095</v>
      </c>
      <c r="B978" s="165" t="s">
        <v>2096</v>
      </c>
      <c r="C978" s="165" t="str">
        <f>IFERROR(VLOOKUP($A978,작성용!A:AL,14,0),"-")</f>
        <v>-</v>
      </c>
      <c r="D978" s="169" t="s">
        <v>694</v>
      </c>
      <c r="E978" s="167" t="str">
        <f>IFERROR(VLOOKUP(A978,작성용!A:AL,34,0),"-")</f>
        <v>-</v>
      </c>
      <c r="F978" s="168" t="s">
        <v>6382</v>
      </c>
      <c r="G978" s="179">
        <f>COUNTIF(작성용!A:B,$A978)-COUNTIFS(작성용!A:A,$A978,작성용!AA:AA,"평가철회")</f>
        <v>0</v>
      </c>
    </row>
    <row r="979" spans="1:7" ht="16.5" customHeight="1" x14ac:dyDescent="0.3">
      <c r="A979" s="170" t="s">
        <v>2097</v>
      </c>
      <c r="B979" s="165" t="s">
        <v>2098</v>
      </c>
      <c r="C979" s="165" t="str">
        <f>IFERROR(VLOOKUP($A979,작성용!A:AL,14,0),"-")</f>
        <v>-</v>
      </c>
      <c r="D979" s="169" t="s">
        <v>336</v>
      </c>
      <c r="E979" s="167" t="str">
        <f>IFERROR(VLOOKUP(A979,작성용!A:AL,34,0),"-")</f>
        <v>-</v>
      </c>
      <c r="F979" s="168" t="s">
        <v>2</v>
      </c>
      <c r="G979" s="179">
        <f>COUNTIF(작성용!A:B,$A979)-COUNTIFS(작성용!A:A,$A979,작성용!AA:AA,"평가철회")</f>
        <v>0</v>
      </c>
    </row>
    <row r="980" spans="1:7" ht="16.5" customHeight="1" x14ac:dyDescent="0.3">
      <c r="A980" s="170" t="s">
        <v>2099</v>
      </c>
      <c r="B980" s="165" t="s">
        <v>2100</v>
      </c>
      <c r="C980" s="165" t="str">
        <f>IFERROR(VLOOKUP($A980,작성용!A:AL,14,0),"-")</f>
        <v>-</v>
      </c>
      <c r="D980" s="169" t="s">
        <v>643</v>
      </c>
      <c r="E980" s="167" t="str">
        <f>IFERROR(VLOOKUP(A980,작성용!A:AL,34,0),"-")</f>
        <v>-</v>
      </c>
      <c r="F980" s="168" t="s">
        <v>2</v>
      </c>
      <c r="G980" s="179">
        <f>COUNTIF(작성용!A:B,$A980)-COUNTIFS(작성용!A:A,$A980,작성용!AA:AA,"평가철회")</f>
        <v>0</v>
      </c>
    </row>
    <row r="981" spans="1:7" ht="16.5" customHeight="1" x14ac:dyDescent="0.3">
      <c r="A981" s="170" t="s">
        <v>2101</v>
      </c>
      <c r="B981" s="165" t="s">
        <v>2102</v>
      </c>
      <c r="C981" s="165" t="str">
        <f>IFERROR(VLOOKUP($A981,작성용!A:AL,14,0),"-")</f>
        <v>-</v>
      </c>
      <c r="D981" s="169" t="s">
        <v>6487</v>
      </c>
      <c r="E981" s="167" t="str">
        <f>IFERROR(VLOOKUP(A981,작성용!A:AL,34,0),"-")</f>
        <v>-</v>
      </c>
      <c r="F981" s="168" t="s">
        <v>6380</v>
      </c>
      <c r="G981" s="179">
        <f>COUNTIF(작성용!A:B,$A981)-COUNTIFS(작성용!A:A,$A981,작성용!AA:AA,"평가철회")</f>
        <v>0</v>
      </c>
    </row>
    <row r="982" spans="1:7" ht="16.5" customHeight="1" x14ac:dyDescent="0.3">
      <c r="A982" s="170" t="s">
        <v>2103</v>
      </c>
      <c r="B982" s="165" t="s">
        <v>602</v>
      </c>
      <c r="C982" s="165" t="str">
        <f>IFERROR(VLOOKUP($A982,작성용!A:AL,14,0),"-")</f>
        <v>-</v>
      </c>
      <c r="D982" s="169" t="s">
        <v>6377</v>
      </c>
      <c r="E982" s="167" t="str">
        <f>IFERROR(VLOOKUP(A982,작성용!A:AL,34,0),"-")</f>
        <v>-</v>
      </c>
      <c r="F982" s="168" t="s">
        <v>6381</v>
      </c>
      <c r="G982" s="179">
        <f>COUNTIF(작성용!A:B,$A982)-COUNTIFS(작성용!A:A,$A982,작성용!AA:AA,"평가철회")</f>
        <v>0</v>
      </c>
    </row>
    <row r="983" spans="1:7" ht="16.5" customHeight="1" x14ac:dyDescent="0.3">
      <c r="A983" s="170" t="s">
        <v>2104</v>
      </c>
      <c r="B983" s="165" t="s">
        <v>2105</v>
      </c>
      <c r="C983" s="165" t="str">
        <f>IFERROR(VLOOKUP($A983,작성용!A:AL,14,0),"-")</f>
        <v>-</v>
      </c>
      <c r="D983" s="169" t="s">
        <v>2106</v>
      </c>
      <c r="E983" s="167" t="str">
        <f>IFERROR(VLOOKUP(A983,작성용!A:AL,34,0),"-")</f>
        <v>-</v>
      </c>
      <c r="F983" s="168" t="s">
        <v>2</v>
      </c>
      <c r="G983" s="179">
        <f>COUNTIF(작성용!A:B,$A983)-COUNTIFS(작성용!A:A,$A983,작성용!AA:AA,"평가철회")</f>
        <v>0</v>
      </c>
    </row>
    <row r="984" spans="1:7" ht="16.5" customHeight="1" x14ac:dyDescent="0.3">
      <c r="A984" s="170" t="s">
        <v>2107</v>
      </c>
      <c r="B984" s="165" t="s">
        <v>2108</v>
      </c>
      <c r="C984" s="165" t="str">
        <f>IFERROR(VLOOKUP($A984,작성용!A:AL,14,0),"-")</f>
        <v>-</v>
      </c>
      <c r="D984" s="169" t="s">
        <v>556</v>
      </c>
      <c r="E984" s="167" t="str">
        <f>IFERROR(VLOOKUP(A984,작성용!A:AL,34,0),"-")</f>
        <v>-</v>
      </c>
      <c r="F984" s="168" t="s">
        <v>6382</v>
      </c>
      <c r="G984" s="179">
        <f>COUNTIF(작성용!A:B,$A984)-COUNTIFS(작성용!A:A,$A984,작성용!AA:AA,"평가철회")</f>
        <v>0</v>
      </c>
    </row>
    <row r="985" spans="1:7" ht="16.5" customHeight="1" x14ac:dyDescent="0.3">
      <c r="A985" s="170" t="s">
        <v>2109</v>
      </c>
      <c r="B985" s="165" t="s">
        <v>2110</v>
      </c>
      <c r="C985" s="165" t="str">
        <f>IFERROR(VLOOKUP($A985,작성용!A:AL,14,0),"-")</f>
        <v>-</v>
      </c>
      <c r="D985" s="169" t="s">
        <v>6438</v>
      </c>
      <c r="E985" s="167" t="str">
        <f>IFERROR(VLOOKUP(A985,작성용!A:AL,34,0),"-")</f>
        <v>-</v>
      </c>
      <c r="F985" s="168" t="s">
        <v>6382</v>
      </c>
      <c r="G985" s="179">
        <f>COUNTIF(작성용!A:B,$A985)-COUNTIFS(작성용!A:A,$A985,작성용!AA:AA,"평가철회")</f>
        <v>0</v>
      </c>
    </row>
    <row r="986" spans="1:7" ht="16.5" customHeight="1" x14ac:dyDescent="0.3">
      <c r="A986" s="170" t="s">
        <v>2111</v>
      </c>
      <c r="B986" s="165" t="s">
        <v>2112</v>
      </c>
      <c r="C986" s="165" t="str">
        <f>IFERROR(VLOOKUP($A986,작성용!A:AL,14,0),"-")</f>
        <v>-</v>
      </c>
      <c r="D986" s="169" t="s">
        <v>6488</v>
      </c>
      <c r="E986" s="167" t="str">
        <f>IFERROR(VLOOKUP(A986,작성용!A:AL,34,0),"-")</f>
        <v>-</v>
      </c>
      <c r="F986" s="168" t="s">
        <v>6380</v>
      </c>
      <c r="G986" s="179">
        <f>COUNTIF(작성용!A:B,$A986)-COUNTIFS(작성용!A:A,$A986,작성용!AA:AA,"평가철회")</f>
        <v>0</v>
      </c>
    </row>
    <row r="987" spans="1:7" ht="16.5" customHeight="1" x14ac:dyDescent="0.3">
      <c r="A987" s="170" t="s">
        <v>2113</v>
      </c>
      <c r="B987" s="165" t="s">
        <v>2114</v>
      </c>
      <c r="C987" s="165" t="str">
        <f>IFERROR(VLOOKUP($A987,작성용!A:AL,14,0),"-")</f>
        <v>-</v>
      </c>
      <c r="D987" s="169" t="s">
        <v>6388</v>
      </c>
      <c r="E987" s="167" t="str">
        <f>IFERROR(VLOOKUP(A987,작성용!A:AL,34,0),"-")</f>
        <v>-</v>
      </c>
      <c r="F987" s="168" t="s">
        <v>6382</v>
      </c>
      <c r="G987" s="179">
        <f>COUNTIF(작성용!A:B,$A987)-COUNTIFS(작성용!A:A,$A987,작성용!AA:AA,"평가철회")</f>
        <v>0</v>
      </c>
    </row>
    <row r="988" spans="1:7" ht="16.5" customHeight="1" x14ac:dyDescent="0.3">
      <c r="A988" s="170" t="s">
        <v>2115</v>
      </c>
      <c r="B988" s="165" t="s">
        <v>2116</v>
      </c>
      <c r="C988" s="165" t="str">
        <f>IFERROR(VLOOKUP($A988,작성용!A:AL,14,0),"-")</f>
        <v>-</v>
      </c>
      <c r="D988" s="169" t="s">
        <v>1551</v>
      </c>
      <c r="E988" s="167" t="str">
        <f>IFERROR(VLOOKUP(A988,작성용!A:AL,34,0),"-")</f>
        <v>-</v>
      </c>
      <c r="F988" s="168" t="s">
        <v>2</v>
      </c>
      <c r="G988" s="179">
        <f>COUNTIF(작성용!A:B,$A988)-COUNTIFS(작성용!A:A,$A988,작성용!AA:AA,"평가철회")</f>
        <v>0</v>
      </c>
    </row>
    <row r="989" spans="1:7" ht="16.5" customHeight="1" x14ac:dyDescent="0.3">
      <c r="A989" s="170" t="s">
        <v>2117</v>
      </c>
      <c r="B989" s="165" t="s">
        <v>2118</v>
      </c>
      <c r="C989" s="165" t="str">
        <f>IFERROR(VLOOKUP($A989,작성용!A:AL,14,0),"-")</f>
        <v>-</v>
      </c>
      <c r="D989" s="169" t="s">
        <v>6489</v>
      </c>
      <c r="E989" s="167" t="str">
        <f>IFERROR(VLOOKUP(A989,작성용!A:AL,34,0),"-")</f>
        <v>-</v>
      </c>
      <c r="F989" s="168" t="s">
        <v>2</v>
      </c>
      <c r="G989" s="179">
        <f>COUNTIF(작성용!A:B,$A989)-COUNTIFS(작성용!A:A,$A989,작성용!AA:AA,"평가철회")</f>
        <v>0</v>
      </c>
    </row>
    <row r="990" spans="1:7" ht="16.5" customHeight="1" x14ac:dyDescent="0.3">
      <c r="A990" s="170" t="s">
        <v>2119</v>
      </c>
      <c r="B990" s="165" t="s">
        <v>6490</v>
      </c>
      <c r="C990" s="165" t="str">
        <f>IFERROR(VLOOKUP($A990,작성용!A:AL,14,0),"-")</f>
        <v>-</v>
      </c>
      <c r="D990" s="169" t="s">
        <v>6314</v>
      </c>
      <c r="E990" s="167" t="str">
        <f>IFERROR(VLOOKUP(A990,작성용!A:AL,34,0),"-")</f>
        <v>-</v>
      </c>
      <c r="F990" s="168" t="s">
        <v>6381</v>
      </c>
      <c r="G990" s="179">
        <f>COUNTIF(작성용!A:B,$A990)-COUNTIFS(작성용!A:A,$A990,작성용!AA:AA,"평가철회")</f>
        <v>0</v>
      </c>
    </row>
    <row r="991" spans="1:7" ht="16.5" customHeight="1" x14ac:dyDescent="0.3">
      <c r="A991" s="170" t="s">
        <v>2120</v>
      </c>
      <c r="B991" s="165" t="s">
        <v>6491</v>
      </c>
      <c r="C991" s="165" t="str">
        <f>IFERROR(VLOOKUP($A991,작성용!A:AL,14,0),"-")</f>
        <v>-</v>
      </c>
      <c r="D991" s="169" t="s">
        <v>6484</v>
      </c>
      <c r="E991" s="167" t="str">
        <f>IFERROR(VLOOKUP(A991,작성용!A:AL,34,0),"-")</f>
        <v>-</v>
      </c>
      <c r="F991" s="168" t="s">
        <v>6381</v>
      </c>
      <c r="G991" s="179">
        <f>COUNTIF(작성용!A:B,$A991)-COUNTIFS(작성용!A:A,$A991,작성용!AA:AA,"평가철회")</f>
        <v>0</v>
      </c>
    </row>
    <row r="992" spans="1:7" ht="16.5" customHeight="1" x14ac:dyDescent="0.3">
      <c r="A992" s="170" t="s">
        <v>2121</v>
      </c>
      <c r="B992" s="165" t="s">
        <v>903</v>
      </c>
      <c r="C992" s="165" t="str">
        <f>IFERROR(VLOOKUP($A992,작성용!A:AL,14,0),"-")</f>
        <v>-</v>
      </c>
      <c r="D992" s="169" t="s">
        <v>463</v>
      </c>
      <c r="E992" s="167" t="str">
        <f>IFERROR(VLOOKUP(A992,작성용!A:AL,34,0),"-")</f>
        <v>-</v>
      </c>
      <c r="F992" s="168" t="s">
        <v>2</v>
      </c>
      <c r="G992" s="179">
        <f>COUNTIF(작성용!A:B,$A992)-COUNTIFS(작성용!A:A,$A992,작성용!AA:AA,"평가철회")</f>
        <v>0</v>
      </c>
    </row>
    <row r="993" spans="1:7" ht="16.5" customHeight="1" x14ac:dyDescent="0.3">
      <c r="A993" s="170" t="s">
        <v>2122</v>
      </c>
      <c r="B993" s="165" t="s">
        <v>2123</v>
      </c>
      <c r="C993" s="165" t="str">
        <f>IFERROR(VLOOKUP($A993,작성용!A:AL,14,0),"-")</f>
        <v>-</v>
      </c>
      <c r="D993" s="169" t="s">
        <v>6463</v>
      </c>
      <c r="E993" s="167" t="str">
        <f>IFERROR(VLOOKUP(A993,작성용!A:AL,34,0),"-")</f>
        <v>-</v>
      </c>
      <c r="F993" s="168" t="s">
        <v>6382</v>
      </c>
      <c r="G993" s="179">
        <f>COUNTIF(작성용!A:B,$A993)-COUNTIFS(작성용!A:A,$A993,작성용!AA:AA,"평가철회")</f>
        <v>0</v>
      </c>
    </row>
    <row r="994" spans="1:7" ht="16.5" customHeight="1" x14ac:dyDescent="0.3">
      <c r="A994" s="170" t="s">
        <v>2124</v>
      </c>
      <c r="B994" s="165" t="s">
        <v>6492</v>
      </c>
      <c r="C994" s="165" t="str">
        <f>IFERROR(VLOOKUP($A994,작성용!A:AL,14,0),"-")</f>
        <v>-</v>
      </c>
      <c r="D994" s="169" t="s">
        <v>6488</v>
      </c>
      <c r="E994" s="167" t="str">
        <f>IFERROR(VLOOKUP(A994,작성용!A:AL,34,0),"-")</f>
        <v>-</v>
      </c>
      <c r="F994" s="168" t="s">
        <v>6381</v>
      </c>
      <c r="G994" s="179">
        <f>COUNTIF(작성용!A:B,$A994)-COUNTIFS(작성용!A:A,$A994,작성용!AA:AA,"평가철회")</f>
        <v>0</v>
      </c>
    </row>
    <row r="995" spans="1:7" ht="16.5" customHeight="1" x14ac:dyDescent="0.3">
      <c r="A995" s="170" t="s">
        <v>2125</v>
      </c>
      <c r="B995" s="165" t="s">
        <v>2126</v>
      </c>
      <c r="C995" s="165" t="str">
        <f>IFERROR(VLOOKUP($A995,작성용!A:AL,14,0),"-")</f>
        <v>-</v>
      </c>
      <c r="D995" s="169" t="s">
        <v>72</v>
      </c>
      <c r="E995" s="167" t="str">
        <f>IFERROR(VLOOKUP(A995,작성용!A:AL,34,0),"-")</f>
        <v>-</v>
      </c>
      <c r="F995" s="168" t="s">
        <v>2</v>
      </c>
      <c r="G995" s="179">
        <f>COUNTIF(작성용!A:B,$A995)-COUNTIFS(작성용!A:A,$A995,작성용!AA:AA,"평가철회")</f>
        <v>0</v>
      </c>
    </row>
    <row r="996" spans="1:7" ht="16.5" customHeight="1" x14ac:dyDescent="0.3">
      <c r="A996" s="170" t="s">
        <v>2127</v>
      </c>
      <c r="B996" s="165" t="s">
        <v>6493</v>
      </c>
      <c r="C996" s="165" t="str">
        <f>IFERROR(VLOOKUP($A996,작성용!A:AL,14,0),"-")</f>
        <v>-</v>
      </c>
      <c r="D996" s="169" t="s">
        <v>6463</v>
      </c>
      <c r="E996" s="167" t="str">
        <f>IFERROR(VLOOKUP(A996,작성용!A:AL,34,0),"-")</f>
        <v>-</v>
      </c>
      <c r="F996" s="168" t="s">
        <v>6381</v>
      </c>
      <c r="G996" s="179">
        <f>COUNTIF(작성용!A:B,$A996)-COUNTIFS(작성용!A:A,$A996,작성용!AA:AA,"평가철회")</f>
        <v>0</v>
      </c>
    </row>
    <row r="997" spans="1:7" ht="16.5" customHeight="1" x14ac:dyDescent="0.3">
      <c r="A997" s="170" t="s">
        <v>2128</v>
      </c>
      <c r="B997" s="165" t="s">
        <v>6494</v>
      </c>
      <c r="C997" s="165" t="str">
        <f>IFERROR(VLOOKUP($A997,작성용!A:AL,14,0),"-")</f>
        <v>-</v>
      </c>
      <c r="D997" s="169" t="s">
        <v>6484</v>
      </c>
      <c r="E997" s="167" t="str">
        <f>IFERROR(VLOOKUP(A997,작성용!A:AL,34,0),"-")</f>
        <v>-</v>
      </c>
      <c r="F997" s="168" t="s">
        <v>6382</v>
      </c>
      <c r="G997" s="179">
        <f>COUNTIF(작성용!A:B,$A997)-COUNTIFS(작성용!A:A,$A997,작성용!AA:AA,"평가철회")</f>
        <v>0</v>
      </c>
    </row>
    <row r="998" spans="1:7" ht="16.5" customHeight="1" x14ac:dyDescent="0.3">
      <c r="A998" s="170" t="s">
        <v>2129</v>
      </c>
      <c r="B998" s="165" t="s">
        <v>6495</v>
      </c>
      <c r="C998" s="165" t="str">
        <f>IFERROR(VLOOKUP($A998,작성용!A:AL,14,0),"-")</f>
        <v>-</v>
      </c>
      <c r="D998" s="169" t="s">
        <v>6302</v>
      </c>
      <c r="E998" s="167" t="str">
        <f>IFERROR(VLOOKUP(A998,작성용!A:AL,34,0),"-")</f>
        <v>-</v>
      </c>
      <c r="F998" s="168" t="s">
        <v>6381</v>
      </c>
      <c r="G998" s="179">
        <f>COUNTIF(작성용!A:B,$A998)-COUNTIFS(작성용!A:A,$A998,작성용!AA:AA,"평가철회")</f>
        <v>0</v>
      </c>
    </row>
    <row r="999" spans="1:7" ht="16.5" customHeight="1" x14ac:dyDescent="0.3">
      <c r="A999" s="170" t="s">
        <v>2130</v>
      </c>
      <c r="B999" s="165" t="s">
        <v>2131</v>
      </c>
      <c r="C999" s="165" t="str">
        <f>IFERROR(VLOOKUP($A999,작성용!A:AL,14,0),"-")</f>
        <v>-</v>
      </c>
      <c r="D999" s="169" t="s">
        <v>2132</v>
      </c>
      <c r="E999" s="167" t="str">
        <f>IFERROR(VLOOKUP(A999,작성용!A:AL,34,0),"-")</f>
        <v>-</v>
      </c>
      <c r="F999" s="168" t="s">
        <v>2</v>
      </c>
      <c r="G999" s="179">
        <f>COUNTIF(작성용!A:B,$A999)-COUNTIFS(작성용!A:A,$A999,작성용!AA:AA,"평가철회")</f>
        <v>0</v>
      </c>
    </row>
    <row r="1000" spans="1:7" ht="16.5" customHeight="1" x14ac:dyDescent="0.3">
      <c r="A1000" s="170" t="s">
        <v>2133</v>
      </c>
      <c r="B1000" s="165" t="s">
        <v>2134</v>
      </c>
      <c r="C1000" s="165" t="str">
        <f>IFERROR(VLOOKUP($A1000,작성용!A:AL,14,0),"-")</f>
        <v>-</v>
      </c>
      <c r="D1000" s="169" t="s">
        <v>694</v>
      </c>
      <c r="E1000" s="167" t="str">
        <f>IFERROR(VLOOKUP(A1000,작성용!A:AL,34,0),"-")</f>
        <v>-</v>
      </c>
      <c r="F1000" s="168" t="s">
        <v>6382</v>
      </c>
      <c r="G1000" s="179">
        <f>COUNTIF(작성용!A:B,$A1000)-COUNTIFS(작성용!A:A,$A1000,작성용!AA:AA,"평가철회")</f>
        <v>0</v>
      </c>
    </row>
    <row r="1001" spans="1:7" ht="16.5" customHeight="1" x14ac:dyDescent="0.3">
      <c r="A1001" s="170" t="s">
        <v>2135</v>
      </c>
      <c r="B1001" s="165" t="s">
        <v>361</v>
      </c>
      <c r="C1001" s="165" t="str">
        <f>IFERROR(VLOOKUP($A1001,작성용!A:AL,14,0),"-")</f>
        <v>-</v>
      </c>
      <c r="D1001" s="169" t="s">
        <v>13</v>
      </c>
      <c r="E1001" s="167" t="str">
        <f>IFERROR(VLOOKUP(A1001,작성용!A:AL,34,0),"-")</f>
        <v>-</v>
      </c>
      <c r="F1001" s="168" t="s">
        <v>2</v>
      </c>
      <c r="G1001" s="179">
        <f>COUNTIF(작성용!A:B,$A1001)-COUNTIFS(작성용!A:A,$A1001,작성용!AA:AA,"평가철회")</f>
        <v>0</v>
      </c>
    </row>
    <row r="1002" spans="1:7" ht="16.5" customHeight="1" x14ac:dyDescent="0.3">
      <c r="A1002" s="170" t="s">
        <v>2136</v>
      </c>
      <c r="B1002" s="165" t="s">
        <v>1616</v>
      </c>
      <c r="C1002" s="165" t="str">
        <f>IFERROR(VLOOKUP($A1002,작성용!A:AL,14,0),"-")</f>
        <v>-</v>
      </c>
      <c r="D1002" s="169" t="s">
        <v>6440</v>
      </c>
      <c r="E1002" s="167" t="str">
        <f>IFERROR(VLOOKUP(A1002,작성용!A:AL,34,0),"-")</f>
        <v>-</v>
      </c>
      <c r="F1002" s="168" t="s">
        <v>6378</v>
      </c>
      <c r="G1002" s="179">
        <f>COUNTIF(작성용!A:B,$A1002)-COUNTIFS(작성용!A:A,$A1002,작성용!AA:AA,"평가철회")</f>
        <v>0</v>
      </c>
    </row>
    <row r="1003" spans="1:7" ht="16.5" customHeight="1" x14ac:dyDescent="0.3">
      <c r="A1003" s="170" t="s">
        <v>2137</v>
      </c>
      <c r="B1003" s="165" t="s">
        <v>2138</v>
      </c>
      <c r="C1003" s="165" t="str">
        <f>IFERROR(VLOOKUP($A1003,작성용!A:AL,14,0),"-")</f>
        <v>-</v>
      </c>
      <c r="D1003" s="169" t="s">
        <v>495</v>
      </c>
      <c r="E1003" s="167" t="str">
        <f>IFERROR(VLOOKUP(A1003,작성용!A:AL,34,0),"-")</f>
        <v>-</v>
      </c>
      <c r="F1003" s="168" t="s">
        <v>2</v>
      </c>
      <c r="G1003" s="179">
        <f>COUNTIF(작성용!A:B,$A1003)-COUNTIFS(작성용!A:A,$A1003,작성용!AA:AA,"평가철회")</f>
        <v>0</v>
      </c>
    </row>
    <row r="1004" spans="1:7" ht="16.5" customHeight="1" x14ac:dyDescent="0.3">
      <c r="A1004" s="170" t="s">
        <v>2139</v>
      </c>
      <c r="B1004" s="165" t="s">
        <v>2140</v>
      </c>
      <c r="C1004" s="165" t="str">
        <f>IFERROR(VLOOKUP($A1004,작성용!A:AL,14,0),"-")</f>
        <v>-</v>
      </c>
      <c r="D1004" s="169" t="s">
        <v>6388</v>
      </c>
      <c r="E1004" s="167" t="str">
        <f>IFERROR(VLOOKUP(A1004,작성용!A:AL,34,0),"-")</f>
        <v>-</v>
      </c>
      <c r="F1004" s="168" t="s">
        <v>6381</v>
      </c>
      <c r="G1004" s="179">
        <f>COUNTIF(작성용!A:B,$A1004)-COUNTIFS(작성용!A:A,$A1004,작성용!AA:AA,"평가철회")</f>
        <v>0</v>
      </c>
    </row>
    <row r="1005" spans="1:7" ht="16.5" customHeight="1" x14ac:dyDescent="0.3">
      <c r="A1005" s="170" t="s">
        <v>2141</v>
      </c>
      <c r="B1005" s="165" t="s">
        <v>2142</v>
      </c>
      <c r="C1005" s="165" t="str">
        <f>IFERROR(VLOOKUP($A1005,작성용!A:AL,14,0),"-")</f>
        <v>-</v>
      </c>
      <c r="D1005" s="169" t="s">
        <v>556</v>
      </c>
      <c r="E1005" s="167" t="str">
        <f>IFERROR(VLOOKUP(A1005,작성용!A:AL,34,0),"-")</f>
        <v>-</v>
      </c>
      <c r="F1005" s="168" t="s">
        <v>2</v>
      </c>
      <c r="G1005" s="179">
        <f>COUNTIF(작성용!A:B,$A1005)-COUNTIFS(작성용!A:A,$A1005,작성용!AA:AA,"평가철회")</f>
        <v>0</v>
      </c>
    </row>
    <row r="1006" spans="1:7" ht="16.5" customHeight="1" x14ac:dyDescent="0.3">
      <c r="A1006" s="170" t="s">
        <v>2143</v>
      </c>
      <c r="B1006" s="165" t="s">
        <v>6496</v>
      </c>
      <c r="C1006" s="165" t="str">
        <f>IFERROR(VLOOKUP($A1006,작성용!A:AL,14,0),"-")</f>
        <v>-</v>
      </c>
      <c r="D1006" s="169" t="s">
        <v>6497</v>
      </c>
      <c r="E1006" s="167" t="str">
        <f>IFERROR(VLOOKUP(A1006,작성용!A:AL,34,0),"-")</f>
        <v>-</v>
      </c>
      <c r="F1006" s="168" t="s">
        <v>6378</v>
      </c>
      <c r="G1006" s="179">
        <f>COUNTIF(작성용!A:B,$A1006)-COUNTIFS(작성용!A:A,$A1006,작성용!AA:AA,"평가철회")</f>
        <v>0</v>
      </c>
    </row>
    <row r="1007" spans="1:7" ht="16.5" customHeight="1" x14ac:dyDescent="0.3">
      <c r="A1007" s="170" t="s">
        <v>2144</v>
      </c>
      <c r="B1007" s="165" t="s">
        <v>2145</v>
      </c>
      <c r="C1007" s="165" t="str">
        <f>IFERROR(VLOOKUP($A1007,작성용!A:AL,14,0),"-")</f>
        <v xml:space="preserve">반기 </v>
      </c>
      <c r="D1007" s="169" t="s">
        <v>6427</v>
      </c>
      <c r="E1007" s="167" t="str">
        <f>IFERROR(VLOOKUP(A1007,작성용!A:AL,34,0),"-")</f>
        <v>조현우</v>
      </c>
      <c r="F1007" s="168" t="s">
        <v>6382</v>
      </c>
      <c r="G1007" s="179">
        <f>COUNTIF(작성용!A:B,$A1007)-COUNTIFS(작성용!A:A,$A1007,작성용!AA:AA,"평가철회")</f>
        <v>46</v>
      </c>
    </row>
    <row r="1008" spans="1:7" ht="16.5" customHeight="1" x14ac:dyDescent="0.3">
      <c r="A1008" s="170" t="s">
        <v>2146</v>
      </c>
      <c r="B1008" s="165" t="s">
        <v>2147</v>
      </c>
      <c r="C1008" s="165" t="str">
        <f>IFERROR(VLOOKUP($A1008,작성용!A:AL,14,0),"-")</f>
        <v>-</v>
      </c>
      <c r="D1008" s="169" t="s">
        <v>6498</v>
      </c>
      <c r="E1008" s="167" t="str">
        <f>IFERROR(VLOOKUP(A1008,작성용!A:AL,34,0),"-")</f>
        <v>-</v>
      </c>
      <c r="F1008" s="168" t="s">
        <v>6342</v>
      </c>
      <c r="G1008" s="179">
        <f>COUNTIF(작성용!A:B,$A1008)-COUNTIFS(작성용!A:A,$A1008,작성용!AA:AA,"평가철회")</f>
        <v>0</v>
      </c>
    </row>
    <row r="1009" spans="1:7" ht="16.5" customHeight="1" x14ac:dyDescent="0.3">
      <c r="A1009" s="170" t="s">
        <v>2148</v>
      </c>
      <c r="B1009" s="165" t="s">
        <v>2149</v>
      </c>
      <c r="C1009" s="165" t="str">
        <f>IFERROR(VLOOKUP($A1009,작성용!A:AL,14,0),"-")</f>
        <v>-</v>
      </c>
      <c r="D1009" s="169" t="s">
        <v>247</v>
      </c>
      <c r="E1009" s="167" t="str">
        <f>IFERROR(VLOOKUP(A1009,작성용!A:AL,34,0),"-")</f>
        <v>-</v>
      </c>
      <c r="F1009" s="168" t="s">
        <v>2</v>
      </c>
      <c r="G1009" s="179">
        <f>COUNTIF(작성용!A:B,$A1009)-COUNTIFS(작성용!A:A,$A1009,작성용!AA:AA,"평가철회")</f>
        <v>0</v>
      </c>
    </row>
    <row r="1010" spans="1:7" ht="16.5" customHeight="1" x14ac:dyDescent="0.3">
      <c r="A1010" s="170" t="s">
        <v>2150</v>
      </c>
      <c r="B1010" s="165" t="s">
        <v>6499</v>
      </c>
      <c r="C1010" s="165" t="str">
        <f>IFERROR(VLOOKUP($A1010,작성용!A:AL,14,0),"-")</f>
        <v>-</v>
      </c>
      <c r="D1010" s="169" t="s">
        <v>6319</v>
      </c>
      <c r="E1010" s="167" t="str">
        <f>IFERROR(VLOOKUP(A1010,작성용!A:AL,34,0),"-")</f>
        <v>-</v>
      </c>
      <c r="F1010" s="168" t="s">
        <v>6304</v>
      </c>
      <c r="G1010" s="179">
        <f>COUNTIF(작성용!A:B,$A1010)-COUNTIFS(작성용!A:A,$A1010,작성용!AA:AA,"평가철회")</f>
        <v>0</v>
      </c>
    </row>
    <row r="1011" spans="1:7" x14ac:dyDescent="0.3">
      <c r="A1011" s="170" t="s">
        <v>2151</v>
      </c>
      <c r="B1011" s="165" t="s">
        <v>838</v>
      </c>
      <c r="C1011" s="165" t="str">
        <f>IFERROR(VLOOKUP($A1011,작성용!A:AL,14,0),"-")</f>
        <v>-</v>
      </c>
      <c r="D1011" s="169" t="s">
        <v>6384</v>
      </c>
      <c r="E1011" s="167" t="str">
        <f>IFERROR(VLOOKUP(A1011,작성용!A:AL,34,0),"-")</f>
        <v>-</v>
      </c>
      <c r="F1011" s="168" t="s">
        <v>6381</v>
      </c>
      <c r="G1011" s="179">
        <f>COUNTIF(작성용!A:B,$A1011)-COUNTIFS(작성용!A:A,$A1011,작성용!AA:AA,"평가철회")</f>
        <v>0</v>
      </c>
    </row>
    <row r="1012" spans="1:7" ht="16.5" customHeight="1" x14ac:dyDescent="0.3">
      <c r="A1012" s="170" t="s">
        <v>2152</v>
      </c>
      <c r="B1012" s="165" t="s">
        <v>939</v>
      </c>
      <c r="C1012" s="165" t="str">
        <f>IFERROR(VLOOKUP($A1012,작성용!A:AL,14,0),"-")</f>
        <v>년</v>
      </c>
      <c r="D1012" s="169" t="s">
        <v>6377</v>
      </c>
      <c r="E1012" s="167" t="str">
        <f>IFERROR(VLOOKUP(A1012,작성용!A:AL,34,0),"-")</f>
        <v>서동현</v>
      </c>
      <c r="F1012" s="168" t="s">
        <v>6378</v>
      </c>
      <c r="G1012" s="179">
        <f>COUNTIF(작성용!A:B,$A1012)-COUNTIFS(작성용!A:A,$A1012,작성용!AA:AA,"평가철회")</f>
        <v>3</v>
      </c>
    </row>
    <row r="1013" spans="1:7" ht="16.5" customHeight="1" x14ac:dyDescent="0.3">
      <c r="A1013" s="170" t="s">
        <v>2153</v>
      </c>
      <c r="B1013" s="165" t="s">
        <v>2154</v>
      </c>
      <c r="C1013" s="165" t="str">
        <f>IFERROR(VLOOKUP($A1013,작성용!A:AL,14,0),"-")</f>
        <v>-</v>
      </c>
      <c r="D1013" s="169" t="s">
        <v>556</v>
      </c>
      <c r="E1013" s="167" t="str">
        <f>IFERROR(VLOOKUP(A1013,작성용!A:AL,34,0),"-")</f>
        <v>-</v>
      </c>
      <c r="F1013" s="168" t="s">
        <v>2</v>
      </c>
      <c r="G1013" s="179">
        <f>COUNTIF(작성용!A:B,$A1013)-COUNTIFS(작성용!A:A,$A1013,작성용!AA:AA,"평가철회")</f>
        <v>0</v>
      </c>
    </row>
    <row r="1014" spans="1:7" ht="16.5" customHeight="1" x14ac:dyDescent="0.3">
      <c r="A1014" s="170" t="s">
        <v>2155</v>
      </c>
      <c r="B1014" s="165" t="s">
        <v>2156</v>
      </c>
      <c r="C1014" s="165" t="str">
        <f>IFERROR(VLOOKUP($A1014,작성용!A:AL,14,0),"-")</f>
        <v>-</v>
      </c>
      <c r="D1014" s="169" t="s">
        <v>6312</v>
      </c>
      <c r="E1014" s="167" t="str">
        <f>IFERROR(VLOOKUP(A1014,작성용!A:AL,34,0),"-")</f>
        <v>-</v>
      </c>
      <c r="F1014" s="168" t="s">
        <v>6378</v>
      </c>
      <c r="G1014" s="179">
        <f>COUNTIF(작성용!A:B,$A1014)-COUNTIFS(작성용!A:A,$A1014,작성용!AA:AA,"평가철회")</f>
        <v>0</v>
      </c>
    </row>
    <row r="1015" spans="1:7" ht="16.5" customHeight="1" x14ac:dyDescent="0.3">
      <c r="A1015" s="170" t="s">
        <v>2157</v>
      </c>
      <c r="B1015" s="165" t="s">
        <v>2158</v>
      </c>
      <c r="C1015" s="165" t="str">
        <f>IFERROR(VLOOKUP($A1015,작성용!A:AL,14,0),"-")</f>
        <v>-</v>
      </c>
      <c r="D1015" s="169" t="s">
        <v>6500</v>
      </c>
      <c r="E1015" s="167" t="str">
        <f>IFERROR(VLOOKUP(A1015,작성용!A:AL,34,0),"-")</f>
        <v>-</v>
      </c>
      <c r="F1015" s="168" t="s">
        <v>6381</v>
      </c>
      <c r="G1015" s="179">
        <f>COUNTIF(작성용!A:B,$A1015)-COUNTIFS(작성용!A:A,$A1015,작성용!AA:AA,"평가철회")</f>
        <v>0</v>
      </c>
    </row>
    <row r="1016" spans="1:7" ht="16.5" customHeight="1" x14ac:dyDescent="0.3">
      <c r="A1016" s="170" t="s">
        <v>2159</v>
      </c>
      <c r="B1016" s="165" t="s">
        <v>6501</v>
      </c>
      <c r="C1016" s="165" t="str">
        <f>IFERROR(VLOOKUP($A1016,작성용!A:AL,14,0),"-")</f>
        <v>-</v>
      </c>
      <c r="D1016" s="169" t="s">
        <v>6299</v>
      </c>
      <c r="E1016" s="167" t="str">
        <f>IFERROR(VLOOKUP(A1016,작성용!A:AL,34,0),"-")</f>
        <v>-</v>
      </c>
      <c r="F1016" s="168" t="s">
        <v>6378</v>
      </c>
      <c r="G1016" s="179">
        <f>COUNTIF(작성용!A:B,$A1016)-COUNTIFS(작성용!A:A,$A1016,작성용!AA:AA,"평가철회")</f>
        <v>0</v>
      </c>
    </row>
    <row r="1017" spans="1:7" ht="16.5" customHeight="1" x14ac:dyDescent="0.3">
      <c r="A1017" s="170" t="s">
        <v>2160</v>
      </c>
      <c r="B1017" s="165" t="s">
        <v>2161</v>
      </c>
      <c r="C1017" s="165" t="str">
        <f>IFERROR(VLOOKUP($A1017,작성용!A:AL,14,0),"-")</f>
        <v>-</v>
      </c>
      <c r="D1017" s="169" t="s">
        <v>336</v>
      </c>
      <c r="E1017" s="167" t="str">
        <f>IFERROR(VLOOKUP(A1017,작성용!A:AL,34,0),"-")</f>
        <v>-</v>
      </c>
      <c r="F1017" s="168" t="s">
        <v>2</v>
      </c>
      <c r="G1017" s="179">
        <f>COUNTIF(작성용!A:B,$A1017)-COUNTIFS(작성용!A:A,$A1017,작성용!AA:AA,"평가철회")</f>
        <v>0</v>
      </c>
    </row>
    <row r="1018" spans="1:7" ht="16.5" customHeight="1" x14ac:dyDescent="0.3">
      <c r="A1018" s="170" t="s">
        <v>2162</v>
      </c>
      <c r="B1018" s="165" t="s">
        <v>2163</v>
      </c>
      <c r="C1018" s="165" t="str">
        <f>IFERROR(VLOOKUP($A1018,작성용!A:AL,14,0),"-")</f>
        <v>-</v>
      </c>
      <c r="D1018" s="169" t="s">
        <v>6485</v>
      </c>
      <c r="E1018" s="167" t="str">
        <f>IFERROR(VLOOKUP(A1018,작성용!A:AL,34,0),"-")</f>
        <v>-</v>
      </c>
      <c r="F1018" s="168" t="s">
        <v>6382</v>
      </c>
      <c r="G1018" s="179">
        <f>COUNTIF(작성용!A:B,$A1018)-COUNTIFS(작성용!A:A,$A1018,작성용!AA:AA,"평가철회")</f>
        <v>0</v>
      </c>
    </row>
    <row r="1019" spans="1:7" ht="16.5" customHeight="1" x14ac:dyDescent="0.3">
      <c r="A1019" s="170" t="s">
        <v>2164</v>
      </c>
      <c r="B1019" s="165" t="s">
        <v>2165</v>
      </c>
      <c r="C1019" s="165" t="str">
        <f>IFERROR(VLOOKUP($A1019,작성용!A:AL,14,0),"-")</f>
        <v>-</v>
      </c>
      <c r="D1019" s="169" t="s">
        <v>6383</v>
      </c>
      <c r="E1019" s="167" t="str">
        <f>IFERROR(VLOOKUP(A1019,작성용!A:AL,34,0),"-")</f>
        <v>-</v>
      </c>
      <c r="F1019" s="168" t="s">
        <v>6381</v>
      </c>
      <c r="G1019" s="179">
        <f>COUNTIF(작성용!A:B,$A1019)-COUNTIFS(작성용!A:A,$A1019,작성용!AA:AA,"평가철회")</f>
        <v>0</v>
      </c>
    </row>
    <row r="1020" spans="1:7" ht="16.5" customHeight="1" x14ac:dyDescent="0.3">
      <c r="A1020" s="170" t="s">
        <v>2166</v>
      </c>
      <c r="B1020" s="165" t="s">
        <v>2167</v>
      </c>
      <c r="C1020" s="165" t="str">
        <f>IFERROR(VLOOKUP($A1020,작성용!A:AL,14,0),"-")</f>
        <v>-</v>
      </c>
      <c r="D1020" s="169" t="s">
        <v>6437</v>
      </c>
      <c r="E1020" s="167" t="str">
        <f>IFERROR(VLOOKUP(A1020,작성용!A:AL,34,0),"-")</f>
        <v>-</v>
      </c>
      <c r="F1020" s="168" t="s">
        <v>6382</v>
      </c>
      <c r="G1020" s="179">
        <f>COUNTIF(작성용!A:B,$A1020)-COUNTIFS(작성용!A:A,$A1020,작성용!AA:AA,"평가철회")</f>
        <v>0</v>
      </c>
    </row>
    <row r="1021" spans="1:7" ht="16.5" customHeight="1" x14ac:dyDescent="0.3">
      <c r="A1021" s="170" t="s">
        <v>2168</v>
      </c>
      <c r="B1021" s="165" t="s">
        <v>2169</v>
      </c>
      <c r="C1021" s="165" t="str">
        <f>IFERROR(VLOOKUP($A1021,작성용!A:AL,14,0),"-")</f>
        <v>-</v>
      </c>
      <c r="D1021" s="169" t="s">
        <v>336</v>
      </c>
      <c r="E1021" s="167" t="str">
        <f>IFERROR(VLOOKUP(A1021,작성용!A:AL,34,0),"-")</f>
        <v>-</v>
      </c>
      <c r="F1021" s="168" t="s">
        <v>2</v>
      </c>
      <c r="G1021" s="179">
        <f>COUNTIF(작성용!A:B,$A1021)-COUNTIFS(작성용!A:A,$A1021,작성용!AA:AA,"평가철회")</f>
        <v>0</v>
      </c>
    </row>
    <row r="1022" spans="1:7" ht="16.5" customHeight="1" x14ac:dyDescent="0.3">
      <c r="A1022" s="170" t="s">
        <v>2170</v>
      </c>
      <c r="B1022" s="165" t="s">
        <v>2171</v>
      </c>
      <c r="C1022" s="165" t="str">
        <f>IFERROR(VLOOKUP($A1022,작성용!A:AL,14,0),"-")</f>
        <v>-</v>
      </c>
      <c r="D1022" s="169" t="s">
        <v>640</v>
      </c>
      <c r="E1022" s="167" t="str">
        <f>IFERROR(VLOOKUP(A1022,작성용!A:AL,34,0),"-")</f>
        <v>-</v>
      </c>
      <c r="F1022" s="168" t="s">
        <v>6380</v>
      </c>
      <c r="G1022" s="179">
        <f>COUNTIF(작성용!A:B,$A1022)-COUNTIFS(작성용!A:A,$A1022,작성용!AA:AA,"평가철회")</f>
        <v>0</v>
      </c>
    </row>
    <row r="1023" spans="1:7" ht="16.5" customHeight="1" x14ac:dyDescent="0.3">
      <c r="A1023" s="170" t="s">
        <v>2172</v>
      </c>
      <c r="B1023" s="165" t="s">
        <v>2173</v>
      </c>
      <c r="C1023" s="165" t="str">
        <f>IFERROR(VLOOKUP($A1023,작성용!A:AL,14,0),"-")</f>
        <v>-</v>
      </c>
      <c r="D1023" s="169" t="s">
        <v>71</v>
      </c>
      <c r="E1023" s="167" t="str">
        <f>IFERROR(VLOOKUP(A1023,작성용!A:AL,34,0),"-")</f>
        <v>-</v>
      </c>
      <c r="F1023" s="168" t="s">
        <v>2</v>
      </c>
      <c r="G1023" s="179">
        <f>COUNTIF(작성용!A:B,$A1023)-COUNTIFS(작성용!A:A,$A1023,작성용!AA:AA,"평가철회")</f>
        <v>0</v>
      </c>
    </row>
    <row r="1024" spans="1:7" ht="16.5" customHeight="1" x14ac:dyDescent="0.3">
      <c r="A1024" s="170" t="s">
        <v>2174</v>
      </c>
      <c r="B1024" s="165" t="s">
        <v>2175</v>
      </c>
      <c r="C1024" s="165" t="str">
        <f>IFERROR(VLOOKUP($A1024,작성용!A:AL,14,0),"-")</f>
        <v>-</v>
      </c>
      <c r="D1024" s="169" t="s">
        <v>2176</v>
      </c>
      <c r="E1024" s="167" t="str">
        <f>IFERROR(VLOOKUP(A1024,작성용!A:AL,34,0),"-")</f>
        <v>-</v>
      </c>
      <c r="F1024" s="168" t="s">
        <v>6382</v>
      </c>
      <c r="G1024" s="179">
        <f>COUNTIF(작성용!A:B,$A1024)-COUNTIFS(작성용!A:A,$A1024,작성용!AA:AA,"평가철회")</f>
        <v>0</v>
      </c>
    </row>
    <row r="1025" spans="1:7" ht="16.5" customHeight="1" x14ac:dyDescent="0.3">
      <c r="A1025" s="170" t="s">
        <v>2177</v>
      </c>
      <c r="B1025" s="165" t="s">
        <v>2178</v>
      </c>
      <c r="C1025" s="165" t="str">
        <f>IFERROR(VLOOKUP($A1025,작성용!A:AL,14,0),"-")</f>
        <v>-</v>
      </c>
      <c r="D1025" s="169" t="s">
        <v>1854</v>
      </c>
      <c r="E1025" s="167" t="str">
        <f>IFERROR(VLOOKUP(A1025,작성용!A:AL,34,0),"-")</f>
        <v>-</v>
      </c>
      <c r="F1025" s="168" t="s">
        <v>2</v>
      </c>
      <c r="G1025" s="179">
        <f>COUNTIF(작성용!A:B,$A1025)-COUNTIFS(작성용!A:A,$A1025,작성용!AA:AA,"평가철회")</f>
        <v>0</v>
      </c>
    </row>
    <row r="1026" spans="1:7" ht="16.5" customHeight="1" x14ac:dyDescent="0.3">
      <c r="A1026" s="170" t="s">
        <v>2179</v>
      </c>
      <c r="B1026" s="165" t="s">
        <v>2180</v>
      </c>
      <c r="C1026" s="165" t="str">
        <f>IFERROR(VLOOKUP($A1026,작성용!A:AL,14,0),"-")</f>
        <v>-</v>
      </c>
      <c r="D1026" s="169" t="s">
        <v>6386</v>
      </c>
      <c r="E1026" s="167" t="str">
        <f>IFERROR(VLOOKUP(A1026,작성용!A:AL,34,0),"-")</f>
        <v>-</v>
      </c>
      <c r="F1026" s="168" t="s">
        <v>6378</v>
      </c>
      <c r="G1026" s="179">
        <f>COUNTIF(작성용!A:B,$A1026)-COUNTIFS(작성용!A:A,$A1026,작성용!AA:AA,"평가철회")</f>
        <v>0</v>
      </c>
    </row>
    <row r="1027" spans="1:7" ht="16.5" customHeight="1" x14ac:dyDescent="0.3">
      <c r="A1027" s="170" t="s">
        <v>2181</v>
      </c>
      <c r="B1027" s="165" t="s">
        <v>2182</v>
      </c>
      <c r="C1027" s="165" t="str">
        <f>IFERROR(VLOOKUP($A1027,작성용!A:AL,14,0),"-")</f>
        <v>-</v>
      </c>
      <c r="D1027" s="169" t="s">
        <v>6384</v>
      </c>
      <c r="E1027" s="167" t="str">
        <f>IFERROR(VLOOKUP(A1027,작성용!A:AL,34,0),"-")</f>
        <v>-</v>
      </c>
      <c r="F1027" s="168" t="s">
        <v>6382</v>
      </c>
      <c r="G1027" s="179">
        <f>COUNTIF(작성용!A:B,$A1027)-COUNTIFS(작성용!A:A,$A1027,작성용!AA:AA,"평가철회")</f>
        <v>0</v>
      </c>
    </row>
    <row r="1028" spans="1:7" ht="16.5" customHeight="1" x14ac:dyDescent="0.3">
      <c r="A1028" s="170" t="s">
        <v>2183</v>
      </c>
      <c r="B1028" s="165" t="s">
        <v>2184</v>
      </c>
      <c r="C1028" s="165" t="str">
        <f>IFERROR(VLOOKUP($A1028,작성용!A:AL,14,0),"-")</f>
        <v>-</v>
      </c>
      <c r="D1028" s="169" t="s">
        <v>495</v>
      </c>
      <c r="E1028" s="167" t="str">
        <f>IFERROR(VLOOKUP(A1028,작성용!A:AL,34,0),"-")</f>
        <v>-</v>
      </c>
      <c r="F1028" s="168" t="s">
        <v>2</v>
      </c>
      <c r="G1028" s="179">
        <f>COUNTIF(작성용!A:B,$A1028)-COUNTIFS(작성용!A:A,$A1028,작성용!AA:AA,"평가철회")</f>
        <v>0</v>
      </c>
    </row>
    <row r="1029" spans="1:7" ht="16.5" customHeight="1" x14ac:dyDescent="0.3">
      <c r="A1029" s="170" t="s">
        <v>2185</v>
      </c>
      <c r="B1029" s="165" t="s">
        <v>2186</v>
      </c>
      <c r="C1029" s="165" t="str">
        <f>IFERROR(VLOOKUP($A1029,작성용!A:AL,14,0),"-")</f>
        <v>-</v>
      </c>
      <c r="D1029" s="169" t="s">
        <v>336</v>
      </c>
      <c r="E1029" s="167" t="str">
        <f>IFERROR(VLOOKUP(A1029,작성용!A:AL,34,0),"-")</f>
        <v>-</v>
      </c>
      <c r="F1029" s="168" t="s">
        <v>2</v>
      </c>
      <c r="G1029" s="179">
        <f>COUNTIF(작성용!A:B,$A1029)-COUNTIFS(작성용!A:A,$A1029,작성용!AA:AA,"평가철회")</f>
        <v>0</v>
      </c>
    </row>
    <row r="1030" spans="1:7" ht="16.5" customHeight="1" x14ac:dyDescent="0.3">
      <c r="A1030" s="170" t="s">
        <v>2187</v>
      </c>
      <c r="B1030" s="165" t="s">
        <v>2188</v>
      </c>
      <c r="C1030" s="165" t="str">
        <f>IFERROR(VLOOKUP($A1030,작성용!A:AL,14,0),"-")</f>
        <v>분기</v>
      </c>
      <c r="D1030" s="169" t="s">
        <v>6375</v>
      </c>
      <c r="E1030" s="167" t="str">
        <f>IFERROR(VLOOKUP(A1030,작성용!A:AL,34,0),"-")</f>
        <v>백형진</v>
      </c>
      <c r="F1030" s="168" t="s">
        <v>6378</v>
      </c>
      <c r="G1030" s="179">
        <f>COUNTIF(작성용!A:B,$A1030)-COUNTIFS(작성용!A:A,$A1030,작성용!AA:AA,"평가철회")</f>
        <v>34</v>
      </c>
    </row>
    <row r="1031" spans="1:7" ht="16.5" customHeight="1" x14ac:dyDescent="0.3">
      <c r="A1031" s="170" t="s">
        <v>2189</v>
      </c>
      <c r="B1031" s="165" t="s">
        <v>2190</v>
      </c>
      <c r="C1031" s="165" t="str">
        <f>IFERROR(VLOOKUP($A1031,작성용!A:AL,14,0),"-")</f>
        <v>-</v>
      </c>
      <c r="D1031" s="169" t="s">
        <v>656</v>
      </c>
      <c r="E1031" s="167" t="str">
        <f>IFERROR(VLOOKUP(A1031,작성용!A:AL,34,0),"-")</f>
        <v>-</v>
      </c>
      <c r="F1031" s="168" t="s">
        <v>2</v>
      </c>
      <c r="G1031" s="179">
        <f>COUNTIF(작성용!A:B,$A1031)-COUNTIFS(작성용!A:A,$A1031,작성용!AA:AA,"평가철회")</f>
        <v>0</v>
      </c>
    </row>
    <row r="1032" spans="1:7" ht="16.5" customHeight="1" x14ac:dyDescent="0.3">
      <c r="A1032" s="170" t="s">
        <v>2191</v>
      </c>
      <c r="B1032" s="165" t="s">
        <v>2192</v>
      </c>
      <c r="C1032" s="165" t="str">
        <f>IFERROR(VLOOKUP($A1032,작성용!A:AL,14,0),"-")</f>
        <v>-</v>
      </c>
      <c r="D1032" s="169" t="s">
        <v>492</v>
      </c>
      <c r="E1032" s="167" t="str">
        <f>IFERROR(VLOOKUP(A1032,작성용!A:AL,34,0),"-")</f>
        <v>-</v>
      </c>
      <c r="F1032" s="168" t="s">
        <v>2</v>
      </c>
      <c r="G1032" s="179">
        <f>COUNTIF(작성용!A:B,$A1032)-COUNTIFS(작성용!A:A,$A1032,작성용!AA:AA,"평가철회")</f>
        <v>0</v>
      </c>
    </row>
    <row r="1033" spans="1:7" ht="16.5" customHeight="1" x14ac:dyDescent="0.3">
      <c r="A1033" s="170" t="s">
        <v>2193</v>
      </c>
      <c r="B1033" s="165" t="s">
        <v>2194</v>
      </c>
      <c r="C1033" s="165" t="str">
        <f>IFERROR(VLOOKUP($A1033,작성용!A:AL,14,0),"-")</f>
        <v>-</v>
      </c>
      <c r="D1033" s="169" t="s">
        <v>6325</v>
      </c>
      <c r="E1033" s="167" t="str">
        <f>IFERROR(VLOOKUP(A1033,작성용!A:AL,34,0),"-")</f>
        <v>-</v>
      </c>
      <c r="F1033" s="168" t="s">
        <v>6270</v>
      </c>
      <c r="G1033" s="179">
        <f>COUNTIF(작성용!A:B,$A1033)-COUNTIFS(작성용!A:A,$A1033,작성용!AA:AA,"평가철회")</f>
        <v>0</v>
      </c>
    </row>
    <row r="1034" spans="1:7" ht="16.5" customHeight="1" x14ac:dyDescent="0.3">
      <c r="A1034" s="170" t="s">
        <v>2195</v>
      </c>
      <c r="B1034" s="165" t="s">
        <v>2196</v>
      </c>
      <c r="C1034" s="165" t="str">
        <f>IFERROR(VLOOKUP($A1034,작성용!A:AL,14,0),"-")</f>
        <v>-</v>
      </c>
      <c r="D1034" s="169" t="s">
        <v>6320</v>
      </c>
      <c r="E1034" s="167" t="str">
        <f>IFERROR(VLOOKUP(A1034,작성용!A:AL,34,0),"-")</f>
        <v>-</v>
      </c>
      <c r="F1034" s="168" t="s">
        <v>6304</v>
      </c>
      <c r="G1034" s="179">
        <f>COUNTIF(작성용!A:B,$A1034)-COUNTIFS(작성용!A:A,$A1034,작성용!AA:AA,"평가철회")</f>
        <v>0</v>
      </c>
    </row>
    <row r="1035" spans="1:7" ht="16.5" customHeight="1" x14ac:dyDescent="0.3">
      <c r="A1035" s="170" t="s">
        <v>2197</v>
      </c>
      <c r="B1035" s="165" t="s">
        <v>2198</v>
      </c>
      <c r="C1035" s="165" t="str">
        <f>IFERROR(VLOOKUP($A1035,작성용!A:AL,14,0),"-")</f>
        <v>-</v>
      </c>
      <c r="D1035" s="169" t="s">
        <v>498</v>
      </c>
      <c r="E1035" s="167" t="str">
        <f>IFERROR(VLOOKUP(A1035,작성용!A:AL,34,0),"-")</f>
        <v>-</v>
      </c>
      <c r="F1035" s="168" t="s">
        <v>2</v>
      </c>
      <c r="G1035" s="179">
        <f>COUNTIF(작성용!A:B,$A1035)-COUNTIFS(작성용!A:A,$A1035,작성용!AA:AA,"평가철회")</f>
        <v>0</v>
      </c>
    </row>
    <row r="1036" spans="1:7" ht="16.5" customHeight="1" x14ac:dyDescent="0.3">
      <c r="A1036" s="170" t="s">
        <v>12</v>
      </c>
      <c r="B1036" s="165" t="s">
        <v>6502</v>
      </c>
      <c r="C1036" s="165" t="str">
        <f>IFERROR(VLOOKUP($A1036,작성용!A:AL,14,0),"-")</f>
        <v>-</v>
      </c>
      <c r="D1036" s="169" t="s">
        <v>6498</v>
      </c>
      <c r="E1036" s="167" t="str">
        <f>IFERROR(VLOOKUP(A1036,작성용!A:AL,34,0),"-")</f>
        <v>-</v>
      </c>
      <c r="F1036" s="168" t="s">
        <v>6381</v>
      </c>
      <c r="G1036" s="179">
        <f>COUNTIF(작성용!A:B,$A1036)-COUNTIFS(작성용!A:A,$A1036,작성용!AA:AA,"평가철회")</f>
        <v>0</v>
      </c>
    </row>
    <row r="1037" spans="1:7" ht="16.5" customHeight="1" x14ac:dyDescent="0.3">
      <c r="A1037" s="170" t="s">
        <v>2199</v>
      </c>
      <c r="B1037" s="165" t="s">
        <v>2200</v>
      </c>
      <c r="C1037" s="165" t="str">
        <f>IFERROR(VLOOKUP($A1037,작성용!A:AL,14,0),"-")</f>
        <v>-</v>
      </c>
      <c r="D1037" s="169" t="s">
        <v>2201</v>
      </c>
      <c r="E1037" s="167" t="str">
        <f>IFERROR(VLOOKUP(A1037,작성용!A:AL,34,0),"-")</f>
        <v>-</v>
      </c>
      <c r="F1037" s="168" t="s">
        <v>2</v>
      </c>
      <c r="G1037" s="179">
        <f>COUNTIF(작성용!A:B,$A1037)-COUNTIFS(작성용!A:A,$A1037,작성용!AA:AA,"평가철회")</f>
        <v>0</v>
      </c>
    </row>
    <row r="1038" spans="1:7" ht="16.5" customHeight="1" x14ac:dyDescent="0.3">
      <c r="A1038" s="170" t="s">
        <v>2202</v>
      </c>
      <c r="B1038" s="165" t="s">
        <v>2203</v>
      </c>
      <c r="C1038" s="165" t="str">
        <f>IFERROR(VLOOKUP($A1038,작성용!A:AL,14,0),"-")</f>
        <v>분기</v>
      </c>
      <c r="D1038" s="169" t="s">
        <v>6379</v>
      </c>
      <c r="E1038" s="167" t="str">
        <f>IFERROR(VLOOKUP(A1038,작성용!A:AL,34,0),"-")</f>
        <v>강승현</v>
      </c>
      <c r="F1038" s="168" t="s">
        <v>6380</v>
      </c>
      <c r="G1038" s="179">
        <f>COUNTIF(작성용!A:B,$A1038)-COUNTIFS(작성용!A:A,$A1038,작성용!AA:AA,"평가철회")</f>
        <v>37</v>
      </c>
    </row>
    <row r="1039" spans="1:7" ht="16.5" customHeight="1" x14ac:dyDescent="0.3">
      <c r="A1039" s="170" t="s">
        <v>2204</v>
      </c>
      <c r="B1039" s="165" t="s">
        <v>2205</v>
      </c>
      <c r="C1039" s="165" t="str">
        <f>IFERROR(VLOOKUP($A1039,작성용!A:AL,14,0),"-")</f>
        <v>-</v>
      </c>
      <c r="D1039" s="169" t="s">
        <v>6281</v>
      </c>
      <c r="E1039" s="167" t="str">
        <f>IFERROR(VLOOKUP(A1039,작성용!A:AL,34,0),"-")</f>
        <v>-</v>
      </c>
      <c r="F1039" s="168" t="s">
        <v>2</v>
      </c>
      <c r="G1039" s="179">
        <f>COUNTIF(작성용!A:B,$A1039)-COUNTIFS(작성용!A:A,$A1039,작성용!AA:AA,"평가철회")</f>
        <v>0</v>
      </c>
    </row>
    <row r="1040" spans="1:7" ht="16.5" customHeight="1" x14ac:dyDescent="0.3">
      <c r="A1040" s="170" t="s">
        <v>2206</v>
      </c>
      <c r="B1040" s="165" t="s">
        <v>2207</v>
      </c>
      <c r="C1040" s="165" t="str">
        <f>IFERROR(VLOOKUP($A1040,작성용!A:AL,14,0),"-")</f>
        <v>-</v>
      </c>
      <c r="D1040" s="169" t="s">
        <v>247</v>
      </c>
      <c r="E1040" s="167" t="str">
        <f>IFERROR(VLOOKUP(A1040,작성용!A:AL,34,0),"-")</f>
        <v>-</v>
      </c>
      <c r="F1040" s="168" t="s">
        <v>2</v>
      </c>
      <c r="G1040" s="179">
        <f>COUNTIF(작성용!A:B,$A1040)-COUNTIFS(작성용!A:A,$A1040,작성용!AA:AA,"평가철회")</f>
        <v>0</v>
      </c>
    </row>
    <row r="1041" spans="1:7" ht="16.5" customHeight="1" x14ac:dyDescent="0.3">
      <c r="A1041" s="170" t="s">
        <v>2208</v>
      </c>
      <c r="B1041" s="165" t="s">
        <v>2209</v>
      </c>
      <c r="C1041" s="165" t="str">
        <f>IFERROR(VLOOKUP($A1041,작성용!A:AL,14,0),"-")</f>
        <v>-</v>
      </c>
      <c r="D1041" s="169" t="s">
        <v>635</v>
      </c>
      <c r="E1041" s="167" t="str">
        <f>IFERROR(VLOOKUP(A1041,작성용!A:AL,34,0),"-")</f>
        <v>-</v>
      </c>
      <c r="F1041" s="168" t="s">
        <v>2</v>
      </c>
      <c r="G1041" s="179">
        <f>COUNTIF(작성용!A:B,$A1041)-COUNTIFS(작성용!A:A,$A1041,작성용!AA:AA,"평가철회")</f>
        <v>0</v>
      </c>
    </row>
    <row r="1042" spans="1:7" ht="16.5" customHeight="1" x14ac:dyDescent="0.3">
      <c r="A1042" s="170" t="s">
        <v>2210</v>
      </c>
      <c r="B1042" s="165" t="s">
        <v>2211</v>
      </c>
      <c r="C1042" s="165" t="str">
        <f>IFERROR(VLOOKUP($A1042,작성용!A:AL,14,0),"-")</f>
        <v>-</v>
      </c>
      <c r="D1042" s="169" t="s">
        <v>521</v>
      </c>
      <c r="E1042" s="167" t="str">
        <f>IFERROR(VLOOKUP(A1042,작성용!A:AL,34,0),"-")</f>
        <v>-</v>
      </c>
      <c r="F1042" s="168" t="s">
        <v>2</v>
      </c>
      <c r="G1042" s="179">
        <f>COUNTIF(작성용!A:B,$A1042)-COUNTIFS(작성용!A:A,$A1042,작성용!AA:AA,"평가철회")</f>
        <v>0</v>
      </c>
    </row>
    <row r="1043" spans="1:7" ht="16.5" customHeight="1" x14ac:dyDescent="0.3">
      <c r="A1043" s="170" t="s">
        <v>2212</v>
      </c>
      <c r="B1043" s="165" t="s">
        <v>2213</v>
      </c>
      <c r="C1043" s="165" t="str">
        <f>IFERROR(VLOOKUP($A1043,작성용!A:AL,14,0),"-")</f>
        <v>-</v>
      </c>
      <c r="D1043" s="169" t="s">
        <v>2</v>
      </c>
      <c r="E1043" s="167" t="str">
        <f>IFERROR(VLOOKUP(A1043,작성용!A:AL,34,0),"-")</f>
        <v>-</v>
      </c>
      <c r="F1043" s="168" t="s">
        <v>6378</v>
      </c>
      <c r="G1043" s="179">
        <f>COUNTIF(작성용!A:B,$A1043)-COUNTIFS(작성용!A:A,$A1043,작성용!AA:AA,"평가철회")</f>
        <v>0</v>
      </c>
    </row>
    <row r="1044" spans="1:7" ht="16.5" customHeight="1" x14ac:dyDescent="0.3">
      <c r="A1044" s="170" t="s">
        <v>2214</v>
      </c>
      <c r="B1044" s="165" t="s">
        <v>2215</v>
      </c>
      <c r="C1044" s="165" t="str">
        <f>IFERROR(VLOOKUP($A1044,작성용!A:AL,14,0),"-")</f>
        <v>-</v>
      </c>
      <c r="D1044" s="169" t="s">
        <v>6388</v>
      </c>
      <c r="E1044" s="167" t="str">
        <f>IFERROR(VLOOKUP(A1044,작성용!A:AL,34,0),"-")</f>
        <v>-</v>
      </c>
      <c r="F1044" s="168" t="s">
        <v>6378</v>
      </c>
      <c r="G1044" s="179">
        <f>COUNTIF(작성용!A:B,$A1044)-COUNTIFS(작성용!A:A,$A1044,작성용!AA:AA,"평가철회")</f>
        <v>0</v>
      </c>
    </row>
    <row r="1045" spans="1:7" ht="16.5" customHeight="1" x14ac:dyDescent="0.3">
      <c r="A1045" s="170" t="s">
        <v>2216</v>
      </c>
      <c r="B1045" s="165" t="s">
        <v>2217</v>
      </c>
      <c r="C1045" s="165" t="str">
        <f>IFERROR(VLOOKUP($A1045,작성용!A:AL,14,0),"-")</f>
        <v>-</v>
      </c>
      <c r="D1045" s="169" t="s">
        <v>6503</v>
      </c>
      <c r="E1045" s="167" t="str">
        <f>IFERROR(VLOOKUP(A1045,작성용!A:AL,34,0),"-")</f>
        <v>-</v>
      </c>
      <c r="F1045" s="168" t="s">
        <v>2</v>
      </c>
      <c r="G1045" s="179">
        <f>COUNTIF(작성용!A:B,$A1045)-COUNTIFS(작성용!A:A,$A1045,작성용!AA:AA,"평가철회")</f>
        <v>0</v>
      </c>
    </row>
    <row r="1046" spans="1:7" ht="16.5" customHeight="1" x14ac:dyDescent="0.3">
      <c r="A1046" s="170" t="s">
        <v>2218</v>
      </c>
      <c r="B1046" s="165" t="s">
        <v>2219</v>
      </c>
      <c r="C1046" s="165" t="str">
        <f>IFERROR(VLOOKUP($A1046,작성용!A:AL,14,0),"-")</f>
        <v>-</v>
      </c>
      <c r="D1046" s="169" t="s">
        <v>2220</v>
      </c>
      <c r="E1046" s="167" t="str">
        <f>IFERROR(VLOOKUP(A1046,작성용!A:AL,34,0),"-")</f>
        <v>-</v>
      </c>
      <c r="F1046" s="168" t="s">
        <v>2</v>
      </c>
      <c r="G1046" s="179">
        <f>COUNTIF(작성용!A:B,$A1046)-COUNTIFS(작성용!A:A,$A1046,작성용!AA:AA,"평가철회")</f>
        <v>0</v>
      </c>
    </row>
    <row r="1047" spans="1:7" ht="16.5" customHeight="1" x14ac:dyDescent="0.3">
      <c r="A1047" s="170" t="s">
        <v>2221</v>
      </c>
      <c r="B1047" s="165" t="s">
        <v>2222</v>
      </c>
      <c r="C1047" s="165" t="str">
        <f>IFERROR(VLOOKUP($A1047,작성용!A:AL,14,0),"-")</f>
        <v>년</v>
      </c>
      <c r="D1047" s="169" t="s">
        <v>6383</v>
      </c>
      <c r="E1047" s="167" t="str">
        <f>IFERROR(VLOOKUP(A1047,작성용!A:AL,34,0),"-")</f>
        <v>강성은</v>
      </c>
      <c r="F1047" s="168" t="s">
        <v>6381</v>
      </c>
      <c r="G1047" s="179">
        <f>COUNTIF(작성용!A:B,$A1047)-COUNTIFS(작성용!A:A,$A1047,작성용!AA:AA,"평가철회")</f>
        <v>41</v>
      </c>
    </row>
    <row r="1048" spans="1:7" ht="16.5" customHeight="1" x14ac:dyDescent="0.3">
      <c r="A1048" s="170" t="s">
        <v>2223</v>
      </c>
      <c r="B1048" s="165" t="s">
        <v>2224</v>
      </c>
      <c r="C1048" s="165" t="str">
        <f>IFERROR(VLOOKUP($A1048,작성용!A:AL,14,0),"-")</f>
        <v>분기</v>
      </c>
      <c r="D1048" s="169" t="s">
        <v>6464</v>
      </c>
      <c r="E1048" s="167" t="str">
        <f>IFERROR(VLOOKUP(A1048,작성용!A:AL,34,0),"-")</f>
        <v>이문수</v>
      </c>
      <c r="F1048" s="168" t="s">
        <v>6382</v>
      </c>
      <c r="G1048" s="179">
        <f>COUNTIF(작성용!A:B,$A1048)-COUNTIFS(작성용!A:A,$A1048,작성용!AA:AA,"평가철회")</f>
        <v>9</v>
      </c>
    </row>
    <row r="1049" spans="1:7" ht="16.5" customHeight="1" x14ac:dyDescent="0.3">
      <c r="A1049" s="170" t="s">
        <v>2225</v>
      </c>
      <c r="B1049" s="165" t="s">
        <v>1161</v>
      </c>
      <c r="C1049" s="165" t="str">
        <f>IFERROR(VLOOKUP($A1049,작성용!A:AL,14,0),"-")</f>
        <v>-</v>
      </c>
      <c r="D1049" s="169" t="s">
        <v>6436</v>
      </c>
      <c r="E1049" s="167" t="str">
        <f>IFERROR(VLOOKUP(A1049,작성용!A:AL,34,0),"-")</f>
        <v>-</v>
      </c>
      <c r="F1049" s="168" t="s">
        <v>6381</v>
      </c>
      <c r="G1049" s="179">
        <f>COUNTIF(작성용!A:B,$A1049)-COUNTIFS(작성용!A:A,$A1049,작성용!AA:AA,"평가철회")</f>
        <v>0</v>
      </c>
    </row>
    <row r="1050" spans="1:7" ht="16.5" customHeight="1" x14ac:dyDescent="0.3">
      <c r="A1050" s="170" t="s">
        <v>2226</v>
      </c>
      <c r="B1050" s="165" t="s">
        <v>2227</v>
      </c>
      <c r="C1050" s="165" t="str">
        <f>IFERROR(VLOOKUP($A1050,작성용!A:AL,14,0),"-")</f>
        <v>년</v>
      </c>
      <c r="D1050" s="169" t="s">
        <v>6439</v>
      </c>
      <c r="E1050" s="167" t="str">
        <f>IFERROR(VLOOKUP(A1050,작성용!A:AL,34,0),"-")</f>
        <v>오수현</v>
      </c>
      <c r="F1050" s="168" t="s">
        <v>6382</v>
      </c>
      <c r="G1050" s="179">
        <f>COUNTIF(작성용!A:B,$A1050)-COUNTIFS(작성용!A:A,$A1050,작성용!AA:AA,"평가철회")</f>
        <v>58</v>
      </c>
    </row>
    <row r="1051" spans="1:7" ht="16.5" customHeight="1" x14ac:dyDescent="0.3">
      <c r="A1051" s="170" t="s">
        <v>2228</v>
      </c>
      <c r="B1051" s="165" t="s">
        <v>2229</v>
      </c>
      <c r="C1051" s="165" t="str">
        <f>IFERROR(VLOOKUP($A1051,작성용!A:AL,14,0),"-")</f>
        <v>-</v>
      </c>
      <c r="D1051" s="169" t="s">
        <v>492</v>
      </c>
      <c r="E1051" s="167" t="str">
        <f>IFERROR(VLOOKUP(A1051,작성용!A:AL,34,0),"-")</f>
        <v>-</v>
      </c>
      <c r="F1051" s="168" t="s">
        <v>6382</v>
      </c>
      <c r="G1051" s="179">
        <f>COUNTIF(작성용!A:B,$A1051)-COUNTIFS(작성용!A:A,$A1051,작성용!AA:AA,"평가철회")</f>
        <v>0</v>
      </c>
    </row>
    <row r="1052" spans="1:7" ht="16.5" customHeight="1" x14ac:dyDescent="0.3">
      <c r="A1052" s="170" t="s">
        <v>2230</v>
      </c>
      <c r="B1052" s="165" t="s">
        <v>2231</v>
      </c>
      <c r="C1052" s="165" t="str">
        <f>IFERROR(VLOOKUP($A1052,작성용!A:AL,14,0),"-")</f>
        <v>-</v>
      </c>
      <c r="D1052" s="169" t="s">
        <v>74</v>
      </c>
      <c r="E1052" s="167" t="str">
        <f>IFERROR(VLOOKUP(A1052,작성용!A:AL,34,0),"-")</f>
        <v>-</v>
      </c>
      <c r="F1052" s="168" t="s">
        <v>2</v>
      </c>
      <c r="G1052" s="179">
        <f>COUNTIF(작성용!A:B,$A1052)-COUNTIFS(작성용!A:A,$A1052,작성용!AA:AA,"평가철회")</f>
        <v>0</v>
      </c>
    </row>
    <row r="1053" spans="1:7" ht="16.5" customHeight="1" x14ac:dyDescent="0.3">
      <c r="A1053" s="170" t="s">
        <v>2232</v>
      </c>
      <c r="B1053" s="165" t="s">
        <v>6504</v>
      </c>
      <c r="C1053" s="165" t="str">
        <f>IFERROR(VLOOKUP($A1053,작성용!A:AL,14,0),"-")</f>
        <v>-</v>
      </c>
      <c r="D1053" s="169" t="s">
        <v>6505</v>
      </c>
      <c r="E1053" s="167" t="str">
        <f>IFERROR(VLOOKUP(A1053,작성용!A:AL,34,0),"-")</f>
        <v>-</v>
      </c>
      <c r="F1053" s="168" t="s">
        <v>6378</v>
      </c>
      <c r="G1053" s="179">
        <f>COUNTIF(작성용!A:B,$A1053)-COUNTIFS(작성용!A:A,$A1053,작성용!AA:AA,"평가철회")</f>
        <v>0</v>
      </c>
    </row>
    <row r="1054" spans="1:7" ht="16.5" customHeight="1" x14ac:dyDescent="0.3">
      <c r="A1054" s="170" t="s">
        <v>2233</v>
      </c>
      <c r="B1054" s="165" t="s">
        <v>6506</v>
      </c>
      <c r="C1054" s="165" t="str">
        <f>IFERROR(VLOOKUP($A1054,작성용!A:AL,14,0),"-")</f>
        <v>-</v>
      </c>
      <c r="D1054" s="169" t="s">
        <v>6400</v>
      </c>
      <c r="E1054" s="167" t="str">
        <f>IFERROR(VLOOKUP(A1054,작성용!A:AL,34,0),"-")</f>
        <v>-</v>
      </c>
      <c r="F1054" s="168" t="s">
        <v>6382</v>
      </c>
      <c r="G1054" s="179">
        <f>COUNTIF(작성용!A:B,$A1054)-COUNTIFS(작성용!A:A,$A1054,작성용!AA:AA,"평가철회")</f>
        <v>0</v>
      </c>
    </row>
    <row r="1055" spans="1:7" ht="16.5" customHeight="1" x14ac:dyDescent="0.3">
      <c r="A1055" s="170" t="s">
        <v>2234</v>
      </c>
      <c r="B1055" s="165" t="s">
        <v>2235</v>
      </c>
      <c r="C1055" s="165" t="str">
        <f>IFERROR(VLOOKUP($A1055,작성용!A:AL,14,0),"-")</f>
        <v>-</v>
      </c>
      <c r="D1055" s="169" t="s">
        <v>556</v>
      </c>
      <c r="E1055" s="167" t="str">
        <f>IFERROR(VLOOKUP(A1055,작성용!A:AL,34,0),"-")</f>
        <v>-</v>
      </c>
      <c r="F1055" s="168" t="s">
        <v>6380</v>
      </c>
      <c r="G1055" s="179">
        <f>COUNTIF(작성용!A:B,$A1055)-COUNTIFS(작성용!A:A,$A1055,작성용!AA:AA,"평가철회")</f>
        <v>0</v>
      </c>
    </row>
    <row r="1056" spans="1:7" ht="16.5" customHeight="1" x14ac:dyDescent="0.3">
      <c r="A1056" s="170" t="s">
        <v>2236</v>
      </c>
      <c r="B1056" s="165" t="s">
        <v>2237</v>
      </c>
      <c r="C1056" s="165" t="str">
        <f>IFERROR(VLOOKUP($A1056,작성용!A:AL,14,0),"-")</f>
        <v xml:space="preserve">반기 </v>
      </c>
      <c r="D1056" s="169" t="s">
        <v>6377</v>
      </c>
      <c r="E1056" s="167" t="str">
        <f>IFERROR(VLOOKUP(A1056,작성용!A:AL,34,0),"-")</f>
        <v>서동현</v>
      </c>
      <c r="F1056" s="168" t="s">
        <v>6380</v>
      </c>
      <c r="G1056" s="179">
        <f>COUNTIF(작성용!A:B,$A1056)-COUNTIFS(작성용!A:A,$A1056,작성용!AA:AA,"평가철회")</f>
        <v>2</v>
      </c>
    </row>
    <row r="1057" spans="1:7" ht="16.5" customHeight="1" x14ac:dyDescent="0.3">
      <c r="A1057" s="170" t="s">
        <v>2238</v>
      </c>
      <c r="B1057" s="165" t="s">
        <v>2239</v>
      </c>
      <c r="C1057" s="165" t="str">
        <f>IFERROR(VLOOKUP($A1057,작성용!A:AL,14,0),"-")</f>
        <v>-</v>
      </c>
      <c r="D1057" s="169" t="s">
        <v>635</v>
      </c>
      <c r="E1057" s="167" t="str">
        <f>IFERROR(VLOOKUP(A1057,작성용!A:AL,34,0),"-")</f>
        <v>-</v>
      </c>
      <c r="F1057" s="168" t="s">
        <v>2</v>
      </c>
      <c r="G1057" s="179">
        <f>COUNTIF(작성용!A:B,$A1057)-COUNTIFS(작성용!A:A,$A1057,작성용!AA:AA,"평가철회")</f>
        <v>0</v>
      </c>
    </row>
    <row r="1058" spans="1:7" ht="16.5" customHeight="1" x14ac:dyDescent="0.3">
      <c r="A1058" s="170" t="s">
        <v>2240</v>
      </c>
      <c r="B1058" s="165" t="s">
        <v>2241</v>
      </c>
      <c r="C1058" s="165" t="str">
        <f>IFERROR(VLOOKUP($A1058,작성용!A:AL,14,0),"-")</f>
        <v>-</v>
      </c>
      <c r="D1058" s="169" t="s">
        <v>247</v>
      </c>
      <c r="E1058" s="167" t="str">
        <f>IFERROR(VLOOKUP(A1058,작성용!A:AL,34,0),"-")</f>
        <v>-</v>
      </c>
      <c r="F1058" s="168" t="s">
        <v>2</v>
      </c>
      <c r="G1058" s="179">
        <f>COUNTIF(작성용!A:B,$A1058)-COUNTIFS(작성용!A:A,$A1058,작성용!AA:AA,"평가철회")</f>
        <v>0</v>
      </c>
    </row>
    <row r="1059" spans="1:7" ht="16.5" customHeight="1" x14ac:dyDescent="0.3">
      <c r="A1059" s="170" t="s">
        <v>2242</v>
      </c>
      <c r="B1059" s="165" t="s">
        <v>2243</v>
      </c>
      <c r="C1059" s="165" t="str">
        <f>IFERROR(VLOOKUP($A1059,작성용!A:AL,14,0),"-")</f>
        <v>-</v>
      </c>
      <c r="D1059" s="169" t="s">
        <v>1854</v>
      </c>
      <c r="E1059" s="167" t="str">
        <f>IFERROR(VLOOKUP(A1059,작성용!A:AL,34,0),"-")</f>
        <v>-</v>
      </c>
      <c r="F1059" s="168" t="s">
        <v>2</v>
      </c>
      <c r="G1059" s="179">
        <f>COUNTIF(작성용!A:B,$A1059)-COUNTIFS(작성용!A:A,$A1059,작성용!AA:AA,"평가철회")</f>
        <v>0</v>
      </c>
    </row>
    <row r="1060" spans="1:7" ht="16.5" customHeight="1" x14ac:dyDescent="0.3">
      <c r="A1060" s="170" t="s">
        <v>2244</v>
      </c>
      <c r="B1060" s="165" t="s">
        <v>2245</v>
      </c>
      <c r="C1060" s="165" t="str">
        <f>IFERROR(VLOOKUP($A1060,작성용!A:AL,14,0),"-")</f>
        <v>-</v>
      </c>
      <c r="D1060" s="169" t="s">
        <v>6507</v>
      </c>
      <c r="E1060" s="167" t="str">
        <f>IFERROR(VLOOKUP(A1060,작성용!A:AL,34,0),"-")</f>
        <v>-</v>
      </c>
      <c r="F1060" s="168" t="s">
        <v>6378</v>
      </c>
      <c r="G1060" s="179">
        <f>COUNTIF(작성용!A:B,$A1060)-COUNTIFS(작성용!A:A,$A1060,작성용!AA:AA,"평가철회")</f>
        <v>0</v>
      </c>
    </row>
    <row r="1061" spans="1:7" ht="16.5" customHeight="1" x14ac:dyDescent="0.3">
      <c r="A1061" s="170" t="s">
        <v>2246</v>
      </c>
      <c r="B1061" s="165" t="s">
        <v>6508</v>
      </c>
      <c r="C1061" s="165" t="str">
        <f>IFERROR(VLOOKUP($A1061,작성용!A:AL,14,0),"-")</f>
        <v>-</v>
      </c>
      <c r="D1061" s="169" t="s">
        <v>6377</v>
      </c>
      <c r="E1061" s="167" t="str">
        <f>IFERROR(VLOOKUP(A1061,작성용!A:AL,34,0),"-")</f>
        <v>-</v>
      </c>
      <c r="F1061" s="168" t="s">
        <v>6382</v>
      </c>
      <c r="G1061" s="179">
        <f>COUNTIF(작성용!A:B,$A1061)-COUNTIFS(작성용!A:A,$A1061,작성용!AA:AA,"평가철회")</f>
        <v>0</v>
      </c>
    </row>
    <row r="1062" spans="1:7" ht="16.5" customHeight="1" x14ac:dyDescent="0.3">
      <c r="A1062" s="170" t="s">
        <v>2247</v>
      </c>
      <c r="B1062" s="165" t="s">
        <v>2248</v>
      </c>
      <c r="C1062" s="165" t="str">
        <f>IFERROR(VLOOKUP($A1062,작성용!A:AL,14,0),"-")</f>
        <v>-</v>
      </c>
      <c r="D1062" s="169" t="s">
        <v>336</v>
      </c>
      <c r="E1062" s="167" t="str">
        <f>IFERROR(VLOOKUP(A1062,작성용!A:AL,34,0),"-")</f>
        <v>-</v>
      </c>
      <c r="F1062" s="168" t="s">
        <v>2</v>
      </c>
      <c r="G1062" s="179">
        <f>COUNTIF(작성용!A:B,$A1062)-COUNTIFS(작성용!A:A,$A1062,작성용!AA:AA,"평가철회")</f>
        <v>0</v>
      </c>
    </row>
    <row r="1063" spans="1:7" ht="16.5" customHeight="1" x14ac:dyDescent="0.3">
      <c r="A1063" s="170" t="s">
        <v>2249</v>
      </c>
      <c r="B1063" s="165" t="s">
        <v>2250</v>
      </c>
      <c r="C1063" s="165" t="str">
        <f>IFERROR(VLOOKUP($A1063,작성용!A:AL,14,0),"-")</f>
        <v xml:space="preserve">반기 </v>
      </c>
      <c r="D1063" s="169" t="s">
        <v>6384</v>
      </c>
      <c r="E1063" s="167" t="str">
        <f>IFERROR(VLOOKUP(A1063,작성용!A:AL,34,0),"-")</f>
        <v>서경덕</v>
      </c>
      <c r="F1063" s="168" t="s">
        <v>6382</v>
      </c>
      <c r="G1063" s="179">
        <f>COUNTIF(작성용!A:B,$A1063)-COUNTIFS(작성용!A:A,$A1063,작성용!AA:AA,"평가철회")</f>
        <v>44</v>
      </c>
    </row>
    <row r="1064" spans="1:7" ht="16.5" customHeight="1" x14ac:dyDescent="0.3">
      <c r="A1064" s="170" t="s">
        <v>2251</v>
      </c>
      <c r="B1064" s="165" t="s">
        <v>2252</v>
      </c>
      <c r="C1064" s="165" t="str">
        <f>IFERROR(VLOOKUP($A1064,작성용!A:AL,14,0),"-")</f>
        <v>년</v>
      </c>
      <c r="D1064" s="169" t="s">
        <v>6316</v>
      </c>
      <c r="E1064" s="167" t="str">
        <f>IFERROR(VLOOKUP(A1064,작성용!A:AL,34,0),"-")</f>
        <v>서경덕</v>
      </c>
      <c r="F1064" s="168" t="s">
        <v>6378</v>
      </c>
      <c r="G1064" s="179">
        <f>COUNTIF(작성용!A:B,$A1064)-COUNTIFS(작성용!A:A,$A1064,작성용!AA:AA,"평가철회")</f>
        <v>10</v>
      </c>
    </row>
    <row r="1065" spans="1:7" ht="16.5" customHeight="1" x14ac:dyDescent="0.3">
      <c r="A1065" s="170" t="s">
        <v>2253</v>
      </c>
      <c r="B1065" s="165" t="s">
        <v>2254</v>
      </c>
      <c r="C1065" s="165" t="str">
        <f>IFERROR(VLOOKUP($A1065,작성용!A:AL,14,0),"-")</f>
        <v>-</v>
      </c>
      <c r="D1065" s="169" t="s">
        <v>74</v>
      </c>
      <c r="E1065" s="167" t="str">
        <f>IFERROR(VLOOKUP(A1065,작성용!A:AL,34,0),"-")</f>
        <v>-</v>
      </c>
      <c r="F1065" s="168" t="s">
        <v>2</v>
      </c>
      <c r="G1065" s="179">
        <f>COUNTIF(작성용!A:B,$A1065)-COUNTIFS(작성용!A:A,$A1065,작성용!AA:AA,"평가철회")</f>
        <v>0</v>
      </c>
    </row>
    <row r="1066" spans="1:7" ht="16.5" customHeight="1" x14ac:dyDescent="0.3">
      <c r="A1066" s="170" t="s">
        <v>2255</v>
      </c>
      <c r="B1066" s="165" t="s">
        <v>2256</v>
      </c>
      <c r="C1066" s="165" t="str">
        <f>IFERROR(VLOOKUP($A1066,작성용!A:AL,14,0),"-")</f>
        <v>-</v>
      </c>
      <c r="D1066" s="169" t="s">
        <v>492</v>
      </c>
      <c r="E1066" s="167" t="str">
        <f>IFERROR(VLOOKUP(A1066,작성용!A:AL,34,0),"-")</f>
        <v>-</v>
      </c>
      <c r="F1066" s="168" t="s">
        <v>6378</v>
      </c>
      <c r="G1066" s="179">
        <f>COUNTIF(작성용!A:B,$A1066)-COUNTIFS(작성용!A:A,$A1066,작성용!AA:AA,"평가철회")</f>
        <v>0</v>
      </c>
    </row>
    <row r="1067" spans="1:7" ht="16.5" customHeight="1" x14ac:dyDescent="0.3">
      <c r="A1067" s="170" t="s">
        <v>2257</v>
      </c>
      <c r="B1067" s="165" t="s">
        <v>2258</v>
      </c>
      <c r="C1067" s="165" t="str">
        <f>IFERROR(VLOOKUP($A1067,작성용!A:AL,14,0),"-")</f>
        <v>-</v>
      </c>
      <c r="D1067" s="169" t="s">
        <v>656</v>
      </c>
      <c r="E1067" s="167" t="str">
        <f>IFERROR(VLOOKUP(A1067,작성용!A:AL,34,0),"-")</f>
        <v>-</v>
      </c>
      <c r="F1067" s="168" t="s">
        <v>2</v>
      </c>
      <c r="G1067" s="179">
        <f>COUNTIF(작성용!A:B,$A1067)-COUNTIFS(작성용!A:A,$A1067,작성용!AA:AA,"평가철회")</f>
        <v>0</v>
      </c>
    </row>
    <row r="1068" spans="1:7" ht="16.5" customHeight="1" x14ac:dyDescent="0.3">
      <c r="A1068" s="170" t="s">
        <v>2259</v>
      </c>
      <c r="B1068" s="165" t="s">
        <v>2260</v>
      </c>
      <c r="C1068" s="165" t="str">
        <f>IFERROR(VLOOKUP($A1068,작성용!A:AL,14,0),"-")</f>
        <v>-</v>
      </c>
      <c r="D1068" s="169" t="s">
        <v>2261</v>
      </c>
      <c r="E1068" s="167" t="str">
        <f>IFERROR(VLOOKUP(A1068,작성용!A:AL,34,0),"-")</f>
        <v>-</v>
      </c>
      <c r="F1068" s="168" t="s">
        <v>2</v>
      </c>
      <c r="G1068" s="179">
        <f>COUNTIF(작성용!A:B,$A1068)-COUNTIFS(작성용!A:A,$A1068,작성용!AA:AA,"평가철회")</f>
        <v>0</v>
      </c>
    </row>
    <row r="1069" spans="1:7" ht="16.5" customHeight="1" x14ac:dyDescent="0.3">
      <c r="A1069" s="170" t="s">
        <v>2262</v>
      </c>
      <c r="B1069" s="165" t="s">
        <v>2263</v>
      </c>
      <c r="C1069" s="165" t="str">
        <f>IFERROR(VLOOKUP($A1069,작성용!A:AL,14,0),"-")</f>
        <v>-</v>
      </c>
      <c r="D1069" s="169" t="s">
        <v>2</v>
      </c>
      <c r="E1069" s="167" t="str">
        <f>IFERROR(VLOOKUP(A1069,작성용!A:AL,34,0),"-")</f>
        <v>-</v>
      </c>
      <c r="F1069" s="168" t="s">
        <v>6378</v>
      </c>
      <c r="G1069" s="179">
        <f>COUNTIF(작성용!A:B,$A1069)-COUNTIFS(작성용!A:A,$A1069,작성용!AA:AA,"평가철회")</f>
        <v>0</v>
      </c>
    </row>
    <row r="1070" spans="1:7" ht="16.5" customHeight="1" x14ac:dyDescent="0.3">
      <c r="A1070" s="170" t="s">
        <v>2264</v>
      </c>
      <c r="B1070" s="165" t="s">
        <v>2265</v>
      </c>
      <c r="C1070" s="165" t="str">
        <f>IFERROR(VLOOKUP($A1070,작성용!A:AL,14,0),"-")</f>
        <v>-</v>
      </c>
      <c r="D1070" s="169" t="s">
        <v>244</v>
      </c>
      <c r="E1070" s="167" t="str">
        <f>IFERROR(VLOOKUP(A1070,작성용!A:AL,34,0),"-")</f>
        <v>-</v>
      </c>
      <c r="F1070" s="168" t="s">
        <v>2</v>
      </c>
      <c r="G1070" s="179">
        <f>COUNTIF(작성용!A:B,$A1070)-COUNTIFS(작성용!A:A,$A1070,작성용!AA:AA,"평가철회")</f>
        <v>0</v>
      </c>
    </row>
    <row r="1071" spans="1:7" ht="16.5" customHeight="1" x14ac:dyDescent="0.3">
      <c r="A1071" s="170" t="s">
        <v>2266</v>
      </c>
      <c r="B1071" s="165" t="s">
        <v>2267</v>
      </c>
      <c r="C1071" s="165" t="str">
        <f>IFERROR(VLOOKUP($A1071,작성용!A:AL,14,0),"-")</f>
        <v>-</v>
      </c>
      <c r="D1071" s="169" t="s">
        <v>492</v>
      </c>
      <c r="E1071" s="167" t="str">
        <f>IFERROR(VLOOKUP(A1071,작성용!A:AL,34,0),"-")</f>
        <v>-</v>
      </c>
      <c r="F1071" s="168" t="s">
        <v>6382</v>
      </c>
      <c r="G1071" s="179">
        <f>COUNTIF(작성용!A:B,$A1071)-COUNTIFS(작성용!A:A,$A1071,작성용!AA:AA,"평가철회")</f>
        <v>0</v>
      </c>
    </row>
    <row r="1072" spans="1:7" ht="16.5" customHeight="1" x14ac:dyDescent="0.3">
      <c r="A1072" s="170" t="s">
        <v>2268</v>
      </c>
      <c r="B1072" s="165" t="s">
        <v>2269</v>
      </c>
      <c r="C1072" s="165" t="str">
        <f>IFERROR(VLOOKUP($A1072,작성용!A:AL,14,0),"-")</f>
        <v>-</v>
      </c>
      <c r="D1072" s="169" t="s">
        <v>6479</v>
      </c>
      <c r="E1072" s="167" t="str">
        <f>IFERROR(VLOOKUP(A1072,작성용!A:AL,34,0),"-")</f>
        <v>-</v>
      </c>
      <c r="F1072" s="168" t="s">
        <v>6342</v>
      </c>
      <c r="G1072" s="179">
        <f>COUNTIF(작성용!A:B,$A1072)-COUNTIFS(작성용!A:A,$A1072,작성용!AA:AA,"평가철회")</f>
        <v>0</v>
      </c>
    </row>
    <row r="1073" spans="1:7" ht="16.5" customHeight="1" x14ac:dyDescent="0.3">
      <c r="A1073" s="170" t="s">
        <v>2270</v>
      </c>
      <c r="B1073" s="165" t="s">
        <v>2271</v>
      </c>
      <c r="C1073" s="165" t="str">
        <f>IFERROR(VLOOKUP($A1073,작성용!A:AL,14,0),"-")</f>
        <v>-</v>
      </c>
      <c r="D1073" s="169" t="s">
        <v>6500</v>
      </c>
      <c r="E1073" s="167" t="str">
        <f>IFERROR(VLOOKUP(A1073,작성용!A:AL,34,0),"-")</f>
        <v>-</v>
      </c>
      <c r="F1073" s="168" t="s">
        <v>6382</v>
      </c>
      <c r="G1073" s="179">
        <f>COUNTIF(작성용!A:B,$A1073)-COUNTIFS(작성용!A:A,$A1073,작성용!AA:AA,"평가철회")</f>
        <v>0</v>
      </c>
    </row>
    <row r="1074" spans="1:7" ht="16.5" customHeight="1" x14ac:dyDescent="0.3">
      <c r="A1074" s="170" t="s">
        <v>2272</v>
      </c>
      <c r="B1074" s="165" t="s">
        <v>2273</v>
      </c>
      <c r="C1074" s="165" t="str">
        <f>IFERROR(VLOOKUP($A1074,작성용!A:AL,14,0),"-")</f>
        <v>-</v>
      </c>
      <c r="D1074" s="169" t="s">
        <v>6437</v>
      </c>
      <c r="E1074" s="167" t="str">
        <f>IFERROR(VLOOKUP(A1074,작성용!A:AL,34,0),"-")</f>
        <v>-</v>
      </c>
      <c r="F1074" s="168" t="s">
        <v>6378</v>
      </c>
      <c r="G1074" s="179">
        <f>COUNTIF(작성용!A:B,$A1074)-COUNTIFS(작성용!A:A,$A1074,작성용!AA:AA,"평가철회")</f>
        <v>0</v>
      </c>
    </row>
    <row r="1075" spans="1:7" ht="16.5" customHeight="1" x14ac:dyDescent="0.3">
      <c r="A1075" s="170" t="s">
        <v>2274</v>
      </c>
      <c r="B1075" s="165" t="s">
        <v>2275</v>
      </c>
      <c r="C1075" s="165" t="str">
        <f>IFERROR(VLOOKUP($A1075,작성용!A:AL,14,0),"-")</f>
        <v>-</v>
      </c>
      <c r="D1075" s="169" t="s">
        <v>74</v>
      </c>
      <c r="E1075" s="167" t="str">
        <f>IFERROR(VLOOKUP(A1075,작성용!A:AL,34,0),"-")</f>
        <v>-</v>
      </c>
      <c r="F1075" s="168" t="s">
        <v>2</v>
      </c>
      <c r="G1075" s="179">
        <f>COUNTIF(작성용!A:B,$A1075)-COUNTIFS(작성용!A:A,$A1075,작성용!AA:AA,"평가철회")</f>
        <v>0</v>
      </c>
    </row>
    <row r="1076" spans="1:7" ht="16.5" customHeight="1" x14ac:dyDescent="0.3">
      <c r="A1076" s="170" t="s">
        <v>2276</v>
      </c>
      <c r="B1076" s="165" t="s">
        <v>2277</v>
      </c>
      <c r="C1076" s="165" t="str">
        <f>IFERROR(VLOOKUP($A1076,작성용!A:AL,14,0),"-")</f>
        <v>-</v>
      </c>
      <c r="D1076" s="169" t="s">
        <v>71</v>
      </c>
      <c r="E1076" s="167" t="str">
        <f>IFERROR(VLOOKUP(A1076,작성용!A:AL,34,0),"-")</f>
        <v>-</v>
      </c>
      <c r="F1076" s="168" t="s">
        <v>6382</v>
      </c>
      <c r="G1076" s="179">
        <f>COUNTIF(작성용!A:B,$A1076)-COUNTIFS(작성용!A:A,$A1076,작성용!AA:AA,"평가철회")</f>
        <v>0</v>
      </c>
    </row>
    <row r="1077" spans="1:7" ht="16.5" customHeight="1" x14ac:dyDescent="0.3">
      <c r="A1077" s="170" t="s">
        <v>2278</v>
      </c>
      <c r="B1077" s="165" t="s">
        <v>2279</v>
      </c>
      <c r="C1077" s="165" t="str">
        <f>IFERROR(VLOOKUP($A1077,작성용!A:AL,14,0),"-")</f>
        <v>-</v>
      </c>
      <c r="D1077" s="169" t="s">
        <v>6489</v>
      </c>
      <c r="E1077" s="167" t="str">
        <f>IFERROR(VLOOKUP(A1077,작성용!A:AL,34,0),"-")</f>
        <v>-</v>
      </c>
      <c r="F1077" s="168" t="s">
        <v>6378</v>
      </c>
      <c r="G1077" s="179">
        <f>COUNTIF(작성용!A:B,$A1077)-COUNTIFS(작성용!A:A,$A1077,작성용!AA:AA,"평가철회")</f>
        <v>0</v>
      </c>
    </row>
    <row r="1078" spans="1:7" ht="16.5" customHeight="1" x14ac:dyDescent="0.3">
      <c r="A1078" s="170" t="s">
        <v>2280</v>
      </c>
      <c r="B1078" s="165" t="s">
        <v>2281</v>
      </c>
      <c r="C1078" s="165" t="str">
        <f>IFERROR(VLOOKUP($A1078,작성용!A:AL,14,0),"-")</f>
        <v>-</v>
      </c>
      <c r="D1078" s="169" t="s">
        <v>74</v>
      </c>
      <c r="E1078" s="167" t="str">
        <f>IFERROR(VLOOKUP(A1078,작성용!A:AL,34,0),"-")</f>
        <v>-</v>
      </c>
      <c r="F1078" s="168" t="s">
        <v>2</v>
      </c>
      <c r="G1078" s="179">
        <f>COUNTIF(작성용!A:B,$A1078)-COUNTIFS(작성용!A:A,$A1078,작성용!AA:AA,"평가철회")</f>
        <v>0</v>
      </c>
    </row>
    <row r="1079" spans="1:7" ht="16.5" customHeight="1" x14ac:dyDescent="0.3">
      <c r="A1079" s="170" t="s">
        <v>2282</v>
      </c>
      <c r="B1079" s="165" t="s">
        <v>2283</v>
      </c>
      <c r="C1079" s="165" t="str">
        <f>IFERROR(VLOOKUP($A1079,작성용!A:AL,14,0),"-")</f>
        <v>-</v>
      </c>
      <c r="D1079" s="169" t="s">
        <v>556</v>
      </c>
      <c r="E1079" s="167" t="str">
        <f>IFERROR(VLOOKUP(A1079,작성용!A:AL,34,0),"-")</f>
        <v>-</v>
      </c>
      <c r="F1079" s="168" t="s">
        <v>2</v>
      </c>
      <c r="G1079" s="179">
        <f>COUNTIF(작성용!A:B,$A1079)-COUNTIFS(작성용!A:A,$A1079,작성용!AA:AA,"평가철회")</f>
        <v>0</v>
      </c>
    </row>
    <row r="1080" spans="1:7" ht="16.5" customHeight="1" x14ac:dyDescent="0.3">
      <c r="A1080" s="170" t="s">
        <v>2284</v>
      </c>
      <c r="B1080" s="165" t="s">
        <v>2285</v>
      </c>
      <c r="C1080" s="165" t="str">
        <f>IFERROR(VLOOKUP($A1080,작성용!A:AL,14,0),"-")</f>
        <v>-</v>
      </c>
      <c r="D1080" s="169" t="s">
        <v>6385</v>
      </c>
      <c r="E1080" s="167" t="str">
        <f>IFERROR(VLOOKUP(A1080,작성용!A:AL,34,0),"-")</f>
        <v>-</v>
      </c>
      <c r="F1080" s="168" t="s">
        <v>6380</v>
      </c>
      <c r="G1080" s="179">
        <f>COUNTIF(작성용!A:B,$A1080)-COUNTIFS(작성용!A:A,$A1080,작성용!AA:AA,"평가철회")</f>
        <v>0</v>
      </c>
    </row>
    <row r="1081" spans="1:7" ht="16.5" customHeight="1" x14ac:dyDescent="0.3">
      <c r="A1081" s="170" t="s">
        <v>2286</v>
      </c>
      <c r="B1081" s="165" t="s">
        <v>6509</v>
      </c>
      <c r="C1081" s="165" t="str">
        <f>IFERROR(VLOOKUP($A1081,작성용!A:AL,14,0),"-")</f>
        <v>-</v>
      </c>
      <c r="D1081" s="169" t="s">
        <v>6458</v>
      </c>
      <c r="E1081" s="167" t="str">
        <f>IFERROR(VLOOKUP(A1081,작성용!A:AL,34,0),"-")</f>
        <v>-</v>
      </c>
      <c r="F1081" s="168" t="s">
        <v>6378</v>
      </c>
      <c r="G1081" s="179">
        <f>COUNTIF(작성용!A:B,$A1081)-COUNTIFS(작성용!A:A,$A1081,작성용!AA:AA,"평가철회")</f>
        <v>0</v>
      </c>
    </row>
    <row r="1082" spans="1:7" ht="16.5" customHeight="1" x14ac:dyDescent="0.3">
      <c r="A1082" s="170" t="s">
        <v>2287</v>
      </c>
      <c r="B1082" s="165" t="s">
        <v>2288</v>
      </c>
      <c r="C1082" s="165" t="str">
        <f>IFERROR(VLOOKUP($A1082,작성용!A:AL,14,0),"-")</f>
        <v>-</v>
      </c>
      <c r="D1082" s="169" t="s">
        <v>6510</v>
      </c>
      <c r="E1082" s="167" t="str">
        <f>IFERROR(VLOOKUP(A1082,작성용!A:AL,34,0),"-")</f>
        <v>-</v>
      </c>
      <c r="F1082" s="168" t="s">
        <v>6382</v>
      </c>
      <c r="G1082" s="179">
        <f>COUNTIF(작성용!A:B,$A1082)-COUNTIFS(작성용!A:A,$A1082,작성용!AA:AA,"평가철회")</f>
        <v>0</v>
      </c>
    </row>
    <row r="1083" spans="1:7" ht="16.5" customHeight="1" x14ac:dyDescent="0.3">
      <c r="A1083" s="170" t="s">
        <v>2289</v>
      </c>
      <c r="B1083" s="165" t="s">
        <v>2290</v>
      </c>
      <c r="C1083" s="165" t="str">
        <f>IFERROR(VLOOKUP($A1083,작성용!A:AL,14,0),"-")</f>
        <v>-</v>
      </c>
      <c r="D1083" s="169" t="s">
        <v>635</v>
      </c>
      <c r="E1083" s="167" t="str">
        <f>IFERROR(VLOOKUP(A1083,작성용!A:AL,34,0),"-")</f>
        <v>-</v>
      </c>
      <c r="F1083" s="168" t="s">
        <v>2</v>
      </c>
      <c r="G1083" s="179">
        <f>COUNTIF(작성용!A:B,$A1083)-COUNTIFS(작성용!A:A,$A1083,작성용!AA:AA,"평가철회")</f>
        <v>0</v>
      </c>
    </row>
    <row r="1084" spans="1:7" ht="16.5" customHeight="1" x14ac:dyDescent="0.3">
      <c r="A1084" s="170" t="s">
        <v>2291</v>
      </c>
      <c r="B1084" s="165" t="s">
        <v>2292</v>
      </c>
      <c r="C1084" s="165" t="str">
        <f>IFERROR(VLOOKUP($A1084,작성용!A:AL,14,0),"-")</f>
        <v>-</v>
      </c>
      <c r="D1084" s="169" t="s">
        <v>463</v>
      </c>
      <c r="E1084" s="167" t="str">
        <f>IFERROR(VLOOKUP(A1084,작성용!A:AL,34,0),"-")</f>
        <v>-</v>
      </c>
      <c r="F1084" s="168" t="s">
        <v>2</v>
      </c>
      <c r="G1084" s="179">
        <f>COUNTIF(작성용!A:B,$A1084)-COUNTIFS(작성용!A:A,$A1084,작성용!AA:AA,"평가철회")</f>
        <v>0</v>
      </c>
    </row>
    <row r="1085" spans="1:7" ht="16.5" customHeight="1" x14ac:dyDescent="0.3">
      <c r="A1085" s="170" t="s">
        <v>2293</v>
      </c>
      <c r="B1085" s="165" t="s">
        <v>2294</v>
      </c>
      <c r="C1085" s="165" t="str">
        <f>IFERROR(VLOOKUP($A1085,작성용!A:AL,14,0),"-")</f>
        <v>-</v>
      </c>
      <c r="D1085" s="169" t="s">
        <v>71</v>
      </c>
      <c r="E1085" s="167" t="str">
        <f>IFERROR(VLOOKUP(A1085,작성용!A:AL,34,0),"-")</f>
        <v>-</v>
      </c>
      <c r="F1085" s="168" t="s">
        <v>6382</v>
      </c>
      <c r="G1085" s="179">
        <f>COUNTIF(작성용!A:B,$A1085)-COUNTIFS(작성용!A:A,$A1085,작성용!AA:AA,"평가철회")</f>
        <v>0</v>
      </c>
    </row>
    <row r="1086" spans="1:7" ht="16.5" customHeight="1" x14ac:dyDescent="0.3">
      <c r="A1086" s="170" t="s">
        <v>2295</v>
      </c>
      <c r="B1086" s="165" t="s">
        <v>2296</v>
      </c>
      <c r="C1086" s="165" t="str">
        <f>IFERROR(VLOOKUP($A1086,작성용!A:AL,14,0),"-")</f>
        <v>-</v>
      </c>
      <c r="D1086" s="169" t="s">
        <v>635</v>
      </c>
      <c r="E1086" s="167" t="str">
        <f>IFERROR(VLOOKUP(A1086,작성용!A:AL,34,0),"-")</f>
        <v>-</v>
      </c>
      <c r="F1086" s="168" t="s">
        <v>6382</v>
      </c>
      <c r="G1086" s="179">
        <f>COUNTIF(작성용!A:B,$A1086)-COUNTIFS(작성용!A:A,$A1086,작성용!AA:AA,"평가철회")</f>
        <v>0</v>
      </c>
    </row>
    <row r="1087" spans="1:7" ht="16.5" customHeight="1" x14ac:dyDescent="0.3">
      <c r="A1087" s="170" t="s">
        <v>2297</v>
      </c>
      <c r="B1087" s="165" t="s">
        <v>2298</v>
      </c>
      <c r="C1087" s="165" t="str">
        <f>IFERROR(VLOOKUP($A1087,작성용!A:AL,14,0),"-")</f>
        <v>-</v>
      </c>
      <c r="D1087" s="169" t="s">
        <v>6489</v>
      </c>
      <c r="E1087" s="167" t="str">
        <f>IFERROR(VLOOKUP(A1087,작성용!A:AL,34,0),"-")</f>
        <v>-</v>
      </c>
      <c r="F1087" s="168" t="s">
        <v>6382</v>
      </c>
      <c r="G1087" s="179">
        <f>COUNTIF(작성용!A:B,$A1087)-COUNTIFS(작성용!A:A,$A1087,작성용!AA:AA,"평가철회")</f>
        <v>0</v>
      </c>
    </row>
    <row r="1088" spans="1:7" ht="16.5" customHeight="1" x14ac:dyDescent="0.3">
      <c r="A1088" s="170" t="s">
        <v>2299</v>
      </c>
      <c r="B1088" s="165" t="s">
        <v>2300</v>
      </c>
      <c r="C1088" s="165" t="str">
        <f>IFERROR(VLOOKUP($A1088,작성용!A:AL,14,0),"-")</f>
        <v>-</v>
      </c>
      <c r="D1088" s="169" t="s">
        <v>1462</v>
      </c>
      <c r="E1088" s="167" t="str">
        <f>IFERROR(VLOOKUP(A1088,작성용!A:AL,34,0),"-")</f>
        <v>-</v>
      </c>
      <c r="F1088" s="168" t="s">
        <v>6382</v>
      </c>
      <c r="G1088" s="179">
        <f>COUNTIF(작성용!A:B,$A1088)-COUNTIFS(작성용!A:A,$A1088,작성용!AA:AA,"평가철회")</f>
        <v>0</v>
      </c>
    </row>
    <row r="1089" spans="1:7" ht="16.5" customHeight="1" x14ac:dyDescent="0.3">
      <c r="A1089" s="170" t="s">
        <v>2301</v>
      </c>
      <c r="B1089" s="165" t="s">
        <v>2302</v>
      </c>
      <c r="C1089" s="165" t="str">
        <f>IFERROR(VLOOKUP($A1089,작성용!A:AL,14,0),"-")</f>
        <v>-</v>
      </c>
      <c r="D1089" s="169" t="s">
        <v>220</v>
      </c>
      <c r="E1089" s="167" t="str">
        <f>IFERROR(VLOOKUP(A1089,작성용!A:AL,34,0),"-")</f>
        <v>-</v>
      </c>
      <c r="F1089" s="168" t="s">
        <v>2</v>
      </c>
      <c r="G1089" s="179">
        <f>COUNTIF(작성용!A:B,$A1089)-COUNTIFS(작성용!A:A,$A1089,작성용!AA:AA,"평가철회")</f>
        <v>0</v>
      </c>
    </row>
    <row r="1090" spans="1:7" ht="16.5" customHeight="1" x14ac:dyDescent="0.3">
      <c r="A1090" s="170" t="s">
        <v>2303</v>
      </c>
      <c r="B1090" s="165" t="s">
        <v>2304</v>
      </c>
      <c r="C1090" s="165" t="str">
        <f>IFERROR(VLOOKUP($A1090,작성용!A:AL,14,0),"-")</f>
        <v>-</v>
      </c>
      <c r="D1090" s="169" t="s">
        <v>220</v>
      </c>
      <c r="E1090" s="167" t="str">
        <f>IFERROR(VLOOKUP(A1090,작성용!A:AL,34,0),"-")</f>
        <v>-</v>
      </c>
      <c r="F1090" s="168" t="s">
        <v>2</v>
      </c>
      <c r="G1090" s="179">
        <f>COUNTIF(작성용!A:B,$A1090)-COUNTIFS(작성용!A:A,$A1090,작성용!AA:AA,"평가철회")</f>
        <v>0</v>
      </c>
    </row>
    <row r="1091" spans="1:7" ht="16.5" customHeight="1" x14ac:dyDescent="0.3">
      <c r="A1091" s="170" t="s">
        <v>2305</v>
      </c>
      <c r="B1091" s="165" t="s">
        <v>2306</v>
      </c>
      <c r="C1091" s="165" t="str">
        <f>IFERROR(VLOOKUP($A1091,작성용!A:AL,14,0),"-")</f>
        <v>-</v>
      </c>
      <c r="D1091" s="169" t="s">
        <v>220</v>
      </c>
      <c r="E1091" s="167" t="str">
        <f>IFERROR(VLOOKUP(A1091,작성용!A:AL,34,0),"-")</f>
        <v>-</v>
      </c>
      <c r="F1091" s="168" t="s">
        <v>6283</v>
      </c>
      <c r="G1091" s="179">
        <f>COUNTIF(작성용!A:B,$A1091)-COUNTIFS(작성용!A:A,$A1091,작성용!AA:AA,"평가철회")</f>
        <v>0</v>
      </c>
    </row>
    <row r="1092" spans="1:7" ht="16.5" customHeight="1" x14ac:dyDescent="0.3">
      <c r="A1092" s="170" t="s">
        <v>2307</v>
      </c>
      <c r="B1092" s="165" t="s">
        <v>2308</v>
      </c>
      <c r="C1092" s="165" t="str">
        <f>IFERROR(VLOOKUP($A1092,작성용!A:AL,14,0),"-")</f>
        <v>-</v>
      </c>
      <c r="D1092" s="169" t="s">
        <v>220</v>
      </c>
      <c r="E1092" s="167" t="str">
        <f>IFERROR(VLOOKUP(A1092,작성용!A:AL,34,0),"-")</f>
        <v>-</v>
      </c>
      <c r="F1092" s="168" t="s">
        <v>2</v>
      </c>
      <c r="G1092" s="179">
        <f>COUNTIF(작성용!A:B,$A1092)-COUNTIFS(작성용!A:A,$A1092,작성용!AA:AA,"평가철회")</f>
        <v>0</v>
      </c>
    </row>
    <row r="1093" spans="1:7" ht="16.5" customHeight="1" x14ac:dyDescent="0.3">
      <c r="A1093" s="170" t="s">
        <v>2309</v>
      </c>
      <c r="B1093" s="165" t="s">
        <v>2310</v>
      </c>
      <c r="C1093" s="165" t="str">
        <f>IFERROR(VLOOKUP($A1093,작성용!A:AL,14,0),"-")</f>
        <v>-</v>
      </c>
      <c r="D1093" s="169" t="s">
        <v>6451</v>
      </c>
      <c r="E1093" s="167" t="str">
        <f>IFERROR(VLOOKUP(A1093,작성용!A:AL,34,0),"-")</f>
        <v>-</v>
      </c>
      <c r="F1093" s="168" t="s">
        <v>6283</v>
      </c>
      <c r="G1093" s="179">
        <f>COUNTIF(작성용!A:B,$A1093)-COUNTIFS(작성용!A:A,$A1093,작성용!AA:AA,"평가철회")</f>
        <v>0</v>
      </c>
    </row>
    <row r="1094" spans="1:7" ht="16.5" customHeight="1" x14ac:dyDescent="0.3">
      <c r="A1094" s="170" t="s">
        <v>2311</v>
      </c>
      <c r="B1094" s="165" t="s">
        <v>1346</v>
      </c>
      <c r="C1094" s="165" t="str">
        <f>IFERROR(VLOOKUP($A1094,작성용!A:AL,14,0),"-")</f>
        <v>-</v>
      </c>
      <c r="D1094" s="169" t="s">
        <v>2312</v>
      </c>
      <c r="E1094" s="167" t="str">
        <f>IFERROR(VLOOKUP(A1094,작성용!A:AL,34,0),"-")</f>
        <v>-</v>
      </c>
      <c r="F1094" s="168" t="s">
        <v>2</v>
      </c>
      <c r="G1094" s="179">
        <f>COUNTIF(작성용!A:B,$A1094)-COUNTIFS(작성용!A:A,$A1094,작성용!AA:AA,"평가철회")</f>
        <v>0</v>
      </c>
    </row>
    <row r="1095" spans="1:7" ht="16.5" customHeight="1" x14ac:dyDescent="0.3">
      <c r="A1095" s="170" t="s">
        <v>2313</v>
      </c>
      <c r="B1095" s="165" t="s">
        <v>1348</v>
      </c>
      <c r="C1095" s="165" t="str">
        <f>IFERROR(VLOOKUP($A1095,작성용!A:AL,14,0),"-")</f>
        <v>-</v>
      </c>
      <c r="D1095" s="169" t="s">
        <v>244</v>
      </c>
      <c r="E1095" s="167" t="str">
        <f>IFERROR(VLOOKUP(A1095,작성용!A:AL,34,0),"-")</f>
        <v>-</v>
      </c>
      <c r="F1095" s="168" t="s">
        <v>2</v>
      </c>
      <c r="G1095" s="179">
        <f>COUNTIF(작성용!A:B,$A1095)-COUNTIFS(작성용!A:A,$A1095,작성용!AA:AA,"평가철회")</f>
        <v>0</v>
      </c>
    </row>
    <row r="1096" spans="1:7" ht="16.5" customHeight="1" x14ac:dyDescent="0.3">
      <c r="A1096" s="170" t="s">
        <v>2314</v>
      </c>
      <c r="B1096" s="165" t="s">
        <v>2315</v>
      </c>
      <c r="C1096" s="165" t="str">
        <f>IFERROR(VLOOKUP($A1096,작성용!A:AL,14,0),"-")</f>
        <v>-</v>
      </c>
      <c r="D1096" s="169" t="s">
        <v>220</v>
      </c>
      <c r="E1096" s="167" t="str">
        <f>IFERROR(VLOOKUP(A1096,작성용!A:AL,34,0),"-")</f>
        <v>-</v>
      </c>
      <c r="F1096" s="168" t="s">
        <v>6382</v>
      </c>
      <c r="G1096" s="179">
        <f>COUNTIF(작성용!A:B,$A1096)-COUNTIFS(작성용!A:A,$A1096,작성용!AA:AA,"평가철회")</f>
        <v>0</v>
      </c>
    </row>
    <row r="1097" spans="1:7" ht="16.5" customHeight="1" x14ac:dyDescent="0.3">
      <c r="A1097" s="170" t="s">
        <v>2316</v>
      </c>
      <c r="B1097" s="165" t="s">
        <v>2317</v>
      </c>
      <c r="C1097" s="165" t="str">
        <f>IFERROR(VLOOKUP($A1097,작성용!A:AL,14,0),"-")</f>
        <v>-</v>
      </c>
      <c r="D1097" s="169" t="s">
        <v>492</v>
      </c>
      <c r="E1097" s="167" t="str">
        <f>IFERROR(VLOOKUP(A1097,작성용!A:AL,34,0),"-")</f>
        <v>-</v>
      </c>
      <c r="F1097" s="168" t="s">
        <v>2</v>
      </c>
      <c r="G1097" s="179">
        <f>COUNTIF(작성용!A:B,$A1097)-COUNTIFS(작성용!A:A,$A1097,작성용!AA:AA,"평가철회")</f>
        <v>0</v>
      </c>
    </row>
    <row r="1098" spans="1:7" ht="16.5" customHeight="1" x14ac:dyDescent="0.3">
      <c r="A1098" s="170" t="s">
        <v>2318</v>
      </c>
      <c r="B1098" s="165" t="s">
        <v>2319</v>
      </c>
      <c r="C1098" s="165" t="str">
        <f>IFERROR(VLOOKUP($A1098,작성용!A:AL,14,0),"-")</f>
        <v>-</v>
      </c>
      <c r="D1098" s="169" t="s">
        <v>556</v>
      </c>
      <c r="E1098" s="167" t="str">
        <f>IFERROR(VLOOKUP(A1098,작성용!A:AL,34,0),"-")</f>
        <v>-</v>
      </c>
      <c r="F1098" s="168" t="s">
        <v>2</v>
      </c>
      <c r="G1098" s="179">
        <f>COUNTIF(작성용!A:B,$A1098)-COUNTIFS(작성용!A:A,$A1098,작성용!AA:AA,"평가철회")</f>
        <v>0</v>
      </c>
    </row>
    <row r="1099" spans="1:7" ht="16.5" customHeight="1" x14ac:dyDescent="0.3">
      <c r="A1099" s="170" t="s">
        <v>2320</v>
      </c>
      <c r="B1099" s="165" t="s">
        <v>2321</v>
      </c>
      <c r="C1099" s="165" t="str">
        <f>IFERROR(VLOOKUP($A1099,작성용!A:AL,14,0),"-")</f>
        <v>-</v>
      </c>
      <c r="D1099" s="169" t="s">
        <v>71</v>
      </c>
      <c r="E1099" s="167" t="str">
        <f>IFERROR(VLOOKUP(A1099,작성용!A:AL,34,0),"-")</f>
        <v>-</v>
      </c>
      <c r="F1099" s="168" t="s">
        <v>2</v>
      </c>
      <c r="G1099" s="179">
        <f>COUNTIF(작성용!A:B,$A1099)-COUNTIFS(작성용!A:A,$A1099,작성용!AA:AA,"평가철회")</f>
        <v>0</v>
      </c>
    </row>
    <row r="1100" spans="1:7" ht="16.5" customHeight="1" x14ac:dyDescent="0.3">
      <c r="A1100" s="170" t="s">
        <v>2322</v>
      </c>
      <c r="B1100" s="165" t="s">
        <v>2323</v>
      </c>
      <c r="C1100" s="165" t="str">
        <f>IFERROR(VLOOKUP($A1100,작성용!A:AL,14,0),"-")</f>
        <v>-</v>
      </c>
      <c r="D1100" s="169" t="s">
        <v>495</v>
      </c>
      <c r="E1100" s="167" t="str">
        <f>IFERROR(VLOOKUP(A1100,작성용!A:AL,34,0),"-")</f>
        <v>-</v>
      </c>
      <c r="F1100" s="168" t="s">
        <v>2</v>
      </c>
      <c r="G1100" s="179">
        <f>COUNTIF(작성용!A:B,$A1100)-COUNTIFS(작성용!A:A,$A1100,작성용!AA:AA,"평가철회")</f>
        <v>0</v>
      </c>
    </row>
    <row r="1101" spans="1:7" ht="16.5" customHeight="1" x14ac:dyDescent="0.3">
      <c r="A1101" s="170" t="s">
        <v>2324</v>
      </c>
      <c r="B1101" s="165" t="s">
        <v>6511</v>
      </c>
      <c r="C1101" s="165" t="str">
        <f>IFERROR(VLOOKUP($A1101,작성용!A:AL,14,0),"-")</f>
        <v>-</v>
      </c>
      <c r="D1101" s="169" t="s">
        <v>6507</v>
      </c>
      <c r="E1101" s="167" t="str">
        <f>IFERROR(VLOOKUP(A1101,작성용!A:AL,34,0),"-")</f>
        <v>-</v>
      </c>
      <c r="F1101" s="168" t="s">
        <v>2</v>
      </c>
      <c r="G1101" s="179">
        <f>COUNTIF(작성용!A:B,$A1101)-COUNTIFS(작성용!A:A,$A1101,작성용!AA:AA,"평가철회")</f>
        <v>0</v>
      </c>
    </row>
    <row r="1102" spans="1:7" ht="16.5" customHeight="1" x14ac:dyDescent="0.3">
      <c r="A1102" s="170" t="s">
        <v>2325</v>
      </c>
      <c r="B1102" s="165" t="s">
        <v>2326</v>
      </c>
      <c r="C1102" s="165" t="str">
        <f>IFERROR(VLOOKUP($A1102,작성용!A:AL,14,0),"-")</f>
        <v>-</v>
      </c>
      <c r="D1102" s="169" t="s">
        <v>436</v>
      </c>
      <c r="E1102" s="167" t="str">
        <f>IFERROR(VLOOKUP(A1102,작성용!A:AL,34,0),"-")</f>
        <v>-</v>
      </c>
      <c r="F1102" s="168" t="s">
        <v>2</v>
      </c>
      <c r="G1102" s="179">
        <f>COUNTIF(작성용!A:B,$A1102)-COUNTIFS(작성용!A:A,$A1102,작성용!AA:AA,"평가철회")</f>
        <v>0</v>
      </c>
    </row>
    <row r="1103" spans="1:7" ht="16.5" customHeight="1" x14ac:dyDescent="0.3">
      <c r="A1103" s="170" t="s">
        <v>2327</v>
      </c>
      <c r="B1103" s="165" t="s">
        <v>2328</v>
      </c>
      <c r="C1103" s="165" t="str">
        <f>IFERROR(VLOOKUP($A1103,작성용!A:AL,14,0),"-")</f>
        <v>-</v>
      </c>
      <c r="D1103" s="169" t="s">
        <v>220</v>
      </c>
      <c r="E1103" s="167" t="str">
        <f>IFERROR(VLOOKUP(A1103,작성용!A:AL,34,0),"-")</f>
        <v>-</v>
      </c>
      <c r="F1103" s="168" t="s">
        <v>2</v>
      </c>
      <c r="G1103" s="179">
        <f>COUNTIF(작성용!A:B,$A1103)-COUNTIFS(작성용!A:A,$A1103,작성용!AA:AA,"평가철회")</f>
        <v>0</v>
      </c>
    </row>
    <row r="1104" spans="1:7" ht="16.5" customHeight="1" x14ac:dyDescent="0.3">
      <c r="A1104" s="170" t="s">
        <v>2329</v>
      </c>
      <c r="B1104" s="165" t="s">
        <v>6512</v>
      </c>
      <c r="C1104" s="165" t="str">
        <f>IFERROR(VLOOKUP($A1104,작성용!A:AL,14,0),"-")</f>
        <v>-</v>
      </c>
      <c r="D1104" s="169" t="s">
        <v>6427</v>
      </c>
      <c r="E1104" s="167" t="str">
        <f>IFERROR(VLOOKUP(A1104,작성용!A:AL,34,0),"-")</f>
        <v>-</v>
      </c>
      <c r="F1104" s="168" t="s">
        <v>6304</v>
      </c>
      <c r="G1104" s="179">
        <f>COUNTIF(작성용!A:B,$A1104)-COUNTIFS(작성용!A:A,$A1104,작성용!AA:AA,"평가철회")</f>
        <v>0</v>
      </c>
    </row>
    <row r="1105" spans="1:7" ht="16.5" customHeight="1" x14ac:dyDescent="0.3">
      <c r="A1105" s="170" t="s">
        <v>2330</v>
      </c>
      <c r="B1105" s="165" t="s">
        <v>2331</v>
      </c>
      <c r="C1105" s="165" t="str">
        <f>IFERROR(VLOOKUP($A1105,작성용!A:AL,14,0),"-")</f>
        <v>-</v>
      </c>
      <c r="D1105" s="169" t="s">
        <v>492</v>
      </c>
      <c r="E1105" s="167" t="str">
        <f>IFERROR(VLOOKUP(A1105,작성용!A:AL,34,0),"-")</f>
        <v>-</v>
      </c>
      <c r="F1105" s="168" t="s">
        <v>2</v>
      </c>
      <c r="G1105" s="179">
        <f>COUNTIF(작성용!A:B,$A1105)-COUNTIFS(작성용!A:A,$A1105,작성용!AA:AA,"평가철회")</f>
        <v>0</v>
      </c>
    </row>
    <row r="1106" spans="1:7" ht="16.5" customHeight="1" x14ac:dyDescent="0.3">
      <c r="A1106" s="170" t="s">
        <v>2332</v>
      </c>
      <c r="B1106" s="165" t="s">
        <v>2333</v>
      </c>
      <c r="C1106" s="165" t="str">
        <f>IFERROR(VLOOKUP($A1106,작성용!A:AL,14,0),"-")</f>
        <v>-</v>
      </c>
      <c r="D1106" s="169" t="s">
        <v>6513</v>
      </c>
      <c r="E1106" s="167" t="str">
        <f>IFERROR(VLOOKUP(A1106,작성용!A:AL,34,0),"-")</f>
        <v>-</v>
      </c>
      <c r="F1106" s="168" t="s">
        <v>6382</v>
      </c>
      <c r="G1106" s="179">
        <f>COUNTIF(작성용!A:B,$A1106)-COUNTIFS(작성용!A:A,$A1106,작성용!AA:AA,"평가철회")</f>
        <v>0</v>
      </c>
    </row>
    <row r="1107" spans="1:7" ht="16.5" customHeight="1" x14ac:dyDescent="0.3">
      <c r="A1107" s="170" t="s">
        <v>2334</v>
      </c>
      <c r="B1107" s="165" t="s">
        <v>2335</v>
      </c>
      <c r="C1107" s="165" t="str">
        <f>IFERROR(VLOOKUP($A1107,작성용!A:AL,14,0),"-")</f>
        <v>-</v>
      </c>
      <c r="D1107" s="169" t="s">
        <v>220</v>
      </c>
      <c r="E1107" s="167" t="str">
        <f>IFERROR(VLOOKUP(A1107,작성용!A:AL,34,0),"-")</f>
        <v>-</v>
      </c>
      <c r="F1107" s="168" t="s">
        <v>2</v>
      </c>
      <c r="G1107" s="179">
        <f>COUNTIF(작성용!A:B,$A1107)-COUNTIFS(작성용!A:A,$A1107,작성용!AA:AA,"평가철회")</f>
        <v>0</v>
      </c>
    </row>
    <row r="1108" spans="1:7" ht="16.5" customHeight="1" x14ac:dyDescent="0.3">
      <c r="A1108" s="170" t="s">
        <v>2336</v>
      </c>
      <c r="B1108" s="165" t="s">
        <v>2337</v>
      </c>
      <c r="C1108" s="165" t="str">
        <f>IFERROR(VLOOKUP($A1108,작성용!A:AL,14,0),"-")</f>
        <v>분기</v>
      </c>
      <c r="D1108" s="169" t="s">
        <v>6445</v>
      </c>
      <c r="E1108" s="167" t="str">
        <f>IFERROR(VLOOKUP(A1108,작성용!A:AL,34,0),"-")</f>
        <v>채동우</v>
      </c>
      <c r="F1108" s="168" t="s">
        <v>6381</v>
      </c>
      <c r="G1108" s="179">
        <f>COUNTIF(작성용!A:B,$A1108)-COUNTIFS(작성용!A:A,$A1108,작성용!AA:AA,"평가철회")</f>
        <v>26</v>
      </c>
    </row>
    <row r="1109" spans="1:7" ht="16.5" customHeight="1" x14ac:dyDescent="0.3">
      <c r="A1109" s="170" t="s">
        <v>2338</v>
      </c>
      <c r="B1109" s="165" t="s">
        <v>2339</v>
      </c>
      <c r="C1109" s="165" t="str">
        <f>IFERROR(VLOOKUP($A1109,작성용!A:AL,14,0),"-")</f>
        <v>-</v>
      </c>
      <c r="D1109" s="169" t="s">
        <v>495</v>
      </c>
      <c r="E1109" s="167" t="str">
        <f>IFERROR(VLOOKUP(A1109,작성용!A:AL,34,0),"-")</f>
        <v>-</v>
      </c>
      <c r="F1109" s="168" t="s">
        <v>2</v>
      </c>
      <c r="G1109" s="179">
        <f>COUNTIF(작성용!A:B,$A1109)-COUNTIFS(작성용!A:A,$A1109,작성용!AA:AA,"평가철회")</f>
        <v>0</v>
      </c>
    </row>
    <row r="1110" spans="1:7" ht="16.5" customHeight="1" x14ac:dyDescent="0.3">
      <c r="A1110" s="170" t="s">
        <v>2340</v>
      </c>
      <c r="B1110" s="165" t="s">
        <v>1370</v>
      </c>
      <c r="C1110" s="165" t="str">
        <f>IFERROR(VLOOKUP($A1110,작성용!A:AL,14,0),"-")</f>
        <v>-</v>
      </c>
      <c r="D1110" s="169" t="s">
        <v>436</v>
      </c>
      <c r="E1110" s="167" t="str">
        <f>IFERROR(VLOOKUP(A1110,작성용!A:AL,34,0),"-")</f>
        <v>-</v>
      </c>
      <c r="F1110" s="168" t="s">
        <v>6382</v>
      </c>
      <c r="G1110" s="179">
        <f>COUNTIF(작성용!A:B,$A1110)-COUNTIFS(작성용!A:A,$A1110,작성용!AA:AA,"평가철회")</f>
        <v>0</v>
      </c>
    </row>
    <row r="1111" spans="1:7" ht="16.5" customHeight="1" x14ac:dyDescent="0.3">
      <c r="A1111" s="170" t="s">
        <v>2341</v>
      </c>
      <c r="B1111" s="165" t="s">
        <v>3526</v>
      </c>
      <c r="C1111" s="165" t="str">
        <f>IFERROR(VLOOKUP($A1111,작성용!A:AL,14,0),"-")</f>
        <v>분기</v>
      </c>
      <c r="D1111" s="169" t="s">
        <v>6440</v>
      </c>
      <c r="E1111" s="167" t="str">
        <f>IFERROR(VLOOKUP(A1111,작성용!A:AL,34,0),"-")</f>
        <v>김예림</v>
      </c>
      <c r="F1111" s="168" t="s">
        <v>6283</v>
      </c>
      <c r="G1111" s="179">
        <f>COUNTIF(작성용!A:B,$A1111)-COUNTIFS(작성용!A:A,$A1111,작성용!AA:AA,"평가철회")</f>
        <v>29</v>
      </c>
    </row>
    <row r="1112" spans="1:7" ht="16.5" customHeight="1" x14ac:dyDescent="0.3">
      <c r="A1112" s="170" t="s">
        <v>2342</v>
      </c>
      <c r="B1112" s="165" t="s">
        <v>2343</v>
      </c>
      <c r="C1112" s="165" t="str">
        <f>IFERROR(VLOOKUP($A1112,작성용!A:AL,14,0),"-")</f>
        <v>-</v>
      </c>
      <c r="D1112" s="169" t="s">
        <v>2344</v>
      </c>
      <c r="E1112" s="167" t="str">
        <f>IFERROR(VLOOKUP(A1112,작성용!A:AL,34,0),"-")</f>
        <v>-</v>
      </c>
      <c r="F1112" s="168" t="s">
        <v>2</v>
      </c>
      <c r="G1112" s="179">
        <f>COUNTIF(작성용!A:B,$A1112)-COUNTIFS(작성용!A:A,$A1112,작성용!AA:AA,"평가철회")</f>
        <v>0</v>
      </c>
    </row>
    <row r="1113" spans="1:7" ht="16.5" customHeight="1" x14ac:dyDescent="0.3">
      <c r="A1113" s="170" t="s">
        <v>2345</v>
      </c>
      <c r="B1113" s="165" t="s">
        <v>2346</v>
      </c>
      <c r="C1113" s="165" t="str">
        <f>IFERROR(VLOOKUP($A1113,작성용!A:AL,14,0),"-")</f>
        <v>-</v>
      </c>
      <c r="D1113" s="169" t="s">
        <v>220</v>
      </c>
      <c r="E1113" s="167" t="str">
        <f>IFERROR(VLOOKUP(A1113,작성용!A:AL,34,0),"-")</f>
        <v>-</v>
      </c>
      <c r="F1113" s="168" t="s">
        <v>2</v>
      </c>
      <c r="G1113" s="179">
        <f>COUNTIF(작성용!A:B,$A1113)-COUNTIFS(작성용!A:A,$A1113,작성용!AA:AA,"평가철회")</f>
        <v>0</v>
      </c>
    </row>
    <row r="1114" spans="1:7" ht="16.5" customHeight="1" x14ac:dyDescent="0.3">
      <c r="A1114" s="170" t="s">
        <v>2347</v>
      </c>
      <c r="B1114" s="165" t="s">
        <v>2348</v>
      </c>
      <c r="C1114" s="165" t="str">
        <f>IFERROR(VLOOKUP($A1114,작성용!A:AL,14,0),"-")</f>
        <v>-</v>
      </c>
      <c r="D1114" s="169" t="s">
        <v>220</v>
      </c>
      <c r="E1114" s="167" t="str">
        <f>IFERROR(VLOOKUP(A1114,작성용!A:AL,34,0),"-")</f>
        <v>-</v>
      </c>
      <c r="F1114" s="168" t="s">
        <v>2</v>
      </c>
      <c r="G1114" s="179">
        <f>COUNTIF(작성용!A:B,$A1114)-COUNTIFS(작성용!A:A,$A1114,작성용!AA:AA,"평가철회")</f>
        <v>0</v>
      </c>
    </row>
    <row r="1115" spans="1:7" ht="16.5" customHeight="1" x14ac:dyDescent="0.3">
      <c r="A1115" s="170" t="s">
        <v>2349</v>
      </c>
      <c r="B1115" s="165" t="s">
        <v>1374</v>
      </c>
      <c r="C1115" s="165" t="str">
        <f>IFERROR(VLOOKUP($A1115,작성용!A:AL,14,0),"-")</f>
        <v>-</v>
      </c>
      <c r="D1115" s="169" t="s">
        <v>436</v>
      </c>
      <c r="E1115" s="167" t="str">
        <f>IFERROR(VLOOKUP(A1115,작성용!A:AL,34,0),"-")</f>
        <v>-</v>
      </c>
      <c r="F1115" s="168" t="s">
        <v>2</v>
      </c>
      <c r="G1115" s="179">
        <f>COUNTIF(작성용!A:B,$A1115)-COUNTIFS(작성용!A:A,$A1115,작성용!AA:AA,"평가철회")</f>
        <v>0</v>
      </c>
    </row>
    <row r="1116" spans="1:7" ht="16.5" customHeight="1" x14ac:dyDescent="0.3">
      <c r="A1116" s="170" t="s">
        <v>2350</v>
      </c>
      <c r="B1116" s="165" t="s">
        <v>6514</v>
      </c>
      <c r="C1116" s="165" t="str">
        <f>IFERROR(VLOOKUP($A1116,작성용!A:AL,14,0),"-")</f>
        <v>-</v>
      </c>
      <c r="D1116" s="169" t="s">
        <v>6437</v>
      </c>
      <c r="E1116" s="167" t="str">
        <f>IFERROR(VLOOKUP(A1116,작성용!A:AL,34,0),"-")</f>
        <v>-</v>
      </c>
      <c r="F1116" s="168" t="s">
        <v>6382</v>
      </c>
      <c r="G1116" s="179">
        <f>COUNTIF(작성용!A:B,$A1116)-COUNTIFS(작성용!A:A,$A1116,작성용!AA:AA,"평가철회")</f>
        <v>0</v>
      </c>
    </row>
    <row r="1117" spans="1:7" ht="16.5" customHeight="1" x14ac:dyDescent="0.3">
      <c r="A1117" s="170" t="s">
        <v>2351</v>
      </c>
      <c r="B1117" s="165" t="s">
        <v>2352</v>
      </c>
      <c r="C1117" s="165" t="str">
        <f>IFERROR(VLOOKUP($A1117,작성용!A:AL,14,0),"-")</f>
        <v>-</v>
      </c>
      <c r="D1117" s="169" t="s">
        <v>220</v>
      </c>
      <c r="E1117" s="167" t="str">
        <f>IFERROR(VLOOKUP(A1117,작성용!A:AL,34,0),"-")</f>
        <v>-</v>
      </c>
      <c r="F1117" s="168" t="s">
        <v>6382</v>
      </c>
      <c r="G1117" s="179">
        <f>COUNTIF(작성용!A:B,$A1117)-COUNTIFS(작성용!A:A,$A1117,작성용!AA:AA,"평가철회")</f>
        <v>0</v>
      </c>
    </row>
    <row r="1118" spans="1:7" ht="16.5" customHeight="1" x14ac:dyDescent="0.3">
      <c r="A1118" s="170" t="s">
        <v>2353</v>
      </c>
      <c r="B1118" s="165" t="s">
        <v>2354</v>
      </c>
      <c r="C1118" s="165" t="str">
        <f>IFERROR(VLOOKUP($A1118,작성용!A:AL,14,0),"-")</f>
        <v>-</v>
      </c>
      <c r="D1118" s="169" t="s">
        <v>6281</v>
      </c>
      <c r="E1118" s="167" t="str">
        <f>IFERROR(VLOOKUP(A1118,작성용!A:AL,34,0),"-")</f>
        <v>-</v>
      </c>
      <c r="F1118" s="168" t="s">
        <v>6378</v>
      </c>
      <c r="G1118" s="179">
        <f>COUNTIF(작성용!A:B,$A1118)-COUNTIFS(작성용!A:A,$A1118,작성용!AA:AA,"평가철회")</f>
        <v>0</v>
      </c>
    </row>
    <row r="1119" spans="1:7" ht="16.5" customHeight="1" x14ac:dyDescent="0.3">
      <c r="A1119" s="170" t="s">
        <v>2355</v>
      </c>
      <c r="B1119" s="165" t="s">
        <v>6515</v>
      </c>
      <c r="C1119" s="165" t="str">
        <f>IFERROR(VLOOKUP($A1119,작성용!A:AL,14,0),"-")</f>
        <v>-</v>
      </c>
      <c r="D1119" s="169" t="s">
        <v>6400</v>
      </c>
      <c r="E1119" s="167" t="str">
        <f>IFERROR(VLOOKUP(A1119,작성용!A:AL,34,0),"-")</f>
        <v>-</v>
      </c>
      <c r="F1119" s="168" t="s">
        <v>6378</v>
      </c>
      <c r="G1119" s="179">
        <f>COUNTIF(작성용!A:B,$A1119)-COUNTIFS(작성용!A:A,$A1119,작성용!AA:AA,"평가철회")</f>
        <v>0</v>
      </c>
    </row>
    <row r="1120" spans="1:7" ht="16.5" customHeight="1" x14ac:dyDescent="0.3">
      <c r="A1120" s="170" t="s">
        <v>2356</v>
      </c>
      <c r="B1120" s="165" t="s">
        <v>6516</v>
      </c>
      <c r="C1120" s="165" t="str">
        <f>IFERROR(VLOOKUP($A1120,작성용!A:AL,14,0),"-")</f>
        <v>-</v>
      </c>
      <c r="D1120" s="169" t="s">
        <v>6292</v>
      </c>
      <c r="E1120" s="167" t="str">
        <f>IFERROR(VLOOKUP(A1120,작성용!A:AL,34,0),"-")</f>
        <v>-</v>
      </c>
      <c r="F1120" s="168" t="s">
        <v>6304</v>
      </c>
      <c r="G1120" s="179">
        <f>COUNTIF(작성용!A:B,$A1120)-COUNTIFS(작성용!A:A,$A1120,작성용!AA:AA,"평가철회")</f>
        <v>0</v>
      </c>
    </row>
    <row r="1121" spans="1:7" ht="16.5" customHeight="1" x14ac:dyDescent="0.3">
      <c r="A1121" s="170" t="s">
        <v>2357</v>
      </c>
      <c r="B1121" s="165" t="s">
        <v>2358</v>
      </c>
      <c r="C1121" s="165" t="str">
        <f>IFERROR(VLOOKUP($A1121,작성용!A:AL,14,0),"-")</f>
        <v>-</v>
      </c>
      <c r="D1121" s="169" t="s">
        <v>220</v>
      </c>
      <c r="E1121" s="167" t="str">
        <f>IFERROR(VLOOKUP(A1121,작성용!A:AL,34,0),"-")</f>
        <v>-</v>
      </c>
      <c r="F1121" s="168" t="s">
        <v>2</v>
      </c>
      <c r="G1121" s="179">
        <f>COUNTIF(작성용!A:B,$A1121)-COUNTIFS(작성용!A:A,$A1121,작성용!AA:AA,"평가철회")</f>
        <v>0</v>
      </c>
    </row>
    <row r="1122" spans="1:7" ht="16.5" customHeight="1" x14ac:dyDescent="0.3">
      <c r="A1122" s="170" t="s">
        <v>2359</v>
      </c>
      <c r="B1122" s="165" t="s">
        <v>6517</v>
      </c>
      <c r="C1122" s="165" t="str">
        <f>IFERROR(VLOOKUP($A1122,작성용!A:AL,14,0),"-")</f>
        <v>-</v>
      </c>
      <c r="D1122" s="169" t="s">
        <v>6301</v>
      </c>
      <c r="E1122" s="167" t="str">
        <f>IFERROR(VLOOKUP(A1122,작성용!A:AL,34,0),"-")</f>
        <v>-</v>
      </c>
      <c r="F1122" s="168" t="s">
        <v>6283</v>
      </c>
      <c r="G1122" s="179">
        <f>COUNTIF(작성용!A:B,$A1122)-COUNTIFS(작성용!A:A,$A1122,작성용!AA:AA,"평가철회")</f>
        <v>0</v>
      </c>
    </row>
    <row r="1123" spans="1:7" ht="16.5" customHeight="1" x14ac:dyDescent="0.3">
      <c r="A1123" s="170" t="s">
        <v>2360</v>
      </c>
      <c r="B1123" s="165" t="s">
        <v>2361</v>
      </c>
      <c r="C1123" s="165" t="str">
        <f>IFERROR(VLOOKUP($A1123,작성용!A:AL,14,0),"-")</f>
        <v>-</v>
      </c>
      <c r="D1123" s="169" t="s">
        <v>220</v>
      </c>
      <c r="E1123" s="167" t="str">
        <f>IFERROR(VLOOKUP(A1123,작성용!A:AL,34,0),"-")</f>
        <v>-</v>
      </c>
      <c r="F1123" s="168" t="s">
        <v>2</v>
      </c>
      <c r="G1123" s="179">
        <f>COUNTIF(작성용!A:B,$A1123)-COUNTIFS(작성용!A:A,$A1123,작성용!AA:AA,"평가철회")</f>
        <v>0</v>
      </c>
    </row>
    <row r="1124" spans="1:7" ht="16.5" customHeight="1" x14ac:dyDescent="0.3">
      <c r="A1124" s="170" t="s">
        <v>2362</v>
      </c>
      <c r="B1124" s="165" t="s">
        <v>2363</v>
      </c>
      <c r="C1124" s="165" t="str">
        <f>IFERROR(VLOOKUP($A1124,작성용!A:AL,14,0),"-")</f>
        <v>-</v>
      </c>
      <c r="D1124" s="169" t="s">
        <v>220</v>
      </c>
      <c r="E1124" s="167" t="str">
        <f>IFERROR(VLOOKUP(A1124,작성용!A:AL,34,0),"-")</f>
        <v>-</v>
      </c>
      <c r="F1124" s="168" t="s">
        <v>2</v>
      </c>
      <c r="G1124" s="179">
        <f>COUNTIF(작성용!A:B,$A1124)-COUNTIFS(작성용!A:A,$A1124,작성용!AA:AA,"평가철회")</f>
        <v>0</v>
      </c>
    </row>
    <row r="1125" spans="1:7" ht="16.5" customHeight="1" x14ac:dyDescent="0.3">
      <c r="A1125" s="170" t="s">
        <v>2364</v>
      </c>
      <c r="B1125" s="165" t="s">
        <v>2302</v>
      </c>
      <c r="C1125" s="165" t="str">
        <f>IFERROR(VLOOKUP($A1125,작성용!A:AL,14,0),"-")</f>
        <v>-</v>
      </c>
      <c r="D1125" s="169" t="s">
        <v>635</v>
      </c>
      <c r="E1125" s="167" t="str">
        <f>IFERROR(VLOOKUP(A1125,작성용!A:AL,34,0),"-")</f>
        <v>-</v>
      </c>
      <c r="F1125" s="168" t="s">
        <v>2</v>
      </c>
      <c r="G1125" s="179">
        <f>COUNTIF(작성용!A:B,$A1125)-COUNTIFS(작성용!A:A,$A1125,작성용!AA:AA,"평가철회")</f>
        <v>0</v>
      </c>
    </row>
    <row r="1126" spans="1:7" ht="16.5" customHeight="1" x14ac:dyDescent="0.3">
      <c r="A1126" s="170" t="s">
        <v>2365</v>
      </c>
      <c r="B1126" s="165" t="s">
        <v>2366</v>
      </c>
      <c r="C1126" s="165" t="str">
        <f>IFERROR(VLOOKUP($A1126,작성용!A:AL,14,0),"-")</f>
        <v>-</v>
      </c>
      <c r="D1126" s="169" t="s">
        <v>220</v>
      </c>
      <c r="E1126" s="167" t="str">
        <f>IFERROR(VLOOKUP(A1126,작성용!A:AL,34,0),"-")</f>
        <v>-</v>
      </c>
      <c r="F1126" s="168" t="s">
        <v>2</v>
      </c>
      <c r="G1126" s="179">
        <f>COUNTIF(작성용!A:B,$A1126)-COUNTIFS(작성용!A:A,$A1126,작성용!AA:AA,"평가철회")</f>
        <v>0</v>
      </c>
    </row>
    <row r="1127" spans="1:7" ht="16.5" customHeight="1" x14ac:dyDescent="0.3">
      <c r="A1127" s="170" t="s">
        <v>2367</v>
      </c>
      <c r="B1127" s="165" t="s">
        <v>2368</v>
      </c>
      <c r="C1127" s="165" t="str">
        <f>IFERROR(VLOOKUP($A1127,작성용!A:AL,14,0),"-")</f>
        <v>-</v>
      </c>
      <c r="D1127" s="169" t="s">
        <v>220</v>
      </c>
      <c r="E1127" s="167" t="str">
        <f>IFERROR(VLOOKUP(A1127,작성용!A:AL,34,0),"-")</f>
        <v>-</v>
      </c>
      <c r="F1127" s="168" t="s">
        <v>6283</v>
      </c>
      <c r="G1127" s="179">
        <f>COUNTIF(작성용!A:B,$A1127)-COUNTIFS(작성용!A:A,$A1127,작성용!AA:AA,"평가철회")</f>
        <v>0</v>
      </c>
    </row>
    <row r="1128" spans="1:7" ht="16.5" customHeight="1" x14ac:dyDescent="0.3">
      <c r="A1128" s="170" t="s">
        <v>2369</v>
      </c>
      <c r="B1128" s="165" t="s">
        <v>2370</v>
      </c>
      <c r="C1128" s="165" t="str">
        <f>IFERROR(VLOOKUP($A1128,작성용!A:AL,14,0),"-")</f>
        <v>-</v>
      </c>
      <c r="D1128" s="169" t="s">
        <v>220</v>
      </c>
      <c r="E1128" s="167" t="str">
        <f>IFERROR(VLOOKUP(A1128,작성용!A:AL,34,0),"-")</f>
        <v>-</v>
      </c>
      <c r="F1128" s="168" t="s">
        <v>6283</v>
      </c>
      <c r="G1128" s="179">
        <f>COUNTIF(작성용!A:B,$A1128)-COUNTIFS(작성용!A:A,$A1128,작성용!AA:AA,"평가철회")</f>
        <v>0</v>
      </c>
    </row>
    <row r="1129" spans="1:7" ht="16.5" customHeight="1" x14ac:dyDescent="0.3">
      <c r="A1129" s="170" t="s">
        <v>2371</v>
      </c>
      <c r="B1129" s="165" t="s">
        <v>2372</v>
      </c>
      <c r="C1129" s="165" t="str">
        <f>IFERROR(VLOOKUP($A1129,작성용!A:AL,14,0),"-")</f>
        <v>-</v>
      </c>
      <c r="D1129" s="169" t="s">
        <v>220</v>
      </c>
      <c r="E1129" s="167" t="str">
        <f>IFERROR(VLOOKUP(A1129,작성용!A:AL,34,0),"-")</f>
        <v>-</v>
      </c>
      <c r="F1129" s="168" t="s">
        <v>2</v>
      </c>
      <c r="G1129" s="179">
        <f>COUNTIF(작성용!A:B,$A1129)-COUNTIFS(작성용!A:A,$A1129,작성용!AA:AA,"평가철회")</f>
        <v>0</v>
      </c>
    </row>
    <row r="1130" spans="1:7" ht="16.5" customHeight="1" x14ac:dyDescent="0.3">
      <c r="A1130" s="170" t="s">
        <v>2373</v>
      </c>
      <c r="B1130" s="165" t="s">
        <v>6518</v>
      </c>
      <c r="C1130" s="165" t="str">
        <f>IFERROR(VLOOKUP($A1130,작성용!A:AL,14,0),"-")</f>
        <v>-</v>
      </c>
      <c r="D1130" s="169" t="s">
        <v>6292</v>
      </c>
      <c r="E1130" s="167" t="str">
        <f>IFERROR(VLOOKUP(A1130,작성용!A:AL,34,0),"-")</f>
        <v>-</v>
      </c>
      <c r="F1130" s="168" t="s">
        <v>6304</v>
      </c>
      <c r="G1130" s="179">
        <f>COUNTIF(작성용!A:B,$A1130)-COUNTIFS(작성용!A:A,$A1130,작성용!AA:AA,"평가철회")</f>
        <v>0</v>
      </c>
    </row>
    <row r="1131" spans="1:7" ht="16.5" customHeight="1" x14ac:dyDescent="0.3">
      <c r="A1131" s="170" t="s">
        <v>2374</v>
      </c>
      <c r="B1131" s="165" t="s">
        <v>6519</v>
      </c>
      <c r="C1131" s="165" t="str">
        <f>IFERROR(VLOOKUP($A1131,작성용!A:AL,14,0),"-")</f>
        <v>-</v>
      </c>
      <c r="D1131" s="169" t="s">
        <v>6301</v>
      </c>
      <c r="E1131" s="167" t="str">
        <f>IFERROR(VLOOKUP(A1131,작성용!A:AL,34,0),"-")</f>
        <v>-</v>
      </c>
      <c r="F1131" s="168" t="s">
        <v>6382</v>
      </c>
      <c r="G1131" s="179">
        <f>COUNTIF(작성용!A:B,$A1131)-COUNTIFS(작성용!A:A,$A1131,작성용!AA:AA,"평가철회")</f>
        <v>0</v>
      </c>
    </row>
    <row r="1132" spans="1:7" ht="16.5" customHeight="1" x14ac:dyDescent="0.3">
      <c r="A1132" s="170" t="s">
        <v>2375</v>
      </c>
      <c r="B1132" s="165" t="s">
        <v>6520</v>
      </c>
      <c r="C1132" s="165" t="str">
        <f>IFERROR(VLOOKUP($A1132,작성용!A:AL,14,0),"-")</f>
        <v>-</v>
      </c>
      <c r="D1132" s="169" t="s">
        <v>6469</v>
      </c>
      <c r="E1132" s="167" t="str">
        <f>IFERROR(VLOOKUP(A1132,작성용!A:AL,34,0),"-")</f>
        <v>-</v>
      </c>
      <c r="F1132" s="168" t="s">
        <v>6304</v>
      </c>
      <c r="G1132" s="179">
        <f>COUNTIF(작성용!A:B,$A1132)-COUNTIFS(작성용!A:A,$A1132,작성용!AA:AA,"평가철회")</f>
        <v>0</v>
      </c>
    </row>
    <row r="1133" spans="1:7" ht="16.5" customHeight="1" x14ac:dyDescent="0.3">
      <c r="A1133" s="170" t="s">
        <v>2376</v>
      </c>
      <c r="B1133" s="165" t="s">
        <v>1378</v>
      </c>
      <c r="C1133" s="165" t="str">
        <f>IFERROR(VLOOKUP($A1133,작성용!A:AL,14,0),"-")</f>
        <v>-</v>
      </c>
      <c r="D1133" s="169" t="s">
        <v>6375</v>
      </c>
      <c r="E1133" s="167" t="str">
        <f>IFERROR(VLOOKUP(A1133,작성용!A:AL,34,0),"-")</f>
        <v>-</v>
      </c>
      <c r="F1133" s="168" t="s">
        <v>6382</v>
      </c>
      <c r="G1133" s="179">
        <f>COUNTIF(작성용!A:B,$A1133)-COUNTIFS(작성용!A:A,$A1133,작성용!AA:AA,"평가철회")</f>
        <v>0</v>
      </c>
    </row>
    <row r="1134" spans="1:7" ht="16.5" customHeight="1" x14ac:dyDescent="0.3">
      <c r="A1134" s="170" t="s">
        <v>2377</v>
      </c>
      <c r="B1134" s="165" t="s">
        <v>2378</v>
      </c>
      <c r="C1134" s="165" t="str">
        <f>IFERROR(VLOOKUP($A1134,작성용!A:AL,14,0),"-")</f>
        <v>-</v>
      </c>
      <c r="D1134" s="169" t="s">
        <v>220</v>
      </c>
      <c r="E1134" s="167" t="str">
        <f>IFERROR(VLOOKUP(A1134,작성용!A:AL,34,0),"-")</f>
        <v>-</v>
      </c>
      <c r="F1134" s="168" t="s">
        <v>2</v>
      </c>
      <c r="G1134" s="179">
        <f>COUNTIF(작성용!A:B,$A1134)-COUNTIFS(작성용!A:A,$A1134,작성용!AA:AA,"평가철회")</f>
        <v>0</v>
      </c>
    </row>
    <row r="1135" spans="1:7" ht="16.5" customHeight="1" x14ac:dyDescent="0.3">
      <c r="A1135" s="170" t="s">
        <v>2379</v>
      </c>
      <c r="B1135" s="165" t="s">
        <v>2380</v>
      </c>
      <c r="C1135" s="165" t="str">
        <f>IFERROR(VLOOKUP($A1135,작성용!A:AL,14,0),"-")</f>
        <v>-</v>
      </c>
      <c r="D1135" s="169" t="s">
        <v>220</v>
      </c>
      <c r="E1135" s="167" t="str">
        <f>IFERROR(VLOOKUP(A1135,작성용!A:AL,34,0),"-")</f>
        <v>-</v>
      </c>
      <c r="F1135" s="168" t="s">
        <v>2</v>
      </c>
      <c r="G1135" s="179">
        <f>COUNTIF(작성용!A:B,$A1135)-COUNTIFS(작성용!A:A,$A1135,작성용!AA:AA,"평가철회")</f>
        <v>0</v>
      </c>
    </row>
    <row r="1136" spans="1:7" ht="16.5" customHeight="1" x14ac:dyDescent="0.3">
      <c r="A1136" s="170" t="s">
        <v>2381</v>
      </c>
      <c r="B1136" s="165" t="s">
        <v>2382</v>
      </c>
      <c r="C1136" s="165" t="str">
        <f>IFERROR(VLOOKUP($A1136,작성용!A:AL,14,0),"-")</f>
        <v>-</v>
      </c>
      <c r="D1136" s="169" t="s">
        <v>6443</v>
      </c>
      <c r="E1136" s="167" t="str">
        <f>IFERROR(VLOOKUP(A1136,작성용!A:AL,34,0),"-")</f>
        <v>-</v>
      </c>
      <c r="F1136" s="168" t="s">
        <v>6382</v>
      </c>
      <c r="G1136" s="179">
        <f>COUNTIF(작성용!A:B,$A1136)-COUNTIFS(작성용!A:A,$A1136,작성용!AA:AA,"평가철회")</f>
        <v>0</v>
      </c>
    </row>
    <row r="1137" spans="1:7" ht="16.5" customHeight="1" x14ac:dyDescent="0.3">
      <c r="A1137" s="170" t="s">
        <v>2383</v>
      </c>
      <c r="B1137" s="165" t="s">
        <v>2384</v>
      </c>
      <c r="C1137" s="165" t="str">
        <f>IFERROR(VLOOKUP($A1137,작성용!A:AL,14,0),"-")</f>
        <v>-</v>
      </c>
      <c r="D1137" s="169" t="s">
        <v>6377</v>
      </c>
      <c r="E1137" s="167" t="str">
        <f>IFERROR(VLOOKUP(A1137,작성용!A:AL,34,0),"-")</f>
        <v>-</v>
      </c>
      <c r="F1137" s="168" t="s">
        <v>2</v>
      </c>
      <c r="G1137" s="179">
        <f>COUNTIF(작성용!A:B,$A1137)-COUNTIFS(작성용!A:A,$A1137,작성용!AA:AA,"평가철회")</f>
        <v>0</v>
      </c>
    </row>
    <row r="1138" spans="1:7" ht="16.5" customHeight="1" x14ac:dyDescent="0.3">
      <c r="A1138" s="170" t="s">
        <v>2385</v>
      </c>
      <c r="B1138" s="165" t="s">
        <v>2386</v>
      </c>
      <c r="C1138" s="165" t="str">
        <f>IFERROR(VLOOKUP($A1138,작성용!A:AL,14,0),"-")</f>
        <v>-</v>
      </c>
      <c r="D1138" s="169" t="s">
        <v>556</v>
      </c>
      <c r="E1138" s="167" t="str">
        <f>IFERROR(VLOOKUP(A1138,작성용!A:AL,34,0),"-")</f>
        <v>-</v>
      </c>
      <c r="F1138" s="168" t="s">
        <v>2</v>
      </c>
      <c r="G1138" s="179">
        <f>COUNTIF(작성용!A:B,$A1138)-COUNTIFS(작성용!A:A,$A1138,작성용!AA:AA,"평가철회")</f>
        <v>0</v>
      </c>
    </row>
    <row r="1139" spans="1:7" ht="16.5" customHeight="1" x14ac:dyDescent="0.3">
      <c r="A1139" s="170" t="s">
        <v>2387</v>
      </c>
      <c r="B1139" s="165" t="s">
        <v>2388</v>
      </c>
      <c r="C1139" s="165" t="str">
        <f>IFERROR(VLOOKUP($A1139,작성용!A:AL,14,0),"-")</f>
        <v>-</v>
      </c>
      <c r="D1139" s="169" t="s">
        <v>521</v>
      </c>
      <c r="E1139" s="167" t="str">
        <f>IFERROR(VLOOKUP(A1139,작성용!A:AL,34,0),"-")</f>
        <v>-</v>
      </c>
      <c r="F1139" s="168" t="s">
        <v>2</v>
      </c>
      <c r="G1139" s="179">
        <f>COUNTIF(작성용!A:B,$A1139)-COUNTIFS(작성용!A:A,$A1139,작성용!AA:AA,"평가철회")</f>
        <v>0</v>
      </c>
    </row>
    <row r="1140" spans="1:7" ht="16.5" customHeight="1" x14ac:dyDescent="0.3">
      <c r="A1140" s="170" t="s">
        <v>2389</v>
      </c>
      <c r="B1140" s="165" t="s">
        <v>2390</v>
      </c>
      <c r="C1140" s="165" t="str">
        <f>IFERROR(VLOOKUP($A1140,작성용!A:AL,14,0),"-")</f>
        <v>-</v>
      </c>
      <c r="D1140" s="169" t="s">
        <v>6450</v>
      </c>
      <c r="E1140" s="167" t="str">
        <f>IFERROR(VLOOKUP(A1140,작성용!A:AL,34,0),"-")</f>
        <v>-</v>
      </c>
      <c r="F1140" s="168" t="s">
        <v>2</v>
      </c>
      <c r="G1140" s="179">
        <f>COUNTIF(작성용!A:B,$A1140)-COUNTIFS(작성용!A:A,$A1140,작성용!AA:AA,"평가철회")</f>
        <v>0</v>
      </c>
    </row>
    <row r="1141" spans="1:7" ht="16.5" customHeight="1" x14ac:dyDescent="0.3">
      <c r="A1141" s="170" t="s">
        <v>2391</v>
      </c>
      <c r="B1141" s="165" t="s">
        <v>2392</v>
      </c>
      <c r="C1141" s="165" t="str">
        <f>IFERROR(VLOOKUP($A1141,작성용!A:AL,14,0),"-")</f>
        <v>-</v>
      </c>
      <c r="D1141" s="169" t="s">
        <v>2</v>
      </c>
      <c r="E1141" s="167" t="str">
        <f>IFERROR(VLOOKUP(A1141,작성용!A:AL,34,0),"-")</f>
        <v>-</v>
      </c>
      <c r="F1141" s="168" t="s">
        <v>2</v>
      </c>
      <c r="G1141" s="179">
        <f>COUNTIF(작성용!A:B,$A1141)-COUNTIFS(작성용!A:A,$A1141,작성용!AA:AA,"평가철회")</f>
        <v>0</v>
      </c>
    </row>
    <row r="1142" spans="1:7" ht="16.5" customHeight="1" x14ac:dyDescent="0.3">
      <c r="A1142" s="170" t="s">
        <v>2393</v>
      </c>
      <c r="B1142" s="165" t="s">
        <v>6515</v>
      </c>
      <c r="C1142" s="165" t="str">
        <f>IFERROR(VLOOKUP($A1142,작성용!A:AL,14,0),"-")</f>
        <v>-</v>
      </c>
      <c r="D1142" s="169" t="s">
        <v>6437</v>
      </c>
      <c r="E1142" s="167" t="str">
        <f>IFERROR(VLOOKUP(A1142,작성용!A:AL,34,0),"-")</f>
        <v>-</v>
      </c>
      <c r="F1142" s="168" t="s">
        <v>6283</v>
      </c>
      <c r="G1142" s="179">
        <f>COUNTIF(작성용!A:B,$A1142)-COUNTIFS(작성용!A:A,$A1142,작성용!AA:AA,"평가철회")</f>
        <v>0</v>
      </c>
    </row>
    <row r="1143" spans="1:7" ht="16.5" customHeight="1" x14ac:dyDescent="0.3">
      <c r="A1143" s="170" t="s">
        <v>2394</v>
      </c>
      <c r="B1143" s="165" t="s">
        <v>2395</v>
      </c>
      <c r="C1143" s="165" t="str">
        <f>IFERROR(VLOOKUP($A1143,작성용!A:AL,14,0),"-")</f>
        <v>-</v>
      </c>
      <c r="D1143" s="169" t="s">
        <v>220</v>
      </c>
      <c r="E1143" s="167" t="str">
        <f>IFERROR(VLOOKUP(A1143,작성용!A:AL,34,0),"-")</f>
        <v>-</v>
      </c>
      <c r="F1143" s="168" t="s">
        <v>6382</v>
      </c>
      <c r="G1143" s="179">
        <f>COUNTIF(작성용!A:B,$A1143)-COUNTIFS(작성용!A:A,$A1143,작성용!AA:AA,"평가철회")</f>
        <v>0</v>
      </c>
    </row>
    <row r="1144" spans="1:7" ht="16.5" customHeight="1" x14ac:dyDescent="0.3">
      <c r="A1144" s="170" t="s">
        <v>2396</v>
      </c>
      <c r="B1144" s="165" t="s">
        <v>2397</v>
      </c>
      <c r="C1144" s="165" t="str">
        <f>IFERROR(VLOOKUP($A1144,작성용!A:AL,14,0),"-")</f>
        <v>-</v>
      </c>
      <c r="D1144" s="169" t="s">
        <v>495</v>
      </c>
      <c r="E1144" s="167" t="str">
        <f>IFERROR(VLOOKUP(A1144,작성용!A:AL,34,0),"-")</f>
        <v>-</v>
      </c>
      <c r="F1144" s="168" t="s">
        <v>2</v>
      </c>
      <c r="G1144" s="179">
        <f>COUNTIF(작성용!A:B,$A1144)-COUNTIFS(작성용!A:A,$A1144,작성용!AA:AA,"평가철회")</f>
        <v>0</v>
      </c>
    </row>
    <row r="1145" spans="1:7" ht="16.5" customHeight="1" x14ac:dyDescent="0.3">
      <c r="A1145" s="170" t="s">
        <v>2398</v>
      </c>
      <c r="B1145" s="165" t="s">
        <v>2399</v>
      </c>
      <c r="C1145" s="165" t="str">
        <f>IFERROR(VLOOKUP($A1145,작성용!A:AL,14,0),"-")</f>
        <v>-</v>
      </c>
      <c r="D1145" s="169" t="s">
        <v>6443</v>
      </c>
      <c r="E1145" s="167" t="str">
        <f>IFERROR(VLOOKUP(A1145,작성용!A:AL,34,0),"-")</f>
        <v>-</v>
      </c>
      <c r="F1145" s="168" t="s">
        <v>2</v>
      </c>
      <c r="G1145" s="179">
        <f>COUNTIF(작성용!A:B,$A1145)-COUNTIFS(작성용!A:A,$A1145,작성용!AA:AA,"평가철회")</f>
        <v>0</v>
      </c>
    </row>
    <row r="1146" spans="1:7" ht="16.5" customHeight="1" x14ac:dyDescent="0.3">
      <c r="A1146" s="170" t="s">
        <v>2400</v>
      </c>
      <c r="B1146" s="165" t="s">
        <v>2401</v>
      </c>
      <c r="C1146" s="165" t="str">
        <f>IFERROR(VLOOKUP($A1146,작성용!A:AL,14,0),"-")</f>
        <v>-</v>
      </c>
      <c r="D1146" s="169" t="s">
        <v>1619</v>
      </c>
      <c r="E1146" s="167" t="str">
        <f>IFERROR(VLOOKUP(A1146,작성용!A:AL,34,0),"-")</f>
        <v>-</v>
      </c>
      <c r="F1146" s="168" t="s">
        <v>2</v>
      </c>
      <c r="G1146" s="179">
        <f>COUNTIF(작성용!A:B,$A1146)-COUNTIFS(작성용!A:A,$A1146,작성용!AA:AA,"평가철회")</f>
        <v>0</v>
      </c>
    </row>
    <row r="1147" spans="1:7" ht="16.5" customHeight="1" x14ac:dyDescent="0.3">
      <c r="A1147" s="170" t="s">
        <v>2402</v>
      </c>
      <c r="B1147" s="165" t="s">
        <v>2403</v>
      </c>
      <c r="C1147" s="165" t="str">
        <f>IFERROR(VLOOKUP($A1147,작성용!A:AL,14,0),"-")</f>
        <v>-</v>
      </c>
      <c r="D1147" s="169" t="s">
        <v>220</v>
      </c>
      <c r="E1147" s="167" t="str">
        <f>IFERROR(VLOOKUP(A1147,작성용!A:AL,34,0),"-")</f>
        <v>-</v>
      </c>
      <c r="F1147" s="168" t="s">
        <v>6381</v>
      </c>
      <c r="G1147" s="179">
        <f>COUNTIF(작성용!A:B,$A1147)-COUNTIFS(작성용!A:A,$A1147,작성용!AA:AA,"평가철회")</f>
        <v>0</v>
      </c>
    </row>
    <row r="1148" spans="1:7" ht="16.5" customHeight="1" x14ac:dyDescent="0.3">
      <c r="A1148" s="170" t="s">
        <v>2404</v>
      </c>
      <c r="B1148" s="165" t="s">
        <v>2405</v>
      </c>
      <c r="C1148" s="165" t="str">
        <f>IFERROR(VLOOKUP($A1148,작성용!A:AL,14,0),"-")</f>
        <v>-</v>
      </c>
      <c r="D1148" s="169" t="s">
        <v>6391</v>
      </c>
      <c r="E1148" s="167" t="str">
        <f>IFERROR(VLOOKUP(A1148,작성용!A:AL,34,0),"-")</f>
        <v>-</v>
      </c>
      <c r="F1148" s="168" t="s">
        <v>6270</v>
      </c>
      <c r="G1148" s="179">
        <f>COUNTIF(작성용!A:B,$A1148)-COUNTIFS(작성용!A:A,$A1148,작성용!AA:AA,"평가철회")</f>
        <v>0</v>
      </c>
    </row>
    <row r="1149" spans="1:7" ht="16.5" customHeight="1" x14ac:dyDescent="0.3">
      <c r="A1149" s="170" t="s">
        <v>2406</v>
      </c>
      <c r="B1149" s="165" t="s">
        <v>2407</v>
      </c>
      <c r="C1149" s="165" t="str">
        <f>IFERROR(VLOOKUP($A1149,작성용!A:AL,14,0),"-")</f>
        <v>-</v>
      </c>
      <c r="D1149" s="169" t="s">
        <v>6521</v>
      </c>
      <c r="E1149" s="167" t="str">
        <f>IFERROR(VLOOKUP(A1149,작성용!A:AL,34,0),"-")</f>
        <v>-</v>
      </c>
      <c r="F1149" s="168" t="s">
        <v>6381</v>
      </c>
      <c r="G1149" s="179">
        <f>COUNTIF(작성용!A:B,$A1149)-COUNTIFS(작성용!A:A,$A1149,작성용!AA:AA,"평가철회")</f>
        <v>0</v>
      </c>
    </row>
    <row r="1150" spans="1:7" ht="16.5" customHeight="1" x14ac:dyDescent="0.3">
      <c r="A1150" s="170" t="s">
        <v>2408</v>
      </c>
      <c r="B1150" s="165" t="s">
        <v>2409</v>
      </c>
      <c r="C1150" s="165" t="str">
        <f>IFERROR(VLOOKUP($A1150,작성용!A:AL,14,0),"-")</f>
        <v>-</v>
      </c>
      <c r="D1150" s="169" t="s">
        <v>220</v>
      </c>
      <c r="E1150" s="167" t="str">
        <f>IFERROR(VLOOKUP(A1150,작성용!A:AL,34,0),"-")</f>
        <v>-</v>
      </c>
      <c r="F1150" s="168" t="s">
        <v>6283</v>
      </c>
      <c r="G1150" s="179">
        <f>COUNTIF(작성용!A:B,$A1150)-COUNTIFS(작성용!A:A,$A1150,작성용!AA:AA,"평가철회")</f>
        <v>0</v>
      </c>
    </row>
    <row r="1151" spans="1:7" ht="16.5" customHeight="1" x14ac:dyDescent="0.3">
      <c r="A1151" s="170" t="s">
        <v>2410</v>
      </c>
      <c r="B1151" s="165" t="s">
        <v>2411</v>
      </c>
      <c r="C1151" s="165" t="str">
        <f>IFERROR(VLOOKUP($A1151,작성용!A:AL,14,0),"-")</f>
        <v>-</v>
      </c>
      <c r="D1151" s="169" t="s">
        <v>220</v>
      </c>
      <c r="E1151" s="167" t="str">
        <f>IFERROR(VLOOKUP(A1151,작성용!A:AL,34,0),"-")</f>
        <v>-</v>
      </c>
      <c r="F1151" s="168" t="s">
        <v>6304</v>
      </c>
      <c r="G1151" s="179">
        <f>COUNTIF(작성용!A:B,$A1151)-COUNTIFS(작성용!A:A,$A1151,작성용!AA:AA,"평가철회")</f>
        <v>0</v>
      </c>
    </row>
    <row r="1152" spans="1:7" ht="16.5" customHeight="1" x14ac:dyDescent="0.3">
      <c r="A1152" s="170" t="s">
        <v>2412</v>
      </c>
      <c r="B1152" s="165" t="s">
        <v>2413</v>
      </c>
      <c r="C1152" s="165" t="str">
        <f>IFERROR(VLOOKUP($A1152,작성용!A:AL,14,0),"-")</f>
        <v>-</v>
      </c>
      <c r="D1152" s="169" t="s">
        <v>492</v>
      </c>
      <c r="E1152" s="167" t="str">
        <f>IFERROR(VLOOKUP(A1152,작성용!A:AL,34,0),"-")</f>
        <v>-</v>
      </c>
      <c r="F1152" s="168" t="s">
        <v>6304</v>
      </c>
      <c r="G1152" s="179">
        <f>COUNTIF(작성용!A:B,$A1152)-COUNTIFS(작성용!A:A,$A1152,작성용!AA:AA,"평가철회")</f>
        <v>0</v>
      </c>
    </row>
    <row r="1153" spans="1:7" ht="16.5" customHeight="1" x14ac:dyDescent="0.3">
      <c r="A1153" s="170" t="s">
        <v>2414</v>
      </c>
      <c r="B1153" s="165" t="s">
        <v>2415</v>
      </c>
      <c r="C1153" s="165" t="str">
        <f>IFERROR(VLOOKUP($A1153,작성용!A:AL,14,0),"-")</f>
        <v>-</v>
      </c>
      <c r="D1153" s="169" t="s">
        <v>220</v>
      </c>
      <c r="E1153" s="167" t="str">
        <f>IFERROR(VLOOKUP(A1153,작성용!A:AL,34,0),"-")</f>
        <v>-</v>
      </c>
      <c r="F1153" s="168" t="s">
        <v>6283</v>
      </c>
      <c r="G1153" s="179">
        <f>COUNTIF(작성용!A:B,$A1153)-COUNTIFS(작성용!A:A,$A1153,작성용!AA:AA,"평가철회")</f>
        <v>0</v>
      </c>
    </row>
    <row r="1154" spans="1:7" ht="16.5" customHeight="1" x14ac:dyDescent="0.3">
      <c r="A1154" s="170" t="s">
        <v>2416</v>
      </c>
      <c r="B1154" s="165" t="s">
        <v>842</v>
      </c>
      <c r="C1154" s="165" t="str">
        <f>IFERROR(VLOOKUP($A1154,작성용!A:AL,14,0),"-")</f>
        <v>-</v>
      </c>
      <c r="D1154" s="169" t="s">
        <v>6522</v>
      </c>
      <c r="E1154" s="167" t="str">
        <f>IFERROR(VLOOKUP(A1154,작성용!A:AL,34,0),"-")</f>
        <v>-</v>
      </c>
      <c r="F1154" s="168" t="s">
        <v>6270</v>
      </c>
      <c r="G1154" s="179">
        <f>COUNTIF(작성용!A:B,$A1154)-COUNTIFS(작성용!A:A,$A1154,작성용!AA:AA,"평가철회")</f>
        <v>0</v>
      </c>
    </row>
    <row r="1155" spans="1:7" ht="16.5" customHeight="1" x14ac:dyDescent="0.3">
      <c r="A1155" s="170" t="s">
        <v>2417</v>
      </c>
      <c r="B1155" s="165" t="s">
        <v>2418</v>
      </c>
      <c r="C1155" s="165" t="str">
        <f>IFERROR(VLOOKUP($A1155,작성용!A:AL,14,0),"-")</f>
        <v>-</v>
      </c>
      <c r="D1155" s="169" t="s">
        <v>2419</v>
      </c>
      <c r="E1155" s="167" t="str">
        <f>IFERROR(VLOOKUP(A1155,작성용!A:AL,34,0),"-")</f>
        <v>-</v>
      </c>
      <c r="F1155" s="168" t="s">
        <v>2</v>
      </c>
      <c r="G1155" s="179">
        <f>COUNTIF(작성용!A:B,$A1155)-COUNTIFS(작성용!A:A,$A1155,작성용!AA:AA,"평가철회")</f>
        <v>0</v>
      </c>
    </row>
    <row r="1156" spans="1:7" ht="16.5" customHeight="1" x14ac:dyDescent="0.3">
      <c r="A1156" s="170" t="s">
        <v>2420</v>
      </c>
      <c r="B1156" s="165" t="s">
        <v>2421</v>
      </c>
      <c r="C1156" s="165" t="str">
        <f>IFERROR(VLOOKUP($A1156,작성용!A:AL,14,0),"-")</f>
        <v>-</v>
      </c>
      <c r="D1156" s="169" t="s">
        <v>220</v>
      </c>
      <c r="E1156" s="167" t="str">
        <f>IFERROR(VLOOKUP(A1156,작성용!A:AL,34,0),"-")</f>
        <v>-</v>
      </c>
      <c r="F1156" s="168" t="s">
        <v>2</v>
      </c>
      <c r="G1156" s="179">
        <f>COUNTIF(작성용!A:B,$A1156)-COUNTIFS(작성용!A:A,$A1156,작성용!AA:AA,"평가철회")</f>
        <v>0</v>
      </c>
    </row>
    <row r="1157" spans="1:7" ht="16.5" customHeight="1" x14ac:dyDescent="0.3">
      <c r="A1157" s="170" t="s">
        <v>2422</v>
      </c>
      <c r="B1157" s="165" t="s">
        <v>2423</v>
      </c>
      <c r="C1157" s="165" t="str">
        <f>IFERROR(VLOOKUP($A1157,작성용!A:AL,14,0),"-")</f>
        <v>-</v>
      </c>
      <c r="D1157" s="169" t="s">
        <v>220</v>
      </c>
      <c r="E1157" s="167" t="str">
        <f>IFERROR(VLOOKUP(A1157,작성용!A:AL,34,0),"-")</f>
        <v>-</v>
      </c>
      <c r="F1157" s="168" t="s">
        <v>6270</v>
      </c>
      <c r="G1157" s="179">
        <f>COUNTIF(작성용!A:B,$A1157)-COUNTIFS(작성용!A:A,$A1157,작성용!AA:AA,"평가철회")</f>
        <v>0</v>
      </c>
    </row>
    <row r="1158" spans="1:7" ht="16.5" customHeight="1" x14ac:dyDescent="0.3">
      <c r="A1158" s="170" t="s">
        <v>2424</v>
      </c>
      <c r="B1158" s="165" t="s">
        <v>2425</v>
      </c>
      <c r="C1158" s="165" t="str">
        <f>IFERROR(VLOOKUP($A1158,작성용!A:AL,14,0),"-")</f>
        <v>-</v>
      </c>
      <c r="D1158" s="169" t="s">
        <v>220</v>
      </c>
      <c r="E1158" s="167" t="str">
        <f>IFERROR(VLOOKUP(A1158,작성용!A:AL,34,0),"-")</f>
        <v>-</v>
      </c>
      <c r="F1158" s="168" t="s">
        <v>2</v>
      </c>
      <c r="G1158" s="179">
        <f>COUNTIF(작성용!A:B,$A1158)-COUNTIFS(작성용!A:A,$A1158,작성용!AA:AA,"평가철회")</f>
        <v>0</v>
      </c>
    </row>
    <row r="1159" spans="1:7" ht="16.5" customHeight="1" x14ac:dyDescent="0.3">
      <c r="A1159" s="170" t="s">
        <v>2426</v>
      </c>
      <c r="B1159" s="165" t="s">
        <v>2427</v>
      </c>
      <c r="C1159" s="165" t="str">
        <f>IFERROR(VLOOKUP($A1159,작성용!A:AL,14,0),"-")</f>
        <v>-</v>
      </c>
      <c r="D1159" s="169" t="s">
        <v>220</v>
      </c>
      <c r="E1159" s="167" t="str">
        <f>IFERROR(VLOOKUP(A1159,작성용!A:AL,34,0),"-")</f>
        <v>-</v>
      </c>
      <c r="F1159" s="168" t="s">
        <v>2</v>
      </c>
      <c r="G1159" s="179">
        <f>COUNTIF(작성용!A:B,$A1159)-COUNTIFS(작성용!A:A,$A1159,작성용!AA:AA,"평가철회")</f>
        <v>0</v>
      </c>
    </row>
    <row r="1160" spans="1:7" ht="16.5" customHeight="1" x14ac:dyDescent="0.3">
      <c r="A1160" s="170" t="s">
        <v>2428</v>
      </c>
      <c r="B1160" s="165" t="s">
        <v>2429</v>
      </c>
      <c r="C1160" s="165" t="str">
        <f>IFERROR(VLOOKUP($A1160,작성용!A:AL,14,0),"-")</f>
        <v>-</v>
      </c>
      <c r="D1160" s="169" t="s">
        <v>220</v>
      </c>
      <c r="E1160" s="167" t="str">
        <f>IFERROR(VLOOKUP(A1160,작성용!A:AL,34,0),"-")</f>
        <v>-</v>
      </c>
      <c r="F1160" s="168" t="s">
        <v>2</v>
      </c>
      <c r="G1160" s="179">
        <f>COUNTIF(작성용!A:B,$A1160)-COUNTIFS(작성용!A:A,$A1160,작성용!AA:AA,"평가철회")</f>
        <v>0</v>
      </c>
    </row>
    <row r="1161" spans="1:7" ht="16.5" customHeight="1" x14ac:dyDescent="0.3">
      <c r="A1161" s="170" t="s">
        <v>2430</v>
      </c>
      <c r="B1161" s="165" t="s">
        <v>6523</v>
      </c>
      <c r="C1161" s="165" t="str">
        <f>IFERROR(VLOOKUP($A1161,작성용!A:AL,14,0),"-")</f>
        <v>-</v>
      </c>
      <c r="D1161" s="169" t="s">
        <v>6292</v>
      </c>
      <c r="E1161" s="167" t="str">
        <f>IFERROR(VLOOKUP(A1161,작성용!A:AL,34,0),"-")</f>
        <v>-</v>
      </c>
      <c r="F1161" s="168" t="s">
        <v>6304</v>
      </c>
      <c r="G1161" s="179">
        <f>COUNTIF(작성용!A:B,$A1161)-COUNTIFS(작성용!A:A,$A1161,작성용!AA:AA,"평가철회")</f>
        <v>0</v>
      </c>
    </row>
    <row r="1162" spans="1:7" ht="16.5" customHeight="1" x14ac:dyDescent="0.3">
      <c r="A1162" s="170" t="s">
        <v>2431</v>
      </c>
      <c r="B1162" s="165" t="s">
        <v>1407</v>
      </c>
      <c r="C1162" s="165" t="str">
        <f>IFERROR(VLOOKUP($A1162,작성용!A:AL,14,0),"-")</f>
        <v>-</v>
      </c>
      <c r="D1162" s="169" t="s">
        <v>1431</v>
      </c>
      <c r="E1162" s="167" t="str">
        <f>IFERROR(VLOOKUP(A1162,작성용!A:AL,34,0),"-")</f>
        <v>-</v>
      </c>
      <c r="F1162" s="168" t="s">
        <v>2</v>
      </c>
      <c r="G1162" s="179">
        <f>COUNTIF(작성용!A:B,$A1162)-COUNTIFS(작성용!A:A,$A1162,작성용!AA:AA,"평가철회")</f>
        <v>0</v>
      </c>
    </row>
    <row r="1163" spans="1:7" ht="16.5" customHeight="1" x14ac:dyDescent="0.3">
      <c r="A1163" s="170" t="s">
        <v>2432</v>
      </c>
      <c r="B1163" s="165" t="s">
        <v>2433</v>
      </c>
      <c r="C1163" s="165" t="str">
        <f>IFERROR(VLOOKUP($A1163,작성용!A:AL,14,0),"-")</f>
        <v>-</v>
      </c>
      <c r="D1163" s="169" t="s">
        <v>2434</v>
      </c>
      <c r="E1163" s="167" t="str">
        <f>IFERROR(VLOOKUP(A1163,작성용!A:AL,34,0),"-")</f>
        <v>-</v>
      </c>
      <c r="F1163" s="168" t="s">
        <v>2</v>
      </c>
      <c r="G1163" s="179">
        <f>COUNTIF(작성용!A:B,$A1163)-COUNTIFS(작성용!A:A,$A1163,작성용!AA:AA,"평가철회")</f>
        <v>0</v>
      </c>
    </row>
    <row r="1164" spans="1:7" ht="16.5" customHeight="1" x14ac:dyDescent="0.3">
      <c r="A1164" s="170" t="s">
        <v>2435</v>
      </c>
      <c r="B1164" s="165" t="s">
        <v>2436</v>
      </c>
      <c r="C1164" s="165" t="str">
        <f>IFERROR(VLOOKUP($A1164,작성용!A:AL,14,0),"-")</f>
        <v>-</v>
      </c>
      <c r="D1164" s="169" t="s">
        <v>72</v>
      </c>
      <c r="E1164" s="167" t="str">
        <f>IFERROR(VLOOKUP(A1164,작성용!A:AL,34,0),"-")</f>
        <v>-</v>
      </c>
      <c r="F1164" s="168" t="s">
        <v>6283</v>
      </c>
      <c r="G1164" s="179">
        <f>COUNTIF(작성용!A:B,$A1164)-COUNTIFS(작성용!A:A,$A1164,작성용!AA:AA,"평가철회")</f>
        <v>0</v>
      </c>
    </row>
    <row r="1165" spans="1:7" ht="16.5" customHeight="1" x14ac:dyDescent="0.3">
      <c r="A1165" s="170" t="s">
        <v>2437</v>
      </c>
      <c r="B1165" s="165" t="s">
        <v>2438</v>
      </c>
      <c r="C1165" s="165" t="str">
        <f>IFERROR(VLOOKUP($A1165,작성용!A:AL,14,0),"-")</f>
        <v>-</v>
      </c>
      <c r="D1165" s="169" t="s">
        <v>220</v>
      </c>
      <c r="E1165" s="167" t="str">
        <f>IFERROR(VLOOKUP(A1165,작성용!A:AL,34,0),"-")</f>
        <v>-</v>
      </c>
      <c r="F1165" s="168" t="s">
        <v>2</v>
      </c>
      <c r="G1165" s="179">
        <f>COUNTIF(작성용!A:B,$A1165)-COUNTIFS(작성용!A:A,$A1165,작성용!AA:AA,"평가철회")</f>
        <v>0</v>
      </c>
    </row>
    <row r="1166" spans="1:7" ht="16.5" customHeight="1" x14ac:dyDescent="0.3">
      <c r="A1166" s="170" t="s">
        <v>2439</v>
      </c>
      <c r="B1166" s="165" t="s">
        <v>2440</v>
      </c>
      <c r="C1166" s="165" t="str">
        <f>IFERROR(VLOOKUP($A1166,작성용!A:AL,14,0),"-")</f>
        <v>-</v>
      </c>
      <c r="D1166" s="169" t="s">
        <v>556</v>
      </c>
      <c r="E1166" s="167" t="str">
        <f>IFERROR(VLOOKUP(A1166,작성용!A:AL,34,0),"-")</f>
        <v>-</v>
      </c>
      <c r="F1166" s="168" t="s">
        <v>2</v>
      </c>
      <c r="G1166" s="179">
        <f>COUNTIF(작성용!A:B,$A1166)-COUNTIFS(작성용!A:A,$A1166,작성용!AA:AA,"평가철회")</f>
        <v>0</v>
      </c>
    </row>
    <row r="1167" spans="1:7" ht="16.5" customHeight="1" x14ac:dyDescent="0.3">
      <c r="A1167" s="170" t="s">
        <v>2441</v>
      </c>
      <c r="B1167" s="165" t="s">
        <v>2442</v>
      </c>
      <c r="C1167" s="165" t="str">
        <f>IFERROR(VLOOKUP($A1167,작성용!A:AL,14,0),"-")</f>
        <v>년</v>
      </c>
      <c r="D1167" s="169" t="s">
        <v>6314</v>
      </c>
      <c r="E1167" s="167" t="str">
        <f>IFERROR(VLOOKUP(A1167,작성용!A:AL,34,0),"-")</f>
        <v>강승현</v>
      </c>
      <c r="F1167" s="168" t="s">
        <v>6304</v>
      </c>
      <c r="G1167" s="179">
        <f>COUNTIF(작성용!A:B,$A1167)-COUNTIFS(작성용!A:A,$A1167,작성용!AA:AA,"평가철회")</f>
        <v>14</v>
      </c>
    </row>
    <row r="1168" spans="1:7" ht="16.5" customHeight="1" x14ac:dyDescent="0.3">
      <c r="A1168" s="170" t="s">
        <v>2443</v>
      </c>
      <c r="B1168" s="165" t="s">
        <v>2444</v>
      </c>
      <c r="C1168" s="165" t="str">
        <f>IFERROR(VLOOKUP($A1168,작성용!A:AL,14,0),"-")</f>
        <v>-</v>
      </c>
      <c r="D1168" s="169" t="s">
        <v>220</v>
      </c>
      <c r="E1168" s="167" t="str">
        <f>IFERROR(VLOOKUP(A1168,작성용!A:AL,34,0),"-")</f>
        <v>-</v>
      </c>
      <c r="F1168" s="168" t="s">
        <v>6283</v>
      </c>
      <c r="G1168" s="179">
        <f>COUNTIF(작성용!A:B,$A1168)-COUNTIFS(작성용!A:A,$A1168,작성용!AA:AA,"평가철회")</f>
        <v>0</v>
      </c>
    </row>
    <row r="1169" spans="1:7" ht="16.5" customHeight="1" x14ac:dyDescent="0.3">
      <c r="A1169" s="170" t="s">
        <v>2445</v>
      </c>
      <c r="B1169" s="165" t="s">
        <v>2446</v>
      </c>
      <c r="C1169" s="165" t="str">
        <f>IFERROR(VLOOKUP($A1169,작성용!A:AL,14,0),"-")</f>
        <v>-</v>
      </c>
      <c r="D1169" s="169" t="s">
        <v>694</v>
      </c>
      <c r="E1169" s="167" t="str">
        <f>IFERROR(VLOOKUP(A1169,작성용!A:AL,34,0),"-")</f>
        <v>-</v>
      </c>
      <c r="F1169" s="168" t="s">
        <v>2</v>
      </c>
      <c r="G1169" s="179">
        <f>COUNTIF(작성용!A:B,$A1169)-COUNTIFS(작성용!A:A,$A1169,작성용!AA:AA,"평가철회")</f>
        <v>0</v>
      </c>
    </row>
    <row r="1170" spans="1:7" ht="16.5" customHeight="1" x14ac:dyDescent="0.3">
      <c r="A1170" s="170" t="s">
        <v>2447</v>
      </c>
      <c r="B1170" s="165" t="s">
        <v>2448</v>
      </c>
      <c r="C1170" s="165" t="str">
        <f>IFERROR(VLOOKUP($A1170,작성용!A:AL,14,0),"-")</f>
        <v>-</v>
      </c>
      <c r="D1170" s="169" t="s">
        <v>2</v>
      </c>
      <c r="E1170" s="167" t="str">
        <f>IFERROR(VLOOKUP(A1170,작성용!A:AL,34,0),"-")</f>
        <v>-</v>
      </c>
      <c r="F1170" s="168" t="s">
        <v>2</v>
      </c>
      <c r="G1170" s="179">
        <f>COUNTIF(작성용!A:B,$A1170)-COUNTIFS(작성용!A:A,$A1170,작성용!AA:AA,"평가철회")</f>
        <v>0</v>
      </c>
    </row>
    <row r="1171" spans="1:7" ht="16.5" customHeight="1" x14ac:dyDescent="0.3">
      <c r="A1171" s="170" t="s">
        <v>2449</v>
      </c>
      <c r="B1171" s="165" t="s">
        <v>2450</v>
      </c>
      <c r="C1171" s="165" t="str">
        <f>IFERROR(VLOOKUP($A1171,작성용!A:AL,14,0),"-")</f>
        <v>-</v>
      </c>
      <c r="D1171" s="169" t="s">
        <v>635</v>
      </c>
      <c r="E1171" s="167" t="str">
        <f>IFERROR(VLOOKUP(A1171,작성용!A:AL,34,0),"-")</f>
        <v>-</v>
      </c>
      <c r="F1171" s="168" t="s">
        <v>2</v>
      </c>
      <c r="G1171" s="179">
        <f>COUNTIF(작성용!A:B,$A1171)-COUNTIFS(작성용!A:A,$A1171,작성용!AA:AA,"평가철회")</f>
        <v>0</v>
      </c>
    </row>
    <row r="1172" spans="1:7" ht="16.5" customHeight="1" x14ac:dyDescent="0.3">
      <c r="A1172" s="170" t="s">
        <v>2451</v>
      </c>
      <c r="B1172" s="165" t="s">
        <v>2452</v>
      </c>
      <c r="C1172" s="165" t="str">
        <f>IFERROR(VLOOKUP($A1172,작성용!A:AL,14,0),"-")</f>
        <v>-</v>
      </c>
      <c r="D1172" s="169" t="s">
        <v>6294</v>
      </c>
      <c r="E1172" s="167" t="str">
        <f>IFERROR(VLOOKUP(A1172,작성용!A:AL,34,0),"-")</f>
        <v>-</v>
      </c>
      <c r="F1172" s="168" t="s">
        <v>6283</v>
      </c>
      <c r="G1172" s="179">
        <f>COUNTIF(작성용!A:B,$A1172)-COUNTIFS(작성용!A:A,$A1172,작성용!AA:AA,"평가철회")</f>
        <v>0</v>
      </c>
    </row>
    <row r="1173" spans="1:7" ht="16.5" customHeight="1" x14ac:dyDescent="0.3">
      <c r="A1173" s="170" t="s">
        <v>2453</v>
      </c>
      <c r="B1173" s="165" t="s">
        <v>2454</v>
      </c>
      <c r="C1173" s="165" t="str">
        <f>IFERROR(VLOOKUP($A1173,작성용!A:AL,14,0),"-")</f>
        <v>-</v>
      </c>
      <c r="D1173" s="169" t="s">
        <v>72</v>
      </c>
      <c r="E1173" s="167" t="str">
        <f>IFERROR(VLOOKUP(A1173,작성용!A:AL,34,0),"-")</f>
        <v>-</v>
      </c>
      <c r="F1173" s="168" t="s">
        <v>2</v>
      </c>
      <c r="G1173" s="179">
        <f>COUNTIF(작성용!A:B,$A1173)-COUNTIFS(작성용!A:A,$A1173,작성용!AA:AA,"평가철회")</f>
        <v>0</v>
      </c>
    </row>
    <row r="1174" spans="1:7" ht="16.5" customHeight="1" x14ac:dyDescent="0.3">
      <c r="A1174" s="170" t="s">
        <v>2455</v>
      </c>
      <c r="B1174" s="165" t="s">
        <v>2456</v>
      </c>
      <c r="C1174" s="165" t="str">
        <f>IFERROR(VLOOKUP($A1174,작성용!A:AL,14,0),"-")</f>
        <v>-</v>
      </c>
      <c r="D1174" s="169" t="s">
        <v>6276</v>
      </c>
      <c r="E1174" s="167" t="str">
        <f>IFERROR(VLOOKUP(A1174,작성용!A:AL,34,0),"-")</f>
        <v>-</v>
      </c>
      <c r="F1174" s="168" t="s">
        <v>6270</v>
      </c>
      <c r="G1174" s="179">
        <f>COUNTIF(작성용!A:B,$A1174)-COUNTIFS(작성용!A:A,$A1174,작성용!AA:AA,"평가철회")</f>
        <v>0</v>
      </c>
    </row>
    <row r="1175" spans="1:7" ht="16.5" customHeight="1" x14ac:dyDescent="0.3">
      <c r="A1175" s="170" t="s">
        <v>2457</v>
      </c>
      <c r="B1175" s="165" t="s">
        <v>2458</v>
      </c>
      <c r="C1175" s="165" t="str">
        <f>IFERROR(VLOOKUP($A1175,작성용!A:AL,14,0),"-")</f>
        <v>-</v>
      </c>
      <c r="D1175" s="169" t="s">
        <v>220</v>
      </c>
      <c r="E1175" s="167" t="str">
        <f>IFERROR(VLOOKUP(A1175,작성용!A:AL,34,0),"-")</f>
        <v>-</v>
      </c>
      <c r="F1175" s="168" t="s">
        <v>401</v>
      </c>
      <c r="G1175" s="179">
        <f>COUNTIF(작성용!A:B,$A1175)-COUNTIFS(작성용!A:A,$A1175,작성용!AA:AA,"평가철회")</f>
        <v>0</v>
      </c>
    </row>
    <row r="1176" spans="1:7" ht="16.5" customHeight="1" x14ac:dyDescent="0.3">
      <c r="A1176" s="170" t="s">
        <v>2459</v>
      </c>
      <c r="B1176" s="165" t="s">
        <v>2460</v>
      </c>
      <c r="C1176" s="165" t="str">
        <f>IFERROR(VLOOKUP($A1176,작성용!A:AL,14,0),"-")</f>
        <v>-</v>
      </c>
      <c r="D1176" s="169" t="s">
        <v>220</v>
      </c>
      <c r="E1176" s="167" t="str">
        <f>IFERROR(VLOOKUP(A1176,작성용!A:AL,34,0),"-")</f>
        <v>-</v>
      </c>
      <c r="F1176" s="168" t="s">
        <v>6283</v>
      </c>
      <c r="G1176" s="179">
        <f>COUNTIF(작성용!A:B,$A1176)-COUNTIFS(작성용!A:A,$A1176,작성용!AA:AA,"평가철회")</f>
        <v>0</v>
      </c>
    </row>
    <row r="1177" spans="1:7" ht="16.5" customHeight="1" x14ac:dyDescent="0.3">
      <c r="A1177" s="170" t="s">
        <v>413</v>
      </c>
      <c r="B1177" s="165" t="s">
        <v>2461</v>
      </c>
      <c r="C1177" s="165" t="str">
        <f>IFERROR(VLOOKUP($A1177,작성용!A:AL,14,0),"-")</f>
        <v>-</v>
      </c>
      <c r="D1177" s="169" t="s">
        <v>220</v>
      </c>
      <c r="E1177" s="167" t="str">
        <f>IFERROR(VLOOKUP(A1177,작성용!A:AL,34,0),"-")</f>
        <v>-</v>
      </c>
      <c r="F1177" s="168" t="s">
        <v>6270</v>
      </c>
      <c r="G1177" s="179">
        <f>COUNTIF(작성용!A:B,$A1177)-COUNTIFS(작성용!A:A,$A1177,작성용!AA:AA,"평가철회")</f>
        <v>0</v>
      </c>
    </row>
    <row r="1178" spans="1:7" ht="16.5" customHeight="1" x14ac:dyDescent="0.3">
      <c r="A1178" s="170" t="s">
        <v>2462</v>
      </c>
      <c r="B1178" s="165" t="s">
        <v>2463</v>
      </c>
      <c r="C1178" s="165" t="str">
        <f>IFERROR(VLOOKUP($A1178,작성용!A:AL,14,0),"-")</f>
        <v>-</v>
      </c>
      <c r="D1178" s="169" t="s">
        <v>498</v>
      </c>
      <c r="E1178" s="167" t="str">
        <f>IFERROR(VLOOKUP(A1178,작성용!A:AL,34,0),"-")</f>
        <v>-</v>
      </c>
      <c r="F1178" s="168" t="s">
        <v>2</v>
      </c>
      <c r="G1178" s="179">
        <f>COUNTIF(작성용!A:B,$A1178)-COUNTIFS(작성용!A:A,$A1178,작성용!AA:AA,"평가철회")</f>
        <v>0</v>
      </c>
    </row>
    <row r="1179" spans="1:7" ht="16.5" customHeight="1" x14ac:dyDescent="0.3">
      <c r="A1179" s="170" t="s">
        <v>2464</v>
      </c>
      <c r="B1179" s="165" t="s">
        <v>2465</v>
      </c>
      <c r="C1179" s="165" t="str">
        <f>IFERROR(VLOOKUP($A1179,작성용!A:AL,14,0),"-")</f>
        <v>-</v>
      </c>
      <c r="D1179" s="169" t="s">
        <v>1447</v>
      </c>
      <c r="E1179" s="167" t="str">
        <f>IFERROR(VLOOKUP(A1179,작성용!A:AL,34,0),"-")</f>
        <v>-</v>
      </c>
      <c r="F1179" s="168" t="s">
        <v>2</v>
      </c>
      <c r="G1179" s="179">
        <f>COUNTIF(작성용!A:B,$A1179)-COUNTIFS(작성용!A:A,$A1179,작성용!AA:AA,"평가철회")</f>
        <v>0</v>
      </c>
    </row>
    <row r="1180" spans="1:7" ht="16.5" customHeight="1" x14ac:dyDescent="0.3">
      <c r="A1180" s="170" t="s">
        <v>2466</v>
      </c>
      <c r="B1180" s="165" t="s">
        <v>2467</v>
      </c>
      <c r="C1180" s="165" t="str">
        <f>IFERROR(VLOOKUP($A1180,작성용!A:AL,14,0),"-")</f>
        <v>-</v>
      </c>
      <c r="D1180" s="169" t="s">
        <v>556</v>
      </c>
      <c r="E1180" s="167" t="str">
        <f>IFERROR(VLOOKUP(A1180,작성용!A:AL,34,0),"-")</f>
        <v>-</v>
      </c>
      <c r="F1180" s="168" t="s">
        <v>2</v>
      </c>
      <c r="G1180" s="179">
        <f>COUNTIF(작성용!A:B,$A1180)-COUNTIFS(작성용!A:A,$A1180,작성용!AA:AA,"평가철회")</f>
        <v>0</v>
      </c>
    </row>
    <row r="1181" spans="1:7" ht="16.5" customHeight="1" x14ac:dyDescent="0.3">
      <c r="A1181" s="170" t="s">
        <v>2468</v>
      </c>
      <c r="B1181" s="165" t="s">
        <v>2469</v>
      </c>
      <c r="C1181" s="165" t="str">
        <f>IFERROR(VLOOKUP($A1181,작성용!A:AL,14,0),"-")</f>
        <v>-</v>
      </c>
      <c r="D1181" s="169" t="s">
        <v>6325</v>
      </c>
      <c r="E1181" s="167" t="str">
        <f>IFERROR(VLOOKUP(A1181,작성용!A:AL,34,0),"-")</f>
        <v>-</v>
      </c>
      <c r="F1181" s="168" t="s">
        <v>6304</v>
      </c>
      <c r="G1181" s="179">
        <f>COUNTIF(작성용!A:B,$A1181)-COUNTIFS(작성용!A:A,$A1181,작성용!AA:AA,"평가철회")</f>
        <v>0</v>
      </c>
    </row>
    <row r="1182" spans="1:7" ht="16.5" customHeight="1" x14ac:dyDescent="0.3">
      <c r="A1182" s="170" t="s">
        <v>2470</v>
      </c>
      <c r="B1182" s="165" t="s">
        <v>2471</v>
      </c>
      <c r="C1182" s="165" t="str">
        <f>IFERROR(VLOOKUP($A1182,작성용!A:AL,14,0),"-")</f>
        <v>-</v>
      </c>
      <c r="D1182" s="169" t="s">
        <v>220</v>
      </c>
      <c r="E1182" s="167" t="str">
        <f>IFERROR(VLOOKUP(A1182,작성용!A:AL,34,0),"-")</f>
        <v>-</v>
      </c>
      <c r="F1182" s="173" t="s">
        <v>2</v>
      </c>
      <c r="G1182" s="179">
        <f>COUNTIF(작성용!A:B,$A1182)-COUNTIFS(작성용!A:A,$A1182,작성용!AA:AA,"평가철회")</f>
        <v>0</v>
      </c>
    </row>
    <row r="1183" spans="1:7" ht="16.5" customHeight="1" x14ac:dyDescent="0.3">
      <c r="A1183" s="170" t="s">
        <v>2472</v>
      </c>
      <c r="B1183" s="165" t="s">
        <v>2473</v>
      </c>
      <c r="C1183" s="165" t="str">
        <f>IFERROR(VLOOKUP($A1183,작성용!A:AL,14,0),"-")</f>
        <v>-</v>
      </c>
      <c r="D1183" s="169" t="s">
        <v>220</v>
      </c>
      <c r="E1183" s="167" t="str">
        <f>IFERROR(VLOOKUP(A1183,작성용!A:AL,34,0),"-")</f>
        <v>-</v>
      </c>
      <c r="F1183" s="168" t="s">
        <v>6283</v>
      </c>
      <c r="G1183" s="179">
        <f>COUNTIF(작성용!A:B,$A1183)-COUNTIFS(작성용!A:A,$A1183,작성용!AA:AA,"평가철회")</f>
        <v>0</v>
      </c>
    </row>
    <row r="1184" spans="1:7" ht="16.5" customHeight="1" x14ac:dyDescent="0.3">
      <c r="A1184" s="170" t="s">
        <v>2474</v>
      </c>
      <c r="B1184" s="165" t="s">
        <v>2475</v>
      </c>
      <c r="C1184" s="165" t="str">
        <f>IFERROR(VLOOKUP($A1184,작성용!A:AL,14,0),"-")</f>
        <v>-</v>
      </c>
      <c r="D1184" s="169" t="s">
        <v>6292</v>
      </c>
      <c r="E1184" s="167" t="str">
        <f>IFERROR(VLOOKUP(A1184,작성용!A:AL,34,0),"-")</f>
        <v>-</v>
      </c>
      <c r="F1184" s="168" t="s">
        <v>6283</v>
      </c>
      <c r="G1184" s="179">
        <f>COUNTIF(작성용!A:B,$A1184)-COUNTIFS(작성용!A:A,$A1184,작성용!AA:AA,"평가철회")</f>
        <v>0</v>
      </c>
    </row>
    <row r="1185" spans="1:7" ht="16.5" customHeight="1" x14ac:dyDescent="0.3">
      <c r="A1185" s="170" t="s">
        <v>2476</v>
      </c>
      <c r="B1185" s="165" t="s">
        <v>2477</v>
      </c>
      <c r="C1185" s="165" t="str">
        <f>IFERROR(VLOOKUP($A1185,작성용!A:AL,14,0),"-")</f>
        <v>-</v>
      </c>
      <c r="D1185" s="169" t="s">
        <v>220</v>
      </c>
      <c r="E1185" s="167" t="str">
        <f>IFERROR(VLOOKUP(A1185,작성용!A:AL,34,0),"-")</f>
        <v>-</v>
      </c>
      <c r="F1185" s="168" t="s">
        <v>6342</v>
      </c>
      <c r="G1185" s="179">
        <f>COUNTIF(작성용!A:B,$A1185)-COUNTIFS(작성용!A:A,$A1185,작성용!AA:AA,"평가철회")</f>
        <v>0</v>
      </c>
    </row>
    <row r="1186" spans="1:7" ht="16.5" customHeight="1" x14ac:dyDescent="0.3">
      <c r="A1186" s="170" t="s">
        <v>2478</v>
      </c>
      <c r="B1186" s="165" t="s">
        <v>2479</v>
      </c>
      <c r="C1186" s="165" t="str">
        <f>IFERROR(VLOOKUP($A1186,작성용!A:AL,14,0),"-")</f>
        <v>-</v>
      </c>
      <c r="D1186" s="169" t="s">
        <v>220</v>
      </c>
      <c r="E1186" s="167" t="str">
        <f>IFERROR(VLOOKUP(A1186,작성용!A:AL,34,0),"-")</f>
        <v>-</v>
      </c>
      <c r="F1186" s="168" t="s">
        <v>2</v>
      </c>
      <c r="G1186" s="179">
        <f>COUNTIF(작성용!A:B,$A1186)-COUNTIFS(작성용!A:A,$A1186,작성용!AA:AA,"평가철회")</f>
        <v>0</v>
      </c>
    </row>
    <row r="1187" spans="1:7" ht="16.5" customHeight="1" x14ac:dyDescent="0.3">
      <c r="A1187" s="170" t="s">
        <v>2480</v>
      </c>
      <c r="B1187" s="165" t="s">
        <v>2481</v>
      </c>
      <c r="C1187" s="165" t="str">
        <f>IFERROR(VLOOKUP($A1187,작성용!A:AL,14,0),"-")</f>
        <v>-</v>
      </c>
      <c r="D1187" s="169" t="s">
        <v>6320</v>
      </c>
      <c r="E1187" s="167" t="str">
        <f>IFERROR(VLOOKUP(A1187,작성용!A:AL,34,0),"-")</f>
        <v>-</v>
      </c>
      <c r="F1187" s="168" t="s">
        <v>6304</v>
      </c>
      <c r="G1187" s="179">
        <f>COUNTIF(작성용!A:B,$A1187)-COUNTIFS(작성용!A:A,$A1187,작성용!AA:AA,"평가철회")</f>
        <v>0</v>
      </c>
    </row>
    <row r="1188" spans="1:7" ht="16.5" customHeight="1" x14ac:dyDescent="0.3">
      <c r="A1188" s="170" t="s">
        <v>2482</v>
      </c>
      <c r="B1188" s="165" t="s">
        <v>2483</v>
      </c>
      <c r="C1188" s="165" t="str">
        <f>IFERROR(VLOOKUP($A1188,작성용!A:AL,14,0),"-")</f>
        <v>-</v>
      </c>
      <c r="D1188" s="169" t="s">
        <v>273</v>
      </c>
      <c r="E1188" s="167" t="str">
        <f>IFERROR(VLOOKUP(A1188,작성용!A:AL,34,0),"-")</f>
        <v>-</v>
      </c>
      <c r="F1188" s="168" t="s">
        <v>2</v>
      </c>
      <c r="G1188" s="179">
        <f>COUNTIF(작성용!A:B,$A1188)-COUNTIFS(작성용!A:A,$A1188,작성용!AA:AA,"평가철회")</f>
        <v>0</v>
      </c>
    </row>
    <row r="1189" spans="1:7" ht="16.5" customHeight="1" x14ac:dyDescent="0.3">
      <c r="A1189" s="170" t="s">
        <v>2484</v>
      </c>
      <c r="B1189" s="165" t="s">
        <v>2485</v>
      </c>
      <c r="C1189" s="165" t="str">
        <f>IFERROR(VLOOKUP($A1189,작성용!A:AL,14,0),"-")</f>
        <v>-</v>
      </c>
      <c r="D1189" s="169" t="s">
        <v>220</v>
      </c>
      <c r="E1189" s="167" t="str">
        <f>IFERROR(VLOOKUP(A1189,작성용!A:AL,34,0),"-")</f>
        <v>-</v>
      </c>
      <c r="F1189" s="168" t="s">
        <v>6283</v>
      </c>
      <c r="G1189" s="179">
        <f>COUNTIF(작성용!A:B,$A1189)-COUNTIFS(작성용!A:A,$A1189,작성용!AA:AA,"평가철회")</f>
        <v>0</v>
      </c>
    </row>
    <row r="1190" spans="1:7" ht="16.5" customHeight="1" x14ac:dyDescent="0.3">
      <c r="A1190" s="170" t="s">
        <v>2486</v>
      </c>
      <c r="B1190" s="165" t="s">
        <v>2487</v>
      </c>
      <c r="C1190" s="165" t="str">
        <f>IFERROR(VLOOKUP($A1190,작성용!A:AL,14,0),"-")</f>
        <v>-</v>
      </c>
      <c r="D1190" s="169" t="s">
        <v>220</v>
      </c>
      <c r="E1190" s="167" t="str">
        <f>IFERROR(VLOOKUP(A1190,작성용!A:AL,34,0),"-")</f>
        <v>-</v>
      </c>
      <c r="F1190" s="168" t="s">
        <v>6283</v>
      </c>
      <c r="G1190" s="179">
        <f>COUNTIF(작성용!A:B,$A1190)-COUNTIFS(작성용!A:A,$A1190,작성용!AA:AA,"평가철회")</f>
        <v>0</v>
      </c>
    </row>
    <row r="1191" spans="1:7" ht="16.5" customHeight="1" x14ac:dyDescent="0.3">
      <c r="A1191" s="170" t="s">
        <v>2488</v>
      </c>
      <c r="B1191" s="165" t="s">
        <v>2489</v>
      </c>
      <c r="C1191" s="165" t="str">
        <f>IFERROR(VLOOKUP($A1191,작성용!A:AL,14,0),"-")</f>
        <v>-</v>
      </c>
      <c r="D1191" s="169" t="s">
        <v>72</v>
      </c>
      <c r="E1191" s="167" t="str">
        <f>IFERROR(VLOOKUP(A1191,작성용!A:AL,34,0),"-")</f>
        <v>-</v>
      </c>
      <c r="F1191" s="168" t="s">
        <v>2</v>
      </c>
      <c r="G1191" s="179">
        <f>COUNTIF(작성용!A:B,$A1191)-COUNTIFS(작성용!A:A,$A1191,작성용!AA:AA,"평가철회")</f>
        <v>0</v>
      </c>
    </row>
    <row r="1192" spans="1:7" ht="16.5" customHeight="1" x14ac:dyDescent="0.3">
      <c r="A1192" s="170" t="s">
        <v>2490</v>
      </c>
      <c r="B1192" s="165" t="s">
        <v>2491</v>
      </c>
      <c r="C1192" s="165" t="str">
        <f>IFERROR(VLOOKUP($A1192,작성용!A:AL,14,0),"-")</f>
        <v>-</v>
      </c>
      <c r="D1192" s="169" t="s">
        <v>220</v>
      </c>
      <c r="E1192" s="167" t="str">
        <f>IFERROR(VLOOKUP(A1192,작성용!A:AL,34,0),"-")</f>
        <v>-</v>
      </c>
      <c r="F1192" s="168" t="s">
        <v>401</v>
      </c>
      <c r="G1192" s="179">
        <f>COUNTIF(작성용!A:B,$A1192)-COUNTIFS(작성용!A:A,$A1192,작성용!AA:AA,"평가철회")</f>
        <v>0</v>
      </c>
    </row>
    <row r="1193" spans="1:7" ht="16.5" customHeight="1" x14ac:dyDescent="0.3">
      <c r="A1193" s="170" t="s">
        <v>2492</v>
      </c>
      <c r="B1193" s="165" t="s">
        <v>2493</v>
      </c>
      <c r="C1193" s="165" t="str">
        <f>IFERROR(VLOOKUP($A1193,작성용!A:AL,14,0),"-")</f>
        <v>-</v>
      </c>
      <c r="D1193" s="169" t="s">
        <v>247</v>
      </c>
      <c r="E1193" s="167" t="str">
        <f>IFERROR(VLOOKUP(A1193,작성용!A:AL,34,0),"-")</f>
        <v>-</v>
      </c>
      <c r="F1193" s="168" t="s">
        <v>2</v>
      </c>
      <c r="G1193" s="179">
        <f>COUNTIF(작성용!A:B,$A1193)-COUNTIFS(작성용!A:A,$A1193,작성용!AA:AA,"평가철회")</f>
        <v>0</v>
      </c>
    </row>
    <row r="1194" spans="1:7" ht="16.5" customHeight="1" x14ac:dyDescent="0.3">
      <c r="A1194" s="170" t="s">
        <v>2494</v>
      </c>
      <c r="B1194" s="165" t="s">
        <v>2495</v>
      </c>
      <c r="C1194" s="165" t="str">
        <f>IFERROR(VLOOKUP($A1194,작성용!A:AL,14,0),"-")</f>
        <v>-</v>
      </c>
      <c r="D1194" s="169" t="s">
        <v>220</v>
      </c>
      <c r="E1194" s="167" t="str">
        <f>IFERROR(VLOOKUP(A1194,작성용!A:AL,34,0),"-")</f>
        <v>-</v>
      </c>
      <c r="F1194" s="168" t="s">
        <v>6283</v>
      </c>
      <c r="G1194" s="179">
        <f>COUNTIF(작성용!A:B,$A1194)-COUNTIFS(작성용!A:A,$A1194,작성용!AA:AA,"평가철회")</f>
        <v>0</v>
      </c>
    </row>
    <row r="1195" spans="1:7" ht="16.5" customHeight="1" x14ac:dyDescent="0.3">
      <c r="A1195" s="170" t="s">
        <v>2496</v>
      </c>
      <c r="B1195" s="165" t="s">
        <v>2361</v>
      </c>
      <c r="C1195" s="165" t="str">
        <f>IFERROR(VLOOKUP($A1195,작성용!A:AL,14,0),"-")</f>
        <v>-</v>
      </c>
      <c r="D1195" s="169" t="s">
        <v>1551</v>
      </c>
      <c r="E1195" s="167" t="str">
        <f>IFERROR(VLOOKUP(A1195,작성용!A:AL,34,0),"-")</f>
        <v>-</v>
      </c>
      <c r="F1195" s="168" t="s">
        <v>2</v>
      </c>
      <c r="G1195" s="179">
        <f>COUNTIF(작성용!A:B,$A1195)-COUNTIFS(작성용!A:A,$A1195,작성용!AA:AA,"평가철회")</f>
        <v>0</v>
      </c>
    </row>
    <row r="1196" spans="1:7" ht="16.5" customHeight="1" x14ac:dyDescent="0.3">
      <c r="A1196" s="170" t="s">
        <v>2497</v>
      </c>
      <c r="B1196" s="165" t="s">
        <v>2498</v>
      </c>
      <c r="C1196" s="165" t="str">
        <f>IFERROR(VLOOKUP($A1196,작성용!A:AL,14,0),"-")</f>
        <v>-</v>
      </c>
      <c r="D1196" s="169" t="s">
        <v>220</v>
      </c>
      <c r="E1196" s="167" t="str">
        <f>IFERROR(VLOOKUP(A1196,작성용!A:AL,34,0),"-")</f>
        <v>-</v>
      </c>
      <c r="F1196" s="168" t="s">
        <v>2</v>
      </c>
      <c r="G1196" s="179">
        <f>COUNTIF(작성용!A:B,$A1196)-COUNTIFS(작성용!A:A,$A1196,작성용!AA:AA,"평가철회")</f>
        <v>0</v>
      </c>
    </row>
    <row r="1197" spans="1:7" ht="16.5" customHeight="1" x14ac:dyDescent="0.3">
      <c r="A1197" s="170" t="s">
        <v>2499</v>
      </c>
      <c r="B1197" s="165" t="s">
        <v>2500</v>
      </c>
      <c r="C1197" s="165" t="str">
        <f>IFERROR(VLOOKUP($A1197,작성용!A:AL,14,0),"-")</f>
        <v>-</v>
      </c>
      <c r="D1197" s="169" t="s">
        <v>220</v>
      </c>
      <c r="E1197" s="167" t="str">
        <f>IFERROR(VLOOKUP(A1197,작성용!A:AL,34,0),"-")</f>
        <v>-</v>
      </c>
      <c r="F1197" s="168" t="s">
        <v>2</v>
      </c>
      <c r="G1197" s="179">
        <f>COUNTIF(작성용!A:B,$A1197)-COUNTIFS(작성용!A:A,$A1197,작성용!AA:AA,"평가철회")</f>
        <v>0</v>
      </c>
    </row>
    <row r="1198" spans="1:7" ht="16.5" customHeight="1" x14ac:dyDescent="0.3">
      <c r="A1198" s="170" t="s">
        <v>2501</v>
      </c>
      <c r="B1198" s="165" t="s">
        <v>2502</v>
      </c>
      <c r="C1198" s="165" t="str">
        <f>IFERROR(VLOOKUP($A1198,작성용!A:AL,14,0),"-")</f>
        <v>-</v>
      </c>
      <c r="D1198" s="169" t="s">
        <v>220</v>
      </c>
      <c r="E1198" s="167" t="str">
        <f>IFERROR(VLOOKUP(A1198,작성용!A:AL,34,0),"-")</f>
        <v>-</v>
      </c>
      <c r="F1198" s="168" t="s">
        <v>2</v>
      </c>
      <c r="G1198" s="179">
        <f>COUNTIF(작성용!A:B,$A1198)-COUNTIFS(작성용!A:A,$A1198,작성용!AA:AA,"평가철회")</f>
        <v>0</v>
      </c>
    </row>
    <row r="1199" spans="1:7" ht="16.5" customHeight="1" x14ac:dyDescent="0.3">
      <c r="A1199" s="170" t="s">
        <v>2503</v>
      </c>
      <c r="B1199" s="165" t="s">
        <v>2504</v>
      </c>
      <c r="C1199" s="165" t="str">
        <f>IFERROR(VLOOKUP($A1199,작성용!A:AL,14,0),"-")</f>
        <v>-</v>
      </c>
      <c r="D1199" s="169" t="s">
        <v>220</v>
      </c>
      <c r="E1199" s="167" t="str">
        <f>IFERROR(VLOOKUP(A1199,작성용!A:AL,34,0),"-")</f>
        <v>-</v>
      </c>
      <c r="F1199" s="168" t="s">
        <v>2</v>
      </c>
      <c r="G1199" s="179">
        <f>COUNTIF(작성용!A:B,$A1199)-COUNTIFS(작성용!A:A,$A1199,작성용!AA:AA,"평가철회")</f>
        <v>0</v>
      </c>
    </row>
    <row r="1200" spans="1:7" ht="16.5" customHeight="1" x14ac:dyDescent="0.3">
      <c r="A1200" s="170" t="s">
        <v>2505</v>
      </c>
      <c r="B1200" s="165" t="s">
        <v>2366</v>
      </c>
      <c r="C1200" s="165" t="str">
        <f>IFERROR(VLOOKUP($A1200,작성용!A:AL,14,0),"-")</f>
        <v>-</v>
      </c>
      <c r="D1200" s="169" t="s">
        <v>273</v>
      </c>
      <c r="E1200" s="167" t="str">
        <f>IFERROR(VLOOKUP(A1200,작성용!A:AL,34,0),"-")</f>
        <v>-</v>
      </c>
      <c r="F1200" s="168" t="s">
        <v>2</v>
      </c>
      <c r="G1200" s="179">
        <f>COUNTIF(작성용!A:B,$A1200)-COUNTIFS(작성용!A:A,$A1200,작성용!AA:AA,"평가철회")</f>
        <v>0</v>
      </c>
    </row>
    <row r="1201" spans="1:7" ht="16.5" customHeight="1" x14ac:dyDescent="0.3">
      <c r="A1201" s="170" t="s">
        <v>2506</v>
      </c>
      <c r="B1201" s="165" t="s">
        <v>2507</v>
      </c>
      <c r="C1201" s="165" t="str">
        <f>IFERROR(VLOOKUP($A1201,작성용!A:AL,14,0),"-")</f>
        <v>-</v>
      </c>
      <c r="D1201" s="169" t="s">
        <v>220</v>
      </c>
      <c r="E1201" s="167" t="str">
        <f>IFERROR(VLOOKUP(A1201,작성용!A:AL,34,0),"-")</f>
        <v>-</v>
      </c>
      <c r="F1201" s="168" t="s">
        <v>2</v>
      </c>
      <c r="G1201" s="179">
        <f>COUNTIF(작성용!A:B,$A1201)-COUNTIFS(작성용!A:A,$A1201,작성용!AA:AA,"평가철회")</f>
        <v>0</v>
      </c>
    </row>
    <row r="1202" spans="1:7" ht="16.5" customHeight="1" x14ac:dyDescent="0.3">
      <c r="A1202" s="170" t="s">
        <v>2508</v>
      </c>
      <c r="B1202" s="165" t="s">
        <v>6524</v>
      </c>
      <c r="C1202" s="165" t="str">
        <f>IFERROR(VLOOKUP($A1202,작성용!A:AL,14,0),"-")</f>
        <v>-</v>
      </c>
      <c r="D1202" s="169" t="s">
        <v>6292</v>
      </c>
      <c r="E1202" s="167" t="str">
        <f>IFERROR(VLOOKUP(A1202,작성용!A:AL,34,0),"-")</f>
        <v>-</v>
      </c>
      <c r="F1202" s="168" t="s">
        <v>6304</v>
      </c>
      <c r="G1202" s="179">
        <f>COUNTIF(작성용!A:B,$A1202)-COUNTIFS(작성용!A:A,$A1202,작성용!AA:AA,"평가철회")</f>
        <v>0</v>
      </c>
    </row>
    <row r="1203" spans="1:7" ht="16.5" customHeight="1" x14ac:dyDescent="0.3">
      <c r="A1203" s="170" t="s">
        <v>2509</v>
      </c>
      <c r="B1203" s="165" t="s">
        <v>2510</v>
      </c>
      <c r="C1203" s="165" t="str">
        <f>IFERROR(VLOOKUP($A1203,작성용!A:AL,14,0),"-")</f>
        <v>-</v>
      </c>
      <c r="D1203" s="169" t="s">
        <v>220</v>
      </c>
      <c r="E1203" s="167" t="str">
        <f>IFERROR(VLOOKUP(A1203,작성용!A:AL,34,0),"-")</f>
        <v>-</v>
      </c>
      <c r="F1203" s="168" t="s">
        <v>6270</v>
      </c>
      <c r="G1203" s="179">
        <f>COUNTIF(작성용!A:B,$A1203)-COUNTIFS(작성용!A:A,$A1203,작성용!AA:AA,"평가철회")</f>
        <v>0</v>
      </c>
    </row>
    <row r="1204" spans="1:7" ht="16.5" customHeight="1" x14ac:dyDescent="0.3">
      <c r="A1204" s="170" t="s">
        <v>2511</v>
      </c>
      <c r="B1204" s="165" t="s">
        <v>2512</v>
      </c>
      <c r="C1204" s="165" t="str">
        <f>IFERROR(VLOOKUP($A1204,작성용!A:AL,14,0),"-")</f>
        <v>-</v>
      </c>
      <c r="D1204" s="169" t="s">
        <v>220</v>
      </c>
      <c r="E1204" s="167" t="str">
        <f>IFERROR(VLOOKUP(A1204,작성용!A:AL,34,0),"-")</f>
        <v>-</v>
      </c>
      <c r="F1204" s="168" t="s">
        <v>6342</v>
      </c>
      <c r="G1204" s="179">
        <f>COUNTIF(작성용!A:B,$A1204)-COUNTIFS(작성용!A:A,$A1204,작성용!AA:AA,"평가철회")</f>
        <v>0</v>
      </c>
    </row>
    <row r="1205" spans="1:7" ht="16.5" customHeight="1" x14ac:dyDescent="0.3">
      <c r="A1205" s="170" t="s">
        <v>2513</v>
      </c>
      <c r="B1205" s="165" t="s">
        <v>2514</v>
      </c>
      <c r="C1205" s="165" t="str">
        <f>IFERROR(VLOOKUP($A1205,작성용!A:AL,14,0),"-")</f>
        <v>-</v>
      </c>
      <c r="D1205" s="169" t="s">
        <v>220</v>
      </c>
      <c r="E1205" s="167" t="str">
        <f>IFERROR(VLOOKUP(A1205,작성용!A:AL,34,0),"-")</f>
        <v>-</v>
      </c>
      <c r="F1205" s="168" t="s">
        <v>2</v>
      </c>
      <c r="G1205" s="179">
        <f>COUNTIF(작성용!A:B,$A1205)-COUNTIFS(작성용!A:A,$A1205,작성용!AA:AA,"평가철회")</f>
        <v>0</v>
      </c>
    </row>
    <row r="1206" spans="1:7" ht="16.5" customHeight="1" x14ac:dyDescent="0.3">
      <c r="A1206" s="170" t="s">
        <v>2515</v>
      </c>
      <c r="B1206" s="165" t="s">
        <v>2516</v>
      </c>
      <c r="C1206" s="165" t="str">
        <f>IFERROR(VLOOKUP($A1206,작성용!A:AL,14,0),"-")</f>
        <v>-</v>
      </c>
      <c r="D1206" s="169" t="s">
        <v>220</v>
      </c>
      <c r="E1206" s="167" t="str">
        <f>IFERROR(VLOOKUP(A1206,작성용!A:AL,34,0),"-")</f>
        <v>-</v>
      </c>
      <c r="F1206" s="168" t="s">
        <v>2</v>
      </c>
      <c r="G1206" s="179">
        <f>COUNTIF(작성용!A:B,$A1206)-COUNTIFS(작성용!A:A,$A1206,작성용!AA:AA,"평가철회")</f>
        <v>0</v>
      </c>
    </row>
    <row r="1207" spans="1:7" ht="16.5" customHeight="1" x14ac:dyDescent="0.3">
      <c r="A1207" s="170" t="s">
        <v>2517</v>
      </c>
      <c r="B1207" s="165" t="s">
        <v>2370</v>
      </c>
      <c r="C1207" s="165" t="str">
        <f>IFERROR(VLOOKUP($A1207,작성용!A:AL,14,0),"-")</f>
        <v>-</v>
      </c>
      <c r="D1207" s="169" t="s">
        <v>75</v>
      </c>
      <c r="E1207" s="167" t="str">
        <f>IFERROR(VLOOKUP(A1207,작성용!A:AL,34,0),"-")</f>
        <v>-</v>
      </c>
      <c r="F1207" s="168" t="s">
        <v>6283</v>
      </c>
      <c r="G1207" s="179">
        <f>COUNTIF(작성용!A:B,$A1207)-COUNTIFS(작성용!A:A,$A1207,작성용!AA:AA,"평가철회")</f>
        <v>0</v>
      </c>
    </row>
    <row r="1208" spans="1:7" ht="16.5" customHeight="1" x14ac:dyDescent="0.3">
      <c r="A1208" s="170" t="s">
        <v>2518</v>
      </c>
      <c r="B1208" s="165" t="s">
        <v>6525</v>
      </c>
      <c r="C1208" s="165" t="str">
        <f>IFERROR(VLOOKUP($A1208,작성용!A:AL,14,0),"-")</f>
        <v>-</v>
      </c>
      <c r="D1208" s="169" t="s">
        <v>4044</v>
      </c>
      <c r="E1208" s="167" t="str">
        <f>IFERROR(VLOOKUP(A1208,작성용!A:AL,34,0),"-")</f>
        <v>-</v>
      </c>
      <c r="F1208" s="168" t="s">
        <v>6304</v>
      </c>
      <c r="G1208" s="179">
        <f>COUNTIF(작성용!A:B,$A1208)-COUNTIFS(작성용!A:A,$A1208,작성용!AA:AA,"평가철회")</f>
        <v>0</v>
      </c>
    </row>
    <row r="1209" spans="1:7" ht="16.5" customHeight="1" x14ac:dyDescent="0.3">
      <c r="A1209" s="170" t="s">
        <v>2519</v>
      </c>
      <c r="B1209" s="165" t="s">
        <v>2520</v>
      </c>
      <c r="C1209" s="165" t="str">
        <f>IFERROR(VLOOKUP($A1209,작성용!A:AL,14,0),"-")</f>
        <v>-</v>
      </c>
      <c r="D1209" s="169" t="s">
        <v>220</v>
      </c>
      <c r="E1209" s="167" t="str">
        <f>IFERROR(VLOOKUP(A1209,작성용!A:AL,34,0),"-")</f>
        <v>-</v>
      </c>
      <c r="F1209" s="168" t="s">
        <v>2</v>
      </c>
      <c r="G1209" s="179">
        <f>COUNTIF(작성용!A:B,$A1209)-COUNTIFS(작성용!A:A,$A1209,작성용!AA:AA,"평가철회")</f>
        <v>0</v>
      </c>
    </row>
    <row r="1210" spans="1:7" ht="16.5" customHeight="1" x14ac:dyDescent="0.3">
      <c r="A1210" s="170" t="s">
        <v>2521</v>
      </c>
      <c r="B1210" s="165" t="s">
        <v>2522</v>
      </c>
      <c r="C1210" s="165" t="str">
        <f>IFERROR(VLOOKUP($A1210,작성용!A:AL,14,0),"-")</f>
        <v>-</v>
      </c>
      <c r="D1210" s="169" t="s">
        <v>75</v>
      </c>
      <c r="E1210" s="167" t="str">
        <f>IFERROR(VLOOKUP(A1210,작성용!A:AL,34,0),"-")</f>
        <v>-</v>
      </c>
      <c r="F1210" s="168" t="s">
        <v>2</v>
      </c>
      <c r="G1210" s="179">
        <f>COUNTIF(작성용!A:B,$A1210)-COUNTIFS(작성용!A:A,$A1210,작성용!AA:AA,"평가철회")</f>
        <v>0</v>
      </c>
    </row>
    <row r="1211" spans="1:7" ht="16.5" customHeight="1" x14ac:dyDescent="0.3">
      <c r="A1211" s="170" t="s">
        <v>16</v>
      </c>
      <c r="B1211" s="165" t="s">
        <v>17</v>
      </c>
      <c r="C1211" s="165" t="str">
        <f>IFERROR(VLOOKUP($A1211,작성용!A:AL,14,0),"-")</f>
        <v xml:space="preserve">분기 </v>
      </c>
      <c r="D1211" s="169" t="s">
        <v>4030</v>
      </c>
      <c r="E1211" s="167" t="str">
        <f>IFERROR(VLOOKUP(A1211,작성용!A:AL,34,0),"-")</f>
        <v>심태진</v>
      </c>
      <c r="F1211" s="168" t="s">
        <v>6270</v>
      </c>
      <c r="G1211" s="179">
        <f>COUNTIF(작성용!A:B,$A1211)-COUNTIFS(작성용!A:A,$A1211,작성용!AA:AA,"평가철회")</f>
        <v>9</v>
      </c>
    </row>
    <row r="1212" spans="1:7" ht="16.5" customHeight="1" x14ac:dyDescent="0.3">
      <c r="A1212" s="170" t="s">
        <v>2523</v>
      </c>
      <c r="B1212" s="165" t="s">
        <v>2524</v>
      </c>
      <c r="C1212" s="165" t="str">
        <f>IFERROR(VLOOKUP($A1212,작성용!A:AL,14,0),"-")</f>
        <v>-</v>
      </c>
      <c r="D1212" s="169" t="s">
        <v>73</v>
      </c>
      <c r="E1212" s="167" t="str">
        <f>IFERROR(VLOOKUP(A1212,작성용!A:AL,34,0),"-")</f>
        <v>-</v>
      </c>
      <c r="F1212" s="168" t="s">
        <v>2</v>
      </c>
      <c r="G1212" s="179">
        <f>COUNTIF(작성용!A:B,$A1212)-COUNTIFS(작성용!A:A,$A1212,작성용!AA:AA,"평가철회")</f>
        <v>0</v>
      </c>
    </row>
    <row r="1213" spans="1:7" ht="16.5" customHeight="1" x14ac:dyDescent="0.3">
      <c r="A1213" s="170" t="s">
        <v>2525</v>
      </c>
      <c r="B1213" s="165" t="s">
        <v>2526</v>
      </c>
      <c r="C1213" s="165" t="str">
        <f>IFERROR(VLOOKUP($A1213,작성용!A:AL,14,0),"-")</f>
        <v>-</v>
      </c>
      <c r="D1213" s="169" t="s">
        <v>592</v>
      </c>
      <c r="E1213" s="167" t="str">
        <f>IFERROR(VLOOKUP(A1213,작성용!A:AL,34,0),"-")</f>
        <v>-</v>
      </c>
      <c r="F1213" s="168" t="s">
        <v>2</v>
      </c>
      <c r="G1213" s="179">
        <f>COUNTIF(작성용!A:B,$A1213)-COUNTIFS(작성용!A:A,$A1213,작성용!AA:AA,"평가철회")</f>
        <v>0</v>
      </c>
    </row>
    <row r="1214" spans="1:7" ht="16.5" customHeight="1" x14ac:dyDescent="0.3">
      <c r="A1214" s="170" t="s">
        <v>2527</v>
      </c>
      <c r="B1214" s="165" t="s">
        <v>2528</v>
      </c>
      <c r="C1214" s="165" t="str">
        <f>IFERROR(VLOOKUP($A1214,작성용!A:AL,14,0),"-")</f>
        <v>-</v>
      </c>
      <c r="D1214" s="169" t="s">
        <v>220</v>
      </c>
      <c r="E1214" s="167" t="str">
        <f>IFERROR(VLOOKUP(A1214,작성용!A:AL,34,0),"-")</f>
        <v>-</v>
      </c>
      <c r="F1214" s="168" t="s">
        <v>2</v>
      </c>
      <c r="G1214" s="179">
        <f>COUNTIF(작성용!A:B,$A1214)-COUNTIFS(작성용!A:A,$A1214,작성용!AA:AA,"평가철회")</f>
        <v>0</v>
      </c>
    </row>
    <row r="1215" spans="1:7" ht="16.5" customHeight="1" x14ac:dyDescent="0.3">
      <c r="A1215" s="170" t="s">
        <v>2529</v>
      </c>
      <c r="B1215" s="165" t="s">
        <v>2530</v>
      </c>
      <c r="C1215" s="165" t="str">
        <f>IFERROR(VLOOKUP($A1215,작성용!A:AL,14,0),"-")</f>
        <v>-</v>
      </c>
      <c r="D1215" s="169" t="s">
        <v>6293</v>
      </c>
      <c r="E1215" s="167" t="str">
        <f>IFERROR(VLOOKUP(A1215,작성용!A:AL,34,0),"-")</f>
        <v>-</v>
      </c>
      <c r="F1215" s="168" t="s">
        <v>2</v>
      </c>
      <c r="G1215" s="179">
        <f>COUNTIF(작성용!A:B,$A1215)-COUNTIFS(작성용!A:A,$A1215,작성용!AA:AA,"평가철회")</f>
        <v>0</v>
      </c>
    </row>
    <row r="1216" spans="1:7" ht="16.5" customHeight="1" x14ac:dyDescent="0.3">
      <c r="A1216" s="170" t="s">
        <v>2531</v>
      </c>
      <c r="B1216" s="165" t="s">
        <v>2532</v>
      </c>
      <c r="C1216" s="165" t="str">
        <f>IFERROR(VLOOKUP($A1216,작성용!A:AL,14,0),"-")</f>
        <v>-</v>
      </c>
      <c r="D1216" s="169" t="s">
        <v>220</v>
      </c>
      <c r="E1216" s="167" t="str">
        <f>IFERROR(VLOOKUP(A1216,작성용!A:AL,34,0),"-")</f>
        <v>-</v>
      </c>
      <c r="F1216" s="168" t="s">
        <v>2</v>
      </c>
      <c r="G1216" s="179">
        <f>COUNTIF(작성용!A:B,$A1216)-COUNTIFS(작성용!A:A,$A1216,작성용!AA:AA,"평가철회")</f>
        <v>0</v>
      </c>
    </row>
    <row r="1217" spans="1:7" ht="16.5" customHeight="1" x14ac:dyDescent="0.3">
      <c r="A1217" s="170" t="s">
        <v>2533</v>
      </c>
      <c r="B1217" s="165" t="s">
        <v>2534</v>
      </c>
      <c r="C1217" s="165" t="str">
        <f>IFERROR(VLOOKUP($A1217,작성용!A:AL,14,0),"-")</f>
        <v>-</v>
      </c>
      <c r="D1217" s="169" t="s">
        <v>6373</v>
      </c>
      <c r="E1217" s="167" t="str">
        <f>IFERROR(VLOOKUP(A1217,작성용!A:AL,34,0),"-")</f>
        <v>-</v>
      </c>
      <c r="F1217" s="168" t="s">
        <v>2</v>
      </c>
      <c r="G1217" s="179">
        <f>COUNTIF(작성용!A:B,$A1217)-COUNTIFS(작성용!A:A,$A1217,작성용!AA:AA,"평가철회")</f>
        <v>0</v>
      </c>
    </row>
    <row r="1218" spans="1:7" ht="16.5" customHeight="1" x14ac:dyDescent="0.3">
      <c r="A1218" s="170" t="s">
        <v>2535</v>
      </c>
      <c r="B1218" s="165" t="s">
        <v>2536</v>
      </c>
      <c r="C1218" s="165" t="str">
        <f>IFERROR(VLOOKUP($A1218,작성용!A:AL,14,0),"-")</f>
        <v>-</v>
      </c>
      <c r="D1218" s="169" t="s">
        <v>6439</v>
      </c>
      <c r="E1218" s="167" t="str">
        <f>IFERROR(VLOOKUP(A1218,작성용!A:AL,34,0),"-")</f>
        <v>-</v>
      </c>
      <c r="F1218" s="168" t="s">
        <v>6378</v>
      </c>
      <c r="G1218" s="179">
        <f>COUNTIF(작성용!A:B,$A1218)-COUNTIFS(작성용!A:A,$A1218,작성용!AA:AA,"평가철회")</f>
        <v>0</v>
      </c>
    </row>
    <row r="1219" spans="1:7" ht="16.5" customHeight="1" x14ac:dyDescent="0.3">
      <c r="A1219" s="170" t="s">
        <v>2537</v>
      </c>
      <c r="B1219" s="165" t="s">
        <v>2538</v>
      </c>
      <c r="C1219" s="165" t="str">
        <f>IFERROR(VLOOKUP($A1219,작성용!A:AL,14,0),"-")</f>
        <v>-</v>
      </c>
      <c r="D1219" s="169" t="s">
        <v>2539</v>
      </c>
      <c r="E1219" s="167" t="str">
        <f>IFERROR(VLOOKUP(A1219,작성용!A:AL,34,0),"-")</f>
        <v>-</v>
      </c>
      <c r="F1219" s="168" t="s">
        <v>2</v>
      </c>
      <c r="G1219" s="179">
        <f>COUNTIF(작성용!A:B,$A1219)-COUNTIFS(작성용!A:A,$A1219,작성용!AA:AA,"평가철회")</f>
        <v>0</v>
      </c>
    </row>
    <row r="1220" spans="1:7" ht="16.5" customHeight="1" x14ac:dyDescent="0.3">
      <c r="A1220" s="170" t="s">
        <v>2540</v>
      </c>
      <c r="B1220" s="165" t="s">
        <v>2541</v>
      </c>
      <c r="C1220" s="165" t="str">
        <f>IFERROR(VLOOKUP($A1220,작성용!A:AL,14,0),"-")</f>
        <v>-</v>
      </c>
      <c r="D1220" s="169" t="s">
        <v>1462</v>
      </c>
      <c r="E1220" s="167" t="str">
        <f>IFERROR(VLOOKUP(A1220,작성용!A:AL,34,0),"-")</f>
        <v>-</v>
      </c>
      <c r="F1220" s="168" t="s">
        <v>2</v>
      </c>
      <c r="G1220" s="179">
        <f>COUNTIF(작성용!A:B,$A1220)-COUNTIFS(작성용!A:A,$A1220,작성용!AA:AA,"평가철회")</f>
        <v>0</v>
      </c>
    </row>
    <row r="1221" spans="1:7" ht="16.5" customHeight="1" x14ac:dyDescent="0.3">
      <c r="A1221" s="170" t="s">
        <v>2542</v>
      </c>
      <c r="B1221" s="165" t="s">
        <v>2543</v>
      </c>
      <c r="C1221" s="165" t="str">
        <f>IFERROR(VLOOKUP($A1221,작성용!A:AL,14,0),"-")</f>
        <v>-</v>
      </c>
      <c r="D1221" s="169" t="s">
        <v>220</v>
      </c>
      <c r="E1221" s="167" t="str">
        <f>IFERROR(VLOOKUP(A1221,작성용!A:AL,34,0),"-")</f>
        <v>-</v>
      </c>
      <c r="F1221" s="168" t="s">
        <v>2</v>
      </c>
      <c r="G1221" s="179">
        <f>COUNTIF(작성용!A:B,$A1221)-COUNTIFS(작성용!A:A,$A1221,작성용!AA:AA,"평가철회")</f>
        <v>0</v>
      </c>
    </row>
    <row r="1222" spans="1:7" ht="16.5" customHeight="1" x14ac:dyDescent="0.3">
      <c r="A1222" s="170" t="s">
        <v>2544</v>
      </c>
      <c r="B1222" s="165" t="s">
        <v>2545</v>
      </c>
      <c r="C1222" s="165" t="str">
        <f>IFERROR(VLOOKUP($A1222,작성용!A:AL,14,0),"-")</f>
        <v>-</v>
      </c>
      <c r="D1222" s="169" t="s">
        <v>463</v>
      </c>
      <c r="E1222" s="167" t="str">
        <f>IFERROR(VLOOKUP(A1222,작성용!A:AL,34,0),"-")</f>
        <v>-</v>
      </c>
      <c r="F1222" s="168" t="s">
        <v>2</v>
      </c>
      <c r="G1222" s="179">
        <f>COUNTIF(작성용!A:B,$A1222)-COUNTIFS(작성용!A:A,$A1222,작성용!AA:AA,"평가철회")</f>
        <v>0</v>
      </c>
    </row>
    <row r="1223" spans="1:7" ht="16.5" customHeight="1" x14ac:dyDescent="0.3">
      <c r="A1223" s="170" t="s">
        <v>2546</v>
      </c>
      <c r="B1223" s="165" t="s">
        <v>2547</v>
      </c>
      <c r="C1223" s="165" t="str">
        <f>IFERROR(VLOOKUP($A1223,작성용!A:AL,14,0),"-")</f>
        <v>-</v>
      </c>
      <c r="D1223" s="169" t="s">
        <v>1462</v>
      </c>
      <c r="E1223" s="167" t="str">
        <f>IFERROR(VLOOKUP(A1223,작성용!A:AL,34,0),"-")</f>
        <v>-</v>
      </c>
      <c r="F1223" s="168" t="s">
        <v>2</v>
      </c>
      <c r="G1223" s="179">
        <f>COUNTIF(작성용!A:B,$A1223)-COUNTIFS(작성용!A:A,$A1223,작성용!AA:AA,"평가철회")</f>
        <v>0</v>
      </c>
    </row>
    <row r="1224" spans="1:7" ht="16.5" customHeight="1" x14ac:dyDescent="0.3">
      <c r="A1224" s="170" t="s">
        <v>2548</v>
      </c>
      <c r="B1224" s="165" t="s">
        <v>6526</v>
      </c>
      <c r="C1224" s="165" t="str">
        <f>IFERROR(VLOOKUP($A1224,작성용!A:AL,14,0),"-")</f>
        <v>-</v>
      </c>
      <c r="D1224" s="169" t="s">
        <v>6385</v>
      </c>
      <c r="E1224" s="167" t="str">
        <f>IFERROR(VLOOKUP(A1224,작성용!A:AL,34,0),"-")</f>
        <v>-</v>
      </c>
      <c r="F1224" s="168" t="s">
        <v>6378</v>
      </c>
      <c r="G1224" s="179">
        <f>COUNTIF(작성용!A:B,$A1224)-COUNTIFS(작성용!A:A,$A1224,작성용!AA:AA,"평가철회")</f>
        <v>0</v>
      </c>
    </row>
    <row r="1225" spans="1:7" ht="16.5" customHeight="1" x14ac:dyDescent="0.3">
      <c r="A1225" s="170" t="s">
        <v>2549</v>
      </c>
      <c r="B1225" s="165" t="s">
        <v>2550</v>
      </c>
      <c r="C1225" s="165" t="str">
        <f>IFERROR(VLOOKUP($A1225,작성용!A:AL,14,0),"-")</f>
        <v>-</v>
      </c>
      <c r="D1225" s="169" t="s">
        <v>220</v>
      </c>
      <c r="E1225" s="167" t="str">
        <f>IFERROR(VLOOKUP(A1225,작성용!A:AL,34,0),"-")</f>
        <v>-</v>
      </c>
      <c r="F1225" s="168" t="s">
        <v>2</v>
      </c>
      <c r="G1225" s="179">
        <f>COUNTIF(작성용!A:B,$A1225)-COUNTIFS(작성용!A:A,$A1225,작성용!AA:AA,"평가철회")</f>
        <v>0</v>
      </c>
    </row>
    <row r="1226" spans="1:7" ht="16.5" customHeight="1" x14ac:dyDescent="0.3">
      <c r="A1226" s="170" t="s">
        <v>2551</v>
      </c>
      <c r="B1226" s="165" t="s">
        <v>2552</v>
      </c>
      <c r="C1226" s="165" t="str">
        <f>IFERROR(VLOOKUP($A1226,작성용!A:AL,14,0),"-")</f>
        <v>-</v>
      </c>
      <c r="D1226" s="169" t="s">
        <v>6279</v>
      </c>
      <c r="E1226" s="167" t="str">
        <f>IFERROR(VLOOKUP(A1226,작성용!A:AL,34,0),"-")</f>
        <v>-</v>
      </c>
      <c r="F1226" s="168" t="s">
        <v>6342</v>
      </c>
      <c r="G1226" s="179">
        <f>COUNTIF(작성용!A:B,$A1226)-COUNTIFS(작성용!A:A,$A1226,작성용!AA:AA,"평가철회")</f>
        <v>0</v>
      </c>
    </row>
    <row r="1227" spans="1:7" ht="16.5" customHeight="1" x14ac:dyDescent="0.3">
      <c r="A1227" s="170" t="s">
        <v>2553</v>
      </c>
      <c r="B1227" s="165" t="s">
        <v>2554</v>
      </c>
      <c r="C1227" s="165" t="str">
        <f>IFERROR(VLOOKUP($A1227,작성용!A:AL,14,0),"-")</f>
        <v>-</v>
      </c>
      <c r="D1227" s="169" t="s">
        <v>6373</v>
      </c>
      <c r="E1227" s="167" t="str">
        <f>IFERROR(VLOOKUP(A1227,작성용!A:AL,34,0),"-")</f>
        <v>-</v>
      </c>
      <c r="F1227" s="168" t="s">
        <v>2</v>
      </c>
      <c r="G1227" s="179">
        <f>COUNTIF(작성용!A:B,$A1227)-COUNTIFS(작성용!A:A,$A1227,작성용!AA:AA,"평가철회")</f>
        <v>0</v>
      </c>
    </row>
    <row r="1228" spans="1:7" ht="16.5" customHeight="1" x14ac:dyDescent="0.3">
      <c r="A1228" s="170" t="s">
        <v>2555</v>
      </c>
      <c r="B1228" s="165" t="s">
        <v>2556</v>
      </c>
      <c r="C1228" s="165" t="str">
        <f>IFERROR(VLOOKUP($A1228,작성용!A:AL,14,0),"-")</f>
        <v>-</v>
      </c>
      <c r="D1228" s="169" t="s">
        <v>71</v>
      </c>
      <c r="E1228" s="167" t="str">
        <f>IFERROR(VLOOKUP(A1228,작성용!A:AL,34,0),"-")</f>
        <v>-</v>
      </c>
      <c r="F1228" s="168" t="s">
        <v>2</v>
      </c>
      <c r="G1228" s="179">
        <f>COUNTIF(작성용!A:B,$A1228)-COUNTIFS(작성용!A:A,$A1228,작성용!AA:AA,"평가철회")</f>
        <v>0</v>
      </c>
    </row>
    <row r="1229" spans="1:7" ht="16.5" customHeight="1" x14ac:dyDescent="0.3">
      <c r="A1229" s="170" t="s">
        <v>2557</v>
      </c>
      <c r="B1229" s="165" t="s">
        <v>2558</v>
      </c>
      <c r="C1229" s="165" t="str">
        <f>IFERROR(VLOOKUP($A1229,작성용!A:AL,14,0),"-")</f>
        <v>-</v>
      </c>
      <c r="D1229" s="169" t="s">
        <v>220</v>
      </c>
      <c r="E1229" s="167" t="str">
        <f>IFERROR(VLOOKUP(A1229,작성용!A:AL,34,0),"-")</f>
        <v>-</v>
      </c>
      <c r="F1229" s="168" t="s">
        <v>2</v>
      </c>
      <c r="G1229" s="179">
        <f>COUNTIF(작성용!A:B,$A1229)-COUNTIFS(작성용!A:A,$A1229,작성용!AA:AA,"평가철회")</f>
        <v>0</v>
      </c>
    </row>
    <row r="1230" spans="1:7" ht="16.5" customHeight="1" x14ac:dyDescent="0.3">
      <c r="A1230" s="170" t="s">
        <v>2559</v>
      </c>
      <c r="B1230" s="165" t="s">
        <v>6527</v>
      </c>
      <c r="C1230" s="165" t="str">
        <f>IFERROR(VLOOKUP($A1230,작성용!A:AL,14,0),"-")</f>
        <v>-</v>
      </c>
      <c r="D1230" s="169" t="s">
        <v>4045</v>
      </c>
      <c r="E1230" s="167" t="str">
        <f>IFERROR(VLOOKUP(A1230,작성용!A:AL,34,0),"-")</f>
        <v>-</v>
      </c>
      <c r="F1230" s="168" t="s">
        <v>2</v>
      </c>
      <c r="G1230" s="179">
        <f>COUNTIF(작성용!A:B,$A1230)-COUNTIFS(작성용!A:A,$A1230,작성용!AA:AA,"평가철회")</f>
        <v>0</v>
      </c>
    </row>
    <row r="1231" spans="1:7" ht="16.5" customHeight="1" x14ac:dyDescent="0.3">
      <c r="A1231" s="170" t="s">
        <v>2560</v>
      </c>
      <c r="B1231" s="165" t="s">
        <v>3555</v>
      </c>
      <c r="C1231" s="165" t="str">
        <f>IFERROR(VLOOKUP($A1231,작성용!A:AL,14,0),"-")</f>
        <v>-</v>
      </c>
      <c r="D1231" s="169" t="s">
        <v>6319</v>
      </c>
      <c r="E1231" s="167" t="str">
        <f>IFERROR(VLOOKUP(A1231,작성용!A:AL,34,0),"-")</f>
        <v>-</v>
      </c>
      <c r="F1231" s="168" t="s">
        <v>6270</v>
      </c>
      <c r="G1231" s="179">
        <f>COUNTIF(작성용!A:B,$A1231)-COUNTIFS(작성용!A:A,$A1231,작성용!AA:AA,"평가철회")</f>
        <v>0</v>
      </c>
    </row>
    <row r="1232" spans="1:7" ht="16.5" customHeight="1" x14ac:dyDescent="0.3">
      <c r="A1232" s="170" t="s">
        <v>2561</v>
      </c>
      <c r="B1232" s="165" t="s">
        <v>2562</v>
      </c>
      <c r="C1232" s="165" t="str">
        <f>IFERROR(VLOOKUP($A1232,작성용!A:AL,14,0),"-")</f>
        <v>-</v>
      </c>
      <c r="D1232" s="169" t="s">
        <v>694</v>
      </c>
      <c r="E1232" s="167" t="str">
        <f>IFERROR(VLOOKUP(A1232,작성용!A:AL,34,0),"-")</f>
        <v>-</v>
      </c>
      <c r="F1232" s="168" t="s">
        <v>2</v>
      </c>
      <c r="G1232" s="179">
        <f>COUNTIF(작성용!A:B,$A1232)-COUNTIFS(작성용!A:A,$A1232,작성용!AA:AA,"평가철회")</f>
        <v>0</v>
      </c>
    </row>
    <row r="1233" spans="1:7" ht="16.5" customHeight="1" x14ac:dyDescent="0.3">
      <c r="A1233" s="170" t="s">
        <v>2563</v>
      </c>
      <c r="B1233" s="165" t="s">
        <v>2564</v>
      </c>
      <c r="C1233" s="165" t="str">
        <f>IFERROR(VLOOKUP($A1233,작성용!A:AL,14,0),"-")</f>
        <v>-</v>
      </c>
      <c r="D1233" s="169" t="s">
        <v>220</v>
      </c>
      <c r="E1233" s="167" t="str">
        <f>IFERROR(VLOOKUP(A1233,작성용!A:AL,34,0),"-")</f>
        <v>-</v>
      </c>
      <c r="F1233" s="168" t="s">
        <v>2</v>
      </c>
      <c r="G1233" s="179">
        <f>COUNTIF(작성용!A:B,$A1233)-COUNTIFS(작성용!A:A,$A1233,작성용!AA:AA,"평가철회")</f>
        <v>0</v>
      </c>
    </row>
    <row r="1234" spans="1:7" ht="16.5" customHeight="1" x14ac:dyDescent="0.3">
      <c r="A1234" s="170" t="s">
        <v>2565</v>
      </c>
      <c r="B1234" s="165" t="s">
        <v>2566</v>
      </c>
      <c r="C1234" s="165" t="str">
        <f>IFERROR(VLOOKUP($A1234,작성용!A:AL,14,0),"-")</f>
        <v>-</v>
      </c>
      <c r="D1234" s="169" t="s">
        <v>220</v>
      </c>
      <c r="E1234" s="167" t="str">
        <f>IFERROR(VLOOKUP(A1234,작성용!A:AL,34,0),"-")</f>
        <v>-</v>
      </c>
      <c r="F1234" s="168" t="s">
        <v>2</v>
      </c>
      <c r="G1234" s="179">
        <f>COUNTIF(작성용!A:B,$A1234)-COUNTIFS(작성용!A:A,$A1234,작성용!AA:AA,"평가철회")</f>
        <v>0</v>
      </c>
    </row>
    <row r="1235" spans="1:7" ht="16.5" customHeight="1" x14ac:dyDescent="0.3">
      <c r="A1235" s="170" t="s">
        <v>2567</v>
      </c>
      <c r="B1235" s="165" t="s">
        <v>2568</v>
      </c>
      <c r="C1235" s="165" t="str">
        <f>IFERROR(VLOOKUP($A1235,작성용!A:AL,14,0),"-")</f>
        <v>-</v>
      </c>
      <c r="D1235" s="169" t="s">
        <v>6312</v>
      </c>
      <c r="E1235" s="167" t="str">
        <f>IFERROR(VLOOKUP(A1235,작성용!A:AL,34,0),"-")</f>
        <v>-</v>
      </c>
      <c r="F1235" s="168" t="s">
        <v>6378</v>
      </c>
      <c r="G1235" s="179">
        <f>COUNTIF(작성용!A:B,$A1235)-COUNTIFS(작성용!A:A,$A1235,작성용!AA:AA,"평가철회")</f>
        <v>0</v>
      </c>
    </row>
    <row r="1236" spans="1:7" ht="16.5" customHeight="1" x14ac:dyDescent="0.3">
      <c r="A1236" s="170" t="s">
        <v>2569</v>
      </c>
      <c r="B1236" s="165" t="s">
        <v>2570</v>
      </c>
      <c r="C1236" s="165" t="str">
        <f>IFERROR(VLOOKUP($A1236,작성용!A:AL,14,0),"-")</f>
        <v>-</v>
      </c>
      <c r="D1236" s="169" t="s">
        <v>6325</v>
      </c>
      <c r="E1236" s="167" t="str">
        <f>IFERROR(VLOOKUP(A1236,작성용!A:AL,34,0),"-")</f>
        <v>-</v>
      </c>
      <c r="F1236" s="168" t="s">
        <v>85</v>
      </c>
      <c r="G1236" s="179">
        <f>COUNTIF(작성용!A:B,$A1236)-COUNTIFS(작성용!A:A,$A1236,작성용!AA:AA,"평가철회")</f>
        <v>0</v>
      </c>
    </row>
    <row r="1237" spans="1:7" ht="16.5" customHeight="1" x14ac:dyDescent="0.3">
      <c r="A1237" s="170" t="s">
        <v>2571</v>
      </c>
      <c r="B1237" s="165" t="s">
        <v>2572</v>
      </c>
      <c r="C1237" s="165" t="str">
        <f>IFERROR(VLOOKUP($A1237,작성용!A:AL,14,0),"-")</f>
        <v>-</v>
      </c>
      <c r="D1237" s="169" t="s">
        <v>220</v>
      </c>
      <c r="E1237" s="167" t="str">
        <f>IFERROR(VLOOKUP(A1237,작성용!A:AL,34,0),"-")</f>
        <v>-</v>
      </c>
      <c r="F1237" s="168" t="s">
        <v>6382</v>
      </c>
      <c r="G1237" s="179">
        <f>COUNTIF(작성용!A:B,$A1237)-COUNTIFS(작성용!A:A,$A1237,작성용!AA:AA,"평가철회")</f>
        <v>0</v>
      </c>
    </row>
    <row r="1238" spans="1:7" ht="16.5" customHeight="1" x14ac:dyDescent="0.3">
      <c r="A1238" s="170" t="s">
        <v>2573</v>
      </c>
      <c r="B1238" s="165" t="s">
        <v>6523</v>
      </c>
      <c r="C1238" s="165" t="str">
        <f>IFERROR(VLOOKUP($A1238,작성용!A:AL,14,0),"-")</f>
        <v>-</v>
      </c>
      <c r="D1238" s="169" t="s">
        <v>6528</v>
      </c>
      <c r="E1238" s="167" t="str">
        <f>IFERROR(VLOOKUP(A1238,작성용!A:AL,34,0),"-")</f>
        <v>-</v>
      </c>
      <c r="F1238" s="168" t="s">
        <v>6304</v>
      </c>
      <c r="G1238" s="179">
        <f>COUNTIF(작성용!A:B,$A1238)-COUNTIFS(작성용!A:A,$A1238,작성용!AA:AA,"평가철회")</f>
        <v>0</v>
      </c>
    </row>
    <row r="1239" spans="1:7" ht="16.5" customHeight="1" x14ac:dyDescent="0.3">
      <c r="A1239" s="170" t="s">
        <v>2574</v>
      </c>
      <c r="B1239" s="165" t="s">
        <v>2575</v>
      </c>
      <c r="C1239" s="165" t="str">
        <f>IFERROR(VLOOKUP($A1239,작성용!A:AL,14,0),"-")</f>
        <v>-</v>
      </c>
      <c r="D1239" s="169" t="s">
        <v>13</v>
      </c>
      <c r="E1239" s="167" t="str">
        <f>IFERROR(VLOOKUP(A1239,작성용!A:AL,34,0),"-")</f>
        <v>-</v>
      </c>
      <c r="F1239" s="168" t="s">
        <v>2</v>
      </c>
      <c r="G1239" s="179">
        <f>COUNTIF(작성용!A:B,$A1239)-COUNTIFS(작성용!A:A,$A1239,작성용!AA:AA,"평가철회")</f>
        <v>0</v>
      </c>
    </row>
    <row r="1240" spans="1:7" ht="16.5" customHeight="1" x14ac:dyDescent="0.3">
      <c r="A1240" s="170" t="s">
        <v>2576</v>
      </c>
      <c r="B1240" s="165" t="s">
        <v>2577</v>
      </c>
      <c r="C1240" s="165" t="str">
        <f>IFERROR(VLOOKUP($A1240,작성용!A:AL,14,0),"-")</f>
        <v>-</v>
      </c>
      <c r="D1240" s="169" t="s">
        <v>1619</v>
      </c>
      <c r="E1240" s="167" t="str">
        <f>IFERROR(VLOOKUP(A1240,작성용!A:AL,34,0),"-")</f>
        <v>-</v>
      </c>
      <c r="F1240" s="168" t="s">
        <v>6382</v>
      </c>
      <c r="G1240" s="179">
        <f>COUNTIF(작성용!A:B,$A1240)-COUNTIFS(작성용!A:A,$A1240,작성용!AA:AA,"평가철회")</f>
        <v>0</v>
      </c>
    </row>
    <row r="1241" spans="1:7" ht="16.5" customHeight="1" x14ac:dyDescent="0.3">
      <c r="A1241" s="170" t="s">
        <v>2578</v>
      </c>
      <c r="B1241" s="165" t="s">
        <v>2579</v>
      </c>
      <c r="C1241" s="165" t="str">
        <f>IFERROR(VLOOKUP($A1241,작성용!A:AL,14,0),"-")</f>
        <v>-</v>
      </c>
      <c r="D1241" s="169" t="s">
        <v>220</v>
      </c>
      <c r="E1241" s="167" t="str">
        <f>IFERROR(VLOOKUP(A1241,작성용!A:AL,34,0),"-")</f>
        <v>-</v>
      </c>
      <c r="F1241" s="168" t="s">
        <v>2</v>
      </c>
      <c r="G1241" s="179">
        <f>COUNTIF(작성용!A:B,$A1241)-COUNTIFS(작성용!A:A,$A1241,작성용!AA:AA,"평가철회")</f>
        <v>0</v>
      </c>
    </row>
    <row r="1242" spans="1:7" ht="16.5" customHeight="1" x14ac:dyDescent="0.3">
      <c r="A1242" s="170" t="s">
        <v>2580</v>
      </c>
      <c r="B1242" s="165" t="s">
        <v>2581</v>
      </c>
      <c r="C1242" s="165" t="str">
        <f>IFERROR(VLOOKUP($A1242,작성용!A:AL,14,0),"-")</f>
        <v>-</v>
      </c>
      <c r="D1242" s="169" t="s">
        <v>6278</v>
      </c>
      <c r="E1242" s="167" t="str">
        <f>IFERROR(VLOOKUP(A1242,작성용!A:AL,34,0),"-")</f>
        <v>-</v>
      </c>
      <c r="F1242" s="168" t="s">
        <v>6382</v>
      </c>
      <c r="G1242" s="179">
        <f>COUNTIF(작성용!A:B,$A1242)-COUNTIFS(작성용!A:A,$A1242,작성용!AA:AA,"평가철회")</f>
        <v>0</v>
      </c>
    </row>
    <row r="1243" spans="1:7" ht="16.5" customHeight="1" x14ac:dyDescent="0.3">
      <c r="A1243" s="170" t="s">
        <v>2582</v>
      </c>
      <c r="B1243" s="165" t="s">
        <v>2583</v>
      </c>
      <c r="C1243" s="165" t="str">
        <f>IFERROR(VLOOKUP($A1243,작성용!A:AL,14,0),"-")</f>
        <v>-</v>
      </c>
      <c r="D1243" s="169" t="s">
        <v>6386</v>
      </c>
      <c r="E1243" s="167" t="str">
        <f>IFERROR(VLOOKUP(A1243,작성용!A:AL,34,0),"-")</f>
        <v>-</v>
      </c>
      <c r="F1243" s="168" t="s">
        <v>6342</v>
      </c>
      <c r="G1243" s="179">
        <f>COUNTIF(작성용!A:B,$A1243)-COUNTIFS(작성용!A:A,$A1243,작성용!AA:AA,"평가철회")</f>
        <v>0</v>
      </c>
    </row>
    <row r="1244" spans="1:7" ht="16.5" customHeight="1" x14ac:dyDescent="0.3">
      <c r="A1244" s="170" t="s">
        <v>2584</v>
      </c>
      <c r="B1244" s="165" t="s">
        <v>2438</v>
      </c>
      <c r="C1244" s="165" t="str">
        <f>IFERROR(VLOOKUP($A1244,작성용!A:AL,14,0),"-")</f>
        <v>-</v>
      </c>
      <c r="D1244" s="169" t="s">
        <v>1652</v>
      </c>
      <c r="E1244" s="167" t="str">
        <f>IFERROR(VLOOKUP(A1244,작성용!A:AL,34,0),"-")</f>
        <v>-</v>
      </c>
      <c r="F1244" s="168" t="s">
        <v>2</v>
      </c>
      <c r="G1244" s="179">
        <f>COUNTIF(작성용!A:B,$A1244)-COUNTIFS(작성용!A:A,$A1244,작성용!AA:AA,"평가철회")</f>
        <v>0</v>
      </c>
    </row>
    <row r="1245" spans="1:7" ht="16.5" customHeight="1" x14ac:dyDescent="0.3">
      <c r="A1245" s="170" t="s">
        <v>2585</v>
      </c>
      <c r="B1245" s="165" t="s">
        <v>2586</v>
      </c>
      <c r="C1245" s="165" t="str">
        <f>IFERROR(VLOOKUP($A1245,작성용!A:AL,14,0),"-")</f>
        <v>-</v>
      </c>
      <c r="D1245" s="169" t="s">
        <v>2261</v>
      </c>
      <c r="E1245" s="167" t="str">
        <f>IFERROR(VLOOKUP(A1245,작성용!A:AL,34,0),"-")</f>
        <v>-</v>
      </c>
      <c r="F1245" s="168" t="s">
        <v>2</v>
      </c>
      <c r="G1245" s="179">
        <f>COUNTIF(작성용!A:B,$A1245)-COUNTIFS(작성용!A:A,$A1245,작성용!AA:AA,"평가철회")</f>
        <v>0</v>
      </c>
    </row>
    <row r="1246" spans="1:7" ht="16.5" customHeight="1" x14ac:dyDescent="0.3">
      <c r="A1246" s="170" t="s">
        <v>2587</v>
      </c>
      <c r="B1246" s="165" t="s">
        <v>2588</v>
      </c>
      <c r="C1246" s="165" t="str">
        <f>IFERROR(VLOOKUP($A1246,작성용!A:AL,14,0),"-")</f>
        <v>-</v>
      </c>
      <c r="D1246" s="169" t="s">
        <v>2539</v>
      </c>
      <c r="E1246" s="167" t="str">
        <f>IFERROR(VLOOKUP(A1246,작성용!A:AL,34,0),"-")</f>
        <v>-</v>
      </c>
      <c r="F1246" s="168" t="s">
        <v>2</v>
      </c>
      <c r="G1246" s="179">
        <f>COUNTIF(작성용!A:B,$A1246)-COUNTIFS(작성용!A:A,$A1246,작성용!AA:AA,"평가철회")</f>
        <v>0</v>
      </c>
    </row>
    <row r="1247" spans="1:7" ht="16.5" customHeight="1" x14ac:dyDescent="0.3">
      <c r="A1247" s="170" t="s">
        <v>2589</v>
      </c>
      <c r="B1247" s="165" t="s">
        <v>2590</v>
      </c>
      <c r="C1247" s="165" t="str">
        <f>IFERROR(VLOOKUP($A1247,작성용!A:AL,14,0),"-")</f>
        <v>-</v>
      </c>
      <c r="D1247" s="169" t="s">
        <v>220</v>
      </c>
      <c r="E1247" s="167" t="str">
        <f>IFERROR(VLOOKUP(A1247,작성용!A:AL,34,0),"-")</f>
        <v>-</v>
      </c>
      <c r="F1247" s="168" t="s">
        <v>2</v>
      </c>
      <c r="G1247" s="179">
        <f>COUNTIF(작성용!A:B,$A1247)-COUNTIFS(작성용!A:A,$A1247,작성용!AA:AA,"평가철회")</f>
        <v>0</v>
      </c>
    </row>
    <row r="1248" spans="1:7" ht="16.5" customHeight="1" x14ac:dyDescent="0.3">
      <c r="A1248" s="170" t="s">
        <v>2591</v>
      </c>
      <c r="B1248" s="165" t="s">
        <v>2592</v>
      </c>
      <c r="C1248" s="165" t="str">
        <f>IFERROR(VLOOKUP($A1248,작성용!A:AL,14,0),"-")</f>
        <v>-</v>
      </c>
      <c r="D1248" s="169" t="s">
        <v>6294</v>
      </c>
      <c r="E1248" s="167" t="str">
        <f>IFERROR(VLOOKUP(A1248,작성용!A:AL,34,0),"-")</f>
        <v>-</v>
      </c>
      <c r="F1248" s="168" t="s">
        <v>6304</v>
      </c>
      <c r="G1248" s="179">
        <f>COUNTIF(작성용!A:B,$A1248)-COUNTIFS(작성용!A:A,$A1248,작성용!AA:AA,"평가철회")</f>
        <v>0</v>
      </c>
    </row>
    <row r="1249" spans="1:7" ht="16.5" customHeight="1" x14ac:dyDescent="0.3">
      <c r="A1249" s="170" t="s">
        <v>2593</v>
      </c>
      <c r="B1249" s="165" t="s">
        <v>2594</v>
      </c>
      <c r="C1249" s="165" t="str">
        <f>IFERROR(VLOOKUP($A1249,작성용!A:AL,14,0),"-")</f>
        <v>-</v>
      </c>
      <c r="D1249" s="169" t="s">
        <v>2</v>
      </c>
      <c r="E1249" s="167" t="str">
        <f>IFERROR(VLOOKUP(A1249,작성용!A:AL,34,0),"-")</f>
        <v>-</v>
      </c>
      <c r="F1249" s="168" t="s">
        <v>2</v>
      </c>
      <c r="G1249" s="179">
        <f>COUNTIF(작성용!A:B,$A1249)-COUNTIFS(작성용!A:A,$A1249,작성용!AA:AA,"평가철회")</f>
        <v>0</v>
      </c>
    </row>
    <row r="1250" spans="1:7" ht="16.5" customHeight="1" x14ac:dyDescent="0.3">
      <c r="A1250" s="170" t="s">
        <v>2595</v>
      </c>
      <c r="B1250" s="165" t="s">
        <v>2596</v>
      </c>
      <c r="C1250" s="165" t="str">
        <f>IFERROR(VLOOKUP($A1250,작성용!A:AL,14,0),"-")</f>
        <v>-</v>
      </c>
      <c r="D1250" s="169" t="s">
        <v>6529</v>
      </c>
      <c r="E1250" s="167" t="str">
        <f>IFERROR(VLOOKUP(A1250,작성용!A:AL,34,0),"-")</f>
        <v>-</v>
      </c>
      <c r="F1250" s="168" t="s">
        <v>2</v>
      </c>
      <c r="G1250" s="179">
        <f>COUNTIF(작성용!A:B,$A1250)-COUNTIFS(작성용!A:A,$A1250,작성용!AA:AA,"평가철회")</f>
        <v>0</v>
      </c>
    </row>
    <row r="1251" spans="1:7" ht="16.5" customHeight="1" x14ac:dyDescent="0.3">
      <c r="A1251" s="170" t="s">
        <v>2597</v>
      </c>
      <c r="B1251" s="165" t="s">
        <v>2598</v>
      </c>
      <c r="C1251" s="165" t="str">
        <f>IFERROR(VLOOKUP($A1251,작성용!A:AL,14,0),"-")</f>
        <v>-</v>
      </c>
      <c r="D1251" s="169" t="s">
        <v>6463</v>
      </c>
      <c r="E1251" s="167" t="str">
        <f>IFERROR(VLOOKUP(A1251,작성용!A:AL,34,0),"-")</f>
        <v>-</v>
      </c>
      <c r="F1251" s="168" t="s">
        <v>2</v>
      </c>
      <c r="G1251" s="179">
        <f>COUNTIF(작성용!A:B,$A1251)-COUNTIFS(작성용!A:A,$A1251,작성용!AA:AA,"평가철회")</f>
        <v>0</v>
      </c>
    </row>
    <row r="1252" spans="1:7" ht="16.5" customHeight="1" x14ac:dyDescent="0.3">
      <c r="A1252" s="170" t="s">
        <v>2599</v>
      </c>
      <c r="B1252" s="165" t="s">
        <v>2600</v>
      </c>
      <c r="C1252" s="165" t="str">
        <f>IFERROR(VLOOKUP($A1252,작성용!A:AL,14,0),"-")</f>
        <v>년</v>
      </c>
      <c r="D1252" s="169" t="s">
        <v>492</v>
      </c>
      <c r="E1252" s="167" t="str">
        <f>IFERROR(VLOOKUP(A1252,작성용!A:AL,34,0),"-")</f>
        <v>조현우</v>
      </c>
      <c r="F1252" s="168" t="s">
        <v>401</v>
      </c>
      <c r="G1252" s="179">
        <f>COUNTIF(작성용!A:B,$A1252)-COUNTIFS(작성용!A:A,$A1252,작성용!AA:AA,"평가철회")</f>
        <v>20</v>
      </c>
    </row>
    <row r="1253" spans="1:7" ht="16.5" customHeight="1" x14ac:dyDescent="0.3">
      <c r="A1253" s="170" t="s">
        <v>2601</v>
      </c>
      <c r="B1253" s="165" t="s">
        <v>2602</v>
      </c>
      <c r="C1253" s="165" t="str">
        <f>IFERROR(VLOOKUP($A1253,작성용!A:AL,14,0),"-")</f>
        <v>-</v>
      </c>
      <c r="D1253" s="169" t="s">
        <v>6438</v>
      </c>
      <c r="E1253" s="167" t="str">
        <f>IFERROR(VLOOKUP(A1253,작성용!A:AL,34,0),"-")</f>
        <v>-</v>
      </c>
      <c r="F1253" s="168" t="s">
        <v>2</v>
      </c>
      <c r="G1253" s="179">
        <f>COUNTIF(작성용!A:B,$A1253)-COUNTIFS(작성용!A:A,$A1253,작성용!AA:AA,"평가철회")</f>
        <v>0</v>
      </c>
    </row>
    <row r="1254" spans="1:7" ht="16.5" customHeight="1" x14ac:dyDescent="0.3">
      <c r="A1254" s="170" t="s">
        <v>2603</v>
      </c>
      <c r="B1254" s="165" t="s">
        <v>2604</v>
      </c>
      <c r="C1254" s="165" t="str">
        <f>IFERROR(VLOOKUP($A1254,작성용!A:AL,14,0),"-")</f>
        <v>-</v>
      </c>
      <c r="D1254" s="169" t="s">
        <v>74</v>
      </c>
      <c r="E1254" s="167" t="str">
        <f>IFERROR(VLOOKUP(A1254,작성용!A:AL,34,0),"-")</f>
        <v>-</v>
      </c>
      <c r="F1254" s="168" t="s">
        <v>2</v>
      </c>
      <c r="G1254" s="179">
        <f>COUNTIF(작성용!A:B,$A1254)-COUNTIFS(작성용!A:A,$A1254,작성용!AA:AA,"평가철회")</f>
        <v>0</v>
      </c>
    </row>
    <row r="1255" spans="1:7" ht="16.5" customHeight="1" x14ac:dyDescent="0.3">
      <c r="A1255" s="170" t="s">
        <v>2605</v>
      </c>
      <c r="B1255" s="165" t="s">
        <v>2606</v>
      </c>
      <c r="C1255" s="165" t="str">
        <f>IFERROR(VLOOKUP($A1255,작성용!A:AL,14,0),"-")</f>
        <v>-</v>
      </c>
      <c r="D1255" s="169" t="s">
        <v>2539</v>
      </c>
      <c r="E1255" s="167" t="str">
        <f>IFERROR(VLOOKUP(A1255,작성용!A:AL,34,0),"-")</f>
        <v>-</v>
      </c>
      <c r="F1255" s="168" t="s">
        <v>2</v>
      </c>
      <c r="G1255" s="179">
        <f>COUNTIF(작성용!A:B,$A1255)-COUNTIFS(작성용!A:A,$A1255,작성용!AA:AA,"평가철회")</f>
        <v>0</v>
      </c>
    </row>
    <row r="1256" spans="1:7" ht="16.5" customHeight="1" x14ac:dyDescent="0.3">
      <c r="A1256" s="170" t="s">
        <v>2607</v>
      </c>
      <c r="B1256" s="165" t="s">
        <v>2608</v>
      </c>
      <c r="C1256" s="165" t="str">
        <f>IFERROR(VLOOKUP($A1256,작성용!A:AL,14,0),"-")</f>
        <v>-</v>
      </c>
      <c r="D1256" s="169" t="s">
        <v>6530</v>
      </c>
      <c r="E1256" s="167" t="str">
        <f>IFERROR(VLOOKUP(A1256,작성용!A:AL,34,0),"-")</f>
        <v>-</v>
      </c>
      <c r="F1256" s="168" t="s">
        <v>2</v>
      </c>
      <c r="G1256" s="179">
        <f>COUNTIF(작성용!A:B,$A1256)-COUNTIFS(작성용!A:A,$A1256,작성용!AA:AA,"평가철회")</f>
        <v>0</v>
      </c>
    </row>
    <row r="1257" spans="1:7" ht="16.5" customHeight="1" x14ac:dyDescent="0.3">
      <c r="A1257" s="170" t="s">
        <v>2609</v>
      </c>
      <c r="B1257" s="165" t="s">
        <v>2610</v>
      </c>
      <c r="C1257" s="165" t="str">
        <f>IFERROR(VLOOKUP($A1257,작성용!A:AL,14,0),"-")</f>
        <v>-</v>
      </c>
      <c r="D1257" s="169" t="s">
        <v>6531</v>
      </c>
      <c r="E1257" s="167" t="str">
        <f>IFERROR(VLOOKUP(A1257,작성용!A:AL,34,0),"-")</f>
        <v>-</v>
      </c>
      <c r="F1257" s="168" t="s">
        <v>2</v>
      </c>
      <c r="G1257" s="179">
        <f>COUNTIF(작성용!A:B,$A1257)-COUNTIFS(작성용!A:A,$A1257,작성용!AA:AA,"평가철회")</f>
        <v>0</v>
      </c>
    </row>
    <row r="1258" spans="1:7" ht="16.5" customHeight="1" x14ac:dyDescent="0.3">
      <c r="A1258" s="170" t="s">
        <v>2611</v>
      </c>
      <c r="B1258" s="165" t="s">
        <v>2612</v>
      </c>
      <c r="C1258" s="165" t="str">
        <f>IFERROR(VLOOKUP($A1258,작성용!A:AL,14,0),"-")</f>
        <v xml:space="preserve">연말 </v>
      </c>
      <c r="D1258" s="169" t="s">
        <v>6290</v>
      </c>
      <c r="E1258" s="167" t="str">
        <f>IFERROR(VLOOKUP(A1258,작성용!A:AL,34,0),"-")</f>
        <v>원정우</v>
      </c>
      <c r="F1258" s="168" t="s">
        <v>6304</v>
      </c>
      <c r="G1258" s="179">
        <f>COUNTIF(작성용!A:B,$A1258)-COUNTIFS(작성용!A:A,$A1258,작성용!AA:AA,"평가철회")</f>
        <v>1</v>
      </c>
    </row>
    <row r="1259" spans="1:7" ht="16.5" customHeight="1" x14ac:dyDescent="0.3">
      <c r="A1259" s="170" t="s">
        <v>2613</v>
      </c>
      <c r="B1259" s="165" t="s">
        <v>2614</v>
      </c>
      <c r="C1259" s="165" t="str">
        <f>IFERROR(VLOOKUP($A1259,작성용!A:AL,14,0),"-")</f>
        <v>-</v>
      </c>
      <c r="D1259" s="169" t="s">
        <v>6385</v>
      </c>
      <c r="E1259" s="167" t="str">
        <f>IFERROR(VLOOKUP(A1259,작성용!A:AL,34,0),"-")</f>
        <v>-</v>
      </c>
      <c r="F1259" s="168" t="s">
        <v>2</v>
      </c>
      <c r="G1259" s="179">
        <f>COUNTIF(작성용!A:B,$A1259)-COUNTIFS(작성용!A:A,$A1259,작성용!AA:AA,"평가철회")</f>
        <v>0</v>
      </c>
    </row>
    <row r="1260" spans="1:7" ht="16.5" customHeight="1" x14ac:dyDescent="0.3">
      <c r="A1260" s="170" t="s">
        <v>2615</v>
      </c>
      <c r="B1260" s="165" t="s">
        <v>2616</v>
      </c>
      <c r="C1260" s="165" t="str">
        <f>IFERROR(VLOOKUP($A1260,작성용!A:AL,14,0),"-")</f>
        <v>-</v>
      </c>
      <c r="D1260" s="169" t="s">
        <v>13</v>
      </c>
      <c r="E1260" s="167" t="str">
        <f>IFERROR(VLOOKUP(A1260,작성용!A:AL,34,0),"-")</f>
        <v>-</v>
      </c>
      <c r="F1260" s="168" t="s">
        <v>6304</v>
      </c>
      <c r="G1260" s="179">
        <f>COUNTIF(작성용!A:B,$A1260)-COUNTIFS(작성용!A:A,$A1260,작성용!AA:AA,"평가철회")</f>
        <v>0</v>
      </c>
    </row>
    <row r="1261" spans="1:7" ht="16.5" customHeight="1" x14ac:dyDescent="0.3">
      <c r="A1261" s="170" t="s">
        <v>2617</v>
      </c>
      <c r="B1261" s="165" t="s">
        <v>2618</v>
      </c>
      <c r="C1261" s="165" t="str">
        <f>IFERROR(VLOOKUP($A1261,작성용!A:AL,14,0),"-")</f>
        <v>-</v>
      </c>
      <c r="D1261" s="169" t="s">
        <v>220</v>
      </c>
      <c r="E1261" s="167" t="str">
        <f>IFERROR(VLOOKUP(A1261,작성용!A:AL,34,0),"-")</f>
        <v>-</v>
      </c>
      <c r="F1261" s="168" t="s">
        <v>6270</v>
      </c>
      <c r="G1261" s="179">
        <f>COUNTIF(작성용!A:B,$A1261)-COUNTIFS(작성용!A:A,$A1261,작성용!AA:AA,"평가철회")</f>
        <v>0</v>
      </c>
    </row>
    <row r="1262" spans="1:7" ht="16.5" customHeight="1" x14ac:dyDescent="0.3">
      <c r="A1262" s="170" t="s">
        <v>2619</v>
      </c>
      <c r="B1262" s="165" t="s">
        <v>2620</v>
      </c>
      <c r="C1262" s="165" t="str">
        <f>IFERROR(VLOOKUP($A1262,작성용!A:AL,14,0),"-")</f>
        <v>-</v>
      </c>
      <c r="D1262" s="169" t="s">
        <v>6312</v>
      </c>
      <c r="E1262" s="167" t="str">
        <f>IFERROR(VLOOKUP(A1262,작성용!A:AL,34,0),"-")</f>
        <v>-</v>
      </c>
      <c r="F1262" s="168" t="s">
        <v>6304</v>
      </c>
      <c r="G1262" s="179">
        <f>COUNTIF(작성용!A:B,$A1262)-COUNTIFS(작성용!A:A,$A1262,작성용!AA:AA,"평가철회")</f>
        <v>0</v>
      </c>
    </row>
    <row r="1263" spans="1:7" ht="16.5" customHeight="1" x14ac:dyDescent="0.3">
      <c r="A1263" s="170" t="s">
        <v>2621</v>
      </c>
      <c r="B1263" s="165" t="s">
        <v>2473</v>
      </c>
      <c r="C1263" s="165" t="str">
        <f>IFERROR(VLOOKUP($A1263,작성용!A:AL,14,0),"-")</f>
        <v>-</v>
      </c>
      <c r="D1263" s="169" t="s">
        <v>6310</v>
      </c>
      <c r="E1263" s="167" t="str">
        <f>IFERROR(VLOOKUP(A1263,작성용!A:AL,34,0),"-")</f>
        <v>-</v>
      </c>
      <c r="F1263" s="168" t="s">
        <v>6381</v>
      </c>
      <c r="G1263" s="179">
        <f>COUNTIF(작성용!A:B,$A1263)-COUNTIFS(작성용!A:A,$A1263,작성용!AA:AA,"평가철회")</f>
        <v>0</v>
      </c>
    </row>
    <row r="1264" spans="1:7" ht="16.5" customHeight="1" x14ac:dyDescent="0.3">
      <c r="A1264" s="170" t="s">
        <v>2622</v>
      </c>
      <c r="B1264" s="165" t="s">
        <v>6532</v>
      </c>
      <c r="C1264" s="165" t="str">
        <f>IFERROR(VLOOKUP($A1264,작성용!A:AL,14,0),"-")</f>
        <v>-</v>
      </c>
      <c r="D1264" s="169" t="s">
        <v>6295</v>
      </c>
      <c r="E1264" s="167" t="str">
        <f>IFERROR(VLOOKUP(A1264,작성용!A:AL,34,0),"-")</f>
        <v>-</v>
      </c>
      <c r="F1264" s="168" t="s">
        <v>6283</v>
      </c>
      <c r="G1264" s="179">
        <f>COUNTIF(작성용!A:B,$A1264)-COUNTIFS(작성용!A:A,$A1264,작성용!AA:AA,"평가철회")</f>
        <v>0</v>
      </c>
    </row>
    <row r="1265" spans="1:7" ht="16.5" customHeight="1" x14ac:dyDescent="0.3">
      <c r="A1265" s="170" t="s">
        <v>2623</v>
      </c>
      <c r="B1265" s="165" t="s">
        <v>2624</v>
      </c>
      <c r="C1265" s="165" t="str">
        <f>IFERROR(VLOOKUP($A1265,작성용!A:AL,14,0),"-")</f>
        <v>-</v>
      </c>
      <c r="D1265" s="169" t="s">
        <v>220</v>
      </c>
      <c r="E1265" s="167" t="str">
        <f>IFERROR(VLOOKUP(A1265,작성용!A:AL,34,0),"-")</f>
        <v>-</v>
      </c>
      <c r="F1265" s="168" t="s">
        <v>2</v>
      </c>
      <c r="G1265" s="179">
        <f>COUNTIF(작성용!A:B,$A1265)-COUNTIFS(작성용!A:A,$A1265,작성용!AA:AA,"평가철회")</f>
        <v>0</v>
      </c>
    </row>
    <row r="1266" spans="1:7" ht="16.5" customHeight="1" x14ac:dyDescent="0.3">
      <c r="A1266" s="170" t="s">
        <v>2625</v>
      </c>
      <c r="B1266" s="165" t="s">
        <v>2626</v>
      </c>
      <c r="C1266" s="165" t="str">
        <f>IFERROR(VLOOKUP($A1266,작성용!A:AL,14,0),"-")</f>
        <v>-</v>
      </c>
      <c r="D1266" s="169" t="s">
        <v>6352</v>
      </c>
      <c r="E1266" s="167" t="str">
        <f>IFERROR(VLOOKUP(A1266,작성용!A:AL,34,0),"-")</f>
        <v>-</v>
      </c>
      <c r="F1266" s="168" t="s">
        <v>2</v>
      </c>
      <c r="G1266" s="179">
        <f>COUNTIF(작성용!A:B,$A1266)-COUNTIFS(작성용!A:A,$A1266,작성용!AA:AA,"평가철회")</f>
        <v>0</v>
      </c>
    </row>
    <row r="1267" spans="1:7" ht="16.5" customHeight="1" x14ac:dyDescent="0.3">
      <c r="A1267" s="170" t="s">
        <v>2627</v>
      </c>
      <c r="B1267" s="165" t="s">
        <v>2628</v>
      </c>
      <c r="C1267" s="165" t="str">
        <f>IFERROR(VLOOKUP($A1267,작성용!A:AL,14,0),"-")</f>
        <v>-</v>
      </c>
      <c r="D1267" s="169" t="s">
        <v>1825</v>
      </c>
      <c r="E1267" s="167" t="str">
        <f>IFERROR(VLOOKUP(A1267,작성용!A:AL,34,0),"-")</f>
        <v>-</v>
      </c>
      <c r="F1267" s="168" t="s">
        <v>2</v>
      </c>
      <c r="G1267" s="179">
        <f>COUNTIF(작성용!A:B,$A1267)-COUNTIFS(작성용!A:A,$A1267,작성용!AA:AA,"평가철회")</f>
        <v>0</v>
      </c>
    </row>
    <row r="1268" spans="1:7" ht="16.5" customHeight="1" x14ac:dyDescent="0.3">
      <c r="A1268" s="170" t="s">
        <v>2629</v>
      </c>
      <c r="B1268" s="165" t="s">
        <v>2630</v>
      </c>
      <c r="C1268" s="165" t="str">
        <f>IFERROR(VLOOKUP($A1268,작성용!A:AL,14,0),"-")</f>
        <v>-</v>
      </c>
      <c r="D1268" s="169" t="s">
        <v>273</v>
      </c>
      <c r="E1268" s="167" t="str">
        <f>IFERROR(VLOOKUP(A1268,작성용!A:AL,34,0),"-")</f>
        <v>-</v>
      </c>
      <c r="F1268" s="168" t="s">
        <v>2</v>
      </c>
      <c r="G1268" s="179">
        <f>COUNTIF(작성용!A:B,$A1268)-COUNTIFS(작성용!A:A,$A1268,작성용!AA:AA,"평가철회")</f>
        <v>0</v>
      </c>
    </row>
    <row r="1269" spans="1:7" ht="16.5" customHeight="1" x14ac:dyDescent="0.3">
      <c r="A1269" s="170" t="s">
        <v>2631</v>
      </c>
      <c r="B1269" s="165" t="s">
        <v>2632</v>
      </c>
      <c r="C1269" s="165" t="str">
        <f>IFERROR(VLOOKUP($A1269,작성용!A:AL,14,0),"-")</f>
        <v>-</v>
      </c>
      <c r="D1269" s="169" t="s">
        <v>2261</v>
      </c>
      <c r="E1269" s="167" t="str">
        <f>IFERROR(VLOOKUP(A1269,작성용!A:AL,34,0),"-")</f>
        <v>-</v>
      </c>
      <c r="F1269" s="168" t="s">
        <v>2</v>
      </c>
      <c r="G1269" s="179">
        <f>COUNTIF(작성용!A:B,$A1269)-COUNTIFS(작성용!A:A,$A1269,작성용!AA:AA,"평가철회")</f>
        <v>0</v>
      </c>
    </row>
    <row r="1270" spans="1:7" ht="16.5" customHeight="1" x14ac:dyDescent="0.3">
      <c r="A1270" s="170" t="s">
        <v>2633</v>
      </c>
      <c r="B1270" s="165" t="s">
        <v>2634</v>
      </c>
      <c r="C1270" s="165" t="str">
        <f>IFERROR(VLOOKUP($A1270,작성용!A:AL,14,0),"-")</f>
        <v>연말</v>
      </c>
      <c r="D1270" s="169" t="s">
        <v>6377</v>
      </c>
      <c r="E1270" s="167" t="str">
        <f>IFERROR(VLOOKUP(A1270,작성용!A:AL,34,0),"-")</f>
        <v>서동현</v>
      </c>
      <c r="F1270" s="168" t="s">
        <v>2</v>
      </c>
      <c r="G1270" s="179">
        <f>COUNTIF(작성용!A:B,$A1270)-COUNTIFS(작성용!A:A,$A1270,작성용!AA:AA,"평가철회")</f>
        <v>3</v>
      </c>
    </row>
    <row r="1271" spans="1:7" ht="16.5" customHeight="1" x14ac:dyDescent="0.3">
      <c r="A1271" s="170" t="s">
        <v>2635</v>
      </c>
      <c r="B1271" s="165" t="s">
        <v>2636</v>
      </c>
      <c r="C1271" s="165" t="str">
        <f>IFERROR(VLOOKUP($A1271,작성용!A:AL,14,0),"-")</f>
        <v>-</v>
      </c>
      <c r="D1271" s="169" t="s">
        <v>6325</v>
      </c>
      <c r="E1271" s="167" t="str">
        <f>IFERROR(VLOOKUP(A1271,작성용!A:AL,34,0),"-")</f>
        <v>-</v>
      </c>
      <c r="F1271" s="168" t="s">
        <v>6304</v>
      </c>
      <c r="G1271" s="179">
        <f>COUNTIF(작성용!A:B,$A1271)-COUNTIFS(작성용!A:A,$A1271,작성용!AA:AA,"평가철회")</f>
        <v>0</v>
      </c>
    </row>
    <row r="1272" spans="1:7" ht="16.5" customHeight="1" x14ac:dyDescent="0.3">
      <c r="A1272" s="170" t="s">
        <v>2637</v>
      </c>
      <c r="B1272" s="165" t="s">
        <v>2638</v>
      </c>
      <c r="C1272" s="165" t="str">
        <f>IFERROR(VLOOKUP($A1272,작성용!A:AL,14,0),"-")</f>
        <v>-</v>
      </c>
      <c r="D1272" s="169" t="s">
        <v>6533</v>
      </c>
      <c r="E1272" s="167" t="str">
        <f>IFERROR(VLOOKUP(A1272,작성용!A:AL,34,0),"-")</f>
        <v>-</v>
      </c>
      <c r="F1272" s="168" t="s">
        <v>6304</v>
      </c>
      <c r="G1272" s="179">
        <f>COUNTIF(작성용!A:B,$A1272)-COUNTIFS(작성용!A:A,$A1272,작성용!AA:AA,"평가철회")</f>
        <v>0</v>
      </c>
    </row>
    <row r="1273" spans="1:7" ht="16.5" customHeight="1" x14ac:dyDescent="0.3">
      <c r="A1273" s="170" t="s">
        <v>2639</v>
      </c>
      <c r="B1273" s="165" t="s">
        <v>2640</v>
      </c>
      <c r="C1273" s="165" t="str">
        <f>IFERROR(VLOOKUP($A1273,작성용!A:AL,14,0),"-")</f>
        <v>-</v>
      </c>
      <c r="D1273" s="169" t="s">
        <v>6534</v>
      </c>
      <c r="E1273" s="167" t="str">
        <f>IFERROR(VLOOKUP(A1273,작성용!A:AL,34,0),"-")</f>
        <v>-</v>
      </c>
      <c r="F1273" s="168" t="s">
        <v>6378</v>
      </c>
      <c r="G1273" s="179">
        <f>COUNTIF(작성용!A:B,$A1273)-COUNTIFS(작성용!A:A,$A1273,작성용!AA:AA,"평가철회")</f>
        <v>0</v>
      </c>
    </row>
    <row r="1274" spans="1:7" ht="16.5" customHeight="1" x14ac:dyDescent="0.3">
      <c r="A1274" s="170" t="s">
        <v>2641</v>
      </c>
      <c r="B1274" s="165" t="s">
        <v>2642</v>
      </c>
      <c r="C1274" s="165" t="str">
        <f>IFERROR(VLOOKUP($A1274,작성용!A:AL,14,0),"-")</f>
        <v>-</v>
      </c>
      <c r="D1274" s="169" t="s">
        <v>220</v>
      </c>
      <c r="E1274" s="167" t="str">
        <f>IFERROR(VLOOKUP(A1274,작성용!A:AL,34,0),"-")</f>
        <v>-</v>
      </c>
      <c r="F1274" s="168" t="s">
        <v>6381</v>
      </c>
      <c r="G1274" s="179">
        <f>COUNTIF(작성용!A:B,$A1274)-COUNTIFS(작성용!A:A,$A1274,작성용!AA:AA,"평가철회")</f>
        <v>0</v>
      </c>
    </row>
    <row r="1275" spans="1:7" ht="16.5" customHeight="1" x14ac:dyDescent="0.3">
      <c r="A1275" s="170" t="s">
        <v>2643</v>
      </c>
      <c r="B1275" s="165" t="s">
        <v>2644</v>
      </c>
      <c r="C1275" s="165" t="str">
        <f>IFERROR(VLOOKUP($A1275,작성용!A:AL,14,0),"-")</f>
        <v>-</v>
      </c>
      <c r="D1275" s="169" t="s">
        <v>6505</v>
      </c>
      <c r="E1275" s="167" t="str">
        <f>IFERROR(VLOOKUP(A1275,작성용!A:AL,34,0),"-")</f>
        <v>-</v>
      </c>
      <c r="F1275" s="168" t="s">
        <v>6380</v>
      </c>
      <c r="G1275" s="179">
        <f>COUNTIF(작성용!A:B,$A1275)-COUNTIFS(작성용!A:A,$A1275,작성용!AA:AA,"평가철회")</f>
        <v>0</v>
      </c>
    </row>
    <row r="1276" spans="1:7" ht="16.5" customHeight="1" x14ac:dyDescent="0.3">
      <c r="A1276" s="170" t="s">
        <v>2645</v>
      </c>
      <c r="B1276" s="165" t="s">
        <v>2646</v>
      </c>
      <c r="C1276" s="165" t="str">
        <f>IFERROR(VLOOKUP($A1276,작성용!A:AL,14,0),"-")</f>
        <v>-</v>
      </c>
      <c r="D1276" s="169" t="s">
        <v>1728</v>
      </c>
      <c r="E1276" s="167" t="str">
        <f>IFERROR(VLOOKUP(A1276,작성용!A:AL,34,0),"-")</f>
        <v>-</v>
      </c>
      <c r="F1276" s="168" t="s">
        <v>2</v>
      </c>
      <c r="G1276" s="179">
        <f>COUNTIF(작성용!A:B,$A1276)-COUNTIFS(작성용!A:A,$A1276,작성용!AA:AA,"평가철회")</f>
        <v>0</v>
      </c>
    </row>
    <row r="1277" spans="1:7" ht="16.5" customHeight="1" x14ac:dyDescent="0.3">
      <c r="A1277" s="170" t="s">
        <v>2647</v>
      </c>
      <c r="B1277" s="165" t="s">
        <v>2648</v>
      </c>
      <c r="C1277" s="165" t="str">
        <f>IFERROR(VLOOKUP($A1277,작성용!A:AL,14,0),"-")</f>
        <v>-</v>
      </c>
      <c r="D1277" s="169" t="s">
        <v>6373</v>
      </c>
      <c r="E1277" s="167" t="str">
        <f>IFERROR(VLOOKUP(A1277,작성용!A:AL,34,0),"-")</f>
        <v>-</v>
      </c>
      <c r="F1277" s="168" t="s">
        <v>2</v>
      </c>
      <c r="G1277" s="179">
        <f>COUNTIF(작성용!A:B,$A1277)-COUNTIFS(작성용!A:A,$A1277,작성용!AA:AA,"평가철회")</f>
        <v>0</v>
      </c>
    </row>
    <row r="1278" spans="1:7" ht="16.5" customHeight="1" x14ac:dyDescent="0.3">
      <c r="A1278" s="170" t="s">
        <v>2649</v>
      </c>
      <c r="B1278" s="165" t="s">
        <v>2650</v>
      </c>
      <c r="C1278" s="165" t="str">
        <f>IFERROR(VLOOKUP($A1278,작성용!A:AL,14,0),"-")</f>
        <v>-</v>
      </c>
      <c r="D1278" s="169" t="s">
        <v>1814</v>
      </c>
      <c r="E1278" s="167" t="str">
        <f>IFERROR(VLOOKUP(A1278,작성용!A:AL,34,0),"-")</f>
        <v>-</v>
      </c>
      <c r="F1278" s="168" t="s">
        <v>2</v>
      </c>
      <c r="G1278" s="179">
        <f>COUNTIF(작성용!A:B,$A1278)-COUNTIFS(작성용!A:A,$A1278,작성용!AA:AA,"평가철회")</f>
        <v>0</v>
      </c>
    </row>
    <row r="1279" spans="1:7" ht="16.5" customHeight="1" x14ac:dyDescent="0.3">
      <c r="A1279" s="170" t="s">
        <v>2651</v>
      </c>
      <c r="B1279" s="165" t="s">
        <v>2652</v>
      </c>
      <c r="C1279" s="165" t="str">
        <f>IFERROR(VLOOKUP($A1279,작성용!A:AL,14,0),"-")</f>
        <v>-</v>
      </c>
      <c r="D1279" s="169" t="s">
        <v>220</v>
      </c>
      <c r="E1279" s="167" t="str">
        <f>IFERROR(VLOOKUP(A1279,작성용!A:AL,34,0),"-")</f>
        <v>-</v>
      </c>
      <c r="F1279" s="168" t="s">
        <v>6382</v>
      </c>
      <c r="G1279" s="179">
        <f>COUNTIF(작성용!A:B,$A1279)-COUNTIFS(작성용!A:A,$A1279,작성용!AA:AA,"평가철회")</f>
        <v>0</v>
      </c>
    </row>
    <row r="1280" spans="1:7" ht="16.5" customHeight="1" x14ac:dyDescent="0.3">
      <c r="A1280" s="170" t="s">
        <v>2653</v>
      </c>
      <c r="B1280" s="165" t="s">
        <v>2654</v>
      </c>
      <c r="C1280" s="165" t="str">
        <f>IFERROR(VLOOKUP($A1280,작성용!A:AL,14,0),"-")</f>
        <v>-</v>
      </c>
      <c r="D1280" s="169" t="s">
        <v>220</v>
      </c>
      <c r="E1280" s="167" t="str">
        <f>IFERROR(VLOOKUP(A1280,작성용!A:AL,34,0),"-")</f>
        <v>-</v>
      </c>
      <c r="F1280" s="168" t="s">
        <v>2</v>
      </c>
      <c r="G1280" s="179">
        <f>COUNTIF(작성용!A:B,$A1280)-COUNTIFS(작성용!A:A,$A1280,작성용!AA:AA,"평가철회")</f>
        <v>0</v>
      </c>
    </row>
    <row r="1281" spans="1:7" ht="16.5" customHeight="1" x14ac:dyDescent="0.3">
      <c r="A1281" s="170" t="s">
        <v>2655</v>
      </c>
      <c r="B1281" s="165" t="s">
        <v>2656</v>
      </c>
      <c r="C1281" s="165" t="str">
        <f>IFERROR(VLOOKUP($A1281,작성용!A:AL,14,0),"-")</f>
        <v>-</v>
      </c>
      <c r="D1281" s="169" t="s">
        <v>13</v>
      </c>
      <c r="E1281" s="167" t="str">
        <f>IFERROR(VLOOKUP(A1281,작성용!A:AL,34,0),"-")</f>
        <v>-</v>
      </c>
      <c r="F1281" s="168" t="s">
        <v>2</v>
      </c>
      <c r="G1281" s="179">
        <f>COUNTIF(작성용!A:B,$A1281)-COUNTIFS(작성용!A:A,$A1281,작성용!AA:AA,"평가철회")</f>
        <v>0</v>
      </c>
    </row>
    <row r="1282" spans="1:7" ht="16.5" customHeight="1" x14ac:dyDescent="0.3">
      <c r="A1282" s="170" t="s">
        <v>2657</v>
      </c>
      <c r="B1282" s="165" t="s">
        <v>2658</v>
      </c>
      <c r="C1282" s="165" t="str">
        <f>IFERROR(VLOOKUP($A1282,작성용!A:AL,14,0),"-")</f>
        <v>-</v>
      </c>
      <c r="D1282" s="169" t="s">
        <v>6535</v>
      </c>
      <c r="E1282" s="167" t="str">
        <f>IFERROR(VLOOKUP(A1282,작성용!A:AL,34,0),"-")</f>
        <v>-</v>
      </c>
      <c r="F1282" s="168" t="s">
        <v>2</v>
      </c>
      <c r="G1282" s="179">
        <f>COUNTIF(작성용!A:B,$A1282)-COUNTIFS(작성용!A:A,$A1282,작성용!AA:AA,"평가철회")</f>
        <v>0</v>
      </c>
    </row>
    <row r="1283" spans="1:7" ht="16.5" customHeight="1" x14ac:dyDescent="0.3">
      <c r="A1283" s="170" t="s">
        <v>2659</v>
      </c>
      <c r="B1283" s="165" t="s">
        <v>2660</v>
      </c>
      <c r="C1283" s="165" t="str">
        <f>IFERROR(VLOOKUP($A1283,작성용!A:AL,14,0),"-")</f>
        <v>-</v>
      </c>
      <c r="D1283" s="169" t="s">
        <v>73</v>
      </c>
      <c r="E1283" s="167" t="str">
        <f>IFERROR(VLOOKUP(A1283,작성용!A:AL,34,0),"-")</f>
        <v>-</v>
      </c>
      <c r="F1283" s="168" t="s">
        <v>2</v>
      </c>
      <c r="G1283" s="179">
        <f>COUNTIF(작성용!A:B,$A1283)-COUNTIFS(작성용!A:A,$A1283,작성용!AA:AA,"평가철회")</f>
        <v>0</v>
      </c>
    </row>
    <row r="1284" spans="1:7" ht="16.5" customHeight="1" x14ac:dyDescent="0.3">
      <c r="A1284" s="170" t="s">
        <v>2661</v>
      </c>
      <c r="B1284" s="165" t="s">
        <v>2662</v>
      </c>
      <c r="C1284" s="165" t="str">
        <f>IFERROR(VLOOKUP($A1284,작성용!A:AL,14,0),"-")</f>
        <v>-</v>
      </c>
      <c r="D1284" s="169" t="s">
        <v>244</v>
      </c>
      <c r="E1284" s="167" t="str">
        <f>IFERROR(VLOOKUP(A1284,작성용!A:AL,34,0),"-")</f>
        <v>-</v>
      </c>
      <c r="F1284" s="168" t="s">
        <v>2</v>
      </c>
      <c r="G1284" s="179">
        <f>COUNTIF(작성용!A:B,$A1284)-COUNTIFS(작성용!A:A,$A1284,작성용!AA:AA,"평가철회")</f>
        <v>0</v>
      </c>
    </row>
    <row r="1285" spans="1:7" ht="16.5" customHeight="1" x14ac:dyDescent="0.3">
      <c r="A1285" s="170" t="s">
        <v>2663</v>
      </c>
      <c r="B1285" s="165" t="s">
        <v>2495</v>
      </c>
      <c r="C1285" s="165" t="str">
        <f>IFERROR(VLOOKUP($A1285,작성용!A:AL,14,0),"-")</f>
        <v>-</v>
      </c>
      <c r="D1285" s="169" t="s">
        <v>6312</v>
      </c>
      <c r="E1285" s="167" t="str">
        <f>IFERROR(VLOOKUP(A1285,작성용!A:AL,34,0),"-")</f>
        <v>-</v>
      </c>
      <c r="F1285" s="168" t="s">
        <v>6380</v>
      </c>
      <c r="G1285" s="179">
        <f>COUNTIF(작성용!A:B,$A1285)-COUNTIFS(작성용!A:A,$A1285,작성용!AA:AA,"평가철회")</f>
        <v>0</v>
      </c>
    </row>
    <row r="1286" spans="1:7" ht="16.5" customHeight="1" x14ac:dyDescent="0.3">
      <c r="A1286" s="170" t="s">
        <v>2664</v>
      </c>
      <c r="B1286" s="165" t="s">
        <v>2665</v>
      </c>
      <c r="C1286" s="165" t="str">
        <f>IFERROR(VLOOKUP($A1286,작성용!A:AL,14,0),"-")</f>
        <v>-</v>
      </c>
      <c r="D1286" s="169" t="s">
        <v>6461</v>
      </c>
      <c r="E1286" s="167" t="str">
        <f>IFERROR(VLOOKUP(A1286,작성용!A:AL,34,0),"-")</f>
        <v>-</v>
      </c>
      <c r="F1286" s="168" t="s">
        <v>6380</v>
      </c>
      <c r="G1286" s="179">
        <f>COUNTIF(작성용!A:B,$A1286)-COUNTIFS(작성용!A:A,$A1286,작성용!AA:AA,"평가철회")</f>
        <v>0</v>
      </c>
    </row>
    <row r="1287" spans="1:7" ht="16.5" customHeight="1" x14ac:dyDescent="0.3">
      <c r="A1287" s="170" t="s">
        <v>2666</v>
      </c>
      <c r="B1287" s="165" t="s">
        <v>2667</v>
      </c>
      <c r="C1287" s="165" t="str">
        <f>IFERROR(VLOOKUP($A1287,작성용!A:AL,14,0),"-")</f>
        <v>-</v>
      </c>
      <c r="D1287" s="169" t="s">
        <v>656</v>
      </c>
      <c r="E1287" s="167" t="str">
        <f>IFERROR(VLOOKUP(A1287,작성용!A:AL,34,0),"-")</f>
        <v>-</v>
      </c>
      <c r="F1287" s="168" t="s">
        <v>2</v>
      </c>
      <c r="G1287" s="179">
        <f>COUNTIF(작성용!A:B,$A1287)-COUNTIFS(작성용!A:A,$A1287,작성용!AA:AA,"평가철회")</f>
        <v>0</v>
      </c>
    </row>
    <row r="1288" spans="1:7" ht="16.5" customHeight="1" x14ac:dyDescent="0.3">
      <c r="A1288" s="170" t="s">
        <v>2668</v>
      </c>
      <c r="B1288" s="165" t="s">
        <v>2669</v>
      </c>
      <c r="C1288" s="165" t="str">
        <f>IFERROR(VLOOKUP($A1288,작성용!A:AL,14,0),"-")</f>
        <v>-</v>
      </c>
      <c r="D1288" s="169" t="s">
        <v>583</v>
      </c>
      <c r="E1288" s="167" t="str">
        <f>IFERROR(VLOOKUP(A1288,작성용!A:AL,34,0),"-")</f>
        <v>-</v>
      </c>
      <c r="F1288" s="168" t="s">
        <v>2</v>
      </c>
      <c r="G1288" s="179">
        <f>COUNTIF(작성용!A:B,$A1288)-COUNTIFS(작성용!A:A,$A1288,작성용!AA:AA,"평가철회")</f>
        <v>0</v>
      </c>
    </row>
    <row r="1289" spans="1:7" ht="16.5" customHeight="1" x14ac:dyDescent="0.3">
      <c r="A1289" s="170" t="s">
        <v>2670</v>
      </c>
      <c r="B1289" s="165" t="s">
        <v>2671</v>
      </c>
      <c r="C1289" s="165" t="str">
        <f>IFERROR(VLOOKUP($A1289,작성용!A:AL,14,0),"-")</f>
        <v>-</v>
      </c>
      <c r="D1289" s="169" t="s">
        <v>6536</v>
      </c>
      <c r="E1289" s="167" t="str">
        <f>IFERROR(VLOOKUP(A1289,작성용!A:AL,34,0),"-")</f>
        <v>-</v>
      </c>
      <c r="F1289" s="168" t="s">
        <v>6378</v>
      </c>
      <c r="G1289" s="179">
        <f>COUNTIF(작성용!A:B,$A1289)-COUNTIFS(작성용!A:A,$A1289,작성용!AA:AA,"평가철회")</f>
        <v>0</v>
      </c>
    </row>
    <row r="1290" spans="1:7" ht="16.5" customHeight="1" x14ac:dyDescent="0.3">
      <c r="A1290" s="170" t="s">
        <v>2672</v>
      </c>
      <c r="B1290" s="165" t="s">
        <v>2673</v>
      </c>
      <c r="C1290" s="165" t="str">
        <f>IFERROR(VLOOKUP($A1290,작성용!A:AL,14,0),"-")</f>
        <v>-</v>
      </c>
      <c r="D1290" s="169" t="s">
        <v>1462</v>
      </c>
      <c r="E1290" s="167" t="str">
        <f>IFERROR(VLOOKUP(A1290,작성용!A:AL,34,0),"-")</f>
        <v>-</v>
      </c>
      <c r="F1290" s="168" t="s">
        <v>2</v>
      </c>
      <c r="G1290" s="179">
        <f>COUNTIF(작성용!A:B,$A1290)-COUNTIFS(작성용!A:A,$A1290,작성용!AA:AA,"평가철회")</f>
        <v>0</v>
      </c>
    </row>
    <row r="1291" spans="1:7" ht="16.5" customHeight="1" x14ac:dyDescent="0.3">
      <c r="A1291" s="170" t="s">
        <v>2674</v>
      </c>
      <c r="B1291" s="165" t="s">
        <v>2675</v>
      </c>
      <c r="C1291" s="165" t="str">
        <f>IFERROR(VLOOKUP($A1291,작성용!A:AL,14,0),"-")</f>
        <v>-</v>
      </c>
      <c r="D1291" s="169" t="s">
        <v>6444</v>
      </c>
      <c r="E1291" s="167" t="str">
        <f>IFERROR(VLOOKUP(A1291,작성용!A:AL,34,0),"-")</f>
        <v>-</v>
      </c>
      <c r="F1291" s="168" t="s">
        <v>6382</v>
      </c>
      <c r="G1291" s="179">
        <f>COUNTIF(작성용!A:B,$A1291)-COUNTIFS(작성용!A:A,$A1291,작성용!AA:AA,"평가철회")</f>
        <v>0</v>
      </c>
    </row>
    <row r="1292" spans="1:7" ht="16.5" customHeight="1" x14ac:dyDescent="0.3">
      <c r="A1292" s="170" t="s">
        <v>2676</v>
      </c>
      <c r="B1292" s="165" t="s">
        <v>2677</v>
      </c>
      <c r="C1292" s="165" t="str">
        <f>IFERROR(VLOOKUP($A1292,작성용!A:AL,14,0),"-")</f>
        <v>-</v>
      </c>
      <c r="D1292" s="169" t="s">
        <v>521</v>
      </c>
      <c r="E1292" s="167" t="str">
        <f>IFERROR(VLOOKUP(A1292,작성용!A:AL,34,0),"-")</f>
        <v>-</v>
      </c>
      <c r="F1292" s="168" t="s">
        <v>2</v>
      </c>
      <c r="G1292" s="179">
        <f>COUNTIF(작성용!A:B,$A1292)-COUNTIFS(작성용!A:A,$A1292,작성용!AA:AA,"평가철회")</f>
        <v>0</v>
      </c>
    </row>
    <row r="1293" spans="1:7" ht="16.5" customHeight="1" x14ac:dyDescent="0.3">
      <c r="A1293" s="170" t="s">
        <v>2678</v>
      </c>
      <c r="B1293" s="165" t="s">
        <v>2679</v>
      </c>
      <c r="C1293" s="165" t="str">
        <f>IFERROR(VLOOKUP($A1293,작성용!A:AL,14,0),"-")</f>
        <v>-</v>
      </c>
      <c r="D1293" s="169" t="s">
        <v>6537</v>
      </c>
      <c r="E1293" s="167" t="str">
        <f>IFERROR(VLOOKUP(A1293,작성용!A:AL,34,0),"-")</f>
        <v>-</v>
      </c>
      <c r="F1293" s="168" t="s">
        <v>6283</v>
      </c>
      <c r="G1293" s="179">
        <f>COUNTIF(작성용!A:B,$A1293)-COUNTIFS(작성용!A:A,$A1293,작성용!AA:AA,"평가철회")</f>
        <v>0</v>
      </c>
    </row>
    <row r="1294" spans="1:7" ht="16.5" customHeight="1" x14ac:dyDescent="0.3">
      <c r="A1294" s="170" t="s">
        <v>2680</v>
      </c>
      <c r="B1294" s="165" t="s">
        <v>2681</v>
      </c>
      <c r="C1294" s="165" t="str">
        <f>IFERROR(VLOOKUP($A1294,작성용!A:AL,14,0),"-")</f>
        <v>-</v>
      </c>
      <c r="D1294" s="169" t="s">
        <v>220</v>
      </c>
      <c r="E1294" s="167" t="str">
        <f>IFERROR(VLOOKUP(A1294,작성용!A:AL,34,0),"-")</f>
        <v>-</v>
      </c>
      <c r="F1294" s="168" t="s">
        <v>6382</v>
      </c>
      <c r="G1294" s="179">
        <f>COUNTIF(작성용!A:B,$A1294)-COUNTIFS(작성용!A:A,$A1294,작성용!AA:AA,"평가철회")</f>
        <v>0</v>
      </c>
    </row>
    <row r="1295" spans="1:7" ht="16.5" customHeight="1" x14ac:dyDescent="0.3">
      <c r="A1295" s="170" t="s">
        <v>2682</v>
      </c>
      <c r="B1295" s="174" t="s">
        <v>2683</v>
      </c>
      <c r="C1295" s="165" t="str">
        <f>IFERROR(VLOOKUP($A1295,작성용!A:AL,14,0),"-")</f>
        <v>-</v>
      </c>
      <c r="D1295" s="169" t="s">
        <v>495</v>
      </c>
      <c r="E1295" s="167" t="str">
        <f>IFERROR(VLOOKUP(A1295,작성용!A:AL,34,0),"-")</f>
        <v>-</v>
      </c>
      <c r="F1295" s="168" t="s">
        <v>2</v>
      </c>
      <c r="G1295" s="179">
        <f>COUNTIF(작성용!A:B,$A1295)-COUNTIFS(작성용!A:A,$A1295,작성용!AA:AA,"평가철회")</f>
        <v>0</v>
      </c>
    </row>
    <row r="1296" spans="1:7" ht="16.5" customHeight="1" x14ac:dyDescent="0.3">
      <c r="A1296" s="170" t="s">
        <v>2684</v>
      </c>
      <c r="B1296" s="165" t="s">
        <v>6538</v>
      </c>
      <c r="C1296" s="165" t="str">
        <f>IFERROR(VLOOKUP($A1296,작성용!A:AL,14,0),"-")</f>
        <v>-</v>
      </c>
      <c r="D1296" s="169" t="s">
        <v>6321</v>
      </c>
      <c r="E1296" s="167" t="str">
        <f>IFERROR(VLOOKUP(A1296,작성용!A:AL,34,0),"-")</f>
        <v>-</v>
      </c>
      <c r="F1296" s="168" t="s">
        <v>6378</v>
      </c>
      <c r="G1296" s="179">
        <f>COUNTIF(작성용!A:B,$A1296)-COUNTIFS(작성용!A:A,$A1296,작성용!AA:AA,"평가철회")</f>
        <v>0</v>
      </c>
    </row>
    <row r="1297" spans="1:7" ht="16.5" customHeight="1" x14ac:dyDescent="0.3">
      <c r="A1297" s="170" t="s">
        <v>2685</v>
      </c>
      <c r="B1297" s="165" t="s">
        <v>6539</v>
      </c>
      <c r="C1297" s="165" t="str">
        <f>IFERROR(VLOOKUP($A1297,작성용!A:AL,14,0),"-")</f>
        <v>-</v>
      </c>
      <c r="D1297" s="169" t="s">
        <v>6317</v>
      </c>
      <c r="E1297" s="167" t="str">
        <f>IFERROR(VLOOKUP(A1297,작성용!A:AL,34,0),"-")</f>
        <v>-</v>
      </c>
      <c r="F1297" s="168" t="s">
        <v>6378</v>
      </c>
      <c r="G1297" s="179">
        <f>COUNTIF(작성용!A:B,$A1297)-COUNTIFS(작성용!A:A,$A1297,작성용!AA:AA,"평가철회")</f>
        <v>0</v>
      </c>
    </row>
    <row r="1298" spans="1:7" ht="16.5" customHeight="1" x14ac:dyDescent="0.3">
      <c r="A1298" s="170" t="s">
        <v>2686</v>
      </c>
      <c r="B1298" s="165" t="s">
        <v>2510</v>
      </c>
      <c r="C1298" s="165" t="str">
        <f>IFERROR(VLOOKUP($A1298,작성용!A:AL,14,0),"-")</f>
        <v>-</v>
      </c>
      <c r="D1298" s="169" t="s">
        <v>2</v>
      </c>
      <c r="E1298" s="167" t="str">
        <f>IFERROR(VLOOKUP(A1298,작성용!A:AL,34,0),"-")</f>
        <v>-</v>
      </c>
      <c r="F1298" s="168" t="s">
        <v>6342</v>
      </c>
      <c r="G1298" s="179">
        <f>COUNTIF(작성용!A:B,$A1298)-COUNTIFS(작성용!A:A,$A1298,작성용!AA:AA,"평가철회")</f>
        <v>0</v>
      </c>
    </row>
    <row r="1299" spans="1:7" ht="16.5" customHeight="1" x14ac:dyDescent="0.3">
      <c r="A1299" s="170" t="s">
        <v>2687</v>
      </c>
      <c r="B1299" s="165" t="s">
        <v>2688</v>
      </c>
      <c r="C1299" s="165" t="str">
        <f>IFERROR(VLOOKUP($A1299,작성용!A:AL,14,0),"-")</f>
        <v>년</v>
      </c>
      <c r="D1299" s="169" t="s">
        <v>6439</v>
      </c>
      <c r="E1299" s="167" t="str">
        <f>IFERROR(VLOOKUP(A1299,작성용!A:AL,34,0),"-")</f>
        <v>오수현</v>
      </c>
      <c r="F1299" s="168" t="s">
        <v>6380</v>
      </c>
      <c r="G1299" s="179">
        <f>COUNTIF(작성용!A:B,$A1299)-COUNTIFS(작성용!A:A,$A1299,작성용!AA:AA,"평가철회")</f>
        <v>15</v>
      </c>
    </row>
    <row r="1300" spans="1:7" ht="16.5" customHeight="1" x14ac:dyDescent="0.3">
      <c r="A1300" s="170" t="s">
        <v>2689</v>
      </c>
      <c r="B1300" s="165" t="s">
        <v>2690</v>
      </c>
      <c r="C1300" s="165" t="str">
        <f>IFERROR(VLOOKUP($A1300,작성용!A:AL,14,0),"-")</f>
        <v>-</v>
      </c>
      <c r="D1300" s="169" t="s">
        <v>2691</v>
      </c>
      <c r="E1300" s="167" t="str">
        <f>IFERROR(VLOOKUP(A1300,작성용!A:AL,34,0),"-")</f>
        <v>-</v>
      </c>
      <c r="F1300" s="168" t="s">
        <v>6382</v>
      </c>
      <c r="G1300" s="179">
        <f>COUNTIF(작성용!A:B,$A1300)-COUNTIFS(작성용!A:A,$A1300,작성용!AA:AA,"평가철회")</f>
        <v>0</v>
      </c>
    </row>
    <row r="1301" spans="1:7" ht="16.5" customHeight="1" x14ac:dyDescent="0.3">
      <c r="A1301" s="170" t="s">
        <v>2692</v>
      </c>
      <c r="B1301" s="165" t="s">
        <v>2693</v>
      </c>
      <c r="C1301" s="165" t="str">
        <f>IFERROR(VLOOKUP($A1301,작성용!A:AL,14,0),"-")</f>
        <v>-</v>
      </c>
      <c r="D1301" s="169" t="s">
        <v>6540</v>
      </c>
      <c r="E1301" s="167" t="str">
        <f>IFERROR(VLOOKUP(A1301,작성용!A:AL,34,0),"-")</f>
        <v>-</v>
      </c>
      <c r="F1301" s="168" t="s">
        <v>6381</v>
      </c>
      <c r="G1301" s="179">
        <f>COUNTIF(작성용!A:B,$A1301)-COUNTIFS(작성용!A:A,$A1301,작성용!AA:AA,"평가철회")</f>
        <v>0</v>
      </c>
    </row>
    <row r="1302" spans="1:7" ht="16.5" customHeight="1" x14ac:dyDescent="0.3">
      <c r="A1302" s="170" t="s">
        <v>2694</v>
      </c>
      <c r="B1302" s="165" t="s">
        <v>2695</v>
      </c>
      <c r="C1302" s="165" t="str">
        <f>IFERROR(VLOOKUP($A1302,작성용!A:AL,14,0),"-")</f>
        <v>-</v>
      </c>
      <c r="D1302" s="169" t="s">
        <v>220</v>
      </c>
      <c r="E1302" s="167" t="str">
        <f>IFERROR(VLOOKUP(A1302,작성용!A:AL,34,0),"-")</f>
        <v>-</v>
      </c>
      <c r="F1302" s="168" t="s">
        <v>6380</v>
      </c>
      <c r="G1302" s="179">
        <f>COUNTIF(작성용!A:B,$A1302)-COUNTIFS(작성용!A:A,$A1302,작성용!AA:AA,"평가철회")</f>
        <v>0</v>
      </c>
    </row>
    <row r="1303" spans="1:7" ht="16.5" customHeight="1" x14ac:dyDescent="0.3">
      <c r="A1303" s="170" t="s">
        <v>2696</v>
      </c>
      <c r="B1303" s="165" t="s">
        <v>2697</v>
      </c>
      <c r="C1303" s="165" t="str">
        <f>IFERROR(VLOOKUP($A1303,작성용!A:AL,14,0),"-")</f>
        <v>-</v>
      </c>
      <c r="D1303" s="169" t="s">
        <v>220</v>
      </c>
      <c r="E1303" s="167" t="str">
        <f>IFERROR(VLOOKUP(A1303,작성용!A:AL,34,0),"-")</f>
        <v>-</v>
      </c>
      <c r="F1303" s="168" t="s">
        <v>2</v>
      </c>
      <c r="G1303" s="179">
        <f>COUNTIF(작성용!A:B,$A1303)-COUNTIFS(작성용!A:A,$A1303,작성용!AA:AA,"평가철회")</f>
        <v>0</v>
      </c>
    </row>
    <row r="1304" spans="1:7" ht="16.5" customHeight="1" x14ac:dyDescent="0.3">
      <c r="A1304" s="170" t="s">
        <v>2698</v>
      </c>
      <c r="B1304" s="165" t="s">
        <v>2699</v>
      </c>
      <c r="C1304" s="165" t="str">
        <f>IFERROR(VLOOKUP($A1304,작성용!A:AL,14,0),"-")</f>
        <v>-</v>
      </c>
      <c r="D1304" s="169" t="s">
        <v>498</v>
      </c>
      <c r="E1304" s="167" t="str">
        <f>IFERROR(VLOOKUP(A1304,작성용!A:AL,34,0),"-")</f>
        <v>-</v>
      </c>
      <c r="F1304" s="168" t="s">
        <v>2</v>
      </c>
      <c r="G1304" s="179">
        <f>COUNTIF(작성용!A:B,$A1304)-COUNTIFS(작성용!A:A,$A1304,작성용!AA:AA,"평가철회")</f>
        <v>0</v>
      </c>
    </row>
    <row r="1305" spans="1:7" ht="16.5" customHeight="1" x14ac:dyDescent="0.3">
      <c r="A1305" s="170" t="s">
        <v>2700</v>
      </c>
      <c r="B1305" s="165" t="s">
        <v>2514</v>
      </c>
      <c r="C1305" s="165" t="str">
        <f>IFERROR(VLOOKUP($A1305,작성용!A:AL,14,0),"-")</f>
        <v>-</v>
      </c>
      <c r="D1305" s="169" t="s">
        <v>635</v>
      </c>
      <c r="E1305" s="167" t="str">
        <f>IFERROR(VLOOKUP(A1305,작성용!A:AL,34,0),"-")</f>
        <v>-</v>
      </c>
      <c r="F1305" s="168" t="s">
        <v>2</v>
      </c>
      <c r="G1305" s="179">
        <f>COUNTIF(작성용!A:B,$A1305)-COUNTIFS(작성용!A:A,$A1305,작성용!AA:AA,"평가철회")</f>
        <v>0</v>
      </c>
    </row>
    <row r="1306" spans="1:7" ht="16.5" customHeight="1" x14ac:dyDescent="0.3">
      <c r="A1306" s="170" t="s">
        <v>2701</v>
      </c>
      <c r="B1306" s="165" t="s">
        <v>2702</v>
      </c>
      <c r="C1306" s="165" t="str">
        <f>IFERROR(VLOOKUP($A1306,작성용!A:AL,14,0),"-")</f>
        <v>-</v>
      </c>
      <c r="D1306" s="169" t="s">
        <v>74</v>
      </c>
      <c r="E1306" s="167" t="str">
        <f>IFERROR(VLOOKUP(A1306,작성용!A:AL,34,0),"-")</f>
        <v>-</v>
      </c>
      <c r="F1306" s="168" t="s">
        <v>6283</v>
      </c>
      <c r="G1306" s="179">
        <f>COUNTIF(작성용!A:B,$A1306)-COUNTIFS(작성용!A:A,$A1306,작성용!AA:AA,"평가철회")</f>
        <v>0</v>
      </c>
    </row>
    <row r="1307" spans="1:7" ht="16.5" customHeight="1" x14ac:dyDescent="0.3">
      <c r="A1307" s="170" t="s">
        <v>2703</v>
      </c>
      <c r="B1307" s="165" t="s">
        <v>2704</v>
      </c>
      <c r="C1307" s="165" t="str">
        <f>IFERROR(VLOOKUP($A1307,작성용!A:AL,14,0),"-")</f>
        <v>-</v>
      </c>
      <c r="D1307" s="169" t="s">
        <v>220</v>
      </c>
      <c r="E1307" s="167" t="str">
        <f>IFERROR(VLOOKUP(A1307,작성용!A:AL,34,0),"-")</f>
        <v>-</v>
      </c>
      <c r="F1307" s="168" t="s">
        <v>6382</v>
      </c>
      <c r="G1307" s="179">
        <f>COUNTIF(작성용!A:B,$A1307)-COUNTIFS(작성용!A:A,$A1307,작성용!AA:AA,"평가철회")</f>
        <v>0</v>
      </c>
    </row>
    <row r="1308" spans="1:7" ht="16.5" customHeight="1" x14ac:dyDescent="0.3">
      <c r="A1308" s="170" t="s">
        <v>2705</v>
      </c>
      <c r="B1308" s="165" t="s">
        <v>2706</v>
      </c>
      <c r="C1308" s="165" t="str">
        <f>IFERROR(VLOOKUP($A1308,작성용!A:AL,14,0),"-")</f>
        <v>-</v>
      </c>
      <c r="D1308" s="169" t="s">
        <v>492</v>
      </c>
      <c r="E1308" s="167" t="str">
        <f>IFERROR(VLOOKUP(A1308,작성용!A:AL,34,0),"-")</f>
        <v>-</v>
      </c>
      <c r="F1308" s="168" t="s">
        <v>2</v>
      </c>
      <c r="G1308" s="179">
        <f>COUNTIF(작성용!A:B,$A1308)-COUNTIFS(작성용!A:A,$A1308,작성용!AA:AA,"평가철회")</f>
        <v>0</v>
      </c>
    </row>
    <row r="1309" spans="1:7" ht="16.5" customHeight="1" x14ac:dyDescent="0.3">
      <c r="A1309" s="170" t="s">
        <v>2707</v>
      </c>
      <c r="B1309" s="165" t="s">
        <v>2708</v>
      </c>
      <c r="C1309" s="165" t="str">
        <f>IFERROR(VLOOKUP($A1309,작성용!A:AL,14,0),"-")</f>
        <v>-</v>
      </c>
      <c r="D1309" s="169" t="s">
        <v>6438</v>
      </c>
      <c r="E1309" s="167" t="str">
        <f>IFERROR(VLOOKUP(A1309,작성용!A:AL,34,0),"-")</f>
        <v>-</v>
      </c>
      <c r="F1309" s="168" t="s">
        <v>2</v>
      </c>
      <c r="G1309" s="179">
        <f>COUNTIF(작성용!A:B,$A1309)-COUNTIFS(작성용!A:A,$A1309,작성용!AA:AA,"평가철회")</f>
        <v>0</v>
      </c>
    </row>
    <row r="1310" spans="1:7" ht="16.5" customHeight="1" x14ac:dyDescent="0.3">
      <c r="A1310" s="170" t="s">
        <v>2709</v>
      </c>
      <c r="B1310" s="165" t="s">
        <v>2710</v>
      </c>
      <c r="C1310" s="165" t="str">
        <f>IFERROR(VLOOKUP($A1310,작성용!A:AL,14,0),"-")</f>
        <v>-</v>
      </c>
      <c r="D1310" s="169" t="s">
        <v>6305</v>
      </c>
      <c r="E1310" s="167" t="str">
        <f>IFERROR(VLOOKUP(A1310,작성용!A:AL,34,0),"-")</f>
        <v>-</v>
      </c>
      <c r="F1310" s="168" t="s">
        <v>6270</v>
      </c>
      <c r="G1310" s="179">
        <f>COUNTIF(작성용!A:B,$A1310)-COUNTIFS(작성용!A:A,$A1310,작성용!AA:AA,"평가철회")</f>
        <v>0</v>
      </c>
    </row>
    <row r="1311" spans="1:7" ht="16.5" customHeight="1" x14ac:dyDescent="0.3">
      <c r="A1311" s="170" t="s">
        <v>2711</v>
      </c>
      <c r="B1311" s="165" t="s">
        <v>6541</v>
      </c>
      <c r="C1311" s="165" t="str">
        <f>IFERROR(VLOOKUP($A1311,작성용!A:AL,14,0),"-")</f>
        <v>-</v>
      </c>
      <c r="D1311" s="169" t="s">
        <v>6436</v>
      </c>
      <c r="E1311" s="167" t="str">
        <f>IFERROR(VLOOKUP(A1311,작성용!A:AL,34,0),"-")</f>
        <v>-</v>
      </c>
      <c r="F1311" s="168" t="s">
        <v>6378</v>
      </c>
      <c r="G1311" s="179">
        <f>COUNTIF(작성용!A:B,$A1311)-COUNTIFS(작성용!A:A,$A1311,작성용!AA:AA,"평가철회")</f>
        <v>0</v>
      </c>
    </row>
    <row r="1312" spans="1:7" ht="16.5" customHeight="1" x14ac:dyDescent="0.3">
      <c r="A1312" s="170" t="s">
        <v>2712</v>
      </c>
      <c r="B1312" s="165" t="s">
        <v>2713</v>
      </c>
      <c r="C1312" s="165" t="str">
        <f>IFERROR(VLOOKUP($A1312,작성용!A:AL,14,0),"-")</f>
        <v>연말</v>
      </c>
      <c r="D1312" s="169" t="s">
        <v>6529</v>
      </c>
      <c r="E1312" s="167" t="str">
        <f>IFERROR(VLOOKUP(A1312,작성용!A:AL,34,0),"-")</f>
        <v>박태호</v>
      </c>
      <c r="F1312" s="168" t="s">
        <v>6304</v>
      </c>
      <c r="G1312" s="179">
        <f>COUNTIF(작성용!A:B,$A1312)-COUNTIFS(작성용!A:A,$A1312,작성용!AA:AA,"평가철회")</f>
        <v>5</v>
      </c>
    </row>
    <row r="1313" spans="1:7" ht="16.5" customHeight="1" x14ac:dyDescent="0.3">
      <c r="A1313" s="170" t="s">
        <v>2714</v>
      </c>
      <c r="B1313" s="165" t="s">
        <v>2715</v>
      </c>
      <c r="C1313" s="165" t="str">
        <f>IFERROR(VLOOKUP($A1313,작성용!A:AL,14,0),"-")</f>
        <v>-</v>
      </c>
      <c r="D1313" s="169" t="s">
        <v>6488</v>
      </c>
      <c r="E1313" s="167" t="str">
        <f>IFERROR(VLOOKUP(A1313,작성용!A:AL,34,0),"-")</f>
        <v>-</v>
      </c>
      <c r="F1313" s="168" t="s">
        <v>6270</v>
      </c>
      <c r="G1313" s="179">
        <f>COUNTIF(작성용!A:B,$A1313)-COUNTIFS(작성용!A:A,$A1313,작성용!AA:AA,"평가철회")</f>
        <v>0</v>
      </c>
    </row>
    <row r="1314" spans="1:7" ht="16.5" customHeight="1" x14ac:dyDescent="0.3">
      <c r="A1314" s="170" t="s">
        <v>2716</v>
      </c>
      <c r="B1314" s="165" t="s">
        <v>2717</v>
      </c>
      <c r="C1314" s="165" t="str">
        <f>IFERROR(VLOOKUP($A1314,작성용!A:AL,14,0),"-")</f>
        <v>-</v>
      </c>
      <c r="D1314" s="169" t="s">
        <v>6498</v>
      </c>
      <c r="E1314" s="167" t="str">
        <f>IFERROR(VLOOKUP(A1314,작성용!A:AL,34,0),"-")</f>
        <v>-</v>
      </c>
      <c r="F1314" s="168" t="s">
        <v>2</v>
      </c>
      <c r="G1314" s="179">
        <f>COUNTIF(작성용!A:B,$A1314)-COUNTIFS(작성용!A:A,$A1314,작성용!AA:AA,"평가철회")</f>
        <v>0</v>
      </c>
    </row>
    <row r="1315" spans="1:7" ht="16.5" customHeight="1" x14ac:dyDescent="0.3">
      <c r="A1315" s="170" t="s">
        <v>2718</v>
      </c>
      <c r="B1315" s="165" t="s">
        <v>2528</v>
      </c>
      <c r="C1315" s="165" t="str">
        <f>IFERROR(VLOOKUP($A1315,작성용!A:AL,14,0),"-")</f>
        <v>-</v>
      </c>
      <c r="D1315" s="169" t="s">
        <v>6310</v>
      </c>
      <c r="E1315" s="167" t="str">
        <f>IFERROR(VLOOKUP(A1315,작성용!A:AL,34,0),"-")</f>
        <v>-</v>
      </c>
      <c r="F1315" s="168" t="s">
        <v>6378</v>
      </c>
      <c r="G1315" s="179">
        <f>COUNTIF(작성용!A:B,$A1315)-COUNTIFS(작성용!A:A,$A1315,작성용!AA:AA,"평가철회")</f>
        <v>0</v>
      </c>
    </row>
    <row r="1316" spans="1:7" ht="16.5" customHeight="1" x14ac:dyDescent="0.3">
      <c r="A1316" s="170" t="s">
        <v>2719</v>
      </c>
      <c r="B1316" s="165" t="s">
        <v>2720</v>
      </c>
      <c r="C1316" s="165" t="str">
        <f>IFERROR(VLOOKUP($A1316,작성용!A:AL,14,0),"-")</f>
        <v>-</v>
      </c>
      <c r="D1316" s="169" t="s">
        <v>1462</v>
      </c>
      <c r="E1316" s="167" t="str">
        <f>IFERROR(VLOOKUP(A1316,작성용!A:AL,34,0),"-")</f>
        <v>-</v>
      </c>
      <c r="F1316" s="168" t="s">
        <v>2</v>
      </c>
      <c r="G1316" s="179">
        <f>COUNTIF(작성용!A:B,$A1316)-COUNTIFS(작성용!A:A,$A1316,작성용!AA:AA,"평가철회")</f>
        <v>0</v>
      </c>
    </row>
    <row r="1317" spans="1:7" ht="16.5" customHeight="1" x14ac:dyDescent="0.3">
      <c r="A1317" s="170" t="s">
        <v>2721</v>
      </c>
      <c r="B1317" s="165" t="s">
        <v>6542</v>
      </c>
      <c r="C1317" s="165" t="str">
        <f>IFERROR(VLOOKUP($A1317,작성용!A:AL,14,0),"-")</f>
        <v>-</v>
      </c>
      <c r="D1317" s="169" t="s">
        <v>6309</v>
      </c>
      <c r="E1317" s="167" t="str">
        <f>IFERROR(VLOOKUP(A1317,작성용!A:AL,34,0),"-")</f>
        <v>-</v>
      </c>
      <c r="F1317" s="168" t="s">
        <v>6304</v>
      </c>
      <c r="G1317" s="179">
        <f>COUNTIF(작성용!A:B,$A1317)-COUNTIFS(작성용!A:A,$A1317,작성용!AA:AA,"평가철회")</f>
        <v>0</v>
      </c>
    </row>
    <row r="1318" spans="1:7" ht="16.5" customHeight="1" x14ac:dyDescent="0.3">
      <c r="A1318" s="170" t="s">
        <v>2722</v>
      </c>
      <c r="B1318" s="165" t="s">
        <v>2723</v>
      </c>
      <c r="C1318" s="165" t="str">
        <f>IFERROR(VLOOKUP($A1318,작성용!A:AL,14,0),"-")</f>
        <v>-</v>
      </c>
      <c r="D1318" s="169" t="s">
        <v>220</v>
      </c>
      <c r="E1318" s="167" t="str">
        <f>IFERROR(VLOOKUP(A1318,작성용!A:AL,34,0),"-")</f>
        <v>-</v>
      </c>
      <c r="F1318" s="168" t="s">
        <v>6283</v>
      </c>
      <c r="G1318" s="179">
        <f>COUNTIF(작성용!A:B,$A1318)-COUNTIFS(작성용!A:A,$A1318,작성용!AA:AA,"평가철회")</f>
        <v>0</v>
      </c>
    </row>
    <row r="1319" spans="1:7" ht="16.5" customHeight="1" x14ac:dyDescent="0.3">
      <c r="A1319" s="170" t="s">
        <v>2724</v>
      </c>
      <c r="B1319" s="165" t="s">
        <v>2725</v>
      </c>
      <c r="C1319" s="165" t="str">
        <f>IFERROR(VLOOKUP($A1319,작성용!A:AL,14,0),"-")</f>
        <v>연말</v>
      </c>
      <c r="D1319" s="169" t="s">
        <v>6479</v>
      </c>
      <c r="E1319" s="167" t="str">
        <f>IFERROR(VLOOKUP(A1319,작성용!A:AL,34,0),"-")</f>
        <v>서동현</v>
      </c>
      <c r="F1319" s="168" t="s">
        <v>6304</v>
      </c>
      <c r="G1319" s="179">
        <f>COUNTIF(작성용!A:B,$A1319)-COUNTIFS(작성용!A:A,$A1319,작성용!AA:AA,"평가철회")</f>
        <v>4</v>
      </c>
    </row>
    <row r="1320" spans="1:7" ht="16.5" customHeight="1" x14ac:dyDescent="0.3">
      <c r="A1320" s="170" t="s">
        <v>2726</v>
      </c>
      <c r="B1320" s="165" t="s">
        <v>2727</v>
      </c>
      <c r="C1320" s="165" t="str">
        <f>IFERROR(VLOOKUP($A1320,작성용!A:AL,14,0),"-")</f>
        <v>-</v>
      </c>
      <c r="D1320" s="169" t="s">
        <v>220</v>
      </c>
      <c r="E1320" s="167" t="str">
        <f>IFERROR(VLOOKUP(A1320,작성용!A:AL,34,0),"-")</f>
        <v>-</v>
      </c>
      <c r="F1320" s="168" t="s">
        <v>2</v>
      </c>
      <c r="G1320" s="179">
        <f>COUNTIF(작성용!A:B,$A1320)-COUNTIFS(작성용!A:A,$A1320,작성용!AA:AA,"평가철회")</f>
        <v>0</v>
      </c>
    </row>
    <row r="1321" spans="1:7" ht="16.5" customHeight="1" x14ac:dyDescent="0.3">
      <c r="A1321" s="170" t="s">
        <v>2728</v>
      </c>
      <c r="B1321" s="165" t="s">
        <v>2729</v>
      </c>
      <c r="C1321" s="165" t="str">
        <f>IFERROR(VLOOKUP($A1321,작성용!A:AL,14,0),"-")</f>
        <v>-</v>
      </c>
      <c r="D1321" s="169" t="s">
        <v>220</v>
      </c>
      <c r="E1321" s="167" t="str">
        <f>IFERROR(VLOOKUP(A1321,작성용!A:AL,34,0),"-")</f>
        <v>-</v>
      </c>
      <c r="F1321" s="168" t="s">
        <v>6382</v>
      </c>
      <c r="G1321" s="179">
        <f>COUNTIF(작성용!A:B,$A1321)-COUNTIFS(작성용!A:A,$A1321,작성용!AA:AA,"평가철회")</f>
        <v>0</v>
      </c>
    </row>
    <row r="1322" spans="1:7" ht="16.5" customHeight="1" x14ac:dyDescent="0.3">
      <c r="A1322" s="170" t="s">
        <v>2730</v>
      </c>
      <c r="B1322" s="165" t="s">
        <v>2731</v>
      </c>
      <c r="C1322" s="165" t="str">
        <f>IFERROR(VLOOKUP($A1322,작성용!A:AL,14,0),"-")</f>
        <v>-</v>
      </c>
      <c r="D1322" s="169" t="s">
        <v>220</v>
      </c>
      <c r="E1322" s="167" t="str">
        <f>IFERROR(VLOOKUP(A1322,작성용!A:AL,34,0),"-")</f>
        <v>-</v>
      </c>
      <c r="F1322" s="168" t="s">
        <v>2</v>
      </c>
      <c r="G1322" s="179">
        <f>COUNTIF(작성용!A:B,$A1322)-COUNTIFS(작성용!A:A,$A1322,작성용!AA:AA,"평가철회")</f>
        <v>0</v>
      </c>
    </row>
    <row r="1323" spans="1:7" ht="16.5" customHeight="1" x14ac:dyDescent="0.3">
      <c r="A1323" s="170" t="s">
        <v>2732</v>
      </c>
      <c r="B1323" s="165" t="s">
        <v>2733</v>
      </c>
      <c r="C1323" s="165" t="str">
        <f>IFERROR(VLOOKUP($A1323,작성용!A:AL,14,0),"-")</f>
        <v>-</v>
      </c>
      <c r="D1323" s="169" t="s">
        <v>521</v>
      </c>
      <c r="E1323" s="167" t="str">
        <f>IFERROR(VLOOKUP(A1323,작성용!A:AL,34,0),"-")</f>
        <v>-</v>
      </c>
      <c r="F1323" s="168" t="s">
        <v>2</v>
      </c>
      <c r="G1323" s="179">
        <f>COUNTIF(작성용!A:B,$A1323)-COUNTIFS(작성용!A:A,$A1323,작성용!AA:AA,"평가철회")</f>
        <v>0</v>
      </c>
    </row>
    <row r="1324" spans="1:7" ht="16.5" customHeight="1" x14ac:dyDescent="0.3">
      <c r="A1324" s="170" t="s">
        <v>2734</v>
      </c>
      <c r="B1324" s="165" t="s">
        <v>2735</v>
      </c>
      <c r="C1324" s="165" t="str">
        <f>IFERROR(VLOOKUP($A1324,작성용!A:AL,14,0),"-")</f>
        <v>-</v>
      </c>
      <c r="D1324" s="169" t="s">
        <v>220</v>
      </c>
      <c r="E1324" s="167" t="str">
        <f>IFERROR(VLOOKUP(A1324,작성용!A:AL,34,0),"-")</f>
        <v>-</v>
      </c>
      <c r="F1324" s="168" t="s">
        <v>2</v>
      </c>
      <c r="G1324" s="179">
        <f>COUNTIF(작성용!A:B,$A1324)-COUNTIFS(작성용!A:A,$A1324,작성용!AA:AA,"평가철회")</f>
        <v>0</v>
      </c>
    </row>
    <row r="1325" spans="1:7" ht="16.5" customHeight="1" x14ac:dyDescent="0.3">
      <c r="A1325" s="170" t="s">
        <v>2736</v>
      </c>
      <c r="B1325" s="165" t="s">
        <v>2737</v>
      </c>
      <c r="C1325" s="165" t="str">
        <f>IFERROR(VLOOKUP($A1325,작성용!A:AL,14,0),"-")</f>
        <v>-</v>
      </c>
      <c r="D1325" s="169" t="s">
        <v>220</v>
      </c>
      <c r="E1325" s="167" t="str">
        <f>IFERROR(VLOOKUP(A1325,작성용!A:AL,34,0),"-")</f>
        <v>-</v>
      </c>
      <c r="F1325" s="168" t="s">
        <v>2</v>
      </c>
      <c r="G1325" s="179">
        <f>COUNTIF(작성용!A:B,$A1325)-COUNTIFS(작성용!A:A,$A1325,작성용!AA:AA,"평가철회")</f>
        <v>0</v>
      </c>
    </row>
    <row r="1326" spans="1:7" ht="16.5" customHeight="1" x14ac:dyDescent="0.3">
      <c r="A1326" s="170" t="s">
        <v>2738</v>
      </c>
      <c r="B1326" s="165" t="s">
        <v>2739</v>
      </c>
      <c r="C1326" s="165" t="str">
        <f>IFERROR(VLOOKUP($A1326,작성용!A:AL,14,0),"-")</f>
        <v>-</v>
      </c>
      <c r="D1326" s="169" t="s">
        <v>6325</v>
      </c>
      <c r="E1326" s="167" t="str">
        <f>IFERROR(VLOOKUP(A1326,작성용!A:AL,34,0),"-")</f>
        <v>-</v>
      </c>
      <c r="F1326" s="168" t="s">
        <v>6378</v>
      </c>
      <c r="G1326" s="179">
        <f>COUNTIF(작성용!A:B,$A1326)-COUNTIFS(작성용!A:A,$A1326,작성용!AA:AA,"평가철회")</f>
        <v>0</v>
      </c>
    </row>
    <row r="1327" spans="1:7" ht="16.5" customHeight="1" x14ac:dyDescent="0.3">
      <c r="A1327" s="170" t="s">
        <v>2740</v>
      </c>
      <c r="B1327" s="165" t="s">
        <v>2741</v>
      </c>
      <c r="C1327" s="165" t="str">
        <f>IFERROR(VLOOKUP($A1327,작성용!A:AL,14,0),"-")</f>
        <v>-</v>
      </c>
      <c r="D1327" s="169" t="s">
        <v>247</v>
      </c>
      <c r="E1327" s="167" t="str">
        <f>IFERROR(VLOOKUP(A1327,작성용!A:AL,34,0),"-")</f>
        <v>-</v>
      </c>
      <c r="F1327" s="168" t="s">
        <v>2</v>
      </c>
      <c r="G1327" s="179">
        <f>COUNTIF(작성용!A:B,$A1327)-COUNTIFS(작성용!A:A,$A1327,작성용!AA:AA,"평가철회")</f>
        <v>0</v>
      </c>
    </row>
    <row r="1328" spans="1:7" ht="16.5" customHeight="1" x14ac:dyDescent="0.3">
      <c r="A1328" s="170" t="s">
        <v>2742</v>
      </c>
      <c r="B1328" s="165" t="s">
        <v>2743</v>
      </c>
      <c r="C1328" s="165" t="str">
        <f>IFERROR(VLOOKUP($A1328,작성용!A:AL,14,0),"-")</f>
        <v>-</v>
      </c>
      <c r="D1328" s="169" t="s">
        <v>72</v>
      </c>
      <c r="E1328" s="167" t="str">
        <f>IFERROR(VLOOKUP(A1328,작성용!A:AL,34,0),"-")</f>
        <v>-</v>
      </c>
      <c r="F1328" s="168" t="s">
        <v>2</v>
      </c>
      <c r="G1328" s="179">
        <f>COUNTIF(작성용!A:B,$A1328)-COUNTIFS(작성용!A:A,$A1328,작성용!AA:AA,"평가철회")</f>
        <v>0</v>
      </c>
    </row>
    <row r="1329" spans="1:7" ht="16.5" customHeight="1" x14ac:dyDescent="0.3">
      <c r="A1329" s="170" t="s">
        <v>2744</v>
      </c>
      <c r="B1329" s="165" t="s">
        <v>2745</v>
      </c>
      <c r="C1329" s="165" t="str">
        <f>IFERROR(VLOOKUP($A1329,작성용!A:AL,14,0),"-")</f>
        <v>-</v>
      </c>
      <c r="D1329" s="169" t="s">
        <v>6276</v>
      </c>
      <c r="E1329" s="167" t="str">
        <f>IFERROR(VLOOKUP(A1329,작성용!A:AL,34,0),"-")</f>
        <v>-</v>
      </c>
      <c r="F1329" s="168" t="s">
        <v>6270</v>
      </c>
      <c r="G1329" s="179">
        <f>COUNTIF(작성용!A:B,$A1329)-COUNTIFS(작성용!A:A,$A1329,작성용!AA:AA,"평가철회")</f>
        <v>0</v>
      </c>
    </row>
    <row r="1330" spans="1:7" ht="16.5" customHeight="1" x14ac:dyDescent="0.3">
      <c r="A1330" s="170" t="s">
        <v>2746</v>
      </c>
      <c r="B1330" s="165" t="s">
        <v>2747</v>
      </c>
      <c r="C1330" s="165" t="str">
        <f>IFERROR(VLOOKUP($A1330,작성용!A:AL,14,0),"-")</f>
        <v>-</v>
      </c>
      <c r="D1330" s="169" t="s">
        <v>220</v>
      </c>
      <c r="E1330" s="167" t="str">
        <f>IFERROR(VLOOKUP(A1330,작성용!A:AL,34,0),"-")</f>
        <v>-</v>
      </c>
      <c r="F1330" s="168" t="s">
        <v>6304</v>
      </c>
      <c r="G1330" s="179">
        <f>COUNTIF(작성용!A:B,$A1330)-COUNTIFS(작성용!A:A,$A1330,작성용!AA:AA,"평가철회")</f>
        <v>0</v>
      </c>
    </row>
    <row r="1331" spans="1:7" ht="16.5" customHeight="1" x14ac:dyDescent="0.3">
      <c r="A1331" s="170" t="s">
        <v>2748</v>
      </c>
      <c r="B1331" s="165" t="s">
        <v>2749</v>
      </c>
      <c r="C1331" s="165" t="str">
        <f>IFERROR(VLOOKUP($A1331,작성용!A:AL,14,0),"-")</f>
        <v>-</v>
      </c>
      <c r="D1331" s="169" t="s">
        <v>220</v>
      </c>
      <c r="E1331" s="167" t="str">
        <f>IFERROR(VLOOKUP(A1331,작성용!A:AL,34,0),"-")</f>
        <v>-</v>
      </c>
      <c r="F1331" s="168" t="s">
        <v>6283</v>
      </c>
      <c r="G1331" s="179">
        <f>COUNTIF(작성용!A:B,$A1331)-COUNTIFS(작성용!A:A,$A1331,작성용!AA:AA,"평가철회")</f>
        <v>0</v>
      </c>
    </row>
    <row r="1332" spans="1:7" ht="16.5" customHeight="1" x14ac:dyDescent="0.3">
      <c r="A1332" s="170" t="s">
        <v>2750</v>
      </c>
      <c r="B1332" s="165" t="s">
        <v>2751</v>
      </c>
      <c r="C1332" s="165" t="str">
        <f>IFERROR(VLOOKUP($A1332,작성용!A:AL,14,0),"-")</f>
        <v>-</v>
      </c>
      <c r="D1332" s="169" t="s">
        <v>1431</v>
      </c>
      <c r="E1332" s="167" t="str">
        <f>IFERROR(VLOOKUP(A1332,작성용!A:AL,34,0),"-")</f>
        <v>-</v>
      </c>
      <c r="F1332" s="168" t="s">
        <v>2</v>
      </c>
      <c r="G1332" s="179">
        <f>COUNTIF(작성용!A:B,$A1332)-COUNTIFS(작성용!A:A,$A1332,작성용!AA:AA,"평가철회")</f>
        <v>0</v>
      </c>
    </row>
    <row r="1333" spans="1:7" ht="16.5" customHeight="1" x14ac:dyDescent="0.3">
      <c r="A1333" s="170" t="s">
        <v>2752</v>
      </c>
      <c r="B1333" s="165" t="s">
        <v>2753</v>
      </c>
      <c r="C1333" s="165" t="str">
        <f>IFERROR(VLOOKUP($A1333,작성용!A:AL,14,0),"-")</f>
        <v>-</v>
      </c>
      <c r="D1333" s="169" t="s">
        <v>656</v>
      </c>
      <c r="E1333" s="167" t="str">
        <f>IFERROR(VLOOKUP(A1333,작성용!A:AL,34,0),"-")</f>
        <v>-</v>
      </c>
      <c r="F1333" s="168" t="s">
        <v>2</v>
      </c>
      <c r="G1333" s="179">
        <f>COUNTIF(작성용!A:B,$A1333)-COUNTIFS(작성용!A:A,$A1333,작성용!AA:AA,"평가철회")</f>
        <v>0</v>
      </c>
    </row>
    <row r="1334" spans="1:7" ht="16.5" customHeight="1" x14ac:dyDescent="0.3">
      <c r="A1334" s="170" t="s">
        <v>2754</v>
      </c>
      <c r="B1334" s="165" t="s">
        <v>2755</v>
      </c>
      <c r="C1334" s="165" t="str">
        <f>IFERROR(VLOOKUP($A1334,작성용!A:AL,14,0),"-")</f>
        <v>-</v>
      </c>
      <c r="D1334" s="169" t="s">
        <v>220</v>
      </c>
      <c r="E1334" s="167" t="str">
        <f>IFERROR(VLOOKUP(A1334,작성용!A:AL,34,0),"-")</f>
        <v>-</v>
      </c>
      <c r="F1334" s="168" t="s">
        <v>2</v>
      </c>
      <c r="G1334" s="179">
        <f>COUNTIF(작성용!A:B,$A1334)-COUNTIFS(작성용!A:A,$A1334,작성용!AA:AA,"평가철회")</f>
        <v>0</v>
      </c>
    </row>
    <row r="1335" spans="1:7" ht="16.5" customHeight="1" x14ac:dyDescent="0.3">
      <c r="A1335" s="170" t="s">
        <v>2756</v>
      </c>
      <c r="B1335" s="165" t="s">
        <v>2757</v>
      </c>
      <c r="C1335" s="165" t="str">
        <f>IFERROR(VLOOKUP($A1335,작성용!A:AL,14,0),"-")</f>
        <v>-</v>
      </c>
      <c r="D1335" s="169" t="s">
        <v>6438</v>
      </c>
      <c r="E1335" s="167" t="str">
        <f>IFERROR(VLOOKUP(A1335,작성용!A:AL,34,0),"-")</f>
        <v>-</v>
      </c>
      <c r="F1335" s="168" t="s">
        <v>6378</v>
      </c>
      <c r="G1335" s="179">
        <f>COUNTIF(작성용!A:B,$A1335)-COUNTIFS(작성용!A:A,$A1335,작성용!AA:AA,"평가철회")</f>
        <v>0</v>
      </c>
    </row>
    <row r="1336" spans="1:7" ht="16.5" customHeight="1" x14ac:dyDescent="0.3">
      <c r="A1336" s="170" t="s">
        <v>2758</v>
      </c>
      <c r="B1336" s="165" t="s">
        <v>2759</v>
      </c>
      <c r="C1336" s="165" t="str">
        <f>IFERROR(VLOOKUP($A1336,작성용!A:AL,14,0),"-")</f>
        <v>-</v>
      </c>
      <c r="D1336" s="169" t="s">
        <v>556</v>
      </c>
      <c r="E1336" s="167" t="str">
        <f>IFERROR(VLOOKUP(A1336,작성용!A:AL,34,0),"-")</f>
        <v>-</v>
      </c>
      <c r="F1336" s="168" t="s">
        <v>2</v>
      </c>
      <c r="G1336" s="179">
        <f>COUNTIF(작성용!A:B,$A1336)-COUNTIFS(작성용!A:A,$A1336,작성용!AA:AA,"평가철회")</f>
        <v>0</v>
      </c>
    </row>
    <row r="1337" spans="1:7" ht="16.5" customHeight="1" x14ac:dyDescent="0.3">
      <c r="A1337" s="170" t="s">
        <v>2760</v>
      </c>
      <c r="B1337" s="165" t="s">
        <v>6543</v>
      </c>
      <c r="C1337" s="165" t="str">
        <f>IFERROR(VLOOKUP($A1337,작성용!A:AL,14,0),"-")</f>
        <v>-</v>
      </c>
      <c r="D1337" s="169" t="s">
        <v>6279</v>
      </c>
      <c r="E1337" s="167" t="str">
        <f>IFERROR(VLOOKUP(A1337,작성용!A:AL,34,0),"-")</f>
        <v>-</v>
      </c>
      <c r="F1337" s="168" t="s">
        <v>2</v>
      </c>
      <c r="G1337" s="179">
        <f>COUNTIF(작성용!A:B,$A1337)-COUNTIFS(작성용!A:A,$A1337,작성용!AA:AA,"평가철회")</f>
        <v>0</v>
      </c>
    </row>
    <row r="1338" spans="1:7" ht="16.5" customHeight="1" x14ac:dyDescent="0.3">
      <c r="A1338" s="170" t="s">
        <v>2761</v>
      </c>
      <c r="B1338" s="165" t="s">
        <v>2762</v>
      </c>
      <c r="C1338" s="165" t="str">
        <f>IFERROR(VLOOKUP($A1338,작성용!A:AL,14,0),"-")</f>
        <v>-</v>
      </c>
      <c r="D1338" s="169" t="s">
        <v>6377</v>
      </c>
      <c r="E1338" s="167" t="str">
        <f>IFERROR(VLOOKUP(A1338,작성용!A:AL,34,0),"-")</f>
        <v>-</v>
      </c>
      <c r="F1338" s="168" t="s">
        <v>6378</v>
      </c>
      <c r="G1338" s="179">
        <f>COUNTIF(작성용!A:B,$A1338)-COUNTIFS(작성용!A:A,$A1338,작성용!AA:AA,"평가철회")</f>
        <v>0</v>
      </c>
    </row>
    <row r="1339" spans="1:7" ht="16.5" customHeight="1" x14ac:dyDescent="0.3">
      <c r="A1339" s="170" t="s">
        <v>2763</v>
      </c>
      <c r="B1339" s="165" t="s">
        <v>2764</v>
      </c>
      <c r="C1339" s="165" t="str">
        <f>IFERROR(VLOOKUP($A1339,작성용!A:AL,14,0),"-")</f>
        <v>-</v>
      </c>
      <c r="D1339" s="169" t="s">
        <v>247</v>
      </c>
      <c r="E1339" s="167" t="str">
        <f>IFERROR(VLOOKUP(A1339,작성용!A:AL,34,0),"-")</f>
        <v>-</v>
      </c>
      <c r="F1339" s="168" t="s">
        <v>2</v>
      </c>
      <c r="G1339" s="179">
        <f>COUNTIF(작성용!A:B,$A1339)-COUNTIFS(작성용!A:A,$A1339,작성용!AA:AA,"평가철회")</f>
        <v>0</v>
      </c>
    </row>
    <row r="1340" spans="1:7" ht="16.5" customHeight="1" x14ac:dyDescent="0.3">
      <c r="A1340" s="170" t="s">
        <v>2765</v>
      </c>
      <c r="B1340" s="165" t="s">
        <v>2766</v>
      </c>
      <c r="C1340" s="165" t="str">
        <f>IFERROR(VLOOKUP($A1340,작성용!A:AL,14,0),"-")</f>
        <v>-</v>
      </c>
      <c r="D1340" s="169" t="s">
        <v>556</v>
      </c>
      <c r="E1340" s="167" t="str">
        <f>IFERROR(VLOOKUP(A1340,작성용!A:AL,34,0),"-")</f>
        <v>-</v>
      </c>
      <c r="F1340" s="168" t="s">
        <v>6304</v>
      </c>
      <c r="G1340" s="179">
        <f>COUNTIF(작성용!A:B,$A1340)-COUNTIFS(작성용!A:A,$A1340,작성용!AA:AA,"평가철회")</f>
        <v>0</v>
      </c>
    </row>
    <row r="1341" spans="1:7" ht="16.5" customHeight="1" x14ac:dyDescent="0.3">
      <c r="A1341" s="170" t="s">
        <v>2767</v>
      </c>
      <c r="B1341" s="165" t="s">
        <v>2768</v>
      </c>
      <c r="C1341" s="165" t="str">
        <f>IFERROR(VLOOKUP($A1341,작성용!A:AL,14,0),"-")</f>
        <v>-</v>
      </c>
      <c r="D1341" s="169" t="s">
        <v>1431</v>
      </c>
      <c r="E1341" s="167" t="str">
        <f>IFERROR(VLOOKUP(A1341,작성용!A:AL,34,0),"-")</f>
        <v>-</v>
      </c>
      <c r="F1341" s="168" t="s">
        <v>2</v>
      </c>
      <c r="G1341" s="179">
        <f>COUNTIF(작성용!A:B,$A1341)-COUNTIFS(작성용!A:A,$A1341,작성용!AA:AA,"평가철회")</f>
        <v>0</v>
      </c>
    </row>
    <row r="1342" spans="1:7" ht="16.5" customHeight="1" x14ac:dyDescent="0.3">
      <c r="A1342" s="170" t="s">
        <v>2769</v>
      </c>
      <c r="B1342" s="165" t="s">
        <v>2770</v>
      </c>
      <c r="C1342" s="165" t="str">
        <f>IFERROR(VLOOKUP($A1342,작성용!A:AL,14,0),"-")</f>
        <v>-</v>
      </c>
      <c r="D1342" s="169" t="s">
        <v>498</v>
      </c>
      <c r="E1342" s="167" t="str">
        <f>IFERROR(VLOOKUP(A1342,작성용!A:AL,34,0),"-")</f>
        <v>-</v>
      </c>
      <c r="F1342" s="168" t="s">
        <v>2</v>
      </c>
      <c r="G1342" s="179">
        <f>COUNTIF(작성용!A:B,$A1342)-COUNTIFS(작성용!A:A,$A1342,작성용!AA:AA,"평가철회")</f>
        <v>0</v>
      </c>
    </row>
    <row r="1343" spans="1:7" ht="16.5" customHeight="1" x14ac:dyDescent="0.3">
      <c r="A1343" s="170" t="s">
        <v>2771</v>
      </c>
      <c r="B1343" s="165" t="s">
        <v>2772</v>
      </c>
      <c r="C1343" s="165" t="str">
        <f>IFERROR(VLOOKUP($A1343,작성용!A:AL,14,0),"-")</f>
        <v>-</v>
      </c>
      <c r="D1343" s="169" t="s">
        <v>6450</v>
      </c>
      <c r="E1343" s="167" t="str">
        <f>IFERROR(VLOOKUP(A1343,작성용!A:AL,34,0),"-")</f>
        <v>-</v>
      </c>
      <c r="F1343" s="168" t="s">
        <v>6304</v>
      </c>
      <c r="G1343" s="179">
        <f>COUNTIF(작성용!A:B,$A1343)-COUNTIFS(작성용!A:A,$A1343,작성용!AA:AA,"평가철회")</f>
        <v>0</v>
      </c>
    </row>
    <row r="1344" spans="1:7" ht="16.5" customHeight="1" x14ac:dyDescent="0.3">
      <c r="A1344" s="170" t="s">
        <v>2773</v>
      </c>
      <c r="B1344" s="165" t="s">
        <v>2774</v>
      </c>
      <c r="C1344" s="165" t="str">
        <f>IFERROR(VLOOKUP($A1344,작성용!A:AL,14,0),"-")</f>
        <v>-</v>
      </c>
      <c r="D1344" s="169" t="s">
        <v>556</v>
      </c>
      <c r="E1344" s="167" t="str">
        <f>IFERROR(VLOOKUP(A1344,작성용!A:AL,34,0),"-")</f>
        <v>-</v>
      </c>
      <c r="F1344" s="168" t="s">
        <v>2</v>
      </c>
      <c r="G1344" s="179">
        <f>COUNTIF(작성용!A:B,$A1344)-COUNTIFS(작성용!A:A,$A1344,작성용!AA:AA,"평가철회")</f>
        <v>0</v>
      </c>
    </row>
    <row r="1345" spans="1:7" ht="16.5" customHeight="1" x14ac:dyDescent="0.3">
      <c r="A1345" s="170" t="s">
        <v>2775</v>
      </c>
      <c r="B1345" s="165" t="s">
        <v>2776</v>
      </c>
      <c r="C1345" s="165" t="str">
        <f>IFERROR(VLOOKUP($A1345,작성용!A:AL,14,0),"-")</f>
        <v>-</v>
      </c>
      <c r="D1345" s="169" t="s">
        <v>220</v>
      </c>
      <c r="E1345" s="167" t="str">
        <f>IFERROR(VLOOKUP(A1345,작성용!A:AL,34,0),"-")</f>
        <v>-</v>
      </c>
      <c r="F1345" s="168" t="s">
        <v>6381</v>
      </c>
      <c r="G1345" s="179">
        <f>COUNTIF(작성용!A:B,$A1345)-COUNTIFS(작성용!A:A,$A1345,작성용!AA:AA,"평가철회")</f>
        <v>0</v>
      </c>
    </row>
    <row r="1346" spans="1:7" ht="16.5" customHeight="1" x14ac:dyDescent="0.3">
      <c r="A1346" s="170" t="s">
        <v>2777</v>
      </c>
      <c r="B1346" s="165" t="s">
        <v>2778</v>
      </c>
      <c r="C1346" s="165" t="str">
        <f>IFERROR(VLOOKUP($A1346,작성용!A:AL,14,0),"-")</f>
        <v>-</v>
      </c>
      <c r="D1346" s="169" t="s">
        <v>220</v>
      </c>
      <c r="E1346" s="167" t="str">
        <f>IFERROR(VLOOKUP(A1346,작성용!A:AL,34,0),"-")</f>
        <v>-</v>
      </c>
      <c r="F1346" s="168" t="s">
        <v>6382</v>
      </c>
      <c r="G1346" s="179">
        <f>COUNTIF(작성용!A:B,$A1346)-COUNTIFS(작성용!A:A,$A1346,작성용!AA:AA,"평가철회")</f>
        <v>0</v>
      </c>
    </row>
    <row r="1347" spans="1:7" ht="16.5" customHeight="1" x14ac:dyDescent="0.3">
      <c r="A1347" s="170" t="s">
        <v>2779</v>
      </c>
      <c r="B1347" s="165" t="s">
        <v>2780</v>
      </c>
      <c r="C1347" s="165" t="str">
        <f>IFERROR(VLOOKUP($A1347,작성용!A:AL,14,0),"-")</f>
        <v>-</v>
      </c>
      <c r="D1347" s="169" t="s">
        <v>6464</v>
      </c>
      <c r="E1347" s="167" t="str">
        <f>IFERROR(VLOOKUP(A1347,작성용!A:AL,34,0),"-")</f>
        <v>-</v>
      </c>
      <c r="F1347" s="168" t="s">
        <v>6382</v>
      </c>
      <c r="G1347" s="179">
        <f>COUNTIF(작성용!A:B,$A1347)-COUNTIFS(작성용!A:A,$A1347,작성용!AA:AA,"평가철회")</f>
        <v>0</v>
      </c>
    </row>
    <row r="1348" spans="1:7" ht="16.5" customHeight="1" x14ac:dyDescent="0.3">
      <c r="A1348" s="170" t="s">
        <v>2781</v>
      </c>
      <c r="B1348" s="165" t="s">
        <v>2782</v>
      </c>
      <c r="C1348" s="165" t="str">
        <f>IFERROR(VLOOKUP($A1348,작성용!A:AL,14,0),"-")</f>
        <v>-</v>
      </c>
      <c r="D1348" s="169" t="s">
        <v>2783</v>
      </c>
      <c r="E1348" s="167" t="str">
        <f>IFERROR(VLOOKUP(A1348,작성용!A:AL,34,0),"-")</f>
        <v>-</v>
      </c>
      <c r="F1348" s="168" t="s">
        <v>2</v>
      </c>
      <c r="G1348" s="179">
        <f>COUNTIF(작성용!A:B,$A1348)-COUNTIFS(작성용!A:A,$A1348,작성용!AA:AA,"평가철회")</f>
        <v>0</v>
      </c>
    </row>
    <row r="1349" spans="1:7" ht="16.5" customHeight="1" x14ac:dyDescent="0.3">
      <c r="A1349" s="170" t="s">
        <v>2784</v>
      </c>
      <c r="B1349" s="165" t="s">
        <v>2785</v>
      </c>
      <c r="C1349" s="165" t="str">
        <f>IFERROR(VLOOKUP($A1349,작성용!A:AL,14,0),"-")</f>
        <v>-</v>
      </c>
      <c r="D1349" s="169" t="s">
        <v>6373</v>
      </c>
      <c r="E1349" s="167" t="str">
        <f>IFERROR(VLOOKUP(A1349,작성용!A:AL,34,0),"-")</f>
        <v>-</v>
      </c>
      <c r="F1349" s="168" t="s">
        <v>6342</v>
      </c>
      <c r="G1349" s="179">
        <f>COUNTIF(작성용!A:B,$A1349)-COUNTIFS(작성용!A:A,$A1349,작성용!AA:AA,"평가철회")</f>
        <v>0</v>
      </c>
    </row>
    <row r="1350" spans="1:7" ht="16.5" customHeight="1" x14ac:dyDescent="0.3">
      <c r="A1350" s="170" t="s">
        <v>2786</v>
      </c>
      <c r="B1350" s="165" t="s">
        <v>6544</v>
      </c>
      <c r="C1350" s="165" t="str">
        <f>IFERROR(VLOOKUP($A1350,작성용!A:AL,14,0),"-")</f>
        <v>-</v>
      </c>
      <c r="D1350" s="169" t="s">
        <v>6444</v>
      </c>
      <c r="E1350" s="167" t="str">
        <f>IFERROR(VLOOKUP(A1350,작성용!A:AL,34,0),"-")</f>
        <v>-</v>
      </c>
      <c r="F1350" s="168" t="s">
        <v>6378</v>
      </c>
      <c r="G1350" s="179">
        <f>COUNTIF(작성용!A:B,$A1350)-COUNTIFS(작성용!A:A,$A1350,작성용!AA:AA,"평가철회")</f>
        <v>0</v>
      </c>
    </row>
    <row r="1351" spans="1:7" ht="16.5" customHeight="1" x14ac:dyDescent="0.3">
      <c r="A1351" s="170" t="s">
        <v>2787</v>
      </c>
      <c r="B1351" s="165" t="s">
        <v>2788</v>
      </c>
      <c r="C1351" s="165" t="str">
        <f>IFERROR(VLOOKUP($A1351,작성용!A:AL,14,0),"-")</f>
        <v>-</v>
      </c>
      <c r="D1351" s="169" t="s">
        <v>220</v>
      </c>
      <c r="E1351" s="167" t="str">
        <f>IFERROR(VLOOKUP(A1351,작성용!A:AL,34,0),"-")</f>
        <v>-</v>
      </c>
      <c r="F1351" s="168" t="s">
        <v>2</v>
      </c>
      <c r="G1351" s="179">
        <f>COUNTIF(작성용!A:B,$A1351)-COUNTIFS(작성용!A:A,$A1351,작성용!AA:AA,"평가철회")</f>
        <v>0</v>
      </c>
    </row>
    <row r="1352" spans="1:7" ht="16.5" customHeight="1" x14ac:dyDescent="0.3">
      <c r="A1352" s="170" t="s">
        <v>2789</v>
      </c>
      <c r="B1352" s="165" t="s">
        <v>2790</v>
      </c>
      <c r="C1352" s="165" t="str">
        <f>IFERROR(VLOOKUP($A1352,작성용!A:AL,14,0),"-")</f>
        <v>-</v>
      </c>
      <c r="D1352" s="169" t="s">
        <v>1652</v>
      </c>
      <c r="E1352" s="167" t="str">
        <f>IFERROR(VLOOKUP(A1352,작성용!A:AL,34,0),"-")</f>
        <v>-</v>
      </c>
      <c r="F1352" s="168" t="s">
        <v>2</v>
      </c>
      <c r="G1352" s="179">
        <f>COUNTIF(작성용!A:B,$A1352)-COUNTIFS(작성용!A:A,$A1352,작성용!AA:AA,"평가철회")</f>
        <v>0</v>
      </c>
    </row>
    <row r="1353" spans="1:7" ht="16.5" customHeight="1" x14ac:dyDescent="0.3">
      <c r="A1353" s="170" t="s">
        <v>2791</v>
      </c>
      <c r="B1353" s="165" t="s">
        <v>2792</v>
      </c>
      <c r="C1353" s="165" t="str">
        <f>IFERROR(VLOOKUP($A1353,작성용!A:AL,14,0),"-")</f>
        <v>-</v>
      </c>
      <c r="D1353" s="169" t="s">
        <v>6437</v>
      </c>
      <c r="E1353" s="167" t="str">
        <f>IFERROR(VLOOKUP(A1353,작성용!A:AL,34,0),"-")</f>
        <v>-</v>
      </c>
      <c r="F1353" s="168" t="s">
        <v>2</v>
      </c>
      <c r="G1353" s="179">
        <f>COUNTIF(작성용!A:B,$A1353)-COUNTIFS(작성용!A:A,$A1353,작성용!AA:AA,"평가철회")</f>
        <v>0</v>
      </c>
    </row>
    <row r="1354" spans="1:7" ht="16.5" customHeight="1" x14ac:dyDescent="0.3">
      <c r="A1354" s="170" t="s">
        <v>2793</v>
      </c>
      <c r="B1354" s="165" t="s">
        <v>2794</v>
      </c>
      <c r="C1354" s="165" t="str">
        <f>IFERROR(VLOOKUP($A1354,작성용!A:AL,14,0),"-")</f>
        <v>-</v>
      </c>
      <c r="D1354" s="169" t="s">
        <v>6375</v>
      </c>
      <c r="E1354" s="167" t="str">
        <f>IFERROR(VLOOKUP(A1354,작성용!A:AL,34,0),"-")</f>
        <v>-</v>
      </c>
      <c r="F1354" s="168" t="s">
        <v>6304</v>
      </c>
      <c r="G1354" s="179">
        <f>COUNTIF(작성용!A:B,$A1354)-COUNTIFS(작성용!A:A,$A1354,작성용!AA:AA,"평가철회")</f>
        <v>0</v>
      </c>
    </row>
    <row r="1355" spans="1:7" ht="16.5" customHeight="1" x14ac:dyDescent="0.3">
      <c r="A1355" s="170" t="s">
        <v>2795</v>
      </c>
      <c r="B1355" s="165" t="s">
        <v>2796</v>
      </c>
      <c r="C1355" s="165" t="str">
        <f>IFERROR(VLOOKUP($A1355,작성용!A:AL,14,0),"-")</f>
        <v>-</v>
      </c>
      <c r="D1355" s="169" t="s">
        <v>220</v>
      </c>
      <c r="E1355" s="167" t="str">
        <f>IFERROR(VLOOKUP(A1355,작성용!A:AL,34,0),"-")</f>
        <v>-</v>
      </c>
      <c r="F1355" s="168" t="s">
        <v>6342</v>
      </c>
      <c r="G1355" s="179">
        <f>COUNTIF(작성용!A:B,$A1355)-COUNTIFS(작성용!A:A,$A1355,작성용!AA:AA,"평가철회")</f>
        <v>0</v>
      </c>
    </row>
    <row r="1356" spans="1:7" ht="16.5" customHeight="1" x14ac:dyDescent="0.3">
      <c r="A1356" s="170" t="s">
        <v>2797</v>
      </c>
      <c r="B1356" s="165" t="s">
        <v>2798</v>
      </c>
      <c r="C1356" s="165" t="str">
        <f>IFERROR(VLOOKUP($A1356,작성용!A:AL,14,0),"-")</f>
        <v>-</v>
      </c>
      <c r="D1356" s="169" t="s">
        <v>220</v>
      </c>
      <c r="E1356" s="167" t="str">
        <f>IFERROR(VLOOKUP(A1356,작성용!A:AL,34,0),"-")</f>
        <v>-</v>
      </c>
      <c r="F1356" s="168" t="s">
        <v>6382</v>
      </c>
      <c r="G1356" s="179">
        <f>COUNTIF(작성용!A:B,$A1356)-COUNTIFS(작성용!A:A,$A1356,작성용!AA:AA,"평가철회")</f>
        <v>0</v>
      </c>
    </row>
    <row r="1357" spans="1:7" ht="16.5" customHeight="1" x14ac:dyDescent="0.3">
      <c r="A1357" s="170" t="s">
        <v>2799</v>
      </c>
      <c r="B1357" s="165" t="s">
        <v>2800</v>
      </c>
      <c r="C1357" s="165" t="str">
        <f>IFERROR(VLOOKUP($A1357,작성용!A:AL,14,0),"-")</f>
        <v>-</v>
      </c>
      <c r="D1357" s="169" t="s">
        <v>220</v>
      </c>
      <c r="E1357" s="167" t="str">
        <f>IFERROR(VLOOKUP(A1357,작성용!A:AL,34,0),"-")</f>
        <v>-</v>
      </c>
      <c r="F1357" s="168" t="s">
        <v>6283</v>
      </c>
      <c r="G1357" s="179">
        <f>COUNTIF(작성용!A:B,$A1357)-COUNTIFS(작성용!A:A,$A1357,작성용!AA:AA,"평가철회")</f>
        <v>0</v>
      </c>
    </row>
    <row r="1358" spans="1:7" ht="16.5" customHeight="1" x14ac:dyDescent="0.3">
      <c r="A1358" s="170" t="s">
        <v>2801</v>
      </c>
      <c r="B1358" s="165" t="s">
        <v>2802</v>
      </c>
      <c r="C1358" s="165" t="str">
        <f>IFERROR(VLOOKUP($A1358,작성용!A:AL,14,0),"-")</f>
        <v>-</v>
      </c>
      <c r="D1358" s="169" t="s">
        <v>492</v>
      </c>
      <c r="E1358" s="167" t="str">
        <f>IFERROR(VLOOKUP(A1358,작성용!A:AL,34,0),"-")</f>
        <v>-</v>
      </c>
      <c r="F1358" s="168" t="s">
        <v>2</v>
      </c>
      <c r="G1358" s="179">
        <f>COUNTIF(작성용!A:B,$A1358)-COUNTIFS(작성용!A:A,$A1358,작성용!AA:AA,"평가철회")</f>
        <v>0</v>
      </c>
    </row>
    <row r="1359" spans="1:7" ht="16.5" customHeight="1" x14ac:dyDescent="0.3">
      <c r="A1359" s="170" t="s">
        <v>2803</v>
      </c>
      <c r="B1359" s="165" t="s">
        <v>2804</v>
      </c>
      <c r="C1359" s="165" t="str">
        <f>IFERROR(VLOOKUP($A1359,작성용!A:AL,14,0),"-")</f>
        <v>-</v>
      </c>
      <c r="D1359" s="169" t="s">
        <v>220</v>
      </c>
      <c r="E1359" s="167" t="str">
        <f>IFERROR(VLOOKUP(A1359,작성용!A:AL,34,0),"-")</f>
        <v>-</v>
      </c>
      <c r="F1359" s="168" t="s">
        <v>2</v>
      </c>
      <c r="G1359" s="179">
        <f>COUNTIF(작성용!A:B,$A1359)-COUNTIFS(작성용!A:A,$A1359,작성용!AA:AA,"평가철회")</f>
        <v>0</v>
      </c>
    </row>
    <row r="1360" spans="1:7" ht="16.5" customHeight="1" x14ac:dyDescent="0.3">
      <c r="A1360" s="170" t="s">
        <v>2805</v>
      </c>
      <c r="B1360" s="165" t="s">
        <v>6545</v>
      </c>
      <c r="C1360" s="165" t="str">
        <f>IFERROR(VLOOKUP($A1360,작성용!A:AL,14,0),"-")</f>
        <v>-</v>
      </c>
      <c r="D1360" s="169" t="s">
        <v>6295</v>
      </c>
      <c r="E1360" s="167" t="str">
        <f>IFERROR(VLOOKUP(A1360,작성용!A:AL,34,0),"-")</f>
        <v>-</v>
      </c>
      <c r="F1360" s="168" t="s">
        <v>6378</v>
      </c>
      <c r="G1360" s="179">
        <f>COUNTIF(작성용!A:B,$A1360)-COUNTIFS(작성용!A:A,$A1360,작성용!AA:AA,"평가철회")</f>
        <v>0</v>
      </c>
    </row>
    <row r="1361" spans="1:7" ht="16.5" customHeight="1" x14ac:dyDescent="0.3">
      <c r="A1361" s="170" t="s">
        <v>2806</v>
      </c>
      <c r="B1361" s="165" t="s">
        <v>2807</v>
      </c>
      <c r="C1361" s="165" t="str">
        <f>IFERROR(VLOOKUP($A1361,작성용!A:AL,14,0),"-")</f>
        <v>-</v>
      </c>
      <c r="D1361" s="169" t="s">
        <v>220</v>
      </c>
      <c r="E1361" s="167" t="str">
        <f>IFERROR(VLOOKUP(A1361,작성용!A:AL,34,0),"-")</f>
        <v>-</v>
      </c>
      <c r="F1361" s="168" t="s">
        <v>2</v>
      </c>
      <c r="G1361" s="179">
        <f>COUNTIF(작성용!A:B,$A1361)-COUNTIFS(작성용!A:A,$A1361,작성용!AA:AA,"평가철회")</f>
        <v>0</v>
      </c>
    </row>
    <row r="1362" spans="1:7" ht="16.5" customHeight="1" x14ac:dyDescent="0.3">
      <c r="A1362" s="170" t="s">
        <v>2808</v>
      </c>
      <c r="B1362" s="165" t="s">
        <v>2809</v>
      </c>
      <c r="C1362" s="165" t="str">
        <f>IFERROR(VLOOKUP($A1362,작성용!A:AL,14,0),"-")</f>
        <v>-</v>
      </c>
      <c r="D1362" s="169" t="s">
        <v>463</v>
      </c>
      <c r="E1362" s="167" t="str">
        <f>IFERROR(VLOOKUP(A1362,작성용!A:AL,34,0),"-")</f>
        <v>-</v>
      </c>
      <c r="F1362" s="168" t="s">
        <v>2</v>
      </c>
      <c r="G1362" s="179">
        <f>COUNTIF(작성용!A:B,$A1362)-COUNTIFS(작성용!A:A,$A1362,작성용!AA:AA,"평가철회")</f>
        <v>0</v>
      </c>
    </row>
    <row r="1363" spans="1:7" ht="16.5" customHeight="1" x14ac:dyDescent="0.3">
      <c r="A1363" s="170" t="s">
        <v>2810</v>
      </c>
      <c r="B1363" s="165" t="s">
        <v>6546</v>
      </c>
      <c r="C1363" s="165" t="str">
        <f>IFERROR(VLOOKUP($A1363,작성용!A:AL,14,0),"-")</f>
        <v>-</v>
      </c>
      <c r="D1363" s="169" t="s">
        <v>6279</v>
      </c>
      <c r="E1363" s="167" t="str">
        <f>IFERROR(VLOOKUP(A1363,작성용!A:AL,34,0),"-")</f>
        <v>-</v>
      </c>
      <c r="F1363" s="168" t="s">
        <v>6378</v>
      </c>
      <c r="G1363" s="179">
        <f>COUNTIF(작성용!A:B,$A1363)-COUNTIFS(작성용!A:A,$A1363,작성용!AA:AA,"평가철회")</f>
        <v>0</v>
      </c>
    </row>
    <row r="1364" spans="1:7" ht="16.5" customHeight="1" x14ac:dyDescent="0.3">
      <c r="A1364" s="170" t="s">
        <v>2811</v>
      </c>
      <c r="B1364" s="165" t="s">
        <v>2812</v>
      </c>
      <c r="C1364" s="165" t="str">
        <f>IFERROR(VLOOKUP($A1364,작성용!A:AL,14,0),"-")</f>
        <v>-</v>
      </c>
      <c r="D1364" s="169" t="s">
        <v>220</v>
      </c>
      <c r="E1364" s="167" t="str">
        <f>IFERROR(VLOOKUP(A1364,작성용!A:AL,34,0),"-")</f>
        <v>-</v>
      </c>
      <c r="F1364" s="168" t="s">
        <v>2</v>
      </c>
      <c r="G1364" s="179">
        <f>COUNTIF(작성용!A:B,$A1364)-COUNTIFS(작성용!A:A,$A1364,작성용!AA:AA,"평가철회")</f>
        <v>0</v>
      </c>
    </row>
    <row r="1365" spans="1:7" ht="16.5" customHeight="1" x14ac:dyDescent="0.3">
      <c r="A1365" s="170" t="s">
        <v>2813</v>
      </c>
      <c r="B1365" s="165" t="s">
        <v>2814</v>
      </c>
      <c r="C1365" s="165" t="str">
        <f>IFERROR(VLOOKUP($A1365,작성용!A:AL,14,0),"-")</f>
        <v>-</v>
      </c>
      <c r="D1365" s="169" t="s">
        <v>6547</v>
      </c>
      <c r="E1365" s="167" t="str">
        <f>IFERROR(VLOOKUP(A1365,작성용!A:AL,34,0),"-")</f>
        <v>-</v>
      </c>
      <c r="F1365" s="168" t="s">
        <v>6380</v>
      </c>
      <c r="G1365" s="179">
        <f>COUNTIF(작성용!A:B,$A1365)-COUNTIFS(작성용!A:A,$A1365,작성용!AA:AA,"평가철회")</f>
        <v>0</v>
      </c>
    </row>
    <row r="1366" spans="1:7" ht="16.5" customHeight="1" x14ac:dyDescent="0.3">
      <c r="A1366" s="170" t="s">
        <v>2815</v>
      </c>
      <c r="B1366" s="165" t="s">
        <v>2729</v>
      </c>
      <c r="C1366" s="165" t="str">
        <f>IFERROR(VLOOKUP($A1366,작성용!A:AL,14,0),"-")</f>
        <v>-</v>
      </c>
      <c r="D1366" s="169" t="s">
        <v>694</v>
      </c>
      <c r="E1366" s="167" t="str">
        <f>IFERROR(VLOOKUP(A1366,작성용!A:AL,34,0),"-")</f>
        <v>-</v>
      </c>
      <c r="F1366" s="168" t="s">
        <v>6304</v>
      </c>
      <c r="G1366" s="179">
        <f>COUNTIF(작성용!A:B,$A1366)-COUNTIFS(작성용!A:A,$A1366,작성용!AA:AA,"평가철회")</f>
        <v>0</v>
      </c>
    </row>
    <row r="1367" spans="1:7" ht="16.5" customHeight="1" x14ac:dyDescent="0.3">
      <c r="A1367" s="170" t="s">
        <v>2816</v>
      </c>
      <c r="B1367" s="165" t="s">
        <v>2817</v>
      </c>
      <c r="C1367" s="165" t="str">
        <f>IFERROR(VLOOKUP($A1367,작성용!A:AL,14,0),"-")</f>
        <v>-</v>
      </c>
      <c r="D1367" s="169" t="s">
        <v>244</v>
      </c>
      <c r="E1367" s="167" t="str">
        <f>IFERROR(VLOOKUP(A1367,작성용!A:AL,34,0),"-")</f>
        <v>-</v>
      </c>
      <c r="F1367" s="168" t="s">
        <v>2</v>
      </c>
      <c r="G1367" s="179">
        <f>COUNTIF(작성용!A:B,$A1367)-COUNTIFS(작성용!A:A,$A1367,작성용!AA:AA,"평가철회")</f>
        <v>0</v>
      </c>
    </row>
    <row r="1368" spans="1:7" ht="16.5" customHeight="1" x14ac:dyDescent="0.3">
      <c r="A1368" s="170" t="s">
        <v>2818</v>
      </c>
      <c r="B1368" s="165" t="s">
        <v>2819</v>
      </c>
      <c r="C1368" s="165" t="str">
        <f>IFERROR(VLOOKUP($A1368,작성용!A:AL,14,0),"-")</f>
        <v>-</v>
      </c>
      <c r="D1368" s="169" t="s">
        <v>6548</v>
      </c>
      <c r="E1368" s="167" t="str">
        <f>IFERROR(VLOOKUP(A1368,작성용!A:AL,34,0),"-")</f>
        <v>-</v>
      </c>
      <c r="F1368" s="168" t="s">
        <v>2</v>
      </c>
      <c r="G1368" s="179">
        <f>COUNTIF(작성용!A:B,$A1368)-COUNTIFS(작성용!A:A,$A1368,작성용!AA:AA,"평가철회")</f>
        <v>0</v>
      </c>
    </row>
    <row r="1369" spans="1:7" ht="16.5" customHeight="1" x14ac:dyDescent="0.3">
      <c r="A1369" s="170" t="s">
        <v>2820</v>
      </c>
      <c r="B1369" s="165" t="s">
        <v>2776</v>
      </c>
      <c r="C1369" s="165" t="str">
        <f>IFERROR(VLOOKUP($A1369,작성용!A:AL,14,0),"-")</f>
        <v>-</v>
      </c>
      <c r="D1369" s="169" t="s">
        <v>6444</v>
      </c>
      <c r="E1369" s="167" t="str">
        <f>IFERROR(VLOOKUP(A1369,작성용!A:AL,34,0),"-")</f>
        <v>-</v>
      </c>
      <c r="F1369" s="168" t="s">
        <v>2</v>
      </c>
      <c r="G1369" s="179">
        <f>COUNTIF(작성용!A:B,$A1369)-COUNTIFS(작성용!A:A,$A1369,작성용!AA:AA,"평가철회")</f>
        <v>0</v>
      </c>
    </row>
    <row r="1370" spans="1:7" ht="16.5" customHeight="1" x14ac:dyDescent="0.3">
      <c r="A1370" s="170" t="s">
        <v>2821</v>
      </c>
      <c r="B1370" s="165" t="s">
        <v>2796</v>
      </c>
      <c r="C1370" s="165" t="str">
        <f>IFERROR(VLOOKUP($A1370,작성용!A:AL,14,0),"-")</f>
        <v>-</v>
      </c>
      <c r="D1370" s="169" t="s">
        <v>6449</v>
      </c>
      <c r="E1370" s="167" t="str">
        <f>IFERROR(VLOOKUP(A1370,작성용!A:AL,34,0),"-")</f>
        <v>-</v>
      </c>
      <c r="F1370" s="168" t="s">
        <v>6283</v>
      </c>
      <c r="G1370" s="179">
        <f>COUNTIF(작성용!A:B,$A1370)-COUNTIFS(작성용!A:A,$A1370,작성용!AA:AA,"평가철회")</f>
        <v>0</v>
      </c>
    </row>
    <row r="1371" spans="1:7" ht="16.5" customHeight="1" x14ac:dyDescent="0.3">
      <c r="A1371" s="170" t="s">
        <v>2822</v>
      </c>
      <c r="B1371" s="165" t="s">
        <v>2823</v>
      </c>
      <c r="C1371" s="165" t="str">
        <f>IFERROR(VLOOKUP($A1371,작성용!A:AL,14,0),"-")</f>
        <v>-</v>
      </c>
      <c r="D1371" s="169" t="s">
        <v>2344</v>
      </c>
      <c r="E1371" s="167" t="str">
        <f>IFERROR(VLOOKUP(A1371,작성용!A:AL,34,0),"-")</f>
        <v>-</v>
      </c>
      <c r="F1371" s="168" t="s">
        <v>2</v>
      </c>
      <c r="G1371" s="179">
        <f>COUNTIF(작성용!A:B,$A1371)-COUNTIFS(작성용!A:A,$A1371,작성용!AA:AA,"평가철회")</f>
        <v>0</v>
      </c>
    </row>
    <row r="1372" spans="1:7" ht="16.5" customHeight="1" x14ac:dyDescent="0.3">
      <c r="A1372" s="170" t="s">
        <v>2824</v>
      </c>
      <c r="B1372" s="165" t="s">
        <v>2800</v>
      </c>
      <c r="C1372" s="165" t="str">
        <f>IFERROR(VLOOKUP($A1372,작성용!A:AL,14,0),"-")</f>
        <v>-</v>
      </c>
      <c r="D1372" s="169" t="s">
        <v>6388</v>
      </c>
      <c r="E1372" s="167" t="str">
        <f>IFERROR(VLOOKUP(A1372,작성용!A:AL,34,0),"-")</f>
        <v>-</v>
      </c>
      <c r="F1372" s="168" t="s">
        <v>6378</v>
      </c>
      <c r="G1372" s="179">
        <f>COUNTIF(작성용!A:B,$A1372)-COUNTIFS(작성용!A:A,$A1372,작성용!AA:AA,"평가철회")</f>
        <v>0</v>
      </c>
    </row>
    <row r="1373" spans="1:7" ht="16.5" customHeight="1" x14ac:dyDescent="0.3">
      <c r="A1373" s="170" t="s">
        <v>2825</v>
      </c>
      <c r="B1373" s="165" t="s">
        <v>2826</v>
      </c>
      <c r="C1373" s="165" t="str">
        <f>IFERROR(VLOOKUP($A1373,작성용!A:AL,14,0),"-")</f>
        <v>-</v>
      </c>
      <c r="D1373" s="169" t="s">
        <v>74</v>
      </c>
      <c r="E1373" s="167" t="str">
        <f>IFERROR(VLOOKUP(A1373,작성용!A:AL,34,0),"-")</f>
        <v>-</v>
      </c>
      <c r="F1373" s="168" t="s">
        <v>2</v>
      </c>
      <c r="G1373" s="179">
        <f>COUNTIF(작성용!A:B,$A1373)-COUNTIFS(작성용!A:A,$A1373,작성용!AA:AA,"평가철회")</f>
        <v>0</v>
      </c>
    </row>
    <row r="1374" spans="1:7" ht="16.5" customHeight="1" x14ac:dyDescent="0.3">
      <c r="A1374" s="170" t="s">
        <v>2827</v>
      </c>
      <c r="B1374" s="165" t="s">
        <v>2828</v>
      </c>
      <c r="C1374" s="165" t="str">
        <f>IFERROR(VLOOKUP($A1374,작성용!A:AL,14,0),"-")</f>
        <v>-</v>
      </c>
      <c r="D1374" s="169" t="s">
        <v>220</v>
      </c>
      <c r="E1374" s="167" t="str">
        <f>IFERROR(VLOOKUP(A1374,작성용!A:AL,34,0),"-")</f>
        <v>-</v>
      </c>
      <c r="F1374" s="168" t="s">
        <v>6378</v>
      </c>
      <c r="G1374" s="179">
        <f>COUNTIF(작성용!A:B,$A1374)-COUNTIFS(작성용!A:A,$A1374,작성용!AA:AA,"평가철회")</f>
        <v>0</v>
      </c>
    </row>
    <row r="1375" spans="1:7" ht="16.5" customHeight="1" x14ac:dyDescent="0.3">
      <c r="A1375" s="170" t="s">
        <v>2829</v>
      </c>
      <c r="B1375" s="165" t="s">
        <v>2830</v>
      </c>
      <c r="C1375" s="165" t="str">
        <f>IFERROR(VLOOKUP($A1375,작성용!A:AL,14,0),"-")</f>
        <v>-</v>
      </c>
      <c r="D1375" s="169" t="s">
        <v>305</v>
      </c>
      <c r="E1375" s="167" t="str">
        <f>IFERROR(VLOOKUP(A1375,작성용!A:AL,34,0),"-")</f>
        <v>-</v>
      </c>
      <c r="F1375" s="168" t="s">
        <v>6270</v>
      </c>
      <c r="G1375" s="179">
        <f>COUNTIF(작성용!A:B,$A1375)-COUNTIFS(작성용!A:A,$A1375,작성용!AA:AA,"평가철회")</f>
        <v>0</v>
      </c>
    </row>
    <row r="1376" spans="1:7" ht="16.5" customHeight="1" x14ac:dyDescent="0.3">
      <c r="A1376" s="170" t="s">
        <v>2831</v>
      </c>
      <c r="B1376" s="165" t="s">
        <v>2807</v>
      </c>
      <c r="C1376" s="165" t="str">
        <f>IFERROR(VLOOKUP($A1376,작성용!A:AL,14,0),"-")</f>
        <v>-</v>
      </c>
      <c r="D1376" s="169" t="s">
        <v>521</v>
      </c>
      <c r="E1376" s="167" t="str">
        <f>IFERROR(VLOOKUP(A1376,작성용!A:AL,34,0),"-")</f>
        <v>-</v>
      </c>
      <c r="F1376" s="168" t="s">
        <v>2</v>
      </c>
      <c r="G1376" s="179">
        <f>COUNTIF(작성용!A:B,$A1376)-COUNTIFS(작성용!A:A,$A1376,작성용!AA:AA,"평가철회")</f>
        <v>0</v>
      </c>
    </row>
    <row r="1377" spans="1:7" ht="16.5" customHeight="1" x14ac:dyDescent="0.3">
      <c r="A1377" s="170" t="s">
        <v>2832</v>
      </c>
      <c r="B1377" s="165" t="s">
        <v>2833</v>
      </c>
      <c r="C1377" s="165" t="str">
        <f>IFERROR(VLOOKUP($A1377,작성용!A:AL,14,0),"-")</f>
        <v>-</v>
      </c>
      <c r="D1377" s="169" t="s">
        <v>220</v>
      </c>
      <c r="E1377" s="167" t="str">
        <f>IFERROR(VLOOKUP(A1377,작성용!A:AL,34,0),"-")</f>
        <v>-</v>
      </c>
      <c r="F1377" s="168" t="s">
        <v>6283</v>
      </c>
      <c r="G1377" s="179">
        <f>COUNTIF(작성용!A:B,$A1377)-COUNTIFS(작성용!A:A,$A1377,작성용!AA:AA,"평가철회")</f>
        <v>0</v>
      </c>
    </row>
    <row r="1378" spans="1:7" ht="16.5" customHeight="1" x14ac:dyDescent="0.3">
      <c r="A1378" s="170" t="s">
        <v>2834</v>
      </c>
      <c r="B1378" s="165" t="s">
        <v>2835</v>
      </c>
      <c r="C1378" s="165" t="str">
        <f>IFERROR(VLOOKUP($A1378,작성용!A:AL,14,0),"-")</f>
        <v>-</v>
      </c>
      <c r="D1378" s="169" t="s">
        <v>72</v>
      </c>
      <c r="E1378" s="167" t="str">
        <f>IFERROR(VLOOKUP(A1378,작성용!A:AL,34,0),"-")</f>
        <v>-</v>
      </c>
      <c r="F1378" s="168" t="s">
        <v>2</v>
      </c>
      <c r="G1378" s="179">
        <f>COUNTIF(작성용!A:B,$A1378)-COUNTIFS(작성용!A:A,$A1378,작성용!AA:AA,"평가철회")</f>
        <v>0</v>
      </c>
    </row>
    <row r="1379" spans="1:7" ht="16.5" customHeight="1" x14ac:dyDescent="0.3">
      <c r="A1379" s="170" t="s">
        <v>2836</v>
      </c>
      <c r="B1379" s="165" t="s">
        <v>2837</v>
      </c>
      <c r="C1379" s="165" t="str">
        <f>IFERROR(VLOOKUP($A1379,작성용!A:AL,14,0),"-")</f>
        <v>-</v>
      </c>
      <c r="D1379" s="169" t="s">
        <v>75</v>
      </c>
      <c r="E1379" s="167" t="str">
        <f>IFERROR(VLOOKUP(A1379,작성용!A:AL,34,0),"-")</f>
        <v>-</v>
      </c>
      <c r="F1379" s="168" t="s">
        <v>2</v>
      </c>
      <c r="G1379" s="179">
        <f>COUNTIF(작성용!A:B,$A1379)-COUNTIFS(작성용!A:A,$A1379,작성용!AA:AA,"평가철회")</f>
        <v>0</v>
      </c>
    </row>
    <row r="1380" spans="1:7" ht="16.5" customHeight="1" x14ac:dyDescent="0.3">
      <c r="A1380" s="170" t="s">
        <v>2838</v>
      </c>
      <c r="B1380" s="165" t="s">
        <v>2839</v>
      </c>
      <c r="C1380" s="165" t="str">
        <f>IFERROR(VLOOKUP($A1380,작성용!A:AL,14,0),"-")</f>
        <v>-</v>
      </c>
      <c r="D1380" s="169" t="s">
        <v>220</v>
      </c>
      <c r="E1380" s="167" t="str">
        <f>IFERROR(VLOOKUP(A1380,작성용!A:AL,34,0),"-")</f>
        <v>-</v>
      </c>
      <c r="F1380" s="168" t="s">
        <v>2</v>
      </c>
      <c r="G1380" s="179">
        <f>COUNTIF(작성용!A:B,$A1380)-COUNTIFS(작성용!A:A,$A1380,작성용!AA:AA,"평가철회")</f>
        <v>0</v>
      </c>
    </row>
    <row r="1381" spans="1:7" ht="16.5" customHeight="1" x14ac:dyDescent="0.3">
      <c r="A1381" s="170" t="s">
        <v>2840</v>
      </c>
      <c r="B1381" s="165" t="s">
        <v>2841</v>
      </c>
      <c r="C1381" s="165" t="str">
        <f>IFERROR(VLOOKUP($A1381,작성용!A:AL,14,0),"-")</f>
        <v>-</v>
      </c>
      <c r="D1381" s="169" t="s">
        <v>6317</v>
      </c>
      <c r="E1381" s="167" t="str">
        <f>IFERROR(VLOOKUP(A1381,작성용!A:AL,34,0),"-")</f>
        <v>-</v>
      </c>
      <c r="F1381" s="168" t="s">
        <v>6380</v>
      </c>
      <c r="G1381" s="179">
        <f>COUNTIF(작성용!A:B,$A1381)-COUNTIFS(작성용!A:A,$A1381,작성용!AA:AA,"평가철회")</f>
        <v>0</v>
      </c>
    </row>
    <row r="1382" spans="1:7" ht="16.5" customHeight="1" x14ac:dyDescent="0.3">
      <c r="A1382" s="170" t="s">
        <v>2842</v>
      </c>
      <c r="B1382" s="165" t="s">
        <v>2843</v>
      </c>
      <c r="C1382" s="165" t="str">
        <f>IFERROR(VLOOKUP($A1382,작성용!A:AL,14,0),"-")</f>
        <v>-</v>
      </c>
      <c r="D1382" s="169" t="s">
        <v>220</v>
      </c>
      <c r="E1382" s="167" t="str">
        <f>IFERROR(VLOOKUP(A1382,작성용!A:AL,34,0),"-")</f>
        <v>-</v>
      </c>
      <c r="F1382" s="168" t="s">
        <v>6382</v>
      </c>
      <c r="G1382" s="179">
        <f>COUNTIF(작성용!A:B,$A1382)-COUNTIFS(작성용!A:A,$A1382,작성용!AA:AA,"평가철회")</f>
        <v>0</v>
      </c>
    </row>
    <row r="1383" spans="1:7" ht="16.5" customHeight="1" x14ac:dyDescent="0.3">
      <c r="A1383" s="170" t="s">
        <v>2844</v>
      </c>
      <c r="B1383" s="165" t="s">
        <v>2845</v>
      </c>
      <c r="C1383" s="165" t="str">
        <f>IFERROR(VLOOKUP($A1383,작성용!A:AL,14,0),"-")</f>
        <v>-</v>
      </c>
      <c r="D1383" s="169" t="s">
        <v>74</v>
      </c>
      <c r="E1383" s="167" t="str">
        <f>IFERROR(VLOOKUP(A1383,작성용!A:AL,34,0),"-")</f>
        <v>-</v>
      </c>
      <c r="F1383" s="168" t="s">
        <v>2</v>
      </c>
      <c r="G1383" s="179">
        <f>COUNTIF(작성용!A:B,$A1383)-COUNTIFS(작성용!A:A,$A1383,작성용!AA:AA,"평가철회")</f>
        <v>0</v>
      </c>
    </row>
    <row r="1384" spans="1:7" ht="16.5" customHeight="1" x14ac:dyDescent="0.3">
      <c r="A1384" s="170" t="s">
        <v>2846</v>
      </c>
      <c r="B1384" s="165" t="s">
        <v>2847</v>
      </c>
      <c r="C1384" s="165" t="str">
        <f>IFERROR(VLOOKUP($A1384,작성용!A:AL,14,0),"-")</f>
        <v>-</v>
      </c>
      <c r="D1384" s="169" t="s">
        <v>492</v>
      </c>
      <c r="E1384" s="167" t="str">
        <f>IFERROR(VLOOKUP(A1384,작성용!A:AL,34,0),"-")</f>
        <v>-</v>
      </c>
      <c r="F1384" s="168" t="s">
        <v>2</v>
      </c>
      <c r="G1384" s="179">
        <f>COUNTIF(작성용!A:B,$A1384)-COUNTIFS(작성용!A:A,$A1384,작성용!AA:AA,"평가철회")</f>
        <v>0</v>
      </c>
    </row>
    <row r="1385" spans="1:7" ht="16.5" customHeight="1" x14ac:dyDescent="0.3">
      <c r="A1385" s="170" t="s">
        <v>2848</v>
      </c>
      <c r="B1385" s="165" t="s">
        <v>2849</v>
      </c>
      <c r="C1385" s="165" t="str">
        <f>IFERROR(VLOOKUP($A1385,작성용!A:AL,14,0),"-")</f>
        <v>-</v>
      </c>
      <c r="D1385" s="169" t="s">
        <v>220</v>
      </c>
      <c r="E1385" s="167" t="str">
        <f>IFERROR(VLOOKUP(A1385,작성용!A:AL,34,0),"-")</f>
        <v>-</v>
      </c>
      <c r="F1385" s="168" t="s">
        <v>2</v>
      </c>
      <c r="G1385" s="179">
        <f>COUNTIF(작성용!A:B,$A1385)-COUNTIFS(작성용!A:A,$A1385,작성용!AA:AA,"평가철회")</f>
        <v>0</v>
      </c>
    </row>
    <row r="1386" spans="1:7" ht="16.5" customHeight="1" x14ac:dyDescent="0.3">
      <c r="A1386" s="170" t="s">
        <v>2850</v>
      </c>
      <c r="B1386" s="165" t="s">
        <v>2851</v>
      </c>
      <c r="C1386" s="165" t="str">
        <f>IFERROR(VLOOKUP($A1386,작성용!A:AL,14,0),"-")</f>
        <v>-</v>
      </c>
      <c r="D1386" s="169" t="s">
        <v>656</v>
      </c>
      <c r="E1386" s="167" t="str">
        <f>IFERROR(VLOOKUP(A1386,작성용!A:AL,34,0),"-")</f>
        <v>-</v>
      </c>
      <c r="F1386" s="168" t="s">
        <v>2</v>
      </c>
      <c r="G1386" s="179">
        <f>COUNTIF(작성용!A:B,$A1386)-COUNTIFS(작성용!A:A,$A1386,작성용!AA:AA,"평가철회")</f>
        <v>0</v>
      </c>
    </row>
    <row r="1387" spans="1:7" ht="16.5" customHeight="1" x14ac:dyDescent="0.3">
      <c r="A1387" s="170" t="s">
        <v>2852</v>
      </c>
      <c r="B1387" s="165" t="s">
        <v>2853</v>
      </c>
      <c r="C1387" s="165" t="str">
        <f>IFERROR(VLOOKUP($A1387,작성용!A:AL,14,0),"-")</f>
        <v>-</v>
      </c>
      <c r="D1387" s="169" t="s">
        <v>1825</v>
      </c>
      <c r="E1387" s="167" t="str">
        <f>IFERROR(VLOOKUP(A1387,작성용!A:AL,34,0),"-")</f>
        <v>-</v>
      </c>
      <c r="F1387" s="168" t="s">
        <v>2</v>
      </c>
      <c r="G1387" s="179">
        <f>COUNTIF(작성용!A:B,$A1387)-COUNTIFS(작성용!A:A,$A1387,작성용!AA:AA,"평가철회")</f>
        <v>0</v>
      </c>
    </row>
    <row r="1388" spans="1:7" ht="16.5" customHeight="1" x14ac:dyDescent="0.3">
      <c r="A1388" s="170" t="s">
        <v>2854</v>
      </c>
      <c r="B1388" s="165" t="s">
        <v>6549</v>
      </c>
      <c r="C1388" s="165" t="str">
        <f>IFERROR(VLOOKUP($A1388,작성용!A:AL,14,0),"-")</f>
        <v>-</v>
      </c>
      <c r="D1388" s="169" t="s">
        <v>6400</v>
      </c>
      <c r="E1388" s="167" t="str">
        <f>IFERROR(VLOOKUP(A1388,작성용!A:AL,34,0),"-")</f>
        <v>-</v>
      </c>
      <c r="F1388" s="168" t="s">
        <v>6304</v>
      </c>
      <c r="G1388" s="179">
        <f>COUNTIF(작성용!A:B,$A1388)-COUNTIFS(작성용!A:A,$A1388,작성용!AA:AA,"평가철회")</f>
        <v>0</v>
      </c>
    </row>
    <row r="1389" spans="1:7" ht="16.5" customHeight="1" x14ac:dyDescent="0.3">
      <c r="A1389" s="170" t="s">
        <v>2855</v>
      </c>
      <c r="B1389" s="165" t="s">
        <v>9</v>
      </c>
      <c r="C1389" s="165" t="str">
        <f>IFERROR(VLOOKUP($A1389,작성용!A:AL,14,0),"-")</f>
        <v>-</v>
      </c>
      <c r="D1389" s="169" t="s">
        <v>220</v>
      </c>
      <c r="E1389" s="167" t="str">
        <f>IFERROR(VLOOKUP(A1389,작성용!A:AL,34,0),"-")</f>
        <v>-</v>
      </c>
      <c r="F1389" s="168" t="s">
        <v>6382</v>
      </c>
      <c r="G1389" s="179">
        <f>COUNTIF(작성용!A:B,$A1389)-COUNTIFS(작성용!A:A,$A1389,작성용!AA:AA,"평가철회")</f>
        <v>0</v>
      </c>
    </row>
    <row r="1390" spans="1:7" ht="16.5" customHeight="1" x14ac:dyDescent="0.3">
      <c r="A1390" s="170" t="s">
        <v>2856</v>
      </c>
      <c r="B1390" s="165" t="s">
        <v>880</v>
      </c>
      <c r="C1390" s="165" t="str">
        <f>IFERROR(VLOOKUP($A1390,작성용!A:AL,14,0),"-")</f>
        <v>-</v>
      </c>
      <c r="D1390" s="169" t="s">
        <v>6386</v>
      </c>
      <c r="E1390" s="167" t="str">
        <f>IFERROR(VLOOKUP(A1390,작성용!A:AL,34,0),"-")</f>
        <v>-</v>
      </c>
      <c r="F1390" s="168" t="s">
        <v>6382</v>
      </c>
      <c r="G1390" s="179">
        <f>COUNTIF(작성용!A:B,$A1390)-COUNTIFS(작성용!A:A,$A1390,작성용!AA:AA,"평가철회")</f>
        <v>0</v>
      </c>
    </row>
    <row r="1391" spans="1:7" ht="16.5" customHeight="1" x14ac:dyDescent="0.3">
      <c r="A1391" s="170" t="s">
        <v>2857</v>
      </c>
      <c r="B1391" s="165" t="s">
        <v>2858</v>
      </c>
      <c r="C1391" s="165" t="str">
        <f>IFERROR(VLOOKUP($A1391,작성용!A:AL,14,0),"-")</f>
        <v>-</v>
      </c>
      <c r="D1391" s="169" t="s">
        <v>6295</v>
      </c>
      <c r="E1391" s="167" t="str">
        <f>IFERROR(VLOOKUP(A1391,작성용!A:AL,34,0),"-")</f>
        <v>-</v>
      </c>
      <c r="F1391" s="168" t="s">
        <v>6378</v>
      </c>
      <c r="G1391" s="179">
        <f>COUNTIF(작성용!A:B,$A1391)-COUNTIFS(작성용!A:A,$A1391,작성용!AA:AA,"평가철회")</f>
        <v>0</v>
      </c>
    </row>
    <row r="1392" spans="1:7" ht="16.5" customHeight="1" x14ac:dyDescent="0.3">
      <c r="A1392" s="170" t="s">
        <v>2859</v>
      </c>
      <c r="B1392" s="165" t="s">
        <v>2860</v>
      </c>
      <c r="C1392" s="165" t="str">
        <f>IFERROR(VLOOKUP($A1392,작성용!A:AL,14,0),"-")</f>
        <v>-</v>
      </c>
      <c r="D1392" s="169" t="s">
        <v>220</v>
      </c>
      <c r="E1392" s="167" t="str">
        <f>IFERROR(VLOOKUP(A1392,작성용!A:AL,34,0),"-")</f>
        <v>-</v>
      </c>
      <c r="F1392" s="168" t="s">
        <v>2</v>
      </c>
      <c r="G1392" s="179">
        <f>COUNTIF(작성용!A:B,$A1392)-COUNTIFS(작성용!A:A,$A1392,작성용!AA:AA,"평가철회")</f>
        <v>0</v>
      </c>
    </row>
    <row r="1393" spans="1:7" ht="16.5" customHeight="1" x14ac:dyDescent="0.3">
      <c r="A1393" s="170" t="s">
        <v>2861</v>
      </c>
      <c r="B1393" s="165" t="s">
        <v>2862</v>
      </c>
      <c r="C1393" s="165" t="str">
        <f>IFERROR(VLOOKUP($A1393,작성용!A:AL,14,0),"-")</f>
        <v>-</v>
      </c>
      <c r="D1393" s="169" t="s">
        <v>244</v>
      </c>
      <c r="E1393" s="167" t="str">
        <f>IFERROR(VLOOKUP(A1393,작성용!A:AL,34,0),"-")</f>
        <v>-</v>
      </c>
      <c r="F1393" s="168" t="s">
        <v>2</v>
      </c>
      <c r="G1393" s="179">
        <f>COUNTIF(작성용!A:B,$A1393)-COUNTIFS(작성용!A:A,$A1393,작성용!AA:AA,"평가철회")</f>
        <v>0</v>
      </c>
    </row>
    <row r="1394" spans="1:7" ht="16.5" customHeight="1" x14ac:dyDescent="0.3">
      <c r="A1394" s="170" t="s">
        <v>2863</v>
      </c>
      <c r="B1394" s="165" t="s">
        <v>6550</v>
      </c>
      <c r="C1394" s="165" t="str">
        <f>IFERROR(VLOOKUP($A1394,작성용!A:AL,14,0),"-")</f>
        <v>-</v>
      </c>
      <c r="D1394" s="169" t="s">
        <v>6551</v>
      </c>
      <c r="E1394" s="167" t="str">
        <f>IFERROR(VLOOKUP(A1394,작성용!A:AL,34,0),"-")</f>
        <v>-</v>
      </c>
      <c r="F1394" s="168" t="s">
        <v>6378</v>
      </c>
      <c r="G1394" s="179">
        <f>COUNTIF(작성용!A:B,$A1394)-COUNTIFS(작성용!A:A,$A1394,작성용!AA:AA,"평가철회")</f>
        <v>0</v>
      </c>
    </row>
    <row r="1395" spans="1:7" ht="16.5" customHeight="1" x14ac:dyDescent="0.3">
      <c r="A1395" s="170" t="s">
        <v>2864</v>
      </c>
      <c r="B1395" s="165" t="s">
        <v>2865</v>
      </c>
      <c r="C1395" s="165" t="str">
        <f>IFERROR(VLOOKUP($A1395,작성용!A:AL,14,0),"-")</f>
        <v>-</v>
      </c>
      <c r="D1395" s="169" t="s">
        <v>220</v>
      </c>
      <c r="E1395" s="167" t="str">
        <f>IFERROR(VLOOKUP(A1395,작성용!A:AL,34,0),"-")</f>
        <v>-</v>
      </c>
      <c r="F1395" s="168" t="s">
        <v>2</v>
      </c>
      <c r="G1395" s="179">
        <f>COUNTIF(작성용!A:B,$A1395)-COUNTIFS(작성용!A:A,$A1395,작성용!AA:AA,"평가철회")</f>
        <v>0</v>
      </c>
    </row>
    <row r="1396" spans="1:7" ht="16.5" customHeight="1" x14ac:dyDescent="0.3">
      <c r="A1396" s="170" t="s">
        <v>2866</v>
      </c>
      <c r="B1396" s="165" t="s">
        <v>2867</v>
      </c>
      <c r="C1396" s="165" t="str">
        <f>IFERROR(VLOOKUP($A1396,작성용!A:AL,14,0),"-")</f>
        <v>-</v>
      </c>
      <c r="D1396" s="169" t="s">
        <v>74</v>
      </c>
      <c r="E1396" s="167" t="str">
        <f>IFERROR(VLOOKUP(A1396,작성용!A:AL,34,0),"-")</f>
        <v>-</v>
      </c>
      <c r="F1396" s="168" t="s">
        <v>2</v>
      </c>
      <c r="G1396" s="179">
        <f>COUNTIF(작성용!A:B,$A1396)-COUNTIFS(작성용!A:A,$A1396,작성용!AA:AA,"평가철회")</f>
        <v>0</v>
      </c>
    </row>
    <row r="1397" spans="1:7" ht="16.5" customHeight="1" x14ac:dyDescent="0.3">
      <c r="A1397" s="170" t="s">
        <v>2868</v>
      </c>
      <c r="B1397" s="165" t="s">
        <v>2869</v>
      </c>
      <c r="C1397" s="165" t="str">
        <f>IFERROR(VLOOKUP($A1397,작성용!A:AL,14,0),"-")</f>
        <v>-</v>
      </c>
      <c r="D1397" s="169" t="s">
        <v>220</v>
      </c>
      <c r="E1397" s="167" t="str">
        <f>IFERROR(VLOOKUP(A1397,작성용!A:AL,34,0),"-")</f>
        <v>-</v>
      </c>
      <c r="F1397" s="168" t="s">
        <v>2</v>
      </c>
      <c r="G1397" s="179">
        <f>COUNTIF(작성용!A:B,$A1397)-COUNTIFS(작성용!A:A,$A1397,작성용!AA:AA,"평가철회")</f>
        <v>0</v>
      </c>
    </row>
    <row r="1398" spans="1:7" ht="16.5" customHeight="1" x14ac:dyDescent="0.3">
      <c r="A1398" s="170" t="s">
        <v>2870</v>
      </c>
      <c r="B1398" s="165" t="s">
        <v>2871</v>
      </c>
      <c r="C1398" s="165" t="str">
        <f>IFERROR(VLOOKUP($A1398,작성용!A:AL,14,0),"-")</f>
        <v>-</v>
      </c>
      <c r="D1398" s="169" t="s">
        <v>6385</v>
      </c>
      <c r="E1398" s="167" t="str">
        <f>IFERROR(VLOOKUP(A1398,작성용!A:AL,34,0),"-")</f>
        <v>-</v>
      </c>
      <c r="F1398" s="168" t="s">
        <v>6304</v>
      </c>
      <c r="G1398" s="179">
        <f>COUNTIF(작성용!A:B,$A1398)-COUNTIFS(작성용!A:A,$A1398,작성용!AA:AA,"평가철회")</f>
        <v>0</v>
      </c>
    </row>
    <row r="1399" spans="1:7" ht="16.5" customHeight="1" x14ac:dyDescent="0.3">
      <c r="A1399" s="170" t="s">
        <v>2872</v>
      </c>
      <c r="B1399" s="165" t="s">
        <v>2873</v>
      </c>
      <c r="C1399" s="165" t="str">
        <f>IFERROR(VLOOKUP($A1399,작성용!A:AL,14,0),"-")</f>
        <v>-</v>
      </c>
      <c r="D1399" s="169" t="s">
        <v>1814</v>
      </c>
      <c r="E1399" s="167" t="str">
        <f>IFERROR(VLOOKUP(A1399,작성용!A:AL,34,0),"-")</f>
        <v>-</v>
      </c>
      <c r="F1399" s="168" t="s">
        <v>2</v>
      </c>
      <c r="G1399" s="179">
        <f>COUNTIF(작성용!A:B,$A1399)-COUNTIFS(작성용!A:A,$A1399,작성용!AA:AA,"평가철회")</f>
        <v>0</v>
      </c>
    </row>
    <row r="1400" spans="1:7" ht="16.5" customHeight="1" x14ac:dyDescent="0.3">
      <c r="A1400" s="170" t="s">
        <v>2874</v>
      </c>
      <c r="B1400" s="165" t="s">
        <v>2875</v>
      </c>
      <c r="C1400" s="165" t="str">
        <f>IFERROR(VLOOKUP($A1400,작성용!A:AL,14,0),"-")</f>
        <v>-</v>
      </c>
      <c r="D1400" s="169" t="s">
        <v>656</v>
      </c>
      <c r="E1400" s="167" t="str">
        <f>IFERROR(VLOOKUP(A1400,작성용!A:AL,34,0),"-")</f>
        <v>-</v>
      </c>
      <c r="F1400" s="168" t="s">
        <v>6378</v>
      </c>
      <c r="G1400" s="179">
        <f>COUNTIF(작성용!A:B,$A1400)-COUNTIFS(작성용!A:A,$A1400,작성용!AA:AA,"평가철회")</f>
        <v>0</v>
      </c>
    </row>
    <row r="1401" spans="1:7" ht="16.5" customHeight="1" x14ac:dyDescent="0.3">
      <c r="A1401" s="170" t="s">
        <v>2876</v>
      </c>
      <c r="B1401" s="165" t="s">
        <v>2877</v>
      </c>
      <c r="C1401" s="165" t="str">
        <f>IFERROR(VLOOKUP($A1401,작성용!A:AL,14,0),"-")</f>
        <v>-</v>
      </c>
      <c r="D1401" s="169" t="s">
        <v>635</v>
      </c>
      <c r="E1401" s="167" t="str">
        <f>IFERROR(VLOOKUP(A1401,작성용!A:AL,34,0),"-")</f>
        <v>-</v>
      </c>
      <c r="F1401" s="168" t="s">
        <v>2</v>
      </c>
      <c r="G1401" s="179">
        <f>COUNTIF(작성용!A:B,$A1401)-COUNTIFS(작성용!A:A,$A1401,작성용!AA:AA,"평가철회")</f>
        <v>0</v>
      </c>
    </row>
    <row r="1402" spans="1:7" ht="16.5" customHeight="1" x14ac:dyDescent="0.3">
      <c r="A1402" s="170" t="s">
        <v>2878</v>
      </c>
      <c r="B1402" s="165" t="s">
        <v>2879</v>
      </c>
      <c r="C1402" s="165" t="str">
        <f>IFERROR(VLOOKUP($A1402,작성용!A:AL,14,0),"-")</f>
        <v>-</v>
      </c>
      <c r="D1402" s="169" t="s">
        <v>220</v>
      </c>
      <c r="E1402" s="167" t="str">
        <f>IFERROR(VLOOKUP(A1402,작성용!A:AL,34,0),"-")</f>
        <v>-</v>
      </c>
      <c r="F1402" s="168" t="s">
        <v>2</v>
      </c>
      <c r="G1402" s="179">
        <f>COUNTIF(작성용!A:B,$A1402)-COUNTIFS(작성용!A:A,$A1402,작성용!AA:AA,"평가철회")</f>
        <v>0</v>
      </c>
    </row>
    <row r="1403" spans="1:7" ht="16.5" customHeight="1" x14ac:dyDescent="0.3">
      <c r="A1403" s="170" t="s">
        <v>2880</v>
      </c>
      <c r="B1403" s="165" t="s">
        <v>2881</v>
      </c>
      <c r="C1403" s="165" t="str">
        <f>IFERROR(VLOOKUP($A1403,작성용!A:AL,14,0),"-")</f>
        <v>-</v>
      </c>
      <c r="D1403" s="169" t="s">
        <v>6348</v>
      </c>
      <c r="E1403" s="167" t="str">
        <f>IFERROR(VLOOKUP(A1403,작성용!A:AL,34,0),"-")</f>
        <v>-</v>
      </c>
      <c r="F1403" s="168" t="s">
        <v>6270</v>
      </c>
      <c r="G1403" s="179">
        <f>COUNTIF(작성용!A:B,$A1403)-COUNTIFS(작성용!A:A,$A1403,작성용!AA:AA,"평가철회")</f>
        <v>0</v>
      </c>
    </row>
    <row r="1404" spans="1:7" ht="16.5" customHeight="1" x14ac:dyDescent="0.3">
      <c r="A1404" s="170" t="s">
        <v>2882</v>
      </c>
      <c r="B1404" s="165" t="s">
        <v>2883</v>
      </c>
      <c r="C1404" s="165" t="str">
        <f>IFERROR(VLOOKUP($A1404,작성용!A:AL,14,0),"-")</f>
        <v>-</v>
      </c>
      <c r="D1404" s="169" t="s">
        <v>1431</v>
      </c>
      <c r="E1404" s="167" t="str">
        <f>IFERROR(VLOOKUP(A1404,작성용!A:AL,34,0),"-")</f>
        <v>-</v>
      </c>
      <c r="F1404" s="168" t="s">
        <v>2</v>
      </c>
      <c r="G1404" s="179">
        <f>COUNTIF(작성용!A:B,$A1404)-COUNTIFS(작성용!A:A,$A1404,작성용!AA:AA,"평가철회")</f>
        <v>0</v>
      </c>
    </row>
    <row r="1405" spans="1:7" ht="16.5" customHeight="1" x14ac:dyDescent="0.3">
      <c r="A1405" s="170" t="s">
        <v>2884</v>
      </c>
      <c r="B1405" s="165" t="s">
        <v>2885</v>
      </c>
      <c r="C1405" s="165" t="str">
        <f>IFERROR(VLOOKUP($A1405,작성용!A:AL,14,0),"-")</f>
        <v>-</v>
      </c>
      <c r="D1405" s="169" t="s">
        <v>6438</v>
      </c>
      <c r="E1405" s="167" t="str">
        <f>IFERROR(VLOOKUP(A1405,작성용!A:AL,34,0),"-")</f>
        <v>-</v>
      </c>
      <c r="F1405" s="168" t="s">
        <v>2</v>
      </c>
      <c r="G1405" s="179">
        <f>COUNTIF(작성용!A:B,$A1405)-COUNTIFS(작성용!A:A,$A1405,작성용!AA:AA,"평가철회")</f>
        <v>0</v>
      </c>
    </row>
    <row r="1406" spans="1:7" ht="16.5" customHeight="1" x14ac:dyDescent="0.3">
      <c r="A1406" s="170" t="s">
        <v>2886</v>
      </c>
      <c r="B1406" s="165" t="s">
        <v>2887</v>
      </c>
      <c r="C1406" s="165" t="str">
        <f>IFERROR(VLOOKUP($A1406,작성용!A:AL,14,0),"-")</f>
        <v>-</v>
      </c>
      <c r="D1406" s="169" t="s">
        <v>220</v>
      </c>
      <c r="E1406" s="167" t="str">
        <f>IFERROR(VLOOKUP(A1406,작성용!A:AL,34,0),"-")</f>
        <v>-</v>
      </c>
      <c r="F1406" s="168" t="s">
        <v>6380</v>
      </c>
      <c r="G1406" s="179">
        <f>COUNTIF(작성용!A:B,$A1406)-COUNTIFS(작성용!A:A,$A1406,작성용!AA:AA,"평가철회")</f>
        <v>0</v>
      </c>
    </row>
    <row r="1407" spans="1:7" ht="16.5" customHeight="1" x14ac:dyDescent="0.3">
      <c r="A1407" s="170" t="s">
        <v>2888</v>
      </c>
      <c r="B1407" s="165" t="s">
        <v>2889</v>
      </c>
      <c r="C1407" s="165" t="str">
        <f>IFERROR(VLOOKUP($A1407,작성용!A:AL,14,0),"-")</f>
        <v>-</v>
      </c>
      <c r="D1407" s="169" t="s">
        <v>220</v>
      </c>
      <c r="E1407" s="167" t="str">
        <f>IFERROR(VLOOKUP(A1407,작성용!A:AL,34,0),"-")</f>
        <v>-</v>
      </c>
      <c r="F1407" s="168" t="s">
        <v>6380</v>
      </c>
      <c r="G1407" s="179">
        <f>COUNTIF(작성용!A:B,$A1407)-COUNTIFS(작성용!A:A,$A1407,작성용!AA:AA,"평가철회")</f>
        <v>0</v>
      </c>
    </row>
    <row r="1408" spans="1:7" ht="16.5" customHeight="1" x14ac:dyDescent="0.3">
      <c r="A1408" s="170" t="s">
        <v>2890</v>
      </c>
      <c r="B1408" s="165" t="s">
        <v>2891</v>
      </c>
      <c r="C1408" s="165" t="str">
        <f>IFERROR(VLOOKUP($A1408,작성용!A:AL,14,0),"-")</f>
        <v>-</v>
      </c>
      <c r="D1408" s="169" t="s">
        <v>244</v>
      </c>
      <c r="E1408" s="167" t="str">
        <f>IFERROR(VLOOKUP(A1408,작성용!A:AL,34,0),"-")</f>
        <v>-</v>
      </c>
      <c r="F1408" s="168" t="s">
        <v>2</v>
      </c>
      <c r="G1408" s="179">
        <f>COUNTIF(작성용!A:B,$A1408)-COUNTIFS(작성용!A:A,$A1408,작성용!AA:AA,"평가철회")</f>
        <v>0</v>
      </c>
    </row>
    <row r="1409" spans="1:7" ht="16.5" customHeight="1" x14ac:dyDescent="0.3">
      <c r="A1409" s="170" t="s">
        <v>2892</v>
      </c>
      <c r="B1409" s="165" t="s">
        <v>2893</v>
      </c>
      <c r="C1409" s="165" t="str">
        <f>IFERROR(VLOOKUP($A1409,작성용!A:AL,14,0),"-")</f>
        <v>-</v>
      </c>
      <c r="D1409" s="169" t="s">
        <v>220</v>
      </c>
      <c r="E1409" s="167" t="str">
        <f>IFERROR(VLOOKUP(A1409,작성용!A:AL,34,0),"-")</f>
        <v>-</v>
      </c>
      <c r="F1409" s="168" t="s">
        <v>6270</v>
      </c>
      <c r="G1409" s="179">
        <f>COUNTIF(작성용!A:B,$A1409)-COUNTIFS(작성용!A:A,$A1409,작성용!AA:AA,"평가철회")</f>
        <v>0</v>
      </c>
    </row>
    <row r="1410" spans="1:7" ht="16.5" customHeight="1" x14ac:dyDescent="0.3">
      <c r="A1410" s="170" t="s">
        <v>2894</v>
      </c>
      <c r="B1410" s="165" t="s">
        <v>2895</v>
      </c>
      <c r="C1410" s="165" t="str">
        <f>IFERROR(VLOOKUP($A1410,작성용!A:AL,14,0),"-")</f>
        <v>-</v>
      </c>
      <c r="D1410" s="169" t="s">
        <v>220</v>
      </c>
      <c r="E1410" s="167" t="str">
        <f>IFERROR(VLOOKUP(A1410,작성용!A:AL,34,0),"-")</f>
        <v>-</v>
      </c>
      <c r="F1410" s="168" t="s">
        <v>6381</v>
      </c>
      <c r="G1410" s="179">
        <f>COUNTIF(작성용!A:B,$A1410)-COUNTIFS(작성용!A:A,$A1410,작성용!AA:AA,"평가철회")</f>
        <v>0</v>
      </c>
    </row>
    <row r="1411" spans="1:7" ht="16.5" customHeight="1" x14ac:dyDescent="0.3">
      <c r="A1411" s="170" t="s">
        <v>2896</v>
      </c>
      <c r="B1411" s="165" t="s">
        <v>6552</v>
      </c>
      <c r="C1411" s="165" t="str">
        <f>IFERROR(VLOOKUP($A1411,작성용!A:AL,14,0),"-")</f>
        <v>-</v>
      </c>
      <c r="D1411" s="169" t="s">
        <v>6449</v>
      </c>
      <c r="E1411" s="167" t="str">
        <f>IFERROR(VLOOKUP(A1411,작성용!A:AL,34,0),"-")</f>
        <v>-</v>
      </c>
      <c r="F1411" s="168" t="s">
        <v>6378</v>
      </c>
      <c r="G1411" s="179">
        <f>COUNTIF(작성용!A:B,$A1411)-COUNTIFS(작성용!A:A,$A1411,작성용!AA:AA,"평가철회")</f>
        <v>0</v>
      </c>
    </row>
    <row r="1412" spans="1:7" ht="16.5" customHeight="1" x14ac:dyDescent="0.3">
      <c r="A1412" s="170" t="s">
        <v>2897</v>
      </c>
      <c r="B1412" s="165" t="s">
        <v>2898</v>
      </c>
      <c r="C1412" s="165" t="str">
        <f>IFERROR(VLOOKUP($A1412,작성용!A:AL,14,0),"-")</f>
        <v>-</v>
      </c>
      <c r="D1412" s="169" t="s">
        <v>220</v>
      </c>
      <c r="E1412" s="167" t="str">
        <f>IFERROR(VLOOKUP(A1412,작성용!A:AL,34,0),"-")</f>
        <v>-</v>
      </c>
      <c r="F1412" s="168" t="s">
        <v>6381</v>
      </c>
      <c r="G1412" s="179">
        <f>COUNTIF(작성용!A:B,$A1412)-COUNTIFS(작성용!A:A,$A1412,작성용!AA:AA,"평가철회")</f>
        <v>0</v>
      </c>
    </row>
    <row r="1413" spans="1:7" ht="16.5" customHeight="1" x14ac:dyDescent="0.3">
      <c r="A1413" s="170" t="s">
        <v>2899</v>
      </c>
      <c r="B1413" s="165" t="s">
        <v>2900</v>
      </c>
      <c r="C1413" s="165" t="str">
        <f>IFERROR(VLOOKUP($A1413,작성용!A:AL,14,0),"-")</f>
        <v>-</v>
      </c>
      <c r="D1413" s="169" t="s">
        <v>74</v>
      </c>
      <c r="E1413" s="167" t="str">
        <f>IFERROR(VLOOKUP(A1413,작성용!A:AL,34,0),"-")</f>
        <v>-</v>
      </c>
      <c r="F1413" s="168" t="s">
        <v>2</v>
      </c>
      <c r="G1413" s="179">
        <f>COUNTIF(작성용!A:B,$A1413)-COUNTIFS(작성용!A:A,$A1413,작성용!AA:AA,"평가철회")</f>
        <v>0</v>
      </c>
    </row>
    <row r="1414" spans="1:7" ht="16.5" customHeight="1" x14ac:dyDescent="0.3">
      <c r="A1414" s="170" t="s">
        <v>2901</v>
      </c>
      <c r="B1414" s="165" t="s">
        <v>2902</v>
      </c>
      <c r="C1414" s="165" t="str">
        <f>IFERROR(VLOOKUP($A1414,작성용!A:AL,14,0),"-")</f>
        <v>-</v>
      </c>
      <c r="D1414" s="169" t="s">
        <v>336</v>
      </c>
      <c r="E1414" s="167" t="str">
        <f>IFERROR(VLOOKUP(A1414,작성용!A:AL,34,0),"-")</f>
        <v>-</v>
      </c>
      <c r="F1414" s="168" t="s">
        <v>2</v>
      </c>
      <c r="G1414" s="179">
        <f>COUNTIF(작성용!A:B,$A1414)-COUNTIFS(작성용!A:A,$A1414,작성용!AA:AA,"평가철회")</f>
        <v>0</v>
      </c>
    </row>
    <row r="1415" spans="1:7" ht="16.5" customHeight="1" x14ac:dyDescent="0.3">
      <c r="A1415" s="170" t="s">
        <v>2903</v>
      </c>
      <c r="B1415" s="165" t="s">
        <v>2904</v>
      </c>
      <c r="C1415" s="165" t="str">
        <f>IFERROR(VLOOKUP($A1415,작성용!A:AL,14,0),"-")</f>
        <v>-</v>
      </c>
      <c r="D1415" s="169" t="s">
        <v>495</v>
      </c>
      <c r="E1415" s="167" t="str">
        <f>IFERROR(VLOOKUP(A1415,작성용!A:AL,34,0),"-")</f>
        <v>-</v>
      </c>
      <c r="F1415" s="168" t="s">
        <v>2</v>
      </c>
      <c r="G1415" s="179">
        <f>COUNTIF(작성용!A:B,$A1415)-COUNTIFS(작성용!A:A,$A1415,작성용!AA:AA,"평가철회")</f>
        <v>0</v>
      </c>
    </row>
    <row r="1416" spans="1:7" ht="16.5" customHeight="1" x14ac:dyDescent="0.3">
      <c r="A1416" s="170" t="s">
        <v>2905</v>
      </c>
      <c r="B1416" s="165" t="s">
        <v>2906</v>
      </c>
      <c r="C1416" s="165" t="str">
        <f>IFERROR(VLOOKUP($A1416,작성용!A:AL,14,0),"-")</f>
        <v>-</v>
      </c>
      <c r="D1416" s="169" t="s">
        <v>6312</v>
      </c>
      <c r="E1416" s="167" t="str">
        <f>IFERROR(VLOOKUP(A1416,작성용!A:AL,34,0),"-")</f>
        <v>-</v>
      </c>
      <c r="F1416" s="168" t="s">
        <v>6378</v>
      </c>
      <c r="G1416" s="179">
        <f>COUNTIF(작성용!A:B,$A1416)-COUNTIFS(작성용!A:A,$A1416,작성용!AA:AA,"평가철회")</f>
        <v>0</v>
      </c>
    </row>
    <row r="1417" spans="1:7" ht="16.5" customHeight="1" x14ac:dyDescent="0.3">
      <c r="A1417" s="170" t="s">
        <v>2907</v>
      </c>
      <c r="B1417" s="165" t="s">
        <v>2908</v>
      </c>
      <c r="C1417" s="165" t="str">
        <f>IFERROR(VLOOKUP($A1417,작성용!A:AL,14,0),"-")</f>
        <v>-</v>
      </c>
      <c r="D1417" s="169" t="s">
        <v>273</v>
      </c>
      <c r="E1417" s="167" t="str">
        <f>IFERROR(VLOOKUP(A1417,작성용!A:AL,34,0),"-")</f>
        <v>-</v>
      </c>
      <c r="F1417" s="168" t="s">
        <v>2</v>
      </c>
      <c r="G1417" s="179">
        <f>COUNTIF(작성용!A:B,$A1417)-COUNTIFS(작성용!A:A,$A1417,작성용!AA:AA,"평가철회")</f>
        <v>0</v>
      </c>
    </row>
    <row r="1418" spans="1:7" ht="16.5" customHeight="1" x14ac:dyDescent="0.3">
      <c r="A1418" s="170" t="s">
        <v>2909</v>
      </c>
      <c r="B1418" s="165" t="s">
        <v>6553</v>
      </c>
      <c r="C1418" s="165" t="str">
        <f>IFERROR(VLOOKUP($A1418,작성용!A:AL,14,0),"-")</f>
        <v>-</v>
      </c>
      <c r="D1418" s="169" t="s">
        <v>6437</v>
      </c>
      <c r="E1418" s="167" t="str">
        <f>IFERROR(VLOOKUP(A1418,작성용!A:AL,34,0),"-")</f>
        <v>-</v>
      </c>
      <c r="F1418" s="168" t="s">
        <v>6378</v>
      </c>
      <c r="G1418" s="179">
        <f>COUNTIF(작성용!A:B,$A1418)-COUNTIFS(작성용!A:A,$A1418,작성용!AA:AA,"평가철회")</f>
        <v>0</v>
      </c>
    </row>
    <row r="1419" spans="1:7" ht="16.5" customHeight="1" x14ac:dyDescent="0.3">
      <c r="A1419" s="170" t="s">
        <v>2910</v>
      </c>
      <c r="B1419" s="165" t="s">
        <v>2911</v>
      </c>
      <c r="C1419" s="165" t="str">
        <f>IFERROR(VLOOKUP($A1419,작성용!A:AL,14,0),"-")</f>
        <v>-</v>
      </c>
      <c r="D1419" s="169" t="s">
        <v>220</v>
      </c>
      <c r="E1419" s="167" t="str">
        <f>IFERROR(VLOOKUP(A1419,작성용!A:AL,34,0),"-")</f>
        <v>-</v>
      </c>
      <c r="F1419" s="168" t="s">
        <v>2</v>
      </c>
      <c r="G1419" s="179">
        <f>COUNTIF(작성용!A:B,$A1419)-COUNTIFS(작성용!A:A,$A1419,작성용!AA:AA,"평가철회")</f>
        <v>0</v>
      </c>
    </row>
    <row r="1420" spans="1:7" ht="16.5" customHeight="1" x14ac:dyDescent="0.3">
      <c r="A1420" s="170" t="s">
        <v>2912</v>
      </c>
      <c r="B1420" s="165" t="s">
        <v>2893</v>
      </c>
      <c r="C1420" s="165" t="str">
        <f>IFERROR(VLOOKUP($A1420,작성용!A:AL,14,0),"-")</f>
        <v>-</v>
      </c>
      <c r="D1420" s="169" t="s">
        <v>6438</v>
      </c>
      <c r="E1420" s="167" t="str">
        <f>IFERROR(VLOOKUP(A1420,작성용!A:AL,34,0),"-")</f>
        <v>-</v>
      </c>
      <c r="F1420" s="168" t="s">
        <v>6382</v>
      </c>
      <c r="G1420" s="179">
        <f>COUNTIF(작성용!A:B,$A1420)-COUNTIFS(작성용!A:A,$A1420,작성용!AA:AA,"평가철회")</f>
        <v>0</v>
      </c>
    </row>
    <row r="1421" spans="1:7" ht="16.5" customHeight="1" x14ac:dyDescent="0.3">
      <c r="A1421" s="170" t="s">
        <v>2913</v>
      </c>
      <c r="B1421" s="165" t="s">
        <v>2898</v>
      </c>
      <c r="C1421" s="165" t="str">
        <f>IFERROR(VLOOKUP($A1421,작성용!A:AL,14,0),"-")</f>
        <v>-</v>
      </c>
      <c r="D1421" s="169" t="s">
        <v>6324</v>
      </c>
      <c r="E1421" s="167" t="str">
        <f>IFERROR(VLOOKUP(A1421,작성용!A:AL,34,0),"-")</f>
        <v>-</v>
      </c>
      <c r="F1421" s="168" t="s">
        <v>6382</v>
      </c>
      <c r="G1421" s="179">
        <f>COUNTIF(작성용!A:B,$A1421)-COUNTIFS(작성용!A:A,$A1421,작성용!AA:AA,"평가철회")</f>
        <v>0</v>
      </c>
    </row>
    <row r="1422" spans="1:7" ht="16.5" customHeight="1" x14ac:dyDescent="0.3">
      <c r="A1422" s="170" t="s">
        <v>2914</v>
      </c>
      <c r="B1422" s="165" t="s">
        <v>2911</v>
      </c>
      <c r="C1422" s="165" t="str">
        <f>IFERROR(VLOOKUP($A1422,작성용!A:AL,14,0),"-")</f>
        <v>-</v>
      </c>
      <c r="D1422" s="169" t="s">
        <v>694</v>
      </c>
      <c r="E1422" s="167" t="str">
        <f>IFERROR(VLOOKUP(A1422,작성용!A:AL,34,0),"-")</f>
        <v>-</v>
      </c>
      <c r="F1422" s="168" t="s">
        <v>2</v>
      </c>
      <c r="G1422" s="179">
        <f>COUNTIF(작성용!A:B,$A1422)-COUNTIFS(작성용!A:A,$A1422,작성용!AA:AA,"평가철회")</f>
        <v>0</v>
      </c>
    </row>
    <row r="1423" spans="1:7" ht="16.5" customHeight="1" x14ac:dyDescent="0.3">
      <c r="A1423" s="170" t="s">
        <v>2915</v>
      </c>
      <c r="B1423" s="165" t="s">
        <v>2916</v>
      </c>
      <c r="C1423" s="165" t="str">
        <f>IFERROR(VLOOKUP($A1423,작성용!A:AL,14,0),"-")</f>
        <v>-</v>
      </c>
      <c r="D1423" s="169" t="s">
        <v>220</v>
      </c>
      <c r="E1423" s="167" t="str">
        <f>IFERROR(VLOOKUP(A1423,작성용!A:AL,34,0),"-")</f>
        <v>-</v>
      </c>
      <c r="F1423" s="168" t="s">
        <v>6381</v>
      </c>
      <c r="G1423" s="179">
        <f>COUNTIF(작성용!A:B,$A1423)-COUNTIFS(작성용!A:A,$A1423,작성용!AA:AA,"평가철회")</f>
        <v>0</v>
      </c>
    </row>
    <row r="1424" spans="1:7" ht="16.5" customHeight="1" x14ac:dyDescent="0.3">
      <c r="A1424" s="170" t="s">
        <v>2917</v>
      </c>
      <c r="B1424" s="165" t="s">
        <v>2918</v>
      </c>
      <c r="C1424" s="165" t="str">
        <f>IFERROR(VLOOKUP($A1424,작성용!A:AL,14,0),"-")</f>
        <v>-</v>
      </c>
      <c r="D1424" s="169" t="s">
        <v>220</v>
      </c>
      <c r="E1424" s="167" t="str">
        <f>IFERROR(VLOOKUP(A1424,작성용!A:AL,34,0),"-")</f>
        <v>-</v>
      </c>
      <c r="F1424" s="168" t="s">
        <v>2</v>
      </c>
      <c r="G1424" s="179">
        <f>COUNTIF(작성용!A:B,$A1424)-COUNTIFS(작성용!A:A,$A1424,작성용!AA:AA,"평가철회")</f>
        <v>0</v>
      </c>
    </row>
    <row r="1425" spans="1:7" ht="16.5" customHeight="1" x14ac:dyDescent="0.3">
      <c r="A1425" s="170" t="s">
        <v>2919</v>
      </c>
      <c r="B1425" s="165" t="s">
        <v>2920</v>
      </c>
      <c r="C1425" s="165" t="str">
        <f>IFERROR(VLOOKUP($A1425,작성용!A:AL,14,0),"-")</f>
        <v>-</v>
      </c>
      <c r="D1425" s="169" t="s">
        <v>6554</v>
      </c>
      <c r="E1425" s="167" t="str">
        <f>IFERROR(VLOOKUP(A1425,작성용!A:AL,34,0),"-")</f>
        <v>-</v>
      </c>
      <c r="F1425" s="168" t="s">
        <v>6382</v>
      </c>
      <c r="G1425" s="179">
        <f>COUNTIF(작성용!A:B,$A1425)-COUNTIFS(작성용!A:A,$A1425,작성용!AA:AA,"평가철회")</f>
        <v>0</v>
      </c>
    </row>
    <row r="1426" spans="1:7" ht="16.5" customHeight="1" x14ac:dyDescent="0.3">
      <c r="A1426" s="170" t="s">
        <v>2921</v>
      </c>
      <c r="B1426" s="165" t="s">
        <v>2922</v>
      </c>
      <c r="C1426" s="165" t="str">
        <f>IFERROR(VLOOKUP($A1426,작성용!A:AL,14,0),"-")</f>
        <v>-</v>
      </c>
      <c r="D1426" s="169" t="s">
        <v>220</v>
      </c>
      <c r="E1426" s="167" t="str">
        <f>IFERROR(VLOOKUP(A1426,작성용!A:AL,34,0),"-")</f>
        <v>-</v>
      </c>
      <c r="F1426" s="168" t="s">
        <v>6283</v>
      </c>
      <c r="G1426" s="179">
        <f>COUNTIF(작성용!A:B,$A1426)-COUNTIFS(작성용!A:A,$A1426,작성용!AA:AA,"평가철회")</f>
        <v>0</v>
      </c>
    </row>
    <row r="1427" spans="1:7" ht="16.5" customHeight="1" x14ac:dyDescent="0.3">
      <c r="A1427" s="170" t="s">
        <v>2923</v>
      </c>
      <c r="B1427" s="165" t="s">
        <v>2924</v>
      </c>
      <c r="C1427" s="165" t="str">
        <f>IFERROR(VLOOKUP($A1427,작성용!A:AL,14,0),"-")</f>
        <v>-</v>
      </c>
      <c r="D1427" s="169" t="s">
        <v>220</v>
      </c>
      <c r="E1427" s="167" t="str">
        <f>IFERROR(VLOOKUP(A1427,작성용!A:AL,34,0),"-")</f>
        <v>-</v>
      </c>
      <c r="F1427" s="168" t="s">
        <v>6382</v>
      </c>
      <c r="G1427" s="179">
        <f>COUNTIF(작성용!A:B,$A1427)-COUNTIFS(작성용!A:A,$A1427,작성용!AA:AA,"평가철회")</f>
        <v>0</v>
      </c>
    </row>
    <row r="1428" spans="1:7" ht="16.5" customHeight="1" x14ac:dyDescent="0.3">
      <c r="A1428" s="170" t="s">
        <v>2925</v>
      </c>
      <c r="B1428" s="165" t="s">
        <v>2926</v>
      </c>
      <c r="C1428" s="165" t="str">
        <f>IFERROR(VLOOKUP($A1428,작성용!A:AL,14,0),"-")</f>
        <v>-</v>
      </c>
      <c r="D1428" s="169" t="s">
        <v>463</v>
      </c>
      <c r="E1428" s="167" t="str">
        <f>IFERROR(VLOOKUP(A1428,작성용!A:AL,34,0),"-")</f>
        <v>-</v>
      </c>
      <c r="F1428" s="168" t="s">
        <v>2</v>
      </c>
      <c r="G1428" s="179">
        <f>COUNTIF(작성용!A:B,$A1428)-COUNTIFS(작성용!A:A,$A1428,작성용!AA:AA,"평가철회")</f>
        <v>0</v>
      </c>
    </row>
    <row r="1429" spans="1:7" ht="16.5" customHeight="1" x14ac:dyDescent="0.3">
      <c r="A1429" s="170" t="s">
        <v>2927</v>
      </c>
      <c r="B1429" s="165" t="s">
        <v>2928</v>
      </c>
      <c r="C1429" s="165" t="str">
        <f>IFERROR(VLOOKUP($A1429,작성용!A:AL,14,0),"-")</f>
        <v>-</v>
      </c>
      <c r="D1429" s="169" t="s">
        <v>6384</v>
      </c>
      <c r="E1429" s="167" t="str">
        <f>IFERROR(VLOOKUP(A1429,작성용!A:AL,34,0),"-")</f>
        <v>-</v>
      </c>
      <c r="F1429" s="168" t="s">
        <v>6381</v>
      </c>
      <c r="G1429" s="179">
        <f>COUNTIF(작성용!A:B,$A1429)-COUNTIFS(작성용!A:A,$A1429,작성용!AA:AA,"평가철회")</f>
        <v>0</v>
      </c>
    </row>
    <row r="1430" spans="1:7" ht="16.5" customHeight="1" x14ac:dyDescent="0.3">
      <c r="A1430" s="170" t="s">
        <v>2929</v>
      </c>
      <c r="B1430" s="165" t="s">
        <v>2930</v>
      </c>
      <c r="C1430" s="165" t="str">
        <f>IFERROR(VLOOKUP($A1430,작성용!A:AL,14,0),"-")</f>
        <v>-</v>
      </c>
      <c r="D1430" s="169" t="s">
        <v>220</v>
      </c>
      <c r="E1430" s="167" t="str">
        <f>IFERROR(VLOOKUP(A1430,작성용!A:AL,34,0),"-")</f>
        <v>-</v>
      </c>
      <c r="F1430" s="168" t="s">
        <v>6382</v>
      </c>
      <c r="G1430" s="179">
        <f>COUNTIF(작성용!A:B,$A1430)-COUNTIFS(작성용!A:A,$A1430,작성용!AA:AA,"평가철회")</f>
        <v>0</v>
      </c>
    </row>
    <row r="1431" spans="1:7" ht="16.5" customHeight="1" x14ac:dyDescent="0.3">
      <c r="A1431" s="170" t="s">
        <v>2931</v>
      </c>
      <c r="B1431" s="165" t="s">
        <v>2932</v>
      </c>
      <c r="C1431" s="165" t="str">
        <f>IFERROR(VLOOKUP($A1431,작성용!A:AL,14,0),"-")</f>
        <v>-</v>
      </c>
      <c r="D1431" s="169" t="s">
        <v>220</v>
      </c>
      <c r="E1431" s="167" t="str">
        <f>IFERROR(VLOOKUP(A1431,작성용!A:AL,34,0),"-")</f>
        <v>-</v>
      </c>
      <c r="F1431" s="168" t="s">
        <v>2</v>
      </c>
      <c r="G1431" s="179">
        <f>COUNTIF(작성용!A:B,$A1431)-COUNTIFS(작성용!A:A,$A1431,작성용!AA:AA,"평가철회")</f>
        <v>0</v>
      </c>
    </row>
    <row r="1432" spans="1:7" ht="16.5" customHeight="1" x14ac:dyDescent="0.3">
      <c r="A1432" s="170" t="s">
        <v>2933</v>
      </c>
      <c r="B1432" s="165" t="s">
        <v>2934</v>
      </c>
      <c r="C1432" s="165" t="str">
        <f>IFERROR(VLOOKUP($A1432,작성용!A:AL,14,0),"-")</f>
        <v>-</v>
      </c>
      <c r="D1432" s="169" t="s">
        <v>220</v>
      </c>
      <c r="E1432" s="167" t="str">
        <f>IFERROR(VLOOKUP(A1432,작성용!A:AL,34,0),"-")</f>
        <v>-</v>
      </c>
      <c r="F1432" s="168" t="s">
        <v>2</v>
      </c>
      <c r="G1432" s="179">
        <f>COUNTIF(작성용!A:B,$A1432)-COUNTIFS(작성용!A:A,$A1432,작성용!AA:AA,"평가철회")</f>
        <v>0</v>
      </c>
    </row>
    <row r="1433" spans="1:7" ht="16.5" customHeight="1" x14ac:dyDescent="0.3">
      <c r="A1433" s="170" t="s">
        <v>2935</v>
      </c>
      <c r="B1433" s="165" t="s">
        <v>2936</v>
      </c>
      <c r="C1433" s="165" t="str">
        <f>IFERROR(VLOOKUP($A1433,작성용!A:AL,14,0),"-")</f>
        <v>-</v>
      </c>
      <c r="D1433" s="169" t="s">
        <v>247</v>
      </c>
      <c r="E1433" s="167" t="str">
        <f>IFERROR(VLOOKUP(A1433,작성용!A:AL,34,0),"-")</f>
        <v>-</v>
      </c>
      <c r="F1433" s="168" t="s">
        <v>2</v>
      </c>
      <c r="G1433" s="179">
        <f>COUNTIF(작성용!A:B,$A1433)-COUNTIFS(작성용!A:A,$A1433,작성용!AA:AA,"평가철회")</f>
        <v>0</v>
      </c>
    </row>
    <row r="1434" spans="1:7" ht="16.5" customHeight="1" x14ac:dyDescent="0.3">
      <c r="A1434" s="170" t="s">
        <v>2937</v>
      </c>
      <c r="B1434" s="165" t="s">
        <v>2938</v>
      </c>
      <c r="C1434" s="165" t="str">
        <f>IFERROR(VLOOKUP($A1434,작성용!A:AL,14,0),"-")</f>
        <v>-</v>
      </c>
      <c r="D1434" s="169" t="s">
        <v>6555</v>
      </c>
      <c r="E1434" s="167" t="str">
        <f>IFERROR(VLOOKUP(A1434,작성용!A:AL,34,0),"-")</f>
        <v>-</v>
      </c>
      <c r="F1434" s="168" t="s">
        <v>6304</v>
      </c>
      <c r="G1434" s="179">
        <f>COUNTIF(작성용!A:B,$A1434)-COUNTIFS(작성용!A:A,$A1434,작성용!AA:AA,"평가철회")</f>
        <v>0</v>
      </c>
    </row>
    <row r="1435" spans="1:7" ht="16.5" customHeight="1" x14ac:dyDescent="0.3">
      <c r="A1435" s="170" t="s">
        <v>2939</v>
      </c>
      <c r="B1435" s="165" t="s">
        <v>2940</v>
      </c>
      <c r="C1435" s="165" t="str">
        <f>IFERROR(VLOOKUP($A1435,작성용!A:AL,14,0),"-")</f>
        <v>-</v>
      </c>
      <c r="D1435" s="169" t="s">
        <v>220</v>
      </c>
      <c r="E1435" s="167" t="str">
        <f>IFERROR(VLOOKUP(A1435,작성용!A:AL,34,0),"-")</f>
        <v>-</v>
      </c>
      <c r="F1435" s="168" t="s">
        <v>2</v>
      </c>
      <c r="G1435" s="179">
        <f>COUNTIF(작성용!A:B,$A1435)-COUNTIFS(작성용!A:A,$A1435,작성용!AA:AA,"평가철회")</f>
        <v>0</v>
      </c>
    </row>
    <row r="1436" spans="1:7" ht="16.5" customHeight="1" x14ac:dyDescent="0.3">
      <c r="A1436" s="170" t="s">
        <v>2941</v>
      </c>
      <c r="B1436" s="165" t="s">
        <v>2942</v>
      </c>
      <c r="C1436" s="165" t="str">
        <f>IFERROR(VLOOKUP($A1436,작성용!A:AL,14,0),"-")</f>
        <v>-</v>
      </c>
      <c r="D1436" s="169" t="s">
        <v>220</v>
      </c>
      <c r="E1436" s="167" t="str">
        <f>IFERROR(VLOOKUP(A1436,작성용!A:AL,34,0),"-")</f>
        <v>-</v>
      </c>
      <c r="F1436" s="168" t="s">
        <v>6381</v>
      </c>
      <c r="G1436" s="179">
        <f>COUNTIF(작성용!A:B,$A1436)-COUNTIFS(작성용!A:A,$A1436,작성용!AA:AA,"평가철회")</f>
        <v>0</v>
      </c>
    </row>
    <row r="1437" spans="1:7" ht="16.5" customHeight="1" x14ac:dyDescent="0.3">
      <c r="A1437" s="170" t="s">
        <v>2943</v>
      </c>
      <c r="B1437" s="165" t="s">
        <v>2944</v>
      </c>
      <c r="C1437" s="165" t="str">
        <f>IFERROR(VLOOKUP($A1437,작성용!A:AL,14,0),"-")</f>
        <v>-</v>
      </c>
      <c r="D1437" s="169" t="s">
        <v>220</v>
      </c>
      <c r="E1437" s="167" t="str">
        <f>IFERROR(VLOOKUP(A1437,작성용!A:AL,34,0),"-")</f>
        <v>-</v>
      </c>
      <c r="F1437" s="168" t="s">
        <v>2</v>
      </c>
      <c r="G1437" s="179">
        <f>COUNTIF(작성용!A:B,$A1437)-COUNTIFS(작성용!A:A,$A1437,작성용!AA:AA,"평가철회")</f>
        <v>0</v>
      </c>
    </row>
    <row r="1438" spans="1:7" ht="16.5" customHeight="1" x14ac:dyDescent="0.3">
      <c r="A1438" s="170" t="s">
        <v>2945</v>
      </c>
      <c r="B1438" s="165" t="s">
        <v>6556</v>
      </c>
      <c r="C1438" s="165" t="str">
        <f>IFERROR(VLOOKUP($A1438,작성용!A:AL,14,0),"-")</f>
        <v>-</v>
      </c>
      <c r="D1438" s="169" t="s">
        <v>6442</v>
      </c>
      <c r="E1438" s="167" t="str">
        <f>IFERROR(VLOOKUP(A1438,작성용!A:AL,34,0),"-")</f>
        <v>-</v>
      </c>
      <c r="F1438" s="168" t="s">
        <v>6304</v>
      </c>
      <c r="G1438" s="179">
        <f>COUNTIF(작성용!A:B,$A1438)-COUNTIFS(작성용!A:A,$A1438,작성용!AA:AA,"평가철회")</f>
        <v>0</v>
      </c>
    </row>
    <row r="1439" spans="1:7" ht="16.5" customHeight="1" x14ac:dyDescent="0.3">
      <c r="A1439" s="170" t="s">
        <v>2946</v>
      </c>
      <c r="B1439" s="165" t="s">
        <v>2947</v>
      </c>
      <c r="C1439" s="165" t="str">
        <f>IFERROR(VLOOKUP($A1439,작성용!A:AL,14,0),"-")</f>
        <v>-</v>
      </c>
      <c r="D1439" s="169" t="s">
        <v>220</v>
      </c>
      <c r="E1439" s="167" t="str">
        <f>IFERROR(VLOOKUP(A1439,작성용!A:AL,34,0),"-")</f>
        <v>-</v>
      </c>
      <c r="F1439" s="168" t="s">
        <v>6382</v>
      </c>
      <c r="G1439" s="179">
        <f>COUNTIF(작성용!A:B,$A1439)-COUNTIFS(작성용!A:A,$A1439,작성용!AA:AA,"평가철회")</f>
        <v>0</v>
      </c>
    </row>
    <row r="1440" spans="1:7" ht="16.5" customHeight="1" x14ac:dyDescent="0.3">
      <c r="A1440" s="170" t="s">
        <v>2948</v>
      </c>
      <c r="B1440" s="165" t="s">
        <v>2949</v>
      </c>
      <c r="C1440" s="165" t="str">
        <f>IFERROR(VLOOKUP($A1440,작성용!A:AL,14,0),"-")</f>
        <v>-</v>
      </c>
      <c r="D1440" s="169" t="s">
        <v>220</v>
      </c>
      <c r="E1440" s="167" t="str">
        <f>IFERROR(VLOOKUP(A1440,작성용!A:AL,34,0),"-")</f>
        <v>-</v>
      </c>
      <c r="F1440" s="168" t="s">
        <v>6380</v>
      </c>
      <c r="G1440" s="179">
        <f>COUNTIF(작성용!A:B,$A1440)-COUNTIFS(작성용!A:A,$A1440,작성용!AA:AA,"평가철회")</f>
        <v>0</v>
      </c>
    </row>
    <row r="1441" spans="1:7" ht="16.5" customHeight="1" x14ac:dyDescent="0.3">
      <c r="A1441" s="170" t="s">
        <v>2950</v>
      </c>
      <c r="B1441" s="165" t="s">
        <v>2951</v>
      </c>
      <c r="C1441" s="165" t="str">
        <f>IFERROR(VLOOKUP($A1441,작성용!A:AL,14,0),"-")</f>
        <v>-</v>
      </c>
      <c r="D1441" s="169" t="s">
        <v>6385</v>
      </c>
      <c r="E1441" s="167" t="str">
        <f>IFERROR(VLOOKUP(A1441,작성용!A:AL,34,0),"-")</f>
        <v>-</v>
      </c>
      <c r="F1441" s="168" t="s">
        <v>6382</v>
      </c>
      <c r="G1441" s="179">
        <f>COUNTIF(작성용!A:B,$A1441)-COUNTIFS(작성용!A:A,$A1441,작성용!AA:AA,"평가철회")</f>
        <v>0</v>
      </c>
    </row>
    <row r="1442" spans="1:7" ht="16.5" customHeight="1" x14ac:dyDescent="0.3">
      <c r="A1442" s="170" t="s">
        <v>2952</v>
      </c>
      <c r="B1442" s="165" t="s">
        <v>2953</v>
      </c>
      <c r="C1442" s="165" t="str">
        <f>IFERROR(VLOOKUP($A1442,작성용!A:AL,14,0),"-")</f>
        <v>-</v>
      </c>
      <c r="D1442" s="169" t="s">
        <v>220</v>
      </c>
      <c r="E1442" s="167" t="str">
        <f>IFERROR(VLOOKUP(A1442,작성용!A:AL,34,0),"-")</f>
        <v>-</v>
      </c>
      <c r="F1442" s="168" t="s">
        <v>6382</v>
      </c>
      <c r="G1442" s="179">
        <f>COUNTIF(작성용!A:B,$A1442)-COUNTIFS(작성용!A:A,$A1442,작성용!AA:AA,"평가철회")</f>
        <v>0</v>
      </c>
    </row>
    <row r="1443" spans="1:7" ht="16.5" customHeight="1" x14ac:dyDescent="0.3">
      <c r="A1443" s="170" t="s">
        <v>2954</v>
      </c>
      <c r="B1443" s="165" t="s">
        <v>2955</v>
      </c>
      <c r="C1443" s="165" t="str">
        <f>IFERROR(VLOOKUP($A1443,작성용!A:AL,14,0),"-")</f>
        <v>-</v>
      </c>
      <c r="D1443" s="169" t="s">
        <v>220</v>
      </c>
      <c r="E1443" s="167" t="str">
        <f>IFERROR(VLOOKUP(A1443,작성용!A:AL,34,0),"-")</f>
        <v>-</v>
      </c>
      <c r="F1443" s="168" t="s">
        <v>2</v>
      </c>
      <c r="G1443" s="179">
        <f>COUNTIF(작성용!A:B,$A1443)-COUNTIFS(작성용!A:A,$A1443,작성용!AA:AA,"평가철회")</f>
        <v>0</v>
      </c>
    </row>
    <row r="1444" spans="1:7" ht="16.5" customHeight="1" x14ac:dyDescent="0.3">
      <c r="A1444" s="170" t="s">
        <v>2956</v>
      </c>
      <c r="B1444" s="165" t="s">
        <v>2957</v>
      </c>
      <c r="C1444" s="165" t="str">
        <f>IFERROR(VLOOKUP($A1444,작성용!A:AL,14,0),"-")</f>
        <v>-</v>
      </c>
      <c r="D1444" s="169" t="s">
        <v>220</v>
      </c>
      <c r="E1444" s="167" t="str">
        <f>IFERROR(VLOOKUP(A1444,작성용!A:AL,34,0),"-")</f>
        <v>-</v>
      </c>
      <c r="F1444" s="168" t="s">
        <v>2</v>
      </c>
      <c r="G1444" s="179">
        <f>COUNTIF(작성용!A:B,$A1444)-COUNTIFS(작성용!A:A,$A1444,작성용!AA:AA,"평가철회")</f>
        <v>0</v>
      </c>
    </row>
    <row r="1445" spans="1:7" ht="16.5" customHeight="1" x14ac:dyDescent="0.3">
      <c r="A1445" s="170" t="s">
        <v>2958</v>
      </c>
      <c r="B1445" s="165" t="s">
        <v>2959</v>
      </c>
      <c r="C1445" s="165" t="str">
        <f>IFERROR(VLOOKUP($A1445,작성용!A:AL,14,0),"-")</f>
        <v>-</v>
      </c>
      <c r="D1445" s="169" t="s">
        <v>220</v>
      </c>
      <c r="E1445" s="167" t="str">
        <f>IFERROR(VLOOKUP(A1445,작성용!A:AL,34,0),"-")</f>
        <v>-</v>
      </c>
      <c r="F1445" s="168" t="s">
        <v>6382</v>
      </c>
      <c r="G1445" s="179">
        <f>COUNTIF(작성용!A:B,$A1445)-COUNTIFS(작성용!A:A,$A1445,작성용!AA:AA,"평가철회")</f>
        <v>0</v>
      </c>
    </row>
    <row r="1446" spans="1:7" ht="16.5" customHeight="1" x14ac:dyDescent="0.3">
      <c r="A1446" s="170" t="s">
        <v>2960</v>
      </c>
      <c r="B1446" s="165" t="s">
        <v>2961</v>
      </c>
      <c r="C1446" s="165" t="str">
        <f>IFERROR(VLOOKUP($A1446,작성용!A:AL,14,0),"-")</f>
        <v>-</v>
      </c>
      <c r="D1446" s="169" t="s">
        <v>220</v>
      </c>
      <c r="E1446" s="167" t="str">
        <f>IFERROR(VLOOKUP(A1446,작성용!A:AL,34,0),"-")</f>
        <v>-</v>
      </c>
      <c r="F1446" s="168" t="s">
        <v>2</v>
      </c>
      <c r="G1446" s="179">
        <f>COUNTIF(작성용!A:B,$A1446)-COUNTIFS(작성용!A:A,$A1446,작성용!AA:AA,"평가철회")</f>
        <v>0</v>
      </c>
    </row>
    <row r="1447" spans="1:7" ht="16.5" customHeight="1" x14ac:dyDescent="0.3">
      <c r="A1447" s="170" t="s">
        <v>2962</v>
      </c>
      <c r="B1447" s="165" t="s">
        <v>2963</v>
      </c>
      <c r="C1447" s="165" t="str">
        <f>IFERROR(VLOOKUP($A1447,작성용!A:AL,14,0),"-")</f>
        <v>-</v>
      </c>
      <c r="D1447" s="169" t="s">
        <v>220</v>
      </c>
      <c r="E1447" s="167" t="str">
        <f>IFERROR(VLOOKUP(A1447,작성용!A:AL,34,0),"-")</f>
        <v>-</v>
      </c>
      <c r="F1447" s="168" t="s">
        <v>6382</v>
      </c>
      <c r="G1447" s="179">
        <f>COUNTIF(작성용!A:B,$A1447)-COUNTIFS(작성용!A:A,$A1447,작성용!AA:AA,"평가철회")</f>
        <v>0</v>
      </c>
    </row>
    <row r="1448" spans="1:7" ht="16.5" customHeight="1" x14ac:dyDescent="0.3">
      <c r="A1448" s="170" t="s">
        <v>2964</v>
      </c>
      <c r="B1448" s="165" t="s">
        <v>2965</v>
      </c>
      <c r="C1448" s="165" t="str">
        <f>IFERROR(VLOOKUP($A1448,작성용!A:AL,14,0),"-")</f>
        <v>-</v>
      </c>
      <c r="D1448" s="169" t="s">
        <v>220</v>
      </c>
      <c r="E1448" s="167" t="str">
        <f>IFERROR(VLOOKUP(A1448,작성용!A:AL,34,0),"-")</f>
        <v>-</v>
      </c>
      <c r="F1448" s="168" t="s">
        <v>2</v>
      </c>
      <c r="G1448" s="179">
        <f>COUNTIF(작성용!A:B,$A1448)-COUNTIFS(작성용!A:A,$A1448,작성용!AA:AA,"평가철회")</f>
        <v>0</v>
      </c>
    </row>
    <row r="1449" spans="1:7" ht="16.5" customHeight="1" x14ac:dyDescent="0.3">
      <c r="A1449" s="170" t="s">
        <v>2966</v>
      </c>
      <c r="B1449" s="165" t="s">
        <v>2967</v>
      </c>
      <c r="C1449" s="165" t="str">
        <f>IFERROR(VLOOKUP($A1449,작성용!A:AL,14,0),"-")</f>
        <v>-</v>
      </c>
      <c r="D1449" s="169" t="s">
        <v>220</v>
      </c>
      <c r="E1449" s="167" t="str">
        <f>IFERROR(VLOOKUP(A1449,작성용!A:AL,34,0),"-")</f>
        <v>-</v>
      </c>
      <c r="F1449" s="168" t="s">
        <v>2</v>
      </c>
      <c r="G1449" s="179">
        <f>COUNTIF(작성용!A:B,$A1449)-COUNTIFS(작성용!A:A,$A1449,작성용!AA:AA,"평가철회")</f>
        <v>0</v>
      </c>
    </row>
    <row r="1450" spans="1:7" ht="16.5" customHeight="1" x14ac:dyDescent="0.3">
      <c r="A1450" s="170" t="s">
        <v>2968</v>
      </c>
      <c r="B1450" s="165" t="s">
        <v>6557</v>
      </c>
      <c r="C1450" s="165" t="str">
        <f>IFERROR(VLOOKUP($A1450,작성용!A:AL,14,0),"-")</f>
        <v>-</v>
      </c>
      <c r="D1450" s="169" t="s">
        <v>6489</v>
      </c>
      <c r="E1450" s="167" t="str">
        <f>IFERROR(VLOOKUP(A1450,작성용!A:AL,34,0),"-")</f>
        <v>-</v>
      </c>
      <c r="F1450" s="168" t="s">
        <v>6382</v>
      </c>
      <c r="G1450" s="179">
        <f>COUNTIF(작성용!A:B,$A1450)-COUNTIFS(작성용!A:A,$A1450,작성용!AA:AA,"평가철회")</f>
        <v>0</v>
      </c>
    </row>
    <row r="1451" spans="1:7" ht="16.5" customHeight="1" x14ac:dyDescent="0.3">
      <c r="A1451" s="170" t="s">
        <v>2969</v>
      </c>
      <c r="B1451" s="165" t="s">
        <v>2970</v>
      </c>
      <c r="C1451" s="165" t="str">
        <f>IFERROR(VLOOKUP($A1451,작성용!A:AL,14,0),"-")</f>
        <v>-</v>
      </c>
      <c r="D1451" s="169" t="s">
        <v>6478</v>
      </c>
      <c r="E1451" s="167" t="str">
        <f>IFERROR(VLOOKUP(A1451,작성용!A:AL,34,0),"-")</f>
        <v>-</v>
      </c>
      <c r="F1451" s="168" t="s">
        <v>6382</v>
      </c>
      <c r="G1451" s="179">
        <f>COUNTIF(작성용!A:B,$A1451)-COUNTIFS(작성용!A:A,$A1451,작성용!AA:AA,"평가철회")</f>
        <v>0</v>
      </c>
    </row>
    <row r="1452" spans="1:7" ht="16.5" customHeight="1" x14ac:dyDescent="0.3">
      <c r="A1452" s="170" t="s">
        <v>2971</v>
      </c>
      <c r="B1452" s="165" t="s">
        <v>2972</v>
      </c>
      <c r="C1452" s="165" t="str">
        <f>IFERROR(VLOOKUP($A1452,작성용!A:AL,14,0),"-")</f>
        <v>-</v>
      </c>
      <c r="D1452" s="169" t="s">
        <v>220</v>
      </c>
      <c r="E1452" s="167" t="str">
        <f>IFERROR(VLOOKUP(A1452,작성용!A:AL,34,0),"-")</f>
        <v>-</v>
      </c>
      <c r="F1452" s="168" t="s">
        <v>2</v>
      </c>
      <c r="G1452" s="179">
        <f>COUNTIF(작성용!A:B,$A1452)-COUNTIFS(작성용!A:A,$A1452,작성용!AA:AA,"평가철회")</f>
        <v>0</v>
      </c>
    </row>
    <row r="1453" spans="1:7" ht="16.5" customHeight="1" x14ac:dyDescent="0.3">
      <c r="A1453" s="170" t="s">
        <v>2973</v>
      </c>
      <c r="B1453" s="165" t="s">
        <v>2974</v>
      </c>
      <c r="C1453" s="165" t="str">
        <f>IFERROR(VLOOKUP($A1453,작성용!A:AL,14,0),"-")</f>
        <v>-</v>
      </c>
      <c r="D1453" s="169" t="s">
        <v>220</v>
      </c>
      <c r="E1453" s="167" t="str">
        <f>IFERROR(VLOOKUP(A1453,작성용!A:AL,34,0),"-")</f>
        <v>-</v>
      </c>
      <c r="F1453" s="168" t="s">
        <v>6380</v>
      </c>
      <c r="G1453" s="179">
        <f>COUNTIF(작성용!A:B,$A1453)-COUNTIFS(작성용!A:A,$A1453,작성용!AA:AA,"평가철회")</f>
        <v>0</v>
      </c>
    </row>
    <row r="1454" spans="1:7" ht="16.5" customHeight="1" x14ac:dyDescent="0.3">
      <c r="A1454" s="170" t="s">
        <v>2975</v>
      </c>
      <c r="B1454" s="165" t="s">
        <v>2976</v>
      </c>
      <c r="C1454" s="165" t="str">
        <f>IFERROR(VLOOKUP($A1454,작성용!A:AL,14,0),"-")</f>
        <v>-</v>
      </c>
      <c r="D1454" s="169" t="s">
        <v>71</v>
      </c>
      <c r="E1454" s="167" t="str">
        <f>IFERROR(VLOOKUP(A1454,작성용!A:AL,34,0),"-")</f>
        <v>-</v>
      </c>
      <c r="F1454" s="168" t="s">
        <v>2</v>
      </c>
      <c r="G1454" s="179">
        <f>COUNTIF(작성용!A:B,$A1454)-COUNTIFS(작성용!A:A,$A1454,작성용!AA:AA,"평가철회")</f>
        <v>0</v>
      </c>
    </row>
    <row r="1455" spans="1:7" ht="16.5" customHeight="1" x14ac:dyDescent="0.3">
      <c r="A1455" s="170" t="s">
        <v>2977</v>
      </c>
      <c r="B1455" s="165" t="s">
        <v>2978</v>
      </c>
      <c r="C1455" s="165" t="str">
        <f>IFERROR(VLOOKUP($A1455,작성용!A:AL,14,0),"-")</f>
        <v>-</v>
      </c>
      <c r="D1455" s="169" t="s">
        <v>220</v>
      </c>
      <c r="E1455" s="167" t="str">
        <f>IFERROR(VLOOKUP(A1455,작성용!A:AL,34,0),"-")</f>
        <v>-</v>
      </c>
      <c r="F1455" s="168" t="s">
        <v>2</v>
      </c>
      <c r="G1455" s="179">
        <f>COUNTIF(작성용!A:B,$A1455)-COUNTIFS(작성용!A:A,$A1455,작성용!AA:AA,"평가철회")</f>
        <v>0</v>
      </c>
    </row>
    <row r="1456" spans="1:7" ht="16.5" customHeight="1" x14ac:dyDescent="0.3">
      <c r="A1456" s="170" t="s">
        <v>2979</v>
      </c>
      <c r="B1456" s="165" t="s">
        <v>2980</v>
      </c>
      <c r="C1456" s="165" t="str">
        <f>IFERROR(VLOOKUP($A1456,작성용!A:AL,14,0),"-")</f>
        <v>-</v>
      </c>
      <c r="D1456" s="169" t="s">
        <v>220</v>
      </c>
      <c r="E1456" s="167" t="str">
        <f>IFERROR(VLOOKUP(A1456,작성용!A:AL,34,0),"-")</f>
        <v>-</v>
      </c>
      <c r="F1456" s="168" t="s">
        <v>2</v>
      </c>
      <c r="G1456" s="179">
        <f>COUNTIF(작성용!A:B,$A1456)-COUNTIFS(작성용!A:A,$A1456,작성용!AA:AA,"평가철회")</f>
        <v>0</v>
      </c>
    </row>
    <row r="1457" spans="1:7" ht="16.5" customHeight="1" x14ac:dyDescent="0.3">
      <c r="A1457" s="170" t="s">
        <v>2981</v>
      </c>
      <c r="B1457" s="165" t="s">
        <v>2982</v>
      </c>
      <c r="C1457" s="165" t="str">
        <f>IFERROR(VLOOKUP($A1457,작성용!A:AL,14,0),"-")</f>
        <v>-</v>
      </c>
      <c r="D1457" s="169" t="s">
        <v>247</v>
      </c>
      <c r="E1457" s="167" t="str">
        <f>IFERROR(VLOOKUP(A1457,작성용!A:AL,34,0),"-")</f>
        <v>-</v>
      </c>
      <c r="F1457" s="168" t="s">
        <v>2</v>
      </c>
      <c r="G1457" s="179">
        <f>COUNTIF(작성용!A:B,$A1457)-COUNTIFS(작성용!A:A,$A1457,작성용!AA:AA,"평가철회")</f>
        <v>0</v>
      </c>
    </row>
    <row r="1458" spans="1:7" ht="16.5" customHeight="1" x14ac:dyDescent="0.3">
      <c r="A1458" s="170" t="s">
        <v>2983</v>
      </c>
      <c r="B1458" s="165" t="s">
        <v>2984</v>
      </c>
      <c r="C1458" s="165" t="str">
        <f>IFERROR(VLOOKUP($A1458,작성용!A:AL,14,0),"-")</f>
        <v>-</v>
      </c>
      <c r="D1458" s="169" t="s">
        <v>6440</v>
      </c>
      <c r="E1458" s="167" t="str">
        <f>IFERROR(VLOOKUP(A1458,작성용!A:AL,34,0),"-")</f>
        <v>-</v>
      </c>
      <c r="F1458" s="168" t="s">
        <v>6378</v>
      </c>
      <c r="G1458" s="179">
        <f>COUNTIF(작성용!A:B,$A1458)-COUNTIFS(작성용!A:A,$A1458,작성용!AA:AA,"평가철회")</f>
        <v>0</v>
      </c>
    </row>
    <row r="1459" spans="1:7" ht="16.5" customHeight="1" x14ac:dyDescent="0.3">
      <c r="A1459" s="170" t="s">
        <v>2985</v>
      </c>
      <c r="B1459" s="165" t="s">
        <v>2986</v>
      </c>
      <c r="C1459" s="165" t="str">
        <f>IFERROR(VLOOKUP($A1459,작성용!A:AL,14,0),"-")</f>
        <v>-</v>
      </c>
      <c r="D1459" s="169" t="s">
        <v>72</v>
      </c>
      <c r="E1459" s="167" t="str">
        <f>IFERROR(VLOOKUP(A1459,작성용!A:AL,34,0),"-")</f>
        <v>-</v>
      </c>
      <c r="F1459" s="168" t="s">
        <v>2</v>
      </c>
      <c r="G1459" s="179">
        <f>COUNTIF(작성용!A:B,$A1459)-COUNTIFS(작성용!A:A,$A1459,작성용!AA:AA,"평가철회")</f>
        <v>0</v>
      </c>
    </row>
    <row r="1460" spans="1:7" ht="16.5" customHeight="1" x14ac:dyDescent="0.3">
      <c r="A1460" s="170" t="s">
        <v>2987</v>
      </c>
      <c r="B1460" s="165" t="s">
        <v>2988</v>
      </c>
      <c r="C1460" s="165" t="str">
        <f>IFERROR(VLOOKUP($A1460,작성용!A:AL,14,0),"-")</f>
        <v>-</v>
      </c>
      <c r="D1460" s="169" t="s">
        <v>6558</v>
      </c>
      <c r="E1460" s="167" t="str">
        <f>IFERROR(VLOOKUP(A1460,작성용!A:AL,34,0),"-")</f>
        <v>-</v>
      </c>
      <c r="F1460" s="168" t="s">
        <v>6378</v>
      </c>
      <c r="G1460" s="179">
        <f>COUNTIF(작성용!A:B,$A1460)-COUNTIFS(작성용!A:A,$A1460,작성용!AA:AA,"평가철회")</f>
        <v>0</v>
      </c>
    </row>
    <row r="1461" spans="1:7" ht="16.5" customHeight="1" x14ac:dyDescent="0.3">
      <c r="A1461" s="170" t="s">
        <v>2989</v>
      </c>
      <c r="B1461" s="165" t="s">
        <v>2990</v>
      </c>
      <c r="C1461" s="165" t="str">
        <f>IFERROR(VLOOKUP($A1461,작성용!A:AL,14,0),"-")</f>
        <v>-</v>
      </c>
      <c r="D1461" s="169" t="s">
        <v>6467</v>
      </c>
      <c r="E1461" s="167" t="str">
        <f>IFERROR(VLOOKUP(A1461,작성용!A:AL,34,0),"-")</f>
        <v>-</v>
      </c>
      <c r="F1461" s="168" t="s">
        <v>6378</v>
      </c>
      <c r="G1461" s="179">
        <f>COUNTIF(작성용!A:B,$A1461)-COUNTIFS(작성용!A:A,$A1461,작성용!AA:AA,"평가철회")</f>
        <v>0</v>
      </c>
    </row>
    <row r="1462" spans="1:7" ht="16.5" customHeight="1" x14ac:dyDescent="0.3">
      <c r="A1462" s="170" t="s">
        <v>2991</v>
      </c>
      <c r="B1462" s="165" t="s">
        <v>2992</v>
      </c>
      <c r="C1462" s="165" t="str">
        <f>IFERROR(VLOOKUP($A1462,작성용!A:AL,14,0),"-")</f>
        <v>-</v>
      </c>
      <c r="D1462" s="169" t="s">
        <v>656</v>
      </c>
      <c r="E1462" s="167" t="str">
        <f>IFERROR(VLOOKUP(A1462,작성용!A:AL,34,0),"-")</f>
        <v>-</v>
      </c>
      <c r="F1462" s="168" t="s">
        <v>2</v>
      </c>
      <c r="G1462" s="179">
        <f>COUNTIF(작성용!A:B,$A1462)-COUNTIFS(작성용!A:A,$A1462,작성용!AA:AA,"평가철회")</f>
        <v>0</v>
      </c>
    </row>
    <row r="1463" spans="1:7" ht="16.5" customHeight="1" x14ac:dyDescent="0.3">
      <c r="A1463" s="170" t="s">
        <v>2993</v>
      </c>
      <c r="B1463" s="165" t="s">
        <v>2994</v>
      </c>
      <c r="C1463" s="165" t="str">
        <f>IFERROR(VLOOKUP($A1463,작성용!A:AL,14,0),"-")</f>
        <v>-</v>
      </c>
      <c r="D1463" s="169" t="s">
        <v>1976</v>
      </c>
      <c r="E1463" s="167" t="str">
        <f>IFERROR(VLOOKUP(A1463,작성용!A:AL,34,0),"-")</f>
        <v>-</v>
      </c>
      <c r="F1463" s="168" t="s">
        <v>6382</v>
      </c>
      <c r="G1463" s="179">
        <f>COUNTIF(작성용!A:B,$A1463)-COUNTIFS(작성용!A:A,$A1463,작성용!AA:AA,"평가철회")</f>
        <v>0</v>
      </c>
    </row>
    <row r="1464" spans="1:7" ht="16.5" customHeight="1" x14ac:dyDescent="0.3">
      <c r="A1464" s="170" t="s">
        <v>2995</v>
      </c>
      <c r="B1464" s="165" t="s">
        <v>2996</v>
      </c>
      <c r="C1464" s="165" t="str">
        <f>IFERROR(VLOOKUP($A1464,작성용!A:AL,14,0),"-")</f>
        <v>-</v>
      </c>
      <c r="D1464" s="169" t="s">
        <v>220</v>
      </c>
      <c r="E1464" s="167" t="str">
        <f>IFERROR(VLOOKUP(A1464,작성용!A:AL,34,0),"-")</f>
        <v>-</v>
      </c>
      <c r="F1464" s="168" t="s">
        <v>2</v>
      </c>
      <c r="G1464" s="179">
        <f>COUNTIF(작성용!A:B,$A1464)-COUNTIFS(작성용!A:A,$A1464,작성용!AA:AA,"평가철회")</f>
        <v>0</v>
      </c>
    </row>
    <row r="1465" spans="1:7" ht="16.5" customHeight="1" x14ac:dyDescent="0.3">
      <c r="A1465" s="170" t="s">
        <v>2997</v>
      </c>
      <c r="B1465" s="165" t="s">
        <v>2998</v>
      </c>
      <c r="C1465" s="165" t="str">
        <f>IFERROR(VLOOKUP($A1465,작성용!A:AL,14,0),"-")</f>
        <v>-</v>
      </c>
      <c r="D1465" s="169" t="s">
        <v>6438</v>
      </c>
      <c r="E1465" s="167" t="str">
        <f>IFERROR(VLOOKUP(A1465,작성용!A:AL,34,0),"-")</f>
        <v>-</v>
      </c>
      <c r="F1465" s="168" t="s">
        <v>6382</v>
      </c>
      <c r="G1465" s="179">
        <f>COUNTIF(작성용!A:B,$A1465)-COUNTIFS(작성용!A:A,$A1465,작성용!AA:AA,"평가철회")</f>
        <v>0</v>
      </c>
    </row>
    <row r="1466" spans="1:7" ht="16.5" customHeight="1" x14ac:dyDescent="0.3">
      <c r="A1466" s="170" t="s">
        <v>2999</v>
      </c>
      <c r="B1466" s="165" t="s">
        <v>3000</v>
      </c>
      <c r="C1466" s="165" t="str">
        <f>IFERROR(VLOOKUP($A1466,작성용!A:AL,14,0),"-")</f>
        <v>-</v>
      </c>
      <c r="D1466" s="169" t="s">
        <v>6438</v>
      </c>
      <c r="E1466" s="167" t="str">
        <f>IFERROR(VLOOKUP(A1466,작성용!A:AL,34,0),"-")</f>
        <v>-</v>
      </c>
      <c r="F1466" s="168" t="s">
        <v>6382</v>
      </c>
      <c r="G1466" s="179">
        <f>COUNTIF(작성용!A:B,$A1466)-COUNTIFS(작성용!A:A,$A1466,작성용!AA:AA,"평가철회")</f>
        <v>0</v>
      </c>
    </row>
    <row r="1467" spans="1:7" ht="16.5" customHeight="1" x14ac:dyDescent="0.3">
      <c r="A1467" s="170" t="s">
        <v>3001</v>
      </c>
      <c r="B1467" s="165" t="s">
        <v>3002</v>
      </c>
      <c r="C1467" s="165" t="str">
        <f>IFERROR(VLOOKUP($A1467,작성용!A:AL,14,0),"-")</f>
        <v>-</v>
      </c>
      <c r="D1467" s="169" t="s">
        <v>273</v>
      </c>
      <c r="E1467" s="167" t="str">
        <f>IFERROR(VLOOKUP(A1467,작성용!A:AL,34,0),"-")</f>
        <v>-</v>
      </c>
      <c r="F1467" s="168" t="s">
        <v>2</v>
      </c>
      <c r="G1467" s="179">
        <f>COUNTIF(작성용!A:B,$A1467)-COUNTIFS(작성용!A:A,$A1467,작성용!AA:AA,"평가철회")</f>
        <v>0</v>
      </c>
    </row>
    <row r="1468" spans="1:7" ht="16.5" customHeight="1" x14ac:dyDescent="0.3">
      <c r="A1468" s="170" t="s">
        <v>3003</v>
      </c>
      <c r="B1468" s="165" t="s">
        <v>3004</v>
      </c>
      <c r="C1468" s="165" t="str">
        <f>IFERROR(VLOOKUP($A1468,작성용!A:AL,14,0),"-")</f>
        <v>-</v>
      </c>
      <c r="D1468" s="169" t="s">
        <v>220</v>
      </c>
      <c r="E1468" s="167" t="str">
        <f>IFERROR(VLOOKUP(A1468,작성용!A:AL,34,0),"-")</f>
        <v>-</v>
      </c>
      <c r="F1468" s="168" t="s">
        <v>2</v>
      </c>
      <c r="G1468" s="179">
        <f>COUNTIF(작성용!A:B,$A1468)-COUNTIFS(작성용!A:A,$A1468,작성용!AA:AA,"평가철회")</f>
        <v>0</v>
      </c>
    </row>
    <row r="1469" spans="1:7" ht="16.5" customHeight="1" x14ac:dyDescent="0.3">
      <c r="A1469" s="170" t="s">
        <v>3005</v>
      </c>
      <c r="B1469" s="165" t="s">
        <v>3006</v>
      </c>
      <c r="C1469" s="165" t="str">
        <f>IFERROR(VLOOKUP($A1469,작성용!A:AL,14,0),"-")</f>
        <v>-</v>
      </c>
      <c r="D1469" s="169" t="s">
        <v>1447</v>
      </c>
      <c r="E1469" s="167" t="str">
        <f>IFERROR(VLOOKUP(A1469,작성용!A:AL,34,0),"-")</f>
        <v>-</v>
      </c>
      <c r="F1469" s="168" t="s">
        <v>2</v>
      </c>
      <c r="G1469" s="179">
        <f>COUNTIF(작성용!A:B,$A1469)-COUNTIFS(작성용!A:A,$A1469,작성용!AA:AA,"평가철회")</f>
        <v>0</v>
      </c>
    </row>
    <row r="1470" spans="1:7" ht="16.5" customHeight="1" x14ac:dyDescent="0.3">
      <c r="A1470" s="170" t="s">
        <v>3007</v>
      </c>
      <c r="B1470" s="165" t="s">
        <v>3008</v>
      </c>
      <c r="C1470" s="165" t="str">
        <f>IFERROR(VLOOKUP($A1470,작성용!A:AL,14,0),"-")</f>
        <v>-</v>
      </c>
      <c r="D1470" s="169" t="s">
        <v>220</v>
      </c>
      <c r="E1470" s="167" t="str">
        <f>IFERROR(VLOOKUP(A1470,작성용!A:AL,34,0),"-")</f>
        <v>-</v>
      </c>
      <c r="F1470" s="168" t="s">
        <v>6382</v>
      </c>
      <c r="G1470" s="179">
        <f>COUNTIF(작성용!A:B,$A1470)-COUNTIFS(작성용!A:A,$A1470,작성용!AA:AA,"평가철회")</f>
        <v>0</v>
      </c>
    </row>
    <row r="1471" spans="1:7" ht="16.5" customHeight="1" x14ac:dyDescent="0.3">
      <c r="A1471" s="170" t="s">
        <v>3009</v>
      </c>
      <c r="B1471" s="165" t="s">
        <v>3010</v>
      </c>
      <c r="C1471" s="165" t="str">
        <f>IFERROR(VLOOKUP($A1471,작성용!A:AL,14,0),"-")</f>
        <v>-</v>
      </c>
      <c r="D1471" s="169" t="s">
        <v>220</v>
      </c>
      <c r="E1471" s="167" t="str">
        <f>IFERROR(VLOOKUP(A1471,작성용!A:AL,34,0),"-")</f>
        <v>-</v>
      </c>
      <c r="F1471" s="168" t="s">
        <v>2</v>
      </c>
      <c r="G1471" s="179">
        <f>COUNTIF(작성용!A:B,$A1471)-COUNTIFS(작성용!A:A,$A1471,작성용!AA:AA,"평가철회")</f>
        <v>0</v>
      </c>
    </row>
    <row r="1472" spans="1:7" ht="16.5" customHeight="1" x14ac:dyDescent="0.3">
      <c r="A1472" s="170" t="s">
        <v>3011</v>
      </c>
      <c r="B1472" s="165" t="s">
        <v>3012</v>
      </c>
      <c r="C1472" s="165" t="str">
        <f>IFERROR(VLOOKUP($A1472,작성용!A:AL,14,0),"-")</f>
        <v>-</v>
      </c>
      <c r="D1472" s="169" t="s">
        <v>220</v>
      </c>
      <c r="E1472" s="167" t="str">
        <f>IFERROR(VLOOKUP(A1472,작성용!A:AL,34,0),"-")</f>
        <v>-</v>
      </c>
      <c r="F1472" s="168" t="s">
        <v>2</v>
      </c>
      <c r="G1472" s="179">
        <f>COUNTIF(작성용!A:B,$A1472)-COUNTIFS(작성용!A:A,$A1472,작성용!AA:AA,"평가철회")</f>
        <v>0</v>
      </c>
    </row>
    <row r="1473" spans="1:7" ht="16.5" customHeight="1" x14ac:dyDescent="0.3">
      <c r="A1473" s="170" t="s">
        <v>3013</v>
      </c>
      <c r="B1473" s="165" t="s">
        <v>3014</v>
      </c>
      <c r="C1473" s="165" t="str">
        <f>IFERROR(VLOOKUP($A1473,작성용!A:AL,14,0),"-")</f>
        <v>-</v>
      </c>
      <c r="D1473" s="169" t="s">
        <v>336</v>
      </c>
      <c r="E1473" s="167" t="str">
        <f>IFERROR(VLOOKUP(A1473,작성용!A:AL,34,0),"-")</f>
        <v>-</v>
      </c>
      <c r="F1473" s="168" t="s">
        <v>2</v>
      </c>
      <c r="G1473" s="179">
        <f>COUNTIF(작성용!A:B,$A1473)-COUNTIFS(작성용!A:A,$A1473,작성용!AA:AA,"평가철회")</f>
        <v>0</v>
      </c>
    </row>
    <row r="1474" spans="1:7" ht="16.5" customHeight="1" x14ac:dyDescent="0.3">
      <c r="A1474" s="170" t="s">
        <v>3015</v>
      </c>
      <c r="B1474" s="165" t="s">
        <v>3016</v>
      </c>
      <c r="C1474" s="165" t="str">
        <f>IFERROR(VLOOKUP($A1474,작성용!A:AL,14,0),"-")</f>
        <v>-</v>
      </c>
      <c r="D1474" s="169" t="s">
        <v>74</v>
      </c>
      <c r="E1474" s="167" t="str">
        <f>IFERROR(VLOOKUP(A1474,작성용!A:AL,34,0),"-")</f>
        <v>-</v>
      </c>
      <c r="F1474" s="168" t="s">
        <v>2</v>
      </c>
      <c r="G1474" s="179">
        <f>COUNTIF(작성용!A:B,$A1474)-COUNTIFS(작성용!A:A,$A1474,작성용!AA:AA,"평가철회")</f>
        <v>0</v>
      </c>
    </row>
    <row r="1475" spans="1:7" ht="16.5" customHeight="1" x14ac:dyDescent="0.3">
      <c r="A1475" s="170" t="s">
        <v>3017</v>
      </c>
      <c r="B1475" s="165" t="s">
        <v>3018</v>
      </c>
      <c r="C1475" s="165" t="str">
        <f>IFERROR(VLOOKUP($A1475,작성용!A:AL,14,0),"-")</f>
        <v>-</v>
      </c>
      <c r="D1475" s="169" t="s">
        <v>220</v>
      </c>
      <c r="E1475" s="167" t="str">
        <f>IFERROR(VLOOKUP(A1475,작성용!A:AL,34,0),"-")</f>
        <v>-</v>
      </c>
      <c r="F1475" s="168" t="s">
        <v>6378</v>
      </c>
      <c r="G1475" s="179">
        <f>COUNTIF(작성용!A:B,$A1475)-COUNTIFS(작성용!A:A,$A1475,작성용!AA:AA,"평가철회")</f>
        <v>0</v>
      </c>
    </row>
    <row r="1476" spans="1:7" ht="16.5" customHeight="1" x14ac:dyDescent="0.3">
      <c r="A1476" s="170" t="s">
        <v>3019</v>
      </c>
      <c r="B1476" s="165" t="s">
        <v>3020</v>
      </c>
      <c r="C1476" s="165" t="str">
        <f>IFERROR(VLOOKUP($A1476,작성용!A:AL,14,0),"-")</f>
        <v>-</v>
      </c>
      <c r="D1476" s="169" t="s">
        <v>220</v>
      </c>
      <c r="E1476" s="167" t="str">
        <f>IFERROR(VLOOKUP(A1476,작성용!A:AL,34,0),"-")</f>
        <v>-</v>
      </c>
      <c r="F1476" s="168" t="s">
        <v>6378</v>
      </c>
      <c r="G1476" s="179">
        <f>COUNTIF(작성용!A:B,$A1476)-COUNTIFS(작성용!A:A,$A1476,작성용!AA:AA,"평가철회")</f>
        <v>0</v>
      </c>
    </row>
    <row r="1477" spans="1:7" ht="16.5" customHeight="1" x14ac:dyDescent="0.3">
      <c r="A1477" s="170" t="s">
        <v>3021</v>
      </c>
      <c r="B1477" s="165" t="s">
        <v>3022</v>
      </c>
      <c r="C1477" s="165" t="str">
        <f>IFERROR(VLOOKUP($A1477,작성용!A:AL,14,0),"-")</f>
        <v>-</v>
      </c>
      <c r="D1477" s="169" t="s">
        <v>6479</v>
      </c>
      <c r="E1477" s="167" t="str">
        <f>IFERROR(VLOOKUP(A1477,작성용!A:AL,34,0),"-")</f>
        <v>-</v>
      </c>
      <c r="F1477" s="168" t="s">
        <v>6381</v>
      </c>
      <c r="G1477" s="179">
        <f>COUNTIF(작성용!A:B,$A1477)-COUNTIFS(작성용!A:A,$A1477,작성용!AA:AA,"평가철회")</f>
        <v>0</v>
      </c>
    </row>
    <row r="1478" spans="1:7" ht="16.5" customHeight="1" x14ac:dyDescent="0.3">
      <c r="A1478" s="170" t="s">
        <v>3023</v>
      </c>
      <c r="B1478" s="165" t="s">
        <v>3024</v>
      </c>
      <c r="C1478" s="165" t="str">
        <f>IFERROR(VLOOKUP($A1478,작성용!A:AL,14,0),"-")</f>
        <v>-</v>
      </c>
      <c r="D1478" s="169" t="s">
        <v>220</v>
      </c>
      <c r="E1478" s="167" t="str">
        <f>IFERROR(VLOOKUP(A1478,작성용!A:AL,34,0),"-")</f>
        <v>-</v>
      </c>
      <c r="F1478" s="168" t="s">
        <v>2</v>
      </c>
      <c r="G1478" s="179">
        <f>COUNTIF(작성용!A:B,$A1478)-COUNTIFS(작성용!A:A,$A1478,작성용!AA:AA,"평가철회")</f>
        <v>0</v>
      </c>
    </row>
    <row r="1479" spans="1:7" ht="16.5" customHeight="1" x14ac:dyDescent="0.3">
      <c r="A1479" s="170" t="s">
        <v>3025</v>
      </c>
      <c r="B1479" s="165" t="s">
        <v>3026</v>
      </c>
      <c r="C1479" s="165" t="str">
        <f>IFERROR(VLOOKUP($A1479,작성용!A:AL,14,0),"-")</f>
        <v>-</v>
      </c>
      <c r="D1479" s="169" t="s">
        <v>220</v>
      </c>
      <c r="E1479" s="167" t="str">
        <f>IFERROR(VLOOKUP(A1479,작성용!A:AL,34,0),"-")</f>
        <v>-</v>
      </c>
      <c r="F1479" s="168" t="s">
        <v>2</v>
      </c>
      <c r="G1479" s="179">
        <f>COUNTIF(작성용!A:B,$A1479)-COUNTIFS(작성용!A:A,$A1479,작성용!AA:AA,"평가철회")</f>
        <v>0</v>
      </c>
    </row>
    <row r="1480" spans="1:7" ht="16.5" customHeight="1" x14ac:dyDescent="0.3">
      <c r="A1480" s="170" t="s">
        <v>3027</v>
      </c>
      <c r="B1480" s="165" t="s">
        <v>3028</v>
      </c>
      <c r="C1480" s="165" t="str">
        <f>IFERROR(VLOOKUP($A1480,작성용!A:AL,14,0),"-")</f>
        <v>-</v>
      </c>
      <c r="D1480" s="169" t="s">
        <v>6377</v>
      </c>
      <c r="E1480" s="167" t="str">
        <f>IFERROR(VLOOKUP(A1480,작성용!A:AL,34,0),"-")</f>
        <v>-</v>
      </c>
      <c r="F1480" s="168" t="s">
        <v>6378</v>
      </c>
      <c r="G1480" s="179">
        <f>COUNTIF(작성용!A:B,$A1480)-COUNTIFS(작성용!A:A,$A1480,작성용!AA:AA,"평가철회")</f>
        <v>0</v>
      </c>
    </row>
    <row r="1481" spans="1:7" ht="16.5" customHeight="1" x14ac:dyDescent="0.3">
      <c r="A1481" s="170" t="s">
        <v>3029</v>
      </c>
      <c r="B1481" s="165" t="s">
        <v>3556</v>
      </c>
      <c r="C1481" s="165" t="str">
        <f>IFERROR(VLOOKUP($A1481,작성용!A:AL,14,0),"-")</f>
        <v>-</v>
      </c>
      <c r="D1481" s="169" t="s">
        <v>6479</v>
      </c>
      <c r="E1481" s="167" t="str">
        <f>IFERROR(VLOOKUP(A1481,작성용!A:AL,34,0),"-")</f>
        <v>-</v>
      </c>
      <c r="F1481" s="168" t="s">
        <v>6382</v>
      </c>
      <c r="G1481" s="179">
        <f>COUNTIF(작성용!A:B,$A1481)-COUNTIFS(작성용!A:A,$A1481,작성용!AA:AA,"평가철회")</f>
        <v>0</v>
      </c>
    </row>
    <row r="1482" spans="1:7" ht="16.5" customHeight="1" x14ac:dyDescent="0.3">
      <c r="A1482" s="170" t="s">
        <v>3030</v>
      </c>
      <c r="B1482" s="165" t="s">
        <v>6559</v>
      </c>
      <c r="C1482" s="165" t="str">
        <f>IFERROR(VLOOKUP($A1482,작성용!A:AL,14,0),"-")</f>
        <v>-</v>
      </c>
      <c r="D1482" s="169" t="s">
        <v>6479</v>
      </c>
      <c r="E1482" s="167" t="str">
        <f>IFERROR(VLOOKUP(A1482,작성용!A:AL,34,0),"-")</f>
        <v>-</v>
      </c>
      <c r="F1482" s="168" t="s">
        <v>2</v>
      </c>
      <c r="G1482" s="179">
        <f>COUNTIF(작성용!A:B,$A1482)-COUNTIFS(작성용!A:A,$A1482,작성용!AA:AA,"평가철회")</f>
        <v>0</v>
      </c>
    </row>
    <row r="1483" spans="1:7" ht="16.5" customHeight="1" x14ac:dyDescent="0.3">
      <c r="A1483" s="170" t="s">
        <v>3031</v>
      </c>
      <c r="B1483" s="165" t="s">
        <v>3032</v>
      </c>
      <c r="C1483" s="165" t="str">
        <f>IFERROR(VLOOKUP($A1483,작성용!A:AL,14,0),"-")</f>
        <v>-</v>
      </c>
      <c r="D1483" s="169" t="s">
        <v>694</v>
      </c>
      <c r="E1483" s="167" t="str">
        <f>IFERROR(VLOOKUP(A1483,작성용!A:AL,34,0),"-")</f>
        <v>-</v>
      </c>
      <c r="F1483" s="168" t="s">
        <v>2</v>
      </c>
      <c r="G1483" s="179">
        <f>COUNTIF(작성용!A:B,$A1483)-COUNTIFS(작성용!A:A,$A1483,작성용!AA:AA,"평가철회")</f>
        <v>0</v>
      </c>
    </row>
    <row r="1484" spans="1:7" ht="16.5" customHeight="1" x14ac:dyDescent="0.3">
      <c r="A1484" s="170" t="s">
        <v>3033</v>
      </c>
      <c r="B1484" s="165" t="s">
        <v>3034</v>
      </c>
      <c r="C1484" s="165" t="str">
        <f>IFERROR(VLOOKUP($A1484,작성용!A:AL,14,0),"-")</f>
        <v>-</v>
      </c>
      <c r="D1484" s="169" t="s">
        <v>6444</v>
      </c>
      <c r="E1484" s="167" t="str">
        <f>IFERROR(VLOOKUP(A1484,작성용!A:AL,34,0),"-")</f>
        <v>-</v>
      </c>
      <c r="F1484" s="168" t="s">
        <v>6382</v>
      </c>
      <c r="G1484" s="179">
        <f>COUNTIF(작성용!A:B,$A1484)-COUNTIFS(작성용!A:A,$A1484,작성용!AA:AA,"평가철회")</f>
        <v>0</v>
      </c>
    </row>
    <row r="1485" spans="1:7" ht="16.5" customHeight="1" x14ac:dyDescent="0.3">
      <c r="A1485" s="170" t="s">
        <v>3035</v>
      </c>
      <c r="B1485" s="165" t="s">
        <v>3036</v>
      </c>
      <c r="C1485" s="165" t="str">
        <f>IFERROR(VLOOKUP($A1485,작성용!A:AL,14,0),"-")</f>
        <v>-</v>
      </c>
      <c r="D1485" s="169" t="s">
        <v>220</v>
      </c>
      <c r="E1485" s="167" t="str">
        <f>IFERROR(VLOOKUP(A1485,작성용!A:AL,34,0),"-")</f>
        <v>-</v>
      </c>
      <c r="F1485" s="168" t="s">
        <v>6382</v>
      </c>
      <c r="G1485" s="179">
        <f>COUNTIF(작성용!A:B,$A1485)-COUNTIFS(작성용!A:A,$A1485,작성용!AA:AA,"평가철회")</f>
        <v>0</v>
      </c>
    </row>
    <row r="1486" spans="1:7" x14ac:dyDescent="0.3">
      <c r="A1486" s="170" t="s">
        <v>3037</v>
      </c>
      <c r="B1486" s="165" t="s">
        <v>2928</v>
      </c>
      <c r="C1486" s="165" t="str">
        <f>IFERROR(VLOOKUP($A1486,작성용!A:AL,14,0),"-")</f>
        <v>-</v>
      </c>
      <c r="D1486" s="169" t="s">
        <v>6489</v>
      </c>
      <c r="E1486" s="167" t="str">
        <f>IFERROR(VLOOKUP(A1486,작성용!A:AL,34,0),"-")</f>
        <v>-</v>
      </c>
      <c r="F1486" s="168" t="s">
        <v>6381</v>
      </c>
      <c r="G1486" s="179">
        <f>COUNTIF(작성용!A:B,$A1486)-COUNTIFS(작성용!A:A,$A1486,작성용!AA:AA,"평가철회")</f>
        <v>0</v>
      </c>
    </row>
    <row r="1487" spans="1:7" ht="16.5" customHeight="1" x14ac:dyDescent="0.3">
      <c r="A1487" s="170" t="s">
        <v>3038</v>
      </c>
      <c r="B1487" s="165" t="s">
        <v>3039</v>
      </c>
      <c r="C1487" s="165" t="str">
        <f>IFERROR(VLOOKUP($A1487,작성용!A:AL,14,0),"-")</f>
        <v>-</v>
      </c>
      <c r="D1487" s="169" t="s">
        <v>220</v>
      </c>
      <c r="E1487" s="167" t="str">
        <f>IFERROR(VLOOKUP(A1487,작성용!A:AL,34,0),"-")</f>
        <v>-</v>
      </c>
      <c r="F1487" s="168" t="s">
        <v>6382</v>
      </c>
      <c r="G1487" s="179">
        <f>COUNTIF(작성용!A:B,$A1487)-COUNTIFS(작성용!A:A,$A1487,작성용!AA:AA,"평가철회")</f>
        <v>0</v>
      </c>
    </row>
    <row r="1488" spans="1:7" ht="16.5" customHeight="1" x14ac:dyDescent="0.3">
      <c r="A1488" s="170" t="s">
        <v>3040</v>
      </c>
      <c r="B1488" s="165" t="s">
        <v>6560</v>
      </c>
      <c r="C1488" s="165" t="str">
        <f>IFERROR(VLOOKUP($A1488,작성용!A:AL,14,0),"-")</f>
        <v>연말</v>
      </c>
      <c r="D1488" s="169" t="s">
        <v>6863</v>
      </c>
      <c r="E1488" s="167" t="str">
        <f>IFERROR(VLOOKUP(A1488,작성용!A:AL,34,0),"-")</f>
        <v>이상민</v>
      </c>
      <c r="F1488" s="168" t="s">
        <v>2</v>
      </c>
      <c r="G1488" s="179">
        <f>COUNTIF(작성용!A:B,$A1488)-COUNTIFS(작성용!A:A,$A1488,작성용!AA:AA,"평가철회")</f>
        <v>5</v>
      </c>
    </row>
    <row r="1489" spans="1:7" ht="16.5" customHeight="1" x14ac:dyDescent="0.3">
      <c r="A1489" s="170" t="s">
        <v>3041</v>
      </c>
      <c r="B1489" s="165" t="s">
        <v>882</v>
      </c>
      <c r="C1489" s="165" t="str">
        <f>IFERROR(VLOOKUP($A1489,작성용!A:AL,14,0),"-")</f>
        <v>-</v>
      </c>
      <c r="D1489" s="169" t="s">
        <v>6449</v>
      </c>
      <c r="E1489" s="167" t="str">
        <f>IFERROR(VLOOKUP(A1489,작성용!A:AL,34,0),"-")</f>
        <v>-</v>
      </c>
      <c r="F1489" s="168" t="s">
        <v>6381</v>
      </c>
      <c r="G1489" s="179">
        <f>COUNTIF(작성용!A:B,$A1489)-COUNTIFS(작성용!A:A,$A1489,작성용!AA:AA,"평가철회")</f>
        <v>0</v>
      </c>
    </row>
    <row r="1490" spans="1:7" ht="16.5" customHeight="1" x14ac:dyDescent="0.3">
      <c r="A1490" s="170" t="s">
        <v>3042</v>
      </c>
      <c r="B1490" s="165" t="s">
        <v>3043</v>
      </c>
      <c r="C1490" s="165" t="str">
        <f>IFERROR(VLOOKUP($A1490,작성용!A:AL,14,0),"-")</f>
        <v>-</v>
      </c>
      <c r="D1490" s="169" t="s">
        <v>220</v>
      </c>
      <c r="E1490" s="167" t="str">
        <f>IFERROR(VLOOKUP(A1490,작성용!A:AL,34,0),"-")</f>
        <v>-</v>
      </c>
      <c r="F1490" s="168" t="s">
        <v>2</v>
      </c>
      <c r="G1490" s="179">
        <f>COUNTIF(작성용!A:B,$A1490)-COUNTIFS(작성용!A:A,$A1490,작성용!AA:AA,"평가철회")</f>
        <v>0</v>
      </c>
    </row>
    <row r="1491" spans="1:7" ht="16.5" customHeight="1" x14ac:dyDescent="0.3">
      <c r="A1491" s="170" t="s">
        <v>3044</v>
      </c>
      <c r="B1491" s="165" t="s">
        <v>3045</v>
      </c>
      <c r="C1491" s="165" t="str">
        <f>IFERROR(VLOOKUP($A1491,작성용!A:AL,14,0),"-")</f>
        <v>-</v>
      </c>
      <c r="D1491" s="169" t="s">
        <v>656</v>
      </c>
      <c r="E1491" s="167" t="str">
        <f>IFERROR(VLOOKUP(A1491,작성용!A:AL,34,0),"-")</f>
        <v>-</v>
      </c>
      <c r="F1491" s="168" t="s">
        <v>2</v>
      </c>
      <c r="G1491" s="179">
        <f>COUNTIF(작성용!A:B,$A1491)-COUNTIFS(작성용!A:A,$A1491,작성용!AA:AA,"평가철회")</f>
        <v>0</v>
      </c>
    </row>
    <row r="1492" spans="1:7" ht="16.5" customHeight="1" x14ac:dyDescent="0.3">
      <c r="A1492" s="170" t="s">
        <v>3046</v>
      </c>
      <c r="B1492" s="165" t="s">
        <v>2944</v>
      </c>
      <c r="C1492" s="165" t="str">
        <f>IFERROR(VLOOKUP($A1492,작성용!A:AL,14,0),"-")</f>
        <v>-</v>
      </c>
      <c r="D1492" s="169" t="s">
        <v>498</v>
      </c>
      <c r="E1492" s="167" t="str">
        <f>IFERROR(VLOOKUP(A1492,작성용!A:AL,34,0),"-")</f>
        <v>-</v>
      </c>
      <c r="F1492" s="168" t="s">
        <v>2</v>
      </c>
      <c r="G1492" s="179">
        <f>COUNTIF(작성용!A:B,$A1492)-COUNTIFS(작성용!A:A,$A1492,작성용!AA:AA,"평가철회")</f>
        <v>0</v>
      </c>
    </row>
    <row r="1493" spans="1:7" ht="16.5" customHeight="1" x14ac:dyDescent="0.3">
      <c r="A1493" s="170" t="s">
        <v>3047</v>
      </c>
      <c r="B1493" s="165" t="s">
        <v>3048</v>
      </c>
      <c r="C1493" s="165" t="str">
        <f>IFERROR(VLOOKUP($A1493,작성용!A:AL,14,0),"-")</f>
        <v>-</v>
      </c>
      <c r="D1493" s="169" t="s">
        <v>220</v>
      </c>
      <c r="E1493" s="167" t="str">
        <f>IFERROR(VLOOKUP(A1493,작성용!A:AL,34,0),"-")</f>
        <v>-</v>
      </c>
      <c r="F1493" s="168" t="s">
        <v>2</v>
      </c>
      <c r="G1493" s="179">
        <f>COUNTIF(작성용!A:B,$A1493)-COUNTIFS(작성용!A:A,$A1493,작성용!AA:AA,"평가철회")</f>
        <v>0</v>
      </c>
    </row>
    <row r="1494" spans="1:7" ht="16.5" customHeight="1" x14ac:dyDescent="0.3">
      <c r="A1494" s="170" t="s">
        <v>3049</v>
      </c>
      <c r="B1494" s="165" t="s">
        <v>3050</v>
      </c>
      <c r="C1494" s="165" t="str">
        <f>IFERROR(VLOOKUP($A1494,작성용!A:AL,14,0),"-")</f>
        <v>-</v>
      </c>
      <c r="D1494" s="169" t="s">
        <v>220</v>
      </c>
      <c r="E1494" s="167" t="str">
        <f>IFERROR(VLOOKUP(A1494,작성용!A:AL,34,0),"-")</f>
        <v>-</v>
      </c>
      <c r="F1494" s="168" t="s">
        <v>2</v>
      </c>
      <c r="G1494" s="179">
        <f>COUNTIF(작성용!A:B,$A1494)-COUNTIFS(작성용!A:A,$A1494,작성용!AA:AA,"평가철회")</f>
        <v>0</v>
      </c>
    </row>
    <row r="1495" spans="1:7" ht="16.5" customHeight="1" x14ac:dyDescent="0.3">
      <c r="A1495" s="170" t="s">
        <v>3051</v>
      </c>
      <c r="B1495" s="165" t="s">
        <v>3052</v>
      </c>
      <c r="C1495" s="165" t="str">
        <f>IFERROR(VLOOKUP($A1495,작성용!A:AL,14,0),"-")</f>
        <v>-</v>
      </c>
      <c r="D1495" s="169" t="s">
        <v>492</v>
      </c>
      <c r="E1495" s="167" t="str">
        <f>IFERROR(VLOOKUP(A1495,작성용!A:AL,34,0),"-")</f>
        <v>-</v>
      </c>
      <c r="F1495" s="168" t="s">
        <v>6378</v>
      </c>
      <c r="G1495" s="179">
        <f>COUNTIF(작성용!A:B,$A1495)-COUNTIFS(작성용!A:A,$A1495,작성용!AA:AA,"평가철회")</f>
        <v>0</v>
      </c>
    </row>
    <row r="1496" spans="1:7" ht="16.5" customHeight="1" x14ac:dyDescent="0.3">
      <c r="A1496" s="170" t="s">
        <v>3053</v>
      </c>
      <c r="B1496" s="165" t="s">
        <v>3054</v>
      </c>
      <c r="C1496" s="165" t="str">
        <f>IFERROR(VLOOKUP($A1496,작성용!A:AL,14,0),"-")</f>
        <v>-</v>
      </c>
      <c r="D1496" s="169" t="s">
        <v>1447</v>
      </c>
      <c r="E1496" s="167" t="str">
        <f>IFERROR(VLOOKUP(A1496,작성용!A:AL,34,0),"-")</f>
        <v>-</v>
      </c>
      <c r="F1496" s="168" t="s">
        <v>2</v>
      </c>
      <c r="G1496" s="179">
        <f>COUNTIF(작성용!A:B,$A1496)-COUNTIFS(작성용!A:A,$A1496,작성용!AA:AA,"평가철회")</f>
        <v>0</v>
      </c>
    </row>
    <row r="1497" spans="1:7" ht="16.5" customHeight="1" x14ac:dyDescent="0.3">
      <c r="A1497" s="170" t="s">
        <v>3055</v>
      </c>
      <c r="B1497" s="165" t="s">
        <v>6561</v>
      </c>
      <c r="C1497" s="165" t="str">
        <f>IFERROR(VLOOKUP($A1497,작성용!A:AL,14,0),"-")</f>
        <v>-</v>
      </c>
      <c r="D1497" s="169" t="s">
        <v>6383</v>
      </c>
      <c r="E1497" s="167" t="str">
        <f>IFERROR(VLOOKUP(A1497,작성용!A:AL,34,0),"-")</f>
        <v>-</v>
      </c>
      <c r="F1497" s="168" t="s">
        <v>6378</v>
      </c>
      <c r="G1497" s="179">
        <f>COUNTIF(작성용!A:B,$A1497)-COUNTIFS(작성용!A:A,$A1497,작성용!AA:AA,"평가철회")</f>
        <v>0</v>
      </c>
    </row>
    <row r="1498" spans="1:7" ht="16.5" customHeight="1" x14ac:dyDescent="0.3">
      <c r="A1498" s="170" t="s">
        <v>3056</v>
      </c>
      <c r="B1498" s="165" t="s">
        <v>3057</v>
      </c>
      <c r="C1498" s="165" t="str">
        <f>IFERROR(VLOOKUP($A1498,작성용!A:AL,14,0),"-")</f>
        <v>-</v>
      </c>
      <c r="D1498" s="169" t="s">
        <v>3058</v>
      </c>
      <c r="E1498" s="167" t="str">
        <f>IFERROR(VLOOKUP(A1498,작성용!A:AL,34,0),"-")</f>
        <v>-</v>
      </c>
      <c r="F1498" s="168" t="s">
        <v>6380</v>
      </c>
      <c r="G1498" s="179">
        <f>COUNTIF(작성용!A:B,$A1498)-COUNTIFS(작성용!A:A,$A1498,작성용!AA:AA,"평가철회")</f>
        <v>0</v>
      </c>
    </row>
    <row r="1499" spans="1:7" ht="16.5" customHeight="1" x14ac:dyDescent="0.3">
      <c r="A1499" s="170" t="s">
        <v>3059</v>
      </c>
      <c r="B1499" s="165" t="s">
        <v>3060</v>
      </c>
      <c r="C1499" s="165" t="str">
        <f>IFERROR(VLOOKUP($A1499,작성용!A:AL,14,0),"-")</f>
        <v>-</v>
      </c>
      <c r="D1499" s="169" t="s">
        <v>492</v>
      </c>
      <c r="E1499" s="167" t="str">
        <f>IFERROR(VLOOKUP(A1499,작성용!A:AL,34,0),"-")</f>
        <v>-</v>
      </c>
      <c r="F1499" s="168" t="s">
        <v>6381</v>
      </c>
      <c r="G1499" s="179">
        <f>COUNTIF(작성용!A:B,$A1499)-COUNTIFS(작성용!A:A,$A1499,작성용!AA:AA,"평가철회")</f>
        <v>0</v>
      </c>
    </row>
    <row r="1500" spans="1:7" ht="16.5" customHeight="1" x14ac:dyDescent="0.3">
      <c r="A1500" s="170" t="s">
        <v>3061</v>
      </c>
      <c r="B1500" s="165" t="s">
        <v>3062</v>
      </c>
      <c r="C1500" s="165" t="str">
        <f>IFERROR(VLOOKUP($A1500,작성용!A:AL,14,0),"-")</f>
        <v>-</v>
      </c>
      <c r="D1500" s="169" t="s">
        <v>492</v>
      </c>
      <c r="E1500" s="167" t="str">
        <f>IFERROR(VLOOKUP(A1500,작성용!A:AL,34,0),"-")</f>
        <v>-</v>
      </c>
      <c r="F1500" s="168" t="s">
        <v>6381</v>
      </c>
      <c r="G1500" s="179">
        <f>COUNTIF(작성용!A:B,$A1500)-COUNTIFS(작성용!A:A,$A1500,작성용!AA:AA,"평가철회")</f>
        <v>0</v>
      </c>
    </row>
    <row r="1501" spans="1:7" ht="16.5" customHeight="1" x14ac:dyDescent="0.3">
      <c r="A1501" s="170" t="s">
        <v>3063</v>
      </c>
      <c r="B1501" s="165" t="s">
        <v>3064</v>
      </c>
      <c r="C1501" s="165" t="str">
        <f>IFERROR(VLOOKUP($A1501,작성용!A:AL,14,0),"-")</f>
        <v>-</v>
      </c>
      <c r="D1501" s="169" t="s">
        <v>492</v>
      </c>
      <c r="E1501" s="167" t="str">
        <f>IFERROR(VLOOKUP(A1501,작성용!A:AL,34,0),"-")</f>
        <v>-</v>
      </c>
      <c r="F1501" s="168" t="s">
        <v>6381</v>
      </c>
      <c r="G1501" s="179">
        <f>COUNTIF(작성용!A:B,$A1501)-COUNTIFS(작성용!A:A,$A1501,작성용!AA:AA,"평가철회")</f>
        <v>0</v>
      </c>
    </row>
    <row r="1502" spans="1:7" ht="16.5" customHeight="1" x14ac:dyDescent="0.3">
      <c r="A1502" s="170" t="s">
        <v>3065</v>
      </c>
      <c r="B1502" s="165" t="s">
        <v>3066</v>
      </c>
      <c r="C1502" s="165" t="str">
        <f>IFERROR(VLOOKUP($A1502,작성용!A:AL,14,0),"-")</f>
        <v>-</v>
      </c>
      <c r="D1502" s="169" t="s">
        <v>6500</v>
      </c>
      <c r="E1502" s="167" t="str">
        <f>IFERROR(VLOOKUP(A1502,작성용!A:AL,34,0),"-")</f>
        <v>-</v>
      </c>
      <c r="F1502" s="168" t="s">
        <v>6382</v>
      </c>
      <c r="G1502" s="179">
        <f>COUNTIF(작성용!A:B,$A1502)-COUNTIFS(작성용!A:A,$A1502,작성용!AA:AA,"평가철회")</f>
        <v>0</v>
      </c>
    </row>
    <row r="1503" spans="1:7" ht="16.5" customHeight="1" x14ac:dyDescent="0.3">
      <c r="A1503" s="170" t="s">
        <v>3067</v>
      </c>
      <c r="B1503" s="165" t="s">
        <v>3068</v>
      </c>
      <c r="C1503" s="165" t="str">
        <f>IFERROR(VLOOKUP($A1503,작성용!A:AL,14,0),"-")</f>
        <v>-</v>
      </c>
      <c r="D1503" s="169" t="s">
        <v>1652</v>
      </c>
      <c r="E1503" s="167" t="str">
        <f>IFERROR(VLOOKUP(A1503,작성용!A:AL,34,0),"-")</f>
        <v>-</v>
      </c>
      <c r="F1503" s="168" t="s">
        <v>2</v>
      </c>
      <c r="G1503" s="179">
        <f>COUNTIF(작성용!A:B,$A1503)-COUNTIFS(작성용!A:A,$A1503,작성용!AA:AA,"평가철회")</f>
        <v>0</v>
      </c>
    </row>
    <row r="1504" spans="1:7" ht="16.5" customHeight="1" x14ac:dyDescent="0.3">
      <c r="A1504" s="170" t="s">
        <v>3069</v>
      </c>
      <c r="B1504" s="165" t="s">
        <v>3070</v>
      </c>
      <c r="C1504" s="165" t="str">
        <f>IFERROR(VLOOKUP($A1504,작성용!A:AL,14,0),"-")</f>
        <v>반기</v>
      </c>
      <c r="D1504" s="169" t="s">
        <v>6461</v>
      </c>
      <c r="E1504" s="167" t="str">
        <f>IFERROR(VLOOKUP(A1504,작성용!A:AL,34,0),"-")</f>
        <v>윤광일</v>
      </c>
      <c r="F1504" s="168" t="s">
        <v>6380</v>
      </c>
      <c r="G1504" s="179">
        <f>COUNTIF(작성용!A:B,$A1504)-COUNTIFS(작성용!A:A,$A1504,작성용!AA:AA,"평가철회")</f>
        <v>8</v>
      </c>
    </row>
    <row r="1505" spans="1:7" ht="16.5" customHeight="1" x14ac:dyDescent="0.3">
      <c r="A1505" s="170" t="s">
        <v>3071</v>
      </c>
      <c r="B1505" s="165" t="s">
        <v>3072</v>
      </c>
      <c r="C1505" s="165" t="str">
        <f>IFERROR(VLOOKUP($A1505,작성용!A:AL,14,0),"-")</f>
        <v>-</v>
      </c>
      <c r="D1505" s="169" t="s">
        <v>220</v>
      </c>
      <c r="E1505" s="167" t="str">
        <f>IFERROR(VLOOKUP(A1505,작성용!A:AL,34,0),"-")</f>
        <v>-</v>
      </c>
      <c r="F1505" s="168" t="s">
        <v>2</v>
      </c>
      <c r="G1505" s="179">
        <f>COUNTIF(작성용!A:B,$A1505)-COUNTIFS(작성용!A:A,$A1505,작성용!AA:AA,"평가철회")</f>
        <v>0</v>
      </c>
    </row>
    <row r="1506" spans="1:7" ht="16.5" customHeight="1" x14ac:dyDescent="0.3">
      <c r="A1506" s="170" t="s">
        <v>3073</v>
      </c>
      <c r="B1506" s="165" t="s">
        <v>3074</v>
      </c>
      <c r="C1506" s="165" t="str">
        <f>IFERROR(VLOOKUP($A1506,작성용!A:AL,14,0),"-")</f>
        <v>-</v>
      </c>
      <c r="D1506" s="169" t="s">
        <v>220</v>
      </c>
      <c r="E1506" s="167" t="str">
        <f>IFERROR(VLOOKUP(A1506,작성용!A:AL,34,0),"-")</f>
        <v>-</v>
      </c>
      <c r="F1506" s="168" t="s">
        <v>2</v>
      </c>
      <c r="G1506" s="179">
        <f>COUNTIF(작성용!A:B,$A1506)-COUNTIFS(작성용!A:A,$A1506,작성용!AA:AA,"평가철회")</f>
        <v>0</v>
      </c>
    </row>
    <row r="1507" spans="1:7" ht="16.5" customHeight="1" x14ac:dyDescent="0.3">
      <c r="A1507" s="170" t="s">
        <v>3075</v>
      </c>
      <c r="B1507" s="165" t="s">
        <v>3076</v>
      </c>
      <c r="C1507" s="165" t="str">
        <f>IFERROR(VLOOKUP($A1507,작성용!A:AL,14,0),"-")</f>
        <v>-</v>
      </c>
      <c r="D1507" s="169" t="s">
        <v>492</v>
      </c>
      <c r="E1507" s="167" t="str">
        <f>IFERROR(VLOOKUP(A1507,작성용!A:AL,34,0),"-")</f>
        <v>-</v>
      </c>
      <c r="F1507" s="168" t="s">
        <v>6382</v>
      </c>
      <c r="G1507" s="179">
        <f>COUNTIF(작성용!A:B,$A1507)-COUNTIFS(작성용!A:A,$A1507,작성용!AA:AA,"평가철회")</f>
        <v>0</v>
      </c>
    </row>
    <row r="1508" spans="1:7" ht="16.5" customHeight="1" x14ac:dyDescent="0.3">
      <c r="A1508" s="170" t="s">
        <v>3077</v>
      </c>
      <c r="B1508" s="165" t="s">
        <v>874</v>
      </c>
      <c r="C1508" s="165" t="str">
        <f>IFERROR(VLOOKUP($A1508,작성용!A:AL,14,0),"-")</f>
        <v>-</v>
      </c>
      <c r="D1508" s="169" t="s">
        <v>220</v>
      </c>
      <c r="E1508" s="167" t="str">
        <f>IFERROR(VLOOKUP(A1508,작성용!A:AL,34,0),"-")</f>
        <v>-</v>
      </c>
      <c r="F1508" s="168" t="s">
        <v>2</v>
      </c>
      <c r="G1508" s="179">
        <f>COUNTIF(작성용!A:B,$A1508)-COUNTIFS(작성용!A:A,$A1508,작성용!AA:AA,"평가철회")</f>
        <v>0</v>
      </c>
    </row>
    <row r="1509" spans="1:7" ht="16.5" customHeight="1" x14ac:dyDescent="0.3">
      <c r="A1509" s="170" t="s">
        <v>3078</v>
      </c>
      <c r="B1509" s="165" t="s">
        <v>3079</v>
      </c>
      <c r="C1509" s="165" t="str">
        <f>IFERROR(VLOOKUP($A1509,작성용!A:AL,14,0),"-")</f>
        <v>-</v>
      </c>
      <c r="D1509" s="169" t="s">
        <v>6444</v>
      </c>
      <c r="E1509" s="167" t="str">
        <f>IFERROR(VLOOKUP(A1509,작성용!A:AL,34,0),"-")</f>
        <v>-</v>
      </c>
      <c r="F1509" s="168" t="s">
        <v>2</v>
      </c>
      <c r="G1509" s="179">
        <f>COUNTIF(작성용!A:B,$A1509)-COUNTIFS(작성용!A:A,$A1509,작성용!AA:AA,"평가철회")</f>
        <v>0</v>
      </c>
    </row>
    <row r="1510" spans="1:7" ht="16.5" customHeight="1" x14ac:dyDescent="0.3">
      <c r="A1510" s="170" t="s">
        <v>3080</v>
      </c>
      <c r="B1510" s="165" t="s">
        <v>3081</v>
      </c>
      <c r="C1510" s="165" t="str">
        <f>IFERROR(VLOOKUP($A1510,작성용!A:AL,14,0),"-")</f>
        <v>-</v>
      </c>
      <c r="D1510" s="169" t="s">
        <v>220</v>
      </c>
      <c r="E1510" s="167" t="str">
        <f>IFERROR(VLOOKUP(A1510,작성용!A:AL,34,0),"-")</f>
        <v>-</v>
      </c>
      <c r="F1510" s="168" t="s">
        <v>6382</v>
      </c>
      <c r="G1510" s="179">
        <f>COUNTIF(작성용!A:B,$A1510)-COUNTIFS(작성용!A:A,$A1510,작성용!AA:AA,"평가철회")</f>
        <v>0</v>
      </c>
    </row>
    <row r="1511" spans="1:7" ht="16.5" customHeight="1" x14ac:dyDescent="0.3">
      <c r="A1511" s="170" t="s">
        <v>3082</v>
      </c>
      <c r="B1511" s="165" t="s">
        <v>3083</v>
      </c>
      <c r="C1511" s="165" t="str">
        <f>IFERROR(VLOOKUP($A1511,작성용!A:AL,14,0),"-")</f>
        <v>-</v>
      </c>
      <c r="D1511" s="169" t="s">
        <v>220</v>
      </c>
      <c r="E1511" s="167" t="str">
        <f>IFERROR(VLOOKUP(A1511,작성용!A:AL,34,0),"-")</f>
        <v>-</v>
      </c>
      <c r="F1511" s="168" t="s">
        <v>2</v>
      </c>
      <c r="G1511" s="179">
        <f>COUNTIF(작성용!A:B,$A1511)-COUNTIFS(작성용!A:A,$A1511,작성용!AA:AA,"평가철회")</f>
        <v>0</v>
      </c>
    </row>
    <row r="1512" spans="1:7" ht="16.5" customHeight="1" x14ac:dyDescent="0.3">
      <c r="A1512" s="170" t="s">
        <v>3084</v>
      </c>
      <c r="B1512" s="165" t="s">
        <v>3085</v>
      </c>
      <c r="C1512" s="165" t="str">
        <f>IFERROR(VLOOKUP($A1512,작성용!A:AL,14,0),"-")</f>
        <v>-</v>
      </c>
      <c r="D1512" s="169" t="s">
        <v>6437</v>
      </c>
      <c r="E1512" s="167" t="str">
        <f>IFERROR(VLOOKUP(A1512,작성용!A:AL,34,0),"-")</f>
        <v>-</v>
      </c>
      <c r="F1512" s="168" t="s">
        <v>6378</v>
      </c>
      <c r="G1512" s="179">
        <f>COUNTIF(작성용!A:B,$A1512)-COUNTIFS(작성용!A:A,$A1512,작성용!AA:AA,"평가철회")</f>
        <v>0</v>
      </c>
    </row>
    <row r="1513" spans="1:7" ht="16.5" customHeight="1" x14ac:dyDescent="0.3">
      <c r="A1513" s="170" t="s">
        <v>3086</v>
      </c>
      <c r="B1513" s="165" t="s">
        <v>2955</v>
      </c>
      <c r="C1513" s="165" t="str">
        <f>IFERROR(VLOOKUP($A1513,작성용!A:AL,14,0),"-")</f>
        <v>-</v>
      </c>
      <c r="D1513" s="169" t="s">
        <v>635</v>
      </c>
      <c r="E1513" s="167" t="str">
        <f>IFERROR(VLOOKUP(A1513,작성용!A:AL,34,0),"-")</f>
        <v>-</v>
      </c>
      <c r="F1513" s="168" t="s">
        <v>2</v>
      </c>
      <c r="G1513" s="179">
        <f>COUNTIF(작성용!A:B,$A1513)-COUNTIFS(작성용!A:A,$A1513,작성용!AA:AA,"평가철회")</f>
        <v>0</v>
      </c>
    </row>
    <row r="1514" spans="1:7" ht="16.5" customHeight="1" x14ac:dyDescent="0.3">
      <c r="A1514" s="170" t="s">
        <v>3087</v>
      </c>
      <c r="B1514" s="165" t="s">
        <v>3088</v>
      </c>
      <c r="C1514" s="165" t="str">
        <f>IFERROR(VLOOKUP($A1514,작성용!A:AL,14,0),"-")</f>
        <v>-</v>
      </c>
      <c r="D1514" s="169" t="s">
        <v>635</v>
      </c>
      <c r="E1514" s="167" t="str">
        <f>IFERROR(VLOOKUP(A1514,작성용!A:AL,34,0),"-")</f>
        <v>-</v>
      </c>
      <c r="F1514" s="168" t="s">
        <v>2</v>
      </c>
      <c r="G1514" s="179">
        <f>COUNTIF(작성용!A:B,$A1514)-COUNTIFS(작성용!A:A,$A1514,작성용!AA:AA,"평가철회")</f>
        <v>0</v>
      </c>
    </row>
    <row r="1515" spans="1:7" ht="16.5" customHeight="1" x14ac:dyDescent="0.3">
      <c r="A1515" s="170" t="s">
        <v>3089</v>
      </c>
      <c r="B1515" s="165" t="s">
        <v>3090</v>
      </c>
      <c r="C1515" s="165" t="str">
        <f>IFERROR(VLOOKUP($A1515,작성용!A:AL,14,0),"-")</f>
        <v>-</v>
      </c>
      <c r="D1515" s="169" t="s">
        <v>75</v>
      </c>
      <c r="E1515" s="167" t="str">
        <f>IFERROR(VLOOKUP(A1515,작성용!A:AL,34,0),"-")</f>
        <v>-</v>
      </c>
      <c r="F1515" s="168" t="s">
        <v>2</v>
      </c>
      <c r="G1515" s="179">
        <f>COUNTIF(작성용!A:B,$A1515)-COUNTIFS(작성용!A:A,$A1515,작성용!AA:AA,"평가철회")</f>
        <v>0</v>
      </c>
    </row>
    <row r="1516" spans="1:7" ht="16.5" customHeight="1" x14ac:dyDescent="0.3">
      <c r="A1516" s="170" t="s">
        <v>3091</v>
      </c>
      <c r="B1516" s="165" t="s">
        <v>3092</v>
      </c>
      <c r="C1516" s="165" t="str">
        <f>IFERROR(VLOOKUP($A1516,작성용!A:AL,14,0),"-")</f>
        <v>-</v>
      </c>
      <c r="D1516" s="169" t="s">
        <v>220</v>
      </c>
      <c r="E1516" s="167" t="str">
        <f>IFERROR(VLOOKUP(A1516,작성용!A:AL,34,0),"-")</f>
        <v>-</v>
      </c>
      <c r="F1516" s="168" t="s">
        <v>2</v>
      </c>
      <c r="G1516" s="179">
        <f>COUNTIF(작성용!A:B,$A1516)-COUNTIFS(작성용!A:A,$A1516,작성용!AA:AA,"평가철회")</f>
        <v>0</v>
      </c>
    </row>
    <row r="1517" spans="1:7" ht="16.5" customHeight="1" x14ac:dyDescent="0.3">
      <c r="A1517" s="170" t="s">
        <v>3093</v>
      </c>
      <c r="B1517" s="165" t="s">
        <v>3094</v>
      </c>
      <c r="C1517" s="165" t="str">
        <f>IFERROR(VLOOKUP($A1517,작성용!A:AL,14,0),"-")</f>
        <v>-</v>
      </c>
      <c r="D1517" s="169" t="s">
        <v>556</v>
      </c>
      <c r="E1517" s="167" t="str">
        <f>IFERROR(VLOOKUP(A1517,작성용!A:AL,34,0),"-")</f>
        <v>-</v>
      </c>
      <c r="F1517" s="168" t="s">
        <v>2</v>
      </c>
      <c r="G1517" s="179">
        <f>COUNTIF(작성용!A:B,$A1517)-COUNTIFS(작성용!A:A,$A1517,작성용!AA:AA,"평가철회")</f>
        <v>0</v>
      </c>
    </row>
    <row r="1518" spans="1:7" ht="16.5" customHeight="1" x14ac:dyDescent="0.3">
      <c r="A1518" s="170" t="s">
        <v>3095</v>
      </c>
      <c r="B1518" s="165" t="s">
        <v>3096</v>
      </c>
      <c r="C1518" s="165" t="str">
        <f>IFERROR(VLOOKUP($A1518,작성용!A:AL,14,0),"-")</f>
        <v>-</v>
      </c>
      <c r="D1518" s="169" t="s">
        <v>220</v>
      </c>
      <c r="E1518" s="167" t="str">
        <f>IFERROR(VLOOKUP(A1518,작성용!A:AL,34,0),"-")</f>
        <v>-</v>
      </c>
      <c r="F1518" s="168" t="s">
        <v>6381</v>
      </c>
      <c r="G1518" s="179">
        <f>COUNTIF(작성용!A:B,$A1518)-COUNTIFS(작성용!A:A,$A1518,작성용!AA:AA,"평가철회")</f>
        <v>0</v>
      </c>
    </row>
    <row r="1519" spans="1:7" ht="16.5" customHeight="1" x14ac:dyDescent="0.3">
      <c r="A1519" s="170" t="s">
        <v>3097</v>
      </c>
      <c r="B1519" s="165" t="s">
        <v>6562</v>
      </c>
      <c r="C1519" s="165" t="str">
        <f>IFERROR(VLOOKUP($A1519,작성용!A:AL,14,0),"-")</f>
        <v>-</v>
      </c>
      <c r="D1519" s="169" t="s">
        <v>6386</v>
      </c>
      <c r="E1519" s="167" t="str">
        <f>IFERROR(VLOOKUP(A1519,작성용!A:AL,34,0),"-")</f>
        <v>-</v>
      </c>
      <c r="F1519" s="168" t="s">
        <v>6378</v>
      </c>
      <c r="G1519" s="179">
        <f>COUNTIF(작성용!A:B,$A1519)-COUNTIFS(작성용!A:A,$A1519,작성용!AA:AA,"평가철회")</f>
        <v>0</v>
      </c>
    </row>
    <row r="1520" spans="1:7" ht="16.5" customHeight="1" x14ac:dyDescent="0.3">
      <c r="A1520" s="170" t="s">
        <v>3098</v>
      </c>
      <c r="B1520" s="165" t="s">
        <v>3099</v>
      </c>
      <c r="C1520" s="165" t="str">
        <f>IFERROR(VLOOKUP($A1520,작성용!A:AL,14,0),"-")</f>
        <v>-</v>
      </c>
      <c r="D1520" s="169" t="s">
        <v>6464</v>
      </c>
      <c r="E1520" s="167" t="str">
        <f>IFERROR(VLOOKUP(A1520,작성용!A:AL,34,0),"-")</f>
        <v>-</v>
      </c>
      <c r="F1520" s="168" t="s">
        <v>6378</v>
      </c>
      <c r="G1520" s="179">
        <f>COUNTIF(작성용!A:B,$A1520)-COUNTIFS(작성용!A:A,$A1520,작성용!AA:AA,"평가철회")</f>
        <v>0</v>
      </c>
    </row>
    <row r="1521" spans="1:7" ht="16.5" customHeight="1" x14ac:dyDescent="0.3">
      <c r="A1521" s="170" t="s">
        <v>3100</v>
      </c>
      <c r="B1521" s="165" t="s">
        <v>3101</v>
      </c>
      <c r="C1521" s="165" t="str">
        <f>IFERROR(VLOOKUP($A1521,작성용!A:AL,14,0),"-")</f>
        <v>-</v>
      </c>
      <c r="D1521" s="169" t="s">
        <v>220</v>
      </c>
      <c r="E1521" s="167" t="str">
        <f>IFERROR(VLOOKUP(A1521,작성용!A:AL,34,0),"-")</f>
        <v>-</v>
      </c>
      <c r="F1521" s="168" t="s">
        <v>2</v>
      </c>
      <c r="G1521" s="179">
        <f>COUNTIF(작성용!A:B,$A1521)-COUNTIFS(작성용!A:A,$A1521,작성용!AA:AA,"평가철회")</f>
        <v>0</v>
      </c>
    </row>
    <row r="1522" spans="1:7" ht="16.5" customHeight="1" x14ac:dyDescent="0.3">
      <c r="A1522" s="170" t="s">
        <v>3102</v>
      </c>
      <c r="B1522" s="165" t="s">
        <v>3103</v>
      </c>
      <c r="C1522" s="165" t="str">
        <f>IFERROR(VLOOKUP($A1522,작성용!A:AL,14,0),"-")</f>
        <v>-</v>
      </c>
      <c r="D1522" s="169" t="s">
        <v>694</v>
      </c>
      <c r="E1522" s="167" t="str">
        <f>IFERROR(VLOOKUP(A1522,작성용!A:AL,34,0),"-")</f>
        <v>-</v>
      </c>
      <c r="F1522" s="168" t="s">
        <v>2</v>
      </c>
      <c r="G1522" s="179">
        <f>COUNTIF(작성용!A:B,$A1522)-COUNTIFS(작성용!A:A,$A1522,작성용!AA:AA,"평가철회")</f>
        <v>0</v>
      </c>
    </row>
    <row r="1523" spans="1:7" ht="16.5" customHeight="1" x14ac:dyDescent="0.3">
      <c r="A1523" s="170" t="s">
        <v>3104</v>
      </c>
      <c r="B1523" s="165" t="s">
        <v>3105</v>
      </c>
      <c r="C1523" s="165" t="str">
        <f>IFERROR(VLOOKUP($A1523,작성용!A:AL,14,0),"-")</f>
        <v>-</v>
      </c>
      <c r="D1523" s="169" t="s">
        <v>1551</v>
      </c>
      <c r="E1523" s="167" t="str">
        <f>IFERROR(VLOOKUP(A1523,작성용!A:AL,34,0),"-")</f>
        <v>-</v>
      </c>
      <c r="F1523" s="168" t="s">
        <v>2</v>
      </c>
      <c r="G1523" s="179">
        <f>COUNTIF(작성용!A:B,$A1523)-COUNTIFS(작성용!A:A,$A1523,작성용!AA:AA,"평가철회")</f>
        <v>0</v>
      </c>
    </row>
    <row r="1524" spans="1:7" ht="16.5" customHeight="1" x14ac:dyDescent="0.3">
      <c r="A1524" s="170" t="s">
        <v>3106</v>
      </c>
      <c r="B1524" s="165" t="s">
        <v>3107</v>
      </c>
      <c r="C1524" s="165" t="str">
        <f>IFERROR(VLOOKUP($A1524,작성용!A:AL,14,0),"-")</f>
        <v>-</v>
      </c>
      <c r="D1524" s="169" t="s">
        <v>220</v>
      </c>
      <c r="E1524" s="167" t="str">
        <f>IFERROR(VLOOKUP(A1524,작성용!A:AL,34,0),"-")</f>
        <v>-</v>
      </c>
      <c r="F1524" s="168" t="s">
        <v>6380</v>
      </c>
      <c r="G1524" s="179">
        <f>COUNTIF(작성용!A:B,$A1524)-COUNTIFS(작성용!A:A,$A1524,작성용!AA:AA,"평가철회")</f>
        <v>0</v>
      </c>
    </row>
    <row r="1525" spans="1:7" ht="16.5" customHeight="1" x14ac:dyDescent="0.3">
      <c r="A1525" s="170" t="s">
        <v>3108</v>
      </c>
      <c r="B1525" s="165" t="s">
        <v>3109</v>
      </c>
      <c r="C1525" s="165" t="str">
        <f>IFERROR(VLOOKUP($A1525,작성용!A:AL,14,0),"-")</f>
        <v>-</v>
      </c>
      <c r="D1525" s="169" t="s">
        <v>220</v>
      </c>
      <c r="E1525" s="167" t="str">
        <f>IFERROR(VLOOKUP(A1525,작성용!A:AL,34,0),"-")</f>
        <v>-</v>
      </c>
      <c r="F1525" s="168" t="s">
        <v>2</v>
      </c>
      <c r="G1525" s="179">
        <f>COUNTIF(작성용!A:B,$A1525)-COUNTIFS(작성용!A:A,$A1525,작성용!AA:AA,"평가철회")</f>
        <v>0</v>
      </c>
    </row>
    <row r="1526" spans="1:7" ht="16.5" customHeight="1" x14ac:dyDescent="0.3">
      <c r="A1526" s="170" t="s">
        <v>3110</v>
      </c>
      <c r="B1526" s="165" t="s">
        <v>3111</v>
      </c>
      <c r="C1526" s="165" t="str">
        <f>IFERROR(VLOOKUP($A1526,작성용!A:AL,14,0),"-")</f>
        <v>-</v>
      </c>
      <c r="D1526" s="169" t="s">
        <v>656</v>
      </c>
      <c r="E1526" s="167" t="str">
        <f>IFERROR(VLOOKUP(A1526,작성용!A:AL,34,0),"-")</f>
        <v>-</v>
      </c>
      <c r="F1526" s="168" t="s">
        <v>2</v>
      </c>
      <c r="G1526" s="179">
        <f>COUNTIF(작성용!A:B,$A1526)-COUNTIFS(작성용!A:A,$A1526,작성용!AA:AA,"평가철회")</f>
        <v>0</v>
      </c>
    </row>
    <row r="1527" spans="1:7" ht="16.5" customHeight="1" x14ac:dyDescent="0.3">
      <c r="A1527" s="170" t="s">
        <v>3112</v>
      </c>
      <c r="B1527" s="165" t="s">
        <v>3113</v>
      </c>
      <c r="C1527" s="165" t="str">
        <f>IFERROR(VLOOKUP($A1527,작성용!A:AL,14,0),"-")</f>
        <v>-</v>
      </c>
      <c r="D1527" s="169" t="s">
        <v>220</v>
      </c>
      <c r="E1527" s="167" t="str">
        <f>IFERROR(VLOOKUP(A1527,작성용!A:AL,34,0),"-")</f>
        <v>-</v>
      </c>
      <c r="F1527" s="168" t="s">
        <v>6382</v>
      </c>
      <c r="G1527" s="179">
        <f>COUNTIF(작성용!A:B,$A1527)-COUNTIFS(작성용!A:A,$A1527,작성용!AA:AA,"평가철회")</f>
        <v>0</v>
      </c>
    </row>
    <row r="1528" spans="1:7" ht="16.5" customHeight="1" x14ac:dyDescent="0.3">
      <c r="A1528" s="170" t="s">
        <v>3114</v>
      </c>
      <c r="B1528" s="165" t="s">
        <v>6563</v>
      </c>
      <c r="C1528" s="165" t="str">
        <f>IFERROR(VLOOKUP($A1528,작성용!A:AL,14,0),"-")</f>
        <v>-</v>
      </c>
      <c r="D1528" s="169" t="s">
        <v>6400</v>
      </c>
      <c r="E1528" s="167" t="str">
        <f>IFERROR(VLOOKUP(A1528,작성용!A:AL,34,0),"-")</f>
        <v>-</v>
      </c>
      <c r="F1528" s="168" t="s">
        <v>6382</v>
      </c>
      <c r="G1528" s="179">
        <f>COUNTIF(작성용!A:B,$A1528)-COUNTIFS(작성용!A:A,$A1528,작성용!AA:AA,"평가철회")</f>
        <v>0</v>
      </c>
    </row>
    <row r="1529" spans="1:7" ht="16.5" customHeight="1" x14ac:dyDescent="0.3">
      <c r="A1529" s="170" t="s">
        <v>3115</v>
      </c>
      <c r="B1529" s="165" t="s">
        <v>3116</v>
      </c>
      <c r="C1529" s="165" t="str">
        <f>IFERROR(VLOOKUP($A1529,작성용!A:AL,14,0),"-")</f>
        <v>-</v>
      </c>
      <c r="D1529" s="169" t="s">
        <v>220</v>
      </c>
      <c r="E1529" s="167" t="str">
        <f>IFERROR(VLOOKUP(A1529,작성용!A:AL,34,0),"-")</f>
        <v>-</v>
      </c>
      <c r="F1529" s="168" t="s">
        <v>6382</v>
      </c>
      <c r="G1529" s="179">
        <f>COUNTIF(작성용!A:B,$A1529)-COUNTIFS(작성용!A:A,$A1529,작성용!AA:AA,"평가철회")</f>
        <v>0</v>
      </c>
    </row>
    <row r="1530" spans="1:7" ht="16.5" customHeight="1" x14ac:dyDescent="0.3">
      <c r="A1530" s="170" t="s">
        <v>3117</v>
      </c>
      <c r="B1530" s="165" t="s">
        <v>3118</v>
      </c>
      <c r="C1530" s="165" t="str">
        <f>IFERROR(VLOOKUP($A1530,작성용!A:AL,14,0),"-")</f>
        <v>-</v>
      </c>
      <c r="D1530" s="169" t="s">
        <v>6555</v>
      </c>
      <c r="E1530" s="167" t="str">
        <f>IFERROR(VLOOKUP(A1530,작성용!A:AL,34,0),"-")</f>
        <v>-</v>
      </c>
      <c r="F1530" s="168" t="s">
        <v>6378</v>
      </c>
      <c r="G1530" s="179">
        <f>COUNTIF(작성용!A:B,$A1530)-COUNTIFS(작성용!A:A,$A1530,작성용!AA:AA,"평가철회")</f>
        <v>0</v>
      </c>
    </row>
    <row r="1531" spans="1:7" ht="16.5" customHeight="1" x14ac:dyDescent="0.3">
      <c r="A1531" s="170" t="s">
        <v>3119</v>
      </c>
      <c r="B1531" s="165" t="s">
        <v>3120</v>
      </c>
      <c r="C1531" s="165" t="str">
        <f>IFERROR(VLOOKUP($A1531,작성용!A:AL,14,0),"-")</f>
        <v>-</v>
      </c>
      <c r="D1531" s="169" t="s">
        <v>694</v>
      </c>
      <c r="E1531" s="167" t="str">
        <f>IFERROR(VLOOKUP(A1531,작성용!A:AL,34,0),"-")</f>
        <v>-</v>
      </c>
      <c r="F1531" s="168" t="s">
        <v>2</v>
      </c>
      <c r="G1531" s="179">
        <f>COUNTIF(작성용!A:B,$A1531)-COUNTIFS(작성용!A:A,$A1531,작성용!AA:AA,"평가철회")</f>
        <v>0</v>
      </c>
    </row>
    <row r="1532" spans="1:7" ht="16.5" customHeight="1" x14ac:dyDescent="0.3">
      <c r="A1532" s="170" t="s">
        <v>3121</v>
      </c>
      <c r="B1532" s="165" t="s">
        <v>3122</v>
      </c>
      <c r="C1532" s="165" t="str">
        <f>IFERROR(VLOOKUP($A1532,작성용!A:AL,14,0),"-")</f>
        <v>연말</v>
      </c>
      <c r="D1532" s="169" t="s">
        <v>6386</v>
      </c>
      <c r="E1532" s="167" t="str">
        <f>IFERROR(VLOOKUP(A1532,작성용!A:AL,34,0),"-")</f>
        <v>유재호</v>
      </c>
      <c r="F1532" s="168" t="s">
        <v>6380</v>
      </c>
      <c r="G1532" s="179">
        <f>COUNTIF(작성용!A:B,$A1532)-COUNTIFS(작성용!A:A,$A1532,작성용!AA:AA,"평가철회")</f>
        <v>53</v>
      </c>
    </row>
    <row r="1533" spans="1:7" ht="16.5" customHeight="1" x14ac:dyDescent="0.3">
      <c r="A1533" s="170" t="s">
        <v>3123</v>
      </c>
      <c r="B1533" s="165" t="s">
        <v>3124</v>
      </c>
      <c r="C1533" s="165" t="str">
        <f>IFERROR(VLOOKUP($A1533,작성용!A:AL,14,0),"-")</f>
        <v>-</v>
      </c>
      <c r="D1533" s="169" t="s">
        <v>495</v>
      </c>
      <c r="E1533" s="167" t="str">
        <f>IFERROR(VLOOKUP(A1533,작성용!A:AL,34,0),"-")</f>
        <v>-</v>
      </c>
      <c r="F1533" s="168" t="s">
        <v>2</v>
      </c>
      <c r="G1533" s="179">
        <f>COUNTIF(작성용!A:B,$A1533)-COUNTIFS(작성용!A:A,$A1533,작성용!AA:AA,"평가철회")</f>
        <v>0</v>
      </c>
    </row>
    <row r="1534" spans="1:7" ht="16.5" customHeight="1" x14ac:dyDescent="0.3">
      <c r="A1534" s="170" t="s">
        <v>3125</v>
      </c>
      <c r="B1534" s="165" t="s">
        <v>3126</v>
      </c>
      <c r="C1534" s="165" t="str">
        <f>IFERROR(VLOOKUP($A1534,작성용!A:AL,14,0),"-")</f>
        <v>-</v>
      </c>
      <c r="D1534" s="169" t="s">
        <v>220</v>
      </c>
      <c r="E1534" s="167" t="str">
        <f>IFERROR(VLOOKUP(A1534,작성용!A:AL,34,0),"-")</f>
        <v>-</v>
      </c>
      <c r="F1534" s="168" t="s">
        <v>2</v>
      </c>
      <c r="G1534" s="179">
        <f>COUNTIF(작성용!A:B,$A1534)-COUNTIFS(작성용!A:A,$A1534,작성용!AA:AA,"평가철회")</f>
        <v>0</v>
      </c>
    </row>
    <row r="1535" spans="1:7" ht="16.5" customHeight="1" x14ac:dyDescent="0.3">
      <c r="A1535" s="170" t="s">
        <v>3127</v>
      </c>
      <c r="B1535" s="165" t="s">
        <v>3128</v>
      </c>
      <c r="C1535" s="165" t="str">
        <f>IFERROR(VLOOKUP($A1535,작성용!A:AL,14,0),"-")</f>
        <v>-</v>
      </c>
      <c r="D1535" s="169" t="s">
        <v>74</v>
      </c>
      <c r="E1535" s="167" t="str">
        <f>IFERROR(VLOOKUP(A1535,작성용!A:AL,34,0),"-")</f>
        <v>-</v>
      </c>
      <c r="F1535" s="168" t="s">
        <v>2</v>
      </c>
      <c r="G1535" s="179">
        <f>COUNTIF(작성용!A:B,$A1535)-COUNTIFS(작성용!A:A,$A1535,작성용!AA:AA,"평가철회")</f>
        <v>0</v>
      </c>
    </row>
    <row r="1536" spans="1:7" ht="16.5" customHeight="1" x14ac:dyDescent="0.3">
      <c r="A1536" s="170" t="s">
        <v>3129</v>
      </c>
      <c r="B1536" s="165" t="s">
        <v>3130</v>
      </c>
      <c r="C1536" s="165" t="str">
        <f>IFERROR(VLOOKUP($A1536,작성용!A:AL,14,0),"-")</f>
        <v>-</v>
      </c>
      <c r="D1536" s="169" t="s">
        <v>220</v>
      </c>
      <c r="E1536" s="167" t="str">
        <f>IFERROR(VLOOKUP(A1536,작성용!A:AL,34,0),"-")</f>
        <v>-</v>
      </c>
      <c r="F1536" s="168" t="s">
        <v>2</v>
      </c>
      <c r="G1536" s="179">
        <f>COUNTIF(작성용!A:B,$A1536)-COUNTIFS(작성용!A:A,$A1536,작성용!AA:AA,"평가철회")</f>
        <v>0</v>
      </c>
    </row>
    <row r="1537" spans="1:7" ht="16.5" customHeight="1" x14ac:dyDescent="0.3">
      <c r="A1537" s="170" t="s">
        <v>3131</v>
      </c>
      <c r="B1537" s="165" t="s">
        <v>6564</v>
      </c>
      <c r="C1537" s="165" t="str">
        <f>IFERROR(VLOOKUP($A1537,작성용!A:AL,14,0),"-")</f>
        <v>-</v>
      </c>
      <c r="D1537" s="169" t="s">
        <v>6377</v>
      </c>
      <c r="E1537" s="167" t="str">
        <f>IFERROR(VLOOKUP(A1537,작성용!A:AL,34,0),"-")</f>
        <v>-</v>
      </c>
      <c r="F1537" s="168" t="s">
        <v>6378</v>
      </c>
      <c r="G1537" s="179">
        <f>COUNTIF(작성용!A:B,$A1537)-COUNTIFS(작성용!A:A,$A1537,작성용!AA:AA,"평가철회")</f>
        <v>0</v>
      </c>
    </row>
    <row r="1538" spans="1:7" ht="16.5" customHeight="1" x14ac:dyDescent="0.3">
      <c r="A1538" s="170" t="s">
        <v>3132</v>
      </c>
      <c r="B1538" s="165" t="s">
        <v>3133</v>
      </c>
      <c r="C1538" s="165" t="str">
        <f>IFERROR(VLOOKUP($A1538,작성용!A:AL,14,0),"-")</f>
        <v>-</v>
      </c>
      <c r="D1538" s="169" t="s">
        <v>6483</v>
      </c>
      <c r="E1538" s="167" t="str">
        <f>IFERROR(VLOOKUP(A1538,작성용!A:AL,34,0),"-")</f>
        <v>-</v>
      </c>
      <c r="F1538" s="168" t="s">
        <v>2</v>
      </c>
      <c r="G1538" s="179">
        <f>COUNTIF(작성용!A:B,$A1538)-COUNTIFS(작성용!A:A,$A1538,작성용!AA:AA,"평가철회")</f>
        <v>0</v>
      </c>
    </row>
    <row r="1539" spans="1:7" ht="16.5" customHeight="1" x14ac:dyDescent="0.3">
      <c r="A1539" s="170" t="s">
        <v>3134</v>
      </c>
      <c r="B1539" s="165" t="s">
        <v>3135</v>
      </c>
      <c r="C1539" s="165" t="str">
        <f>IFERROR(VLOOKUP($A1539,작성용!A:AL,14,0),"-")</f>
        <v>-</v>
      </c>
      <c r="D1539" s="169" t="s">
        <v>436</v>
      </c>
      <c r="E1539" s="167" t="str">
        <f>IFERROR(VLOOKUP(A1539,작성용!A:AL,34,0),"-")</f>
        <v>-</v>
      </c>
      <c r="F1539" s="168" t="s">
        <v>2</v>
      </c>
      <c r="G1539" s="179">
        <f>COUNTIF(작성용!A:B,$A1539)-COUNTIFS(작성용!A:A,$A1539,작성용!AA:AA,"평가철회")</f>
        <v>0</v>
      </c>
    </row>
    <row r="1540" spans="1:7" ht="16.5" customHeight="1" x14ac:dyDescent="0.3">
      <c r="A1540" s="170" t="s">
        <v>3136</v>
      </c>
      <c r="B1540" s="165" t="s">
        <v>3137</v>
      </c>
      <c r="C1540" s="165" t="str">
        <f>IFERROR(VLOOKUP($A1540,작성용!A:AL,14,0),"-")</f>
        <v>-</v>
      </c>
      <c r="D1540" s="169" t="s">
        <v>220</v>
      </c>
      <c r="E1540" s="167" t="str">
        <f>IFERROR(VLOOKUP(A1540,작성용!A:AL,34,0),"-")</f>
        <v>-</v>
      </c>
      <c r="F1540" s="168" t="s">
        <v>2</v>
      </c>
      <c r="G1540" s="179">
        <f>COUNTIF(작성용!A:B,$A1540)-COUNTIFS(작성용!A:A,$A1540,작성용!AA:AA,"평가철회")</f>
        <v>0</v>
      </c>
    </row>
    <row r="1541" spans="1:7" ht="16.5" customHeight="1" x14ac:dyDescent="0.3">
      <c r="A1541" s="170" t="s">
        <v>3138</v>
      </c>
      <c r="B1541" s="165" t="s">
        <v>3139</v>
      </c>
      <c r="C1541" s="165" t="str">
        <f>IFERROR(VLOOKUP($A1541,작성용!A:AL,14,0),"-")</f>
        <v>-</v>
      </c>
      <c r="D1541" s="169" t="s">
        <v>220</v>
      </c>
      <c r="E1541" s="167" t="str">
        <f>IFERROR(VLOOKUP(A1541,작성용!A:AL,34,0),"-")</f>
        <v>-</v>
      </c>
      <c r="F1541" s="168" t="s">
        <v>6378</v>
      </c>
      <c r="G1541" s="179">
        <f>COUNTIF(작성용!A:B,$A1541)-COUNTIFS(작성용!A:A,$A1541,작성용!AA:AA,"평가철회")</f>
        <v>0</v>
      </c>
    </row>
    <row r="1542" spans="1:7" ht="16.5" customHeight="1" x14ac:dyDescent="0.3">
      <c r="A1542" s="170" t="s">
        <v>3140</v>
      </c>
      <c r="B1542" s="165" t="s">
        <v>3141</v>
      </c>
      <c r="C1542" s="165" t="str">
        <f>IFERROR(VLOOKUP($A1542,작성용!A:AL,14,0),"-")</f>
        <v>-</v>
      </c>
      <c r="D1542" s="169" t="s">
        <v>220</v>
      </c>
      <c r="E1542" s="167" t="str">
        <f>IFERROR(VLOOKUP(A1542,작성용!A:AL,34,0),"-")</f>
        <v>-</v>
      </c>
      <c r="F1542" s="168" t="s">
        <v>2</v>
      </c>
      <c r="G1542" s="179">
        <f>COUNTIF(작성용!A:B,$A1542)-COUNTIFS(작성용!A:A,$A1542,작성용!AA:AA,"평가철회")</f>
        <v>0</v>
      </c>
    </row>
    <row r="1543" spans="1:7" ht="16.5" customHeight="1" x14ac:dyDescent="0.3">
      <c r="A1543" s="170" t="s">
        <v>3142</v>
      </c>
      <c r="B1543" s="165" t="s">
        <v>3143</v>
      </c>
      <c r="C1543" s="165" t="str">
        <f>IFERROR(VLOOKUP($A1543,작성용!A:AL,14,0),"-")</f>
        <v>-</v>
      </c>
      <c r="D1543" s="169" t="s">
        <v>6388</v>
      </c>
      <c r="E1543" s="167" t="str">
        <f>IFERROR(VLOOKUP(A1543,작성용!A:AL,34,0),"-")</f>
        <v>-</v>
      </c>
      <c r="F1543" s="168" t="s">
        <v>6382</v>
      </c>
      <c r="G1543" s="179">
        <f>COUNTIF(작성용!A:B,$A1543)-COUNTIFS(작성용!A:A,$A1543,작성용!AA:AA,"평가철회")</f>
        <v>0</v>
      </c>
    </row>
    <row r="1544" spans="1:7" ht="16.5" customHeight="1" x14ac:dyDescent="0.3">
      <c r="A1544" s="170" t="s">
        <v>3144</v>
      </c>
      <c r="B1544" s="165" t="s">
        <v>3145</v>
      </c>
      <c r="C1544" s="165" t="str">
        <f>IFERROR(VLOOKUP($A1544,작성용!A:AL,14,0),"-")</f>
        <v>-</v>
      </c>
      <c r="D1544" s="169" t="s">
        <v>556</v>
      </c>
      <c r="E1544" s="167" t="str">
        <f>IFERROR(VLOOKUP(A1544,작성용!A:AL,34,0),"-")</f>
        <v>-</v>
      </c>
      <c r="F1544" s="168" t="s">
        <v>2</v>
      </c>
      <c r="G1544" s="179">
        <f>COUNTIF(작성용!A:B,$A1544)-COUNTIFS(작성용!A:A,$A1544,작성용!AA:AA,"평가철회")</f>
        <v>0</v>
      </c>
    </row>
    <row r="1545" spans="1:7" ht="16.5" customHeight="1" x14ac:dyDescent="0.3">
      <c r="A1545" s="170" t="s">
        <v>3146</v>
      </c>
      <c r="B1545" s="165" t="s">
        <v>3147</v>
      </c>
      <c r="C1545" s="165" t="str">
        <f>IFERROR(VLOOKUP($A1545,작성용!A:AL,14,0),"-")</f>
        <v>-</v>
      </c>
      <c r="D1545" s="169" t="s">
        <v>1447</v>
      </c>
      <c r="E1545" s="167" t="str">
        <f>IFERROR(VLOOKUP(A1545,작성용!A:AL,34,0),"-")</f>
        <v>-</v>
      </c>
      <c r="F1545" s="168" t="s">
        <v>2</v>
      </c>
      <c r="G1545" s="179">
        <f>COUNTIF(작성용!A:B,$A1545)-COUNTIFS(작성용!A:A,$A1545,작성용!AA:AA,"평가철회")</f>
        <v>0</v>
      </c>
    </row>
    <row r="1546" spans="1:7" ht="16.5" customHeight="1" x14ac:dyDescent="0.3">
      <c r="A1546" s="170" t="s">
        <v>3148</v>
      </c>
      <c r="B1546" s="165" t="s">
        <v>6565</v>
      </c>
      <c r="C1546" s="165" t="str">
        <f>IFERROR(VLOOKUP($A1546,작성용!A:AL,14,0),"-")</f>
        <v>-</v>
      </c>
      <c r="D1546" s="169" t="s">
        <v>6388</v>
      </c>
      <c r="E1546" s="167" t="str">
        <f>IFERROR(VLOOKUP(A1546,작성용!A:AL,34,0),"-")</f>
        <v>-</v>
      </c>
      <c r="F1546" s="168" t="s">
        <v>6381</v>
      </c>
      <c r="G1546" s="179">
        <f>COUNTIF(작성용!A:B,$A1546)-COUNTIFS(작성용!A:A,$A1546,작성용!AA:AA,"평가철회")</f>
        <v>0</v>
      </c>
    </row>
    <row r="1547" spans="1:7" ht="16.5" customHeight="1" x14ac:dyDescent="0.3">
      <c r="A1547" s="170" t="s">
        <v>3149</v>
      </c>
      <c r="B1547" s="165" t="s">
        <v>3150</v>
      </c>
      <c r="C1547" s="165" t="str">
        <f>IFERROR(VLOOKUP($A1547,작성용!A:AL,14,0),"-")</f>
        <v>-</v>
      </c>
      <c r="D1547" s="169" t="s">
        <v>220</v>
      </c>
      <c r="E1547" s="167" t="str">
        <f>IFERROR(VLOOKUP(A1547,작성용!A:AL,34,0),"-")</f>
        <v>-</v>
      </c>
      <c r="F1547" s="168" t="s">
        <v>6270</v>
      </c>
      <c r="G1547" s="179">
        <f>COUNTIF(작성용!A:B,$A1547)-COUNTIFS(작성용!A:A,$A1547,작성용!AA:AA,"평가철회")</f>
        <v>0</v>
      </c>
    </row>
    <row r="1548" spans="1:7" ht="16.5" customHeight="1" x14ac:dyDescent="0.3">
      <c r="A1548" s="170" t="s">
        <v>3151</v>
      </c>
      <c r="B1548" s="165" t="s">
        <v>3152</v>
      </c>
      <c r="C1548" s="165" t="str">
        <f>IFERROR(VLOOKUP($A1548,작성용!A:AL,14,0),"-")</f>
        <v>-</v>
      </c>
      <c r="D1548" s="169" t="s">
        <v>556</v>
      </c>
      <c r="E1548" s="167" t="str">
        <f>IFERROR(VLOOKUP(A1548,작성용!A:AL,34,0),"-")</f>
        <v>-</v>
      </c>
      <c r="F1548" s="168" t="s">
        <v>2</v>
      </c>
      <c r="G1548" s="179">
        <f>COUNTIF(작성용!A:B,$A1548)-COUNTIFS(작성용!A:A,$A1548,작성용!AA:AA,"평가철회")</f>
        <v>0</v>
      </c>
    </row>
    <row r="1549" spans="1:7" ht="16.5" customHeight="1" x14ac:dyDescent="0.3">
      <c r="A1549" s="170" t="s">
        <v>3153</v>
      </c>
      <c r="B1549" s="165" t="s">
        <v>3154</v>
      </c>
      <c r="C1549" s="165" t="str">
        <f>IFERROR(VLOOKUP($A1549,작성용!A:AL,14,0),"-")</f>
        <v>-</v>
      </c>
      <c r="D1549" s="169" t="s">
        <v>6334</v>
      </c>
      <c r="E1549" s="167" t="str">
        <f>IFERROR(VLOOKUP(A1549,작성용!A:AL,34,0),"-")</f>
        <v>-</v>
      </c>
      <c r="F1549" s="168" t="s">
        <v>6336</v>
      </c>
      <c r="G1549" s="179">
        <f>COUNTIF(작성용!A:B,$A1549)-COUNTIFS(작성용!A:A,$A1549,작성용!AA:AA,"평가철회")</f>
        <v>0</v>
      </c>
    </row>
    <row r="1550" spans="1:7" ht="16.5" customHeight="1" x14ac:dyDescent="0.3">
      <c r="A1550" s="170" t="s">
        <v>3155</v>
      </c>
      <c r="B1550" s="165" t="s">
        <v>3156</v>
      </c>
      <c r="C1550" s="165" t="str">
        <f>IFERROR(VLOOKUP($A1550,작성용!A:AL,14,0),"-")</f>
        <v>-</v>
      </c>
      <c r="D1550" s="169" t="s">
        <v>220</v>
      </c>
      <c r="E1550" s="167" t="str">
        <f>IFERROR(VLOOKUP(A1550,작성용!A:AL,34,0),"-")</f>
        <v>-</v>
      </c>
      <c r="F1550" s="168" t="s">
        <v>6337</v>
      </c>
      <c r="G1550" s="179">
        <f>COUNTIF(작성용!A:B,$A1550)-COUNTIFS(작성용!A:A,$A1550,작성용!AA:AA,"평가철회")</f>
        <v>0</v>
      </c>
    </row>
    <row r="1551" spans="1:7" ht="16.5" customHeight="1" x14ac:dyDescent="0.3">
      <c r="A1551" s="170" t="s">
        <v>3157</v>
      </c>
      <c r="B1551" s="165" t="s">
        <v>3158</v>
      </c>
      <c r="C1551" s="165" t="str">
        <f>IFERROR(VLOOKUP($A1551,작성용!A:AL,14,0),"-")</f>
        <v>-</v>
      </c>
      <c r="D1551" s="169" t="s">
        <v>694</v>
      </c>
      <c r="E1551" s="167" t="str">
        <f>IFERROR(VLOOKUP(A1551,작성용!A:AL,34,0),"-")</f>
        <v>-</v>
      </c>
      <c r="F1551" s="168" t="s">
        <v>6335</v>
      </c>
      <c r="G1551" s="179">
        <f>COUNTIF(작성용!A:B,$A1551)-COUNTIFS(작성용!A:A,$A1551,작성용!AA:AA,"평가철회")</f>
        <v>0</v>
      </c>
    </row>
    <row r="1552" spans="1:7" ht="16.5" customHeight="1" x14ac:dyDescent="0.3">
      <c r="A1552" s="170" t="s">
        <v>3159</v>
      </c>
      <c r="B1552" s="165" t="s">
        <v>3160</v>
      </c>
      <c r="C1552" s="165" t="str">
        <f>IFERROR(VLOOKUP($A1552,작성용!A:AL,14,0),"-")</f>
        <v>-</v>
      </c>
      <c r="D1552" s="169" t="s">
        <v>220</v>
      </c>
      <c r="E1552" s="167" t="str">
        <f>IFERROR(VLOOKUP(A1552,작성용!A:AL,34,0),"-")</f>
        <v>-</v>
      </c>
      <c r="F1552" s="168" t="s">
        <v>2</v>
      </c>
      <c r="G1552" s="179">
        <f>COUNTIF(작성용!A:B,$A1552)-COUNTIFS(작성용!A:A,$A1552,작성용!AA:AA,"평가철회")</f>
        <v>0</v>
      </c>
    </row>
    <row r="1553" spans="1:7" ht="16.5" customHeight="1" x14ac:dyDescent="0.3">
      <c r="A1553" s="170" t="s">
        <v>3161</v>
      </c>
      <c r="B1553" s="165" t="s">
        <v>3162</v>
      </c>
      <c r="C1553" s="165" t="str">
        <f>IFERROR(VLOOKUP($A1553,작성용!A:AL,14,0),"-")</f>
        <v>-</v>
      </c>
      <c r="D1553" s="169" t="s">
        <v>220</v>
      </c>
      <c r="E1553" s="167" t="str">
        <f>IFERROR(VLOOKUP(A1553,작성용!A:AL,34,0),"-")</f>
        <v>-</v>
      </c>
      <c r="F1553" s="168" t="s">
        <v>6283</v>
      </c>
      <c r="G1553" s="179">
        <f>COUNTIF(작성용!A:B,$A1553)-COUNTIFS(작성용!A:A,$A1553,작성용!AA:AA,"평가철회")</f>
        <v>0</v>
      </c>
    </row>
    <row r="1554" spans="1:7" ht="16.5" customHeight="1" x14ac:dyDescent="0.3">
      <c r="A1554" s="170" t="s">
        <v>3163</v>
      </c>
      <c r="B1554" s="165" t="s">
        <v>6566</v>
      </c>
      <c r="C1554" s="165" t="str">
        <f>IFERROR(VLOOKUP($A1554,작성용!A:AL,14,0),"-")</f>
        <v>-</v>
      </c>
      <c r="D1554" s="169" t="s">
        <v>6351</v>
      </c>
      <c r="E1554" s="167" t="str">
        <f>IFERROR(VLOOKUP(A1554,작성용!A:AL,34,0),"-")</f>
        <v>-</v>
      </c>
      <c r="F1554" s="168" t="s">
        <v>6335</v>
      </c>
      <c r="G1554" s="179">
        <f>COUNTIF(작성용!A:B,$A1554)-COUNTIFS(작성용!A:A,$A1554,작성용!AA:AA,"평가철회")</f>
        <v>0</v>
      </c>
    </row>
    <row r="1555" spans="1:7" ht="16.5" customHeight="1" x14ac:dyDescent="0.3">
      <c r="A1555" s="170" t="s">
        <v>3164</v>
      </c>
      <c r="B1555" s="165" t="s">
        <v>3165</v>
      </c>
      <c r="C1555" s="165" t="str">
        <f>IFERROR(VLOOKUP($A1555,작성용!A:AL,14,0),"-")</f>
        <v>-</v>
      </c>
      <c r="D1555" s="169" t="s">
        <v>244</v>
      </c>
      <c r="E1555" s="167" t="str">
        <f>IFERROR(VLOOKUP(A1555,작성용!A:AL,34,0),"-")</f>
        <v>-</v>
      </c>
      <c r="F1555" s="168" t="s">
        <v>6336</v>
      </c>
      <c r="G1555" s="179">
        <f>COUNTIF(작성용!A:B,$A1555)-COUNTIFS(작성용!A:A,$A1555,작성용!AA:AA,"평가철회")</f>
        <v>0</v>
      </c>
    </row>
    <row r="1556" spans="1:7" ht="16.5" customHeight="1" x14ac:dyDescent="0.3">
      <c r="A1556" s="170" t="s">
        <v>3166</v>
      </c>
      <c r="B1556" s="165" t="s">
        <v>3012</v>
      </c>
      <c r="C1556" s="165" t="str">
        <f>IFERROR(VLOOKUP($A1556,작성용!A:AL,14,0),"-")</f>
        <v>-</v>
      </c>
      <c r="D1556" s="169" t="s">
        <v>244</v>
      </c>
      <c r="E1556" s="167" t="str">
        <f>IFERROR(VLOOKUP(A1556,작성용!A:AL,34,0),"-")</f>
        <v>-</v>
      </c>
      <c r="F1556" s="168" t="s">
        <v>2</v>
      </c>
      <c r="G1556" s="179">
        <f>COUNTIF(작성용!A:B,$A1556)-COUNTIFS(작성용!A:A,$A1556,작성용!AA:AA,"평가철회")</f>
        <v>0</v>
      </c>
    </row>
    <row r="1557" spans="1:7" ht="16.5" customHeight="1" x14ac:dyDescent="0.3">
      <c r="A1557" s="170" t="s">
        <v>3167</v>
      </c>
      <c r="B1557" s="165" t="s">
        <v>3168</v>
      </c>
      <c r="C1557" s="165" t="str">
        <f>IFERROR(VLOOKUP($A1557,작성용!A:AL,14,0),"-")</f>
        <v>-</v>
      </c>
      <c r="D1557" s="169" t="s">
        <v>6351</v>
      </c>
      <c r="E1557" s="167" t="str">
        <f>IFERROR(VLOOKUP(A1557,작성용!A:AL,34,0),"-")</f>
        <v>-</v>
      </c>
      <c r="F1557" s="168" t="s">
        <v>6336</v>
      </c>
      <c r="G1557" s="179">
        <f>COUNTIF(작성용!A:B,$A1557)-COUNTIFS(작성용!A:A,$A1557,작성용!AA:AA,"평가철회")</f>
        <v>0</v>
      </c>
    </row>
    <row r="1558" spans="1:7" ht="16.5" customHeight="1" x14ac:dyDescent="0.3">
      <c r="A1558" s="170" t="s">
        <v>3169</v>
      </c>
      <c r="B1558" s="165" t="s">
        <v>6567</v>
      </c>
      <c r="C1558" s="165" t="str">
        <f>IFERROR(VLOOKUP($A1558,작성용!A:AL,14,0),"-")</f>
        <v>-</v>
      </c>
      <c r="D1558" s="169" t="s">
        <v>6345</v>
      </c>
      <c r="E1558" s="167" t="str">
        <f>IFERROR(VLOOKUP(A1558,작성용!A:AL,34,0),"-")</f>
        <v>-</v>
      </c>
      <c r="F1558" s="168" t="s">
        <v>6283</v>
      </c>
      <c r="G1558" s="179">
        <f>COUNTIF(작성용!A:B,$A1558)-COUNTIFS(작성용!A:A,$A1558,작성용!AA:AA,"평가철회")</f>
        <v>0</v>
      </c>
    </row>
    <row r="1559" spans="1:7" ht="16.5" customHeight="1" x14ac:dyDescent="0.3">
      <c r="A1559" s="170" t="s">
        <v>3170</v>
      </c>
      <c r="B1559" s="165" t="s">
        <v>3171</v>
      </c>
      <c r="C1559" s="165" t="str">
        <f>IFERROR(VLOOKUP($A1559,작성용!A:AL,14,0),"-")</f>
        <v>-</v>
      </c>
      <c r="D1559" s="169" t="s">
        <v>220</v>
      </c>
      <c r="E1559" s="167" t="str">
        <f>IFERROR(VLOOKUP(A1559,작성용!A:AL,34,0),"-")</f>
        <v>-</v>
      </c>
      <c r="F1559" s="168" t="s">
        <v>6283</v>
      </c>
      <c r="G1559" s="179">
        <f>COUNTIF(작성용!A:B,$A1559)-COUNTIFS(작성용!A:A,$A1559,작성용!AA:AA,"평가철회")</f>
        <v>0</v>
      </c>
    </row>
    <row r="1560" spans="1:7" ht="16.5" customHeight="1" x14ac:dyDescent="0.3">
      <c r="A1560" s="170" t="s">
        <v>3172</v>
      </c>
      <c r="B1560" s="165" t="s">
        <v>3173</v>
      </c>
      <c r="C1560" s="165" t="str">
        <f>IFERROR(VLOOKUP($A1560,작성용!A:AL,14,0),"-")</f>
        <v>-</v>
      </c>
      <c r="D1560" s="169" t="s">
        <v>220</v>
      </c>
      <c r="E1560" s="167" t="str">
        <f>IFERROR(VLOOKUP(A1560,작성용!A:AL,34,0),"-")</f>
        <v>-</v>
      </c>
      <c r="F1560" s="168" t="s">
        <v>6283</v>
      </c>
      <c r="G1560" s="179">
        <f>COUNTIF(작성용!A:B,$A1560)-COUNTIFS(작성용!A:A,$A1560,작성용!AA:AA,"평가철회")</f>
        <v>0</v>
      </c>
    </row>
    <row r="1561" spans="1:7" ht="16.5" customHeight="1" x14ac:dyDescent="0.3">
      <c r="A1561" s="170" t="s">
        <v>3174</v>
      </c>
      <c r="B1561" s="165" t="s">
        <v>3175</v>
      </c>
      <c r="C1561" s="165" t="str">
        <f>IFERROR(VLOOKUP($A1561,작성용!A:AL,14,0),"-")</f>
        <v>-</v>
      </c>
      <c r="D1561" s="169" t="s">
        <v>244</v>
      </c>
      <c r="E1561" s="167" t="str">
        <f>IFERROR(VLOOKUP(A1561,작성용!A:AL,34,0),"-")</f>
        <v>-</v>
      </c>
      <c r="F1561" s="168" t="s">
        <v>2</v>
      </c>
      <c r="G1561" s="179">
        <f>COUNTIF(작성용!A:B,$A1561)-COUNTIFS(작성용!A:A,$A1561,작성용!AA:AA,"평가철회")</f>
        <v>0</v>
      </c>
    </row>
    <row r="1562" spans="1:7" ht="16.5" customHeight="1" x14ac:dyDescent="0.3">
      <c r="A1562" s="170" t="s">
        <v>3176</v>
      </c>
      <c r="B1562" s="165" t="s">
        <v>3177</v>
      </c>
      <c r="C1562" s="165" t="str">
        <f>IFERROR(VLOOKUP($A1562,작성용!A:AL,14,0),"-")</f>
        <v>-</v>
      </c>
      <c r="D1562" s="169" t="s">
        <v>463</v>
      </c>
      <c r="E1562" s="167" t="str">
        <f>IFERROR(VLOOKUP(A1562,작성용!A:AL,34,0),"-")</f>
        <v>-</v>
      </c>
      <c r="F1562" s="168" t="s">
        <v>2</v>
      </c>
      <c r="G1562" s="179">
        <f>COUNTIF(작성용!A:B,$A1562)-COUNTIFS(작성용!A:A,$A1562,작성용!AA:AA,"평가철회")</f>
        <v>0</v>
      </c>
    </row>
    <row r="1563" spans="1:7" ht="16.5" customHeight="1" x14ac:dyDescent="0.3">
      <c r="A1563" s="170" t="s">
        <v>3178</v>
      </c>
      <c r="B1563" s="165" t="s">
        <v>6568</v>
      </c>
      <c r="C1563" s="165" t="str">
        <f>IFERROR(VLOOKUP($A1563,작성용!A:AL,14,0),"-")</f>
        <v>-</v>
      </c>
      <c r="D1563" s="169" t="s">
        <v>6569</v>
      </c>
      <c r="E1563" s="167" t="str">
        <f>IFERROR(VLOOKUP(A1563,작성용!A:AL,34,0),"-")</f>
        <v>-</v>
      </c>
      <c r="F1563" s="168" t="s">
        <v>6304</v>
      </c>
      <c r="G1563" s="179">
        <f>COUNTIF(작성용!A:B,$A1563)-COUNTIFS(작성용!A:A,$A1563,작성용!AA:AA,"평가철회")</f>
        <v>0</v>
      </c>
    </row>
    <row r="1564" spans="1:7" ht="16.5" customHeight="1" x14ac:dyDescent="0.3">
      <c r="A1564" s="170" t="s">
        <v>3179</v>
      </c>
      <c r="B1564" s="165" t="s">
        <v>3180</v>
      </c>
      <c r="C1564" s="165" t="str">
        <f>IFERROR(VLOOKUP($A1564,작성용!A:AL,14,0),"-")</f>
        <v>-</v>
      </c>
      <c r="D1564" s="169" t="s">
        <v>3181</v>
      </c>
      <c r="E1564" s="167" t="str">
        <f>IFERROR(VLOOKUP(A1564,작성용!A:AL,34,0),"-")</f>
        <v>-</v>
      </c>
      <c r="F1564" s="168" t="s">
        <v>2</v>
      </c>
      <c r="G1564" s="179">
        <f>COUNTIF(작성용!A:B,$A1564)-COUNTIFS(작성용!A:A,$A1564,작성용!AA:AA,"평가철회")</f>
        <v>0</v>
      </c>
    </row>
    <row r="1565" spans="1:7" ht="16.5" customHeight="1" x14ac:dyDescent="0.3">
      <c r="A1565" s="170" t="s">
        <v>3182</v>
      </c>
      <c r="B1565" s="165" t="s">
        <v>3183</v>
      </c>
      <c r="C1565" s="165" t="str">
        <f>IFERROR(VLOOKUP($A1565,작성용!A:AL,14,0),"-")</f>
        <v>-</v>
      </c>
      <c r="D1565" s="169" t="s">
        <v>71</v>
      </c>
      <c r="E1565" s="167" t="str">
        <f>IFERROR(VLOOKUP(A1565,작성용!A:AL,34,0),"-")</f>
        <v>-</v>
      </c>
      <c r="F1565" s="168" t="s">
        <v>2</v>
      </c>
      <c r="G1565" s="179">
        <f>COUNTIF(작성용!A:B,$A1565)-COUNTIFS(작성용!A:A,$A1565,작성용!AA:AA,"평가철회")</f>
        <v>0</v>
      </c>
    </row>
    <row r="1566" spans="1:7" ht="16.5" customHeight="1" x14ac:dyDescent="0.3">
      <c r="A1566" s="170" t="s">
        <v>3184</v>
      </c>
      <c r="B1566" s="165" t="s">
        <v>3185</v>
      </c>
      <c r="C1566" s="165" t="str">
        <f>IFERROR(VLOOKUP($A1566,작성용!A:AL,14,0),"-")</f>
        <v>-</v>
      </c>
      <c r="D1566" s="169" t="s">
        <v>220</v>
      </c>
      <c r="E1566" s="167" t="str">
        <f>IFERROR(VLOOKUP(A1566,작성용!A:AL,34,0),"-")</f>
        <v>-</v>
      </c>
      <c r="F1566" s="168" t="s">
        <v>6283</v>
      </c>
      <c r="G1566" s="179">
        <f>COUNTIF(작성용!A:B,$A1566)-COUNTIFS(작성용!A:A,$A1566,작성용!AA:AA,"평가철회")</f>
        <v>0</v>
      </c>
    </row>
    <row r="1567" spans="1:7" ht="16.5" customHeight="1" x14ac:dyDescent="0.3">
      <c r="A1567" s="170" t="s">
        <v>3186</v>
      </c>
      <c r="B1567" s="165" t="s">
        <v>3187</v>
      </c>
      <c r="C1567" s="165" t="str">
        <f>IFERROR(VLOOKUP($A1567,작성용!A:AL,14,0),"-")</f>
        <v>-</v>
      </c>
      <c r="D1567" s="169" t="s">
        <v>6309</v>
      </c>
      <c r="E1567" s="167" t="str">
        <f>IFERROR(VLOOKUP(A1567,작성용!A:AL,34,0),"-")</f>
        <v>-</v>
      </c>
      <c r="F1567" s="168" t="s">
        <v>6283</v>
      </c>
      <c r="G1567" s="179">
        <f>COUNTIF(작성용!A:B,$A1567)-COUNTIFS(작성용!A:A,$A1567,작성용!AA:AA,"평가철회")</f>
        <v>0</v>
      </c>
    </row>
    <row r="1568" spans="1:7" ht="16.5" customHeight="1" x14ac:dyDescent="0.3">
      <c r="A1568" s="170" t="s">
        <v>3188</v>
      </c>
      <c r="B1568" s="165" t="s">
        <v>3189</v>
      </c>
      <c r="C1568" s="165" t="str">
        <f>IFERROR(VLOOKUP($A1568,작성용!A:AL,14,0),"-")</f>
        <v>-</v>
      </c>
      <c r="D1568" s="169" t="s">
        <v>492</v>
      </c>
      <c r="E1568" s="167" t="str">
        <f>IFERROR(VLOOKUP(A1568,작성용!A:AL,34,0),"-")</f>
        <v>-</v>
      </c>
      <c r="F1568" s="168" t="s">
        <v>2</v>
      </c>
      <c r="G1568" s="179">
        <f>COUNTIF(작성용!A:B,$A1568)-COUNTIFS(작성용!A:A,$A1568,작성용!AA:AA,"평가철회")</f>
        <v>0</v>
      </c>
    </row>
    <row r="1569" spans="1:7" ht="16.5" customHeight="1" x14ac:dyDescent="0.3">
      <c r="A1569" s="170" t="s">
        <v>3190</v>
      </c>
      <c r="B1569" s="165" t="s">
        <v>3191</v>
      </c>
      <c r="C1569" s="165" t="str">
        <f>IFERROR(VLOOKUP($A1569,작성용!A:AL,14,0),"-")</f>
        <v>-</v>
      </c>
      <c r="D1569" s="169" t="s">
        <v>436</v>
      </c>
      <c r="E1569" s="167" t="str">
        <f>IFERROR(VLOOKUP(A1569,작성용!A:AL,34,0),"-")</f>
        <v>-</v>
      </c>
      <c r="F1569" s="168" t="s">
        <v>2</v>
      </c>
      <c r="G1569" s="179">
        <f>COUNTIF(작성용!A:B,$A1569)-COUNTIFS(작성용!A:A,$A1569,작성용!AA:AA,"평가철회")</f>
        <v>0</v>
      </c>
    </row>
    <row r="1570" spans="1:7" ht="16.5" customHeight="1" x14ac:dyDescent="0.3">
      <c r="A1570" s="170" t="s">
        <v>3192</v>
      </c>
      <c r="B1570" s="165" t="s">
        <v>3193</v>
      </c>
      <c r="C1570" s="165" t="str">
        <f>IFERROR(VLOOKUP($A1570,작성용!A:AL,14,0),"-")</f>
        <v>-</v>
      </c>
      <c r="D1570" s="169" t="s">
        <v>6287</v>
      </c>
      <c r="E1570" s="167" t="str">
        <f>IFERROR(VLOOKUP(A1570,작성용!A:AL,34,0),"-")</f>
        <v>-</v>
      </c>
      <c r="F1570" s="168" t="s">
        <v>6304</v>
      </c>
      <c r="G1570" s="179">
        <f>COUNTIF(작성용!A:B,$A1570)-COUNTIFS(작성용!A:A,$A1570,작성용!AA:AA,"평가철회")</f>
        <v>0</v>
      </c>
    </row>
    <row r="1571" spans="1:7" ht="16.5" customHeight="1" x14ac:dyDescent="0.3">
      <c r="A1571" s="170" t="s">
        <v>3194</v>
      </c>
      <c r="B1571" s="165" t="s">
        <v>3195</v>
      </c>
      <c r="C1571" s="165" t="str">
        <f>IFERROR(VLOOKUP($A1571,작성용!A:AL,14,0),"-")</f>
        <v>-</v>
      </c>
      <c r="D1571" s="169" t="s">
        <v>492</v>
      </c>
      <c r="E1571" s="167" t="str">
        <f>IFERROR(VLOOKUP(A1571,작성용!A:AL,34,0),"-")</f>
        <v>-</v>
      </c>
      <c r="F1571" s="168" t="s">
        <v>2</v>
      </c>
      <c r="G1571" s="179">
        <f>COUNTIF(작성용!A:B,$A1571)-COUNTIFS(작성용!A:A,$A1571,작성용!AA:AA,"평가철회")</f>
        <v>0</v>
      </c>
    </row>
    <row r="1572" spans="1:7" ht="16.5" customHeight="1" x14ac:dyDescent="0.3">
      <c r="A1572" s="170" t="s">
        <v>3196</v>
      </c>
      <c r="B1572" s="165" t="s">
        <v>3197</v>
      </c>
      <c r="C1572" s="165" t="str">
        <f>IFERROR(VLOOKUP($A1572,작성용!A:AL,14,0),"-")</f>
        <v>-</v>
      </c>
      <c r="D1572" s="169" t="s">
        <v>75</v>
      </c>
      <c r="E1572" s="167" t="str">
        <f>IFERROR(VLOOKUP(A1572,작성용!A:AL,34,0),"-")</f>
        <v>-</v>
      </c>
      <c r="F1572" s="168" t="s">
        <v>6304</v>
      </c>
      <c r="G1572" s="179">
        <f>COUNTIF(작성용!A:B,$A1572)-COUNTIFS(작성용!A:A,$A1572,작성용!AA:AA,"평가철회")</f>
        <v>0</v>
      </c>
    </row>
    <row r="1573" spans="1:7" ht="16.5" customHeight="1" x14ac:dyDescent="0.3">
      <c r="A1573" s="170" t="s">
        <v>3198</v>
      </c>
      <c r="B1573" s="165" t="s">
        <v>3018</v>
      </c>
      <c r="C1573" s="165" t="str">
        <f>IFERROR(VLOOKUP($A1573,작성용!A:AL,14,0),"-")</f>
        <v>년</v>
      </c>
      <c r="D1573" s="169" t="s">
        <v>6309</v>
      </c>
      <c r="E1573" s="167" t="str">
        <f>IFERROR(VLOOKUP(A1573,작성용!A:AL,34,0),"-")</f>
        <v>이문수</v>
      </c>
      <c r="F1573" s="168" t="s">
        <v>6335</v>
      </c>
      <c r="G1573" s="179">
        <f>COUNTIF(작성용!A:B,$A1573)-COUNTIFS(작성용!A:A,$A1573,작성용!AA:AA,"평가철회")</f>
        <v>15</v>
      </c>
    </row>
    <row r="1574" spans="1:7" ht="16.5" customHeight="1" x14ac:dyDescent="0.3">
      <c r="A1574" s="170" t="s">
        <v>3199</v>
      </c>
      <c r="B1574" s="165" t="s">
        <v>3200</v>
      </c>
      <c r="C1574" s="165" t="str">
        <f>IFERROR(VLOOKUP($A1574,작성용!A:AL,14,0),"-")</f>
        <v>-</v>
      </c>
      <c r="D1574" s="169" t="s">
        <v>220</v>
      </c>
      <c r="E1574" s="167" t="str">
        <f>IFERROR(VLOOKUP(A1574,작성용!A:AL,34,0),"-")</f>
        <v>-</v>
      </c>
      <c r="F1574" s="168" t="s">
        <v>2</v>
      </c>
      <c r="G1574" s="179">
        <f>COUNTIF(작성용!A:B,$A1574)-COUNTIFS(작성용!A:A,$A1574,작성용!AA:AA,"평가철회")</f>
        <v>0</v>
      </c>
    </row>
    <row r="1575" spans="1:7" ht="16.5" customHeight="1" x14ac:dyDescent="0.3">
      <c r="A1575" s="170" t="s">
        <v>3201</v>
      </c>
      <c r="B1575" s="165" t="s">
        <v>3036</v>
      </c>
      <c r="C1575" s="165" t="str">
        <f>IFERROR(VLOOKUP($A1575,작성용!A:AL,14,0),"-")</f>
        <v>-</v>
      </c>
      <c r="D1575" s="169" t="s">
        <v>495</v>
      </c>
      <c r="E1575" s="167" t="str">
        <f>IFERROR(VLOOKUP(A1575,작성용!A:AL,34,0),"-")</f>
        <v>-</v>
      </c>
      <c r="F1575" s="168" t="s">
        <v>2</v>
      </c>
      <c r="G1575" s="179">
        <f>COUNTIF(작성용!A:B,$A1575)-COUNTIFS(작성용!A:A,$A1575,작성용!AA:AA,"평가철회")</f>
        <v>0</v>
      </c>
    </row>
    <row r="1576" spans="1:7" ht="16.5" customHeight="1" x14ac:dyDescent="0.3">
      <c r="A1576" s="170" t="s">
        <v>3202</v>
      </c>
      <c r="B1576" s="165" t="s">
        <v>3203</v>
      </c>
      <c r="C1576" s="165" t="str">
        <f>IFERROR(VLOOKUP($A1576,작성용!A:AL,14,0),"-")</f>
        <v>-</v>
      </c>
      <c r="D1576" s="169" t="s">
        <v>220</v>
      </c>
      <c r="E1576" s="167" t="str">
        <f>IFERROR(VLOOKUP(A1576,작성용!A:AL,34,0),"-")</f>
        <v>-</v>
      </c>
      <c r="F1576" s="168" t="s">
        <v>2</v>
      </c>
      <c r="G1576" s="179">
        <f>COUNTIF(작성용!A:B,$A1576)-COUNTIFS(작성용!A:A,$A1576,작성용!AA:AA,"평가철회")</f>
        <v>0</v>
      </c>
    </row>
    <row r="1577" spans="1:7" ht="16.5" customHeight="1" x14ac:dyDescent="0.3">
      <c r="A1577" s="170" t="s">
        <v>3204</v>
      </c>
      <c r="B1577" s="165" t="s">
        <v>4745</v>
      </c>
      <c r="C1577" s="165" t="str">
        <f>IFERROR(VLOOKUP($A1577,작성용!A:AL,14,0),"-")</f>
        <v>연말</v>
      </c>
      <c r="D1577" s="169" t="s">
        <v>6312</v>
      </c>
      <c r="E1577" s="167" t="str">
        <f>IFERROR(VLOOKUP(A1577,작성용!A:AL,34,0),"-")</f>
        <v>김예림</v>
      </c>
      <c r="F1577" s="168" t="s">
        <v>6283</v>
      </c>
      <c r="G1577" s="179">
        <f>COUNTIF(작성용!A:B,$A1577)-COUNTIFS(작성용!A:A,$A1577,작성용!AA:AA,"평가철회")</f>
        <v>1</v>
      </c>
    </row>
    <row r="1578" spans="1:7" ht="16.5" customHeight="1" x14ac:dyDescent="0.3">
      <c r="A1578" s="170" t="s">
        <v>3205</v>
      </c>
      <c r="B1578" s="165" t="s">
        <v>3206</v>
      </c>
      <c r="C1578" s="165" t="str">
        <f>IFERROR(VLOOKUP($A1578,작성용!A:AL,14,0),"-")</f>
        <v xml:space="preserve">연말 </v>
      </c>
      <c r="D1578" s="169" t="s">
        <v>6309</v>
      </c>
      <c r="E1578" s="167" t="str">
        <f>IFERROR(VLOOKUP(A1578,작성용!A:AL,34,0),"-")</f>
        <v>이문수</v>
      </c>
      <c r="F1578" s="168" t="s">
        <v>6335</v>
      </c>
      <c r="G1578" s="179">
        <f>COUNTIF(작성용!A:B,$A1578)-COUNTIFS(작성용!A:A,$A1578,작성용!AA:AA,"평가철회")</f>
        <v>9</v>
      </c>
    </row>
    <row r="1579" spans="1:7" ht="16.5" customHeight="1" x14ac:dyDescent="0.3">
      <c r="A1579" s="170" t="s">
        <v>3207</v>
      </c>
      <c r="B1579" s="165" t="s">
        <v>3208</v>
      </c>
      <c r="C1579" s="165" t="str">
        <f>IFERROR(VLOOKUP($A1579,작성용!A:AL,14,0),"-")</f>
        <v>-</v>
      </c>
      <c r="D1579" s="169" t="s">
        <v>6316</v>
      </c>
      <c r="E1579" s="167" t="str">
        <f>IFERROR(VLOOKUP(A1579,작성용!A:AL,34,0),"-")</f>
        <v>-</v>
      </c>
      <c r="F1579" s="168" t="s">
        <v>6335</v>
      </c>
      <c r="G1579" s="179">
        <f>COUNTIF(작성용!A:B,$A1579)-COUNTIFS(작성용!A:A,$A1579,작성용!AA:AA,"평가철회")</f>
        <v>0</v>
      </c>
    </row>
    <row r="1580" spans="1:7" ht="16.5" customHeight="1" x14ac:dyDescent="0.3">
      <c r="A1580" s="170" t="s">
        <v>3209</v>
      </c>
      <c r="B1580" s="165" t="s">
        <v>6570</v>
      </c>
      <c r="C1580" s="165" t="str">
        <f>IFERROR(VLOOKUP($A1580,작성용!A:AL,14,0),"-")</f>
        <v>-</v>
      </c>
      <c r="D1580" s="169" t="s">
        <v>3210</v>
      </c>
      <c r="E1580" s="167" t="str">
        <f>IFERROR(VLOOKUP(A1580,작성용!A:AL,34,0),"-")</f>
        <v>-</v>
      </c>
      <c r="F1580" s="168" t="s">
        <v>2</v>
      </c>
      <c r="G1580" s="179">
        <f>COUNTIF(작성용!A:B,$A1580)-COUNTIFS(작성용!A:A,$A1580,작성용!AA:AA,"평가철회")</f>
        <v>0</v>
      </c>
    </row>
    <row r="1581" spans="1:7" ht="16.5" customHeight="1" x14ac:dyDescent="0.3">
      <c r="A1581" s="170" t="s">
        <v>3211</v>
      </c>
      <c r="B1581" s="165" t="s">
        <v>6571</v>
      </c>
      <c r="C1581" s="165" t="str">
        <f>IFERROR(VLOOKUP($A1581,작성용!A:AL,14,0),"-")</f>
        <v>-</v>
      </c>
      <c r="D1581" s="169" t="s">
        <v>6276</v>
      </c>
      <c r="E1581" s="167" t="str">
        <f>IFERROR(VLOOKUP(A1581,작성용!A:AL,34,0),"-")</f>
        <v>-</v>
      </c>
      <c r="F1581" s="168" t="s">
        <v>2</v>
      </c>
      <c r="G1581" s="179">
        <f>COUNTIF(작성용!A:B,$A1581)-COUNTIFS(작성용!A:A,$A1581,작성용!AA:AA,"평가철회")</f>
        <v>0</v>
      </c>
    </row>
    <row r="1582" spans="1:7" ht="16.5" customHeight="1" x14ac:dyDescent="0.3">
      <c r="A1582" s="170" t="s">
        <v>3212</v>
      </c>
      <c r="B1582" s="165" t="s">
        <v>6572</v>
      </c>
      <c r="C1582" s="165" t="str">
        <f>IFERROR(VLOOKUP($A1582,작성용!A:AL,14,0),"-")</f>
        <v>-</v>
      </c>
      <c r="D1582" s="169" t="s">
        <v>247</v>
      </c>
      <c r="E1582" s="167" t="str">
        <f>IFERROR(VLOOKUP(A1582,작성용!A:AL,34,0),"-")</f>
        <v>-</v>
      </c>
      <c r="F1582" s="168" t="s">
        <v>2</v>
      </c>
      <c r="G1582" s="179">
        <f>COUNTIF(작성용!A:B,$A1582)-COUNTIFS(작성용!A:A,$A1582,작성용!AA:AA,"평가철회")</f>
        <v>0</v>
      </c>
    </row>
    <row r="1583" spans="1:7" ht="16.5" customHeight="1" x14ac:dyDescent="0.3">
      <c r="A1583" s="170" t="s">
        <v>3213</v>
      </c>
      <c r="B1583" s="165" t="s">
        <v>3214</v>
      </c>
      <c r="C1583" s="165" t="str">
        <f>IFERROR(VLOOKUP($A1583,작성용!A:AL,14,0),"-")</f>
        <v>-</v>
      </c>
      <c r="D1583" s="169" t="s">
        <v>273</v>
      </c>
      <c r="E1583" s="167" t="str">
        <f>IFERROR(VLOOKUP(A1583,작성용!A:AL,34,0),"-")</f>
        <v>-</v>
      </c>
      <c r="F1583" s="168" t="s">
        <v>2</v>
      </c>
      <c r="G1583" s="179">
        <f>COUNTIF(작성용!A:B,$A1583)-COUNTIFS(작성용!A:A,$A1583,작성용!AA:AA,"평가철회")</f>
        <v>0</v>
      </c>
    </row>
    <row r="1584" spans="1:7" ht="16.5" customHeight="1" x14ac:dyDescent="0.3">
      <c r="A1584" s="170" t="s">
        <v>3215</v>
      </c>
      <c r="B1584" s="165" t="s">
        <v>3216</v>
      </c>
      <c r="C1584" s="165" t="str">
        <f>IFERROR(VLOOKUP($A1584,작성용!A:AL,14,0),"-")</f>
        <v>-</v>
      </c>
      <c r="D1584" s="169" t="s">
        <v>2</v>
      </c>
      <c r="E1584" s="167" t="str">
        <f>IFERROR(VLOOKUP(A1584,작성용!A:AL,34,0),"-")</f>
        <v>-</v>
      </c>
      <c r="F1584" s="168" t="s">
        <v>2</v>
      </c>
      <c r="G1584" s="179">
        <f>COUNTIF(작성용!A:B,$A1584)-COUNTIFS(작성용!A:A,$A1584,작성용!AA:AA,"평가철회")</f>
        <v>0</v>
      </c>
    </row>
    <row r="1585" spans="1:7" ht="16.5" customHeight="1" x14ac:dyDescent="0.3">
      <c r="A1585" s="170" t="s">
        <v>3217</v>
      </c>
      <c r="B1585" s="165" t="s">
        <v>6573</v>
      </c>
      <c r="C1585" s="165" t="str">
        <f>IFERROR(VLOOKUP($A1585,작성용!A:AL,14,0),"-")</f>
        <v>-</v>
      </c>
      <c r="D1585" s="169" t="s">
        <v>6574</v>
      </c>
      <c r="E1585" s="167" t="str">
        <f>IFERROR(VLOOKUP(A1585,작성용!A:AL,34,0),"-")</f>
        <v>-</v>
      </c>
      <c r="F1585" s="168" t="s">
        <v>2</v>
      </c>
      <c r="G1585" s="179">
        <f>COUNTIF(작성용!A:B,$A1585)-COUNTIFS(작성용!A:A,$A1585,작성용!AA:AA,"평가철회")</f>
        <v>0</v>
      </c>
    </row>
    <row r="1586" spans="1:7" ht="16.5" customHeight="1" x14ac:dyDescent="0.3">
      <c r="A1586" s="170" t="s">
        <v>20</v>
      </c>
      <c r="B1586" s="165" t="s">
        <v>6575</v>
      </c>
      <c r="C1586" s="165" t="str">
        <f>IFERROR(VLOOKUP($A1586,작성용!A:AL,14,0),"-")</f>
        <v>-</v>
      </c>
      <c r="D1586" s="169" t="s">
        <v>6576</v>
      </c>
      <c r="E1586" s="167" t="str">
        <f>IFERROR(VLOOKUP(A1586,작성용!A:AL,34,0),"-")</f>
        <v>-</v>
      </c>
      <c r="F1586" s="168" t="s">
        <v>6270</v>
      </c>
      <c r="G1586" s="179">
        <f>COUNTIF(작성용!A:B,$A1586)-COUNTIFS(작성용!A:A,$A1586,작성용!AA:AA,"평가철회")</f>
        <v>0</v>
      </c>
    </row>
    <row r="1587" spans="1:7" ht="16.5" customHeight="1" x14ac:dyDescent="0.3">
      <c r="A1587" s="170" t="s">
        <v>3218</v>
      </c>
      <c r="B1587" s="165" t="s">
        <v>6577</v>
      </c>
      <c r="C1587" s="165" t="str">
        <f>IFERROR(VLOOKUP($A1587,작성용!A:AL,14,0),"-")</f>
        <v>-</v>
      </c>
      <c r="D1587" s="169" t="s">
        <v>6578</v>
      </c>
      <c r="E1587" s="167" t="str">
        <f>IFERROR(VLOOKUP(A1587,작성용!A:AL,34,0),"-")</f>
        <v>-</v>
      </c>
      <c r="F1587" s="168" t="s">
        <v>2</v>
      </c>
      <c r="G1587" s="179">
        <f>COUNTIF(작성용!A:B,$A1587)-COUNTIFS(작성용!A:A,$A1587,작성용!AA:AA,"평가철회")</f>
        <v>0</v>
      </c>
    </row>
    <row r="1588" spans="1:7" ht="16.5" customHeight="1" x14ac:dyDescent="0.3">
      <c r="A1588" s="170" t="s">
        <v>3219</v>
      </c>
      <c r="B1588" s="165" t="s">
        <v>6579</v>
      </c>
      <c r="C1588" s="165" t="str">
        <f>IFERROR(VLOOKUP($A1588,작성용!A:AL,14,0),"-")</f>
        <v>-</v>
      </c>
      <c r="D1588" s="169" t="s">
        <v>6334</v>
      </c>
      <c r="E1588" s="167" t="str">
        <f>IFERROR(VLOOKUP(A1588,작성용!A:AL,34,0),"-")</f>
        <v>-</v>
      </c>
      <c r="F1588" s="168" t="s">
        <v>6270</v>
      </c>
      <c r="G1588" s="179">
        <f>COUNTIF(작성용!A:B,$A1588)-COUNTIFS(작성용!A:A,$A1588,작성용!AA:AA,"평가철회")</f>
        <v>0</v>
      </c>
    </row>
    <row r="1589" spans="1:7" ht="16.5" customHeight="1" x14ac:dyDescent="0.3">
      <c r="A1589" s="170" t="s">
        <v>3220</v>
      </c>
      <c r="B1589" s="165" t="s">
        <v>3221</v>
      </c>
      <c r="C1589" s="165" t="str">
        <f>IFERROR(VLOOKUP($A1589,작성용!A:AL,14,0),"-")</f>
        <v>-</v>
      </c>
      <c r="D1589" s="169" t="s">
        <v>75</v>
      </c>
      <c r="E1589" s="167" t="str">
        <f>IFERROR(VLOOKUP(A1589,작성용!A:AL,34,0),"-")</f>
        <v>-</v>
      </c>
      <c r="F1589" s="168" t="s">
        <v>2</v>
      </c>
      <c r="G1589" s="179">
        <f>COUNTIF(작성용!A:B,$A1589)-COUNTIFS(작성용!A:A,$A1589,작성용!AA:AA,"평가철회")</f>
        <v>0</v>
      </c>
    </row>
    <row r="1590" spans="1:7" ht="16.5" customHeight="1" x14ac:dyDescent="0.3">
      <c r="A1590" s="170" t="s">
        <v>3222</v>
      </c>
      <c r="B1590" s="165" t="s">
        <v>3223</v>
      </c>
      <c r="C1590" s="165" t="str">
        <f>IFERROR(VLOOKUP($A1590,작성용!A:AL,14,0),"-")</f>
        <v>-</v>
      </c>
      <c r="D1590" s="169" t="s">
        <v>498</v>
      </c>
      <c r="E1590" s="167" t="str">
        <f>IFERROR(VLOOKUP(A1590,작성용!A:AL,34,0),"-")</f>
        <v>-</v>
      </c>
      <c r="F1590" s="168" t="s">
        <v>6283</v>
      </c>
      <c r="G1590" s="179">
        <f>COUNTIF(작성용!A:B,$A1590)-COUNTIFS(작성용!A:A,$A1590,작성용!AA:AA,"평가철회")</f>
        <v>0</v>
      </c>
    </row>
    <row r="1591" spans="1:7" ht="16.5" customHeight="1" x14ac:dyDescent="0.3">
      <c r="A1591" s="170" t="s">
        <v>3224</v>
      </c>
      <c r="B1591" s="165" t="s">
        <v>832</v>
      </c>
      <c r="C1591" s="165" t="str">
        <f>IFERROR(VLOOKUP($A1591,작성용!A:AL,14,0),"-")</f>
        <v>-</v>
      </c>
      <c r="D1591" s="169" t="s">
        <v>635</v>
      </c>
      <c r="E1591" s="167" t="str">
        <f>IFERROR(VLOOKUP(A1591,작성용!A:AL,34,0),"-")</f>
        <v>-</v>
      </c>
      <c r="F1591" s="168" t="s">
        <v>2</v>
      </c>
      <c r="G1591" s="179">
        <f>COUNTIF(작성용!A:B,$A1591)-COUNTIFS(작성용!A:A,$A1591,작성용!AA:AA,"평가철회")</f>
        <v>0</v>
      </c>
    </row>
    <row r="1592" spans="1:7" ht="16.5" customHeight="1" x14ac:dyDescent="0.3">
      <c r="A1592" s="170" t="s">
        <v>3225</v>
      </c>
      <c r="B1592" s="165" t="s">
        <v>3074</v>
      </c>
      <c r="C1592" s="165" t="str">
        <f>IFERROR(VLOOKUP($A1592,작성용!A:AL,14,0),"-")</f>
        <v>-</v>
      </c>
      <c r="D1592" s="169" t="s">
        <v>6305</v>
      </c>
      <c r="E1592" s="167" t="str">
        <f>IFERROR(VLOOKUP(A1592,작성용!A:AL,34,0),"-")</f>
        <v>-</v>
      </c>
      <c r="F1592" s="168" t="s">
        <v>6335</v>
      </c>
      <c r="G1592" s="179">
        <f>COUNTIF(작성용!A:B,$A1592)-COUNTIFS(작성용!A:A,$A1592,작성용!AA:AA,"평가철회")</f>
        <v>0</v>
      </c>
    </row>
    <row r="1593" spans="1:7" ht="16.5" customHeight="1" x14ac:dyDescent="0.3">
      <c r="A1593" s="170" t="s">
        <v>3226</v>
      </c>
      <c r="B1593" s="165" t="s">
        <v>3227</v>
      </c>
      <c r="C1593" s="165" t="str">
        <f>IFERROR(VLOOKUP($A1593,작성용!A:AL,14,0),"-")</f>
        <v>-</v>
      </c>
      <c r="D1593" s="169" t="s">
        <v>6334</v>
      </c>
      <c r="E1593" s="167" t="str">
        <f>IFERROR(VLOOKUP(A1593,작성용!A:AL,34,0),"-")</f>
        <v>-</v>
      </c>
      <c r="F1593" s="168" t="s">
        <v>6336</v>
      </c>
      <c r="G1593" s="179">
        <f>COUNTIF(작성용!A:B,$A1593)-COUNTIFS(작성용!A:A,$A1593,작성용!AA:AA,"평가철회")</f>
        <v>0</v>
      </c>
    </row>
    <row r="1594" spans="1:7" ht="16.5" customHeight="1" x14ac:dyDescent="0.3">
      <c r="A1594" s="170" t="s">
        <v>3228</v>
      </c>
      <c r="B1594" s="165" t="s">
        <v>6580</v>
      </c>
      <c r="C1594" s="165" t="str">
        <f>IFERROR(VLOOKUP($A1594,작성용!A:AL,14,0),"-")</f>
        <v>-</v>
      </c>
      <c r="D1594" s="169" t="s">
        <v>6581</v>
      </c>
      <c r="E1594" s="167" t="str">
        <f>IFERROR(VLOOKUP(A1594,작성용!A:AL,34,0),"-")</f>
        <v>-</v>
      </c>
      <c r="F1594" s="168" t="s">
        <v>2</v>
      </c>
      <c r="G1594" s="179">
        <f>COUNTIF(작성용!A:B,$A1594)-COUNTIFS(작성용!A:A,$A1594,작성용!AA:AA,"평가철회")</f>
        <v>0</v>
      </c>
    </row>
    <row r="1595" spans="1:7" ht="16.5" customHeight="1" x14ac:dyDescent="0.3">
      <c r="A1595" s="170" t="s">
        <v>3229</v>
      </c>
      <c r="B1595" s="165" t="s">
        <v>3230</v>
      </c>
      <c r="C1595" s="165" t="str">
        <f>IFERROR(VLOOKUP($A1595,작성용!A:AL,14,0),"-")</f>
        <v>-</v>
      </c>
      <c r="D1595" s="169" t="s">
        <v>1814</v>
      </c>
      <c r="E1595" s="167" t="str">
        <f>IFERROR(VLOOKUP(A1595,작성용!A:AL,34,0),"-")</f>
        <v>-</v>
      </c>
      <c r="F1595" s="168" t="s">
        <v>2</v>
      </c>
      <c r="G1595" s="179">
        <f>COUNTIF(작성용!A:B,$A1595)-COUNTIFS(작성용!A:A,$A1595,작성용!AA:AA,"평가철회")</f>
        <v>0</v>
      </c>
    </row>
    <row r="1596" spans="1:7" ht="16.5" customHeight="1" x14ac:dyDescent="0.3">
      <c r="A1596" s="170" t="s">
        <v>3231</v>
      </c>
      <c r="B1596" s="165" t="s">
        <v>3232</v>
      </c>
      <c r="C1596" s="165" t="str">
        <f>IFERROR(VLOOKUP($A1596,작성용!A:AL,14,0),"-")</f>
        <v>-</v>
      </c>
      <c r="D1596" s="169" t="s">
        <v>6348</v>
      </c>
      <c r="E1596" s="167" t="str">
        <f>IFERROR(VLOOKUP(A1596,작성용!A:AL,34,0),"-")</f>
        <v>-</v>
      </c>
      <c r="F1596" s="168" t="s">
        <v>6304</v>
      </c>
      <c r="G1596" s="179">
        <f>COUNTIF(작성용!A:B,$A1596)-COUNTIFS(작성용!A:A,$A1596,작성용!AA:AA,"평가철회")</f>
        <v>0</v>
      </c>
    </row>
    <row r="1597" spans="1:7" ht="16.5" customHeight="1" x14ac:dyDescent="0.3">
      <c r="A1597" s="170" t="s">
        <v>3233</v>
      </c>
      <c r="B1597" s="165" t="s">
        <v>3234</v>
      </c>
      <c r="C1597" s="165" t="str">
        <f>IFERROR(VLOOKUP($A1597,작성용!A:AL,14,0),"-")</f>
        <v>-</v>
      </c>
      <c r="D1597" s="169" t="s">
        <v>247</v>
      </c>
      <c r="E1597" s="167" t="str">
        <f>IFERROR(VLOOKUP(A1597,작성용!A:AL,34,0),"-")</f>
        <v>-</v>
      </c>
      <c r="F1597" s="168" t="s">
        <v>2</v>
      </c>
      <c r="G1597" s="179">
        <f>COUNTIF(작성용!A:B,$A1597)-COUNTIFS(작성용!A:A,$A1597,작성용!AA:AA,"평가철회")</f>
        <v>0</v>
      </c>
    </row>
    <row r="1598" spans="1:7" ht="16.5" customHeight="1" x14ac:dyDescent="0.3">
      <c r="A1598" s="170" t="s">
        <v>3235</v>
      </c>
      <c r="B1598" s="165" t="s">
        <v>3236</v>
      </c>
      <c r="C1598" s="165" t="str">
        <f>IFERROR(VLOOKUP($A1598,작성용!A:AL,14,0),"-")</f>
        <v>-</v>
      </c>
      <c r="D1598" s="169" t="s">
        <v>220</v>
      </c>
      <c r="E1598" s="167" t="str">
        <f>IFERROR(VLOOKUP(A1598,작성용!A:AL,34,0),"-")</f>
        <v>-</v>
      </c>
      <c r="F1598" s="168" t="s">
        <v>2</v>
      </c>
      <c r="G1598" s="179">
        <f>COUNTIF(작성용!A:B,$A1598)-COUNTIFS(작성용!A:A,$A1598,작성용!AA:AA,"평가철회")</f>
        <v>0</v>
      </c>
    </row>
    <row r="1599" spans="1:7" ht="16.5" customHeight="1" x14ac:dyDescent="0.3">
      <c r="A1599" s="170" t="s">
        <v>3237</v>
      </c>
      <c r="B1599" s="165" t="s">
        <v>3238</v>
      </c>
      <c r="C1599" s="165" t="str">
        <f>IFERROR(VLOOKUP($A1599,작성용!A:AL,14,0),"-")</f>
        <v>-</v>
      </c>
      <c r="D1599" s="169" t="s">
        <v>220</v>
      </c>
      <c r="E1599" s="167" t="str">
        <f>IFERROR(VLOOKUP(A1599,작성용!A:AL,34,0),"-")</f>
        <v>-</v>
      </c>
      <c r="F1599" s="168" t="s">
        <v>2</v>
      </c>
      <c r="G1599" s="179">
        <f>COUNTIF(작성용!A:B,$A1599)-COUNTIFS(작성용!A:A,$A1599,작성용!AA:AA,"평가철회")</f>
        <v>0</v>
      </c>
    </row>
    <row r="1600" spans="1:7" ht="16.5" customHeight="1" x14ac:dyDescent="0.3">
      <c r="A1600" s="170" t="s">
        <v>3239</v>
      </c>
      <c r="B1600" s="165" t="s">
        <v>3240</v>
      </c>
      <c r="C1600" s="165" t="str">
        <f>IFERROR(VLOOKUP($A1600,작성용!A:AL,14,0),"-")</f>
        <v>-</v>
      </c>
      <c r="D1600" s="169" t="s">
        <v>220</v>
      </c>
      <c r="E1600" s="167" t="str">
        <f>IFERROR(VLOOKUP(A1600,작성용!A:AL,34,0),"-")</f>
        <v>-</v>
      </c>
      <c r="F1600" s="168" t="s">
        <v>2</v>
      </c>
      <c r="G1600" s="179">
        <f>COUNTIF(작성용!A:B,$A1600)-COUNTIFS(작성용!A:A,$A1600,작성용!AA:AA,"평가철회")</f>
        <v>0</v>
      </c>
    </row>
    <row r="1601" spans="1:7" ht="16.5" customHeight="1" x14ac:dyDescent="0.3">
      <c r="A1601" s="170" t="s">
        <v>3241</v>
      </c>
      <c r="B1601" s="165" t="s">
        <v>3242</v>
      </c>
      <c r="C1601" s="165" t="str">
        <f>IFERROR(VLOOKUP($A1601,작성용!A:AL,14,0),"-")</f>
        <v>-</v>
      </c>
      <c r="D1601" s="169" t="s">
        <v>220</v>
      </c>
      <c r="E1601" s="167" t="str">
        <f>IFERROR(VLOOKUP(A1601,작성용!A:AL,34,0),"-")</f>
        <v>-</v>
      </c>
      <c r="F1601" s="168" t="s">
        <v>2</v>
      </c>
      <c r="G1601" s="179">
        <f>COUNTIF(작성용!A:B,$A1601)-COUNTIFS(작성용!A:A,$A1601,작성용!AA:AA,"평가철회")</f>
        <v>0</v>
      </c>
    </row>
    <row r="1602" spans="1:7" ht="16.5" customHeight="1" x14ac:dyDescent="0.3">
      <c r="A1602" s="170" t="s">
        <v>3243</v>
      </c>
      <c r="B1602" s="165" t="s">
        <v>3244</v>
      </c>
      <c r="C1602" s="165" t="str">
        <f>IFERROR(VLOOKUP($A1602,작성용!A:AL,14,0),"-")</f>
        <v>-</v>
      </c>
      <c r="D1602" s="169" t="s">
        <v>220</v>
      </c>
      <c r="E1602" s="167" t="str">
        <f>IFERROR(VLOOKUP(A1602,작성용!A:AL,34,0),"-")</f>
        <v>-</v>
      </c>
      <c r="F1602" s="168" t="s">
        <v>6335</v>
      </c>
      <c r="G1602" s="179">
        <f>COUNTIF(작성용!A:B,$A1602)-COUNTIFS(작성용!A:A,$A1602,작성용!AA:AA,"평가철회")</f>
        <v>0</v>
      </c>
    </row>
    <row r="1603" spans="1:7" ht="16.5" customHeight="1" x14ac:dyDescent="0.3">
      <c r="A1603" s="170" t="s">
        <v>3245</v>
      </c>
      <c r="B1603" s="165" t="s">
        <v>3246</v>
      </c>
      <c r="C1603" s="165" t="str">
        <f>IFERROR(VLOOKUP($A1603,작성용!A:AL,14,0),"-")</f>
        <v>-</v>
      </c>
      <c r="D1603" s="169" t="s">
        <v>220</v>
      </c>
      <c r="E1603" s="167" t="str">
        <f>IFERROR(VLOOKUP(A1603,작성용!A:AL,34,0),"-")</f>
        <v>-</v>
      </c>
      <c r="F1603" s="168" t="s">
        <v>2</v>
      </c>
      <c r="G1603" s="179">
        <f>COUNTIF(작성용!A:B,$A1603)-COUNTIFS(작성용!A:A,$A1603,작성용!AA:AA,"평가철회")</f>
        <v>0</v>
      </c>
    </row>
    <row r="1604" spans="1:7" ht="16.5" customHeight="1" x14ac:dyDescent="0.3">
      <c r="A1604" s="170" t="s">
        <v>3247</v>
      </c>
      <c r="B1604" s="165" t="s">
        <v>6582</v>
      </c>
      <c r="C1604" s="165" t="str">
        <f>IFERROR(VLOOKUP($A1604,작성용!A:AL,14,0),"-")</f>
        <v>-</v>
      </c>
      <c r="D1604" s="169" t="s">
        <v>6351</v>
      </c>
      <c r="E1604" s="167" t="str">
        <f>IFERROR(VLOOKUP(A1604,작성용!A:AL,34,0),"-")</f>
        <v>-</v>
      </c>
      <c r="F1604" s="168" t="s">
        <v>6304</v>
      </c>
      <c r="G1604" s="179">
        <f>COUNTIF(작성용!A:B,$A1604)-COUNTIFS(작성용!A:A,$A1604,작성용!AA:AA,"평가철회")</f>
        <v>0</v>
      </c>
    </row>
    <row r="1605" spans="1:7" ht="16.5" customHeight="1" x14ac:dyDescent="0.3">
      <c r="A1605" s="170" t="s">
        <v>3248</v>
      </c>
      <c r="B1605" s="165" t="s">
        <v>3249</v>
      </c>
      <c r="C1605" s="165" t="str">
        <f>IFERROR(VLOOKUP($A1605,작성용!A:AL,14,0),"-")</f>
        <v>-</v>
      </c>
      <c r="D1605" s="169" t="s">
        <v>220</v>
      </c>
      <c r="E1605" s="167" t="str">
        <f>IFERROR(VLOOKUP(A1605,작성용!A:AL,34,0),"-")</f>
        <v>-</v>
      </c>
      <c r="F1605" s="168" t="s">
        <v>6336</v>
      </c>
      <c r="G1605" s="179">
        <f>COUNTIF(작성용!A:B,$A1605)-COUNTIFS(작성용!A:A,$A1605,작성용!AA:AA,"평가철회")</f>
        <v>0</v>
      </c>
    </row>
    <row r="1606" spans="1:7" ht="16.5" customHeight="1" x14ac:dyDescent="0.3">
      <c r="A1606" s="170" t="s">
        <v>3250</v>
      </c>
      <c r="B1606" s="165" t="s">
        <v>6583</v>
      </c>
      <c r="C1606" s="165" t="str">
        <f>IFERROR(VLOOKUP($A1606,작성용!A:AL,14,0),"-")</f>
        <v>-</v>
      </c>
      <c r="D1606" s="169" t="s">
        <v>6584</v>
      </c>
      <c r="E1606" s="167" t="str">
        <f>IFERROR(VLOOKUP(A1606,작성용!A:AL,34,0),"-")</f>
        <v>-</v>
      </c>
      <c r="F1606" s="168" t="s">
        <v>6337</v>
      </c>
      <c r="G1606" s="179">
        <f>COUNTIF(작성용!A:B,$A1606)-COUNTIFS(작성용!A:A,$A1606,작성용!AA:AA,"평가철회")</f>
        <v>0</v>
      </c>
    </row>
    <row r="1607" spans="1:7" ht="16.5" customHeight="1" x14ac:dyDescent="0.3">
      <c r="A1607" s="170" t="s">
        <v>3251</v>
      </c>
      <c r="B1607" s="165" t="s">
        <v>3252</v>
      </c>
      <c r="C1607" s="165" t="str">
        <f>IFERROR(VLOOKUP($A1607,작성용!A:AL,14,0),"-")</f>
        <v>-</v>
      </c>
      <c r="D1607" s="169" t="s">
        <v>220</v>
      </c>
      <c r="E1607" s="167" t="str">
        <f>IFERROR(VLOOKUP(A1607,작성용!A:AL,34,0),"-")</f>
        <v>-</v>
      </c>
      <c r="F1607" s="168" t="s">
        <v>2</v>
      </c>
      <c r="G1607" s="179">
        <f>COUNTIF(작성용!A:B,$A1607)-COUNTIFS(작성용!A:A,$A1607,작성용!AA:AA,"평가철회")</f>
        <v>0</v>
      </c>
    </row>
    <row r="1608" spans="1:7" ht="16.5" customHeight="1" x14ac:dyDescent="0.3">
      <c r="A1608" s="170" t="s">
        <v>3253</v>
      </c>
      <c r="B1608" s="165" t="s">
        <v>3254</v>
      </c>
      <c r="C1608" s="165" t="str">
        <f>IFERROR(VLOOKUP($A1608,작성용!A:AL,14,0),"-")</f>
        <v>-</v>
      </c>
      <c r="D1608" s="169" t="s">
        <v>3255</v>
      </c>
      <c r="E1608" s="167" t="str">
        <f>IFERROR(VLOOKUP(A1608,작성용!A:AL,34,0),"-")</f>
        <v>-</v>
      </c>
      <c r="F1608" s="168" t="s">
        <v>2</v>
      </c>
      <c r="G1608" s="179">
        <f>COUNTIF(작성용!A:B,$A1608)-COUNTIFS(작성용!A:A,$A1608,작성용!AA:AA,"평가철회")</f>
        <v>0</v>
      </c>
    </row>
    <row r="1609" spans="1:7" ht="16.5" customHeight="1" x14ac:dyDescent="0.3">
      <c r="A1609" s="170" t="s">
        <v>3256</v>
      </c>
      <c r="B1609" s="165" t="s">
        <v>3257</v>
      </c>
      <c r="C1609" s="165" t="str">
        <f>IFERROR(VLOOKUP($A1609,작성용!A:AL,14,0),"-")</f>
        <v>-</v>
      </c>
      <c r="D1609" s="169" t="s">
        <v>220</v>
      </c>
      <c r="E1609" s="167" t="str">
        <f>IFERROR(VLOOKUP(A1609,작성용!A:AL,34,0),"-")</f>
        <v>-</v>
      </c>
      <c r="F1609" s="168" t="s">
        <v>6336</v>
      </c>
      <c r="G1609" s="179">
        <f>COUNTIF(작성용!A:B,$A1609)-COUNTIFS(작성용!A:A,$A1609,작성용!AA:AA,"평가철회")</f>
        <v>0</v>
      </c>
    </row>
    <row r="1610" spans="1:7" ht="16.5" customHeight="1" x14ac:dyDescent="0.3">
      <c r="A1610" s="170" t="s">
        <v>3258</v>
      </c>
      <c r="B1610" s="165" t="s">
        <v>3259</v>
      </c>
      <c r="C1610" s="165" t="str">
        <f>IFERROR(VLOOKUP($A1610,작성용!A:AL,14,0),"-")</f>
        <v>-</v>
      </c>
      <c r="D1610" s="169" t="s">
        <v>6585</v>
      </c>
      <c r="E1610" s="167" t="str">
        <f>IFERROR(VLOOKUP(A1610,작성용!A:AL,34,0),"-")</f>
        <v>-</v>
      </c>
      <c r="F1610" s="168" t="s">
        <v>6342</v>
      </c>
      <c r="G1610" s="179">
        <f>COUNTIF(작성용!A:B,$A1610)-COUNTIFS(작성용!A:A,$A1610,작성용!AA:AA,"평가철회")</f>
        <v>0</v>
      </c>
    </row>
    <row r="1611" spans="1:7" ht="16.5" customHeight="1" x14ac:dyDescent="0.3">
      <c r="A1611" s="170" t="s">
        <v>3260</v>
      </c>
      <c r="B1611" s="165" t="s">
        <v>3261</v>
      </c>
      <c r="C1611" s="165" t="str">
        <f>IFERROR(VLOOKUP($A1611,작성용!A:AL,14,0),"-")</f>
        <v>-</v>
      </c>
      <c r="D1611" s="169" t="s">
        <v>6295</v>
      </c>
      <c r="E1611" s="167" t="str">
        <f>IFERROR(VLOOKUP(A1611,작성용!A:AL,34,0),"-")</f>
        <v>-</v>
      </c>
      <c r="F1611" s="168" t="s">
        <v>6304</v>
      </c>
      <c r="G1611" s="179">
        <f>COUNTIF(작성용!A:B,$A1611)-COUNTIFS(작성용!A:A,$A1611,작성용!AA:AA,"평가철회")</f>
        <v>0</v>
      </c>
    </row>
    <row r="1612" spans="1:7" ht="16.5" customHeight="1" x14ac:dyDescent="0.3">
      <c r="A1612" s="170" t="s">
        <v>3262</v>
      </c>
      <c r="B1612" s="165" t="s">
        <v>3263</v>
      </c>
      <c r="C1612" s="165" t="str">
        <f>IFERROR(VLOOKUP($A1612,작성용!A:AL,14,0),"-")</f>
        <v>-</v>
      </c>
      <c r="D1612" s="169" t="s">
        <v>74</v>
      </c>
      <c r="E1612" s="167" t="str">
        <f>IFERROR(VLOOKUP(A1612,작성용!A:AL,34,0),"-")</f>
        <v>-</v>
      </c>
      <c r="F1612" s="168" t="s">
        <v>2</v>
      </c>
      <c r="G1612" s="179">
        <f>COUNTIF(작성용!A:B,$A1612)-COUNTIFS(작성용!A:A,$A1612,작성용!AA:AA,"평가철회")</f>
        <v>0</v>
      </c>
    </row>
    <row r="1613" spans="1:7" ht="16.5" customHeight="1" x14ac:dyDescent="0.3">
      <c r="A1613" s="170" t="s">
        <v>3264</v>
      </c>
      <c r="B1613" s="165" t="s">
        <v>3265</v>
      </c>
      <c r="C1613" s="165" t="str">
        <f>IFERROR(VLOOKUP($A1613,작성용!A:AL,14,0),"-")</f>
        <v>-</v>
      </c>
      <c r="D1613" s="169" t="s">
        <v>6355</v>
      </c>
      <c r="E1613" s="167" t="str">
        <f>IFERROR(VLOOKUP(A1613,작성용!A:AL,34,0),"-")</f>
        <v>-</v>
      </c>
      <c r="F1613" s="168" t="s">
        <v>6304</v>
      </c>
      <c r="G1613" s="179">
        <f>COUNTIF(작성용!A:B,$A1613)-COUNTIFS(작성용!A:A,$A1613,작성용!AA:AA,"평가철회")</f>
        <v>0</v>
      </c>
    </row>
    <row r="1614" spans="1:7" ht="16.5" customHeight="1" x14ac:dyDescent="0.3">
      <c r="A1614" s="170" t="s">
        <v>3266</v>
      </c>
      <c r="B1614" s="165" t="s">
        <v>3267</v>
      </c>
      <c r="C1614" s="165" t="str">
        <f>IFERROR(VLOOKUP($A1614,작성용!A:AL,14,0),"-")</f>
        <v>-</v>
      </c>
      <c r="D1614" s="169" t="s">
        <v>71</v>
      </c>
      <c r="E1614" s="167" t="str">
        <f>IFERROR(VLOOKUP(A1614,작성용!A:AL,34,0),"-")</f>
        <v>-</v>
      </c>
      <c r="F1614" s="168" t="s">
        <v>2</v>
      </c>
      <c r="G1614" s="179">
        <f>COUNTIF(작성용!A:B,$A1614)-COUNTIFS(작성용!A:A,$A1614,작성용!AA:AA,"평가철회")</f>
        <v>0</v>
      </c>
    </row>
    <row r="1615" spans="1:7" ht="16.5" customHeight="1" x14ac:dyDescent="0.3">
      <c r="A1615" s="170" t="s">
        <v>3268</v>
      </c>
      <c r="B1615" s="165" t="s">
        <v>3269</v>
      </c>
      <c r="C1615" s="165" t="str">
        <f>IFERROR(VLOOKUP($A1615,작성용!A:AL,14,0),"-")</f>
        <v>-</v>
      </c>
      <c r="D1615" s="169" t="s">
        <v>220</v>
      </c>
      <c r="E1615" s="167" t="str">
        <f>IFERROR(VLOOKUP(A1615,작성용!A:AL,34,0),"-")</f>
        <v>-</v>
      </c>
      <c r="F1615" s="168" t="s">
        <v>2</v>
      </c>
      <c r="G1615" s="179">
        <f>COUNTIF(작성용!A:B,$A1615)-COUNTIFS(작성용!A:A,$A1615,작성용!AA:AA,"평가철회")</f>
        <v>0</v>
      </c>
    </row>
    <row r="1616" spans="1:7" ht="16.5" customHeight="1" x14ac:dyDescent="0.3">
      <c r="A1616" s="170" t="s">
        <v>3270</v>
      </c>
      <c r="B1616" s="165" t="s">
        <v>3271</v>
      </c>
      <c r="C1616" s="165" t="str">
        <f>IFERROR(VLOOKUP($A1616,작성용!A:AL,14,0),"-")</f>
        <v>-</v>
      </c>
      <c r="D1616" s="169" t="s">
        <v>463</v>
      </c>
      <c r="E1616" s="167" t="str">
        <f>IFERROR(VLOOKUP(A1616,작성용!A:AL,34,0),"-")</f>
        <v>-</v>
      </c>
      <c r="F1616" s="168" t="s">
        <v>2</v>
      </c>
      <c r="G1616" s="179">
        <f>COUNTIF(작성용!A:B,$A1616)-COUNTIFS(작성용!A:A,$A1616,작성용!AA:AA,"평가철회")</f>
        <v>0</v>
      </c>
    </row>
    <row r="1617" spans="1:7" ht="16.5" customHeight="1" x14ac:dyDescent="0.3">
      <c r="A1617" s="170" t="s">
        <v>3272</v>
      </c>
      <c r="B1617" s="165" t="s">
        <v>3273</v>
      </c>
      <c r="C1617" s="165" t="str">
        <f>IFERROR(VLOOKUP($A1617,작성용!A:AL,14,0),"-")</f>
        <v>-</v>
      </c>
      <c r="D1617" s="169" t="s">
        <v>2</v>
      </c>
      <c r="E1617" s="167" t="str">
        <f>IFERROR(VLOOKUP(A1617,작성용!A:AL,34,0),"-")</f>
        <v>-</v>
      </c>
      <c r="F1617" s="168" t="s">
        <v>6335</v>
      </c>
      <c r="G1617" s="179">
        <f>COUNTIF(작성용!A:B,$A1617)-COUNTIFS(작성용!A:A,$A1617,작성용!AA:AA,"평가철회")</f>
        <v>0</v>
      </c>
    </row>
    <row r="1618" spans="1:7" ht="16.5" customHeight="1" x14ac:dyDescent="0.3">
      <c r="A1618" s="170" t="s">
        <v>3274</v>
      </c>
      <c r="B1618" s="165" t="s">
        <v>3275</v>
      </c>
      <c r="C1618" s="165" t="str">
        <f>IFERROR(VLOOKUP($A1618,작성용!A:AL,14,0),"-")</f>
        <v>-</v>
      </c>
      <c r="D1618" s="169" t="s">
        <v>13</v>
      </c>
      <c r="E1618" s="167" t="str">
        <f>IFERROR(VLOOKUP(A1618,작성용!A:AL,34,0),"-")</f>
        <v>-</v>
      </c>
      <c r="F1618" s="168" t="s">
        <v>2</v>
      </c>
      <c r="G1618" s="179">
        <f>COUNTIF(작성용!A:B,$A1618)-COUNTIFS(작성용!A:A,$A1618,작성용!AA:AA,"평가철회")</f>
        <v>0</v>
      </c>
    </row>
    <row r="1619" spans="1:7" ht="16.5" customHeight="1" x14ac:dyDescent="0.3">
      <c r="A1619" s="170" t="s">
        <v>3276</v>
      </c>
      <c r="B1619" s="165" t="s">
        <v>3277</v>
      </c>
      <c r="C1619" s="165" t="str">
        <f>IFERROR(VLOOKUP($A1619,작성용!A:AL,14,0),"-")</f>
        <v>-</v>
      </c>
      <c r="D1619" s="169" t="s">
        <v>220</v>
      </c>
      <c r="E1619" s="167" t="str">
        <f>IFERROR(VLOOKUP(A1619,작성용!A:AL,34,0),"-")</f>
        <v>-</v>
      </c>
      <c r="F1619" s="168" t="s">
        <v>2</v>
      </c>
      <c r="G1619" s="179">
        <f>COUNTIF(작성용!A:B,$A1619)-COUNTIFS(작성용!A:A,$A1619,작성용!AA:AA,"평가철회")</f>
        <v>0</v>
      </c>
    </row>
    <row r="1620" spans="1:7" ht="16.5" customHeight="1" x14ac:dyDescent="0.3">
      <c r="A1620" s="170" t="s">
        <v>3278</v>
      </c>
      <c r="B1620" s="165" t="s">
        <v>3113</v>
      </c>
      <c r="C1620" s="165" t="str">
        <f>IFERROR(VLOOKUP($A1620,작성용!A:AL,14,0),"-")</f>
        <v>-</v>
      </c>
      <c r="D1620" s="169" t="s">
        <v>244</v>
      </c>
      <c r="E1620" s="167" t="str">
        <f>IFERROR(VLOOKUP(A1620,작성용!A:AL,34,0),"-")</f>
        <v>-</v>
      </c>
      <c r="F1620" s="168" t="s">
        <v>2</v>
      </c>
      <c r="G1620" s="179">
        <f>COUNTIF(작성용!A:B,$A1620)-COUNTIFS(작성용!A:A,$A1620,작성용!AA:AA,"평가철회")</f>
        <v>0</v>
      </c>
    </row>
    <row r="1621" spans="1:7" ht="16.5" customHeight="1" x14ac:dyDescent="0.3">
      <c r="A1621" s="170" t="s">
        <v>3279</v>
      </c>
      <c r="B1621" s="165" t="s">
        <v>3280</v>
      </c>
      <c r="C1621" s="165" t="str">
        <f>IFERROR(VLOOKUP($A1621,작성용!A:AL,14,0),"-")</f>
        <v>-</v>
      </c>
      <c r="D1621" s="169" t="s">
        <v>273</v>
      </c>
      <c r="E1621" s="167" t="str">
        <f>IFERROR(VLOOKUP(A1621,작성용!A:AL,34,0),"-")</f>
        <v>-</v>
      </c>
      <c r="F1621" s="168" t="s">
        <v>2</v>
      </c>
      <c r="G1621" s="179">
        <f>COUNTIF(작성용!A:B,$A1621)-COUNTIFS(작성용!A:A,$A1621,작성용!AA:AA,"평가철회")</f>
        <v>0</v>
      </c>
    </row>
    <row r="1622" spans="1:7" ht="16.5" customHeight="1" x14ac:dyDescent="0.3">
      <c r="A1622" s="170" t="s">
        <v>3281</v>
      </c>
      <c r="B1622" s="165" t="s">
        <v>3141</v>
      </c>
      <c r="C1622" s="165" t="str">
        <f>IFERROR(VLOOKUP($A1622,작성용!A:AL,14,0),"-")</f>
        <v>-</v>
      </c>
      <c r="D1622" s="169" t="s">
        <v>1652</v>
      </c>
      <c r="E1622" s="167" t="str">
        <f>IFERROR(VLOOKUP(A1622,작성용!A:AL,34,0),"-")</f>
        <v>-</v>
      </c>
      <c r="F1622" s="168" t="s">
        <v>6270</v>
      </c>
      <c r="G1622" s="179">
        <f>COUNTIF(작성용!A:B,$A1622)-COUNTIFS(작성용!A:A,$A1622,작성용!AA:AA,"평가철회")</f>
        <v>0</v>
      </c>
    </row>
    <row r="1623" spans="1:7" ht="16.5" customHeight="1" x14ac:dyDescent="0.3">
      <c r="A1623" s="170" t="s">
        <v>3282</v>
      </c>
      <c r="B1623" s="165" t="s">
        <v>3283</v>
      </c>
      <c r="C1623" s="165" t="str">
        <f>IFERROR(VLOOKUP($A1623,작성용!A:AL,14,0),"-")</f>
        <v>-</v>
      </c>
      <c r="D1623" s="169" t="s">
        <v>220</v>
      </c>
      <c r="E1623" s="167" t="str">
        <f>IFERROR(VLOOKUP(A1623,작성용!A:AL,34,0),"-")</f>
        <v>-</v>
      </c>
      <c r="F1623" s="168" t="s">
        <v>2</v>
      </c>
      <c r="G1623" s="179">
        <f>COUNTIF(작성용!A:B,$A1623)-COUNTIFS(작성용!A:A,$A1623,작성용!AA:AA,"평가철회")</f>
        <v>0</v>
      </c>
    </row>
    <row r="1624" spans="1:7" ht="16.5" customHeight="1" x14ac:dyDescent="0.3">
      <c r="A1624" s="170" t="s">
        <v>3284</v>
      </c>
      <c r="B1624" s="165" t="s">
        <v>3285</v>
      </c>
      <c r="C1624" s="165" t="str">
        <f>IFERROR(VLOOKUP($A1624,작성용!A:AL,14,0),"-")</f>
        <v>-</v>
      </c>
      <c r="D1624" s="169" t="s">
        <v>220</v>
      </c>
      <c r="E1624" s="167" t="str">
        <f>IFERROR(VLOOKUP(A1624,작성용!A:AL,34,0),"-")</f>
        <v>-</v>
      </c>
      <c r="F1624" s="168" t="s">
        <v>2</v>
      </c>
      <c r="G1624" s="179">
        <f>COUNTIF(작성용!A:B,$A1624)-COUNTIFS(작성용!A:A,$A1624,작성용!AA:AA,"평가철회")</f>
        <v>0</v>
      </c>
    </row>
    <row r="1625" spans="1:7" ht="16.5" customHeight="1" x14ac:dyDescent="0.3">
      <c r="A1625" s="170" t="s">
        <v>3286</v>
      </c>
      <c r="B1625" s="165" t="s">
        <v>3287</v>
      </c>
      <c r="C1625" s="165" t="str">
        <f>IFERROR(VLOOKUP($A1625,작성용!A:AL,14,0),"-")</f>
        <v>-</v>
      </c>
      <c r="D1625" s="169" t="s">
        <v>556</v>
      </c>
      <c r="E1625" s="167" t="str">
        <f>IFERROR(VLOOKUP(A1625,작성용!A:AL,34,0),"-")</f>
        <v>-</v>
      </c>
      <c r="F1625" s="168" t="s">
        <v>2</v>
      </c>
      <c r="G1625" s="179">
        <f>COUNTIF(작성용!A:B,$A1625)-COUNTIFS(작성용!A:A,$A1625,작성용!AA:AA,"평가철회")</f>
        <v>0</v>
      </c>
    </row>
    <row r="1626" spans="1:7" ht="16.5" customHeight="1" x14ac:dyDescent="0.3">
      <c r="A1626" s="170" t="s">
        <v>3288</v>
      </c>
      <c r="B1626" s="165" t="s">
        <v>3289</v>
      </c>
      <c r="C1626" s="165" t="str">
        <f>IFERROR(VLOOKUP($A1626,작성용!A:AL,14,0),"-")</f>
        <v>-</v>
      </c>
      <c r="D1626" s="169" t="s">
        <v>6586</v>
      </c>
      <c r="E1626" s="167" t="str">
        <f>IFERROR(VLOOKUP(A1626,작성용!A:AL,34,0),"-")</f>
        <v>-</v>
      </c>
      <c r="F1626" s="168" t="s">
        <v>6304</v>
      </c>
      <c r="G1626" s="179">
        <f>COUNTIF(작성용!A:B,$A1626)-COUNTIFS(작성용!A:A,$A1626,작성용!AA:AA,"평가철회")</f>
        <v>0</v>
      </c>
    </row>
    <row r="1627" spans="1:7" ht="16.5" customHeight="1" x14ac:dyDescent="0.3">
      <c r="A1627" s="170" t="s">
        <v>3290</v>
      </c>
      <c r="B1627" s="165" t="s">
        <v>3291</v>
      </c>
      <c r="C1627" s="165" t="str">
        <f>IFERROR(VLOOKUP($A1627,작성용!A:AL,14,0),"-")</f>
        <v>-</v>
      </c>
      <c r="D1627" s="169" t="s">
        <v>220</v>
      </c>
      <c r="E1627" s="167" t="str">
        <f>IFERROR(VLOOKUP(A1627,작성용!A:AL,34,0),"-")</f>
        <v>-</v>
      </c>
      <c r="F1627" s="168" t="s">
        <v>2</v>
      </c>
      <c r="G1627" s="179">
        <f>COUNTIF(작성용!A:B,$A1627)-COUNTIFS(작성용!A:A,$A1627,작성용!AA:AA,"평가철회")</f>
        <v>0</v>
      </c>
    </row>
    <row r="1628" spans="1:7" ht="16.5" customHeight="1" x14ac:dyDescent="0.3">
      <c r="A1628" s="170" t="s">
        <v>3292</v>
      </c>
      <c r="B1628" s="165" t="s">
        <v>3293</v>
      </c>
      <c r="C1628" s="165" t="str">
        <f>IFERROR(VLOOKUP($A1628,작성용!A:AL,14,0),"-")</f>
        <v>-</v>
      </c>
      <c r="D1628" s="169" t="s">
        <v>220</v>
      </c>
      <c r="E1628" s="167" t="str">
        <f>IFERROR(VLOOKUP(A1628,작성용!A:AL,34,0),"-")</f>
        <v>-</v>
      </c>
      <c r="F1628" s="168" t="s">
        <v>2</v>
      </c>
      <c r="G1628" s="179">
        <f>COUNTIF(작성용!A:B,$A1628)-COUNTIFS(작성용!A:A,$A1628,작성용!AA:AA,"평가철회")</f>
        <v>0</v>
      </c>
    </row>
    <row r="1629" spans="1:7" ht="16.5" customHeight="1" x14ac:dyDescent="0.3">
      <c r="A1629" s="170" t="s">
        <v>3294</v>
      </c>
      <c r="B1629" s="165" t="s">
        <v>3137</v>
      </c>
      <c r="C1629" s="165" t="str">
        <f>IFERROR(VLOOKUP($A1629,작성용!A:AL,14,0),"-")</f>
        <v>-</v>
      </c>
      <c r="D1629" s="169" t="s">
        <v>1551</v>
      </c>
      <c r="E1629" s="167" t="str">
        <f>IFERROR(VLOOKUP(A1629,작성용!A:AL,34,0),"-")</f>
        <v>-</v>
      </c>
      <c r="F1629" s="168" t="s">
        <v>2</v>
      </c>
      <c r="G1629" s="179">
        <f>COUNTIF(작성용!A:B,$A1629)-COUNTIFS(작성용!A:A,$A1629,작성용!AA:AA,"평가철회")</f>
        <v>0</v>
      </c>
    </row>
    <row r="1630" spans="1:7" ht="16.5" customHeight="1" x14ac:dyDescent="0.3">
      <c r="A1630" s="170" t="s">
        <v>3295</v>
      </c>
      <c r="B1630" s="165" t="s">
        <v>3139</v>
      </c>
      <c r="C1630" s="165" t="str">
        <f>IFERROR(VLOOKUP($A1630,작성용!A:AL,14,0),"-")</f>
        <v>-</v>
      </c>
      <c r="D1630" s="169" t="s">
        <v>2</v>
      </c>
      <c r="E1630" s="167" t="str">
        <f>IFERROR(VLOOKUP(A1630,작성용!A:AL,34,0),"-")</f>
        <v>-</v>
      </c>
      <c r="F1630" s="168" t="s">
        <v>2</v>
      </c>
      <c r="G1630" s="179">
        <f>COUNTIF(작성용!A:B,$A1630)-COUNTIFS(작성용!A:A,$A1630,작성용!AA:AA,"평가철회")</f>
        <v>0</v>
      </c>
    </row>
    <row r="1631" spans="1:7" ht="16.5" customHeight="1" x14ac:dyDescent="0.3">
      <c r="A1631" s="170" t="s">
        <v>3296</v>
      </c>
      <c r="B1631" s="165" t="s">
        <v>6587</v>
      </c>
      <c r="C1631" s="165" t="str">
        <f>IFERROR(VLOOKUP($A1631,작성용!A:AL,14,0),"-")</f>
        <v>-</v>
      </c>
      <c r="D1631" s="169" t="s">
        <v>6588</v>
      </c>
      <c r="E1631" s="167" t="str">
        <f>IFERROR(VLOOKUP(A1631,작성용!A:AL,34,0),"-")</f>
        <v>-</v>
      </c>
      <c r="F1631" s="168" t="s">
        <v>6283</v>
      </c>
      <c r="G1631" s="179">
        <f>COUNTIF(작성용!A:B,$A1631)-COUNTIFS(작성용!A:A,$A1631,작성용!AA:AA,"평가철회")</f>
        <v>0</v>
      </c>
    </row>
    <row r="1632" spans="1:7" ht="16.5" customHeight="1" x14ac:dyDescent="0.3">
      <c r="A1632" s="170" t="s">
        <v>3297</v>
      </c>
      <c r="B1632" s="165" t="s">
        <v>6589</v>
      </c>
      <c r="C1632" s="165" t="str">
        <f>IFERROR(VLOOKUP($A1632,작성용!A:AL,14,0),"-")</f>
        <v>-</v>
      </c>
      <c r="D1632" s="169" t="s">
        <v>6590</v>
      </c>
      <c r="E1632" s="167" t="str">
        <f>IFERROR(VLOOKUP(A1632,작성용!A:AL,34,0),"-")</f>
        <v>-</v>
      </c>
      <c r="F1632" s="168" t="s">
        <v>6283</v>
      </c>
      <c r="G1632" s="179">
        <f>COUNTIF(작성용!A:B,$A1632)-COUNTIFS(작성용!A:A,$A1632,작성용!AA:AA,"평가철회")</f>
        <v>0</v>
      </c>
    </row>
    <row r="1633" spans="1:7" ht="16.5" customHeight="1" x14ac:dyDescent="0.3">
      <c r="A1633" s="170" t="s">
        <v>3298</v>
      </c>
      <c r="B1633" s="165" t="s">
        <v>3299</v>
      </c>
      <c r="C1633" s="165" t="str">
        <f>IFERROR(VLOOKUP($A1633,작성용!A:AL,14,0),"-")</f>
        <v>-</v>
      </c>
      <c r="D1633" s="169" t="s">
        <v>6591</v>
      </c>
      <c r="E1633" s="167" t="str">
        <f>IFERROR(VLOOKUP(A1633,작성용!A:AL,34,0),"-")</f>
        <v>-</v>
      </c>
      <c r="F1633" s="168" t="s">
        <v>2</v>
      </c>
      <c r="G1633" s="179">
        <f>COUNTIF(작성용!A:B,$A1633)-COUNTIFS(작성용!A:A,$A1633,작성용!AA:AA,"평가철회")</f>
        <v>0</v>
      </c>
    </row>
    <row r="1634" spans="1:7" ht="16.5" customHeight="1" x14ac:dyDescent="0.3">
      <c r="A1634" s="170" t="s">
        <v>3300</v>
      </c>
      <c r="B1634" s="165" t="s">
        <v>3301</v>
      </c>
      <c r="C1634" s="165" t="str">
        <f>IFERROR(VLOOKUP($A1634,작성용!A:AL,14,0),"-")</f>
        <v>-</v>
      </c>
      <c r="D1634" s="169" t="s">
        <v>3302</v>
      </c>
      <c r="E1634" s="167" t="str">
        <f>IFERROR(VLOOKUP(A1634,작성용!A:AL,34,0),"-")</f>
        <v>-</v>
      </c>
      <c r="F1634" s="168" t="s">
        <v>6304</v>
      </c>
      <c r="G1634" s="179">
        <f>COUNTIF(작성용!A:B,$A1634)-COUNTIFS(작성용!A:A,$A1634,작성용!AA:AA,"평가철회")</f>
        <v>0</v>
      </c>
    </row>
    <row r="1635" spans="1:7" ht="16.5" customHeight="1" x14ac:dyDescent="0.3">
      <c r="A1635" s="170" t="s">
        <v>3303</v>
      </c>
      <c r="B1635" s="165" t="s">
        <v>3304</v>
      </c>
      <c r="C1635" s="165" t="str">
        <f>IFERROR(VLOOKUP($A1635,작성용!A:AL,14,0),"-")</f>
        <v>-</v>
      </c>
      <c r="D1635" s="169" t="s">
        <v>220</v>
      </c>
      <c r="E1635" s="167" t="str">
        <f>IFERROR(VLOOKUP(A1635,작성용!A:AL,34,0),"-")</f>
        <v>-</v>
      </c>
      <c r="F1635" s="168" t="s">
        <v>6335</v>
      </c>
      <c r="G1635" s="179">
        <f>COUNTIF(작성용!A:B,$A1635)-COUNTIFS(작성용!A:A,$A1635,작성용!AA:AA,"평가철회")</f>
        <v>0</v>
      </c>
    </row>
    <row r="1636" spans="1:7" x14ac:dyDescent="0.3">
      <c r="A1636" s="170" t="s">
        <v>3305</v>
      </c>
      <c r="B1636" s="165" t="s">
        <v>3306</v>
      </c>
      <c r="C1636" s="165" t="str">
        <f>IFERROR(VLOOKUP($A1636,작성용!A:AL,14,0),"-")</f>
        <v>-</v>
      </c>
      <c r="D1636" s="169" t="s">
        <v>6592</v>
      </c>
      <c r="E1636" s="167" t="str">
        <f>IFERROR(VLOOKUP(A1636,작성용!A:AL,34,0),"-")</f>
        <v>-</v>
      </c>
      <c r="F1636" s="168" t="s">
        <v>6304</v>
      </c>
      <c r="G1636" s="179">
        <f>COUNTIF(작성용!A:B,$A1636)-COUNTIFS(작성용!A:A,$A1636,작성용!AA:AA,"평가철회")</f>
        <v>0</v>
      </c>
    </row>
    <row r="1637" spans="1:7" ht="16.5" customHeight="1" x14ac:dyDescent="0.3">
      <c r="A1637" s="170" t="s">
        <v>3307</v>
      </c>
      <c r="B1637" s="165" t="s">
        <v>3308</v>
      </c>
      <c r="C1637" s="165" t="str">
        <f>IFERROR(VLOOKUP($A1637,작성용!A:AL,14,0),"-")</f>
        <v>-</v>
      </c>
      <c r="D1637" s="169" t="s">
        <v>220</v>
      </c>
      <c r="E1637" s="167" t="str">
        <f>IFERROR(VLOOKUP(A1637,작성용!A:AL,34,0),"-")</f>
        <v>-</v>
      </c>
      <c r="F1637" s="168" t="s">
        <v>2</v>
      </c>
      <c r="G1637" s="179">
        <f>COUNTIF(작성용!A:B,$A1637)-COUNTIFS(작성용!A:A,$A1637,작성용!AA:AA,"평가철회")</f>
        <v>0</v>
      </c>
    </row>
    <row r="1638" spans="1:7" ht="16.5" customHeight="1" x14ac:dyDescent="0.3">
      <c r="A1638" s="170" t="s">
        <v>3309</v>
      </c>
      <c r="B1638" s="165" t="s">
        <v>6593</v>
      </c>
      <c r="C1638" s="165" t="str">
        <f>IFERROR(VLOOKUP($A1638,작성용!A:AL,14,0),"-")</f>
        <v>-</v>
      </c>
      <c r="D1638" s="169" t="s">
        <v>6578</v>
      </c>
      <c r="E1638" s="167" t="str">
        <f>IFERROR(VLOOKUP(A1638,작성용!A:AL,34,0),"-")</f>
        <v>-</v>
      </c>
      <c r="F1638" s="168" t="s">
        <v>6283</v>
      </c>
      <c r="G1638" s="179">
        <f>COUNTIF(작성용!A:B,$A1638)-COUNTIFS(작성용!A:A,$A1638,작성용!AA:AA,"평가철회")</f>
        <v>0</v>
      </c>
    </row>
    <row r="1639" spans="1:7" ht="16.5" customHeight="1" x14ac:dyDescent="0.3">
      <c r="A1639" s="170" t="s">
        <v>3310</v>
      </c>
      <c r="B1639" s="165" t="s">
        <v>3311</v>
      </c>
      <c r="C1639" s="165" t="str">
        <f>IFERROR(VLOOKUP($A1639,작성용!A:AL,14,0),"-")</f>
        <v>-</v>
      </c>
      <c r="D1639" s="169" t="s">
        <v>635</v>
      </c>
      <c r="E1639" s="167" t="str">
        <f>IFERROR(VLOOKUP(A1639,작성용!A:AL,34,0),"-")</f>
        <v>-</v>
      </c>
      <c r="F1639" s="168" t="s">
        <v>2</v>
      </c>
      <c r="G1639" s="179">
        <f>COUNTIF(작성용!A:B,$A1639)-COUNTIFS(작성용!A:A,$A1639,작성용!AA:AA,"평가철회")</f>
        <v>0</v>
      </c>
    </row>
    <row r="1640" spans="1:7" ht="16.5" customHeight="1" x14ac:dyDescent="0.3">
      <c r="A1640" s="170" t="s">
        <v>3312</v>
      </c>
      <c r="B1640" s="165" t="s">
        <v>3313</v>
      </c>
      <c r="C1640" s="165" t="str">
        <f>IFERROR(VLOOKUP($A1640,작성용!A:AL,14,0),"-")</f>
        <v>-</v>
      </c>
      <c r="D1640" s="169" t="s">
        <v>220</v>
      </c>
      <c r="E1640" s="167" t="str">
        <f>IFERROR(VLOOKUP(A1640,작성용!A:AL,34,0),"-")</f>
        <v>-</v>
      </c>
      <c r="F1640" s="168" t="s">
        <v>2</v>
      </c>
      <c r="G1640" s="179">
        <f>COUNTIF(작성용!A:B,$A1640)-COUNTIFS(작성용!A:A,$A1640,작성용!AA:AA,"평가철회")</f>
        <v>0</v>
      </c>
    </row>
    <row r="1641" spans="1:7" ht="16.5" customHeight="1" x14ac:dyDescent="0.3">
      <c r="A1641" s="170" t="s">
        <v>3314</v>
      </c>
      <c r="B1641" s="165" t="s">
        <v>3315</v>
      </c>
      <c r="C1641" s="165" t="str">
        <f>IFERROR(VLOOKUP($A1641,작성용!A:AL,14,0),"-")</f>
        <v>-</v>
      </c>
      <c r="D1641" s="169" t="s">
        <v>244</v>
      </c>
      <c r="E1641" s="167" t="str">
        <f>IFERROR(VLOOKUP(A1641,작성용!A:AL,34,0),"-")</f>
        <v>-</v>
      </c>
      <c r="F1641" s="168" t="s">
        <v>2</v>
      </c>
      <c r="G1641" s="179">
        <f>COUNTIF(작성용!A:B,$A1641)-COUNTIFS(작성용!A:A,$A1641,작성용!AA:AA,"평가철회")</f>
        <v>0</v>
      </c>
    </row>
    <row r="1642" spans="1:7" ht="16.5" customHeight="1" x14ac:dyDescent="0.3">
      <c r="A1642" s="170" t="s">
        <v>3316</v>
      </c>
      <c r="B1642" s="165" t="s">
        <v>3317</v>
      </c>
      <c r="C1642" s="165" t="str">
        <f>IFERROR(VLOOKUP($A1642,작성용!A:AL,14,0),"-")</f>
        <v>-</v>
      </c>
      <c r="D1642" s="169" t="s">
        <v>6323</v>
      </c>
      <c r="E1642" s="167" t="str">
        <f>IFERROR(VLOOKUP(A1642,작성용!A:AL,34,0),"-")</f>
        <v>-</v>
      </c>
      <c r="F1642" s="168" t="s">
        <v>6283</v>
      </c>
      <c r="G1642" s="179">
        <f>COUNTIF(작성용!A:B,$A1642)-COUNTIFS(작성용!A:A,$A1642,작성용!AA:AA,"평가철회")</f>
        <v>0</v>
      </c>
    </row>
    <row r="1643" spans="1:7" ht="16.5" customHeight="1" x14ac:dyDescent="0.3">
      <c r="A1643" s="170" t="s">
        <v>3318</v>
      </c>
      <c r="B1643" s="165" t="s">
        <v>6594</v>
      </c>
      <c r="C1643" s="165" t="str">
        <f>IFERROR(VLOOKUP($A1643,작성용!A:AL,14,0),"-")</f>
        <v>-</v>
      </c>
      <c r="D1643" s="169" t="s">
        <v>6281</v>
      </c>
      <c r="E1643" s="167" t="str">
        <f>IFERROR(VLOOKUP(A1643,작성용!A:AL,34,0),"-")</f>
        <v>-</v>
      </c>
      <c r="F1643" s="168" t="s">
        <v>6304</v>
      </c>
      <c r="G1643" s="179">
        <f>COUNTIF(작성용!A:B,$A1643)-COUNTIFS(작성용!A:A,$A1643,작성용!AA:AA,"평가철회")</f>
        <v>0</v>
      </c>
    </row>
    <row r="1644" spans="1:7" ht="16.5" customHeight="1" x14ac:dyDescent="0.3">
      <c r="A1644" s="170" t="s">
        <v>3319</v>
      </c>
      <c r="B1644" s="165" t="s">
        <v>3320</v>
      </c>
      <c r="C1644" s="165" t="str">
        <f>IFERROR(VLOOKUP($A1644,작성용!A:AL,14,0),"-")</f>
        <v>-</v>
      </c>
      <c r="D1644" s="169" t="s">
        <v>6595</v>
      </c>
      <c r="E1644" s="167" t="str">
        <f>IFERROR(VLOOKUP(A1644,작성용!A:AL,34,0),"-")</f>
        <v>-</v>
      </c>
      <c r="F1644" s="168" t="s">
        <v>6283</v>
      </c>
      <c r="G1644" s="179">
        <f>COUNTIF(작성용!A:B,$A1644)-COUNTIFS(작성용!A:A,$A1644,작성용!AA:AA,"평가철회")</f>
        <v>0</v>
      </c>
    </row>
    <row r="1645" spans="1:7" ht="16.5" customHeight="1" x14ac:dyDescent="0.3">
      <c r="A1645" s="170" t="s">
        <v>3321</v>
      </c>
      <c r="B1645" s="165" t="s">
        <v>3200</v>
      </c>
      <c r="C1645" s="165" t="str">
        <f>IFERROR(VLOOKUP($A1645,작성용!A:AL,14,0),"-")</f>
        <v>-</v>
      </c>
      <c r="D1645" s="169" t="s">
        <v>244</v>
      </c>
      <c r="E1645" s="167" t="str">
        <f>IFERROR(VLOOKUP(A1645,작성용!A:AL,34,0),"-")</f>
        <v>-</v>
      </c>
      <c r="F1645" s="168" t="s">
        <v>2</v>
      </c>
      <c r="G1645" s="179">
        <f>COUNTIF(작성용!A:B,$A1645)-COUNTIFS(작성용!A:A,$A1645,작성용!AA:AA,"평가철회")</f>
        <v>0</v>
      </c>
    </row>
    <row r="1646" spans="1:7" ht="16.5" customHeight="1" x14ac:dyDescent="0.3">
      <c r="A1646" s="170" t="s">
        <v>3322</v>
      </c>
      <c r="B1646" s="165" t="s">
        <v>6596</v>
      </c>
      <c r="C1646" s="165" t="str">
        <f>IFERROR(VLOOKUP($A1646,작성용!A:AL,14,0),"-")</f>
        <v>-</v>
      </c>
      <c r="D1646" s="169" t="s">
        <v>6597</v>
      </c>
      <c r="E1646" s="167" t="str">
        <f>IFERROR(VLOOKUP(A1646,작성용!A:AL,34,0),"-")</f>
        <v>-</v>
      </c>
      <c r="F1646" s="168" t="s">
        <v>6283</v>
      </c>
      <c r="G1646" s="179">
        <f>COUNTIF(작성용!A:B,$A1646)-COUNTIFS(작성용!A:A,$A1646,작성용!AA:AA,"평가철회")</f>
        <v>0</v>
      </c>
    </row>
    <row r="1647" spans="1:7" ht="16.5" customHeight="1" x14ac:dyDescent="0.3">
      <c r="A1647" s="170" t="s">
        <v>3323</v>
      </c>
      <c r="B1647" s="165" t="s">
        <v>3252</v>
      </c>
      <c r="C1647" s="165" t="str">
        <f>IFERROR(VLOOKUP($A1647,작성용!A:AL,14,0),"-")</f>
        <v>-</v>
      </c>
      <c r="D1647" s="169" t="s">
        <v>6325</v>
      </c>
      <c r="E1647" s="167" t="str">
        <f>IFERROR(VLOOKUP(A1647,작성용!A:AL,34,0),"-")</f>
        <v>-</v>
      </c>
      <c r="F1647" s="168" t="s">
        <v>6304</v>
      </c>
      <c r="G1647" s="179">
        <f>COUNTIF(작성용!A:B,$A1647)-COUNTIFS(작성용!A:A,$A1647,작성용!AA:AA,"평가철회")</f>
        <v>0</v>
      </c>
    </row>
    <row r="1648" spans="1:7" ht="16.5" customHeight="1" x14ac:dyDescent="0.3">
      <c r="A1648" s="170" t="s">
        <v>3324</v>
      </c>
      <c r="B1648" s="165" t="s">
        <v>3325</v>
      </c>
      <c r="C1648" s="165" t="str">
        <f>IFERROR(VLOOKUP($A1648,작성용!A:AL,14,0),"-")</f>
        <v>-</v>
      </c>
      <c r="D1648" s="169" t="s">
        <v>6312</v>
      </c>
      <c r="E1648" s="167" t="str">
        <f>IFERROR(VLOOKUP(A1648,작성용!A:AL,34,0),"-")</f>
        <v>-</v>
      </c>
      <c r="F1648" s="168" t="s">
        <v>6331</v>
      </c>
      <c r="G1648" s="179">
        <f>COUNTIF(작성용!A:B,$A1648)-COUNTIFS(작성용!A:A,$A1648,작성용!AA:AA,"평가철회")</f>
        <v>0</v>
      </c>
    </row>
    <row r="1649" spans="1:7" ht="16.5" customHeight="1" x14ac:dyDescent="0.3">
      <c r="A1649" s="170" t="s">
        <v>3326</v>
      </c>
      <c r="B1649" s="165" t="s">
        <v>3327</v>
      </c>
      <c r="C1649" s="165" t="str">
        <f>IFERROR(VLOOKUP($A1649,작성용!A:AL,14,0),"-")</f>
        <v xml:space="preserve">연말 </v>
      </c>
      <c r="D1649" s="169" t="s">
        <v>6355</v>
      </c>
      <c r="E1649" s="167" t="str">
        <f>IFERROR(VLOOKUP(A1649,작성용!A:AL,34,0),"-")</f>
        <v>김예림</v>
      </c>
      <c r="F1649" s="168" t="s">
        <v>6335</v>
      </c>
      <c r="G1649" s="179">
        <f>COUNTIF(작성용!A:B,$A1649)-COUNTIFS(작성용!A:A,$A1649,작성용!AA:AA,"평가철회")</f>
        <v>1</v>
      </c>
    </row>
    <row r="1650" spans="1:7" ht="16.5" customHeight="1" x14ac:dyDescent="0.3">
      <c r="A1650" s="170" t="s">
        <v>3328</v>
      </c>
      <c r="B1650" s="165" t="s">
        <v>3329</v>
      </c>
      <c r="C1650" s="165" t="str">
        <f>IFERROR(VLOOKUP($A1650,작성용!A:AL,14,0),"-")</f>
        <v>-</v>
      </c>
      <c r="D1650" s="169" t="s">
        <v>336</v>
      </c>
      <c r="E1650" s="167" t="str">
        <f>IFERROR(VLOOKUP(A1650,작성용!A:AL,34,0),"-")</f>
        <v>-</v>
      </c>
      <c r="F1650" s="168" t="s">
        <v>2</v>
      </c>
      <c r="G1650" s="179">
        <f>COUNTIF(작성용!A:B,$A1650)-COUNTIFS(작성용!A:A,$A1650,작성용!AA:AA,"평가철회")</f>
        <v>0</v>
      </c>
    </row>
    <row r="1651" spans="1:7" ht="16.5" customHeight="1" x14ac:dyDescent="0.3">
      <c r="A1651" s="170" t="s">
        <v>3330</v>
      </c>
      <c r="B1651" s="165" t="s">
        <v>3331</v>
      </c>
      <c r="C1651" s="165" t="str">
        <f>IFERROR(VLOOKUP($A1651,작성용!A:AL,14,0),"-")</f>
        <v>반기</v>
      </c>
      <c r="D1651" s="169" t="s">
        <v>220</v>
      </c>
      <c r="E1651" s="167" t="str">
        <f>IFERROR(VLOOKUP(A1651,작성용!A:AL,34,0),"-")</f>
        <v>메자닌평가팀</v>
      </c>
      <c r="F1651" s="168" t="s">
        <v>6342</v>
      </c>
      <c r="G1651" s="179">
        <f>COUNTIF(작성용!A:B,$A1651)-COUNTIFS(작성용!A:A,$A1651,작성용!AA:AA,"평가철회")</f>
        <v>8</v>
      </c>
    </row>
    <row r="1652" spans="1:7" ht="16.5" customHeight="1" x14ac:dyDescent="0.3">
      <c r="A1652" s="170" t="s">
        <v>3332</v>
      </c>
      <c r="B1652" s="165" t="s">
        <v>3333</v>
      </c>
      <c r="C1652" s="165" t="str">
        <f>IFERROR(VLOOKUP($A1652,작성용!A:AL,14,0),"-")</f>
        <v>-</v>
      </c>
      <c r="D1652" s="169" t="s">
        <v>336</v>
      </c>
      <c r="E1652" s="167" t="str">
        <f>IFERROR(VLOOKUP(A1652,작성용!A:AL,34,0),"-")</f>
        <v>-</v>
      </c>
      <c r="F1652" s="168" t="s">
        <v>2</v>
      </c>
      <c r="G1652" s="179">
        <f>COUNTIF(작성용!A:B,$A1652)-COUNTIFS(작성용!A:A,$A1652,작성용!AA:AA,"평가철회")</f>
        <v>0</v>
      </c>
    </row>
    <row r="1653" spans="1:7" ht="16.5" customHeight="1" x14ac:dyDescent="0.3">
      <c r="A1653" s="170" t="s">
        <v>3334</v>
      </c>
      <c r="B1653" s="165" t="s">
        <v>3277</v>
      </c>
      <c r="C1653" s="165" t="str">
        <f>IFERROR(VLOOKUP($A1653,작성용!A:AL,14,0),"-")</f>
        <v>-</v>
      </c>
      <c r="D1653" s="169" t="s">
        <v>1551</v>
      </c>
      <c r="E1653" s="167" t="str">
        <f>IFERROR(VLOOKUP(A1653,작성용!A:AL,34,0),"-")</f>
        <v>-</v>
      </c>
      <c r="F1653" s="168" t="s">
        <v>2</v>
      </c>
      <c r="G1653" s="179">
        <f>COUNTIF(작성용!A:B,$A1653)-COUNTIFS(작성용!A:A,$A1653,작성용!AA:AA,"평가철회")</f>
        <v>0</v>
      </c>
    </row>
    <row r="1654" spans="1:7" ht="16.5" customHeight="1" x14ac:dyDescent="0.3">
      <c r="A1654" s="170" t="s">
        <v>3335</v>
      </c>
      <c r="B1654" s="165" t="s">
        <v>3336</v>
      </c>
      <c r="C1654" s="165" t="str">
        <f>IFERROR(VLOOKUP($A1654,작성용!A:AL,14,0),"-")</f>
        <v>-</v>
      </c>
      <c r="D1654" s="169" t="s">
        <v>220</v>
      </c>
      <c r="E1654" s="167" t="str">
        <f>IFERROR(VLOOKUP(A1654,작성용!A:AL,34,0),"-")</f>
        <v>-</v>
      </c>
      <c r="F1654" s="168" t="s">
        <v>2</v>
      </c>
      <c r="G1654" s="179">
        <f>COUNTIF(작성용!A:B,$A1654)-COUNTIFS(작성용!A:A,$A1654,작성용!AA:AA,"평가철회")</f>
        <v>0</v>
      </c>
    </row>
    <row r="1655" spans="1:7" ht="16.5" customHeight="1" x14ac:dyDescent="0.3">
      <c r="A1655" s="170" t="s">
        <v>3337</v>
      </c>
      <c r="B1655" s="165" t="s">
        <v>3338</v>
      </c>
      <c r="C1655" s="165" t="str">
        <f>IFERROR(VLOOKUP($A1655,작성용!A:AL,14,0),"-")</f>
        <v>-</v>
      </c>
      <c r="D1655" s="169" t="s">
        <v>495</v>
      </c>
      <c r="E1655" s="167" t="str">
        <f>IFERROR(VLOOKUP(A1655,작성용!A:AL,34,0),"-")</f>
        <v>-</v>
      </c>
      <c r="F1655" s="168" t="s">
        <v>2</v>
      </c>
      <c r="G1655" s="179">
        <f>COUNTIF(작성용!A:B,$A1655)-COUNTIFS(작성용!A:A,$A1655,작성용!AA:AA,"평가철회")</f>
        <v>0</v>
      </c>
    </row>
    <row r="1656" spans="1:7" ht="16.5" customHeight="1" x14ac:dyDescent="0.3">
      <c r="A1656" s="170" t="s">
        <v>3339</v>
      </c>
      <c r="B1656" s="165" t="s">
        <v>6598</v>
      </c>
      <c r="C1656" s="165" t="str">
        <f>IFERROR(VLOOKUP($A1656,작성용!A:AL,14,0),"-")</f>
        <v>-</v>
      </c>
      <c r="D1656" s="169" t="s">
        <v>6371</v>
      </c>
      <c r="E1656" s="167" t="str">
        <f>IFERROR(VLOOKUP(A1656,작성용!A:AL,34,0),"-")</f>
        <v>-</v>
      </c>
      <c r="F1656" s="168" t="s">
        <v>2</v>
      </c>
      <c r="G1656" s="179">
        <f>COUNTIF(작성용!A:B,$A1656)-COUNTIFS(작성용!A:A,$A1656,작성용!AA:AA,"평가철회")</f>
        <v>0</v>
      </c>
    </row>
    <row r="1657" spans="1:7" ht="16.5" customHeight="1" x14ac:dyDescent="0.3">
      <c r="A1657" s="170" t="s">
        <v>3340</v>
      </c>
      <c r="B1657" s="165" t="s">
        <v>3341</v>
      </c>
      <c r="C1657" s="165" t="str">
        <f>IFERROR(VLOOKUP($A1657,작성용!A:AL,14,0),"-")</f>
        <v>-</v>
      </c>
      <c r="D1657" s="169" t="s">
        <v>244</v>
      </c>
      <c r="E1657" s="167" t="str">
        <f>IFERROR(VLOOKUP(A1657,작성용!A:AL,34,0),"-")</f>
        <v>-</v>
      </c>
      <c r="F1657" s="168" t="s">
        <v>6283</v>
      </c>
      <c r="G1657" s="179">
        <f>COUNTIF(작성용!A:B,$A1657)-COUNTIFS(작성용!A:A,$A1657,작성용!AA:AA,"평가철회")</f>
        <v>0</v>
      </c>
    </row>
    <row r="1658" spans="1:7" ht="16.5" customHeight="1" x14ac:dyDescent="0.3">
      <c r="A1658" s="170" t="s">
        <v>3342</v>
      </c>
      <c r="B1658" s="165" t="s">
        <v>3343</v>
      </c>
      <c r="C1658" s="165" t="str">
        <f>IFERROR(VLOOKUP($A1658,작성용!A:AL,14,0),"-")</f>
        <v>-</v>
      </c>
      <c r="D1658" s="169" t="s">
        <v>220</v>
      </c>
      <c r="E1658" s="167" t="str">
        <f>IFERROR(VLOOKUP(A1658,작성용!A:AL,34,0),"-")</f>
        <v>-</v>
      </c>
      <c r="F1658" s="168" t="s">
        <v>2</v>
      </c>
      <c r="G1658" s="179">
        <f>COUNTIF(작성용!A:B,$A1658)-COUNTIFS(작성용!A:A,$A1658,작성용!AA:AA,"평가철회")</f>
        <v>0</v>
      </c>
    </row>
    <row r="1659" spans="1:7" ht="16.5" customHeight="1" x14ac:dyDescent="0.3">
      <c r="A1659" s="170" t="s">
        <v>3344</v>
      </c>
      <c r="B1659" s="165" t="s">
        <v>6599</v>
      </c>
      <c r="C1659" s="165" t="str">
        <f>IFERROR(VLOOKUP($A1659,작성용!A:AL,14,0),"-")</f>
        <v>-</v>
      </c>
      <c r="D1659" s="169" t="s">
        <v>6297</v>
      </c>
      <c r="E1659" s="167" t="str">
        <f>IFERROR(VLOOKUP(A1659,작성용!A:AL,34,0),"-")</f>
        <v>-</v>
      </c>
      <c r="F1659" s="168" t="s">
        <v>2</v>
      </c>
      <c r="G1659" s="179">
        <f>COUNTIF(작성용!A:B,$A1659)-COUNTIFS(작성용!A:A,$A1659,작성용!AA:AA,"평가철회")</f>
        <v>0</v>
      </c>
    </row>
    <row r="1660" spans="1:7" ht="16.5" customHeight="1" x14ac:dyDescent="0.3">
      <c r="A1660" s="170" t="s">
        <v>3345</v>
      </c>
      <c r="B1660" s="165" t="s">
        <v>6600</v>
      </c>
      <c r="C1660" s="165" t="str">
        <f>IFERROR(VLOOKUP($A1660,작성용!A:AL,14,0),"-")</f>
        <v>-</v>
      </c>
      <c r="D1660" s="169" t="s">
        <v>6601</v>
      </c>
      <c r="E1660" s="167" t="str">
        <f>IFERROR(VLOOKUP(A1660,작성용!A:AL,34,0),"-")</f>
        <v>-</v>
      </c>
      <c r="F1660" s="168" t="s">
        <v>6335</v>
      </c>
      <c r="G1660" s="179">
        <f>COUNTIF(작성용!A:B,$A1660)-COUNTIFS(작성용!A:A,$A1660,작성용!AA:AA,"평가철회")</f>
        <v>0</v>
      </c>
    </row>
    <row r="1661" spans="1:7" ht="16.5" customHeight="1" x14ac:dyDescent="0.3">
      <c r="A1661" s="170" t="s">
        <v>3346</v>
      </c>
      <c r="B1661" s="165" t="s">
        <v>3347</v>
      </c>
      <c r="C1661" s="165" t="str">
        <f>IFERROR(VLOOKUP($A1661,작성용!A:AL,14,0),"-")</f>
        <v>-</v>
      </c>
      <c r="D1661" s="169" t="s">
        <v>521</v>
      </c>
      <c r="E1661" s="167" t="str">
        <f>IFERROR(VLOOKUP(A1661,작성용!A:AL,34,0),"-")</f>
        <v>-</v>
      </c>
      <c r="F1661" s="168" t="s">
        <v>2</v>
      </c>
      <c r="G1661" s="179">
        <f>COUNTIF(작성용!A:B,$A1661)-COUNTIFS(작성용!A:A,$A1661,작성용!AA:AA,"평가철회")</f>
        <v>0</v>
      </c>
    </row>
    <row r="1662" spans="1:7" ht="16.5" customHeight="1" x14ac:dyDescent="0.3">
      <c r="A1662" s="170" t="s">
        <v>3348</v>
      </c>
      <c r="B1662" s="165" t="s">
        <v>2690</v>
      </c>
      <c r="C1662" s="165" t="str">
        <f>IFERROR(VLOOKUP($A1662,작성용!A:AL,14,0),"-")</f>
        <v>-</v>
      </c>
      <c r="D1662" s="169" t="s">
        <v>13</v>
      </c>
      <c r="E1662" s="167" t="str">
        <f>IFERROR(VLOOKUP(A1662,작성용!A:AL,34,0),"-")</f>
        <v>-</v>
      </c>
      <c r="F1662" s="168" t="s">
        <v>2</v>
      </c>
      <c r="G1662" s="179">
        <f>COUNTIF(작성용!A:B,$A1662)-COUNTIFS(작성용!A:A,$A1662,작성용!AA:AA,"평가철회")</f>
        <v>0</v>
      </c>
    </row>
    <row r="1663" spans="1:7" ht="16.5" customHeight="1" x14ac:dyDescent="0.3">
      <c r="A1663" s="170" t="s">
        <v>3349</v>
      </c>
      <c r="B1663" s="165" t="s">
        <v>3350</v>
      </c>
      <c r="C1663" s="165" t="str">
        <f>IFERROR(VLOOKUP($A1663,작성용!A:AL,14,0),"-")</f>
        <v>-</v>
      </c>
      <c r="D1663" s="169" t="s">
        <v>247</v>
      </c>
      <c r="E1663" s="167" t="str">
        <f>IFERROR(VLOOKUP(A1663,작성용!A:AL,34,0),"-")</f>
        <v>-</v>
      </c>
      <c r="F1663" s="168" t="s">
        <v>2</v>
      </c>
      <c r="G1663" s="179">
        <f>COUNTIF(작성용!A:B,$A1663)-COUNTIFS(작성용!A:A,$A1663,작성용!AA:AA,"평가철회")</f>
        <v>0</v>
      </c>
    </row>
    <row r="1664" spans="1:7" ht="16.5" customHeight="1" x14ac:dyDescent="0.3">
      <c r="A1664" s="170" t="s">
        <v>3351</v>
      </c>
      <c r="B1664" s="165" t="s">
        <v>3352</v>
      </c>
      <c r="C1664" s="165" t="str">
        <f>IFERROR(VLOOKUP($A1664,작성용!A:AL,14,0),"-")</f>
        <v>-</v>
      </c>
      <c r="D1664" s="169" t="s">
        <v>1854</v>
      </c>
      <c r="E1664" s="167" t="str">
        <f>IFERROR(VLOOKUP(A1664,작성용!A:AL,34,0),"-")</f>
        <v>-</v>
      </c>
      <c r="F1664" s="168" t="s">
        <v>2</v>
      </c>
      <c r="G1664" s="179">
        <f>COUNTIF(작성용!A:B,$A1664)-COUNTIFS(작성용!A:A,$A1664,작성용!AA:AA,"평가철회")</f>
        <v>0</v>
      </c>
    </row>
    <row r="1665" spans="1:7" ht="16.5" customHeight="1" x14ac:dyDescent="0.3">
      <c r="A1665" s="170" t="s">
        <v>3353</v>
      </c>
      <c r="B1665" s="165" t="s">
        <v>3354</v>
      </c>
      <c r="C1665" s="165" t="str">
        <f>IFERROR(VLOOKUP($A1665,작성용!A:AL,14,0),"-")</f>
        <v>-</v>
      </c>
      <c r="D1665" s="169" t="s">
        <v>6312</v>
      </c>
      <c r="E1665" s="167" t="str">
        <f>IFERROR(VLOOKUP(A1665,작성용!A:AL,34,0),"-")</f>
        <v>-</v>
      </c>
      <c r="F1665" s="168" t="s">
        <v>6270</v>
      </c>
      <c r="G1665" s="179">
        <f>COUNTIF(작성용!A:B,$A1665)-COUNTIFS(작성용!A:A,$A1665,작성용!AA:AA,"평가철회")</f>
        <v>0</v>
      </c>
    </row>
    <row r="1666" spans="1:7" ht="16.5" customHeight="1" x14ac:dyDescent="0.3">
      <c r="A1666" s="170" t="s">
        <v>3355</v>
      </c>
      <c r="B1666" s="165" t="s">
        <v>3356</v>
      </c>
      <c r="C1666" s="165" t="str">
        <f>IFERROR(VLOOKUP($A1666,작성용!A:AL,14,0),"-")</f>
        <v>-</v>
      </c>
      <c r="D1666" s="169" t="s">
        <v>13</v>
      </c>
      <c r="E1666" s="167" t="str">
        <f>IFERROR(VLOOKUP(A1666,작성용!A:AL,34,0),"-")</f>
        <v>-</v>
      </c>
      <c r="F1666" s="168" t="s">
        <v>2</v>
      </c>
      <c r="G1666" s="179">
        <f>COUNTIF(작성용!A:B,$A1666)-COUNTIFS(작성용!A:A,$A1666,작성용!AA:AA,"평가철회")</f>
        <v>0</v>
      </c>
    </row>
    <row r="1667" spans="1:7" ht="16.5" customHeight="1" x14ac:dyDescent="0.3">
      <c r="A1667" s="170" t="s">
        <v>3357</v>
      </c>
      <c r="B1667" s="165" t="s">
        <v>3358</v>
      </c>
      <c r="C1667" s="165" t="str">
        <f>IFERROR(VLOOKUP($A1667,작성용!A:AL,14,0),"-")</f>
        <v>-</v>
      </c>
      <c r="D1667" s="169" t="s">
        <v>220</v>
      </c>
      <c r="E1667" s="167" t="str">
        <f>IFERROR(VLOOKUP(A1667,작성용!A:AL,34,0),"-")</f>
        <v>-</v>
      </c>
      <c r="F1667" s="168" t="s">
        <v>2</v>
      </c>
      <c r="G1667" s="179">
        <f>COUNTIF(작성용!A:B,$A1667)-COUNTIFS(작성용!A:A,$A1667,작성용!AA:AA,"평가철회")</f>
        <v>0</v>
      </c>
    </row>
    <row r="1668" spans="1:7" ht="16.5" customHeight="1" x14ac:dyDescent="0.3">
      <c r="A1668" s="170" t="s">
        <v>3359</v>
      </c>
      <c r="B1668" s="165" t="s">
        <v>3360</v>
      </c>
      <c r="C1668" s="165" t="str">
        <f>IFERROR(VLOOKUP($A1668,작성용!A:AL,14,0),"-")</f>
        <v>-</v>
      </c>
      <c r="D1668" s="169" t="s">
        <v>74</v>
      </c>
      <c r="E1668" s="167" t="str">
        <f>IFERROR(VLOOKUP(A1668,작성용!A:AL,34,0),"-")</f>
        <v>-</v>
      </c>
      <c r="F1668" s="168" t="s">
        <v>6335</v>
      </c>
      <c r="G1668" s="179">
        <f>COUNTIF(작성용!A:B,$A1668)-COUNTIFS(작성용!A:A,$A1668,작성용!AA:AA,"평가철회")</f>
        <v>0</v>
      </c>
    </row>
    <row r="1669" spans="1:7" ht="16.5" customHeight="1" x14ac:dyDescent="0.3">
      <c r="A1669" s="170" t="s">
        <v>3361</v>
      </c>
      <c r="B1669" s="165" t="s">
        <v>3362</v>
      </c>
      <c r="C1669" s="165" t="str">
        <f>IFERROR(VLOOKUP($A1669,작성용!A:AL,14,0),"-")</f>
        <v>-</v>
      </c>
      <c r="D1669" s="169" t="s">
        <v>463</v>
      </c>
      <c r="E1669" s="167" t="str">
        <f>IFERROR(VLOOKUP(A1669,작성용!A:AL,34,0),"-")</f>
        <v>-</v>
      </c>
      <c r="F1669" s="168" t="s">
        <v>2</v>
      </c>
      <c r="G1669" s="179">
        <f>COUNTIF(작성용!A:B,$A1669)-COUNTIFS(작성용!A:A,$A1669,작성용!AA:AA,"평가철회")</f>
        <v>0</v>
      </c>
    </row>
    <row r="1670" spans="1:7" ht="16.5" customHeight="1" x14ac:dyDescent="0.3">
      <c r="A1670" s="170" t="s">
        <v>3363</v>
      </c>
      <c r="B1670" s="165" t="s">
        <v>3364</v>
      </c>
      <c r="C1670" s="165" t="str">
        <f>IFERROR(VLOOKUP($A1670,작성용!A:AL,14,0),"-")</f>
        <v>-</v>
      </c>
      <c r="D1670" s="169" t="s">
        <v>6295</v>
      </c>
      <c r="E1670" s="167" t="str">
        <f>IFERROR(VLOOKUP(A1670,작성용!A:AL,34,0),"-")</f>
        <v>-</v>
      </c>
      <c r="F1670" s="168" t="s">
        <v>6335</v>
      </c>
      <c r="G1670" s="179">
        <f>COUNTIF(작성용!A:B,$A1670)-COUNTIFS(작성용!A:A,$A1670,작성용!AA:AA,"평가철회")</f>
        <v>0</v>
      </c>
    </row>
    <row r="1671" spans="1:7" ht="16.5" customHeight="1" x14ac:dyDescent="0.3">
      <c r="A1671" s="170" t="s">
        <v>3365</v>
      </c>
      <c r="B1671" s="165" t="s">
        <v>3366</v>
      </c>
      <c r="C1671" s="165" t="str">
        <f>IFERROR(VLOOKUP($A1671,작성용!A:AL,14,0),"-")</f>
        <v>-</v>
      </c>
      <c r="D1671" s="169" t="s">
        <v>6602</v>
      </c>
      <c r="E1671" s="167" t="str">
        <f>IFERROR(VLOOKUP(A1671,작성용!A:AL,34,0),"-")</f>
        <v>-</v>
      </c>
      <c r="F1671" s="168" t="s">
        <v>6331</v>
      </c>
      <c r="G1671" s="179">
        <f>COUNTIF(작성용!A:B,$A1671)-COUNTIFS(작성용!A:A,$A1671,작성용!AA:AA,"평가철회")</f>
        <v>0</v>
      </c>
    </row>
    <row r="1672" spans="1:7" ht="16.5" customHeight="1" x14ac:dyDescent="0.3">
      <c r="A1672" s="170" t="s">
        <v>3367</v>
      </c>
      <c r="B1672" s="165" t="s">
        <v>3156</v>
      </c>
      <c r="C1672" s="165" t="str">
        <f>IFERROR(VLOOKUP($A1672,작성용!A:AL,14,0),"-")</f>
        <v>-</v>
      </c>
      <c r="D1672" s="169" t="s">
        <v>6321</v>
      </c>
      <c r="E1672" s="167" t="str">
        <f>IFERROR(VLOOKUP(A1672,작성용!A:AL,34,0),"-")</f>
        <v>-</v>
      </c>
      <c r="F1672" s="168" t="s">
        <v>6342</v>
      </c>
      <c r="G1672" s="179">
        <f>COUNTIF(작성용!A:B,$A1672)-COUNTIFS(작성용!A:A,$A1672,작성용!AA:AA,"평가철회")</f>
        <v>0</v>
      </c>
    </row>
    <row r="1673" spans="1:7" ht="16.5" customHeight="1" x14ac:dyDescent="0.3">
      <c r="A1673" s="170" t="s">
        <v>3368</v>
      </c>
      <c r="B1673" s="165" t="s">
        <v>3369</v>
      </c>
      <c r="C1673" s="165" t="str">
        <f>IFERROR(VLOOKUP($A1673,작성용!A:AL,14,0),"-")</f>
        <v>-</v>
      </c>
      <c r="D1673" s="169" t="s">
        <v>3370</v>
      </c>
      <c r="E1673" s="167" t="str">
        <f>IFERROR(VLOOKUP(A1673,작성용!A:AL,34,0),"-")</f>
        <v>-</v>
      </c>
      <c r="F1673" s="168" t="s">
        <v>2</v>
      </c>
      <c r="G1673" s="179">
        <f>COUNTIF(작성용!A:B,$A1673)-COUNTIFS(작성용!A:A,$A1673,작성용!AA:AA,"평가철회")</f>
        <v>0</v>
      </c>
    </row>
    <row r="1674" spans="1:7" ht="16.5" customHeight="1" x14ac:dyDescent="0.3">
      <c r="A1674" s="170" t="s">
        <v>3371</v>
      </c>
      <c r="B1674" s="165" t="s">
        <v>3372</v>
      </c>
      <c r="C1674" s="165" t="str">
        <f>IFERROR(VLOOKUP($A1674,작성용!A:AL,14,0),"-")</f>
        <v>-</v>
      </c>
      <c r="D1674" s="169" t="s">
        <v>336</v>
      </c>
      <c r="E1674" s="167" t="str">
        <f>IFERROR(VLOOKUP(A1674,작성용!A:AL,34,0),"-")</f>
        <v>-</v>
      </c>
      <c r="F1674" s="168" t="s">
        <v>2</v>
      </c>
      <c r="G1674" s="179">
        <f>COUNTIF(작성용!A:B,$A1674)-COUNTIFS(작성용!A:A,$A1674,작성용!AA:AA,"평가철회")</f>
        <v>0</v>
      </c>
    </row>
    <row r="1675" spans="1:7" ht="16.5" customHeight="1" x14ac:dyDescent="0.3">
      <c r="A1675" s="170" t="s">
        <v>3373</v>
      </c>
      <c r="B1675" s="165" t="s">
        <v>6603</v>
      </c>
      <c r="C1675" s="165" t="str">
        <f>IFERROR(VLOOKUP($A1675,작성용!A:AL,14,0),"-")</f>
        <v>-</v>
      </c>
      <c r="D1675" s="169" t="s">
        <v>6602</v>
      </c>
      <c r="E1675" s="167" t="str">
        <f>IFERROR(VLOOKUP(A1675,작성용!A:AL,34,0),"-")</f>
        <v>-</v>
      </c>
      <c r="F1675" s="168" t="s">
        <v>6336</v>
      </c>
      <c r="G1675" s="179">
        <f>COUNTIF(작성용!A:B,$A1675)-COUNTIFS(작성용!A:A,$A1675,작성용!AA:AA,"평가철회")</f>
        <v>0</v>
      </c>
    </row>
    <row r="1676" spans="1:7" ht="16.5" customHeight="1" x14ac:dyDescent="0.3">
      <c r="A1676" s="170" t="s">
        <v>3374</v>
      </c>
      <c r="B1676" s="165" t="s">
        <v>3375</v>
      </c>
      <c r="C1676" s="165" t="str">
        <f>IFERROR(VLOOKUP($A1676,작성용!A:AL,14,0),"-")</f>
        <v>년</v>
      </c>
      <c r="D1676" s="169" t="s">
        <v>6591</v>
      </c>
      <c r="E1676" s="167" t="str">
        <f>IFERROR(VLOOKUP(A1676,작성용!A:AL,34,0),"-")</f>
        <v>조현우</v>
      </c>
      <c r="F1676" s="168" t="s">
        <v>6304</v>
      </c>
      <c r="G1676" s="179">
        <f>COUNTIF(작성용!A:B,$A1676)-COUNTIFS(작성용!A:A,$A1676,작성용!AA:AA,"평가철회")</f>
        <v>1</v>
      </c>
    </row>
    <row r="1677" spans="1:7" ht="16.5" customHeight="1" x14ac:dyDescent="0.3">
      <c r="A1677" s="170" t="s">
        <v>3376</v>
      </c>
      <c r="B1677" s="165" t="s">
        <v>3377</v>
      </c>
      <c r="C1677" s="165" t="str">
        <f>IFERROR(VLOOKUP($A1677,작성용!A:AL,14,0),"-")</f>
        <v>-</v>
      </c>
      <c r="D1677" s="169" t="s">
        <v>220</v>
      </c>
      <c r="E1677" s="167" t="str">
        <f>IFERROR(VLOOKUP(A1677,작성용!A:AL,34,0),"-")</f>
        <v>-</v>
      </c>
      <c r="F1677" s="168" t="s">
        <v>2</v>
      </c>
      <c r="G1677" s="179">
        <f>COUNTIF(작성용!A:B,$A1677)-COUNTIFS(작성용!A:A,$A1677,작성용!AA:AA,"평가철회")</f>
        <v>0</v>
      </c>
    </row>
    <row r="1678" spans="1:7" ht="16.5" customHeight="1" x14ac:dyDescent="0.3">
      <c r="A1678" s="170" t="s">
        <v>3378</v>
      </c>
      <c r="B1678" s="165" t="s">
        <v>3379</v>
      </c>
      <c r="C1678" s="165" t="str">
        <f>IFERROR(VLOOKUP($A1678,작성용!A:AL,14,0),"-")</f>
        <v>-</v>
      </c>
      <c r="D1678" s="169" t="s">
        <v>6372</v>
      </c>
      <c r="E1678" s="167" t="str">
        <f>IFERROR(VLOOKUP(A1678,작성용!A:AL,34,0),"-")</f>
        <v>-</v>
      </c>
      <c r="F1678" s="168" t="s">
        <v>6336</v>
      </c>
      <c r="G1678" s="179">
        <f>COUNTIF(작성용!A:B,$A1678)-COUNTIFS(작성용!A:A,$A1678,작성용!AA:AA,"평가철회")</f>
        <v>0</v>
      </c>
    </row>
    <row r="1679" spans="1:7" ht="16.5" customHeight="1" x14ac:dyDescent="0.3">
      <c r="A1679" s="170" t="s">
        <v>3380</v>
      </c>
      <c r="B1679" s="165" t="s">
        <v>3381</v>
      </c>
      <c r="C1679" s="165" t="str">
        <f>IFERROR(VLOOKUP($A1679,작성용!A:AL,14,0),"-")</f>
        <v>-</v>
      </c>
      <c r="D1679" s="169" t="s">
        <v>220</v>
      </c>
      <c r="E1679" s="167" t="str">
        <f>IFERROR(VLOOKUP(A1679,작성용!A:AL,34,0),"-")</f>
        <v>-</v>
      </c>
      <c r="F1679" s="168" t="s">
        <v>2</v>
      </c>
      <c r="G1679" s="179">
        <f>COUNTIF(작성용!A:B,$A1679)-COUNTIFS(작성용!A:A,$A1679,작성용!AA:AA,"평가철회")</f>
        <v>0</v>
      </c>
    </row>
    <row r="1680" spans="1:7" ht="16.5" customHeight="1" x14ac:dyDescent="0.3">
      <c r="A1680" s="170" t="s">
        <v>3382</v>
      </c>
      <c r="B1680" s="165" t="s">
        <v>3383</v>
      </c>
      <c r="C1680" s="165" t="str">
        <f>IFERROR(VLOOKUP($A1680,작성용!A:AL,14,0),"-")</f>
        <v>-</v>
      </c>
      <c r="D1680" s="169" t="s">
        <v>247</v>
      </c>
      <c r="E1680" s="167" t="str">
        <f>IFERROR(VLOOKUP(A1680,작성용!A:AL,34,0),"-")</f>
        <v>-</v>
      </c>
      <c r="F1680" s="168" t="s">
        <v>2</v>
      </c>
      <c r="G1680" s="179">
        <f>COUNTIF(작성용!A:B,$A1680)-COUNTIFS(작성용!A:A,$A1680,작성용!AA:AA,"평가철회")</f>
        <v>0</v>
      </c>
    </row>
    <row r="1681" spans="1:7" ht="16.5" customHeight="1" x14ac:dyDescent="0.3">
      <c r="A1681" s="170" t="s">
        <v>3384</v>
      </c>
      <c r="B1681" s="165" t="s">
        <v>3366</v>
      </c>
      <c r="C1681" s="165" t="str">
        <f>IFERROR(VLOOKUP($A1681,작성용!A:AL,14,0),"-")</f>
        <v>-</v>
      </c>
      <c r="D1681" s="169" t="s">
        <v>220</v>
      </c>
      <c r="E1681" s="167" t="str">
        <f>IFERROR(VLOOKUP(A1681,작성용!A:AL,34,0),"-")</f>
        <v>-</v>
      </c>
      <c r="F1681" s="168" t="s">
        <v>6283</v>
      </c>
      <c r="G1681" s="179">
        <f>COUNTIF(작성용!A:B,$A1681)-COUNTIFS(작성용!A:A,$A1681,작성용!AA:AA,"평가철회")</f>
        <v>0</v>
      </c>
    </row>
    <row r="1682" spans="1:7" ht="16.5" customHeight="1" x14ac:dyDescent="0.3">
      <c r="A1682" s="170" t="s">
        <v>3385</v>
      </c>
      <c r="B1682" s="165" t="s">
        <v>3386</v>
      </c>
      <c r="C1682" s="165" t="str">
        <f>IFERROR(VLOOKUP($A1682,작성용!A:AL,14,0),"-")</f>
        <v>-</v>
      </c>
      <c r="D1682" s="169" t="s">
        <v>220</v>
      </c>
      <c r="E1682" s="167" t="str">
        <f>IFERROR(VLOOKUP(A1682,작성용!A:AL,34,0),"-")</f>
        <v>-</v>
      </c>
      <c r="F1682" s="168" t="s">
        <v>2</v>
      </c>
      <c r="G1682" s="179">
        <f>COUNTIF(작성용!A:B,$A1682)-COUNTIFS(작성용!A:A,$A1682,작성용!AA:AA,"평가철회")</f>
        <v>0</v>
      </c>
    </row>
    <row r="1683" spans="1:7" ht="16.5" customHeight="1" x14ac:dyDescent="0.3">
      <c r="A1683" s="170" t="s">
        <v>3387</v>
      </c>
      <c r="B1683" s="165" t="s">
        <v>3388</v>
      </c>
      <c r="C1683" s="165" t="str">
        <f>IFERROR(VLOOKUP($A1683,작성용!A:AL,14,0),"-")</f>
        <v>-</v>
      </c>
      <c r="D1683" s="169" t="s">
        <v>521</v>
      </c>
      <c r="E1683" s="167" t="str">
        <f>IFERROR(VLOOKUP(A1683,작성용!A:AL,34,0),"-")</f>
        <v>-</v>
      </c>
      <c r="F1683" s="168" t="s">
        <v>2</v>
      </c>
      <c r="G1683" s="179">
        <f>COUNTIF(작성용!A:B,$A1683)-COUNTIFS(작성용!A:A,$A1683,작성용!AA:AA,"평가철회")</f>
        <v>0</v>
      </c>
    </row>
    <row r="1684" spans="1:7" ht="16.5" customHeight="1" x14ac:dyDescent="0.3">
      <c r="A1684" s="170" t="s">
        <v>3389</v>
      </c>
      <c r="B1684" s="165" t="s">
        <v>3390</v>
      </c>
      <c r="C1684" s="165" t="str">
        <f>IFERROR(VLOOKUP($A1684,작성용!A:AL,14,0),"-")</f>
        <v>-</v>
      </c>
      <c r="D1684" s="169" t="s">
        <v>6363</v>
      </c>
      <c r="E1684" s="167" t="str">
        <f>IFERROR(VLOOKUP(A1684,작성용!A:AL,34,0),"-")</f>
        <v>-</v>
      </c>
      <c r="F1684" s="168" t="s">
        <v>6335</v>
      </c>
      <c r="G1684" s="179">
        <f>COUNTIF(작성용!A:B,$A1684)-COUNTIFS(작성용!A:A,$A1684,작성용!AA:AA,"평가철회")</f>
        <v>0</v>
      </c>
    </row>
    <row r="1685" spans="1:7" ht="16.5" customHeight="1" x14ac:dyDescent="0.3">
      <c r="A1685" s="170" t="s">
        <v>3391</v>
      </c>
      <c r="B1685" s="165" t="s">
        <v>3392</v>
      </c>
      <c r="C1685" s="165" t="str">
        <f>IFERROR(VLOOKUP($A1685,작성용!A:AL,14,0),"-")</f>
        <v>-</v>
      </c>
      <c r="D1685" s="169" t="s">
        <v>220</v>
      </c>
      <c r="E1685" s="167" t="str">
        <f>IFERROR(VLOOKUP(A1685,작성용!A:AL,34,0),"-")</f>
        <v>-</v>
      </c>
      <c r="F1685" s="168" t="s">
        <v>6283</v>
      </c>
      <c r="G1685" s="179">
        <f>COUNTIF(작성용!A:B,$A1685)-COUNTIFS(작성용!A:A,$A1685,작성용!AA:AA,"평가철회")</f>
        <v>0</v>
      </c>
    </row>
    <row r="1686" spans="1:7" ht="16.5" customHeight="1" x14ac:dyDescent="0.3">
      <c r="A1686" s="170" t="s">
        <v>3393</v>
      </c>
      <c r="B1686" s="165" t="s">
        <v>3394</v>
      </c>
      <c r="C1686" s="165" t="str">
        <f>IFERROR(VLOOKUP($A1686,작성용!A:AL,14,0),"-")</f>
        <v>-</v>
      </c>
      <c r="D1686" s="169" t="s">
        <v>6604</v>
      </c>
      <c r="E1686" s="167" t="str">
        <f>IFERROR(VLOOKUP(A1686,작성용!A:AL,34,0),"-")</f>
        <v>-</v>
      </c>
      <c r="F1686" s="168" t="s">
        <v>6283</v>
      </c>
      <c r="G1686" s="179">
        <f>COUNTIF(작성용!A:B,$A1686)-COUNTIFS(작성용!A:A,$A1686,작성용!AA:AA,"평가철회")</f>
        <v>0</v>
      </c>
    </row>
    <row r="1687" spans="1:7" ht="16.5" customHeight="1" x14ac:dyDescent="0.3">
      <c r="A1687" s="170" t="s">
        <v>3395</v>
      </c>
      <c r="B1687" s="165" t="s">
        <v>3396</v>
      </c>
      <c r="C1687" s="165" t="str">
        <f>IFERROR(VLOOKUP($A1687,작성용!A:AL,14,0),"-")</f>
        <v>-</v>
      </c>
      <c r="D1687" s="169" t="s">
        <v>13</v>
      </c>
      <c r="E1687" s="167" t="str">
        <f>IFERROR(VLOOKUP(A1687,작성용!A:AL,34,0),"-")</f>
        <v>-</v>
      </c>
      <c r="F1687" s="168" t="s">
        <v>2</v>
      </c>
      <c r="G1687" s="179">
        <f>COUNTIF(작성용!A:B,$A1687)-COUNTIFS(작성용!A:A,$A1687,작성용!AA:AA,"평가철회")</f>
        <v>0</v>
      </c>
    </row>
    <row r="1688" spans="1:7" ht="16.5" customHeight="1" x14ac:dyDescent="0.3">
      <c r="A1688" s="170" t="s">
        <v>3397</v>
      </c>
      <c r="B1688" s="165" t="s">
        <v>3398</v>
      </c>
      <c r="C1688" s="165" t="str">
        <f>IFERROR(VLOOKUP($A1688,작성용!A:AL,14,0),"-")</f>
        <v>-</v>
      </c>
      <c r="D1688" s="169" t="s">
        <v>71</v>
      </c>
      <c r="E1688" s="167" t="str">
        <f>IFERROR(VLOOKUP(A1688,작성용!A:AL,34,0),"-")</f>
        <v>-</v>
      </c>
      <c r="F1688" s="168" t="s">
        <v>2</v>
      </c>
      <c r="G1688" s="179">
        <f>COUNTIF(작성용!A:B,$A1688)-COUNTIFS(작성용!A:A,$A1688,작성용!AA:AA,"평가철회")</f>
        <v>0</v>
      </c>
    </row>
    <row r="1689" spans="1:7" ht="16.5" customHeight="1" x14ac:dyDescent="0.3">
      <c r="A1689" s="170" t="s">
        <v>3399</v>
      </c>
      <c r="B1689" s="165" t="s">
        <v>3400</v>
      </c>
      <c r="C1689" s="165" t="str">
        <f>IFERROR(VLOOKUP($A1689,작성용!A:AL,14,0),"-")</f>
        <v>-</v>
      </c>
      <c r="D1689" s="169" t="s">
        <v>492</v>
      </c>
      <c r="E1689" s="167" t="str">
        <f>IFERROR(VLOOKUP(A1689,작성용!A:AL,34,0),"-")</f>
        <v>-</v>
      </c>
      <c r="F1689" s="168" t="s">
        <v>2</v>
      </c>
      <c r="G1689" s="179">
        <f>COUNTIF(작성용!A:B,$A1689)-COUNTIFS(작성용!A:A,$A1689,작성용!AA:AA,"평가철회")</f>
        <v>0</v>
      </c>
    </row>
    <row r="1690" spans="1:7" ht="16.5" customHeight="1" x14ac:dyDescent="0.3">
      <c r="A1690" s="170" t="s">
        <v>3401</v>
      </c>
      <c r="B1690" s="165" t="s">
        <v>845</v>
      </c>
      <c r="C1690" s="165" t="str">
        <f>IFERROR(VLOOKUP($A1690,작성용!A:AL,14,0),"-")</f>
        <v>-</v>
      </c>
      <c r="D1690" s="169" t="s">
        <v>6364</v>
      </c>
      <c r="E1690" s="167" t="str">
        <f>IFERROR(VLOOKUP(A1690,작성용!A:AL,34,0),"-")</f>
        <v>-</v>
      </c>
      <c r="F1690" s="168" t="s">
        <v>2</v>
      </c>
      <c r="G1690" s="179">
        <f>COUNTIF(작성용!A:B,$A1690)-COUNTIFS(작성용!A:A,$A1690,작성용!AA:AA,"평가철회")</f>
        <v>0</v>
      </c>
    </row>
    <row r="1691" spans="1:7" ht="16.5" customHeight="1" x14ac:dyDescent="0.3">
      <c r="A1691" s="170" t="s">
        <v>3402</v>
      </c>
      <c r="B1691" s="165" t="s">
        <v>3403</v>
      </c>
      <c r="C1691" s="165" t="str">
        <f>IFERROR(VLOOKUP($A1691,작성용!A:AL,14,0),"-")</f>
        <v>-</v>
      </c>
      <c r="D1691" s="169" t="s">
        <v>273</v>
      </c>
      <c r="E1691" s="167" t="str">
        <f>IFERROR(VLOOKUP(A1691,작성용!A:AL,34,0),"-")</f>
        <v>-</v>
      </c>
      <c r="F1691" s="168" t="s">
        <v>2</v>
      </c>
      <c r="G1691" s="179">
        <f>COUNTIF(작성용!A:B,$A1691)-COUNTIFS(작성용!A:A,$A1691,작성용!AA:AA,"평가철회")</f>
        <v>0</v>
      </c>
    </row>
    <row r="1692" spans="1:7" ht="16.5" customHeight="1" x14ac:dyDescent="0.3">
      <c r="A1692" s="170" t="s">
        <v>3404</v>
      </c>
      <c r="B1692" s="165" t="s">
        <v>3405</v>
      </c>
      <c r="C1692" s="165" t="str">
        <f>IFERROR(VLOOKUP($A1692,작성용!A:AL,14,0),"-")</f>
        <v>-</v>
      </c>
      <c r="D1692" s="169" t="s">
        <v>220</v>
      </c>
      <c r="E1692" s="167" t="str">
        <f>IFERROR(VLOOKUP(A1692,작성용!A:AL,34,0),"-")</f>
        <v>-</v>
      </c>
      <c r="F1692" s="168" t="s">
        <v>2</v>
      </c>
      <c r="G1692" s="179">
        <f>COUNTIF(작성용!A:B,$A1692)-COUNTIFS(작성용!A:A,$A1692,작성용!AA:AA,"평가철회")</f>
        <v>0</v>
      </c>
    </row>
    <row r="1693" spans="1:7" ht="16.5" customHeight="1" x14ac:dyDescent="0.3">
      <c r="A1693" s="170" t="s">
        <v>3406</v>
      </c>
      <c r="B1693" s="165" t="s">
        <v>3407</v>
      </c>
      <c r="C1693" s="165" t="str">
        <f>IFERROR(VLOOKUP($A1693,작성용!A:AL,14,0),"-")</f>
        <v>-</v>
      </c>
      <c r="D1693" s="169" t="s">
        <v>2</v>
      </c>
      <c r="E1693" s="167" t="str">
        <f>IFERROR(VLOOKUP(A1693,작성용!A:AL,34,0),"-")</f>
        <v>-</v>
      </c>
      <c r="F1693" s="168" t="s">
        <v>2</v>
      </c>
      <c r="G1693" s="179">
        <f>COUNTIF(작성용!A:B,$A1693)-COUNTIFS(작성용!A:A,$A1693,작성용!AA:AA,"평가철회")</f>
        <v>0</v>
      </c>
    </row>
    <row r="1694" spans="1:7" ht="16.5" customHeight="1" x14ac:dyDescent="0.3">
      <c r="A1694" s="170" t="s">
        <v>3408</v>
      </c>
      <c r="B1694" s="165" t="s">
        <v>3409</v>
      </c>
      <c r="C1694" s="165" t="str">
        <f>IFERROR(VLOOKUP($A1694,작성용!A:AL,14,0),"-")</f>
        <v>-</v>
      </c>
      <c r="D1694" s="169" t="s">
        <v>6333</v>
      </c>
      <c r="E1694" s="167" t="str">
        <f>IFERROR(VLOOKUP(A1694,작성용!A:AL,34,0),"-")</f>
        <v>-</v>
      </c>
      <c r="F1694" s="168" t="s">
        <v>6270</v>
      </c>
      <c r="G1694" s="179">
        <f>COUNTIF(작성용!A:B,$A1694)-COUNTIFS(작성용!A:A,$A1694,작성용!AA:AA,"평가철회")</f>
        <v>0</v>
      </c>
    </row>
    <row r="1695" spans="1:7" ht="16.5" customHeight="1" x14ac:dyDescent="0.3">
      <c r="A1695" s="170" t="s">
        <v>3410</v>
      </c>
      <c r="B1695" s="165" t="s">
        <v>3411</v>
      </c>
      <c r="C1695" s="165" t="str">
        <f>IFERROR(VLOOKUP($A1695,작성용!A:AL,14,0),"-")</f>
        <v>-</v>
      </c>
      <c r="D1695" s="169" t="s">
        <v>6276</v>
      </c>
      <c r="E1695" s="167" t="str">
        <f>IFERROR(VLOOKUP(A1695,작성용!A:AL,34,0),"-")</f>
        <v>-</v>
      </c>
      <c r="F1695" s="168" t="s">
        <v>6270</v>
      </c>
      <c r="G1695" s="179">
        <f>COUNTIF(작성용!A:B,$A1695)-COUNTIFS(작성용!A:A,$A1695,작성용!AA:AA,"평가철회")</f>
        <v>0</v>
      </c>
    </row>
    <row r="1696" spans="1:7" ht="16.5" customHeight="1" x14ac:dyDescent="0.3">
      <c r="A1696" s="170" t="s">
        <v>3412</v>
      </c>
      <c r="B1696" s="165" t="s">
        <v>3554</v>
      </c>
      <c r="C1696" s="165" t="str">
        <f>IFERROR(VLOOKUP($A1696,작성용!A:AL,14,0),"-")</f>
        <v>-</v>
      </c>
      <c r="D1696" s="169" t="s">
        <v>6316</v>
      </c>
      <c r="E1696" s="167" t="str">
        <f>IFERROR(VLOOKUP(A1696,작성용!A:AL,34,0),"-")</f>
        <v>-</v>
      </c>
      <c r="F1696" s="168" t="s">
        <v>6331</v>
      </c>
      <c r="G1696" s="179">
        <f>COUNTIF(작성용!A:B,$A1696)-COUNTIFS(작성용!A:A,$A1696,작성용!AA:AA,"평가철회")</f>
        <v>0</v>
      </c>
    </row>
    <row r="1697" spans="1:7" ht="16.5" customHeight="1" x14ac:dyDescent="0.3">
      <c r="A1697" s="170" t="s">
        <v>3413</v>
      </c>
      <c r="B1697" s="165" t="s">
        <v>3414</v>
      </c>
      <c r="C1697" s="165" t="str">
        <f>IFERROR(VLOOKUP($A1697,작성용!A:AL,14,0),"-")</f>
        <v>-</v>
      </c>
      <c r="D1697" s="169" t="s">
        <v>6605</v>
      </c>
      <c r="E1697" s="167" t="str">
        <f>IFERROR(VLOOKUP(A1697,작성용!A:AL,34,0),"-")</f>
        <v>-</v>
      </c>
      <c r="F1697" s="168" t="s">
        <v>6331</v>
      </c>
      <c r="G1697" s="179">
        <f>COUNTIF(작성용!A:B,$A1697)-COUNTIFS(작성용!A:A,$A1697,작성용!AA:AA,"평가철회")</f>
        <v>0</v>
      </c>
    </row>
    <row r="1698" spans="1:7" ht="16.5" customHeight="1" x14ac:dyDescent="0.3">
      <c r="A1698" s="170" t="s">
        <v>3415</v>
      </c>
      <c r="B1698" s="165" t="s">
        <v>6606</v>
      </c>
      <c r="C1698" s="165" t="str">
        <f>IFERROR(VLOOKUP($A1698,작성용!A:AL,14,0),"-")</f>
        <v>-</v>
      </c>
      <c r="D1698" s="169" t="s">
        <v>6607</v>
      </c>
      <c r="E1698" s="167" t="str">
        <f>IFERROR(VLOOKUP(A1698,작성용!A:AL,34,0),"-")</f>
        <v>-</v>
      </c>
      <c r="F1698" s="168" t="s">
        <v>6331</v>
      </c>
      <c r="G1698" s="179">
        <f>COUNTIF(작성용!A:B,$A1698)-COUNTIFS(작성용!A:A,$A1698,작성용!AA:AA,"평가철회")</f>
        <v>0</v>
      </c>
    </row>
    <row r="1699" spans="1:7" ht="16.5" customHeight="1" x14ac:dyDescent="0.3">
      <c r="A1699" s="170" t="s">
        <v>3416</v>
      </c>
      <c r="B1699" s="165" t="s">
        <v>3405</v>
      </c>
      <c r="C1699" s="165" t="str">
        <f>IFERROR(VLOOKUP($A1699,작성용!A:AL,14,0),"-")</f>
        <v>-</v>
      </c>
      <c r="D1699" s="169" t="s">
        <v>592</v>
      </c>
      <c r="E1699" s="167" t="str">
        <f>IFERROR(VLOOKUP(A1699,작성용!A:AL,34,0),"-")</f>
        <v>-</v>
      </c>
      <c r="F1699" s="168" t="s">
        <v>2</v>
      </c>
      <c r="G1699" s="179">
        <f>COUNTIF(작성용!A:B,$A1699)-COUNTIFS(작성용!A:A,$A1699,작성용!AA:AA,"평가철회")</f>
        <v>0</v>
      </c>
    </row>
    <row r="1700" spans="1:7" ht="16.5" customHeight="1" x14ac:dyDescent="0.3">
      <c r="A1700" s="170" t="s">
        <v>3417</v>
      </c>
      <c r="B1700" s="165" t="s">
        <v>3418</v>
      </c>
      <c r="C1700" s="165" t="str">
        <f>IFERROR(VLOOKUP($A1700,작성용!A:AL,14,0),"-")</f>
        <v>-</v>
      </c>
      <c r="D1700" s="169" t="s">
        <v>694</v>
      </c>
      <c r="E1700" s="167" t="str">
        <f>IFERROR(VLOOKUP(A1700,작성용!A:AL,34,0),"-")</f>
        <v>-</v>
      </c>
      <c r="F1700" s="168" t="s">
        <v>6304</v>
      </c>
      <c r="G1700" s="179">
        <f>COUNTIF(작성용!A:B,$A1700)-COUNTIFS(작성용!A:A,$A1700,작성용!AA:AA,"평가철회")</f>
        <v>0</v>
      </c>
    </row>
    <row r="1701" spans="1:7" ht="16.5" customHeight="1" x14ac:dyDescent="0.3">
      <c r="A1701" s="170" t="s">
        <v>3419</v>
      </c>
      <c r="B1701" s="165" t="s">
        <v>3420</v>
      </c>
      <c r="C1701" s="165" t="str">
        <f>IFERROR(VLOOKUP($A1701,작성용!A:AL,14,0),"-")</f>
        <v>-</v>
      </c>
      <c r="D1701" s="169" t="s">
        <v>244</v>
      </c>
      <c r="E1701" s="167" t="str">
        <f>IFERROR(VLOOKUP(A1701,작성용!A:AL,34,0),"-")</f>
        <v>-</v>
      </c>
      <c r="F1701" s="168" t="s">
        <v>2</v>
      </c>
      <c r="G1701" s="179">
        <f>COUNTIF(작성용!A:B,$A1701)-COUNTIFS(작성용!A:A,$A1701,작성용!AA:AA,"평가철회")</f>
        <v>0</v>
      </c>
    </row>
    <row r="1702" spans="1:7" ht="16.5" customHeight="1" x14ac:dyDescent="0.3">
      <c r="A1702" s="170" t="s">
        <v>3421</v>
      </c>
      <c r="B1702" s="165" t="s">
        <v>6608</v>
      </c>
      <c r="C1702" s="165" t="str">
        <f>IFERROR(VLOOKUP($A1702,작성용!A:AL,14,0),"-")</f>
        <v>-</v>
      </c>
      <c r="D1702" s="169" t="s">
        <v>6292</v>
      </c>
      <c r="E1702" s="167" t="str">
        <f>IFERROR(VLOOKUP(A1702,작성용!A:AL,34,0),"-")</f>
        <v>-</v>
      </c>
      <c r="F1702" s="168" t="s">
        <v>6283</v>
      </c>
      <c r="G1702" s="179">
        <f>COUNTIF(작성용!A:B,$A1702)-COUNTIFS(작성용!A:A,$A1702,작성용!AA:AA,"평가철회")</f>
        <v>0</v>
      </c>
    </row>
    <row r="1703" spans="1:7" ht="16.5" customHeight="1" x14ac:dyDescent="0.3">
      <c r="A1703" s="170" t="s">
        <v>3422</v>
      </c>
      <c r="B1703" s="165" t="s">
        <v>6609</v>
      </c>
      <c r="C1703" s="165" t="str">
        <f>IFERROR(VLOOKUP($A1703,작성용!A:AL,14,0),"-")</f>
        <v>-</v>
      </c>
      <c r="D1703" s="169" t="s">
        <v>6610</v>
      </c>
      <c r="E1703" s="167" t="str">
        <f>IFERROR(VLOOKUP(A1703,작성용!A:AL,34,0),"-")</f>
        <v>-</v>
      </c>
      <c r="F1703" s="168" t="s">
        <v>6283</v>
      </c>
      <c r="G1703" s="179">
        <f>COUNTIF(작성용!A:B,$A1703)-COUNTIFS(작성용!A:A,$A1703,작성용!AA:AA,"평가철회")</f>
        <v>0</v>
      </c>
    </row>
    <row r="1704" spans="1:7" ht="16.5" customHeight="1" x14ac:dyDescent="0.3">
      <c r="A1704" s="170" t="s">
        <v>3423</v>
      </c>
      <c r="B1704" s="165" t="s">
        <v>6611</v>
      </c>
      <c r="C1704" s="165" t="str">
        <f>IFERROR(VLOOKUP($A1704,작성용!A:AL,14,0),"-")</f>
        <v>-</v>
      </c>
      <c r="D1704" s="169" t="s">
        <v>6345</v>
      </c>
      <c r="E1704" s="167" t="str">
        <f>IFERROR(VLOOKUP(A1704,작성용!A:AL,34,0),"-")</f>
        <v>-</v>
      </c>
      <c r="F1704" s="168" t="s">
        <v>6342</v>
      </c>
      <c r="G1704" s="179">
        <f>COUNTIF(작성용!A:B,$A1704)-COUNTIFS(작성용!A:A,$A1704,작성용!AA:AA,"평가철회")</f>
        <v>0</v>
      </c>
    </row>
    <row r="1705" spans="1:7" ht="16.5" customHeight="1" x14ac:dyDescent="0.3">
      <c r="A1705" s="170" t="s">
        <v>3424</v>
      </c>
      <c r="B1705" s="165" t="s">
        <v>3425</v>
      </c>
      <c r="C1705" s="165" t="str">
        <f>IFERROR(VLOOKUP($A1705,작성용!A:AL,14,0),"-")</f>
        <v>-</v>
      </c>
      <c r="D1705" s="169" t="s">
        <v>6612</v>
      </c>
      <c r="E1705" s="167" t="str">
        <f>IFERROR(VLOOKUP(A1705,작성용!A:AL,34,0),"-")</f>
        <v>-</v>
      </c>
      <c r="F1705" s="168" t="s">
        <v>6270</v>
      </c>
      <c r="G1705" s="179">
        <f>COUNTIF(작성용!A:B,$A1705)-COUNTIFS(작성용!A:A,$A1705,작성용!AA:AA,"평가철회")</f>
        <v>0</v>
      </c>
    </row>
    <row r="1706" spans="1:7" ht="16.5" customHeight="1" x14ac:dyDescent="0.3">
      <c r="A1706" s="170" t="s">
        <v>3426</v>
      </c>
      <c r="B1706" s="165" t="s">
        <v>3427</v>
      </c>
      <c r="C1706" s="165" t="str">
        <f>IFERROR(VLOOKUP($A1706,작성용!A:AL,14,0),"-")</f>
        <v>-</v>
      </c>
      <c r="D1706" s="169" t="s">
        <v>6292</v>
      </c>
      <c r="E1706" s="167" t="str">
        <f>IFERROR(VLOOKUP(A1706,작성용!A:AL,34,0),"-")</f>
        <v>-</v>
      </c>
      <c r="F1706" s="168" t="s">
        <v>6373</v>
      </c>
      <c r="G1706" s="179">
        <f>COUNTIF(작성용!A:B,$A1706)-COUNTIFS(작성용!A:A,$A1706,작성용!AA:AA,"평가철회")</f>
        <v>0</v>
      </c>
    </row>
    <row r="1707" spans="1:7" ht="16.5" customHeight="1" x14ac:dyDescent="0.3">
      <c r="A1707" s="170" t="s">
        <v>3428</v>
      </c>
      <c r="B1707" s="165" t="s">
        <v>2873</v>
      </c>
      <c r="C1707" s="165" t="str">
        <f>IFERROR(VLOOKUP($A1707,작성용!A:AL,14,0),"-")</f>
        <v>-</v>
      </c>
      <c r="D1707" s="169" t="s">
        <v>6400</v>
      </c>
      <c r="E1707" s="167" t="str">
        <f>IFERROR(VLOOKUP(A1707,작성용!A:AL,34,0),"-")</f>
        <v>-</v>
      </c>
      <c r="F1707" s="168" t="s">
        <v>6373</v>
      </c>
      <c r="G1707" s="179">
        <f>COUNTIF(작성용!A:B,$A1707)-COUNTIFS(작성용!A:A,$A1707,작성용!AA:AA,"평가철회")</f>
        <v>0</v>
      </c>
    </row>
    <row r="1708" spans="1:7" ht="16.5" customHeight="1" x14ac:dyDescent="0.3">
      <c r="A1708" s="170" t="s">
        <v>593</v>
      </c>
      <c r="B1708" s="165" t="s">
        <v>6613</v>
      </c>
      <c r="C1708" s="165" t="str">
        <f>IFERROR(VLOOKUP($A1708,작성용!A:AL,14,0),"-")</f>
        <v>-</v>
      </c>
      <c r="D1708" s="169" t="s">
        <v>6614</v>
      </c>
      <c r="E1708" s="167" t="str">
        <f>IFERROR(VLOOKUP(A1708,작성용!A:AL,34,0),"-")</f>
        <v>-</v>
      </c>
      <c r="F1708" s="168" t="s">
        <v>6438</v>
      </c>
      <c r="G1708" s="179">
        <f>COUNTIF(작성용!A:B,$A1708)-COUNTIFS(작성용!A:A,$A1708,작성용!AA:AA,"평가철회")</f>
        <v>0</v>
      </c>
    </row>
    <row r="1709" spans="1:7" ht="16.5" customHeight="1" x14ac:dyDescent="0.3">
      <c r="A1709" s="170" t="s">
        <v>3429</v>
      </c>
      <c r="B1709" s="165" t="s">
        <v>6615</v>
      </c>
      <c r="C1709" s="165" t="str">
        <f>IFERROR(VLOOKUP($A1709,작성용!A:AL,14,0),"-")</f>
        <v>-</v>
      </c>
      <c r="D1709" s="169" t="s">
        <v>6427</v>
      </c>
      <c r="E1709" s="167" t="str">
        <f>IFERROR(VLOOKUP(A1709,작성용!A:AL,34,0),"-")</f>
        <v>-</v>
      </c>
      <c r="F1709" s="168" t="s">
        <v>6381</v>
      </c>
      <c r="G1709" s="179">
        <f>COUNTIF(작성용!A:B,$A1709)-COUNTIFS(작성용!A:A,$A1709,작성용!AA:AA,"평가철회")</f>
        <v>0</v>
      </c>
    </row>
    <row r="1710" spans="1:7" ht="16.5" customHeight="1" x14ac:dyDescent="0.3">
      <c r="A1710" s="170" t="s">
        <v>3430</v>
      </c>
      <c r="B1710" s="165" t="s">
        <v>6616</v>
      </c>
      <c r="C1710" s="165" t="str">
        <f>IFERROR(VLOOKUP($A1710,작성용!A:AL,14,0),"-")</f>
        <v>-</v>
      </c>
      <c r="D1710" s="169" t="s">
        <v>6293</v>
      </c>
      <c r="E1710" s="167" t="str">
        <f>IFERROR(VLOOKUP(A1710,작성용!A:AL,34,0),"-")</f>
        <v>-</v>
      </c>
      <c r="F1710" s="168" t="s">
        <v>6380</v>
      </c>
      <c r="G1710" s="179">
        <f>COUNTIF(작성용!A:B,$A1710)-COUNTIFS(작성용!A:A,$A1710,작성용!AA:AA,"평가철회")</f>
        <v>0</v>
      </c>
    </row>
    <row r="1711" spans="1:7" ht="16.5" customHeight="1" x14ac:dyDescent="0.3">
      <c r="A1711" s="170" t="s">
        <v>3431</v>
      </c>
      <c r="B1711" s="165" t="s">
        <v>6617</v>
      </c>
      <c r="C1711" s="165" t="str">
        <f>IFERROR(VLOOKUP($A1711,작성용!A:AL,14,0),"-")</f>
        <v>-</v>
      </c>
      <c r="D1711" s="169" t="s">
        <v>6618</v>
      </c>
      <c r="E1711" s="167" t="str">
        <f>IFERROR(VLOOKUP(A1711,작성용!A:AL,34,0),"-")</f>
        <v>-</v>
      </c>
      <c r="F1711" s="168" t="s">
        <v>6373</v>
      </c>
      <c r="G1711" s="179">
        <f>COUNTIF(작성용!A:B,$A1711)-COUNTIFS(작성용!A:A,$A1711,작성용!AA:AA,"평가철회")</f>
        <v>0</v>
      </c>
    </row>
    <row r="1712" spans="1:7" ht="16.5" customHeight="1" x14ac:dyDescent="0.3">
      <c r="A1712" s="170" t="s">
        <v>3432</v>
      </c>
      <c r="B1712" s="165" t="s">
        <v>6619</v>
      </c>
      <c r="C1712" s="165" t="str">
        <f>IFERROR(VLOOKUP($A1712,작성용!A:AL,14,0),"-")</f>
        <v>-</v>
      </c>
      <c r="D1712" s="169" t="s">
        <v>6620</v>
      </c>
      <c r="E1712" s="167" t="str">
        <f>IFERROR(VLOOKUP(A1712,작성용!A:AL,34,0),"-")</f>
        <v>-</v>
      </c>
      <c r="F1712" s="168" t="s">
        <v>6331</v>
      </c>
      <c r="G1712" s="179">
        <f>COUNTIF(작성용!A:B,$A1712)-COUNTIFS(작성용!A:A,$A1712,작성용!AA:AA,"평가철회")</f>
        <v>0</v>
      </c>
    </row>
    <row r="1713" spans="1:7" ht="16.5" customHeight="1" x14ac:dyDescent="0.3">
      <c r="A1713" s="170" t="s">
        <v>3433</v>
      </c>
      <c r="B1713" s="165" t="s">
        <v>6621</v>
      </c>
      <c r="C1713" s="165" t="str">
        <f>IFERROR(VLOOKUP($A1713,작성용!A:AL,14,0),"-")</f>
        <v>-</v>
      </c>
      <c r="D1713" s="169" t="s">
        <v>6351</v>
      </c>
      <c r="E1713" s="167" t="str">
        <f>IFERROR(VLOOKUP(A1713,작성용!A:AL,34,0),"-")</f>
        <v>-</v>
      </c>
      <c r="F1713" s="168" t="s">
        <v>6270</v>
      </c>
      <c r="G1713" s="179">
        <f>COUNTIF(작성용!A:B,$A1713)-COUNTIFS(작성용!A:A,$A1713,작성용!AA:AA,"평가철회")</f>
        <v>0</v>
      </c>
    </row>
    <row r="1714" spans="1:7" ht="16.5" customHeight="1" x14ac:dyDescent="0.3">
      <c r="A1714" s="170" t="s">
        <v>3434</v>
      </c>
      <c r="B1714" s="165" t="s">
        <v>1587</v>
      </c>
      <c r="C1714" s="165" t="str">
        <f>IFERROR(VLOOKUP($A1714,작성용!A:AL,14,0),"-")</f>
        <v>-</v>
      </c>
      <c r="D1714" s="169" t="s">
        <v>6292</v>
      </c>
      <c r="E1714" s="167" t="str">
        <f>IFERROR(VLOOKUP(A1714,작성용!A:AL,34,0),"-")</f>
        <v>-</v>
      </c>
      <c r="F1714" s="168" t="s">
        <v>6373</v>
      </c>
      <c r="G1714" s="179">
        <f>COUNTIF(작성용!A:B,$A1714)-COUNTIFS(작성용!A:A,$A1714,작성용!AA:AA,"평가철회")</f>
        <v>0</v>
      </c>
    </row>
    <row r="1715" spans="1:7" ht="16.5" customHeight="1" x14ac:dyDescent="0.3">
      <c r="A1715" s="170" t="s">
        <v>3435</v>
      </c>
      <c r="B1715" s="165" t="s">
        <v>3436</v>
      </c>
      <c r="C1715" s="165" t="str">
        <f>IFERROR(VLOOKUP($A1715,작성용!A:AL,14,0),"-")</f>
        <v>년</v>
      </c>
      <c r="D1715" s="169" t="s">
        <v>6483</v>
      </c>
      <c r="E1715" s="167" t="str">
        <f>IFERROR(VLOOKUP(A1715,작성용!A:AL,34,0),"-")</f>
        <v>오영석</v>
      </c>
      <c r="F1715" s="168" t="s">
        <v>6373</v>
      </c>
      <c r="G1715" s="179">
        <f>COUNTIF(작성용!A:B,$A1715)-COUNTIFS(작성용!A:A,$A1715,작성용!AA:AA,"평가철회")</f>
        <v>1</v>
      </c>
    </row>
    <row r="1716" spans="1:7" ht="16.5" customHeight="1" x14ac:dyDescent="0.3">
      <c r="A1716" s="170" t="s">
        <v>3437</v>
      </c>
      <c r="B1716" s="165" t="s">
        <v>3438</v>
      </c>
      <c r="C1716" s="165" t="str">
        <f>IFERROR(VLOOKUP($A1716,작성용!A:AL,14,0),"-")</f>
        <v>-</v>
      </c>
      <c r="D1716" s="169" t="s">
        <v>6442</v>
      </c>
      <c r="E1716" s="167" t="str">
        <f>IFERROR(VLOOKUP(A1716,작성용!A:AL,34,0),"-")</f>
        <v>-</v>
      </c>
      <c r="F1716" s="168" t="s">
        <v>6373</v>
      </c>
      <c r="G1716" s="179">
        <f>COUNTIF(작성용!A:B,$A1716)-COUNTIFS(작성용!A:A,$A1716,작성용!AA:AA,"평가철회")</f>
        <v>0</v>
      </c>
    </row>
    <row r="1717" spans="1:7" ht="16.5" customHeight="1" x14ac:dyDescent="0.3">
      <c r="A1717" s="170" t="s">
        <v>3439</v>
      </c>
      <c r="B1717" s="165" t="s">
        <v>3440</v>
      </c>
      <c r="C1717" s="165" t="str">
        <f>IFERROR(VLOOKUP($A1717,작성용!A:AL,14,0),"-")</f>
        <v>-</v>
      </c>
      <c r="D1717" s="169" t="s">
        <v>6586</v>
      </c>
      <c r="E1717" s="167" t="str">
        <f>IFERROR(VLOOKUP(A1717,작성용!A:AL,34,0),"-")</f>
        <v>-</v>
      </c>
      <c r="F1717" s="168" t="s">
        <v>6438</v>
      </c>
      <c r="G1717" s="179">
        <f>COUNTIF(작성용!A:B,$A1717)-COUNTIFS(작성용!A:A,$A1717,작성용!AA:AA,"평가철회")</f>
        <v>0</v>
      </c>
    </row>
    <row r="1718" spans="1:7" ht="16.5" customHeight="1" x14ac:dyDescent="0.3">
      <c r="A1718" s="170" t="s">
        <v>3441</v>
      </c>
      <c r="B1718" s="165" t="s">
        <v>3442</v>
      </c>
      <c r="C1718" s="165" t="str">
        <f>IFERROR(VLOOKUP($A1718,작성용!A:AL,14,0),"-")</f>
        <v>년</v>
      </c>
      <c r="D1718" s="169" t="s">
        <v>6622</v>
      </c>
      <c r="E1718" s="167" t="str">
        <f>IFERROR(VLOOKUP(A1718,작성용!A:AL,34,0),"-")</f>
        <v>김에스더</v>
      </c>
      <c r="F1718" s="168" t="s">
        <v>6417</v>
      </c>
      <c r="G1718" s="179">
        <f>COUNTIF(작성용!A:B,$A1718)-COUNTIFS(작성용!A:A,$A1718,작성용!AA:AA,"평가철회")</f>
        <v>6</v>
      </c>
    </row>
    <row r="1719" spans="1:7" ht="16.5" customHeight="1" x14ac:dyDescent="0.3">
      <c r="A1719" s="170" t="s">
        <v>3443</v>
      </c>
      <c r="B1719" s="165" t="s">
        <v>6623</v>
      </c>
      <c r="C1719" s="165" t="str">
        <f>IFERROR(VLOOKUP($A1719,작성용!A:AL,14,0),"-")</f>
        <v>년</v>
      </c>
      <c r="D1719" s="169" t="s">
        <v>6461</v>
      </c>
      <c r="E1719" s="167" t="str">
        <f>IFERROR(VLOOKUP(A1719,작성용!A:AL,34,0),"-")</f>
        <v>윤광일</v>
      </c>
      <c r="F1719" s="168" t="s">
        <v>6417</v>
      </c>
      <c r="G1719" s="179">
        <f>COUNTIF(작성용!A:B,$A1719)-COUNTIFS(작성용!A:A,$A1719,작성용!AA:AA,"평가철회")</f>
        <v>21</v>
      </c>
    </row>
    <row r="1720" spans="1:7" ht="16.5" customHeight="1" x14ac:dyDescent="0.3">
      <c r="A1720" s="170" t="s">
        <v>3444</v>
      </c>
      <c r="B1720" s="165" t="s">
        <v>6624</v>
      </c>
      <c r="C1720" s="165" t="str">
        <f>IFERROR(VLOOKUP($A1720,작성용!A:AL,14,0),"-")</f>
        <v>-</v>
      </c>
      <c r="D1720" s="169" t="s">
        <v>6625</v>
      </c>
      <c r="E1720" s="167" t="str">
        <f>IFERROR(VLOOKUP(A1720,작성용!A:AL,34,0),"-")</f>
        <v>-</v>
      </c>
      <c r="F1720" s="168" t="s">
        <v>6381</v>
      </c>
      <c r="G1720" s="179">
        <f>COUNTIF(작성용!A:B,$A1720)-COUNTIFS(작성용!A:A,$A1720,작성용!AA:AA,"평가철회")</f>
        <v>0</v>
      </c>
    </row>
    <row r="1721" spans="1:7" ht="16.5" customHeight="1" x14ac:dyDescent="0.3">
      <c r="A1721" s="170" t="s">
        <v>3445</v>
      </c>
      <c r="B1721" s="165" t="s">
        <v>6626</v>
      </c>
      <c r="C1721" s="165" t="str">
        <f>IFERROR(VLOOKUP($A1721,작성용!A:AL,14,0),"-")</f>
        <v>-</v>
      </c>
      <c r="D1721" s="169" t="s">
        <v>6507</v>
      </c>
      <c r="E1721" s="167" t="str">
        <f>IFERROR(VLOOKUP(A1721,작성용!A:AL,34,0),"-")</f>
        <v>-</v>
      </c>
      <c r="F1721" s="168" t="s">
        <v>6417</v>
      </c>
      <c r="G1721" s="179">
        <f>COUNTIF(작성용!A:B,$A1721)-COUNTIFS(작성용!A:A,$A1721,작성용!AA:AA,"평가철회")</f>
        <v>0</v>
      </c>
    </row>
    <row r="1722" spans="1:7" ht="16.5" customHeight="1" x14ac:dyDescent="0.3">
      <c r="A1722" s="170" t="s">
        <v>3446</v>
      </c>
      <c r="B1722" s="165" t="s">
        <v>6627</v>
      </c>
      <c r="C1722" s="165" t="str">
        <f>IFERROR(VLOOKUP($A1722,작성용!A:AL,14,0),"-")</f>
        <v>-</v>
      </c>
      <c r="D1722" s="169" t="s">
        <v>6471</v>
      </c>
      <c r="E1722" s="167" t="str">
        <f>IFERROR(VLOOKUP(A1722,작성용!A:AL,34,0),"-")</f>
        <v>-</v>
      </c>
      <c r="F1722" s="168" t="s">
        <v>6417</v>
      </c>
      <c r="G1722" s="179">
        <f>COUNTIF(작성용!A:B,$A1722)-COUNTIFS(작성용!A:A,$A1722,작성용!AA:AA,"평가철회")</f>
        <v>0</v>
      </c>
    </row>
    <row r="1723" spans="1:7" ht="16.5" customHeight="1" x14ac:dyDescent="0.3">
      <c r="A1723" s="170" t="s">
        <v>3447</v>
      </c>
      <c r="B1723" s="165" t="s">
        <v>6628</v>
      </c>
      <c r="C1723" s="165" t="str">
        <f>IFERROR(VLOOKUP($A1723,작성용!A:AL,14,0),"-")</f>
        <v>-</v>
      </c>
      <c r="D1723" s="169" t="s">
        <v>6386</v>
      </c>
      <c r="E1723" s="167" t="str">
        <f>IFERROR(VLOOKUP(A1723,작성용!A:AL,34,0),"-")</f>
        <v>-</v>
      </c>
      <c r="F1723" s="168" t="s">
        <v>6417</v>
      </c>
      <c r="G1723" s="179">
        <f>COUNTIF(작성용!A:B,$A1723)-COUNTIFS(작성용!A:A,$A1723,작성용!AA:AA,"평가철회")</f>
        <v>0</v>
      </c>
    </row>
    <row r="1724" spans="1:7" ht="16.5" customHeight="1" x14ac:dyDescent="0.3">
      <c r="A1724" s="170" t="s">
        <v>3448</v>
      </c>
      <c r="B1724" s="165" t="s">
        <v>6629</v>
      </c>
      <c r="C1724" s="165" t="str">
        <f>IFERROR(VLOOKUP($A1724,작성용!A:AL,14,0),"-")</f>
        <v>년</v>
      </c>
      <c r="D1724" s="169" t="s">
        <v>6374</v>
      </c>
      <c r="E1724" s="167" t="str">
        <f>IFERROR(VLOOKUP(A1724,작성용!A:AL,34,0),"-")</f>
        <v>원정우</v>
      </c>
      <c r="F1724" s="168" t="s">
        <v>6417</v>
      </c>
      <c r="G1724" s="179">
        <f>COUNTIF(작성용!A:B,$A1724)-COUNTIFS(작성용!A:A,$A1724,작성용!AA:AA,"평가철회")</f>
        <v>10</v>
      </c>
    </row>
    <row r="1725" spans="1:7" ht="16.5" customHeight="1" x14ac:dyDescent="0.3">
      <c r="A1725" s="170" t="s">
        <v>3449</v>
      </c>
      <c r="B1725" s="165" t="s">
        <v>6630</v>
      </c>
      <c r="C1725" s="165" t="str">
        <f>IFERROR(VLOOKUP($A1725,작성용!A:AL,14,0),"-")</f>
        <v>-</v>
      </c>
      <c r="D1725" s="169" t="s">
        <v>6400</v>
      </c>
      <c r="E1725" s="167" t="str">
        <f>IFERROR(VLOOKUP(A1725,작성용!A:AL,34,0),"-")</f>
        <v>-</v>
      </c>
      <c r="F1725" s="168" t="s">
        <v>6417</v>
      </c>
      <c r="G1725" s="179">
        <f>COUNTIF(작성용!A:B,$A1725)-COUNTIFS(작성용!A:A,$A1725,작성용!AA:AA,"평가철회")</f>
        <v>0</v>
      </c>
    </row>
    <row r="1726" spans="1:7" ht="16.5" customHeight="1" x14ac:dyDescent="0.3">
      <c r="A1726" s="170" t="s">
        <v>3450</v>
      </c>
      <c r="B1726" s="165" t="s">
        <v>6631</v>
      </c>
      <c r="C1726" s="165" t="str">
        <f>IFERROR(VLOOKUP($A1726,작성용!A:AL,14,0),"-")</f>
        <v>-</v>
      </c>
      <c r="D1726" s="169" t="s">
        <v>6400</v>
      </c>
      <c r="E1726" s="167" t="str">
        <f>IFERROR(VLOOKUP(A1726,작성용!A:AL,34,0),"-")</f>
        <v>-</v>
      </c>
      <c r="F1726" s="168" t="s">
        <v>6417</v>
      </c>
      <c r="G1726" s="179">
        <f>COUNTIF(작성용!A:B,$A1726)-COUNTIFS(작성용!A:A,$A1726,작성용!AA:AA,"평가철회")</f>
        <v>0</v>
      </c>
    </row>
    <row r="1727" spans="1:7" ht="16.5" customHeight="1" x14ac:dyDescent="0.3">
      <c r="A1727" s="170" t="s">
        <v>3451</v>
      </c>
      <c r="B1727" s="165" t="s">
        <v>6632</v>
      </c>
      <c r="C1727" s="165" t="str">
        <f>IFERROR(VLOOKUP($A1727,작성용!A:AL,14,0),"-")</f>
        <v>-</v>
      </c>
      <c r="D1727" s="169" t="s">
        <v>6400</v>
      </c>
      <c r="E1727" s="167" t="str">
        <f>IFERROR(VLOOKUP(A1727,작성용!A:AL,34,0),"-")</f>
        <v>-</v>
      </c>
      <c r="F1727" s="168" t="s">
        <v>6381</v>
      </c>
      <c r="G1727" s="179">
        <f>COUNTIF(작성용!A:B,$A1727)-COUNTIFS(작성용!A:A,$A1727,작성용!AA:AA,"평가철회")</f>
        <v>0</v>
      </c>
    </row>
    <row r="1728" spans="1:7" ht="16.5" customHeight="1" x14ac:dyDescent="0.3">
      <c r="A1728" s="170" t="s">
        <v>3452</v>
      </c>
      <c r="B1728" s="165" t="s">
        <v>6633</v>
      </c>
      <c r="C1728" s="165" t="str">
        <f>IFERROR(VLOOKUP($A1728,작성용!A:AL,14,0),"-")</f>
        <v>-</v>
      </c>
      <c r="D1728" s="169" t="s">
        <v>6444</v>
      </c>
      <c r="E1728" s="167" t="str">
        <f>IFERROR(VLOOKUP(A1728,작성용!A:AL,34,0),"-")</f>
        <v>-</v>
      </c>
      <c r="F1728" s="168" t="s">
        <v>6417</v>
      </c>
      <c r="G1728" s="179">
        <f>COUNTIF(작성용!A:B,$A1728)-COUNTIFS(작성용!A:A,$A1728,작성용!AA:AA,"평가철회")</f>
        <v>0</v>
      </c>
    </row>
    <row r="1729" spans="1:7" ht="16.5" customHeight="1" x14ac:dyDescent="0.3">
      <c r="A1729" s="170" t="s">
        <v>3453</v>
      </c>
      <c r="B1729" s="165" t="s">
        <v>6634</v>
      </c>
      <c r="C1729" s="165" t="str">
        <f>IFERROR(VLOOKUP($A1729,작성용!A:AL,14,0),"-")</f>
        <v>-</v>
      </c>
      <c r="D1729" s="169" t="s">
        <v>6400</v>
      </c>
      <c r="E1729" s="167" t="str">
        <f>IFERROR(VLOOKUP(A1729,작성용!A:AL,34,0),"-")</f>
        <v>-</v>
      </c>
      <c r="F1729" s="168" t="s">
        <v>6417</v>
      </c>
      <c r="G1729" s="179">
        <f>COUNTIF(작성용!A:B,$A1729)-COUNTIFS(작성용!A:A,$A1729,작성용!AA:AA,"평가철회")</f>
        <v>0</v>
      </c>
    </row>
    <row r="1730" spans="1:7" ht="16.5" customHeight="1" x14ac:dyDescent="0.3">
      <c r="A1730" s="170" t="s">
        <v>3454</v>
      </c>
      <c r="B1730" s="165" t="s">
        <v>6635</v>
      </c>
      <c r="C1730" s="165" t="str">
        <f>IFERROR(VLOOKUP($A1730,작성용!A:AL,14,0),"-")</f>
        <v>-</v>
      </c>
      <c r="D1730" s="169" t="s">
        <v>6388</v>
      </c>
      <c r="E1730" s="167" t="str">
        <f>IFERROR(VLOOKUP(A1730,작성용!A:AL,34,0),"-")</f>
        <v>-</v>
      </c>
      <c r="F1730" s="168" t="s">
        <v>6417</v>
      </c>
      <c r="G1730" s="179">
        <f>COUNTIF(작성용!A:B,$A1730)-COUNTIFS(작성용!A:A,$A1730,작성용!AA:AA,"평가철회")</f>
        <v>0</v>
      </c>
    </row>
    <row r="1731" spans="1:7" ht="16.5" customHeight="1" x14ac:dyDescent="0.3">
      <c r="A1731" s="170" t="s">
        <v>3455</v>
      </c>
      <c r="B1731" s="165" t="s">
        <v>6636</v>
      </c>
      <c r="C1731" s="165" t="str">
        <f>IFERROR(VLOOKUP($A1731,작성용!A:AL,14,0),"-")</f>
        <v>-</v>
      </c>
      <c r="D1731" s="169" t="s">
        <v>6471</v>
      </c>
      <c r="E1731" s="167" t="str">
        <f>IFERROR(VLOOKUP(A1731,작성용!A:AL,34,0),"-")</f>
        <v>-</v>
      </c>
      <c r="F1731" s="168" t="s">
        <v>6417</v>
      </c>
      <c r="G1731" s="179">
        <f>COUNTIF(작성용!A:B,$A1731)-COUNTIFS(작성용!A:A,$A1731,작성용!AA:AA,"평가철회")</f>
        <v>0</v>
      </c>
    </row>
    <row r="1732" spans="1:7" ht="16.5" customHeight="1" x14ac:dyDescent="0.3">
      <c r="A1732" s="170" t="s">
        <v>3456</v>
      </c>
      <c r="B1732" s="165" t="s">
        <v>6637</v>
      </c>
      <c r="C1732" s="165" t="str">
        <f>IFERROR(VLOOKUP($A1732,작성용!A:AL,14,0),"-")</f>
        <v>-</v>
      </c>
      <c r="D1732" s="169" t="s">
        <v>6441</v>
      </c>
      <c r="E1732" s="167" t="str">
        <f>IFERROR(VLOOKUP(A1732,작성용!A:AL,34,0),"-")</f>
        <v>-</v>
      </c>
      <c r="F1732" s="168" t="s">
        <v>6417</v>
      </c>
      <c r="G1732" s="179">
        <f>COUNTIF(작성용!A:B,$A1732)-COUNTIFS(작성용!A:A,$A1732,작성용!AA:AA,"평가철회")</f>
        <v>0</v>
      </c>
    </row>
    <row r="1733" spans="1:7" ht="16.5" customHeight="1" x14ac:dyDescent="0.3">
      <c r="A1733" s="170" t="s">
        <v>3457</v>
      </c>
      <c r="B1733" s="165" t="s">
        <v>6638</v>
      </c>
      <c r="C1733" s="165" t="str">
        <f>IFERROR(VLOOKUP($A1733,작성용!A:AL,14,0),"-")</f>
        <v>-</v>
      </c>
      <c r="D1733" s="169" t="s">
        <v>6440</v>
      </c>
      <c r="E1733" s="167" t="str">
        <f>IFERROR(VLOOKUP(A1733,작성용!A:AL,34,0),"-")</f>
        <v>-</v>
      </c>
      <c r="F1733" s="168" t="s">
        <v>6417</v>
      </c>
      <c r="G1733" s="179">
        <f>COUNTIF(작성용!A:B,$A1733)-COUNTIFS(작성용!A:A,$A1733,작성용!AA:AA,"평가철회")</f>
        <v>0</v>
      </c>
    </row>
    <row r="1734" spans="1:7" ht="16.5" customHeight="1" x14ac:dyDescent="0.3">
      <c r="A1734" s="170" t="s">
        <v>3458</v>
      </c>
      <c r="B1734" s="165" t="s">
        <v>6639</v>
      </c>
      <c r="C1734" s="165" t="str">
        <f>IFERROR(VLOOKUP($A1734,작성용!A:AL,14,0),"-")</f>
        <v>-</v>
      </c>
      <c r="D1734" s="169" t="s">
        <v>6400</v>
      </c>
      <c r="E1734" s="167" t="str">
        <f>IFERROR(VLOOKUP(A1734,작성용!A:AL,34,0),"-")</f>
        <v>-</v>
      </c>
      <c r="F1734" s="168" t="s">
        <v>6380</v>
      </c>
      <c r="G1734" s="179">
        <f>COUNTIF(작성용!A:B,$A1734)-COUNTIFS(작성용!A:A,$A1734,작성용!AA:AA,"평가철회")</f>
        <v>0</v>
      </c>
    </row>
    <row r="1735" spans="1:7" ht="16.5" customHeight="1" x14ac:dyDescent="0.3">
      <c r="A1735" s="170" t="s">
        <v>3459</v>
      </c>
      <c r="B1735" s="165" t="s">
        <v>6640</v>
      </c>
      <c r="C1735" s="165" t="str">
        <f>IFERROR(VLOOKUP($A1735,작성용!A:AL,14,0),"-")</f>
        <v>-</v>
      </c>
      <c r="D1735" s="169" t="s">
        <v>6641</v>
      </c>
      <c r="E1735" s="167" t="str">
        <f>IFERROR(VLOOKUP(A1735,작성용!A:AL,34,0),"-")</f>
        <v>-</v>
      </c>
      <c r="F1735" s="168" t="s">
        <v>6417</v>
      </c>
      <c r="G1735" s="179">
        <f>COUNTIF(작성용!A:B,$A1735)-COUNTIFS(작성용!A:A,$A1735,작성용!AA:AA,"평가철회")</f>
        <v>0</v>
      </c>
    </row>
    <row r="1736" spans="1:7" ht="16.5" customHeight="1" x14ac:dyDescent="0.3">
      <c r="A1736" s="170" t="s">
        <v>3460</v>
      </c>
      <c r="B1736" s="165" t="s">
        <v>6560</v>
      </c>
      <c r="C1736" s="165" t="str">
        <f>IFERROR(VLOOKUP($A1736,작성용!A:AL,14,0),"-")</f>
        <v>-</v>
      </c>
      <c r="D1736" s="169" t="s">
        <v>6400</v>
      </c>
      <c r="E1736" s="167" t="str">
        <f>IFERROR(VLOOKUP(A1736,작성용!A:AL,34,0),"-")</f>
        <v>-</v>
      </c>
      <c r="F1736" s="168" t="s">
        <v>6417</v>
      </c>
      <c r="G1736" s="179">
        <f>COUNTIF(작성용!A:B,$A1736)-COUNTIFS(작성용!A:A,$A1736,작성용!AA:AA,"평가철회")</f>
        <v>0</v>
      </c>
    </row>
    <row r="1737" spans="1:7" ht="16.5" customHeight="1" x14ac:dyDescent="0.3">
      <c r="A1737" s="170" t="s">
        <v>3461</v>
      </c>
      <c r="B1737" s="165" t="s">
        <v>6642</v>
      </c>
      <c r="C1737" s="165" t="str">
        <f>IFERROR(VLOOKUP($A1737,작성용!A:AL,14,0),"-")</f>
        <v>연말</v>
      </c>
      <c r="D1737" s="169" t="s">
        <v>6377</v>
      </c>
      <c r="E1737" s="167" t="str">
        <f>IFERROR(VLOOKUP(A1737,작성용!A:AL,34,0),"-")</f>
        <v>서동현</v>
      </c>
      <c r="F1737" s="168" t="s">
        <v>6438</v>
      </c>
      <c r="G1737" s="179">
        <f>COUNTIF(작성용!A:B,$A1737)-COUNTIFS(작성용!A:A,$A1737,작성용!AA:AA,"평가철회")</f>
        <v>8</v>
      </c>
    </row>
    <row r="1738" spans="1:7" ht="16.5" customHeight="1" x14ac:dyDescent="0.3">
      <c r="A1738" s="170" t="s">
        <v>3462</v>
      </c>
      <c r="B1738" s="165" t="s">
        <v>6643</v>
      </c>
      <c r="C1738" s="165" t="str">
        <f>IFERROR(VLOOKUP($A1738,작성용!A:AL,14,0),"-")</f>
        <v>-</v>
      </c>
      <c r="D1738" s="169" t="s">
        <v>6489</v>
      </c>
      <c r="E1738" s="167" t="str">
        <f>IFERROR(VLOOKUP(A1738,작성용!A:AL,34,0),"-")</f>
        <v>-</v>
      </c>
      <c r="F1738" s="168" t="s">
        <v>6381</v>
      </c>
      <c r="G1738" s="179">
        <f>COUNTIF(작성용!A:B,$A1738)-COUNTIFS(작성용!A:A,$A1738,작성용!AA:AA,"평가철회")</f>
        <v>0</v>
      </c>
    </row>
    <row r="1739" spans="1:7" ht="16.5" customHeight="1" x14ac:dyDescent="0.3">
      <c r="A1739" s="170" t="s">
        <v>3463</v>
      </c>
      <c r="B1739" s="165" t="s">
        <v>6644</v>
      </c>
      <c r="C1739" s="165" t="str">
        <f>IFERROR(VLOOKUP($A1739,작성용!A:AL,14,0),"-")</f>
        <v>-</v>
      </c>
      <c r="D1739" s="169" t="s">
        <v>6400</v>
      </c>
      <c r="E1739" s="167" t="str">
        <f>IFERROR(VLOOKUP(A1739,작성용!A:AL,34,0),"-")</f>
        <v>-</v>
      </c>
      <c r="F1739" s="168" t="s">
        <v>6381</v>
      </c>
      <c r="G1739" s="179">
        <f>COUNTIF(작성용!A:B,$A1739)-COUNTIFS(작성용!A:A,$A1739,작성용!AA:AA,"평가철회")</f>
        <v>0</v>
      </c>
    </row>
    <row r="1740" spans="1:7" ht="16.5" customHeight="1" x14ac:dyDescent="0.3">
      <c r="A1740" s="170" t="s">
        <v>3464</v>
      </c>
      <c r="B1740" s="165" t="s">
        <v>6645</v>
      </c>
      <c r="C1740" s="165" t="str">
        <f>IFERROR(VLOOKUP($A1740,작성용!A:AL,14,0),"-")</f>
        <v>-</v>
      </c>
      <c r="D1740" s="169" t="s">
        <v>6386</v>
      </c>
      <c r="E1740" s="167" t="str">
        <f>IFERROR(VLOOKUP(A1740,작성용!A:AL,34,0),"-")</f>
        <v>-</v>
      </c>
      <c r="F1740" s="168" t="s">
        <v>6438</v>
      </c>
      <c r="G1740" s="179">
        <f>COUNTIF(작성용!A:B,$A1740)-COUNTIFS(작성용!A:A,$A1740,작성용!AA:AA,"평가철회")</f>
        <v>0</v>
      </c>
    </row>
    <row r="1741" spans="1:7" x14ac:dyDescent="0.3">
      <c r="A1741" s="170" t="s">
        <v>3465</v>
      </c>
      <c r="B1741" s="165" t="s">
        <v>6646</v>
      </c>
      <c r="C1741" s="165" t="str">
        <f>IFERROR(VLOOKUP($A1741,작성용!A:AL,14,0),"-")</f>
        <v>-</v>
      </c>
      <c r="D1741" s="169" t="s">
        <v>6489</v>
      </c>
      <c r="E1741" s="167" t="str">
        <f>IFERROR(VLOOKUP(A1741,작성용!A:AL,34,0),"-")</f>
        <v>-</v>
      </c>
      <c r="F1741" s="168" t="s">
        <v>6380</v>
      </c>
      <c r="G1741" s="179">
        <f>COUNTIF(작성용!A:B,$A1741)-COUNTIFS(작성용!A:A,$A1741,작성용!AA:AA,"평가철회")</f>
        <v>0</v>
      </c>
    </row>
    <row r="1742" spans="1:7" ht="16.5" customHeight="1" x14ac:dyDescent="0.3">
      <c r="A1742" s="170" t="s">
        <v>3466</v>
      </c>
      <c r="B1742" s="165" t="s">
        <v>6647</v>
      </c>
      <c r="C1742" s="165" t="str">
        <f>IFERROR(VLOOKUP($A1742,작성용!A:AL,14,0),"-")</f>
        <v>-</v>
      </c>
      <c r="D1742" s="169" t="s">
        <v>6489</v>
      </c>
      <c r="E1742" s="167" t="str">
        <f>IFERROR(VLOOKUP(A1742,작성용!A:AL,34,0),"-")</f>
        <v>-</v>
      </c>
      <c r="F1742" s="168" t="s">
        <v>6380</v>
      </c>
      <c r="G1742" s="179">
        <f>COUNTIF(작성용!A:B,$A1742)-COUNTIFS(작성용!A:A,$A1742,작성용!AA:AA,"평가철회")</f>
        <v>0</v>
      </c>
    </row>
    <row r="1743" spans="1:7" ht="16.5" customHeight="1" x14ac:dyDescent="0.3">
      <c r="A1743" s="170" t="s">
        <v>3467</v>
      </c>
      <c r="B1743" s="165" t="s">
        <v>6648</v>
      </c>
      <c r="C1743" s="165" t="str">
        <f>IFERROR(VLOOKUP($A1743,작성용!A:AL,14,0),"-")</f>
        <v>-</v>
      </c>
      <c r="D1743" s="169" t="s">
        <v>6377</v>
      </c>
      <c r="E1743" s="167" t="str">
        <f>IFERROR(VLOOKUP(A1743,작성용!A:AL,34,0),"-")</f>
        <v>-</v>
      </c>
      <c r="F1743" s="168" t="s">
        <v>6438</v>
      </c>
      <c r="G1743" s="179">
        <f>COUNTIF(작성용!A:B,$A1743)-COUNTIFS(작성용!A:A,$A1743,작성용!AA:AA,"평가철회")</f>
        <v>0</v>
      </c>
    </row>
    <row r="1744" spans="1:7" ht="16.5" customHeight="1" x14ac:dyDescent="0.3">
      <c r="A1744" s="170" t="s">
        <v>3468</v>
      </c>
      <c r="B1744" s="165" t="s">
        <v>6649</v>
      </c>
      <c r="C1744" s="165" t="str">
        <f>IFERROR(VLOOKUP($A1744,작성용!A:AL,14,0),"-")</f>
        <v>-</v>
      </c>
      <c r="D1744" s="169" t="s">
        <v>6400</v>
      </c>
      <c r="E1744" s="167" t="str">
        <f>IFERROR(VLOOKUP(A1744,작성용!A:AL,34,0),"-")</f>
        <v>-</v>
      </c>
      <c r="F1744" s="168" t="s">
        <v>6381</v>
      </c>
      <c r="G1744" s="179">
        <f>COUNTIF(작성용!A:B,$A1744)-COUNTIFS(작성용!A:A,$A1744,작성용!AA:AA,"평가철회")</f>
        <v>0</v>
      </c>
    </row>
    <row r="1745" spans="1:7" ht="16.5" customHeight="1" x14ac:dyDescent="0.3">
      <c r="A1745" s="170" t="s">
        <v>6650</v>
      </c>
      <c r="B1745" s="165" t="s">
        <v>6651</v>
      </c>
      <c r="C1745" s="165" t="str">
        <f>IFERROR(VLOOKUP($A1745,작성용!A:AL,14,0),"-")</f>
        <v>-</v>
      </c>
      <c r="D1745" s="169" t="s">
        <v>6488</v>
      </c>
      <c r="E1745" s="167" t="str">
        <f>IFERROR(VLOOKUP(A1745,작성용!A:AL,34,0),"-")</f>
        <v>-</v>
      </c>
      <c r="F1745" s="168" t="s">
        <v>6381</v>
      </c>
      <c r="G1745" s="179">
        <f>COUNTIF(작성용!A:B,$A1745)-COUNTIFS(작성용!A:A,$A1745,작성용!AA:AA,"평가철회")</f>
        <v>0</v>
      </c>
    </row>
    <row r="1746" spans="1:7" ht="16.5" customHeight="1" x14ac:dyDescent="0.3">
      <c r="A1746" s="170" t="s">
        <v>6652</v>
      </c>
      <c r="B1746" s="165" t="s">
        <v>6653</v>
      </c>
      <c r="C1746" s="165" t="str">
        <f>IFERROR(VLOOKUP($A1746,작성용!A:AL,14,0),"-")</f>
        <v>-</v>
      </c>
      <c r="D1746" s="169" t="s">
        <v>6440</v>
      </c>
      <c r="E1746" s="167" t="str">
        <f>IFERROR(VLOOKUP(A1746,작성용!A:AL,34,0),"-")</f>
        <v>-</v>
      </c>
      <c r="F1746" s="168" t="s">
        <v>6373</v>
      </c>
      <c r="G1746" s="179">
        <f>COUNTIF(작성용!A:B,$A1746)-COUNTIFS(작성용!A:A,$A1746,작성용!AA:AA,"평가철회")</f>
        <v>0</v>
      </c>
    </row>
    <row r="1747" spans="1:7" ht="16.5" customHeight="1" x14ac:dyDescent="0.3">
      <c r="A1747" s="170" t="s">
        <v>6654</v>
      </c>
      <c r="B1747" s="165" t="s">
        <v>6655</v>
      </c>
      <c r="C1747" s="165" t="str">
        <f>IFERROR(VLOOKUP($A1747,작성용!A:AL,14,0),"-")</f>
        <v>-</v>
      </c>
      <c r="D1747" s="169" t="s">
        <v>6440</v>
      </c>
      <c r="E1747" s="167" t="str">
        <f>IFERROR(VLOOKUP(A1747,작성용!A:AL,34,0),"-")</f>
        <v>-</v>
      </c>
      <c r="F1747" s="168" t="s">
        <v>3527</v>
      </c>
      <c r="G1747" s="179">
        <f>COUNTIF(작성용!A:B,$A1747)-COUNTIFS(작성용!A:A,$A1747,작성용!AA:AA,"평가철회")</f>
        <v>0</v>
      </c>
    </row>
    <row r="1748" spans="1:7" ht="16.5" customHeight="1" x14ac:dyDescent="0.3">
      <c r="A1748" s="170" t="s">
        <v>6656</v>
      </c>
      <c r="B1748" s="165" t="s">
        <v>6657</v>
      </c>
      <c r="C1748" s="165" t="str">
        <f>IFERROR(VLOOKUP($A1748,작성용!A:AL,14,0),"-")</f>
        <v>-</v>
      </c>
      <c r="D1748" s="169" t="s">
        <v>6400</v>
      </c>
      <c r="E1748" s="167" t="str">
        <f>IFERROR(VLOOKUP(A1748,작성용!A:AL,34,0),"-")</f>
        <v>-</v>
      </c>
      <c r="F1748" s="168" t="s">
        <v>6381</v>
      </c>
      <c r="G1748" s="179">
        <f>COUNTIF(작성용!A:B,$A1748)-COUNTIFS(작성용!A:A,$A1748,작성용!AA:AA,"평가철회")</f>
        <v>0</v>
      </c>
    </row>
    <row r="1749" spans="1:7" ht="16.5" customHeight="1" x14ac:dyDescent="0.3">
      <c r="A1749" s="170" t="s">
        <v>6658</v>
      </c>
      <c r="B1749" s="165" t="s">
        <v>6659</v>
      </c>
      <c r="C1749" s="165" t="str">
        <f>IFERROR(VLOOKUP($A1749,작성용!A:AL,14,0),"-")</f>
        <v>-</v>
      </c>
      <c r="D1749" s="169" t="s">
        <v>6440</v>
      </c>
      <c r="E1749" s="167" t="str">
        <f>IFERROR(VLOOKUP(A1749,작성용!A:AL,34,0),"-")</f>
        <v>-</v>
      </c>
      <c r="F1749" s="168" t="s">
        <v>6373</v>
      </c>
      <c r="G1749" s="179">
        <f>COUNTIF(작성용!A:B,$A1749)-COUNTIFS(작성용!A:A,$A1749,작성용!AA:AA,"평가철회")</f>
        <v>0</v>
      </c>
    </row>
    <row r="1750" spans="1:7" ht="16.5" customHeight="1" x14ac:dyDescent="0.3">
      <c r="A1750" s="170" t="s">
        <v>6660</v>
      </c>
      <c r="B1750" s="165" t="s">
        <v>6661</v>
      </c>
      <c r="C1750" s="165" t="str">
        <f>IFERROR(VLOOKUP($A1750,작성용!A:AL,14,0),"-")</f>
        <v>-</v>
      </c>
      <c r="D1750" s="169" t="s">
        <v>6507</v>
      </c>
      <c r="E1750" s="167" t="str">
        <f>IFERROR(VLOOKUP(A1750,작성용!A:AL,34,0),"-")</f>
        <v>-</v>
      </c>
      <c r="F1750" s="168" t="s">
        <v>6373</v>
      </c>
      <c r="G1750" s="179">
        <f>COUNTIF(작성용!A:B,$A1750)-COUNTIFS(작성용!A:A,$A1750,작성용!AA:AA,"평가철회")</f>
        <v>0</v>
      </c>
    </row>
    <row r="1751" spans="1:7" ht="16.5" customHeight="1" x14ac:dyDescent="0.3">
      <c r="A1751" s="170" t="s">
        <v>6662</v>
      </c>
      <c r="B1751" s="165" t="s">
        <v>6663</v>
      </c>
      <c r="C1751" s="165" t="str">
        <f>IFERROR(VLOOKUP($A1751,작성용!A:AL,14,0),"-")</f>
        <v>-</v>
      </c>
      <c r="D1751" s="169" t="s">
        <v>6400</v>
      </c>
      <c r="E1751" s="167" t="str">
        <f>IFERROR(VLOOKUP(A1751,작성용!A:AL,34,0),"-")</f>
        <v>-</v>
      </c>
      <c r="F1751" s="168" t="s">
        <v>6373</v>
      </c>
      <c r="G1751" s="179">
        <f>COUNTIF(작성용!A:B,$A1751)-COUNTIFS(작성용!A:A,$A1751,작성용!AA:AA,"평가철회")</f>
        <v>0</v>
      </c>
    </row>
    <row r="1752" spans="1:7" ht="16.5" customHeight="1" x14ac:dyDescent="0.3">
      <c r="A1752" s="170" t="s">
        <v>6664</v>
      </c>
      <c r="B1752" s="165" t="s">
        <v>6665</v>
      </c>
      <c r="C1752" s="165" t="str">
        <f>IFERROR(VLOOKUP($A1752,작성용!A:AL,14,0),"-")</f>
        <v>-</v>
      </c>
      <c r="D1752" s="169" t="s">
        <v>6464</v>
      </c>
      <c r="E1752" s="167" t="str">
        <f>IFERROR(VLOOKUP(A1752,작성용!A:AL,34,0),"-")</f>
        <v>-</v>
      </c>
      <c r="F1752" s="168" t="s">
        <v>6373</v>
      </c>
      <c r="G1752" s="179">
        <f>COUNTIF(작성용!A:B,$A1752)-COUNTIFS(작성용!A:A,$A1752,작성용!AA:AA,"평가철회")</f>
        <v>0</v>
      </c>
    </row>
    <row r="1753" spans="1:7" ht="16.5" customHeight="1" x14ac:dyDescent="0.3">
      <c r="A1753" s="170" t="s">
        <v>6666</v>
      </c>
      <c r="B1753" s="165" t="s">
        <v>6667</v>
      </c>
      <c r="C1753" s="165" t="str">
        <f>IFERROR(VLOOKUP($A1753,작성용!A:AL,14,0),"-")</f>
        <v>-</v>
      </c>
      <c r="D1753" s="169" t="s">
        <v>6385</v>
      </c>
      <c r="E1753" s="167" t="str">
        <f>IFERROR(VLOOKUP(A1753,작성용!A:AL,34,0),"-")</f>
        <v>-</v>
      </c>
      <c r="F1753" s="168" t="s">
        <v>6373</v>
      </c>
      <c r="G1753" s="179">
        <f>COUNTIF(작성용!A:B,$A1753)-COUNTIFS(작성용!A:A,$A1753,작성용!AA:AA,"평가철회")</f>
        <v>0</v>
      </c>
    </row>
    <row r="1754" spans="1:7" ht="16.5" customHeight="1" x14ac:dyDescent="0.3">
      <c r="A1754" s="170" t="s">
        <v>6668</v>
      </c>
      <c r="B1754" s="165" t="s">
        <v>6669</v>
      </c>
      <c r="C1754" s="165" t="str">
        <f>IFERROR(VLOOKUP($A1754,작성용!A:AL,14,0),"-")</f>
        <v>-</v>
      </c>
      <c r="D1754" s="169" t="s">
        <v>6467</v>
      </c>
      <c r="E1754" s="167" t="str">
        <f>IFERROR(VLOOKUP(A1754,작성용!A:AL,34,0),"-")</f>
        <v>-</v>
      </c>
      <c r="F1754" s="168" t="s">
        <v>6373</v>
      </c>
      <c r="G1754" s="179">
        <f>COUNTIF(작성용!A:B,$A1754)-COUNTIFS(작성용!A:A,$A1754,작성용!AA:AA,"평가철회")</f>
        <v>0</v>
      </c>
    </row>
    <row r="1755" spans="1:7" ht="16.5" customHeight="1" x14ac:dyDescent="0.3">
      <c r="A1755" s="170" t="s">
        <v>6670</v>
      </c>
      <c r="B1755" s="165" t="s">
        <v>6671</v>
      </c>
      <c r="C1755" s="165" t="str">
        <f>IFERROR(VLOOKUP($A1755,작성용!A:AL,14,0),"-")</f>
        <v>-</v>
      </c>
      <c r="D1755" s="169" t="s">
        <v>6489</v>
      </c>
      <c r="E1755" s="167" t="str">
        <f>IFERROR(VLOOKUP(A1755,작성용!A:AL,34,0),"-")</f>
        <v>-</v>
      </c>
      <c r="F1755" s="168" t="s">
        <v>6373</v>
      </c>
      <c r="G1755" s="179">
        <f>COUNTIF(작성용!A:B,$A1755)-COUNTIFS(작성용!A:A,$A1755,작성용!AA:AA,"평가철회")</f>
        <v>0</v>
      </c>
    </row>
    <row r="1756" spans="1:7" ht="16.5" customHeight="1" x14ac:dyDescent="0.3">
      <c r="A1756" s="170" t="s">
        <v>6672</v>
      </c>
      <c r="B1756" s="165" t="s">
        <v>6673</v>
      </c>
      <c r="C1756" s="165" t="str">
        <f>IFERROR(VLOOKUP($A1756,작성용!A:AL,14,0),"-")</f>
        <v>-</v>
      </c>
      <c r="D1756" s="169" t="s">
        <v>6400</v>
      </c>
      <c r="E1756" s="167" t="str">
        <f>IFERROR(VLOOKUP(A1756,작성용!A:AL,34,0),"-")</f>
        <v>-</v>
      </c>
      <c r="F1756" s="168" t="s">
        <v>6382</v>
      </c>
      <c r="G1756" s="179">
        <f>COUNTIF(작성용!A:B,$A1756)-COUNTIFS(작성용!A:A,$A1756,작성용!AA:AA,"평가철회")</f>
        <v>0</v>
      </c>
    </row>
    <row r="1757" spans="1:7" ht="16.5" customHeight="1" x14ac:dyDescent="0.3">
      <c r="A1757" s="170" t="s">
        <v>6674</v>
      </c>
      <c r="B1757" s="165" t="s">
        <v>6675</v>
      </c>
      <c r="C1757" s="165" t="str">
        <f>IFERROR(VLOOKUP($A1757,작성용!A:AL,14,0),"-")</f>
        <v>-</v>
      </c>
      <c r="D1757" s="169" t="s">
        <v>6385</v>
      </c>
      <c r="E1757" s="167" t="str">
        <f>IFERROR(VLOOKUP(A1757,작성용!A:AL,34,0),"-")</f>
        <v>-</v>
      </c>
      <c r="F1757" s="168" t="s">
        <v>6373</v>
      </c>
      <c r="G1757" s="179">
        <f>COUNTIF(작성용!A:B,$A1757)-COUNTIFS(작성용!A:A,$A1757,작성용!AA:AA,"평가철회")</f>
        <v>0</v>
      </c>
    </row>
    <row r="1758" spans="1:7" ht="16.5" customHeight="1" x14ac:dyDescent="0.3">
      <c r="A1758" s="170" t="s">
        <v>6676</v>
      </c>
      <c r="B1758" s="165" t="s">
        <v>6677</v>
      </c>
      <c r="C1758" s="165" t="str">
        <f>IFERROR(VLOOKUP($A1758,작성용!A:AL,14,0),"-")</f>
        <v>-</v>
      </c>
      <c r="D1758" s="169" t="s">
        <v>6678</v>
      </c>
      <c r="E1758" s="167" t="str">
        <f>IFERROR(VLOOKUP(A1758,작성용!A:AL,34,0),"-")</f>
        <v>-</v>
      </c>
      <c r="F1758" s="168" t="s">
        <v>6373</v>
      </c>
      <c r="G1758" s="179">
        <f>COUNTIF(작성용!A:B,$A1758)-COUNTIFS(작성용!A:A,$A1758,작성용!AA:AA,"평가철회")</f>
        <v>0</v>
      </c>
    </row>
    <row r="1759" spans="1:7" ht="16.5" customHeight="1" x14ac:dyDescent="0.3">
      <c r="A1759" s="170" t="s">
        <v>6679</v>
      </c>
      <c r="B1759" s="165" t="s">
        <v>6680</v>
      </c>
      <c r="C1759" s="165" t="str">
        <f>IFERROR(VLOOKUP($A1759,작성용!A:AL,14,0),"-")</f>
        <v>-</v>
      </c>
      <c r="D1759" s="169" t="s">
        <v>6441</v>
      </c>
      <c r="E1759" s="167" t="str">
        <f>IFERROR(VLOOKUP(A1759,작성용!A:AL,34,0),"-")</f>
        <v>-</v>
      </c>
      <c r="F1759" s="168" t="s">
        <v>6373</v>
      </c>
      <c r="G1759" s="179">
        <f>COUNTIF(작성용!A:B,$A1759)-COUNTIFS(작성용!A:A,$A1759,작성용!AA:AA,"평가철회")</f>
        <v>0</v>
      </c>
    </row>
    <row r="1760" spans="1:7" ht="16.5" customHeight="1" x14ac:dyDescent="0.3">
      <c r="A1760" s="170" t="s">
        <v>6681</v>
      </c>
      <c r="B1760" s="165" t="s">
        <v>6682</v>
      </c>
      <c r="C1760" s="165" t="str">
        <f>IFERROR(VLOOKUP($A1760,작성용!A:AL,14,0),"-")</f>
        <v>-</v>
      </c>
      <c r="D1760" s="169" t="s">
        <v>6503</v>
      </c>
      <c r="E1760" s="167" t="str">
        <f>IFERROR(VLOOKUP(A1760,작성용!A:AL,34,0),"-")</f>
        <v>-</v>
      </c>
      <c r="F1760" s="168" t="s">
        <v>6373</v>
      </c>
      <c r="G1760" s="179">
        <f>COUNTIF(작성용!A:B,$A1760)-COUNTIFS(작성용!A:A,$A1760,작성용!AA:AA,"평가철회")</f>
        <v>0</v>
      </c>
    </row>
    <row r="1761" spans="1:7" ht="16.5" customHeight="1" x14ac:dyDescent="0.3">
      <c r="A1761" s="170" t="s">
        <v>6683</v>
      </c>
      <c r="B1761" s="165" t="s">
        <v>6684</v>
      </c>
      <c r="C1761" s="165" t="str">
        <f>IFERROR(VLOOKUP($A1761,작성용!A:AL,14,0),"-")</f>
        <v>-</v>
      </c>
      <c r="D1761" s="169" t="s">
        <v>6471</v>
      </c>
      <c r="E1761" s="167" t="str">
        <f>IFERROR(VLOOKUP(A1761,작성용!A:AL,34,0),"-")</f>
        <v>-</v>
      </c>
      <c r="F1761" s="168" t="s">
        <v>6373</v>
      </c>
      <c r="G1761" s="179">
        <f>COUNTIF(작성용!A:B,$A1761)-COUNTIFS(작성용!A:A,$A1761,작성용!AA:AA,"평가철회")</f>
        <v>0</v>
      </c>
    </row>
    <row r="1762" spans="1:7" x14ac:dyDescent="0.3">
      <c r="A1762" s="170" t="s">
        <v>6685</v>
      </c>
      <c r="B1762" s="165" t="s">
        <v>6686</v>
      </c>
      <c r="C1762" s="165" t="str">
        <f>IFERROR(VLOOKUP($A1762,작성용!A:AL,14,0),"-")</f>
        <v>-</v>
      </c>
      <c r="D1762" s="169" t="s">
        <v>6388</v>
      </c>
      <c r="E1762" s="167" t="str">
        <f>IFERROR(VLOOKUP(A1762,작성용!A:AL,34,0),"-")</f>
        <v>-</v>
      </c>
      <c r="F1762" s="168" t="s">
        <v>6381</v>
      </c>
      <c r="G1762" s="179">
        <f>COUNTIF(작성용!A:B,$A1762)-COUNTIFS(작성용!A:A,$A1762,작성용!AA:AA,"평가철회")</f>
        <v>0</v>
      </c>
    </row>
    <row r="1763" spans="1:7" x14ac:dyDescent="0.3">
      <c r="A1763" s="170" t="s">
        <v>3497</v>
      </c>
      <c r="B1763" s="165" t="s">
        <v>6687</v>
      </c>
      <c r="C1763" s="165" t="str">
        <f>IFERROR(VLOOKUP($A1763,작성용!A:AL,14,0),"-")</f>
        <v>-</v>
      </c>
      <c r="D1763" s="169" t="s">
        <v>6400</v>
      </c>
      <c r="E1763" s="167" t="str">
        <f>IFERROR(VLOOKUP(A1763,작성용!A:AL,34,0),"-")</f>
        <v>-</v>
      </c>
      <c r="F1763" s="168" t="s">
        <v>6382</v>
      </c>
      <c r="G1763" s="179">
        <f>COUNTIF(작성용!A:B,$A1763)-COUNTIFS(작성용!A:A,$A1763,작성용!AA:AA,"평가철회")</f>
        <v>0</v>
      </c>
    </row>
    <row r="1764" spans="1:7" x14ac:dyDescent="0.3">
      <c r="A1764" s="170" t="s">
        <v>3500</v>
      </c>
      <c r="B1764" s="165" t="s">
        <v>6688</v>
      </c>
      <c r="C1764" s="165" t="str">
        <f>IFERROR(VLOOKUP($A1764,작성용!A:AL,14,0),"-")</f>
        <v>-</v>
      </c>
      <c r="D1764" s="169" t="s">
        <v>6689</v>
      </c>
      <c r="E1764" s="167" t="str">
        <f>IFERROR(VLOOKUP(A1764,작성용!A:AL,34,0),"-")</f>
        <v>-</v>
      </c>
      <c r="F1764" s="168" t="s">
        <v>6378</v>
      </c>
      <c r="G1764" s="179">
        <f>COUNTIF(작성용!A:B,$A1764)-COUNTIFS(작성용!A:A,$A1764,작성용!AA:AA,"평가철회")</f>
        <v>0</v>
      </c>
    </row>
    <row r="1765" spans="1:7" x14ac:dyDescent="0.3">
      <c r="A1765" s="170" t="s">
        <v>3502</v>
      </c>
      <c r="B1765" s="165" t="s">
        <v>6690</v>
      </c>
      <c r="C1765" s="165" t="str">
        <f>IFERROR(VLOOKUP($A1765,작성용!A:AL,14,0),"-")</f>
        <v>-</v>
      </c>
      <c r="D1765" s="169" t="s">
        <v>6400</v>
      </c>
      <c r="E1765" s="167" t="str">
        <f>IFERROR(VLOOKUP(A1765,작성용!A:AL,34,0),"-")</f>
        <v>-</v>
      </c>
      <c r="F1765" s="168" t="s">
        <v>6691</v>
      </c>
      <c r="G1765" s="179">
        <f>COUNTIF(작성용!A:B,$A1765)-COUNTIFS(작성용!A:A,$A1765,작성용!AA:AA,"평가철회")</f>
        <v>0</v>
      </c>
    </row>
    <row r="1766" spans="1:7" x14ac:dyDescent="0.3">
      <c r="A1766" s="170" t="s">
        <v>3503</v>
      </c>
      <c r="B1766" s="165" t="s">
        <v>6692</v>
      </c>
      <c r="C1766" s="165" t="str">
        <f>IFERROR(VLOOKUP($A1766,작성용!A:AL,14,0),"-")</f>
        <v>-</v>
      </c>
      <c r="D1766" s="169" t="s">
        <v>6400</v>
      </c>
      <c r="E1766" s="167" t="str">
        <f>IFERROR(VLOOKUP(A1766,작성용!A:AL,34,0),"-")</f>
        <v>-</v>
      </c>
      <c r="F1766" s="168" t="s">
        <v>6382</v>
      </c>
      <c r="G1766" s="179">
        <f>COUNTIF(작성용!A:B,$A1766)-COUNTIFS(작성용!A:A,$A1766,작성용!AA:AA,"평가철회")</f>
        <v>0</v>
      </c>
    </row>
    <row r="1767" spans="1:7" x14ac:dyDescent="0.3">
      <c r="A1767" s="170" t="s">
        <v>3504</v>
      </c>
      <c r="B1767" s="165" t="s">
        <v>6693</v>
      </c>
      <c r="C1767" s="165" t="str">
        <f>IFERROR(VLOOKUP($A1767,작성용!A:AL,14,0),"-")</f>
        <v>-</v>
      </c>
      <c r="D1767" s="169" t="s">
        <v>6400</v>
      </c>
      <c r="E1767" s="167" t="str">
        <f>IFERROR(VLOOKUP(A1767,작성용!A:AL,34,0),"-")</f>
        <v>-</v>
      </c>
      <c r="F1767" s="168" t="s">
        <v>6691</v>
      </c>
      <c r="G1767" s="179">
        <f>COUNTIF(작성용!A:B,$A1767)-COUNTIFS(작성용!A:A,$A1767,작성용!AA:AA,"평가철회")</f>
        <v>0</v>
      </c>
    </row>
    <row r="1768" spans="1:7" x14ac:dyDescent="0.3">
      <c r="A1768" s="170" t="s">
        <v>3505</v>
      </c>
      <c r="B1768" s="165" t="s">
        <v>6694</v>
      </c>
      <c r="C1768" s="165" t="str">
        <f>IFERROR(VLOOKUP($A1768,작성용!A:AL,14,0),"-")</f>
        <v>-</v>
      </c>
      <c r="D1768" s="169" t="s">
        <v>6400</v>
      </c>
      <c r="E1768" s="167" t="str">
        <f>IFERROR(VLOOKUP(A1768,작성용!A:AL,34,0),"-")</f>
        <v>-</v>
      </c>
      <c r="F1768" s="168" t="s">
        <v>6691</v>
      </c>
      <c r="G1768" s="179">
        <f>COUNTIF(작성용!A:B,$A1768)-COUNTIFS(작성용!A:A,$A1768,작성용!AA:AA,"평가철회")</f>
        <v>0</v>
      </c>
    </row>
    <row r="1769" spans="1:7" ht="16.5" customHeight="1" x14ac:dyDescent="0.3">
      <c r="A1769" s="170" t="s">
        <v>3510</v>
      </c>
      <c r="B1769" s="165" t="s">
        <v>6695</v>
      </c>
      <c r="C1769" s="165" t="str">
        <f>IFERROR(VLOOKUP($A1769,작성용!A:AL,14,0),"-")</f>
        <v>-</v>
      </c>
      <c r="D1769" s="169" t="s">
        <v>6450</v>
      </c>
      <c r="E1769" s="167" t="str">
        <f>IFERROR(VLOOKUP(A1769,작성용!A:AL,34,0),"-")</f>
        <v>-</v>
      </c>
      <c r="F1769" s="168" t="s">
        <v>6382</v>
      </c>
      <c r="G1769" s="179">
        <f>COUNTIF(작성용!A:B,$A1769)-COUNTIFS(작성용!A:A,$A1769,작성용!AA:AA,"평가철회")</f>
        <v>0</v>
      </c>
    </row>
    <row r="1770" spans="1:7" ht="16.5" customHeight="1" x14ac:dyDescent="0.3">
      <c r="A1770" s="170" t="s">
        <v>3519</v>
      </c>
      <c r="B1770" s="165" t="s">
        <v>6696</v>
      </c>
      <c r="C1770" s="165" t="str">
        <f>IFERROR(VLOOKUP($A1770,작성용!A:AL,14,0),"-")</f>
        <v>-</v>
      </c>
      <c r="D1770" s="169" t="s">
        <v>6400</v>
      </c>
      <c r="E1770" s="167" t="str">
        <f>IFERROR(VLOOKUP(A1770,작성용!A:AL,34,0),"-")</f>
        <v>-</v>
      </c>
      <c r="F1770" s="168" t="s">
        <v>6382</v>
      </c>
      <c r="G1770" s="179">
        <f>COUNTIF(작성용!A:B,$A1770)-COUNTIFS(작성용!A:A,$A1770,작성용!AA:AA,"평가철회")</f>
        <v>0</v>
      </c>
    </row>
    <row r="1771" spans="1:7" ht="16.5" customHeight="1" x14ac:dyDescent="0.3">
      <c r="A1771" s="170" t="s">
        <v>3521</v>
      </c>
      <c r="B1771" s="165" t="s">
        <v>6697</v>
      </c>
      <c r="C1771" s="165" t="str">
        <f>IFERROR(VLOOKUP($A1771,작성용!A:AL,14,0),"-")</f>
        <v>-</v>
      </c>
      <c r="D1771" s="169" t="s">
        <v>6489</v>
      </c>
      <c r="E1771" s="167" t="str">
        <f>IFERROR(VLOOKUP(A1771,작성용!A:AL,34,0),"-")</f>
        <v>-</v>
      </c>
      <c r="F1771" s="168" t="s">
        <v>6381</v>
      </c>
      <c r="G1771" s="179">
        <f>COUNTIF(작성용!A:B,$A1771)-COUNTIFS(작성용!A:A,$A1771,작성용!AA:AA,"평가철회")</f>
        <v>0</v>
      </c>
    </row>
    <row r="1772" spans="1:7" ht="16.5" customHeight="1" x14ac:dyDescent="0.3">
      <c r="A1772" s="170" t="s">
        <v>393</v>
      </c>
      <c r="B1772" s="165" t="s">
        <v>6698</v>
      </c>
      <c r="C1772" s="165" t="str">
        <f>IFERROR(VLOOKUP($A1772,작성용!A:AL,14,0),"-")</f>
        <v>-</v>
      </c>
      <c r="D1772" s="169" t="s">
        <v>6443</v>
      </c>
      <c r="E1772" s="167" t="str">
        <f>IFERROR(VLOOKUP(A1772,작성용!A:AL,34,0),"-")</f>
        <v>-</v>
      </c>
      <c r="F1772" s="168" t="s">
        <v>6381</v>
      </c>
      <c r="G1772" s="179">
        <f>COUNTIF(작성용!A:B,$A1772)-COUNTIFS(작성용!A:A,$A1772,작성용!AA:AA,"평가철회")</f>
        <v>0</v>
      </c>
    </row>
    <row r="1773" spans="1:7" ht="16.5" customHeight="1" x14ac:dyDescent="0.3">
      <c r="A1773" s="170" t="s">
        <v>3530</v>
      </c>
      <c r="B1773" s="165" t="s">
        <v>6699</v>
      </c>
      <c r="C1773" s="165" t="str">
        <f>IFERROR(VLOOKUP($A1773,작성용!A:AL,14,0),"-")</f>
        <v>-</v>
      </c>
      <c r="D1773" s="169" t="s">
        <v>6700</v>
      </c>
      <c r="E1773" s="167" t="str">
        <f>IFERROR(VLOOKUP(A1773,작성용!A:AL,34,0),"-")</f>
        <v>-</v>
      </c>
      <c r="F1773" s="168" t="s">
        <v>6381</v>
      </c>
      <c r="G1773" s="179">
        <f>COUNTIF(작성용!A:B,$A1773)-COUNTIFS(작성용!A:A,$A1773,작성용!AA:AA,"평가철회")</f>
        <v>0</v>
      </c>
    </row>
    <row r="1774" spans="1:7" ht="16.5" customHeight="1" x14ac:dyDescent="0.3">
      <c r="A1774" s="170" t="s">
        <v>3531</v>
      </c>
      <c r="B1774" s="165" t="s">
        <v>6701</v>
      </c>
      <c r="C1774" s="165" t="str">
        <f>IFERROR(VLOOKUP($A1774,작성용!A:AL,14,0),"-")</f>
        <v>-</v>
      </c>
      <c r="D1774" s="169" t="s">
        <v>6479</v>
      </c>
      <c r="E1774" s="167" t="str">
        <f>IFERROR(VLOOKUP(A1774,작성용!A:AL,34,0),"-")</f>
        <v>-</v>
      </c>
      <c r="F1774" s="168" t="s">
        <v>6381</v>
      </c>
      <c r="G1774" s="179">
        <f>COUNTIF(작성용!A:B,$A1774)-COUNTIFS(작성용!A:A,$A1774,작성용!AA:AA,"평가철회")</f>
        <v>0</v>
      </c>
    </row>
    <row r="1775" spans="1:7" ht="16.5" customHeight="1" x14ac:dyDescent="0.3">
      <c r="A1775" s="170" t="s">
        <v>3532</v>
      </c>
      <c r="B1775" s="165" t="s">
        <v>6702</v>
      </c>
      <c r="C1775" s="165" t="str">
        <f>IFERROR(VLOOKUP($A1775,작성용!A:AL,14,0),"-")</f>
        <v>-</v>
      </c>
      <c r="D1775" s="169" t="s">
        <v>6487</v>
      </c>
      <c r="E1775" s="167" t="str">
        <f>IFERROR(VLOOKUP(A1775,작성용!A:AL,34,0),"-")</f>
        <v>-</v>
      </c>
      <c r="F1775" s="168" t="s">
        <v>6381</v>
      </c>
      <c r="G1775" s="179">
        <f>COUNTIF(작성용!A:B,$A1775)-COUNTIFS(작성용!A:A,$A1775,작성용!AA:AA,"평가철회")</f>
        <v>0</v>
      </c>
    </row>
    <row r="1776" spans="1:7" ht="16.5" customHeight="1" x14ac:dyDescent="0.3">
      <c r="A1776" s="170" t="s">
        <v>6703</v>
      </c>
      <c r="B1776" s="165" t="s">
        <v>6704</v>
      </c>
      <c r="C1776" s="165" t="str">
        <f>IFERROR(VLOOKUP($A1776,작성용!A:AL,14,0),"-")</f>
        <v xml:space="preserve">반기 </v>
      </c>
      <c r="D1776" s="169" t="s">
        <v>6386</v>
      </c>
      <c r="E1776" s="167" t="str">
        <f>IFERROR(VLOOKUP(A1776,작성용!A:AL,34,0),"-")</f>
        <v>유재호</v>
      </c>
      <c r="F1776" s="168" t="s">
        <v>6380</v>
      </c>
      <c r="G1776" s="179">
        <f>COUNTIF(작성용!A:B,$A1776)-COUNTIFS(작성용!A:A,$A1776,작성용!AA:AA,"평가철회")</f>
        <v>12</v>
      </c>
    </row>
    <row r="1777" spans="1:7" ht="16.5" customHeight="1" x14ac:dyDescent="0.3">
      <c r="A1777" s="170" t="s">
        <v>6705</v>
      </c>
      <c r="B1777" s="165" t="s">
        <v>6706</v>
      </c>
      <c r="C1777" s="165" t="str">
        <f>IFERROR(VLOOKUP($A1777,작성용!A:AL,14,0),"-")</f>
        <v>-</v>
      </c>
      <c r="D1777" s="169" t="s">
        <v>6400</v>
      </c>
      <c r="E1777" s="167" t="str">
        <f>IFERROR(VLOOKUP(A1777,작성용!A:AL,34,0),"-")</f>
        <v>-</v>
      </c>
      <c r="F1777" s="168" t="s">
        <v>6382</v>
      </c>
      <c r="G1777" s="179">
        <f>COUNTIF(작성용!A:B,$A1777)-COUNTIFS(작성용!A:A,$A1777,작성용!AA:AA,"평가철회")</f>
        <v>0</v>
      </c>
    </row>
    <row r="1778" spans="1:7" ht="16.5" customHeight="1" x14ac:dyDescent="0.3">
      <c r="A1778" s="170" t="s">
        <v>6707</v>
      </c>
      <c r="B1778" s="165" t="s">
        <v>6708</v>
      </c>
      <c r="C1778" s="165" t="str">
        <f>IFERROR(VLOOKUP($A1778,작성용!A:AL,14,0),"-")</f>
        <v>-</v>
      </c>
      <c r="D1778" s="169" t="s">
        <v>6397</v>
      </c>
      <c r="E1778" s="167" t="str">
        <f>IFERROR(VLOOKUP(A1778,작성용!A:AL,34,0),"-")</f>
        <v>-</v>
      </c>
      <c r="F1778" s="168" t="s">
        <v>6380</v>
      </c>
      <c r="G1778" s="179">
        <f>COUNTIF(작성용!A:B,$A1778)-COUNTIFS(작성용!A:A,$A1778,작성용!AA:AA,"평가철회")</f>
        <v>0</v>
      </c>
    </row>
    <row r="1779" spans="1:7" ht="16.5" customHeight="1" x14ac:dyDescent="0.3">
      <c r="A1779" s="170" t="s">
        <v>6709</v>
      </c>
      <c r="B1779" s="165" t="s">
        <v>6710</v>
      </c>
      <c r="C1779" s="165" t="str">
        <f>IFERROR(VLOOKUP($A1779,작성용!A:AL,14,0),"-")</f>
        <v>-</v>
      </c>
      <c r="D1779" s="169" t="s">
        <v>6397</v>
      </c>
      <c r="E1779" s="167" t="str">
        <f>IFERROR(VLOOKUP(A1779,작성용!A:AL,34,0),"-")</f>
        <v>-</v>
      </c>
      <c r="F1779" s="168" t="s">
        <v>6380</v>
      </c>
      <c r="G1779" s="179">
        <f>COUNTIF(작성용!A:B,$A1779)-COUNTIFS(작성용!A:A,$A1779,작성용!AA:AA,"평가철회")</f>
        <v>0</v>
      </c>
    </row>
    <row r="1780" spans="1:7" ht="16.5" customHeight="1" x14ac:dyDescent="0.3">
      <c r="A1780" s="170" t="s">
        <v>6711</v>
      </c>
      <c r="B1780" s="165" t="s">
        <v>6712</v>
      </c>
      <c r="C1780" s="165" t="str">
        <f>IFERROR(VLOOKUP($A1780,작성용!A:AL,14,0),"-")</f>
        <v>-</v>
      </c>
      <c r="D1780" s="169" t="s">
        <v>6400</v>
      </c>
      <c r="E1780" s="167" t="str">
        <f>IFERROR(VLOOKUP(A1780,작성용!A:AL,34,0),"-")</f>
        <v>-</v>
      </c>
      <c r="F1780" s="168" t="s">
        <v>6380</v>
      </c>
      <c r="G1780" s="179">
        <f>COUNTIF(작성용!A:B,$A1780)-COUNTIFS(작성용!A:A,$A1780,작성용!AA:AA,"평가철회")</f>
        <v>0</v>
      </c>
    </row>
    <row r="1781" spans="1:7" ht="16.5" customHeight="1" x14ac:dyDescent="0.3">
      <c r="A1781" s="170" t="s">
        <v>6713</v>
      </c>
      <c r="B1781" s="165" t="s">
        <v>6714</v>
      </c>
      <c r="C1781" s="165" t="str">
        <f>IFERROR(VLOOKUP($A1781,작성용!A:AL,14,0),"-")</f>
        <v>-</v>
      </c>
      <c r="D1781" s="169" t="s">
        <v>6400</v>
      </c>
      <c r="E1781" s="167" t="str">
        <f>IFERROR(VLOOKUP(A1781,작성용!A:AL,34,0),"-")</f>
        <v>-</v>
      </c>
      <c r="F1781" s="168" t="s">
        <v>6382</v>
      </c>
      <c r="G1781" s="179">
        <f>COUNTIF(작성용!A:B,$A1781)-COUNTIFS(작성용!A:A,$A1781,작성용!AA:AA,"평가철회")</f>
        <v>0</v>
      </c>
    </row>
    <row r="1782" spans="1:7" ht="16.5" customHeight="1" x14ac:dyDescent="0.3">
      <c r="A1782" s="170" t="s">
        <v>6715</v>
      </c>
      <c r="B1782" s="165" t="s">
        <v>6716</v>
      </c>
      <c r="C1782" s="165" t="str">
        <f>IFERROR(VLOOKUP($A1782,작성용!A:AL,14,0),"-")</f>
        <v>-</v>
      </c>
      <c r="D1782" s="169" t="s">
        <v>6400</v>
      </c>
      <c r="E1782" s="167" t="str">
        <f>IFERROR(VLOOKUP(A1782,작성용!A:AL,34,0),"-")</f>
        <v>-</v>
      </c>
      <c r="F1782" s="168" t="s">
        <v>6382</v>
      </c>
      <c r="G1782" s="179">
        <f>COUNTIF(작성용!A:B,$A1782)-COUNTIFS(작성용!A:A,$A1782,작성용!AA:AA,"평가철회")</f>
        <v>0</v>
      </c>
    </row>
    <row r="1783" spans="1:7" ht="16.5" customHeight="1" x14ac:dyDescent="0.3">
      <c r="A1783" s="170" t="s">
        <v>6717</v>
      </c>
      <c r="B1783" s="165" t="s">
        <v>6718</v>
      </c>
      <c r="C1783" s="165" t="str">
        <f>IFERROR(VLOOKUP($A1783,작성용!A:AL,14,0),"-")</f>
        <v>-</v>
      </c>
      <c r="D1783" s="169" t="s">
        <v>6400</v>
      </c>
      <c r="E1783" s="167" t="str">
        <f>IFERROR(VLOOKUP(A1783,작성용!A:AL,34,0),"-")</f>
        <v>-</v>
      </c>
      <c r="F1783" s="168" t="s">
        <v>6382</v>
      </c>
      <c r="G1783" s="179">
        <f>COUNTIF(작성용!A:B,$A1783)-COUNTIFS(작성용!A:A,$A1783,작성용!AA:AA,"평가철회")</f>
        <v>0</v>
      </c>
    </row>
    <row r="1784" spans="1:7" ht="16.5" customHeight="1" x14ac:dyDescent="0.3">
      <c r="A1784" s="170" t="s">
        <v>6719</v>
      </c>
      <c r="B1784" s="165" t="s">
        <v>6720</v>
      </c>
      <c r="C1784" s="165" t="str">
        <f>IFERROR(VLOOKUP($A1784,작성용!A:AL,14,0),"-")</f>
        <v>-</v>
      </c>
      <c r="D1784" s="169" t="s">
        <v>6400</v>
      </c>
      <c r="E1784" s="167" t="str">
        <f>IFERROR(VLOOKUP(A1784,작성용!A:AL,34,0),"-")</f>
        <v>-</v>
      </c>
      <c r="F1784" s="168" t="s">
        <v>6382</v>
      </c>
      <c r="G1784" s="179">
        <f>COUNTIF(작성용!A:B,$A1784)-COUNTIFS(작성용!A:A,$A1784,작성용!AA:AA,"평가철회")</f>
        <v>0</v>
      </c>
    </row>
    <row r="1785" spans="1:7" ht="16.5" customHeight="1" x14ac:dyDescent="0.3">
      <c r="A1785" s="170" t="s">
        <v>6721</v>
      </c>
      <c r="B1785" s="165" t="s">
        <v>6722</v>
      </c>
      <c r="C1785" s="165" t="str">
        <f>IFERROR(VLOOKUP($A1785,작성용!A:AL,14,0),"-")</f>
        <v>-</v>
      </c>
      <c r="D1785" s="169" t="s">
        <v>6400</v>
      </c>
      <c r="E1785" s="167" t="str">
        <f>IFERROR(VLOOKUP(A1785,작성용!A:AL,34,0),"-")</f>
        <v>-</v>
      </c>
      <c r="F1785" s="168" t="s">
        <v>6382</v>
      </c>
      <c r="G1785" s="179">
        <f>COUNTIF(작성용!A:B,$A1785)-COUNTIFS(작성용!A:A,$A1785,작성용!AA:AA,"평가철회")</f>
        <v>0</v>
      </c>
    </row>
    <row r="1786" spans="1:7" ht="16.5" customHeight="1" x14ac:dyDescent="0.3">
      <c r="A1786" s="170" t="s">
        <v>6723</v>
      </c>
      <c r="B1786" s="165" t="s">
        <v>6724</v>
      </c>
      <c r="C1786" s="165" t="str">
        <f>IFERROR(VLOOKUP($A1786,작성용!A:AL,14,0),"-")</f>
        <v>-</v>
      </c>
      <c r="D1786" s="169" t="s">
        <v>6435</v>
      </c>
      <c r="E1786" s="167" t="str">
        <f>IFERROR(VLOOKUP(A1786,작성용!A:AL,34,0),"-")</f>
        <v>-</v>
      </c>
      <c r="F1786" s="168" t="s">
        <v>6382</v>
      </c>
      <c r="G1786" s="179">
        <f>COUNTIF(작성용!A:B,$A1786)-COUNTIFS(작성용!A:A,$A1786,작성용!AA:AA,"평가철회")</f>
        <v>0</v>
      </c>
    </row>
    <row r="1787" spans="1:7" ht="16.5" customHeight="1" x14ac:dyDescent="0.3">
      <c r="A1787" s="170" t="s">
        <v>6725</v>
      </c>
      <c r="B1787" s="165" t="s">
        <v>6726</v>
      </c>
      <c r="C1787" s="165" t="str">
        <f>IFERROR(VLOOKUP($A1787,작성용!A:AL,14,0),"-")</f>
        <v>-</v>
      </c>
      <c r="D1787" s="169" t="s">
        <v>6400</v>
      </c>
      <c r="E1787" s="167" t="str">
        <f>IFERROR(VLOOKUP(A1787,작성용!A:AL,34,0),"-")</f>
        <v>-</v>
      </c>
      <c r="F1787" s="168" t="s">
        <v>6381</v>
      </c>
      <c r="G1787" s="179">
        <f>COUNTIF(작성용!A:B,$A1787)-COUNTIFS(작성용!A:A,$A1787,작성용!AA:AA,"평가철회")</f>
        <v>0</v>
      </c>
    </row>
    <row r="1788" spans="1:7" ht="16.5" customHeight="1" x14ac:dyDescent="0.3">
      <c r="A1788" s="170" t="s">
        <v>6727</v>
      </c>
      <c r="B1788" s="165" t="s">
        <v>6728</v>
      </c>
      <c r="C1788" s="165" t="str">
        <f>IFERROR(VLOOKUP($A1788,작성용!A:AL,14,0),"-")</f>
        <v>-</v>
      </c>
      <c r="D1788" s="169" t="s">
        <v>6400</v>
      </c>
      <c r="E1788" s="167" t="str">
        <f>IFERROR(VLOOKUP(A1788,작성용!A:AL,34,0),"-")</f>
        <v>-</v>
      </c>
      <c r="F1788" s="168" t="s">
        <v>6382</v>
      </c>
      <c r="G1788" s="179">
        <f>COUNTIF(작성용!A:B,$A1788)-COUNTIFS(작성용!A:A,$A1788,작성용!AA:AA,"평가철회")</f>
        <v>0</v>
      </c>
    </row>
    <row r="1789" spans="1:7" ht="16.5" customHeight="1" x14ac:dyDescent="0.3">
      <c r="A1789" s="170" t="s">
        <v>6729</v>
      </c>
      <c r="B1789" s="165" t="s">
        <v>6730</v>
      </c>
      <c r="C1789" s="165" t="str">
        <f>IFERROR(VLOOKUP($A1789,작성용!A:AL,14,0),"-")</f>
        <v>-</v>
      </c>
      <c r="D1789" s="169" t="s">
        <v>6400</v>
      </c>
      <c r="E1789" s="167" t="str">
        <f>IFERROR(VLOOKUP(A1789,작성용!A:AL,34,0),"-")</f>
        <v>-</v>
      </c>
      <c r="F1789" s="168" t="s">
        <v>6270</v>
      </c>
      <c r="G1789" s="179">
        <f>COUNTIF(작성용!A:B,$A1789)-COUNTIFS(작성용!A:A,$A1789,작성용!AA:AA,"평가철회")</f>
        <v>0</v>
      </c>
    </row>
    <row r="1790" spans="1:7" ht="16.5" customHeight="1" x14ac:dyDescent="0.3">
      <c r="A1790" s="170" t="s">
        <v>6731</v>
      </c>
      <c r="B1790" s="165" t="s">
        <v>6732</v>
      </c>
      <c r="C1790" s="165" t="str">
        <f>IFERROR(VLOOKUP($A1790,작성용!A:AL,14,0),"-")</f>
        <v>-</v>
      </c>
      <c r="D1790" s="169" t="s">
        <v>6292</v>
      </c>
      <c r="E1790" s="167" t="str">
        <f>IFERROR(VLOOKUP(A1790,작성용!A:AL,34,0),"-")</f>
        <v>-</v>
      </c>
      <c r="F1790" s="168" t="s">
        <v>6270</v>
      </c>
      <c r="G1790" s="179">
        <f>COUNTIF(작성용!A:B,$A1790)-COUNTIFS(작성용!A:A,$A1790,작성용!AA:AA,"평가철회")</f>
        <v>0</v>
      </c>
    </row>
    <row r="1791" spans="1:7" ht="16.5" customHeight="1" x14ac:dyDescent="0.3">
      <c r="A1791" s="170" t="s">
        <v>6733</v>
      </c>
      <c r="B1791" s="165" t="s">
        <v>6734</v>
      </c>
      <c r="C1791" s="165" t="str">
        <f>IFERROR(VLOOKUP($A1791,작성용!A:AL,14,0),"-")</f>
        <v>-</v>
      </c>
      <c r="D1791" s="169" t="s">
        <v>6281</v>
      </c>
      <c r="E1791" s="167" t="str">
        <f>IFERROR(VLOOKUP(A1791,작성용!A:AL,34,0),"-")</f>
        <v>-</v>
      </c>
      <c r="F1791" s="168" t="s">
        <v>6283</v>
      </c>
      <c r="G1791" s="179">
        <f>COUNTIF(작성용!A:B,$A1791)-COUNTIFS(작성용!A:A,$A1791,작성용!AA:AA,"평가철회")</f>
        <v>0</v>
      </c>
    </row>
    <row r="1792" spans="1:7" ht="16.5" customHeight="1" x14ac:dyDescent="0.3">
      <c r="A1792" s="170" t="s">
        <v>6735</v>
      </c>
      <c r="B1792" s="165" t="s">
        <v>6736</v>
      </c>
      <c r="C1792" s="165" t="str">
        <f>IFERROR(VLOOKUP($A1792,작성용!A:AL,14,0),"-")</f>
        <v>-</v>
      </c>
      <c r="D1792" s="169" t="s">
        <v>6292</v>
      </c>
      <c r="E1792" s="167" t="str">
        <f>IFERROR(VLOOKUP(A1792,작성용!A:AL,34,0),"-")</f>
        <v>-</v>
      </c>
      <c r="F1792" s="168" t="s">
        <v>6270</v>
      </c>
      <c r="G1792" s="179">
        <f>COUNTIF(작성용!A:B,$A1792)-COUNTIFS(작성용!A:A,$A1792,작성용!AA:AA,"평가철회")</f>
        <v>0</v>
      </c>
    </row>
    <row r="1793" spans="1:7" ht="16.5" customHeight="1" x14ac:dyDescent="0.3">
      <c r="A1793" s="170" t="s">
        <v>6737</v>
      </c>
      <c r="B1793" s="165" t="s">
        <v>6738</v>
      </c>
      <c r="C1793" s="165" t="str">
        <f>IFERROR(VLOOKUP($A1793,작성용!A:AL,14,0),"-")</f>
        <v>-</v>
      </c>
      <c r="D1793" s="169" t="s">
        <v>6292</v>
      </c>
      <c r="E1793" s="167" t="str">
        <f>IFERROR(VLOOKUP(A1793,작성용!A:AL,34,0),"-")</f>
        <v>-</v>
      </c>
      <c r="F1793" s="168" t="s">
        <v>6270</v>
      </c>
      <c r="G1793" s="179">
        <f>COUNTIF(작성용!A:B,$A1793)-COUNTIFS(작성용!A:A,$A1793,작성용!AA:AA,"평가철회")</f>
        <v>0</v>
      </c>
    </row>
    <row r="1794" spans="1:7" ht="16.5" customHeight="1" x14ac:dyDescent="0.3">
      <c r="A1794" s="170" t="s">
        <v>6739</v>
      </c>
      <c r="B1794" s="165" t="s">
        <v>6740</v>
      </c>
      <c r="C1794" s="165" t="str">
        <f>IFERROR(VLOOKUP($A1794,작성용!A:AL,14,0),"-")</f>
        <v>-</v>
      </c>
      <c r="D1794" s="169" t="s">
        <v>6314</v>
      </c>
      <c r="E1794" s="167" t="str">
        <f>IFERROR(VLOOKUP(A1794,작성용!A:AL,34,0),"-")</f>
        <v>-</v>
      </c>
      <c r="F1794" s="168" t="s">
        <v>6342</v>
      </c>
      <c r="G1794" s="179">
        <f>COUNTIF(작성용!A:B,$A1794)-COUNTIFS(작성용!A:A,$A1794,작성용!AA:AA,"평가철회")</f>
        <v>0</v>
      </c>
    </row>
    <row r="1795" spans="1:7" ht="16.5" customHeight="1" x14ac:dyDescent="0.3">
      <c r="A1795" s="170" t="s">
        <v>6741</v>
      </c>
      <c r="B1795" s="165" t="s">
        <v>6742</v>
      </c>
      <c r="C1795" s="165" t="str">
        <f>IFERROR(VLOOKUP($A1795,작성용!A:AL,14,0),"-")</f>
        <v>-</v>
      </c>
      <c r="D1795" s="169" t="s">
        <v>6292</v>
      </c>
      <c r="E1795" s="167" t="str">
        <f>IFERROR(VLOOKUP(A1795,작성용!A:AL,34,0),"-")</f>
        <v>-</v>
      </c>
      <c r="F1795" s="168" t="s">
        <v>6270</v>
      </c>
      <c r="G1795" s="179">
        <f>COUNTIF(작성용!A:B,$A1795)-COUNTIFS(작성용!A:A,$A1795,작성용!AA:AA,"평가철회")</f>
        <v>0</v>
      </c>
    </row>
    <row r="1796" spans="1:7" ht="16.5" customHeight="1" x14ac:dyDescent="0.3">
      <c r="A1796" s="170" t="s">
        <v>6743</v>
      </c>
      <c r="B1796" s="165" t="s">
        <v>6744</v>
      </c>
      <c r="C1796" s="165" t="str">
        <f>IFERROR(VLOOKUP($A1796,작성용!A:AL,14,0),"-")</f>
        <v>-</v>
      </c>
      <c r="D1796" s="169" t="s">
        <v>6605</v>
      </c>
      <c r="E1796" s="167" t="str">
        <f>IFERROR(VLOOKUP(A1796,작성용!A:AL,34,0),"-")</f>
        <v>-</v>
      </c>
      <c r="F1796" s="168" t="s">
        <v>6270</v>
      </c>
      <c r="G1796" s="179">
        <f>COUNTIF(작성용!A:B,$A1796)-COUNTIFS(작성용!A:A,$A1796,작성용!AA:AA,"평가철회")</f>
        <v>0</v>
      </c>
    </row>
    <row r="1797" spans="1:7" ht="16.5" customHeight="1" x14ac:dyDescent="0.3">
      <c r="A1797" s="170" t="s">
        <v>6745</v>
      </c>
      <c r="B1797" s="165" t="s">
        <v>6746</v>
      </c>
      <c r="C1797" s="165" t="str">
        <f>IFERROR(VLOOKUP($A1797,작성용!A:AL,14,0),"-")</f>
        <v>-</v>
      </c>
      <c r="D1797" s="169" t="s">
        <v>6306</v>
      </c>
      <c r="E1797" s="167" t="str">
        <f>IFERROR(VLOOKUP(A1797,작성용!A:AL,34,0),"-")</f>
        <v>-</v>
      </c>
      <c r="F1797" s="168" t="s">
        <v>6283</v>
      </c>
      <c r="G1797" s="179">
        <f>COUNTIF(작성용!A:B,$A1797)-COUNTIFS(작성용!A:A,$A1797,작성용!AA:AA,"평가철회")</f>
        <v>0</v>
      </c>
    </row>
    <row r="1798" spans="1:7" x14ac:dyDescent="0.3">
      <c r="A1798" s="170" t="s">
        <v>6747</v>
      </c>
      <c r="B1798" s="165" t="s">
        <v>6748</v>
      </c>
      <c r="C1798" s="165" t="str">
        <f>IFERROR(VLOOKUP($A1798,작성용!A:AL,14,0),"-")</f>
        <v>-</v>
      </c>
      <c r="D1798" s="169" t="s">
        <v>6292</v>
      </c>
      <c r="E1798" s="167" t="str">
        <f>IFERROR(VLOOKUP(A1798,작성용!A:AL,34,0),"-")</f>
        <v>-</v>
      </c>
      <c r="F1798" s="168" t="s">
        <v>6270</v>
      </c>
      <c r="G1798" s="179">
        <f>COUNTIF(작성용!A:B,$A1798)-COUNTIFS(작성용!A:A,$A1798,작성용!AA:AA,"평가철회")</f>
        <v>0</v>
      </c>
    </row>
    <row r="1799" spans="1:7" x14ac:dyDescent="0.3">
      <c r="A1799" s="170" t="s">
        <v>6749</v>
      </c>
      <c r="B1799" s="165" t="s">
        <v>3633</v>
      </c>
      <c r="C1799" s="165" t="str">
        <f>IFERROR(VLOOKUP($A1799,작성용!A:AL,14,0),"-")</f>
        <v>-</v>
      </c>
      <c r="D1799" s="169" t="s">
        <v>6292</v>
      </c>
      <c r="E1799" s="167" t="str">
        <f>IFERROR(VLOOKUP(A1799,작성용!A:AL,34,0),"-")</f>
        <v>-</v>
      </c>
      <c r="F1799" s="168" t="s">
        <v>6270</v>
      </c>
      <c r="G1799" s="179">
        <f>COUNTIF(작성용!A:B,$A1799)-COUNTIFS(작성용!A:A,$A1799,작성용!AA:AA,"평가철회")</f>
        <v>0</v>
      </c>
    </row>
    <row r="1800" spans="1:7" x14ac:dyDescent="0.3">
      <c r="A1800" s="170" t="s">
        <v>6750</v>
      </c>
      <c r="B1800" s="165" t="s">
        <v>6751</v>
      </c>
      <c r="C1800" s="165" t="str">
        <f>IFERROR(VLOOKUP($A1800,작성용!A:AL,14,0),"-")</f>
        <v>년</v>
      </c>
      <c r="D1800" s="169" t="s">
        <v>6307</v>
      </c>
      <c r="E1800" s="167" t="str">
        <f>IFERROR(VLOOKUP(A1800,작성용!A:AL,34,0),"-")</f>
        <v>이상민</v>
      </c>
      <c r="F1800" s="168" t="s">
        <v>6283</v>
      </c>
      <c r="G1800" s="179">
        <f>COUNTIF(작성용!A:B,$A1800)-COUNTIFS(작성용!A:A,$A1800,작성용!AA:AA,"평가철회")</f>
        <v>5</v>
      </c>
    </row>
    <row r="1801" spans="1:7" x14ac:dyDescent="0.3">
      <c r="A1801" s="170" t="s">
        <v>6752</v>
      </c>
      <c r="B1801" s="165" t="s">
        <v>3559</v>
      </c>
      <c r="C1801" s="165" t="str">
        <f>IFERROR(VLOOKUP($A1801,작성용!A:AL,14,0),"-")</f>
        <v>-</v>
      </c>
      <c r="D1801" s="169" t="s">
        <v>161</v>
      </c>
      <c r="E1801" s="167" t="str">
        <f>IFERROR(VLOOKUP(A1801,작성용!A:AL,34,0),"-")</f>
        <v>-</v>
      </c>
      <c r="F1801" s="168" t="s">
        <v>6283</v>
      </c>
      <c r="G1801" s="179">
        <f>COUNTIF(작성용!A:B,$A1801)-COUNTIFS(작성용!A:A,$A1801,작성용!AA:AA,"평가철회")</f>
        <v>0</v>
      </c>
    </row>
    <row r="1802" spans="1:7" x14ac:dyDescent="0.3">
      <c r="A1802" s="170" t="s">
        <v>6753</v>
      </c>
      <c r="B1802" s="165" t="s">
        <v>6754</v>
      </c>
      <c r="C1802" s="165" t="str">
        <f>IFERROR(VLOOKUP($A1802,작성용!A:AL,14,0),"-")</f>
        <v>-</v>
      </c>
      <c r="D1802" s="169" t="s">
        <v>6292</v>
      </c>
      <c r="E1802" s="167" t="str">
        <f>IFERROR(VLOOKUP(A1802,작성용!A:AL,34,0),"-")</f>
        <v>-</v>
      </c>
      <c r="F1802" s="168" t="s">
        <v>401</v>
      </c>
      <c r="G1802" s="179">
        <f>COUNTIF(작성용!A:B,$A1802)-COUNTIFS(작성용!A:A,$A1802,작성용!AA:AA,"평가철회")</f>
        <v>0</v>
      </c>
    </row>
    <row r="1803" spans="1:7" x14ac:dyDescent="0.3">
      <c r="A1803" s="170" t="s">
        <v>6755</v>
      </c>
      <c r="B1803" s="165" t="s">
        <v>6756</v>
      </c>
      <c r="C1803" s="165" t="str">
        <f>IFERROR(VLOOKUP($A1803,작성용!A:AL,14,0),"-")</f>
        <v>년</v>
      </c>
      <c r="D1803" s="169" t="s">
        <v>6314</v>
      </c>
      <c r="E1803" s="167" t="str">
        <f>IFERROR(VLOOKUP(A1803,작성용!A:AL,34,0),"-")</f>
        <v>강승현</v>
      </c>
      <c r="F1803" s="168" t="s">
        <v>6691</v>
      </c>
      <c r="G1803" s="179">
        <f>COUNTIF(작성용!A:B,$A1803)-COUNTIFS(작성용!A:A,$A1803,작성용!AA:AA,"평가철회")</f>
        <v>45</v>
      </c>
    </row>
    <row r="1804" spans="1:7" x14ac:dyDescent="0.3">
      <c r="A1804" s="170" t="s">
        <v>6757</v>
      </c>
      <c r="B1804" s="165" t="s">
        <v>6758</v>
      </c>
      <c r="C1804" s="165" t="str">
        <f>IFERROR(VLOOKUP($A1804,작성용!A:AL,14,0),"-")</f>
        <v>-</v>
      </c>
      <c r="D1804" s="169" t="s">
        <v>6400</v>
      </c>
      <c r="E1804" s="167" t="str">
        <f>IFERROR(VLOOKUP(A1804,작성용!A:AL,34,0),"-")</f>
        <v>-</v>
      </c>
      <c r="F1804" s="168" t="s">
        <v>6382</v>
      </c>
      <c r="G1804" s="179">
        <f>COUNTIF(작성용!A:B,$A1804)-COUNTIFS(작성용!A:A,$A1804,작성용!AA:AA,"평가철회")</f>
        <v>0</v>
      </c>
    </row>
    <row r="1805" spans="1:7" x14ac:dyDescent="0.3">
      <c r="A1805" s="170" t="s">
        <v>5327</v>
      </c>
      <c r="B1805" s="165" t="s">
        <v>5328</v>
      </c>
      <c r="C1805" s="165" t="str">
        <f>IFERROR(VLOOKUP($A1805,작성용!A:AL,14,0),"-")</f>
        <v>년</v>
      </c>
      <c r="D1805" s="169" t="s">
        <v>116</v>
      </c>
      <c r="E1805" s="167" t="str">
        <f>IFERROR(VLOOKUP(A1805,작성용!A:AL,34,0),"-")</f>
        <v>유재호</v>
      </c>
      <c r="F1805" s="168" t="s">
        <v>6283</v>
      </c>
      <c r="G1805" s="179">
        <f>COUNTIF(작성용!A:B,$A1805)-COUNTIFS(작성용!A:A,$A1805,작성용!AA:AA,"평가철회")</f>
        <v>47</v>
      </c>
    </row>
    <row r="1806" spans="1:7" x14ac:dyDescent="0.3">
      <c r="A1806" s="170" t="s">
        <v>6759</v>
      </c>
      <c r="B1806" s="165" t="s">
        <v>4046</v>
      </c>
      <c r="C1806" s="165" t="str">
        <f>IFERROR(VLOOKUP($A1806,작성용!A:AL,14,0),"-")</f>
        <v>년</v>
      </c>
      <c r="D1806" s="169" t="s">
        <v>116</v>
      </c>
      <c r="E1806" s="167" t="str">
        <f>IFERROR(VLOOKUP(A1806,작성용!A:AL,34,0),"-")</f>
        <v>유재호</v>
      </c>
      <c r="F1806" s="168" t="s">
        <v>401</v>
      </c>
      <c r="G1806" s="179">
        <f>COUNTIF(작성용!A:B,$A1806)-COUNTIFS(작성용!A:A,$A1806,작성용!AA:AA,"평가철회")</f>
        <v>3</v>
      </c>
    </row>
    <row r="1807" spans="1:7" x14ac:dyDescent="0.3">
      <c r="A1807" s="170" t="s">
        <v>6760</v>
      </c>
      <c r="B1807" s="165" t="s">
        <v>4047</v>
      </c>
      <c r="C1807" s="165" t="str">
        <f>IFERROR(VLOOKUP($A1807,작성용!A:AL,14,0),"-")</f>
        <v xml:space="preserve">반기 </v>
      </c>
      <c r="D1807" s="169" t="s">
        <v>6281</v>
      </c>
      <c r="E1807" s="167" t="str">
        <f>IFERROR(VLOOKUP(A1807,작성용!A:AL,34,0),"-")</f>
        <v>서동현</v>
      </c>
      <c r="F1807" s="168" t="s">
        <v>6342</v>
      </c>
      <c r="G1807" s="179">
        <f>COUNTIF(작성용!A:B,$A1807)-COUNTIFS(작성용!A:A,$A1807,작성용!AA:AA,"평가철회")</f>
        <v>1</v>
      </c>
    </row>
    <row r="1808" spans="1:7" x14ac:dyDescent="0.3">
      <c r="A1808" s="170" t="s">
        <v>6761</v>
      </c>
      <c r="B1808" s="165" t="s">
        <v>6762</v>
      </c>
      <c r="C1808" s="165" t="str">
        <f>IFERROR(VLOOKUP($A1808,작성용!A:AL,14,0),"-")</f>
        <v>-</v>
      </c>
      <c r="D1808" s="169" t="s">
        <v>3523</v>
      </c>
      <c r="E1808" s="167" t="str">
        <f>IFERROR(VLOOKUP(A1808,작성용!A:AL,34,0),"-")</f>
        <v>-</v>
      </c>
      <c r="F1808" s="168" t="s">
        <v>6342</v>
      </c>
      <c r="G1808" s="179">
        <f>COUNTIF(작성용!A:B,$A1808)-COUNTIFS(작성용!A:A,$A1808,작성용!AA:AA,"평가철회")</f>
        <v>0</v>
      </c>
    </row>
    <row r="1809" spans="1:7" x14ac:dyDescent="0.3">
      <c r="A1809" s="170" t="s">
        <v>6763</v>
      </c>
      <c r="B1809" s="165" t="s">
        <v>4048</v>
      </c>
      <c r="C1809" s="165" t="str">
        <f>IFERROR(VLOOKUP($A1809,작성용!A:AL,14,0),"-")</f>
        <v>연말</v>
      </c>
      <c r="D1809" s="169" t="s">
        <v>6293</v>
      </c>
      <c r="E1809" s="167" t="str">
        <f>IFERROR(VLOOKUP(A1809,작성용!A:AL,34,0),"-")</f>
        <v>윤광일</v>
      </c>
      <c r="F1809" s="168" t="s">
        <v>475</v>
      </c>
      <c r="G1809" s="179">
        <f>COUNTIF(작성용!A:B,$A1809)-COUNTIFS(작성용!A:A,$A1809,작성용!AA:AA,"평가철회")</f>
        <v>13</v>
      </c>
    </row>
    <row r="1810" spans="1:7" x14ac:dyDescent="0.3">
      <c r="A1810" s="170" t="s">
        <v>6764</v>
      </c>
      <c r="B1810" s="165" t="s">
        <v>6765</v>
      </c>
      <c r="C1810" s="165" t="str">
        <f>IFERROR(VLOOKUP($A1810,작성용!A:AL,14,0),"-")</f>
        <v>-</v>
      </c>
      <c r="D1810" s="169" t="s">
        <v>6507</v>
      </c>
      <c r="E1810" s="167" t="str">
        <f>IFERROR(VLOOKUP(A1810,작성용!A:AL,34,0),"-")</f>
        <v>-</v>
      </c>
      <c r="F1810" s="168" t="s">
        <v>475</v>
      </c>
      <c r="G1810" s="179">
        <f>COUNTIF(작성용!A:B,$A1810)-COUNTIFS(작성용!A:A,$A1810,작성용!AA:AA,"평가철회")</f>
        <v>0</v>
      </c>
    </row>
    <row r="1811" spans="1:7" x14ac:dyDescent="0.3">
      <c r="A1811" s="170" t="s">
        <v>3565</v>
      </c>
      <c r="B1811" s="165" t="s">
        <v>3566</v>
      </c>
      <c r="C1811" s="165" t="str">
        <f>IFERROR(VLOOKUP($A1811,작성용!A:AL,14,0),"-")</f>
        <v>연말</v>
      </c>
      <c r="D1811" s="169" t="s">
        <v>6379</v>
      </c>
      <c r="E1811" s="167" t="str">
        <f>IFERROR(VLOOKUP(A1811,작성용!A:AL,34,0),"-")</f>
        <v>강승현</v>
      </c>
      <c r="F1811" s="168" t="s">
        <v>6378</v>
      </c>
      <c r="G1811" s="179">
        <f>COUNTIF(작성용!A:B,$A1811)-COUNTIFS(작성용!A:A,$A1811,작성용!AA:AA,"평가철회")</f>
        <v>1</v>
      </c>
    </row>
    <row r="1812" spans="1:7" x14ac:dyDescent="0.3">
      <c r="A1812" s="170" t="s">
        <v>3567</v>
      </c>
      <c r="B1812" s="165" t="s">
        <v>3568</v>
      </c>
      <c r="C1812" s="165" t="str">
        <f>IFERROR(VLOOKUP($A1812,작성용!A:AL,14,0),"-")</f>
        <v>-</v>
      </c>
      <c r="D1812" s="169" t="s">
        <v>6314</v>
      </c>
      <c r="E1812" s="167" t="str">
        <f>IFERROR(VLOOKUP(A1812,작성용!A:AL,34,0),"-")</f>
        <v>-</v>
      </c>
      <c r="F1812" s="168" t="s">
        <v>3528</v>
      </c>
      <c r="G1812" s="179">
        <f>COUNTIF(작성용!A:B,$A1812)-COUNTIFS(작성용!A:A,$A1812,작성용!AA:AA,"평가철회")</f>
        <v>0</v>
      </c>
    </row>
    <row r="1813" spans="1:7" x14ac:dyDescent="0.3">
      <c r="A1813" s="170" t="s">
        <v>3576</v>
      </c>
      <c r="B1813" s="165" t="s">
        <v>4049</v>
      </c>
      <c r="C1813" s="165" t="str">
        <f>IFERROR(VLOOKUP($A1813,작성용!A:AL,14,0),"-")</f>
        <v>-</v>
      </c>
      <c r="D1813" s="169" t="s">
        <v>6488</v>
      </c>
      <c r="E1813" s="167" t="str">
        <f>IFERROR(VLOOKUP(A1813,작성용!A:AL,34,0),"-")</f>
        <v>-</v>
      </c>
      <c r="F1813" s="168" t="s">
        <v>6378</v>
      </c>
      <c r="G1813" s="179">
        <f>COUNTIF(작성용!A:B,$A1813)-COUNTIFS(작성용!A:A,$A1813,작성용!AA:AA,"평가철회")</f>
        <v>0</v>
      </c>
    </row>
    <row r="1814" spans="1:7" x14ac:dyDescent="0.3">
      <c r="A1814" s="170" t="s">
        <v>3578</v>
      </c>
      <c r="B1814" s="165" t="s">
        <v>6766</v>
      </c>
      <c r="C1814" s="165" t="str">
        <f>IFERROR(VLOOKUP($A1814,작성용!A:AL,14,0),"-")</f>
        <v>-</v>
      </c>
      <c r="D1814" s="169" t="s">
        <v>6384</v>
      </c>
      <c r="E1814" s="167" t="str">
        <f>IFERROR(VLOOKUP(A1814,작성용!A:AL,34,0),"-")</f>
        <v>-</v>
      </c>
      <c r="F1814" s="168" t="s">
        <v>475</v>
      </c>
      <c r="G1814" s="179">
        <f>COUNTIF(작성용!A:B,$A1814)-COUNTIFS(작성용!A:A,$A1814,작성용!AA:AA,"평가철회")</f>
        <v>0</v>
      </c>
    </row>
    <row r="1815" spans="1:7" x14ac:dyDescent="0.3">
      <c r="A1815" s="170" t="s">
        <v>3580</v>
      </c>
      <c r="B1815" s="165" t="s">
        <v>6767</v>
      </c>
      <c r="C1815" s="165" t="str">
        <f>IFERROR(VLOOKUP($A1815,작성용!A:AL,14,0),"-")</f>
        <v>-</v>
      </c>
      <c r="D1815" s="169" t="s">
        <v>6383</v>
      </c>
      <c r="E1815" s="167" t="str">
        <f>IFERROR(VLOOKUP(A1815,작성용!A:AL,34,0),"-")</f>
        <v>-</v>
      </c>
      <c r="F1815" s="168" t="s">
        <v>6304</v>
      </c>
      <c r="G1815" s="179">
        <f>COUNTIF(작성용!A:B,$A1815)-COUNTIFS(작성용!A:A,$A1815,작성용!AA:AA,"평가철회")</f>
        <v>0</v>
      </c>
    </row>
    <row r="1816" spans="1:7" x14ac:dyDescent="0.3">
      <c r="A1816" s="170" t="s">
        <v>3594</v>
      </c>
      <c r="B1816" s="165" t="s">
        <v>6768</v>
      </c>
      <c r="C1816" s="165" t="str">
        <f>IFERROR(VLOOKUP($A1816,작성용!A:AL,14,0),"-")</f>
        <v>-</v>
      </c>
      <c r="D1816" s="169" t="s">
        <v>3625</v>
      </c>
      <c r="E1816" s="167" t="str">
        <f>IFERROR(VLOOKUP(A1816,작성용!A:AL,34,0),"-")</f>
        <v>-</v>
      </c>
      <c r="F1816" s="168" t="s">
        <v>6304</v>
      </c>
      <c r="G1816" s="179">
        <f>COUNTIF(작성용!A:B,$A1816)-COUNTIFS(작성용!A:A,$A1816,작성용!AA:AA,"평가철회")</f>
        <v>0</v>
      </c>
    </row>
    <row r="1817" spans="1:7" x14ac:dyDescent="0.3">
      <c r="A1817" s="170" t="s">
        <v>3597</v>
      </c>
      <c r="B1817" s="165" t="s">
        <v>6769</v>
      </c>
      <c r="C1817" s="165" t="str">
        <f>IFERROR(VLOOKUP($A1817,작성용!A:AL,14,0),"-")</f>
        <v>-</v>
      </c>
      <c r="D1817" s="169" t="s">
        <v>6276</v>
      </c>
      <c r="E1817" s="167" t="str">
        <f>IFERROR(VLOOKUP(A1817,작성용!A:AL,34,0),"-")</f>
        <v>-</v>
      </c>
      <c r="F1817" s="168" t="s">
        <v>6304</v>
      </c>
      <c r="G1817" s="179">
        <f>COUNTIF(작성용!A:B,$A1817)-COUNTIFS(작성용!A:A,$A1817,작성용!AA:AA,"평가철회")</f>
        <v>0</v>
      </c>
    </row>
    <row r="1818" spans="1:7" x14ac:dyDescent="0.3">
      <c r="A1818" s="170" t="s">
        <v>3596</v>
      </c>
      <c r="B1818" s="165" t="s">
        <v>6770</v>
      </c>
      <c r="C1818" s="165" t="str">
        <f>IFERROR(VLOOKUP($A1818,작성용!A:AL,14,0),"-")</f>
        <v>-</v>
      </c>
      <c r="D1818" s="169" t="s">
        <v>6323</v>
      </c>
      <c r="E1818" s="167" t="str">
        <f>IFERROR(VLOOKUP(A1818,작성용!A:AL,34,0),"-")</f>
        <v>-</v>
      </c>
      <c r="F1818" s="168" t="s">
        <v>475</v>
      </c>
      <c r="G1818" s="179">
        <f>COUNTIF(작성용!A:B,$A1818)-COUNTIFS(작성용!A:A,$A1818,작성용!AA:AA,"평가철회")</f>
        <v>0</v>
      </c>
    </row>
    <row r="1819" spans="1:7" x14ac:dyDescent="0.3">
      <c r="A1819" s="170" t="s">
        <v>3600</v>
      </c>
      <c r="B1819" s="165" t="s">
        <v>3627</v>
      </c>
      <c r="C1819" s="165" t="str">
        <f>IFERROR(VLOOKUP($A1819,작성용!A:AL,14,0),"-")</f>
        <v>-</v>
      </c>
      <c r="D1819" s="169" t="s">
        <v>3625</v>
      </c>
      <c r="E1819" s="167" t="str">
        <f>IFERROR(VLOOKUP(A1819,작성용!A:AL,34,0),"-")</f>
        <v>-</v>
      </c>
      <c r="F1819" s="168" t="s">
        <v>475</v>
      </c>
      <c r="G1819" s="179">
        <f>COUNTIF(작성용!A:B,$A1819)-COUNTIFS(작성용!A:A,$A1819,작성용!AA:AA,"평가철회")</f>
        <v>0</v>
      </c>
    </row>
    <row r="1820" spans="1:7" x14ac:dyDescent="0.3">
      <c r="A1820" s="170" t="s">
        <v>3601</v>
      </c>
      <c r="B1820" s="165" t="s">
        <v>6771</v>
      </c>
      <c r="C1820" s="165" t="str">
        <f>IFERROR(VLOOKUP($A1820,작성용!A:AL,14,0),"-")</f>
        <v>-</v>
      </c>
      <c r="D1820" s="169" t="s">
        <v>3625</v>
      </c>
      <c r="E1820" s="167" t="str">
        <f>IFERROR(VLOOKUP(A1820,작성용!A:AL,34,0),"-")</f>
        <v>-</v>
      </c>
      <c r="F1820" s="168" t="s">
        <v>6304</v>
      </c>
      <c r="G1820" s="179">
        <f>COUNTIF(작성용!A:B,$A1820)-COUNTIFS(작성용!A:A,$A1820,작성용!AA:AA,"평가철회")</f>
        <v>0</v>
      </c>
    </row>
    <row r="1821" spans="1:7" x14ac:dyDescent="0.3">
      <c r="A1821" s="170" t="s">
        <v>3602</v>
      </c>
      <c r="B1821" s="165" t="s">
        <v>6772</v>
      </c>
      <c r="C1821" s="165" t="str">
        <f>IFERROR(VLOOKUP($A1821,작성용!A:AL,14,0),"-")</f>
        <v>-</v>
      </c>
      <c r="D1821" s="169" t="s">
        <v>6292</v>
      </c>
      <c r="E1821" s="167" t="str">
        <f>IFERROR(VLOOKUP(A1821,작성용!A:AL,34,0),"-")</f>
        <v>-</v>
      </c>
      <c r="F1821" s="168" t="s">
        <v>6304</v>
      </c>
      <c r="G1821" s="179">
        <f>COUNTIF(작성용!A:B,$A1821)-COUNTIFS(작성용!A:A,$A1821,작성용!AA:AA,"평가철회")</f>
        <v>0</v>
      </c>
    </row>
    <row r="1822" spans="1:7" x14ac:dyDescent="0.3">
      <c r="A1822" s="170" t="s">
        <v>3604</v>
      </c>
      <c r="B1822" s="165" t="s">
        <v>6773</v>
      </c>
      <c r="C1822" s="165" t="str">
        <f>IFERROR(VLOOKUP($A1822,작성용!A:AL,14,0),"-")</f>
        <v>-</v>
      </c>
      <c r="D1822" s="169" t="s">
        <v>6318</v>
      </c>
      <c r="E1822" s="167" t="str">
        <f>IFERROR(VLOOKUP(A1822,작성용!A:AL,34,0),"-")</f>
        <v>-</v>
      </c>
      <c r="F1822" s="168" t="s">
        <v>6304</v>
      </c>
      <c r="G1822" s="179">
        <f>COUNTIF(작성용!A:B,$A1822)-COUNTIFS(작성용!A:A,$A1822,작성용!AA:AA,"평가철회")</f>
        <v>0</v>
      </c>
    </row>
    <row r="1823" spans="1:7" x14ac:dyDescent="0.3">
      <c r="A1823" s="170" t="s">
        <v>3605</v>
      </c>
      <c r="B1823" s="165" t="s">
        <v>6774</v>
      </c>
      <c r="C1823" s="165" t="str">
        <f>IFERROR(VLOOKUP($A1823,작성용!A:AL,14,0),"-")</f>
        <v>-</v>
      </c>
      <c r="D1823" s="169" t="s">
        <v>6292</v>
      </c>
      <c r="E1823" s="167" t="str">
        <f>IFERROR(VLOOKUP(A1823,작성용!A:AL,34,0),"-")</f>
        <v>-</v>
      </c>
      <c r="F1823" s="168" t="s">
        <v>6304</v>
      </c>
      <c r="G1823" s="179">
        <f>COUNTIF(작성용!A:B,$A1823)-COUNTIFS(작성용!A:A,$A1823,작성용!AA:AA,"평가철회")</f>
        <v>0</v>
      </c>
    </row>
    <row r="1824" spans="1:7" x14ac:dyDescent="0.3">
      <c r="A1824" s="170" t="s">
        <v>3603</v>
      </c>
      <c r="B1824" s="165" t="s">
        <v>6775</v>
      </c>
      <c r="C1824" s="165" t="str">
        <f>IFERROR(VLOOKUP($A1824,작성용!A:AL,14,0),"-")</f>
        <v>-</v>
      </c>
      <c r="D1824" s="169" t="s">
        <v>6314</v>
      </c>
      <c r="E1824" s="167" t="str">
        <f>IFERROR(VLOOKUP(A1824,작성용!A:AL,34,0),"-")</f>
        <v>-</v>
      </c>
      <c r="F1824" s="168" t="s">
        <v>6378</v>
      </c>
      <c r="G1824" s="179">
        <f>COUNTIF(작성용!A:B,$A1824)-COUNTIFS(작성용!A:A,$A1824,작성용!AA:AA,"평가철회")</f>
        <v>0</v>
      </c>
    </row>
    <row r="1825" spans="1:7" x14ac:dyDescent="0.3">
      <c r="A1825" s="170" t="s">
        <v>3606</v>
      </c>
      <c r="B1825" s="165" t="s">
        <v>6776</v>
      </c>
      <c r="C1825" s="165" t="str">
        <f>IFERROR(VLOOKUP($A1825,작성용!A:AL,14,0),"-")</f>
        <v>-</v>
      </c>
      <c r="D1825" s="169" t="s">
        <v>6295</v>
      </c>
      <c r="E1825" s="167" t="str">
        <f>IFERROR(VLOOKUP(A1825,작성용!A:AL,34,0),"-")</f>
        <v>-</v>
      </c>
      <c r="F1825" s="168" t="s">
        <v>6378</v>
      </c>
      <c r="G1825" s="179">
        <f>COUNTIF(작성용!A:B,$A1825)-COUNTIFS(작성용!A:A,$A1825,작성용!AA:AA,"평가철회")</f>
        <v>0</v>
      </c>
    </row>
    <row r="1826" spans="1:7" x14ac:dyDescent="0.3">
      <c r="A1826" s="170" t="s">
        <v>3608</v>
      </c>
      <c r="B1826" s="165" t="s">
        <v>6736</v>
      </c>
      <c r="C1826" s="165" t="str">
        <f>IFERROR(VLOOKUP($A1826,작성용!A:AL,14,0),"-")</f>
        <v>-</v>
      </c>
      <c r="D1826" s="169" t="s">
        <v>6318</v>
      </c>
      <c r="E1826" s="167" t="str">
        <f>IFERROR(VLOOKUP(A1826,작성용!A:AL,34,0),"-")</f>
        <v>-</v>
      </c>
      <c r="F1826" s="168" t="s">
        <v>6304</v>
      </c>
      <c r="G1826" s="179">
        <f>COUNTIF(작성용!A:B,$A1826)-COUNTIFS(작성용!A:A,$A1826,작성용!AA:AA,"평가철회")</f>
        <v>0</v>
      </c>
    </row>
    <row r="1827" spans="1:7" x14ac:dyDescent="0.3">
      <c r="A1827" s="170" t="s">
        <v>3575</v>
      </c>
      <c r="B1827" s="165" t="s">
        <v>6777</v>
      </c>
      <c r="C1827" s="165" t="str">
        <f>IFERROR(VLOOKUP($A1827,작성용!A:AL,14,0),"-")</f>
        <v>-</v>
      </c>
      <c r="D1827" s="169" t="s">
        <v>6325</v>
      </c>
      <c r="E1827" s="167" t="str">
        <f>IFERROR(VLOOKUP(A1827,작성용!A:AL,34,0),"-")</f>
        <v>-</v>
      </c>
      <c r="F1827" s="168" t="s">
        <v>6304</v>
      </c>
      <c r="G1827" s="179">
        <f>COUNTIF(작성용!A:B,$A1827)-COUNTIFS(작성용!A:A,$A1827,작성용!AA:AA,"평가철회")</f>
        <v>0</v>
      </c>
    </row>
    <row r="1828" spans="1:7" x14ac:dyDescent="0.3">
      <c r="A1828" s="170" t="s">
        <v>3609</v>
      </c>
      <c r="B1828" s="165" t="s">
        <v>6778</v>
      </c>
      <c r="C1828" s="165" t="str">
        <f>IFERROR(VLOOKUP($A1828,작성용!A:AL,14,0),"-")</f>
        <v>연말</v>
      </c>
      <c r="D1828" s="169" t="s">
        <v>6318</v>
      </c>
      <c r="E1828" s="167" t="str">
        <f>IFERROR(VLOOKUP(A1828,작성용!A:AL,34,0),"-")</f>
        <v>최수민</v>
      </c>
      <c r="F1828" s="168" t="s">
        <v>6304</v>
      </c>
      <c r="G1828" s="179">
        <f>COUNTIF(작성용!A:B,$A1828)-COUNTIFS(작성용!A:A,$A1828,작성용!AA:AA,"평가철회")</f>
        <v>26</v>
      </c>
    </row>
    <row r="1829" spans="1:7" x14ac:dyDescent="0.3">
      <c r="A1829" s="170" t="s">
        <v>3598</v>
      </c>
      <c r="B1829" s="165" t="s">
        <v>6779</v>
      </c>
      <c r="C1829" s="165" t="str">
        <f>IFERROR(VLOOKUP($A1829,작성용!A:AL,14,0),"-")</f>
        <v>-</v>
      </c>
      <c r="D1829" s="169" t="s">
        <v>6323</v>
      </c>
      <c r="E1829" s="167" t="str">
        <f>IFERROR(VLOOKUP(A1829,작성용!A:AL,34,0),"-")</f>
        <v>-</v>
      </c>
      <c r="F1829" s="168" t="s">
        <v>6378</v>
      </c>
      <c r="G1829" s="179">
        <f>COUNTIF(작성용!A:B,$A1829)-COUNTIFS(작성용!A:A,$A1829,작성용!AA:AA,"평가철회")</f>
        <v>0</v>
      </c>
    </row>
    <row r="1830" spans="1:7" x14ac:dyDescent="0.3">
      <c r="A1830" s="170" t="s">
        <v>3611</v>
      </c>
      <c r="B1830" s="165" t="s">
        <v>6780</v>
      </c>
      <c r="C1830" s="165" t="str">
        <f>IFERROR(VLOOKUP($A1830,작성용!A:AL,14,0),"-")</f>
        <v>-</v>
      </c>
      <c r="D1830" s="169" t="s">
        <v>6281</v>
      </c>
      <c r="E1830" s="167" t="str">
        <f>IFERROR(VLOOKUP(A1830,작성용!A:AL,34,0),"-")</f>
        <v>-</v>
      </c>
      <c r="F1830" s="168" t="s">
        <v>6283</v>
      </c>
      <c r="G1830" s="179">
        <f>COUNTIF(작성용!A:B,$A1830)-COUNTIFS(작성용!A:A,$A1830,작성용!AA:AA,"평가철회")</f>
        <v>0</v>
      </c>
    </row>
    <row r="1831" spans="1:7" x14ac:dyDescent="0.3">
      <c r="A1831" s="170" t="s">
        <v>3607</v>
      </c>
      <c r="B1831" s="165" t="s">
        <v>6781</v>
      </c>
      <c r="C1831" s="165" t="str">
        <f>IFERROR(VLOOKUP($A1831,작성용!A:AL,14,0),"-")</f>
        <v>-</v>
      </c>
      <c r="D1831" s="169" t="s">
        <v>6316</v>
      </c>
      <c r="E1831" s="167" t="str">
        <f>IFERROR(VLOOKUP(A1831,작성용!A:AL,34,0),"-")</f>
        <v>-</v>
      </c>
      <c r="F1831" s="168" t="s">
        <v>6283</v>
      </c>
      <c r="G1831" s="179">
        <f>COUNTIF(작성용!A:B,$A1831)-COUNTIFS(작성용!A:A,$A1831,작성용!AA:AA,"평가철회")</f>
        <v>0</v>
      </c>
    </row>
    <row r="1832" spans="1:7" x14ac:dyDescent="0.3">
      <c r="A1832" s="170" t="s">
        <v>3612</v>
      </c>
      <c r="B1832" s="165" t="s">
        <v>6782</v>
      </c>
      <c r="C1832" s="165" t="str">
        <f>IFERROR(VLOOKUP($A1832,작성용!A:AL,14,0),"-")</f>
        <v>-</v>
      </c>
      <c r="D1832" s="169" t="s">
        <v>6547</v>
      </c>
      <c r="E1832" s="167" t="str">
        <f>IFERROR(VLOOKUP(A1832,작성용!A:AL,34,0),"-")</f>
        <v>-</v>
      </c>
      <c r="F1832" s="168" t="s">
        <v>6283</v>
      </c>
      <c r="G1832" s="179">
        <f>COUNTIF(작성용!A:B,$A1832)-COUNTIFS(작성용!A:A,$A1832,작성용!AA:AA,"평가철회")</f>
        <v>0</v>
      </c>
    </row>
    <row r="1833" spans="1:7" x14ac:dyDescent="0.3">
      <c r="A1833" s="170" t="s">
        <v>3615</v>
      </c>
      <c r="B1833" s="165" t="s">
        <v>6783</v>
      </c>
      <c r="C1833" s="165" t="str">
        <f>IFERROR(VLOOKUP($A1833,작성용!A:AL,14,0),"-")</f>
        <v>-</v>
      </c>
      <c r="D1833" s="169" t="s">
        <v>6292</v>
      </c>
      <c r="E1833" s="167" t="str">
        <f>IFERROR(VLOOKUP(A1833,작성용!A:AL,34,0),"-")</f>
        <v>-</v>
      </c>
      <c r="F1833" s="168" t="s">
        <v>6283</v>
      </c>
      <c r="G1833" s="179">
        <f>COUNTIF(작성용!A:B,$A1833)-COUNTIFS(작성용!A:A,$A1833,작성용!AA:AA,"평가철회")</f>
        <v>0</v>
      </c>
    </row>
    <row r="1834" spans="1:7" x14ac:dyDescent="0.3">
      <c r="A1834" s="170" t="s">
        <v>3614</v>
      </c>
      <c r="B1834" s="165" t="s">
        <v>6784</v>
      </c>
      <c r="C1834" s="165" t="str">
        <f>IFERROR(VLOOKUP($A1834,작성용!A:AL,14,0),"-")</f>
        <v>-</v>
      </c>
      <c r="D1834" s="169" t="s">
        <v>6293</v>
      </c>
      <c r="E1834" s="167" t="str">
        <f>IFERROR(VLOOKUP(A1834,작성용!A:AL,34,0),"-")</f>
        <v>-</v>
      </c>
      <c r="F1834" s="168" t="s">
        <v>6283</v>
      </c>
      <c r="G1834" s="179">
        <f>COUNTIF(작성용!A:B,$A1834)-COUNTIFS(작성용!A:A,$A1834,작성용!AA:AA,"평가철회")</f>
        <v>0</v>
      </c>
    </row>
    <row r="1835" spans="1:7" x14ac:dyDescent="0.3">
      <c r="A1835" s="170" t="s">
        <v>3617</v>
      </c>
      <c r="B1835" s="165" t="s">
        <v>6785</v>
      </c>
      <c r="C1835" s="165" t="str">
        <f>IFERROR(VLOOKUP($A1835,작성용!A:AL,14,0),"-")</f>
        <v>-</v>
      </c>
      <c r="D1835" s="169" t="s">
        <v>6290</v>
      </c>
      <c r="E1835" s="167" t="str">
        <f>IFERROR(VLOOKUP(A1835,작성용!A:AL,34,0),"-")</f>
        <v>-</v>
      </c>
      <c r="F1835" s="168" t="s">
        <v>6283</v>
      </c>
      <c r="G1835" s="179">
        <f>COUNTIF(작성용!A:B,$A1835)-COUNTIFS(작성용!A:A,$A1835,작성용!AA:AA,"평가철회")</f>
        <v>0</v>
      </c>
    </row>
    <row r="1836" spans="1:7" x14ac:dyDescent="0.3">
      <c r="A1836" s="170" t="s">
        <v>3618</v>
      </c>
      <c r="B1836" s="165" t="s">
        <v>6786</v>
      </c>
      <c r="C1836" s="165" t="str">
        <f>IFERROR(VLOOKUP($A1836,작성용!A:AL,14,0),"-")</f>
        <v>-</v>
      </c>
      <c r="D1836" s="169" t="s">
        <v>6607</v>
      </c>
      <c r="E1836" s="167" t="str">
        <f>IFERROR(VLOOKUP(A1836,작성용!A:AL,34,0),"-")</f>
        <v>-</v>
      </c>
      <c r="F1836" s="168" t="s">
        <v>6283</v>
      </c>
      <c r="G1836" s="179">
        <f>COUNTIF(작성용!A:B,$A1836)-COUNTIFS(작성용!A:A,$A1836,작성용!AA:AA,"평가철회")</f>
        <v>0</v>
      </c>
    </row>
    <row r="1837" spans="1:7" x14ac:dyDescent="0.3">
      <c r="A1837" s="170" t="s">
        <v>3616</v>
      </c>
      <c r="B1837" s="165" t="s">
        <v>6787</v>
      </c>
      <c r="C1837" s="165" t="str">
        <f>IFERROR(VLOOKUP($A1837,작성용!A:AL,14,0),"-")</f>
        <v>-</v>
      </c>
      <c r="D1837" s="169" t="s">
        <v>6293</v>
      </c>
      <c r="E1837" s="167" t="str">
        <f>IFERROR(VLOOKUP(A1837,작성용!A:AL,34,0),"-")</f>
        <v>-</v>
      </c>
      <c r="F1837" s="168" t="s">
        <v>6283</v>
      </c>
      <c r="G1837" s="179">
        <f>COUNTIF(작성용!A:B,$A1837)-COUNTIFS(작성용!A:A,$A1837,작성용!AA:AA,"평가철회")</f>
        <v>0</v>
      </c>
    </row>
    <row r="1838" spans="1:7" x14ac:dyDescent="0.3">
      <c r="A1838" s="170" t="s">
        <v>3610</v>
      </c>
      <c r="B1838" s="165" t="s">
        <v>6788</v>
      </c>
      <c r="C1838" s="165" t="str">
        <f>IFERROR(VLOOKUP($A1838,작성용!A:AL,14,0),"-")</f>
        <v>-</v>
      </c>
      <c r="D1838" s="169" t="s">
        <v>6292</v>
      </c>
      <c r="E1838" s="167" t="str">
        <f>IFERROR(VLOOKUP(A1838,작성용!A:AL,34,0),"-")</f>
        <v>-</v>
      </c>
      <c r="F1838" s="168" t="s">
        <v>6283</v>
      </c>
      <c r="G1838" s="179">
        <f>COUNTIF(작성용!A:B,$A1838)-COUNTIFS(작성용!A:A,$A1838,작성용!AA:AA,"평가철회")</f>
        <v>0</v>
      </c>
    </row>
    <row r="1839" spans="1:7" x14ac:dyDescent="0.3">
      <c r="A1839" s="170" t="s">
        <v>1966</v>
      </c>
      <c r="B1839" s="165" t="s">
        <v>6789</v>
      </c>
      <c r="C1839" s="165" t="str">
        <f>IFERROR(VLOOKUP($A1839,작성용!A:AL,14,0),"-")</f>
        <v>-</v>
      </c>
      <c r="D1839" s="169" t="s">
        <v>6288</v>
      </c>
      <c r="E1839" s="167" t="str">
        <f>IFERROR(VLOOKUP(A1839,작성용!A:AL,34,0),"-")</f>
        <v>-</v>
      </c>
      <c r="F1839" s="168" t="s">
        <v>6283</v>
      </c>
      <c r="G1839" s="179">
        <f>COUNTIF(작성용!A:B,$A1839)-COUNTIFS(작성용!A:A,$A1839,작성용!AA:AA,"평가철회")</f>
        <v>0</v>
      </c>
    </row>
    <row r="1840" spans="1:7" x14ac:dyDescent="0.3">
      <c r="A1840" s="170" t="s">
        <v>3622</v>
      </c>
      <c r="B1840" s="165" t="s">
        <v>6790</v>
      </c>
      <c r="C1840" s="165" t="str">
        <f>IFERROR(VLOOKUP($A1840,작성용!A:AL,14,0),"-")</f>
        <v>-</v>
      </c>
      <c r="D1840" s="169" t="s">
        <v>6292</v>
      </c>
      <c r="E1840" s="167" t="str">
        <f>IFERROR(VLOOKUP(A1840,작성용!A:AL,34,0),"-")</f>
        <v>-</v>
      </c>
      <c r="F1840" s="168" t="s">
        <v>6283</v>
      </c>
      <c r="G1840" s="179">
        <f>COUNTIF(작성용!A:B,$A1840)-COUNTIFS(작성용!A:A,$A1840,작성용!AA:AA,"평가철회")</f>
        <v>0</v>
      </c>
    </row>
    <row r="1841" spans="1:7" x14ac:dyDescent="0.3">
      <c r="A1841" s="170" t="s">
        <v>3628</v>
      </c>
      <c r="B1841" s="165" t="s">
        <v>6791</v>
      </c>
      <c r="C1841" s="165" t="str">
        <f>IFERROR(VLOOKUP($A1841,작성용!A:AL,14,0),"-")</f>
        <v>-</v>
      </c>
      <c r="D1841" s="169" t="s">
        <v>6292</v>
      </c>
      <c r="E1841" s="167" t="str">
        <f>IFERROR(VLOOKUP(A1841,작성용!A:AL,34,0),"-")</f>
        <v>-</v>
      </c>
      <c r="F1841" s="168" t="s">
        <v>6283</v>
      </c>
      <c r="G1841" s="179">
        <f>COUNTIF(작성용!A:B,$A1841)-COUNTIFS(작성용!A:A,$A1841,작성용!AA:AA,"평가철회")</f>
        <v>0</v>
      </c>
    </row>
    <row r="1842" spans="1:7" x14ac:dyDescent="0.3">
      <c r="A1842" s="170" t="s">
        <v>3629</v>
      </c>
      <c r="B1842" s="165" t="s">
        <v>6792</v>
      </c>
      <c r="C1842" s="165" t="str">
        <f>IFERROR(VLOOKUP($A1842,작성용!A:AL,14,0),"-")</f>
        <v>-</v>
      </c>
      <c r="D1842" s="169" t="s">
        <v>6302</v>
      </c>
      <c r="E1842" s="167" t="str">
        <f>IFERROR(VLOOKUP(A1842,작성용!A:AL,34,0),"-")</f>
        <v>-</v>
      </c>
      <c r="F1842" s="168" t="s">
        <v>6283</v>
      </c>
      <c r="G1842" s="179">
        <f>COUNTIF(작성용!A:B,$A1842)-COUNTIFS(작성용!A:A,$A1842,작성용!AA:AA,"평가철회")</f>
        <v>0</v>
      </c>
    </row>
    <row r="1843" spans="1:7" x14ac:dyDescent="0.3">
      <c r="A1843" s="170" t="s">
        <v>3623</v>
      </c>
      <c r="B1843" s="165" t="s">
        <v>6793</v>
      </c>
      <c r="C1843" s="165" t="str">
        <f>IFERROR(VLOOKUP($A1843,작성용!A:AL,14,0),"-")</f>
        <v>-</v>
      </c>
      <c r="D1843" s="169" t="s">
        <v>6320</v>
      </c>
      <c r="E1843" s="167" t="str">
        <f>IFERROR(VLOOKUP(A1843,작성용!A:AL,34,0),"-")</f>
        <v>-</v>
      </c>
      <c r="F1843" s="168" t="s">
        <v>6283</v>
      </c>
      <c r="G1843" s="179">
        <f>COUNTIF(작성용!A:B,$A1843)-COUNTIFS(작성용!A:A,$A1843,작성용!AA:AA,"평가철회")</f>
        <v>0</v>
      </c>
    </row>
    <row r="1844" spans="1:7" x14ac:dyDescent="0.3">
      <c r="A1844" s="170" t="s">
        <v>3630</v>
      </c>
      <c r="B1844" s="165" t="s">
        <v>6794</v>
      </c>
      <c r="C1844" s="165" t="str">
        <f>IFERROR(VLOOKUP($A1844,작성용!A:AL,14,0),"-")</f>
        <v>-</v>
      </c>
      <c r="D1844" s="169" t="s">
        <v>6305</v>
      </c>
      <c r="E1844" s="167" t="str">
        <f>IFERROR(VLOOKUP(A1844,작성용!A:AL,34,0),"-")</f>
        <v>-</v>
      </c>
      <c r="F1844" s="168" t="s">
        <v>6283</v>
      </c>
      <c r="G1844" s="179">
        <f>COUNTIF(작성용!A:B,$A1844)-COUNTIFS(작성용!A:A,$A1844,작성용!AA:AA,"평가철회")</f>
        <v>0</v>
      </c>
    </row>
    <row r="1845" spans="1:7" x14ac:dyDescent="0.3">
      <c r="A1845" s="170" t="s">
        <v>3624</v>
      </c>
      <c r="B1845" s="165" t="s">
        <v>6795</v>
      </c>
      <c r="C1845" s="165" t="str">
        <f>IFERROR(VLOOKUP($A1845,작성용!A:AL,14,0),"-")</f>
        <v>-</v>
      </c>
      <c r="D1845" s="169" t="s">
        <v>6796</v>
      </c>
      <c r="E1845" s="167" t="str">
        <f>IFERROR(VLOOKUP(A1845,작성용!A:AL,34,0),"-")</f>
        <v>-</v>
      </c>
      <c r="F1845" s="168" t="s">
        <v>6283</v>
      </c>
      <c r="G1845" s="179">
        <f>COUNTIF(작성용!A:B,$A1845)-COUNTIFS(작성용!A:A,$A1845,작성용!AA:AA,"평가철회")</f>
        <v>0</v>
      </c>
    </row>
    <row r="1846" spans="1:7" x14ac:dyDescent="0.3">
      <c r="A1846" s="170" t="s">
        <v>3634</v>
      </c>
      <c r="B1846" s="165" t="s">
        <v>6797</v>
      </c>
      <c r="C1846" s="165" t="str">
        <f>IFERROR(VLOOKUP($A1846,작성용!A:AL,14,0),"-")</f>
        <v>-</v>
      </c>
      <c r="D1846" s="169" t="s">
        <v>6292</v>
      </c>
      <c r="E1846" s="167" t="str">
        <f>IFERROR(VLOOKUP(A1846,작성용!A:AL,34,0),"-")</f>
        <v>-</v>
      </c>
      <c r="F1846" s="168" t="s">
        <v>6283</v>
      </c>
      <c r="G1846" s="179">
        <f>COUNTIF(작성용!A:B,$A1846)-COUNTIFS(작성용!A:A,$A1846,작성용!AA:AA,"평가철회")</f>
        <v>0</v>
      </c>
    </row>
    <row r="1847" spans="1:7" x14ac:dyDescent="0.3">
      <c r="A1847" s="170" t="s">
        <v>3635</v>
      </c>
      <c r="B1847" s="165" t="s">
        <v>6798</v>
      </c>
      <c r="C1847" s="165" t="str">
        <f>IFERROR(VLOOKUP($A1847,작성용!A:AL,14,0),"-")</f>
        <v>-</v>
      </c>
      <c r="D1847" s="169" t="s">
        <v>6292</v>
      </c>
      <c r="E1847" s="167" t="str">
        <f>IFERROR(VLOOKUP(A1847,작성용!A:AL,34,0),"-")</f>
        <v>-</v>
      </c>
      <c r="F1847" s="168" t="s">
        <v>6283</v>
      </c>
      <c r="G1847" s="179">
        <f>COUNTIF(작성용!A:B,$A1847)-COUNTIFS(작성용!A:A,$A1847,작성용!AA:AA,"평가철회")</f>
        <v>0</v>
      </c>
    </row>
    <row r="1848" spans="1:7" x14ac:dyDescent="0.3">
      <c r="A1848" s="170" t="s">
        <v>3636</v>
      </c>
      <c r="B1848" s="165" t="s">
        <v>6799</v>
      </c>
      <c r="C1848" s="165" t="str">
        <f>IFERROR(VLOOKUP($A1848,작성용!A:AL,14,0),"-")</f>
        <v>-</v>
      </c>
      <c r="D1848" s="169" t="s">
        <v>6292</v>
      </c>
      <c r="E1848" s="167" t="str">
        <f>IFERROR(VLOOKUP(A1848,작성용!A:AL,34,0),"-")</f>
        <v>-</v>
      </c>
      <c r="F1848" s="168" t="s">
        <v>6283</v>
      </c>
      <c r="G1848" s="179">
        <f>COUNTIF(작성용!A:B,$A1848)-COUNTIFS(작성용!A:A,$A1848,작성용!AA:AA,"평가철회")</f>
        <v>0</v>
      </c>
    </row>
    <row r="1849" spans="1:7" x14ac:dyDescent="0.3">
      <c r="A1849" s="170" t="s">
        <v>3637</v>
      </c>
      <c r="B1849" s="165" t="s">
        <v>6800</v>
      </c>
      <c r="C1849" s="165" t="str">
        <f>IFERROR(VLOOKUP($A1849,작성용!A:AL,14,0),"-")</f>
        <v>-</v>
      </c>
      <c r="D1849" s="169" t="s">
        <v>6292</v>
      </c>
      <c r="E1849" s="167" t="str">
        <f>IFERROR(VLOOKUP(A1849,작성용!A:AL,34,0),"-")</f>
        <v>-</v>
      </c>
      <c r="F1849" s="168" t="s">
        <v>6283</v>
      </c>
      <c r="G1849" s="179">
        <f>COUNTIF(작성용!A:B,$A1849)-COUNTIFS(작성용!A:A,$A1849,작성용!AA:AA,"평가철회")</f>
        <v>0</v>
      </c>
    </row>
    <row r="1850" spans="1:7" x14ac:dyDescent="0.3">
      <c r="A1850" s="170" t="s">
        <v>3638</v>
      </c>
      <c r="B1850" s="165" t="s">
        <v>6801</v>
      </c>
      <c r="C1850" s="165" t="str">
        <f>IFERROR(VLOOKUP($A1850,작성용!A:AL,14,0),"-")</f>
        <v>-</v>
      </c>
      <c r="D1850" s="169" t="s">
        <v>6292</v>
      </c>
      <c r="E1850" s="167" t="str">
        <f>IFERROR(VLOOKUP(A1850,작성용!A:AL,34,0),"-")</f>
        <v>-</v>
      </c>
      <c r="F1850" s="168" t="s">
        <v>6270</v>
      </c>
      <c r="G1850" s="179">
        <f>COUNTIF(작성용!A:B,$A1850)-COUNTIFS(작성용!A:A,$A1850,작성용!AA:AA,"평가철회")</f>
        <v>0</v>
      </c>
    </row>
    <row r="1851" spans="1:7" x14ac:dyDescent="0.3">
      <c r="A1851" s="170" t="s">
        <v>3640</v>
      </c>
      <c r="B1851" s="165" t="s">
        <v>6802</v>
      </c>
      <c r="C1851" s="165" t="str">
        <f>IFERROR(VLOOKUP($A1851,작성용!A:AL,14,0),"-")</f>
        <v>-</v>
      </c>
      <c r="D1851" s="169" t="s">
        <v>6312</v>
      </c>
      <c r="E1851" s="167" t="str">
        <f>IFERROR(VLOOKUP(A1851,작성용!A:AL,34,0),"-")</f>
        <v>-</v>
      </c>
      <c r="F1851" s="168" t="s">
        <v>6691</v>
      </c>
      <c r="G1851" s="179">
        <f>COUNTIF(작성용!A:B,$A1851)-COUNTIFS(작성용!A:A,$A1851,작성용!AA:AA,"평가철회")</f>
        <v>0</v>
      </c>
    </row>
    <row r="1852" spans="1:7" x14ac:dyDescent="0.3">
      <c r="A1852" s="170" t="s">
        <v>3642</v>
      </c>
      <c r="B1852" s="165" t="s">
        <v>6803</v>
      </c>
      <c r="C1852" s="165" t="str">
        <f>IFERROR(VLOOKUP($A1852,작성용!A:AL,14,0),"-")</f>
        <v>-</v>
      </c>
      <c r="D1852" s="169" t="s">
        <v>6292</v>
      </c>
      <c r="E1852" s="167" t="str">
        <f>IFERROR(VLOOKUP(A1852,작성용!A:AL,34,0),"-")</f>
        <v>-</v>
      </c>
      <c r="F1852" s="168" t="s">
        <v>6283</v>
      </c>
      <c r="G1852" s="179">
        <f>COUNTIF(작성용!A:B,$A1852)-COUNTIFS(작성용!A:A,$A1852,작성용!AA:AA,"평가철회")</f>
        <v>0</v>
      </c>
    </row>
    <row r="1853" spans="1:7" x14ac:dyDescent="0.3">
      <c r="A1853" s="170" t="s">
        <v>6804</v>
      </c>
      <c r="B1853" s="165" t="s">
        <v>6805</v>
      </c>
      <c r="C1853" s="165" t="str">
        <f>IFERROR(VLOOKUP($A1853,작성용!A:AL,14,0),"-")</f>
        <v>-</v>
      </c>
      <c r="D1853" s="169" t="s">
        <v>6316</v>
      </c>
      <c r="E1853" s="167" t="str">
        <f>IFERROR(VLOOKUP(A1853,작성용!A:AL,34,0),"-")</f>
        <v>-</v>
      </c>
      <c r="F1853" s="168" t="s">
        <v>6270</v>
      </c>
      <c r="G1853" s="179">
        <f>COUNTIF(작성용!A:B,$A1853)-COUNTIFS(작성용!A:A,$A1853,작성용!AA:AA,"평가철회")</f>
        <v>0</v>
      </c>
    </row>
    <row r="1854" spans="1:7" x14ac:dyDescent="0.3">
      <c r="A1854" s="170" t="s">
        <v>6806</v>
      </c>
      <c r="B1854" s="165" t="s">
        <v>6807</v>
      </c>
      <c r="C1854" s="165" t="str">
        <f>IFERROR(VLOOKUP($A1854,작성용!A:AL,14,0),"-")</f>
        <v>-</v>
      </c>
      <c r="D1854" s="169" t="s">
        <v>6288</v>
      </c>
      <c r="E1854" s="167" t="str">
        <f>IFERROR(VLOOKUP(A1854,작성용!A:AL,34,0),"-")</f>
        <v>-</v>
      </c>
      <c r="F1854" s="168" t="s">
        <v>6270</v>
      </c>
      <c r="G1854" s="179">
        <f>COUNTIF(작성용!A:B,$A1854)-COUNTIFS(작성용!A:A,$A1854,작성용!AA:AA,"평가철회")</f>
        <v>0</v>
      </c>
    </row>
    <row r="1855" spans="1:7" x14ac:dyDescent="0.3">
      <c r="A1855" s="170" t="s">
        <v>6808</v>
      </c>
      <c r="B1855" s="165" t="s">
        <v>6809</v>
      </c>
      <c r="C1855" s="165" t="str">
        <f>IFERROR(VLOOKUP($A1855,작성용!A:AL,14,0),"-")</f>
        <v>-</v>
      </c>
      <c r="D1855" s="169" t="s">
        <v>6374</v>
      </c>
      <c r="E1855" s="167" t="str">
        <f>IFERROR(VLOOKUP(A1855,작성용!A:AL,34,0),"-")</f>
        <v>-</v>
      </c>
      <c r="F1855" s="168" t="s">
        <v>6382</v>
      </c>
      <c r="G1855" s="179">
        <f>COUNTIF(작성용!A:B,$A1855)-COUNTIFS(작성용!A:A,$A1855,작성용!AA:AA,"평가철회")</f>
        <v>0</v>
      </c>
    </row>
    <row r="1856" spans="1:7" x14ac:dyDescent="0.3">
      <c r="A1856" s="170" t="s">
        <v>6810</v>
      </c>
      <c r="B1856" s="165" t="s">
        <v>6811</v>
      </c>
      <c r="C1856" s="165" t="str">
        <f>IFERROR(VLOOKUP($A1856,작성용!A:AL,14,0),"-")</f>
        <v>-</v>
      </c>
      <c r="D1856" s="169" t="s">
        <v>6293</v>
      </c>
      <c r="E1856" s="167" t="str">
        <f>IFERROR(VLOOKUP(A1856,작성용!A:AL,34,0),"-")</f>
        <v>-</v>
      </c>
      <c r="F1856" s="168" t="s">
        <v>6283</v>
      </c>
      <c r="G1856" s="179">
        <f>COUNTIF(작성용!A:B,$A1856)-COUNTIFS(작성용!A:A,$A1856,작성용!AA:AA,"평가철회")</f>
        <v>0</v>
      </c>
    </row>
    <row r="1857" spans="1:7" x14ac:dyDescent="0.3">
      <c r="A1857" s="170" t="s">
        <v>6812</v>
      </c>
      <c r="B1857" s="165" t="s">
        <v>6813</v>
      </c>
      <c r="C1857" s="165" t="str">
        <f>IFERROR(VLOOKUP($A1857,작성용!A:AL,14,0),"-")</f>
        <v>-</v>
      </c>
      <c r="D1857" s="169" t="s">
        <v>6292</v>
      </c>
      <c r="E1857" s="167" t="str">
        <f>IFERROR(VLOOKUP(A1857,작성용!A:AL,34,0),"-")</f>
        <v>-</v>
      </c>
      <c r="F1857" s="168" t="s">
        <v>6283</v>
      </c>
      <c r="G1857" s="179">
        <f>COUNTIF(작성용!A:B,$A1857)-COUNTIFS(작성용!A:A,$A1857,작성용!AA:AA,"평가철회")</f>
        <v>0</v>
      </c>
    </row>
    <row r="1858" spans="1:7" x14ac:dyDescent="0.3">
      <c r="A1858" s="170" t="s">
        <v>6814</v>
      </c>
      <c r="B1858" s="165" t="s">
        <v>6815</v>
      </c>
      <c r="C1858" s="165" t="str">
        <f>IFERROR(VLOOKUP($A1858,작성용!A:AL,14,0),"-")</f>
        <v>-</v>
      </c>
      <c r="D1858" s="169" t="s">
        <v>6547</v>
      </c>
      <c r="E1858" s="167" t="str">
        <f>IFERROR(VLOOKUP(A1858,작성용!A:AL,34,0),"-")</f>
        <v>-</v>
      </c>
      <c r="F1858" s="168" t="s">
        <v>6283</v>
      </c>
      <c r="G1858" s="179">
        <f>COUNTIF(작성용!A:B,$A1858)-COUNTIFS(작성용!A:A,$A1858,작성용!AA:AA,"평가철회")</f>
        <v>0</v>
      </c>
    </row>
    <row r="1859" spans="1:7" x14ac:dyDescent="0.3">
      <c r="A1859" s="170" t="s">
        <v>6816</v>
      </c>
      <c r="B1859" s="165" t="s">
        <v>6817</v>
      </c>
      <c r="C1859" s="165" t="str">
        <f>IFERROR(VLOOKUP($A1859,작성용!A:AL,14,0),"-")</f>
        <v>-</v>
      </c>
      <c r="D1859" s="169" t="s">
        <v>6305</v>
      </c>
      <c r="E1859" s="167" t="str">
        <f>IFERROR(VLOOKUP(A1859,작성용!A:AL,34,0),"-")</f>
        <v>-</v>
      </c>
      <c r="F1859" s="168" t="s">
        <v>6283</v>
      </c>
      <c r="G1859" s="179">
        <f>COUNTIF(작성용!A:B,$A1859)-COUNTIFS(작성용!A:A,$A1859,작성용!AA:AA,"평가철회")</f>
        <v>0</v>
      </c>
    </row>
    <row r="1860" spans="1:7" x14ac:dyDescent="0.3">
      <c r="A1860" s="170" t="s">
        <v>6818</v>
      </c>
      <c r="B1860" s="165" t="s">
        <v>6819</v>
      </c>
      <c r="C1860" s="165" t="str">
        <f>IFERROR(VLOOKUP($A1860,작성용!A:AL,14,0),"-")</f>
        <v>-</v>
      </c>
      <c r="D1860" s="169" t="s">
        <v>6820</v>
      </c>
      <c r="E1860" s="167" t="str">
        <f>IFERROR(VLOOKUP(A1860,작성용!A:AL,34,0),"-")</f>
        <v>-</v>
      </c>
      <c r="F1860" s="168" t="s">
        <v>6270</v>
      </c>
      <c r="G1860" s="179">
        <f>COUNTIF(작성용!A:B,$A1860)-COUNTIFS(작성용!A:A,$A1860,작성용!AA:AA,"평가철회")</f>
        <v>0</v>
      </c>
    </row>
    <row r="1861" spans="1:7" x14ac:dyDescent="0.3">
      <c r="A1861" s="170" t="s">
        <v>6821</v>
      </c>
      <c r="B1861" s="165" t="s">
        <v>6822</v>
      </c>
      <c r="C1861" s="165" t="str">
        <f>IFERROR(VLOOKUP($A1861,작성용!A:AL,14,0),"-")</f>
        <v>-</v>
      </c>
      <c r="D1861" s="169" t="s">
        <v>6823</v>
      </c>
      <c r="E1861" s="167" t="str">
        <f>IFERROR(VLOOKUP(A1861,작성용!A:AL,34,0),"-")</f>
        <v>-</v>
      </c>
      <c r="F1861" s="168" t="s">
        <v>6270</v>
      </c>
      <c r="G1861" s="179">
        <f>COUNTIF(작성용!A:B,$A1861)-COUNTIFS(작성용!A:A,$A1861,작성용!AA:AA,"평가철회")</f>
        <v>0</v>
      </c>
    </row>
    <row r="1862" spans="1:7" x14ac:dyDescent="0.3">
      <c r="A1862" s="170" t="s">
        <v>6824</v>
      </c>
      <c r="B1862" s="165" t="s">
        <v>6825</v>
      </c>
      <c r="C1862" s="165" t="str">
        <f>IFERROR(VLOOKUP($A1862,작성용!A:AL,14,0),"-")</f>
        <v>-</v>
      </c>
      <c r="D1862" s="169" t="s">
        <v>6292</v>
      </c>
      <c r="E1862" s="167" t="str">
        <f>IFERROR(VLOOKUP(A1862,작성용!A:AL,34,0),"-")</f>
        <v>-</v>
      </c>
      <c r="F1862" s="168" t="s">
        <v>6270</v>
      </c>
      <c r="G1862" s="179">
        <f>COUNTIF(작성용!A:B,$A1862)-COUNTIFS(작성용!A:A,$A1862,작성용!AA:AA,"평가철회")</f>
        <v>0</v>
      </c>
    </row>
    <row r="1863" spans="1:7" x14ac:dyDescent="0.3">
      <c r="A1863" s="170" t="s">
        <v>3718</v>
      </c>
      <c r="B1863" s="165" t="s">
        <v>3719</v>
      </c>
      <c r="C1863" s="165" t="str">
        <f>IFERROR(VLOOKUP($A1863,작성용!A:AL,14,0),"-")</f>
        <v>-</v>
      </c>
      <c r="D1863" s="169" t="s">
        <v>6281</v>
      </c>
      <c r="E1863" s="167" t="str">
        <f>IFERROR(VLOOKUP(A1863,작성용!A:AL,34,0),"-")</f>
        <v>-</v>
      </c>
      <c r="F1863" s="168" t="s">
        <v>6270</v>
      </c>
      <c r="G1863" s="179">
        <f>COUNTIF(작성용!A:B,$A1863)-COUNTIFS(작성용!A:A,$A1863,작성용!AA:AA,"평가철회")</f>
        <v>0</v>
      </c>
    </row>
    <row r="1864" spans="1:7" x14ac:dyDescent="0.3">
      <c r="A1864" s="170" t="s">
        <v>3720</v>
      </c>
      <c r="B1864" s="165" t="s">
        <v>6826</v>
      </c>
      <c r="C1864" s="165" t="str">
        <f>IFERROR(VLOOKUP($A1864,작성용!A:AL,14,0),"-")</f>
        <v>-</v>
      </c>
      <c r="D1864" s="169" t="s">
        <v>6607</v>
      </c>
      <c r="E1864" s="167" t="str">
        <f>IFERROR(VLOOKUP(A1864,작성용!A:AL,34,0),"-")</f>
        <v>-</v>
      </c>
      <c r="F1864" s="168" t="s">
        <v>6283</v>
      </c>
      <c r="G1864" s="179">
        <f>COUNTIF(작성용!A:B,$A1864)-COUNTIFS(작성용!A:A,$A1864,작성용!AA:AA,"평가철회")</f>
        <v>0</v>
      </c>
    </row>
    <row r="1865" spans="1:7" x14ac:dyDescent="0.3">
      <c r="A1865" s="170" t="s">
        <v>3727</v>
      </c>
      <c r="B1865" s="165" t="s">
        <v>6827</v>
      </c>
      <c r="C1865" s="165" t="str">
        <f>IFERROR(VLOOKUP($A1865,작성용!A:AL,14,0),"-")</f>
        <v>-</v>
      </c>
      <c r="D1865" s="169" t="s">
        <v>6400</v>
      </c>
      <c r="E1865" s="167" t="str">
        <f>IFERROR(VLOOKUP(A1865,작성용!A:AL,34,0),"-")</f>
        <v>-</v>
      </c>
      <c r="F1865" s="168" t="s">
        <v>6283</v>
      </c>
      <c r="G1865" s="179">
        <f>COUNTIF(작성용!A:B,$A1865)-COUNTIFS(작성용!A:A,$A1865,작성용!AA:AA,"평가철회")</f>
        <v>0</v>
      </c>
    </row>
    <row r="1866" spans="1:7" x14ac:dyDescent="0.3">
      <c r="A1866" s="170" t="s">
        <v>3745</v>
      </c>
      <c r="B1866" s="165" t="s">
        <v>6828</v>
      </c>
      <c r="C1866" s="165" t="str">
        <f>IFERROR(VLOOKUP($A1866,작성용!A:AL,14,0),"-")</f>
        <v>-</v>
      </c>
      <c r="D1866" s="169" t="s">
        <v>6292</v>
      </c>
      <c r="E1866" s="167" t="str">
        <f>IFERROR(VLOOKUP(A1866,작성용!A:AL,34,0),"-")</f>
        <v>-</v>
      </c>
      <c r="F1866" s="168" t="s">
        <v>6283</v>
      </c>
      <c r="G1866" s="179">
        <f>COUNTIF(작성용!A:B,$A1866)-COUNTIFS(작성용!A:A,$A1866,작성용!AA:AA,"평가철회")</f>
        <v>0</v>
      </c>
    </row>
    <row r="1867" spans="1:7" x14ac:dyDescent="0.3">
      <c r="A1867" s="170" t="s">
        <v>3728</v>
      </c>
      <c r="B1867" s="165" t="s">
        <v>6829</v>
      </c>
      <c r="C1867" s="165" t="str">
        <f>IFERROR(VLOOKUP($A1867,작성용!A:AL,14,0),"-")</f>
        <v>-</v>
      </c>
      <c r="D1867" s="169" t="s">
        <v>6322</v>
      </c>
      <c r="E1867" s="167" t="str">
        <f>IFERROR(VLOOKUP(A1867,작성용!A:AL,34,0),"-")</f>
        <v>-</v>
      </c>
      <c r="F1867" s="168" t="s">
        <v>6283</v>
      </c>
      <c r="G1867" s="179">
        <f>COUNTIF(작성용!A:B,$A1867)-COUNTIFS(작성용!A:A,$A1867,작성용!AA:AA,"평가철회")</f>
        <v>0</v>
      </c>
    </row>
    <row r="1868" spans="1:7" x14ac:dyDescent="0.3">
      <c r="A1868" s="170" t="s">
        <v>3742</v>
      </c>
      <c r="B1868" s="165" t="s">
        <v>6830</v>
      </c>
      <c r="C1868" s="165" t="str">
        <f>IFERROR(VLOOKUP($A1868,작성용!A:AL,14,0),"-")</f>
        <v>-</v>
      </c>
      <c r="D1868" s="169" t="s">
        <v>6292</v>
      </c>
      <c r="E1868" s="167" t="str">
        <f>IFERROR(VLOOKUP(A1868,작성용!A:AL,34,0),"-")</f>
        <v>-</v>
      </c>
      <c r="F1868" s="168" t="s">
        <v>6283</v>
      </c>
      <c r="G1868" s="179">
        <f>COUNTIF(작성용!A:B,$A1868)-COUNTIFS(작성용!A:A,$A1868,작성용!AA:AA,"평가철회")</f>
        <v>0</v>
      </c>
    </row>
    <row r="1869" spans="1:7" x14ac:dyDescent="0.3">
      <c r="A1869" s="170" t="s">
        <v>3743</v>
      </c>
      <c r="B1869" s="165" t="s">
        <v>6831</v>
      </c>
      <c r="C1869" s="165" t="str">
        <f>IFERROR(VLOOKUP($A1869,작성용!A:AL,14,0),"-")</f>
        <v>-</v>
      </c>
      <c r="D1869" s="169" t="s">
        <v>6292</v>
      </c>
      <c r="E1869" s="167" t="str">
        <f>IFERROR(VLOOKUP(A1869,작성용!A:AL,34,0),"-")</f>
        <v>-</v>
      </c>
      <c r="F1869" s="168" t="s">
        <v>6283</v>
      </c>
      <c r="G1869" s="179">
        <f>COUNTIF(작성용!A:B,$A1869)-COUNTIFS(작성용!A:A,$A1869,작성용!AA:AA,"평가철회")</f>
        <v>0</v>
      </c>
    </row>
    <row r="1870" spans="1:7" x14ac:dyDescent="0.3">
      <c r="A1870" s="170" t="s">
        <v>3744</v>
      </c>
      <c r="B1870" s="165" t="s">
        <v>6832</v>
      </c>
      <c r="C1870" s="165" t="str">
        <f>IFERROR(VLOOKUP($A1870,작성용!A:AL,14,0),"-")</f>
        <v>분기</v>
      </c>
      <c r="D1870" s="169" t="s">
        <v>6292</v>
      </c>
      <c r="E1870" s="167" t="str">
        <f>IFERROR(VLOOKUP(A1870,작성용!A:AL,34,0),"-")</f>
        <v>메자닌평가팀</v>
      </c>
      <c r="F1870" s="168" t="s">
        <v>6270</v>
      </c>
      <c r="G1870" s="179">
        <f>COUNTIF(작성용!A:B,$A1870)-COUNTIFS(작성용!A:A,$A1870,작성용!AA:AA,"평가철회")</f>
        <v>20</v>
      </c>
    </row>
    <row r="1871" spans="1:7" x14ac:dyDescent="0.3">
      <c r="A1871" s="170" t="s">
        <v>3746</v>
      </c>
      <c r="B1871" s="165" t="s">
        <v>6833</v>
      </c>
      <c r="C1871" s="165" t="str">
        <f>IFERROR(VLOOKUP($A1871,작성용!A:AL,14,0),"-")</f>
        <v>-</v>
      </c>
      <c r="D1871" s="169" t="s">
        <v>6292</v>
      </c>
      <c r="E1871" s="167" t="str">
        <f>IFERROR(VLOOKUP(A1871,작성용!A:AL,34,0),"-")</f>
        <v>-</v>
      </c>
      <c r="F1871" s="168" t="s">
        <v>6283</v>
      </c>
      <c r="G1871" s="179">
        <f>COUNTIF(작성용!A:B,$A1871)-COUNTIFS(작성용!A:A,$A1871,작성용!AA:AA,"평가철회")</f>
        <v>0</v>
      </c>
    </row>
    <row r="1872" spans="1:7" x14ac:dyDescent="0.3">
      <c r="A1872" s="170" t="s">
        <v>3747</v>
      </c>
      <c r="B1872" s="165" t="s">
        <v>6834</v>
      </c>
      <c r="C1872" s="165" t="str">
        <f>IFERROR(VLOOKUP($A1872,작성용!A:AL,14,0),"-")</f>
        <v>-</v>
      </c>
      <c r="D1872" s="169" t="s">
        <v>6292</v>
      </c>
      <c r="E1872" s="167" t="str">
        <f>IFERROR(VLOOKUP(A1872,작성용!A:AL,34,0),"-")</f>
        <v>-</v>
      </c>
      <c r="F1872" s="168" t="s">
        <v>6283</v>
      </c>
      <c r="G1872" s="179">
        <f>COUNTIF(작성용!A:B,$A1872)-COUNTIFS(작성용!A:A,$A1872,작성용!AA:AA,"평가철회")</f>
        <v>0</v>
      </c>
    </row>
    <row r="1873" spans="1:7" x14ac:dyDescent="0.3">
      <c r="A1873" s="170" t="s">
        <v>3748</v>
      </c>
      <c r="B1873" s="165" t="s">
        <v>6835</v>
      </c>
      <c r="C1873" s="165" t="str">
        <f>IFERROR(VLOOKUP($A1873,작성용!A:AL,14,0),"-")</f>
        <v>-</v>
      </c>
      <c r="D1873" s="169" t="s">
        <v>6292</v>
      </c>
      <c r="E1873" s="167" t="str">
        <f>IFERROR(VLOOKUP(A1873,작성용!A:AL,34,0),"-")</f>
        <v>-</v>
      </c>
      <c r="F1873" s="168" t="s">
        <v>6283</v>
      </c>
      <c r="G1873" s="179">
        <f>COUNTIF(작성용!A:B,$A1873)-COUNTIFS(작성용!A:A,$A1873,작성용!AA:AA,"평가철회")</f>
        <v>0</v>
      </c>
    </row>
    <row r="1874" spans="1:7" x14ac:dyDescent="0.3">
      <c r="A1874" s="170" t="s">
        <v>3749</v>
      </c>
      <c r="B1874" s="165" t="s">
        <v>6836</v>
      </c>
      <c r="C1874" s="165" t="str">
        <f>IFERROR(VLOOKUP($A1874,작성용!A:AL,14,0),"-")</f>
        <v>-</v>
      </c>
      <c r="D1874" s="169" t="s">
        <v>6292</v>
      </c>
      <c r="E1874" s="167" t="str">
        <f>IFERROR(VLOOKUP(A1874,작성용!A:AL,34,0),"-")</f>
        <v>-</v>
      </c>
      <c r="F1874" s="168" t="s">
        <v>6382</v>
      </c>
      <c r="G1874" s="179">
        <f>COUNTIF(작성용!A:B,$A1874)-COUNTIFS(작성용!A:A,$A1874,작성용!AA:AA,"평가철회")</f>
        <v>0</v>
      </c>
    </row>
    <row r="1875" spans="1:7" x14ac:dyDescent="0.3">
      <c r="A1875" s="170" t="s">
        <v>3750</v>
      </c>
      <c r="B1875" s="165" t="s">
        <v>6837</v>
      </c>
      <c r="C1875" s="165" t="str">
        <f>IFERROR(VLOOKUP($A1875,작성용!A:AL,14,0),"-")</f>
        <v>-</v>
      </c>
      <c r="D1875" s="169" t="s">
        <v>6461</v>
      </c>
      <c r="E1875" s="167" t="str">
        <f>IFERROR(VLOOKUP(A1875,작성용!A:AL,34,0),"-")</f>
        <v>-</v>
      </c>
      <c r="F1875" s="168" t="s">
        <v>6382</v>
      </c>
      <c r="G1875" s="179">
        <f>COUNTIF(작성용!A:B,$A1875)-COUNTIFS(작성용!A:A,$A1875,작성용!AA:AA,"평가철회")</f>
        <v>0</v>
      </c>
    </row>
    <row r="1876" spans="1:7" x14ac:dyDescent="0.3">
      <c r="A1876" s="170" t="s">
        <v>3751</v>
      </c>
      <c r="B1876" s="165" t="s">
        <v>6838</v>
      </c>
      <c r="C1876" s="165" t="str">
        <f>IFERROR(VLOOKUP($A1876,작성용!A:AL,14,0),"-")</f>
        <v>-</v>
      </c>
      <c r="D1876" s="169" t="s">
        <v>6400</v>
      </c>
      <c r="E1876" s="167" t="str">
        <f>IFERROR(VLOOKUP(A1876,작성용!A:AL,34,0),"-")</f>
        <v>-</v>
      </c>
      <c r="F1876" s="168" t="s">
        <v>6283</v>
      </c>
      <c r="G1876" s="179">
        <f>COUNTIF(작성용!A:B,$A1876)-COUNTIFS(작성용!A:A,$A1876,작성용!AA:AA,"평가철회")</f>
        <v>0</v>
      </c>
    </row>
    <row r="1877" spans="1:7" x14ac:dyDescent="0.3">
      <c r="A1877" s="170" t="s">
        <v>3752</v>
      </c>
      <c r="B1877" s="165" t="s">
        <v>6839</v>
      </c>
      <c r="C1877" s="165" t="str">
        <f>IFERROR(VLOOKUP($A1877,작성용!A:AL,14,0),"-")</f>
        <v>-</v>
      </c>
      <c r="D1877" s="169" t="s">
        <v>6622</v>
      </c>
      <c r="E1877" s="167" t="str">
        <f>IFERROR(VLOOKUP(A1877,작성용!A:AL,34,0),"-")</f>
        <v>-</v>
      </c>
      <c r="F1877" s="168" t="s">
        <v>6382</v>
      </c>
      <c r="G1877" s="179">
        <f>COUNTIF(작성용!A:B,$A1877)-COUNTIFS(작성용!A:A,$A1877,작성용!AA:AA,"평가철회")</f>
        <v>0</v>
      </c>
    </row>
    <row r="1878" spans="1:7" x14ac:dyDescent="0.3">
      <c r="A1878" s="170" t="s">
        <v>3664</v>
      </c>
      <c r="B1878" s="165" t="s">
        <v>6840</v>
      </c>
      <c r="C1878" s="165" t="str">
        <f>IFERROR(VLOOKUP($A1878,작성용!A:AL,14,0),"-")</f>
        <v>-</v>
      </c>
      <c r="D1878" s="169" t="s">
        <v>6312</v>
      </c>
      <c r="E1878" s="167" t="str">
        <f>IFERROR(VLOOKUP(A1878,작성용!A:AL,34,0),"-")</f>
        <v>-</v>
      </c>
      <c r="F1878" s="168" t="s">
        <v>6270</v>
      </c>
      <c r="G1878" s="179">
        <f>COUNTIF(작성용!A:B,$A1878)-COUNTIFS(작성용!A:A,$A1878,작성용!AA:AA,"평가철회")</f>
        <v>0</v>
      </c>
    </row>
    <row r="1879" spans="1:7" x14ac:dyDescent="0.3">
      <c r="A1879" s="170" t="s">
        <v>3756</v>
      </c>
      <c r="B1879" s="165" t="s">
        <v>6841</v>
      </c>
      <c r="C1879" s="165" t="str">
        <f>IFERROR(VLOOKUP($A1879,작성용!A:AL,14,0),"-")</f>
        <v>-</v>
      </c>
      <c r="D1879" s="169" t="s">
        <v>6489</v>
      </c>
      <c r="E1879" s="167" t="str">
        <f>IFERROR(VLOOKUP(A1879,작성용!A:AL,34,0),"-")</f>
        <v>-</v>
      </c>
      <c r="F1879" s="168" t="s">
        <v>6283</v>
      </c>
      <c r="G1879" s="179">
        <f>COUNTIF(작성용!A:B,$A1879)-COUNTIFS(작성용!A:A,$A1879,작성용!AA:AA,"평가철회")</f>
        <v>0</v>
      </c>
    </row>
    <row r="1880" spans="1:7" x14ac:dyDescent="0.3">
      <c r="A1880" s="170" t="s">
        <v>4042</v>
      </c>
      <c r="B1880" s="165" t="s">
        <v>6842</v>
      </c>
      <c r="C1880" s="165" t="str">
        <f>IFERROR(VLOOKUP($A1880,작성용!A:AL,14,0),"-")</f>
        <v>-</v>
      </c>
      <c r="D1880" s="169" t="s">
        <v>6375</v>
      </c>
      <c r="E1880" s="167" t="str">
        <f>IFERROR(VLOOKUP(A1880,작성용!A:AL,34,0),"-")</f>
        <v>-</v>
      </c>
      <c r="F1880" s="168" t="s">
        <v>6843</v>
      </c>
      <c r="G1880" s="179">
        <f>COUNTIF(작성용!A:B,$A1880)-COUNTIFS(작성용!A:A,$A1880,작성용!AA:AA,"평가철회")</f>
        <v>0</v>
      </c>
    </row>
    <row r="1881" spans="1:7" x14ac:dyDescent="0.3">
      <c r="A1881" s="170" t="s">
        <v>4546</v>
      </c>
      <c r="B1881" s="165" t="s">
        <v>6844</v>
      </c>
      <c r="C1881" s="165" t="str">
        <f>IFERROR(VLOOKUP($A1881,작성용!A:AL,14,0),"-")</f>
        <v>-</v>
      </c>
      <c r="D1881" s="169" t="s">
        <v>6484</v>
      </c>
      <c r="E1881" s="167" t="str">
        <f>IFERROR(VLOOKUP(A1881,작성용!A:AL,34,0),"-")</f>
        <v>-</v>
      </c>
      <c r="F1881" s="168" t="s">
        <v>6845</v>
      </c>
      <c r="G1881" s="179">
        <f>COUNTIF(작성용!A:B,$A1881)-COUNTIFS(작성용!A:A,$A1881,작성용!AA:AA,"평가철회")</f>
        <v>0</v>
      </c>
    </row>
    <row r="1882" spans="1:7" x14ac:dyDescent="0.3">
      <c r="A1882" s="170" t="s">
        <v>3466</v>
      </c>
      <c r="B1882" s="165" t="s">
        <v>6647</v>
      </c>
      <c r="C1882" s="165" t="str">
        <f>IFERROR(VLOOKUP($A1882,작성용!A:AL,14,0),"-")</f>
        <v>-</v>
      </c>
      <c r="D1882" s="169" t="s">
        <v>6489</v>
      </c>
      <c r="E1882" s="167" t="str">
        <f>IFERROR(VLOOKUP(A1882,작성용!A:AL,34,0),"-")</f>
        <v>-</v>
      </c>
      <c r="F1882" s="168" t="s">
        <v>6380</v>
      </c>
      <c r="G1882" s="179">
        <f>COUNTIF(작성용!A:B,$A1882)-COUNTIFS(작성용!A:A,$A1882,작성용!AA:AA,"평가철회")</f>
        <v>0</v>
      </c>
    </row>
    <row r="1883" spans="1:7" x14ac:dyDescent="0.3">
      <c r="A1883" s="170" t="s">
        <v>4607</v>
      </c>
      <c r="B1883" s="165" t="s">
        <v>6846</v>
      </c>
      <c r="C1883" s="165" t="str">
        <f>IFERROR(VLOOKUP($A1883,작성용!A:AL,14,0),"-")</f>
        <v>-</v>
      </c>
      <c r="D1883" s="169" t="s">
        <v>6400</v>
      </c>
      <c r="E1883" s="167" t="str">
        <f>IFERROR(VLOOKUP(A1883,작성용!A:AL,34,0),"-")</f>
        <v>-</v>
      </c>
      <c r="F1883" s="168" t="s">
        <v>6315</v>
      </c>
      <c r="G1883" s="179">
        <f>COUNTIF(작성용!A:B,$A1883)-COUNTIFS(작성용!A:A,$A1883,작성용!AA:AA,"평가철회")</f>
        <v>0</v>
      </c>
    </row>
    <row r="1884" spans="1:7" x14ac:dyDescent="0.3">
      <c r="A1884" s="170" t="s">
        <v>4615</v>
      </c>
      <c r="B1884" s="165" t="s">
        <v>6847</v>
      </c>
      <c r="C1884" s="165" t="str">
        <f>IFERROR(VLOOKUP($A1884,작성용!A:AL,14,0),"-")</f>
        <v>미정</v>
      </c>
      <c r="D1884" s="169" t="s">
        <v>6848</v>
      </c>
      <c r="E1884" s="167" t="str">
        <f>IFERROR(VLOOKUP(A1884,작성용!A:AL,34,0),"-")</f>
        <v>채동우</v>
      </c>
      <c r="F1884" s="168" t="s">
        <v>6849</v>
      </c>
      <c r="G1884" s="179">
        <f>COUNTIF(작성용!A:B,$A1884)-COUNTIFS(작성용!A:A,$A1884,작성용!AA:AA,"평가철회")</f>
        <v>1</v>
      </c>
    </row>
    <row r="1885" spans="1:7" x14ac:dyDescent="0.3">
      <c r="A1885" s="170" t="s">
        <v>4638</v>
      </c>
      <c r="B1885" s="165" t="s">
        <v>6850</v>
      </c>
      <c r="C1885" s="165" t="str">
        <f>IFERROR(VLOOKUP($A1885,작성용!A:AL,14,0),"-")</f>
        <v>미정</v>
      </c>
      <c r="D1885" s="169" t="s">
        <v>6851</v>
      </c>
      <c r="E1885" s="167" t="str">
        <f>IFERROR(VLOOKUP(A1885,작성용!A:AL,34,0),"-")</f>
        <v>변혜진</v>
      </c>
      <c r="F1885" s="168" t="s">
        <v>6849</v>
      </c>
      <c r="G1885" s="179">
        <f>COUNTIF(작성용!A:B,$A1885)-COUNTIFS(작성용!A:A,$A1885,작성용!AA:AA,"평가철회")</f>
        <v>1</v>
      </c>
    </row>
    <row r="1886" spans="1:7" x14ac:dyDescent="0.3">
      <c r="A1886" s="170" t="s">
        <v>4662</v>
      </c>
      <c r="B1886" s="165" t="s">
        <v>2922</v>
      </c>
      <c r="C1886" s="165" t="str">
        <f>IFERROR(VLOOKUP($A1886,작성용!A:AL,14,0),"-")</f>
        <v>-</v>
      </c>
      <c r="D1886" s="169" t="s">
        <v>6852</v>
      </c>
      <c r="E1886" s="167" t="str">
        <f>IFERROR(VLOOKUP(A1886,작성용!A:AL,34,0),"-")</f>
        <v>-</v>
      </c>
      <c r="F1886" s="168" t="s">
        <v>6849</v>
      </c>
      <c r="G1886" s="179">
        <f>COUNTIF(작성용!A:B,$A1886)-COUNTIFS(작성용!A:A,$A1886,작성용!AA:AA,"평가철회")</f>
        <v>0</v>
      </c>
    </row>
    <row r="1887" spans="1:7" x14ac:dyDescent="0.3">
      <c r="A1887" s="170" t="s">
        <v>4677</v>
      </c>
      <c r="B1887" s="165" t="s">
        <v>6853</v>
      </c>
      <c r="C1887" s="165" t="str">
        <f>IFERROR(VLOOKUP($A1887,작성용!A:AL,14,0),"-")</f>
        <v>-</v>
      </c>
      <c r="D1887" s="169" t="s">
        <v>6848</v>
      </c>
      <c r="E1887" s="167" t="str">
        <f>IFERROR(VLOOKUP(A1887,작성용!A:AL,34,0),"-")</f>
        <v>-</v>
      </c>
      <c r="F1887" s="168" t="s">
        <v>6849</v>
      </c>
      <c r="G1887" s="179">
        <f>COUNTIF(작성용!A:B,$A1887)-COUNTIFS(작성용!A:A,$A1887,작성용!AA:AA,"평가철회")</f>
        <v>0</v>
      </c>
    </row>
    <row r="1888" spans="1:7" x14ac:dyDescent="0.3">
      <c r="A1888" s="170" t="s">
        <v>4688</v>
      </c>
      <c r="B1888" s="165" t="s">
        <v>6854</v>
      </c>
      <c r="C1888" s="165" t="str">
        <f>IFERROR(VLOOKUP($A1888,작성용!A:AL,14,0),"-")</f>
        <v>미정</v>
      </c>
      <c r="D1888" s="169" t="s">
        <v>6286</v>
      </c>
      <c r="E1888" s="167" t="str">
        <f>IFERROR(VLOOKUP(A1888,작성용!A:AL,34,0),"-")</f>
        <v>백형진</v>
      </c>
      <c r="F1888" s="168" t="s">
        <v>6849</v>
      </c>
      <c r="G1888" s="179">
        <f>COUNTIF(작성용!A:B,$A1888)-COUNTIFS(작성용!A:A,$A1888,작성용!AA:AA,"평가철회")</f>
        <v>1</v>
      </c>
    </row>
    <row r="1889" spans="1:7" x14ac:dyDescent="0.3">
      <c r="A1889" s="170" t="s">
        <v>4728</v>
      </c>
      <c r="B1889" s="165" t="s">
        <v>6855</v>
      </c>
      <c r="C1889" s="165" t="str">
        <f>IFERROR(VLOOKUP($A1889,작성용!A:AL,14,0),"-")</f>
        <v>미정</v>
      </c>
      <c r="D1889" s="169" t="s">
        <v>6856</v>
      </c>
      <c r="E1889" s="167" t="str">
        <f>IFERROR(VLOOKUP(A1889,작성용!A:AL,34,0),"-")</f>
        <v>최수민</v>
      </c>
      <c r="F1889" s="168" t="s">
        <v>6849</v>
      </c>
      <c r="G1889" s="179">
        <f>COUNTIF(작성용!A:B,$A1889)-COUNTIFS(작성용!A:A,$A1889,작성용!AA:AA,"평가철회")</f>
        <v>3</v>
      </c>
    </row>
    <row r="1890" spans="1:7" x14ac:dyDescent="0.3">
      <c r="A1890" s="170" t="s">
        <v>6108</v>
      </c>
      <c r="B1890" s="165" t="s">
        <v>6857</v>
      </c>
      <c r="C1890" s="165" t="str">
        <f>IFERROR(VLOOKUP($A1890,작성용!A:AL,14,0),"-")</f>
        <v>미정</v>
      </c>
      <c r="D1890" s="169" t="s">
        <v>6858</v>
      </c>
      <c r="E1890" s="167" t="str">
        <f>IFERROR(VLOOKUP(A1890,작성용!A:AL,34,0),"-")</f>
        <v>오영석</v>
      </c>
      <c r="F1890" s="168" t="s">
        <v>6849</v>
      </c>
      <c r="G1890" s="179">
        <f>COUNTIF(작성용!A:B,$A1890)-COUNTIFS(작성용!A:A,$A1890,작성용!AA:AA,"평가철회")</f>
        <v>27</v>
      </c>
    </row>
    <row r="1891" spans="1:7" x14ac:dyDescent="0.3">
      <c r="A1891" s="170" t="s">
        <v>6192</v>
      </c>
      <c r="B1891" s="165" t="s">
        <v>6859</v>
      </c>
      <c r="C1891" s="165" t="str">
        <f>IFERROR(VLOOKUP($A1891,작성용!A:AL,14,0),"-")</f>
        <v>연말</v>
      </c>
      <c r="D1891" s="169" t="s">
        <v>6860</v>
      </c>
      <c r="E1891" s="167" t="str">
        <f>IFERROR(VLOOKUP(A1891,작성용!A:AL,34,0),"-")</f>
        <v>서동현</v>
      </c>
      <c r="F1891" s="168" t="s">
        <v>6849</v>
      </c>
      <c r="G1891" s="179">
        <f>COUNTIF(작성용!A:B,$A1891)-COUNTIFS(작성용!A:A,$A1891,작성용!AA:AA,"평가철회")</f>
        <v>5</v>
      </c>
    </row>
    <row r="1892" spans="1:7" x14ac:dyDescent="0.3">
      <c r="A1892" s="170" t="s">
        <v>6165</v>
      </c>
      <c r="B1892" s="165" t="s">
        <v>6861</v>
      </c>
      <c r="C1892" s="165" t="str">
        <f>IFERROR(VLOOKUP($A1892,작성용!A:AL,14,0),"-")</f>
        <v>연말</v>
      </c>
      <c r="D1892" s="169" t="s">
        <v>6860</v>
      </c>
      <c r="E1892" s="167" t="str">
        <f>IFERROR(VLOOKUP(A1892,작성용!A:AL,34,0),"-")</f>
        <v>서동현</v>
      </c>
      <c r="F1892" s="168" t="s">
        <v>6849</v>
      </c>
      <c r="G1892" s="179">
        <f>COUNTIF(작성용!A:B,$A1892)-COUNTIFS(작성용!A:A,$A1892,작성용!AA:AA,"평가철회")</f>
        <v>2</v>
      </c>
    </row>
  </sheetData>
  <phoneticPr fontId="3" type="noConversion"/>
  <conditionalFormatting sqref="J3:J29">
    <cfRule type="top10" dxfId="4" priority="1" bottom="1" rank="10"/>
  </conditionalFormatting>
  <conditionalFormatting sqref="K3:K29">
    <cfRule type="top10" dxfId="3" priority="2" bottom="1" rank="10"/>
  </conditionalFormatting>
  <conditionalFormatting sqref="L3:L29">
    <cfRule type="top10" dxfId="2" priority="3" bottom="1" rank="10"/>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M287"/>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47.25" customWidth="1"/>
    <col min="5" max="5" width="16.75"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customWidth="1" outlineLevel="1"/>
    <col min="16" max="16" width="13.375" customWidth="1" outlineLevel="1"/>
    <col min="17" max="17" width="23.375" customWidth="1" outlineLevel="1"/>
    <col min="18" max="18" width="11.25" customWidth="1" outlineLevel="1"/>
    <col min="19" max="19" width="14.5" customWidth="1" outlineLevel="1"/>
    <col min="20" max="20" width="10.5" customWidth="1" outlineLevel="1"/>
    <col min="21" max="21" width="11" customWidth="1"/>
    <col min="22" max="22" width="11.625" customWidth="1"/>
    <col min="23" max="23" width="11.625" customWidth="1" outlineLevel="1"/>
    <col min="24" max="24" width="11" customWidth="1" outlineLevel="1"/>
    <col min="25" max="26" width="3.625" customWidth="1" outlineLevel="1"/>
    <col min="27" max="27" width="10.75" customWidth="1"/>
    <col min="28" max="28" width="10.75" customWidth="1" outlineLevel="1"/>
    <col min="29" max="29" width="9.75" customWidth="1" outlineLevel="1"/>
    <col min="30" max="30" width="8.25" customWidth="1"/>
    <col min="31" max="31" width="9" customWidth="1"/>
    <col min="32" max="32" width="10.625" customWidth="1"/>
    <col min="33" max="33" width="10.125" customWidth="1"/>
    <col min="34" max="34" width="10.625" customWidth="1"/>
    <col min="35" max="35" width="7.125" customWidth="1"/>
    <col min="36" max="36" width="11" customWidth="1"/>
    <col min="37" max="37" width="8" bestFit="1" customWidth="1"/>
    <col min="38" max="38" width="9.375" customWidth="1"/>
  </cols>
  <sheetData>
    <row r="1" spans="1:39" s="176" customFormat="1" x14ac:dyDescent="0.3">
      <c r="A1" s="1" t="s">
        <v>25</v>
      </c>
      <c r="B1" s="1" t="s">
        <v>26</v>
      </c>
      <c r="C1" s="1" t="s">
        <v>49</v>
      </c>
      <c r="D1" s="1" t="s">
        <v>27</v>
      </c>
      <c r="E1" s="2" t="s">
        <v>3469</v>
      </c>
      <c r="F1" s="3" t="s">
        <v>3470</v>
      </c>
      <c r="G1" s="1" t="s">
        <v>28</v>
      </c>
      <c r="H1" s="3" t="s">
        <v>3471</v>
      </c>
      <c r="I1" s="3" t="s">
        <v>29</v>
      </c>
      <c r="J1" s="3" t="s">
        <v>30</v>
      </c>
      <c r="K1" s="3" t="s">
        <v>31</v>
      </c>
      <c r="L1" s="3" t="s">
        <v>32</v>
      </c>
      <c r="M1" s="3" t="s">
        <v>33</v>
      </c>
      <c r="N1" s="3" t="s">
        <v>3472</v>
      </c>
      <c r="O1" s="3" t="s">
        <v>64</v>
      </c>
      <c r="P1" s="3" t="s">
        <v>3473</v>
      </c>
      <c r="Q1" s="3" t="s">
        <v>34</v>
      </c>
      <c r="R1" s="4" t="s">
        <v>3474</v>
      </c>
      <c r="S1" s="2" t="s">
        <v>3475</v>
      </c>
      <c r="T1" s="5" t="s">
        <v>47</v>
      </c>
      <c r="U1" s="5" t="s">
        <v>3476</v>
      </c>
      <c r="V1" s="5" t="s">
        <v>0</v>
      </c>
      <c r="W1" s="5" t="s">
        <v>35</v>
      </c>
      <c r="X1" s="5" t="s">
        <v>36</v>
      </c>
      <c r="Y1" s="5" t="s">
        <v>3477</v>
      </c>
      <c r="Z1" s="5" t="s">
        <v>37</v>
      </c>
      <c r="AA1" s="6" t="s">
        <v>38</v>
      </c>
      <c r="AB1" s="7" t="s">
        <v>39</v>
      </c>
      <c r="AC1" s="6" t="s">
        <v>3478</v>
      </c>
      <c r="AD1" s="6" t="s">
        <v>3479</v>
      </c>
      <c r="AE1" s="8" t="s">
        <v>40</v>
      </c>
      <c r="AF1" s="6" t="s">
        <v>59</v>
      </c>
      <c r="AG1" s="6" t="s">
        <v>3480</v>
      </c>
      <c r="AH1" s="6" t="s">
        <v>3481</v>
      </c>
      <c r="AI1" s="2" t="s">
        <v>3482</v>
      </c>
      <c r="AJ1" s="2" t="s">
        <v>3483</v>
      </c>
      <c r="AK1" s="2" t="s">
        <v>41</v>
      </c>
      <c r="AL1" s="2" t="s">
        <v>44</v>
      </c>
    </row>
    <row r="2" spans="1:39" x14ac:dyDescent="0.3">
      <c r="A2" s="229" t="s">
        <v>235</v>
      </c>
      <c r="B2" s="229" t="s">
        <v>4441</v>
      </c>
      <c r="C2" s="241" t="s">
        <v>4022</v>
      </c>
      <c r="D2" s="237" t="s">
        <v>4521</v>
      </c>
      <c r="E2" s="236" t="s">
        <v>4520</v>
      </c>
      <c r="F2" s="240" t="s">
        <v>4060</v>
      </c>
      <c r="G2" s="214">
        <v>0</v>
      </c>
      <c r="H2" s="231" t="s">
        <v>4054</v>
      </c>
      <c r="I2" s="231"/>
      <c r="J2" s="231"/>
      <c r="K2" s="231"/>
      <c r="L2" s="231"/>
      <c r="M2" s="231"/>
      <c r="N2" s="231" t="s">
        <v>4074</v>
      </c>
      <c r="O2" s="246" t="s">
        <v>4438</v>
      </c>
      <c r="P2" s="246" t="s">
        <v>4526</v>
      </c>
      <c r="Q2" s="225" t="s">
        <v>4438</v>
      </c>
      <c r="R2" s="212" t="s">
        <v>4519</v>
      </c>
      <c r="S2" s="213" t="s">
        <v>4518</v>
      </c>
      <c r="T2" s="233" t="s">
        <v>4053</v>
      </c>
      <c r="U2" s="234" t="s">
        <v>4058</v>
      </c>
      <c r="V2" s="233" t="s">
        <v>4052</v>
      </c>
      <c r="W2" s="233" t="s">
        <v>4052</v>
      </c>
      <c r="X2" s="234" t="s">
        <v>4054</v>
      </c>
      <c r="Y2" s="234"/>
      <c r="Z2" s="234" t="s">
        <v>4072</v>
      </c>
      <c r="AA2" s="224">
        <v>202409</v>
      </c>
      <c r="AB2" s="243"/>
      <c r="AC2" s="233" t="s">
        <v>4057</v>
      </c>
      <c r="AD2" s="244" t="s">
        <v>4527</v>
      </c>
      <c r="AE2" s="245">
        <v>0</v>
      </c>
      <c r="AF2" s="244" t="s">
        <v>4524</v>
      </c>
      <c r="AG2" s="239" t="s">
        <v>4434</v>
      </c>
      <c r="AH2" s="9" t="s">
        <v>4528</v>
      </c>
      <c r="AI2" s="235" t="s">
        <v>4054</v>
      </c>
      <c r="AJ2" s="235" t="s">
        <v>4054</v>
      </c>
      <c r="AK2" s="235" t="s">
        <v>4055</v>
      </c>
      <c r="AL2" s="10"/>
    </row>
    <row r="3" spans="1:39" x14ac:dyDescent="0.3">
      <c r="A3" s="229" t="s">
        <v>235</v>
      </c>
      <c r="B3" s="229" t="s">
        <v>4441</v>
      </c>
      <c r="C3" s="241" t="s">
        <v>4061</v>
      </c>
      <c r="D3" s="237" t="s">
        <v>4517</v>
      </c>
      <c r="E3" s="236" t="s">
        <v>4516</v>
      </c>
      <c r="F3" s="240" t="s">
        <v>4060</v>
      </c>
      <c r="G3" s="214">
        <v>0</v>
      </c>
      <c r="H3" s="231" t="s">
        <v>4054</v>
      </c>
      <c r="I3" s="231"/>
      <c r="J3" s="231"/>
      <c r="K3" s="231"/>
      <c r="L3" s="231"/>
      <c r="M3" s="231"/>
      <c r="N3" s="231" t="s">
        <v>4074</v>
      </c>
      <c r="O3" s="246" t="s">
        <v>4526</v>
      </c>
      <c r="P3" s="246" t="s">
        <v>4438</v>
      </c>
      <c r="Q3" s="225" t="s">
        <v>4438</v>
      </c>
      <c r="R3" s="212" t="s">
        <v>4515</v>
      </c>
      <c r="S3" s="213" t="s">
        <v>4529</v>
      </c>
      <c r="T3" s="233" t="s">
        <v>4053</v>
      </c>
      <c r="U3" s="234" t="s">
        <v>4058</v>
      </c>
      <c r="V3" s="233" t="s">
        <v>4052</v>
      </c>
      <c r="W3" s="233" t="s">
        <v>4052</v>
      </c>
      <c r="X3" s="234" t="s">
        <v>4054</v>
      </c>
      <c r="Y3" s="234"/>
      <c r="Z3" s="234" t="s">
        <v>4072</v>
      </c>
      <c r="AA3" s="224">
        <v>202409</v>
      </c>
      <c r="AB3" s="243"/>
      <c r="AC3" s="233" t="s">
        <v>4057</v>
      </c>
      <c r="AD3" s="244" t="s">
        <v>4056</v>
      </c>
      <c r="AE3" s="245">
        <v>0</v>
      </c>
      <c r="AF3" s="244" t="s">
        <v>4056</v>
      </c>
      <c r="AG3" s="239" t="s">
        <v>4434</v>
      </c>
      <c r="AH3" s="9" t="s">
        <v>4433</v>
      </c>
      <c r="AI3" s="235" t="s">
        <v>4522</v>
      </c>
      <c r="AJ3" s="235" t="s">
        <v>4522</v>
      </c>
      <c r="AK3" s="235" t="s">
        <v>4055</v>
      </c>
      <c r="AL3" s="10"/>
    </row>
    <row r="4" spans="1:39" x14ac:dyDescent="0.3">
      <c r="A4" s="229" t="s">
        <v>235</v>
      </c>
      <c r="B4" s="229" t="s">
        <v>4441</v>
      </c>
      <c r="C4" s="241" t="s">
        <v>4061</v>
      </c>
      <c r="D4" s="237" t="s">
        <v>4064</v>
      </c>
      <c r="E4" s="236" t="s">
        <v>3843</v>
      </c>
      <c r="F4" s="240" t="s">
        <v>4060</v>
      </c>
      <c r="G4" s="214">
        <v>0</v>
      </c>
      <c r="H4" s="231" t="s">
        <v>4054</v>
      </c>
      <c r="I4" s="231"/>
      <c r="J4" s="231"/>
      <c r="K4" s="231"/>
      <c r="L4" s="231"/>
      <c r="M4" s="231"/>
      <c r="N4" s="231" t="s">
        <v>4074</v>
      </c>
      <c r="O4" s="246" t="s">
        <v>4438</v>
      </c>
      <c r="P4" s="246" t="s">
        <v>4438</v>
      </c>
      <c r="Q4" s="225" t="s">
        <v>4438</v>
      </c>
      <c r="R4" s="212" t="s">
        <v>3844</v>
      </c>
      <c r="S4" s="213" t="s">
        <v>4514</v>
      </c>
      <c r="T4" s="233" t="s">
        <v>4523</v>
      </c>
      <c r="U4" s="234" t="s">
        <v>4058</v>
      </c>
      <c r="V4" s="233" t="s">
        <v>4052</v>
      </c>
      <c r="W4" s="233" t="s">
        <v>4052</v>
      </c>
      <c r="X4" s="234" t="s">
        <v>4054</v>
      </c>
      <c r="Y4" s="234"/>
      <c r="Z4" s="234" t="s">
        <v>4072</v>
      </c>
      <c r="AA4" s="224">
        <v>202409</v>
      </c>
      <c r="AB4" s="243"/>
      <c r="AC4" s="233" t="s">
        <v>4057</v>
      </c>
      <c r="AD4" s="244" t="s">
        <v>4056</v>
      </c>
      <c r="AE4" s="245">
        <v>0</v>
      </c>
      <c r="AF4" s="244" t="s">
        <v>4056</v>
      </c>
      <c r="AG4" s="239" t="s">
        <v>4434</v>
      </c>
      <c r="AH4" s="9" t="s">
        <v>4433</v>
      </c>
      <c r="AI4" s="235" t="s">
        <v>4054</v>
      </c>
      <c r="AJ4" s="235" t="s">
        <v>4054</v>
      </c>
      <c r="AK4" s="235" t="s">
        <v>4055</v>
      </c>
      <c r="AL4" s="10"/>
    </row>
    <row r="5" spans="1:39" x14ac:dyDescent="0.3">
      <c r="A5" s="229" t="s">
        <v>235</v>
      </c>
      <c r="B5" s="229" t="s">
        <v>4530</v>
      </c>
      <c r="C5" s="241" t="s">
        <v>4061</v>
      </c>
      <c r="D5" s="237" t="s">
        <v>4513</v>
      </c>
      <c r="E5" s="236" t="s">
        <v>4512</v>
      </c>
      <c r="F5" s="240" t="s">
        <v>4060</v>
      </c>
      <c r="G5" s="214">
        <v>0</v>
      </c>
      <c r="H5" s="231" t="s">
        <v>4054</v>
      </c>
      <c r="I5" s="231"/>
      <c r="J5" s="231"/>
      <c r="K5" s="231"/>
      <c r="L5" s="231"/>
      <c r="M5" s="231"/>
      <c r="N5" s="231" t="s">
        <v>4074</v>
      </c>
      <c r="O5" s="246" t="s">
        <v>4526</v>
      </c>
      <c r="P5" s="246" t="s">
        <v>4438</v>
      </c>
      <c r="Q5" s="225" t="s">
        <v>4438</v>
      </c>
      <c r="R5" s="212" t="s">
        <v>4511</v>
      </c>
      <c r="S5" s="213" t="s">
        <v>4510</v>
      </c>
      <c r="T5" s="233" t="s">
        <v>4053</v>
      </c>
      <c r="U5" s="234" t="s">
        <v>4058</v>
      </c>
      <c r="V5" s="233" t="s">
        <v>4052</v>
      </c>
      <c r="W5" s="233" t="s">
        <v>4052</v>
      </c>
      <c r="X5" s="234" t="s">
        <v>4054</v>
      </c>
      <c r="Y5" s="234"/>
      <c r="Z5" s="234" t="s">
        <v>4072</v>
      </c>
      <c r="AA5" s="224">
        <v>202409</v>
      </c>
      <c r="AB5" s="243"/>
      <c r="AC5" s="233" t="s">
        <v>4057</v>
      </c>
      <c r="AD5" s="244" t="s">
        <v>4056</v>
      </c>
      <c r="AE5" s="245">
        <v>0</v>
      </c>
      <c r="AF5" s="244" t="s">
        <v>4056</v>
      </c>
      <c r="AG5" s="239" t="s">
        <v>4434</v>
      </c>
      <c r="AH5" s="9" t="s">
        <v>4433</v>
      </c>
      <c r="AI5" s="235" t="s">
        <v>4054</v>
      </c>
      <c r="AJ5" s="235" t="s">
        <v>4054</v>
      </c>
      <c r="AK5" s="235" t="s">
        <v>4055</v>
      </c>
      <c r="AL5" s="10"/>
    </row>
    <row r="6" spans="1:39" x14ac:dyDescent="0.3">
      <c r="A6" s="229" t="s">
        <v>235</v>
      </c>
      <c r="B6" s="229" t="s">
        <v>4441</v>
      </c>
      <c r="C6" s="241" t="s">
        <v>4061</v>
      </c>
      <c r="D6" s="237" t="s">
        <v>4186</v>
      </c>
      <c r="E6" s="236" t="s">
        <v>3883</v>
      </c>
      <c r="F6" s="240" t="s">
        <v>4060</v>
      </c>
      <c r="G6" s="214">
        <v>0</v>
      </c>
      <c r="H6" s="231" t="s">
        <v>4054</v>
      </c>
      <c r="I6" s="231"/>
      <c r="J6" s="231"/>
      <c r="K6" s="231"/>
      <c r="L6" s="231"/>
      <c r="M6" s="231"/>
      <c r="N6" s="231" t="s">
        <v>4074</v>
      </c>
      <c r="O6" s="246" t="s">
        <v>4438</v>
      </c>
      <c r="P6" s="246" t="s">
        <v>4438</v>
      </c>
      <c r="Q6" s="225" t="s">
        <v>4438</v>
      </c>
      <c r="R6" s="212" t="s">
        <v>3884</v>
      </c>
      <c r="S6" s="213" t="s">
        <v>4509</v>
      </c>
      <c r="T6" s="233" t="s">
        <v>4053</v>
      </c>
      <c r="U6" s="234" t="s">
        <v>4531</v>
      </c>
      <c r="V6" s="233" t="s">
        <v>4052</v>
      </c>
      <c r="W6" s="233" t="s">
        <v>4052</v>
      </c>
      <c r="X6" s="234" t="s">
        <v>4054</v>
      </c>
      <c r="Y6" s="234"/>
      <c r="Z6" s="234" t="s">
        <v>4072</v>
      </c>
      <c r="AA6" s="224">
        <v>202409</v>
      </c>
      <c r="AB6" s="243"/>
      <c r="AC6" s="233" t="s">
        <v>4057</v>
      </c>
      <c r="AD6" s="244" t="s">
        <v>4056</v>
      </c>
      <c r="AE6" s="245">
        <v>0</v>
      </c>
      <c r="AF6" s="244" t="s">
        <v>4056</v>
      </c>
      <c r="AG6" s="239" t="s">
        <v>4434</v>
      </c>
      <c r="AH6" s="9" t="s">
        <v>4433</v>
      </c>
      <c r="AI6" s="235" t="s">
        <v>4054</v>
      </c>
      <c r="AJ6" s="235" t="s">
        <v>4054</v>
      </c>
      <c r="AK6" s="235" t="s">
        <v>4055</v>
      </c>
      <c r="AL6" s="10"/>
    </row>
    <row r="7" spans="1:39" x14ac:dyDescent="0.3">
      <c r="A7" s="229" t="s">
        <v>235</v>
      </c>
      <c r="B7" s="229" t="s">
        <v>4441</v>
      </c>
      <c r="C7" s="241" t="s">
        <v>4061</v>
      </c>
      <c r="D7" s="237" t="s">
        <v>4508</v>
      </c>
      <c r="E7" s="236" t="s">
        <v>4507</v>
      </c>
      <c r="F7" s="240" t="s">
        <v>4060</v>
      </c>
      <c r="G7" s="214">
        <v>0</v>
      </c>
      <c r="H7" s="231" t="s">
        <v>4054</v>
      </c>
      <c r="I7" s="231"/>
      <c r="J7" s="231"/>
      <c r="K7" s="231"/>
      <c r="L7" s="231"/>
      <c r="M7" s="231"/>
      <c r="N7" s="231" t="s">
        <v>4074</v>
      </c>
      <c r="O7" s="246" t="s">
        <v>4438</v>
      </c>
      <c r="P7" s="246" t="s">
        <v>4437</v>
      </c>
      <c r="Q7" s="225" t="s">
        <v>4438</v>
      </c>
      <c r="R7" s="212" t="s">
        <v>4506</v>
      </c>
      <c r="S7" s="213" t="s">
        <v>4505</v>
      </c>
      <c r="T7" s="233" t="s">
        <v>4053</v>
      </c>
      <c r="U7" s="234" t="s">
        <v>4058</v>
      </c>
      <c r="V7" s="233" t="s">
        <v>4052</v>
      </c>
      <c r="W7" s="233" t="s">
        <v>4052</v>
      </c>
      <c r="X7" s="234" t="s">
        <v>4054</v>
      </c>
      <c r="Y7" s="234"/>
      <c r="Z7" s="234" t="s">
        <v>4072</v>
      </c>
      <c r="AA7" s="224">
        <v>202409</v>
      </c>
      <c r="AB7" s="243"/>
      <c r="AC7" s="233" t="s">
        <v>4057</v>
      </c>
      <c r="AD7" s="244" t="s">
        <v>4056</v>
      </c>
      <c r="AE7" s="245">
        <v>0</v>
      </c>
      <c r="AF7" s="244" t="s">
        <v>4056</v>
      </c>
      <c r="AG7" s="239" t="s">
        <v>4434</v>
      </c>
      <c r="AH7" s="9" t="s">
        <v>4528</v>
      </c>
      <c r="AI7" s="235" t="s">
        <v>4054</v>
      </c>
      <c r="AJ7" s="235" t="s">
        <v>4054</v>
      </c>
      <c r="AK7" s="235" t="s">
        <v>4055</v>
      </c>
      <c r="AL7" s="10"/>
    </row>
    <row r="8" spans="1:39" x14ac:dyDescent="0.3">
      <c r="A8" s="229" t="s">
        <v>235</v>
      </c>
      <c r="B8" s="229" t="s">
        <v>4441</v>
      </c>
      <c r="C8" s="241" t="s">
        <v>4061</v>
      </c>
      <c r="D8" s="237" t="s">
        <v>4504</v>
      </c>
      <c r="E8" s="236" t="s">
        <v>4038</v>
      </c>
      <c r="F8" s="240" t="s">
        <v>4060</v>
      </c>
      <c r="G8" s="214">
        <v>0</v>
      </c>
      <c r="H8" s="231" t="s">
        <v>4054</v>
      </c>
      <c r="I8" s="231"/>
      <c r="J8" s="231"/>
      <c r="K8" s="231"/>
      <c r="L8" s="231"/>
      <c r="M8" s="231"/>
      <c r="N8" s="231" t="s">
        <v>4074</v>
      </c>
      <c r="O8" s="246" t="s">
        <v>4438</v>
      </c>
      <c r="P8" s="246" t="s">
        <v>4438</v>
      </c>
      <c r="Q8" s="225" t="s">
        <v>4438</v>
      </c>
      <c r="R8" s="212" t="s">
        <v>4039</v>
      </c>
      <c r="S8" s="213" t="s">
        <v>4503</v>
      </c>
      <c r="T8" s="233" t="s">
        <v>4053</v>
      </c>
      <c r="U8" s="234" t="s">
        <v>4058</v>
      </c>
      <c r="V8" s="233" t="s">
        <v>4532</v>
      </c>
      <c r="W8" s="233" t="s">
        <v>4052</v>
      </c>
      <c r="X8" s="234" t="s">
        <v>4054</v>
      </c>
      <c r="Y8" s="234"/>
      <c r="Z8" s="234" t="s">
        <v>4072</v>
      </c>
      <c r="AA8" s="224">
        <v>202409</v>
      </c>
      <c r="AB8" s="243"/>
      <c r="AC8" s="233" t="s">
        <v>4057</v>
      </c>
      <c r="AD8" s="244" t="s">
        <v>4056</v>
      </c>
      <c r="AE8" s="245">
        <v>0</v>
      </c>
      <c r="AF8" s="244" t="s">
        <v>4056</v>
      </c>
      <c r="AG8" s="239" t="s">
        <v>4434</v>
      </c>
      <c r="AH8" s="9" t="s">
        <v>4433</v>
      </c>
      <c r="AI8" s="235" t="s">
        <v>4054</v>
      </c>
      <c r="AJ8" s="235" t="s">
        <v>4054</v>
      </c>
      <c r="AK8" s="235" t="s">
        <v>4055</v>
      </c>
      <c r="AL8" s="10"/>
    </row>
    <row r="9" spans="1:39" x14ac:dyDescent="0.3">
      <c r="A9" s="229" t="s">
        <v>235</v>
      </c>
      <c r="B9" s="229" t="s">
        <v>4441</v>
      </c>
      <c r="C9" s="241" t="s">
        <v>4061</v>
      </c>
      <c r="D9" s="237" t="s">
        <v>4502</v>
      </c>
      <c r="E9" s="236" t="s">
        <v>4501</v>
      </c>
      <c r="F9" s="240" t="s">
        <v>4060</v>
      </c>
      <c r="G9" s="214">
        <v>0</v>
      </c>
      <c r="H9" s="231" t="s">
        <v>4525</v>
      </c>
      <c r="I9" s="231"/>
      <c r="J9" s="231"/>
      <c r="K9" s="231"/>
      <c r="L9" s="231"/>
      <c r="M9" s="231"/>
      <c r="N9" s="231" t="s">
        <v>4074</v>
      </c>
      <c r="O9" s="246" t="s">
        <v>4438</v>
      </c>
      <c r="P9" s="246" t="s">
        <v>4438</v>
      </c>
      <c r="Q9" s="225" t="s">
        <v>4438</v>
      </c>
      <c r="R9" s="212" t="s">
        <v>4500</v>
      </c>
      <c r="S9" s="213" t="s">
        <v>4499</v>
      </c>
      <c r="T9" s="233" t="s">
        <v>4053</v>
      </c>
      <c r="U9" s="234" t="s">
        <v>4058</v>
      </c>
      <c r="V9" s="233" t="s">
        <v>4052</v>
      </c>
      <c r="W9" s="233" t="s">
        <v>4532</v>
      </c>
      <c r="X9" s="234" t="s">
        <v>4054</v>
      </c>
      <c r="Y9" s="234"/>
      <c r="Z9" s="234" t="s">
        <v>4072</v>
      </c>
      <c r="AA9" s="224">
        <v>202409</v>
      </c>
      <c r="AB9" s="243"/>
      <c r="AC9" s="233" t="s">
        <v>4057</v>
      </c>
      <c r="AD9" s="244" t="s">
        <v>4056</v>
      </c>
      <c r="AE9" s="245">
        <v>0</v>
      </c>
      <c r="AF9" s="244" t="s">
        <v>4056</v>
      </c>
      <c r="AG9" s="239" t="s">
        <v>4434</v>
      </c>
      <c r="AH9" s="9" t="s">
        <v>4433</v>
      </c>
      <c r="AI9" s="235" t="s">
        <v>4522</v>
      </c>
      <c r="AJ9" s="235" t="s">
        <v>4054</v>
      </c>
      <c r="AK9" s="235" t="s">
        <v>4055</v>
      </c>
      <c r="AL9" s="10"/>
      <c r="AM9" s="198"/>
    </row>
    <row r="10" spans="1:39" x14ac:dyDescent="0.3">
      <c r="A10" s="229" t="s">
        <v>235</v>
      </c>
      <c r="B10" s="229" t="s">
        <v>4441</v>
      </c>
      <c r="C10" s="241" t="s">
        <v>4061</v>
      </c>
      <c r="D10" s="237" t="s">
        <v>4498</v>
      </c>
      <c r="E10" s="236" t="s">
        <v>4497</v>
      </c>
      <c r="F10" s="240" t="s">
        <v>4060</v>
      </c>
      <c r="G10" s="214">
        <v>0</v>
      </c>
      <c r="H10" s="231" t="s">
        <v>4054</v>
      </c>
      <c r="I10" s="231"/>
      <c r="J10" s="231"/>
      <c r="K10" s="231"/>
      <c r="L10" s="231"/>
      <c r="M10" s="231"/>
      <c r="N10" s="231" t="s">
        <v>4074</v>
      </c>
      <c r="O10" s="246" t="s">
        <v>4438</v>
      </c>
      <c r="P10" s="246" t="s">
        <v>4533</v>
      </c>
      <c r="Q10" s="225" t="s">
        <v>4438</v>
      </c>
      <c r="R10" s="212" t="s">
        <v>4496</v>
      </c>
      <c r="S10" s="213" t="s">
        <v>4495</v>
      </c>
      <c r="T10" s="233" t="s">
        <v>4053</v>
      </c>
      <c r="U10" s="234" t="s">
        <v>4058</v>
      </c>
      <c r="V10" s="233" t="s">
        <v>4052</v>
      </c>
      <c r="W10" s="233" t="s">
        <v>4052</v>
      </c>
      <c r="X10" s="234" t="s">
        <v>4054</v>
      </c>
      <c r="Y10" s="234"/>
      <c r="Z10" s="234" t="s">
        <v>4072</v>
      </c>
      <c r="AA10" s="224">
        <v>202409</v>
      </c>
      <c r="AB10" s="243"/>
      <c r="AC10" s="233" t="s">
        <v>4057</v>
      </c>
      <c r="AD10" s="244" t="s">
        <v>4056</v>
      </c>
      <c r="AE10" s="245">
        <v>0</v>
      </c>
      <c r="AF10" s="244" t="s">
        <v>4056</v>
      </c>
      <c r="AG10" s="239" t="s">
        <v>4434</v>
      </c>
      <c r="AH10" s="9" t="s">
        <v>4433</v>
      </c>
      <c r="AI10" s="235" t="s">
        <v>4522</v>
      </c>
      <c r="AJ10" s="235" t="s">
        <v>4054</v>
      </c>
      <c r="AK10" s="235" t="s">
        <v>4055</v>
      </c>
      <c r="AL10" s="10"/>
      <c r="AM10" s="198"/>
    </row>
    <row r="11" spans="1:39" x14ac:dyDescent="0.3">
      <c r="A11" s="229" t="s">
        <v>235</v>
      </c>
      <c r="B11" s="229" t="s">
        <v>4441</v>
      </c>
      <c r="C11" s="241" t="s">
        <v>4061</v>
      </c>
      <c r="D11" s="237" t="s">
        <v>4494</v>
      </c>
      <c r="E11" s="236" t="s">
        <v>4493</v>
      </c>
      <c r="F11" s="240" t="s">
        <v>4060</v>
      </c>
      <c r="G11" s="214">
        <v>0</v>
      </c>
      <c r="H11" s="231" t="s">
        <v>4054</v>
      </c>
      <c r="I11" s="231"/>
      <c r="J11" s="231"/>
      <c r="K11" s="231"/>
      <c r="L11" s="231"/>
      <c r="M11" s="231"/>
      <c r="N11" s="231" t="s">
        <v>4074</v>
      </c>
      <c r="O11" s="246" t="s">
        <v>4438</v>
      </c>
      <c r="P11" s="246" t="s">
        <v>4438</v>
      </c>
      <c r="Q11" s="225" t="s">
        <v>4438</v>
      </c>
      <c r="R11" s="212" t="s">
        <v>4492</v>
      </c>
      <c r="S11" s="213" t="s">
        <v>4491</v>
      </c>
      <c r="T11" s="233" t="s">
        <v>4053</v>
      </c>
      <c r="U11" s="234" t="s">
        <v>4058</v>
      </c>
      <c r="V11" s="233" t="s">
        <v>4052</v>
      </c>
      <c r="W11" s="233" t="s">
        <v>4052</v>
      </c>
      <c r="X11" s="234" t="s">
        <v>4054</v>
      </c>
      <c r="Y11" s="234"/>
      <c r="Z11" s="234" t="s">
        <v>4072</v>
      </c>
      <c r="AA11" s="224">
        <v>202409</v>
      </c>
      <c r="AB11" s="243"/>
      <c r="AC11" s="233" t="s">
        <v>4057</v>
      </c>
      <c r="AD11" s="244" t="s">
        <v>4056</v>
      </c>
      <c r="AE11" s="245">
        <v>0</v>
      </c>
      <c r="AF11" s="244" t="s">
        <v>4056</v>
      </c>
      <c r="AG11" s="239" t="s">
        <v>4434</v>
      </c>
      <c r="AH11" s="9" t="s">
        <v>4433</v>
      </c>
      <c r="AI11" s="235" t="s">
        <v>4054</v>
      </c>
      <c r="AJ11" s="235" t="s">
        <v>4054</v>
      </c>
      <c r="AK11" s="235" t="s">
        <v>4055</v>
      </c>
    </row>
    <row r="12" spans="1:39" x14ac:dyDescent="0.3">
      <c r="A12" s="229" t="s">
        <v>235</v>
      </c>
      <c r="B12" s="229" t="s">
        <v>4441</v>
      </c>
      <c r="C12" s="241" t="s">
        <v>4061</v>
      </c>
      <c r="D12" s="237" t="s">
        <v>4534</v>
      </c>
      <c r="E12" s="236" t="s">
        <v>3859</v>
      </c>
      <c r="F12" s="240" t="s">
        <v>4060</v>
      </c>
      <c r="G12" s="214">
        <v>0</v>
      </c>
      <c r="H12" s="231" t="s">
        <v>4054</v>
      </c>
      <c r="I12" s="231"/>
      <c r="J12" s="231"/>
      <c r="K12" s="231"/>
      <c r="L12" s="231"/>
      <c r="M12" s="231"/>
      <c r="N12" s="231" t="s">
        <v>4074</v>
      </c>
      <c r="O12" s="246" t="s">
        <v>4438</v>
      </c>
      <c r="P12" s="246" t="s">
        <v>4438</v>
      </c>
      <c r="Q12" s="225" t="s">
        <v>4438</v>
      </c>
      <c r="R12" s="212" t="s">
        <v>3860</v>
      </c>
      <c r="S12" s="213" t="s">
        <v>4490</v>
      </c>
      <c r="T12" s="233" t="s">
        <v>4053</v>
      </c>
      <c r="U12" s="234" t="s">
        <v>4058</v>
      </c>
      <c r="V12" s="233" t="s">
        <v>4052</v>
      </c>
      <c r="W12" s="233" t="s">
        <v>4052</v>
      </c>
      <c r="X12" s="234" t="s">
        <v>4054</v>
      </c>
      <c r="Y12" s="234"/>
      <c r="Z12" s="234" t="s">
        <v>4072</v>
      </c>
      <c r="AA12" s="224">
        <v>202409</v>
      </c>
      <c r="AB12" s="243"/>
      <c r="AC12" s="233" t="s">
        <v>4057</v>
      </c>
      <c r="AD12" s="244" t="s">
        <v>4056</v>
      </c>
      <c r="AE12" s="245">
        <v>0</v>
      </c>
      <c r="AF12" s="244" t="s">
        <v>4056</v>
      </c>
      <c r="AG12" s="239" t="s">
        <v>4434</v>
      </c>
      <c r="AH12" s="9" t="s">
        <v>4433</v>
      </c>
      <c r="AI12" s="235" t="s">
        <v>4054</v>
      </c>
      <c r="AJ12" s="235" t="s">
        <v>3527</v>
      </c>
      <c r="AK12" s="235" t="s">
        <v>4055</v>
      </c>
    </row>
    <row r="13" spans="1:39" x14ac:dyDescent="0.3">
      <c r="A13" s="229" t="s">
        <v>235</v>
      </c>
      <c r="B13" s="229" t="s">
        <v>4441</v>
      </c>
      <c r="C13" s="241" t="s">
        <v>4061</v>
      </c>
      <c r="D13" s="237" t="s">
        <v>4489</v>
      </c>
      <c r="E13" s="236" t="s">
        <v>3855</v>
      </c>
      <c r="F13" s="240" t="s">
        <v>4060</v>
      </c>
      <c r="G13" s="214">
        <v>0</v>
      </c>
      <c r="H13" s="231" t="s">
        <v>4054</v>
      </c>
      <c r="I13" s="231"/>
      <c r="J13" s="231"/>
      <c r="K13" s="231"/>
      <c r="L13" s="231"/>
      <c r="M13" s="231"/>
      <c r="N13" s="231" t="s">
        <v>4074</v>
      </c>
      <c r="O13" s="246" t="s">
        <v>4438</v>
      </c>
      <c r="P13" s="246" t="s">
        <v>4438</v>
      </c>
      <c r="Q13" s="225" t="s">
        <v>4438</v>
      </c>
      <c r="R13" s="212" t="s">
        <v>3856</v>
      </c>
      <c r="S13" s="213" t="s">
        <v>4488</v>
      </c>
      <c r="T13" s="233" t="s">
        <v>4053</v>
      </c>
      <c r="U13" s="234" t="s">
        <v>4058</v>
      </c>
      <c r="V13" s="233" t="s">
        <v>4052</v>
      </c>
      <c r="W13" s="233" t="s">
        <v>4052</v>
      </c>
      <c r="X13" s="234" t="s">
        <v>4054</v>
      </c>
      <c r="Y13" s="234"/>
      <c r="Z13" s="234" t="s">
        <v>4072</v>
      </c>
      <c r="AA13" s="224">
        <v>202409</v>
      </c>
      <c r="AB13" s="243"/>
      <c r="AC13" s="233" t="s">
        <v>4057</v>
      </c>
      <c r="AD13" s="244" t="s">
        <v>4056</v>
      </c>
      <c r="AE13" s="245">
        <v>0</v>
      </c>
      <c r="AF13" s="244" t="s">
        <v>4056</v>
      </c>
      <c r="AG13" s="239" t="s">
        <v>4434</v>
      </c>
      <c r="AH13" s="9" t="s">
        <v>4433</v>
      </c>
      <c r="AI13" s="235" t="s">
        <v>4054</v>
      </c>
      <c r="AJ13" s="235" t="s">
        <v>4054</v>
      </c>
      <c r="AK13" s="235" t="s">
        <v>4055</v>
      </c>
    </row>
    <row r="14" spans="1:39" x14ac:dyDescent="0.3">
      <c r="A14" s="229" t="s">
        <v>235</v>
      </c>
      <c r="B14" s="229" t="s">
        <v>4441</v>
      </c>
      <c r="C14" s="241" t="s">
        <v>4061</v>
      </c>
      <c r="D14" s="237" t="s">
        <v>4088</v>
      </c>
      <c r="E14" s="236" t="s">
        <v>3857</v>
      </c>
      <c r="F14" s="240" t="s">
        <v>4060</v>
      </c>
      <c r="G14" s="214">
        <v>0</v>
      </c>
      <c r="H14" s="231" t="s">
        <v>4054</v>
      </c>
      <c r="I14" s="231"/>
      <c r="J14" s="231"/>
      <c r="K14" s="231"/>
      <c r="L14" s="231"/>
      <c r="M14" s="231"/>
      <c r="N14" s="231" t="s">
        <v>4074</v>
      </c>
      <c r="O14" s="246" t="s">
        <v>4438</v>
      </c>
      <c r="P14" s="246" t="s">
        <v>4438</v>
      </c>
      <c r="Q14" s="225" t="s">
        <v>4438</v>
      </c>
      <c r="R14" s="212" t="s">
        <v>3858</v>
      </c>
      <c r="S14" s="213" t="s">
        <v>4487</v>
      </c>
      <c r="T14" s="233" t="s">
        <v>4053</v>
      </c>
      <c r="U14" s="234" t="s">
        <v>4058</v>
      </c>
      <c r="V14" s="233" t="s">
        <v>4052</v>
      </c>
      <c r="W14" s="233" t="s">
        <v>4052</v>
      </c>
      <c r="X14" s="234" t="s">
        <v>4054</v>
      </c>
      <c r="Y14" s="234"/>
      <c r="Z14" s="234" t="s">
        <v>4072</v>
      </c>
      <c r="AA14" s="224">
        <v>202409</v>
      </c>
      <c r="AB14" s="243"/>
      <c r="AC14" s="233" t="s">
        <v>4057</v>
      </c>
      <c r="AD14" s="244" t="s">
        <v>4056</v>
      </c>
      <c r="AE14" s="245">
        <v>0</v>
      </c>
      <c r="AF14" s="244" t="s">
        <v>4056</v>
      </c>
      <c r="AG14" s="239" t="s">
        <v>4434</v>
      </c>
      <c r="AH14" s="9" t="s">
        <v>4433</v>
      </c>
      <c r="AI14" s="235" t="s">
        <v>4054</v>
      </c>
      <c r="AJ14" s="235" t="s">
        <v>4054</v>
      </c>
      <c r="AK14" s="235" t="s">
        <v>4055</v>
      </c>
    </row>
    <row r="15" spans="1:39" x14ac:dyDescent="0.3">
      <c r="A15" s="229" t="s">
        <v>235</v>
      </c>
      <c r="B15" s="229" t="s">
        <v>4441</v>
      </c>
      <c r="C15" s="241" t="s">
        <v>4061</v>
      </c>
      <c r="D15" s="237" t="s">
        <v>4111</v>
      </c>
      <c r="E15" s="236" t="s">
        <v>3963</v>
      </c>
      <c r="F15" s="240" t="s">
        <v>4060</v>
      </c>
      <c r="G15" s="214">
        <v>0</v>
      </c>
      <c r="H15" s="231" t="s">
        <v>4054</v>
      </c>
      <c r="I15" s="231"/>
      <c r="J15" s="231"/>
      <c r="K15" s="231"/>
      <c r="L15" s="231"/>
      <c r="M15" s="231"/>
      <c r="N15" s="231" t="s">
        <v>4074</v>
      </c>
      <c r="O15" s="246" t="s">
        <v>4438</v>
      </c>
      <c r="P15" s="246" t="s">
        <v>4438</v>
      </c>
      <c r="Q15" s="225" t="s">
        <v>4438</v>
      </c>
      <c r="R15" s="212" t="s">
        <v>3964</v>
      </c>
      <c r="S15" s="213" t="s">
        <v>4486</v>
      </c>
      <c r="T15" s="233" t="s">
        <v>4053</v>
      </c>
      <c r="U15" s="234" t="s">
        <v>4058</v>
      </c>
      <c r="V15" s="233" t="s">
        <v>4052</v>
      </c>
      <c r="W15" s="233" t="s">
        <v>4052</v>
      </c>
      <c r="X15" s="234" t="s">
        <v>4054</v>
      </c>
      <c r="Y15" s="234"/>
      <c r="Z15" s="234" t="s">
        <v>4072</v>
      </c>
      <c r="AA15" s="224">
        <v>202409</v>
      </c>
      <c r="AB15" s="243"/>
      <c r="AC15" s="233" t="s">
        <v>4057</v>
      </c>
      <c r="AD15" s="244" t="s">
        <v>4056</v>
      </c>
      <c r="AE15" s="245">
        <v>0</v>
      </c>
      <c r="AF15" s="244" t="s">
        <v>4056</v>
      </c>
      <c r="AG15" s="239" t="s">
        <v>4434</v>
      </c>
      <c r="AH15" s="9" t="s">
        <v>4433</v>
      </c>
      <c r="AI15" s="235" t="s">
        <v>4054</v>
      </c>
      <c r="AJ15" s="235" t="s">
        <v>4054</v>
      </c>
      <c r="AK15" s="235" t="s">
        <v>4055</v>
      </c>
    </row>
    <row r="16" spans="1:39" x14ac:dyDescent="0.3">
      <c r="A16" s="229" t="s">
        <v>235</v>
      </c>
      <c r="B16" s="229" t="s">
        <v>4441</v>
      </c>
      <c r="C16" s="241" t="s">
        <v>4061</v>
      </c>
      <c r="D16" s="237" t="s">
        <v>4082</v>
      </c>
      <c r="E16" s="236" t="s">
        <v>3665</v>
      </c>
      <c r="F16" s="240" t="s">
        <v>4060</v>
      </c>
      <c r="G16" s="214">
        <v>0</v>
      </c>
      <c r="H16" s="231" t="s">
        <v>4054</v>
      </c>
      <c r="I16" s="231"/>
      <c r="J16" s="231"/>
      <c r="K16" s="231"/>
      <c r="L16" s="231"/>
      <c r="M16" s="231"/>
      <c r="N16" s="231" t="s">
        <v>4074</v>
      </c>
      <c r="O16" s="246" t="s">
        <v>4438</v>
      </c>
      <c r="P16" s="246" t="s">
        <v>4438</v>
      </c>
      <c r="Q16" s="225" t="s">
        <v>4438</v>
      </c>
      <c r="R16" s="212" t="s">
        <v>3732</v>
      </c>
      <c r="S16" s="213" t="s">
        <v>4485</v>
      </c>
      <c r="T16" s="233" t="s">
        <v>4053</v>
      </c>
      <c r="U16" s="234" t="s">
        <v>4058</v>
      </c>
      <c r="V16" s="233" t="s">
        <v>4052</v>
      </c>
      <c r="W16" s="233" t="s">
        <v>4052</v>
      </c>
      <c r="X16" s="234" t="s">
        <v>4054</v>
      </c>
      <c r="Y16" s="234"/>
      <c r="Z16" s="234" t="s">
        <v>4072</v>
      </c>
      <c r="AA16" s="224">
        <v>202409</v>
      </c>
      <c r="AB16" s="243"/>
      <c r="AC16" s="233" t="s">
        <v>4057</v>
      </c>
      <c r="AD16" s="244" t="s">
        <v>4056</v>
      </c>
      <c r="AE16" s="245">
        <v>0</v>
      </c>
      <c r="AF16" s="244" t="s">
        <v>4056</v>
      </c>
      <c r="AG16" s="239" t="s">
        <v>4434</v>
      </c>
      <c r="AH16" s="9" t="s">
        <v>4433</v>
      </c>
      <c r="AI16" s="235" t="s">
        <v>4054</v>
      </c>
      <c r="AJ16" s="235" t="s">
        <v>4054</v>
      </c>
      <c r="AK16" s="235" t="s">
        <v>4055</v>
      </c>
    </row>
    <row r="17" spans="1:38" x14ac:dyDescent="0.3">
      <c r="A17" s="229" t="s">
        <v>235</v>
      </c>
      <c r="B17" s="229" t="s">
        <v>4441</v>
      </c>
      <c r="C17" s="241" t="s">
        <v>4061</v>
      </c>
      <c r="D17" s="237" t="s">
        <v>4081</v>
      </c>
      <c r="E17" s="236" t="s">
        <v>3666</v>
      </c>
      <c r="F17" s="240" t="s">
        <v>4060</v>
      </c>
      <c r="G17" s="214">
        <v>0</v>
      </c>
      <c r="H17" s="231" t="s">
        <v>4054</v>
      </c>
      <c r="I17" s="231"/>
      <c r="J17" s="231"/>
      <c r="K17" s="231"/>
      <c r="L17" s="231"/>
      <c r="M17" s="231"/>
      <c r="N17" s="231" t="s">
        <v>4074</v>
      </c>
      <c r="O17" s="246" t="s">
        <v>4438</v>
      </c>
      <c r="P17" s="246" t="s">
        <v>4438</v>
      </c>
      <c r="Q17" s="225" t="s">
        <v>4438</v>
      </c>
      <c r="R17" s="212" t="s">
        <v>3733</v>
      </c>
      <c r="S17" s="213" t="s">
        <v>4484</v>
      </c>
      <c r="T17" s="233" t="s">
        <v>4053</v>
      </c>
      <c r="U17" s="234" t="s">
        <v>4058</v>
      </c>
      <c r="V17" s="233" t="s">
        <v>4052</v>
      </c>
      <c r="W17" s="233" t="s">
        <v>4052</v>
      </c>
      <c r="X17" s="234" t="s">
        <v>4054</v>
      </c>
      <c r="Y17" s="234"/>
      <c r="Z17" s="234" t="s">
        <v>4072</v>
      </c>
      <c r="AA17" s="224">
        <v>202409</v>
      </c>
      <c r="AB17" s="243"/>
      <c r="AC17" s="233" t="s">
        <v>4057</v>
      </c>
      <c r="AD17" s="244" t="s">
        <v>4056</v>
      </c>
      <c r="AE17" s="245">
        <v>0</v>
      </c>
      <c r="AF17" s="244" t="s">
        <v>4056</v>
      </c>
      <c r="AG17" s="239" t="s">
        <v>4434</v>
      </c>
      <c r="AH17" s="9" t="s">
        <v>4433</v>
      </c>
      <c r="AI17" s="235" t="s">
        <v>4054</v>
      </c>
      <c r="AJ17" s="235" t="s">
        <v>4054</v>
      </c>
      <c r="AK17" s="235" t="s">
        <v>4055</v>
      </c>
    </row>
    <row r="18" spans="1:38" x14ac:dyDescent="0.3">
      <c r="A18" s="229" t="s">
        <v>235</v>
      </c>
      <c r="B18" s="229" t="s">
        <v>4441</v>
      </c>
      <c r="C18" s="241" t="s">
        <v>4061</v>
      </c>
      <c r="D18" s="237" t="s">
        <v>4483</v>
      </c>
      <c r="E18" s="236" t="s">
        <v>3891</v>
      </c>
      <c r="F18" s="240" t="s">
        <v>4060</v>
      </c>
      <c r="G18" s="214">
        <v>0</v>
      </c>
      <c r="H18" s="231" t="s">
        <v>4054</v>
      </c>
      <c r="I18" s="231"/>
      <c r="J18" s="231"/>
      <c r="K18" s="231"/>
      <c r="L18" s="231"/>
      <c r="M18" s="231"/>
      <c r="N18" s="231" t="s">
        <v>4074</v>
      </c>
      <c r="O18" s="246" t="s">
        <v>4438</v>
      </c>
      <c r="P18" s="246" t="s">
        <v>4438</v>
      </c>
      <c r="Q18" s="225" t="s">
        <v>4438</v>
      </c>
      <c r="R18" s="212" t="s">
        <v>3892</v>
      </c>
      <c r="S18" s="213" t="s">
        <v>4482</v>
      </c>
      <c r="T18" s="233" t="s">
        <v>4053</v>
      </c>
      <c r="U18" s="234" t="s">
        <v>4058</v>
      </c>
      <c r="V18" s="233" t="s">
        <v>4052</v>
      </c>
      <c r="W18" s="233" t="s">
        <v>4052</v>
      </c>
      <c r="X18" s="234" t="s">
        <v>4054</v>
      </c>
      <c r="Y18" s="234"/>
      <c r="Z18" s="234" t="s">
        <v>4072</v>
      </c>
      <c r="AA18" s="224">
        <v>202409</v>
      </c>
      <c r="AB18" s="243"/>
      <c r="AC18" s="233" t="s">
        <v>4057</v>
      </c>
      <c r="AD18" s="244" t="s">
        <v>4056</v>
      </c>
      <c r="AE18" s="245">
        <v>0</v>
      </c>
      <c r="AF18" s="244" t="s">
        <v>4056</v>
      </c>
      <c r="AG18" s="239" t="s">
        <v>4434</v>
      </c>
      <c r="AH18" s="9" t="s">
        <v>4433</v>
      </c>
      <c r="AI18" s="235" t="s">
        <v>4054</v>
      </c>
      <c r="AJ18" s="235" t="s">
        <v>4054</v>
      </c>
      <c r="AK18" s="235" t="s">
        <v>4055</v>
      </c>
    </row>
    <row r="19" spans="1:38" s="198" customFormat="1" x14ac:dyDescent="0.3">
      <c r="A19" s="229" t="s">
        <v>235</v>
      </c>
      <c r="B19" s="229" t="s">
        <v>4441</v>
      </c>
      <c r="C19" s="241" t="s">
        <v>4061</v>
      </c>
      <c r="D19" s="237" t="s">
        <v>4481</v>
      </c>
      <c r="E19" s="236" t="s">
        <v>3936</v>
      </c>
      <c r="F19" s="240" t="s">
        <v>4060</v>
      </c>
      <c r="G19" s="214">
        <v>0</v>
      </c>
      <c r="H19" s="231" t="s">
        <v>4054</v>
      </c>
      <c r="I19" s="231"/>
      <c r="J19" s="231"/>
      <c r="K19" s="231"/>
      <c r="L19" s="231"/>
      <c r="M19" s="231"/>
      <c r="N19" s="231" t="s">
        <v>4074</v>
      </c>
      <c r="O19" s="246" t="s">
        <v>4438</v>
      </c>
      <c r="P19" s="246" t="s">
        <v>4438</v>
      </c>
      <c r="Q19" s="225" t="s">
        <v>4438</v>
      </c>
      <c r="R19" s="212" t="s">
        <v>3937</v>
      </c>
      <c r="S19" s="213" t="s">
        <v>4480</v>
      </c>
      <c r="T19" s="233" t="s">
        <v>4053</v>
      </c>
      <c r="U19" s="234" t="s">
        <v>4058</v>
      </c>
      <c r="V19" s="233" t="s">
        <v>4052</v>
      </c>
      <c r="W19" s="233" t="s">
        <v>4052</v>
      </c>
      <c r="X19" s="234" t="s">
        <v>4054</v>
      </c>
      <c r="Y19" s="234"/>
      <c r="Z19" s="234" t="s">
        <v>4072</v>
      </c>
      <c r="AA19" s="224">
        <v>202409</v>
      </c>
      <c r="AB19" s="243"/>
      <c r="AC19" s="233" t="s">
        <v>4057</v>
      </c>
      <c r="AD19" s="244" t="s">
        <v>4056</v>
      </c>
      <c r="AE19" s="245">
        <v>0</v>
      </c>
      <c r="AF19" s="244" t="s">
        <v>4056</v>
      </c>
      <c r="AG19" s="239" t="s">
        <v>4434</v>
      </c>
      <c r="AH19" s="9" t="s">
        <v>4433</v>
      </c>
      <c r="AI19" s="235" t="s">
        <v>4054</v>
      </c>
      <c r="AJ19" s="235" t="s">
        <v>4054</v>
      </c>
      <c r="AK19" s="235" t="s">
        <v>4055</v>
      </c>
      <c r="AL19" s="10"/>
    </row>
    <row r="20" spans="1:38" s="198" customFormat="1" x14ac:dyDescent="0.3">
      <c r="A20" s="229" t="s">
        <v>235</v>
      </c>
      <c r="B20" s="229" t="s">
        <v>4441</v>
      </c>
      <c r="C20" s="241" t="s">
        <v>4061</v>
      </c>
      <c r="D20" s="237" t="s">
        <v>4479</v>
      </c>
      <c r="E20" s="236" t="s">
        <v>3924</v>
      </c>
      <c r="F20" s="240" t="s">
        <v>4060</v>
      </c>
      <c r="G20" s="214">
        <v>0</v>
      </c>
      <c r="H20" s="231" t="s">
        <v>4054</v>
      </c>
      <c r="I20" s="231"/>
      <c r="J20" s="231"/>
      <c r="K20" s="231"/>
      <c r="L20" s="231"/>
      <c r="M20" s="231"/>
      <c r="N20" s="231" t="s">
        <v>4074</v>
      </c>
      <c r="O20" s="246" t="s">
        <v>4438</v>
      </c>
      <c r="P20" s="246" t="s">
        <v>4438</v>
      </c>
      <c r="Q20" s="225" t="s">
        <v>4438</v>
      </c>
      <c r="R20" s="212" t="s">
        <v>3925</v>
      </c>
      <c r="S20" s="213" t="s">
        <v>4478</v>
      </c>
      <c r="T20" s="233" t="s">
        <v>4053</v>
      </c>
      <c r="U20" s="234" t="s">
        <v>4058</v>
      </c>
      <c r="V20" s="233" t="s">
        <v>4052</v>
      </c>
      <c r="W20" s="233" t="s">
        <v>4052</v>
      </c>
      <c r="X20" s="234" t="s">
        <v>4054</v>
      </c>
      <c r="Y20" s="234"/>
      <c r="Z20" s="234" t="s">
        <v>4072</v>
      </c>
      <c r="AA20" s="224">
        <v>202409</v>
      </c>
      <c r="AB20" s="243"/>
      <c r="AC20" s="233" t="s">
        <v>4057</v>
      </c>
      <c r="AD20" s="244" t="s">
        <v>4056</v>
      </c>
      <c r="AE20" s="245">
        <v>0</v>
      </c>
      <c r="AF20" s="244" t="s">
        <v>4056</v>
      </c>
      <c r="AG20" s="239" t="s">
        <v>4434</v>
      </c>
      <c r="AH20" s="9" t="s">
        <v>4433</v>
      </c>
      <c r="AI20" s="235" t="s">
        <v>4054</v>
      </c>
      <c r="AJ20" s="235" t="s">
        <v>4054</v>
      </c>
      <c r="AK20" s="235" t="s">
        <v>4055</v>
      </c>
      <c r="AL20" s="10"/>
    </row>
    <row r="21" spans="1:38" s="198" customFormat="1" x14ac:dyDescent="0.3">
      <c r="A21" s="229" t="s">
        <v>235</v>
      </c>
      <c r="B21" s="229" t="s">
        <v>4441</v>
      </c>
      <c r="C21" s="241" t="s">
        <v>4061</v>
      </c>
      <c r="D21" s="237" t="s">
        <v>4477</v>
      </c>
      <c r="E21" s="236" t="s">
        <v>4476</v>
      </c>
      <c r="F21" s="240" t="s">
        <v>4060</v>
      </c>
      <c r="G21" s="214">
        <v>0</v>
      </c>
      <c r="H21" s="231" t="s">
        <v>4054</v>
      </c>
      <c r="I21" s="231"/>
      <c r="J21" s="231"/>
      <c r="K21" s="231"/>
      <c r="L21" s="231"/>
      <c r="M21" s="231"/>
      <c r="N21" s="231" t="s">
        <v>4074</v>
      </c>
      <c r="O21" s="246" t="s">
        <v>4438</v>
      </c>
      <c r="P21" s="246" t="s">
        <v>4438</v>
      </c>
      <c r="Q21" s="225" t="s">
        <v>4438</v>
      </c>
      <c r="R21" s="212" t="s">
        <v>4475</v>
      </c>
      <c r="S21" s="213" t="s">
        <v>4474</v>
      </c>
      <c r="T21" s="233" t="s">
        <v>4053</v>
      </c>
      <c r="U21" s="234" t="s">
        <v>4058</v>
      </c>
      <c r="V21" s="233" t="s">
        <v>4052</v>
      </c>
      <c r="W21" s="233" t="s">
        <v>4052</v>
      </c>
      <c r="X21" s="234" t="s">
        <v>4054</v>
      </c>
      <c r="Y21" s="234"/>
      <c r="Z21" s="234" t="s">
        <v>4072</v>
      </c>
      <c r="AA21" s="224">
        <v>202409</v>
      </c>
      <c r="AB21" s="243"/>
      <c r="AC21" s="233" t="s">
        <v>4057</v>
      </c>
      <c r="AD21" s="244" t="s">
        <v>4056</v>
      </c>
      <c r="AE21" s="245">
        <v>0</v>
      </c>
      <c r="AF21" s="244" t="s">
        <v>4056</v>
      </c>
      <c r="AG21" s="239" t="s">
        <v>4434</v>
      </c>
      <c r="AH21" s="9" t="s">
        <v>4433</v>
      </c>
      <c r="AI21" s="235" t="s">
        <v>4054</v>
      </c>
      <c r="AJ21" s="235" t="s">
        <v>4054</v>
      </c>
      <c r="AK21" s="235" t="s">
        <v>4055</v>
      </c>
      <c r="AL21" s="10"/>
    </row>
    <row r="22" spans="1:38" s="198" customFormat="1" x14ac:dyDescent="0.3">
      <c r="A22" s="229" t="s">
        <v>235</v>
      </c>
      <c r="B22" s="229" t="s">
        <v>4441</v>
      </c>
      <c r="C22" s="241" t="s">
        <v>4061</v>
      </c>
      <c r="D22" s="237" t="s">
        <v>4185</v>
      </c>
      <c r="E22" s="236" t="s">
        <v>3786</v>
      </c>
      <c r="F22" s="240" t="s">
        <v>4060</v>
      </c>
      <c r="G22" s="214">
        <v>0</v>
      </c>
      <c r="H22" s="231" t="s">
        <v>4054</v>
      </c>
      <c r="I22" s="231"/>
      <c r="J22" s="231"/>
      <c r="K22" s="231"/>
      <c r="L22" s="231"/>
      <c r="M22" s="231"/>
      <c r="N22" s="231" t="s">
        <v>4074</v>
      </c>
      <c r="O22" s="246" t="s">
        <v>4438</v>
      </c>
      <c r="P22" s="246" t="s">
        <v>4438</v>
      </c>
      <c r="Q22" s="225" t="s">
        <v>4438</v>
      </c>
      <c r="R22" s="212" t="s">
        <v>3787</v>
      </c>
      <c r="S22" s="213" t="s">
        <v>4473</v>
      </c>
      <c r="T22" s="233" t="s">
        <v>4053</v>
      </c>
      <c r="U22" s="234" t="s">
        <v>4058</v>
      </c>
      <c r="V22" s="233" t="s">
        <v>4052</v>
      </c>
      <c r="W22" s="233" t="s">
        <v>4052</v>
      </c>
      <c r="X22" s="234" t="s">
        <v>4054</v>
      </c>
      <c r="Y22" s="234"/>
      <c r="Z22" s="234" t="s">
        <v>4072</v>
      </c>
      <c r="AA22" s="224">
        <v>202409</v>
      </c>
      <c r="AB22" s="243"/>
      <c r="AC22" s="233" t="s">
        <v>4057</v>
      </c>
      <c r="AD22" s="244" t="s">
        <v>4056</v>
      </c>
      <c r="AE22" s="245">
        <v>0</v>
      </c>
      <c r="AF22" s="244" t="s">
        <v>4056</v>
      </c>
      <c r="AG22" s="239" t="s">
        <v>4434</v>
      </c>
      <c r="AH22" s="9" t="s">
        <v>4433</v>
      </c>
      <c r="AI22" s="235" t="s">
        <v>4054</v>
      </c>
      <c r="AJ22" s="235" t="s">
        <v>4054</v>
      </c>
      <c r="AK22" s="235" t="s">
        <v>4055</v>
      </c>
      <c r="AL22" s="10"/>
    </row>
    <row r="23" spans="1:38" s="198" customFormat="1" x14ac:dyDescent="0.3">
      <c r="A23" s="229" t="s">
        <v>235</v>
      </c>
      <c r="B23" s="229" t="s">
        <v>4441</v>
      </c>
      <c r="C23" s="241" t="s">
        <v>4061</v>
      </c>
      <c r="D23" s="237" t="s">
        <v>4181</v>
      </c>
      <c r="E23" s="236" t="s">
        <v>3895</v>
      </c>
      <c r="F23" s="240" t="s">
        <v>4060</v>
      </c>
      <c r="G23" s="214">
        <v>0</v>
      </c>
      <c r="H23" s="231" t="s">
        <v>4054</v>
      </c>
      <c r="I23" s="231"/>
      <c r="J23" s="231"/>
      <c r="K23" s="231"/>
      <c r="L23" s="231"/>
      <c r="M23" s="231"/>
      <c r="N23" s="231" t="s">
        <v>4074</v>
      </c>
      <c r="O23" s="246" t="s">
        <v>4438</v>
      </c>
      <c r="P23" s="246" t="s">
        <v>4438</v>
      </c>
      <c r="Q23" s="225" t="s">
        <v>4438</v>
      </c>
      <c r="R23" s="212" t="s">
        <v>3896</v>
      </c>
      <c r="S23" s="213" t="s">
        <v>4472</v>
      </c>
      <c r="T23" s="233" t="s">
        <v>4053</v>
      </c>
      <c r="U23" s="234" t="s">
        <v>4058</v>
      </c>
      <c r="V23" s="233" t="s">
        <v>4052</v>
      </c>
      <c r="W23" s="233" t="s">
        <v>4052</v>
      </c>
      <c r="X23" s="234" t="s">
        <v>4054</v>
      </c>
      <c r="Y23" s="234"/>
      <c r="Z23" s="234" t="s">
        <v>4072</v>
      </c>
      <c r="AA23" s="224">
        <v>202409</v>
      </c>
      <c r="AB23" s="243"/>
      <c r="AC23" s="233" t="s">
        <v>4057</v>
      </c>
      <c r="AD23" s="244" t="s">
        <v>4056</v>
      </c>
      <c r="AE23" s="245">
        <v>0</v>
      </c>
      <c r="AF23" s="244" t="s">
        <v>4056</v>
      </c>
      <c r="AG23" s="239" t="s">
        <v>4434</v>
      </c>
      <c r="AH23" s="9" t="s">
        <v>4433</v>
      </c>
      <c r="AI23" s="235" t="s">
        <v>4054</v>
      </c>
      <c r="AJ23" s="235" t="s">
        <v>4054</v>
      </c>
      <c r="AK23" s="235" t="s">
        <v>4055</v>
      </c>
      <c r="AL23" s="10"/>
    </row>
    <row r="24" spans="1:38" x14ac:dyDescent="0.3">
      <c r="A24" s="229" t="s">
        <v>235</v>
      </c>
      <c r="B24" s="229" t="s">
        <v>4441</v>
      </c>
      <c r="C24" s="241" t="s">
        <v>4061</v>
      </c>
      <c r="D24" s="237" t="s">
        <v>4087</v>
      </c>
      <c r="E24" s="236" t="s">
        <v>3861</v>
      </c>
      <c r="F24" s="240" t="s">
        <v>4060</v>
      </c>
      <c r="G24" s="214">
        <v>0</v>
      </c>
      <c r="H24" s="231" t="s">
        <v>4054</v>
      </c>
      <c r="I24" s="231"/>
      <c r="J24" s="231"/>
      <c r="K24" s="231"/>
      <c r="L24" s="231"/>
      <c r="M24" s="231"/>
      <c r="N24" s="231" t="s">
        <v>4074</v>
      </c>
      <c r="O24" s="246" t="s">
        <v>4438</v>
      </c>
      <c r="P24" s="246" t="s">
        <v>4438</v>
      </c>
      <c r="Q24" s="225" t="s">
        <v>4438</v>
      </c>
      <c r="R24" s="212" t="s">
        <v>3862</v>
      </c>
      <c r="S24" s="213" t="s">
        <v>4471</v>
      </c>
      <c r="T24" s="233" t="s">
        <v>4053</v>
      </c>
      <c r="U24" s="234" t="s">
        <v>4058</v>
      </c>
      <c r="V24" s="233" t="s">
        <v>4052</v>
      </c>
      <c r="W24" s="233" t="s">
        <v>4052</v>
      </c>
      <c r="X24" s="234" t="s">
        <v>4054</v>
      </c>
      <c r="Y24" s="234"/>
      <c r="Z24" s="234" t="s">
        <v>4072</v>
      </c>
      <c r="AA24" s="224">
        <v>202409</v>
      </c>
      <c r="AB24" s="243"/>
      <c r="AC24" s="233" t="s">
        <v>4057</v>
      </c>
      <c r="AD24" s="244" t="s">
        <v>4056</v>
      </c>
      <c r="AE24" s="245">
        <v>0</v>
      </c>
      <c r="AF24" s="244" t="s">
        <v>4056</v>
      </c>
      <c r="AG24" s="239" t="s">
        <v>4434</v>
      </c>
      <c r="AH24" s="9" t="s">
        <v>4433</v>
      </c>
      <c r="AI24" s="235" t="s">
        <v>4054</v>
      </c>
      <c r="AJ24" s="235" t="s">
        <v>4054</v>
      </c>
      <c r="AK24" s="235" t="s">
        <v>4055</v>
      </c>
    </row>
    <row r="25" spans="1:38" s="198" customFormat="1" x14ac:dyDescent="0.3">
      <c r="A25" s="229" t="s">
        <v>235</v>
      </c>
      <c r="B25" s="229" t="s">
        <v>4441</v>
      </c>
      <c r="C25" s="241" t="s">
        <v>4061</v>
      </c>
      <c r="D25" s="237" t="s">
        <v>4086</v>
      </c>
      <c r="E25" s="236" t="s">
        <v>4085</v>
      </c>
      <c r="F25" s="240" t="s">
        <v>4060</v>
      </c>
      <c r="G25" s="214">
        <v>0</v>
      </c>
      <c r="H25" s="231" t="s">
        <v>4054</v>
      </c>
      <c r="I25" s="231"/>
      <c r="J25" s="231"/>
      <c r="K25" s="231"/>
      <c r="L25" s="231"/>
      <c r="M25" s="231"/>
      <c r="N25" s="231" t="s">
        <v>4074</v>
      </c>
      <c r="O25" s="246" t="s">
        <v>4438</v>
      </c>
      <c r="P25" s="246" t="s">
        <v>4438</v>
      </c>
      <c r="Q25" s="225" t="s">
        <v>4438</v>
      </c>
      <c r="R25" s="212" t="s">
        <v>4084</v>
      </c>
      <c r="S25" s="213" t="s">
        <v>4470</v>
      </c>
      <c r="T25" s="233" t="s">
        <v>4053</v>
      </c>
      <c r="U25" s="234" t="s">
        <v>4058</v>
      </c>
      <c r="V25" s="233" t="s">
        <v>4052</v>
      </c>
      <c r="W25" s="233" t="s">
        <v>4052</v>
      </c>
      <c r="X25" s="234" t="s">
        <v>4054</v>
      </c>
      <c r="Y25" s="234"/>
      <c r="Z25" s="234" t="s">
        <v>4072</v>
      </c>
      <c r="AA25" s="224">
        <v>202409</v>
      </c>
      <c r="AB25" s="243"/>
      <c r="AC25" s="233" t="s">
        <v>4057</v>
      </c>
      <c r="AD25" s="244" t="s">
        <v>4056</v>
      </c>
      <c r="AE25" s="245">
        <v>0</v>
      </c>
      <c r="AF25" s="244" t="s">
        <v>4056</v>
      </c>
      <c r="AG25" s="239" t="s">
        <v>4434</v>
      </c>
      <c r="AH25" s="9" t="s">
        <v>4433</v>
      </c>
      <c r="AI25" s="235" t="s">
        <v>4054</v>
      </c>
      <c r="AJ25" s="235" t="s">
        <v>4054</v>
      </c>
      <c r="AK25" s="235" t="s">
        <v>4055</v>
      </c>
      <c r="AL25" s="10"/>
    </row>
    <row r="26" spans="1:38" s="198" customFormat="1" x14ac:dyDescent="0.3">
      <c r="A26" s="229" t="s">
        <v>235</v>
      </c>
      <c r="B26" s="229" t="s">
        <v>4441</v>
      </c>
      <c r="C26" s="241" t="s">
        <v>4061</v>
      </c>
      <c r="D26" s="237" t="s">
        <v>4469</v>
      </c>
      <c r="E26" s="236" t="s">
        <v>3965</v>
      </c>
      <c r="F26" s="240" t="s">
        <v>4060</v>
      </c>
      <c r="G26" s="214">
        <v>0</v>
      </c>
      <c r="H26" s="231" t="s">
        <v>4054</v>
      </c>
      <c r="I26" s="231"/>
      <c r="J26" s="231"/>
      <c r="K26" s="231"/>
      <c r="L26" s="231"/>
      <c r="M26" s="231"/>
      <c r="N26" s="231" t="s">
        <v>4074</v>
      </c>
      <c r="O26" s="246" t="s">
        <v>4438</v>
      </c>
      <c r="P26" s="246" t="s">
        <v>4438</v>
      </c>
      <c r="Q26" s="225" t="s">
        <v>4438</v>
      </c>
      <c r="R26" s="212" t="s">
        <v>3966</v>
      </c>
      <c r="S26" s="213" t="s">
        <v>4468</v>
      </c>
      <c r="T26" s="233" t="s">
        <v>4053</v>
      </c>
      <c r="U26" s="234" t="s">
        <v>4058</v>
      </c>
      <c r="V26" s="233" t="s">
        <v>4052</v>
      </c>
      <c r="W26" s="233" t="s">
        <v>4052</v>
      </c>
      <c r="X26" s="234" t="s">
        <v>4054</v>
      </c>
      <c r="Y26" s="234"/>
      <c r="Z26" s="234" t="s">
        <v>4072</v>
      </c>
      <c r="AA26" s="224">
        <v>202409</v>
      </c>
      <c r="AB26" s="243"/>
      <c r="AC26" s="233" t="s">
        <v>4057</v>
      </c>
      <c r="AD26" s="244" t="s">
        <v>4056</v>
      </c>
      <c r="AE26" s="245">
        <v>0</v>
      </c>
      <c r="AF26" s="244" t="s">
        <v>4056</v>
      </c>
      <c r="AG26" s="239" t="s">
        <v>4434</v>
      </c>
      <c r="AH26" s="9" t="s">
        <v>4433</v>
      </c>
      <c r="AI26" s="235" t="s">
        <v>4054</v>
      </c>
      <c r="AJ26" s="235" t="s">
        <v>4054</v>
      </c>
      <c r="AK26" s="235" t="s">
        <v>4055</v>
      </c>
      <c r="AL26" s="10"/>
    </row>
    <row r="27" spans="1:38" s="198" customFormat="1" x14ac:dyDescent="0.3">
      <c r="A27" s="229" t="s">
        <v>235</v>
      </c>
      <c r="B27" s="229" t="s">
        <v>4441</v>
      </c>
      <c r="C27" s="241" t="s">
        <v>4061</v>
      </c>
      <c r="D27" s="237" t="s">
        <v>4467</v>
      </c>
      <c r="E27" s="236" t="s">
        <v>3899</v>
      </c>
      <c r="F27" s="240" t="s">
        <v>4060</v>
      </c>
      <c r="G27" s="214">
        <v>0</v>
      </c>
      <c r="H27" s="231" t="s">
        <v>4054</v>
      </c>
      <c r="I27" s="231"/>
      <c r="J27" s="231"/>
      <c r="K27" s="231"/>
      <c r="L27" s="231"/>
      <c r="M27" s="231"/>
      <c r="N27" s="231" t="s">
        <v>4074</v>
      </c>
      <c r="O27" s="246" t="s">
        <v>4438</v>
      </c>
      <c r="P27" s="246" t="s">
        <v>4438</v>
      </c>
      <c r="Q27" s="225" t="s">
        <v>4438</v>
      </c>
      <c r="R27" s="212" t="s">
        <v>3900</v>
      </c>
      <c r="S27" s="213" t="s">
        <v>4466</v>
      </c>
      <c r="T27" s="233" t="s">
        <v>4053</v>
      </c>
      <c r="U27" s="234" t="s">
        <v>4058</v>
      </c>
      <c r="V27" s="233" t="s">
        <v>4052</v>
      </c>
      <c r="W27" s="233" t="s">
        <v>4052</v>
      </c>
      <c r="X27" s="234" t="s">
        <v>4054</v>
      </c>
      <c r="Y27" s="234"/>
      <c r="Z27" s="234" t="s">
        <v>4072</v>
      </c>
      <c r="AA27" s="224">
        <v>202409</v>
      </c>
      <c r="AB27" s="243"/>
      <c r="AC27" s="233" t="s">
        <v>4057</v>
      </c>
      <c r="AD27" s="244" t="s">
        <v>4056</v>
      </c>
      <c r="AE27" s="245">
        <v>0</v>
      </c>
      <c r="AF27" s="244" t="s">
        <v>4056</v>
      </c>
      <c r="AG27" s="239" t="s">
        <v>4434</v>
      </c>
      <c r="AH27" s="9" t="s">
        <v>4433</v>
      </c>
      <c r="AI27" s="235" t="s">
        <v>4054</v>
      </c>
      <c r="AJ27" s="235" t="s">
        <v>4054</v>
      </c>
      <c r="AK27" s="235" t="s">
        <v>4055</v>
      </c>
      <c r="AL27" s="10"/>
    </row>
    <row r="28" spans="1:38" s="198" customFormat="1" x14ac:dyDescent="0.3">
      <c r="A28" s="229" t="s">
        <v>235</v>
      </c>
      <c r="B28" s="229" t="s">
        <v>4441</v>
      </c>
      <c r="C28" s="241" t="s">
        <v>4061</v>
      </c>
      <c r="D28" s="237" t="s">
        <v>4465</v>
      </c>
      <c r="E28" s="236" t="s">
        <v>3908</v>
      </c>
      <c r="F28" s="240" t="s">
        <v>4060</v>
      </c>
      <c r="G28" s="214">
        <v>0</v>
      </c>
      <c r="H28" s="231" t="s">
        <v>4054</v>
      </c>
      <c r="I28" s="231"/>
      <c r="J28" s="231"/>
      <c r="K28" s="231"/>
      <c r="L28" s="231"/>
      <c r="M28" s="231"/>
      <c r="N28" s="231" t="s">
        <v>4074</v>
      </c>
      <c r="O28" s="246" t="s">
        <v>4438</v>
      </c>
      <c r="P28" s="246" t="s">
        <v>4438</v>
      </c>
      <c r="Q28" s="225" t="s">
        <v>4438</v>
      </c>
      <c r="R28" s="212" t="s">
        <v>3909</v>
      </c>
      <c r="S28" s="213" t="s">
        <v>4464</v>
      </c>
      <c r="T28" s="233" t="s">
        <v>4053</v>
      </c>
      <c r="U28" s="234" t="s">
        <v>4058</v>
      </c>
      <c r="V28" s="233" t="s">
        <v>4052</v>
      </c>
      <c r="W28" s="233" t="s">
        <v>4052</v>
      </c>
      <c r="X28" s="234" t="s">
        <v>4054</v>
      </c>
      <c r="Y28" s="234"/>
      <c r="Z28" s="234" t="s">
        <v>4072</v>
      </c>
      <c r="AA28" s="224">
        <v>202409</v>
      </c>
      <c r="AB28" s="243"/>
      <c r="AC28" s="233" t="s">
        <v>4057</v>
      </c>
      <c r="AD28" s="244" t="s">
        <v>4056</v>
      </c>
      <c r="AE28" s="245">
        <v>0</v>
      </c>
      <c r="AF28" s="244" t="s">
        <v>4056</v>
      </c>
      <c r="AG28" s="239" t="s">
        <v>4434</v>
      </c>
      <c r="AH28" s="9" t="s">
        <v>4433</v>
      </c>
      <c r="AI28" s="235" t="s">
        <v>4054</v>
      </c>
      <c r="AJ28" s="235" t="s">
        <v>4054</v>
      </c>
      <c r="AK28" s="235" t="s">
        <v>4055</v>
      </c>
      <c r="AL28" s="10"/>
    </row>
    <row r="29" spans="1:38" s="198" customFormat="1" x14ac:dyDescent="0.3">
      <c r="A29" s="229" t="s">
        <v>235</v>
      </c>
      <c r="B29" s="229" t="s">
        <v>4441</v>
      </c>
      <c r="C29" s="241" t="s">
        <v>4061</v>
      </c>
      <c r="D29" s="237" t="s">
        <v>4463</v>
      </c>
      <c r="E29" s="236" t="s">
        <v>3994</v>
      </c>
      <c r="F29" s="240" t="s">
        <v>4060</v>
      </c>
      <c r="G29" s="214">
        <v>0</v>
      </c>
      <c r="H29" s="231" t="s">
        <v>4054</v>
      </c>
      <c r="I29" s="231"/>
      <c r="J29" s="231"/>
      <c r="K29" s="231"/>
      <c r="L29" s="231"/>
      <c r="M29" s="231"/>
      <c r="N29" s="231" t="s">
        <v>4074</v>
      </c>
      <c r="O29" s="246" t="s">
        <v>4438</v>
      </c>
      <c r="P29" s="246" t="s">
        <v>4438</v>
      </c>
      <c r="Q29" s="225" t="s">
        <v>4438</v>
      </c>
      <c r="R29" s="212" t="s">
        <v>3995</v>
      </c>
      <c r="S29" s="213" t="s">
        <v>4462</v>
      </c>
      <c r="T29" s="233" t="s">
        <v>4053</v>
      </c>
      <c r="U29" s="234" t="s">
        <v>4058</v>
      </c>
      <c r="V29" s="233" t="s">
        <v>4052</v>
      </c>
      <c r="W29" s="233" t="s">
        <v>4052</v>
      </c>
      <c r="X29" s="234" t="s">
        <v>4054</v>
      </c>
      <c r="Y29" s="234"/>
      <c r="Z29" s="234" t="s">
        <v>4072</v>
      </c>
      <c r="AA29" s="224">
        <v>202409</v>
      </c>
      <c r="AB29" s="243"/>
      <c r="AC29" s="233" t="s">
        <v>4057</v>
      </c>
      <c r="AD29" s="244" t="s">
        <v>4056</v>
      </c>
      <c r="AE29" s="245">
        <v>0</v>
      </c>
      <c r="AF29" s="244" t="s">
        <v>4056</v>
      </c>
      <c r="AG29" s="239" t="s">
        <v>4434</v>
      </c>
      <c r="AH29" s="9" t="s">
        <v>4433</v>
      </c>
      <c r="AI29" s="235" t="s">
        <v>4054</v>
      </c>
      <c r="AJ29" s="235" t="s">
        <v>4054</v>
      </c>
      <c r="AK29" s="235" t="s">
        <v>4055</v>
      </c>
      <c r="AL29" s="10"/>
    </row>
    <row r="30" spans="1:38" s="198" customFormat="1" x14ac:dyDescent="0.3">
      <c r="A30" s="229" t="s">
        <v>235</v>
      </c>
      <c r="B30" s="229" t="s">
        <v>4441</v>
      </c>
      <c r="C30" s="241" t="s">
        <v>4061</v>
      </c>
      <c r="D30" s="237" t="s">
        <v>4114</v>
      </c>
      <c r="E30" s="236" t="s">
        <v>4113</v>
      </c>
      <c r="F30" s="240" t="s">
        <v>4060</v>
      </c>
      <c r="G30" s="214">
        <v>0</v>
      </c>
      <c r="H30" s="231" t="s">
        <v>4054</v>
      </c>
      <c r="I30" s="231"/>
      <c r="J30" s="231"/>
      <c r="K30" s="231"/>
      <c r="L30" s="231"/>
      <c r="M30" s="231"/>
      <c r="N30" s="231" t="s">
        <v>4074</v>
      </c>
      <c r="O30" s="246" t="s">
        <v>4438</v>
      </c>
      <c r="P30" s="246" t="s">
        <v>4438</v>
      </c>
      <c r="Q30" s="225" t="s">
        <v>4438</v>
      </c>
      <c r="R30" s="212" t="s">
        <v>4112</v>
      </c>
      <c r="S30" s="213" t="s">
        <v>4461</v>
      </c>
      <c r="T30" s="233" t="s">
        <v>4053</v>
      </c>
      <c r="U30" s="234" t="s">
        <v>4058</v>
      </c>
      <c r="V30" s="233" t="s">
        <v>4052</v>
      </c>
      <c r="W30" s="233" t="s">
        <v>4052</v>
      </c>
      <c r="X30" s="234" t="s">
        <v>4054</v>
      </c>
      <c r="Y30" s="234"/>
      <c r="Z30" s="234" t="s">
        <v>4072</v>
      </c>
      <c r="AA30" s="224">
        <v>202409</v>
      </c>
      <c r="AB30" s="243"/>
      <c r="AC30" s="233" t="s">
        <v>4057</v>
      </c>
      <c r="AD30" s="244" t="s">
        <v>4056</v>
      </c>
      <c r="AE30" s="245">
        <v>0</v>
      </c>
      <c r="AF30" s="244" t="s">
        <v>4056</v>
      </c>
      <c r="AG30" s="239" t="s">
        <v>4434</v>
      </c>
      <c r="AH30" s="9" t="s">
        <v>4433</v>
      </c>
      <c r="AI30" s="235" t="s">
        <v>4054</v>
      </c>
      <c r="AJ30" s="235" t="s">
        <v>4054</v>
      </c>
      <c r="AK30" s="235" t="s">
        <v>4055</v>
      </c>
      <c r="AL30" s="10"/>
    </row>
    <row r="31" spans="1:38" s="198" customFormat="1" x14ac:dyDescent="0.3">
      <c r="A31" s="229" t="s">
        <v>235</v>
      </c>
      <c r="B31" s="229" t="s">
        <v>4441</v>
      </c>
      <c r="C31" s="241" t="s">
        <v>4061</v>
      </c>
      <c r="D31" s="237" t="s">
        <v>4063</v>
      </c>
      <c r="E31" s="236" t="s">
        <v>3991</v>
      </c>
      <c r="F31" s="240" t="s">
        <v>4060</v>
      </c>
      <c r="G31" s="214">
        <v>0</v>
      </c>
      <c r="H31" s="231" t="s">
        <v>4054</v>
      </c>
      <c r="I31" s="231"/>
      <c r="J31" s="231"/>
      <c r="K31" s="231"/>
      <c r="L31" s="231"/>
      <c r="M31" s="231"/>
      <c r="N31" s="231" t="s">
        <v>4074</v>
      </c>
      <c r="O31" s="246" t="s">
        <v>4438</v>
      </c>
      <c r="P31" s="246" t="s">
        <v>4438</v>
      </c>
      <c r="Q31" s="225" t="s">
        <v>4438</v>
      </c>
      <c r="R31" s="212" t="s">
        <v>3992</v>
      </c>
      <c r="S31" s="213" t="s">
        <v>4460</v>
      </c>
      <c r="T31" s="233" t="s">
        <v>4053</v>
      </c>
      <c r="U31" s="234" t="s">
        <v>4058</v>
      </c>
      <c r="V31" s="233" t="s">
        <v>4052</v>
      </c>
      <c r="W31" s="233" t="s">
        <v>4052</v>
      </c>
      <c r="X31" s="234" t="s">
        <v>4054</v>
      </c>
      <c r="Y31" s="234"/>
      <c r="Z31" s="234" t="s">
        <v>4072</v>
      </c>
      <c r="AA31" s="224">
        <v>202409</v>
      </c>
      <c r="AB31" s="243"/>
      <c r="AC31" s="233" t="s">
        <v>4057</v>
      </c>
      <c r="AD31" s="244" t="s">
        <v>4056</v>
      </c>
      <c r="AE31" s="245">
        <v>0</v>
      </c>
      <c r="AF31" s="244" t="s">
        <v>4056</v>
      </c>
      <c r="AG31" s="239" t="s">
        <v>4434</v>
      </c>
      <c r="AH31" s="9" t="s">
        <v>4433</v>
      </c>
      <c r="AI31" s="235" t="s">
        <v>4054</v>
      </c>
      <c r="AJ31" s="235" t="s">
        <v>4054</v>
      </c>
      <c r="AK31" s="235" t="s">
        <v>4055</v>
      </c>
      <c r="AL31" s="10"/>
    </row>
    <row r="32" spans="1:38" s="198" customFormat="1" x14ac:dyDescent="0.3">
      <c r="A32" s="229" t="s">
        <v>235</v>
      </c>
      <c r="B32" s="229" t="s">
        <v>4441</v>
      </c>
      <c r="C32" s="241" t="s">
        <v>4061</v>
      </c>
      <c r="D32" s="237" t="s">
        <v>4123</v>
      </c>
      <c r="E32" s="236" t="s">
        <v>3901</v>
      </c>
      <c r="F32" s="240" t="s">
        <v>4060</v>
      </c>
      <c r="G32" s="214">
        <v>0</v>
      </c>
      <c r="H32" s="231" t="s">
        <v>4054</v>
      </c>
      <c r="I32" s="231"/>
      <c r="J32" s="231"/>
      <c r="K32" s="231"/>
      <c r="L32" s="231"/>
      <c r="M32" s="231"/>
      <c r="N32" s="231" t="s">
        <v>4074</v>
      </c>
      <c r="O32" s="246" t="s">
        <v>4438</v>
      </c>
      <c r="P32" s="246" t="s">
        <v>4438</v>
      </c>
      <c r="Q32" s="225" t="s">
        <v>4438</v>
      </c>
      <c r="R32" s="212" t="s">
        <v>3902</v>
      </c>
      <c r="S32" s="213" t="s">
        <v>4459</v>
      </c>
      <c r="T32" s="233" t="s">
        <v>4053</v>
      </c>
      <c r="U32" s="234" t="s">
        <v>4058</v>
      </c>
      <c r="V32" s="233" t="s">
        <v>4052</v>
      </c>
      <c r="W32" s="233" t="s">
        <v>4052</v>
      </c>
      <c r="X32" s="234" t="s">
        <v>4054</v>
      </c>
      <c r="Y32" s="234"/>
      <c r="Z32" s="234" t="s">
        <v>4072</v>
      </c>
      <c r="AA32" s="224">
        <v>202409</v>
      </c>
      <c r="AB32" s="243"/>
      <c r="AC32" s="233" t="s">
        <v>4057</v>
      </c>
      <c r="AD32" s="244" t="s">
        <v>4056</v>
      </c>
      <c r="AE32" s="245">
        <v>0</v>
      </c>
      <c r="AF32" s="244" t="s">
        <v>4056</v>
      </c>
      <c r="AG32" s="239" t="s">
        <v>4434</v>
      </c>
      <c r="AH32" s="9" t="s">
        <v>4433</v>
      </c>
      <c r="AI32" s="235" t="s">
        <v>4054</v>
      </c>
      <c r="AJ32" s="235" t="s">
        <v>4054</v>
      </c>
      <c r="AK32" s="235" t="s">
        <v>4055</v>
      </c>
      <c r="AL32" s="10"/>
    </row>
    <row r="33" spans="1:38" s="198" customFormat="1" x14ac:dyDescent="0.3">
      <c r="A33" s="229" t="s">
        <v>235</v>
      </c>
      <c r="B33" s="229" t="s">
        <v>4441</v>
      </c>
      <c r="C33" s="241" t="s">
        <v>4061</v>
      </c>
      <c r="D33" s="237" t="s">
        <v>4122</v>
      </c>
      <c r="E33" s="236" t="s">
        <v>3851</v>
      </c>
      <c r="F33" s="240" t="s">
        <v>4060</v>
      </c>
      <c r="G33" s="214">
        <v>0</v>
      </c>
      <c r="H33" s="231" t="s">
        <v>4054</v>
      </c>
      <c r="I33" s="231"/>
      <c r="J33" s="231"/>
      <c r="K33" s="231"/>
      <c r="L33" s="231"/>
      <c r="M33" s="231"/>
      <c r="N33" s="231" t="s">
        <v>4074</v>
      </c>
      <c r="O33" s="246" t="s">
        <v>4438</v>
      </c>
      <c r="P33" s="246" t="s">
        <v>4438</v>
      </c>
      <c r="Q33" s="225" t="s">
        <v>4438</v>
      </c>
      <c r="R33" s="212" t="s">
        <v>3852</v>
      </c>
      <c r="S33" s="213" t="s">
        <v>4458</v>
      </c>
      <c r="T33" s="233" t="s">
        <v>4053</v>
      </c>
      <c r="U33" s="234" t="s">
        <v>4058</v>
      </c>
      <c r="V33" s="233" t="s">
        <v>4052</v>
      </c>
      <c r="W33" s="233" t="s">
        <v>4052</v>
      </c>
      <c r="X33" s="234" t="s">
        <v>4054</v>
      </c>
      <c r="Y33" s="234"/>
      <c r="Z33" s="234" t="s">
        <v>4072</v>
      </c>
      <c r="AA33" s="224">
        <v>202409</v>
      </c>
      <c r="AB33" s="243"/>
      <c r="AC33" s="233" t="s">
        <v>4057</v>
      </c>
      <c r="AD33" s="244" t="s">
        <v>4056</v>
      </c>
      <c r="AE33" s="245">
        <v>0</v>
      </c>
      <c r="AF33" s="244" t="s">
        <v>4056</v>
      </c>
      <c r="AG33" s="239" t="s">
        <v>4434</v>
      </c>
      <c r="AH33" s="9" t="s">
        <v>4433</v>
      </c>
      <c r="AI33" s="235" t="s">
        <v>4054</v>
      </c>
      <c r="AJ33" s="235" t="s">
        <v>4054</v>
      </c>
      <c r="AK33" s="235" t="s">
        <v>4055</v>
      </c>
      <c r="AL33" s="10"/>
    </row>
    <row r="34" spans="1:38" x14ac:dyDescent="0.3">
      <c r="A34" s="229" t="s">
        <v>235</v>
      </c>
      <c r="B34" s="229" t="s">
        <v>4441</v>
      </c>
      <c r="C34" s="241" t="s">
        <v>4061</v>
      </c>
      <c r="D34" s="237" t="s">
        <v>4080</v>
      </c>
      <c r="E34" s="236" t="s">
        <v>3951</v>
      </c>
      <c r="F34" s="240" t="s">
        <v>4060</v>
      </c>
      <c r="G34" s="214">
        <v>0</v>
      </c>
      <c r="H34" s="231" t="s">
        <v>4054</v>
      </c>
      <c r="I34" s="231"/>
      <c r="J34" s="231"/>
      <c r="K34" s="231"/>
      <c r="L34" s="231"/>
      <c r="M34" s="231"/>
      <c r="N34" s="231" t="s">
        <v>4074</v>
      </c>
      <c r="O34" s="246" t="s">
        <v>4438</v>
      </c>
      <c r="P34" s="246" t="s">
        <v>4438</v>
      </c>
      <c r="Q34" s="225" t="s">
        <v>4438</v>
      </c>
      <c r="R34" s="212" t="s">
        <v>3952</v>
      </c>
      <c r="S34" s="213" t="s">
        <v>4457</v>
      </c>
      <c r="T34" s="233" t="s">
        <v>4053</v>
      </c>
      <c r="U34" s="234" t="s">
        <v>4058</v>
      </c>
      <c r="V34" s="233" t="s">
        <v>4052</v>
      </c>
      <c r="W34" s="233" t="s">
        <v>4052</v>
      </c>
      <c r="X34" s="234" t="s">
        <v>4054</v>
      </c>
      <c r="Y34" s="234"/>
      <c r="Z34" s="234" t="s">
        <v>4072</v>
      </c>
      <c r="AA34" s="224">
        <v>202409</v>
      </c>
      <c r="AB34" s="243"/>
      <c r="AC34" s="233" t="s">
        <v>4057</v>
      </c>
      <c r="AD34" s="244" t="s">
        <v>4056</v>
      </c>
      <c r="AE34" s="245">
        <v>0</v>
      </c>
      <c r="AF34" s="244" t="s">
        <v>4056</v>
      </c>
      <c r="AG34" s="239" t="s">
        <v>4434</v>
      </c>
      <c r="AH34" s="9" t="s">
        <v>4433</v>
      </c>
      <c r="AI34" s="235" t="s">
        <v>4054</v>
      </c>
      <c r="AJ34" s="235" t="s">
        <v>4054</v>
      </c>
      <c r="AK34" s="235" t="s">
        <v>4055</v>
      </c>
    </row>
    <row r="35" spans="1:38" x14ac:dyDescent="0.3">
      <c r="A35" s="229" t="s">
        <v>235</v>
      </c>
      <c r="B35" s="229" t="s">
        <v>4441</v>
      </c>
      <c r="C35" s="241" t="s">
        <v>4061</v>
      </c>
      <c r="D35" s="237" t="s">
        <v>4456</v>
      </c>
      <c r="E35" s="236" t="s">
        <v>4455</v>
      </c>
      <c r="F35" s="240" t="s">
        <v>4060</v>
      </c>
      <c r="G35" s="214">
        <v>0</v>
      </c>
      <c r="H35" s="231" t="s">
        <v>4054</v>
      </c>
      <c r="I35" s="231"/>
      <c r="J35" s="231"/>
      <c r="K35" s="231"/>
      <c r="L35" s="231"/>
      <c r="M35" s="231"/>
      <c r="N35" s="231" t="s">
        <v>4074</v>
      </c>
      <c r="O35" s="246" t="s">
        <v>4438</v>
      </c>
      <c r="P35" s="246" t="s">
        <v>4438</v>
      </c>
      <c r="Q35" s="225" t="s">
        <v>4438</v>
      </c>
      <c r="R35" s="212" t="s">
        <v>4454</v>
      </c>
      <c r="S35" s="213" t="s">
        <v>4453</v>
      </c>
      <c r="T35" s="233" t="s">
        <v>4053</v>
      </c>
      <c r="U35" s="234" t="s">
        <v>4058</v>
      </c>
      <c r="V35" s="233" t="s">
        <v>4052</v>
      </c>
      <c r="W35" s="233" t="s">
        <v>4052</v>
      </c>
      <c r="X35" s="234" t="s">
        <v>4054</v>
      </c>
      <c r="Y35" s="234"/>
      <c r="Z35" s="234" t="s">
        <v>4072</v>
      </c>
      <c r="AA35" s="224">
        <v>202409</v>
      </c>
      <c r="AB35" s="243"/>
      <c r="AC35" s="233" t="s">
        <v>4057</v>
      </c>
      <c r="AD35" s="244" t="s">
        <v>4056</v>
      </c>
      <c r="AE35" s="245">
        <v>0</v>
      </c>
      <c r="AF35" s="244" t="s">
        <v>4056</v>
      </c>
      <c r="AG35" s="239" t="s">
        <v>4434</v>
      </c>
      <c r="AH35" s="9" t="s">
        <v>4433</v>
      </c>
      <c r="AI35" s="235" t="s">
        <v>4054</v>
      </c>
      <c r="AJ35" s="235" t="s">
        <v>4054</v>
      </c>
      <c r="AK35" s="235" t="s">
        <v>4055</v>
      </c>
    </row>
    <row r="36" spans="1:38" s="198" customFormat="1" x14ac:dyDescent="0.3">
      <c r="A36" s="229" t="s">
        <v>235</v>
      </c>
      <c r="B36" s="229" t="s">
        <v>4441</v>
      </c>
      <c r="C36" s="241" t="s">
        <v>4061</v>
      </c>
      <c r="D36" s="237" t="s">
        <v>4452</v>
      </c>
      <c r="E36" s="236" t="s">
        <v>3998</v>
      </c>
      <c r="F36" s="240" t="s">
        <v>4060</v>
      </c>
      <c r="G36" s="214">
        <v>0</v>
      </c>
      <c r="H36" s="231" t="s">
        <v>4054</v>
      </c>
      <c r="I36" s="231"/>
      <c r="J36" s="231"/>
      <c r="K36" s="231"/>
      <c r="L36" s="231"/>
      <c r="M36" s="231"/>
      <c r="N36" s="231" t="s">
        <v>4074</v>
      </c>
      <c r="O36" s="246" t="s">
        <v>4438</v>
      </c>
      <c r="P36" s="246" t="s">
        <v>4438</v>
      </c>
      <c r="Q36" s="225" t="s">
        <v>4438</v>
      </c>
      <c r="R36" s="212" t="s">
        <v>3999</v>
      </c>
      <c r="S36" s="213" t="s">
        <v>4054</v>
      </c>
      <c r="T36" s="233" t="s">
        <v>4053</v>
      </c>
      <c r="U36" s="234" t="s">
        <v>4058</v>
      </c>
      <c r="V36" s="233" t="s">
        <v>4052</v>
      </c>
      <c r="W36" s="233" t="s">
        <v>4052</v>
      </c>
      <c r="X36" s="234" t="s">
        <v>4054</v>
      </c>
      <c r="Y36" s="234"/>
      <c r="Z36" s="234" t="s">
        <v>4072</v>
      </c>
      <c r="AA36" s="224">
        <v>202409</v>
      </c>
      <c r="AB36" s="243"/>
      <c r="AC36" s="233" t="s">
        <v>4057</v>
      </c>
      <c r="AD36" s="244" t="s">
        <v>4056</v>
      </c>
      <c r="AE36" s="245">
        <v>0</v>
      </c>
      <c r="AF36" s="244" t="s">
        <v>4056</v>
      </c>
      <c r="AG36" s="239" t="s">
        <v>4434</v>
      </c>
      <c r="AH36" s="9" t="s">
        <v>4433</v>
      </c>
      <c r="AI36" s="235" t="s">
        <v>4054</v>
      </c>
      <c r="AJ36" s="235" t="s">
        <v>4054</v>
      </c>
      <c r="AK36" s="235" t="s">
        <v>4055</v>
      </c>
      <c r="AL36" s="10"/>
    </row>
    <row r="37" spans="1:38" s="198" customFormat="1" x14ac:dyDescent="0.3">
      <c r="A37" s="229" t="s">
        <v>235</v>
      </c>
      <c r="B37" s="229" t="s">
        <v>4441</v>
      </c>
      <c r="C37" s="241" t="s">
        <v>4061</v>
      </c>
      <c r="D37" s="237" t="s">
        <v>4451</v>
      </c>
      <c r="E37" s="236" t="s">
        <v>3961</v>
      </c>
      <c r="F37" s="240" t="s">
        <v>4060</v>
      </c>
      <c r="G37" s="214">
        <v>0</v>
      </c>
      <c r="H37" s="231" t="s">
        <v>4054</v>
      </c>
      <c r="I37" s="231"/>
      <c r="J37" s="231"/>
      <c r="K37" s="231"/>
      <c r="L37" s="231"/>
      <c r="M37" s="231"/>
      <c r="N37" s="231" t="s">
        <v>4074</v>
      </c>
      <c r="O37" s="246" t="s">
        <v>4438</v>
      </c>
      <c r="P37" s="246" t="s">
        <v>4438</v>
      </c>
      <c r="Q37" s="225" t="s">
        <v>4438</v>
      </c>
      <c r="R37" s="212" t="s">
        <v>3962</v>
      </c>
      <c r="S37" s="213" t="s">
        <v>4054</v>
      </c>
      <c r="T37" s="233" t="s">
        <v>4053</v>
      </c>
      <c r="U37" s="234" t="s">
        <v>4058</v>
      </c>
      <c r="V37" s="233" t="s">
        <v>4052</v>
      </c>
      <c r="W37" s="233" t="s">
        <v>4052</v>
      </c>
      <c r="X37" s="234" t="s">
        <v>4054</v>
      </c>
      <c r="Y37" s="234"/>
      <c r="Z37" s="234" t="s">
        <v>4072</v>
      </c>
      <c r="AA37" s="224">
        <v>202409</v>
      </c>
      <c r="AB37" s="243"/>
      <c r="AC37" s="233" t="s">
        <v>4057</v>
      </c>
      <c r="AD37" s="244" t="s">
        <v>4056</v>
      </c>
      <c r="AE37" s="245">
        <v>0</v>
      </c>
      <c r="AF37" s="244" t="s">
        <v>4056</v>
      </c>
      <c r="AG37" s="239" t="s">
        <v>4434</v>
      </c>
      <c r="AH37" s="9" t="s">
        <v>4433</v>
      </c>
      <c r="AI37" s="235" t="s">
        <v>4054</v>
      </c>
      <c r="AJ37" s="235" t="s">
        <v>4054</v>
      </c>
      <c r="AK37" s="235" t="s">
        <v>4055</v>
      </c>
      <c r="AL37" s="10"/>
    </row>
    <row r="38" spans="1:38" s="198" customFormat="1" x14ac:dyDescent="0.3">
      <c r="A38" s="229" t="s">
        <v>235</v>
      </c>
      <c r="B38" s="229" t="s">
        <v>4441</v>
      </c>
      <c r="C38" s="241" t="s">
        <v>4061</v>
      </c>
      <c r="D38" s="237" t="s">
        <v>4127</v>
      </c>
      <c r="E38" s="236" t="s">
        <v>3967</v>
      </c>
      <c r="F38" s="240" t="s">
        <v>4060</v>
      </c>
      <c r="G38" s="214">
        <v>0</v>
      </c>
      <c r="H38" s="231" t="s">
        <v>4054</v>
      </c>
      <c r="I38" s="231"/>
      <c r="J38" s="231"/>
      <c r="K38" s="231"/>
      <c r="L38" s="231"/>
      <c r="M38" s="231"/>
      <c r="N38" s="231" t="s">
        <v>4074</v>
      </c>
      <c r="O38" s="246" t="s">
        <v>4438</v>
      </c>
      <c r="P38" s="246" t="s">
        <v>4438</v>
      </c>
      <c r="Q38" s="225" t="s">
        <v>4438</v>
      </c>
      <c r="R38" s="212" t="s">
        <v>3968</v>
      </c>
      <c r="S38" s="213" t="s">
        <v>4054</v>
      </c>
      <c r="T38" s="233" t="s">
        <v>4053</v>
      </c>
      <c r="U38" s="234" t="s">
        <v>4058</v>
      </c>
      <c r="V38" s="233" t="s">
        <v>4052</v>
      </c>
      <c r="W38" s="233" t="s">
        <v>4052</v>
      </c>
      <c r="X38" s="234" t="s">
        <v>4054</v>
      </c>
      <c r="Y38" s="234"/>
      <c r="Z38" s="234" t="s">
        <v>4072</v>
      </c>
      <c r="AA38" s="224">
        <v>202409</v>
      </c>
      <c r="AB38" s="243"/>
      <c r="AC38" s="233" t="s">
        <v>4057</v>
      </c>
      <c r="AD38" s="244" t="s">
        <v>4056</v>
      </c>
      <c r="AE38" s="245">
        <v>0</v>
      </c>
      <c r="AF38" s="244" t="s">
        <v>4056</v>
      </c>
      <c r="AG38" s="239" t="s">
        <v>4434</v>
      </c>
      <c r="AH38" s="9" t="s">
        <v>4433</v>
      </c>
      <c r="AI38" s="235" t="s">
        <v>4054</v>
      </c>
      <c r="AJ38" s="235" t="s">
        <v>4054</v>
      </c>
      <c r="AK38" s="235" t="s">
        <v>4055</v>
      </c>
      <c r="AL38" s="10"/>
    </row>
    <row r="39" spans="1:38" s="198" customFormat="1" x14ac:dyDescent="0.3">
      <c r="A39" s="229" t="s">
        <v>235</v>
      </c>
      <c r="B39" s="229" t="s">
        <v>4441</v>
      </c>
      <c r="C39" s="241" t="s">
        <v>4061</v>
      </c>
      <c r="D39" s="237" t="s">
        <v>4450</v>
      </c>
      <c r="E39" s="236" t="s">
        <v>3977</v>
      </c>
      <c r="F39" s="240" t="s">
        <v>4060</v>
      </c>
      <c r="G39" s="214">
        <v>0</v>
      </c>
      <c r="H39" s="231" t="s">
        <v>4054</v>
      </c>
      <c r="I39" s="231"/>
      <c r="J39" s="231"/>
      <c r="K39" s="231"/>
      <c r="L39" s="231"/>
      <c r="M39" s="231"/>
      <c r="N39" s="231" t="s">
        <v>4074</v>
      </c>
      <c r="O39" s="246" t="s">
        <v>4438</v>
      </c>
      <c r="P39" s="246" t="s">
        <v>4438</v>
      </c>
      <c r="Q39" s="225" t="s">
        <v>4438</v>
      </c>
      <c r="R39" s="212" t="s">
        <v>3978</v>
      </c>
      <c r="S39" s="213" t="s">
        <v>4054</v>
      </c>
      <c r="T39" s="233" t="s">
        <v>4053</v>
      </c>
      <c r="U39" s="234" t="s">
        <v>4058</v>
      </c>
      <c r="V39" s="233" t="s">
        <v>4052</v>
      </c>
      <c r="W39" s="233" t="s">
        <v>4052</v>
      </c>
      <c r="X39" s="234" t="s">
        <v>4054</v>
      </c>
      <c r="Y39" s="234"/>
      <c r="Z39" s="234" t="s">
        <v>4072</v>
      </c>
      <c r="AA39" s="224">
        <v>202409</v>
      </c>
      <c r="AB39" s="243"/>
      <c r="AC39" s="233" t="s">
        <v>4057</v>
      </c>
      <c r="AD39" s="244" t="s">
        <v>4056</v>
      </c>
      <c r="AE39" s="245">
        <v>0</v>
      </c>
      <c r="AF39" s="244" t="s">
        <v>4056</v>
      </c>
      <c r="AG39" s="239" t="s">
        <v>4434</v>
      </c>
      <c r="AH39" s="9" t="s">
        <v>4433</v>
      </c>
      <c r="AI39" s="235" t="s">
        <v>4054</v>
      </c>
      <c r="AJ39" s="235" t="s">
        <v>4054</v>
      </c>
      <c r="AK39" s="235" t="s">
        <v>4055</v>
      </c>
      <c r="AL39" s="10"/>
    </row>
    <row r="40" spans="1:38" x14ac:dyDescent="0.3">
      <c r="A40" s="229" t="s">
        <v>235</v>
      </c>
      <c r="B40" s="229" t="s">
        <v>4441</v>
      </c>
      <c r="C40" s="241" t="s">
        <v>4061</v>
      </c>
      <c r="D40" s="237" t="s">
        <v>4083</v>
      </c>
      <c r="E40" s="236" t="s">
        <v>3831</v>
      </c>
      <c r="F40" s="240" t="s">
        <v>4060</v>
      </c>
      <c r="G40" s="214">
        <v>0</v>
      </c>
      <c r="H40" s="231" t="s">
        <v>4054</v>
      </c>
      <c r="I40" s="231"/>
      <c r="J40" s="231"/>
      <c r="K40" s="231"/>
      <c r="L40" s="231"/>
      <c r="M40" s="231"/>
      <c r="N40" s="231" t="s">
        <v>4074</v>
      </c>
      <c r="O40" s="246" t="s">
        <v>4438</v>
      </c>
      <c r="P40" s="246" t="s">
        <v>4438</v>
      </c>
      <c r="Q40" s="225" t="s">
        <v>4438</v>
      </c>
      <c r="R40" s="212" t="s">
        <v>3832</v>
      </c>
      <c r="S40" s="213" t="s">
        <v>4054</v>
      </c>
      <c r="T40" s="233" t="s">
        <v>4053</v>
      </c>
      <c r="U40" s="234" t="s">
        <v>4058</v>
      </c>
      <c r="V40" s="233" t="s">
        <v>4052</v>
      </c>
      <c r="W40" s="233" t="s">
        <v>4052</v>
      </c>
      <c r="X40" s="234" t="s">
        <v>4054</v>
      </c>
      <c r="Y40" s="234"/>
      <c r="Z40" s="234" t="s">
        <v>4072</v>
      </c>
      <c r="AA40" s="224">
        <v>202409</v>
      </c>
      <c r="AB40" s="243"/>
      <c r="AC40" s="233" t="s">
        <v>4057</v>
      </c>
      <c r="AD40" s="244" t="s">
        <v>4056</v>
      </c>
      <c r="AE40" s="245">
        <v>0</v>
      </c>
      <c r="AF40" s="244" t="s">
        <v>4056</v>
      </c>
      <c r="AG40" s="239" t="s">
        <v>4434</v>
      </c>
      <c r="AH40" s="9" t="s">
        <v>4433</v>
      </c>
      <c r="AI40" s="235" t="s">
        <v>4054</v>
      </c>
      <c r="AJ40" s="235" t="s">
        <v>4054</v>
      </c>
      <c r="AK40" s="235" t="s">
        <v>4055</v>
      </c>
    </row>
    <row r="41" spans="1:38" x14ac:dyDescent="0.3">
      <c r="A41" s="229" t="s">
        <v>235</v>
      </c>
      <c r="B41" s="229" t="s">
        <v>4441</v>
      </c>
      <c r="C41" s="241" t="s">
        <v>4061</v>
      </c>
      <c r="D41" s="237" t="s">
        <v>4183</v>
      </c>
      <c r="E41" s="236" t="s">
        <v>3928</v>
      </c>
      <c r="F41" s="240" t="s">
        <v>4060</v>
      </c>
      <c r="G41" s="214">
        <v>0</v>
      </c>
      <c r="H41" s="231" t="s">
        <v>4054</v>
      </c>
      <c r="I41" s="231"/>
      <c r="J41" s="231"/>
      <c r="K41" s="231"/>
      <c r="L41" s="231"/>
      <c r="M41" s="231"/>
      <c r="N41" s="231" t="s">
        <v>4074</v>
      </c>
      <c r="O41" s="246" t="s">
        <v>4438</v>
      </c>
      <c r="P41" s="246" t="s">
        <v>4438</v>
      </c>
      <c r="Q41" s="225" t="s">
        <v>4438</v>
      </c>
      <c r="R41" s="212" t="s">
        <v>3929</v>
      </c>
      <c r="S41" s="213" t="s">
        <v>4054</v>
      </c>
      <c r="T41" s="233" t="s">
        <v>4053</v>
      </c>
      <c r="U41" s="234" t="s">
        <v>4058</v>
      </c>
      <c r="V41" s="233" t="s">
        <v>4052</v>
      </c>
      <c r="W41" s="233" t="s">
        <v>4052</v>
      </c>
      <c r="X41" s="234" t="s">
        <v>4054</v>
      </c>
      <c r="Y41" s="234"/>
      <c r="Z41" s="234" t="s">
        <v>4072</v>
      </c>
      <c r="AA41" s="224">
        <v>202409</v>
      </c>
      <c r="AB41" s="243"/>
      <c r="AC41" s="233" t="s">
        <v>4057</v>
      </c>
      <c r="AD41" s="244" t="s">
        <v>4056</v>
      </c>
      <c r="AE41" s="245">
        <v>0</v>
      </c>
      <c r="AF41" s="244" t="s">
        <v>4056</v>
      </c>
      <c r="AG41" s="239" t="s">
        <v>4434</v>
      </c>
      <c r="AH41" s="9" t="s">
        <v>4433</v>
      </c>
      <c r="AI41" s="235" t="s">
        <v>4054</v>
      </c>
      <c r="AJ41" s="235" t="s">
        <v>4054</v>
      </c>
      <c r="AK41" s="235" t="s">
        <v>4055</v>
      </c>
    </row>
    <row r="42" spans="1:38" x14ac:dyDescent="0.3">
      <c r="A42" s="229" t="s">
        <v>235</v>
      </c>
      <c r="B42" s="229" t="s">
        <v>4441</v>
      </c>
      <c r="C42" s="241" t="s">
        <v>4061</v>
      </c>
      <c r="D42" s="237" t="s">
        <v>4124</v>
      </c>
      <c r="E42" s="236" t="s">
        <v>3676</v>
      </c>
      <c r="F42" s="240" t="s">
        <v>4060</v>
      </c>
      <c r="G42" s="214">
        <v>0</v>
      </c>
      <c r="H42" s="231" t="s">
        <v>4054</v>
      </c>
      <c r="I42" s="231"/>
      <c r="J42" s="231"/>
      <c r="K42" s="231"/>
      <c r="L42" s="231"/>
      <c r="M42" s="231"/>
      <c r="N42" s="231" t="s">
        <v>4074</v>
      </c>
      <c r="O42" s="246" t="s">
        <v>4438</v>
      </c>
      <c r="P42" s="246" t="s">
        <v>4438</v>
      </c>
      <c r="Q42" s="225" t="s">
        <v>4438</v>
      </c>
      <c r="R42" s="212" t="s">
        <v>3731</v>
      </c>
      <c r="S42" s="213" t="s">
        <v>4054</v>
      </c>
      <c r="T42" s="233" t="s">
        <v>4053</v>
      </c>
      <c r="U42" s="234" t="s">
        <v>4058</v>
      </c>
      <c r="V42" s="233" t="s">
        <v>4052</v>
      </c>
      <c r="W42" s="233" t="s">
        <v>4052</v>
      </c>
      <c r="X42" s="234" t="s">
        <v>4054</v>
      </c>
      <c r="Y42" s="234"/>
      <c r="Z42" s="234" t="s">
        <v>4072</v>
      </c>
      <c r="AA42" s="224">
        <v>202409</v>
      </c>
      <c r="AB42" s="243"/>
      <c r="AC42" s="233" t="s">
        <v>4057</v>
      </c>
      <c r="AD42" s="244" t="s">
        <v>4056</v>
      </c>
      <c r="AE42" s="245">
        <v>0</v>
      </c>
      <c r="AF42" s="244" t="s">
        <v>4056</v>
      </c>
      <c r="AG42" s="239" t="s">
        <v>4434</v>
      </c>
      <c r="AH42" s="9" t="s">
        <v>4433</v>
      </c>
      <c r="AI42" s="235" t="s">
        <v>4054</v>
      </c>
      <c r="AJ42" s="235" t="s">
        <v>4054</v>
      </c>
      <c r="AK42" s="235" t="s">
        <v>4055</v>
      </c>
    </row>
    <row r="43" spans="1:38" x14ac:dyDescent="0.3">
      <c r="A43" s="229" t="s">
        <v>235</v>
      </c>
      <c r="B43" s="229" t="s">
        <v>4441</v>
      </c>
      <c r="C43" s="241" t="s">
        <v>4061</v>
      </c>
      <c r="D43" s="237" t="s">
        <v>4449</v>
      </c>
      <c r="E43" s="236" t="s">
        <v>3949</v>
      </c>
      <c r="F43" s="240" t="s">
        <v>4060</v>
      </c>
      <c r="G43" s="214">
        <v>0</v>
      </c>
      <c r="H43" s="231" t="s">
        <v>4054</v>
      </c>
      <c r="I43" s="231"/>
      <c r="J43" s="231"/>
      <c r="K43" s="231"/>
      <c r="L43" s="231"/>
      <c r="M43" s="231"/>
      <c r="N43" s="231" t="s">
        <v>4074</v>
      </c>
      <c r="O43" s="246" t="s">
        <v>4438</v>
      </c>
      <c r="P43" s="246" t="s">
        <v>4438</v>
      </c>
      <c r="Q43" s="225" t="s">
        <v>4438</v>
      </c>
      <c r="R43" s="212" t="s">
        <v>3950</v>
      </c>
      <c r="S43" s="213" t="s">
        <v>4054</v>
      </c>
      <c r="T43" s="233" t="s">
        <v>4053</v>
      </c>
      <c r="U43" s="234" t="s">
        <v>4058</v>
      </c>
      <c r="V43" s="233" t="s">
        <v>4052</v>
      </c>
      <c r="W43" s="233" t="s">
        <v>4052</v>
      </c>
      <c r="X43" s="234" t="s">
        <v>4054</v>
      </c>
      <c r="Y43" s="234"/>
      <c r="Z43" s="234" t="s">
        <v>4072</v>
      </c>
      <c r="AA43" s="224">
        <v>202409</v>
      </c>
      <c r="AB43" s="243"/>
      <c r="AC43" s="233" t="s">
        <v>4057</v>
      </c>
      <c r="AD43" s="244" t="s">
        <v>4056</v>
      </c>
      <c r="AE43" s="245">
        <v>0</v>
      </c>
      <c r="AF43" s="244" t="s">
        <v>4056</v>
      </c>
      <c r="AG43" s="239" t="s">
        <v>4434</v>
      </c>
      <c r="AH43" s="9" t="s">
        <v>4433</v>
      </c>
      <c r="AI43" s="235" t="s">
        <v>4054</v>
      </c>
      <c r="AJ43" s="235" t="s">
        <v>4054</v>
      </c>
      <c r="AK43" s="235" t="s">
        <v>4055</v>
      </c>
    </row>
    <row r="44" spans="1:38" x14ac:dyDescent="0.3">
      <c r="A44" s="229" t="s">
        <v>235</v>
      </c>
      <c r="B44" s="229" t="s">
        <v>4441</v>
      </c>
      <c r="C44" s="241" t="s">
        <v>4061</v>
      </c>
      <c r="D44" s="237" t="s">
        <v>4178</v>
      </c>
      <c r="E44" s="236" t="s">
        <v>3957</v>
      </c>
      <c r="F44" s="240" t="s">
        <v>4060</v>
      </c>
      <c r="G44" s="214">
        <v>0</v>
      </c>
      <c r="H44" s="231" t="s">
        <v>4054</v>
      </c>
      <c r="I44" s="231"/>
      <c r="J44" s="231"/>
      <c r="K44" s="231"/>
      <c r="L44" s="231"/>
      <c r="M44" s="231"/>
      <c r="N44" s="231" t="s">
        <v>4074</v>
      </c>
      <c r="O44" s="246" t="s">
        <v>4438</v>
      </c>
      <c r="P44" s="246" t="s">
        <v>4438</v>
      </c>
      <c r="Q44" s="225" t="s">
        <v>4438</v>
      </c>
      <c r="R44" s="212" t="s">
        <v>3958</v>
      </c>
      <c r="S44" s="213" t="s">
        <v>4054</v>
      </c>
      <c r="T44" s="233" t="s">
        <v>4053</v>
      </c>
      <c r="U44" s="234" t="s">
        <v>4058</v>
      </c>
      <c r="V44" s="233" t="s">
        <v>4052</v>
      </c>
      <c r="W44" s="233" t="s">
        <v>4052</v>
      </c>
      <c r="X44" s="234" t="s">
        <v>4054</v>
      </c>
      <c r="Y44" s="234"/>
      <c r="Z44" s="234" t="s">
        <v>4072</v>
      </c>
      <c r="AA44" s="224">
        <v>202409</v>
      </c>
      <c r="AB44" s="243"/>
      <c r="AC44" s="233" t="s">
        <v>4057</v>
      </c>
      <c r="AD44" s="244" t="s">
        <v>4056</v>
      </c>
      <c r="AE44" s="245">
        <v>0</v>
      </c>
      <c r="AF44" s="244" t="s">
        <v>4056</v>
      </c>
      <c r="AG44" s="239" t="s">
        <v>4434</v>
      </c>
      <c r="AH44" s="9" t="s">
        <v>4433</v>
      </c>
      <c r="AI44" s="235" t="s">
        <v>4054</v>
      </c>
      <c r="AJ44" s="235" t="s">
        <v>4054</v>
      </c>
      <c r="AK44" s="235" t="s">
        <v>4055</v>
      </c>
    </row>
    <row r="45" spans="1:38" x14ac:dyDescent="0.3">
      <c r="A45" s="229" t="s">
        <v>235</v>
      </c>
      <c r="B45" s="229" t="s">
        <v>4441</v>
      </c>
      <c r="C45" s="241" t="s">
        <v>4061</v>
      </c>
      <c r="D45" s="237" t="s">
        <v>4448</v>
      </c>
      <c r="E45" s="236" t="s">
        <v>4447</v>
      </c>
      <c r="F45" s="240" t="s">
        <v>4060</v>
      </c>
      <c r="G45" s="214">
        <v>0</v>
      </c>
      <c r="H45" s="231" t="s">
        <v>4054</v>
      </c>
      <c r="I45" s="231"/>
      <c r="J45" s="231"/>
      <c r="K45" s="231"/>
      <c r="L45" s="231"/>
      <c r="M45" s="231"/>
      <c r="N45" s="231" t="s">
        <v>4074</v>
      </c>
      <c r="O45" s="246" t="s">
        <v>4438</v>
      </c>
      <c r="P45" s="246" t="s">
        <v>4438</v>
      </c>
      <c r="Q45" s="225" t="s">
        <v>4438</v>
      </c>
      <c r="R45" s="212" t="s">
        <v>4446</v>
      </c>
      <c r="S45" s="213" t="s">
        <v>4054</v>
      </c>
      <c r="T45" s="233" t="s">
        <v>4053</v>
      </c>
      <c r="U45" s="234" t="s">
        <v>4058</v>
      </c>
      <c r="V45" s="233" t="s">
        <v>4052</v>
      </c>
      <c r="W45" s="233" t="s">
        <v>4052</v>
      </c>
      <c r="X45" s="234" t="s">
        <v>4054</v>
      </c>
      <c r="Y45" s="234"/>
      <c r="Z45" s="234" t="s">
        <v>4072</v>
      </c>
      <c r="AA45" s="224">
        <v>202409</v>
      </c>
      <c r="AB45" s="243"/>
      <c r="AC45" s="233" t="s">
        <v>4057</v>
      </c>
      <c r="AD45" s="244" t="s">
        <v>4056</v>
      </c>
      <c r="AE45" s="245">
        <v>0</v>
      </c>
      <c r="AF45" s="244" t="s">
        <v>4056</v>
      </c>
      <c r="AG45" s="239" t="s">
        <v>4434</v>
      </c>
      <c r="AH45" s="9" t="s">
        <v>4433</v>
      </c>
      <c r="AI45" s="235" t="s">
        <v>4054</v>
      </c>
      <c r="AJ45" s="235" t="s">
        <v>4054</v>
      </c>
      <c r="AK45" s="235" t="s">
        <v>4055</v>
      </c>
    </row>
    <row r="46" spans="1:38" x14ac:dyDescent="0.3">
      <c r="A46" s="229" t="s">
        <v>235</v>
      </c>
      <c r="B46" s="229" t="s">
        <v>4441</v>
      </c>
      <c r="C46" s="241" t="s">
        <v>4061</v>
      </c>
      <c r="D46" s="237" t="s">
        <v>4445</v>
      </c>
      <c r="E46" s="236" t="s">
        <v>4444</v>
      </c>
      <c r="F46" s="240" t="s">
        <v>4060</v>
      </c>
      <c r="G46" s="214">
        <v>0</v>
      </c>
      <c r="H46" s="231" t="s">
        <v>4054</v>
      </c>
      <c r="I46" s="231"/>
      <c r="J46" s="231"/>
      <c r="K46" s="231"/>
      <c r="L46" s="231"/>
      <c r="M46" s="231"/>
      <c r="N46" s="231" t="s">
        <v>4074</v>
      </c>
      <c r="O46" s="246" t="s">
        <v>4438</v>
      </c>
      <c r="P46" s="246" t="s">
        <v>4438</v>
      </c>
      <c r="Q46" s="225" t="s">
        <v>4438</v>
      </c>
      <c r="R46" s="212" t="s">
        <v>4443</v>
      </c>
      <c r="S46" s="213" t="s">
        <v>4442</v>
      </c>
      <c r="T46" s="233" t="s">
        <v>4053</v>
      </c>
      <c r="U46" s="234" t="s">
        <v>4058</v>
      </c>
      <c r="V46" s="233" t="s">
        <v>4052</v>
      </c>
      <c r="W46" s="233" t="s">
        <v>4052</v>
      </c>
      <c r="X46" s="234" t="s">
        <v>4054</v>
      </c>
      <c r="Y46" s="234"/>
      <c r="Z46" s="234" t="s">
        <v>4072</v>
      </c>
      <c r="AA46" s="224">
        <v>202409</v>
      </c>
      <c r="AB46" s="243"/>
      <c r="AC46" s="233" t="s">
        <v>4057</v>
      </c>
      <c r="AD46" s="244" t="s">
        <v>4056</v>
      </c>
      <c r="AE46" s="245">
        <v>0</v>
      </c>
      <c r="AF46" s="244" t="s">
        <v>4056</v>
      </c>
      <c r="AG46" s="239" t="s">
        <v>4434</v>
      </c>
      <c r="AH46" s="9" t="s">
        <v>4433</v>
      </c>
      <c r="AI46" s="235" t="s">
        <v>4054</v>
      </c>
      <c r="AJ46" s="235" t="s">
        <v>4054</v>
      </c>
      <c r="AK46" s="235" t="s">
        <v>4055</v>
      </c>
    </row>
    <row r="47" spans="1:38" x14ac:dyDescent="0.3">
      <c r="A47" s="229" t="s">
        <v>235</v>
      </c>
      <c r="B47" s="229" t="s">
        <v>4441</v>
      </c>
      <c r="C47" s="241" t="s">
        <v>4061</v>
      </c>
      <c r="D47" s="237" t="s">
        <v>4440</v>
      </c>
      <c r="E47" s="236" t="s">
        <v>4439</v>
      </c>
      <c r="F47" s="240" t="s">
        <v>4060</v>
      </c>
      <c r="G47" s="214">
        <v>0</v>
      </c>
      <c r="H47" s="231" t="s">
        <v>4054</v>
      </c>
      <c r="I47" s="231"/>
      <c r="J47" s="231"/>
      <c r="K47" s="231"/>
      <c r="L47" s="231"/>
      <c r="M47" s="231"/>
      <c r="N47" s="231" t="s">
        <v>4074</v>
      </c>
      <c r="O47" s="246" t="s">
        <v>4438</v>
      </c>
      <c r="P47" s="246" t="s">
        <v>4438</v>
      </c>
      <c r="Q47" s="225" t="s">
        <v>4438</v>
      </c>
      <c r="R47" s="212" t="s">
        <v>4436</v>
      </c>
      <c r="S47" s="213" t="s">
        <v>4435</v>
      </c>
      <c r="T47" s="233" t="s">
        <v>4053</v>
      </c>
      <c r="U47" s="234" t="s">
        <v>4058</v>
      </c>
      <c r="V47" s="233" t="s">
        <v>4052</v>
      </c>
      <c r="W47" s="233" t="s">
        <v>4052</v>
      </c>
      <c r="X47" s="234" t="s">
        <v>4054</v>
      </c>
      <c r="Y47" s="234"/>
      <c r="Z47" s="234" t="s">
        <v>4072</v>
      </c>
      <c r="AA47" s="224">
        <v>202409</v>
      </c>
      <c r="AB47" s="243"/>
      <c r="AC47" s="233" t="s">
        <v>4057</v>
      </c>
      <c r="AD47" s="244" t="s">
        <v>4056</v>
      </c>
      <c r="AE47" s="245">
        <v>0</v>
      </c>
      <c r="AF47" s="244" t="s">
        <v>4056</v>
      </c>
      <c r="AG47" s="239" t="s">
        <v>4434</v>
      </c>
      <c r="AH47" s="9" t="s">
        <v>4433</v>
      </c>
      <c r="AI47" s="235" t="s">
        <v>4054</v>
      </c>
      <c r="AJ47" s="235" t="s">
        <v>4054</v>
      </c>
      <c r="AK47" s="235" t="s">
        <v>4055</v>
      </c>
    </row>
    <row r="48" spans="1:38" x14ac:dyDescent="0.3">
      <c r="A48" s="229" t="s">
        <v>2417</v>
      </c>
      <c r="B48" s="229" t="s">
        <v>4224</v>
      </c>
      <c r="C48" s="241" t="s">
        <v>4061</v>
      </c>
      <c r="D48" s="237" t="s">
        <v>4432</v>
      </c>
      <c r="E48" s="236" t="s">
        <v>3794</v>
      </c>
      <c r="F48" s="240" t="s">
        <v>4060</v>
      </c>
      <c r="G48" s="214">
        <v>0</v>
      </c>
      <c r="H48" s="231" t="s">
        <v>4054</v>
      </c>
      <c r="I48" s="231"/>
      <c r="J48" s="231"/>
      <c r="K48" s="231"/>
      <c r="L48" s="231"/>
      <c r="M48" s="231"/>
      <c r="N48" s="231" t="s">
        <v>4074</v>
      </c>
      <c r="O48" s="246"/>
      <c r="P48" s="246"/>
      <c r="Q48" s="225"/>
      <c r="R48" s="212" t="s">
        <v>4431</v>
      </c>
      <c r="S48" s="213" t="s">
        <v>4430</v>
      </c>
      <c r="T48" s="233" t="s">
        <v>4053</v>
      </c>
      <c r="U48" s="234" t="s">
        <v>4058</v>
      </c>
      <c r="V48" s="233" t="s">
        <v>4052</v>
      </c>
      <c r="W48" s="233" t="s">
        <v>4052</v>
      </c>
      <c r="X48" s="234" t="s">
        <v>4054</v>
      </c>
      <c r="Y48" s="234"/>
      <c r="Z48" s="234"/>
      <c r="AA48" s="224">
        <v>202409</v>
      </c>
      <c r="AB48" s="243"/>
      <c r="AC48" s="233" t="s">
        <v>4057</v>
      </c>
      <c r="AD48" s="244" t="s">
        <v>4056</v>
      </c>
      <c r="AE48" s="245">
        <v>0</v>
      </c>
      <c r="AF48" s="244" t="s">
        <v>4056</v>
      </c>
      <c r="AG48" s="239" t="s">
        <v>2419</v>
      </c>
      <c r="AH48" s="9" t="s">
        <v>4222</v>
      </c>
      <c r="AI48" s="235" t="s">
        <v>4054</v>
      </c>
      <c r="AJ48" s="235" t="s">
        <v>4054</v>
      </c>
      <c r="AK48" s="235" t="s">
        <v>4055</v>
      </c>
    </row>
    <row r="49" spans="1:37" x14ac:dyDescent="0.3">
      <c r="A49" s="229" t="s">
        <v>2417</v>
      </c>
      <c r="B49" s="229" t="s">
        <v>4224</v>
      </c>
      <c r="C49" s="241" t="s">
        <v>4061</v>
      </c>
      <c r="D49" s="237" t="s">
        <v>4429</v>
      </c>
      <c r="E49" s="236" t="s">
        <v>4428</v>
      </c>
      <c r="F49" s="240" t="s">
        <v>4060</v>
      </c>
      <c r="G49" s="214">
        <v>0</v>
      </c>
      <c r="H49" s="231" t="s">
        <v>4054</v>
      </c>
      <c r="I49" s="231"/>
      <c r="J49" s="231"/>
      <c r="K49" s="231"/>
      <c r="L49" s="231"/>
      <c r="M49" s="231"/>
      <c r="N49" s="231" t="s">
        <v>4074</v>
      </c>
      <c r="O49" s="246"/>
      <c r="P49" s="246"/>
      <c r="Q49" s="225"/>
      <c r="R49" s="212" t="s">
        <v>4427</v>
      </c>
      <c r="S49" s="213">
        <v>410000190</v>
      </c>
      <c r="T49" s="233" t="s">
        <v>4053</v>
      </c>
      <c r="U49" s="234" t="s">
        <v>4058</v>
      </c>
      <c r="V49" s="233" t="s">
        <v>4052</v>
      </c>
      <c r="W49" s="233" t="s">
        <v>4052</v>
      </c>
      <c r="X49" s="234" t="s">
        <v>4054</v>
      </c>
      <c r="Y49" s="234"/>
      <c r="Z49" s="234"/>
      <c r="AA49" s="224">
        <v>202409</v>
      </c>
      <c r="AB49" s="243"/>
      <c r="AC49" s="233" t="s">
        <v>4057</v>
      </c>
      <c r="AD49" s="244" t="s">
        <v>4056</v>
      </c>
      <c r="AE49" s="245">
        <v>0</v>
      </c>
      <c r="AF49" s="244" t="s">
        <v>4056</v>
      </c>
      <c r="AG49" s="239" t="s">
        <v>2419</v>
      </c>
      <c r="AH49" s="9" t="s">
        <v>4222</v>
      </c>
      <c r="AI49" s="235" t="s">
        <v>4054</v>
      </c>
      <c r="AJ49" s="235" t="s">
        <v>4054</v>
      </c>
      <c r="AK49" s="235" t="s">
        <v>4055</v>
      </c>
    </row>
    <row r="50" spans="1:37" x14ac:dyDescent="0.3">
      <c r="A50" s="229" t="s">
        <v>2417</v>
      </c>
      <c r="B50" s="229" t="s">
        <v>4224</v>
      </c>
      <c r="C50" s="241" t="s">
        <v>4061</v>
      </c>
      <c r="D50" s="237" t="s">
        <v>4178</v>
      </c>
      <c r="E50" s="236" t="s">
        <v>3957</v>
      </c>
      <c r="F50" s="240" t="s">
        <v>4060</v>
      </c>
      <c r="G50" s="214">
        <v>0</v>
      </c>
      <c r="H50" s="231" t="s">
        <v>4054</v>
      </c>
      <c r="I50" s="231"/>
      <c r="J50" s="231"/>
      <c r="K50" s="231"/>
      <c r="L50" s="231"/>
      <c r="M50" s="231"/>
      <c r="N50" s="231" t="s">
        <v>4074</v>
      </c>
      <c r="O50" s="246"/>
      <c r="P50" s="246"/>
      <c r="Q50" s="225"/>
      <c r="R50" s="212" t="s">
        <v>3958</v>
      </c>
      <c r="S50" s="213" t="s">
        <v>4426</v>
      </c>
      <c r="T50" s="233" t="s">
        <v>4053</v>
      </c>
      <c r="U50" s="234" t="s">
        <v>4058</v>
      </c>
      <c r="V50" s="233" t="s">
        <v>4052</v>
      </c>
      <c r="W50" s="233" t="s">
        <v>4052</v>
      </c>
      <c r="X50" s="234" t="s">
        <v>4054</v>
      </c>
      <c r="Y50" s="234"/>
      <c r="Z50" s="234"/>
      <c r="AA50" s="224">
        <v>202409</v>
      </c>
      <c r="AB50" s="243"/>
      <c r="AC50" s="233" t="s">
        <v>4057</v>
      </c>
      <c r="AD50" s="244" t="s">
        <v>4056</v>
      </c>
      <c r="AE50" s="245">
        <v>0</v>
      </c>
      <c r="AF50" s="244" t="s">
        <v>4056</v>
      </c>
      <c r="AG50" s="239" t="s">
        <v>2419</v>
      </c>
      <c r="AH50" s="9" t="s">
        <v>4222</v>
      </c>
      <c r="AI50" s="235" t="s">
        <v>4054</v>
      </c>
      <c r="AJ50" s="235" t="s">
        <v>4054</v>
      </c>
      <c r="AK50" s="235" t="s">
        <v>4055</v>
      </c>
    </row>
    <row r="51" spans="1:37" x14ac:dyDescent="0.3">
      <c r="A51" s="229" t="s">
        <v>2417</v>
      </c>
      <c r="B51" s="229" t="s">
        <v>4224</v>
      </c>
      <c r="C51" s="241" t="s">
        <v>4061</v>
      </c>
      <c r="D51" s="237" t="s">
        <v>4425</v>
      </c>
      <c r="E51" s="236" t="s">
        <v>4424</v>
      </c>
      <c r="F51" s="240" t="s">
        <v>4060</v>
      </c>
      <c r="G51" s="214">
        <v>0</v>
      </c>
      <c r="H51" s="231" t="s">
        <v>4054</v>
      </c>
      <c r="I51" s="231"/>
      <c r="J51" s="231"/>
      <c r="K51" s="231"/>
      <c r="L51" s="231"/>
      <c r="M51" s="231"/>
      <c r="N51" s="231" t="s">
        <v>4074</v>
      </c>
      <c r="O51" s="246"/>
      <c r="P51" s="246"/>
      <c r="Q51" s="225"/>
      <c r="R51" s="212" t="s">
        <v>4423</v>
      </c>
      <c r="S51" s="213" t="s">
        <v>4422</v>
      </c>
      <c r="T51" s="233" t="s">
        <v>4053</v>
      </c>
      <c r="U51" s="234" t="s">
        <v>4058</v>
      </c>
      <c r="V51" s="233" t="s">
        <v>4052</v>
      </c>
      <c r="W51" s="233" t="s">
        <v>4052</v>
      </c>
      <c r="X51" s="234" t="s">
        <v>4054</v>
      </c>
      <c r="Y51" s="234"/>
      <c r="Z51" s="234"/>
      <c r="AA51" s="224">
        <v>202409</v>
      </c>
      <c r="AB51" s="243"/>
      <c r="AC51" s="233" t="s">
        <v>4057</v>
      </c>
      <c r="AD51" s="244" t="s">
        <v>4056</v>
      </c>
      <c r="AE51" s="245">
        <v>0</v>
      </c>
      <c r="AF51" s="244" t="s">
        <v>4056</v>
      </c>
      <c r="AG51" s="239" t="s">
        <v>2419</v>
      </c>
      <c r="AH51" s="9" t="s">
        <v>4222</v>
      </c>
      <c r="AI51" s="235" t="s">
        <v>4054</v>
      </c>
      <c r="AJ51" s="235" t="s">
        <v>4054</v>
      </c>
      <c r="AK51" s="235" t="s">
        <v>4055</v>
      </c>
    </row>
    <row r="52" spans="1:37" x14ac:dyDescent="0.3">
      <c r="A52" s="229" t="s">
        <v>2417</v>
      </c>
      <c r="B52" s="229" t="s">
        <v>4224</v>
      </c>
      <c r="C52" s="241" t="s">
        <v>4061</v>
      </c>
      <c r="D52" s="237" t="s">
        <v>4421</v>
      </c>
      <c r="E52" s="236" t="s">
        <v>4420</v>
      </c>
      <c r="F52" s="240" t="s">
        <v>4060</v>
      </c>
      <c r="G52" s="214">
        <v>0</v>
      </c>
      <c r="H52" s="231" t="s">
        <v>4054</v>
      </c>
      <c r="I52" s="231"/>
      <c r="J52" s="231"/>
      <c r="K52" s="231"/>
      <c r="L52" s="231"/>
      <c r="M52" s="231"/>
      <c r="N52" s="231" t="s">
        <v>4074</v>
      </c>
      <c r="O52" s="246"/>
      <c r="P52" s="246"/>
      <c r="Q52" s="225"/>
      <c r="R52" s="212" t="s">
        <v>4419</v>
      </c>
      <c r="S52" s="213" t="s">
        <v>4418</v>
      </c>
      <c r="T52" s="233" t="s">
        <v>4053</v>
      </c>
      <c r="U52" s="234" t="s">
        <v>4058</v>
      </c>
      <c r="V52" s="233" t="s">
        <v>4052</v>
      </c>
      <c r="W52" s="233" t="s">
        <v>4052</v>
      </c>
      <c r="X52" s="234" t="s">
        <v>4054</v>
      </c>
      <c r="Y52" s="234"/>
      <c r="Z52" s="234"/>
      <c r="AA52" s="224">
        <v>202409</v>
      </c>
      <c r="AB52" s="243"/>
      <c r="AC52" s="233" t="s">
        <v>4057</v>
      </c>
      <c r="AD52" s="244" t="s">
        <v>4056</v>
      </c>
      <c r="AE52" s="245">
        <v>0</v>
      </c>
      <c r="AF52" s="244" t="s">
        <v>4056</v>
      </c>
      <c r="AG52" s="239" t="s">
        <v>2419</v>
      </c>
      <c r="AH52" s="9" t="s">
        <v>4222</v>
      </c>
      <c r="AI52" s="235" t="s">
        <v>4054</v>
      </c>
      <c r="AJ52" s="235" t="s">
        <v>4054</v>
      </c>
      <c r="AK52" s="235" t="s">
        <v>4055</v>
      </c>
    </row>
    <row r="53" spans="1:37" x14ac:dyDescent="0.3">
      <c r="A53" s="229" t="s">
        <v>2417</v>
      </c>
      <c r="B53" s="229" t="s">
        <v>4224</v>
      </c>
      <c r="C53" s="241" t="s">
        <v>4061</v>
      </c>
      <c r="D53" s="237" t="s">
        <v>4417</v>
      </c>
      <c r="E53" s="236" t="s">
        <v>4416</v>
      </c>
      <c r="F53" s="240" t="s">
        <v>4060</v>
      </c>
      <c r="G53" s="214">
        <v>0</v>
      </c>
      <c r="H53" s="231" t="s">
        <v>4054</v>
      </c>
      <c r="I53" s="231"/>
      <c r="J53" s="231"/>
      <c r="K53" s="231"/>
      <c r="L53" s="231"/>
      <c r="M53" s="231"/>
      <c r="N53" s="231" t="s">
        <v>4074</v>
      </c>
      <c r="O53" s="246"/>
      <c r="P53" s="246"/>
      <c r="Q53" s="225"/>
      <c r="R53" s="212" t="s">
        <v>4415</v>
      </c>
      <c r="S53" s="213" t="s">
        <v>4414</v>
      </c>
      <c r="T53" s="233" t="s">
        <v>4053</v>
      </c>
      <c r="U53" s="234" t="s">
        <v>4058</v>
      </c>
      <c r="V53" s="233" t="s">
        <v>4052</v>
      </c>
      <c r="W53" s="233" t="s">
        <v>4052</v>
      </c>
      <c r="X53" s="234" t="s">
        <v>4054</v>
      </c>
      <c r="Y53" s="234"/>
      <c r="Z53" s="234"/>
      <c r="AA53" s="224">
        <v>202409</v>
      </c>
      <c r="AB53" s="243"/>
      <c r="AC53" s="233" t="s">
        <v>4057</v>
      </c>
      <c r="AD53" s="244" t="s">
        <v>4056</v>
      </c>
      <c r="AE53" s="245">
        <v>0</v>
      </c>
      <c r="AF53" s="244" t="s">
        <v>4056</v>
      </c>
      <c r="AG53" s="239" t="s">
        <v>2419</v>
      </c>
      <c r="AH53" s="9" t="s">
        <v>4222</v>
      </c>
      <c r="AI53" s="235" t="s">
        <v>4054</v>
      </c>
      <c r="AJ53" s="235" t="s">
        <v>4054</v>
      </c>
      <c r="AK53" s="235" t="s">
        <v>4055</v>
      </c>
    </row>
    <row r="54" spans="1:37" x14ac:dyDescent="0.3">
      <c r="A54" s="229" t="s">
        <v>2417</v>
      </c>
      <c r="B54" s="229" t="s">
        <v>4224</v>
      </c>
      <c r="C54" s="241" t="s">
        <v>4061</v>
      </c>
      <c r="D54" s="237" t="s">
        <v>4413</v>
      </c>
      <c r="E54" s="236" t="s">
        <v>3867</v>
      </c>
      <c r="F54" s="240" t="s">
        <v>4060</v>
      </c>
      <c r="G54" s="214">
        <v>0</v>
      </c>
      <c r="H54" s="231" t="s">
        <v>4054</v>
      </c>
      <c r="I54" s="231"/>
      <c r="J54" s="231"/>
      <c r="K54" s="231"/>
      <c r="L54" s="231"/>
      <c r="M54" s="231"/>
      <c r="N54" s="231" t="s">
        <v>4074</v>
      </c>
      <c r="O54" s="246"/>
      <c r="P54" s="246"/>
      <c r="Q54" s="225"/>
      <c r="R54" s="212" t="s">
        <v>3868</v>
      </c>
      <c r="S54" s="213" t="s">
        <v>4412</v>
      </c>
      <c r="T54" s="233" t="s">
        <v>4053</v>
      </c>
      <c r="U54" s="234" t="s">
        <v>4058</v>
      </c>
      <c r="V54" s="233" t="s">
        <v>4052</v>
      </c>
      <c r="W54" s="233" t="s">
        <v>4052</v>
      </c>
      <c r="X54" s="234" t="s">
        <v>4054</v>
      </c>
      <c r="Y54" s="234"/>
      <c r="Z54" s="234"/>
      <c r="AA54" s="224">
        <v>202409</v>
      </c>
      <c r="AB54" s="243"/>
      <c r="AC54" s="233" t="s">
        <v>4057</v>
      </c>
      <c r="AD54" s="244" t="s">
        <v>4056</v>
      </c>
      <c r="AE54" s="245">
        <v>0</v>
      </c>
      <c r="AF54" s="244" t="s">
        <v>4056</v>
      </c>
      <c r="AG54" s="239" t="s">
        <v>2419</v>
      </c>
      <c r="AH54" s="9" t="s">
        <v>4222</v>
      </c>
      <c r="AI54" s="235" t="s">
        <v>4054</v>
      </c>
      <c r="AJ54" s="235" t="s">
        <v>4054</v>
      </c>
      <c r="AK54" s="235" t="s">
        <v>4055</v>
      </c>
    </row>
    <row r="55" spans="1:37" x14ac:dyDescent="0.3">
      <c r="A55" s="229" t="s">
        <v>2417</v>
      </c>
      <c r="B55" s="229" t="s">
        <v>4224</v>
      </c>
      <c r="C55" s="241" t="s">
        <v>4061</v>
      </c>
      <c r="D55" s="237" t="s">
        <v>4109</v>
      </c>
      <c r="E55" s="236" t="s">
        <v>4108</v>
      </c>
      <c r="F55" s="240" t="s">
        <v>4060</v>
      </c>
      <c r="G55" s="214">
        <v>0</v>
      </c>
      <c r="H55" s="231" t="s">
        <v>4054</v>
      </c>
      <c r="I55" s="231"/>
      <c r="J55" s="231"/>
      <c r="K55" s="231"/>
      <c r="L55" s="231"/>
      <c r="M55" s="231"/>
      <c r="N55" s="231" t="s">
        <v>4074</v>
      </c>
      <c r="O55" s="246"/>
      <c r="P55" s="246"/>
      <c r="Q55" s="225"/>
      <c r="R55" s="212" t="s">
        <v>4107</v>
      </c>
      <c r="S55" s="213" t="s">
        <v>4411</v>
      </c>
      <c r="T55" s="233" t="s">
        <v>4053</v>
      </c>
      <c r="U55" s="234" t="s">
        <v>4058</v>
      </c>
      <c r="V55" s="233" t="s">
        <v>4052</v>
      </c>
      <c r="W55" s="233" t="s">
        <v>4052</v>
      </c>
      <c r="X55" s="234" t="s">
        <v>4054</v>
      </c>
      <c r="Y55" s="234"/>
      <c r="Z55" s="234"/>
      <c r="AA55" s="224">
        <v>202409</v>
      </c>
      <c r="AB55" s="243"/>
      <c r="AC55" s="233" t="s">
        <v>4057</v>
      </c>
      <c r="AD55" s="244" t="s">
        <v>4056</v>
      </c>
      <c r="AE55" s="245">
        <v>0</v>
      </c>
      <c r="AF55" s="244" t="s">
        <v>4056</v>
      </c>
      <c r="AG55" s="239" t="s">
        <v>2419</v>
      </c>
      <c r="AH55" s="9" t="s">
        <v>4222</v>
      </c>
      <c r="AI55" s="235" t="s">
        <v>4054</v>
      </c>
      <c r="AJ55" s="235" t="s">
        <v>4054</v>
      </c>
      <c r="AK55" s="235" t="s">
        <v>4055</v>
      </c>
    </row>
    <row r="56" spans="1:37" x14ac:dyDescent="0.3">
      <c r="A56" s="229" t="s">
        <v>2417</v>
      </c>
      <c r="B56" s="229" t="s">
        <v>4224</v>
      </c>
      <c r="C56" s="241" t="s">
        <v>4061</v>
      </c>
      <c r="D56" s="237" t="s">
        <v>4410</v>
      </c>
      <c r="E56" s="236" t="s">
        <v>3869</v>
      </c>
      <c r="F56" s="240" t="s">
        <v>4060</v>
      </c>
      <c r="G56" s="214">
        <v>0</v>
      </c>
      <c r="H56" s="231" t="s">
        <v>4054</v>
      </c>
      <c r="I56" s="231"/>
      <c r="J56" s="231"/>
      <c r="K56" s="231"/>
      <c r="L56" s="231"/>
      <c r="M56" s="231"/>
      <c r="N56" s="231" t="s">
        <v>4074</v>
      </c>
      <c r="O56" s="246"/>
      <c r="P56" s="246"/>
      <c r="Q56" s="225"/>
      <c r="R56" s="212" t="s">
        <v>3870</v>
      </c>
      <c r="S56" s="213" t="s">
        <v>4409</v>
      </c>
      <c r="T56" s="233" t="s">
        <v>4053</v>
      </c>
      <c r="U56" s="234" t="s">
        <v>4058</v>
      </c>
      <c r="V56" s="233" t="s">
        <v>4052</v>
      </c>
      <c r="W56" s="233" t="s">
        <v>4052</v>
      </c>
      <c r="X56" s="234" t="s">
        <v>4054</v>
      </c>
      <c r="Y56" s="234"/>
      <c r="Z56" s="234"/>
      <c r="AA56" s="224">
        <v>202409</v>
      </c>
      <c r="AB56" s="243"/>
      <c r="AC56" s="233" t="s">
        <v>4057</v>
      </c>
      <c r="AD56" s="244" t="s">
        <v>4056</v>
      </c>
      <c r="AE56" s="245">
        <v>0</v>
      </c>
      <c r="AF56" s="244" t="s">
        <v>4056</v>
      </c>
      <c r="AG56" s="239" t="s">
        <v>2419</v>
      </c>
      <c r="AH56" s="9" t="s">
        <v>4222</v>
      </c>
      <c r="AI56" s="235" t="s">
        <v>4054</v>
      </c>
      <c r="AJ56" s="235" t="s">
        <v>4054</v>
      </c>
      <c r="AK56" s="235" t="s">
        <v>4055</v>
      </c>
    </row>
    <row r="57" spans="1:37" x14ac:dyDescent="0.3">
      <c r="A57" s="229" t="s">
        <v>2417</v>
      </c>
      <c r="B57" s="229" t="s">
        <v>4224</v>
      </c>
      <c r="C57" s="241" t="s">
        <v>4061</v>
      </c>
      <c r="D57" s="237" t="s">
        <v>4408</v>
      </c>
      <c r="E57" s="236" t="s">
        <v>3873</v>
      </c>
      <c r="F57" s="240" t="s">
        <v>4060</v>
      </c>
      <c r="G57" s="214">
        <v>0</v>
      </c>
      <c r="H57" s="231" t="s">
        <v>4054</v>
      </c>
      <c r="I57" s="231"/>
      <c r="J57" s="231"/>
      <c r="K57" s="231"/>
      <c r="L57" s="231"/>
      <c r="M57" s="231"/>
      <c r="N57" s="231" t="s">
        <v>4074</v>
      </c>
      <c r="O57" s="246"/>
      <c r="P57" s="246"/>
      <c r="Q57" s="225"/>
      <c r="R57" s="212" t="s">
        <v>3874</v>
      </c>
      <c r="S57" s="213" t="s">
        <v>4407</v>
      </c>
      <c r="T57" s="233" t="s">
        <v>4053</v>
      </c>
      <c r="U57" s="234" t="s">
        <v>4058</v>
      </c>
      <c r="V57" s="233" t="s">
        <v>4052</v>
      </c>
      <c r="W57" s="233" t="s">
        <v>4052</v>
      </c>
      <c r="X57" s="234" t="s">
        <v>4054</v>
      </c>
      <c r="Y57" s="234"/>
      <c r="Z57" s="234"/>
      <c r="AA57" s="224">
        <v>202409</v>
      </c>
      <c r="AB57" s="243"/>
      <c r="AC57" s="233" t="s">
        <v>4057</v>
      </c>
      <c r="AD57" s="244" t="s">
        <v>4056</v>
      </c>
      <c r="AE57" s="245">
        <v>0</v>
      </c>
      <c r="AF57" s="244" t="s">
        <v>4056</v>
      </c>
      <c r="AG57" s="239" t="s">
        <v>2419</v>
      </c>
      <c r="AH57" s="9" t="s">
        <v>4222</v>
      </c>
      <c r="AI57" s="235" t="s">
        <v>4054</v>
      </c>
      <c r="AJ57" s="235" t="s">
        <v>4054</v>
      </c>
      <c r="AK57" s="235" t="s">
        <v>4055</v>
      </c>
    </row>
    <row r="58" spans="1:37" x14ac:dyDescent="0.3">
      <c r="A58" s="229" t="s">
        <v>2417</v>
      </c>
      <c r="B58" s="229" t="s">
        <v>4224</v>
      </c>
      <c r="C58" s="241" t="s">
        <v>4061</v>
      </c>
      <c r="D58" s="237" t="s">
        <v>4406</v>
      </c>
      <c r="E58" s="236" t="s">
        <v>3669</v>
      </c>
      <c r="F58" s="240" t="s">
        <v>4060</v>
      </c>
      <c r="G58" s="214">
        <v>0</v>
      </c>
      <c r="H58" s="231" t="s">
        <v>4054</v>
      </c>
      <c r="I58" s="231"/>
      <c r="J58" s="231"/>
      <c r="K58" s="231"/>
      <c r="L58" s="231"/>
      <c r="M58" s="231"/>
      <c r="N58" s="231" t="s">
        <v>4074</v>
      </c>
      <c r="O58" s="246"/>
      <c r="P58" s="246"/>
      <c r="Q58" s="225"/>
      <c r="R58" s="212" t="s">
        <v>3740</v>
      </c>
      <c r="S58" s="213" t="s">
        <v>4405</v>
      </c>
      <c r="T58" s="233" t="s">
        <v>4053</v>
      </c>
      <c r="U58" s="234" t="s">
        <v>4058</v>
      </c>
      <c r="V58" s="233" t="s">
        <v>4052</v>
      </c>
      <c r="W58" s="233" t="s">
        <v>4052</v>
      </c>
      <c r="X58" s="234" t="s">
        <v>4054</v>
      </c>
      <c r="Y58" s="234"/>
      <c r="Z58" s="234"/>
      <c r="AA58" s="224">
        <v>202409</v>
      </c>
      <c r="AB58" s="243"/>
      <c r="AC58" s="233" t="s">
        <v>4057</v>
      </c>
      <c r="AD58" s="244" t="s">
        <v>4056</v>
      </c>
      <c r="AE58" s="245">
        <v>0</v>
      </c>
      <c r="AF58" s="244" t="s">
        <v>4056</v>
      </c>
      <c r="AG58" s="239" t="s">
        <v>2419</v>
      </c>
      <c r="AH58" s="9" t="s">
        <v>4222</v>
      </c>
      <c r="AI58" s="235" t="s">
        <v>4054</v>
      </c>
      <c r="AJ58" s="235" t="s">
        <v>4054</v>
      </c>
      <c r="AK58" s="235" t="s">
        <v>4055</v>
      </c>
    </row>
    <row r="59" spans="1:37" x14ac:dyDescent="0.3">
      <c r="A59" s="229" t="s">
        <v>2417</v>
      </c>
      <c r="B59" s="229" t="s">
        <v>4224</v>
      </c>
      <c r="C59" s="241" t="s">
        <v>4061</v>
      </c>
      <c r="D59" s="237" t="s">
        <v>4106</v>
      </c>
      <c r="E59" s="236" t="s">
        <v>4105</v>
      </c>
      <c r="F59" s="240" t="s">
        <v>4060</v>
      </c>
      <c r="G59" s="214">
        <v>0</v>
      </c>
      <c r="H59" s="231" t="s">
        <v>4054</v>
      </c>
      <c r="I59" s="231"/>
      <c r="J59" s="231"/>
      <c r="K59" s="231"/>
      <c r="L59" s="231"/>
      <c r="M59" s="231"/>
      <c r="N59" s="231" t="s">
        <v>4074</v>
      </c>
      <c r="O59" s="246"/>
      <c r="P59" s="246"/>
      <c r="Q59" s="225"/>
      <c r="R59" s="212" t="s">
        <v>4104</v>
      </c>
      <c r="S59" s="213" t="s">
        <v>4404</v>
      </c>
      <c r="T59" s="233" t="s">
        <v>4053</v>
      </c>
      <c r="U59" s="234" t="s">
        <v>4058</v>
      </c>
      <c r="V59" s="233" t="s">
        <v>4052</v>
      </c>
      <c r="W59" s="233" t="s">
        <v>4052</v>
      </c>
      <c r="X59" s="234" t="s">
        <v>4054</v>
      </c>
      <c r="Y59" s="234"/>
      <c r="Z59" s="234"/>
      <c r="AA59" s="224">
        <v>202409</v>
      </c>
      <c r="AB59" s="243"/>
      <c r="AC59" s="233" t="s">
        <v>4057</v>
      </c>
      <c r="AD59" s="244" t="s">
        <v>4056</v>
      </c>
      <c r="AE59" s="245">
        <v>0</v>
      </c>
      <c r="AF59" s="244" t="s">
        <v>4056</v>
      </c>
      <c r="AG59" s="239" t="s">
        <v>2419</v>
      </c>
      <c r="AH59" s="9" t="s">
        <v>4222</v>
      </c>
      <c r="AI59" s="235" t="s">
        <v>4054</v>
      </c>
      <c r="AJ59" s="235" t="s">
        <v>4054</v>
      </c>
      <c r="AK59" s="235" t="s">
        <v>4055</v>
      </c>
    </row>
    <row r="60" spans="1:37" x14ac:dyDescent="0.3">
      <c r="A60" s="229" t="s">
        <v>2417</v>
      </c>
      <c r="B60" s="229" t="s">
        <v>4224</v>
      </c>
      <c r="C60" s="241" t="s">
        <v>4061</v>
      </c>
      <c r="D60" s="237" t="s">
        <v>4062</v>
      </c>
      <c r="E60" s="236" t="s">
        <v>3863</v>
      </c>
      <c r="F60" s="240" t="s">
        <v>4060</v>
      </c>
      <c r="G60" s="214">
        <v>0</v>
      </c>
      <c r="H60" s="231" t="s">
        <v>4054</v>
      </c>
      <c r="I60" s="231"/>
      <c r="J60" s="231"/>
      <c r="K60" s="231"/>
      <c r="L60" s="231"/>
      <c r="M60" s="231"/>
      <c r="N60" s="231" t="s">
        <v>4074</v>
      </c>
      <c r="O60" s="246"/>
      <c r="P60" s="246"/>
      <c r="Q60" s="225"/>
      <c r="R60" s="212" t="s">
        <v>3864</v>
      </c>
      <c r="S60" s="213" t="s">
        <v>4403</v>
      </c>
      <c r="T60" s="233" t="s">
        <v>4053</v>
      </c>
      <c r="U60" s="234" t="s">
        <v>4058</v>
      </c>
      <c r="V60" s="233" t="s">
        <v>4052</v>
      </c>
      <c r="W60" s="233" t="s">
        <v>4052</v>
      </c>
      <c r="X60" s="234" t="s">
        <v>4054</v>
      </c>
      <c r="Y60" s="234"/>
      <c r="Z60" s="234"/>
      <c r="AA60" s="224">
        <v>202409</v>
      </c>
      <c r="AB60" s="243"/>
      <c r="AC60" s="233" t="s">
        <v>4057</v>
      </c>
      <c r="AD60" s="244" t="s">
        <v>4056</v>
      </c>
      <c r="AE60" s="245">
        <v>0</v>
      </c>
      <c r="AF60" s="244" t="s">
        <v>4056</v>
      </c>
      <c r="AG60" s="239" t="s">
        <v>2419</v>
      </c>
      <c r="AH60" s="9" t="s">
        <v>4222</v>
      </c>
      <c r="AI60" s="235" t="s">
        <v>4054</v>
      </c>
      <c r="AJ60" s="235" t="s">
        <v>4054</v>
      </c>
      <c r="AK60" s="235" t="s">
        <v>4055</v>
      </c>
    </row>
    <row r="61" spans="1:37" x14ac:dyDescent="0.3">
      <c r="A61" s="229" t="s">
        <v>2417</v>
      </c>
      <c r="B61" s="229" t="s">
        <v>4224</v>
      </c>
      <c r="C61" s="241" t="s">
        <v>4061</v>
      </c>
      <c r="D61" s="237" t="s">
        <v>4402</v>
      </c>
      <c r="E61" s="236" t="s">
        <v>4401</v>
      </c>
      <c r="F61" s="240" t="s">
        <v>4060</v>
      </c>
      <c r="G61" s="214">
        <v>0</v>
      </c>
      <c r="H61" s="231" t="s">
        <v>4054</v>
      </c>
      <c r="I61" s="231"/>
      <c r="J61" s="231"/>
      <c r="K61" s="231"/>
      <c r="L61" s="231"/>
      <c r="M61" s="231"/>
      <c r="N61" s="231" t="s">
        <v>4074</v>
      </c>
      <c r="O61" s="246"/>
      <c r="P61" s="246"/>
      <c r="Q61" s="225"/>
      <c r="R61" s="212" t="s">
        <v>4400</v>
      </c>
      <c r="S61" s="213" t="s">
        <v>4399</v>
      </c>
      <c r="T61" s="233" t="s">
        <v>4053</v>
      </c>
      <c r="U61" s="234" t="s">
        <v>4058</v>
      </c>
      <c r="V61" s="233" t="s">
        <v>4052</v>
      </c>
      <c r="W61" s="233" t="s">
        <v>4052</v>
      </c>
      <c r="X61" s="234" t="s">
        <v>4054</v>
      </c>
      <c r="Y61" s="234"/>
      <c r="Z61" s="234"/>
      <c r="AA61" s="224">
        <v>202409</v>
      </c>
      <c r="AB61" s="243"/>
      <c r="AC61" s="233" t="s">
        <v>4057</v>
      </c>
      <c r="AD61" s="244" t="s">
        <v>4056</v>
      </c>
      <c r="AE61" s="245">
        <v>0</v>
      </c>
      <c r="AF61" s="244" t="s">
        <v>4056</v>
      </c>
      <c r="AG61" s="239" t="s">
        <v>2419</v>
      </c>
      <c r="AH61" s="9" t="s">
        <v>4222</v>
      </c>
      <c r="AI61" s="235" t="s">
        <v>4054</v>
      </c>
      <c r="AJ61" s="235" t="s">
        <v>4054</v>
      </c>
      <c r="AK61" s="235" t="s">
        <v>4055</v>
      </c>
    </row>
    <row r="62" spans="1:37" x14ac:dyDescent="0.3">
      <c r="A62" s="229" t="s">
        <v>2417</v>
      </c>
      <c r="B62" s="229" t="s">
        <v>4224</v>
      </c>
      <c r="C62" s="241" t="s">
        <v>4061</v>
      </c>
      <c r="D62" s="237" t="s">
        <v>4398</v>
      </c>
      <c r="E62" s="236" t="s">
        <v>3668</v>
      </c>
      <c r="F62" s="240" t="s">
        <v>4060</v>
      </c>
      <c r="G62" s="214">
        <v>0</v>
      </c>
      <c r="H62" s="231" t="s">
        <v>4054</v>
      </c>
      <c r="I62" s="231"/>
      <c r="J62" s="231"/>
      <c r="K62" s="231"/>
      <c r="L62" s="231"/>
      <c r="M62" s="231"/>
      <c r="N62" s="231" t="s">
        <v>4074</v>
      </c>
      <c r="O62" s="246"/>
      <c r="P62" s="246"/>
      <c r="Q62" s="225"/>
      <c r="R62" s="212" t="s">
        <v>3739</v>
      </c>
      <c r="S62" s="213" t="s">
        <v>4397</v>
      </c>
      <c r="T62" s="233" t="s">
        <v>4053</v>
      </c>
      <c r="U62" s="234" t="s">
        <v>4058</v>
      </c>
      <c r="V62" s="233" t="s">
        <v>4052</v>
      </c>
      <c r="W62" s="233" t="s">
        <v>4052</v>
      </c>
      <c r="X62" s="234" t="s">
        <v>4054</v>
      </c>
      <c r="Y62" s="234"/>
      <c r="Z62" s="234"/>
      <c r="AA62" s="224">
        <v>202409</v>
      </c>
      <c r="AB62" s="243"/>
      <c r="AC62" s="233" t="s">
        <v>4057</v>
      </c>
      <c r="AD62" s="244" t="s">
        <v>4056</v>
      </c>
      <c r="AE62" s="245">
        <v>0</v>
      </c>
      <c r="AF62" s="244" t="s">
        <v>4056</v>
      </c>
      <c r="AG62" s="239" t="s">
        <v>2419</v>
      </c>
      <c r="AH62" s="9" t="s">
        <v>4222</v>
      </c>
      <c r="AI62" s="235" t="s">
        <v>4054</v>
      </c>
      <c r="AJ62" s="235" t="s">
        <v>4054</v>
      </c>
      <c r="AK62" s="235" t="s">
        <v>4055</v>
      </c>
    </row>
    <row r="63" spans="1:37" x14ac:dyDescent="0.3">
      <c r="A63" s="229" t="s">
        <v>2417</v>
      </c>
      <c r="B63" s="229" t="s">
        <v>4224</v>
      </c>
      <c r="C63" s="241" t="s">
        <v>4061</v>
      </c>
      <c r="D63" s="237" t="s">
        <v>4396</v>
      </c>
      <c r="E63" s="236" t="s">
        <v>3821</v>
      </c>
      <c r="F63" s="240" t="s">
        <v>4060</v>
      </c>
      <c r="G63" s="214">
        <v>0</v>
      </c>
      <c r="H63" s="231" t="s">
        <v>4054</v>
      </c>
      <c r="I63" s="231"/>
      <c r="J63" s="231"/>
      <c r="K63" s="231"/>
      <c r="L63" s="231"/>
      <c r="M63" s="231"/>
      <c r="N63" s="231" t="s">
        <v>4074</v>
      </c>
      <c r="O63" s="246"/>
      <c r="P63" s="246"/>
      <c r="Q63" s="225"/>
      <c r="R63" s="212" t="s">
        <v>3822</v>
      </c>
      <c r="S63" s="213" t="s">
        <v>4395</v>
      </c>
      <c r="T63" s="233" t="s">
        <v>4053</v>
      </c>
      <c r="U63" s="234" t="s">
        <v>4058</v>
      </c>
      <c r="V63" s="233" t="s">
        <v>4052</v>
      </c>
      <c r="W63" s="233" t="s">
        <v>4052</v>
      </c>
      <c r="X63" s="234" t="s">
        <v>4054</v>
      </c>
      <c r="Y63" s="234"/>
      <c r="Z63" s="234"/>
      <c r="AA63" s="224">
        <v>202409</v>
      </c>
      <c r="AB63" s="243"/>
      <c r="AC63" s="233" t="s">
        <v>4057</v>
      </c>
      <c r="AD63" s="244" t="s">
        <v>4056</v>
      </c>
      <c r="AE63" s="245">
        <v>0</v>
      </c>
      <c r="AF63" s="244" t="s">
        <v>4056</v>
      </c>
      <c r="AG63" s="239" t="s">
        <v>2419</v>
      </c>
      <c r="AH63" s="9" t="s">
        <v>4222</v>
      </c>
      <c r="AI63" s="235" t="s">
        <v>4054</v>
      </c>
      <c r="AJ63" s="235" t="s">
        <v>4054</v>
      </c>
      <c r="AK63" s="235" t="s">
        <v>4055</v>
      </c>
    </row>
    <row r="64" spans="1:37" x14ac:dyDescent="0.3">
      <c r="A64" s="229" t="s">
        <v>2417</v>
      </c>
      <c r="B64" s="229" t="s">
        <v>4224</v>
      </c>
      <c r="C64" s="241" t="s">
        <v>4061</v>
      </c>
      <c r="D64" s="237" t="s">
        <v>4187</v>
      </c>
      <c r="E64" s="236" t="s">
        <v>3823</v>
      </c>
      <c r="F64" s="240" t="s">
        <v>4060</v>
      </c>
      <c r="G64" s="214">
        <v>0</v>
      </c>
      <c r="H64" s="231" t="s">
        <v>4054</v>
      </c>
      <c r="I64" s="231"/>
      <c r="J64" s="231"/>
      <c r="K64" s="231"/>
      <c r="L64" s="231"/>
      <c r="M64" s="231"/>
      <c r="N64" s="231" t="s">
        <v>4074</v>
      </c>
      <c r="O64" s="246"/>
      <c r="P64" s="246"/>
      <c r="Q64" s="225"/>
      <c r="R64" s="212" t="s">
        <v>3824</v>
      </c>
      <c r="S64" s="213" t="s">
        <v>4394</v>
      </c>
      <c r="T64" s="233" t="s">
        <v>4053</v>
      </c>
      <c r="U64" s="234" t="s">
        <v>4058</v>
      </c>
      <c r="V64" s="233" t="s">
        <v>4052</v>
      </c>
      <c r="W64" s="233" t="s">
        <v>4052</v>
      </c>
      <c r="X64" s="234" t="s">
        <v>4054</v>
      </c>
      <c r="Y64" s="234"/>
      <c r="Z64" s="234"/>
      <c r="AA64" s="224">
        <v>202409</v>
      </c>
      <c r="AB64" s="243"/>
      <c r="AC64" s="233" t="s">
        <v>4057</v>
      </c>
      <c r="AD64" s="244" t="s">
        <v>4056</v>
      </c>
      <c r="AE64" s="245">
        <v>0</v>
      </c>
      <c r="AF64" s="244" t="s">
        <v>4056</v>
      </c>
      <c r="AG64" s="239" t="s">
        <v>2419</v>
      </c>
      <c r="AH64" s="9" t="s">
        <v>4222</v>
      </c>
      <c r="AI64" s="235" t="s">
        <v>4054</v>
      </c>
      <c r="AJ64" s="235" t="s">
        <v>4054</v>
      </c>
      <c r="AK64" s="235" t="s">
        <v>4055</v>
      </c>
    </row>
    <row r="65" spans="1:37" x14ac:dyDescent="0.3">
      <c r="A65" s="229" t="s">
        <v>2417</v>
      </c>
      <c r="B65" s="229" t="s">
        <v>4224</v>
      </c>
      <c r="C65" s="241" t="s">
        <v>4061</v>
      </c>
      <c r="D65" s="237" t="s">
        <v>4393</v>
      </c>
      <c r="E65" s="236" t="s">
        <v>3903</v>
      </c>
      <c r="F65" s="240" t="s">
        <v>4060</v>
      </c>
      <c r="G65" s="214">
        <v>0</v>
      </c>
      <c r="H65" s="231" t="s">
        <v>4054</v>
      </c>
      <c r="I65" s="231"/>
      <c r="J65" s="231"/>
      <c r="K65" s="231"/>
      <c r="L65" s="231"/>
      <c r="M65" s="231"/>
      <c r="N65" s="231" t="s">
        <v>4074</v>
      </c>
      <c r="O65" s="246"/>
      <c r="P65" s="246"/>
      <c r="Q65" s="225"/>
      <c r="R65" s="212" t="s">
        <v>3904</v>
      </c>
      <c r="S65" s="213" t="s">
        <v>4392</v>
      </c>
      <c r="T65" s="233" t="s">
        <v>4053</v>
      </c>
      <c r="U65" s="234" t="s">
        <v>4058</v>
      </c>
      <c r="V65" s="233" t="s">
        <v>4052</v>
      </c>
      <c r="W65" s="233" t="s">
        <v>4052</v>
      </c>
      <c r="X65" s="234" t="s">
        <v>4054</v>
      </c>
      <c r="Y65" s="234"/>
      <c r="Z65" s="234"/>
      <c r="AA65" s="224">
        <v>202409</v>
      </c>
      <c r="AB65" s="243"/>
      <c r="AC65" s="233" t="s">
        <v>4057</v>
      </c>
      <c r="AD65" s="244" t="s">
        <v>4056</v>
      </c>
      <c r="AE65" s="245">
        <v>0</v>
      </c>
      <c r="AF65" s="244" t="s">
        <v>4056</v>
      </c>
      <c r="AG65" s="239" t="s">
        <v>2419</v>
      </c>
      <c r="AH65" s="9" t="s">
        <v>4222</v>
      </c>
      <c r="AI65" s="235" t="s">
        <v>4054</v>
      </c>
      <c r="AJ65" s="235" t="s">
        <v>4054</v>
      </c>
      <c r="AK65" s="235" t="s">
        <v>4055</v>
      </c>
    </row>
    <row r="66" spans="1:37" x14ac:dyDescent="0.3">
      <c r="A66" s="229" t="s">
        <v>2417</v>
      </c>
      <c r="B66" s="229" t="s">
        <v>4224</v>
      </c>
      <c r="C66" s="241" t="s">
        <v>4061</v>
      </c>
      <c r="D66" s="237" t="s">
        <v>4391</v>
      </c>
      <c r="E66" s="236" t="s">
        <v>3871</v>
      </c>
      <c r="F66" s="240" t="s">
        <v>4060</v>
      </c>
      <c r="G66" s="214">
        <v>0</v>
      </c>
      <c r="H66" s="231" t="s">
        <v>4054</v>
      </c>
      <c r="I66" s="231"/>
      <c r="J66" s="231"/>
      <c r="K66" s="231"/>
      <c r="L66" s="231"/>
      <c r="M66" s="231"/>
      <c r="N66" s="231" t="s">
        <v>4074</v>
      </c>
      <c r="O66" s="246"/>
      <c r="P66" s="246"/>
      <c r="Q66" s="225"/>
      <c r="R66" s="212" t="s">
        <v>3872</v>
      </c>
      <c r="S66" s="213" t="s">
        <v>4390</v>
      </c>
      <c r="T66" s="233" t="s">
        <v>4053</v>
      </c>
      <c r="U66" s="234" t="s">
        <v>4058</v>
      </c>
      <c r="V66" s="233" t="s">
        <v>4052</v>
      </c>
      <c r="W66" s="233" t="s">
        <v>4052</v>
      </c>
      <c r="X66" s="234" t="s">
        <v>4054</v>
      </c>
      <c r="Y66" s="234"/>
      <c r="Z66" s="234"/>
      <c r="AA66" s="224">
        <v>202409</v>
      </c>
      <c r="AB66" s="243"/>
      <c r="AC66" s="233" t="s">
        <v>4057</v>
      </c>
      <c r="AD66" s="244" t="s">
        <v>4056</v>
      </c>
      <c r="AE66" s="245">
        <v>0</v>
      </c>
      <c r="AF66" s="244" t="s">
        <v>4056</v>
      </c>
      <c r="AG66" s="239" t="s">
        <v>2419</v>
      </c>
      <c r="AH66" s="9" t="s">
        <v>4222</v>
      </c>
      <c r="AI66" s="235" t="s">
        <v>4054</v>
      </c>
      <c r="AJ66" s="235" t="s">
        <v>4054</v>
      </c>
      <c r="AK66" s="235" t="s">
        <v>4055</v>
      </c>
    </row>
    <row r="67" spans="1:37" x14ac:dyDescent="0.3">
      <c r="A67" s="229" t="s">
        <v>2417</v>
      </c>
      <c r="B67" s="229" t="s">
        <v>4224</v>
      </c>
      <c r="C67" s="241" t="s">
        <v>4061</v>
      </c>
      <c r="D67" s="237" t="s">
        <v>4065</v>
      </c>
      <c r="E67" s="236" t="s">
        <v>3819</v>
      </c>
      <c r="F67" s="240" t="s">
        <v>4060</v>
      </c>
      <c r="G67" s="214">
        <v>0</v>
      </c>
      <c r="H67" s="231" t="s">
        <v>4054</v>
      </c>
      <c r="I67" s="231"/>
      <c r="J67" s="231"/>
      <c r="K67" s="231"/>
      <c r="L67" s="231"/>
      <c r="M67" s="231"/>
      <c r="N67" s="231" t="s">
        <v>4074</v>
      </c>
      <c r="O67" s="246"/>
      <c r="P67" s="246"/>
      <c r="Q67" s="225"/>
      <c r="R67" s="212" t="s">
        <v>3820</v>
      </c>
      <c r="S67" s="213" t="s">
        <v>4389</v>
      </c>
      <c r="T67" s="233" t="s">
        <v>4053</v>
      </c>
      <c r="U67" s="234" t="s">
        <v>4058</v>
      </c>
      <c r="V67" s="233" t="s">
        <v>4052</v>
      </c>
      <c r="W67" s="233" t="s">
        <v>4052</v>
      </c>
      <c r="X67" s="234" t="s">
        <v>4054</v>
      </c>
      <c r="Y67" s="234"/>
      <c r="Z67" s="234"/>
      <c r="AA67" s="224">
        <v>202409</v>
      </c>
      <c r="AB67" s="243"/>
      <c r="AC67" s="233" t="s">
        <v>4057</v>
      </c>
      <c r="AD67" s="244" t="s">
        <v>4056</v>
      </c>
      <c r="AE67" s="245">
        <v>0</v>
      </c>
      <c r="AF67" s="244" t="s">
        <v>4056</v>
      </c>
      <c r="AG67" s="239" t="s">
        <v>2419</v>
      </c>
      <c r="AH67" s="9" t="s">
        <v>4222</v>
      </c>
      <c r="AI67" s="235" t="s">
        <v>4054</v>
      </c>
      <c r="AJ67" s="235" t="s">
        <v>4054</v>
      </c>
      <c r="AK67" s="235" t="s">
        <v>4055</v>
      </c>
    </row>
    <row r="68" spans="1:37" x14ac:dyDescent="0.3">
      <c r="A68" s="229" t="s">
        <v>2417</v>
      </c>
      <c r="B68" s="229" t="s">
        <v>4224</v>
      </c>
      <c r="C68" s="241" t="s">
        <v>4061</v>
      </c>
      <c r="D68" s="237" t="s">
        <v>4388</v>
      </c>
      <c r="E68" s="236" t="s">
        <v>3827</v>
      </c>
      <c r="F68" s="240" t="s">
        <v>4060</v>
      </c>
      <c r="G68" s="214">
        <v>0</v>
      </c>
      <c r="H68" s="231" t="s">
        <v>4054</v>
      </c>
      <c r="I68" s="231"/>
      <c r="J68" s="231"/>
      <c r="K68" s="231"/>
      <c r="L68" s="231"/>
      <c r="M68" s="231"/>
      <c r="N68" s="231" t="s">
        <v>4074</v>
      </c>
      <c r="O68" s="246"/>
      <c r="P68" s="246"/>
      <c r="Q68" s="225"/>
      <c r="R68" s="212" t="s">
        <v>3828</v>
      </c>
      <c r="S68" s="213" t="s">
        <v>4387</v>
      </c>
      <c r="T68" s="233" t="s">
        <v>4053</v>
      </c>
      <c r="U68" s="234" t="s">
        <v>4058</v>
      </c>
      <c r="V68" s="233" t="s">
        <v>4052</v>
      </c>
      <c r="W68" s="233" t="s">
        <v>4052</v>
      </c>
      <c r="X68" s="234" t="s">
        <v>4054</v>
      </c>
      <c r="Y68" s="234"/>
      <c r="Z68" s="234"/>
      <c r="AA68" s="224">
        <v>202409</v>
      </c>
      <c r="AB68" s="243"/>
      <c r="AC68" s="233" t="s">
        <v>4057</v>
      </c>
      <c r="AD68" s="244" t="s">
        <v>4056</v>
      </c>
      <c r="AE68" s="245">
        <v>0</v>
      </c>
      <c r="AF68" s="244" t="s">
        <v>4056</v>
      </c>
      <c r="AG68" s="239" t="s">
        <v>2419</v>
      </c>
      <c r="AH68" s="9" t="s">
        <v>4222</v>
      </c>
      <c r="AI68" s="235" t="s">
        <v>4054</v>
      </c>
      <c r="AJ68" s="235" t="s">
        <v>4054</v>
      </c>
      <c r="AK68" s="235" t="s">
        <v>4055</v>
      </c>
    </row>
    <row r="69" spans="1:37" x14ac:dyDescent="0.3">
      <c r="A69" s="229" t="s">
        <v>2417</v>
      </c>
      <c r="B69" s="229" t="s">
        <v>4224</v>
      </c>
      <c r="C69" s="241" t="s">
        <v>4061</v>
      </c>
      <c r="D69" s="237" t="s">
        <v>4386</v>
      </c>
      <c r="E69" s="236" t="s">
        <v>3811</v>
      </c>
      <c r="F69" s="240" t="s">
        <v>4060</v>
      </c>
      <c r="G69" s="214">
        <v>0</v>
      </c>
      <c r="H69" s="231" t="s">
        <v>4054</v>
      </c>
      <c r="I69" s="231"/>
      <c r="J69" s="231"/>
      <c r="K69" s="231"/>
      <c r="L69" s="231"/>
      <c r="M69" s="231"/>
      <c r="N69" s="231" t="s">
        <v>4074</v>
      </c>
      <c r="O69" s="246"/>
      <c r="P69" s="246"/>
      <c r="Q69" s="225"/>
      <c r="R69" s="212" t="s">
        <v>3812</v>
      </c>
      <c r="S69" s="213" t="s">
        <v>4385</v>
      </c>
      <c r="T69" s="233" t="s">
        <v>4053</v>
      </c>
      <c r="U69" s="234" t="s">
        <v>4058</v>
      </c>
      <c r="V69" s="233" t="s">
        <v>4052</v>
      </c>
      <c r="W69" s="233" t="s">
        <v>4052</v>
      </c>
      <c r="X69" s="234" t="s">
        <v>4054</v>
      </c>
      <c r="Y69" s="234"/>
      <c r="Z69" s="234"/>
      <c r="AA69" s="224">
        <v>202409</v>
      </c>
      <c r="AB69" s="243"/>
      <c r="AC69" s="233" t="s">
        <v>4057</v>
      </c>
      <c r="AD69" s="244" t="s">
        <v>4056</v>
      </c>
      <c r="AE69" s="245">
        <v>0</v>
      </c>
      <c r="AF69" s="244" t="s">
        <v>4056</v>
      </c>
      <c r="AG69" s="239" t="s">
        <v>2419</v>
      </c>
      <c r="AH69" s="9" t="s">
        <v>4222</v>
      </c>
      <c r="AI69" s="235" t="s">
        <v>4054</v>
      </c>
      <c r="AJ69" s="235" t="s">
        <v>4054</v>
      </c>
      <c r="AK69" s="235" t="s">
        <v>4055</v>
      </c>
    </row>
    <row r="70" spans="1:37" x14ac:dyDescent="0.3">
      <c r="A70" s="229" t="s">
        <v>2417</v>
      </c>
      <c r="B70" s="229" t="s">
        <v>4224</v>
      </c>
      <c r="C70" s="241" t="s">
        <v>4061</v>
      </c>
      <c r="D70" s="237" t="s">
        <v>4384</v>
      </c>
      <c r="E70" s="236" t="s">
        <v>3835</v>
      </c>
      <c r="F70" s="240" t="s">
        <v>4060</v>
      </c>
      <c r="G70" s="214">
        <v>0</v>
      </c>
      <c r="H70" s="231" t="s">
        <v>4054</v>
      </c>
      <c r="I70" s="231"/>
      <c r="J70" s="231"/>
      <c r="K70" s="231"/>
      <c r="L70" s="231"/>
      <c r="M70" s="231"/>
      <c r="N70" s="231" t="s">
        <v>4074</v>
      </c>
      <c r="O70" s="246"/>
      <c r="P70" s="246"/>
      <c r="Q70" s="225"/>
      <c r="R70" s="212" t="s">
        <v>3836</v>
      </c>
      <c r="S70" s="213" t="s">
        <v>4383</v>
      </c>
      <c r="T70" s="233" t="s">
        <v>4053</v>
      </c>
      <c r="U70" s="234" t="s">
        <v>4058</v>
      </c>
      <c r="V70" s="233" t="s">
        <v>4052</v>
      </c>
      <c r="W70" s="233" t="s">
        <v>4052</v>
      </c>
      <c r="X70" s="234" t="s">
        <v>4054</v>
      </c>
      <c r="Y70" s="234"/>
      <c r="Z70" s="234"/>
      <c r="AA70" s="224">
        <v>202409</v>
      </c>
      <c r="AB70" s="243"/>
      <c r="AC70" s="233" t="s">
        <v>4057</v>
      </c>
      <c r="AD70" s="244" t="s">
        <v>4056</v>
      </c>
      <c r="AE70" s="245">
        <v>0</v>
      </c>
      <c r="AF70" s="244" t="s">
        <v>4056</v>
      </c>
      <c r="AG70" s="239" t="s">
        <v>2419</v>
      </c>
      <c r="AH70" s="9" t="s">
        <v>4222</v>
      </c>
      <c r="AI70" s="235" t="s">
        <v>4054</v>
      </c>
      <c r="AJ70" s="235" t="s">
        <v>4054</v>
      </c>
      <c r="AK70" s="235" t="s">
        <v>4055</v>
      </c>
    </row>
    <row r="71" spans="1:37" x14ac:dyDescent="0.3">
      <c r="A71" s="229" t="s">
        <v>2417</v>
      </c>
      <c r="B71" s="229" t="s">
        <v>4224</v>
      </c>
      <c r="C71" s="241" t="s">
        <v>4061</v>
      </c>
      <c r="D71" s="237" t="s">
        <v>4126</v>
      </c>
      <c r="E71" s="236" t="s">
        <v>3804</v>
      </c>
      <c r="F71" s="240" t="s">
        <v>4060</v>
      </c>
      <c r="G71" s="214">
        <v>0</v>
      </c>
      <c r="H71" s="231" t="s">
        <v>4054</v>
      </c>
      <c r="I71" s="231"/>
      <c r="J71" s="231"/>
      <c r="K71" s="231"/>
      <c r="L71" s="231"/>
      <c r="M71" s="231"/>
      <c r="N71" s="231" t="s">
        <v>4074</v>
      </c>
      <c r="O71" s="246"/>
      <c r="P71" s="246"/>
      <c r="Q71" s="225"/>
      <c r="R71" s="212" t="s">
        <v>3805</v>
      </c>
      <c r="S71" s="213" t="s">
        <v>4382</v>
      </c>
      <c r="T71" s="233" t="s">
        <v>4053</v>
      </c>
      <c r="U71" s="234" t="s">
        <v>4058</v>
      </c>
      <c r="V71" s="233" t="s">
        <v>4052</v>
      </c>
      <c r="W71" s="233" t="s">
        <v>4052</v>
      </c>
      <c r="X71" s="234" t="s">
        <v>4054</v>
      </c>
      <c r="Y71" s="234"/>
      <c r="Z71" s="234"/>
      <c r="AA71" s="224">
        <v>202409</v>
      </c>
      <c r="AB71" s="243"/>
      <c r="AC71" s="233" t="s">
        <v>4057</v>
      </c>
      <c r="AD71" s="244" t="s">
        <v>4056</v>
      </c>
      <c r="AE71" s="245">
        <v>0</v>
      </c>
      <c r="AF71" s="244" t="s">
        <v>4056</v>
      </c>
      <c r="AG71" s="239" t="s">
        <v>2419</v>
      </c>
      <c r="AH71" s="9" t="s">
        <v>4222</v>
      </c>
      <c r="AI71" s="235" t="s">
        <v>4054</v>
      </c>
      <c r="AJ71" s="235" t="s">
        <v>4054</v>
      </c>
      <c r="AK71" s="235" t="s">
        <v>4055</v>
      </c>
    </row>
    <row r="72" spans="1:37" x14ac:dyDescent="0.3">
      <c r="A72" s="229" t="s">
        <v>2417</v>
      </c>
      <c r="B72" s="229" t="s">
        <v>4224</v>
      </c>
      <c r="C72" s="241" t="s">
        <v>4061</v>
      </c>
      <c r="D72" s="237" t="s">
        <v>4120</v>
      </c>
      <c r="E72" s="236" t="s">
        <v>3774</v>
      </c>
      <c r="F72" s="240" t="s">
        <v>4060</v>
      </c>
      <c r="G72" s="214">
        <v>0</v>
      </c>
      <c r="H72" s="231" t="s">
        <v>4054</v>
      </c>
      <c r="I72" s="231"/>
      <c r="J72" s="231"/>
      <c r="K72" s="231"/>
      <c r="L72" s="231"/>
      <c r="M72" s="231"/>
      <c r="N72" s="231" t="s">
        <v>4074</v>
      </c>
      <c r="O72" s="246"/>
      <c r="P72" s="246"/>
      <c r="Q72" s="225"/>
      <c r="R72" s="212" t="s">
        <v>3775</v>
      </c>
      <c r="S72" s="213" t="s">
        <v>4381</v>
      </c>
      <c r="T72" s="233" t="s">
        <v>4053</v>
      </c>
      <c r="U72" s="234" t="s">
        <v>4058</v>
      </c>
      <c r="V72" s="233" t="s">
        <v>4052</v>
      </c>
      <c r="W72" s="233" t="s">
        <v>4052</v>
      </c>
      <c r="X72" s="234" t="s">
        <v>4054</v>
      </c>
      <c r="Y72" s="234"/>
      <c r="Z72" s="234"/>
      <c r="AA72" s="224">
        <v>202409</v>
      </c>
      <c r="AB72" s="243"/>
      <c r="AC72" s="233" t="s">
        <v>4057</v>
      </c>
      <c r="AD72" s="244" t="s">
        <v>4056</v>
      </c>
      <c r="AE72" s="245">
        <v>0</v>
      </c>
      <c r="AF72" s="244" t="s">
        <v>4056</v>
      </c>
      <c r="AG72" s="239" t="s">
        <v>2419</v>
      </c>
      <c r="AH72" s="9" t="s">
        <v>4222</v>
      </c>
      <c r="AI72" s="235" t="s">
        <v>4054</v>
      </c>
      <c r="AJ72" s="235" t="s">
        <v>4054</v>
      </c>
      <c r="AK72" s="235" t="s">
        <v>4055</v>
      </c>
    </row>
    <row r="73" spans="1:37" x14ac:dyDescent="0.3">
      <c r="A73" s="229" t="s">
        <v>2417</v>
      </c>
      <c r="B73" s="229" t="s">
        <v>4224</v>
      </c>
      <c r="C73" s="241" t="s">
        <v>4061</v>
      </c>
      <c r="D73" s="237" t="s">
        <v>4380</v>
      </c>
      <c r="E73" s="236" t="s">
        <v>3778</v>
      </c>
      <c r="F73" s="240" t="s">
        <v>4060</v>
      </c>
      <c r="G73" s="214">
        <v>0</v>
      </c>
      <c r="H73" s="231" t="s">
        <v>4054</v>
      </c>
      <c r="I73" s="231"/>
      <c r="J73" s="231"/>
      <c r="K73" s="231"/>
      <c r="L73" s="231"/>
      <c r="M73" s="231"/>
      <c r="N73" s="231" t="s">
        <v>4074</v>
      </c>
      <c r="O73" s="246"/>
      <c r="P73" s="246"/>
      <c r="Q73" s="225"/>
      <c r="R73" s="212" t="s">
        <v>3779</v>
      </c>
      <c r="S73" s="213" t="s">
        <v>4379</v>
      </c>
      <c r="T73" s="233" t="s">
        <v>4053</v>
      </c>
      <c r="U73" s="234" t="s">
        <v>4058</v>
      </c>
      <c r="V73" s="233" t="s">
        <v>4052</v>
      </c>
      <c r="W73" s="233" t="s">
        <v>4052</v>
      </c>
      <c r="X73" s="234" t="s">
        <v>4054</v>
      </c>
      <c r="Y73" s="234"/>
      <c r="Z73" s="234"/>
      <c r="AA73" s="224">
        <v>202409</v>
      </c>
      <c r="AB73" s="243"/>
      <c r="AC73" s="233" t="s">
        <v>4057</v>
      </c>
      <c r="AD73" s="244" t="s">
        <v>4056</v>
      </c>
      <c r="AE73" s="245">
        <v>0</v>
      </c>
      <c r="AF73" s="244" t="s">
        <v>4056</v>
      </c>
      <c r="AG73" s="239" t="s">
        <v>2419</v>
      </c>
      <c r="AH73" s="9" t="s">
        <v>4222</v>
      </c>
      <c r="AI73" s="235" t="s">
        <v>4054</v>
      </c>
      <c r="AJ73" s="235" t="s">
        <v>4054</v>
      </c>
      <c r="AK73" s="235" t="s">
        <v>4055</v>
      </c>
    </row>
    <row r="74" spans="1:37" x14ac:dyDescent="0.3">
      <c r="A74" s="229" t="s">
        <v>2417</v>
      </c>
      <c r="B74" s="229" t="s">
        <v>4224</v>
      </c>
      <c r="C74" s="241" t="s">
        <v>4061</v>
      </c>
      <c r="D74" s="237" t="s">
        <v>4378</v>
      </c>
      <c r="E74" s="236" t="s">
        <v>3849</v>
      </c>
      <c r="F74" s="240" t="s">
        <v>4060</v>
      </c>
      <c r="G74" s="214">
        <v>0</v>
      </c>
      <c r="H74" s="231" t="s">
        <v>4054</v>
      </c>
      <c r="I74" s="231"/>
      <c r="J74" s="231"/>
      <c r="K74" s="231"/>
      <c r="L74" s="231"/>
      <c r="M74" s="231"/>
      <c r="N74" s="231" t="s">
        <v>4074</v>
      </c>
      <c r="O74" s="246"/>
      <c r="P74" s="246"/>
      <c r="Q74" s="225"/>
      <c r="R74" s="212" t="s">
        <v>3850</v>
      </c>
      <c r="S74" s="213" t="s">
        <v>4377</v>
      </c>
      <c r="T74" s="233" t="s">
        <v>4053</v>
      </c>
      <c r="U74" s="234" t="s">
        <v>4058</v>
      </c>
      <c r="V74" s="233" t="s">
        <v>4052</v>
      </c>
      <c r="W74" s="233" t="s">
        <v>4052</v>
      </c>
      <c r="X74" s="234" t="s">
        <v>4054</v>
      </c>
      <c r="Y74" s="234"/>
      <c r="Z74" s="234"/>
      <c r="AA74" s="224">
        <v>202409</v>
      </c>
      <c r="AB74" s="243"/>
      <c r="AC74" s="233" t="s">
        <v>4057</v>
      </c>
      <c r="AD74" s="244" t="s">
        <v>4056</v>
      </c>
      <c r="AE74" s="245">
        <v>0</v>
      </c>
      <c r="AF74" s="244" t="s">
        <v>4056</v>
      </c>
      <c r="AG74" s="239" t="s">
        <v>2419</v>
      </c>
      <c r="AH74" s="9" t="s">
        <v>4222</v>
      </c>
      <c r="AI74" s="235" t="s">
        <v>4054</v>
      </c>
      <c r="AJ74" s="235" t="s">
        <v>4054</v>
      </c>
      <c r="AK74" s="235" t="s">
        <v>4055</v>
      </c>
    </row>
    <row r="75" spans="1:37" x14ac:dyDescent="0.3">
      <c r="A75" s="229" t="s">
        <v>2417</v>
      </c>
      <c r="B75" s="229" t="s">
        <v>4224</v>
      </c>
      <c r="C75" s="241" t="s">
        <v>4061</v>
      </c>
      <c r="D75" s="237" t="s">
        <v>4376</v>
      </c>
      <c r="E75" s="236" t="s">
        <v>4375</v>
      </c>
      <c r="F75" s="240" t="s">
        <v>4060</v>
      </c>
      <c r="G75" s="214">
        <v>0</v>
      </c>
      <c r="H75" s="231" t="s">
        <v>4054</v>
      </c>
      <c r="I75" s="231"/>
      <c r="J75" s="231"/>
      <c r="K75" s="231"/>
      <c r="L75" s="231"/>
      <c r="M75" s="231"/>
      <c r="N75" s="231" t="s">
        <v>4074</v>
      </c>
      <c r="O75" s="246"/>
      <c r="P75" s="246"/>
      <c r="Q75" s="225"/>
      <c r="R75" s="212" t="s">
        <v>4374</v>
      </c>
      <c r="S75" s="213" t="s">
        <v>4373</v>
      </c>
      <c r="T75" s="233" t="s">
        <v>4053</v>
      </c>
      <c r="U75" s="234" t="s">
        <v>4058</v>
      </c>
      <c r="V75" s="233" t="s">
        <v>4052</v>
      </c>
      <c r="W75" s="233" t="s">
        <v>4052</v>
      </c>
      <c r="X75" s="234" t="s">
        <v>4054</v>
      </c>
      <c r="Y75" s="234"/>
      <c r="Z75" s="234"/>
      <c r="AA75" s="224">
        <v>202409</v>
      </c>
      <c r="AB75" s="243"/>
      <c r="AC75" s="233" t="s">
        <v>4057</v>
      </c>
      <c r="AD75" s="244" t="s">
        <v>4056</v>
      </c>
      <c r="AE75" s="245">
        <v>0</v>
      </c>
      <c r="AF75" s="244" t="s">
        <v>4056</v>
      </c>
      <c r="AG75" s="239" t="s">
        <v>2419</v>
      </c>
      <c r="AH75" s="9" t="s">
        <v>4222</v>
      </c>
      <c r="AI75" s="235" t="s">
        <v>4054</v>
      </c>
      <c r="AJ75" s="235" t="s">
        <v>4054</v>
      </c>
      <c r="AK75" s="235" t="s">
        <v>4055</v>
      </c>
    </row>
    <row r="76" spans="1:37" x14ac:dyDescent="0.3">
      <c r="A76" s="229" t="s">
        <v>2417</v>
      </c>
      <c r="B76" s="229" t="s">
        <v>4224</v>
      </c>
      <c r="C76" s="241" t="s">
        <v>4061</v>
      </c>
      <c r="D76" s="237" t="s">
        <v>4175</v>
      </c>
      <c r="E76" s="236" t="s">
        <v>3798</v>
      </c>
      <c r="F76" s="240" t="s">
        <v>4060</v>
      </c>
      <c r="G76" s="214">
        <v>0</v>
      </c>
      <c r="H76" s="231" t="s">
        <v>4054</v>
      </c>
      <c r="I76" s="231"/>
      <c r="J76" s="231"/>
      <c r="K76" s="231"/>
      <c r="L76" s="231"/>
      <c r="M76" s="231"/>
      <c r="N76" s="231" t="s">
        <v>4074</v>
      </c>
      <c r="O76" s="246"/>
      <c r="P76" s="246"/>
      <c r="Q76" s="225"/>
      <c r="R76" s="212" t="s">
        <v>3799</v>
      </c>
      <c r="S76" s="213" t="s">
        <v>4372</v>
      </c>
      <c r="T76" s="233" t="s">
        <v>4053</v>
      </c>
      <c r="U76" s="234" t="s">
        <v>4058</v>
      </c>
      <c r="V76" s="233" t="s">
        <v>4052</v>
      </c>
      <c r="W76" s="233" t="s">
        <v>4052</v>
      </c>
      <c r="X76" s="234" t="s">
        <v>4054</v>
      </c>
      <c r="Y76" s="234"/>
      <c r="Z76" s="234"/>
      <c r="AA76" s="224">
        <v>202409</v>
      </c>
      <c r="AB76" s="243"/>
      <c r="AC76" s="233" t="s">
        <v>4057</v>
      </c>
      <c r="AD76" s="244" t="s">
        <v>4056</v>
      </c>
      <c r="AE76" s="245">
        <v>0</v>
      </c>
      <c r="AF76" s="244" t="s">
        <v>4056</v>
      </c>
      <c r="AG76" s="239" t="s">
        <v>2419</v>
      </c>
      <c r="AH76" s="9" t="s">
        <v>4222</v>
      </c>
      <c r="AI76" s="235" t="s">
        <v>4054</v>
      </c>
      <c r="AJ76" s="235" t="s">
        <v>4054</v>
      </c>
      <c r="AK76" s="235" t="s">
        <v>4055</v>
      </c>
    </row>
    <row r="77" spans="1:37" x14ac:dyDescent="0.3">
      <c r="A77" s="229" t="s">
        <v>2417</v>
      </c>
      <c r="B77" s="229" t="s">
        <v>4224</v>
      </c>
      <c r="C77" s="241" t="s">
        <v>4061</v>
      </c>
      <c r="D77" s="237" t="s">
        <v>4067</v>
      </c>
      <c r="E77" s="236" t="s">
        <v>3671</v>
      </c>
      <c r="F77" s="240" t="s">
        <v>4060</v>
      </c>
      <c r="G77" s="214">
        <v>0</v>
      </c>
      <c r="H77" s="231" t="s">
        <v>4054</v>
      </c>
      <c r="I77" s="231"/>
      <c r="J77" s="231"/>
      <c r="K77" s="231"/>
      <c r="L77" s="231"/>
      <c r="M77" s="231"/>
      <c r="N77" s="231" t="s">
        <v>4074</v>
      </c>
      <c r="O77" s="246"/>
      <c r="P77" s="246"/>
      <c r="Q77" s="225"/>
      <c r="R77" s="212" t="s">
        <v>3735</v>
      </c>
      <c r="S77" s="213" t="s">
        <v>4371</v>
      </c>
      <c r="T77" s="233" t="s">
        <v>4053</v>
      </c>
      <c r="U77" s="234" t="s">
        <v>4058</v>
      </c>
      <c r="V77" s="233" t="s">
        <v>4052</v>
      </c>
      <c r="W77" s="233" t="s">
        <v>4052</v>
      </c>
      <c r="X77" s="234" t="s">
        <v>4054</v>
      </c>
      <c r="Y77" s="234"/>
      <c r="Z77" s="234"/>
      <c r="AA77" s="224">
        <v>202409</v>
      </c>
      <c r="AB77" s="243"/>
      <c r="AC77" s="233" t="s">
        <v>4057</v>
      </c>
      <c r="AD77" s="244" t="s">
        <v>4056</v>
      </c>
      <c r="AE77" s="245">
        <v>0</v>
      </c>
      <c r="AF77" s="244" t="s">
        <v>4056</v>
      </c>
      <c r="AG77" s="239" t="s">
        <v>2419</v>
      </c>
      <c r="AH77" s="9" t="s">
        <v>4222</v>
      </c>
      <c r="AI77" s="235" t="s">
        <v>4054</v>
      </c>
      <c r="AJ77" s="235" t="s">
        <v>4054</v>
      </c>
      <c r="AK77" s="235" t="s">
        <v>4055</v>
      </c>
    </row>
    <row r="78" spans="1:37" x14ac:dyDescent="0.3">
      <c r="A78" s="229" t="s">
        <v>2417</v>
      </c>
      <c r="B78" s="229" t="s">
        <v>4224</v>
      </c>
      <c r="C78" s="241" t="s">
        <v>4061</v>
      </c>
      <c r="D78" s="237" t="s">
        <v>4068</v>
      </c>
      <c r="E78" s="236" t="s">
        <v>3672</v>
      </c>
      <c r="F78" s="240" t="s">
        <v>4060</v>
      </c>
      <c r="G78" s="214">
        <v>0</v>
      </c>
      <c r="H78" s="231" t="s">
        <v>4054</v>
      </c>
      <c r="I78" s="231"/>
      <c r="J78" s="231"/>
      <c r="K78" s="231"/>
      <c r="L78" s="231"/>
      <c r="M78" s="231"/>
      <c r="N78" s="231" t="s">
        <v>4074</v>
      </c>
      <c r="O78" s="246"/>
      <c r="P78" s="246"/>
      <c r="Q78" s="225"/>
      <c r="R78" s="212" t="s">
        <v>3734</v>
      </c>
      <c r="S78" s="213" t="s">
        <v>4370</v>
      </c>
      <c r="T78" s="233" t="s">
        <v>4053</v>
      </c>
      <c r="U78" s="234" t="s">
        <v>4058</v>
      </c>
      <c r="V78" s="233" t="s">
        <v>4052</v>
      </c>
      <c r="W78" s="233" t="s">
        <v>4052</v>
      </c>
      <c r="X78" s="234" t="s">
        <v>4054</v>
      </c>
      <c r="Y78" s="234"/>
      <c r="Z78" s="234"/>
      <c r="AA78" s="224">
        <v>202409</v>
      </c>
      <c r="AB78" s="243"/>
      <c r="AC78" s="233" t="s">
        <v>4057</v>
      </c>
      <c r="AD78" s="244" t="s">
        <v>4056</v>
      </c>
      <c r="AE78" s="245">
        <v>0</v>
      </c>
      <c r="AF78" s="244" t="s">
        <v>4056</v>
      </c>
      <c r="AG78" s="239" t="s">
        <v>2419</v>
      </c>
      <c r="AH78" s="9" t="s">
        <v>4222</v>
      </c>
      <c r="AI78" s="235" t="s">
        <v>4054</v>
      </c>
      <c r="AJ78" s="235" t="s">
        <v>4054</v>
      </c>
      <c r="AK78" s="235" t="s">
        <v>4055</v>
      </c>
    </row>
    <row r="79" spans="1:37" x14ac:dyDescent="0.3">
      <c r="A79" s="229" t="s">
        <v>2417</v>
      </c>
      <c r="B79" s="229" t="s">
        <v>4224</v>
      </c>
      <c r="C79" s="241" t="s">
        <v>4061</v>
      </c>
      <c r="D79" s="237" t="s">
        <v>4188</v>
      </c>
      <c r="E79" s="236" t="s">
        <v>3817</v>
      </c>
      <c r="F79" s="240" t="s">
        <v>4060</v>
      </c>
      <c r="G79" s="214">
        <v>0</v>
      </c>
      <c r="H79" s="231" t="s">
        <v>4054</v>
      </c>
      <c r="I79" s="231"/>
      <c r="J79" s="231"/>
      <c r="K79" s="231"/>
      <c r="L79" s="231"/>
      <c r="M79" s="231"/>
      <c r="N79" s="231" t="s">
        <v>4074</v>
      </c>
      <c r="O79" s="246"/>
      <c r="P79" s="246"/>
      <c r="Q79" s="225"/>
      <c r="R79" s="212" t="s">
        <v>3818</v>
      </c>
      <c r="S79" s="213" t="s">
        <v>4369</v>
      </c>
      <c r="T79" s="233" t="s">
        <v>4053</v>
      </c>
      <c r="U79" s="234" t="s">
        <v>4058</v>
      </c>
      <c r="V79" s="233" t="s">
        <v>4052</v>
      </c>
      <c r="W79" s="233" t="s">
        <v>4052</v>
      </c>
      <c r="X79" s="234" t="s">
        <v>4054</v>
      </c>
      <c r="Y79" s="234"/>
      <c r="Z79" s="234"/>
      <c r="AA79" s="224">
        <v>202409</v>
      </c>
      <c r="AB79" s="243"/>
      <c r="AC79" s="233" t="s">
        <v>4057</v>
      </c>
      <c r="AD79" s="244" t="s">
        <v>4056</v>
      </c>
      <c r="AE79" s="245">
        <v>0</v>
      </c>
      <c r="AF79" s="244" t="s">
        <v>4056</v>
      </c>
      <c r="AG79" s="239" t="s">
        <v>2419</v>
      </c>
      <c r="AH79" s="9" t="s">
        <v>4222</v>
      </c>
      <c r="AI79" s="235" t="s">
        <v>4054</v>
      </c>
      <c r="AJ79" s="235" t="s">
        <v>4054</v>
      </c>
      <c r="AK79" s="235" t="s">
        <v>4055</v>
      </c>
    </row>
    <row r="80" spans="1:37" x14ac:dyDescent="0.3">
      <c r="A80" s="229" t="s">
        <v>2417</v>
      </c>
      <c r="B80" s="229" t="s">
        <v>4224</v>
      </c>
      <c r="C80" s="241" t="s">
        <v>4061</v>
      </c>
      <c r="D80" s="237" t="s">
        <v>4368</v>
      </c>
      <c r="E80" s="236" t="s">
        <v>3670</v>
      </c>
      <c r="F80" s="240" t="s">
        <v>4060</v>
      </c>
      <c r="G80" s="214">
        <v>0</v>
      </c>
      <c r="H80" s="231" t="s">
        <v>4054</v>
      </c>
      <c r="I80" s="231"/>
      <c r="J80" s="231"/>
      <c r="K80" s="231"/>
      <c r="L80" s="231"/>
      <c r="M80" s="231"/>
      <c r="N80" s="231" t="s">
        <v>4074</v>
      </c>
      <c r="O80" s="246"/>
      <c r="P80" s="246"/>
      <c r="Q80" s="225"/>
      <c r="R80" s="212" t="s">
        <v>3741</v>
      </c>
      <c r="S80" s="213" t="s">
        <v>4367</v>
      </c>
      <c r="T80" s="233" t="s">
        <v>4053</v>
      </c>
      <c r="U80" s="234" t="s">
        <v>4058</v>
      </c>
      <c r="V80" s="233" t="s">
        <v>4052</v>
      </c>
      <c r="W80" s="233" t="s">
        <v>4052</v>
      </c>
      <c r="X80" s="234" t="s">
        <v>4054</v>
      </c>
      <c r="Y80" s="234"/>
      <c r="Z80" s="234"/>
      <c r="AA80" s="224">
        <v>202409</v>
      </c>
      <c r="AB80" s="243"/>
      <c r="AC80" s="233" t="s">
        <v>4057</v>
      </c>
      <c r="AD80" s="244" t="s">
        <v>4056</v>
      </c>
      <c r="AE80" s="245">
        <v>0</v>
      </c>
      <c r="AF80" s="244" t="s">
        <v>4056</v>
      </c>
      <c r="AG80" s="239" t="s">
        <v>2419</v>
      </c>
      <c r="AH80" s="9" t="s">
        <v>4222</v>
      </c>
      <c r="AI80" s="235" t="s">
        <v>4054</v>
      </c>
      <c r="AJ80" s="235" t="s">
        <v>4054</v>
      </c>
      <c r="AK80" s="235" t="s">
        <v>4055</v>
      </c>
    </row>
    <row r="81" spans="1:37" x14ac:dyDescent="0.3">
      <c r="A81" s="229" t="s">
        <v>2417</v>
      </c>
      <c r="B81" s="229" t="s">
        <v>4224</v>
      </c>
      <c r="C81" s="241" t="s">
        <v>4061</v>
      </c>
      <c r="D81" s="237" t="s">
        <v>4366</v>
      </c>
      <c r="E81" s="236" t="s">
        <v>4365</v>
      </c>
      <c r="F81" s="240" t="s">
        <v>4060</v>
      </c>
      <c r="G81" s="214">
        <v>0</v>
      </c>
      <c r="H81" s="231" t="s">
        <v>4054</v>
      </c>
      <c r="I81" s="231"/>
      <c r="J81" s="231"/>
      <c r="K81" s="231"/>
      <c r="L81" s="231"/>
      <c r="M81" s="231"/>
      <c r="N81" s="231" t="s">
        <v>4074</v>
      </c>
      <c r="O81" s="246"/>
      <c r="P81" s="246"/>
      <c r="Q81" s="225"/>
      <c r="R81" s="212" t="s">
        <v>4364</v>
      </c>
      <c r="S81" s="213" t="s">
        <v>4363</v>
      </c>
      <c r="T81" s="233" t="s">
        <v>4053</v>
      </c>
      <c r="U81" s="234" t="s">
        <v>4058</v>
      </c>
      <c r="V81" s="233" t="s">
        <v>4052</v>
      </c>
      <c r="W81" s="233" t="s">
        <v>4052</v>
      </c>
      <c r="X81" s="234" t="s">
        <v>4054</v>
      </c>
      <c r="Y81" s="234"/>
      <c r="Z81" s="234"/>
      <c r="AA81" s="224">
        <v>202409</v>
      </c>
      <c r="AB81" s="243"/>
      <c r="AC81" s="233" t="s">
        <v>4057</v>
      </c>
      <c r="AD81" s="244" t="s">
        <v>4056</v>
      </c>
      <c r="AE81" s="245">
        <v>0</v>
      </c>
      <c r="AF81" s="244" t="s">
        <v>4056</v>
      </c>
      <c r="AG81" s="239" t="s">
        <v>2419</v>
      </c>
      <c r="AH81" s="9" t="s">
        <v>4222</v>
      </c>
      <c r="AI81" s="235" t="s">
        <v>4054</v>
      </c>
      <c r="AJ81" s="235" t="s">
        <v>4054</v>
      </c>
      <c r="AK81" s="235" t="s">
        <v>4055</v>
      </c>
    </row>
    <row r="82" spans="1:37" x14ac:dyDescent="0.3">
      <c r="A82" s="229" t="s">
        <v>2417</v>
      </c>
      <c r="B82" s="229" t="s">
        <v>4224</v>
      </c>
      <c r="C82" s="241" t="s">
        <v>4061</v>
      </c>
      <c r="D82" s="237" t="s">
        <v>4362</v>
      </c>
      <c r="E82" s="236" t="s">
        <v>3833</v>
      </c>
      <c r="F82" s="240" t="s">
        <v>4060</v>
      </c>
      <c r="G82" s="214">
        <v>0</v>
      </c>
      <c r="H82" s="231" t="s">
        <v>4054</v>
      </c>
      <c r="I82" s="231"/>
      <c r="J82" s="231"/>
      <c r="K82" s="231"/>
      <c r="L82" s="231"/>
      <c r="M82" s="231"/>
      <c r="N82" s="231" t="s">
        <v>4074</v>
      </c>
      <c r="O82" s="246"/>
      <c r="P82" s="246"/>
      <c r="Q82" s="225"/>
      <c r="R82" s="212" t="s">
        <v>3834</v>
      </c>
      <c r="S82" s="213" t="s">
        <v>4361</v>
      </c>
      <c r="T82" s="233" t="s">
        <v>4053</v>
      </c>
      <c r="U82" s="234" t="s">
        <v>4058</v>
      </c>
      <c r="V82" s="233" t="s">
        <v>4052</v>
      </c>
      <c r="W82" s="233" t="s">
        <v>4052</v>
      </c>
      <c r="X82" s="234" t="s">
        <v>4054</v>
      </c>
      <c r="Y82" s="234"/>
      <c r="Z82" s="234"/>
      <c r="AA82" s="224">
        <v>202409</v>
      </c>
      <c r="AB82" s="243"/>
      <c r="AC82" s="233" t="s">
        <v>4057</v>
      </c>
      <c r="AD82" s="244" t="s">
        <v>4056</v>
      </c>
      <c r="AE82" s="245">
        <v>0</v>
      </c>
      <c r="AF82" s="244" t="s">
        <v>4056</v>
      </c>
      <c r="AG82" s="239" t="s">
        <v>2419</v>
      </c>
      <c r="AH82" s="9" t="s">
        <v>4222</v>
      </c>
      <c r="AI82" s="235" t="s">
        <v>4054</v>
      </c>
      <c r="AJ82" s="235" t="s">
        <v>4054</v>
      </c>
      <c r="AK82" s="235" t="s">
        <v>4055</v>
      </c>
    </row>
    <row r="83" spans="1:37" x14ac:dyDescent="0.3">
      <c r="A83" s="229" t="s">
        <v>2417</v>
      </c>
      <c r="B83" s="229" t="s">
        <v>4224</v>
      </c>
      <c r="C83" s="241" t="s">
        <v>4061</v>
      </c>
      <c r="D83" s="237" t="s">
        <v>4125</v>
      </c>
      <c r="E83" s="236" t="s">
        <v>3780</v>
      </c>
      <c r="F83" s="240" t="s">
        <v>4060</v>
      </c>
      <c r="G83" s="214">
        <v>0</v>
      </c>
      <c r="H83" s="231" t="s">
        <v>4054</v>
      </c>
      <c r="I83" s="231"/>
      <c r="J83" s="231"/>
      <c r="K83" s="231"/>
      <c r="L83" s="231"/>
      <c r="M83" s="231"/>
      <c r="N83" s="231" t="s">
        <v>4074</v>
      </c>
      <c r="O83" s="246"/>
      <c r="P83" s="246"/>
      <c r="Q83" s="225"/>
      <c r="R83" s="212" t="s">
        <v>3781</v>
      </c>
      <c r="S83" s="213" t="s">
        <v>4360</v>
      </c>
      <c r="T83" s="233" t="s">
        <v>4053</v>
      </c>
      <c r="U83" s="234" t="s">
        <v>4058</v>
      </c>
      <c r="V83" s="233" t="s">
        <v>4052</v>
      </c>
      <c r="W83" s="233" t="s">
        <v>4052</v>
      </c>
      <c r="X83" s="234" t="s">
        <v>4054</v>
      </c>
      <c r="Y83" s="234"/>
      <c r="Z83" s="234"/>
      <c r="AA83" s="224">
        <v>202409</v>
      </c>
      <c r="AB83" s="243"/>
      <c r="AC83" s="233" t="s">
        <v>4057</v>
      </c>
      <c r="AD83" s="244" t="s">
        <v>4056</v>
      </c>
      <c r="AE83" s="245">
        <v>0</v>
      </c>
      <c r="AF83" s="244" t="s">
        <v>4056</v>
      </c>
      <c r="AG83" s="239" t="s">
        <v>2419</v>
      </c>
      <c r="AH83" s="9" t="s">
        <v>4222</v>
      </c>
      <c r="AI83" s="235" t="s">
        <v>4054</v>
      </c>
      <c r="AJ83" s="235" t="s">
        <v>4054</v>
      </c>
      <c r="AK83" s="235" t="s">
        <v>4055</v>
      </c>
    </row>
    <row r="84" spans="1:37" x14ac:dyDescent="0.3">
      <c r="A84" s="229" t="s">
        <v>2417</v>
      </c>
      <c r="B84" s="229" t="s">
        <v>4224</v>
      </c>
      <c r="C84" s="241" t="s">
        <v>4061</v>
      </c>
      <c r="D84" s="237" t="s">
        <v>4359</v>
      </c>
      <c r="E84" s="236" t="s">
        <v>4358</v>
      </c>
      <c r="F84" s="240" t="s">
        <v>4060</v>
      </c>
      <c r="G84" s="214">
        <v>0</v>
      </c>
      <c r="H84" s="231" t="s">
        <v>4054</v>
      </c>
      <c r="I84" s="231"/>
      <c r="J84" s="231"/>
      <c r="K84" s="231"/>
      <c r="L84" s="231"/>
      <c r="M84" s="231"/>
      <c r="N84" s="231" t="s">
        <v>4074</v>
      </c>
      <c r="O84" s="246"/>
      <c r="P84" s="246"/>
      <c r="Q84" s="225"/>
      <c r="R84" s="212" t="s">
        <v>4357</v>
      </c>
      <c r="S84" s="213" t="s">
        <v>4356</v>
      </c>
      <c r="T84" s="233" t="s">
        <v>4053</v>
      </c>
      <c r="U84" s="234" t="s">
        <v>4058</v>
      </c>
      <c r="V84" s="233" t="s">
        <v>4052</v>
      </c>
      <c r="W84" s="233" t="s">
        <v>4052</v>
      </c>
      <c r="X84" s="234" t="s">
        <v>4054</v>
      </c>
      <c r="Y84" s="234"/>
      <c r="Z84" s="234"/>
      <c r="AA84" s="224">
        <v>202409</v>
      </c>
      <c r="AB84" s="243"/>
      <c r="AC84" s="233" t="s">
        <v>4057</v>
      </c>
      <c r="AD84" s="244" t="s">
        <v>4056</v>
      </c>
      <c r="AE84" s="245">
        <v>0</v>
      </c>
      <c r="AF84" s="244" t="s">
        <v>4056</v>
      </c>
      <c r="AG84" s="239" t="s">
        <v>2419</v>
      </c>
      <c r="AH84" s="9" t="s">
        <v>4222</v>
      </c>
      <c r="AI84" s="235" t="s">
        <v>4054</v>
      </c>
      <c r="AJ84" s="235" t="s">
        <v>4054</v>
      </c>
      <c r="AK84" s="235" t="s">
        <v>4055</v>
      </c>
    </row>
    <row r="85" spans="1:37" x14ac:dyDescent="0.3">
      <c r="A85" s="229" t="s">
        <v>2417</v>
      </c>
      <c r="B85" s="229" t="s">
        <v>4224</v>
      </c>
      <c r="C85" s="241" t="s">
        <v>4061</v>
      </c>
      <c r="D85" s="237" t="s">
        <v>4179</v>
      </c>
      <c r="E85" s="236" t="s">
        <v>3829</v>
      </c>
      <c r="F85" s="240" t="s">
        <v>4060</v>
      </c>
      <c r="G85" s="214">
        <v>0</v>
      </c>
      <c r="H85" s="231" t="s">
        <v>4054</v>
      </c>
      <c r="I85" s="231"/>
      <c r="J85" s="231"/>
      <c r="K85" s="231"/>
      <c r="L85" s="231"/>
      <c r="M85" s="231"/>
      <c r="N85" s="231" t="s">
        <v>4074</v>
      </c>
      <c r="O85" s="246"/>
      <c r="P85" s="246"/>
      <c r="Q85" s="225"/>
      <c r="R85" s="212" t="s">
        <v>3830</v>
      </c>
      <c r="S85" s="213" t="s">
        <v>4355</v>
      </c>
      <c r="T85" s="233" t="s">
        <v>4053</v>
      </c>
      <c r="U85" s="234" t="s">
        <v>4058</v>
      </c>
      <c r="V85" s="233" t="s">
        <v>4052</v>
      </c>
      <c r="W85" s="233" t="s">
        <v>4052</v>
      </c>
      <c r="X85" s="234" t="s">
        <v>4054</v>
      </c>
      <c r="Y85" s="234"/>
      <c r="Z85" s="234"/>
      <c r="AA85" s="224">
        <v>202409</v>
      </c>
      <c r="AB85" s="243"/>
      <c r="AC85" s="233" t="s">
        <v>4057</v>
      </c>
      <c r="AD85" s="244" t="s">
        <v>4056</v>
      </c>
      <c r="AE85" s="245">
        <v>0</v>
      </c>
      <c r="AF85" s="244" t="s">
        <v>4056</v>
      </c>
      <c r="AG85" s="239" t="s">
        <v>2419</v>
      </c>
      <c r="AH85" s="9" t="s">
        <v>4222</v>
      </c>
      <c r="AI85" s="235" t="s">
        <v>4054</v>
      </c>
      <c r="AJ85" s="235" t="s">
        <v>4054</v>
      </c>
      <c r="AK85" s="235" t="s">
        <v>4055</v>
      </c>
    </row>
    <row r="86" spans="1:37" x14ac:dyDescent="0.3">
      <c r="A86" s="229" t="s">
        <v>2417</v>
      </c>
      <c r="B86" s="229" t="s">
        <v>4224</v>
      </c>
      <c r="C86" s="241" t="s">
        <v>4061</v>
      </c>
      <c r="D86" s="237" t="s">
        <v>4354</v>
      </c>
      <c r="E86" s="236" t="s">
        <v>3673</v>
      </c>
      <c r="F86" s="240" t="s">
        <v>4060</v>
      </c>
      <c r="G86" s="214">
        <v>0</v>
      </c>
      <c r="H86" s="231" t="s">
        <v>4054</v>
      </c>
      <c r="I86" s="231"/>
      <c r="J86" s="231"/>
      <c r="K86" s="231"/>
      <c r="L86" s="231"/>
      <c r="M86" s="231"/>
      <c r="N86" s="231" t="s">
        <v>4074</v>
      </c>
      <c r="O86" s="246"/>
      <c r="P86" s="246"/>
      <c r="Q86" s="225"/>
      <c r="R86" s="212" t="s">
        <v>3737</v>
      </c>
      <c r="S86" s="213" t="s">
        <v>4353</v>
      </c>
      <c r="T86" s="233" t="s">
        <v>4053</v>
      </c>
      <c r="U86" s="234" t="s">
        <v>4058</v>
      </c>
      <c r="V86" s="233" t="s">
        <v>4052</v>
      </c>
      <c r="W86" s="233" t="s">
        <v>4052</v>
      </c>
      <c r="X86" s="234" t="s">
        <v>4054</v>
      </c>
      <c r="Y86" s="234"/>
      <c r="Z86" s="234"/>
      <c r="AA86" s="224">
        <v>202409</v>
      </c>
      <c r="AB86" s="243"/>
      <c r="AC86" s="233" t="s">
        <v>4057</v>
      </c>
      <c r="AD86" s="244" t="s">
        <v>4056</v>
      </c>
      <c r="AE86" s="245">
        <v>0</v>
      </c>
      <c r="AF86" s="244" t="s">
        <v>4056</v>
      </c>
      <c r="AG86" s="239" t="s">
        <v>2419</v>
      </c>
      <c r="AH86" s="9" t="s">
        <v>4222</v>
      </c>
      <c r="AI86" s="235" t="s">
        <v>4054</v>
      </c>
      <c r="AJ86" s="235" t="s">
        <v>4054</v>
      </c>
      <c r="AK86" s="235" t="s">
        <v>4055</v>
      </c>
    </row>
    <row r="87" spans="1:37" x14ac:dyDescent="0.3">
      <c r="A87" s="229" t="s">
        <v>2417</v>
      </c>
      <c r="B87" s="229" t="s">
        <v>4224</v>
      </c>
      <c r="C87" s="241" t="s">
        <v>4061</v>
      </c>
      <c r="D87" s="237" t="s">
        <v>4352</v>
      </c>
      <c r="E87" s="236" t="s">
        <v>4351</v>
      </c>
      <c r="F87" s="240" t="s">
        <v>4060</v>
      </c>
      <c r="G87" s="214">
        <v>0</v>
      </c>
      <c r="H87" s="231" t="s">
        <v>4054</v>
      </c>
      <c r="I87" s="231"/>
      <c r="J87" s="231"/>
      <c r="K87" s="231"/>
      <c r="L87" s="231"/>
      <c r="M87" s="231"/>
      <c r="N87" s="231" t="s">
        <v>4074</v>
      </c>
      <c r="O87" s="246"/>
      <c r="P87" s="246"/>
      <c r="Q87" s="225"/>
      <c r="R87" s="212" t="s">
        <v>4350</v>
      </c>
      <c r="S87" s="213" t="s">
        <v>4349</v>
      </c>
      <c r="T87" s="233" t="s">
        <v>4053</v>
      </c>
      <c r="U87" s="234" t="s">
        <v>4058</v>
      </c>
      <c r="V87" s="233" t="s">
        <v>4052</v>
      </c>
      <c r="W87" s="233" t="s">
        <v>4052</v>
      </c>
      <c r="X87" s="234" t="s">
        <v>4054</v>
      </c>
      <c r="Y87" s="234"/>
      <c r="Z87" s="234"/>
      <c r="AA87" s="224">
        <v>202409</v>
      </c>
      <c r="AB87" s="243"/>
      <c r="AC87" s="233" t="s">
        <v>4057</v>
      </c>
      <c r="AD87" s="244" t="s">
        <v>4056</v>
      </c>
      <c r="AE87" s="245">
        <v>0</v>
      </c>
      <c r="AF87" s="244" t="s">
        <v>4056</v>
      </c>
      <c r="AG87" s="239" t="s">
        <v>2419</v>
      </c>
      <c r="AH87" s="9" t="s">
        <v>4222</v>
      </c>
      <c r="AI87" s="235" t="s">
        <v>4054</v>
      </c>
      <c r="AJ87" s="235" t="s">
        <v>4054</v>
      </c>
      <c r="AK87" s="235" t="s">
        <v>4055</v>
      </c>
    </row>
    <row r="88" spans="1:37" x14ac:dyDescent="0.3">
      <c r="A88" s="229" t="s">
        <v>2417</v>
      </c>
      <c r="B88" s="229" t="s">
        <v>4224</v>
      </c>
      <c r="C88" s="241" t="s">
        <v>4061</v>
      </c>
      <c r="D88" s="237" t="s">
        <v>4348</v>
      </c>
      <c r="E88" s="236" t="s">
        <v>3792</v>
      </c>
      <c r="F88" s="240" t="s">
        <v>4060</v>
      </c>
      <c r="G88" s="214">
        <v>0</v>
      </c>
      <c r="H88" s="231" t="s">
        <v>4054</v>
      </c>
      <c r="I88" s="231"/>
      <c r="J88" s="231"/>
      <c r="K88" s="231"/>
      <c r="L88" s="231"/>
      <c r="M88" s="231"/>
      <c r="N88" s="231" t="s">
        <v>4074</v>
      </c>
      <c r="O88" s="246"/>
      <c r="P88" s="246"/>
      <c r="Q88" s="225"/>
      <c r="R88" s="212" t="s">
        <v>3793</v>
      </c>
      <c r="S88" s="213" t="s">
        <v>4347</v>
      </c>
      <c r="T88" s="233" t="s">
        <v>4053</v>
      </c>
      <c r="U88" s="234" t="s">
        <v>4058</v>
      </c>
      <c r="V88" s="233" t="s">
        <v>4052</v>
      </c>
      <c r="W88" s="233" t="s">
        <v>4052</v>
      </c>
      <c r="X88" s="234" t="s">
        <v>4054</v>
      </c>
      <c r="Y88" s="234"/>
      <c r="Z88" s="234"/>
      <c r="AA88" s="224">
        <v>202409</v>
      </c>
      <c r="AB88" s="243"/>
      <c r="AC88" s="233" t="s">
        <v>4057</v>
      </c>
      <c r="AD88" s="244" t="s">
        <v>4056</v>
      </c>
      <c r="AE88" s="245">
        <v>0</v>
      </c>
      <c r="AF88" s="244" t="s">
        <v>4056</v>
      </c>
      <c r="AG88" s="239" t="s">
        <v>2419</v>
      </c>
      <c r="AH88" s="9" t="s">
        <v>4222</v>
      </c>
      <c r="AI88" s="235" t="s">
        <v>4054</v>
      </c>
      <c r="AJ88" s="235" t="s">
        <v>4054</v>
      </c>
      <c r="AK88" s="235" t="s">
        <v>4055</v>
      </c>
    </row>
    <row r="89" spans="1:37" x14ac:dyDescent="0.3">
      <c r="A89" s="229" t="s">
        <v>2417</v>
      </c>
      <c r="B89" s="229" t="s">
        <v>4224</v>
      </c>
      <c r="C89" s="241" t="s">
        <v>4061</v>
      </c>
      <c r="D89" s="237" t="s">
        <v>4346</v>
      </c>
      <c r="E89" s="236" t="s">
        <v>3969</v>
      </c>
      <c r="F89" s="240" t="s">
        <v>4060</v>
      </c>
      <c r="G89" s="214">
        <v>0</v>
      </c>
      <c r="H89" s="231" t="s">
        <v>4054</v>
      </c>
      <c r="I89" s="231"/>
      <c r="J89" s="231"/>
      <c r="K89" s="231"/>
      <c r="L89" s="231"/>
      <c r="M89" s="231"/>
      <c r="N89" s="231" t="s">
        <v>4074</v>
      </c>
      <c r="O89" s="246"/>
      <c r="P89" s="246"/>
      <c r="Q89" s="225"/>
      <c r="R89" s="212" t="s">
        <v>3970</v>
      </c>
      <c r="S89" s="213" t="s">
        <v>4345</v>
      </c>
      <c r="T89" s="233" t="s">
        <v>4053</v>
      </c>
      <c r="U89" s="234" t="s">
        <v>4058</v>
      </c>
      <c r="V89" s="233" t="s">
        <v>4052</v>
      </c>
      <c r="W89" s="233" t="s">
        <v>4052</v>
      </c>
      <c r="X89" s="234" t="s">
        <v>4054</v>
      </c>
      <c r="Y89" s="234"/>
      <c r="Z89" s="234"/>
      <c r="AA89" s="224">
        <v>202409</v>
      </c>
      <c r="AB89" s="243"/>
      <c r="AC89" s="233" t="s">
        <v>4057</v>
      </c>
      <c r="AD89" s="244" t="s">
        <v>4056</v>
      </c>
      <c r="AE89" s="245">
        <v>0</v>
      </c>
      <c r="AF89" s="244" t="s">
        <v>4056</v>
      </c>
      <c r="AG89" s="239" t="s">
        <v>2419</v>
      </c>
      <c r="AH89" s="9" t="s">
        <v>4222</v>
      </c>
      <c r="AI89" s="235" t="s">
        <v>4054</v>
      </c>
      <c r="AJ89" s="235" t="s">
        <v>4054</v>
      </c>
      <c r="AK89" s="235" t="s">
        <v>4055</v>
      </c>
    </row>
    <row r="90" spans="1:37" x14ac:dyDescent="0.3">
      <c r="A90" s="229" t="s">
        <v>2417</v>
      </c>
      <c r="B90" s="229" t="s">
        <v>4224</v>
      </c>
      <c r="C90" s="241" t="s">
        <v>4061</v>
      </c>
      <c r="D90" s="237" t="s">
        <v>4115</v>
      </c>
      <c r="E90" s="236" t="s">
        <v>3667</v>
      </c>
      <c r="F90" s="240" t="s">
        <v>4060</v>
      </c>
      <c r="G90" s="214">
        <v>0</v>
      </c>
      <c r="H90" s="231" t="s">
        <v>4054</v>
      </c>
      <c r="I90" s="231"/>
      <c r="J90" s="231"/>
      <c r="K90" s="231"/>
      <c r="L90" s="231"/>
      <c r="M90" s="231"/>
      <c r="N90" s="231" t="s">
        <v>4074</v>
      </c>
      <c r="O90" s="246"/>
      <c r="P90" s="246"/>
      <c r="Q90" s="225"/>
      <c r="R90" s="212" t="s">
        <v>3738</v>
      </c>
      <c r="S90" s="213" t="s">
        <v>4344</v>
      </c>
      <c r="T90" s="233" t="s">
        <v>4053</v>
      </c>
      <c r="U90" s="234" t="s">
        <v>4058</v>
      </c>
      <c r="V90" s="233" t="s">
        <v>4052</v>
      </c>
      <c r="W90" s="233" t="s">
        <v>4052</v>
      </c>
      <c r="X90" s="234" t="s">
        <v>4054</v>
      </c>
      <c r="Y90" s="234"/>
      <c r="Z90" s="234"/>
      <c r="AA90" s="224">
        <v>202409</v>
      </c>
      <c r="AB90" s="243"/>
      <c r="AC90" s="233" t="s">
        <v>4057</v>
      </c>
      <c r="AD90" s="244" t="s">
        <v>4056</v>
      </c>
      <c r="AE90" s="245">
        <v>0</v>
      </c>
      <c r="AF90" s="244" t="s">
        <v>4056</v>
      </c>
      <c r="AG90" s="239" t="s">
        <v>2419</v>
      </c>
      <c r="AH90" s="9" t="s">
        <v>4222</v>
      </c>
      <c r="AI90" s="235" t="s">
        <v>4054</v>
      </c>
      <c r="AJ90" s="235" t="s">
        <v>4054</v>
      </c>
      <c r="AK90" s="235" t="s">
        <v>4055</v>
      </c>
    </row>
    <row r="91" spans="1:37" x14ac:dyDescent="0.3">
      <c r="A91" s="229" t="s">
        <v>2417</v>
      </c>
      <c r="B91" s="229" t="s">
        <v>4224</v>
      </c>
      <c r="C91" s="241" t="s">
        <v>4061</v>
      </c>
      <c r="D91" s="237" t="s">
        <v>4103</v>
      </c>
      <c r="E91" s="236" t="s">
        <v>4102</v>
      </c>
      <c r="F91" s="240" t="s">
        <v>4060</v>
      </c>
      <c r="G91" s="214">
        <v>0</v>
      </c>
      <c r="H91" s="231" t="s">
        <v>4054</v>
      </c>
      <c r="I91" s="231"/>
      <c r="J91" s="231"/>
      <c r="K91" s="231"/>
      <c r="L91" s="231"/>
      <c r="M91" s="231"/>
      <c r="N91" s="231" t="s">
        <v>4074</v>
      </c>
      <c r="O91" s="246"/>
      <c r="P91" s="246"/>
      <c r="Q91" s="225"/>
      <c r="R91" s="212" t="s">
        <v>4101</v>
      </c>
      <c r="S91" s="213" t="s">
        <v>4343</v>
      </c>
      <c r="T91" s="233" t="s">
        <v>4053</v>
      </c>
      <c r="U91" s="234" t="s">
        <v>4058</v>
      </c>
      <c r="V91" s="233" t="s">
        <v>4052</v>
      </c>
      <c r="W91" s="233" t="s">
        <v>4052</v>
      </c>
      <c r="X91" s="234" t="s">
        <v>4054</v>
      </c>
      <c r="Y91" s="234"/>
      <c r="Z91" s="234"/>
      <c r="AA91" s="224">
        <v>202409</v>
      </c>
      <c r="AB91" s="243"/>
      <c r="AC91" s="233" t="s">
        <v>4057</v>
      </c>
      <c r="AD91" s="244" t="s">
        <v>4056</v>
      </c>
      <c r="AE91" s="245">
        <v>0</v>
      </c>
      <c r="AF91" s="244" t="s">
        <v>4056</v>
      </c>
      <c r="AG91" s="239" t="s">
        <v>2419</v>
      </c>
      <c r="AH91" s="9" t="s">
        <v>4222</v>
      </c>
      <c r="AI91" s="235" t="s">
        <v>4054</v>
      </c>
      <c r="AJ91" s="235" t="s">
        <v>4054</v>
      </c>
      <c r="AK91" s="235" t="s">
        <v>4055</v>
      </c>
    </row>
    <row r="92" spans="1:37" x14ac:dyDescent="0.3">
      <c r="A92" s="229" t="s">
        <v>2417</v>
      </c>
      <c r="B92" s="229" t="s">
        <v>4224</v>
      </c>
      <c r="C92" s="241" t="s">
        <v>4061</v>
      </c>
      <c r="D92" s="237" t="s">
        <v>4342</v>
      </c>
      <c r="E92" s="236" t="s">
        <v>3776</v>
      </c>
      <c r="F92" s="240" t="s">
        <v>4060</v>
      </c>
      <c r="G92" s="214">
        <v>0</v>
      </c>
      <c r="H92" s="231" t="s">
        <v>4054</v>
      </c>
      <c r="I92" s="231"/>
      <c r="J92" s="231"/>
      <c r="K92" s="231"/>
      <c r="L92" s="231"/>
      <c r="M92" s="231"/>
      <c r="N92" s="231" t="s">
        <v>4074</v>
      </c>
      <c r="O92" s="246"/>
      <c r="P92" s="246"/>
      <c r="Q92" s="225"/>
      <c r="R92" s="212" t="s">
        <v>3777</v>
      </c>
      <c r="S92" s="213" t="s">
        <v>4341</v>
      </c>
      <c r="T92" s="233" t="s">
        <v>4053</v>
      </c>
      <c r="U92" s="234" t="s">
        <v>4058</v>
      </c>
      <c r="V92" s="233" t="s">
        <v>4052</v>
      </c>
      <c r="W92" s="233" t="s">
        <v>4052</v>
      </c>
      <c r="X92" s="234" t="s">
        <v>4054</v>
      </c>
      <c r="Y92" s="234"/>
      <c r="Z92" s="234"/>
      <c r="AA92" s="224">
        <v>202409</v>
      </c>
      <c r="AB92" s="243"/>
      <c r="AC92" s="233" t="s">
        <v>4057</v>
      </c>
      <c r="AD92" s="244" t="s">
        <v>4056</v>
      </c>
      <c r="AE92" s="245">
        <v>0</v>
      </c>
      <c r="AF92" s="244" t="s">
        <v>4056</v>
      </c>
      <c r="AG92" s="239" t="s">
        <v>2419</v>
      </c>
      <c r="AH92" s="9" t="s">
        <v>4222</v>
      </c>
      <c r="AI92" s="235" t="s">
        <v>4054</v>
      </c>
      <c r="AJ92" s="235" t="s">
        <v>4054</v>
      </c>
      <c r="AK92" s="235" t="s">
        <v>4055</v>
      </c>
    </row>
    <row r="93" spans="1:37" x14ac:dyDescent="0.3">
      <c r="A93" s="229" t="s">
        <v>2417</v>
      </c>
      <c r="B93" s="229" t="s">
        <v>4224</v>
      </c>
      <c r="C93" s="241" t="s">
        <v>4061</v>
      </c>
      <c r="D93" s="237" t="s">
        <v>4340</v>
      </c>
      <c r="E93" s="236" t="s">
        <v>3911</v>
      </c>
      <c r="F93" s="240" t="s">
        <v>4060</v>
      </c>
      <c r="G93" s="214">
        <v>0</v>
      </c>
      <c r="H93" s="231" t="s">
        <v>4054</v>
      </c>
      <c r="I93" s="231"/>
      <c r="J93" s="231"/>
      <c r="K93" s="231"/>
      <c r="L93" s="231"/>
      <c r="M93" s="231"/>
      <c r="N93" s="231" t="s">
        <v>4074</v>
      </c>
      <c r="O93" s="246"/>
      <c r="P93" s="246"/>
      <c r="Q93" s="225"/>
      <c r="R93" s="212" t="s">
        <v>3912</v>
      </c>
      <c r="S93" s="213" t="s">
        <v>4339</v>
      </c>
      <c r="T93" s="233" t="s">
        <v>4053</v>
      </c>
      <c r="U93" s="234" t="s">
        <v>4058</v>
      </c>
      <c r="V93" s="233" t="s">
        <v>4052</v>
      </c>
      <c r="W93" s="233" t="s">
        <v>4052</v>
      </c>
      <c r="X93" s="234" t="s">
        <v>4054</v>
      </c>
      <c r="Y93" s="234"/>
      <c r="Z93" s="234"/>
      <c r="AA93" s="224">
        <v>202409</v>
      </c>
      <c r="AB93" s="243"/>
      <c r="AC93" s="233" t="s">
        <v>4057</v>
      </c>
      <c r="AD93" s="244" t="s">
        <v>4056</v>
      </c>
      <c r="AE93" s="245">
        <v>0</v>
      </c>
      <c r="AF93" s="244" t="s">
        <v>4056</v>
      </c>
      <c r="AG93" s="239" t="s">
        <v>2419</v>
      </c>
      <c r="AH93" s="9" t="s">
        <v>4222</v>
      </c>
      <c r="AI93" s="235" t="s">
        <v>4054</v>
      </c>
      <c r="AJ93" s="235" t="s">
        <v>4054</v>
      </c>
      <c r="AK93" s="235" t="s">
        <v>4055</v>
      </c>
    </row>
    <row r="94" spans="1:37" x14ac:dyDescent="0.3">
      <c r="A94" s="229" t="s">
        <v>2417</v>
      </c>
      <c r="B94" s="229" t="s">
        <v>4224</v>
      </c>
      <c r="C94" s="241" t="s">
        <v>4061</v>
      </c>
      <c r="D94" s="237" t="s">
        <v>4338</v>
      </c>
      <c r="E94" s="236" t="s">
        <v>4337</v>
      </c>
      <c r="F94" s="240" t="s">
        <v>4060</v>
      </c>
      <c r="G94" s="214">
        <v>0</v>
      </c>
      <c r="H94" s="231" t="s">
        <v>4054</v>
      </c>
      <c r="I94" s="231"/>
      <c r="J94" s="231"/>
      <c r="K94" s="231"/>
      <c r="L94" s="231"/>
      <c r="M94" s="231"/>
      <c r="N94" s="231" t="s">
        <v>4074</v>
      </c>
      <c r="O94" s="246"/>
      <c r="P94" s="246"/>
      <c r="Q94" s="225"/>
      <c r="R94" s="212" t="s">
        <v>4336</v>
      </c>
      <c r="S94" s="213" t="s">
        <v>4335</v>
      </c>
      <c r="T94" s="233" t="s">
        <v>4053</v>
      </c>
      <c r="U94" s="234" t="s">
        <v>4058</v>
      </c>
      <c r="V94" s="233" t="s">
        <v>4052</v>
      </c>
      <c r="W94" s="233" t="s">
        <v>4052</v>
      </c>
      <c r="X94" s="234" t="s">
        <v>4054</v>
      </c>
      <c r="Y94" s="234"/>
      <c r="Z94" s="234"/>
      <c r="AA94" s="224">
        <v>202409</v>
      </c>
      <c r="AB94" s="243"/>
      <c r="AC94" s="233" t="s">
        <v>4057</v>
      </c>
      <c r="AD94" s="244" t="s">
        <v>4056</v>
      </c>
      <c r="AE94" s="245">
        <v>0</v>
      </c>
      <c r="AF94" s="244" t="s">
        <v>4056</v>
      </c>
      <c r="AG94" s="239" t="s">
        <v>2419</v>
      </c>
      <c r="AH94" s="9" t="s">
        <v>4222</v>
      </c>
      <c r="AI94" s="235" t="s">
        <v>4054</v>
      </c>
      <c r="AJ94" s="235" t="s">
        <v>4054</v>
      </c>
      <c r="AK94" s="235" t="s">
        <v>4055</v>
      </c>
    </row>
    <row r="95" spans="1:37" x14ac:dyDescent="0.3">
      <c r="A95" s="229" t="s">
        <v>2417</v>
      </c>
      <c r="B95" s="229" t="s">
        <v>4224</v>
      </c>
      <c r="C95" s="241" t="s">
        <v>4061</v>
      </c>
      <c r="D95" s="237" t="s">
        <v>4334</v>
      </c>
      <c r="E95" s="236" t="s">
        <v>3841</v>
      </c>
      <c r="F95" s="240" t="s">
        <v>4060</v>
      </c>
      <c r="G95" s="214">
        <v>0</v>
      </c>
      <c r="H95" s="231" t="s">
        <v>4054</v>
      </c>
      <c r="I95" s="231"/>
      <c r="J95" s="231"/>
      <c r="K95" s="231"/>
      <c r="L95" s="231"/>
      <c r="M95" s="231"/>
      <c r="N95" s="231" t="s">
        <v>4074</v>
      </c>
      <c r="O95" s="246"/>
      <c r="P95" s="246"/>
      <c r="Q95" s="225"/>
      <c r="R95" s="212" t="s">
        <v>3842</v>
      </c>
      <c r="S95" s="213" t="s">
        <v>4333</v>
      </c>
      <c r="T95" s="233" t="s">
        <v>4053</v>
      </c>
      <c r="U95" s="234" t="s">
        <v>4058</v>
      </c>
      <c r="V95" s="233" t="s">
        <v>4052</v>
      </c>
      <c r="W95" s="233" t="s">
        <v>4052</v>
      </c>
      <c r="X95" s="234" t="s">
        <v>4054</v>
      </c>
      <c r="Y95" s="234"/>
      <c r="Z95" s="234"/>
      <c r="AA95" s="224">
        <v>202409</v>
      </c>
      <c r="AB95" s="243"/>
      <c r="AC95" s="233" t="s">
        <v>4057</v>
      </c>
      <c r="AD95" s="244" t="s">
        <v>4056</v>
      </c>
      <c r="AE95" s="245">
        <v>0</v>
      </c>
      <c r="AF95" s="244" t="s">
        <v>4056</v>
      </c>
      <c r="AG95" s="239" t="s">
        <v>2419</v>
      </c>
      <c r="AH95" s="9" t="s">
        <v>4222</v>
      </c>
      <c r="AI95" s="235" t="s">
        <v>4054</v>
      </c>
      <c r="AJ95" s="235" t="s">
        <v>4054</v>
      </c>
      <c r="AK95" s="235" t="s">
        <v>4055</v>
      </c>
    </row>
    <row r="96" spans="1:37" x14ac:dyDescent="0.3">
      <c r="A96" s="229" t="s">
        <v>2417</v>
      </c>
      <c r="B96" s="229" t="s">
        <v>4224</v>
      </c>
      <c r="C96" s="241" t="s">
        <v>4061</v>
      </c>
      <c r="D96" s="237" t="s">
        <v>4332</v>
      </c>
      <c r="E96" s="236" t="s">
        <v>3796</v>
      </c>
      <c r="F96" s="240" t="s">
        <v>4060</v>
      </c>
      <c r="G96" s="214">
        <v>0</v>
      </c>
      <c r="H96" s="231" t="s">
        <v>4054</v>
      </c>
      <c r="I96" s="231"/>
      <c r="J96" s="231"/>
      <c r="K96" s="231"/>
      <c r="L96" s="231"/>
      <c r="M96" s="231"/>
      <c r="N96" s="231" t="s">
        <v>4074</v>
      </c>
      <c r="O96" s="246"/>
      <c r="P96" s="246"/>
      <c r="Q96" s="225"/>
      <c r="R96" s="212" t="s">
        <v>3797</v>
      </c>
      <c r="S96" s="213" t="s">
        <v>4331</v>
      </c>
      <c r="T96" s="233" t="s">
        <v>4053</v>
      </c>
      <c r="U96" s="234" t="s">
        <v>4058</v>
      </c>
      <c r="V96" s="233" t="s">
        <v>4052</v>
      </c>
      <c r="W96" s="233" t="s">
        <v>4052</v>
      </c>
      <c r="X96" s="234" t="s">
        <v>4054</v>
      </c>
      <c r="Y96" s="234"/>
      <c r="Z96" s="234"/>
      <c r="AA96" s="224">
        <v>202409</v>
      </c>
      <c r="AB96" s="243"/>
      <c r="AC96" s="233" t="s">
        <v>4057</v>
      </c>
      <c r="AD96" s="244" t="s">
        <v>4056</v>
      </c>
      <c r="AE96" s="245">
        <v>0</v>
      </c>
      <c r="AF96" s="244" t="s">
        <v>4056</v>
      </c>
      <c r="AG96" s="239" t="s">
        <v>2419</v>
      </c>
      <c r="AH96" s="9" t="s">
        <v>4222</v>
      </c>
      <c r="AI96" s="235" t="s">
        <v>4054</v>
      </c>
      <c r="AJ96" s="235" t="s">
        <v>4054</v>
      </c>
      <c r="AK96" s="235" t="s">
        <v>4055</v>
      </c>
    </row>
    <row r="97" spans="1:37" x14ac:dyDescent="0.3">
      <c r="A97" s="229" t="s">
        <v>2417</v>
      </c>
      <c r="B97" s="229" t="s">
        <v>4224</v>
      </c>
      <c r="C97" s="241" t="s">
        <v>4061</v>
      </c>
      <c r="D97" s="237" t="s">
        <v>4330</v>
      </c>
      <c r="E97" s="236" t="s">
        <v>3959</v>
      </c>
      <c r="F97" s="240" t="s">
        <v>4060</v>
      </c>
      <c r="G97" s="214">
        <v>0</v>
      </c>
      <c r="H97" s="231" t="s">
        <v>4054</v>
      </c>
      <c r="I97" s="231"/>
      <c r="J97" s="231"/>
      <c r="K97" s="231"/>
      <c r="L97" s="231"/>
      <c r="M97" s="231"/>
      <c r="N97" s="231" t="s">
        <v>4074</v>
      </c>
      <c r="O97" s="246"/>
      <c r="P97" s="246"/>
      <c r="Q97" s="225"/>
      <c r="R97" s="212" t="s">
        <v>3960</v>
      </c>
      <c r="S97" s="213" t="s">
        <v>4329</v>
      </c>
      <c r="T97" s="233" t="s">
        <v>4053</v>
      </c>
      <c r="U97" s="234" t="s">
        <v>4058</v>
      </c>
      <c r="V97" s="233" t="s">
        <v>4052</v>
      </c>
      <c r="W97" s="233" t="s">
        <v>4052</v>
      </c>
      <c r="X97" s="234" t="s">
        <v>4054</v>
      </c>
      <c r="Y97" s="234"/>
      <c r="Z97" s="234"/>
      <c r="AA97" s="224">
        <v>202409</v>
      </c>
      <c r="AB97" s="243"/>
      <c r="AC97" s="233" t="s">
        <v>4057</v>
      </c>
      <c r="AD97" s="244" t="s">
        <v>4056</v>
      </c>
      <c r="AE97" s="245">
        <v>0</v>
      </c>
      <c r="AF97" s="244" t="s">
        <v>4056</v>
      </c>
      <c r="AG97" s="239" t="s">
        <v>2419</v>
      </c>
      <c r="AH97" s="9" t="s">
        <v>4222</v>
      </c>
      <c r="AI97" s="235" t="s">
        <v>4054</v>
      </c>
      <c r="AJ97" s="235" t="s">
        <v>4054</v>
      </c>
      <c r="AK97" s="235" t="s">
        <v>4055</v>
      </c>
    </row>
    <row r="98" spans="1:37" x14ac:dyDescent="0.3">
      <c r="A98" s="229" t="s">
        <v>2417</v>
      </c>
      <c r="B98" s="229" t="s">
        <v>4224</v>
      </c>
      <c r="C98" s="241" t="s">
        <v>4061</v>
      </c>
      <c r="D98" s="237" t="s">
        <v>4328</v>
      </c>
      <c r="E98" s="236" t="s">
        <v>3847</v>
      </c>
      <c r="F98" s="240" t="s">
        <v>4060</v>
      </c>
      <c r="G98" s="214">
        <v>0</v>
      </c>
      <c r="H98" s="231" t="s">
        <v>4054</v>
      </c>
      <c r="I98" s="231"/>
      <c r="J98" s="231"/>
      <c r="K98" s="231"/>
      <c r="L98" s="231"/>
      <c r="M98" s="231"/>
      <c r="N98" s="231" t="s">
        <v>4074</v>
      </c>
      <c r="O98" s="246"/>
      <c r="P98" s="246"/>
      <c r="Q98" s="225"/>
      <c r="R98" s="212" t="s">
        <v>3848</v>
      </c>
      <c r="S98" s="213" t="s">
        <v>4327</v>
      </c>
      <c r="T98" s="233" t="s">
        <v>4053</v>
      </c>
      <c r="U98" s="234" t="s">
        <v>4058</v>
      </c>
      <c r="V98" s="233" t="s">
        <v>4052</v>
      </c>
      <c r="W98" s="233" t="s">
        <v>4052</v>
      </c>
      <c r="X98" s="234" t="s">
        <v>4054</v>
      </c>
      <c r="Y98" s="234"/>
      <c r="Z98" s="234"/>
      <c r="AA98" s="224">
        <v>202409</v>
      </c>
      <c r="AB98" s="243"/>
      <c r="AC98" s="233" t="s">
        <v>4057</v>
      </c>
      <c r="AD98" s="244" t="s">
        <v>4056</v>
      </c>
      <c r="AE98" s="245">
        <v>0</v>
      </c>
      <c r="AF98" s="244" t="s">
        <v>4056</v>
      </c>
      <c r="AG98" s="239" t="s">
        <v>2419</v>
      </c>
      <c r="AH98" s="9" t="s">
        <v>4222</v>
      </c>
      <c r="AI98" s="235" t="s">
        <v>4054</v>
      </c>
      <c r="AJ98" s="235" t="s">
        <v>4054</v>
      </c>
      <c r="AK98" s="235" t="s">
        <v>4055</v>
      </c>
    </row>
    <row r="99" spans="1:37" x14ac:dyDescent="0.3">
      <c r="A99" s="229" t="s">
        <v>2417</v>
      </c>
      <c r="B99" s="229" t="s">
        <v>4224</v>
      </c>
      <c r="C99" s="241" t="s">
        <v>4061</v>
      </c>
      <c r="D99" s="237" t="s">
        <v>4326</v>
      </c>
      <c r="E99" s="236" t="s">
        <v>4325</v>
      </c>
      <c r="F99" s="240" t="s">
        <v>4060</v>
      </c>
      <c r="G99" s="214">
        <v>0</v>
      </c>
      <c r="H99" s="231" t="s">
        <v>4054</v>
      </c>
      <c r="I99" s="231"/>
      <c r="J99" s="231"/>
      <c r="K99" s="231"/>
      <c r="L99" s="231"/>
      <c r="M99" s="231"/>
      <c r="N99" s="231" t="s">
        <v>4074</v>
      </c>
      <c r="O99" s="246"/>
      <c r="P99" s="246"/>
      <c r="Q99" s="225"/>
      <c r="R99" s="212" t="s">
        <v>4324</v>
      </c>
      <c r="S99" s="213" t="s">
        <v>4323</v>
      </c>
      <c r="T99" s="233" t="s">
        <v>4053</v>
      </c>
      <c r="U99" s="234" t="s">
        <v>4058</v>
      </c>
      <c r="V99" s="233" t="s">
        <v>4052</v>
      </c>
      <c r="W99" s="233" t="s">
        <v>4052</v>
      </c>
      <c r="X99" s="234" t="s">
        <v>4054</v>
      </c>
      <c r="Y99" s="234"/>
      <c r="Z99" s="234"/>
      <c r="AA99" s="224">
        <v>202409</v>
      </c>
      <c r="AB99" s="243"/>
      <c r="AC99" s="233" t="s">
        <v>4057</v>
      </c>
      <c r="AD99" s="244" t="s">
        <v>4056</v>
      </c>
      <c r="AE99" s="245">
        <v>0</v>
      </c>
      <c r="AF99" s="244" t="s">
        <v>4056</v>
      </c>
      <c r="AG99" s="239" t="s">
        <v>2419</v>
      </c>
      <c r="AH99" s="9" t="s">
        <v>4222</v>
      </c>
      <c r="AI99" s="235" t="s">
        <v>4054</v>
      </c>
      <c r="AJ99" s="235" t="s">
        <v>4054</v>
      </c>
      <c r="AK99" s="235" t="s">
        <v>4055</v>
      </c>
    </row>
    <row r="100" spans="1:37" x14ac:dyDescent="0.3">
      <c r="A100" s="229" t="s">
        <v>2417</v>
      </c>
      <c r="B100" s="229" t="s">
        <v>4224</v>
      </c>
      <c r="C100" s="241" t="s">
        <v>4061</v>
      </c>
      <c r="D100" s="237" t="s">
        <v>4322</v>
      </c>
      <c r="E100" s="236" t="s">
        <v>3815</v>
      </c>
      <c r="F100" s="240" t="s">
        <v>4060</v>
      </c>
      <c r="G100" s="214">
        <v>0</v>
      </c>
      <c r="H100" s="231" t="s">
        <v>4054</v>
      </c>
      <c r="I100" s="231"/>
      <c r="J100" s="231"/>
      <c r="K100" s="231"/>
      <c r="L100" s="231"/>
      <c r="M100" s="231"/>
      <c r="N100" s="231" t="s">
        <v>4074</v>
      </c>
      <c r="O100" s="246"/>
      <c r="P100" s="246"/>
      <c r="Q100" s="225"/>
      <c r="R100" s="212" t="s">
        <v>3816</v>
      </c>
      <c r="S100" s="213" t="s">
        <v>4321</v>
      </c>
      <c r="T100" s="233" t="s">
        <v>4053</v>
      </c>
      <c r="U100" s="234" t="s">
        <v>4058</v>
      </c>
      <c r="V100" s="233" t="s">
        <v>4052</v>
      </c>
      <c r="W100" s="233" t="s">
        <v>4052</v>
      </c>
      <c r="X100" s="234" t="s">
        <v>4054</v>
      </c>
      <c r="Y100" s="234"/>
      <c r="Z100" s="234"/>
      <c r="AA100" s="224">
        <v>202409</v>
      </c>
      <c r="AB100" s="243"/>
      <c r="AC100" s="233" t="s">
        <v>4057</v>
      </c>
      <c r="AD100" s="244" t="s">
        <v>4056</v>
      </c>
      <c r="AE100" s="245">
        <v>0</v>
      </c>
      <c r="AF100" s="244" t="s">
        <v>4056</v>
      </c>
      <c r="AG100" s="239" t="s">
        <v>2419</v>
      </c>
      <c r="AH100" s="9" t="s">
        <v>4222</v>
      </c>
      <c r="AI100" s="235" t="s">
        <v>4054</v>
      </c>
      <c r="AJ100" s="235" t="s">
        <v>4054</v>
      </c>
      <c r="AK100" s="235" t="s">
        <v>4055</v>
      </c>
    </row>
    <row r="101" spans="1:37" x14ac:dyDescent="0.3">
      <c r="A101" s="229" t="s">
        <v>2417</v>
      </c>
      <c r="B101" s="229" t="s">
        <v>4224</v>
      </c>
      <c r="C101" s="241" t="s">
        <v>4061</v>
      </c>
      <c r="D101" s="237" t="s">
        <v>4320</v>
      </c>
      <c r="E101" s="236" t="s">
        <v>3853</v>
      </c>
      <c r="F101" s="240" t="s">
        <v>4060</v>
      </c>
      <c r="G101" s="214">
        <v>0</v>
      </c>
      <c r="H101" s="231" t="s">
        <v>4054</v>
      </c>
      <c r="I101" s="231"/>
      <c r="J101" s="231"/>
      <c r="K101" s="231"/>
      <c r="L101" s="231"/>
      <c r="M101" s="231"/>
      <c r="N101" s="231" t="s">
        <v>4074</v>
      </c>
      <c r="O101" s="246"/>
      <c r="P101" s="246"/>
      <c r="Q101" s="225"/>
      <c r="R101" s="212" t="s">
        <v>3854</v>
      </c>
      <c r="S101" s="213" t="s">
        <v>4319</v>
      </c>
      <c r="T101" s="233" t="s">
        <v>4053</v>
      </c>
      <c r="U101" s="234" t="s">
        <v>4058</v>
      </c>
      <c r="V101" s="233" t="s">
        <v>4052</v>
      </c>
      <c r="W101" s="233" t="s">
        <v>4052</v>
      </c>
      <c r="X101" s="234" t="s">
        <v>4054</v>
      </c>
      <c r="Y101" s="234"/>
      <c r="Z101" s="234"/>
      <c r="AA101" s="224">
        <v>202409</v>
      </c>
      <c r="AB101" s="243"/>
      <c r="AC101" s="233" t="s">
        <v>4057</v>
      </c>
      <c r="AD101" s="244" t="s">
        <v>4056</v>
      </c>
      <c r="AE101" s="245">
        <v>0</v>
      </c>
      <c r="AF101" s="244" t="s">
        <v>4056</v>
      </c>
      <c r="AG101" s="239" t="s">
        <v>2419</v>
      </c>
      <c r="AH101" s="9" t="s">
        <v>4222</v>
      </c>
      <c r="AI101" s="235" t="s">
        <v>4054</v>
      </c>
      <c r="AJ101" s="235" t="s">
        <v>4054</v>
      </c>
      <c r="AK101" s="235" t="s">
        <v>4055</v>
      </c>
    </row>
    <row r="102" spans="1:37" x14ac:dyDescent="0.3">
      <c r="A102" s="229" t="s">
        <v>2417</v>
      </c>
      <c r="B102" s="229" t="s">
        <v>4224</v>
      </c>
      <c r="C102" s="241" t="s">
        <v>4061</v>
      </c>
      <c r="D102" s="237" t="s">
        <v>4177</v>
      </c>
      <c r="E102" s="236" t="s">
        <v>3914</v>
      </c>
      <c r="F102" s="240" t="s">
        <v>4060</v>
      </c>
      <c r="G102" s="214">
        <v>0</v>
      </c>
      <c r="H102" s="231" t="s">
        <v>4054</v>
      </c>
      <c r="I102" s="231"/>
      <c r="J102" s="231"/>
      <c r="K102" s="231"/>
      <c r="L102" s="231"/>
      <c r="M102" s="231"/>
      <c r="N102" s="231" t="s">
        <v>4074</v>
      </c>
      <c r="O102" s="246"/>
      <c r="P102" s="246"/>
      <c r="Q102" s="225"/>
      <c r="R102" s="212" t="s">
        <v>3915</v>
      </c>
      <c r="S102" s="213" t="s">
        <v>4318</v>
      </c>
      <c r="T102" s="233" t="s">
        <v>4053</v>
      </c>
      <c r="U102" s="234" t="s">
        <v>4058</v>
      </c>
      <c r="V102" s="233" t="s">
        <v>4052</v>
      </c>
      <c r="W102" s="233" t="s">
        <v>4052</v>
      </c>
      <c r="X102" s="234" t="s">
        <v>4054</v>
      </c>
      <c r="Y102" s="234"/>
      <c r="Z102" s="234"/>
      <c r="AA102" s="224">
        <v>202409</v>
      </c>
      <c r="AB102" s="243"/>
      <c r="AC102" s="233" t="s">
        <v>4057</v>
      </c>
      <c r="AD102" s="244" t="s">
        <v>4056</v>
      </c>
      <c r="AE102" s="245">
        <v>0</v>
      </c>
      <c r="AF102" s="244" t="s">
        <v>4056</v>
      </c>
      <c r="AG102" s="239" t="s">
        <v>2419</v>
      </c>
      <c r="AH102" s="9" t="s">
        <v>4222</v>
      </c>
      <c r="AI102" s="235" t="s">
        <v>4054</v>
      </c>
      <c r="AJ102" s="235" t="s">
        <v>4054</v>
      </c>
      <c r="AK102" s="235" t="s">
        <v>4055</v>
      </c>
    </row>
    <row r="103" spans="1:37" x14ac:dyDescent="0.3">
      <c r="A103" s="229" t="s">
        <v>2417</v>
      </c>
      <c r="B103" s="229" t="s">
        <v>4224</v>
      </c>
      <c r="C103" s="241" t="s">
        <v>4061</v>
      </c>
      <c r="D103" s="237" t="s">
        <v>4317</v>
      </c>
      <c r="E103" s="236" t="s">
        <v>4316</v>
      </c>
      <c r="F103" s="240" t="s">
        <v>4060</v>
      </c>
      <c r="G103" s="214">
        <v>0</v>
      </c>
      <c r="H103" s="231" t="s">
        <v>4054</v>
      </c>
      <c r="I103" s="231"/>
      <c r="J103" s="231"/>
      <c r="K103" s="231"/>
      <c r="L103" s="231"/>
      <c r="M103" s="231"/>
      <c r="N103" s="231" t="s">
        <v>4074</v>
      </c>
      <c r="O103" s="246"/>
      <c r="P103" s="246"/>
      <c r="Q103" s="225"/>
      <c r="R103" s="212" t="s">
        <v>4315</v>
      </c>
      <c r="S103" s="213" t="s">
        <v>4314</v>
      </c>
      <c r="T103" s="233" t="s">
        <v>4053</v>
      </c>
      <c r="U103" s="234" t="s">
        <v>4058</v>
      </c>
      <c r="V103" s="233" t="s">
        <v>4052</v>
      </c>
      <c r="W103" s="233" t="s">
        <v>4052</v>
      </c>
      <c r="X103" s="234" t="s">
        <v>4054</v>
      </c>
      <c r="Y103" s="234"/>
      <c r="Z103" s="234"/>
      <c r="AA103" s="224">
        <v>202409</v>
      </c>
      <c r="AB103" s="243"/>
      <c r="AC103" s="233" t="s">
        <v>4057</v>
      </c>
      <c r="AD103" s="244" t="s">
        <v>4056</v>
      </c>
      <c r="AE103" s="245">
        <v>0</v>
      </c>
      <c r="AF103" s="244" t="s">
        <v>4056</v>
      </c>
      <c r="AG103" s="239" t="s">
        <v>2419</v>
      </c>
      <c r="AH103" s="9" t="s">
        <v>4222</v>
      </c>
      <c r="AI103" s="235" t="s">
        <v>4054</v>
      </c>
      <c r="AJ103" s="235" t="s">
        <v>4054</v>
      </c>
      <c r="AK103" s="235" t="s">
        <v>4055</v>
      </c>
    </row>
    <row r="104" spans="1:37" x14ac:dyDescent="0.3">
      <c r="A104" s="229" t="s">
        <v>2417</v>
      </c>
      <c r="B104" s="229" t="s">
        <v>4224</v>
      </c>
      <c r="C104" s="241" t="s">
        <v>4061</v>
      </c>
      <c r="D104" s="237" t="s">
        <v>4313</v>
      </c>
      <c r="E104" s="236" t="s">
        <v>3782</v>
      </c>
      <c r="F104" s="240" t="s">
        <v>4060</v>
      </c>
      <c r="G104" s="214">
        <v>0</v>
      </c>
      <c r="H104" s="231" t="s">
        <v>4054</v>
      </c>
      <c r="I104" s="231"/>
      <c r="J104" s="231"/>
      <c r="K104" s="231"/>
      <c r="L104" s="231"/>
      <c r="M104" s="231"/>
      <c r="N104" s="231" t="s">
        <v>4074</v>
      </c>
      <c r="O104" s="246"/>
      <c r="P104" s="246"/>
      <c r="Q104" s="225"/>
      <c r="R104" s="212" t="s">
        <v>3783</v>
      </c>
      <c r="S104" s="213" t="s">
        <v>4312</v>
      </c>
      <c r="T104" s="233" t="s">
        <v>4053</v>
      </c>
      <c r="U104" s="234" t="s">
        <v>4058</v>
      </c>
      <c r="V104" s="233" t="s">
        <v>4052</v>
      </c>
      <c r="W104" s="233" t="s">
        <v>4052</v>
      </c>
      <c r="X104" s="234" t="s">
        <v>4054</v>
      </c>
      <c r="Y104" s="234"/>
      <c r="Z104" s="234"/>
      <c r="AA104" s="224">
        <v>202409</v>
      </c>
      <c r="AB104" s="243"/>
      <c r="AC104" s="233" t="s">
        <v>4057</v>
      </c>
      <c r="AD104" s="244" t="s">
        <v>4056</v>
      </c>
      <c r="AE104" s="245">
        <v>0</v>
      </c>
      <c r="AF104" s="244" t="s">
        <v>4056</v>
      </c>
      <c r="AG104" s="239" t="s">
        <v>2419</v>
      </c>
      <c r="AH104" s="9" t="s">
        <v>4222</v>
      </c>
      <c r="AI104" s="235" t="s">
        <v>4054</v>
      </c>
      <c r="AJ104" s="235" t="s">
        <v>4054</v>
      </c>
      <c r="AK104" s="235" t="s">
        <v>4055</v>
      </c>
    </row>
    <row r="105" spans="1:37" x14ac:dyDescent="0.3">
      <c r="A105" s="229" t="s">
        <v>2417</v>
      </c>
      <c r="B105" s="229" t="s">
        <v>4224</v>
      </c>
      <c r="C105" s="241" t="s">
        <v>4061</v>
      </c>
      <c r="D105" s="237" t="s">
        <v>4311</v>
      </c>
      <c r="E105" s="236" t="s">
        <v>3784</v>
      </c>
      <c r="F105" s="240" t="s">
        <v>4060</v>
      </c>
      <c r="G105" s="214">
        <v>0</v>
      </c>
      <c r="H105" s="231" t="s">
        <v>4054</v>
      </c>
      <c r="I105" s="231"/>
      <c r="J105" s="231"/>
      <c r="K105" s="231"/>
      <c r="L105" s="231"/>
      <c r="M105" s="231"/>
      <c r="N105" s="231" t="s">
        <v>4074</v>
      </c>
      <c r="O105" s="246"/>
      <c r="P105" s="246"/>
      <c r="Q105" s="225"/>
      <c r="R105" s="212" t="s">
        <v>3785</v>
      </c>
      <c r="S105" s="213" t="s">
        <v>4310</v>
      </c>
      <c r="T105" s="233" t="s">
        <v>4053</v>
      </c>
      <c r="U105" s="234" t="s">
        <v>4058</v>
      </c>
      <c r="V105" s="233" t="s">
        <v>4052</v>
      </c>
      <c r="W105" s="233" t="s">
        <v>4052</v>
      </c>
      <c r="X105" s="234" t="s">
        <v>4054</v>
      </c>
      <c r="Y105" s="234"/>
      <c r="Z105" s="234"/>
      <c r="AA105" s="224">
        <v>202409</v>
      </c>
      <c r="AB105" s="243"/>
      <c r="AC105" s="233" t="s">
        <v>4057</v>
      </c>
      <c r="AD105" s="244" t="s">
        <v>4056</v>
      </c>
      <c r="AE105" s="245">
        <v>0</v>
      </c>
      <c r="AF105" s="244" t="s">
        <v>4056</v>
      </c>
      <c r="AG105" s="239" t="s">
        <v>2419</v>
      </c>
      <c r="AH105" s="9" t="s">
        <v>4222</v>
      </c>
      <c r="AI105" s="235" t="s">
        <v>4054</v>
      </c>
      <c r="AJ105" s="235" t="s">
        <v>4054</v>
      </c>
      <c r="AK105" s="235" t="s">
        <v>4055</v>
      </c>
    </row>
    <row r="106" spans="1:37" x14ac:dyDescent="0.3">
      <c r="A106" s="229" t="s">
        <v>2417</v>
      </c>
      <c r="B106" s="229" t="s">
        <v>4224</v>
      </c>
      <c r="C106" s="241" t="s">
        <v>4061</v>
      </c>
      <c r="D106" s="237" t="s">
        <v>4309</v>
      </c>
      <c r="E106" s="236" t="s">
        <v>3973</v>
      </c>
      <c r="F106" s="240" t="s">
        <v>4060</v>
      </c>
      <c r="G106" s="214">
        <v>0</v>
      </c>
      <c r="H106" s="231" t="s">
        <v>4054</v>
      </c>
      <c r="I106" s="231"/>
      <c r="J106" s="231"/>
      <c r="K106" s="231"/>
      <c r="L106" s="231"/>
      <c r="M106" s="231"/>
      <c r="N106" s="231" t="s">
        <v>4074</v>
      </c>
      <c r="O106" s="246"/>
      <c r="P106" s="246"/>
      <c r="Q106" s="225"/>
      <c r="R106" s="212" t="s">
        <v>3974</v>
      </c>
      <c r="S106" s="213" t="s">
        <v>4308</v>
      </c>
      <c r="T106" s="233" t="s">
        <v>4053</v>
      </c>
      <c r="U106" s="234" t="s">
        <v>4058</v>
      </c>
      <c r="V106" s="233" t="s">
        <v>4052</v>
      </c>
      <c r="W106" s="233" t="s">
        <v>4052</v>
      </c>
      <c r="X106" s="234" t="s">
        <v>4054</v>
      </c>
      <c r="Y106" s="234"/>
      <c r="Z106" s="234"/>
      <c r="AA106" s="224">
        <v>202409</v>
      </c>
      <c r="AB106" s="243"/>
      <c r="AC106" s="233" t="s">
        <v>4057</v>
      </c>
      <c r="AD106" s="244" t="s">
        <v>4056</v>
      </c>
      <c r="AE106" s="245">
        <v>0</v>
      </c>
      <c r="AF106" s="244" t="s">
        <v>4056</v>
      </c>
      <c r="AG106" s="239" t="s">
        <v>2419</v>
      </c>
      <c r="AH106" s="9" t="s">
        <v>4222</v>
      </c>
      <c r="AI106" s="235" t="s">
        <v>4054</v>
      </c>
      <c r="AJ106" s="235" t="s">
        <v>4054</v>
      </c>
      <c r="AK106" s="235" t="s">
        <v>4055</v>
      </c>
    </row>
    <row r="107" spans="1:37" x14ac:dyDescent="0.3">
      <c r="A107" s="229" t="s">
        <v>2417</v>
      </c>
      <c r="B107" s="229" t="s">
        <v>4224</v>
      </c>
      <c r="C107" s="241" t="s">
        <v>4061</v>
      </c>
      <c r="D107" s="237" t="s">
        <v>4110</v>
      </c>
      <c r="E107" s="236" t="s">
        <v>4017</v>
      </c>
      <c r="F107" s="240" t="s">
        <v>4060</v>
      </c>
      <c r="G107" s="214">
        <v>0</v>
      </c>
      <c r="H107" s="231" t="s">
        <v>4054</v>
      </c>
      <c r="I107" s="231"/>
      <c r="J107" s="231"/>
      <c r="K107" s="231"/>
      <c r="L107" s="231"/>
      <c r="M107" s="231"/>
      <c r="N107" s="231" t="s">
        <v>4074</v>
      </c>
      <c r="O107" s="246"/>
      <c r="P107" s="246"/>
      <c r="Q107" s="225"/>
      <c r="R107" s="212" t="s">
        <v>4018</v>
      </c>
      <c r="S107" s="213" t="s">
        <v>4307</v>
      </c>
      <c r="T107" s="233" t="s">
        <v>4053</v>
      </c>
      <c r="U107" s="234" t="s">
        <v>4058</v>
      </c>
      <c r="V107" s="233" t="s">
        <v>4052</v>
      </c>
      <c r="W107" s="233" t="s">
        <v>4052</v>
      </c>
      <c r="X107" s="234" t="s">
        <v>4054</v>
      </c>
      <c r="Y107" s="234"/>
      <c r="Z107" s="234"/>
      <c r="AA107" s="224">
        <v>202409</v>
      </c>
      <c r="AB107" s="243"/>
      <c r="AC107" s="233" t="s">
        <v>4057</v>
      </c>
      <c r="AD107" s="244" t="s">
        <v>4056</v>
      </c>
      <c r="AE107" s="245">
        <v>0</v>
      </c>
      <c r="AF107" s="244" t="s">
        <v>4056</v>
      </c>
      <c r="AG107" s="239" t="s">
        <v>2419</v>
      </c>
      <c r="AH107" s="9" t="s">
        <v>4222</v>
      </c>
      <c r="AI107" s="235" t="s">
        <v>4054</v>
      </c>
      <c r="AJ107" s="235" t="s">
        <v>4054</v>
      </c>
      <c r="AK107" s="235" t="s">
        <v>4055</v>
      </c>
    </row>
    <row r="108" spans="1:37" x14ac:dyDescent="0.3">
      <c r="A108" s="229" t="s">
        <v>2417</v>
      </c>
      <c r="B108" s="229" t="s">
        <v>4224</v>
      </c>
      <c r="C108" s="241" t="s">
        <v>4061</v>
      </c>
      <c r="D108" s="237" t="s">
        <v>4117</v>
      </c>
      <c r="E108" s="236" t="s">
        <v>3809</v>
      </c>
      <c r="F108" s="240" t="s">
        <v>4060</v>
      </c>
      <c r="G108" s="214">
        <v>0</v>
      </c>
      <c r="H108" s="231" t="s">
        <v>4054</v>
      </c>
      <c r="I108" s="231"/>
      <c r="J108" s="231"/>
      <c r="K108" s="231"/>
      <c r="L108" s="231"/>
      <c r="M108" s="231"/>
      <c r="N108" s="231" t="s">
        <v>4074</v>
      </c>
      <c r="O108" s="246"/>
      <c r="P108" s="246"/>
      <c r="Q108" s="225"/>
      <c r="R108" s="212" t="s">
        <v>3810</v>
      </c>
      <c r="S108" s="213" t="s">
        <v>4306</v>
      </c>
      <c r="T108" s="233" t="s">
        <v>4053</v>
      </c>
      <c r="U108" s="234" t="s">
        <v>4058</v>
      </c>
      <c r="V108" s="233" t="s">
        <v>4052</v>
      </c>
      <c r="W108" s="233" t="s">
        <v>4052</v>
      </c>
      <c r="X108" s="234" t="s">
        <v>4054</v>
      </c>
      <c r="Y108" s="234"/>
      <c r="Z108" s="234"/>
      <c r="AA108" s="224">
        <v>202409</v>
      </c>
      <c r="AB108" s="243"/>
      <c r="AC108" s="233" t="s">
        <v>4057</v>
      </c>
      <c r="AD108" s="244" t="s">
        <v>4056</v>
      </c>
      <c r="AE108" s="245">
        <v>0</v>
      </c>
      <c r="AF108" s="244" t="s">
        <v>4056</v>
      </c>
      <c r="AG108" s="239" t="s">
        <v>2419</v>
      </c>
      <c r="AH108" s="9" t="s">
        <v>4222</v>
      </c>
      <c r="AI108" s="235" t="s">
        <v>4054</v>
      </c>
      <c r="AJ108" s="235" t="s">
        <v>4054</v>
      </c>
      <c r="AK108" s="235" t="s">
        <v>4055</v>
      </c>
    </row>
    <row r="109" spans="1:37" x14ac:dyDescent="0.3">
      <c r="A109" s="229" t="s">
        <v>2417</v>
      </c>
      <c r="B109" s="229" t="s">
        <v>4224</v>
      </c>
      <c r="C109" s="241" t="s">
        <v>4061</v>
      </c>
      <c r="D109" s="237" t="s">
        <v>4118</v>
      </c>
      <c r="E109" s="236" t="s">
        <v>3802</v>
      </c>
      <c r="F109" s="240" t="s">
        <v>4060</v>
      </c>
      <c r="G109" s="214">
        <v>0</v>
      </c>
      <c r="H109" s="231" t="s">
        <v>4054</v>
      </c>
      <c r="I109" s="231"/>
      <c r="J109" s="231"/>
      <c r="K109" s="231"/>
      <c r="L109" s="231"/>
      <c r="M109" s="231"/>
      <c r="N109" s="231" t="s">
        <v>4074</v>
      </c>
      <c r="O109" s="246"/>
      <c r="P109" s="246"/>
      <c r="Q109" s="225"/>
      <c r="R109" s="212" t="s">
        <v>3803</v>
      </c>
      <c r="S109" s="213" t="s">
        <v>4305</v>
      </c>
      <c r="T109" s="233" t="s">
        <v>4053</v>
      </c>
      <c r="U109" s="234" t="s">
        <v>4058</v>
      </c>
      <c r="V109" s="233" t="s">
        <v>4052</v>
      </c>
      <c r="W109" s="233" t="s">
        <v>4052</v>
      </c>
      <c r="X109" s="234" t="s">
        <v>4054</v>
      </c>
      <c r="Y109" s="234"/>
      <c r="Z109" s="234"/>
      <c r="AA109" s="224">
        <v>202409</v>
      </c>
      <c r="AB109" s="243"/>
      <c r="AC109" s="233" t="s">
        <v>4057</v>
      </c>
      <c r="AD109" s="244" t="s">
        <v>4056</v>
      </c>
      <c r="AE109" s="245">
        <v>0</v>
      </c>
      <c r="AF109" s="244" t="s">
        <v>4056</v>
      </c>
      <c r="AG109" s="239" t="s">
        <v>2419</v>
      </c>
      <c r="AH109" s="9" t="s">
        <v>4222</v>
      </c>
      <c r="AI109" s="235" t="s">
        <v>4054</v>
      </c>
      <c r="AJ109" s="235" t="s">
        <v>4054</v>
      </c>
      <c r="AK109" s="235" t="s">
        <v>4055</v>
      </c>
    </row>
    <row r="110" spans="1:37" x14ac:dyDescent="0.3">
      <c r="A110" s="229" t="s">
        <v>2417</v>
      </c>
      <c r="B110" s="229" t="s">
        <v>4224</v>
      </c>
      <c r="C110" s="241" t="s">
        <v>4061</v>
      </c>
      <c r="D110" s="237" t="s">
        <v>4184</v>
      </c>
      <c r="E110" s="236" t="s">
        <v>3953</v>
      </c>
      <c r="F110" s="240" t="s">
        <v>4060</v>
      </c>
      <c r="G110" s="214">
        <v>0</v>
      </c>
      <c r="H110" s="231" t="s">
        <v>4054</v>
      </c>
      <c r="I110" s="231"/>
      <c r="J110" s="231"/>
      <c r="K110" s="231"/>
      <c r="L110" s="231"/>
      <c r="M110" s="231"/>
      <c r="N110" s="231" t="s">
        <v>4074</v>
      </c>
      <c r="O110" s="246"/>
      <c r="P110" s="246"/>
      <c r="Q110" s="225"/>
      <c r="R110" s="212" t="s">
        <v>3954</v>
      </c>
      <c r="S110" s="213" t="s">
        <v>4304</v>
      </c>
      <c r="T110" s="233" t="s">
        <v>4053</v>
      </c>
      <c r="U110" s="234" t="s">
        <v>4058</v>
      </c>
      <c r="V110" s="233" t="s">
        <v>4052</v>
      </c>
      <c r="W110" s="233" t="s">
        <v>4052</v>
      </c>
      <c r="X110" s="234" t="s">
        <v>4054</v>
      </c>
      <c r="Y110" s="234"/>
      <c r="Z110" s="234"/>
      <c r="AA110" s="224">
        <v>202409</v>
      </c>
      <c r="AB110" s="243"/>
      <c r="AC110" s="233" t="s">
        <v>4057</v>
      </c>
      <c r="AD110" s="244" t="s">
        <v>4056</v>
      </c>
      <c r="AE110" s="245">
        <v>0</v>
      </c>
      <c r="AF110" s="244" t="s">
        <v>4056</v>
      </c>
      <c r="AG110" s="239" t="s">
        <v>2419</v>
      </c>
      <c r="AH110" s="9" t="s">
        <v>4222</v>
      </c>
      <c r="AI110" s="235" t="s">
        <v>4054</v>
      </c>
      <c r="AJ110" s="235" t="s">
        <v>4054</v>
      </c>
      <c r="AK110" s="235" t="s">
        <v>4055</v>
      </c>
    </row>
    <row r="111" spans="1:37" x14ac:dyDescent="0.3">
      <c r="A111" s="229" t="s">
        <v>2417</v>
      </c>
      <c r="B111" s="229" t="s">
        <v>4224</v>
      </c>
      <c r="C111" s="241" t="s">
        <v>4061</v>
      </c>
      <c r="D111" s="237" t="s">
        <v>4303</v>
      </c>
      <c r="E111" s="236" t="s">
        <v>3945</v>
      </c>
      <c r="F111" s="240" t="s">
        <v>4060</v>
      </c>
      <c r="G111" s="214">
        <v>0</v>
      </c>
      <c r="H111" s="231" t="s">
        <v>4054</v>
      </c>
      <c r="I111" s="231"/>
      <c r="J111" s="231"/>
      <c r="K111" s="231"/>
      <c r="L111" s="231"/>
      <c r="M111" s="231"/>
      <c r="N111" s="231" t="s">
        <v>4074</v>
      </c>
      <c r="O111" s="246"/>
      <c r="P111" s="246"/>
      <c r="Q111" s="225"/>
      <c r="R111" s="212" t="s">
        <v>3946</v>
      </c>
      <c r="S111" s="213" t="s">
        <v>4302</v>
      </c>
      <c r="T111" s="233" t="s">
        <v>4053</v>
      </c>
      <c r="U111" s="234" t="s">
        <v>4058</v>
      </c>
      <c r="V111" s="233" t="s">
        <v>4052</v>
      </c>
      <c r="W111" s="233" t="s">
        <v>4052</v>
      </c>
      <c r="X111" s="234" t="s">
        <v>4054</v>
      </c>
      <c r="Y111" s="234"/>
      <c r="Z111" s="234"/>
      <c r="AA111" s="224">
        <v>202409</v>
      </c>
      <c r="AB111" s="243"/>
      <c r="AC111" s="233" t="s">
        <v>4057</v>
      </c>
      <c r="AD111" s="244" t="s">
        <v>4056</v>
      </c>
      <c r="AE111" s="245">
        <v>0</v>
      </c>
      <c r="AF111" s="244" t="s">
        <v>4056</v>
      </c>
      <c r="AG111" s="239" t="s">
        <v>2419</v>
      </c>
      <c r="AH111" s="9" t="s">
        <v>4222</v>
      </c>
      <c r="AI111" s="235" t="s">
        <v>4054</v>
      </c>
      <c r="AJ111" s="235" t="s">
        <v>4054</v>
      </c>
      <c r="AK111" s="235" t="s">
        <v>4055</v>
      </c>
    </row>
    <row r="112" spans="1:37" x14ac:dyDescent="0.3">
      <c r="A112" s="229" t="s">
        <v>2417</v>
      </c>
      <c r="B112" s="229" t="s">
        <v>4224</v>
      </c>
      <c r="C112" s="241" t="s">
        <v>4061</v>
      </c>
      <c r="D112" s="237" t="s">
        <v>4301</v>
      </c>
      <c r="E112" s="236" t="s">
        <v>3813</v>
      </c>
      <c r="F112" s="240" t="s">
        <v>4060</v>
      </c>
      <c r="G112" s="214">
        <v>0</v>
      </c>
      <c r="H112" s="231" t="s">
        <v>4054</v>
      </c>
      <c r="I112" s="231"/>
      <c r="J112" s="231"/>
      <c r="K112" s="231"/>
      <c r="L112" s="231"/>
      <c r="M112" s="231"/>
      <c r="N112" s="231" t="s">
        <v>4074</v>
      </c>
      <c r="O112" s="246"/>
      <c r="P112" s="246"/>
      <c r="Q112" s="225"/>
      <c r="R112" s="212" t="s">
        <v>3814</v>
      </c>
      <c r="S112" s="213" t="s">
        <v>4300</v>
      </c>
      <c r="T112" s="233" t="s">
        <v>4053</v>
      </c>
      <c r="U112" s="234" t="s">
        <v>4058</v>
      </c>
      <c r="V112" s="233" t="s">
        <v>4052</v>
      </c>
      <c r="W112" s="233" t="s">
        <v>4052</v>
      </c>
      <c r="X112" s="234" t="s">
        <v>4054</v>
      </c>
      <c r="Y112" s="234"/>
      <c r="Z112" s="234"/>
      <c r="AA112" s="224">
        <v>202409</v>
      </c>
      <c r="AB112" s="243"/>
      <c r="AC112" s="233" t="s">
        <v>4057</v>
      </c>
      <c r="AD112" s="244" t="s">
        <v>4056</v>
      </c>
      <c r="AE112" s="245">
        <v>0</v>
      </c>
      <c r="AF112" s="244" t="s">
        <v>4056</v>
      </c>
      <c r="AG112" s="239" t="s">
        <v>2419</v>
      </c>
      <c r="AH112" s="9" t="s">
        <v>4222</v>
      </c>
      <c r="AI112" s="235" t="s">
        <v>4054</v>
      </c>
      <c r="AJ112" s="235" t="s">
        <v>4054</v>
      </c>
      <c r="AK112" s="235" t="s">
        <v>4055</v>
      </c>
    </row>
    <row r="113" spans="1:37" x14ac:dyDescent="0.3">
      <c r="A113" s="229" t="s">
        <v>2417</v>
      </c>
      <c r="B113" s="229" t="s">
        <v>4224</v>
      </c>
      <c r="C113" s="241" t="s">
        <v>4061</v>
      </c>
      <c r="D113" s="237" t="s">
        <v>4299</v>
      </c>
      <c r="E113" s="236" t="s">
        <v>3897</v>
      </c>
      <c r="F113" s="240" t="s">
        <v>4060</v>
      </c>
      <c r="G113" s="214">
        <v>0</v>
      </c>
      <c r="H113" s="231" t="s">
        <v>4054</v>
      </c>
      <c r="I113" s="231"/>
      <c r="J113" s="231"/>
      <c r="K113" s="231"/>
      <c r="L113" s="231"/>
      <c r="M113" s="231"/>
      <c r="N113" s="231" t="s">
        <v>4074</v>
      </c>
      <c r="O113" s="246"/>
      <c r="P113" s="246"/>
      <c r="Q113" s="225"/>
      <c r="R113" s="212" t="s">
        <v>3898</v>
      </c>
      <c r="S113" s="213" t="s">
        <v>4298</v>
      </c>
      <c r="T113" s="233" t="s">
        <v>4053</v>
      </c>
      <c r="U113" s="234" t="s">
        <v>4058</v>
      </c>
      <c r="V113" s="233" t="s">
        <v>4052</v>
      </c>
      <c r="W113" s="233" t="s">
        <v>4052</v>
      </c>
      <c r="X113" s="234" t="s">
        <v>4054</v>
      </c>
      <c r="Y113" s="234"/>
      <c r="Z113" s="234"/>
      <c r="AA113" s="224">
        <v>202409</v>
      </c>
      <c r="AB113" s="243"/>
      <c r="AC113" s="233" t="s">
        <v>4057</v>
      </c>
      <c r="AD113" s="244" t="s">
        <v>4056</v>
      </c>
      <c r="AE113" s="245">
        <v>0</v>
      </c>
      <c r="AF113" s="244" t="s">
        <v>4056</v>
      </c>
      <c r="AG113" s="239" t="s">
        <v>2419</v>
      </c>
      <c r="AH113" s="9" t="s">
        <v>4222</v>
      </c>
      <c r="AI113" s="235" t="s">
        <v>4054</v>
      </c>
      <c r="AJ113" s="235" t="s">
        <v>4054</v>
      </c>
      <c r="AK113" s="235" t="s">
        <v>4055</v>
      </c>
    </row>
    <row r="114" spans="1:37" x14ac:dyDescent="0.3">
      <c r="A114" s="229" t="s">
        <v>2417</v>
      </c>
      <c r="B114" s="229" t="s">
        <v>4224</v>
      </c>
      <c r="C114" s="241" t="s">
        <v>4061</v>
      </c>
      <c r="D114" s="237" t="s">
        <v>4176</v>
      </c>
      <c r="E114" s="236" t="s">
        <v>3837</v>
      </c>
      <c r="F114" s="240" t="s">
        <v>4060</v>
      </c>
      <c r="G114" s="214">
        <v>0</v>
      </c>
      <c r="H114" s="231" t="s">
        <v>4054</v>
      </c>
      <c r="I114" s="231"/>
      <c r="J114" s="231"/>
      <c r="K114" s="231"/>
      <c r="L114" s="231"/>
      <c r="M114" s="231"/>
      <c r="N114" s="231" t="s">
        <v>4074</v>
      </c>
      <c r="O114" s="246"/>
      <c r="P114" s="246"/>
      <c r="Q114" s="225"/>
      <c r="R114" s="212" t="s">
        <v>3838</v>
      </c>
      <c r="S114" s="213" t="s">
        <v>4297</v>
      </c>
      <c r="T114" s="233" t="s">
        <v>4053</v>
      </c>
      <c r="U114" s="234" t="s">
        <v>4058</v>
      </c>
      <c r="V114" s="233" t="s">
        <v>4052</v>
      </c>
      <c r="W114" s="233" t="s">
        <v>4052</v>
      </c>
      <c r="X114" s="234" t="s">
        <v>4054</v>
      </c>
      <c r="Y114" s="234"/>
      <c r="Z114" s="234"/>
      <c r="AA114" s="224">
        <v>202409</v>
      </c>
      <c r="AB114" s="243"/>
      <c r="AC114" s="233" t="s">
        <v>4057</v>
      </c>
      <c r="AD114" s="244" t="s">
        <v>4056</v>
      </c>
      <c r="AE114" s="245">
        <v>0</v>
      </c>
      <c r="AF114" s="244" t="s">
        <v>4056</v>
      </c>
      <c r="AG114" s="239" t="s">
        <v>2419</v>
      </c>
      <c r="AH114" s="9" t="s">
        <v>4222</v>
      </c>
      <c r="AI114" s="235" t="s">
        <v>4054</v>
      </c>
      <c r="AJ114" s="235" t="s">
        <v>4054</v>
      </c>
      <c r="AK114" s="235" t="s">
        <v>4055</v>
      </c>
    </row>
    <row r="115" spans="1:37" x14ac:dyDescent="0.3">
      <c r="A115" s="229" t="s">
        <v>2417</v>
      </c>
      <c r="B115" s="229" t="s">
        <v>4224</v>
      </c>
      <c r="C115" s="241" t="s">
        <v>4061</v>
      </c>
      <c r="D115" s="237" t="s">
        <v>4174</v>
      </c>
      <c r="E115" s="236" t="s">
        <v>3940</v>
      </c>
      <c r="F115" s="240" t="s">
        <v>4060</v>
      </c>
      <c r="G115" s="214">
        <v>0</v>
      </c>
      <c r="H115" s="231" t="s">
        <v>4054</v>
      </c>
      <c r="I115" s="231"/>
      <c r="J115" s="231"/>
      <c r="K115" s="231"/>
      <c r="L115" s="231"/>
      <c r="M115" s="231"/>
      <c r="N115" s="231" t="s">
        <v>4074</v>
      </c>
      <c r="O115" s="246"/>
      <c r="P115" s="246"/>
      <c r="Q115" s="225"/>
      <c r="R115" s="212" t="s">
        <v>3941</v>
      </c>
      <c r="S115" s="213" t="s">
        <v>4296</v>
      </c>
      <c r="T115" s="233" t="s">
        <v>4053</v>
      </c>
      <c r="U115" s="234" t="s">
        <v>4058</v>
      </c>
      <c r="V115" s="233" t="s">
        <v>4052</v>
      </c>
      <c r="W115" s="233" t="s">
        <v>4052</v>
      </c>
      <c r="X115" s="234" t="s">
        <v>4054</v>
      </c>
      <c r="Y115" s="234"/>
      <c r="Z115" s="234"/>
      <c r="AA115" s="224">
        <v>202409</v>
      </c>
      <c r="AB115" s="243"/>
      <c r="AC115" s="233" t="s">
        <v>4057</v>
      </c>
      <c r="AD115" s="244" t="s">
        <v>4056</v>
      </c>
      <c r="AE115" s="245">
        <v>0</v>
      </c>
      <c r="AF115" s="244" t="s">
        <v>4056</v>
      </c>
      <c r="AG115" s="239" t="s">
        <v>2419</v>
      </c>
      <c r="AH115" s="9" t="s">
        <v>4222</v>
      </c>
      <c r="AI115" s="235" t="s">
        <v>4054</v>
      </c>
      <c r="AJ115" s="235" t="s">
        <v>4054</v>
      </c>
      <c r="AK115" s="235" t="s">
        <v>4055</v>
      </c>
    </row>
    <row r="116" spans="1:37" x14ac:dyDescent="0.3">
      <c r="A116" s="229" t="s">
        <v>2417</v>
      </c>
      <c r="B116" s="229" t="s">
        <v>4224</v>
      </c>
      <c r="C116" s="241" t="s">
        <v>4061</v>
      </c>
      <c r="D116" s="237" t="s">
        <v>4295</v>
      </c>
      <c r="E116" s="236" t="s">
        <v>3975</v>
      </c>
      <c r="F116" s="240" t="s">
        <v>4060</v>
      </c>
      <c r="G116" s="214">
        <v>0</v>
      </c>
      <c r="H116" s="231" t="s">
        <v>4054</v>
      </c>
      <c r="I116" s="231"/>
      <c r="J116" s="231"/>
      <c r="K116" s="231"/>
      <c r="L116" s="231"/>
      <c r="M116" s="231"/>
      <c r="N116" s="231" t="s">
        <v>4074</v>
      </c>
      <c r="O116" s="246"/>
      <c r="P116" s="246"/>
      <c r="Q116" s="225"/>
      <c r="R116" s="212" t="s">
        <v>3976</v>
      </c>
      <c r="S116" s="213" t="s">
        <v>4294</v>
      </c>
      <c r="T116" s="233" t="s">
        <v>4053</v>
      </c>
      <c r="U116" s="234" t="s">
        <v>4058</v>
      </c>
      <c r="V116" s="233" t="s">
        <v>4052</v>
      </c>
      <c r="W116" s="233" t="s">
        <v>4052</v>
      </c>
      <c r="X116" s="234" t="s">
        <v>4054</v>
      </c>
      <c r="Y116" s="234"/>
      <c r="Z116" s="234"/>
      <c r="AA116" s="224">
        <v>202409</v>
      </c>
      <c r="AB116" s="243"/>
      <c r="AC116" s="233" t="s">
        <v>4057</v>
      </c>
      <c r="AD116" s="244" t="s">
        <v>4056</v>
      </c>
      <c r="AE116" s="245">
        <v>0</v>
      </c>
      <c r="AF116" s="244" t="s">
        <v>4056</v>
      </c>
      <c r="AG116" s="239" t="s">
        <v>2419</v>
      </c>
      <c r="AH116" s="9" t="s">
        <v>4222</v>
      </c>
      <c r="AI116" s="235" t="s">
        <v>4054</v>
      </c>
      <c r="AJ116" s="235" t="s">
        <v>4054</v>
      </c>
      <c r="AK116" s="235" t="s">
        <v>4055</v>
      </c>
    </row>
    <row r="117" spans="1:37" x14ac:dyDescent="0.3">
      <c r="A117" s="229" t="s">
        <v>2417</v>
      </c>
      <c r="B117" s="229" t="s">
        <v>4224</v>
      </c>
      <c r="C117" s="241" t="s">
        <v>4061</v>
      </c>
      <c r="D117" s="237" t="s">
        <v>4293</v>
      </c>
      <c r="E117" s="236" t="s">
        <v>4292</v>
      </c>
      <c r="F117" s="240" t="s">
        <v>4060</v>
      </c>
      <c r="G117" s="214">
        <v>0</v>
      </c>
      <c r="H117" s="231" t="s">
        <v>4054</v>
      </c>
      <c r="I117" s="231"/>
      <c r="J117" s="231"/>
      <c r="K117" s="231"/>
      <c r="L117" s="231"/>
      <c r="M117" s="231"/>
      <c r="N117" s="231" t="s">
        <v>4074</v>
      </c>
      <c r="O117" s="246"/>
      <c r="P117" s="246"/>
      <c r="Q117" s="225"/>
      <c r="R117" s="212" t="s">
        <v>4291</v>
      </c>
      <c r="S117" s="213" t="s">
        <v>4290</v>
      </c>
      <c r="T117" s="233" t="s">
        <v>4053</v>
      </c>
      <c r="U117" s="234" t="s">
        <v>4058</v>
      </c>
      <c r="V117" s="233" t="s">
        <v>4052</v>
      </c>
      <c r="W117" s="233" t="s">
        <v>4052</v>
      </c>
      <c r="X117" s="234" t="s">
        <v>4054</v>
      </c>
      <c r="Y117" s="234"/>
      <c r="Z117" s="234"/>
      <c r="AA117" s="224">
        <v>202409</v>
      </c>
      <c r="AB117" s="243"/>
      <c r="AC117" s="233" t="s">
        <v>4057</v>
      </c>
      <c r="AD117" s="244" t="s">
        <v>4056</v>
      </c>
      <c r="AE117" s="245">
        <v>0</v>
      </c>
      <c r="AF117" s="244" t="s">
        <v>4056</v>
      </c>
      <c r="AG117" s="239" t="s">
        <v>2419</v>
      </c>
      <c r="AH117" s="9" t="s">
        <v>4222</v>
      </c>
      <c r="AI117" s="235" t="s">
        <v>4054</v>
      </c>
      <c r="AJ117" s="235" t="s">
        <v>4054</v>
      </c>
      <c r="AK117" s="235" t="s">
        <v>4055</v>
      </c>
    </row>
    <row r="118" spans="1:37" x14ac:dyDescent="0.3">
      <c r="A118" s="229" t="s">
        <v>2417</v>
      </c>
      <c r="B118" s="229" t="s">
        <v>4224</v>
      </c>
      <c r="C118" s="241" t="s">
        <v>4061</v>
      </c>
      <c r="D118" s="237" t="s">
        <v>4289</v>
      </c>
      <c r="E118" s="236" t="s">
        <v>3906</v>
      </c>
      <c r="F118" s="240" t="s">
        <v>4060</v>
      </c>
      <c r="G118" s="214">
        <v>0</v>
      </c>
      <c r="H118" s="231" t="s">
        <v>4054</v>
      </c>
      <c r="I118" s="231"/>
      <c r="J118" s="231"/>
      <c r="K118" s="231"/>
      <c r="L118" s="231"/>
      <c r="M118" s="231"/>
      <c r="N118" s="231" t="s">
        <v>4074</v>
      </c>
      <c r="O118" s="246"/>
      <c r="P118" s="246"/>
      <c r="Q118" s="225"/>
      <c r="R118" s="212" t="s">
        <v>3907</v>
      </c>
      <c r="S118" s="213" t="s">
        <v>4288</v>
      </c>
      <c r="T118" s="233" t="s">
        <v>4053</v>
      </c>
      <c r="U118" s="234" t="s">
        <v>4058</v>
      </c>
      <c r="V118" s="233" t="s">
        <v>4052</v>
      </c>
      <c r="W118" s="233" t="s">
        <v>4052</v>
      </c>
      <c r="X118" s="234" t="s">
        <v>4054</v>
      </c>
      <c r="Y118" s="234"/>
      <c r="Z118" s="234"/>
      <c r="AA118" s="224">
        <v>202409</v>
      </c>
      <c r="AB118" s="243"/>
      <c r="AC118" s="233" t="s">
        <v>4057</v>
      </c>
      <c r="AD118" s="244" t="s">
        <v>4056</v>
      </c>
      <c r="AE118" s="245">
        <v>0</v>
      </c>
      <c r="AF118" s="244" t="s">
        <v>4056</v>
      </c>
      <c r="AG118" s="239" t="s">
        <v>2419</v>
      </c>
      <c r="AH118" s="9" t="s">
        <v>4222</v>
      </c>
      <c r="AI118" s="235" t="s">
        <v>4054</v>
      </c>
      <c r="AJ118" s="235" t="s">
        <v>4054</v>
      </c>
      <c r="AK118" s="235" t="s">
        <v>4055</v>
      </c>
    </row>
    <row r="119" spans="1:37" x14ac:dyDescent="0.3">
      <c r="A119" s="229" t="s">
        <v>2417</v>
      </c>
      <c r="B119" s="229" t="s">
        <v>4224</v>
      </c>
      <c r="C119" s="241" t="s">
        <v>4061</v>
      </c>
      <c r="D119" s="237" t="s">
        <v>4287</v>
      </c>
      <c r="E119" s="236" t="s">
        <v>3955</v>
      </c>
      <c r="F119" s="240" t="s">
        <v>4060</v>
      </c>
      <c r="G119" s="214">
        <v>0</v>
      </c>
      <c r="H119" s="231" t="s">
        <v>4054</v>
      </c>
      <c r="I119" s="231"/>
      <c r="J119" s="231"/>
      <c r="K119" s="231"/>
      <c r="L119" s="231"/>
      <c r="M119" s="231"/>
      <c r="N119" s="231" t="s">
        <v>4074</v>
      </c>
      <c r="O119" s="246"/>
      <c r="P119" s="246"/>
      <c r="Q119" s="225"/>
      <c r="R119" s="212" t="s">
        <v>3956</v>
      </c>
      <c r="S119" s="213" t="s">
        <v>4286</v>
      </c>
      <c r="T119" s="233" t="s">
        <v>4053</v>
      </c>
      <c r="U119" s="234" t="s">
        <v>4058</v>
      </c>
      <c r="V119" s="233" t="s">
        <v>4052</v>
      </c>
      <c r="W119" s="233" t="s">
        <v>4052</v>
      </c>
      <c r="X119" s="234" t="s">
        <v>4054</v>
      </c>
      <c r="Y119" s="234"/>
      <c r="Z119" s="234"/>
      <c r="AA119" s="224">
        <v>202409</v>
      </c>
      <c r="AB119" s="243"/>
      <c r="AC119" s="233" t="s">
        <v>4057</v>
      </c>
      <c r="AD119" s="244" t="s">
        <v>4056</v>
      </c>
      <c r="AE119" s="245">
        <v>0</v>
      </c>
      <c r="AF119" s="244" t="s">
        <v>4056</v>
      </c>
      <c r="AG119" s="239" t="s">
        <v>2419</v>
      </c>
      <c r="AH119" s="9" t="s">
        <v>4222</v>
      </c>
      <c r="AI119" s="235" t="s">
        <v>4054</v>
      </c>
      <c r="AJ119" s="235" t="s">
        <v>4054</v>
      </c>
      <c r="AK119" s="235" t="s">
        <v>4055</v>
      </c>
    </row>
    <row r="120" spans="1:37" x14ac:dyDescent="0.3">
      <c r="A120" s="229" t="s">
        <v>2417</v>
      </c>
      <c r="B120" s="229" t="s">
        <v>4224</v>
      </c>
      <c r="C120" s="241" t="s">
        <v>4061</v>
      </c>
      <c r="D120" s="237" t="s">
        <v>4079</v>
      </c>
      <c r="E120" s="236" t="s">
        <v>3916</v>
      </c>
      <c r="F120" s="240" t="s">
        <v>4060</v>
      </c>
      <c r="G120" s="214">
        <v>0</v>
      </c>
      <c r="H120" s="231" t="s">
        <v>4054</v>
      </c>
      <c r="I120" s="231"/>
      <c r="J120" s="231"/>
      <c r="K120" s="231"/>
      <c r="L120" s="231"/>
      <c r="M120" s="231"/>
      <c r="N120" s="231" t="s">
        <v>4074</v>
      </c>
      <c r="O120" s="246"/>
      <c r="P120" s="246"/>
      <c r="Q120" s="225"/>
      <c r="R120" s="212" t="s">
        <v>3917</v>
      </c>
      <c r="S120" s="213" t="s">
        <v>4285</v>
      </c>
      <c r="T120" s="233" t="s">
        <v>4053</v>
      </c>
      <c r="U120" s="234" t="s">
        <v>4058</v>
      </c>
      <c r="V120" s="233" t="s">
        <v>4052</v>
      </c>
      <c r="W120" s="233" t="s">
        <v>4052</v>
      </c>
      <c r="X120" s="234" t="s">
        <v>4054</v>
      </c>
      <c r="Y120" s="234"/>
      <c r="Z120" s="234"/>
      <c r="AA120" s="224">
        <v>202409</v>
      </c>
      <c r="AB120" s="243"/>
      <c r="AC120" s="233" t="s">
        <v>4057</v>
      </c>
      <c r="AD120" s="244" t="s">
        <v>4056</v>
      </c>
      <c r="AE120" s="245">
        <v>0</v>
      </c>
      <c r="AF120" s="244" t="s">
        <v>4056</v>
      </c>
      <c r="AG120" s="239" t="s">
        <v>2419</v>
      </c>
      <c r="AH120" s="9" t="s">
        <v>4222</v>
      </c>
      <c r="AI120" s="235" t="s">
        <v>4054</v>
      </c>
      <c r="AJ120" s="235" t="s">
        <v>4054</v>
      </c>
      <c r="AK120" s="235" t="s">
        <v>4055</v>
      </c>
    </row>
    <row r="121" spans="1:37" x14ac:dyDescent="0.3">
      <c r="A121" s="229" t="s">
        <v>2417</v>
      </c>
      <c r="B121" s="229" t="s">
        <v>4224</v>
      </c>
      <c r="C121" s="241" t="s">
        <v>4061</v>
      </c>
      <c r="D121" s="237" t="s">
        <v>4066</v>
      </c>
      <c r="E121" s="236" t="s">
        <v>3996</v>
      </c>
      <c r="F121" s="240" t="s">
        <v>4060</v>
      </c>
      <c r="G121" s="214">
        <v>0</v>
      </c>
      <c r="H121" s="231" t="s">
        <v>4054</v>
      </c>
      <c r="I121" s="231"/>
      <c r="J121" s="231"/>
      <c r="K121" s="231"/>
      <c r="L121" s="231"/>
      <c r="M121" s="231"/>
      <c r="N121" s="231" t="s">
        <v>4074</v>
      </c>
      <c r="O121" s="246"/>
      <c r="P121" s="246"/>
      <c r="Q121" s="225"/>
      <c r="R121" s="212" t="s">
        <v>3997</v>
      </c>
      <c r="S121" s="213" t="s">
        <v>4284</v>
      </c>
      <c r="T121" s="233" t="s">
        <v>4053</v>
      </c>
      <c r="U121" s="234" t="s">
        <v>4058</v>
      </c>
      <c r="V121" s="233" t="s">
        <v>4052</v>
      </c>
      <c r="W121" s="233" t="s">
        <v>4052</v>
      </c>
      <c r="X121" s="234" t="s">
        <v>4054</v>
      </c>
      <c r="Y121" s="234"/>
      <c r="Z121" s="234"/>
      <c r="AA121" s="224">
        <v>202409</v>
      </c>
      <c r="AB121" s="243"/>
      <c r="AC121" s="233" t="s">
        <v>4057</v>
      </c>
      <c r="AD121" s="244" t="s">
        <v>4056</v>
      </c>
      <c r="AE121" s="245">
        <v>0</v>
      </c>
      <c r="AF121" s="244" t="s">
        <v>4056</v>
      </c>
      <c r="AG121" s="239" t="s">
        <v>2419</v>
      </c>
      <c r="AH121" s="9" t="s">
        <v>4222</v>
      </c>
      <c r="AI121" s="235" t="s">
        <v>4054</v>
      </c>
      <c r="AJ121" s="235" t="s">
        <v>4054</v>
      </c>
      <c r="AK121" s="235" t="s">
        <v>4055</v>
      </c>
    </row>
    <row r="122" spans="1:37" x14ac:dyDescent="0.3">
      <c r="A122" s="229" t="s">
        <v>2417</v>
      </c>
      <c r="B122" s="229" t="s">
        <v>4224</v>
      </c>
      <c r="C122" s="241" t="s">
        <v>4061</v>
      </c>
      <c r="D122" s="237" t="s">
        <v>4283</v>
      </c>
      <c r="E122" s="236" t="s">
        <v>3947</v>
      </c>
      <c r="F122" s="240" t="s">
        <v>4060</v>
      </c>
      <c r="G122" s="214">
        <v>0</v>
      </c>
      <c r="H122" s="231" t="s">
        <v>4054</v>
      </c>
      <c r="I122" s="231"/>
      <c r="J122" s="231"/>
      <c r="K122" s="231"/>
      <c r="L122" s="231"/>
      <c r="M122" s="231"/>
      <c r="N122" s="231" t="s">
        <v>4074</v>
      </c>
      <c r="O122" s="246"/>
      <c r="P122" s="246"/>
      <c r="Q122" s="225"/>
      <c r="R122" s="212" t="s">
        <v>3948</v>
      </c>
      <c r="S122" s="213" t="s">
        <v>4282</v>
      </c>
      <c r="T122" s="233" t="s">
        <v>4053</v>
      </c>
      <c r="U122" s="234" t="s">
        <v>4058</v>
      </c>
      <c r="V122" s="233" t="s">
        <v>4052</v>
      </c>
      <c r="W122" s="233" t="s">
        <v>4052</v>
      </c>
      <c r="X122" s="234" t="s">
        <v>4054</v>
      </c>
      <c r="Y122" s="234"/>
      <c r="Z122" s="234"/>
      <c r="AA122" s="224">
        <v>202409</v>
      </c>
      <c r="AB122" s="243"/>
      <c r="AC122" s="233" t="s">
        <v>4057</v>
      </c>
      <c r="AD122" s="244" t="s">
        <v>4056</v>
      </c>
      <c r="AE122" s="245">
        <v>0</v>
      </c>
      <c r="AF122" s="244" t="s">
        <v>4056</v>
      </c>
      <c r="AG122" s="239" t="s">
        <v>2419</v>
      </c>
      <c r="AH122" s="9" t="s">
        <v>4222</v>
      </c>
      <c r="AI122" s="235" t="s">
        <v>4054</v>
      </c>
      <c r="AJ122" s="235" t="s">
        <v>4054</v>
      </c>
      <c r="AK122" s="235" t="s">
        <v>4055</v>
      </c>
    </row>
    <row r="123" spans="1:37" x14ac:dyDescent="0.3">
      <c r="A123" s="229" t="s">
        <v>2417</v>
      </c>
      <c r="B123" s="229" t="s">
        <v>4224</v>
      </c>
      <c r="C123" s="241" t="s">
        <v>4061</v>
      </c>
      <c r="D123" s="237" t="s">
        <v>4281</v>
      </c>
      <c r="E123" s="236" t="s">
        <v>3839</v>
      </c>
      <c r="F123" s="240" t="s">
        <v>4060</v>
      </c>
      <c r="G123" s="214">
        <v>0</v>
      </c>
      <c r="H123" s="231" t="s">
        <v>4054</v>
      </c>
      <c r="I123" s="231"/>
      <c r="J123" s="231"/>
      <c r="K123" s="231"/>
      <c r="L123" s="231"/>
      <c r="M123" s="231"/>
      <c r="N123" s="231" t="s">
        <v>4074</v>
      </c>
      <c r="O123" s="246"/>
      <c r="P123" s="246"/>
      <c r="Q123" s="225"/>
      <c r="R123" s="212" t="s">
        <v>3840</v>
      </c>
      <c r="S123" s="213" t="s">
        <v>4280</v>
      </c>
      <c r="T123" s="233" t="s">
        <v>4053</v>
      </c>
      <c r="U123" s="234" t="s">
        <v>4058</v>
      </c>
      <c r="V123" s="233" t="s">
        <v>4052</v>
      </c>
      <c r="W123" s="233" t="s">
        <v>4052</v>
      </c>
      <c r="X123" s="234" t="s">
        <v>4054</v>
      </c>
      <c r="Y123" s="234"/>
      <c r="Z123" s="234"/>
      <c r="AA123" s="224">
        <v>202409</v>
      </c>
      <c r="AB123" s="243"/>
      <c r="AC123" s="233" t="s">
        <v>4057</v>
      </c>
      <c r="AD123" s="244" t="s">
        <v>4056</v>
      </c>
      <c r="AE123" s="245">
        <v>0</v>
      </c>
      <c r="AF123" s="244" t="s">
        <v>4056</v>
      </c>
      <c r="AG123" s="239" t="s">
        <v>2419</v>
      </c>
      <c r="AH123" s="9" t="s">
        <v>4222</v>
      </c>
      <c r="AI123" s="235" t="s">
        <v>4054</v>
      </c>
      <c r="AJ123" s="235" t="s">
        <v>4054</v>
      </c>
      <c r="AK123" s="235" t="s">
        <v>4055</v>
      </c>
    </row>
    <row r="124" spans="1:37" x14ac:dyDescent="0.3">
      <c r="A124" s="229" t="s">
        <v>2417</v>
      </c>
      <c r="B124" s="229" t="s">
        <v>4224</v>
      </c>
      <c r="C124" s="241" t="s">
        <v>4061</v>
      </c>
      <c r="D124" s="237" t="s">
        <v>4279</v>
      </c>
      <c r="E124" s="236" t="s">
        <v>3971</v>
      </c>
      <c r="F124" s="240" t="s">
        <v>4060</v>
      </c>
      <c r="G124" s="214">
        <v>0</v>
      </c>
      <c r="H124" s="231" t="s">
        <v>4054</v>
      </c>
      <c r="I124" s="231"/>
      <c r="J124" s="231"/>
      <c r="K124" s="231"/>
      <c r="L124" s="231"/>
      <c r="M124" s="231"/>
      <c r="N124" s="231" t="s">
        <v>4074</v>
      </c>
      <c r="O124" s="246"/>
      <c r="P124" s="246"/>
      <c r="Q124" s="225"/>
      <c r="R124" s="212" t="s">
        <v>3972</v>
      </c>
      <c r="S124" s="213" t="s">
        <v>4278</v>
      </c>
      <c r="T124" s="233" t="s">
        <v>4053</v>
      </c>
      <c r="U124" s="234" t="s">
        <v>4058</v>
      </c>
      <c r="V124" s="233" t="s">
        <v>4052</v>
      </c>
      <c r="W124" s="233" t="s">
        <v>4052</v>
      </c>
      <c r="X124" s="234" t="s">
        <v>4054</v>
      </c>
      <c r="Y124" s="234"/>
      <c r="Z124" s="234"/>
      <c r="AA124" s="224">
        <v>202409</v>
      </c>
      <c r="AB124" s="243"/>
      <c r="AC124" s="233" t="s">
        <v>4057</v>
      </c>
      <c r="AD124" s="244" t="s">
        <v>4056</v>
      </c>
      <c r="AE124" s="245">
        <v>0</v>
      </c>
      <c r="AF124" s="244" t="s">
        <v>4056</v>
      </c>
      <c r="AG124" s="239" t="s">
        <v>2419</v>
      </c>
      <c r="AH124" s="9" t="s">
        <v>4222</v>
      </c>
      <c r="AI124" s="235" t="s">
        <v>4054</v>
      </c>
      <c r="AJ124" s="235" t="s">
        <v>4054</v>
      </c>
      <c r="AK124" s="235" t="s">
        <v>4055</v>
      </c>
    </row>
    <row r="125" spans="1:37" x14ac:dyDescent="0.3">
      <c r="A125" s="229" t="s">
        <v>2417</v>
      </c>
      <c r="B125" s="229" t="s">
        <v>4224</v>
      </c>
      <c r="C125" s="241" t="s">
        <v>4061</v>
      </c>
      <c r="D125" s="237" t="s">
        <v>4277</v>
      </c>
      <c r="E125" s="236" t="s">
        <v>3788</v>
      </c>
      <c r="F125" s="240" t="s">
        <v>4060</v>
      </c>
      <c r="G125" s="214">
        <v>0</v>
      </c>
      <c r="H125" s="231" t="s">
        <v>4054</v>
      </c>
      <c r="I125" s="231"/>
      <c r="J125" s="231"/>
      <c r="K125" s="231"/>
      <c r="L125" s="231"/>
      <c r="M125" s="231"/>
      <c r="N125" s="231" t="s">
        <v>4074</v>
      </c>
      <c r="O125" s="246"/>
      <c r="P125" s="246"/>
      <c r="Q125" s="225"/>
      <c r="R125" s="212" t="s">
        <v>3789</v>
      </c>
      <c r="S125" s="213" t="s">
        <v>4276</v>
      </c>
      <c r="T125" s="233" t="s">
        <v>4053</v>
      </c>
      <c r="U125" s="234" t="s">
        <v>4058</v>
      </c>
      <c r="V125" s="233" t="s">
        <v>4052</v>
      </c>
      <c r="W125" s="233" t="s">
        <v>4052</v>
      </c>
      <c r="X125" s="234" t="s">
        <v>4054</v>
      </c>
      <c r="Y125" s="234"/>
      <c r="Z125" s="234"/>
      <c r="AA125" s="224">
        <v>202409</v>
      </c>
      <c r="AB125" s="243"/>
      <c r="AC125" s="233" t="s">
        <v>4057</v>
      </c>
      <c r="AD125" s="244" t="s">
        <v>4056</v>
      </c>
      <c r="AE125" s="245">
        <v>0</v>
      </c>
      <c r="AF125" s="244" t="s">
        <v>4056</v>
      </c>
      <c r="AG125" s="239" t="s">
        <v>2419</v>
      </c>
      <c r="AH125" s="9" t="s">
        <v>4222</v>
      </c>
      <c r="AI125" s="235" t="s">
        <v>4054</v>
      </c>
      <c r="AJ125" s="235" t="s">
        <v>4054</v>
      </c>
      <c r="AK125" s="235" t="s">
        <v>4055</v>
      </c>
    </row>
    <row r="126" spans="1:37" x14ac:dyDescent="0.3">
      <c r="A126" s="229" t="s">
        <v>2417</v>
      </c>
      <c r="B126" s="229" t="s">
        <v>4224</v>
      </c>
      <c r="C126" s="241" t="s">
        <v>4061</v>
      </c>
      <c r="D126" s="237" t="s">
        <v>4100</v>
      </c>
      <c r="E126" s="236" t="s">
        <v>4099</v>
      </c>
      <c r="F126" s="240" t="s">
        <v>4060</v>
      </c>
      <c r="G126" s="214">
        <v>0</v>
      </c>
      <c r="H126" s="231" t="s">
        <v>4054</v>
      </c>
      <c r="I126" s="231"/>
      <c r="J126" s="231"/>
      <c r="K126" s="231"/>
      <c r="L126" s="231"/>
      <c r="M126" s="231"/>
      <c r="N126" s="231" t="s">
        <v>4074</v>
      </c>
      <c r="O126" s="246"/>
      <c r="P126" s="246"/>
      <c r="Q126" s="225"/>
      <c r="R126" s="212" t="s">
        <v>4098</v>
      </c>
      <c r="S126" s="213" t="s">
        <v>4275</v>
      </c>
      <c r="T126" s="233" t="s">
        <v>4053</v>
      </c>
      <c r="U126" s="234" t="s">
        <v>4058</v>
      </c>
      <c r="V126" s="233" t="s">
        <v>4052</v>
      </c>
      <c r="W126" s="233" t="s">
        <v>4052</v>
      </c>
      <c r="X126" s="234" t="s">
        <v>4054</v>
      </c>
      <c r="Y126" s="234"/>
      <c r="Z126" s="234"/>
      <c r="AA126" s="224">
        <v>202409</v>
      </c>
      <c r="AB126" s="243"/>
      <c r="AC126" s="233" t="s">
        <v>4057</v>
      </c>
      <c r="AD126" s="244" t="s">
        <v>4056</v>
      </c>
      <c r="AE126" s="245">
        <v>0</v>
      </c>
      <c r="AF126" s="244" t="s">
        <v>4056</v>
      </c>
      <c r="AG126" s="239" t="s">
        <v>2419</v>
      </c>
      <c r="AH126" s="9" t="s">
        <v>4222</v>
      </c>
      <c r="AI126" s="235" t="s">
        <v>4054</v>
      </c>
      <c r="AJ126" s="235" t="s">
        <v>4054</v>
      </c>
      <c r="AK126" s="235" t="s">
        <v>4055</v>
      </c>
    </row>
    <row r="127" spans="1:37" x14ac:dyDescent="0.3">
      <c r="A127" s="229" t="s">
        <v>2417</v>
      </c>
      <c r="B127" s="229" t="s">
        <v>4224</v>
      </c>
      <c r="C127" s="241" t="s">
        <v>4061</v>
      </c>
      <c r="D127" s="237" t="s">
        <v>4180</v>
      </c>
      <c r="E127" s="236" t="s">
        <v>3982</v>
      </c>
      <c r="F127" s="240" t="s">
        <v>4060</v>
      </c>
      <c r="G127" s="214">
        <v>0</v>
      </c>
      <c r="H127" s="231" t="s">
        <v>4054</v>
      </c>
      <c r="I127" s="231"/>
      <c r="J127" s="231"/>
      <c r="K127" s="231"/>
      <c r="L127" s="231"/>
      <c r="M127" s="231"/>
      <c r="N127" s="231" t="s">
        <v>4074</v>
      </c>
      <c r="O127" s="246"/>
      <c r="P127" s="246"/>
      <c r="Q127" s="225"/>
      <c r="R127" s="212" t="s">
        <v>3983</v>
      </c>
      <c r="S127" s="213" t="s">
        <v>4274</v>
      </c>
      <c r="T127" s="233" t="s">
        <v>4053</v>
      </c>
      <c r="U127" s="234" t="s">
        <v>4058</v>
      </c>
      <c r="V127" s="233" t="s">
        <v>4052</v>
      </c>
      <c r="W127" s="233" t="s">
        <v>4052</v>
      </c>
      <c r="X127" s="234" t="s">
        <v>4054</v>
      </c>
      <c r="Y127" s="234"/>
      <c r="Z127" s="234"/>
      <c r="AA127" s="224">
        <v>202409</v>
      </c>
      <c r="AB127" s="243"/>
      <c r="AC127" s="233" t="s">
        <v>4057</v>
      </c>
      <c r="AD127" s="244" t="s">
        <v>4056</v>
      </c>
      <c r="AE127" s="245">
        <v>0</v>
      </c>
      <c r="AF127" s="244" t="s">
        <v>4056</v>
      </c>
      <c r="AG127" s="239" t="s">
        <v>2419</v>
      </c>
      <c r="AH127" s="9" t="s">
        <v>4222</v>
      </c>
      <c r="AI127" s="235" t="s">
        <v>4054</v>
      </c>
      <c r="AJ127" s="235" t="s">
        <v>4054</v>
      </c>
      <c r="AK127" s="235" t="s">
        <v>4055</v>
      </c>
    </row>
    <row r="128" spans="1:37" x14ac:dyDescent="0.3">
      <c r="A128" s="229" t="s">
        <v>2417</v>
      </c>
      <c r="B128" s="229" t="s">
        <v>4224</v>
      </c>
      <c r="C128" s="241" t="s">
        <v>4061</v>
      </c>
      <c r="D128" s="237" t="s">
        <v>4273</v>
      </c>
      <c r="E128" s="236" t="s">
        <v>3825</v>
      </c>
      <c r="F128" s="240" t="s">
        <v>4060</v>
      </c>
      <c r="G128" s="214">
        <v>0</v>
      </c>
      <c r="H128" s="231" t="s">
        <v>4054</v>
      </c>
      <c r="I128" s="231"/>
      <c r="J128" s="231"/>
      <c r="K128" s="231"/>
      <c r="L128" s="231"/>
      <c r="M128" s="231"/>
      <c r="N128" s="231" t="s">
        <v>4074</v>
      </c>
      <c r="O128" s="246"/>
      <c r="P128" s="246"/>
      <c r="Q128" s="225"/>
      <c r="R128" s="212" t="s">
        <v>3826</v>
      </c>
      <c r="S128" s="213" t="s">
        <v>4272</v>
      </c>
      <c r="T128" s="233" t="s">
        <v>4053</v>
      </c>
      <c r="U128" s="234" t="s">
        <v>4058</v>
      </c>
      <c r="V128" s="233" t="s">
        <v>4052</v>
      </c>
      <c r="W128" s="233" t="s">
        <v>4052</v>
      </c>
      <c r="X128" s="234" t="s">
        <v>4054</v>
      </c>
      <c r="Y128" s="234"/>
      <c r="Z128" s="234"/>
      <c r="AA128" s="224">
        <v>202409</v>
      </c>
      <c r="AB128" s="243"/>
      <c r="AC128" s="233" t="s">
        <v>4057</v>
      </c>
      <c r="AD128" s="244" t="s">
        <v>4056</v>
      </c>
      <c r="AE128" s="245">
        <v>0</v>
      </c>
      <c r="AF128" s="244" t="s">
        <v>4056</v>
      </c>
      <c r="AG128" s="239" t="s">
        <v>2419</v>
      </c>
      <c r="AH128" s="9" t="s">
        <v>4222</v>
      </c>
      <c r="AI128" s="235" t="s">
        <v>4054</v>
      </c>
      <c r="AJ128" s="235" t="s">
        <v>4054</v>
      </c>
      <c r="AK128" s="235" t="s">
        <v>4055</v>
      </c>
    </row>
    <row r="129" spans="1:37" x14ac:dyDescent="0.3">
      <c r="A129" s="229" t="s">
        <v>2417</v>
      </c>
      <c r="B129" s="229" t="s">
        <v>4224</v>
      </c>
      <c r="C129" s="241" t="s">
        <v>4061</v>
      </c>
      <c r="D129" s="237" t="s">
        <v>4071</v>
      </c>
      <c r="E129" s="236" t="s">
        <v>3674</v>
      </c>
      <c r="F129" s="240" t="s">
        <v>4060</v>
      </c>
      <c r="G129" s="214">
        <v>0</v>
      </c>
      <c r="H129" s="231" t="s">
        <v>4054</v>
      </c>
      <c r="I129" s="231"/>
      <c r="J129" s="231"/>
      <c r="K129" s="231"/>
      <c r="L129" s="231"/>
      <c r="M129" s="231"/>
      <c r="N129" s="231" t="s">
        <v>4074</v>
      </c>
      <c r="O129" s="246"/>
      <c r="P129" s="246"/>
      <c r="Q129" s="225"/>
      <c r="R129" s="212" t="s">
        <v>3729</v>
      </c>
      <c r="S129" s="213" t="s">
        <v>4271</v>
      </c>
      <c r="T129" s="233" t="s">
        <v>4053</v>
      </c>
      <c r="U129" s="234" t="s">
        <v>4058</v>
      </c>
      <c r="V129" s="233" t="s">
        <v>4052</v>
      </c>
      <c r="W129" s="233" t="s">
        <v>4052</v>
      </c>
      <c r="X129" s="234" t="s">
        <v>4054</v>
      </c>
      <c r="Y129" s="234"/>
      <c r="Z129" s="234"/>
      <c r="AA129" s="224">
        <v>202409</v>
      </c>
      <c r="AB129" s="243"/>
      <c r="AC129" s="233" t="s">
        <v>4057</v>
      </c>
      <c r="AD129" s="244" t="s">
        <v>4056</v>
      </c>
      <c r="AE129" s="245">
        <v>0</v>
      </c>
      <c r="AF129" s="244" t="s">
        <v>4056</v>
      </c>
      <c r="AG129" s="239" t="s">
        <v>2419</v>
      </c>
      <c r="AH129" s="9" t="s">
        <v>4222</v>
      </c>
      <c r="AI129" s="235" t="s">
        <v>4054</v>
      </c>
      <c r="AJ129" s="235" t="s">
        <v>4054</v>
      </c>
      <c r="AK129" s="235" t="s">
        <v>4055</v>
      </c>
    </row>
    <row r="130" spans="1:37" x14ac:dyDescent="0.3">
      <c r="A130" s="229" t="s">
        <v>2417</v>
      </c>
      <c r="B130" s="229" t="s">
        <v>4224</v>
      </c>
      <c r="C130" s="241" t="s">
        <v>4061</v>
      </c>
      <c r="D130" s="237" t="s">
        <v>4069</v>
      </c>
      <c r="E130" s="236" t="s">
        <v>3675</v>
      </c>
      <c r="F130" s="240" t="s">
        <v>4060</v>
      </c>
      <c r="G130" s="214">
        <v>0</v>
      </c>
      <c r="H130" s="231" t="s">
        <v>4054</v>
      </c>
      <c r="I130" s="231"/>
      <c r="J130" s="231"/>
      <c r="K130" s="231"/>
      <c r="L130" s="231"/>
      <c r="M130" s="231"/>
      <c r="N130" s="231" t="s">
        <v>4074</v>
      </c>
      <c r="O130" s="246"/>
      <c r="P130" s="246"/>
      <c r="Q130" s="225"/>
      <c r="R130" s="212" t="s">
        <v>3730</v>
      </c>
      <c r="S130" s="213" t="s">
        <v>4270</v>
      </c>
      <c r="T130" s="233" t="s">
        <v>4053</v>
      </c>
      <c r="U130" s="234" t="s">
        <v>4058</v>
      </c>
      <c r="V130" s="233" t="s">
        <v>4052</v>
      </c>
      <c r="W130" s="233" t="s">
        <v>4052</v>
      </c>
      <c r="X130" s="234" t="s">
        <v>4054</v>
      </c>
      <c r="Y130" s="234"/>
      <c r="Z130" s="234"/>
      <c r="AA130" s="224">
        <v>202409</v>
      </c>
      <c r="AB130" s="243"/>
      <c r="AC130" s="233" t="s">
        <v>4057</v>
      </c>
      <c r="AD130" s="244" t="s">
        <v>4056</v>
      </c>
      <c r="AE130" s="245">
        <v>0</v>
      </c>
      <c r="AF130" s="244" t="s">
        <v>4056</v>
      </c>
      <c r="AG130" s="239" t="s">
        <v>2419</v>
      </c>
      <c r="AH130" s="9" t="s">
        <v>4222</v>
      </c>
      <c r="AI130" s="235" t="s">
        <v>4054</v>
      </c>
      <c r="AJ130" s="235" t="s">
        <v>4054</v>
      </c>
      <c r="AK130" s="235" t="s">
        <v>4055</v>
      </c>
    </row>
    <row r="131" spans="1:37" x14ac:dyDescent="0.3">
      <c r="A131" s="229" t="s">
        <v>2417</v>
      </c>
      <c r="B131" s="229" t="s">
        <v>4224</v>
      </c>
      <c r="C131" s="241" t="s">
        <v>4061</v>
      </c>
      <c r="D131" s="237" t="s">
        <v>4269</v>
      </c>
      <c r="E131" s="236" t="s">
        <v>4268</v>
      </c>
      <c r="F131" s="240" t="s">
        <v>4060</v>
      </c>
      <c r="G131" s="214">
        <v>0</v>
      </c>
      <c r="H131" s="231" t="s">
        <v>4054</v>
      </c>
      <c r="I131" s="231"/>
      <c r="J131" s="231"/>
      <c r="K131" s="231"/>
      <c r="L131" s="231"/>
      <c r="M131" s="231"/>
      <c r="N131" s="231" t="s">
        <v>4074</v>
      </c>
      <c r="O131" s="246"/>
      <c r="P131" s="246"/>
      <c r="Q131" s="225"/>
      <c r="R131" s="212" t="s">
        <v>4267</v>
      </c>
      <c r="S131" s="213" t="s">
        <v>4266</v>
      </c>
      <c r="T131" s="233" t="s">
        <v>4053</v>
      </c>
      <c r="U131" s="234" t="s">
        <v>4058</v>
      </c>
      <c r="V131" s="233" t="s">
        <v>4052</v>
      </c>
      <c r="W131" s="233" t="s">
        <v>4052</v>
      </c>
      <c r="X131" s="234" t="s">
        <v>4054</v>
      </c>
      <c r="Y131" s="234"/>
      <c r="Z131" s="234"/>
      <c r="AA131" s="224">
        <v>202409</v>
      </c>
      <c r="AB131" s="243"/>
      <c r="AC131" s="233" t="s">
        <v>4057</v>
      </c>
      <c r="AD131" s="244" t="s">
        <v>4056</v>
      </c>
      <c r="AE131" s="245">
        <v>0</v>
      </c>
      <c r="AF131" s="244" t="s">
        <v>4056</v>
      </c>
      <c r="AG131" s="239" t="s">
        <v>2419</v>
      </c>
      <c r="AH131" s="9" t="s">
        <v>4222</v>
      </c>
      <c r="AI131" s="235" t="s">
        <v>4054</v>
      </c>
      <c r="AJ131" s="235" t="s">
        <v>4054</v>
      </c>
      <c r="AK131" s="235" t="s">
        <v>4055</v>
      </c>
    </row>
    <row r="132" spans="1:37" x14ac:dyDescent="0.3">
      <c r="A132" s="229" t="s">
        <v>2417</v>
      </c>
      <c r="B132" s="229" t="s">
        <v>4224</v>
      </c>
      <c r="C132" s="241" t="s">
        <v>4061</v>
      </c>
      <c r="D132" s="237" t="s">
        <v>4265</v>
      </c>
      <c r="E132" s="236" t="s">
        <v>3845</v>
      </c>
      <c r="F132" s="240" t="s">
        <v>4060</v>
      </c>
      <c r="G132" s="214">
        <v>0</v>
      </c>
      <c r="H132" s="231" t="s">
        <v>4054</v>
      </c>
      <c r="I132" s="231"/>
      <c r="J132" s="231"/>
      <c r="K132" s="231"/>
      <c r="L132" s="231"/>
      <c r="M132" s="231"/>
      <c r="N132" s="231" t="s">
        <v>4074</v>
      </c>
      <c r="O132" s="246"/>
      <c r="P132" s="246"/>
      <c r="Q132" s="225"/>
      <c r="R132" s="212" t="s">
        <v>3846</v>
      </c>
      <c r="S132" s="213" t="s">
        <v>4264</v>
      </c>
      <c r="T132" s="233" t="s">
        <v>4053</v>
      </c>
      <c r="U132" s="234" t="s">
        <v>4058</v>
      </c>
      <c r="V132" s="233" t="s">
        <v>4052</v>
      </c>
      <c r="W132" s="233" t="s">
        <v>4052</v>
      </c>
      <c r="X132" s="234" t="s">
        <v>4054</v>
      </c>
      <c r="Y132" s="234"/>
      <c r="Z132" s="234"/>
      <c r="AA132" s="224">
        <v>202409</v>
      </c>
      <c r="AB132" s="243"/>
      <c r="AC132" s="233" t="s">
        <v>4057</v>
      </c>
      <c r="AD132" s="244" t="s">
        <v>4056</v>
      </c>
      <c r="AE132" s="245">
        <v>0</v>
      </c>
      <c r="AF132" s="244" t="s">
        <v>4056</v>
      </c>
      <c r="AG132" s="239" t="s">
        <v>2419</v>
      </c>
      <c r="AH132" s="9" t="s">
        <v>4222</v>
      </c>
      <c r="AI132" s="235" t="s">
        <v>4054</v>
      </c>
      <c r="AJ132" s="235" t="s">
        <v>4054</v>
      </c>
      <c r="AK132" s="235" t="s">
        <v>4055</v>
      </c>
    </row>
    <row r="133" spans="1:37" x14ac:dyDescent="0.3">
      <c r="A133" s="229" t="s">
        <v>2417</v>
      </c>
      <c r="B133" s="229" t="s">
        <v>4224</v>
      </c>
      <c r="C133" s="241" t="s">
        <v>4061</v>
      </c>
      <c r="D133" s="237" t="s">
        <v>4263</v>
      </c>
      <c r="E133" s="236" t="s">
        <v>3807</v>
      </c>
      <c r="F133" s="240" t="s">
        <v>4060</v>
      </c>
      <c r="G133" s="214">
        <v>0</v>
      </c>
      <c r="H133" s="231" t="s">
        <v>4054</v>
      </c>
      <c r="I133" s="231"/>
      <c r="J133" s="231"/>
      <c r="K133" s="231"/>
      <c r="L133" s="231"/>
      <c r="M133" s="231"/>
      <c r="N133" s="231" t="s">
        <v>4074</v>
      </c>
      <c r="O133" s="246"/>
      <c r="P133" s="246"/>
      <c r="Q133" s="225"/>
      <c r="R133" s="212" t="s">
        <v>3808</v>
      </c>
      <c r="S133" s="213" t="s">
        <v>4262</v>
      </c>
      <c r="T133" s="233" t="s">
        <v>4053</v>
      </c>
      <c r="U133" s="234" t="s">
        <v>4058</v>
      </c>
      <c r="V133" s="233" t="s">
        <v>4052</v>
      </c>
      <c r="W133" s="233" t="s">
        <v>4052</v>
      </c>
      <c r="X133" s="234" t="s">
        <v>4054</v>
      </c>
      <c r="Y133" s="234"/>
      <c r="Z133" s="234"/>
      <c r="AA133" s="224">
        <v>202409</v>
      </c>
      <c r="AB133" s="243"/>
      <c r="AC133" s="233" t="s">
        <v>4057</v>
      </c>
      <c r="AD133" s="244" t="s">
        <v>4056</v>
      </c>
      <c r="AE133" s="245">
        <v>0</v>
      </c>
      <c r="AF133" s="244" t="s">
        <v>4056</v>
      </c>
      <c r="AG133" s="239" t="s">
        <v>2419</v>
      </c>
      <c r="AH133" s="9" t="s">
        <v>4222</v>
      </c>
      <c r="AI133" s="235" t="s">
        <v>4054</v>
      </c>
      <c r="AJ133" s="235" t="s">
        <v>4054</v>
      </c>
      <c r="AK133" s="235" t="s">
        <v>4055</v>
      </c>
    </row>
    <row r="134" spans="1:37" x14ac:dyDescent="0.3">
      <c r="A134" s="229" t="s">
        <v>2417</v>
      </c>
      <c r="B134" s="229" t="s">
        <v>4224</v>
      </c>
      <c r="C134" s="241" t="s">
        <v>4061</v>
      </c>
      <c r="D134" s="237" t="s">
        <v>4070</v>
      </c>
      <c r="E134" s="236" t="s">
        <v>3800</v>
      </c>
      <c r="F134" s="240" t="s">
        <v>4060</v>
      </c>
      <c r="G134" s="214">
        <v>0</v>
      </c>
      <c r="H134" s="231" t="s">
        <v>4054</v>
      </c>
      <c r="I134" s="231"/>
      <c r="J134" s="231"/>
      <c r="K134" s="231"/>
      <c r="L134" s="231"/>
      <c r="M134" s="231"/>
      <c r="N134" s="231" t="s">
        <v>4074</v>
      </c>
      <c r="O134" s="246"/>
      <c r="P134" s="246"/>
      <c r="Q134" s="225"/>
      <c r="R134" s="212" t="s">
        <v>3801</v>
      </c>
      <c r="S134" s="213" t="s">
        <v>4261</v>
      </c>
      <c r="T134" s="233" t="s">
        <v>4053</v>
      </c>
      <c r="U134" s="234" t="s">
        <v>4058</v>
      </c>
      <c r="V134" s="233" t="s">
        <v>4052</v>
      </c>
      <c r="W134" s="233" t="s">
        <v>4052</v>
      </c>
      <c r="X134" s="234" t="s">
        <v>4054</v>
      </c>
      <c r="Y134" s="234"/>
      <c r="Z134" s="234"/>
      <c r="AA134" s="224">
        <v>202409</v>
      </c>
      <c r="AB134" s="243"/>
      <c r="AC134" s="233" t="s">
        <v>4057</v>
      </c>
      <c r="AD134" s="244" t="s">
        <v>4056</v>
      </c>
      <c r="AE134" s="245">
        <v>0</v>
      </c>
      <c r="AF134" s="244" t="s">
        <v>4056</v>
      </c>
      <c r="AG134" s="239" t="s">
        <v>2419</v>
      </c>
      <c r="AH134" s="9" t="s">
        <v>4222</v>
      </c>
      <c r="AI134" s="235" t="s">
        <v>4054</v>
      </c>
      <c r="AJ134" s="235" t="s">
        <v>4054</v>
      </c>
      <c r="AK134" s="235" t="s">
        <v>4055</v>
      </c>
    </row>
    <row r="135" spans="1:37" x14ac:dyDescent="0.3">
      <c r="A135" s="229" t="s">
        <v>2417</v>
      </c>
      <c r="B135" s="229" t="s">
        <v>4224</v>
      </c>
      <c r="C135" s="241" t="s">
        <v>4061</v>
      </c>
      <c r="D135" s="237" t="s">
        <v>4260</v>
      </c>
      <c r="E135" s="236" t="s">
        <v>4259</v>
      </c>
      <c r="F135" s="240" t="s">
        <v>4060</v>
      </c>
      <c r="G135" s="214">
        <v>0</v>
      </c>
      <c r="H135" s="231" t="s">
        <v>4054</v>
      </c>
      <c r="I135" s="231"/>
      <c r="J135" s="231"/>
      <c r="K135" s="231"/>
      <c r="L135" s="231"/>
      <c r="M135" s="231"/>
      <c r="N135" s="231" t="s">
        <v>4074</v>
      </c>
      <c r="O135" s="246"/>
      <c r="P135" s="246"/>
      <c r="Q135" s="225"/>
      <c r="R135" s="212" t="s">
        <v>4258</v>
      </c>
      <c r="S135" s="213" t="s">
        <v>4257</v>
      </c>
      <c r="T135" s="233" t="s">
        <v>4053</v>
      </c>
      <c r="U135" s="234" t="s">
        <v>4058</v>
      </c>
      <c r="V135" s="233" t="s">
        <v>4052</v>
      </c>
      <c r="W135" s="233" t="s">
        <v>4052</v>
      </c>
      <c r="X135" s="234" t="s">
        <v>4054</v>
      </c>
      <c r="Y135" s="234"/>
      <c r="Z135" s="234"/>
      <c r="AA135" s="224">
        <v>202409</v>
      </c>
      <c r="AB135" s="243"/>
      <c r="AC135" s="233" t="s">
        <v>4057</v>
      </c>
      <c r="AD135" s="244" t="s">
        <v>4056</v>
      </c>
      <c r="AE135" s="245">
        <v>0</v>
      </c>
      <c r="AF135" s="244" t="s">
        <v>4056</v>
      </c>
      <c r="AG135" s="239" t="s">
        <v>2419</v>
      </c>
      <c r="AH135" s="9" t="s">
        <v>4222</v>
      </c>
      <c r="AI135" s="235" t="s">
        <v>4054</v>
      </c>
      <c r="AJ135" s="235" t="s">
        <v>4054</v>
      </c>
      <c r="AK135" s="235" t="s">
        <v>4055</v>
      </c>
    </row>
    <row r="136" spans="1:37" x14ac:dyDescent="0.3">
      <c r="A136" s="229" t="s">
        <v>2417</v>
      </c>
      <c r="B136" s="229" t="s">
        <v>4224</v>
      </c>
      <c r="C136" s="241" t="s">
        <v>4061</v>
      </c>
      <c r="D136" s="237" t="s">
        <v>4256</v>
      </c>
      <c r="E136" s="236" t="s">
        <v>3790</v>
      </c>
      <c r="F136" s="240" t="s">
        <v>4060</v>
      </c>
      <c r="G136" s="214">
        <v>0</v>
      </c>
      <c r="H136" s="231" t="s">
        <v>4054</v>
      </c>
      <c r="I136" s="231"/>
      <c r="J136" s="231"/>
      <c r="K136" s="231"/>
      <c r="L136" s="231"/>
      <c r="M136" s="231"/>
      <c r="N136" s="231" t="s">
        <v>4074</v>
      </c>
      <c r="O136" s="246"/>
      <c r="P136" s="246"/>
      <c r="Q136" s="225"/>
      <c r="R136" s="212" t="s">
        <v>3791</v>
      </c>
      <c r="S136" s="213" t="s">
        <v>4255</v>
      </c>
      <c r="T136" s="233" t="s">
        <v>4053</v>
      </c>
      <c r="U136" s="234" t="s">
        <v>4058</v>
      </c>
      <c r="V136" s="233" t="s">
        <v>4052</v>
      </c>
      <c r="W136" s="233" t="s">
        <v>4052</v>
      </c>
      <c r="X136" s="234" t="s">
        <v>4054</v>
      </c>
      <c r="Y136" s="234"/>
      <c r="Z136" s="234"/>
      <c r="AA136" s="224">
        <v>202409</v>
      </c>
      <c r="AB136" s="243"/>
      <c r="AC136" s="233" t="s">
        <v>4057</v>
      </c>
      <c r="AD136" s="244" t="s">
        <v>4056</v>
      </c>
      <c r="AE136" s="245">
        <v>0</v>
      </c>
      <c r="AF136" s="244" t="s">
        <v>4056</v>
      </c>
      <c r="AG136" s="239" t="s">
        <v>2419</v>
      </c>
      <c r="AH136" s="9" t="s">
        <v>4222</v>
      </c>
      <c r="AI136" s="235" t="s">
        <v>4054</v>
      </c>
      <c r="AJ136" s="235" t="s">
        <v>4054</v>
      </c>
      <c r="AK136" s="235" t="s">
        <v>4055</v>
      </c>
    </row>
    <row r="137" spans="1:37" x14ac:dyDescent="0.3">
      <c r="A137" s="229" t="s">
        <v>2417</v>
      </c>
      <c r="B137" s="229" t="s">
        <v>4224</v>
      </c>
      <c r="C137" s="241" t="s">
        <v>4061</v>
      </c>
      <c r="D137" s="237" t="s">
        <v>4254</v>
      </c>
      <c r="E137" s="236" t="s">
        <v>3865</v>
      </c>
      <c r="F137" s="240" t="s">
        <v>4060</v>
      </c>
      <c r="G137" s="214">
        <v>0</v>
      </c>
      <c r="H137" s="231" t="s">
        <v>4054</v>
      </c>
      <c r="I137" s="231"/>
      <c r="J137" s="231"/>
      <c r="K137" s="231"/>
      <c r="L137" s="231"/>
      <c r="M137" s="231"/>
      <c r="N137" s="231" t="s">
        <v>4074</v>
      </c>
      <c r="O137" s="246"/>
      <c r="P137" s="246"/>
      <c r="Q137" s="225"/>
      <c r="R137" s="212" t="s">
        <v>3866</v>
      </c>
      <c r="S137" s="213" t="s">
        <v>4253</v>
      </c>
      <c r="T137" s="233" t="s">
        <v>4053</v>
      </c>
      <c r="U137" s="234" t="s">
        <v>4058</v>
      </c>
      <c r="V137" s="233" t="s">
        <v>4052</v>
      </c>
      <c r="W137" s="233" t="s">
        <v>4052</v>
      </c>
      <c r="X137" s="234" t="s">
        <v>4054</v>
      </c>
      <c r="Y137" s="234"/>
      <c r="Z137" s="234"/>
      <c r="AA137" s="224">
        <v>202409</v>
      </c>
      <c r="AB137" s="243"/>
      <c r="AC137" s="233" t="s">
        <v>4057</v>
      </c>
      <c r="AD137" s="244" t="s">
        <v>4056</v>
      </c>
      <c r="AE137" s="245">
        <v>0</v>
      </c>
      <c r="AF137" s="244" t="s">
        <v>4056</v>
      </c>
      <c r="AG137" s="239" t="s">
        <v>2419</v>
      </c>
      <c r="AH137" s="9" t="s">
        <v>4222</v>
      </c>
      <c r="AI137" s="235" t="s">
        <v>4054</v>
      </c>
      <c r="AJ137" s="235" t="s">
        <v>4054</v>
      </c>
      <c r="AK137" s="235" t="s">
        <v>4055</v>
      </c>
    </row>
    <row r="138" spans="1:37" x14ac:dyDescent="0.3">
      <c r="A138" s="229" t="s">
        <v>2417</v>
      </c>
      <c r="B138" s="229" t="s">
        <v>4224</v>
      </c>
      <c r="C138" s="241" t="s">
        <v>4061</v>
      </c>
      <c r="D138" s="237" t="s">
        <v>4119</v>
      </c>
      <c r="E138" s="236" t="s">
        <v>3677</v>
      </c>
      <c r="F138" s="240" t="s">
        <v>4060</v>
      </c>
      <c r="G138" s="214">
        <v>0</v>
      </c>
      <c r="H138" s="231" t="s">
        <v>4054</v>
      </c>
      <c r="I138" s="231"/>
      <c r="J138" s="231"/>
      <c r="K138" s="231"/>
      <c r="L138" s="231"/>
      <c r="M138" s="231"/>
      <c r="N138" s="231" t="s">
        <v>4074</v>
      </c>
      <c r="O138" s="246"/>
      <c r="P138" s="246"/>
      <c r="Q138" s="225"/>
      <c r="R138" s="212" t="s">
        <v>3736</v>
      </c>
      <c r="S138" s="213" t="s">
        <v>4252</v>
      </c>
      <c r="T138" s="233" t="s">
        <v>4053</v>
      </c>
      <c r="U138" s="234" t="s">
        <v>4058</v>
      </c>
      <c r="V138" s="233" t="s">
        <v>4052</v>
      </c>
      <c r="W138" s="233" t="s">
        <v>4052</v>
      </c>
      <c r="X138" s="234" t="s">
        <v>4054</v>
      </c>
      <c r="Y138" s="234"/>
      <c r="Z138" s="234"/>
      <c r="AA138" s="224">
        <v>202409</v>
      </c>
      <c r="AB138" s="243"/>
      <c r="AC138" s="233" t="s">
        <v>4057</v>
      </c>
      <c r="AD138" s="244" t="s">
        <v>4056</v>
      </c>
      <c r="AE138" s="245">
        <v>0</v>
      </c>
      <c r="AF138" s="244" t="s">
        <v>4056</v>
      </c>
      <c r="AG138" s="239" t="s">
        <v>2419</v>
      </c>
      <c r="AH138" s="9" t="s">
        <v>4222</v>
      </c>
      <c r="AI138" s="235" t="s">
        <v>4054</v>
      </c>
      <c r="AJ138" s="235" t="s">
        <v>4054</v>
      </c>
      <c r="AK138" s="235" t="s">
        <v>4055</v>
      </c>
    </row>
    <row r="139" spans="1:37" x14ac:dyDescent="0.3">
      <c r="A139" s="229" t="s">
        <v>2417</v>
      </c>
      <c r="B139" s="229" t="s">
        <v>4224</v>
      </c>
      <c r="C139" s="241" t="s">
        <v>4061</v>
      </c>
      <c r="D139" s="237" t="s">
        <v>4121</v>
      </c>
      <c r="E139" s="236" t="s">
        <v>3875</v>
      </c>
      <c r="F139" s="240" t="s">
        <v>4060</v>
      </c>
      <c r="G139" s="214">
        <v>0</v>
      </c>
      <c r="H139" s="231" t="s">
        <v>4054</v>
      </c>
      <c r="I139" s="231"/>
      <c r="J139" s="231"/>
      <c r="K139" s="231"/>
      <c r="L139" s="231"/>
      <c r="M139" s="231"/>
      <c r="N139" s="231" t="s">
        <v>4074</v>
      </c>
      <c r="O139" s="246"/>
      <c r="P139" s="246"/>
      <c r="Q139" s="225"/>
      <c r="R139" s="212" t="s">
        <v>3876</v>
      </c>
      <c r="S139" s="213" t="s">
        <v>4251</v>
      </c>
      <c r="T139" s="233" t="s">
        <v>4053</v>
      </c>
      <c r="U139" s="234" t="s">
        <v>4058</v>
      </c>
      <c r="V139" s="233" t="s">
        <v>4052</v>
      </c>
      <c r="W139" s="233" t="s">
        <v>4052</v>
      </c>
      <c r="X139" s="234" t="s">
        <v>4054</v>
      </c>
      <c r="Y139" s="234"/>
      <c r="Z139" s="234"/>
      <c r="AA139" s="224">
        <v>202409</v>
      </c>
      <c r="AB139" s="243"/>
      <c r="AC139" s="233" t="s">
        <v>4057</v>
      </c>
      <c r="AD139" s="244" t="s">
        <v>4056</v>
      </c>
      <c r="AE139" s="245">
        <v>0</v>
      </c>
      <c r="AF139" s="244" t="s">
        <v>4056</v>
      </c>
      <c r="AG139" s="239" t="s">
        <v>2419</v>
      </c>
      <c r="AH139" s="9" t="s">
        <v>4222</v>
      </c>
      <c r="AI139" s="235" t="s">
        <v>4054</v>
      </c>
      <c r="AJ139" s="235" t="s">
        <v>4054</v>
      </c>
      <c r="AK139" s="235" t="s">
        <v>4055</v>
      </c>
    </row>
    <row r="140" spans="1:37" x14ac:dyDescent="0.3">
      <c r="A140" s="229" t="s">
        <v>2417</v>
      </c>
      <c r="B140" s="229" t="s">
        <v>4224</v>
      </c>
      <c r="C140" s="241" t="s">
        <v>4061</v>
      </c>
      <c r="D140" s="237" t="s">
        <v>4250</v>
      </c>
      <c r="E140" s="236" t="s">
        <v>3979</v>
      </c>
      <c r="F140" s="240" t="s">
        <v>4060</v>
      </c>
      <c r="G140" s="214">
        <v>0</v>
      </c>
      <c r="H140" s="231" t="s">
        <v>4054</v>
      </c>
      <c r="I140" s="231"/>
      <c r="J140" s="231"/>
      <c r="K140" s="231"/>
      <c r="L140" s="231"/>
      <c r="M140" s="231"/>
      <c r="N140" s="231" t="s">
        <v>4074</v>
      </c>
      <c r="O140" s="246"/>
      <c r="P140" s="246"/>
      <c r="Q140" s="225"/>
      <c r="R140" s="212" t="s">
        <v>3980</v>
      </c>
      <c r="S140" s="213" t="s">
        <v>4249</v>
      </c>
      <c r="T140" s="233" t="s">
        <v>4053</v>
      </c>
      <c r="U140" s="234" t="s">
        <v>4058</v>
      </c>
      <c r="V140" s="233" t="s">
        <v>4052</v>
      </c>
      <c r="W140" s="233" t="s">
        <v>4052</v>
      </c>
      <c r="X140" s="234" t="s">
        <v>4054</v>
      </c>
      <c r="Y140" s="234"/>
      <c r="Z140" s="234"/>
      <c r="AA140" s="224">
        <v>202409</v>
      </c>
      <c r="AB140" s="243"/>
      <c r="AC140" s="233" t="s">
        <v>4057</v>
      </c>
      <c r="AD140" s="244" t="s">
        <v>4056</v>
      </c>
      <c r="AE140" s="245">
        <v>0</v>
      </c>
      <c r="AF140" s="244" t="s">
        <v>4056</v>
      </c>
      <c r="AG140" s="239" t="s">
        <v>2419</v>
      </c>
      <c r="AH140" s="9" t="s">
        <v>4222</v>
      </c>
      <c r="AI140" s="235" t="s">
        <v>4054</v>
      </c>
      <c r="AJ140" s="235" t="s">
        <v>4054</v>
      </c>
      <c r="AK140" s="235" t="s">
        <v>4055</v>
      </c>
    </row>
    <row r="141" spans="1:37" x14ac:dyDescent="0.3">
      <c r="A141" s="229" t="s">
        <v>2417</v>
      </c>
      <c r="B141" s="229" t="s">
        <v>4224</v>
      </c>
      <c r="C141" s="241" t="s">
        <v>4061</v>
      </c>
      <c r="D141" s="237" t="s">
        <v>4248</v>
      </c>
      <c r="E141" s="236" t="s">
        <v>4247</v>
      </c>
      <c r="F141" s="240" t="s">
        <v>4060</v>
      </c>
      <c r="G141" s="214">
        <v>0</v>
      </c>
      <c r="H141" s="231" t="s">
        <v>4054</v>
      </c>
      <c r="I141" s="231"/>
      <c r="J141" s="231"/>
      <c r="K141" s="231"/>
      <c r="L141" s="231"/>
      <c r="M141" s="231"/>
      <c r="N141" s="231" t="s">
        <v>4074</v>
      </c>
      <c r="O141" s="246"/>
      <c r="P141" s="246"/>
      <c r="Q141" s="225"/>
      <c r="R141" s="212" t="s">
        <v>4246</v>
      </c>
      <c r="S141" s="213" t="s">
        <v>4245</v>
      </c>
      <c r="T141" s="233" t="s">
        <v>4053</v>
      </c>
      <c r="U141" s="234" t="s">
        <v>4058</v>
      </c>
      <c r="V141" s="233" t="s">
        <v>4052</v>
      </c>
      <c r="W141" s="233" t="s">
        <v>4052</v>
      </c>
      <c r="X141" s="234" t="s">
        <v>4054</v>
      </c>
      <c r="Y141" s="234"/>
      <c r="Z141" s="234"/>
      <c r="AA141" s="224">
        <v>202409</v>
      </c>
      <c r="AB141" s="243"/>
      <c r="AC141" s="233" t="s">
        <v>4057</v>
      </c>
      <c r="AD141" s="244" t="s">
        <v>4056</v>
      </c>
      <c r="AE141" s="245">
        <v>0</v>
      </c>
      <c r="AF141" s="244" t="s">
        <v>4056</v>
      </c>
      <c r="AG141" s="239" t="s">
        <v>2419</v>
      </c>
      <c r="AH141" s="9" t="s">
        <v>4222</v>
      </c>
      <c r="AI141" s="235" t="s">
        <v>4054</v>
      </c>
      <c r="AJ141" s="235" t="s">
        <v>4054</v>
      </c>
      <c r="AK141" s="235" t="s">
        <v>4055</v>
      </c>
    </row>
    <row r="142" spans="1:37" x14ac:dyDescent="0.3">
      <c r="A142" s="229" t="s">
        <v>2417</v>
      </c>
      <c r="B142" s="229" t="s">
        <v>4224</v>
      </c>
      <c r="C142" s="241" t="s">
        <v>4061</v>
      </c>
      <c r="D142" s="237" t="s">
        <v>4078</v>
      </c>
      <c r="E142" s="236" t="s">
        <v>3877</v>
      </c>
      <c r="F142" s="240" t="s">
        <v>4060</v>
      </c>
      <c r="G142" s="214">
        <v>0</v>
      </c>
      <c r="H142" s="231" t="s">
        <v>4054</v>
      </c>
      <c r="I142" s="231"/>
      <c r="J142" s="231"/>
      <c r="K142" s="231"/>
      <c r="L142" s="231"/>
      <c r="M142" s="231"/>
      <c r="N142" s="231" t="s">
        <v>4074</v>
      </c>
      <c r="O142" s="246"/>
      <c r="P142" s="246"/>
      <c r="Q142" s="225"/>
      <c r="R142" s="212" t="s">
        <v>3878</v>
      </c>
      <c r="S142" s="213" t="s">
        <v>4244</v>
      </c>
      <c r="T142" s="233" t="s">
        <v>4053</v>
      </c>
      <c r="U142" s="234" t="s">
        <v>4058</v>
      </c>
      <c r="V142" s="233" t="s">
        <v>4052</v>
      </c>
      <c r="W142" s="233" t="s">
        <v>4052</v>
      </c>
      <c r="X142" s="234" t="s">
        <v>4054</v>
      </c>
      <c r="Y142" s="234"/>
      <c r="Z142" s="234"/>
      <c r="AA142" s="224">
        <v>202409</v>
      </c>
      <c r="AB142" s="243"/>
      <c r="AC142" s="233" t="s">
        <v>4057</v>
      </c>
      <c r="AD142" s="244" t="s">
        <v>4056</v>
      </c>
      <c r="AE142" s="245">
        <v>0</v>
      </c>
      <c r="AF142" s="244" t="s">
        <v>4056</v>
      </c>
      <c r="AG142" s="239" t="s">
        <v>2419</v>
      </c>
      <c r="AH142" s="9" t="s">
        <v>4222</v>
      </c>
      <c r="AI142" s="235" t="s">
        <v>4054</v>
      </c>
      <c r="AJ142" s="235" t="s">
        <v>4054</v>
      </c>
      <c r="AK142" s="235" t="s">
        <v>4055</v>
      </c>
    </row>
    <row r="143" spans="1:37" x14ac:dyDescent="0.3">
      <c r="A143" s="229" t="s">
        <v>2417</v>
      </c>
      <c r="B143" s="229" t="s">
        <v>4224</v>
      </c>
      <c r="C143" s="241" t="s">
        <v>4061</v>
      </c>
      <c r="D143" s="237" t="s">
        <v>4243</v>
      </c>
      <c r="E143" s="236" t="s">
        <v>4173</v>
      </c>
      <c r="F143" s="240" t="s">
        <v>4060</v>
      </c>
      <c r="G143" s="214">
        <v>0</v>
      </c>
      <c r="H143" s="231" t="s">
        <v>4054</v>
      </c>
      <c r="I143" s="231"/>
      <c r="J143" s="231"/>
      <c r="K143" s="231"/>
      <c r="L143" s="231"/>
      <c r="M143" s="231"/>
      <c r="N143" s="231" t="s">
        <v>4074</v>
      </c>
      <c r="O143" s="246"/>
      <c r="P143" s="246"/>
      <c r="Q143" s="225"/>
      <c r="R143" s="212" t="s">
        <v>4172</v>
      </c>
      <c r="S143" s="213" t="s">
        <v>4242</v>
      </c>
      <c r="T143" s="233" t="s">
        <v>4053</v>
      </c>
      <c r="U143" s="234" t="s">
        <v>4058</v>
      </c>
      <c r="V143" s="233" t="s">
        <v>4052</v>
      </c>
      <c r="W143" s="233" t="s">
        <v>4052</v>
      </c>
      <c r="X143" s="234" t="s">
        <v>4054</v>
      </c>
      <c r="Y143" s="234"/>
      <c r="Z143" s="234"/>
      <c r="AA143" s="224">
        <v>202409</v>
      </c>
      <c r="AB143" s="243"/>
      <c r="AC143" s="233" t="s">
        <v>4057</v>
      </c>
      <c r="AD143" s="244" t="s">
        <v>4056</v>
      </c>
      <c r="AE143" s="245">
        <v>0</v>
      </c>
      <c r="AF143" s="244" t="s">
        <v>4056</v>
      </c>
      <c r="AG143" s="239" t="s">
        <v>2419</v>
      </c>
      <c r="AH143" s="9" t="s">
        <v>4222</v>
      </c>
      <c r="AI143" s="235" t="s">
        <v>4054</v>
      </c>
      <c r="AJ143" s="235" t="s">
        <v>4054</v>
      </c>
      <c r="AK143" s="235" t="s">
        <v>4055</v>
      </c>
    </row>
    <row r="144" spans="1:37" x14ac:dyDescent="0.3">
      <c r="A144" s="229" t="s">
        <v>2417</v>
      </c>
      <c r="B144" s="229" t="s">
        <v>4224</v>
      </c>
      <c r="C144" s="241" t="s">
        <v>4061</v>
      </c>
      <c r="D144" s="237" t="s">
        <v>4241</v>
      </c>
      <c r="E144" s="236" t="s">
        <v>3879</v>
      </c>
      <c r="F144" s="240" t="s">
        <v>4060</v>
      </c>
      <c r="G144" s="214">
        <v>0</v>
      </c>
      <c r="H144" s="231" t="s">
        <v>4054</v>
      </c>
      <c r="I144" s="231"/>
      <c r="J144" s="231"/>
      <c r="K144" s="231"/>
      <c r="L144" s="231"/>
      <c r="M144" s="231"/>
      <c r="N144" s="231" t="s">
        <v>4074</v>
      </c>
      <c r="O144" s="246"/>
      <c r="P144" s="246"/>
      <c r="Q144" s="225"/>
      <c r="R144" s="212" t="s">
        <v>3880</v>
      </c>
      <c r="S144" s="213" t="s">
        <v>4240</v>
      </c>
      <c r="T144" s="233" t="s">
        <v>4053</v>
      </c>
      <c r="U144" s="234" t="s">
        <v>4058</v>
      </c>
      <c r="V144" s="233" t="s">
        <v>4052</v>
      </c>
      <c r="W144" s="233" t="s">
        <v>4052</v>
      </c>
      <c r="X144" s="234" t="s">
        <v>4054</v>
      </c>
      <c r="Y144" s="234"/>
      <c r="Z144" s="234"/>
      <c r="AA144" s="224">
        <v>202409</v>
      </c>
      <c r="AB144" s="243"/>
      <c r="AC144" s="233" t="s">
        <v>4057</v>
      </c>
      <c r="AD144" s="244" t="s">
        <v>4056</v>
      </c>
      <c r="AE144" s="245">
        <v>0</v>
      </c>
      <c r="AF144" s="244" t="s">
        <v>4056</v>
      </c>
      <c r="AG144" s="239" t="s">
        <v>2419</v>
      </c>
      <c r="AH144" s="9" t="s">
        <v>4222</v>
      </c>
      <c r="AI144" s="235" t="s">
        <v>4054</v>
      </c>
      <c r="AJ144" s="235" t="s">
        <v>4054</v>
      </c>
      <c r="AK144" s="235" t="s">
        <v>4055</v>
      </c>
    </row>
    <row r="145" spans="1:37" x14ac:dyDescent="0.3">
      <c r="A145" s="229" t="s">
        <v>2417</v>
      </c>
      <c r="B145" s="229" t="s">
        <v>4224</v>
      </c>
      <c r="C145" s="241" t="s">
        <v>4061</v>
      </c>
      <c r="D145" s="237" t="s">
        <v>4239</v>
      </c>
      <c r="E145" s="236" t="s">
        <v>4238</v>
      </c>
      <c r="F145" s="240" t="s">
        <v>4060</v>
      </c>
      <c r="G145" s="214">
        <v>0</v>
      </c>
      <c r="H145" s="231" t="s">
        <v>4054</v>
      </c>
      <c r="I145" s="231"/>
      <c r="J145" s="231"/>
      <c r="K145" s="231"/>
      <c r="L145" s="231"/>
      <c r="M145" s="231"/>
      <c r="N145" s="231" t="s">
        <v>4074</v>
      </c>
      <c r="O145" s="246"/>
      <c r="P145" s="246"/>
      <c r="Q145" s="225"/>
      <c r="R145" s="212" t="s">
        <v>4237</v>
      </c>
      <c r="S145" s="213" t="s">
        <v>4236</v>
      </c>
      <c r="T145" s="233" t="s">
        <v>4053</v>
      </c>
      <c r="U145" s="234" t="s">
        <v>4058</v>
      </c>
      <c r="V145" s="233" t="s">
        <v>4052</v>
      </c>
      <c r="W145" s="233" t="s">
        <v>4052</v>
      </c>
      <c r="X145" s="234" t="s">
        <v>4054</v>
      </c>
      <c r="Y145" s="234"/>
      <c r="Z145" s="234"/>
      <c r="AA145" s="224">
        <v>202409</v>
      </c>
      <c r="AB145" s="243"/>
      <c r="AC145" s="233" t="s">
        <v>4057</v>
      </c>
      <c r="AD145" s="244" t="s">
        <v>4056</v>
      </c>
      <c r="AE145" s="245">
        <v>0</v>
      </c>
      <c r="AF145" s="244" t="s">
        <v>4056</v>
      </c>
      <c r="AG145" s="239" t="s">
        <v>2419</v>
      </c>
      <c r="AH145" s="9" t="s">
        <v>4222</v>
      </c>
      <c r="AI145" s="235" t="s">
        <v>4054</v>
      </c>
      <c r="AJ145" s="235" t="s">
        <v>4054</v>
      </c>
      <c r="AK145" s="235" t="s">
        <v>4055</v>
      </c>
    </row>
    <row r="146" spans="1:37" x14ac:dyDescent="0.3">
      <c r="A146" s="229" t="s">
        <v>2417</v>
      </c>
      <c r="B146" s="229" t="s">
        <v>4224</v>
      </c>
      <c r="C146" s="241" t="s">
        <v>4061</v>
      </c>
      <c r="D146" s="237" t="s">
        <v>4116</v>
      </c>
      <c r="E146" s="236" t="s">
        <v>4235</v>
      </c>
      <c r="F146" s="240" t="s">
        <v>4060</v>
      </c>
      <c r="G146" s="214">
        <v>0</v>
      </c>
      <c r="H146" s="231" t="s">
        <v>4054</v>
      </c>
      <c r="I146" s="231"/>
      <c r="J146" s="231"/>
      <c r="K146" s="231"/>
      <c r="L146" s="231"/>
      <c r="M146" s="231"/>
      <c r="N146" s="231" t="s">
        <v>4074</v>
      </c>
      <c r="O146" s="246"/>
      <c r="P146" s="246"/>
      <c r="Q146" s="225"/>
      <c r="R146" s="212" t="s">
        <v>3806</v>
      </c>
      <c r="S146" s="213" t="s">
        <v>4234</v>
      </c>
      <c r="T146" s="233" t="s">
        <v>4053</v>
      </c>
      <c r="U146" s="234" t="s">
        <v>4058</v>
      </c>
      <c r="V146" s="233" t="s">
        <v>4052</v>
      </c>
      <c r="W146" s="233" t="s">
        <v>4052</v>
      </c>
      <c r="X146" s="234" t="s">
        <v>4054</v>
      </c>
      <c r="Y146" s="234"/>
      <c r="Z146" s="234"/>
      <c r="AA146" s="224">
        <v>202409</v>
      </c>
      <c r="AB146" s="243"/>
      <c r="AC146" s="233" t="s">
        <v>4057</v>
      </c>
      <c r="AD146" s="244" t="s">
        <v>4056</v>
      </c>
      <c r="AE146" s="245">
        <v>0</v>
      </c>
      <c r="AF146" s="244" t="s">
        <v>4056</v>
      </c>
      <c r="AG146" s="239" t="s">
        <v>2419</v>
      </c>
      <c r="AH146" s="9" t="s">
        <v>4222</v>
      </c>
      <c r="AI146" s="235" t="s">
        <v>4054</v>
      </c>
      <c r="AJ146" s="235" t="s">
        <v>4054</v>
      </c>
      <c r="AK146" s="235" t="s">
        <v>4055</v>
      </c>
    </row>
    <row r="147" spans="1:37" x14ac:dyDescent="0.3">
      <c r="A147" s="229" t="s">
        <v>2417</v>
      </c>
      <c r="B147" s="229" t="s">
        <v>4224</v>
      </c>
      <c r="C147" s="241" t="s">
        <v>4061</v>
      </c>
      <c r="D147" s="237" t="s">
        <v>4233</v>
      </c>
      <c r="E147" s="236" t="s">
        <v>3881</v>
      </c>
      <c r="F147" s="240" t="s">
        <v>4060</v>
      </c>
      <c r="G147" s="214">
        <v>0</v>
      </c>
      <c r="H147" s="231" t="s">
        <v>4054</v>
      </c>
      <c r="I147" s="231"/>
      <c r="J147" s="231"/>
      <c r="K147" s="231"/>
      <c r="L147" s="231"/>
      <c r="M147" s="231"/>
      <c r="N147" s="231" t="s">
        <v>4074</v>
      </c>
      <c r="O147" s="246"/>
      <c r="P147" s="246"/>
      <c r="Q147" s="225"/>
      <c r="R147" s="212" t="s">
        <v>3882</v>
      </c>
      <c r="S147" s="213" t="s">
        <v>4232</v>
      </c>
      <c r="T147" s="233" t="s">
        <v>4053</v>
      </c>
      <c r="U147" s="234" t="s">
        <v>4058</v>
      </c>
      <c r="V147" s="233" t="s">
        <v>4052</v>
      </c>
      <c r="W147" s="233" t="s">
        <v>4052</v>
      </c>
      <c r="X147" s="234" t="s">
        <v>4054</v>
      </c>
      <c r="Y147" s="234"/>
      <c r="Z147" s="234"/>
      <c r="AA147" s="224">
        <v>202409</v>
      </c>
      <c r="AB147" s="243"/>
      <c r="AC147" s="233" t="s">
        <v>4057</v>
      </c>
      <c r="AD147" s="244" t="s">
        <v>4056</v>
      </c>
      <c r="AE147" s="245">
        <v>0</v>
      </c>
      <c r="AF147" s="244" t="s">
        <v>4056</v>
      </c>
      <c r="AG147" s="239" t="s">
        <v>2419</v>
      </c>
      <c r="AH147" s="9" t="s">
        <v>4222</v>
      </c>
      <c r="AI147" s="235" t="s">
        <v>4054</v>
      </c>
      <c r="AJ147" s="235" t="s">
        <v>4054</v>
      </c>
      <c r="AK147" s="235" t="s">
        <v>4055</v>
      </c>
    </row>
    <row r="148" spans="1:37" x14ac:dyDescent="0.3">
      <c r="A148" s="229" t="s">
        <v>2417</v>
      </c>
      <c r="B148" s="229" t="s">
        <v>4224</v>
      </c>
      <c r="C148" s="241" t="s">
        <v>4061</v>
      </c>
      <c r="D148" s="237" t="s">
        <v>4231</v>
      </c>
      <c r="E148" s="236" t="s">
        <v>3926</v>
      </c>
      <c r="F148" s="240" t="s">
        <v>4060</v>
      </c>
      <c r="G148" s="214">
        <v>0</v>
      </c>
      <c r="H148" s="231" t="s">
        <v>4054</v>
      </c>
      <c r="I148" s="231"/>
      <c r="J148" s="231"/>
      <c r="K148" s="231"/>
      <c r="L148" s="231"/>
      <c r="M148" s="231"/>
      <c r="N148" s="231" t="s">
        <v>4074</v>
      </c>
      <c r="O148" s="246"/>
      <c r="P148" s="246"/>
      <c r="Q148" s="225"/>
      <c r="R148" s="212" t="s">
        <v>3927</v>
      </c>
      <c r="S148" s="212" t="s">
        <v>3927</v>
      </c>
      <c r="T148" s="233" t="s">
        <v>4053</v>
      </c>
      <c r="U148" s="234" t="s">
        <v>4058</v>
      </c>
      <c r="V148" s="233" t="s">
        <v>4052</v>
      </c>
      <c r="W148" s="233" t="s">
        <v>4052</v>
      </c>
      <c r="X148" s="234" t="s">
        <v>4054</v>
      </c>
      <c r="Y148" s="234"/>
      <c r="Z148" s="234"/>
      <c r="AA148" s="224">
        <v>202409</v>
      </c>
      <c r="AB148" s="243"/>
      <c r="AC148" s="233" t="s">
        <v>4057</v>
      </c>
      <c r="AD148" s="244" t="s">
        <v>4056</v>
      </c>
      <c r="AE148" s="245">
        <v>0</v>
      </c>
      <c r="AF148" s="244" t="s">
        <v>4056</v>
      </c>
      <c r="AG148" s="239" t="s">
        <v>2419</v>
      </c>
      <c r="AH148" s="9" t="s">
        <v>4222</v>
      </c>
      <c r="AI148" s="235" t="s">
        <v>4054</v>
      </c>
      <c r="AJ148" s="235" t="s">
        <v>4054</v>
      </c>
      <c r="AK148" s="235" t="s">
        <v>4055</v>
      </c>
    </row>
    <row r="149" spans="1:37" x14ac:dyDescent="0.3">
      <c r="A149" s="229" t="s">
        <v>2417</v>
      </c>
      <c r="B149" s="229" t="s">
        <v>4224</v>
      </c>
      <c r="C149" s="241" t="s">
        <v>4061</v>
      </c>
      <c r="D149" s="237" t="s">
        <v>4230</v>
      </c>
      <c r="E149" s="236" t="s">
        <v>3932</v>
      </c>
      <c r="F149" s="240" t="s">
        <v>4060</v>
      </c>
      <c r="G149" s="214">
        <v>0</v>
      </c>
      <c r="H149" s="231" t="s">
        <v>4054</v>
      </c>
      <c r="I149" s="231"/>
      <c r="J149" s="231"/>
      <c r="K149" s="231"/>
      <c r="L149" s="231"/>
      <c r="M149" s="231"/>
      <c r="N149" s="231" t="s">
        <v>4074</v>
      </c>
      <c r="O149" s="246"/>
      <c r="P149" s="246"/>
      <c r="Q149" s="225"/>
      <c r="R149" s="212" t="s">
        <v>3933</v>
      </c>
      <c r="S149" s="212" t="s">
        <v>3933</v>
      </c>
      <c r="T149" s="233" t="s">
        <v>4053</v>
      </c>
      <c r="U149" s="234" t="s">
        <v>4058</v>
      </c>
      <c r="V149" s="233" t="s">
        <v>4052</v>
      </c>
      <c r="W149" s="233" t="s">
        <v>4052</v>
      </c>
      <c r="X149" s="234" t="s">
        <v>4054</v>
      </c>
      <c r="Y149" s="234"/>
      <c r="Z149" s="234"/>
      <c r="AA149" s="224">
        <v>202409</v>
      </c>
      <c r="AB149" s="243"/>
      <c r="AC149" s="233" t="s">
        <v>4057</v>
      </c>
      <c r="AD149" s="244" t="s">
        <v>4056</v>
      </c>
      <c r="AE149" s="245">
        <v>0</v>
      </c>
      <c r="AF149" s="244" t="s">
        <v>4056</v>
      </c>
      <c r="AG149" s="239" t="s">
        <v>2419</v>
      </c>
      <c r="AH149" s="9" t="s">
        <v>4222</v>
      </c>
      <c r="AI149" s="235" t="s">
        <v>4054</v>
      </c>
      <c r="AJ149" s="235" t="s">
        <v>4054</v>
      </c>
      <c r="AK149" s="235" t="s">
        <v>4055</v>
      </c>
    </row>
    <row r="150" spans="1:37" x14ac:dyDescent="0.3">
      <c r="A150" s="229" t="s">
        <v>2417</v>
      </c>
      <c r="B150" s="229" t="s">
        <v>4224</v>
      </c>
      <c r="C150" s="241" t="s">
        <v>4061</v>
      </c>
      <c r="D150" s="237" t="s">
        <v>4229</v>
      </c>
      <c r="E150" s="236" t="s">
        <v>3934</v>
      </c>
      <c r="F150" s="240" t="s">
        <v>4060</v>
      </c>
      <c r="G150" s="214">
        <v>0</v>
      </c>
      <c r="H150" s="231" t="s">
        <v>4054</v>
      </c>
      <c r="I150" s="231"/>
      <c r="J150" s="231"/>
      <c r="K150" s="231"/>
      <c r="L150" s="231"/>
      <c r="M150" s="231"/>
      <c r="N150" s="231" t="s">
        <v>4074</v>
      </c>
      <c r="O150" s="246"/>
      <c r="P150" s="246"/>
      <c r="Q150" s="225"/>
      <c r="R150" s="212" t="s">
        <v>3935</v>
      </c>
      <c r="S150" s="212" t="s">
        <v>3935</v>
      </c>
      <c r="T150" s="233" t="s">
        <v>4053</v>
      </c>
      <c r="U150" s="234" t="s">
        <v>4058</v>
      </c>
      <c r="V150" s="233" t="s">
        <v>4052</v>
      </c>
      <c r="W150" s="233" t="s">
        <v>4052</v>
      </c>
      <c r="X150" s="234" t="s">
        <v>4054</v>
      </c>
      <c r="Y150" s="234"/>
      <c r="Z150" s="234"/>
      <c r="AA150" s="224">
        <v>202409</v>
      </c>
      <c r="AB150" s="243"/>
      <c r="AC150" s="233" t="s">
        <v>4057</v>
      </c>
      <c r="AD150" s="244" t="s">
        <v>4056</v>
      </c>
      <c r="AE150" s="245">
        <v>0</v>
      </c>
      <c r="AF150" s="244" t="s">
        <v>4056</v>
      </c>
      <c r="AG150" s="239" t="s">
        <v>2419</v>
      </c>
      <c r="AH150" s="9" t="s">
        <v>4222</v>
      </c>
      <c r="AI150" s="235" t="s">
        <v>4054</v>
      </c>
      <c r="AJ150" s="235" t="s">
        <v>4054</v>
      </c>
      <c r="AK150" s="235" t="s">
        <v>4055</v>
      </c>
    </row>
    <row r="151" spans="1:37" x14ac:dyDescent="0.3">
      <c r="A151" s="229" t="s">
        <v>2417</v>
      </c>
      <c r="B151" s="229" t="s">
        <v>4224</v>
      </c>
      <c r="C151" s="241" t="s">
        <v>4061</v>
      </c>
      <c r="D151" s="237" t="s">
        <v>4228</v>
      </c>
      <c r="E151" s="236" t="s">
        <v>3930</v>
      </c>
      <c r="F151" s="240" t="s">
        <v>4060</v>
      </c>
      <c r="G151" s="214">
        <v>0</v>
      </c>
      <c r="H151" s="231" t="s">
        <v>4054</v>
      </c>
      <c r="I151" s="231"/>
      <c r="J151" s="231"/>
      <c r="K151" s="231"/>
      <c r="L151" s="231"/>
      <c r="M151" s="231"/>
      <c r="N151" s="231" t="s">
        <v>4074</v>
      </c>
      <c r="O151" s="246"/>
      <c r="P151" s="246"/>
      <c r="Q151" s="225"/>
      <c r="R151" s="212" t="s">
        <v>3931</v>
      </c>
      <c r="S151" s="212" t="s">
        <v>3931</v>
      </c>
      <c r="T151" s="233" t="s">
        <v>4053</v>
      </c>
      <c r="U151" s="234" t="s">
        <v>4058</v>
      </c>
      <c r="V151" s="233" t="s">
        <v>4052</v>
      </c>
      <c r="W151" s="233" t="s">
        <v>4052</v>
      </c>
      <c r="X151" s="234" t="s">
        <v>4054</v>
      </c>
      <c r="Y151" s="234"/>
      <c r="Z151" s="234"/>
      <c r="AA151" s="224">
        <v>202409</v>
      </c>
      <c r="AB151" s="243"/>
      <c r="AC151" s="233" t="s">
        <v>4057</v>
      </c>
      <c r="AD151" s="244" t="s">
        <v>4056</v>
      </c>
      <c r="AE151" s="245">
        <v>0</v>
      </c>
      <c r="AF151" s="244" t="s">
        <v>4056</v>
      </c>
      <c r="AG151" s="239" t="s">
        <v>2419</v>
      </c>
      <c r="AH151" s="9" t="s">
        <v>4222</v>
      </c>
      <c r="AI151" s="235" t="s">
        <v>4054</v>
      </c>
      <c r="AJ151" s="235" t="s">
        <v>4054</v>
      </c>
      <c r="AK151" s="235" t="s">
        <v>4055</v>
      </c>
    </row>
    <row r="152" spans="1:37" x14ac:dyDescent="0.3">
      <c r="A152" s="229" t="s">
        <v>2417</v>
      </c>
      <c r="B152" s="229" t="s">
        <v>4224</v>
      </c>
      <c r="C152" s="241" t="s">
        <v>4061</v>
      </c>
      <c r="D152" s="237" t="s">
        <v>4227</v>
      </c>
      <c r="E152" s="236" t="s">
        <v>4000</v>
      </c>
      <c r="F152" s="240" t="s">
        <v>4060</v>
      </c>
      <c r="G152" s="214">
        <v>0</v>
      </c>
      <c r="H152" s="231" t="s">
        <v>4054</v>
      </c>
      <c r="I152" s="231"/>
      <c r="J152" s="231"/>
      <c r="K152" s="231"/>
      <c r="L152" s="231"/>
      <c r="M152" s="231"/>
      <c r="N152" s="231" t="s">
        <v>4074</v>
      </c>
      <c r="O152" s="246"/>
      <c r="P152" s="246"/>
      <c r="Q152" s="225"/>
      <c r="R152" s="213" t="s">
        <v>4001</v>
      </c>
      <c r="S152" s="213" t="s">
        <v>4001</v>
      </c>
      <c r="T152" s="233" t="s">
        <v>4053</v>
      </c>
      <c r="U152" s="234" t="s">
        <v>4058</v>
      </c>
      <c r="V152" s="233" t="s">
        <v>4052</v>
      </c>
      <c r="W152" s="233" t="s">
        <v>4052</v>
      </c>
      <c r="X152" s="234" t="s">
        <v>4054</v>
      </c>
      <c r="Y152" s="234"/>
      <c r="Z152" s="234"/>
      <c r="AA152" s="224">
        <v>202409</v>
      </c>
      <c r="AB152" s="243"/>
      <c r="AC152" s="233" t="s">
        <v>4057</v>
      </c>
      <c r="AD152" s="244" t="s">
        <v>4056</v>
      </c>
      <c r="AE152" s="245">
        <v>0</v>
      </c>
      <c r="AF152" s="244" t="s">
        <v>4056</v>
      </c>
      <c r="AG152" s="239" t="s">
        <v>2419</v>
      </c>
      <c r="AH152" s="9" t="s">
        <v>4222</v>
      </c>
      <c r="AI152" s="235" t="s">
        <v>4054</v>
      </c>
      <c r="AJ152" s="235" t="s">
        <v>4054</v>
      </c>
      <c r="AK152" s="235" t="s">
        <v>4055</v>
      </c>
    </row>
    <row r="153" spans="1:37" x14ac:dyDescent="0.3">
      <c r="A153" s="229" t="s">
        <v>2417</v>
      </c>
      <c r="B153" s="229" t="s">
        <v>4224</v>
      </c>
      <c r="C153" s="241" t="s">
        <v>4061</v>
      </c>
      <c r="D153" s="237" t="s">
        <v>4226</v>
      </c>
      <c r="E153" s="236" t="s">
        <v>3885</v>
      </c>
      <c r="F153" s="240" t="s">
        <v>4060</v>
      </c>
      <c r="G153" s="214">
        <v>0</v>
      </c>
      <c r="H153" s="231" t="s">
        <v>4054</v>
      </c>
      <c r="I153" s="231"/>
      <c r="J153" s="231"/>
      <c r="K153" s="231"/>
      <c r="L153" s="231"/>
      <c r="M153" s="231"/>
      <c r="N153" s="231" t="s">
        <v>4074</v>
      </c>
      <c r="O153" s="246"/>
      <c r="P153" s="246"/>
      <c r="Q153" s="225"/>
      <c r="R153" s="212" t="s">
        <v>3886</v>
      </c>
      <c r="S153" s="212" t="s">
        <v>3886</v>
      </c>
      <c r="T153" s="233" t="s">
        <v>4053</v>
      </c>
      <c r="U153" s="234" t="s">
        <v>4058</v>
      </c>
      <c r="V153" s="233" t="s">
        <v>4052</v>
      </c>
      <c r="W153" s="233" t="s">
        <v>4052</v>
      </c>
      <c r="X153" s="234" t="s">
        <v>4054</v>
      </c>
      <c r="Y153" s="234"/>
      <c r="Z153" s="234"/>
      <c r="AA153" s="224">
        <v>202409</v>
      </c>
      <c r="AB153" s="243"/>
      <c r="AC153" s="233" t="s">
        <v>4057</v>
      </c>
      <c r="AD153" s="244" t="s">
        <v>4056</v>
      </c>
      <c r="AE153" s="245">
        <v>0</v>
      </c>
      <c r="AF153" s="244" t="s">
        <v>4056</v>
      </c>
      <c r="AG153" s="239" t="s">
        <v>2419</v>
      </c>
      <c r="AH153" s="9" t="s">
        <v>4222</v>
      </c>
      <c r="AI153" s="235" t="s">
        <v>4054</v>
      </c>
      <c r="AJ153" s="235" t="s">
        <v>4054</v>
      </c>
      <c r="AK153" s="235" t="s">
        <v>4055</v>
      </c>
    </row>
    <row r="154" spans="1:37" x14ac:dyDescent="0.3">
      <c r="A154" s="229" t="s">
        <v>2417</v>
      </c>
      <c r="B154" s="229" t="s">
        <v>4224</v>
      </c>
      <c r="C154" s="241" t="s">
        <v>4061</v>
      </c>
      <c r="D154" s="237" t="s">
        <v>4225</v>
      </c>
      <c r="E154" s="236" t="s">
        <v>3984</v>
      </c>
      <c r="F154" s="240" t="s">
        <v>4060</v>
      </c>
      <c r="G154" s="214">
        <v>0</v>
      </c>
      <c r="H154" s="231" t="s">
        <v>4054</v>
      </c>
      <c r="I154" s="231"/>
      <c r="J154" s="231"/>
      <c r="K154" s="231"/>
      <c r="L154" s="231"/>
      <c r="M154" s="231"/>
      <c r="N154" s="231" t="s">
        <v>4074</v>
      </c>
      <c r="O154" s="246"/>
      <c r="P154" s="246"/>
      <c r="Q154" s="225"/>
      <c r="R154" s="213" t="s">
        <v>3985</v>
      </c>
      <c r="S154" s="213" t="s">
        <v>3985</v>
      </c>
      <c r="T154" s="233" t="s">
        <v>4053</v>
      </c>
      <c r="U154" s="234" t="s">
        <v>4058</v>
      </c>
      <c r="V154" s="233" t="s">
        <v>4052</v>
      </c>
      <c r="W154" s="233" t="s">
        <v>4052</v>
      </c>
      <c r="X154" s="234" t="s">
        <v>4054</v>
      </c>
      <c r="Y154" s="234"/>
      <c r="Z154" s="234"/>
      <c r="AA154" s="224">
        <v>202409</v>
      </c>
      <c r="AB154" s="243"/>
      <c r="AC154" s="233" t="s">
        <v>4057</v>
      </c>
      <c r="AD154" s="244" t="s">
        <v>4056</v>
      </c>
      <c r="AE154" s="245">
        <v>0</v>
      </c>
      <c r="AF154" s="244" t="s">
        <v>4056</v>
      </c>
      <c r="AG154" s="239" t="s">
        <v>2419</v>
      </c>
      <c r="AH154" s="9" t="s">
        <v>4222</v>
      </c>
      <c r="AI154" s="235" t="s">
        <v>4054</v>
      </c>
      <c r="AJ154" s="235" t="s">
        <v>4054</v>
      </c>
      <c r="AK154" s="235" t="s">
        <v>4055</v>
      </c>
    </row>
    <row r="155" spans="1:37" x14ac:dyDescent="0.3">
      <c r="A155" s="229" t="s">
        <v>2417</v>
      </c>
      <c r="B155" s="229" t="s">
        <v>4224</v>
      </c>
      <c r="C155" s="241" t="s">
        <v>4061</v>
      </c>
      <c r="D155" s="237" t="s">
        <v>4223</v>
      </c>
      <c r="E155" s="236" t="s">
        <v>3893</v>
      </c>
      <c r="F155" s="240" t="s">
        <v>4060</v>
      </c>
      <c r="G155" s="214">
        <v>0</v>
      </c>
      <c r="H155" s="231" t="s">
        <v>4054</v>
      </c>
      <c r="I155" s="231"/>
      <c r="J155" s="231"/>
      <c r="K155" s="231"/>
      <c r="L155" s="231"/>
      <c r="M155" s="231"/>
      <c r="N155" s="231" t="s">
        <v>4074</v>
      </c>
      <c r="O155" s="246"/>
      <c r="P155" s="246"/>
      <c r="Q155" s="225"/>
      <c r="R155" s="212" t="s">
        <v>3894</v>
      </c>
      <c r="S155" s="212" t="s">
        <v>3894</v>
      </c>
      <c r="T155" s="233" t="s">
        <v>4053</v>
      </c>
      <c r="U155" s="234" t="s">
        <v>4058</v>
      </c>
      <c r="V155" s="233" t="s">
        <v>4052</v>
      </c>
      <c r="W155" s="233" t="s">
        <v>4052</v>
      </c>
      <c r="X155" s="234" t="s">
        <v>4054</v>
      </c>
      <c r="Y155" s="234"/>
      <c r="Z155" s="234"/>
      <c r="AA155" s="224">
        <v>202409</v>
      </c>
      <c r="AB155" s="243"/>
      <c r="AC155" s="233" t="s">
        <v>4057</v>
      </c>
      <c r="AD155" s="244" t="s">
        <v>4056</v>
      </c>
      <c r="AE155" s="245">
        <v>0</v>
      </c>
      <c r="AF155" s="244" t="s">
        <v>4056</v>
      </c>
      <c r="AG155" s="239" t="s">
        <v>2419</v>
      </c>
      <c r="AH155" s="9" t="s">
        <v>4222</v>
      </c>
      <c r="AI155" s="235" t="s">
        <v>4054</v>
      </c>
      <c r="AJ155" s="235" t="s">
        <v>4054</v>
      </c>
      <c r="AK155" s="235" t="s">
        <v>4055</v>
      </c>
    </row>
    <row r="156" spans="1:37" x14ac:dyDescent="0.3">
      <c r="A156" s="229" t="s">
        <v>3413</v>
      </c>
      <c r="B156" s="229" t="s">
        <v>4194</v>
      </c>
      <c r="C156" s="241" t="s">
        <v>4061</v>
      </c>
      <c r="D156" s="237" t="s">
        <v>4097</v>
      </c>
      <c r="E156" s="236" t="s">
        <v>4096</v>
      </c>
      <c r="F156" s="240" t="s">
        <v>4060</v>
      </c>
      <c r="G156" s="214">
        <v>0</v>
      </c>
      <c r="H156" s="231" t="s">
        <v>4054</v>
      </c>
      <c r="I156" s="231"/>
      <c r="J156" s="231"/>
      <c r="K156" s="231"/>
      <c r="L156" s="231"/>
      <c r="M156" s="231"/>
      <c r="N156" s="231" t="s">
        <v>4074</v>
      </c>
      <c r="O156" s="246" t="s">
        <v>4191</v>
      </c>
      <c r="P156" s="246" t="s">
        <v>4190</v>
      </c>
      <c r="Q156" s="225" t="s">
        <v>4189</v>
      </c>
      <c r="R156" s="212" t="s">
        <v>4095</v>
      </c>
      <c r="S156" s="213" t="s">
        <v>4054</v>
      </c>
      <c r="T156" s="233" t="s">
        <v>4053</v>
      </c>
      <c r="U156" s="234" t="s">
        <v>4058</v>
      </c>
      <c r="V156" s="234" t="s">
        <v>4072</v>
      </c>
      <c r="W156" s="234" t="s">
        <v>4072</v>
      </c>
      <c r="X156" s="234" t="s">
        <v>4072</v>
      </c>
      <c r="Y156" s="234"/>
      <c r="Z156" s="234" t="s">
        <v>4072</v>
      </c>
      <c r="AA156" s="224">
        <v>202409</v>
      </c>
      <c r="AB156" s="243"/>
      <c r="AC156" s="233" t="s">
        <v>4057</v>
      </c>
      <c r="AD156" s="244" t="s">
        <v>4056</v>
      </c>
      <c r="AE156" s="245">
        <v>0</v>
      </c>
      <c r="AF156" s="244" t="s">
        <v>4056</v>
      </c>
      <c r="AG156" s="239" t="s">
        <v>4131</v>
      </c>
      <c r="AH156" s="9" t="s">
        <v>4130</v>
      </c>
      <c r="AI156" s="235" t="s">
        <v>4129</v>
      </c>
      <c r="AJ156" s="235" t="s">
        <v>4054</v>
      </c>
      <c r="AK156" s="235" t="s">
        <v>4055</v>
      </c>
    </row>
    <row r="157" spans="1:37" x14ac:dyDescent="0.3">
      <c r="A157" s="229" t="s">
        <v>3413</v>
      </c>
      <c r="B157" s="229" t="s">
        <v>4194</v>
      </c>
      <c r="C157" s="241" t="s">
        <v>4061</v>
      </c>
      <c r="D157" s="237" t="s">
        <v>4221</v>
      </c>
      <c r="E157" s="236" t="s">
        <v>4220</v>
      </c>
      <c r="F157" s="240" t="s">
        <v>4060</v>
      </c>
      <c r="G157" s="214">
        <v>0</v>
      </c>
      <c r="H157" s="231" t="s">
        <v>4054</v>
      </c>
      <c r="I157" s="231"/>
      <c r="J157" s="231"/>
      <c r="K157" s="231"/>
      <c r="L157" s="231"/>
      <c r="M157" s="231"/>
      <c r="N157" s="231" t="s">
        <v>4074</v>
      </c>
      <c r="O157" s="246" t="s">
        <v>4191</v>
      </c>
      <c r="P157" s="246" t="s">
        <v>4190</v>
      </c>
      <c r="Q157" s="225" t="s">
        <v>4189</v>
      </c>
      <c r="R157" s="212" t="s">
        <v>2</v>
      </c>
      <c r="S157" s="213" t="s">
        <v>4054</v>
      </c>
      <c r="T157" s="233" t="s">
        <v>4053</v>
      </c>
      <c r="U157" s="234" t="s">
        <v>4058</v>
      </c>
      <c r="V157" s="234" t="s">
        <v>4072</v>
      </c>
      <c r="W157" s="234" t="s">
        <v>4072</v>
      </c>
      <c r="X157" s="234" t="s">
        <v>4072</v>
      </c>
      <c r="Y157" s="234"/>
      <c r="Z157" s="234" t="s">
        <v>4072</v>
      </c>
      <c r="AA157" s="224">
        <v>202409</v>
      </c>
      <c r="AB157" s="243"/>
      <c r="AC157" s="233" t="s">
        <v>4057</v>
      </c>
      <c r="AD157" s="244" t="s">
        <v>4056</v>
      </c>
      <c r="AE157" s="245">
        <v>0</v>
      </c>
      <c r="AF157" s="244" t="s">
        <v>4056</v>
      </c>
      <c r="AG157" s="239" t="s">
        <v>4131</v>
      </c>
      <c r="AH157" s="9" t="s">
        <v>4130</v>
      </c>
      <c r="AI157" s="235" t="s">
        <v>4129</v>
      </c>
      <c r="AJ157" s="235" t="s">
        <v>4054</v>
      </c>
      <c r="AK157" s="235" t="s">
        <v>4055</v>
      </c>
    </row>
    <row r="158" spans="1:37" x14ac:dyDescent="0.3">
      <c r="A158" s="229" t="s">
        <v>3413</v>
      </c>
      <c r="B158" s="229" t="s">
        <v>4194</v>
      </c>
      <c r="C158" s="241" t="s">
        <v>4061</v>
      </c>
      <c r="D158" s="237" t="s">
        <v>4219</v>
      </c>
      <c r="E158" s="236" t="s">
        <v>3913</v>
      </c>
      <c r="F158" s="240" t="s">
        <v>4060</v>
      </c>
      <c r="G158" s="214">
        <v>0</v>
      </c>
      <c r="H158" s="231" t="s">
        <v>4054</v>
      </c>
      <c r="I158" s="231"/>
      <c r="J158" s="231"/>
      <c r="K158" s="231"/>
      <c r="L158" s="231"/>
      <c r="M158" s="231"/>
      <c r="N158" s="231" t="s">
        <v>4074</v>
      </c>
      <c r="O158" s="246" t="s">
        <v>4191</v>
      </c>
      <c r="P158" s="246" t="s">
        <v>4190</v>
      </c>
      <c r="Q158" s="225" t="s">
        <v>4189</v>
      </c>
      <c r="R158" s="212" t="s">
        <v>2</v>
      </c>
      <c r="S158" s="213" t="s">
        <v>4054</v>
      </c>
      <c r="T158" s="233" t="s">
        <v>4053</v>
      </c>
      <c r="U158" s="234" t="s">
        <v>4058</v>
      </c>
      <c r="V158" s="234" t="s">
        <v>4072</v>
      </c>
      <c r="W158" s="234" t="s">
        <v>4072</v>
      </c>
      <c r="X158" s="234" t="s">
        <v>4072</v>
      </c>
      <c r="Y158" s="234"/>
      <c r="Z158" s="234" t="s">
        <v>4072</v>
      </c>
      <c r="AA158" s="224">
        <v>202409</v>
      </c>
      <c r="AB158" s="243"/>
      <c r="AC158" s="233" t="s">
        <v>4057</v>
      </c>
      <c r="AD158" s="244" t="s">
        <v>4056</v>
      </c>
      <c r="AE158" s="245">
        <v>0</v>
      </c>
      <c r="AF158" s="244" t="s">
        <v>4056</v>
      </c>
      <c r="AG158" s="239" t="s">
        <v>4131</v>
      </c>
      <c r="AH158" s="9" t="s">
        <v>4130</v>
      </c>
      <c r="AI158" s="235" t="s">
        <v>4129</v>
      </c>
      <c r="AJ158" s="235" t="s">
        <v>4054</v>
      </c>
      <c r="AK158" s="235" t="s">
        <v>4055</v>
      </c>
    </row>
    <row r="159" spans="1:37" x14ac:dyDescent="0.3">
      <c r="A159" s="229" t="s">
        <v>3413</v>
      </c>
      <c r="B159" s="229" t="s">
        <v>4194</v>
      </c>
      <c r="C159" s="241" t="s">
        <v>4061</v>
      </c>
      <c r="D159" s="237" t="s">
        <v>4218</v>
      </c>
      <c r="E159" s="236" t="s">
        <v>4217</v>
      </c>
      <c r="F159" s="240" t="s">
        <v>4060</v>
      </c>
      <c r="G159" s="214">
        <v>0</v>
      </c>
      <c r="H159" s="231" t="s">
        <v>4054</v>
      </c>
      <c r="I159" s="231"/>
      <c r="J159" s="231"/>
      <c r="K159" s="231"/>
      <c r="L159" s="231"/>
      <c r="M159" s="231"/>
      <c r="N159" s="231" t="s">
        <v>4074</v>
      </c>
      <c r="O159" s="246" t="s">
        <v>4191</v>
      </c>
      <c r="P159" s="246" t="s">
        <v>4190</v>
      </c>
      <c r="Q159" s="225" t="s">
        <v>4189</v>
      </c>
      <c r="R159" s="212" t="s">
        <v>2</v>
      </c>
      <c r="S159" s="213" t="s">
        <v>4054</v>
      </c>
      <c r="T159" s="233" t="s">
        <v>4053</v>
      </c>
      <c r="U159" s="234" t="s">
        <v>4058</v>
      </c>
      <c r="V159" s="234" t="s">
        <v>4072</v>
      </c>
      <c r="W159" s="234" t="s">
        <v>4072</v>
      </c>
      <c r="X159" s="234" t="s">
        <v>4072</v>
      </c>
      <c r="Y159" s="234"/>
      <c r="Z159" s="234" t="s">
        <v>4072</v>
      </c>
      <c r="AA159" s="224">
        <v>202409</v>
      </c>
      <c r="AB159" s="243"/>
      <c r="AC159" s="233" t="s">
        <v>4057</v>
      </c>
      <c r="AD159" s="244" t="s">
        <v>4056</v>
      </c>
      <c r="AE159" s="245">
        <v>0</v>
      </c>
      <c r="AF159" s="244" t="s">
        <v>4056</v>
      </c>
      <c r="AG159" s="239" t="s">
        <v>4131</v>
      </c>
      <c r="AH159" s="9" t="s">
        <v>4130</v>
      </c>
      <c r="AI159" s="235" t="s">
        <v>4129</v>
      </c>
      <c r="AJ159" s="235" t="s">
        <v>4054</v>
      </c>
      <c r="AK159" s="235" t="s">
        <v>4055</v>
      </c>
    </row>
    <row r="160" spans="1:37" x14ac:dyDescent="0.3">
      <c r="A160" s="229" t="s">
        <v>3413</v>
      </c>
      <c r="B160" s="229" t="s">
        <v>4194</v>
      </c>
      <c r="C160" s="241" t="s">
        <v>4061</v>
      </c>
      <c r="D160" s="237" t="s">
        <v>4091</v>
      </c>
      <c r="E160" s="236" t="s">
        <v>4090</v>
      </c>
      <c r="F160" s="240" t="s">
        <v>4060</v>
      </c>
      <c r="G160" s="214">
        <v>0</v>
      </c>
      <c r="H160" s="231" t="s">
        <v>4054</v>
      </c>
      <c r="I160" s="231"/>
      <c r="J160" s="231"/>
      <c r="K160" s="231"/>
      <c r="L160" s="231"/>
      <c r="M160" s="231"/>
      <c r="N160" s="231" t="s">
        <v>4074</v>
      </c>
      <c r="O160" s="246" t="s">
        <v>4191</v>
      </c>
      <c r="P160" s="246" t="s">
        <v>4190</v>
      </c>
      <c r="Q160" s="225" t="s">
        <v>4189</v>
      </c>
      <c r="R160" s="212" t="s">
        <v>4089</v>
      </c>
      <c r="S160" s="213" t="s">
        <v>4054</v>
      </c>
      <c r="T160" s="233" t="s">
        <v>4053</v>
      </c>
      <c r="U160" s="234" t="s">
        <v>4058</v>
      </c>
      <c r="V160" s="234" t="s">
        <v>4072</v>
      </c>
      <c r="W160" s="234" t="s">
        <v>4072</v>
      </c>
      <c r="X160" s="234" t="s">
        <v>4072</v>
      </c>
      <c r="Y160" s="234"/>
      <c r="Z160" s="234" t="s">
        <v>4072</v>
      </c>
      <c r="AA160" s="224">
        <v>202409</v>
      </c>
      <c r="AB160" s="243"/>
      <c r="AC160" s="233" t="s">
        <v>4057</v>
      </c>
      <c r="AD160" s="244" t="s">
        <v>4056</v>
      </c>
      <c r="AE160" s="245">
        <v>0</v>
      </c>
      <c r="AF160" s="244" t="s">
        <v>4056</v>
      </c>
      <c r="AG160" s="239" t="s">
        <v>4131</v>
      </c>
      <c r="AH160" s="9" t="s">
        <v>4130</v>
      </c>
      <c r="AI160" s="235" t="s">
        <v>4129</v>
      </c>
      <c r="AJ160" s="235" t="s">
        <v>4054</v>
      </c>
      <c r="AK160" s="235" t="s">
        <v>4055</v>
      </c>
    </row>
    <row r="161" spans="1:37" x14ac:dyDescent="0.3">
      <c r="A161" s="229" t="s">
        <v>3413</v>
      </c>
      <c r="B161" s="229" t="s">
        <v>4194</v>
      </c>
      <c r="C161" s="241" t="s">
        <v>4061</v>
      </c>
      <c r="D161" s="237" t="s">
        <v>4216</v>
      </c>
      <c r="E161" s="236" t="s">
        <v>4215</v>
      </c>
      <c r="F161" s="240" t="s">
        <v>4060</v>
      </c>
      <c r="G161" s="214">
        <v>0</v>
      </c>
      <c r="H161" s="231" t="s">
        <v>4054</v>
      </c>
      <c r="I161" s="231"/>
      <c r="J161" s="231"/>
      <c r="K161" s="231"/>
      <c r="L161" s="231"/>
      <c r="M161" s="231"/>
      <c r="N161" s="231" t="s">
        <v>4074</v>
      </c>
      <c r="O161" s="246" t="s">
        <v>4191</v>
      </c>
      <c r="P161" s="246" t="s">
        <v>4190</v>
      </c>
      <c r="Q161" s="225" t="s">
        <v>4189</v>
      </c>
      <c r="R161" s="212" t="s">
        <v>2</v>
      </c>
      <c r="S161" s="213" t="s">
        <v>4054</v>
      </c>
      <c r="T161" s="233" t="s">
        <v>4053</v>
      </c>
      <c r="U161" s="234" t="s">
        <v>4058</v>
      </c>
      <c r="V161" s="234" t="s">
        <v>4072</v>
      </c>
      <c r="W161" s="234" t="s">
        <v>4072</v>
      </c>
      <c r="X161" s="234" t="s">
        <v>4072</v>
      </c>
      <c r="Y161" s="234"/>
      <c r="Z161" s="234" t="s">
        <v>4072</v>
      </c>
      <c r="AA161" s="224">
        <v>202409</v>
      </c>
      <c r="AB161" s="243"/>
      <c r="AC161" s="233" t="s">
        <v>4057</v>
      </c>
      <c r="AD161" s="244" t="s">
        <v>4056</v>
      </c>
      <c r="AE161" s="245">
        <v>0</v>
      </c>
      <c r="AF161" s="244" t="s">
        <v>4056</v>
      </c>
      <c r="AG161" s="239" t="s">
        <v>4131</v>
      </c>
      <c r="AH161" s="9" t="s">
        <v>4130</v>
      </c>
      <c r="AI161" s="235" t="s">
        <v>4129</v>
      </c>
      <c r="AJ161" s="235" t="s">
        <v>4054</v>
      </c>
      <c r="AK161" s="235" t="s">
        <v>4055</v>
      </c>
    </row>
    <row r="162" spans="1:37" x14ac:dyDescent="0.3">
      <c r="A162" s="229" t="s">
        <v>3413</v>
      </c>
      <c r="B162" s="229" t="s">
        <v>4194</v>
      </c>
      <c r="C162" s="241" t="s">
        <v>4061</v>
      </c>
      <c r="D162" s="237" t="s">
        <v>4182</v>
      </c>
      <c r="E162" s="236" t="s">
        <v>3890</v>
      </c>
      <c r="F162" s="240" t="s">
        <v>4060</v>
      </c>
      <c r="G162" s="214">
        <v>0</v>
      </c>
      <c r="H162" s="231" t="s">
        <v>4054</v>
      </c>
      <c r="I162" s="231"/>
      <c r="J162" s="231"/>
      <c r="K162" s="231"/>
      <c r="L162" s="231"/>
      <c r="M162" s="231"/>
      <c r="N162" s="231" t="s">
        <v>4074</v>
      </c>
      <c r="O162" s="246" t="s">
        <v>4191</v>
      </c>
      <c r="P162" s="246" t="s">
        <v>4190</v>
      </c>
      <c r="Q162" s="225" t="s">
        <v>4189</v>
      </c>
      <c r="R162" s="212" t="s">
        <v>2</v>
      </c>
      <c r="S162" s="213" t="s">
        <v>4054</v>
      </c>
      <c r="T162" s="233" t="s">
        <v>4053</v>
      </c>
      <c r="U162" s="234" t="s">
        <v>4058</v>
      </c>
      <c r="V162" s="234" t="s">
        <v>4072</v>
      </c>
      <c r="W162" s="234" t="s">
        <v>4072</v>
      </c>
      <c r="X162" s="234" t="s">
        <v>4072</v>
      </c>
      <c r="Y162" s="234"/>
      <c r="Z162" s="234" t="s">
        <v>4072</v>
      </c>
      <c r="AA162" s="224">
        <v>202409</v>
      </c>
      <c r="AB162" s="243"/>
      <c r="AC162" s="233" t="s">
        <v>4057</v>
      </c>
      <c r="AD162" s="244" t="s">
        <v>4056</v>
      </c>
      <c r="AE162" s="245">
        <v>0</v>
      </c>
      <c r="AF162" s="244" t="s">
        <v>4056</v>
      </c>
      <c r="AG162" s="239" t="s">
        <v>4131</v>
      </c>
      <c r="AH162" s="9" t="s">
        <v>4130</v>
      </c>
      <c r="AI162" s="235" t="s">
        <v>4129</v>
      </c>
      <c r="AJ162" s="235" t="s">
        <v>4054</v>
      </c>
      <c r="AK162" s="235" t="s">
        <v>4055</v>
      </c>
    </row>
    <row r="163" spans="1:37" x14ac:dyDescent="0.3">
      <c r="A163" s="229" t="s">
        <v>3413</v>
      </c>
      <c r="B163" s="229" t="s">
        <v>4194</v>
      </c>
      <c r="C163" s="241" t="s">
        <v>4061</v>
      </c>
      <c r="D163" s="237" t="s">
        <v>4214</v>
      </c>
      <c r="E163" s="236" t="s">
        <v>4213</v>
      </c>
      <c r="F163" s="240" t="s">
        <v>4060</v>
      </c>
      <c r="G163" s="214">
        <v>0</v>
      </c>
      <c r="H163" s="231" t="s">
        <v>4054</v>
      </c>
      <c r="I163" s="231"/>
      <c r="J163" s="231"/>
      <c r="K163" s="231"/>
      <c r="L163" s="231"/>
      <c r="M163" s="231"/>
      <c r="N163" s="231" t="s">
        <v>4074</v>
      </c>
      <c r="O163" s="246" t="s">
        <v>4191</v>
      </c>
      <c r="P163" s="246" t="s">
        <v>4190</v>
      </c>
      <c r="Q163" s="225" t="s">
        <v>4189</v>
      </c>
      <c r="R163" s="212" t="s">
        <v>2</v>
      </c>
      <c r="S163" s="213" t="s">
        <v>4054</v>
      </c>
      <c r="T163" s="233" t="s">
        <v>4053</v>
      </c>
      <c r="U163" s="234" t="s">
        <v>4058</v>
      </c>
      <c r="V163" s="234" t="s">
        <v>4072</v>
      </c>
      <c r="W163" s="234" t="s">
        <v>4072</v>
      </c>
      <c r="X163" s="234" t="s">
        <v>4072</v>
      </c>
      <c r="Y163" s="234"/>
      <c r="Z163" s="234" t="s">
        <v>4072</v>
      </c>
      <c r="AA163" s="224">
        <v>202409</v>
      </c>
      <c r="AB163" s="243"/>
      <c r="AC163" s="233" t="s">
        <v>4057</v>
      </c>
      <c r="AD163" s="244" t="s">
        <v>4056</v>
      </c>
      <c r="AE163" s="245">
        <v>0</v>
      </c>
      <c r="AF163" s="244" t="s">
        <v>4056</v>
      </c>
      <c r="AG163" s="239" t="s">
        <v>4131</v>
      </c>
      <c r="AH163" s="9" t="s">
        <v>4130</v>
      </c>
      <c r="AI163" s="235" t="s">
        <v>4129</v>
      </c>
      <c r="AJ163" s="235" t="s">
        <v>4054</v>
      </c>
      <c r="AK163" s="235" t="s">
        <v>4055</v>
      </c>
    </row>
    <row r="164" spans="1:37" x14ac:dyDescent="0.3">
      <c r="A164" s="229" t="s">
        <v>3413</v>
      </c>
      <c r="B164" s="229" t="s">
        <v>4194</v>
      </c>
      <c r="C164" s="241" t="s">
        <v>4061</v>
      </c>
      <c r="D164" s="237" t="s">
        <v>4094</v>
      </c>
      <c r="E164" s="236" t="s">
        <v>4093</v>
      </c>
      <c r="F164" s="240" t="s">
        <v>4060</v>
      </c>
      <c r="G164" s="214">
        <v>0</v>
      </c>
      <c r="H164" s="231" t="s">
        <v>4054</v>
      </c>
      <c r="I164" s="231"/>
      <c r="J164" s="231"/>
      <c r="K164" s="231"/>
      <c r="L164" s="231"/>
      <c r="M164" s="231"/>
      <c r="N164" s="231" t="s">
        <v>4074</v>
      </c>
      <c r="O164" s="246" t="s">
        <v>4191</v>
      </c>
      <c r="P164" s="246" t="s">
        <v>4190</v>
      </c>
      <c r="Q164" s="225" t="s">
        <v>4189</v>
      </c>
      <c r="R164" s="212" t="s">
        <v>4092</v>
      </c>
      <c r="S164" s="213" t="s">
        <v>4054</v>
      </c>
      <c r="T164" s="233" t="s">
        <v>4053</v>
      </c>
      <c r="U164" s="234" t="s">
        <v>4058</v>
      </c>
      <c r="V164" s="234" t="s">
        <v>4072</v>
      </c>
      <c r="W164" s="234" t="s">
        <v>4072</v>
      </c>
      <c r="X164" s="234" t="s">
        <v>4072</v>
      </c>
      <c r="Y164" s="234"/>
      <c r="Z164" s="234" t="s">
        <v>4072</v>
      </c>
      <c r="AA164" s="224">
        <v>202409</v>
      </c>
      <c r="AB164" s="243"/>
      <c r="AC164" s="233" t="s">
        <v>4057</v>
      </c>
      <c r="AD164" s="244" t="s">
        <v>4056</v>
      </c>
      <c r="AE164" s="245">
        <v>0</v>
      </c>
      <c r="AF164" s="244" t="s">
        <v>4056</v>
      </c>
      <c r="AG164" s="239" t="s">
        <v>4131</v>
      </c>
      <c r="AH164" s="9" t="s">
        <v>4130</v>
      </c>
      <c r="AI164" s="235" t="s">
        <v>4129</v>
      </c>
      <c r="AJ164" s="235" t="s">
        <v>4054</v>
      </c>
      <c r="AK164" s="235" t="s">
        <v>4055</v>
      </c>
    </row>
    <row r="165" spans="1:37" x14ac:dyDescent="0.3">
      <c r="A165" s="229" t="s">
        <v>3413</v>
      </c>
      <c r="B165" s="229" t="s">
        <v>4194</v>
      </c>
      <c r="C165" s="241" t="s">
        <v>4061</v>
      </c>
      <c r="D165" s="237" t="s">
        <v>4212</v>
      </c>
      <c r="E165" s="236" t="s">
        <v>4040</v>
      </c>
      <c r="F165" s="240" t="s">
        <v>4060</v>
      </c>
      <c r="G165" s="214">
        <v>0</v>
      </c>
      <c r="H165" s="231" t="s">
        <v>4054</v>
      </c>
      <c r="I165" s="231"/>
      <c r="J165" s="231"/>
      <c r="K165" s="231"/>
      <c r="L165" s="231"/>
      <c r="M165" s="231"/>
      <c r="N165" s="231" t="s">
        <v>4074</v>
      </c>
      <c r="O165" s="246" t="s">
        <v>4191</v>
      </c>
      <c r="P165" s="246" t="s">
        <v>4190</v>
      </c>
      <c r="Q165" s="225" t="s">
        <v>4189</v>
      </c>
      <c r="R165" s="212" t="s">
        <v>4041</v>
      </c>
      <c r="S165" s="213" t="s">
        <v>4054</v>
      </c>
      <c r="T165" s="233" t="s">
        <v>4053</v>
      </c>
      <c r="U165" s="234" t="s">
        <v>4058</v>
      </c>
      <c r="V165" s="234" t="s">
        <v>4072</v>
      </c>
      <c r="W165" s="234" t="s">
        <v>4072</v>
      </c>
      <c r="X165" s="234" t="s">
        <v>4072</v>
      </c>
      <c r="Y165" s="234"/>
      <c r="Z165" s="234" t="s">
        <v>4072</v>
      </c>
      <c r="AA165" s="224">
        <v>202409</v>
      </c>
      <c r="AB165" s="243"/>
      <c r="AC165" s="233" t="s">
        <v>4057</v>
      </c>
      <c r="AD165" s="244" t="s">
        <v>4056</v>
      </c>
      <c r="AE165" s="245">
        <v>0</v>
      </c>
      <c r="AF165" s="244" t="s">
        <v>4056</v>
      </c>
      <c r="AG165" s="239" t="s">
        <v>4131</v>
      </c>
      <c r="AH165" s="9" t="s">
        <v>4130</v>
      </c>
      <c r="AI165" s="235" t="s">
        <v>4129</v>
      </c>
      <c r="AJ165" s="235" t="s">
        <v>4054</v>
      </c>
      <c r="AK165" s="235" t="s">
        <v>4055</v>
      </c>
    </row>
    <row r="166" spans="1:37" x14ac:dyDescent="0.3">
      <c r="A166" s="229" t="s">
        <v>3413</v>
      </c>
      <c r="B166" s="229" t="s">
        <v>4194</v>
      </c>
      <c r="C166" s="241" t="s">
        <v>4061</v>
      </c>
      <c r="D166" s="237" t="s">
        <v>4211</v>
      </c>
      <c r="E166" s="236" t="s">
        <v>4210</v>
      </c>
      <c r="F166" s="240" t="s">
        <v>4060</v>
      </c>
      <c r="G166" s="214">
        <v>0</v>
      </c>
      <c r="H166" s="231" t="s">
        <v>4054</v>
      </c>
      <c r="I166" s="231"/>
      <c r="J166" s="231"/>
      <c r="K166" s="231"/>
      <c r="L166" s="231"/>
      <c r="M166" s="231"/>
      <c r="N166" s="231" t="s">
        <v>4074</v>
      </c>
      <c r="O166" s="246" t="s">
        <v>4191</v>
      </c>
      <c r="P166" s="246" t="s">
        <v>4190</v>
      </c>
      <c r="Q166" s="225" t="s">
        <v>4189</v>
      </c>
      <c r="R166" s="212" t="s">
        <v>2</v>
      </c>
      <c r="S166" s="213" t="s">
        <v>4054</v>
      </c>
      <c r="T166" s="233" t="s">
        <v>4053</v>
      </c>
      <c r="U166" s="234" t="s">
        <v>4058</v>
      </c>
      <c r="V166" s="234" t="s">
        <v>4072</v>
      </c>
      <c r="W166" s="234" t="s">
        <v>4072</v>
      </c>
      <c r="X166" s="234" t="s">
        <v>4072</v>
      </c>
      <c r="Y166" s="234"/>
      <c r="Z166" s="234" t="s">
        <v>4072</v>
      </c>
      <c r="AA166" s="224">
        <v>202409</v>
      </c>
      <c r="AB166" s="243"/>
      <c r="AC166" s="233" t="s">
        <v>4057</v>
      </c>
      <c r="AD166" s="244" t="s">
        <v>4056</v>
      </c>
      <c r="AE166" s="245">
        <v>0</v>
      </c>
      <c r="AF166" s="244" t="s">
        <v>4056</v>
      </c>
      <c r="AG166" s="239" t="s">
        <v>4131</v>
      </c>
      <c r="AH166" s="9" t="s">
        <v>4130</v>
      </c>
      <c r="AI166" s="235" t="s">
        <v>4129</v>
      </c>
      <c r="AJ166" s="235" t="s">
        <v>4054</v>
      </c>
      <c r="AK166" s="235" t="s">
        <v>4055</v>
      </c>
    </row>
    <row r="167" spans="1:37" x14ac:dyDescent="0.3">
      <c r="A167" s="229" t="s">
        <v>3413</v>
      </c>
      <c r="B167" s="229" t="s">
        <v>4194</v>
      </c>
      <c r="C167" s="241" t="s">
        <v>4061</v>
      </c>
      <c r="D167" s="237" t="s">
        <v>4209</v>
      </c>
      <c r="E167" s="236" t="s">
        <v>4208</v>
      </c>
      <c r="F167" s="240" t="s">
        <v>4060</v>
      </c>
      <c r="G167" s="214">
        <v>0</v>
      </c>
      <c r="H167" s="231" t="s">
        <v>4054</v>
      </c>
      <c r="I167" s="231"/>
      <c r="J167" s="231"/>
      <c r="K167" s="231"/>
      <c r="L167" s="231"/>
      <c r="M167" s="231"/>
      <c r="N167" s="231" t="s">
        <v>4074</v>
      </c>
      <c r="O167" s="246" t="s">
        <v>4191</v>
      </c>
      <c r="P167" s="246" t="s">
        <v>4190</v>
      </c>
      <c r="Q167" s="225" t="s">
        <v>4189</v>
      </c>
      <c r="R167" s="212" t="s">
        <v>2</v>
      </c>
      <c r="S167" s="213" t="s">
        <v>4054</v>
      </c>
      <c r="T167" s="233" t="s">
        <v>4053</v>
      </c>
      <c r="U167" s="234" t="s">
        <v>4058</v>
      </c>
      <c r="V167" s="234" t="s">
        <v>4072</v>
      </c>
      <c r="W167" s="234" t="s">
        <v>4072</v>
      </c>
      <c r="X167" s="234" t="s">
        <v>4072</v>
      </c>
      <c r="Y167" s="234"/>
      <c r="Z167" s="234" t="s">
        <v>4072</v>
      </c>
      <c r="AA167" s="224">
        <v>202409</v>
      </c>
      <c r="AB167" s="243"/>
      <c r="AC167" s="233" t="s">
        <v>4057</v>
      </c>
      <c r="AD167" s="244" t="s">
        <v>4056</v>
      </c>
      <c r="AE167" s="245">
        <v>0</v>
      </c>
      <c r="AF167" s="244" t="s">
        <v>4056</v>
      </c>
      <c r="AG167" s="239" t="s">
        <v>4131</v>
      </c>
      <c r="AH167" s="9" t="s">
        <v>4130</v>
      </c>
      <c r="AI167" s="235" t="s">
        <v>4129</v>
      </c>
      <c r="AJ167" s="235" t="s">
        <v>4054</v>
      </c>
      <c r="AK167" s="235" t="s">
        <v>4055</v>
      </c>
    </row>
    <row r="168" spans="1:37" x14ac:dyDescent="0.3">
      <c r="A168" s="229" t="s">
        <v>3413</v>
      </c>
      <c r="B168" s="229" t="s">
        <v>4194</v>
      </c>
      <c r="C168" s="241" t="s">
        <v>4061</v>
      </c>
      <c r="D168" s="237" t="s">
        <v>4207</v>
      </c>
      <c r="E168" s="236" t="s">
        <v>3993</v>
      </c>
      <c r="F168" s="240" t="s">
        <v>4060</v>
      </c>
      <c r="G168" s="214">
        <v>99</v>
      </c>
      <c r="H168" s="231" t="s">
        <v>4054</v>
      </c>
      <c r="I168" s="231"/>
      <c r="J168" s="231"/>
      <c r="K168" s="231"/>
      <c r="L168" s="231"/>
      <c r="M168" s="231"/>
      <c r="N168" s="231" t="s">
        <v>4074</v>
      </c>
      <c r="O168" s="246" t="s">
        <v>4191</v>
      </c>
      <c r="P168" s="246" t="s">
        <v>4190</v>
      </c>
      <c r="Q168" s="225" t="s">
        <v>4189</v>
      </c>
      <c r="R168" s="212" t="s">
        <v>2</v>
      </c>
      <c r="S168" s="213" t="s">
        <v>4054</v>
      </c>
      <c r="T168" s="233" t="s">
        <v>4053</v>
      </c>
      <c r="U168" s="234" t="s">
        <v>4058</v>
      </c>
      <c r="V168" s="234" t="s">
        <v>4072</v>
      </c>
      <c r="W168" s="234" t="s">
        <v>4072</v>
      </c>
      <c r="X168" s="234" t="s">
        <v>4072</v>
      </c>
      <c r="Y168" s="234"/>
      <c r="Z168" s="234" t="s">
        <v>4072</v>
      </c>
      <c r="AA168" s="224">
        <v>202409</v>
      </c>
      <c r="AB168" s="243"/>
      <c r="AC168" s="233" t="s">
        <v>4057</v>
      </c>
      <c r="AD168" s="244" t="s">
        <v>4056</v>
      </c>
      <c r="AE168" s="245">
        <v>0</v>
      </c>
      <c r="AF168" s="244" t="s">
        <v>4056</v>
      </c>
      <c r="AG168" s="239" t="s">
        <v>4131</v>
      </c>
      <c r="AH168" s="9" t="s">
        <v>4130</v>
      </c>
      <c r="AI168" s="235" t="s">
        <v>4129</v>
      </c>
      <c r="AJ168" s="235" t="s">
        <v>4054</v>
      </c>
      <c r="AK168" s="235" t="s">
        <v>4055</v>
      </c>
    </row>
    <row r="169" spans="1:37" x14ac:dyDescent="0.3">
      <c r="A169" s="229" t="s">
        <v>3413</v>
      </c>
      <c r="B169" s="229" t="s">
        <v>4194</v>
      </c>
      <c r="C169" s="241" t="s">
        <v>4061</v>
      </c>
      <c r="D169" s="237" t="s">
        <v>4206</v>
      </c>
      <c r="E169" s="236" t="s">
        <v>4205</v>
      </c>
      <c r="F169" s="240" t="s">
        <v>4060</v>
      </c>
      <c r="G169" s="214">
        <v>0</v>
      </c>
      <c r="H169" s="231" t="s">
        <v>4054</v>
      </c>
      <c r="I169" s="231"/>
      <c r="J169" s="231"/>
      <c r="K169" s="231"/>
      <c r="L169" s="231"/>
      <c r="M169" s="231"/>
      <c r="N169" s="231" t="s">
        <v>4074</v>
      </c>
      <c r="O169" s="246" t="s">
        <v>4191</v>
      </c>
      <c r="P169" s="246" t="s">
        <v>4190</v>
      </c>
      <c r="Q169" s="225" t="s">
        <v>4189</v>
      </c>
      <c r="R169" s="212" t="s">
        <v>2</v>
      </c>
      <c r="S169" s="213" t="s">
        <v>4054</v>
      </c>
      <c r="T169" s="233" t="s">
        <v>4053</v>
      </c>
      <c r="U169" s="234" t="s">
        <v>4058</v>
      </c>
      <c r="V169" s="234" t="s">
        <v>4072</v>
      </c>
      <c r="W169" s="234" t="s">
        <v>4072</v>
      </c>
      <c r="X169" s="234" t="s">
        <v>4072</v>
      </c>
      <c r="Y169" s="234"/>
      <c r="Z169" s="234" t="s">
        <v>4072</v>
      </c>
      <c r="AA169" s="224">
        <v>202409</v>
      </c>
      <c r="AB169" s="243"/>
      <c r="AC169" s="233" t="s">
        <v>4057</v>
      </c>
      <c r="AD169" s="244" t="s">
        <v>4056</v>
      </c>
      <c r="AE169" s="245">
        <v>0</v>
      </c>
      <c r="AF169" s="244" t="s">
        <v>4056</v>
      </c>
      <c r="AG169" s="239" t="s">
        <v>4131</v>
      </c>
      <c r="AH169" s="9" t="s">
        <v>4130</v>
      </c>
      <c r="AI169" s="235" t="s">
        <v>4129</v>
      </c>
      <c r="AJ169" s="235" t="s">
        <v>4054</v>
      </c>
      <c r="AK169" s="235" t="s">
        <v>4055</v>
      </c>
    </row>
    <row r="170" spans="1:37" x14ac:dyDescent="0.3">
      <c r="A170" s="229" t="s">
        <v>3413</v>
      </c>
      <c r="B170" s="229" t="s">
        <v>4194</v>
      </c>
      <c r="C170" s="241" t="s">
        <v>4061</v>
      </c>
      <c r="D170" s="237" t="s">
        <v>4204</v>
      </c>
      <c r="E170" s="236" t="s">
        <v>4203</v>
      </c>
      <c r="F170" s="240" t="s">
        <v>4060</v>
      </c>
      <c r="G170" s="214">
        <v>0</v>
      </c>
      <c r="H170" s="231" t="s">
        <v>4054</v>
      </c>
      <c r="I170" s="231"/>
      <c r="J170" s="231"/>
      <c r="K170" s="231"/>
      <c r="L170" s="231"/>
      <c r="M170" s="231"/>
      <c r="N170" s="231" t="s">
        <v>4074</v>
      </c>
      <c r="O170" s="246" t="s">
        <v>4191</v>
      </c>
      <c r="P170" s="246" t="s">
        <v>4190</v>
      </c>
      <c r="Q170" s="225" t="s">
        <v>4189</v>
      </c>
      <c r="R170" s="212" t="s">
        <v>2</v>
      </c>
      <c r="S170" s="213" t="s">
        <v>4054</v>
      </c>
      <c r="T170" s="233" t="s">
        <v>4053</v>
      </c>
      <c r="U170" s="234" t="s">
        <v>4058</v>
      </c>
      <c r="V170" s="234" t="s">
        <v>4072</v>
      </c>
      <c r="W170" s="234" t="s">
        <v>4072</v>
      </c>
      <c r="X170" s="234" t="s">
        <v>4072</v>
      </c>
      <c r="Y170" s="234"/>
      <c r="Z170" s="234" t="s">
        <v>4072</v>
      </c>
      <c r="AA170" s="224">
        <v>202409</v>
      </c>
      <c r="AB170" s="243"/>
      <c r="AC170" s="233" t="s">
        <v>4057</v>
      </c>
      <c r="AD170" s="244" t="s">
        <v>4056</v>
      </c>
      <c r="AE170" s="245">
        <v>0</v>
      </c>
      <c r="AF170" s="244" t="s">
        <v>4056</v>
      </c>
      <c r="AG170" s="239" t="s">
        <v>4131</v>
      </c>
      <c r="AH170" s="9" t="s">
        <v>4130</v>
      </c>
      <c r="AI170" s="235" t="s">
        <v>4129</v>
      </c>
      <c r="AJ170" s="235" t="s">
        <v>4054</v>
      </c>
      <c r="AK170" s="235" t="s">
        <v>4055</v>
      </c>
    </row>
    <row r="171" spans="1:37" x14ac:dyDescent="0.3">
      <c r="A171" s="229" t="s">
        <v>3413</v>
      </c>
      <c r="B171" s="229" t="s">
        <v>4194</v>
      </c>
      <c r="C171" s="241" t="s">
        <v>4061</v>
      </c>
      <c r="D171" s="237" t="s">
        <v>4202</v>
      </c>
      <c r="E171" s="236" t="s">
        <v>4201</v>
      </c>
      <c r="F171" s="240" t="s">
        <v>4060</v>
      </c>
      <c r="G171" s="214">
        <v>0</v>
      </c>
      <c r="H171" s="231" t="s">
        <v>4054</v>
      </c>
      <c r="I171" s="231"/>
      <c r="J171" s="231"/>
      <c r="K171" s="231"/>
      <c r="L171" s="231"/>
      <c r="M171" s="231"/>
      <c r="N171" s="231" t="s">
        <v>4074</v>
      </c>
      <c r="O171" s="246" t="s">
        <v>4191</v>
      </c>
      <c r="P171" s="246" t="s">
        <v>4190</v>
      </c>
      <c r="Q171" s="225" t="s">
        <v>4189</v>
      </c>
      <c r="R171" s="212" t="s">
        <v>2</v>
      </c>
      <c r="S171" s="213" t="s">
        <v>4054</v>
      </c>
      <c r="T171" s="233" t="s">
        <v>4053</v>
      </c>
      <c r="U171" s="234" t="s">
        <v>4058</v>
      </c>
      <c r="V171" s="234" t="s">
        <v>4072</v>
      </c>
      <c r="W171" s="234" t="s">
        <v>4072</v>
      </c>
      <c r="X171" s="234" t="s">
        <v>4072</v>
      </c>
      <c r="Y171" s="234"/>
      <c r="Z171" s="234" t="s">
        <v>4072</v>
      </c>
      <c r="AA171" s="224">
        <v>202409</v>
      </c>
      <c r="AB171" s="243"/>
      <c r="AC171" s="233" t="s">
        <v>4057</v>
      </c>
      <c r="AD171" s="244" t="s">
        <v>4056</v>
      </c>
      <c r="AE171" s="245">
        <v>0</v>
      </c>
      <c r="AF171" s="244" t="s">
        <v>4056</v>
      </c>
      <c r="AG171" s="239" t="s">
        <v>4131</v>
      </c>
      <c r="AH171" s="9" t="s">
        <v>4130</v>
      </c>
      <c r="AI171" s="235" t="s">
        <v>4129</v>
      </c>
      <c r="AJ171" s="235" t="s">
        <v>4054</v>
      </c>
      <c r="AK171" s="235" t="s">
        <v>4055</v>
      </c>
    </row>
    <row r="172" spans="1:37" x14ac:dyDescent="0.3">
      <c r="A172" s="229" t="s">
        <v>3413</v>
      </c>
      <c r="B172" s="229" t="s">
        <v>4194</v>
      </c>
      <c r="C172" s="241" t="s">
        <v>4061</v>
      </c>
      <c r="D172" s="237" t="s">
        <v>4200</v>
      </c>
      <c r="E172" s="236" t="s">
        <v>3986</v>
      </c>
      <c r="F172" s="240" t="s">
        <v>4060</v>
      </c>
      <c r="G172" s="214">
        <v>0</v>
      </c>
      <c r="H172" s="231" t="s">
        <v>4054</v>
      </c>
      <c r="I172" s="231"/>
      <c r="J172" s="231"/>
      <c r="K172" s="231"/>
      <c r="L172" s="231"/>
      <c r="M172" s="231"/>
      <c r="N172" s="231" t="s">
        <v>4074</v>
      </c>
      <c r="O172" s="246" t="s">
        <v>4191</v>
      </c>
      <c r="P172" s="246" t="s">
        <v>4190</v>
      </c>
      <c r="Q172" s="225" t="s">
        <v>4189</v>
      </c>
      <c r="R172" s="212" t="s">
        <v>2</v>
      </c>
      <c r="S172" s="213" t="s">
        <v>4054</v>
      </c>
      <c r="T172" s="233" t="s">
        <v>4053</v>
      </c>
      <c r="U172" s="234" t="s">
        <v>4058</v>
      </c>
      <c r="V172" s="234" t="s">
        <v>4072</v>
      </c>
      <c r="W172" s="234" t="s">
        <v>4072</v>
      </c>
      <c r="X172" s="234" t="s">
        <v>4072</v>
      </c>
      <c r="Y172" s="234"/>
      <c r="Z172" s="234" t="s">
        <v>4072</v>
      </c>
      <c r="AA172" s="224">
        <v>202409</v>
      </c>
      <c r="AB172" s="243"/>
      <c r="AC172" s="233" t="s">
        <v>4057</v>
      </c>
      <c r="AD172" s="244" t="s">
        <v>4056</v>
      </c>
      <c r="AE172" s="245">
        <v>0</v>
      </c>
      <c r="AF172" s="244" t="s">
        <v>4056</v>
      </c>
      <c r="AG172" s="239" t="s">
        <v>4131</v>
      </c>
      <c r="AH172" s="9" t="s">
        <v>4130</v>
      </c>
      <c r="AI172" s="235" t="s">
        <v>4129</v>
      </c>
      <c r="AJ172" s="235" t="s">
        <v>4054</v>
      </c>
      <c r="AK172" s="235" t="s">
        <v>4055</v>
      </c>
    </row>
    <row r="173" spans="1:37" x14ac:dyDescent="0.3">
      <c r="A173" s="229" t="s">
        <v>3413</v>
      </c>
      <c r="B173" s="229" t="s">
        <v>4194</v>
      </c>
      <c r="C173" s="241" t="s">
        <v>4061</v>
      </c>
      <c r="D173" s="237" t="s">
        <v>4077</v>
      </c>
      <c r="E173" s="236" t="s">
        <v>4076</v>
      </c>
      <c r="F173" s="240" t="s">
        <v>4060</v>
      </c>
      <c r="G173" s="214">
        <v>0</v>
      </c>
      <c r="H173" s="231" t="s">
        <v>4054</v>
      </c>
      <c r="I173" s="231"/>
      <c r="J173" s="231"/>
      <c r="K173" s="231"/>
      <c r="L173" s="231"/>
      <c r="M173" s="231"/>
      <c r="N173" s="231" t="s">
        <v>4074</v>
      </c>
      <c r="O173" s="246" t="s">
        <v>4191</v>
      </c>
      <c r="P173" s="246" t="s">
        <v>4190</v>
      </c>
      <c r="Q173" s="225" t="s">
        <v>4189</v>
      </c>
      <c r="R173" s="212" t="s">
        <v>2</v>
      </c>
      <c r="S173" s="213" t="s">
        <v>4054</v>
      </c>
      <c r="T173" s="233" t="s">
        <v>4053</v>
      </c>
      <c r="U173" s="234" t="s">
        <v>4058</v>
      </c>
      <c r="V173" s="234" t="s">
        <v>4072</v>
      </c>
      <c r="W173" s="234" t="s">
        <v>4072</v>
      </c>
      <c r="X173" s="234" t="s">
        <v>4072</v>
      </c>
      <c r="Y173" s="234"/>
      <c r="Z173" s="234" t="s">
        <v>4072</v>
      </c>
      <c r="AA173" s="224">
        <v>202409</v>
      </c>
      <c r="AB173" s="243"/>
      <c r="AC173" s="233" t="s">
        <v>4057</v>
      </c>
      <c r="AD173" s="244" t="s">
        <v>4056</v>
      </c>
      <c r="AE173" s="245">
        <v>0</v>
      </c>
      <c r="AF173" s="244" t="s">
        <v>4056</v>
      </c>
      <c r="AG173" s="239" t="s">
        <v>4131</v>
      </c>
      <c r="AH173" s="9" t="s">
        <v>4130</v>
      </c>
      <c r="AI173" s="235" t="s">
        <v>4129</v>
      </c>
      <c r="AJ173" s="235" t="s">
        <v>4054</v>
      </c>
      <c r="AK173" s="235" t="s">
        <v>4055</v>
      </c>
    </row>
    <row r="174" spans="1:37" x14ac:dyDescent="0.3">
      <c r="A174" s="229" t="s">
        <v>3413</v>
      </c>
      <c r="B174" s="229" t="s">
        <v>4194</v>
      </c>
      <c r="C174" s="241" t="s">
        <v>4061</v>
      </c>
      <c r="D174" s="237" t="s">
        <v>4199</v>
      </c>
      <c r="E174" s="236" t="s">
        <v>4198</v>
      </c>
      <c r="F174" s="240" t="s">
        <v>4060</v>
      </c>
      <c r="G174" s="214">
        <v>0</v>
      </c>
      <c r="H174" s="231" t="s">
        <v>4054</v>
      </c>
      <c r="I174" s="231"/>
      <c r="J174" s="231"/>
      <c r="K174" s="231"/>
      <c r="L174" s="231"/>
      <c r="M174" s="231"/>
      <c r="N174" s="231" t="s">
        <v>4074</v>
      </c>
      <c r="O174" s="246" t="s">
        <v>4191</v>
      </c>
      <c r="P174" s="246" t="s">
        <v>4190</v>
      </c>
      <c r="Q174" s="225" t="s">
        <v>4189</v>
      </c>
      <c r="R174" s="212" t="s">
        <v>2</v>
      </c>
      <c r="S174" s="213" t="s">
        <v>4054</v>
      </c>
      <c r="T174" s="233" t="s">
        <v>4053</v>
      </c>
      <c r="U174" s="234" t="s">
        <v>4058</v>
      </c>
      <c r="V174" s="234" t="s">
        <v>4072</v>
      </c>
      <c r="W174" s="234" t="s">
        <v>4072</v>
      </c>
      <c r="X174" s="234" t="s">
        <v>4072</v>
      </c>
      <c r="Y174" s="234"/>
      <c r="Z174" s="234" t="s">
        <v>4072</v>
      </c>
      <c r="AA174" s="224">
        <v>202409</v>
      </c>
      <c r="AB174" s="243"/>
      <c r="AC174" s="233" t="s">
        <v>4057</v>
      </c>
      <c r="AD174" s="244" t="s">
        <v>4056</v>
      </c>
      <c r="AE174" s="245">
        <v>0</v>
      </c>
      <c r="AF174" s="244" t="s">
        <v>4056</v>
      </c>
      <c r="AG174" s="239" t="s">
        <v>4131</v>
      </c>
      <c r="AH174" s="9" t="s">
        <v>4130</v>
      </c>
      <c r="AI174" s="235" t="s">
        <v>4129</v>
      </c>
      <c r="AJ174" s="235" t="s">
        <v>4054</v>
      </c>
      <c r="AK174" s="235" t="s">
        <v>4055</v>
      </c>
    </row>
    <row r="175" spans="1:37" x14ac:dyDescent="0.3">
      <c r="A175" s="229" t="s">
        <v>3413</v>
      </c>
      <c r="B175" s="229" t="s">
        <v>4194</v>
      </c>
      <c r="C175" s="241" t="s">
        <v>4061</v>
      </c>
      <c r="D175" s="237" t="s">
        <v>4197</v>
      </c>
      <c r="E175" s="236" t="s">
        <v>3795</v>
      </c>
      <c r="F175" s="240" t="s">
        <v>4060</v>
      </c>
      <c r="G175" s="214">
        <v>0</v>
      </c>
      <c r="H175" s="231" t="s">
        <v>4054</v>
      </c>
      <c r="I175" s="231"/>
      <c r="J175" s="231"/>
      <c r="K175" s="231"/>
      <c r="L175" s="231"/>
      <c r="M175" s="231"/>
      <c r="N175" s="231" t="s">
        <v>4074</v>
      </c>
      <c r="O175" s="246" t="s">
        <v>4191</v>
      </c>
      <c r="P175" s="246" t="s">
        <v>4190</v>
      </c>
      <c r="Q175" s="225" t="s">
        <v>4189</v>
      </c>
      <c r="R175" s="212" t="s">
        <v>2</v>
      </c>
      <c r="S175" s="213" t="s">
        <v>4054</v>
      </c>
      <c r="T175" s="233" t="s">
        <v>4053</v>
      </c>
      <c r="U175" s="234" t="s">
        <v>4058</v>
      </c>
      <c r="V175" s="234" t="s">
        <v>4072</v>
      </c>
      <c r="W175" s="234" t="s">
        <v>4072</v>
      </c>
      <c r="X175" s="234" t="s">
        <v>4072</v>
      </c>
      <c r="Y175" s="234"/>
      <c r="Z175" s="234" t="s">
        <v>4072</v>
      </c>
      <c r="AA175" s="224">
        <v>202409</v>
      </c>
      <c r="AB175" s="243"/>
      <c r="AC175" s="233" t="s">
        <v>4057</v>
      </c>
      <c r="AD175" s="244" t="s">
        <v>4056</v>
      </c>
      <c r="AE175" s="245">
        <v>0</v>
      </c>
      <c r="AF175" s="244" t="s">
        <v>4056</v>
      </c>
      <c r="AG175" s="239" t="s">
        <v>4131</v>
      </c>
      <c r="AH175" s="9" t="s">
        <v>4130</v>
      </c>
      <c r="AI175" s="235" t="s">
        <v>4129</v>
      </c>
      <c r="AJ175" s="235" t="s">
        <v>4054</v>
      </c>
      <c r="AK175" s="235" t="s">
        <v>4055</v>
      </c>
    </row>
    <row r="176" spans="1:37" x14ac:dyDescent="0.3">
      <c r="A176" s="229" t="s">
        <v>3413</v>
      </c>
      <c r="B176" s="229" t="s">
        <v>4194</v>
      </c>
      <c r="C176" s="241" t="s">
        <v>4061</v>
      </c>
      <c r="D176" s="237" t="s">
        <v>4196</v>
      </c>
      <c r="E176" s="236" t="s">
        <v>4195</v>
      </c>
      <c r="F176" s="240" t="s">
        <v>4060</v>
      </c>
      <c r="G176" s="214">
        <v>0</v>
      </c>
      <c r="H176" s="231" t="s">
        <v>4054</v>
      </c>
      <c r="I176" s="231"/>
      <c r="J176" s="231"/>
      <c r="K176" s="231"/>
      <c r="L176" s="231"/>
      <c r="M176" s="231"/>
      <c r="N176" s="231" t="s">
        <v>4074</v>
      </c>
      <c r="O176" s="246" t="s">
        <v>4191</v>
      </c>
      <c r="P176" s="246" t="s">
        <v>4190</v>
      </c>
      <c r="Q176" s="225" t="s">
        <v>4189</v>
      </c>
      <c r="R176" s="212" t="s">
        <v>2</v>
      </c>
      <c r="S176" s="213" t="s">
        <v>4054</v>
      </c>
      <c r="T176" s="233" t="s">
        <v>4053</v>
      </c>
      <c r="U176" s="234" t="s">
        <v>4058</v>
      </c>
      <c r="V176" s="234" t="s">
        <v>4072</v>
      </c>
      <c r="W176" s="234" t="s">
        <v>4072</v>
      </c>
      <c r="X176" s="234" t="s">
        <v>4072</v>
      </c>
      <c r="Y176" s="234"/>
      <c r="Z176" s="234" t="s">
        <v>4072</v>
      </c>
      <c r="AA176" s="224">
        <v>202409</v>
      </c>
      <c r="AB176" s="243"/>
      <c r="AC176" s="233" t="s">
        <v>4057</v>
      </c>
      <c r="AD176" s="244" t="s">
        <v>4056</v>
      </c>
      <c r="AE176" s="245">
        <v>0</v>
      </c>
      <c r="AF176" s="244" t="s">
        <v>4056</v>
      </c>
      <c r="AG176" s="239" t="s">
        <v>4131</v>
      </c>
      <c r="AH176" s="9" t="s">
        <v>4130</v>
      </c>
      <c r="AI176" s="235" t="s">
        <v>4129</v>
      </c>
      <c r="AJ176" s="235" t="s">
        <v>4054</v>
      </c>
      <c r="AK176" s="235" t="s">
        <v>4055</v>
      </c>
    </row>
    <row r="177" spans="1:37" x14ac:dyDescent="0.3">
      <c r="A177" s="229" t="s">
        <v>3413</v>
      </c>
      <c r="B177" s="229" t="s">
        <v>4194</v>
      </c>
      <c r="C177" s="241" t="s">
        <v>4061</v>
      </c>
      <c r="D177" s="237" t="s">
        <v>4193</v>
      </c>
      <c r="E177" s="236" t="s">
        <v>4192</v>
      </c>
      <c r="F177" s="240" t="s">
        <v>4060</v>
      </c>
      <c r="G177" s="242">
        <v>0</v>
      </c>
      <c r="H177" s="231" t="s">
        <v>4054</v>
      </c>
      <c r="I177" s="231"/>
      <c r="J177" s="231"/>
      <c r="K177" s="231"/>
      <c r="L177" s="231"/>
      <c r="M177" s="231"/>
      <c r="N177" s="231" t="s">
        <v>4074</v>
      </c>
      <c r="O177" s="246" t="s">
        <v>4191</v>
      </c>
      <c r="P177" s="246" t="s">
        <v>4190</v>
      </c>
      <c r="Q177" s="225" t="s">
        <v>4189</v>
      </c>
      <c r="R177" s="212" t="s">
        <v>2</v>
      </c>
      <c r="S177" s="213" t="s">
        <v>4054</v>
      </c>
      <c r="T177" s="233" t="s">
        <v>4053</v>
      </c>
      <c r="U177" s="234" t="s">
        <v>4058</v>
      </c>
      <c r="V177" s="234" t="s">
        <v>4072</v>
      </c>
      <c r="W177" s="234" t="s">
        <v>4072</v>
      </c>
      <c r="X177" s="234" t="s">
        <v>4072</v>
      </c>
      <c r="Y177" s="234"/>
      <c r="Z177" s="234" t="s">
        <v>4072</v>
      </c>
      <c r="AA177" s="224">
        <v>202409</v>
      </c>
      <c r="AB177" s="243"/>
      <c r="AC177" s="244" t="s">
        <v>4057</v>
      </c>
      <c r="AD177" s="244" t="s">
        <v>4056</v>
      </c>
      <c r="AE177" s="245">
        <v>0</v>
      </c>
      <c r="AF177" s="244" t="s">
        <v>4056</v>
      </c>
      <c r="AG177" s="239" t="s">
        <v>4131</v>
      </c>
      <c r="AH177" s="235" t="s">
        <v>4130</v>
      </c>
      <c r="AI177" s="235" t="s">
        <v>4129</v>
      </c>
      <c r="AJ177" s="235" t="s">
        <v>4054</v>
      </c>
      <c r="AK177" s="235" t="s">
        <v>4128</v>
      </c>
    </row>
    <row r="178" spans="1:37" x14ac:dyDescent="0.3">
      <c r="A178" s="229" t="s">
        <v>3530</v>
      </c>
      <c r="B178" s="229" t="s">
        <v>4157</v>
      </c>
      <c r="C178" s="241" t="s">
        <v>4061</v>
      </c>
      <c r="D178" s="237" t="s">
        <v>4171</v>
      </c>
      <c r="E178" s="236" t="s">
        <v>3693</v>
      </c>
      <c r="F178" s="240" t="s">
        <v>4060</v>
      </c>
      <c r="G178" s="214">
        <v>0</v>
      </c>
      <c r="H178" s="231" t="s">
        <v>4054</v>
      </c>
      <c r="I178" s="231"/>
      <c r="J178" s="231"/>
      <c r="K178" s="231"/>
      <c r="L178" s="231"/>
      <c r="M178" s="231"/>
      <c r="N178" s="231" t="s">
        <v>4059</v>
      </c>
      <c r="O178" s="246" t="s">
        <v>4155</v>
      </c>
      <c r="P178" s="246" t="s">
        <v>4154</v>
      </c>
      <c r="Q178" s="225" t="s">
        <v>4153</v>
      </c>
      <c r="R178" s="212" t="s">
        <v>4152</v>
      </c>
      <c r="S178" s="213" t="s">
        <v>3694</v>
      </c>
      <c r="T178" s="233" t="s">
        <v>4053</v>
      </c>
      <c r="U178" s="234" t="s">
        <v>4058</v>
      </c>
      <c r="V178" s="234" t="s">
        <v>4072</v>
      </c>
      <c r="W178" s="234" t="s">
        <v>4072</v>
      </c>
      <c r="X178" s="234" t="s">
        <v>4054</v>
      </c>
      <c r="Y178" s="234"/>
      <c r="Z178" s="234" t="s">
        <v>4072</v>
      </c>
      <c r="AA178" s="224">
        <v>202409</v>
      </c>
      <c r="AB178" s="243"/>
      <c r="AC178" s="233" t="s">
        <v>4057</v>
      </c>
      <c r="AD178" s="244" t="s">
        <v>4056</v>
      </c>
      <c r="AE178" s="245">
        <v>0</v>
      </c>
      <c r="AF178" s="244" t="s">
        <v>4056</v>
      </c>
      <c r="AG178" s="239" t="s">
        <v>305</v>
      </c>
      <c r="AH178" s="9" t="s">
        <v>4150</v>
      </c>
      <c r="AI178" s="235" t="s">
        <v>4054</v>
      </c>
      <c r="AJ178" s="235" t="s">
        <v>4054</v>
      </c>
      <c r="AK178" s="235" t="s">
        <v>4055</v>
      </c>
    </row>
    <row r="179" spans="1:37" x14ac:dyDescent="0.3">
      <c r="A179" s="229" t="s">
        <v>3530</v>
      </c>
      <c r="B179" s="229" t="s">
        <v>4157</v>
      </c>
      <c r="C179" s="241" t="s">
        <v>4061</v>
      </c>
      <c r="D179" s="237" t="s">
        <v>4170</v>
      </c>
      <c r="E179" s="236" t="s">
        <v>3695</v>
      </c>
      <c r="F179" s="240" t="s">
        <v>4169</v>
      </c>
      <c r="G179" s="214">
        <v>0</v>
      </c>
      <c r="H179" s="231" t="s">
        <v>4054</v>
      </c>
      <c r="I179" s="231"/>
      <c r="J179" s="231"/>
      <c r="K179" s="231"/>
      <c r="L179" s="231"/>
      <c r="M179" s="231"/>
      <c r="N179" s="231" t="s">
        <v>4074</v>
      </c>
      <c r="O179" s="246" t="s">
        <v>4155</v>
      </c>
      <c r="P179" s="246" t="s">
        <v>4154</v>
      </c>
      <c r="Q179" s="225" t="s">
        <v>4153</v>
      </c>
      <c r="R179" s="212" t="s">
        <v>2</v>
      </c>
      <c r="S179" s="213" t="s">
        <v>4168</v>
      </c>
      <c r="T179" s="233" t="s">
        <v>4053</v>
      </c>
      <c r="U179" s="234" t="s">
        <v>4058</v>
      </c>
      <c r="V179" s="234" t="s">
        <v>4072</v>
      </c>
      <c r="W179" s="234" t="s">
        <v>4072</v>
      </c>
      <c r="X179" s="234" t="s">
        <v>4054</v>
      </c>
      <c r="Y179" s="234"/>
      <c r="Z179" s="234" t="s">
        <v>4072</v>
      </c>
      <c r="AA179" s="224">
        <v>202409</v>
      </c>
      <c r="AB179" s="243"/>
      <c r="AC179" s="233" t="s">
        <v>4057</v>
      </c>
      <c r="AD179" s="244" t="s">
        <v>4056</v>
      </c>
      <c r="AE179" s="245">
        <v>0</v>
      </c>
      <c r="AF179" s="244" t="s">
        <v>4056</v>
      </c>
      <c r="AG179" s="239" t="s">
        <v>305</v>
      </c>
      <c r="AH179" s="9" t="s">
        <v>4150</v>
      </c>
      <c r="AI179" s="235" t="s">
        <v>4054</v>
      </c>
      <c r="AJ179" s="235" t="s">
        <v>4054</v>
      </c>
      <c r="AK179" s="235" t="s">
        <v>4055</v>
      </c>
    </row>
    <row r="180" spans="1:37" x14ac:dyDescent="0.3">
      <c r="A180" s="229" t="s">
        <v>3530</v>
      </c>
      <c r="B180" s="229" t="s">
        <v>4157</v>
      </c>
      <c r="C180" s="241" t="s">
        <v>4061</v>
      </c>
      <c r="D180" s="237" t="s">
        <v>4075</v>
      </c>
      <c r="E180" s="236" t="s">
        <v>3696</v>
      </c>
      <c r="F180" s="240" t="s">
        <v>4060</v>
      </c>
      <c r="G180" s="214">
        <v>0</v>
      </c>
      <c r="H180" s="231" t="s">
        <v>4054</v>
      </c>
      <c r="I180" s="231"/>
      <c r="J180" s="231"/>
      <c r="K180" s="231"/>
      <c r="L180" s="231"/>
      <c r="M180" s="231"/>
      <c r="N180" s="231" t="s">
        <v>4059</v>
      </c>
      <c r="O180" s="246" t="s">
        <v>4155</v>
      </c>
      <c r="P180" s="246" t="s">
        <v>4154</v>
      </c>
      <c r="Q180" s="225" t="s">
        <v>4153</v>
      </c>
      <c r="R180" s="212" t="s">
        <v>4152</v>
      </c>
      <c r="S180" s="213" t="s">
        <v>4167</v>
      </c>
      <c r="T180" s="233" t="s">
        <v>4053</v>
      </c>
      <c r="U180" s="234" t="s">
        <v>4058</v>
      </c>
      <c r="V180" s="234" t="s">
        <v>4072</v>
      </c>
      <c r="W180" s="234" t="s">
        <v>4072</v>
      </c>
      <c r="X180" s="234" t="s">
        <v>4054</v>
      </c>
      <c r="Y180" s="234"/>
      <c r="Z180" s="234" t="s">
        <v>4072</v>
      </c>
      <c r="AA180" s="224">
        <v>202409</v>
      </c>
      <c r="AB180" s="243"/>
      <c r="AC180" s="233" t="s">
        <v>4057</v>
      </c>
      <c r="AD180" s="244" t="s">
        <v>4056</v>
      </c>
      <c r="AE180" s="245">
        <v>0</v>
      </c>
      <c r="AF180" s="244" t="s">
        <v>4056</v>
      </c>
      <c r="AG180" s="239" t="s">
        <v>305</v>
      </c>
      <c r="AH180" s="9" t="s">
        <v>4150</v>
      </c>
      <c r="AI180" s="235" t="s">
        <v>4054</v>
      </c>
      <c r="AJ180" s="235" t="s">
        <v>4054</v>
      </c>
      <c r="AK180" s="235" t="s">
        <v>4055</v>
      </c>
    </row>
    <row r="181" spans="1:37" x14ac:dyDescent="0.3">
      <c r="A181" s="229" t="s">
        <v>3530</v>
      </c>
      <c r="B181" s="229" t="s">
        <v>4157</v>
      </c>
      <c r="C181" s="241" t="s">
        <v>4061</v>
      </c>
      <c r="D181" s="237" t="s">
        <v>4073</v>
      </c>
      <c r="E181" s="236" t="s">
        <v>3697</v>
      </c>
      <c r="F181" s="240" t="s">
        <v>4060</v>
      </c>
      <c r="G181" s="214">
        <v>0</v>
      </c>
      <c r="H181" s="231" t="s">
        <v>4054</v>
      </c>
      <c r="I181" s="231"/>
      <c r="J181" s="231"/>
      <c r="K181" s="231"/>
      <c r="L181" s="231"/>
      <c r="M181" s="231"/>
      <c r="N181" s="231" t="s">
        <v>4059</v>
      </c>
      <c r="O181" s="246" t="s">
        <v>4155</v>
      </c>
      <c r="P181" s="246" t="s">
        <v>4154</v>
      </c>
      <c r="Q181" s="225" t="s">
        <v>4153</v>
      </c>
      <c r="R181" s="212" t="s">
        <v>4152</v>
      </c>
      <c r="S181" s="213" t="s">
        <v>4166</v>
      </c>
      <c r="T181" s="233" t="s">
        <v>4053</v>
      </c>
      <c r="U181" s="234" t="s">
        <v>4058</v>
      </c>
      <c r="V181" s="234" t="s">
        <v>4072</v>
      </c>
      <c r="W181" s="234" t="s">
        <v>4072</v>
      </c>
      <c r="X181" s="234" t="s">
        <v>4054</v>
      </c>
      <c r="Y181" s="234"/>
      <c r="Z181" s="234" t="s">
        <v>4072</v>
      </c>
      <c r="AA181" s="224">
        <v>202409</v>
      </c>
      <c r="AB181" s="243"/>
      <c r="AC181" s="233" t="s">
        <v>4057</v>
      </c>
      <c r="AD181" s="244" t="s">
        <v>4056</v>
      </c>
      <c r="AE181" s="245">
        <v>0</v>
      </c>
      <c r="AF181" s="244" t="s">
        <v>4056</v>
      </c>
      <c r="AG181" s="239" t="s">
        <v>305</v>
      </c>
      <c r="AH181" s="9" t="s">
        <v>4150</v>
      </c>
      <c r="AI181" s="235" t="s">
        <v>4054</v>
      </c>
      <c r="AJ181" s="235" t="s">
        <v>4054</v>
      </c>
      <c r="AK181" s="235" t="s">
        <v>4055</v>
      </c>
    </row>
    <row r="182" spans="1:37" x14ac:dyDescent="0.3">
      <c r="A182" s="229" t="s">
        <v>3530</v>
      </c>
      <c r="B182" s="229" t="s">
        <v>4157</v>
      </c>
      <c r="C182" s="241" t="s">
        <v>4061</v>
      </c>
      <c r="D182" s="237" t="s">
        <v>4165</v>
      </c>
      <c r="E182" s="236" t="s">
        <v>3698</v>
      </c>
      <c r="F182" s="240" t="s">
        <v>4060</v>
      </c>
      <c r="G182" s="214">
        <v>0</v>
      </c>
      <c r="H182" s="231" t="s">
        <v>4054</v>
      </c>
      <c r="I182" s="231"/>
      <c r="J182" s="231"/>
      <c r="K182" s="231"/>
      <c r="L182" s="231"/>
      <c r="M182" s="231"/>
      <c r="N182" s="231" t="s">
        <v>4074</v>
      </c>
      <c r="O182" s="246" t="s">
        <v>4155</v>
      </c>
      <c r="P182" s="246" t="s">
        <v>4154</v>
      </c>
      <c r="Q182" s="225" t="s">
        <v>4153</v>
      </c>
      <c r="R182" s="212" t="s">
        <v>4164</v>
      </c>
      <c r="S182" s="213" t="s">
        <v>4163</v>
      </c>
      <c r="T182" s="233" t="s">
        <v>4053</v>
      </c>
      <c r="U182" s="234" t="s">
        <v>4058</v>
      </c>
      <c r="V182" s="234" t="s">
        <v>4072</v>
      </c>
      <c r="W182" s="234" t="s">
        <v>4072</v>
      </c>
      <c r="X182" s="234" t="s">
        <v>4054</v>
      </c>
      <c r="Y182" s="234"/>
      <c r="Z182" s="234" t="s">
        <v>4072</v>
      </c>
      <c r="AA182" s="224">
        <v>202409</v>
      </c>
      <c r="AB182" s="243"/>
      <c r="AC182" s="233" t="s">
        <v>4057</v>
      </c>
      <c r="AD182" s="244" t="s">
        <v>4056</v>
      </c>
      <c r="AE182" s="245">
        <v>0</v>
      </c>
      <c r="AF182" s="244" t="s">
        <v>4056</v>
      </c>
      <c r="AG182" s="239" t="s">
        <v>305</v>
      </c>
      <c r="AH182" s="9" t="s">
        <v>4150</v>
      </c>
      <c r="AI182" s="235" t="s">
        <v>4054</v>
      </c>
      <c r="AJ182" s="235" t="s">
        <v>4054</v>
      </c>
      <c r="AK182" s="235" t="s">
        <v>4055</v>
      </c>
    </row>
    <row r="183" spans="1:37" x14ac:dyDescent="0.3">
      <c r="A183" s="229" t="s">
        <v>3530</v>
      </c>
      <c r="B183" s="229" t="s">
        <v>4157</v>
      </c>
      <c r="C183" s="241" t="s">
        <v>4061</v>
      </c>
      <c r="D183" s="237" t="s">
        <v>4162</v>
      </c>
      <c r="E183" s="236" t="s">
        <v>3699</v>
      </c>
      <c r="F183" s="240" t="s">
        <v>4060</v>
      </c>
      <c r="G183" s="214">
        <v>0</v>
      </c>
      <c r="H183" s="231" t="s">
        <v>4054</v>
      </c>
      <c r="I183" s="231"/>
      <c r="J183" s="231"/>
      <c r="K183" s="231"/>
      <c r="L183" s="231"/>
      <c r="M183" s="231"/>
      <c r="N183" s="231" t="s">
        <v>4059</v>
      </c>
      <c r="O183" s="246" t="s">
        <v>4155</v>
      </c>
      <c r="P183" s="246" t="s">
        <v>4154</v>
      </c>
      <c r="Q183" s="225" t="s">
        <v>4153</v>
      </c>
      <c r="R183" s="212" t="s">
        <v>4152</v>
      </c>
      <c r="S183" s="213" t="s">
        <v>4161</v>
      </c>
      <c r="T183" s="233" t="s">
        <v>4053</v>
      </c>
      <c r="U183" s="234" t="s">
        <v>4058</v>
      </c>
      <c r="V183" s="234" t="s">
        <v>4072</v>
      </c>
      <c r="W183" s="234" t="s">
        <v>4072</v>
      </c>
      <c r="X183" s="234" t="s">
        <v>4054</v>
      </c>
      <c r="Y183" s="234"/>
      <c r="Z183" s="234" t="s">
        <v>4072</v>
      </c>
      <c r="AA183" s="224">
        <v>202409</v>
      </c>
      <c r="AB183" s="243"/>
      <c r="AC183" s="233" t="s">
        <v>4057</v>
      </c>
      <c r="AD183" s="244" t="s">
        <v>4056</v>
      </c>
      <c r="AE183" s="245">
        <v>0</v>
      </c>
      <c r="AF183" s="244" t="s">
        <v>4056</v>
      </c>
      <c r="AG183" s="239" t="s">
        <v>305</v>
      </c>
      <c r="AH183" s="9" t="s">
        <v>4150</v>
      </c>
      <c r="AI183" s="235" t="s">
        <v>4054</v>
      </c>
      <c r="AJ183" s="235" t="s">
        <v>4054</v>
      </c>
      <c r="AK183" s="235" t="s">
        <v>4055</v>
      </c>
    </row>
    <row r="184" spans="1:37" x14ac:dyDescent="0.3">
      <c r="A184" s="229" t="s">
        <v>3530</v>
      </c>
      <c r="B184" s="229" t="s">
        <v>4157</v>
      </c>
      <c r="C184" s="241" t="s">
        <v>4061</v>
      </c>
      <c r="D184" s="237" t="s">
        <v>4160</v>
      </c>
      <c r="E184" s="236" t="s">
        <v>3678</v>
      </c>
      <c r="F184" s="240" t="s">
        <v>4060</v>
      </c>
      <c r="G184" s="214">
        <v>0</v>
      </c>
      <c r="H184" s="231" t="s">
        <v>4054</v>
      </c>
      <c r="I184" s="231"/>
      <c r="J184" s="231"/>
      <c r="K184" s="231"/>
      <c r="L184" s="231"/>
      <c r="M184" s="231"/>
      <c r="N184" s="231" t="s">
        <v>4059</v>
      </c>
      <c r="O184" s="246" t="s">
        <v>4155</v>
      </c>
      <c r="P184" s="246" t="s">
        <v>4154</v>
      </c>
      <c r="Q184" s="225" t="s">
        <v>4153</v>
      </c>
      <c r="R184" s="212" t="s">
        <v>3889</v>
      </c>
      <c r="S184" s="213" t="s">
        <v>4159</v>
      </c>
      <c r="T184" s="233" t="s">
        <v>4053</v>
      </c>
      <c r="U184" s="234" t="s">
        <v>4058</v>
      </c>
      <c r="V184" s="234" t="s">
        <v>4072</v>
      </c>
      <c r="W184" s="234" t="s">
        <v>4072</v>
      </c>
      <c r="X184" s="234" t="s">
        <v>4054</v>
      </c>
      <c r="Y184" s="234"/>
      <c r="Z184" s="234" t="s">
        <v>4072</v>
      </c>
      <c r="AA184" s="224">
        <v>202409</v>
      </c>
      <c r="AB184" s="243"/>
      <c r="AC184" s="233" t="s">
        <v>4057</v>
      </c>
      <c r="AD184" s="244" t="s">
        <v>4056</v>
      </c>
      <c r="AE184" s="245">
        <v>0</v>
      </c>
      <c r="AF184" s="244" t="s">
        <v>4056</v>
      </c>
      <c r="AG184" s="239" t="s">
        <v>305</v>
      </c>
      <c r="AH184" s="9" t="s">
        <v>4150</v>
      </c>
      <c r="AI184" s="235" t="s">
        <v>4054</v>
      </c>
      <c r="AJ184" s="235" t="s">
        <v>4054</v>
      </c>
      <c r="AK184" s="235" t="s">
        <v>4055</v>
      </c>
    </row>
    <row r="185" spans="1:37" x14ac:dyDescent="0.3">
      <c r="A185" s="229" t="s">
        <v>3530</v>
      </c>
      <c r="B185" s="229" t="s">
        <v>4157</v>
      </c>
      <c r="C185" s="241" t="s">
        <v>4061</v>
      </c>
      <c r="D185" s="237" t="s">
        <v>4158</v>
      </c>
      <c r="E185" s="236" t="s">
        <v>3700</v>
      </c>
      <c r="F185" s="240" t="s">
        <v>4060</v>
      </c>
      <c r="G185" s="214">
        <v>0</v>
      </c>
      <c r="H185" s="231" t="s">
        <v>4054</v>
      </c>
      <c r="I185" s="231"/>
      <c r="J185" s="231"/>
      <c r="K185" s="231"/>
      <c r="L185" s="231"/>
      <c r="M185" s="231"/>
      <c r="N185" s="231" t="s">
        <v>4059</v>
      </c>
      <c r="O185" s="246" t="s">
        <v>4155</v>
      </c>
      <c r="P185" s="246" t="s">
        <v>4154</v>
      </c>
      <c r="Q185" s="225" t="s">
        <v>4153</v>
      </c>
      <c r="R185" s="212" t="s">
        <v>4152</v>
      </c>
      <c r="S185" s="213" t="s">
        <v>3701</v>
      </c>
      <c r="T185" s="233" t="s">
        <v>4053</v>
      </c>
      <c r="U185" s="234" t="s">
        <v>4058</v>
      </c>
      <c r="V185" s="234" t="s">
        <v>4072</v>
      </c>
      <c r="W185" s="234" t="s">
        <v>4072</v>
      </c>
      <c r="X185" s="234" t="s">
        <v>4054</v>
      </c>
      <c r="Y185" s="234"/>
      <c r="Z185" s="234" t="s">
        <v>4072</v>
      </c>
      <c r="AA185" s="224">
        <v>202409</v>
      </c>
      <c r="AB185" s="243"/>
      <c r="AC185" s="233" t="s">
        <v>4057</v>
      </c>
      <c r="AD185" s="244" t="s">
        <v>4056</v>
      </c>
      <c r="AE185" s="245">
        <v>0</v>
      </c>
      <c r="AF185" s="244" t="s">
        <v>4056</v>
      </c>
      <c r="AG185" s="239" t="s">
        <v>305</v>
      </c>
      <c r="AH185" s="9" t="s">
        <v>4150</v>
      </c>
      <c r="AI185" s="235" t="s">
        <v>4054</v>
      </c>
      <c r="AJ185" s="235" t="s">
        <v>4054</v>
      </c>
      <c r="AK185" s="235" t="s">
        <v>4055</v>
      </c>
    </row>
    <row r="186" spans="1:37" x14ac:dyDescent="0.3">
      <c r="A186" s="229" t="s">
        <v>3530</v>
      </c>
      <c r="B186" s="229" t="s">
        <v>4157</v>
      </c>
      <c r="C186" s="241" t="s">
        <v>4061</v>
      </c>
      <c r="D186" s="237" t="s">
        <v>4156</v>
      </c>
      <c r="E186" s="236" t="s">
        <v>3702</v>
      </c>
      <c r="F186" s="240" t="s">
        <v>4060</v>
      </c>
      <c r="G186" s="214">
        <v>0</v>
      </c>
      <c r="H186" s="231" t="s">
        <v>4054</v>
      </c>
      <c r="I186" s="231"/>
      <c r="J186" s="231"/>
      <c r="K186" s="231"/>
      <c r="L186" s="231"/>
      <c r="M186" s="231"/>
      <c r="N186" s="231" t="s">
        <v>4059</v>
      </c>
      <c r="O186" s="246" t="s">
        <v>4155</v>
      </c>
      <c r="P186" s="246" t="s">
        <v>4154</v>
      </c>
      <c r="Q186" s="225" t="s">
        <v>4153</v>
      </c>
      <c r="R186" s="212" t="s">
        <v>4152</v>
      </c>
      <c r="S186" s="213" t="s">
        <v>4151</v>
      </c>
      <c r="T186" s="233" t="s">
        <v>4053</v>
      </c>
      <c r="U186" s="234" t="s">
        <v>4058</v>
      </c>
      <c r="V186" s="234" t="s">
        <v>4072</v>
      </c>
      <c r="W186" s="234" t="s">
        <v>4072</v>
      </c>
      <c r="X186" s="234" t="s">
        <v>4054</v>
      </c>
      <c r="Y186" s="234"/>
      <c r="Z186" s="234" t="s">
        <v>4072</v>
      </c>
      <c r="AA186" s="224">
        <v>202409</v>
      </c>
      <c r="AB186" s="243"/>
      <c r="AC186" s="233" t="s">
        <v>4057</v>
      </c>
      <c r="AD186" s="244" t="s">
        <v>4056</v>
      </c>
      <c r="AE186" s="245">
        <v>0</v>
      </c>
      <c r="AF186" s="244" t="s">
        <v>4056</v>
      </c>
      <c r="AG186" s="239" t="s">
        <v>305</v>
      </c>
      <c r="AH186" s="9" t="s">
        <v>4150</v>
      </c>
      <c r="AI186" s="235" t="s">
        <v>4054</v>
      </c>
      <c r="AJ186" s="235" t="s">
        <v>4054</v>
      </c>
      <c r="AK186" s="235" t="s">
        <v>4055</v>
      </c>
    </row>
    <row r="187" spans="1:37" x14ac:dyDescent="0.3">
      <c r="A187" s="229" t="s">
        <v>4139</v>
      </c>
      <c r="B187" s="229" t="s">
        <v>4138</v>
      </c>
      <c r="C187" s="241" t="s">
        <v>4061</v>
      </c>
      <c r="D187" s="237" t="s">
        <v>4149</v>
      </c>
      <c r="E187" s="236" t="s">
        <v>4148</v>
      </c>
      <c r="F187" s="240" t="s">
        <v>4060</v>
      </c>
      <c r="G187" s="214">
        <v>0</v>
      </c>
      <c r="H187" s="231" t="s">
        <v>4054</v>
      </c>
      <c r="I187" s="231"/>
      <c r="J187" s="231"/>
      <c r="K187" s="231"/>
      <c r="L187" s="231"/>
      <c r="M187" s="231"/>
      <c r="N187" s="231" t="s">
        <v>4074</v>
      </c>
      <c r="O187" s="246" t="s">
        <v>4135</v>
      </c>
      <c r="P187" s="246" t="s">
        <v>4134</v>
      </c>
      <c r="Q187" s="225" t="s">
        <v>4133</v>
      </c>
      <c r="R187" s="212" t="s">
        <v>2</v>
      </c>
      <c r="S187" s="213" t="s">
        <v>4054</v>
      </c>
      <c r="T187" s="233" t="s">
        <v>4053</v>
      </c>
      <c r="U187" s="234" t="s">
        <v>4058</v>
      </c>
      <c r="V187" s="234" t="s">
        <v>4072</v>
      </c>
      <c r="W187" s="234" t="s">
        <v>4072</v>
      </c>
      <c r="X187" s="234" t="s">
        <v>4054</v>
      </c>
      <c r="Y187" s="234"/>
      <c r="Z187" s="234" t="s">
        <v>4072</v>
      </c>
      <c r="AA187" s="224">
        <v>202409</v>
      </c>
      <c r="AB187" s="243"/>
      <c r="AC187" s="233" t="s">
        <v>4057</v>
      </c>
      <c r="AD187" s="244" t="s">
        <v>4056</v>
      </c>
      <c r="AE187" s="245">
        <v>0</v>
      </c>
      <c r="AF187" s="244" t="s">
        <v>4056</v>
      </c>
      <c r="AG187" s="239" t="s">
        <v>2</v>
      </c>
      <c r="AH187" s="9" t="s">
        <v>4054</v>
      </c>
      <c r="AI187" s="235" t="s">
        <v>4132</v>
      </c>
      <c r="AJ187" s="235" t="s">
        <v>4054</v>
      </c>
      <c r="AK187" s="235" t="s">
        <v>4055</v>
      </c>
    </row>
    <row r="188" spans="1:37" x14ac:dyDescent="0.3">
      <c r="A188" s="229" t="s">
        <v>4139</v>
      </c>
      <c r="B188" s="229" t="s">
        <v>4138</v>
      </c>
      <c r="C188" s="241" t="s">
        <v>4061</v>
      </c>
      <c r="D188" s="237" t="s">
        <v>4147</v>
      </c>
      <c r="E188" s="236" t="s">
        <v>3981</v>
      </c>
      <c r="F188" s="240" t="s">
        <v>4060</v>
      </c>
      <c r="G188" s="214">
        <v>0</v>
      </c>
      <c r="H188" s="231" t="s">
        <v>4054</v>
      </c>
      <c r="I188" s="231"/>
      <c r="J188" s="231"/>
      <c r="K188" s="231"/>
      <c r="L188" s="231"/>
      <c r="M188" s="231"/>
      <c r="N188" s="231" t="s">
        <v>4074</v>
      </c>
      <c r="O188" s="246" t="s">
        <v>4135</v>
      </c>
      <c r="P188" s="246" t="s">
        <v>4134</v>
      </c>
      <c r="Q188" s="225" t="s">
        <v>4133</v>
      </c>
      <c r="R188" s="212" t="s">
        <v>2</v>
      </c>
      <c r="S188" s="213" t="s">
        <v>4054</v>
      </c>
      <c r="T188" s="233" t="s">
        <v>4053</v>
      </c>
      <c r="U188" s="234" t="s">
        <v>4058</v>
      </c>
      <c r="V188" s="234" t="s">
        <v>4072</v>
      </c>
      <c r="W188" s="234" t="s">
        <v>4072</v>
      </c>
      <c r="X188" s="234" t="s">
        <v>4054</v>
      </c>
      <c r="Y188" s="234"/>
      <c r="Z188" s="234" t="s">
        <v>4072</v>
      </c>
      <c r="AA188" s="224">
        <v>202409</v>
      </c>
      <c r="AB188" s="243"/>
      <c r="AC188" s="233" t="s">
        <v>4057</v>
      </c>
      <c r="AD188" s="244" t="s">
        <v>4056</v>
      </c>
      <c r="AE188" s="245">
        <v>0</v>
      </c>
      <c r="AF188" s="244" t="s">
        <v>4056</v>
      </c>
      <c r="AG188" s="239" t="s">
        <v>2</v>
      </c>
      <c r="AH188" s="9" t="s">
        <v>4054</v>
      </c>
      <c r="AI188" s="235" t="s">
        <v>4132</v>
      </c>
      <c r="AJ188" s="235" t="s">
        <v>4054</v>
      </c>
      <c r="AK188" s="235" t="s">
        <v>4055</v>
      </c>
    </row>
    <row r="189" spans="1:37" x14ac:dyDescent="0.3">
      <c r="A189" s="229" t="s">
        <v>4139</v>
      </c>
      <c r="B189" s="229" t="s">
        <v>4138</v>
      </c>
      <c r="C189" s="241" t="s">
        <v>4061</v>
      </c>
      <c r="D189" s="237" t="s">
        <v>4146</v>
      </c>
      <c r="E189" s="236" t="s">
        <v>4145</v>
      </c>
      <c r="F189" s="240" t="s">
        <v>4060</v>
      </c>
      <c r="G189" s="214">
        <v>0</v>
      </c>
      <c r="H189" s="231" t="s">
        <v>4054</v>
      </c>
      <c r="I189" s="231"/>
      <c r="J189" s="231"/>
      <c r="K189" s="231"/>
      <c r="L189" s="231"/>
      <c r="M189" s="231"/>
      <c r="N189" s="231" t="s">
        <v>4074</v>
      </c>
      <c r="O189" s="246" t="s">
        <v>4135</v>
      </c>
      <c r="P189" s="246" t="s">
        <v>4134</v>
      </c>
      <c r="Q189" s="225" t="s">
        <v>4133</v>
      </c>
      <c r="R189" s="212" t="s">
        <v>2</v>
      </c>
      <c r="S189" s="213" t="s">
        <v>4054</v>
      </c>
      <c r="T189" s="233" t="s">
        <v>4053</v>
      </c>
      <c r="U189" s="234" t="s">
        <v>4058</v>
      </c>
      <c r="V189" s="234" t="s">
        <v>4072</v>
      </c>
      <c r="W189" s="234" t="s">
        <v>4072</v>
      </c>
      <c r="X189" s="234" t="s">
        <v>4054</v>
      </c>
      <c r="Y189" s="234"/>
      <c r="Z189" s="234" t="s">
        <v>4072</v>
      </c>
      <c r="AA189" s="224">
        <v>202409</v>
      </c>
      <c r="AB189" s="243"/>
      <c r="AC189" s="233" t="s">
        <v>4057</v>
      </c>
      <c r="AD189" s="244" t="s">
        <v>4056</v>
      </c>
      <c r="AE189" s="245">
        <v>0</v>
      </c>
      <c r="AF189" s="244" t="s">
        <v>4056</v>
      </c>
      <c r="AG189" s="239" t="s">
        <v>2</v>
      </c>
      <c r="AH189" s="9" t="s">
        <v>4054</v>
      </c>
      <c r="AI189" s="235" t="s">
        <v>4132</v>
      </c>
      <c r="AJ189" s="235" t="s">
        <v>4054</v>
      </c>
      <c r="AK189" s="235" t="s">
        <v>4055</v>
      </c>
    </row>
    <row r="190" spans="1:37" x14ac:dyDescent="0.3">
      <c r="A190" s="229" t="s">
        <v>4139</v>
      </c>
      <c r="B190" s="229" t="s">
        <v>4138</v>
      </c>
      <c r="C190" s="241" t="s">
        <v>4061</v>
      </c>
      <c r="D190" s="237" t="s">
        <v>4144</v>
      </c>
      <c r="E190" s="236" t="s">
        <v>4143</v>
      </c>
      <c r="F190" s="240" t="s">
        <v>4060</v>
      </c>
      <c r="G190" s="214">
        <v>0</v>
      </c>
      <c r="H190" s="231" t="s">
        <v>4054</v>
      </c>
      <c r="I190" s="231"/>
      <c r="J190" s="231"/>
      <c r="K190" s="231"/>
      <c r="L190" s="231"/>
      <c r="M190" s="231"/>
      <c r="N190" s="231" t="s">
        <v>4074</v>
      </c>
      <c r="O190" s="246" t="s">
        <v>4135</v>
      </c>
      <c r="P190" s="246" t="s">
        <v>4134</v>
      </c>
      <c r="Q190" s="225" t="s">
        <v>4133</v>
      </c>
      <c r="R190" s="212" t="s">
        <v>2</v>
      </c>
      <c r="S190" s="213" t="s">
        <v>4054</v>
      </c>
      <c r="T190" s="233" t="s">
        <v>4053</v>
      </c>
      <c r="U190" s="234" t="s">
        <v>4058</v>
      </c>
      <c r="V190" s="234" t="s">
        <v>4072</v>
      </c>
      <c r="W190" s="234" t="s">
        <v>4072</v>
      </c>
      <c r="X190" s="234" t="s">
        <v>4054</v>
      </c>
      <c r="Y190" s="234"/>
      <c r="Z190" s="234" t="s">
        <v>4072</v>
      </c>
      <c r="AA190" s="224">
        <v>202409</v>
      </c>
      <c r="AB190" s="243"/>
      <c r="AC190" s="233" t="s">
        <v>4057</v>
      </c>
      <c r="AD190" s="244" t="s">
        <v>4056</v>
      </c>
      <c r="AE190" s="245">
        <v>0</v>
      </c>
      <c r="AF190" s="244" t="s">
        <v>4056</v>
      </c>
      <c r="AG190" s="239" t="s">
        <v>2</v>
      </c>
      <c r="AH190" s="9" t="s">
        <v>4054</v>
      </c>
      <c r="AI190" s="235" t="s">
        <v>4132</v>
      </c>
      <c r="AJ190" s="235" t="s">
        <v>4054</v>
      </c>
      <c r="AK190" s="235" t="s">
        <v>4055</v>
      </c>
    </row>
    <row r="191" spans="1:37" x14ac:dyDescent="0.3">
      <c r="A191" s="229" t="s">
        <v>4139</v>
      </c>
      <c r="B191" s="229" t="s">
        <v>4138</v>
      </c>
      <c r="C191" s="241" t="s">
        <v>4061</v>
      </c>
      <c r="D191" s="237" t="s">
        <v>4142</v>
      </c>
      <c r="E191" s="236" t="s">
        <v>3887</v>
      </c>
      <c r="F191" s="240" t="s">
        <v>4060</v>
      </c>
      <c r="G191" s="214">
        <v>0</v>
      </c>
      <c r="H191" s="231" t="s">
        <v>4054</v>
      </c>
      <c r="I191" s="231"/>
      <c r="J191" s="231"/>
      <c r="K191" s="231"/>
      <c r="L191" s="231"/>
      <c r="M191" s="231"/>
      <c r="N191" s="231" t="s">
        <v>4074</v>
      </c>
      <c r="O191" s="246" t="s">
        <v>4135</v>
      </c>
      <c r="P191" s="246" t="s">
        <v>4134</v>
      </c>
      <c r="Q191" s="225" t="s">
        <v>4133</v>
      </c>
      <c r="R191" s="212" t="s">
        <v>3888</v>
      </c>
      <c r="S191" s="213" t="s">
        <v>4054</v>
      </c>
      <c r="T191" s="233" t="s">
        <v>4053</v>
      </c>
      <c r="U191" s="234" t="s">
        <v>4058</v>
      </c>
      <c r="V191" s="234" t="s">
        <v>4072</v>
      </c>
      <c r="W191" s="234" t="s">
        <v>4072</v>
      </c>
      <c r="X191" s="234" t="s">
        <v>4054</v>
      </c>
      <c r="Y191" s="234"/>
      <c r="Z191" s="234" t="s">
        <v>4072</v>
      </c>
      <c r="AA191" s="224">
        <v>202409</v>
      </c>
      <c r="AB191" s="243"/>
      <c r="AC191" s="233" t="s">
        <v>4057</v>
      </c>
      <c r="AD191" s="244" t="s">
        <v>4056</v>
      </c>
      <c r="AE191" s="245">
        <v>0</v>
      </c>
      <c r="AF191" s="244" t="s">
        <v>4056</v>
      </c>
      <c r="AG191" s="239" t="s">
        <v>2</v>
      </c>
      <c r="AH191" s="9" t="s">
        <v>4054</v>
      </c>
      <c r="AI191" s="235" t="s">
        <v>4132</v>
      </c>
      <c r="AJ191" s="235" t="s">
        <v>4054</v>
      </c>
      <c r="AK191" s="235" t="s">
        <v>4055</v>
      </c>
    </row>
    <row r="192" spans="1:37" x14ac:dyDescent="0.3">
      <c r="A192" s="229" t="s">
        <v>4139</v>
      </c>
      <c r="B192" s="229" t="s">
        <v>4138</v>
      </c>
      <c r="C192" s="241" t="s">
        <v>4061</v>
      </c>
      <c r="D192" s="237" t="s">
        <v>4141</v>
      </c>
      <c r="E192" s="236" t="s">
        <v>4140</v>
      </c>
      <c r="F192" s="240" t="s">
        <v>4060</v>
      </c>
      <c r="G192" s="214">
        <v>0</v>
      </c>
      <c r="H192" s="231" t="s">
        <v>4054</v>
      </c>
      <c r="I192" s="231"/>
      <c r="J192" s="231"/>
      <c r="K192" s="231"/>
      <c r="L192" s="231"/>
      <c r="M192" s="231"/>
      <c r="N192" s="231" t="s">
        <v>4074</v>
      </c>
      <c r="O192" s="246" t="s">
        <v>4135</v>
      </c>
      <c r="P192" s="246" t="s">
        <v>4134</v>
      </c>
      <c r="Q192" s="225" t="s">
        <v>4133</v>
      </c>
      <c r="R192" s="212" t="s">
        <v>2</v>
      </c>
      <c r="S192" s="213" t="s">
        <v>4054</v>
      </c>
      <c r="T192" s="233" t="s">
        <v>4053</v>
      </c>
      <c r="U192" s="234" t="s">
        <v>4058</v>
      </c>
      <c r="V192" s="234" t="s">
        <v>4072</v>
      </c>
      <c r="W192" s="234" t="s">
        <v>4072</v>
      </c>
      <c r="X192" s="234" t="s">
        <v>4054</v>
      </c>
      <c r="Y192" s="234"/>
      <c r="Z192" s="234" t="s">
        <v>4072</v>
      </c>
      <c r="AA192" s="224">
        <v>202409</v>
      </c>
      <c r="AB192" s="243"/>
      <c r="AC192" s="233" t="s">
        <v>4057</v>
      </c>
      <c r="AD192" s="244" t="s">
        <v>4056</v>
      </c>
      <c r="AE192" s="245">
        <v>0</v>
      </c>
      <c r="AF192" s="244" t="s">
        <v>4056</v>
      </c>
      <c r="AG192" s="239" t="s">
        <v>2</v>
      </c>
      <c r="AH192" s="9" t="s">
        <v>4054</v>
      </c>
      <c r="AI192" s="235" t="s">
        <v>4132</v>
      </c>
      <c r="AJ192" s="235" t="s">
        <v>4054</v>
      </c>
      <c r="AK192" s="235" t="s">
        <v>4055</v>
      </c>
    </row>
    <row r="193" spans="1:38" x14ac:dyDescent="0.3">
      <c r="A193" s="229" t="s">
        <v>4139</v>
      </c>
      <c r="B193" s="229" t="s">
        <v>4138</v>
      </c>
      <c r="C193" s="241" t="s">
        <v>4061</v>
      </c>
      <c r="D193" s="237" t="s">
        <v>4137</v>
      </c>
      <c r="E193" s="236" t="s">
        <v>4136</v>
      </c>
      <c r="F193" s="240" t="s">
        <v>4060</v>
      </c>
      <c r="G193" s="214">
        <v>0</v>
      </c>
      <c r="H193" s="231" t="s">
        <v>4054</v>
      </c>
      <c r="I193" s="231"/>
      <c r="J193" s="231"/>
      <c r="K193" s="231"/>
      <c r="L193" s="231"/>
      <c r="M193" s="231"/>
      <c r="N193" s="231" t="s">
        <v>4074</v>
      </c>
      <c r="O193" s="246" t="s">
        <v>4135</v>
      </c>
      <c r="P193" s="246" t="s">
        <v>4134</v>
      </c>
      <c r="Q193" s="225" t="s">
        <v>4133</v>
      </c>
      <c r="R193" s="212" t="s">
        <v>2</v>
      </c>
      <c r="S193" s="213" t="s">
        <v>4054</v>
      </c>
      <c r="T193" s="233" t="s">
        <v>4053</v>
      </c>
      <c r="U193" s="234" t="s">
        <v>4058</v>
      </c>
      <c r="V193" s="234" t="s">
        <v>4072</v>
      </c>
      <c r="W193" s="234" t="s">
        <v>4072</v>
      </c>
      <c r="X193" s="234" t="s">
        <v>4054</v>
      </c>
      <c r="Y193" s="234"/>
      <c r="Z193" s="234" t="s">
        <v>4072</v>
      </c>
      <c r="AA193" s="224">
        <v>202409</v>
      </c>
      <c r="AB193" s="243"/>
      <c r="AC193" s="233" t="s">
        <v>4057</v>
      </c>
      <c r="AD193" s="244" t="s">
        <v>4056</v>
      </c>
      <c r="AE193" s="245">
        <v>0</v>
      </c>
      <c r="AF193" s="244" t="s">
        <v>4056</v>
      </c>
      <c r="AG193" s="239" t="s">
        <v>2</v>
      </c>
      <c r="AH193" s="9" t="s">
        <v>4054</v>
      </c>
      <c r="AI193" s="235" t="s">
        <v>4132</v>
      </c>
      <c r="AJ193" s="235" t="s">
        <v>4054</v>
      </c>
      <c r="AK193" s="235" t="s">
        <v>4055</v>
      </c>
    </row>
    <row r="194" spans="1:38" s="198" customFormat="1" x14ac:dyDescent="0.3">
      <c r="A194" s="222" t="s">
        <v>4706</v>
      </c>
      <c r="B194" s="222" t="s">
        <v>4707</v>
      </c>
      <c r="C194" s="241" t="s">
        <v>3707</v>
      </c>
      <c r="D194" s="237" t="s">
        <v>4708</v>
      </c>
      <c r="E194" s="236" t="s">
        <v>4705</v>
      </c>
      <c r="F194" s="240" t="s">
        <v>4709</v>
      </c>
      <c r="G194" s="214">
        <v>0</v>
      </c>
      <c r="H194" s="231" t="s">
        <v>3527</v>
      </c>
      <c r="I194" s="231"/>
      <c r="J194" s="231"/>
      <c r="K194" s="231"/>
      <c r="L194" s="231"/>
      <c r="M194" s="231"/>
      <c r="N194" s="231" t="s">
        <v>4710</v>
      </c>
      <c r="O194" s="246" t="s">
        <v>4711</v>
      </c>
      <c r="P194" s="246" t="s">
        <v>4712</v>
      </c>
      <c r="Q194" s="212" t="s">
        <v>4713</v>
      </c>
      <c r="R194" s="212" t="s">
        <v>2</v>
      </c>
      <c r="S194" s="213" t="s">
        <v>2</v>
      </c>
      <c r="T194" s="233">
        <v>45587</v>
      </c>
      <c r="U194" s="234" t="s">
        <v>4714</v>
      </c>
      <c r="V194" s="234">
        <v>45646</v>
      </c>
      <c r="W194" s="234">
        <v>45668</v>
      </c>
      <c r="X194" s="234" t="s">
        <v>3527</v>
      </c>
      <c r="Y194" s="234"/>
      <c r="Z194" s="234"/>
      <c r="AA194" s="243">
        <v>202412</v>
      </c>
      <c r="AB194" s="243"/>
      <c r="AC194" s="244" t="s">
        <v>4715</v>
      </c>
      <c r="AD194" s="244" t="s">
        <v>4716</v>
      </c>
      <c r="AE194" s="245">
        <v>0</v>
      </c>
      <c r="AF194" s="244" t="s">
        <v>4716</v>
      </c>
      <c r="AG194" s="239" t="s">
        <v>4717</v>
      </c>
      <c r="AH194" s="203" t="s">
        <v>4718</v>
      </c>
      <c r="AI194" s="235" t="s">
        <v>4719</v>
      </c>
      <c r="AJ194" s="235" t="s">
        <v>4720</v>
      </c>
      <c r="AK194" s="235" t="s">
        <v>3708</v>
      </c>
      <c r="AL194" s="235"/>
    </row>
    <row r="195" spans="1:38" x14ac:dyDescent="0.3">
      <c r="A195" s="222" t="s">
        <v>4706</v>
      </c>
      <c r="B195" s="222" t="s">
        <v>4707</v>
      </c>
      <c r="C195" s="241" t="s">
        <v>3707</v>
      </c>
      <c r="D195" s="237"/>
      <c r="E195" s="236"/>
      <c r="F195" s="240"/>
      <c r="G195" s="214">
        <v>0</v>
      </c>
      <c r="H195" s="231" t="s">
        <v>3527</v>
      </c>
      <c r="I195" s="231"/>
      <c r="J195" s="231"/>
      <c r="K195" s="231"/>
      <c r="L195" s="231"/>
      <c r="M195" s="231"/>
      <c r="N195" s="231" t="s">
        <v>4710</v>
      </c>
      <c r="O195" s="246" t="s">
        <v>4711</v>
      </c>
      <c r="P195" s="246" t="s">
        <v>4712</v>
      </c>
      <c r="Q195" s="212" t="s">
        <v>4713</v>
      </c>
      <c r="R195" s="212" t="s">
        <v>2</v>
      </c>
      <c r="S195" s="213" t="s">
        <v>2</v>
      </c>
      <c r="T195" s="233">
        <v>45587</v>
      </c>
      <c r="U195" s="234" t="s">
        <v>4714</v>
      </c>
      <c r="V195" s="234">
        <v>45646</v>
      </c>
      <c r="W195" s="234">
        <v>45668</v>
      </c>
      <c r="X195" s="234" t="s">
        <v>3527</v>
      </c>
      <c r="Y195" s="234"/>
      <c r="Z195" s="234"/>
      <c r="AA195" s="243">
        <v>202412</v>
      </c>
      <c r="AB195" s="243"/>
      <c r="AC195" s="244" t="s">
        <v>4715</v>
      </c>
      <c r="AD195" s="244"/>
      <c r="AE195" s="245">
        <v>0</v>
      </c>
      <c r="AF195" s="244"/>
      <c r="AG195" s="239" t="s">
        <v>4717</v>
      </c>
      <c r="AH195" s="203" t="s">
        <v>4718</v>
      </c>
      <c r="AI195" s="235" t="s">
        <v>4719</v>
      </c>
      <c r="AJ195" s="235" t="s">
        <v>4720</v>
      </c>
      <c r="AK195" s="235" t="s">
        <v>3708</v>
      </c>
    </row>
    <row r="196" spans="1:38" x14ac:dyDescent="0.3">
      <c r="A196" s="222" t="s">
        <v>4706</v>
      </c>
      <c r="B196" s="222" t="s">
        <v>4707</v>
      </c>
      <c r="C196" s="241" t="s">
        <v>3707</v>
      </c>
      <c r="D196" s="237"/>
      <c r="E196" s="236"/>
      <c r="F196" s="240"/>
      <c r="G196" s="214">
        <v>0</v>
      </c>
      <c r="H196" s="231" t="s">
        <v>3527</v>
      </c>
      <c r="I196" s="231"/>
      <c r="J196" s="231"/>
      <c r="K196" s="231"/>
      <c r="L196" s="231"/>
      <c r="M196" s="231"/>
      <c r="N196" s="231" t="s">
        <v>4710</v>
      </c>
      <c r="O196" s="246" t="s">
        <v>4711</v>
      </c>
      <c r="P196" s="246" t="s">
        <v>4712</v>
      </c>
      <c r="Q196" s="212" t="s">
        <v>4713</v>
      </c>
      <c r="R196" s="212" t="s">
        <v>2</v>
      </c>
      <c r="S196" s="213" t="s">
        <v>2</v>
      </c>
      <c r="T196" s="233">
        <v>45587</v>
      </c>
      <c r="U196" s="234" t="s">
        <v>4714</v>
      </c>
      <c r="V196" s="234">
        <v>45646</v>
      </c>
      <c r="W196" s="234">
        <v>45668</v>
      </c>
      <c r="X196" s="234" t="s">
        <v>3527</v>
      </c>
      <c r="Y196" s="234"/>
      <c r="Z196" s="234"/>
      <c r="AA196" s="243">
        <v>202412</v>
      </c>
      <c r="AB196" s="243"/>
      <c r="AC196" s="244" t="s">
        <v>4715</v>
      </c>
      <c r="AD196" s="244"/>
      <c r="AE196" s="245">
        <v>0</v>
      </c>
      <c r="AF196" s="244"/>
      <c r="AG196" s="239" t="s">
        <v>4717</v>
      </c>
      <c r="AH196" s="203" t="s">
        <v>4718</v>
      </c>
      <c r="AI196" s="235" t="s">
        <v>4719</v>
      </c>
      <c r="AJ196" s="235" t="s">
        <v>4720</v>
      </c>
      <c r="AK196" s="235" t="s">
        <v>3708</v>
      </c>
    </row>
    <row r="197" spans="1:38" x14ac:dyDescent="0.3">
      <c r="A197" s="222" t="s">
        <v>4706</v>
      </c>
      <c r="B197" s="222" t="s">
        <v>4707</v>
      </c>
      <c r="C197" s="241" t="s">
        <v>3707</v>
      </c>
      <c r="D197" s="237"/>
      <c r="E197" s="236"/>
      <c r="F197" s="240"/>
      <c r="G197" s="214">
        <v>0</v>
      </c>
      <c r="H197" s="231" t="s">
        <v>3527</v>
      </c>
      <c r="I197" s="231"/>
      <c r="J197" s="231"/>
      <c r="K197" s="231"/>
      <c r="L197" s="231"/>
      <c r="M197" s="231"/>
      <c r="N197" s="231" t="s">
        <v>4710</v>
      </c>
      <c r="O197" s="246" t="s">
        <v>4711</v>
      </c>
      <c r="P197" s="246" t="s">
        <v>4712</v>
      </c>
      <c r="Q197" s="212" t="s">
        <v>4713</v>
      </c>
      <c r="R197" s="212" t="s">
        <v>2</v>
      </c>
      <c r="S197" s="213" t="s">
        <v>2</v>
      </c>
      <c r="T197" s="233">
        <v>45587</v>
      </c>
      <c r="U197" s="234" t="s">
        <v>4714</v>
      </c>
      <c r="V197" s="234">
        <v>45646</v>
      </c>
      <c r="W197" s="234">
        <v>45668</v>
      </c>
      <c r="X197" s="234" t="s">
        <v>3527</v>
      </c>
      <c r="Y197" s="234"/>
      <c r="Z197" s="234"/>
      <c r="AA197" s="243">
        <v>202412</v>
      </c>
      <c r="AB197" s="243"/>
      <c r="AC197" s="244" t="s">
        <v>4715</v>
      </c>
      <c r="AD197" s="244"/>
      <c r="AE197" s="245">
        <v>0</v>
      </c>
      <c r="AF197" s="244"/>
      <c r="AG197" s="239" t="s">
        <v>4717</v>
      </c>
      <c r="AH197" s="203" t="s">
        <v>4718</v>
      </c>
      <c r="AI197" s="235" t="s">
        <v>4719</v>
      </c>
      <c r="AJ197" s="235" t="s">
        <v>4720</v>
      </c>
      <c r="AK197" s="235" t="s">
        <v>3708</v>
      </c>
    </row>
    <row r="198" spans="1:38" x14ac:dyDescent="0.3">
      <c r="A198" s="222" t="s">
        <v>4706</v>
      </c>
      <c r="B198" s="222" t="s">
        <v>4707</v>
      </c>
      <c r="C198" s="241" t="s">
        <v>3707</v>
      </c>
      <c r="D198" s="237"/>
      <c r="E198" s="236"/>
      <c r="F198" s="240"/>
      <c r="G198" s="214">
        <v>0</v>
      </c>
      <c r="H198" s="231" t="s">
        <v>3527</v>
      </c>
      <c r="I198" s="231"/>
      <c r="J198" s="231"/>
      <c r="K198" s="231"/>
      <c r="L198" s="231"/>
      <c r="M198" s="231"/>
      <c r="N198" s="231" t="s">
        <v>4710</v>
      </c>
      <c r="O198" s="246" t="s">
        <v>4711</v>
      </c>
      <c r="P198" s="246" t="s">
        <v>4712</v>
      </c>
      <c r="Q198" s="212" t="s">
        <v>4713</v>
      </c>
      <c r="R198" s="212" t="s">
        <v>2</v>
      </c>
      <c r="S198" s="213" t="s">
        <v>2</v>
      </c>
      <c r="T198" s="233">
        <v>45587</v>
      </c>
      <c r="U198" s="234" t="s">
        <v>4714</v>
      </c>
      <c r="V198" s="234">
        <v>45646</v>
      </c>
      <c r="W198" s="234">
        <v>45668</v>
      </c>
      <c r="X198" s="234" t="s">
        <v>3527</v>
      </c>
      <c r="Y198" s="234"/>
      <c r="Z198" s="234"/>
      <c r="AA198" s="243">
        <v>202412</v>
      </c>
      <c r="AB198" s="243"/>
      <c r="AC198" s="244" t="s">
        <v>4715</v>
      </c>
      <c r="AD198" s="244"/>
      <c r="AE198" s="245">
        <v>0</v>
      </c>
      <c r="AF198" s="244"/>
      <c r="AG198" s="239" t="s">
        <v>4717</v>
      </c>
      <c r="AH198" s="203" t="s">
        <v>4718</v>
      </c>
      <c r="AI198" s="235" t="s">
        <v>4719</v>
      </c>
      <c r="AJ198" s="235" t="s">
        <v>4720</v>
      </c>
      <c r="AK198" s="235" t="s">
        <v>3708</v>
      </c>
    </row>
    <row r="199" spans="1:38" x14ac:dyDescent="0.3">
      <c r="A199" s="222" t="s">
        <v>4706</v>
      </c>
      <c r="B199" s="222" t="s">
        <v>4707</v>
      </c>
      <c r="C199" s="241" t="s">
        <v>3707</v>
      </c>
      <c r="D199" s="237"/>
      <c r="E199" s="236"/>
      <c r="F199" s="240"/>
      <c r="G199" s="214">
        <v>0</v>
      </c>
      <c r="H199" s="231" t="s">
        <v>3527</v>
      </c>
      <c r="I199" s="231"/>
      <c r="J199" s="231"/>
      <c r="K199" s="231"/>
      <c r="L199" s="231"/>
      <c r="M199" s="231"/>
      <c r="N199" s="231" t="s">
        <v>4710</v>
      </c>
      <c r="O199" s="246" t="s">
        <v>4711</v>
      </c>
      <c r="P199" s="246" t="s">
        <v>4712</v>
      </c>
      <c r="Q199" s="212" t="s">
        <v>4713</v>
      </c>
      <c r="R199" s="212" t="s">
        <v>2</v>
      </c>
      <c r="S199" s="213" t="s">
        <v>2</v>
      </c>
      <c r="T199" s="233">
        <v>45587</v>
      </c>
      <c r="U199" s="234" t="s">
        <v>4714</v>
      </c>
      <c r="V199" s="234">
        <v>45646</v>
      </c>
      <c r="W199" s="234">
        <v>45668</v>
      </c>
      <c r="X199" s="234" t="s">
        <v>3527</v>
      </c>
      <c r="Y199" s="234"/>
      <c r="Z199" s="234"/>
      <c r="AA199" s="243">
        <v>202412</v>
      </c>
      <c r="AB199" s="243"/>
      <c r="AC199" s="244" t="s">
        <v>4715</v>
      </c>
      <c r="AD199" s="244"/>
      <c r="AE199" s="245">
        <v>0</v>
      </c>
      <c r="AF199" s="244"/>
      <c r="AG199" s="239" t="s">
        <v>4717</v>
      </c>
      <c r="AH199" s="203" t="s">
        <v>4718</v>
      </c>
      <c r="AI199" s="235" t="s">
        <v>4719</v>
      </c>
      <c r="AJ199" s="235" t="s">
        <v>4720</v>
      </c>
      <c r="AK199" s="235" t="s">
        <v>3708</v>
      </c>
    </row>
    <row r="200" spans="1:38" x14ac:dyDescent="0.3">
      <c r="A200" s="222" t="s">
        <v>4706</v>
      </c>
      <c r="B200" s="222" t="s">
        <v>4707</v>
      </c>
      <c r="C200" s="241" t="s">
        <v>3707</v>
      </c>
      <c r="D200" s="237"/>
      <c r="E200" s="236"/>
      <c r="F200" s="240"/>
      <c r="G200" s="214">
        <v>0</v>
      </c>
      <c r="H200" s="231" t="s">
        <v>3527</v>
      </c>
      <c r="I200" s="231"/>
      <c r="J200" s="231"/>
      <c r="K200" s="231"/>
      <c r="L200" s="231"/>
      <c r="M200" s="231"/>
      <c r="N200" s="231" t="s">
        <v>4710</v>
      </c>
      <c r="O200" s="246" t="s">
        <v>4711</v>
      </c>
      <c r="P200" s="246" t="s">
        <v>4712</v>
      </c>
      <c r="Q200" s="212" t="s">
        <v>4713</v>
      </c>
      <c r="R200" s="212" t="s">
        <v>2</v>
      </c>
      <c r="S200" s="213" t="s">
        <v>2</v>
      </c>
      <c r="T200" s="233">
        <v>45587</v>
      </c>
      <c r="U200" s="234" t="s">
        <v>4714</v>
      </c>
      <c r="V200" s="234">
        <v>45646</v>
      </c>
      <c r="W200" s="234">
        <v>45668</v>
      </c>
      <c r="X200" s="234" t="s">
        <v>3527</v>
      </c>
      <c r="Y200" s="234"/>
      <c r="Z200" s="234"/>
      <c r="AA200" s="243">
        <v>202412</v>
      </c>
      <c r="AB200" s="243"/>
      <c r="AC200" s="244" t="s">
        <v>4715</v>
      </c>
      <c r="AD200" s="244"/>
      <c r="AE200" s="245">
        <v>0</v>
      </c>
      <c r="AF200" s="244"/>
      <c r="AG200" s="239" t="s">
        <v>4717</v>
      </c>
      <c r="AH200" s="203" t="s">
        <v>4718</v>
      </c>
      <c r="AI200" s="235" t="s">
        <v>4719</v>
      </c>
      <c r="AJ200" s="235" t="s">
        <v>4720</v>
      </c>
      <c r="AK200" s="235" t="s">
        <v>3708</v>
      </c>
    </row>
    <row r="201" spans="1:38" x14ac:dyDescent="0.3">
      <c r="A201" s="222" t="s">
        <v>4706</v>
      </c>
      <c r="B201" s="222" t="s">
        <v>4707</v>
      </c>
      <c r="C201" s="241" t="s">
        <v>3707</v>
      </c>
      <c r="D201" s="237"/>
      <c r="E201" s="236"/>
      <c r="F201" s="240"/>
      <c r="G201" s="214">
        <v>0</v>
      </c>
      <c r="H201" s="231" t="s">
        <v>3527</v>
      </c>
      <c r="I201" s="231"/>
      <c r="J201" s="231"/>
      <c r="K201" s="231"/>
      <c r="L201" s="231"/>
      <c r="M201" s="231"/>
      <c r="N201" s="231" t="s">
        <v>4710</v>
      </c>
      <c r="O201" s="246" t="s">
        <v>4711</v>
      </c>
      <c r="P201" s="246" t="s">
        <v>4712</v>
      </c>
      <c r="Q201" s="212" t="s">
        <v>4713</v>
      </c>
      <c r="R201" s="212" t="s">
        <v>2</v>
      </c>
      <c r="S201" s="213" t="s">
        <v>2</v>
      </c>
      <c r="T201" s="233">
        <v>45587</v>
      </c>
      <c r="U201" s="234" t="s">
        <v>4714</v>
      </c>
      <c r="V201" s="234">
        <v>45646</v>
      </c>
      <c r="W201" s="234">
        <v>45668</v>
      </c>
      <c r="X201" s="234" t="s">
        <v>3527</v>
      </c>
      <c r="Y201" s="234"/>
      <c r="Z201" s="234"/>
      <c r="AA201" s="243">
        <v>202412</v>
      </c>
      <c r="AB201" s="243"/>
      <c r="AC201" s="244" t="s">
        <v>4715</v>
      </c>
      <c r="AD201" s="244"/>
      <c r="AE201" s="245">
        <v>0</v>
      </c>
      <c r="AF201" s="244"/>
      <c r="AG201" s="239" t="s">
        <v>4717</v>
      </c>
      <c r="AH201" s="203" t="s">
        <v>4718</v>
      </c>
      <c r="AI201" s="235" t="s">
        <v>4719</v>
      </c>
      <c r="AJ201" s="235" t="s">
        <v>4720</v>
      </c>
      <c r="AK201" s="235" t="s">
        <v>3708</v>
      </c>
    </row>
    <row r="202" spans="1:38" x14ac:dyDescent="0.3">
      <c r="A202" s="222" t="s">
        <v>4706</v>
      </c>
      <c r="B202" s="222" t="s">
        <v>4707</v>
      </c>
      <c r="C202" s="241" t="s">
        <v>3707</v>
      </c>
      <c r="D202" s="237"/>
      <c r="E202" s="236"/>
      <c r="F202" s="240"/>
      <c r="G202" s="214">
        <v>0</v>
      </c>
      <c r="H202" s="231" t="s">
        <v>3527</v>
      </c>
      <c r="I202" s="231"/>
      <c r="J202" s="231"/>
      <c r="K202" s="231"/>
      <c r="L202" s="231"/>
      <c r="M202" s="231"/>
      <c r="N202" s="231" t="s">
        <v>4710</v>
      </c>
      <c r="O202" s="246" t="s">
        <v>4711</v>
      </c>
      <c r="P202" s="246" t="s">
        <v>4712</v>
      </c>
      <c r="Q202" s="212" t="s">
        <v>4713</v>
      </c>
      <c r="R202" s="212" t="s">
        <v>2</v>
      </c>
      <c r="S202" s="213" t="s">
        <v>2</v>
      </c>
      <c r="T202" s="233">
        <v>45587</v>
      </c>
      <c r="U202" s="234" t="s">
        <v>4714</v>
      </c>
      <c r="V202" s="234">
        <v>45646</v>
      </c>
      <c r="W202" s="234">
        <v>45668</v>
      </c>
      <c r="X202" s="234" t="s">
        <v>3527</v>
      </c>
      <c r="Y202" s="234"/>
      <c r="Z202" s="234"/>
      <c r="AA202" s="243">
        <v>202412</v>
      </c>
      <c r="AB202" s="243"/>
      <c r="AC202" s="244" t="s">
        <v>4715</v>
      </c>
      <c r="AD202" s="244"/>
      <c r="AE202" s="245">
        <v>0</v>
      </c>
      <c r="AF202" s="244"/>
      <c r="AG202" s="239" t="s">
        <v>4717</v>
      </c>
      <c r="AH202" s="203" t="s">
        <v>4718</v>
      </c>
      <c r="AI202" s="235" t="s">
        <v>4719</v>
      </c>
      <c r="AJ202" s="235" t="s">
        <v>4720</v>
      </c>
      <c r="AK202" s="235" t="s">
        <v>3708</v>
      </c>
    </row>
    <row r="203" spans="1:38" x14ac:dyDescent="0.3">
      <c r="A203" s="222" t="s">
        <v>4706</v>
      </c>
      <c r="B203" s="222" t="s">
        <v>4707</v>
      </c>
      <c r="C203" s="241" t="s">
        <v>3707</v>
      </c>
      <c r="D203" s="237"/>
      <c r="E203" s="236"/>
      <c r="F203" s="240"/>
      <c r="G203" s="214">
        <v>0</v>
      </c>
      <c r="H203" s="231" t="s">
        <v>3527</v>
      </c>
      <c r="I203" s="231"/>
      <c r="J203" s="231"/>
      <c r="K203" s="231"/>
      <c r="L203" s="231"/>
      <c r="M203" s="231"/>
      <c r="N203" s="231" t="s">
        <v>4710</v>
      </c>
      <c r="O203" s="246" t="s">
        <v>4711</v>
      </c>
      <c r="P203" s="246" t="s">
        <v>4712</v>
      </c>
      <c r="Q203" s="212" t="s">
        <v>4713</v>
      </c>
      <c r="R203" s="212" t="s">
        <v>2</v>
      </c>
      <c r="S203" s="213" t="s">
        <v>2</v>
      </c>
      <c r="T203" s="233">
        <v>45587</v>
      </c>
      <c r="U203" s="234" t="s">
        <v>4714</v>
      </c>
      <c r="V203" s="234">
        <v>45646</v>
      </c>
      <c r="W203" s="234">
        <v>45668</v>
      </c>
      <c r="X203" s="234" t="s">
        <v>3527</v>
      </c>
      <c r="Y203" s="234"/>
      <c r="Z203" s="234"/>
      <c r="AA203" s="243">
        <v>202412</v>
      </c>
      <c r="AB203" s="243"/>
      <c r="AC203" s="244" t="s">
        <v>4715</v>
      </c>
      <c r="AD203" s="244"/>
      <c r="AE203" s="245">
        <v>0</v>
      </c>
      <c r="AF203" s="244"/>
      <c r="AG203" s="239" t="s">
        <v>4717</v>
      </c>
      <c r="AH203" s="203" t="s">
        <v>4718</v>
      </c>
      <c r="AI203" s="235" t="s">
        <v>4719</v>
      </c>
      <c r="AJ203" s="235" t="s">
        <v>4720</v>
      </c>
      <c r="AK203" s="235" t="s">
        <v>3708</v>
      </c>
    </row>
    <row r="204" spans="1:38" x14ac:dyDescent="0.3">
      <c r="A204" s="222" t="s">
        <v>4706</v>
      </c>
      <c r="B204" s="222" t="s">
        <v>4707</v>
      </c>
      <c r="C204" s="241" t="s">
        <v>3707</v>
      </c>
      <c r="D204" s="237"/>
      <c r="E204" s="236"/>
      <c r="F204" s="240"/>
      <c r="G204" s="214">
        <v>0</v>
      </c>
      <c r="H204" s="231" t="s">
        <v>3527</v>
      </c>
      <c r="I204" s="231"/>
      <c r="J204" s="231"/>
      <c r="K204" s="231"/>
      <c r="L204" s="231"/>
      <c r="M204" s="231"/>
      <c r="N204" s="231" t="s">
        <v>4710</v>
      </c>
      <c r="O204" s="246" t="s">
        <v>4711</v>
      </c>
      <c r="P204" s="246" t="s">
        <v>4712</v>
      </c>
      <c r="Q204" s="212" t="s">
        <v>4713</v>
      </c>
      <c r="R204" s="212" t="s">
        <v>2</v>
      </c>
      <c r="S204" s="213" t="s">
        <v>2</v>
      </c>
      <c r="T204" s="233">
        <v>45587</v>
      </c>
      <c r="U204" s="234" t="s">
        <v>4714</v>
      </c>
      <c r="V204" s="234">
        <v>45646</v>
      </c>
      <c r="W204" s="234">
        <v>45668</v>
      </c>
      <c r="X204" s="234" t="s">
        <v>3527</v>
      </c>
      <c r="Y204" s="234"/>
      <c r="Z204" s="234"/>
      <c r="AA204" s="243">
        <v>202412</v>
      </c>
      <c r="AB204" s="243"/>
      <c r="AC204" s="244" t="s">
        <v>4715</v>
      </c>
      <c r="AD204" s="244"/>
      <c r="AE204" s="245">
        <v>0</v>
      </c>
      <c r="AF204" s="244"/>
      <c r="AG204" s="239" t="s">
        <v>4717</v>
      </c>
      <c r="AH204" s="203" t="s">
        <v>4718</v>
      </c>
      <c r="AI204" s="235" t="s">
        <v>4719</v>
      </c>
      <c r="AJ204" s="235" t="s">
        <v>4720</v>
      </c>
      <c r="AK204" s="235" t="s">
        <v>3708</v>
      </c>
    </row>
    <row r="205" spans="1:38" x14ac:dyDescent="0.3">
      <c r="A205" s="222" t="s">
        <v>4706</v>
      </c>
      <c r="B205" s="222" t="s">
        <v>4707</v>
      </c>
      <c r="C205" s="241" t="s">
        <v>3707</v>
      </c>
      <c r="D205" s="237"/>
      <c r="E205" s="236"/>
      <c r="F205" s="240"/>
      <c r="G205" s="214">
        <v>0</v>
      </c>
      <c r="H205" s="231" t="s">
        <v>3527</v>
      </c>
      <c r="I205" s="231"/>
      <c r="J205" s="231"/>
      <c r="K205" s="231"/>
      <c r="L205" s="231"/>
      <c r="M205" s="231"/>
      <c r="N205" s="231" t="s">
        <v>4710</v>
      </c>
      <c r="O205" s="246" t="s">
        <v>4711</v>
      </c>
      <c r="P205" s="246" t="s">
        <v>4712</v>
      </c>
      <c r="Q205" s="212" t="s">
        <v>4713</v>
      </c>
      <c r="R205" s="212" t="s">
        <v>2</v>
      </c>
      <c r="S205" s="213" t="s">
        <v>2</v>
      </c>
      <c r="T205" s="233">
        <v>45587</v>
      </c>
      <c r="U205" s="234" t="s">
        <v>4714</v>
      </c>
      <c r="V205" s="234">
        <v>45646</v>
      </c>
      <c r="W205" s="234">
        <v>45668</v>
      </c>
      <c r="X205" s="234" t="s">
        <v>3527</v>
      </c>
      <c r="Y205" s="234"/>
      <c r="Z205" s="234"/>
      <c r="AA205" s="243">
        <v>202412</v>
      </c>
      <c r="AB205" s="243"/>
      <c r="AC205" s="244" t="s">
        <v>4715</v>
      </c>
      <c r="AD205" s="244"/>
      <c r="AE205" s="245">
        <v>0</v>
      </c>
      <c r="AF205" s="244"/>
      <c r="AG205" s="239" t="s">
        <v>4717</v>
      </c>
      <c r="AH205" s="203" t="s">
        <v>4718</v>
      </c>
      <c r="AI205" s="235" t="s">
        <v>4719</v>
      </c>
      <c r="AJ205" s="235" t="s">
        <v>4720</v>
      </c>
      <c r="AK205" s="235" t="s">
        <v>3708</v>
      </c>
    </row>
    <row r="206" spans="1:38" x14ac:dyDescent="0.3">
      <c r="A206" s="222" t="s">
        <v>4706</v>
      </c>
      <c r="B206" s="222" t="s">
        <v>4707</v>
      </c>
      <c r="C206" s="241" t="s">
        <v>3707</v>
      </c>
      <c r="D206" s="237"/>
      <c r="E206" s="236"/>
      <c r="F206" s="240"/>
      <c r="G206" s="214">
        <v>0</v>
      </c>
      <c r="H206" s="231" t="s">
        <v>3527</v>
      </c>
      <c r="I206" s="231"/>
      <c r="J206" s="231"/>
      <c r="K206" s="231"/>
      <c r="L206" s="231"/>
      <c r="M206" s="231"/>
      <c r="N206" s="231" t="s">
        <v>4710</v>
      </c>
      <c r="O206" s="246" t="s">
        <v>4711</v>
      </c>
      <c r="P206" s="246" t="s">
        <v>4712</v>
      </c>
      <c r="Q206" s="212" t="s">
        <v>4713</v>
      </c>
      <c r="R206" s="212" t="s">
        <v>2</v>
      </c>
      <c r="S206" s="213" t="s">
        <v>2</v>
      </c>
      <c r="T206" s="233">
        <v>45587</v>
      </c>
      <c r="U206" s="234" t="s">
        <v>4714</v>
      </c>
      <c r="V206" s="234">
        <v>45646</v>
      </c>
      <c r="W206" s="234">
        <v>45668</v>
      </c>
      <c r="X206" s="234" t="s">
        <v>3527</v>
      </c>
      <c r="Y206" s="234"/>
      <c r="Z206" s="234"/>
      <c r="AA206" s="243">
        <v>202412</v>
      </c>
      <c r="AB206" s="243"/>
      <c r="AC206" s="244" t="s">
        <v>4715</v>
      </c>
      <c r="AD206" s="244"/>
      <c r="AE206" s="245">
        <v>0</v>
      </c>
      <c r="AF206" s="244"/>
      <c r="AG206" s="239" t="s">
        <v>4717</v>
      </c>
      <c r="AH206" s="203" t="s">
        <v>4718</v>
      </c>
      <c r="AI206" s="235" t="s">
        <v>4719</v>
      </c>
      <c r="AJ206" s="235" t="s">
        <v>4720</v>
      </c>
      <c r="AK206" s="235" t="s">
        <v>3708</v>
      </c>
    </row>
    <row r="207" spans="1:38" x14ac:dyDescent="0.3">
      <c r="A207" s="222" t="s">
        <v>4706</v>
      </c>
      <c r="B207" s="222" t="s">
        <v>4707</v>
      </c>
      <c r="C207" s="241" t="s">
        <v>3707</v>
      </c>
      <c r="D207" s="237"/>
      <c r="E207" s="236"/>
      <c r="F207" s="240"/>
      <c r="G207" s="214">
        <v>0</v>
      </c>
      <c r="H207" s="231" t="s">
        <v>3527</v>
      </c>
      <c r="I207" s="231"/>
      <c r="J207" s="231"/>
      <c r="K207" s="231"/>
      <c r="L207" s="231"/>
      <c r="M207" s="231"/>
      <c r="N207" s="231" t="s">
        <v>4710</v>
      </c>
      <c r="O207" s="246" t="s">
        <v>4711</v>
      </c>
      <c r="P207" s="246" t="s">
        <v>4712</v>
      </c>
      <c r="Q207" s="212" t="s">
        <v>4713</v>
      </c>
      <c r="R207" s="212" t="s">
        <v>2</v>
      </c>
      <c r="S207" s="213" t="s">
        <v>2</v>
      </c>
      <c r="T207" s="233">
        <v>45587</v>
      </c>
      <c r="U207" s="234" t="s">
        <v>4714</v>
      </c>
      <c r="V207" s="234">
        <v>45646</v>
      </c>
      <c r="W207" s="234">
        <v>45668</v>
      </c>
      <c r="X207" s="234" t="s">
        <v>3527</v>
      </c>
      <c r="Y207" s="234"/>
      <c r="Z207" s="234"/>
      <c r="AA207" s="243">
        <v>202412</v>
      </c>
      <c r="AB207" s="243"/>
      <c r="AC207" s="244" t="s">
        <v>4715</v>
      </c>
      <c r="AD207" s="244"/>
      <c r="AE207" s="245">
        <v>0</v>
      </c>
      <c r="AF207" s="244"/>
      <c r="AG207" s="239" t="s">
        <v>4717</v>
      </c>
      <c r="AH207" s="203" t="s">
        <v>4718</v>
      </c>
      <c r="AI207" s="235" t="s">
        <v>4719</v>
      </c>
      <c r="AJ207" s="235" t="s">
        <v>4720</v>
      </c>
      <c r="AK207" s="235" t="s">
        <v>3708</v>
      </c>
    </row>
    <row r="208" spans="1:38" x14ac:dyDescent="0.3">
      <c r="A208" s="222" t="s">
        <v>4706</v>
      </c>
      <c r="B208" s="222" t="s">
        <v>4707</v>
      </c>
      <c r="C208" s="241" t="s">
        <v>3707</v>
      </c>
      <c r="D208" s="237"/>
      <c r="E208" s="236"/>
      <c r="F208" s="240"/>
      <c r="G208" s="214">
        <v>0</v>
      </c>
      <c r="H208" s="231" t="s">
        <v>3527</v>
      </c>
      <c r="I208" s="231"/>
      <c r="J208" s="231"/>
      <c r="K208" s="231"/>
      <c r="L208" s="231"/>
      <c r="M208" s="231"/>
      <c r="N208" s="231" t="s">
        <v>4710</v>
      </c>
      <c r="O208" s="246" t="s">
        <v>4711</v>
      </c>
      <c r="P208" s="246" t="s">
        <v>4712</v>
      </c>
      <c r="Q208" s="212" t="s">
        <v>4713</v>
      </c>
      <c r="R208" s="212" t="s">
        <v>2</v>
      </c>
      <c r="S208" s="213" t="s">
        <v>2</v>
      </c>
      <c r="T208" s="233">
        <v>45587</v>
      </c>
      <c r="U208" s="234" t="s">
        <v>4714</v>
      </c>
      <c r="V208" s="234">
        <v>45646</v>
      </c>
      <c r="W208" s="234">
        <v>45668</v>
      </c>
      <c r="X208" s="234" t="s">
        <v>3527</v>
      </c>
      <c r="Y208" s="234"/>
      <c r="Z208" s="234"/>
      <c r="AA208" s="243">
        <v>202412</v>
      </c>
      <c r="AB208" s="243"/>
      <c r="AC208" s="244" t="s">
        <v>4715</v>
      </c>
      <c r="AD208" s="244"/>
      <c r="AE208" s="245">
        <v>0</v>
      </c>
      <c r="AF208" s="244"/>
      <c r="AG208" s="239" t="s">
        <v>4717</v>
      </c>
      <c r="AH208" s="203" t="s">
        <v>4718</v>
      </c>
      <c r="AI208" s="235" t="s">
        <v>4719</v>
      </c>
      <c r="AJ208" s="235" t="s">
        <v>4720</v>
      </c>
      <c r="AK208" s="235" t="s">
        <v>3708</v>
      </c>
    </row>
    <row r="209" spans="1:37" x14ac:dyDescent="0.3">
      <c r="A209" s="222" t="s">
        <v>4706</v>
      </c>
      <c r="B209" s="222" t="s">
        <v>4707</v>
      </c>
      <c r="C209" s="241" t="s">
        <v>3707</v>
      </c>
      <c r="D209" s="237"/>
      <c r="E209" s="236"/>
      <c r="F209" s="240"/>
      <c r="G209" s="214">
        <v>0</v>
      </c>
      <c r="H209" s="231" t="s">
        <v>3527</v>
      </c>
      <c r="I209" s="231"/>
      <c r="J209" s="231"/>
      <c r="K209" s="231"/>
      <c r="L209" s="231"/>
      <c r="M209" s="231"/>
      <c r="N209" s="231" t="s">
        <v>4710</v>
      </c>
      <c r="O209" s="246" t="s">
        <v>4711</v>
      </c>
      <c r="P209" s="246" t="s">
        <v>4712</v>
      </c>
      <c r="Q209" s="212" t="s">
        <v>4713</v>
      </c>
      <c r="R209" s="212" t="s">
        <v>2</v>
      </c>
      <c r="S209" s="213" t="s">
        <v>2</v>
      </c>
      <c r="T209" s="233">
        <v>45587</v>
      </c>
      <c r="U209" s="234" t="s">
        <v>4714</v>
      </c>
      <c r="V209" s="234">
        <v>45646</v>
      </c>
      <c r="W209" s="234">
        <v>45668</v>
      </c>
      <c r="X209" s="234" t="s">
        <v>3527</v>
      </c>
      <c r="Y209" s="234"/>
      <c r="Z209" s="234"/>
      <c r="AA209" s="243">
        <v>202412</v>
      </c>
      <c r="AB209" s="243"/>
      <c r="AC209" s="244" t="s">
        <v>4715</v>
      </c>
      <c r="AD209" s="244"/>
      <c r="AE209" s="245">
        <v>0</v>
      </c>
      <c r="AF209" s="244"/>
      <c r="AG209" s="239" t="s">
        <v>4717</v>
      </c>
      <c r="AH209" s="203" t="s">
        <v>4718</v>
      </c>
      <c r="AI209" s="235" t="s">
        <v>4719</v>
      </c>
      <c r="AJ209" s="235" t="s">
        <v>4720</v>
      </c>
      <c r="AK209" s="235" t="s">
        <v>3708</v>
      </c>
    </row>
    <row r="210" spans="1:37" x14ac:dyDescent="0.3">
      <c r="A210" s="222" t="s">
        <v>4706</v>
      </c>
      <c r="B210" s="222" t="s">
        <v>4707</v>
      </c>
      <c r="C210" s="241" t="s">
        <v>3707</v>
      </c>
      <c r="D210" s="237"/>
      <c r="E210" s="236"/>
      <c r="F210" s="240"/>
      <c r="G210" s="214">
        <v>0</v>
      </c>
      <c r="H210" s="231" t="s">
        <v>3527</v>
      </c>
      <c r="I210" s="231"/>
      <c r="J210" s="231"/>
      <c r="K210" s="231"/>
      <c r="L210" s="231"/>
      <c r="M210" s="231"/>
      <c r="N210" s="231" t="s">
        <v>4710</v>
      </c>
      <c r="O210" s="246" t="s">
        <v>4711</v>
      </c>
      <c r="P210" s="246" t="s">
        <v>4712</v>
      </c>
      <c r="Q210" s="212" t="s">
        <v>4713</v>
      </c>
      <c r="R210" s="212" t="s">
        <v>2</v>
      </c>
      <c r="S210" s="213" t="s">
        <v>2</v>
      </c>
      <c r="T210" s="233">
        <v>45587</v>
      </c>
      <c r="U210" s="234" t="s">
        <v>4714</v>
      </c>
      <c r="V210" s="234">
        <v>45646</v>
      </c>
      <c r="W210" s="234">
        <v>45668</v>
      </c>
      <c r="X210" s="234" t="s">
        <v>3527</v>
      </c>
      <c r="Y210" s="234"/>
      <c r="Z210" s="234"/>
      <c r="AA210" s="243">
        <v>202412</v>
      </c>
      <c r="AB210" s="243"/>
      <c r="AC210" s="244" t="s">
        <v>4715</v>
      </c>
      <c r="AD210" s="244"/>
      <c r="AE210" s="245">
        <v>0</v>
      </c>
      <c r="AF210" s="244"/>
      <c r="AG210" s="239" t="s">
        <v>4717</v>
      </c>
      <c r="AH210" s="203" t="s">
        <v>4718</v>
      </c>
      <c r="AI210" s="235" t="s">
        <v>4719</v>
      </c>
      <c r="AJ210" s="235" t="s">
        <v>4720</v>
      </c>
      <c r="AK210" s="235" t="s">
        <v>3708</v>
      </c>
    </row>
    <row r="211" spans="1:37" x14ac:dyDescent="0.3">
      <c r="A211" s="222" t="s">
        <v>4706</v>
      </c>
      <c r="B211" s="222" t="s">
        <v>4707</v>
      </c>
      <c r="C211" s="241" t="s">
        <v>3707</v>
      </c>
      <c r="D211" s="237"/>
      <c r="E211" s="236"/>
      <c r="F211" s="240"/>
      <c r="G211" s="214">
        <v>0</v>
      </c>
      <c r="H211" s="231" t="s">
        <v>3527</v>
      </c>
      <c r="I211" s="231"/>
      <c r="J211" s="231"/>
      <c r="K211" s="231"/>
      <c r="L211" s="231"/>
      <c r="M211" s="231"/>
      <c r="N211" s="231" t="s">
        <v>4710</v>
      </c>
      <c r="O211" s="246" t="s">
        <v>4711</v>
      </c>
      <c r="P211" s="246" t="s">
        <v>4712</v>
      </c>
      <c r="Q211" s="212" t="s">
        <v>4713</v>
      </c>
      <c r="R211" s="212" t="s">
        <v>2</v>
      </c>
      <c r="S211" s="213" t="s">
        <v>2</v>
      </c>
      <c r="T211" s="233">
        <v>45587</v>
      </c>
      <c r="U211" s="234" t="s">
        <v>4714</v>
      </c>
      <c r="V211" s="234">
        <v>45646</v>
      </c>
      <c r="W211" s="234">
        <v>45668</v>
      </c>
      <c r="X211" s="234" t="s">
        <v>3527</v>
      </c>
      <c r="Y211" s="234"/>
      <c r="Z211" s="234"/>
      <c r="AA211" s="243">
        <v>202412</v>
      </c>
      <c r="AB211" s="243"/>
      <c r="AC211" s="244" t="s">
        <v>4715</v>
      </c>
      <c r="AD211" s="244"/>
      <c r="AE211" s="245">
        <v>0</v>
      </c>
      <c r="AF211" s="244"/>
      <c r="AG211" s="239" t="s">
        <v>4717</v>
      </c>
      <c r="AH211" s="203" t="s">
        <v>4718</v>
      </c>
      <c r="AI211" s="235" t="s">
        <v>4719</v>
      </c>
      <c r="AJ211" s="235" t="s">
        <v>4720</v>
      </c>
      <c r="AK211" s="235" t="s">
        <v>3708</v>
      </c>
    </row>
    <row r="212" spans="1:37" x14ac:dyDescent="0.3">
      <c r="A212" s="222" t="s">
        <v>4706</v>
      </c>
      <c r="B212" s="222" t="s">
        <v>4707</v>
      </c>
      <c r="C212" s="241" t="s">
        <v>3707</v>
      </c>
      <c r="D212" s="237"/>
      <c r="E212" s="236"/>
      <c r="F212" s="240"/>
      <c r="G212" s="214">
        <v>0</v>
      </c>
      <c r="H212" s="231" t="s">
        <v>3527</v>
      </c>
      <c r="I212" s="231"/>
      <c r="J212" s="231"/>
      <c r="K212" s="231"/>
      <c r="L212" s="231"/>
      <c r="M212" s="231"/>
      <c r="N212" s="231" t="s">
        <v>4710</v>
      </c>
      <c r="O212" s="246" t="s">
        <v>4711</v>
      </c>
      <c r="P212" s="246" t="s">
        <v>4712</v>
      </c>
      <c r="Q212" s="212" t="s">
        <v>4713</v>
      </c>
      <c r="R212" s="212" t="s">
        <v>2</v>
      </c>
      <c r="S212" s="213" t="s">
        <v>2</v>
      </c>
      <c r="T212" s="233">
        <v>45587</v>
      </c>
      <c r="U212" s="234" t="s">
        <v>4714</v>
      </c>
      <c r="V212" s="234">
        <v>45646</v>
      </c>
      <c r="W212" s="234">
        <v>45668</v>
      </c>
      <c r="X212" s="234" t="s">
        <v>3527</v>
      </c>
      <c r="Y212" s="234"/>
      <c r="Z212" s="234"/>
      <c r="AA212" s="243">
        <v>202412</v>
      </c>
      <c r="AB212" s="243"/>
      <c r="AC212" s="244" t="s">
        <v>4715</v>
      </c>
      <c r="AD212" s="244"/>
      <c r="AE212" s="245">
        <v>0</v>
      </c>
      <c r="AF212" s="244"/>
      <c r="AG212" s="239" t="s">
        <v>4717</v>
      </c>
      <c r="AH212" s="203" t="s">
        <v>4718</v>
      </c>
      <c r="AI212" s="235" t="s">
        <v>4719</v>
      </c>
      <c r="AJ212" s="235" t="s">
        <v>4720</v>
      </c>
      <c r="AK212" s="235" t="s">
        <v>3708</v>
      </c>
    </row>
    <row r="213" spans="1:37" x14ac:dyDescent="0.3">
      <c r="A213" s="222" t="s">
        <v>4706</v>
      </c>
      <c r="B213" s="222" t="s">
        <v>4707</v>
      </c>
      <c r="C213" s="241" t="s">
        <v>3707</v>
      </c>
      <c r="D213" s="237"/>
      <c r="E213" s="236"/>
      <c r="F213" s="240"/>
      <c r="G213" s="214">
        <v>0</v>
      </c>
      <c r="H213" s="231" t="s">
        <v>3527</v>
      </c>
      <c r="I213" s="231"/>
      <c r="J213" s="231"/>
      <c r="K213" s="231"/>
      <c r="L213" s="231"/>
      <c r="M213" s="231"/>
      <c r="N213" s="231" t="s">
        <v>4710</v>
      </c>
      <c r="O213" s="246" t="s">
        <v>4711</v>
      </c>
      <c r="P213" s="246" t="s">
        <v>4712</v>
      </c>
      <c r="Q213" s="212" t="s">
        <v>4713</v>
      </c>
      <c r="R213" s="212" t="s">
        <v>2</v>
      </c>
      <c r="S213" s="213" t="s">
        <v>2</v>
      </c>
      <c r="T213" s="233">
        <v>45587</v>
      </c>
      <c r="U213" s="234" t="s">
        <v>4714</v>
      </c>
      <c r="V213" s="234">
        <v>45646</v>
      </c>
      <c r="W213" s="234">
        <v>45668</v>
      </c>
      <c r="X213" s="234" t="s">
        <v>3527</v>
      </c>
      <c r="Y213" s="234"/>
      <c r="Z213" s="234"/>
      <c r="AA213" s="243">
        <v>202412</v>
      </c>
      <c r="AB213" s="243"/>
      <c r="AC213" s="244" t="s">
        <v>4715</v>
      </c>
      <c r="AD213" s="244"/>
      <c r="AE213" s="245">
        <v>0</v>
      </c>
      <c r="AF213" s="244"/>
      <c r="AG213" s="239" t="s">
        <v>4717</v>
      </c>
      <c r="AH213" s="203" t="s">
        <v>4718</v>
      </c>
      <c r="AI213" s="235" t="s">
        <v>4719</v>
      </c>
      <c r="AJ213" s="235" t="s">
        <v>4720</v>
      </c>
      <c r="AK213" s="235" t="s">
        <v>3708</v>
      </c>
    </row>
    <row r="214" spans="1:37" x14ac:dyDescent="0.3">
      <c r="A214" s="222" t="s">
        <v>4706</v>
      </c>
      <c r="B214" s="222" t="s">
        <v>4707</v>
      </c>
      <c r="C214" s="241" t="s">
        <v>3707</v>
      </c>
      <c r="D214" s="237"/>
      <c r="E214" s="236"/>
      <c r="F214" s="240"/>
      <c r="G214" s="214">
        <v>0</v>
      </c>
      <c r="H214" s="231" t="s">
        <v>3527</v>
      </c>
      <c r="I214" s="231"/>
      <c r="J214" s="231"/>
      <c r="K214" s="231"/>
      <c r="L214" s="231"/>
      <c r="M214" s="231"/>
      <c r="N214" s="231" t="s">
        <v>4710</v>
      </c>
      <c r="O214" s="246" t="s">
        <v>4711</v>
      </c>
      <c r="P214" s="246" t="s">
        <v>4712</v>
      </c>
      <c r="Q214" s="212" t="s">
        <v>4713</v>
      </c>
      <c r="R214" s="212" t="s">
        <v>2</v>
      </c>
      <c r="S214" s="213" t="s">
        <v>2</v>
      </c>
      <c r="T214" s="233">
        <v>45587</v>
      </c>
      <c r="U214" s="234" t="s">
        <v>4714</v>
      </c>
      <c r="V214" s="234">
        <v>45646</v>
      </c>
      <c r="W214" s="234">
        <v>45668</v>
      </c>
      <c r="X214" s="234" t="s">
        <v>3527</v>
      </c>
      <c r="Y214" s="234"/>
      <c r="Z214" s="234"/>
      <c r="AA214" s="243">
        <v>202412</v>
      </c>
      <c r="AB214" s="243"/>
      <c r="AC214" s="244" t="s">
        <v>4715</v>
      </c>
      <c r="AD214" s="244"/>
      <c r="AE214" s="245">
        <v>0</v>
      </c>
      <c r="AF214" s="244"/>
      <c r="AG214" s="239" t="s">
        <v>4717</v>
      </c>
      <c r="AH214" s="203" t="s">
        <v>4718</v>
      </c>
      <c r="AI214" s="235" t="s">
        <v>4719</v>
      </c>
      <c r="AJ214" s="235" t="s">
        <v>4720</v>
      </c>
      <c r="AK214" s="235" t="s">
        <v>3708</v>
      </c>
    </row>
    <row r="215" spans="1:37" x14ac:dyDescent="0.3">
      <c r="A215" s="222" t="s">
        <v>4706</v>
      </c>
      <c r="B215" s="222" t="s">
        <v>4707</v>
      </c>
      <c r="C215" s="241" t="s">
        <v>3707</v>
      </c>
      <c r="D215" s="237"/>
      <c r="E215" s="236"/>
      <c r="F215" s="240"/>
      <c r="G215" s="214">
        <v>0</v>
      </c>
      <c r="H215" s="231" t="s">
        <v>3527</v>
      </c>
      <c r="I215" s="231"/>
      <c r="J215" s="231"/>
      <c r="K215" s="231"/>
      <c r="L215" s="231"/>
      <c r="M215" s="231"/>
      <c r="N215" s="231" t="s">
        <v>4710</v>
      </c>
      <c r="O215" s="246" t="s">
        <v>4711</v>
      </c>
      <c r="P215" s="246" t="s">
        <v>4712</v>
      </c>
      <c r="Q215" s="212" t="s">
        <v>4713</v>
      </c>
      <c r="R215" s="212" t="s">
        <v>2</v>
      </c>
      <c r="S215" s="213" t="s">
        <v>2</v>
      </c>
      <c r="T215" s="233">
        <v>45587</v>
      </c>
      <c r="U215" s="234" t="s">
        <v>4714</v>
      </c>
      <c r="V215" s="234">
        <v>45646</v>
      </c>
      <c r="W215" s="234">
        <v>45668</v>
      </c>
      <c r="X215" s="234" t="s">
        <v>3527</v>
      </c>
      <c r="Y215" s="234"/>
      <c r="Z215" s="234"/>
      <c r="AA215" s="243">
        <v>202412</v>
      </c>
      <c r="AB215" s="243"/>
      <c r="AC215" s="244" t="s">
        <v>4715</v>
      </c>
      <c r="AD215" s="244"/>
      <c r="AE215" s="245">
        <v>0</v>
      </c>
      <c r="AF215" s="244"/>
      <c r="AG215" s="239" t="s">
        <v>4717</v>
      </c>
      <c r="AH215" s="203" t="s">
        <v>4718</v>
      </c>
      <c r="AI215" s="235" t="s">
        <v>4719</v>
      </c>
      <c r="AJ215" s="235" t="s">
        <v>4720</v>
      </c>
      <c r="AK215" s="235" t="s">
        <v>3708</v>
      </c>
    </row>
    <row r="216" spans="1:37" x14ac:dyDescent="0.3">
      <c r="A216" s="222" t="s">
        <v>4706</v>
      </c>
      <c r="B216" s="222" t="s">
        <v>4707</v>
      </c>
      <c r="C216" s="241" t="s">
        <v>3707</v>
      </c>
      <c r="D216" s="237"/>
      <c r="E216" s="236"/>
      <c r="F216" s="240"/>
      <c r="G216" s="214">
        <v>0</v>
      </c>
      <c r="H216" s="231" t="s">
        <v>3527</v>
      </c>
      <c r="I216" s="231"/>
      <c r="J216" s="231"/>
      <c r="K216" s="231"/>
      <c r="L216" s="231"/>
      <c r="M216" s="231"/>
      <c r="N216" s="231" t="s">
        <v>4710</v>
      </c>
      <c r="O216" s="246" t="s">
        <v>4711</v>
      </c>
      <c r="P216" s="246" t="s">
        <v>4712</v>
      </c>
      <c r="Q216" s="212" t="s">
        <v>4713</v>
      </c>
      <c r="R216" s="212" t="s">
        <v>2</v>
      </c>
      <c r="S216" s="213" t="s">
        <v>2</v>
      </c>
      <c r="T216" s="233">
        <v>45587</v>
      </c>
      <c r="U216" s="234" t="s">
        <v>4714</v>
      </c>
      <c r="V216" s="234">
        <v>45646</v>
      </c>
      <c r="W216" s="234">
        <v>45668</v>
      </c>
      <c r="X216" s="234" t="s">
        <v>3527</v>
      </c>
      <c r="Y216" s="234"/>
      <c r="Z216" s="234"/>
      <c r="AA216" s="243">
        <v>202412</v>
      </c>
      <c r="AB216" s="243"/>
      <c r="AC216" s="244" t="s">
        <v>4715</v>
      </c>
      <c r="AD216" s="244"/>
      <c r="AE216" s="245">
        <v>0</v>
      </c>
      <c r="AF216" s="244"/>
      <c r="AG216" s="239" t="s">
        <v>4717</v>
      </c>
      <c r="AH216" s="203" t="s">
        <v>4718</v>
      </c>
      <c r="AI216" s="235" t="s">
        <v>4719</v>
      </c>
      <c r="AJ216" s="235" t="s">
        <v>4720</v>
      </c>
      <c r="AK216" s="235" t="s">
        <v>3708</v>
      </c>
    </row>
    <row r="217" spans="1:37" x14ac:dyDescent="0.3">
      <c r="A217" s="222" t="s">
        <v>4706</v>
      </c>
      <c r="B217" s="222" t="s">
        <v>4707</v>
      </c>
      <c r="C217" s="241" t="s">
        <v>3707</v>
      </c>
      <c r="D217" s="237"/>
      <c r="E217" s="236"/>
      <c r="F217" s="240"/>
      <c r="G217" s="214">
        <v>0</v>
      </c>
      <c r="H217" s="231" t="s">
        <v>3527</v>
      </c>
      <c r="I217" s="231"/>
      <c r="J217" s="231"/>
      <c r="K217" s="231"/>
      <c r="L217" s="231"/>
      <c r="M217" s="231"/>
      <c r="N217" s="231" t="s">
        <v>4710</v>
      </c>
      <c r="O217" s="246" t="s">
        <v>4711</v>
      </c>
      <c r="P217" s="246" t="s">
        <v>4712</v>
      </c>
      <c r="Q217" s="212" t="s">
        <v>4713</v>
      </c>
      <c r="R217" s="212" t="s">
        <v>2</v>
      </c>
      <c r="S217" s="213" t="s">
        <v>2</v>
      </c>
      <c r="T217" s="233">
        <v>45587</v>
      </c>
      <c r="U217" s="234" t="s">
        <v>4714</v>
      </c>
      <c r="V217" s="234">
        <v>45646</v>
      </c>
      <c r="W217" s="234">
        <v>45668</v>
      </c>
      <c r="X217" s="234" t="s">
        <v>3527</v>
      </c>
      <c r="Y217" s="234"/>
      <c r="Z217" s="234"/>
      <c r="AA217" s="243">
        <v>202412</v>
      </c>
      <c r="AB217" s="243"/>
      <c r="AC217" s="244" t="s">
        <v>4715</v>
      </c>
      <c r="AD217" s="244"/>
      <c r="AE217" s="245">
        <v>0</v>
      </c>
      <c r="AF217" s="244"/>
      <c r="AG217" s="239" t="s">
        <v>4717</v>
      </c>
      <c r="AH217" s="203" t="s">
        <v>4718</v>
      </c>
      <c r="AI217" s="235" t="s">
        <v>4719</v>
      </c>
      <c r="AJ217" s="235" t="s">
        <v>4720</v>
      </c>
      <c r="AK217" s="235" t="s">
        <v>3708</v>
      </c>
    </row>
    <row r="218" spans="1:37" x14ac:dyDescent="0.3">
      <c r="A218" s="222" t="s">
        <v>4706</v>
      </c>
      <c r="B218" s="222" t="s">
        <v>4707</v>
      </c>
      <c r="C218" s="241" t="s">
        <v>3707</v>
      </c>
      <c r="D218" s="237"/>
      <c r="E218" s="236"/>
      <c r="F218" s="240"/>
      <c r="G218" s="214">
        <v>0</v>
      </c>
      <c r="H218" s="231" t="s">
        <v>3527</v>
      </c>
      <c r="I218" s="231"/>
      <c r="J218" s="231"/>
      <c r="K218" s="231"/>
      <c r="L218" s="231"/>
      <c r="M218" s="231"/>
      <c r="N218" s="231" t="s">
        <v>4710</v>
      </c>
      <c r="O218" s="246" t="s">
        <v>4711</v>
      </c>
      <c r="P218" s="246" t="s">
        <v>4712</v>
      </c>
      <c r="Q218" s="212" t="s">
        <v>4713</v>
      </c>
      <c r="R218" s="212" t="s">
        <v>2</v>
      </c>
      <c r="S218" s="213" t="s">
        <v>2</v>
      </c>
      <c r="T218" s="233">
        <v>45587</v>
      </c>
      <c r="U218" s="234" t="s">
        <v>4714</v>
      </c>
      <c r="V218" s="234">
        <v>45646</v>
      </c>
      <c r="W218" s="234">
        <v>45668</v>
      </c>
      <c r="X218" s="234" t="s">
        <v>3527</v>
      </c>
      <c r="Y218" s="234"/>
      <c r="Z218" s="234"/>
      <c r="AA218" s="243">
        <v>202412</v>
      </c>
      <c r="AB218" s="243"/>
      <c r="AC218" s="244" t="s">
        <v>4715</v>
      </c>
      <c r="AD218" s="244"/>
      <c r="AE218" s="245">
        <v>0</v>
      </c>
      <c r="AF218" s="244"/>
      <c r="AG218" s="239" t="s">
        <v>4717</v>
      </c>
      <c r="AH218" s="203" t="s">
        <v>4718</v>
      </c>
      <c r="AI218" s="235" t="s">
        <v>4719</v>
      </c>
      <c r="AJ218" s="235" t="s">
        <v>4720</v>
      </c>
      <c r="AK218" s="235" t="s">
        <v>3708</v>
      </c>
    </row>
    <row r="219" spans="1:37" x14ac:dyDescent="0.3">
      <c r="A219" s="222" t="s">
        <v>4706</v>
      </c>
      <c r="B219" s="222" t="s">
        <v>4707</v>
      </c>
      <c r="C219" s="241" t="s">
        <v>3707</v>
      </c>
      <c r="D219" s="237"/>
      <c r="E219" s="236"/>
      <c r="F219" s="240"/>
      <c r="G219" s="214">
        <v>0</v>
      </c>
      <c r="H219" s="231" t="s">
        <v>3527</v>
      </c>
      <c r="I219" s="231"/>
      <c r="J219" s="231"/>
      <c r="K219" s="231"/>
      <c r="L219" s="231"/>
      <c r="M219" s="231"/>
      <c r="N219" s="231" t="s">
        <v>4710</v>
      </c>
      <c r="O219" s="246" t="s">
        <v>4711</v>
      </c>
      <c r="P219" s="246" t="s">
        <v>4712</v>
      </c>
      <c r="Q219" s="212" t="s">
        <v>4713</v>
      </c>
      <c r="R219" s="212" t="s">
        <v>2</v>
      </c>
      <c r="S219" s="213" t="s">
        <v>2</v>
      </c>
      <c r="T219" s="233">
        <v>45587</v>
      </c>
      <c r="U219" s="234" t="s">
        <v>4714</v>
      </c>
      <c r="V219" s="234">
        <v>45646</v>
      </c>
      <c r="W219" s="234">
        <v>45668</v>
      </c>
      <c r="X219" s="234" t="s">
        <v>3527</v>
      </c>
      <c r="Y219" s="234"/>
      <c r="Z219" s="234"/>
      <c r="AA219" s="243">
        <v>202412</v>
      </c>
      <c r="AB219" s="243"/>
      <c r="AC219" s="244" t="s">
        <v>4715</v>
      </c>
      <c r="AD219" s="244"/>
      <c r="AE219" s="245">
        <v>0</v>
      </c>
      <c r="AF219" s="244"/>
      <c r="AG219" s="239" t="s">
        <v>4717</v>
      </c>
      <c r="AH219" s="203" t="s">
        <v>4718</v>
      </c>
      <c r="AI219" s="235" t="s">
        <v>4719</v>
      </c>
      <c r="AJ219" s="235" t="s">
        <v>4720</v>
      </c>
      <c r="AK219" s="235" t="s">
        <v>3708</v>
      </c>
    </row>
    <row r="220" spans="1:37" x14ac:dyDescent="0.3">
      <c r="A220" s="222" t="s">
        <v>4706</v>
      </c>
      <c r="B220" s="222" t="s">
        <v>4707</v>
      </c>
      <c r="C220" s="241" t="s">
        <v>3707</v>
      </c>
      <c r="D220" s="237"/>
      <c r="E220" s="236"/>
      <c r="F220" s="240"/>
      <c r="G220" s="214">
        <v>0</v>
      </c>
      <c r="H220" s="231" t="s">
        <v>3527</v>
      </c>
      <c r="I220" s="231"/>
      <c r="J220" s="231"/>
      <c r="K220" s="231"/>
      <c r="L220" s="231"/>
      <c r="M220" s="231"/>
      <c r="N220" s="231" t="s">
        <v>4710</v>
      </c>
      <c r="O220" s="246" t="s">
        <v>4711</v>
      </c>
      <c r="P220" s="246" t="s">
        <v>4712</v>
      </c>
      <c r="Q220" s="212" t="s">
        <v>4713</v>
      </c>
      <c r="R220" s="212" t="s">
        <v>2</v>
      </c>
      <c r="S220" s="213" t="s">
        <v>2</v>
      </c>
      <c r="T220" s="233">
        <v>45587</v>
      </c>
      <c r="U220" s="234" t="s">
        <v>4714</v>
      </c>
      <c r="V220" s="234">
        <v>45646</v>
      </c>
      <c r="W220" s="234">
        <v>45668</v>
      </c>
      <c r="X220" s="234" t="s">
        <v>3527</v>
      </c>
      <c r="Y220" s="234"/>
      <c r="Z220" s="234"/>
      <c r="AA220" s="243">
        <v>202412</v>
      </c>
      <c r="AB220" s="243"/>
      <c r="AC220" s="244" t="s">
        <v>4715</v>
      </c>
      <c r="AD220" s="244"/>
      <c r="AE220" s="245">
        <v>0</v>
      </c>
      <c r="AF220" s="244"/>
      <c r="AG220" s="239" t="s">
        <v>4717</v>
      </c>
      <c r="AH220" s="203" t="s">
        <v>4718</v>
      </c>
      <c r="AI220" s="235" t="s">
        <v>4719</v>
      </c>
      <c r="AJ220" s="235" t="s">
        <v>4720</v>
      </c>
      <c r="AK220" s="235" t="s">
        <v>3708</v>
      </c>
    </row>
    <row r="221" spans="1:37" x14ac:dyDescent="0.3">
      <c r="A221" s="222" t="s">
        <v>4706</v>
      </c>
      <c r="B221" s="222" t="s">
        <v>4707</v>
      </c>
      <c r="C221" s="241" t="s">
        <v>3707</v>
      </c>
      <c r="D221" s="237"/>
      <c r="E221" s="236"/>
      <c r="F221" s="240"/>
      <c r="G221" s="214">
        <v>0</v>
      </c>
      <c r="H221" s="231" t="s">
        <v>3527</v>
      </c>
      <c r="I221" s="231"/>
      <c r="J221" s="231"/>
      <c r="K221" s="231"/>
      <c r="L221" s="231"/>
      <c r="M221" s="231"/>
      <c r="N221" s="231" t="s">
        <v>4710</v>
      </c>
      <c r="O221" s="246" t="s">
        <v>4711</v>
      </c>
      <c r="P221" s="246" t="s">
        <v>4712</v>
      </c>
      <c r="Q221" s="212" t="s">
        <v>4713</v>
      </c>
      <c r="R221" s="212" t="s">
        <v>2</v>
      </c>
      <c r="S221" s="213" t="s">
        <v>2</v>
      </c>
      <c r="T221" s="233">
        <v>45587</v>
      </c>
      <c r="U221" s="234" t="s">
        <v>4714</v>
      </c>
      <c r="V221" s="234">
        <v>45646</v>
      </c>
      <c r="W221" s="234">
        <v>45668</v>
      </c>
      <c r="X221" s="234" t="s">
        <v>3527</v>
      </c>
      <c r="Y221" s="234"/>
      <c r="Z221" s="234"/>
      <c r="AA221" s="243">
        <v>202412</v>
      </c>
      <c r="AB221" s="243"/>
      <c r="AC221" s="244" t="s">
        <v>4715</v>
      </c>
      <c r="AD221" s="244"/>
      <c r="AE221" s="245">
        <v>0</v>
      </c>
      <c r="AF221" s="244"/>
      <c r="AG221" s="239" t="s">
        <v>4717</v>
      </c>
      <c r="AH221" s="203" t="s">
        <v>4718</v>
      </c>
      <c r="AI221" s="235" t="s">
        <v>4719</v>
      </c>
      <c r="AJ221" s="235" t="s">
        <v>4720</v>
      </c>
      <c r="AK221" s="235" t="s">
        <v>3708</v>
      </c>
    </row>
    <row r="222" spans="1:37" x14ac:dyDescent="0.3">
      <c r="A222" s="222" t="s">
        <v>4706</v>
      </c>
      <c r="B222" s="222" t="s">
        <v>4707</v>
      </c>
      <c r="C222" s="241" t="s">
        <v>3707</v>
      </c>
      <c r="D222" s="237"/>
      <c r="E222" s="236"/>
      <c r="F222" s="240"/>
      <c r="G222" s="214">
        <v>0</v>
      </c>
      <c r="H222" s="231" t="s">
        <v>3527</v>
      </c>
      <c r="I222" s="231"/>
      <c r="J222" s="231"/>
      <c r="K222" s="231"/>
      <c r="L222" s="231"/>
      <c r="M222" s="231"/>
      <c r="N222" s="231" t="s">
        <v>4710</v>
      </c>
      <c r="O222" s="246" t="s">
        <v>4711</v>
      </c>
      <c r="P222" s="246" t="s">
        <v>4712</v>
      </c>
      <c r="Q222" s="212" t="s">
        <v>4713</v>
      </c>
      <c r="R222" s="212" t="s">
        <v>2</v>
      </c>
      <c r="S222" s="213" t="s">
        <v>2</v>
      </c>
      <c r="T222" s="233">
        <v>45587</v>
      </c>
      <c r="U222" s="234" t="s">
        <v>4714</v>
      </c>
      <c r="V222" s="234">
        <v>45646</v>
      </c>
      <c r="W222" s="234">
        <v>45668</v>
      </c>
      <c r="X222" s="234" t="s">
        <v>3527</v>
      </c>
      <c r="Y222" s="234"/>
      <c r="Z222" s="234"/>
      <c r="AA222" s="243">
        <v>202412</v>
      </c>
      <c r="AB222" s="243"/>
      <c r="AC222" s="244" t="s">
        <v>4715</v>
      </c>
      <c r="AD222" s="244"/>
      <c r="AE222" s="245">
        <v>0</v>
      </c>
      <c r="AF222" s="244"/>
      <c r="AG222" s="239" t="s">
        <v>4717</v>
      </c>
      <c r="AH222" s="203" t="s">
        <v>4718</v>
      </c>
      <c r="AI222" s="235" t="s">
        <v>4719</v>
      </c>
      <c r="AJ222" s="235" t="s">
        <v>4720</v>
      </c>
      <c r="AK222" s="235" t="s">
        <v>3708</v>
      </c>
    </row>
    <row r="223" spans="1:37" x14ac:dyDescent="0.3">
      <c r="A223" s="222" t="s">
        <v>4706</v>
      </c>
      <c r="B223" s="222" t="s">
        <v>4707</v>
      </c>
      <c r="C223" s="241" t="s">
        <v>3707</v>
      </c>
      <c r="D223" s="237"/>
      <c r="E223" s="236"/>
      <c r="F223" s="240"/>
      <c r="G223" s="214">
        <v>0</v>
      </c>
      <c r="H223" s="231" t="s">
        <v>3527</v>
      </c>
      <c r="I223" s="231"/>
      <c r="J223" s="231"/>
      <c r="K223" s="231"/>
      <c r="L223" s="231"/>
      <c r="M223" s="231"/>
      <c r="N223" s="231" t="s">
        <v>4710</v>
      </c>
      <c r="O223" s="246" t="s">
        <v>4711</v>
      </c>
      <c r="P223" s="246" t="s">
        <v>4712</v>
      </c>
      <c r="Q223" s="212" t="s">
        <v>4713</v>
      </c>
      <c r="R223" s="212" t="s">
        <v>2</v>
      </c>
      <c r="S223" s="213" t="s">
        <v>2</v>
      </c>
      <c r="T223" s="233">
        <v>45587</v>
      </c>
      <c r="U223" s="234" t="s">
        <v>4714</v>
      </c>
      <c r="V223" s="234">
        <v>45646</v>
      </c>
      <c r="W223" s="234">
        <v>45668</v>
      </c>
      <c r="X223" s="234" t="s">
        <v>3527</v>
      </c>
      <c r="Y223" s="234"/>
      <c r="Z223" s="234"/>
      <c r="AA223" s="243">
        <v>202412</v>
      </c>
      <c r="AB223" s="243"/>
      <c r="AC223" s="244" t="s">
        <v>4715</v>
      </c>
      <c r="AD223" s="244"/>
      <c r="AE223" s="245">
        <v>0</v>
      </c>
      <c r="AF223" s="244"/>
      <c r="AG223" s="239" t="s">
        <v>4717</v>
      </c>
      <c r="AH223" s="203" t="s">
        <v>4718</v>
      </c>
      <c r="AI223" s="235" t="s">
        <v>4719</v>
      </c>
      <c r="AJ223" s="235" t="s">
        <v>4720</v>
      </c>
      <c r="AK223" s="235" t="s">
        <v>3708</v>
      </c>
    </row>
    <row r="224" spans="1:37" x14ac:dyDescent="0.3">
      <c r="A224" s="222" t="s">
        <v>4706</v>
      </c>
      <c r="B224" s="222" t="s">
        <v>4707</v>
      </c>
      <c r="C224" s="241" t="s">
        <v>3707</v>
      </c>
      <c r="D224" s="237"/>
      <c r="E224" s="236"/>
      <c r="F224" s="240"/>
      <c r="G224" s="214">
        <v>0</v>
      </c>
      <c r="H224" s="231" t="s">
        <v>3527</v>
      </c>
      <c r="I224" s="231"/>
      <c r="J224" s="231"/>
      <c r="K224" s="231"/>
      <c r="L224" s="231"/>
      <c r="M224" s="231"/>
      <c r="N224" s="231" t="s">
        <v>4710</v>
      </c>
      <c r="O224" s="246" t="s">
        <v>4711</v>
      </c>
      <c r="P224" s="246" t="s">
        <v>4712</v>
      </c>
      <c r="Q224" s="212" t="s">
        <v>4713</v>
      </c>
      <c r="R224" s="212" t="s">
        <v>2</v>
      </c>
      <c r="S224" s="213" t="s">
        <v>2</v>
      </c>
      <c r="T224" s="233">
        <v>45587</v>
      </c>
      <c r="U224" s="234" t="s">
        <v>4714</v>
      </c>
      <c r="V224" s="234">
        <v>45646</v>
      </c>
      <c r="W224" s="234">
        <v>45668</v>
      </c>
      <c r="X224" s="234" t="s">
        <v>3527</v>
      </c>
      <c r="Y224" s="234"/>
      <c r="Z224" s="234"/>
      <c r="AA224" s="243">
        <v>202412</v>
      </c>
      <c r="AB224" s="243"/>
      <c r="AC224" s="244" t="s">
        <v>4715</v>
      </c>
      <c r="AD224" s="244"/>
      <c r="AE224" s="245">
        <v>0</v>
      </c>
      <c r="AF224" s="244"/>
      <c r="AG224" s="239" t="s">
        <v>4717</v>
      </c>
      <c r="AH224" s="203" t="s">
        <v>4718</v>
      </c>
      <c r="AI224" s="235" t="s">
        <v>4719</v>
      </c>
      <c r="AJ224" s="235" t="s">
        <v>4720</v>
      </c>
      <c r="AK224" s="235" t="s">
        <v>3708</v>
      </c>
    </row>
    <row r="225" spans="1:37" x14ac:dyDescent="0.3">
      <c r="A225" s="222" t="s">
        <v>4706</v>
      </c>
      <c r="B225" s="222" t="s">
        <v>4707</v>
      </c>
      <c r="C225" s="241" t="s">
        <v>3707</v>
      </c>
      <c r="D225" s="237"/>
      <c r="E225" s="236"/>
      <c r="F225" s="240"/>
      <c r="G225" s="214">
        <v>0</v>
      </c>
      <c r="H225" s="231" t="s">
        <v>3527</v>
      </c>
      <c r="I225" s="231"/>
      <c r="J225" s="231"/>
      <c r="K225" s="231"/>
      <c r="L225" s="231"/>
      <c r="M225" s="231"/>
      <c r="N225" s="231" t="s">
        <v>4710</v>
      </c>
      <c r="O225" s="246" t="s">
        <v>4711</v>
      </c>
      <c r="P225" s="246" t="s">
        <v>4712</v>
      </c>
      <c r="Q225" s="212" t="s">
        <v>4713</v>
      </c>
      <c r="R225" s="212" t="s">
        <v>2</v>
      </c>
      <c r="S225" s="213" t="s">
        <v>2</v>
      </c>
      <c r="T225" s="233">
        <v>45587</v>
      </c>
      <c r="U225" s="234" t="s">
        <v>4714</v>
      </c>
      <c r="V225" s="234">
        <v>45646</v>
      </c>
      <c r="W225" s="234">
        <v>45668</v>
      </c>
      <c r="X225" s="234" t="s">
        <v>3527</v>
      </c>
      <c r="Y225" s="234"/>
      <c r="Z225" s="234"/>
      <c r="AA225" s="243">
        <v>202412</v>
      </c>
      <c r="AB225" s="243"/>
      <c r="AC225" s="244" t="s">
        <v>4715</v>
      </c>
      <c r="AD225" s="244"/>
      <c r="AE225" s="245">
        <v>0</v>
      </c>
      <c r="AF225" s="244"/>
      <c r="AG225" s="239" t="s">
        <v>4717</v>
      </c>
      <c r="AH225" s="203" t="s">
        <v>4718</v>
      </c>
      <c r="AI225" s="235" t="s">
        <v>4719</v>
      </c>
      <c r="AJ225" s="235" t="s">
        <v>4720</v>
      </c>
      <c r="AK225" s="235" t="s">
        <v>3708</v>
      </c>
    </row>
    <row r="226" spans="1:37" x14ac:dyDescent="0.3">
      <c r="A226" s="222" t="s">
        <v>4706</v>
      </c>
      <c r="B226" s="222" t="s">
        <v>4707</v>
      </c>
      <c r="C226" s="241" t="s">
        <v>3707</v>
      </c>
      <c r="D226" s="237"/>
      <c r="E226" s="236"/>
      <c r="F226" s="240"/>
      <c r="G226" s="214">
        <v>0</v>
      </c>
      <c r="H226" s="231" t="s">
        <v>3527</v>
      </c>
      <c r="I226" s="231"/>
      <c r="J226" s="231"/>
      <c r="K226" s="231"/>
      <c r="L226" s="231"/>
      <c r="M226" s="231"/>
      <c r="N226" s="231" t="s">
        <v>4710</v>
      </c>
      <c r="O226" s="246" t="s">
        <v>4711</v>
      </c>
      <c r="P226" s="246" t="s">
        <v>4712</v>
      </c>
      <c r="Q226" s="212" t="s">
        <v>4713</v>
      </c>
      <c r="R226" s="212" t="s">
        <v>2</v>
      </c>
      <c r="S226" s="213" t="s">
        <v>2</v>
      </c>
      <c r="T226" s="233">
        <v>45587</v>
      </c>
      <c r="U226" s="234" t="s">
        <v>4714</v>
      </c>
      <c r="V226" s="234">
        <v>45646</v>
      </c>
      <c r="W226" s="234">
        <v>45668</v>
      </c>
      <c r="X226" s="234" t="s">
        <v>3527</v>
      </c>
      <c r="Y226" s="234"/>
      <c r="Z226" s="234"/>
      <c r="AA226" s="243">
        <v>202412</v>
      </c>
      <c r="AB226" s="243"/>
      <c r="AC226" s="244" t="s">
        <v>4715</v>
      </c>
      <c r="AD226" s="244"/>
      <c r="AE226" s="245">
        <v>0</v>
      </c>
      <c r="AF226" s="244"/>
      <c r="AG226" s="239" t="s">
        <v>4717</v>
      </c>
      <c r="AH226" s="203" t="s">
        <v>4718</v>
      </c>
      <c r="AI226" s="235" t="s">
        <v>4719</v>
      </c>
      <c r="AJ226" s="235" t="s">
        <v>4720</v>
      </c>
      <c r="AK226" s="235" t="s">
        <v>3708</v>
      </c>
    </row>
    <row r="227" spans="1:37" x14ac:dyDescent="0.3">
      <c r="A227" s="222" t="s">
        <v>4706</v>
      </c>
      <c r="B227" s="222" t="s">
        <v>4707</v>
      </c>
      <c r="C227" s="241" t="s">
        <v>3707</v>
      </c>
      <c r="D227" s="237"/>
      <c r="E227" s="236"/>
      <c r="F227" s="240"/>
      <c r="G227" s="214">
        <v>0</v>
      </c>
      <c r="H227" s="231" t="s">
        <v>3527</v>
      </c>
      <c r="I227" s="231"/>
      <c r="J227" s="231"/>
      <c r="K227" s="231"/>
      <c r="L227" s="231"/>
      <c r="M227" s="231"/>
      <c r="N227" s="231" t="s">
        <v>4710</v>
      </c>
      <c r="O227" s="246" t="s">
        <v>4711</v>
      </c>
      <c r="P227" s="246" t="s">
        <v>4712</v>
      </c>
      <c r="Q227" s="212" t="s">
        <v>4713</v>
      </c>
      <c r="R227" s="212" t="s">
        <v>2</v>
      </c>
      <c r="S227" s="213" t="s">
        <v>2</v>
      </c>
      <c r="T227" s="233">
        <v>45587</v>
      </c>
      <c r="U227" s="234" t="s">
        <v>4714</v>
      </c>
      <c r="V227" s="234">
        <v>45646</v>
      </c>
      <c r="W227" s="234">
        <v>45668</v>
      </c>
      <c r="X227" s="234" t="s">
        <v>3527</v>
      </c>
      <c r="Y227" s="234"/>
      <c r="Z227" s="234"/>
      <c r="AA227" s="243">
        <v>202412</v>
      </c>
      <c r="AB227" s="243"/>
      <c r="AC227" s="244" t="s">
        <v>4715</v>
      </c>
      <c r="AD227" s="244"/>
      <c r="AE227" s="245">
        <v>0</v>
      </c>
      <c r="AF227" s="244"/>
      <c r="AG227" s="239" t="s">
        <v>4717</v>
      </c>
      <c r="AH227" s="203" t="s">
        <v>4718</v>
      </c>
      <c r="AI227" s="235" t="s">
        <v>4719</v>
      </c>
      <c r="AJ227" s="235" t="s">
        <v>4720</v>
      </c>
      <c r="AK227" s="235" t="s">
        <v>3708</v>
      </c>
    </row>
    <row r="228" spans="1:37" x14ac:dyDescent="0.3">
      <c r="A228" s="222" t="s">
        <v>4706</v>
      </c>
      <c r="B228" s="222" t="s">
        <v>4707</v>
      </c>
      <c r="C228" s="241" t="s">
        <v>3707</v>
      </c>
      <c r="D228" s="237"/>
      <c r="E228" s="236"/>
      <c r="F228" s="240"/>
      <c r="G228" s="214">
        <v>0</v>
      </c>
      <c r="H228" s="231" t="s">
        <v>3527</v>
      </c>
      <c r="I228" s="231"/>
      <c r="J228" s="231"/>
      <c r="K228" s="231"/>
      <c r="L228" s="231"/>
      <c r="M228" s="231"/>
      <c r="N228" s="231" t="s">
        <v>4710</v>
      </c>
      <c r="O228" s="246" t="s">
        <v>4711</v>
      </c>
      <c r="P228" s="246" t="s">
        <v>4712</v>
      </c>
      <c r="Q228" s="212" t="s">
        <v>4713</v>
      </c>
      <c r="R228" s="212" t="s">
        <v>2</v>
      </c>
      <c r="S228" s="213" t="s">
        <v>2</v>
      </c>
      <c r="T228" s="233">
        <v>45587</v>
      </c>
      <c r="U228" s="234" t="s">
        <v>4714</v>
      </c>
      <c r="V228" s="234">
        <v>45646</v>
      </c>
      <c r="W228" s="234">
        <v>45668</v>
      </c>
      <c r="X228" s="234" t="s">
        <v>3527</v>
      </c>
      <c r="Y228" s="234"/>
      <c r="Z228" s="234"/>
      <c r="AA228" s="243">
        <v>202412</v>
      </c>
      <c r="AB228" s="243"/>
      <c r="AC228" s="244" t="s">
        <v>4715</v>
      </c>
      <c r="AD228" s="244"/>
      <c r="AE228" s="245">
        <v>0</v>
      </c>
      <c r="AF228" s="244"/>
      <c r="AG228" s="239" t="s">
        <v>4717</v>
      </c>
      <c r="AH228" s="203" t="s">
        <v>4718</v>
      </c>
      <c r="AI228" s="235" t="s">
        <v>4719</v>
      </c>
      <c r="AJ228" s="235" t="s">
        <v>4720</v>
      </c>
      <c r="AK228" s="235" t="s">
        <v>3708</v>
      </c>
    </row>
    <row r="229" spans="1:37" x14ac:dyDescent="0.3">
      <c r="A229" s="222" t="s">
        <v>4706</v>
      </c>
      <c r="B229" s="222" t="s">
        <v>4707</v>
      </c>
      <c r="C229" s="241" t="s">
        <v>3707</v>
      </c>
      <c r="D229" s="237"/>
      <c r="E229" s="236"/>
      <c r="F229" s="240"/>
      <c r="G229" s="214">
        <v>0</v>
      </c>
      <c r="H229" s="231" t="s">
        <v>3527</v>
      </c>
      <c r="I229" s="231"/>
      <c r="J229" s="231"/>
      <c r="K229" s="231"/>
      <c r="L229" s="231"/>
      <c r="M229" s="231"/>
      <c r="N229" s="231" t="s">
        <v>4710</v>
      </c>
      <c r="O229" s="246" t="s">
        <v>4711</v>
      </c>
      <c r="P229" s="246" t="s">
        <v>4712</v>
      </c>
      <c r="Q229" s="212" t="s">
        <v>4713</v>
      </c>
      <c r="R229" s="212" t="s">
        <v>2</v>
      </c>
      <c r="S229" s="213" t="s">
        <v>2</v>
      </c>
      <c r="T229" s="233">
        <v>45587</v>
      </c>
      <c r="U229" s="234" t="s">
        <v>4714</v>
      </c>
      <c r="V229" s="234">
        <v>45646</v>
      </c>
      <c r="W229" s="234">
        <v>45668</v>
      </c>
      <c r="X229" s="234" t="s">
        <v>3527</v>
      </c>
      <c r="Y229" s="234"/>
      <c r="Z229" s="234"/>
      <c r="AA229" s="243">
        <v>202412</v>
      </c>
      <c r="AB229" s="243"/>
      <c r="AC229" s="244" t="s">
        <v>4715</v>
      </c>
      <c r="AD229" s="244"/>
      <c r="AE229" s="245">
        <v>0</v>
      </c>
      <c r="AF229" s="244"/>
      <c r="AG229" s="239" t="s">
        <v>4717</v>
      </c>
      <c r="AH229" s="203" t="s">
        <v>4718</v>
      </c>
      <c r="AI229" s="235" t="s">
        <v>4719</v>
      </c>
      <c r="AJ229" s="235" t="s">
        <v>4720</v>
      </c>
      <c r="AK229" s="235" t="s">
        <v>3708</v>
      </c>
    </row>
    <row r="230" spans="1:37" x14ac:dyDescent="0.3">
      <c r="A230" s="222" t="s">
        <v>4706</v>
      </c>
      <c r="B230" s="222" t="s">
        <v>4707</v>
      </c>
      <c r="C230" s="241" t="s">
        <v>3707</v>
      </c>
      <c r="D230" s="237"/>
      <c r="E230" s="236"/>
      <c r="F230" s="240"/>
      <c r="G230" s="214">
        <v>0</v>
      </c>
      <c r="H230" s="231" t="s">
        <v>3527</v>
      </c>
      <c r="I230" s="231"/>
      <c r="J230" s="231"/>
      <c r="K230" s="231"/>
      <c r="L230" s="231"/>
      <c r="M230" s="231"/>
      <c r="N230" s="231" t="s">
        <v>4710</v>
      </c>
      <c r="O230" s="246" t="s">
        <v>4711</v>
      </c>
      <c r="P230" s="246" t="s">
        <v>4712</v>
      </c>
      <c r="Q230" s="212" t="s">
        <v>4713</v>
      </c>
      <c r="R230" s="212" t="s">
        <v>2</v>
      </c>
      <c r="S230" s="213" t="s">
        <v>2</v>
      </c>
      <c r="T230" s="233">
        <v>45587</v>
      </c>
      <c r="U230" s="234" t="s">
        <v>4714</v>
      </c>
      <c r="V230" s="234">
        <v>45646</v>
      </c>
      <c r="W230" s="234">
        <v>45668</v>
      </c>
      <c r="X230" s="234" t="s">
        <v>3527</v>
      </c>
      <c r="Y230" s="234"/>
      <c r="Z230" s="234"/>
      <c r="AA230" s="243">
        <v>202412</v>
      </c>
      <c r="AB230" s="243"/>
      <c r="AC230" s="244" t="s">
        <v>4715</v>
      </c>
      <c r="AD230" s="244"/>
      <c r="AE230" s="245">
        <v>0</v>
      </c>
      <c r="AF230" s="244"/>
      <c r="AG230" s="239" t="s">
        <v>4717</v>
      </c>
      <c r="AH230" s="203" t="s">
        <v>4718</v>
      </c>
      <c r="AI230" s="235" t="s">
        <v>4719</v>
      </c>
      <c r="AJ230" s="235" t="s">
        <v>4720</v>
      </c>
      <c r="AK230" s="235" t="s">
        <v>3708</v>
      </c>
    </row>
    <row r="231" spans="1:37" x14ac:dyDescent="0.3">
      <c r="A231" s="222" t="s">
        <v>4706</v>
      </c>
      <c r="B231" s="222" t="s">
        <v>4707</v>
      </c>
      <c r="C231" s="241" t="s">
        <v>3707</v>
      </c>
      <c r="D231" s="237"/>
      <c r="E231" s="236"/>
      <c r="F231" s="240"/>
      <c r="G231" s="214">
        <v>0</v>
      </c>
      <c r="H231" s="231" t="s">
        <v>3527</v>
      </c>
      <c r="I231" s="231"/>
      <c r="J231" s="231"/>
      <c r="K231" s="231"/>
      <c r="L231" s="231"/>
      <c r="M231" s="231"/>
      <c r="N231" s="231" t="s">
        <v>4710</v>
      </c>
      <c r="O231" s="246" t="s">
        <v>4711</v>
      </c>
      <c r="P231" s="246" t="s">
        <v>4712</v>
      </c>
      <c r="Q231" s="212" t="s">
        <v>4713</v>
      </c>
      <c r="R231" s="212" t="s">
        <v>2</v>
      </c>
      <c r="S231" s="213" t="s">
        <v>2</v>
      </c>
      <c r="T231" s="233">
        <v>45587</v>
      </c>
      <c r="U231" s="234" t="s">
        <v>4714</v>
      </c>
      <c r="V231" s="234">
        <v>45646</v>
      </c>
      <c r="W231" s="234">
        <v>45668</v>
      </c>
      <c r="X231" s="234" t="s">
        <v>3527</v>
      </c>
      <c r="Y231" s="234"/>
      <c r="Z231" s="234"/>
      <c r="AA231" s="243">
        <v>202412</v>
      </c>
      <c r="AB231" s="243"/>
      <c r="AC231" s="244" t="s">
        <v>4715</v>
      </c>
      <c r="AD231" s="244"/>
      <c r="AE231" s="245">
        <v>0</v>
      </c>
      <c r="AF231" s="244"/>
      <c r="AG231" s="239" t="s">
        <v>4717</v>
      </c>
      <c r="AH231" s="203" t="s">
        <v>4718</v>
      </c>
      <c r="AI231" s="235" t="s">
        <v>4719</v>
      </c>
      <c r="AJ231" s="235" t="s">
        <v>4720</v>
      </c>
      <c r="AK231" s="235" t="s">
        <v>3708</v>
      </c>
    </row>
    <row r="232" spans="1:37" x14ac:dyDescent="0.3">
      <c r="A232" s="222" t="s">
        <v>4706</v>
      </c>
      <c r="B232" s="222" t="s">
        <v>4707</v>
      </c>
      <c r="C232" s="241" t="s">
        <v>3707</v>
      </c>
      <c r="D232" s="237"/>
      <c r="E232" s="236"/>
      <c r="F232" s="240"/>
      <c r="G232" s="214">
        <v>0</v>
      </c>
      <c r="H232" s="231" t="s">
        <v>3527</v>
      </c>
      <c r="I232" s="231"/>
      <c r="J232" s="231"/>
      <c r="K232" s="231"/>
      <c r="L232" s="231"/>
      <c r="M232" s="231"/>
      <c r="N232" s="231" t="s">
        <v>4710</v>
      </c>
      <c r="O232" s="246" t="s">
        <v>4711</v>
      </c>
      <c r="P232" s="246" t="s">
        <v>4712</v>
      </c>
      <c r="Q232" s="212" t="s">
        <v>4713</v>
      </c>
      <c r="R232" s="212" t="s">
        <v>2</v>
      </c>
      <c r="S232" s="213" t="s">
        <v>2</v>
      </c>
      <c r="T232" s="233">
        <v>45587</v>
      </c>
      <c r="U232" s="234" t="s">
        <v>4714</v>
      </c>
      <c r="V232" s="234">
        <v>45646</v>
      </c>
      <c r="W232" s="234">
        <v>45668</v>
      </c>
      <c r="X232" s="234" t="s">
        <v>3527</v>
      </c>
      <c r="Y232" s="234"/>
      <c r="Z232" s="234"/>
      <c r="AA232" s="243">
        <v>202412</v>
      </c>
      <c r="AB232" s="243"/>
      <c r="AC232" s="244" t="s">
        <v>4715</v>
      </c>
      <c r="AD232" s="244"/>
      <c r="AE232" s="245">
        <v>0</v>
      </c>
      <c r="AF232" s="244"/>
      <c r="AG232" s="239" t="s">
        <v>4717</v>
      </c>
      <c r="AH232" s="203" t="s">
        <v>4718</v>
      </c>
      <c r="AI232" s="235" t="s">
        <v>4719</v>
      </c>
      <c r="AJ232" s="235" t="s">
        <v>4720</v>
      </c>
      <c r="AK232" s="235" t="s">
        <v>3708</v>
      </c>
    </row>
    <row r="233" spans="1:37" x14ac:dyDescent="0.3">
      <c r="A233" s="222" t="s">
        <v>4706</v>
      </c>
      <c r="B233" s="222" t="s">
        <v>4707</v>
      </c>
      <c r="C233" s="241" t="s">
        <v>3707</v>
      </c>
      <c r="D233" s="237"/>
      <c r="E233" s="236"/>
      <c r="F233" s="240"/>
      <c r="G233" s="214">
        <v>0</v>
      </c>
      <c r="H233" s="231" t="s">
        <v>3527</v>
      </c>
      <c r="I233" s="231"/>
      <c r="J233" s="231"/>
      <c r="K233" s="231"/>
      <c r="L233" s="231"/>
      <c r="M233" s="231"/>
      <c r="N233" s="231" t="s">
        <v>4710</v>
      </c>
      <c r="O233" s="246" t="s">
        <v>4711</v>
      </c>
      <c r="P233" s="246" t="s">
        <v>4712</v>
      </c>
      <c r="Q233" s="212" t="s">
        <v>4713</v>
      </c>
      <c r="R233" s="212" t="s">
        <v>2</v>
      </c>
      <c r="S233" s="213" t="s">
        <v>2</v>
      </c>
      <c r="T233" s="233">
        <v>45587</v>
      </c>
      <c r="U233" s="234" t="s">
        <v>4714</v>
      </c>
      <c r="V233" s="234">
        <v>45646</v>
      </c>
      <c r="W233" s="234">
        <v>45668</v>
      </c>
      <c r="X233" s="234" t="s">
        <v>3527</v>
      </c>
      <c r="Y233" s="234"/>
      <c r="Z233" s="234"/>
      <c r="AA233" s="243">
        <v>202412</v>
      </c>
      <c r="AB233" s="243"/>
      <c r="AC233" s="244" t="s">
        <v>4715</v>
      </c>
      <c r="AD233" s="244"/>
      <c r="AE233" s="245">
        <v>0</v>
      </c>
      <c r="AF233" s="244"/>
      <c r="AG233" s="239" t="s">
        <v>4717</v>
      </c>
      <c r="AH233" s="203" t="s">
        <v>4718</v>
      </c>
      <c r="AI233" s="235" t="s">
        <v>4719</v>
      </c>
      <c r="AJ233" s="235" t="s">
        <v>4720</v>
      </c>
      <c r="AK233" s="235" t="s">
        <v>3708</v>
      </c>
    </row>
    <row r="234" spans="1:37" x14ac:dyDescent="0.3">
      <c r="A234" s="222" t="s">
        <v>4706</v>
      </c>
      <c r="B234" s="222" t="s">
        <v>4707</v>
      </c>
      <c r="C234" s="241" t="s">
        <v>3707</v>
      </c>
      <c r="D234" s="237"/>
      <c r="E234" s="236"/>
      <c r="F234" s="240"/>
      <c r="G234" s="214">
        <v>0</v>
      </c>
      <c r="H234" s="231" t="s">
        <v>3527</v>
      </c>
      <c r="I234" s="231"/>
      <c r="J234" s="231"/>
      <c r="K234" s="231"/>
      <c r="L234" s="231"/>
      <c r="M234" s="231"/>
      <c r="N234" s="231" t="s">
        <v>4710</v>
      </c>
      <c r="O234" s="246" t="s">
        <v>4711</v>
      </c>
      <c r="P234" s="246" t="s">
        <v>4712</v>
      </c>
      <c r="Q234" s="212" t="s">
        <v>4713</v>
      </c>
      <c r="R234" s="212" t="s">
        <v>2</v>
      </c>
      <c r="S234" s="213" t="s">
        <v>2</v>
      </c>
      <c r="T234" s="233">
        <v>45587</v>
      </c>
      <c r="U234" s="234" t="s">
        <v>4714</v>
      </c>
      <c r="V234" s="234">
        <v>45646</v>
      </c>
      <c r="W234" s="234">
        <v>45668</v>
      </c>
      <c r="X234" s="234" t="s">
        <v>3527</v>
      </c>
      <c r="Y234" s="234"/>
      <c r="Z234" s="234"/>
      <c r="AA234" s="243">
        <v>202412</v>
      </c>
      <c r="AB234" s="243"/>
      <c r="AC234" s="244" t="s">
        <v>4715</v>
      </c>
      <c r="AD234" s="244"/>
      <c r="AE234" s="245">
        <v>0</v>
      </c>
      <c r="AF234" s="244"/>
      <c r="AG234" s="239" t="s">
        <v>4717</v>
      </c>
      <c r="AH234" s="203" t="s">
        <v>4718</v>
      </c>
      <c r="AI234" s="235" t="s">
        <v>4719</v>
      </c>
      <c r="AJ234" s="235" t="s">
        <v>4720</v>
      </c>
      <c r="AK234" s="235" t="s">
        <v>3708</v>
      </c>
    </row>
    <row r="235" spans="1:37" x14ac:dyDescent="0.3">
      <c r="A235" s="222" t="s">
        <v>4706</v>
      </c>
      <c r="B235" s="222" t="s">
        <v>4707</v>
      </c>
      <c r="C235" s="241" t="s">
        <v>3707</v>
      </c>
      <c r="D235" s="237"/>
      <c r="E235" s="236"/>
      <c r="F235" s="240"/>
      <c r="G235" s="214">
        <v>0</v>
      </c>
      <c r="H235" s="231" t="s">
        <v>3527</v>
      </c>
      <c r="I235" s="231"/>
      <c r="J235" s="231"/>
      <c r="K235" s="231"/>
      <c r="L235" s="231"/>
      <c r="M235" s="231"/>
      <c r="N235" s="231" t="s">
        <v>4710</v>
      </c>
      <c r="O235" s="246" t="s">
        <v>4711</v>
      </c>
      <c r="P235" s="246" t="s">
        <v>4712</v>
      </c>
      <c r="Q235" s="212" t="s">
        <v>4713</v>
      </c>
      <c r="R235" s="212" t="s">
        <v>2</v>
      </c>
      <c r="S235" s="213" t="s">
        <v>2</v>
      </c>
      <c r="T235" s="233">
        <v>45587</v>
      </c>
      <c r="U235" s="234" t="s">
        <v>4714</v>
      </c>
      <c r="V235" s="234">
        <v>45646</v>
      </c>
      <c r="W235" s="234">
        <v>45668</v>
      </c>
      <c r="X235" s="234" t="s">
        <v>3527</v>
      </c>
      <c r="Y235" s="234"/>
      <c r="Z235" s="234"/>
      <c r="AA235" s="243">
        <v>202412</v>
      </c>
      <c r="AB235" s="243"/>
      <c r="AC235" s="244" t="s">
        <v>4715</v>
      </c>
      <c r="AD235" s="244"/>
      <c r="AE235" s="245">
        <v>0</v>
      </c>
      <c r="AF235" s="244"/>
      <c r="AG235" s="239" t="s">
        <v>4717</v>
      </c>
      <c r="AH235" s="203" t="s">
        <v>4718</v>
      </c>
      <c r="AI235" s="235" t="s">
        <v>4719</v>
      </c>
      <c r="AJ235" s="235" t="s">
        <v>4720</v>
      </c>
      <c r="AK235" s="235" t="s">
        <v>3708</v>
      </c>
    </row>
    <row r="236" spans="1:37" x14ac:dyDescent="0.3">
      <c r="A236" s="222" t="s">
        <v>4706</v>
      </c>
      <c r="B236" s="222" t="s">
        <v>4707</v>
      </c>
      <c r="C236" s="241" t="s">
        <v>3707</v>
      </c>
      <c r="D236" s="237"/>
      <c r="E236" s="236"/>
      <c r="F236" s="240"/>
      <c r="G236" s="214">
        <v>0</v>
      </c>
      <c r="H236" s="231" t="s">
        <v>3527</v>
      </c>
      <c r="I236" s="231"/>
      <c r="J236" s="231"/>
      <c r="K236" s="231"/>
      <c r="L236" s="231"/>
      <c r="M236" s="231"/>
      <c r="N236" s="231" t="s">
        <v>4710</v>
      </c>
      <c r="O236" s="246" t="s">
        <v>4711</v>
      </c>
      <c r="P236" s="246" t="s">
        <v>4712</v>
      </c>
      <c r="Q236" s="212" t="s">
        <v>4713</v>
      </c>
      <c r="R236" s="212" t="s">
        <v>2</v>
      </c>
      <c r="S236" s="213" t="s">
        <v>2</v>
      </c>
      <c r="T236" s="233">
        <v>45587</v>
      </c>
      <c r="U236" s="234" t="s">
        <v>4714</v>
      </c>
      <c r="V236" s="234">
        <v>45646</v>
      </c>
      <c r="W236" s="234">
        <v>45668</v>
      </c>
      <c r="X236" s="234" t="s">
        <v>3527</v>
      </c>
      <c r="Y236" s="234"/>
      <c r="Z236" s="234"/>
      <c r="AA236" s="243">
        <v>202412</v>
      </c>
      <c r="AB236" s="243"/>
      <c r="AC236" s="244" t="s">
        <v>4715</v>
      </c>
      <c r="AD236" s="244"/>
      <c r="AE236" s="245">
        <v>0</v>
      </c>
      <c r="AF236" s="244"/>
      <c r="AG236" s="239" t="s">
        <v>4717</v>
      </c>
      <c r="AH236" s="203" t="s">
        <v>4718</v>
      </c>
      <c r="AI236" s="235" t="s">
        <v>4719</v>
      </c>
      <c r="AJ236" s="235" t="s">
        <v>4720</v>
      </c>
      <c r="AK236" s="235" t="s">
        <v>3708</v>
      </c>
    </row>
    <row r="237" spans="1:37" x14ac:dyDescent="0.3">
      <c r="A237" s="222" t="s">
        <v>4706</v>
      </c>
      <c r="B237" s="222" t="s">
        <v>4707</v>
      </c>
      <c r="C237" s="241" t="s">
        <v>3707</v>
      </c>
      <c r="D237" s="237"/>
      <c r="E237" s="236"/>
      <c r="F237" s="240"/>
      <c r="G237" s="214">
        <v>0</v>
      </c>
      <c r="H237" s="231" t="s">
        <v>3527</v>
      </c>
      <c r="I237" s="231"/>
      <c r="J237" s="231"/>
      <c r="K237" s="231"/>
      <c r="L237" s="231"/>
      <c r="M237" s="231"/>
      <c r="N237" s="231" t="s">
        <v>4710</v>
      </c>
      <c r="O237" s="246" t="s">
        <v>4711</v>
      </c>
      <c r="P237" s="246" t="s">
        <v>4712</v>
      </c>
      <c r="Q237" s="212" t="s">
        <v>4713</v>
      </c>
      <c r="R237" s="212" t="s">
        <v>2</v>
      </c>
      <c r="S237" s="213" t="s">
        <v>2</v>
      </c>
      <c r="T237" s="233">
        <v>45587</v>
      </c>
      <c r="U237" s="234" t="s">
        <v>4714</v>
      </c>
      <c r="V237" s="234">
        <v>45646</v>
      </c>
      <c r="W237" s="234">
        <v>45668</v>
      </c>
      <c r="X237" s="234" t="s">
        <v>3527</v>
      </c>
      <c r="Y237" s="234"/>
      <c r="Z237" s="234"/>
      <c r="AA237" s="243">
        <v>202412</v>
      </c>
      <c r="AB237" s="243"/>
      <c r="AC237" s="244" t="s">
        <v>4715</v>
      </c>
      <c r="AD237" s="244"/>
      <c r="AE237" s="245">
        <v>0</v>
      </c>
      <c r="AF237" s="244"/>
      <c r="AG237" s="239" t="s">
        <v>4717</v>
      </c>
      <c r="AH237" s="203" t="s">
        <v>4718</v>
      </c>
      <c r="AI237" s="235" t="s">
        <v>4719</v>
      </c>
      <c r="AJ237" s="235" t="s">
        <v>4720</v>
      </c>
      <c r="AK237" s="235" t="s">
        <v>3708</v>
      </c>
    </row>
    <row r="238" spans="1:37" x14ac:dyDescent="0.3">
      <c r="A238" s="222" t="s">
        <v>4706</v>
      </c>
      <c r="B238" s="222" t="s">
        <v>4707</v>
      </c>
      <c r="C238" s="241" t="s">
        <v>3707</v>
      </c>
      <c r="D238" s="237"/>
      <c r="E238" s="236"/>
      <c r="F238" s="240"/>
      <c r="G238" s="214">
        <v>0</v>
      </c>
      <c r="H238" s="231" t="s">
        <v>3527</v>
      </c>
      <c r="I238" s="231"/>
      <c r="J238" s="231"/>
      <c r="K238" s="231"/>
      <c r="L238" s="231"/>
      <c r="M238" s="231"/>
      <c r="N238" s="231" t="s">
        <v>4710</v>
      </c>
      <c r="O238" s="246" t="s">
        <v>4711</v>
      </c>
      <c r="P238" s="246" t="s">
        <v>4712</v>
      </c>
      <c r="Q238" s="212" t="s">
        <v>4713</v>
      </c>
      <c r="R238" s="212" t="s">
        <v>2</v>
      </c>
      <c r="S238" s="213" t="s">
        <v>2</v>
      </c>
      <c r="T238" s="233">
        <v>45587</v>
      </c>
      <c r="U238" s="234" t="s">
        <v>4714</v>
      </c>
      <c r="V238" s="234">
        <v>45646</v>
      </c>
      <c r="W238" s="234">
        <v>45668</v>
      </c>
      <c r="X238" s="234" t="s">
        <v>3527</v>
      </c>
      <c r="Y238" s="234"/>
      <c r="Z238" s="234"/>
      <c r="AA238" s="243">
        <v>202412</v>
      </c>
      <c r="AB238" s="243"/>
      <c r="AC238" s="244" t="s">
        <v>4715</v>
      </c>
      <c r="AD238" s="244"/>
      <c r="AE238" s="245">
        <v>0</v>
      </c>
      <c r="AF238" s="244"/>
      <c r="AG238" s="239" t="s">
        <v>4717</v>
      </c>
      <c r="AH238" s="203" t="s">
        <v>4718</v>
      </c>
      <c r="AI238" s="235" t="s">
        <v>4719</v>
      </c>
      <c r="AJ238" s="235" t="s">
        <v>4720</v>
      </c>
      <c r="AK238" s="235" t="s">
        <v>3708</v>
      </c>
    </row>
    <row r="239" spans="1:37" x14ac:dyDescent="0.3">
      <c r="A239" s="222" t="s">
        <v>4706</v>
      </c>
      <c r="B239" s="222" t="s">
        <v>4707</v>
      </c>
      <c r="C239" s="241" t="s">
        <v>3707</v>
      </c>
      <c r="D239" s="237"/>
      <c r="E239" s="236"/>
      <c r="F239" s="240"/>
      <c r="G239" s="214">
        <v>0</v>
      </c>
      <c r="H239" s="231" t="s">
        <v>3527</v>
      </c>
      <c r="I239" s="231"/>
      <c r="J239" s="231"/>
      <c r="K239" s="231"/>
      <c r="L239" s="231"/>
      <c r="M239" s="231"/>
      <c r="N239" s="231" t="s">
        <v>4710</v>
      </c>
      <c r="O239" s="246" t="s">
        <v>4711</v>
      </c>
      <c r="P239" s="246" t="s">
        <v>4712</v>
      </c>
      <c r="Q239" s="212" t="s">
        <v>4713</v>
      </c>
      <c r="R239" s="212" t="s">
        <v>2</v>
      </c>
      <c r="S239" s="213" t="s">
        <v>2</v>
      </c>
      <c r="T239" s="233">
        <v>45587</v>
      </c>
      <c r="U239" s="234" t="s">
        <v>4714</v>
      </c>
      <c r="V239" s="234">
        <v>45646</v>
      </c>
      <c r="W239" s="234">
        <v>45668</v>
      </c>
      <c r="X239" s="234" t="s">
        <v>3527</v>
      </c>
      <c r="Y239" s="234"/>
      <c r="Z239" s="234"/>
      <c r="AA239" s="243">
        <v>202412</v>
      </c>
      <c r="AB239" s="243"/>
      <c r="AC239" s="244" t="s">
        <v>4715</v>
      </c>
      <c r="AD239" s="244"/>
      <c r="AE239" s="245">
        <v>0</v>
      </c>
      <c r="AF239" s="244"/>
      <c r="AG239" s="239" t="s">
        <v>4717</v>
      </c>
      <c r="AH239" s="203" t="s">
        <v>4718</v>
      </c>
      <c r="AI239" s="235" t="s">
        <v>4719</v>
      </c>
      <c r="AJ239" s="235" t="s">
        <v>4720</v>
      </c>
      <c r="AK239" s="235" t="s">
        <v>3708</v>
      </c>
    </row>
    <row r="240" spans="1:37" x14ac:dyDescent="0.3">
      <c r="A240" s="222" t="s">
        <v>4706</v>
      </c>
      <c r="B240" s="222" t="s">
        <v>4707</v>
      </c>
      <c r="C240" s="241" t="s">
        <v>3707</v>
      </c>
      <c r="D240" s="237"/>
      <c r="E240" s="236"/>
      <c r="F240" s="240"/>
      <c r="G240" s="214">
        <v>0</v>
      </c>
      <c r="H240" s="231" t="s">
        <v>3527</v>
      </c>
      <c r="I240" s="231"/>
      <c r="J240" s="231"/>
      <c r="K240" s="231"/>
      <c r="L240" s="231"/>
      <c r="M240" s="231"/>
      <c r="N240" s="231" t="s">
        <v>4710</v>
      </c>
      <c r="O240" s="246" t="s">
        <v>4711</v>
      </c>
      <c r="P240" s="246" t="s">
        <v>4712</v>
      </c>
      <c r="Q240" s="212" t="s">
        <v>4713</v>
      </c>
      <c r="R240" s="212" t="s">
        <v>2</v>
      </c>
      <c r="S240" s="213" t="s">
        <v>2</v>
      </c>
      <c r="T240" s="233">
        <v>45587</v>
      </c>
      <c r="U240" s="234" t="s">
        <v>4714</v>
      </c>
      <c r="V240" s="234">
        <v>45646</v>
      </c>
      <c r="W240" s="234">
        <v>45668</v>
      </c>
      <c r="X240" s="234" t="s">
        <v>3527</v>
      </c>
      <c r="Y240" s="234"/>
      <c r="Z240" s="234"/>
      <c r="AA240" s="243">
        <v>202412</v>
      </c>
      <c r="AB240" s="243"/>
      <c r="AC240" s="244" t="s">
        <v>4715</v>
      </c>
      <c r="AD240" s="244"/>
      <c r="AE240" s="245">
        <v>0</v>
      </c>
      <c r="AF240" s="244"/>
      <c r="AG240" s="239" t="s">
        <v>4717</v>
      </c>
      <c r="AH240" s="203" t="s">
        <v>4718</v>
      </c>
      <c r="AI240" s="235" t="s">
        <v>4719</v>
      </c>
      <c r="AJ240" s="235" t="s">
        <v>4720</v>
      </c>
      <c r="AK240" s="235" t="s">
        <v>3708</v>
      </c>
    </row>
    <row r="241" spans="1:37" x14ac:dyDescent="0.3">
      <c r="A241" s="222" t="s">
        <v>4706</v>
      </c>
      <c r="B241" s="222" t="s">
        <v>4707</v>
      </c>
      <c r="C241" s="241" t="s">
        <v>3707</v>
      </c>
      <c r="D241" s="237"/>
      <c r="E241" s="236"/>
      <c r="F241" s="240"/>
      <c r="G241" s="214">
        <v>0</v>
      </c>
      <c r="H241" s="231" t="s">
        <v>3527</v>
      </c>
      <c r="I241" s="231"/>
      <c r="J241" s="231"/>
      <c r="K241" s="231"/>
      <c r="L241" s="231"/>
      <c r="M241" s="231"/>
      <c r="N241" s="231" t="s">
        <v>4710</v>
      </c>
      <c r="O241" s="246" t="s">
        <v>4711</v>
      </c>
      <c r="P241" s="246" t="s">
        <v>4712</v>
      </c>
      <c r="Q241" s="212" t="s">
        <v>4713</v>
      </c>
      <c r="R241" s="212" t="s">
        <v>2</v>
      </c>
      <c r="S241" s="213" t="s">
        <v>2</v>
      </c>
      <c r="T241" s="233">
        <v>45587</v>
      </c>
      <c r="U241" s="234" t="s">
        <v>4714</v>
      </c>
      <c r="V241" s="234">
        <v>45646</v>
      </c>
      <c r="W241" s="234">
        <v>45668</v>
      </c>
      <c r="X241" s="234" t="s">
        <v>3527</v>
      </c>
      <c r="Y241" s="234"/>
      <c r="Z241" s="234"/>
      <c r="AA241" s="243">
        <v>202412</v>
      </c>
      <c r="AB241" s="243"/>
      <c r="AC241" s="244" t="s">
        <v>4715</v>
      </c>
      <c r="AD241" s="244"/>
      <c r="AE241" s="245">
        <v>0</v>
      </c>
      <c r="AF241" s="244"/>
      <c r="AG241" s="239" t="s">
        <v>4717</v>
      </c>
      <c r="AH241" s="203" t="s">
        <v>4718</v>
      </c>
      <c r="AI241" s="235" t="s">
        <v>4719</v>
      </c>
      <c r="AJ241" s="235" t="s">
        <v>4720</v>
      </c>
      <c r="AK241" s="235" t="s">
        <v>3708</v>
      </c>
    </row>
    <row r="242" spans="1:37" x14ac:dyDescent="0.3">
      <c r="A242" s="222" t="s">
        <v>4706</v>
      </c>
      <c r="B242" s="222" t="s">
        <v>4707</v>
      </c>
      <c r="C242" s="241" t="s">
        <v>3707</v>
      </c>
      <c r="D242" s="237"/>
      <c r="E242" s="236"/>
      <c r="F242" s="240"/>
      <c r="G242" s="214">
        <v>0</v>
      </c>
      <c r="H242" s="231" t="s">
        <v>3527</v>
      </c>
      <c r="I242" s="231"/>
      <c r="J242" s="231"/>
      <c r="K242" s="231"/>
      <c r="L242" s="231"/>
      <c r="M242" s="231"/>
      <c r="N242" s="231" t="s">
        <v>4710</v>
      </c>
      <c r="O242" s="246" t="s">
        <v>4711</v>
      </c>
      <c r="P242" s="246" t="s">
        <v>4712</v>
      </c>
      <c r="Q242" s="212" t="s">
        <v>4713</v>
      </c>
      <c r="R242" s="212" t="s">
        <v>2</v>
      </c>
      <c r="S242" s="213" t="s">
        <v>2</v>
      </c>
      <c r="T242" s="233">
        <v>45587</v>
      </c>
      <c r="U242" s="234" t="s">
        <v>4714</v>
      </c>
      <c r="V242" s="234">
        <v>45646</v>
      </c>
      <c r="W242" s="234">
        <v>45668</v>
      </c>
      <c r="X242" s="234" t="s">
        <v>3527</v>
      </c>
      <c r="Y242" s="234"/>
      <c r="Z242" s="234"/>
      <c r="AA242" s="243">
        <v>202412</v>
      </c>
      <c r="AB242" s="243"/>
      <c r="AC242" s="244" t="s">
        <v>4715</v>
      </c>
      <c r="AD242" s="244"/>
      <c r="AE242" s="245">
        <v>0</v>
      </c>
      <c r="AF242" s="244"/>
      <c r="AG242" s="239" t="s">
        <v>4717</v>
      </c>
      <c r="AH242" s="203" t="s">
        <v>4718</v>
      </c>
      <c r="AI242" s="235" t="s">
        <v>4719</v>
      </c>
      <c r="AJ242" s="235" t="s">
        <v>4720</v>
      </c>
      <c r="AK242" s="235" t="s">
        <v>3708</v>
      </c>
    </row>
    <row r="243" spans="1:37" x14ac:dyDescent="0.3">
      <c r="A243" s="222" t="s">
        <v>4706</v>
      </c>
      <c r="B243" s="222" t="s">
        <v>4707</v>
      </c>
      <c r="C243" s="241" t="s">
        <v>3707</v>
      </c>
      <c r="D243" s="237"/>
      <c r="E243" s="236"/>
      <c r="F243" s="240"/>
      <c r="G243" s="214">
        <v>0</v>
      </c>
      <c r="H243" s="231" t="s">
        <v>3527</v>
      </c>
      <c r="I243" s="231"/>
      <c r="J243" s="231"/>
      <c r="K243" s="231"/>
      <c r="L243" s="231"/>
      <c r="M243" s="231"/>
      <c r="N243" s="231" t="s">
        <v>4710</v>
      </c>
      <c r="O243" s="246" t="s">
        <v>4711</v>
      </c>
      <c r="P243" s="246" t="s">
        <v>4712</v>
      </c>
      <c r="Q243" s="212" t="s">
        <v>4713</v>
      </c>
      <c r="R243" s="212" t="s">
        <v>2</v>
      </c>
      <c r="S243" s="213" t="s">
        <v>2</v>
      </c>
      <c r="T243" s="233">
        <v>45587</v>
      </c>
      <c r="U243" s="234" t="s">
        <v>4714</v>
      </c>
      <c r="V243" s="234">
        <v>45646</v>
      </c>
      <c r="W243" s="234">
        <v>45668</v>
      </c>
      <c r="X243" s="234" t="s">
        <v>3527</v>
      </c>
      <c r="Y243" s="234"/>
      <c r="Z243" s="234"/>
      <c r="AA243" s="243">
        <v>202412</v>
      </c>
      <c r="AB243" s="243"/>
      <c r="AC243" s="244" t="s">
        <v>4715</v>
      </c>
      <c r="AD243" s="244"/>
      <c r="AE243" s="245">
        <v>0</v>
      </c>
      <c r="AF243" s="244"/>
      <c r="AG243" s="239" t="s">
        <v>4717</v>
      </c>
      <c r="AH243" s="203" t="s">
        <v>4718</v>
      </c>
      <c r="AI243" s="235" t="s">
        <v>4719</v>
      </c>
      <c r="AJ243" s="235" t="s">
        <v>4720</v>
      </c>
      <c r="AK243" s="235" t="s">
        <v>3708</v>
      </c>
    </row>
    <row r="244" spans="1:37" x14ac:dyDescent="0.3">
      <c r="A244" s="222" t="s">
        <v>4706</v>
      </c>
      <c r="B244" s="222" t="s">
        <v>4707</v>
      </c>
      <c r="C244" s="241" t="s">
        <v>3707</v>
      </c>
      <c r="D244" s="237"/>
      <c r="E244" s="236"/>
      <c r="F244" s="240"/>
      <c r="G244" s="214">
        <v>0</v>
      </c>
      <c r="H244" s="231" t="s">
        <v>3527</v>
      </c>
      <c r="I244" s="231"/>
      <c r="J244" s="231"/>
      <c r="K244" s="231"/>
      <c r="L244" s="231"/>
      <c r="M244" s="231"/>
      <c r="N244" s="231" t="s">
        <v>4710</v>
      </c>
      <c r="O244" s="246" t="s">
        <v>4711</v>
      </c>
      <c r="P244" s="246" t="s">
        <v>4712</v>
      </c>
      <c r="Q244" s="212" t="s">
        <v>4713</v>
      </c>
      <c r="R244" s="212" t="s">
        <v>2</v>
      </c>
      <c r="S244" s="213" t="s">
        <v>2</v>
      </c>
      <c r="T244" s="233">
        <v>45587</v>
      </c>
      <c r="U244" s="234" t="s">
        <v>4714</v>
      </c>
      <c r="V244" s="234">
        <v>45646</v>
      </c>
      <c r="W244" s="234">
        <v>45668</v>
      </c>
      <c r="X244" s="234" t="s">
        <v>3527</v>
      </c>
      <c r="Y244" s="234"/>
      <c r="Z244" s="234"/>
      <c r="AA244" s="243">
        <v>202412</v>
      </c>
      <c r="AB244" s="243"/>
      <c r="AC244" s="244" t="s">
        <v>4715</v>
      </c>
      <c r="AD244" s="244"/>
      <c r="AE244" s="245">
        <v>0</v>
      </c>
      <c r="AF244" s="244"/>
      <c r="AG244" s="239" t="s">
        <v>4717</v>
      </c>
      <c r="AH244" s="203" t="s">
        <v>4718</v>
      </c>
      <c r="AI244" s="235" t="s">
        <v>4719</v>
      </c>
      <c r="AJ244" s="235" t="s">
        <v>4720</v>
      </c>
      <c r="AK244" s="235" t="s">
        <v>3708</v>
      </c>
    </row>
    <row r="245" spans="1:37" x14ac:dyDescent="0.3">
      <c r="A245" s="222" t="s">
        <v>4706</v>
      </c>
      <c r="B245" s="222" t="s">
        <v>4707</v>
      </c>
      <c r="C245" s="241" t="s">
        <v>3707</v>
      </c>
      <c r="D245" s="237"/>
      <c r="E245" s="236"/>
      <c r="F245" s="240"/>
      <c r="G245" s="214">
        <v>0</v>
      </c>
      <c r="H245" s="231" t="s">
        <v>3527</v>
      </c>
      <c r="I245" s="231"/>
      <c r="J245" s="231"/>
      <c r="K245" s="231"/>
      <c r="L245" s="231"/>
      <c r="M245" s="231"/>
      <c r="N245" s="231" t="s">
        <v>4710</v>
      </c>
      <c r="O245" s="246" t="s">
        <v>4711</v>
      </c>
      <c r="P245" s="246" t="s">
        <v>4712</v>
      </c>
      <c r="Q245" s="212" t="s">
        <v>4713</v>
      </c>
      <c r="R245" s="212" t="s">
        <v>2</v>
      </c>
      <c r="S245" s="213" t="s">
        <v>2</v>
      </c>
      <c r="T245" s="233">
        <v>45587</v>
      </c>
      <c r="U245" s="234" t="s">
        <v>4714</v>
      </c>
      <c r="V245" s="234">
        <v>45646</v>
      </c>
      <c r="W245" s="234">
        <v>45668</v>
      </c>
      <c r="X245" s="234" t="s">
        <v>3527</v>
      </c>
      <c r="Y245" s="234"/>
      <c r="Z245" s="234"/>
      <c r="AA245" s="243">
        <v>202412</v>
      </c>
      <c r="AB245" s="243"/>
      <c r="AC245" s="244" t="s">
        <v>4715</v>
      </c>
      <c r="AD245" s="244"/>
      <c r="AE245" s="245">
        <v>0</v>
      </c>
      <c r="AF245" s="244"/>
      <c r="AG245" s="239" t="s">
        <v>4717</v>
      </c>
      <c r="AH245" s="203" t="s">
        <v>4718</v>
      </c>
      <c r="AI245" s="235" t="s">
        <v>4719</v>
      </c>
      <c r="AJ245" s="235" t="s">
        <v>4720</v>
      </c>
      <c r="AK245" s="235" t="s">
        <v>3708</v>
      </c>
    </row>
    <row r="246" spans="1:37" x14ac:dyDescent="0.3">
      <c r="A246" s="222" t="s">
        <v>4706</v>
      </c>
      <c r="B246" s="222" t="s">
        <v>4707</v>
      </c>
      <c r="C246" s="241" t="s">
        <v>3707</v>
      </c>
      <c r="D246" s="237"/>
      <c r="E246" s="236"/>
      <c r="F246" s="240"/>
      <c r="G246" s="214">
        <v>0</v>
      </c>
      <c r="H246" s="231" t="s">
        <v>3527</v>
      </c>
      <c r="I246" s="231"/>
      <c r="J246" s="231"/>
      <c r="K246" s="231"/>
      <c r="L246" s="231"/>
      <c r="M246" s="231"/>
      <c r="N246" s="231" t="s">
        <v>4710</v>
      </c>
      <c r="O246" s="246" t="s">
        <v>4711</v>
      </c>
      <c r="P246" s="246" t="s">
        <v>4712</v>
      </c>
      <c r="Q246" s="212" t="s">
        <v>4713</v>
      </c>
      <c r="R246" s="212" t="s">
        <v>2</v>
      </c>
      <c r="S246" s="213" t="s">
        <v>2</v>
      </c>
      <c r="T246" s="233">
        <v>45587</v>
      </c>
      <c r="U246" s="234" t="s">
        <v>4714</v>
      </c>
      <c r="V246" s="234">
        <v>45646</v>
      </c>
      <c r="W246" s="234">
        <v>45668</v>
      </c>
      <c r="X246" s="234" t="s">
        <v>3527</v>
      </c>
      <c r="Y246" s="234"/>
      <c r="Z246" s="234"/>
      <c r="AA246" s="243">
        <v>202412</v>
      </c>
      <c r="AB246" s="243"/>
      <c r="AC246" s="244" t="s">
        <v>4715</v>
      </c>
      <c r="AD246" s="244"/>
      <c r="AE246" s="245">
        <v>0</v>
      </c>
      <c r="AF246" s="244"/>
      <c r="AG246" s="239" t="s">
        <v>4717</v>
      </c>
      <c r="AH246" s="203" t="s">
        <v>4718</v>
      </c>
      <c r="AI246" s="235" t="s">
        <v>4719</v>
      </c>
      <c r="AJ246" s="235" t="s">
        <v>4720</v>
      </c>
      <c r="AK246" s="235" t="s">
        <v>3708</v>
      </c>
    </row>
    <row r="247" spans="1:37" x14ac:dyDescent="0.3">
      <c r="A247" s="222" t="s">
        <v>4706</v>
      </c>
      <c r="B247" s="222" t="s">
        <v>4707</v>
      </c>
      <c r="C247" s="241" t="s">
        <v>3707</v>
      </c>
      <c r="D247" s="237"/>
      <c r="E247" s="236"/>
      <c r="F247" s="240"/>
      <c r="G247" s="214">
        <v>0</v>
      </c>
      <c r="H247" s="231" t="s">
        <v>3527</v>
      </c>
      <c r="I247" s="231"/>
      <c r="J247" s="231"/>
      <c r="K247" s="231"/>
      <c r="L247" s="231"/>
      <c r="M247" s="231"/>
      <c r="N247" s="231" t="s">
        <v>4710</v>
      </c>
      <c r="O247" s="246" t="s">
        <v>4711</v>
      </c>
      <c r="P247" s="246" t="s">
        <v>4712</v>
      </c>
      <c r="Q247" s="212" t="s">
        <v>4713</v>
      </c>
      <c r="R247" s="212" t="s">
        <v>2</v>
      </c>
      <c r="S247" s="213" t="s">
        <v>2</v>
      </c>
      <c r="T247" s="233">
        <v>45587</v>
      </c>
      <c r="U247" s="234" t="s">
        <v>4714</v>
      </c>
      <c r="V247" s="234">
        <v>45646</v>
      </c>
      <c r="W247" s="234">
        <v>45668</v>
      </c>
      <c r="X247" s="234" t="s">
        <v>3527</v>
      </c>
      <c r="Y247" s="234"/>
      <c r="Z247" s="234"/>
      <c r="AA247" s="243">
        <v>202412</v>
      </c>
      <c r="AB247" s="243"/>
      <c r="AC247" s="244" t="s">
        <v>4715</v>
      </c>
      <c r="AD247" s="244"/>
      <c r="AE247" s="245">
        <v>0</v>
      </c>
      <c r="AF247" s="244"/>
      <c r="AG247" s="239" t="s">
        <v>4717</v>
      </c>
      <c r="AH247" s="203" t="s">
        <v>4718</v>
      </c>
      <c r="AI247" s="235" t="s">
        <v>4719</v>
      </c>
      <c r="AJ247" s="235" t="s">
        <v>4720</v>
      </c>
      <c r="AK247" s="235" t="s">
        <v>3708</v>
      </c>
    </row>
    <row r="248" spans="1:37" x14ac:dyDescent="0.3">
      <c r="A248" s="222" t="s">
        <v>4706</v>
      </c>
      <c r="B248" s="222" t="s">
        <v>4707</v>
      </c>
      <c r="C248" s="241" t="s">
        <v>3707</v>
      </c>
      <c r="D248" s="237"/>
      <c r="E248" s="236"/>
      <c r="F248" s="240"/>
      <c r="G248" s="214">
        <v>0</v>
      </c>
      <c r="H248" s="231" t="s">
        <v>3527</v>
      </c>
      <c r="I248" s="231"/>
      <c r="J248" s="231"/>
      <c r="K248" s="231"/>
      <c r="L248" s="231"/>
      <c r="M248" s="231"/>
      <c r="N248" s="231" t="s">
        <v>4710</v>
      </c>
      <c r="O248" s="246" t="s">
        <v>4711</v>
      </c>
      <c r="P248" s="246" t="s">
        <v>4712</v>
      </c>
      <c r="Q248" s="212" t="s">
        <v>4713</v>
      </c>
      <c r="R248" s="212" t="s">
        <v>2</v>
      </c>
      <c r="S248" s="213" t="s">
        <v>2</v>
      </c>
      <c r="T248" s="233">
        <v>45587</v>
      </c>
      <c r="U248" s="234" t="s">
        <v>4714</v>
      </c>
      <c r="V248" s="234">
        <v>45646</v>
      </c>
      <c r="W248" s="234">
        <v>45668</v>
      </c>
      <c r="X248" s="234" t="s">
        <v>3527</v>
      </c>
      <c r="Y248" s="234"/>
      <c r="Z248" s="234"/>
      <c r="AA248" s="243">
        <v>202412</v>
      </c>
      <c r="AB248" s="243"/>
      <c r="AC248" s="244" t="s">
        <v>4715</v>
      </c>
      <c r="AD248" s="244"/>
      <c r="AE248" s="245">
        <v>0</v>
      </c>
      <c r="AF248" s="244"/>
      <c r="AG248" s="239" t="s">
        <v>4717</v>
      </c>
      <c r="AH248" s="203" t="s">
        <v>4718</v>
      </c>
      <c r="AI248" s="235" t="s">
        <v>4719</v>
      </c>
      <c r="AJ248" s="235" t="s">
        <v>4720</v>
      </c>
      <c r="AK248" s="235" t="s">
        <v>3708</v>
      </c>
    </row>
    <row r="249" spans="1:37" x14ac:dyDescent="0.3">
      <c r="A249" s="222" t="s">
        <v>4706</v>
      </c>
      <c r="B249" s="222" t="s">
        <v>4707</v>
      </c>
      <c r="C249" s="241" t="s">
        <v>3707</v>
      </c>
      <c r="D249" s="237"/>
      <c r="E249" s="236"/>
      <c r="F249" s="240"/>
      <c r="G249" s="214">
        <v>0</v>
      </c>
      <c r="H249" s="231" t="s">
        <v>3527</v>
      </c>
      <c r="I249" s="231"/>
      <c r="J249" s="231"/>
      <c r="K249" s="231"/>
      <c r="L249" s="231"/>
      <c r="M249" s="231"/>
      <c r="N249" s="231" t="s">
        <v>4710</v>
      </c>
      <c r="O249" s="246" t="s">
        <v>4711</v>
      </c>
      <c r="P249" s="246" t="s">
        <v>4712</v>
      </c>
      <c r="Q249" s="212" t="s">
        <v>4713</v>
      </c>
      <c r="R249" s="212" t="s">
        <v>2</v>
      </c>
      <c r="S249" s="213" t="s">
        <v>2</v>
      </c>
      <c r="T249" s="233">
        <v>45587</v>
      </c>
      <c r="U249" s="234" t="s">
        <v>4714</v>
      </c>
      <c r="V249" s="234">
        <v>45646</v>
      </c>
      <c r="W249" s="234">
        <v>45668</v>
      </c>
      <c r="X249" s="234" t="s">
        <v>3527</v>
      </c>
      <c r="Y249" s="234"/>
      <c r="Z249" s="234"/>
      <c r="AA249" s="243">
        <v>202412</v>
      </c>
      <c r="AB249" s="243"/>
      <c r="AC249" s="244" t="s">
        <v>4715</v>
      </c>
      <c r="AD249" s="244"/>
      <c r="AE249" s="245">
        <v>0</v>
      </c>
      <c r="AF249" s="244"/>
      <c r="AG249" s="239" t="s">
        <v>4717</v>
      </c>
      <c r="AH249" s="203" t="s">
        <v>4718</v>
      </c>
      <c r="AI249" s="235" t="s">
        <v>4719</v>
      </c>
      <c r="AJ249" s="235" t="s">
        <v>4720</v>
      </c>
      <c r="AK249" s="235" t="s">
        <v>3708</v>
      </c>
    </row>
    <row r="250" spans="1:37" x14ac:dyDescent="0.3">
      <c r="A250" s="222" t="s">
        <v>4706</v>
      </c>
      <c r="B250" s="222" t="s">
        <v>4707</v>
      </c>
      <c r="C250" s="241" t="s">
        <v>3707</v>
      </c>
      <c r="D250" s="237"/>
      <c r="E250" s="236"/>
      <c r="F250" s="240"/>
      <c r="G250" s="214">
        <v>0</v>
      </c>
      <c r="H250" s="231" t="s">
        <v>3527</v>
      </c>
      <c r="I250" s="231"/>
      <c r="J250" s="231"/>
      <c r="K250" s="231"/>
      <c r="L250" s="231"/>
      <c r="M250" s="231"/>
      <c r="N250" s="231" t="s">
        <v>4710</v>
      </c>
      <c r="O250" s="246" t="s">
        <v>4711</v>
      </c>
      <c r="P250" s="246" t="s">
        <v>4712</v>
      </c>
      <c r="Q250" s="212" t="s">
        <v>4713</v>
      </c>
      <c r="R250" s="212" t="s">
        <v>2</v>
      </c>
      <c r="S250" s="213" t="s">
        <v>2</v>
      </c>
      <c r="T250" s="233">
        <v>45587</v>
      </c>
      <c r="U250" s="234" t="s">
        <v>4714</v>
      </c>
      <c r="V250" s="234">
        <v>45646</v>
      </c>
      <c r="W250" s="234">
        <v>45668</v>
      </c>
      <c r="X250" s="234" t="s">
        <v>3527</v>
      </c>
      <c r="Y250" s="234"/>
      <c r="Z250" s="234"/>
      <c r="AA250" s="243">
        <v>202412</v>
      </c>
      <c r="AB250" s="243"/>
      <c r="AC250" s="244" t="s">
        <v>4715</v>
      </c>
      <c r="AD250" s="244"/>
      <c r="AE250" s="245">
        <v>0</v>
      </c>
      <c r="AF250" s="244"/>
      <c r="AG250" s="239" t="s">
        <v>4717</v>
      </c>
      <c r="AH250" s="203" t="s">
        <v>4718</v>
      </c>
      <c r="AI250" s="235" t="s">
        <v>4719</v>
      </c>
      <c r="AJ250" s="235" t="s">
        <v>4720</v>
      </c>
      <c r="AK250" s="235" t="s">
        <v>3708</v>
      </c>
    </row>
    <row r="251" spans="1:37" x14ac:dyDescent="0.3">
      <c r="A251" s="222" t="s">
        <v>4706</v>
      </c>
      <c r="B251" s="222" t="s">
        <v>4707</v>
      </c>
      <c r="C251" s="241" t="s">
        <v>3707</v>
      </c>
      <c r="D251" s="237"/>
      <c r="E251" s="236"/>
      <c r="F251" s="240"/>
      <c r="G251" s="214">
        <v>0</v>
      </c>
      <c r="H251" s="231" t="s">
        <v>3527</v>
      </c>
      <c r="I251" s="231"/>
      <c r="J251" s="231"/>
      <c r="K251" s="231"/>
      <c r="L251" s="231"/>
      <c r="M251" s="231"/>
      <c r="N251" s="231" t="s">
        <v>4710</v>
      </c>
      <c r="O251" s="246" t="s">
        <v>4711</v>
      </c>
      <c r="P251" s="246" t="s">
        <v>4712</v>
      </c>
      <c r="Q251" s="212" t="s">
        <v>4713</v>
      </c>
      <c r="R251" s="212" t="s">
        <v>2</v>
      </c>
      <c r="S251" s="213" t="s">
        <v>2</v>
      </c>
      <c r="T251" s="233">
        <v>45587</v>
      </c>
      <c r="U251" s="234" t="s">
        <v>4714</v>
      </c>
      <c r="V251" s="234">
        <v>45646</v>
      </c>
      <c r="W251" s="234">
        <v>45668</v>
      </c>
      <c r="X251" s="234" t="s">
        <v>3527</v>
      </c>
      <c r="Y251" s="234"/>
      <c r="Z251" s="234"/>
      <c r="AA251" s="243">
        <v>202412</v>
      </c>
      <c r="AB251" s="243"/>
      <c r="AC251" s="244" t="s">
        <v>4715</v>
      </c>
      <c r="AD251" s="244"/>
      <c r="AE251" s="245">
        <v>0</v>
      </c>
      <c r="AF251" s="244"/>
      <c r="AG251" s="239" t="s">
        <v>4717</v>
      </c>
      <c r="AH251" s="203" t="s">
        <v>4718</v>
      </c>
      <c r="AI251" s="235" t="s">
        <v>4719</v>
      </c>
      <c r="AJ251" s="235" t="s">
        <v>4720</v>
      </c>
      <c r="AK251" s="235" t="s">
        <v>3708</v>
      </c>
    </row>
    <row r="252" spans="1:37" x14ac:dyDescent="0.3">
      <c r="A252" s="222" t="s">
        <v>4706</v>
      </c>
      <c r="B252" s="222" t="s">
        <v>4707</v>
      </c>
      <c r="C252" s="241" t="s">
        <v>3707</v>
      </c>
      <c r="D252" s="237"/>
      <c r="E252" s="236"/>
      <c r="F252" s="240"/>
      <c r="G252" s="214">
        <v>0</v>
      </c>
      <c r="H252" s="231" t="s">
        <v>3527</v>
      </c>
      <c r="I252" s="231"/>
      <c r="J252" s="231"/>
      <c r="K252" s="231"/>
      <c r="L252" s="231"/>
      <c r="M252" s="231"/>
      <c r="N252" s="231" t="s">
        <v>4710</v>
      </c>
      <c r="O252" s="246" t="s">
        <v>4711</v>
      </c>
      <c r="P252" s="246" t="s">
        <v>4712</v>
      </c>
      <c r="Q252" s="212" t="s">
        <v>4713</v>
      </c>
      <c r="R252" s="212" t="s">
        <v>2</v>
      </c>
      <c r="S252" s="213" t="s">
        <v>2</v>
      </c>
      <c r="T252" s="233">
        <v>45587</v>
      </c>
      <c r="U252" s="234" t="s">
        <v>4714</v>
      </c>
      <c r="V252" s="234">
        <v>45646</v>
      </c>
      <c r="W252" s="234">
        <v>45668</v>
      </c>
      <c r="X252" s="234" t="s">
        <v>3527</v>
      </c>
      <c r="Y252" s="234"/>
      <c r="Z252" s="234"/>
      <c r="AA252" s="243">
        <v>202412</v>
      </c>
      <c r="AB252" s="243"/>
      <c r="AC252" s="244" t="s">
        <v>4715</v>
      </c>
      <c r="AD252" s="244"/>
      <c r="AE252" s="245">
        <v>0</v>
      </c>
      <c r="AF252" s="244"/>
      <c r="AG252" s="239" t="s">
        <v>4717</v>
      </c>
      <c r="AH252" s="203" t="s">
        <v>4718</v>
      </c>
      <c r="AI252" s="235" t="s">
        <v>4719</v>
      </c>
      <c r="AJ252" s="235" t="s">
        <v>4720</v>
      </c>
      <c r="AK252" s="235" t="s">
        <v>3708</v>
      </c>
    </row>
    <row r="253" spans="1:37" x14ac:dyDescent="0.3">
      <c r="A253" s="222" t="s">
        <v>4706</v>
      </c>
      <c r="B253" s="222" t="s">
        <v>4707</v>
      </c>
      <c r="C253" s="241" t="s">
        <v>3707</v>
      </c>
      <c r="D253" s="237"/>
      <c r="E253" s="236"/>
      <c r="F253" s="240"/>
      <c r="G253" s="214">
        <v>0</v>
      </c>
      <c r="H253" s="231" t="s">
        <v>3527</v>
      </c>
      <c r="I253" s="231"/>
      <c r="J253" s="231"/>
      <c r="K253" s="231"/>
      <c r="L253" s="231"/>
      <c r="M253" s="231"/>
      <c r="N253" s="231" t="s">
        <v>4710</v>
      </c>
      <c r="O253" s="246" t="s">
        <v>4711</v>
      </c>
      <c r="P253" s="246" t="s">
        <v>4712</v>
      </c>
      <c r="Q253" s="212" t="s">
        <v>4713</v>
      </c>
      <c r="R253" s="212" t="s">
        <v>2</v>
      </c>
      <c r="S253" s="213" t="s">
        <v>2</v>
      </c>
      <c r="T253" s="233">
        <v>45587</v>
      </c>
      <c r="U253" s="234" t="s">
        <v>4714</v>
      </c>
      <c r="V253" s="234">
        <v>45646</v>
      </c>
      <c r="W253" s="234">
        <v>45668</v>
      </c>
      <c r="X253" s="234" t="s">
        <v>3527</v>
      </c>
      <c r="Y253" s="234"/>
      <c r="Z253" s="234"/>
      <c r="AA253" s="243">
        <v>202412</v>
      </c>
      <c r="AB253" s="243"/>
      <c r="AC253" s="244" t="s">
        <v>4715</v>
      </c>
      <c r="AD253" s="244"/>
      <c r="AE253" s="245">
        <v>0</v>
      </c>
      <c r="AF253" s="244"/>
      <c r="AG253" s="239" t="s">
        <v>4717</v>
      </c>
      <c r="AH253" s="203" t="s">
        <v>4718</v>
      </c>
      <c r="AI253" s="235" t="s">
        <v>4719</v>
      </c>
      <c r="AJ253" s="235" t="s">
        <v>4720</v>
      </c>
      <c r="AK253" s="235" t="s">
        <v>3708</v>
      </c>
    </row>
    <row r="254" spans="1:37" x14ac:dyDescent="0.3">
      <c r="A254" s="222" t="s">
        <v>4706</v>
      </c>
      <c r="B254" s="222" t="s">
        <v>4707</v>
      </c>
      <c r="C254" s="241" t="s">
        <v>3707</v>
      </c>
      <c r="D254" s="237"/>
      <c r="E254" s="236"/>
      <c r="F254" s="240"/>
      <c r="G254" s="214">
        <v>0</v>
      </c>
      <c r="H254" s="231" t="s">
        <v>3527</v>
      </c>
      <c r="I254" s="231"/>
      <c r="J254" s="231"/>
      <c r="K254" s="231"/>
      <c r="L254" s="231"/>
      <c r="M254" s="231"/>
      <c r="N254" s="231" t="s">
        <v>4710</v>
      </c>
      <c r="O254" s="246" t="s">
        <v>4711</v>
      </c>
      <c r="P254" s="246" t="s">
        <v>4712</v>
      </c>
      <c r="Q254" s="212" t="s">
        <v>4713</v>
      </c>
      <c r="R254" s="212" t="s">
        <v>2</v>
      </c>
      <c r="S254" s="213" t="s">
        <v>2</v>
      </c>
      <c r="T254" s="233">
        <v>45587</v>
      </c>
      <c r="U254" s="234" t="s">
        <v>4714</v>
      </c>
      <c r="V254" s="234">
        <v>45646</v>
      </c>
      <c r="W254" s="234">
        <v>45668</v>
      </c>
      <c r="X254" s="234" t="s">
        <v>3527</v>
      </c>
      <c r="Y254" s="234"/>
      <c r="Z254" s="234"/>
      <c r="AA254" s="243">
        <v>202412</v>
      </c>
      <c r="AB254" s="243"/>
      <c r="AC254" s="244" t="s">
        <v>4715</v>
      </c>
      <c r="AD254" s="244"/>
      <c r="AE254" s="245">
        <v>0</v>
      </c>
      <c r="AF254" s="244"/>
      <c r="AG254" s="239" t="s">
        <v>4717</v>
      </c>
      <c r="AH254" s="203" t="s">
        <v>4718</v>
      </c>
      <c r="AI254" s="235" t="s">
        <v>4719</v>
      </c>
      <c r="AJ254" s="235" t="s">
        <v>4720</v>
      </c>
      <c r="AK254" s="235" t="s">
        <v>3708</v>
      </c>
    </row>
    <row r="255" spans="1:37" x14ac:dyDescent="0.3">
      <c r="A255" s="222" t="s">
        <v>4706</v>
      </c>
      <c r="B255" s="222" t="s">
        <v>4707</v>
      </c>
      <c r="C255" s="241" t="s">
        <v>3707</v>
      </c>
      <c r="D255" s="237"/>
      <c r="E255" s="236"/>
      <c r="F255" s="240"/>
      <c r="G255" s="214">
        <v>0</v>
      </c>
      <c r="H255" s="231" t="s">
        <v>3527</v>
      </c>
      <c r="I255" s="231"/>
      <c r="J255" s="231"/>
      <c r="K255" s="231"/>
      <c r="L255" s="231"/>
      <c r="M255" s="231"/>
      <c r="N255" s="231" t="s">
        <v>4710</v>
      </c>
      <c r="O255" s="246" t="s">
        <v>4711</v>
      </c>
      <c r="P255" s="246" t="s">
        <v>4712</v>
      </c>
      <c r="Q255" s="212" t="s">
        <v>4713</v>
      </c>
      <c r="R255" s="212" t="s">
        <v>2</v>
      </c>
      <c r="S255" s="213" t="s">
        <v>2</v>
      </c>
      <c r="T255" s="233">
        <v>45587</v>
      </c>
      <c r="U255" s="234" t="s">
        <v>4714</v>
      </c>
      <c r="V255" s="234">
        <v>45646</v>
      </c>
      <c r="W255" s="234">
        <v>45668</v>
      </c>
      <c r="X255" s="234" t="s">
        <v>3527</v>
      </c>
      <c r="Y255" s="234"/>
      <c r="Z255" s="234"/>
      <c r="AA255" s="243">
        <v>202412</v>
      </c>
      <c r="AB255" s="243"/>
      <c r="AC255" s="244" t="s">
        <v>4715</v>
      </c>
      <c r="AD255" s="244"/>
      <c r="AE255" s="245">
        <v>0</v>
      </c>
      <c r="AF255" s="244"/>
      <c r="AG255" s="239" t="s">
        <v>4717</v>
      </c>
      <c r="AH255" s="203" t="s">
        <v>4718</v>
      </c>
      <c r="AI255" s="235" t="s">
        <v>4719</v>
      </c>
      <c r="AJ255" s="235" t="s">
        <v>4720</v>
      </c>
      <c r="AK255" s="235" t="s">
        <v>3708</v>
      </c>
    </row>
    <row r="256" spans="1:37" x14ac:dyDescent="0.3">
      <c r="A256" s="222" t="s">
        <v>4706</v>
      </c>
      <c r="B256" s="222" t="s">
        <v>4707</v>
      </c>
      <c r="C256" s="241" t="s">
        <v>3707</v>
      </c>
      <c r="D256" s="237"/>
      <c r="E256" s="236"/>
      <c r="F256" s="240"/>
      <c r="G256" s="214">
        <v>0</v>
      </c>
      <c r="H256" s="231" t="s">
        <v>3527</v>
      </c>
      <c r="I256" s="231"/>
      <c r="J256" s="231"/>
      <c r="K256" s="231"/>
      <c r="L256" s="231"/>
      <c r="M256" s="231"/>
      <c r="N256" s="231" t="s">
        <v>4710</v>
      </c>
      <c r="O256" s="246" t="s">
        <v>4711</v>
      </c>
      <c r="P256" s="246" t="s">
        <v>4712</v>
      </c>
      <c r="Q256" s="212" t="s">
        <v>4713</v>
      </c>
      <c r="R256" s="212" t="s">
        <v>2</v>
      </c>
      <c r="S256" s="213" t="s">
        <v>2</v>
      </c>
      <c r="T256" s="233">
        <v>45587</v>
      </c>
      <c r="U256" s="234" t="s">
        <v>4714</v>
      </c>
      <c r="V256" s="234">
        <v>45646</v>
      </c>
      <c r="W256" s="234">
        <v>45668</v>
      </c>
      <c r="X256" s="234" t="s">
        <v>3527</v>
      </c>
      <c r="Y256" s="234"/>
      <c r="Z256" s="234"/>
      <c r="AA256" s="243">
        <v>202412</v>
      </c>
      <c r="AB256" s="243"/>
      <c r="AC256" s="244" t="s">
        <v>4715</v>
      </c>
      <c r="AD256" s="244"/>
      <c r="AE256" s="245">
        <v>0</v>
      </c>
      <c r="AF256" s="244"/>
      <c r="AG256" s="239" t="s">
        <v>4717</v>
      </c>
      <c r="AH256" s="203" t="s">
        <v>4718</v>
      </c>
      <c r="AI256" s="235" t="s">
        <v>4719</v>
      </c>
      <c r="AJ256" s="235" t="s">
        <v>4720</v>
      </c>
      <c r="AK256" s="235" t="s">
        <v>3708</v>
      </c>
    </row>
    <row r="257" spans="1:37" x14ac:dyDescent="0.3">
      <c r="A257" s="222" t="s">
        <v>4706</v>
      </c>
      <c r="B257" s="222" t="s">
        <v>4707</v>
      </c>
      <c r="C257" s="241" t="s">
        <v>3707</v>
      </c>
      <c r="D257" s="237"/>
      <c r="E257" s="236"/>
      <c r="F257" s="240"/>
      <c r="G257" s="214">
        <v>0</v>
      </c>
      <c r="H257" s="231" t="s">
        <v>3527</v>
      </c>
      <c r="I257" s="231"/>
      <c r="J257" s="231"/>
      <c r="K257" s="231"/>
      <c r="L257" s="231"/>
      <c r="M257" s="231"/>
      <c r="N257" s="231" t="s">
        <v>4710</v>
      </c>
      <c r="O257" s="246" t="s">
        <v>4711</v>
      </c>
      <c r="P257" s="246" t="s">
        <v>4712</v>
      </c>
      <c r="Q257" s="212" t="s">
        <v>4713</v>
      </c>
      <c r="R257" s="212" t="s">
        <v>2</v>
      </c>
      <c r="S257" s="213" t="s">
        <v>2</v>
      </c>
      <c r="T257" s="233">
        <v>45587</v>
      </c>
      <c r="U257" s="234" t="s">
        <v>4714</v>
      </c>
      <c r="V257" s="234">
        <v>45646</v>
      </c>
      <c r="W257" s="234">
        <v>45668</v>
      </c>
      <c r="X257" s="234" t="s">
        <v>3527</v>
      </c>
      <c r="Y257" s="234"/>
      <c r="Z257" s="234"/>
      <c r="AA257" s="243">
        <v>202412</v>
      </c>
      <c r="AB257" s="243"/>
      <c r="AC257" s="244" t="s">
        <v>4715</v>
      </c>
      <c r="AD257" s="244"/>
      <c r="AE257" s="245">
        <v>0</v>
      </c>
      <c r="AF257" s="244"/>
      <c r="AG257" s="239" t="s">
        <v>4717</v>
      </c>
      <c r="AH257" s="203" t="s">
        <v>4718</v>
      </c>
      <c r="AI257" s="235" t="s">
        <v>4719</v>
      </c>
      <c r="AJ257" s="235" t="s">
        <v>4720</v>
      </c>
      <c r="AK257" s="235" t="s">
        <v>3708</v>
      </c>
    </row>
    <row r="258" spans="1:37" x14ac:dyDescent="0.3">
      <c r="A258" s="222" t="s">
        <v>4706</v>
      </c>
      <c r="B258" s="222" t="s">
        <v>4707</v>
      </c>
      <c r="C258" s="241" t="s">
        <v>3707</v>
      </c>
      <c r="D258" s="237"/>
      <c r="E258" s="236"/>
      <c r="F258" s="240"/>
      <c r="G258" s="214">
        <v>0</v>
      </c>
      <c r="H258" s="231" t="s">
        <v>3527</v>
      </c>
      <c r="I258" s="231"/>
      <c r="J258" s="231"/>
      <c r="K258" s="231"/>
      <c r="L258" s="231"/>
      <c r="M258" s="231"/>
      <c r="N258" s="231" t="s">
        <v>4710</v>
      </c>
      <c r="O258" s="246" t="s">
        <v>4711</v>
      </c>
      <c r="P258" s="246" t="s">
        <v>4712</v>
      </c>
      <c r="Q258" s="212" t="s">
        <v>4713</v>
      </c>
      <c r="R258" s="212" t="s">
        <v>2</v>
      </c>
      <c r="S258" s="213" t="s">
        <v>2</v>
      </c>
      <c r="T258" s="233">
        <v>45587</v>
      </c>
      <c r="U258" s="234" t="s">
        <v>4714</v>
      </c>
      <c r="V258" s="234">
        <v>45646</v>
      </c>
      <c r="W258" s="234">
        <v>45668</v>
      </c>
      <c r="X258" s="234" t="s">
        <v>3527</v>
      </c>
      <c r="Y258" s="234"/>
      <c r="Z258" s="234"/>
      <c r="AA258" s="243">
        <v>202412</v>
      </c>
      <c r="AB258" s="243"/>
      <c r="AC258" s="244" t="s">
        <v>4715</v>
      </c>
      <c r="AD258" s="244"/>
      <c r="AE258" s="245">
        <v>0</v>
      </c>
      <c r="AF258" s="244"/>
      <c r="AG258" s="239" t="s">
        <v>4717</v>
      </c>
      <c r="AH258" s="203" t="s">
        <v>4718</v>
      </c>
      <c r="AI258" s="235" t="s">
        <v>4719</v>
      </c>
      <c r="AJ258" s="235" t="s">
        <v>4720</v>
      </c>
      <c r="AK258" s="235" t="s">
        <v>3708</v>
      </c>
    </row>
    <row r="259" spans="1:37" x14ac:dyDescent="0.3">
      <c r="A259" s="222" t="s">
        <v>4706</v>
      </c>
      <c r="B259" s="222" t="s">
        <v>4707</v>
      </c>
      <c r="C259" s="241" t="s">
        <v>3707</v>
      </c>
      <c r="D259" s="237"/>
      <c r="E259" s="236"/>
      <c r="F259" s="240"/>
      <c r="G259" s="214">
        <v>0</v>
      </c>
      <c r="H259" s="231" t="s">
        <v>3527</v>
      </c>
      <c r="I259" s="231"/>
      <c r="J259" s="231"/>
      <c r="K259" s="231"/>
      <c r="L259" s="231"/>
      <c r="M259" s="231"/>
      <c r="N259" s="231" t="s">
        <v>4710</v>
      </c>
      <c r="O259" s="246" t="s">
        <v>4711</v>
      </c>
      <c r="P259" s="246" t="s">
        <v>4712</v>
      </c>
      <c r="Q259" s="212" t="s">
        <v>4713</v>
      </c>
      <c r="R259" s="212" t="s">
        <v>2</v>
      </c>
      <c r="S259" s="213" t="s">
        <v>2</v>
      </c>
      <c r="T259" s="233">
        <v>45587</v>
      </c>
      <c r="U259" s="234" t="s">
        <v>4714</v>
      </c>
      <c r="V259" s="234">
        <v>45646</v>
      </c>
      <c r="W259" s="234">
        <v>45668</v>
      </c>
      <c r="X259" s="234" t="s">
        <v>3527</v>
      </c>
      <c r="Y259" s="234"/>
      <c r="Z259" s="234"/>
      <c r="AA259" s="243">
        <v>202412</v>
      </c>
      <c r="AB259" s="243"/>
      <c r="AC259" s="244" t="s">
        <v>4715</v>
      </c>
      <c r="AD259" s="244"/>
      <c r="AE259" s="245">
        <v>0</v>
      </c>
      <c r="AF259" s="244"/>
      <c r="AG259" s="239" t="s">
        <v>4717</v>
      </c>
      <c r="AH259" s="203" t="s">
        <v>4718</v>
      </c>
      <c r="AI259" s="235" t="s">
        <v>4719</v>
      </c>
      <c r="AJ259" s="235" t="s">
        <v>4720</v>
      </c>
      <c r="AK259" s="235" t="s">
        <v>3708</v>
      </c>
    </row>
    <row r="260" spans="1:37" x14ac:dyDescent="0.3">
      <c r="A260" s="222" t="s">
        <v>4706</v>
      </c>
      <c r="B260" s="222" t="s">
        <v>4707</v>
      </c>
      <c r="C260" s="241" t="s">
        <v>3707</v>
      </c>
      <c r="D260" s="237"/>
      <c r="E260" s="236"/>
      <c r="F260" s="240"/>
      <c r="G260" s="214">
        <v>0</v>
      </c>
      <c r="H260" s="231" t="s">
        <v>3527</v>
      </c>
      <c r="I260" s="231"/>
      <c r="J260" s="231"/>
      <c r="K260" s="231"/>
      <c r="L260" s="231"/>
      <c r="M260" s="231"/>
      <c r="N260" s="231" t="s">
        <v>4710</v>
      </c>
      <c r="O260" s="246" t="s">
        <v>4711</v>
      </c>
      <c r="P260" s="246" t="s">
        <v>4712</v>
      </c>
      <c r="Q260" s="212" t="s">
        <v>4713</v>
      </c>
      <c r="R260" s="212" t="s">
        <v>2</v>
      </c>
      <c r="S260" s="213" t="s">
        <v>2</v>
      </c>
      <c r="T260" s="233">
        <v>45587</v>
      </c>
      <c r="U260" s="234" t="s">
        <v>4714</v>
      </c>
      <c r="V260" s="234">
        <v>45646</v>
      </c>
      <c r="W260" s="234">
        <v>45668</v>
      </c>
      <c r="X260" s="234" t="s">
        <v>3527</v>
      </c>
      <c r="Y260" s="234"/>
      <c r="Z260" s="234"/>
      <c r="AA260" s="243">
        <v>202412</v>
      </c>
      <c r="AB260" s="243"/>
      <c r="AC260" s="244" t="s">
        <v>4715</v>
      </c>
      <c r="AD260" s="244"/>
      <c r="AE260" s="245">
        <v>0</v>
      </c>
      <c r="AF260" s="244"/>
      <c r="AG260" s="239" t="s">
        <v>4717</v>
      </c>
      <c r="AH260" s="203" t="s">
        <v>4718</v>
      </c>
      <c r="AI260" s="235" t="s">
        <v>4719</v>
      </c>
      <c r="AJ260" s="235" t="s">
        <v>4720</v>
      </c>
      <c r="AK260" s="235" t="s">
        <v>3708</v>
      </c>
    </row>
    <row r="261" spans="1:37" x14ac:dyDescent="0.3">
      <c r="A261" s="222" t="s">
        <v>4706</v>
      </c>
      <c r="B261" s="222" t="s">
        <v>4707</v>
      </c>
      <c r="C261" s="241" t="s">
        <v>3707</v>
      </c>
      <c r="D261" s="237"/>
      <c r="E261" s="236"/>
      <c r="F261" s="240"/>
      <c r="G261" s="214">
        <v>0</v>
      </c>
      <c r="H261" s="231" t="s">
        <v>3527</v>
      </c>
      <c r="I261" s="231"/>
      <c r="J261" s="231"/>
      <c r="K261" s="231"/>
      <c r="L261" s="231"/>
      <c r="M261" s="231"/>
      <c r="N261" s="231" t="s">
        <v>4710</v>
      </c>
      <c r="O261" s="246" t="s">
        <v>4711</v>
      </c>
      <c r="P261" s="246" t="s">
        <v>4712</v>
      </c>
      <c r="Q261" s="212" t="s">
        <v>4713</v>
      </c>
      <c r="R261" s="212" t="s">
        <v>2</v>
      </c>
      <c r="S261" s="213" t="s">
        <v>2</v>
      </c>
      <c r="T261" s="233">
        <v>45587</v>
      </c>
      <c r="U261" s="234" t="s">
        <v>4714</v>
      </c>
      <c r="V261" s="234">
        <v>45646</v>
      </c>
      <c r="W261" s="234">
        <v>45668</v>
      </c>
      <c r="X261" s="234" t="s">
        <v>3527</v>
      </c>
      <c r="Y261" s="234"/>
      <c r="Z261" s="234"/>
      <c r="AA261" s="243">
        <v>202412</v>
      </c>
      <c r="AB261" s="243"/>
      <c r="AC261" s="244" t="s">
        <v>4715</v>
      </c>
      <c r="AD261" s="244"/>
      <c r="AE261" s="245">
        <v>0</v>
      </c>
      <c r="AF261" s="244"/>
      <c r="AG261" s="239" t="s">
        <v>4717</v>
      </c>
      <c r="AH261" s="203" t="s">
        <v>4718</v>
      </c>
      <c r="AI261" s="235" t="s">
        <v>4719</v>
      </c>
      <c r="AJ261" s="235" t="s">
        <v>4720</v>
      </c>
      <c r="AK261" s="235" t="s">
        <v>3708</v>
      </c>
    </row>
    <row r="262" spans="1:37" x14ac:dyDescent="0.3">
      <c r="A262" s="222" t="s">
        <v>4706</v>
      </c>
      <c r="B262" s="222" t="s">
        <v>4707</v>
      </c>
      <c r="C262" s="241" t="s">
        <v>3707</v>
      </c>
      <c r="D262" s="237"/>
      <c r="E262" s="236"/>
      <c r="F262" s="240"/>
      <c r="G262" s="214">
        <v>0</v>
      </c>
      <c r="H262" s="231" t="s">
        <v>3527</v>
      </c>
      <c r="I262" s="231"/>
      <c r="J262" s="231"/>
      <c r="K262" s="231"/>
      <c r="L262" s="231"/>
      <c r="M262" s="231"/>
      <c r="N262" s="231" t="s">
        <v>4710</v>
      </c>
      <c r="O262" s="246" t="s">
        <v>4711</v>
      </c>
      <c r="P262" s="246" t="s">
        <v>4712</v>
      </c>
      <c r="Q262" s="212" t="s">
        <v>4713</v>
      </c>
      <c r="R262" s="212" t="s">
        <v>2</v>
      </c>
      <c r="S262" s="213" t="s">
        <v>2</v>
      </c>
      <c r="T262" s="233">
        <v>45587</v>
      </c>
      <c r="U262" s="234" t="s">
        <v>4714</v>
      </c>
      <c r="V262" s="234">
        <v>45646</v>
      </c>
      <c r="W262" s="234">
        <v>45668</v>
      </c>
      <c r="X262" s="234" t="s">
        <v>3527</v>
      </c>
      <c r="Y262" s="234"/>
      <c r="Z262" s="234"/>
      <c r="AA262" s="243">
        <v>202412</v>
      </c>
      <c r="AB262" s="243"/>
      <c r="AC262" s="244" t="s">
        <v>4715</v>
      </c>
      <c r="AD262" s="244"/>
      <c r="AE262" s="245">
        <v>0</v>
      </c>
      <c r="AF262" s="244"/>
      <c r="AG262" s="239" t="s">
        <v>4717</v>
      </c>
      <c r="AH262" s="203" t="s">
        <v>4718</v>
      </c>
      <c r="AI262" s="235" t="s">
        <v>4719</v>
      </c>
      <c r="AJ262" s="235" t="s">
        <v>4720</v>
      </c>
      <c r="AK262" s="235" t="s">
        <v>3708</v>
      </c>
    </row>
    <row r="263" spans="1:37" x14ac:dyDescent="0.3">
      <c r="A263" s="222" t="s">
        <v>4706</v>
      </c>
      <c r="B263" s="222" t="s">
        <v>4707</v>
      </c>
      <c r="C263" s="241" t="s">
        <v>3707</v>
      </c>
      <c r="D263" s="237"/>
      <c r="E263" s="236"/>
      <c r="F263" s="240"/>
      <c r="G263" s="214">
        <v>0</v>
      </c>
      <c r="H263" s="231" t="s">
        <v>3527</v>
      </c>
      <c r="I263" s="231"/>
      <c r="J263" s="231"/>
      <c r="K263" s="231"/>
      <c r="L263" s="231"/>
      <c r="M263" s="231"/>
      <c r="N263" s="231" t="s">
        <v>4710</v>
      </c>
      <c r="O263" s="246" t="s">
        <v>4711</v>
      </c>
      <c r="P263" s="246" t="s">
        <v>4712</v>
      </c>
      <c r="Q263" s="212" t="s">
        <v>4713</v>
      </c>
      <c r="R263" s="212" t="s">
        <v>2</v>
      </c>
      <c r="S263" s="213" t="s">
        <v>2</v>
      </c>
      <c r="T263" s="233">
        <v>45587</v>
      </c>
      <c r="U263" s="234" t="s">
        <v>4714</v>
      </c>
      <c r="V263" s="234">
        <v>45646</v>
      </c>
      <c r="W263" s="234">
        <v>45668</v>
      </c>
      <c r="X263" s="234" t="s">
        <v>3527</v>
      </c>
      <c r="Y263" s="234"/>
      <c r="Z263" s="234"/>
      <c r="AA263" s="243">
        <v>202412</v>
      </c>
      <c r="AB263" s="243"/>
      <c r="AC263" s="244" t="s">
        <v>4715</v>
      </c>
      <c r="AD263" s="244"/>
      <c r="AE263" s="245">
        <v>0</v>
      </c>
      <c r="AF263" s="244"/>
      <c r="AG263" s="239" t="s">
        <v>4717</v>
      </c>
      <c r="AH263" s="203" t="s">
        <v>4718</v>
      </c>
      <c r="AI263" s="235" t="s">
        <v>4719</v>
      </c>
      <c r="AJ263" s="235" t="s">
        <v>4720</v>
      </c>
      <c r="AK263" s="235" t="s">
        <v>3708</v>
      </c>
    </row>
    <row r="264" spans="1:37" x14ac:dyDescent="0.3">
      <c r="A264" s="222" t="s">
        <v>4706</v>
      </c>
      <c r="B264" s="222" t="s">
        <v>4707</v>
      </c>
      <c r="C264" s="241" t="s">
        <v>3707</v>
      </c>
      <c r="D264" s="237"/>
      <c r="E264" s="236"/>
      <c r="F264" s="240"/>
      <c r="G264" s="214">
        <v>0</v>
      </c>
      <c r="H264" s="231" t="s">
        <v>3527</v>
      </c>
      <c r="I264" s="231"/>
      <c r="J264" s="231"/>
      <c r="K264" s="231"/>
      <c r="L264" s="231"/>
      <c r="M264" s="231"/>
      <c r="N264" s="231" t="s">
        <v>4710</v>
      </c>
      <c r="O264" s="246" t="s">
        <v>4711</v>
      </c>
      <c r="P264" s="246" t="s">
        <v>4712</v>
      </c>
      <c r="Q264" s="212" t="s">
        <v>4713</v>
      </c>
      <c r="R264" s="212" t="s">
        <v>2</v>
      </c>
      <c r="S264" s="213" t="s">
        <v>2</v>
      </c>
      <c r="T264" s="233">
        <v>45587</v>
      </c>
      <c r="U264" s="234" t="s">
        <v>4714</v>
      </c>
      <c r="V264" s="234">
        <v>45646</v>
      </c>
      <c r="W264" s="234">
        <v>45668</v>
      </c>
      <c r="X264" s="234" t="s">
        <v>3527</v>
      </c>
      <c r="Y264" s="234"/>
      <c r="Z264" s="234"/>
      <c r="AA264" s="243">
        <v>202412</v>
      </c>
      <c r="AB264" s="243"/>
      <c r="AC264" s="244" t="s">
        <v>4715</v>
      </c>
      <c r="AD264" s="244"/>
      <c r="AE264" s="245">
        <v>0</v>
      </c>
      <c r="AF264" s="244"/>
      <c r="AG264" s="239" t="s">
        <v>4717</v>
      </c>
      <c r="AH264" s="203" t="s">
        <v>4718</v>
      </c>
      <c r="AI264" s="235" t="s">
        <v>4719</v>
      </c>
      <c r="AJ264" s="235" t="s">
        <v>4720</v>
      </c>
      <c r="AK264" s="235" t="s">
        <v>3708</v>
      </c>
    </row>
    <row r="265" spans="1:37" x14ac:dyDescent="0.3">
      <c r="A265" s="222" t="s">
        <v>4706</v>
      </c>
      <c r="B265" s="222" t="s">
        <v>4707</v>
      </c>
      <c r="C265" s="241" t="s">
        <v>3707</v>
      </c>
      <c r="D265" s="237"/>
      <c r="E265" s="236"/>
      <c r="F265" s="240"/>
      <c r="G265" s="214">
        <v>0</v>
      </c>
      <c r="H265" s="231" t="s">
        <v>3527</v>
      </c>
      <c r="I265" s="231"/>
      <c r="J265" s="231"/>
      <c r="K265" s="231"/>
      <c r="L265" s="231"/>
      <c r="M265" s="231"/>
      <c r="N265" s="231" t="s">
        <v>4710</v>
      </c>
      <c r="O265" s="246" t="s">
        <v>4711</v>
      </c>
      <c r="P265" s="246" t="s">
        <v>4712</v>
      </c>
      <c r="Q265" s="212" t="s">
        <v>4713</v>
      </c>
      <c r="R265" s="212" t="s">
        <v>2</v>
      </c>
      <c r="S265" s="213" t="s">
        <v>2</v>
      </c>
      <c r="T265" s="233">
        <v>45587</v>
      </c>
      <c r="U265" s="234" t="s">
        <v>4714</v>
      </c>
      <c r="V265" s="234">
        <v>45646</v>
      </c>
      <c r="W265" s="234">
        <v>45668</v>
      </c>
      <c r="X265" s="234" t="s">
        <v>3527</v>
      </c>
      <c r="Y265" s="234"/>
      <c r="Z265" s="234"/>
      <c r="AA265" s="243">
        <v>202412</v>
      </c>
      <c r="AB265" s="243"/>
      <c r="AC265" s="244" t="s">
        <v>4715</v>
      </c>
      <c r="AD265" s="244"/>
      <c r="AE265" s="245">
        <v>0</v>
      </c>
      <c r="AF265" s="244"/>
      <c r="AG265" s="239" t="s">
        <v>4717</v>
      </c>
      <c r="AH265" s="203" t="s">
        <v>4718</v>
      </c>
      <c r="AI265" s="235" t="s">
        <v>4719</v>
      </c>
      <c r="AJ265" s="235" t="s">
        <v>4720</v>
      </c>
      <c r="AK265" s="235" t="s">
        <v>3708</v>
      </c>
    </row>
    <row r="266" spans="1:37" x14ac:dyDescent="0.3">
      <c r="A266" s="222" t="s">
        <v>4706</v>
      </c>
      <c r="B266" s="222" t="s">
        <v>4707</v>
      </c>
      <c r="C266" s="241" t="s">
        <v>3707</v>
      </c>
      <c r="D266" s="237"/>
      <c r="E266" s="236"/>
      <c r="F266" s="240"/>
      <c r="G266" s="214">
        <v>0</v>
      </c>
      <c r="H266" s="231" t="s">
        <v>3527</v>
      </c>
      <c r="I266" s="231"/>
      <c r="J266" s="231"/>
      <c r="K266" s="231"/>
      <c r="L266" s="231"/>
      <c r="M266" s="231"/>
      <c r="N266" s="231" t="s">
        <v>4710</v>
      </c>
      <c r="O266" s="246" t="s">
        <v>4711</v>
      </c>
      <c r="P266" s="246" t="s">
        <v>4712</v>
      </c>
      <c r="Q266" s="212" t="s">
        <v>4713</v>
      </c>
      <c r="R266" s="212" t="s">
        <v>2</v>
      </c>
      <c r="S266" s="213" t="s">
        <v>2</v>
      </c>
      <c r="T266" s="233">
        <v>45587</v>
      </c>
      <c r="U266" s="234" t="s">
        <v>4714</v>
      </c>
      <c r="V266" s="234">
        <v>45646</v>
      </c>
      <c r="W266" s="234">
        <v>45668</v>
      </c>
      <c r="X266" s="234" t="s">
        <v>3527</v>
      </c>
      <c r="Y266" s="234"/>
      <c r="Z266" s="234"/>
      <c r="AA266" s="243">
        <v>202412</v>
      </c>
      <c r="AB266" s="243"/>
      <c r="AC266" s="244" t="s">
        <v>4715</v>
      </c>
      <c r="AD266" s="244"/>
      <c r="AE266" s="245">
        <v>0</v>
      </c>
      <c r="AF266" s="244"/>
      <c r="AG266" s="239" t="s">
        <v>4717</v>
      </c>
      <c r="AH266" s="203" t="s">
        <v>4718</v>
      </c>
      <c r="AI266" s="235" t="s">
        <v>4719</v>
      </c>
      <c r="AJ266" s="235" t="s">
        <v>4720</v>
      </c>
      <c r="AK266" s="235" t="s">
        <v>3708</v>
      </c>
    </row>
    <row r="267" spans="1:37" x14ac:dyDescent="0.3">
      <c r="A267" s="222" t="s">
        <v>4706</v>
      </c>
      <c r="B267" s="222" t="s">
        <v>4707</v>
      </c>
      <c r="C267" s="241" t="s">
        <v>3707</v>
      </c>
      <c r="D267" s="237"/>
      <c r="E267" s="236"/>
      <c r="F267" s="240"/>
      <c r="G267" s="214">
        <v>0</v>
      </c>
      <c r="H267" s="231" t="s">
        <v>3527</v>
      </c>
      <c r="I267" s="231"/>
      <c r="J267" s="231"/>
      <c r="K267" s="231"/>
      <c r="L267" s="231"/>
      <c r="M267" s="231"/>
      <c r="N267" s="231" t="s">
        <v>4710</v>
      </c>
      <c r="O267" s="246" t="s">
        <v>4711</v>
      </c>
      <c r="P267" s="246" t="s">
        <v>4712</v>
      </c>
      <c r="Q267" s="212" t="s">
        <v>4713</v>
      </c>
      <c r="R267" s="212" t="s">
        <v>2</v>
      </c>
      <c r="S267" s="213" t="s">
        <v>2</v>
      </c>
      <c r="T267" s="233">
        <v>45587</v>
      </c>
      <c r="U267" s="234" t="s">
        <v>4714</v>
      </c>
      <c r="V267" s="234">
        <v>45646</v>
      </c>
      <c r="W267" s="234">
        <v>45668</v>
      </c>
      <c r="X267" s="234" t="s">
        <v>3527</v>
      </c>
      <c r="Y267" s="234"/>
      <c r="Z267" s="234"/>
      <c r="AA267" s="243">
        <v>202412</v>
      </c>
      <c r="AB267" s="243"/>
      <c r="AC267" s="244" t="s">
        <v>4715</v>
      </c>
      <c r="AD267" s="244"/>
      <c r="AE267" s="245">
        <v>0</v>
      </c>
      <c r="AF267" s="244"/>
      <c r="AG267" s="239" t="s">
        <v>4717</v>
      </c>
      <c r="AH267" s="203" t="s">
        <v>4718</v>
      </c>
      <c r="AI267" s="235" t="s">
        <v>4719</v>
      </c>
      <c r="AJ267" s="235" t="s">
        <v>4720</v>
      </c>
      <c r="AK267" s="235" t="s">
        <v>3708</v>
      </c>
    </row>
    <row r="268" spans="1:37" x14ac:dyDescent="0.3">
      <c r="A268" s="222" t="s">
        <v>4706</v>
      </c>
      <c r="B268" s="222" t="s">
        <v>4707</v>
      </c>
      <c r="C268" s="241" t="s">
        <v>3707</v>
      </c>
      <c r="D268" s="237"/>
      <c r="E268" s="236"/>
      <c r="F268" s="240"/>
      <c r="G268" s="214">
        <v>0</v>
      </c>
      <c r="H268" s="231" t="s">
        <v>3527</v>
      </c>
      <c r="I268" s="231"/>
      <c r="J268" s="231"/>
      <c r="K268" s="231"/>
      <c r="L268" s="231"/>
      <c r="M268" s="231"/>
      <c r="N268" s="231" t="s">
        <v>4710</v>
      </c>
      <c r="O268" s="246" t="s">
        <v>4711</v>
      </c>
      <c r="P268" s="246" t="s">
        <v>4712</v>
      </c>
      <c r="Q268" s="212" t="s">
        <v>4713</v>
      </c>
      <c r="R268" s="212" t="s">
        <v>2</v>
      </c>
      <c r="S268" s="213" t="s">
        <v>2</v>
      </c>
      <c r="T268" s="233">
        <v>45587</v>
      </c>
      <c r="U268" s="234" t="s">
        <v>4714</v>
      </c>
      <c r="V268" s="234">
        <v>45646</v>
      </c>
      <c r="W268" s="234">
        <v>45668</v>
      </c>
      <c r="X268" s="234" t="s">
        <v>3527</v>
      </c>
      <c r="Y268" s="234"/>
      <c r="Z268" s="234"/>
      <c r="AA268" s="243">
        <v>202412</v>
      </c>
      <c r="AB268" s="243"/>
      <c r="AC268" s="244" t="s">
        <v>4715</v>
      </c>
      <c r="AD268" s="244"/>
      <c r="AE268" s="245">
        <v>0</v>
      </c>
      <c r="AF268" s="244"/>
      <c r="AG268" s="239" t="s">
        <v>4717</v>
      </c>
      <c r="AH268" s="203" t="s">
        <v>4718</v>
      </c>
      <c r="AI268" s="235" t="s">
        <v>4719</v>
      </c>
      <c r="AJ268" s="235" t="s">
        <v>4720</v>
      </c>
      <c r="AK268" s="235" t="s">
        <v>3708</v>
      </c>
    </row>
    <row r="269" spans="1:37" x14ac:dyDescent="0.3">
      <c r="A269" s="222" t="s">
        <v>4706</v>
      </c>
      <c r="B269" s="222" t="s">
        <v>4707</v>
      </c>
      <c r="C269" s="241" t="s">
        <v>3707</v>
      </c>
      <c r="D269" s="237"/>
      <c r="E269" s="236"/>
      <c r="F269" s="240"/>
      <c r="G269" s="214">
        <v>0</v>
      </c>
      <c r="H269" s="231" t="s">
        <v>3527</v>
      </c>
      <c r="I269" s="231"/>
      <c r="J269" s="231"/>
      <c r="K269" s="231"/>
      <c r="L269" s="231"/>
      <c r="M269" s="231"/>
      <c r="N269" s="231" t="s">
        <v>4710</v>
      </c>
      <c r="O269" s="246" t="s">
        <v>4711</v>
      </c>
      <c r="P269" s="246" t="s">
        <v>4712</v>
      </c>
      <c r="Q269" s="212" t="s">
        <v>4713</v>
      </c>
      <c r="R269" s="212" t="s">
        <v>2</v>
      </c>
      <c r="S269" s="213" t="s">
        <v>2</v>
      </c>
      <c r="T269" s="233">
        <v>45587</v>
      </c>
      <c r="U269" s="234" t="s">
        <v>4714</v>
      </c>
      <c r="V269" s="234">
        <v>45646</v>
      </c>
      <c r="W269" s="234">
        <v>45668</v>
      </c>
      <c r="X269" s="234" t="s">
        <v>3527</v>
      </c>
      <c r="Y269" s="234"/>
      <c r="Z269" s="234"/>
      <c r="AA269" s="243">
        <v>202412</v>
      </c>
      <c r="AB269" s="243"/>
      <c r="AC269" s="244" t="s">
        <v>4715</v>
      </c>
      <c r="AD269" s="244"/>
      <c r="AE269" s="245">
        <v>0</v>
      </c>
      <c r="AF269" s="244"/>
      <c r="AG269" s="239" t="s">
        <v>4717</v>
      </c>
      <c r="AH269" s="203" t="s">
        <v>4718</v>
      </c>
      <c r="AI269" s="235" t="s">
        <v>4719</v>
      </c>
      <c r="AJ269" s="235" t="s">
        <v>4720</v>
      </c>
      <c r="AK269" s="235" t="s">
        <v>3708</v>
      </c>
    </row>
    <row r="270" spans="1:37" x14ac:dyDescent="0.3">
      <c r="A270" s="222" t="s">
        <v>4706</v>
      </c>
      <c r="B270" s="222" t="s">
        <v>4707</v>
      </c>
      <c r="C270" s="241" t="s">
        <v>3707</v>
      </c>
      <c r="D270" s="237"/>
      <c r="E270" s="236"/>
      <c r="F270" s="240"/>
      <c r="G270" s="214">
        <v>0</v>
      </c>
      <c r="H270" s="231" t="s">
        <v>3527</v>
      </c>
      <c r="I270" s="231"/>
      <c r="J270" s="231"/>
      <c r="K270" s="231"/>
      <c r="L270" s="231"/>
      <c r="M270" s="231"/>
      <c r="N270" s="231" t="s">
        <v>4710</v>
      </c>
      <c r="O270" s="246" t="s">
        <v>4711</v>
      </c>
      <c r="P270" s="246" t="s">
        <v>4712</v>
      </c>
      <c r="Q270" s="212" t="s">
        <v>4713</v>
      </c>
      <c r="R270" s="212" t="s">
        <v>2</v>
      </c>
      <c r="S270" s="213" t="s">
        <v>2</v>
      </c>
      <c r="T270" s="233">
        <v>45587</v>
      </c>
      <c r="U270" s="234" t="s">
        <v>4714</v>
      </c>
      <c r="V270" s="234">
        <v>45646</v>
      </c>
      <c r="W270" s="234">
        <v>45668</v>
      </c>
      <c r="X270" s="234" t="s">
        <v>3527</v>
      </c>
      <c r="Y270" s="234"/>
      <c r="Z270" s="234"/>
      <c r="AA270" s="243">
        <v>202412</v>
      </c>
      <c r="AB270" s="243"/>
      <c r="AC270" s="244" t="s">
        <v>4715</v>
      </c>
      <c r="AD270" s="244"/>
      <c r="AE270" s="245">
        <v>0</v>
      </c>
      <c r="AF270" s="244"/>
      <c r="AG270" s="239" t="s">
        <v>4717</v>
      </c>
      <c r="AH270" s="203" t="s">
        <v>4718</v>
      </c>
      <c r="AI270" s="235" t="s">
        <v>4719</v>
      </c>
      <c r="AJ270" s="235" t="s">
        <v>4720</v>
      </c>
      <c r="AK270" s="235" t="s">
        <v>3708</v>
      </c>
    </row>
    <row r="271" spans="1:37" x14ac:dyDescent="0.3">
      <c r="A271" s="222" t="s">
        <v>4706</v>
      </c>
      <c r="B271" s="222" t="s">
        <v>4707</v>
      </c>
      <c r="C271" s="241" t="s">
        <v>3707</v>
      </c>
      <c r="D271" s="237"/>
      <c r="E271" s="236"/>
      <c r="F271" s="240"/>
      <c r="G271" s="214">
        <v>0</v>
      </c>
      <c r="H271" s="231" t="s">
        <v>3527</v>
      </c>
      <c r="I271" s="231"/>
      <c r="J271" s="231"/>
      <c r="K271" s="231"/>
      <c r="L271" s="231"/>
      <c r="M271" s="231"/>
      <c r="N271" s="231" t="s">
        <v>4710</v>
      </c>
      <c r="O271" s="246" t="s">
        <v>4711</v>
      </c>
      <c r="P271" s="246" t="s">
        <v>4712</v>
      </c>
      <c r="Q271" s="212" t="s">
        <v>4713</v>
      </c>
      <c r="R271" s="212" t="s">
        <v>2</v>
      </c>
      <c r="S271" s="213" t="s">
        <v>2</v>
      </c>
      <c r="T271" s="233">
        <v>45587</v>
      </c>
      <c r="U271" s="234" t="s">
        <v>4714</v>
      </c>
      <c r="V271" s="234">
        <v>45646</v>
      </c>
      <c r="W271" s="234">
        <v>45668</v>
      </c>
      <c r="X271" s="234" t="s">
        <v>3527</v>
      </c>
      <c r="Y271" s="234"/>
      <c r="Z271" s="234"/>
      <c r="AA271" s="243">
        <v>202412</v>
      </c>
      <c r="AB271" s="243"/>
      <c r="AC271" s="244" t="s">
        <v>4715</v>
      </c>
      <c r="AD271" s="244"/>
      <c r="AE271" s="245">
        <v>0</v>
      </c>
      <c r="AF271" s="244"/>
      <c r="AG271" s="239" t="s">
        <v>4717</v>
      </c>
      <c r="AH271" s="203" t="s">
        <v>4718</v>
      </c>
      <c r="AI271" s="235" t="s">
        <v>4719</v>
      </c>
      <c r="AJ271" s="235" t="s">
        <v>4720</v>
      </c>
      <c r="AK271" s="235" t="s">
        <v>3708</v>
      </c>
    </row>
    <row r="272" spans="1:37" x14ac:dyDescent="0.3">
      <c r="A272" s="222" t="s">
        <v>4706</v>
      </c>
      <c r="B272" s="222" t="s">
        <v>4707</v>
      </c>
      <c r="C272" s="241" t="s">
        <v>3707</v>
      </c>
      <c r="D272" s="237"/>
      <c r="E272" s="236"/>
      <c r="F272" s="240"/>
      <c r="G272" s="214">
        <v>0</v>
      </c>
      <c r="H272" s="231" t="s">
        <v>3527</v>
      </c>
      <c r="I272" s="231"/>
      <c r="J272" s="231"/>
      <c r="K272" s="231"/>
      <c r="L272" s="231"/>
      <c r="M272" s="231"/>
      <c r="N272" s="231" t="s">
        <v>4710</v>
      </c>
      <c r="O272" s="246" t="s">
        <v>4711</v>
      </c>
      <c r="P272" s="246" t="s">
        <v>4712</v>
      </c>
      <c r="Q272" s="212" t="s">
        <v>4713</v>
      </c>
      <c r="R272" s="212" t="s">
        <v>2</v>
      </c>
      <c r="S272" s="213" t="s">
        <v>2</v>
      </c>
      <c r="T272" s="233">
        <v>45587</v>
      </c>
      <c r="U272" s="234" t="s">
        <v>4714</v>
      </c>
      <c r="V272" s="234">
        <v>45646</v>
      </c>
      <c r="W272" s="234">
        <v>45668</v>
      </c>
      <c r="X272" s="234" t="s">
        <v>3527</v>
      </c>
      <c r="Y272" s="234"/>
      <c r="Z272" s="234"/>
      <c r="AA272" s="243">
        <v>202412</v>
      </c>
      <c r="AB272" s="243"/>
      <c r="AC272" s="244" t="s">
        <v>4715</v>
      </c>
      <c r="AD272" s="244"/>
      <c r="AE272" s="245">
        <v>0</v>
      </c>
      <c r="AF272" s="244"/>
      <c r="AG272" s="239" t="s">
        <v>4717</v>
      </c>
      <c r="AH272" s="203" t="s">
        <v>4718</v>
      </c>
      <c r="AI272" s="235" t="s">
        <v>4719</v>
      </c>
      <c r="AJ272" s="235" t="s">
        <v>4720</v>
      </c>
      <c r="AK272" s="235" t="s">
        <v>3708</v>
      </c>
    </row>
    <row r="273" spans="1:38" x14ac:dyDescent="0.3">
      <c r="A273" s="222" t="s">
        <v>4706</v>
      </c>
      <c r="B273" s="222" t="s">
        <v>4707</v>
      </c>
      <c r="C273" s="241" t="s">
        <v>3707</v>
      </c>
      <c r="D273" s="237"/>
      <c r="E273" s="236"/>
      <c r="F273" s="240"/>
      <c r="G273" s="214">
        <v>0</v>
      </c>
      <c r="H273" s="231" t="s">
        <v>3527</v>
      </c>
      <c r="I273" s="231"/>
      <c r="J273" s="231"/>
      <c r="K273" s="231"/>
      <c r="L273" s="231"/>
      <c r="M273" s="231"/>
      <c r="N273" s="231" t="s">
        <v>4710</v>
      </c>
      <c r="O273" s="246" t="s">
        <v>4711</v>
      </c>
      <c r="P273" s="246" t="s">
        <v>4712</v>
      </c>
      <c r="Q273" s="212" t="s">
        <v>4713</v>
      </c>
      <c r="R273" s="212" t="s">
        <v>2</v>
      </c>
      <c r="S273" s="213" t="s">
        <v>2</v>
      </c>
      <c r="T273" s="233">
        <v>45587</v>
      </c>
      <c r="U273" s="234" t="s">
        <v>4714</v>
      </c>
      <c r="V273" s="234">
        <v>45646</v>
      </c>
      <c r="W273" s="234">
        <v>45668</v>
      </c>
      <c r="X273" s="234" t="s">
        <v>3527</v>
      </c>
      <c r="Y273" s="234"/>
      <c r="Z273" s="234"/>
      <c r="AA273" s="243">
        <v>202412</v>
      </c>
      <c r="AB273" s="243"/>
      <c r="AC273" s="244" t="s">
        <v>4715</v>
      </c>
      <c r="AD273" s="244"/>
      <c r="AE273" s="245">
        <v>0</v>
      </c>
      <c r="AF273" s="244"/>
      <c r="AG273" s="239" t="s">
        <v>4717</v>
      </c>
      <c r="AH273" s="203" t="s">
        <v>4718</v>
      </c>
      <c r="AI273" s="235" t="s">
        <v>4719</v>
      </c>
      <c r="AJ273" s="235" t="s">
        <v>4720</v>
      </c>
      <c r="AK273" s="235" t="s">
        <v>3708</v>
      </c>
    </row>
    <row r="274" spans="1:38" x14ac:dyDescent="0.3">
      <c r="A274" s="222" t="s">
        <v>4706</v>
      </c>
      <c r="B274" s="222" t="s">
        <v>4707</v>
      </c>
      <c r="C274" s="241" t="s">
        <v>3707</v>
      </c>
      <c r="D274" s="237"/>
      <c r="E274" s="236"/>
      <c r="F274" s="240"/>
      <c r="G274" s="214">
        <v>0</v>
      </c>
      <c r="H274" s="231" t="s">
        <v>3527</v>
      </c>
      <c r="I274" s="231"/>
      <c r="J274" s="231"/>
      <c r="K274" s="231"/>
      <c r="L274" s="231"/>
      <c r="M274" s="231"/>
      <c r="N274" s="231" t="s">
        <v>4710</v>
      </c>
      <c r="O274" s="246" t="s">
        <v>4711</v>
      </c>
      <c r="P274" s="246" t="s">
        <v>4712</v>
      </c>
      <c r="Q274" s="212" t="s">
        <v>4713</v>
      </c>
      <c r="R274" s="212" t="s">
        <v>2</v>
      </c>
      <c r="S274" s="213" t="s">
        <v>2</v>
      </c>
      <c r="T274" s="233">
        <v>45587</v>
      </c>
      <c r="U274" s="234" t="s">
        <v>4714</v>
      </c>
      <c r="V274" s="234">
        <v>45646</v>
      </c>
      <c r="W274" s="234">
        <v>45668</v>
      </c>
      <c r="X274" s="234" t="s">
        <v>3527</v>
      </c>
      <c r="Y274" s="234"/>
      <c r="Z274" s="234"/>
      <c r="AA274" s="243">
        <v>202412</v>
      </c>
      <c r="AB274" s="243"/>
      <c r="AC274" s="244" t="s">
        <v>4715</v>
      </c>
      <c r="AD274" s="244"/>
      <c r="AE274" s="245">
        <v>0</v>
      </c>
      <c r="AF274" s="244"/>
      <c r="AG274" s="239" t="s">
        <v>4717</v>
      </c>
      <c r="AH274" s="203" t="s">
        <v>4718</v>
      </c>
      <c r="AI274" s="235" t="s">
        <v>4719</v>
      </c>
      <c r="AJ274" s="235" t="s">
        <v>4720</v>
      </c>
      <c r="AK274" s="235" t="s">
        <v>3708</v>
      </c>
    </row>
    <row r="275" spans="1:38" x14ac:dyDescent="0.3">
      <c r="A275" s="222" t="s">
        <v>4706</v>
      </c>
      <c r="B275" s="222" t="s">
        <v>4707</v>
      </c>
      <c r="C275" s="241" t="s">
        <v>3707</v>
      </c>
      <c r="D275" s="237"/>
      <c r="E275" s="236"/>
      <c r="F275" s="240"/>
      <c r="G275" s="214">
        <v>0</v>
      </c>
      <c r="H275" s="231" t="s">
        <v>3527</v>
      </c>
      <c r="I275" s="231"/>
      <c r="J275" s="231"/>
      <c r="K275" s="231"/>
      <c r="L275" s="231"/>
      <c r="M275" s="231"/>
      <c r="N275" s="231" t="s">
        <v>4710</v>
      </c>
      <c r="O275" s="246" t="s">
        <v>4711</v>
      </c>
      <c r="P275" s="246" t="s">
        <v>4712</v>
      </c>
      <c r="Q275" s="212" t="s">
        <v>4713</v>
      </c>
      <c r="R275" s="212" t="s">
        <v>2</v>
      </c>
      <c r="S275" s="213" t="s">
        <v>2</v>
      </c>
      <c r="T275" s="233">
        <v>45587</v>
      </c>
      <c r="U275" s="234" t="s">
        <v>4714</v>
      </c>
      <c r="V275" s="234">
        <v>45646</v>
      </c>
      <c r="W275" s="234">
        <v>45668</v>
      </c>
      <c r="X275" s="234" t="s">
        <v>3527</v>
      </c>
      <c r="Y275" s="234"/>
      <c r="Z275" s="234"/>
      <c r="AA275" s="243">
        <v>202412</v>
      </c>
      <c r="AB275" s="243"/>
      <c r="AC275" s="244" t="s">
        <v>4715</v>
      </c>
      <c r="AD275" s="244"/>
      <c r="AE275" s="245">
        <v>0</v>
      </c>
      <c r="AF275" s="244"/>
      <c r="AG275" s="239" t="s">
        <v>4717</v>
      </c>
      <c r="AH275" s="203" t="s">
        <v>4718</v>
      </c>
      <c r="AI275" s="235" t="s">
        <v>4719</v>
      </c>
      <c r="AJ275" s="235" t="s">
        <v>4720</v>
      </c>
      <c r="AK275" s="235" t="s">
        <v>3708</v>
      </c>
    </row>
    <row r="276" spans="1:38" x14ac:dyDescent="0.3">
      <c r="A276" s="222" t="s">
        <v>4706</v>
      </c>
      <c r="B276" s="222" t="s">
        <v>4707</v>
      </c>
      <c r="C276" s="241" t="s">
        <v>3707</v>
      </c>
      <c r="D276" s="237"/>
      <c r="E276" s="236"/>
      <c r="F276" s="240"/>
      <c r="G276" s="214">
        <v>0</v>
      </c>
      <c r="H276" s="231" t="s">
        <v>3527</v>
      </c>
      <c r="I276" s="231"/>
      <c r="J276" s="231"/>
      <c r="K276" s="231"/>
      <c r="L276" s="231"/>
      <c r="M276" s="231"/>
      <c r="N276" s="231" t="s">
        <v>4710</v>
      </c>
      <c r="O276" s="246" t="s">
        <v>4711</v>
      </c>
      <c r="P276" s="246" t="s">
        <v>4712</v>
      </c>
      <c r="Q276" s="212" t="s">
        <v>4713</v>
      </c>
      <c r="R276" s="212" t="s">
        <v>2</v>
      </c>
      <c r="S276" s="213" t="s">
        <v>2</v>
      </c>
      <c r="T276" s="233">
        <v>45587</v>
      </c>
      <c r="U276" s="234" t="s">
        <v>4714</v>
      </c>
      <c r="V276" s="234">
        <v>45646</v>
      </c>
      <c r="W276" s="234">
        <v>45668</v>
      </c>
      <c r="X276" s="234" t="s">
        <v>3527</v>
      </c>
      <c r="Y276" s="234"/>
      <c r="Z276" s="234"/>
      <c r="AA276" s="243">
        <v>202412</v>
      </c>
      <c r="AB276" s="243"/>
      <c r="AC276" s="244" t="s">
        <v>4715</v>
      </c>
      <c r="AD276" s="244"/>
      <c r="AE276" s="245">
        <v>0</v>
      </c>
      <c r="AF276" s="244"/>
      <c r="AG276" s="239" t="s">
        <v>4717</v>
      </c>
      <c r="AH276" s="203" t="s">
        <v>4718</v>
      </c>
      <c r="AI276" s="235" t="s">
        <v>4719</v>
      </c>
      <c r="AJ276" s="235" t="s">
        <v>4720</v>
      </c>
      <c r="AK276" s="235" t="s">
        <v>3708</v>
      </c>
    </row>
    <row r="278" spans="1:38" x14ac:dyDescent="0.3">
      <c r="AL278" s="235"/>
    </row>
    <row r="279" spans="1:38" x14ac:dyDescent="0.3">
      <c r="AL279" s="235"/>
    </row>
    <row r="280" spans="1:38" x14ac:dyDescent="0.3">
      <c r="AL280" s="235"/>
    </row>
    <row r="281" spans="1:38" x14ac:dyDescent="0.3">
      <c r="AL281" s="235"/>
    </row>
    <row r="282" spans="1:38" x14ac:dyDescent="0.3">
      <c r="AL282" s="235"/>
    </row>
    <row r="283" spans="1:38" x14ac:dyDescent="0.3">
      <c r="AL283" s="235"/>
    </row>
    <row r="284" spans="1:38" x14ac:dyDescent="0.3">
      <c r="AL284" s="235"/>
    </row>
    <row r="285" spans="1:38" x14ac:dyDescent="0.3">
      <c r="AL285" s="235"/>
    </row>
    <row r="286" spans="1:38" x14ac:dyDescent="0.3">
      <c r="AL286" s="235"/>
    </row>
    <row r="287" spans="1:38" x14ac:dyDescent="0.3">
      <c r="AL287" s="235"/>
    </row>
  </sheetData>
  <autoFilter ref="A1:AL381"/>
  <sortState ref="A1037:AM1107">
    <sortCondition ref="D1037:D1107"/>
  </sortState>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M1152"/>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53.875" customWidth="1"/>
    <col min="5" max="5" width="17"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style="11" customWidth="1" outlineLevel="1"/>
    <col min="16" max="16" width="13.375" style="11" customWidth="1" outlineLevel="1"/>
    <col min="17" max="17" width="23.375" style="11" customWidth="1" outlineLevel="1"/>
    <col min="18" max="18" width="11.25" style="11" customWidth="1" outlineLevel="1"/>
    <col min="19" max="19" width="14.5" style="11" customWidth="1" outlineLevel="1"/>
    <col min="20" max="20" width="12" style="11" customWidth="1" outlineLevel="1"/>
    <col min="21" max="21" width="11" style="11" customWidth="1"/>
    <col min="22" max="22" width="11.625" style="11" customWidth="1"/>
    <col min="23" max="23" width="11.625" style="11" customWidth="1" outlineLevel="1"/>
    <col min="24" max="24" width="11" style="11" customWidth="1" outlineLevel="1"/>
    <col min="25" max="25" width="3.625" style="11" customWidth="1" outlineLevel="1"/>
    <col min="26" max="26" width="11.25" style="11" customWidth="1" outlineLevel="1"/>
    <col min="27" max="27" width="8.75" style="204" customWidth="1"/>
    <col min="28" max="28" width="9.5" style="203" customWidth="1" outlineLevel="1"/>
    <col min="29" max="29" width="9.75" style="203" customWidth="1" outlineLevel="1"/>
    <col min="30" max="30" width="8.375" style="203" customWidth="1"/>
    <col min="31" max="31" width="9" style="203" customWidth="1"/>
    <col min="32" max="32" width="10.625" style="203" customWidth="1"/>
    <col min="33" max="33" width="10.375" style="204" customWidth="1"/>
    <col min="34" max="34" width="10.625" style="203" customWidth="1"/>
    <col min="35" max="35" width="7.125" style="203" customWidth="1"/>
    <col min="36" max="36" width="8.25" style="203" customWidth="1"/>
    <col min="37" max="37" width="8" style="203" bestFit="1" customWidth="1"/>
    <col min="38" max="38" width="9.375" style="11" customWidth="1"/>
  </cols>
  <sheetData>
    <row r="1" spans="1:38" x14ac:dyDescent="0.3">
      <c r="A1" s="1" t="s">
        <v>3680</v>
      </c>
      <c r="B1" s="1" t="s">
        <v>3721</v>
      </c>
      <c r="C1" s="1" t="s">
        <v>3681</v>
      </c>
      <c r="D1" s="1" t="s">
        <v>3682</v>
      </c>
      <c r="E1" s="2" t="s">
        <v>3683</v>
      </c>
      <c r="F1" s="3" t="s">
        <v>3684</v>
      </c>
      <c r="G1" s="1" t="s">
        <v>3685</v>
      </c>
      <c r="H1" s="3" t="s">
        <v>3686</v>
      </c>
      <c r="I1" s="3" t="s">
        <v>3687</v>
      </c>
      <c r="J1" s="3" t="s">
        <v>3688</v>
      </c>
      <c r="K1" s="3" t="s">
        <v>3689</v>
      </c>
      <c r="L1" s="3" t="s">
        <v>3690</v>
      </c>
      <c r="M1" s="3" t="s">
        <v>3691</v>
      </c>
      <c r="N1" s="3" t="s">
        <v>3692</v>
      </c>
      <c r="O1" s="3" t="s">
        <v>3722</v>
      </c>
      <c r="P1" s="3" t="s">
        <v>3723</v>
      </c>
      <c r="Q1" s="3" t="s">
        <v>34</v>
      </c>
      <c r="R1" s="3" t="s">
        <v>3474</v>
      </c>
      <c r="S1" s="3" t="s">
        <v>3724</v>
      </c>
      <c r="T1" s="3" t="s">
        <v>4581</v>
      </c>
      <c r="U1" s="3" t="s">
        <v>4582</v>
      </c>
      <c r="V1" s="3" t="s">
        <v>4554</v>
      </c>
      <c r="W1" s="3" t="s">
        <v>4583</v>
      </c>
      <c r="X1" s="3" t="s">
        <v>4584</v>
      </c>
      <c r="Y1" s="3" t="s">
        <v>3477</v>
      </c>
      <c r="Z1" s="3" t="s">
        <v>37</v>
      </c>
      <c r="AA1" s="3" t="s">
        <v>38</v>
      </c>
      <c r="AB1" s="3" t="s">
        <v>39</v>
      </c>
      <c r="AC1" s="3" t="s">
        <v>3478</v>
      </c>
      <c r="AD1" s="3" t="s">
        <v>3479</v>
      </c>
      <c r="AE1" s="3" t="s">
        <v>40</v>
      </c>
      <c r="AF1" s="3" t="s">
        <v>59</v>
      </c>
      <c r="AG1" s="3" t="s">
        <v>6252</v>
      </c>
      <c r="AH1" s="3" t="s">
        <v>6253</v>
      </c>
      <c r="AI1" s="3" t="s">
        <v>45</v>
      </c>
      <c r="AJ1" s="3" t="s">
        <v>67</v>
      </c>
      <c r="AK1" s="3" t="s">
        <v>41</v>
      </c>
      <c r="AL1" s="3" t="s">
        <v>44</v>
      </c>
    </row>
    <row r="2" spans="1:38" x14ac:dyDescent="0.3">
      <c r="A2" s="229" t="s">
        <v>4688</v>
      </c>
      <c r="B2" s="229" t="s">
        <v>4689</v>
      </c>
      <c r="C2" s="241" t="s">
        <v>4752</v>
      </c>
      <c r="D2" s="237" t="s">
        <v>4753</v>
      </c>
      <c r="E2" s="236">
        <v>1350110039898</v>
      </c>
      <c r="F2" s="240" t="s">
        <v>4754</v>
      </c>
      <c r="G2" s="214">
        <v>0</v>
      </c>
      <c r="H2" s="231" t="s">
        <v>3527</v>
      </c>
      <c r="I2" s="231"/>
      <c r="J2" s="231"/>
      <c r="K2" s="231"/>
      <c r="L2" s="231"/>
      <c r="M2" s="231"/>
      <c r="N2" s="231" t="s">
        <v>4755</v>
      </c>
      <c r="O2" s="246" t="s">
        <v>4756</v>
      </c>
      <c r="P2" s="246" t="s">
        <v>4757</v>
      </c>
      <c r="Q2" s="225" t="s">
        <v>4758</v>
      </c>
      <c r="R2" s="212" t="s">
        <v>2</v>
      </c>
      <c r="S2" s="213" t="s">
        <v>3527</v>
      </c>
      <c r="T2" s="233">
        <v>45582</v>
      </c>
      <c r="U2" s="234" t="s">
        <v>4759</v>
      </c>
      <c r="V2" s="233">
        <v>45596</v>
      </c>
      <c r="W2" s="233">
        <v>45596</v>
      </c>
      <c r="X2" s="234" t="s">
        <v>3527</v>
      </c>
      <c r="Y2" s="234"/>
      <c r="Z2" s="234" t="s">
        <v>4690</v>
      </c>
      <c r="AA2" s="243">
        <v>202409</v>
      </c>
      <c r="AB2" s="243"/>
      <c r="AC2" s="244" t="s">
        <v>4760</v>
      </c>
      <c r="AD2" s="244" t="s">
        <v>4761</v>
      </c>
      <c r="AE2" s="245">
        <v>2</v>
      </c>
      <c r="AF2" s="244" t="s">
        <v>4762</v>
      </c>
      <c r="AG2" s="239" t="str">
        <f>IFERROR(VLOOKUP(작성용!A:A,RM!A:D,4,0),"-")</f>
        <v>백형진</v>
      </c>
      <c r="AH2" s="9" t="s">
        <v>3548</v>
      </c>
      <c r="AI2" s="235" t="s">
        <v>3527</v>
      </c>
      <c r="AJ2" s="235" t="s">
        <v>4763</v>
      </c>
      <c r="AK2" s="235" t="s">
        <v>3708</v>
      </c>
      <c r="AL2" s="235">
        <v>1</v>
      </c>
    </row>
    <row r="3" spans="1:38" x14ac:dyDescent="0.3">
      <c r="A3" s="229" t="s">
        <v>3330</v>
      </c>
      <c r="B3" s="229" t="s">
        <v>4764</v>
      </c>
      <c r="C3" s="241" t="s">
        <v>4765</v>
      </c>
      <c r="D3" s="237" t="s">
        <v>3758</v>
      </c>
      <c r="E3" s="236">
        <v>1101112507551</v>
      </c>
      <c r="F3" s="240" t="s">
        <v>4766</v>
      </c>
      <c r="G3" s="214">
        <v>7</v>
      </c>
      <c r="H3" s="231" t="s">
        <v>4767</v>
      </c>
      <c r="I3" s="231"/>
      <c r="J3" s="231"/>
      <c r="K3" s="231"/>
      <c r="L3" s="231"/>
      <c r="M3" s="231"/>
      <c r="N3" s="231" t="s">
        <v>4768</v>
      </c>
      <c r="O3" s="246" t="s">
        <v>4769</v>
      </c>
      <c r="P3" s="246" t="s">
        <v>4019</v>
      </c>
      <c r="Q3" s="225" t="s">
        <v>4770</v>
      </c>
      <c r="R3" s="212" t="s">
        <v>2</v>
      </c>
      <c r="S3" s="213" t="s">
        <v>4771</v>
      </c>
      <c r="T3" s="233">
        <v>45092</v>
      </c>
      <c r="U3" s="234" t="s">
        <v>4772</v>
      </c>
      <c r="V3" s="233">
        <v>45664</v>
      </c>
      <c r="W3" s="233">
        <v>45671</v>
      </c>
      <c r="X3" s="234" t="s">
        <v>4771</v>
      </c>
      <c r="Y3" s="234"/>
      <c r="Z3" s="234" t="s">
        <v>3759</v>
      </c>
      <c r="AA3" s="238">
        <v>202412</v>
      </c>
      <c r="AB3" s="243"/>
      <c r="AC3" s="233" t="s">
        <v>4773</v>
      </c>
      <c r="AD3" s="244" t="s">
        <v>4774</v>
      </c>
      <c r="AE3" s="245">
        <v>0</v>
      </c>
      <c r="AF3" s="244" t="s">
        <v>4774</v>
      </c>
      <c r="AG3" s="239" t="str">
        <f>IFERROR(VLOOKUP(작성용!A:A,RM!A:D,4,0),"-")</f>
        <v>메자닌평가팀</v>
      </c>
      <c r="AH3" s="9" t="s">
        <v>4775</v>
      </c>
      <c r="AI3" s="235" t="s">
        <v>4767</v>
      </c>
      <c r="AJ3" s="235" t="s">
        <v>4776</v>
      </c>
      <c r="AK3" s="235" t="s">
        <v>4777</v>
      </c>
      <c r="AL3" s="235">
        <v>2</v>
      </c>
    </row>
    <row r="4" spans="1:38" x14ac:dyDescent="0.3">
      <c r="A4" s="229" t="s">
        <v>3330</v>
      </c>
      <c r="B4" s="229" t="s">
        <v>4764</v>
      </c>
      <c r="C4" s="241" t="s">
        <v>4778</v>
      </c>
      <c r="D4" s="237" t="s">
        <v>4779</v>
      </c>
      <c r="E4" s="236">
        <v>1101112507551</v>
      </c>
      <c r="F4" s="240" t="s">
        <v>4780</v>
      </c>
      <c r="G4" s="214">
        <v>7</v>
      </c>
      <c r="H4" s="231" t="s">
        <v>4767</v>
      </c>
      <c r="I4" s="231"/>
      <c r="J4" s="231"/>
      <c r="K4" s="231"/>
      <c r="L4" s="231"/>
      <c r="M4" s="231"/>
      <c r="N4" s="231" t="s">
        <v>4781</v>
      </c>
      <c r="O4" s="246" t="s">
        <v>4782</v>
      </c>
      <c r="P4" s="246" t="s">
        <v>4783</v>
      </c>
      <c r="Q4" s="225" t="s">
        <v>4784</v>
      </c>
      <c r="R4" s="212" t="s">
        <v>2</v>
      </c>
      <c r="S4" s="213" t="s">
        <v>4771</v>
      </c>
      <c r="T4" s="233">
        <v>45092</v>
      </c>
      <c r="U4" s="234" t="s">
        <v>4785</v>
      </c>
      <c r="V4" s="233">
        <v>45844</v>
      </c>
      <c r="W4" s="233">
        <v>45851</v>
      </c>
      <c r="X4" s="234" t="s">
        <v>3527</v>
      </c>
      <c r="Y4" s="234"/>
      <c r="Z4" s="234" t="s">
        <v>3760</v>
      </c>
      <c r="AA4" s="238">
        <v>202506</v>
      </c>
      <c r="AB4" s="243"/>
      <c r="AC4" s="233" t="s">
        <v>4786</v>
      </c>
      <c r="AD4" s="244" t="s">
        <v>4774</v>
      </c>
      <c r="AE4" s="245">
        <v>0</v>
      </c>
      <c r="AF4" s="244" t="s">
        <v>4774</v>
      </c>
      <c r="AG4" s="239" t="str">
        <f>IFERROR(VLOOKUP(작성용!A:A,RM!A:D,4,0),"-")</f>
        <v>메자닌평가팀</v>
      </c>
      <c r="AH4" s="9" t="s">
        <v>4787</v>
      </c>
      <c r="AI4" s="235" t="s">
        <v>4771</v>
      </c>
      <c r="AJ4" s="235" t="s">
        <v>4776</v>
      </c>
      <c r="AK4" s="235" t="s">
        <v>4777</v>
      </c>
      <c r="AL4" s="235">
        <v>3</v>
      </c>
    </row>
    <row r="5" spans="1:38" x14ac:dyDescent="0.3">
      <c r="A5" s="229" t="s">
        <v>3330</v>
      </c>
      <c r="B5" s="229" t="s">
        <v>4764</v>
      </c>
      <c r="C5" s="241" t="s">
        <v>4778</v>
      </c>
      <c r="D5" s="237" t="s">
        <v>4764</v>
      </c>
      <c r="E5" s="236">
        <v>1101112507551</v>
      </c>
      <c r="F5" s="240" t="s">
        <v>4780</v>
      </c>
      <c r="G5" s="214">
        <v>7</v>
      </c>
      <c r="H5" s="231" t="s">
        <v>4771</v>
      </c>
      <c r="I5" s="231"/>
      <c r="J5" s="231"/>
      <c r="K5" s="231"/>
      <c r="L5" s="231"/>
      <c r="M5" s="231"/>
      <c r="N5" s="231" t="s">
        <v>4768</v>
      </c>
      <c r="O5" s="246" t="s">
        <v>4782</v>
      </c>
      <c r="P5" s="246" t="s">
        <v>4783</v>
      </c>
      <c r="Q5" s="225" t="s">
        <v>4784</v>
      </c>
      <c r="R5" s="212" t="s">
        <v>2</v>
      </c>
      <c r="S5" s="213" t="s">
        <v>4767</v>
      </c>
      <c r="T5" s="233">
        <v>45092</v>
      </c>
      <c r="U5" s="234" t="s">
        <v>4788</v>
      </c>
      <c r="V5" s="233">
        <v>46029</v>
      </c>
      <c r="W5" s="233">
        <v>46036</v>
      </c>
      <c r="X5" s="234" t="s">
        <v>4771</v>
      </c>
      <c r="Y5" s="234"/>
      <c r="Z5" s="234" t="s">
        <v>3761</v>
      </c>
      <c r="AA5" s="238">
        <v>202512</v>
      </c>
      <c r="AB5" s="243"/>
      <c r="AC5" s="233" t="s">
        <v>4786</v>
      </c>
      <c r="AD5" s="244" t="s">
        <v>4774</v>
      </c>
      <c r="AE5" s="245">
        <v>0</v>
      </c>
      <c r="AF5" s="244" t="s">
        <v>4774</v>
      </c>
      <c r="AG5" s="239" t="str">
        <f>IFERROR(VLOOKUP(작성용!A:A,RM!A:D,4,0),"-")</f>
        <v>메자닌평가팀</v>
      </c>
      <c r="AH5" s="9" t="s">
        <v>4775</v>
      </c>
      <c r="AI5" s="235" t="s">
        <v>4771</v>
      </c>
      <c r="AJ5" s="235" t="s">
        <v>4776</v>
      </c>
      <c r="AK5" s="235" t="s">
        <v>4777</v>
      </c>
      <c r="AL5" s="235">
        <v>4</v>
      </c>
    </row>
    <row r="6" spans="1:38" x14ac:dyDescent="0.3">
      <c r="A6" s="229" t="s">
        <v>3330</v>
      </c>
      <c r="B6" s="229" t="s">
        <v>4779</v>
      </c>
      <c r="C6" s="241" t="s">
        <v>4778</v>
      </c>
      <c r="D6" s="237" t="s">
        <v>4779</v>
      </c>
      <c r="E6" s="236">
        <v>1101112507551</v>
      </c>
      <c r="F6" s="240" t="s">
        <v>4766</v>
      </c>
      <c r="G6" s="214">
        <v>9</v>
      </c>
      <c r="H6" s="231" t="s">
        <v>4771</v>
      </c>
      <c r="I6" s="231"/>
      <c r="J6" s="231"/>
      <c r="K6" s="231"/>
      <c r="L6" s="231"/>
      <c r="M6" s="231"/>
      <c r="N6" s="231" t="s">
        <v>4781</v>
      </c>
      <c r="O6" s="246" t="s">
        <v>4769</v>
      </c>
      <c r="P6" s="246" t="s">
        <v>4783</v>
      </c>
      <c r="Q6" s="225" t="s">
        <v>4784</v>
      </c>
      <c r="R6" s="212" t="s">
        <v>2</v>
      </c>
      <c r="S6" s="213" t="s">
        <v>4771</v>
      </c>
      <c r="T6" s="233">
        <v>45394</v>
      </c>
      <c r="U6" s="234" t="s">
        <v>4772</v>
      </c>
      <c r="V6" s="233">
        <v>45664</v>
      </c>
      <c r="W6" s="233">
        <v>45671</v>
      </c>
      <c r="X6" s="234" t="s">
        <v>4771</v>
      </c>
      <c r="Y6" s="234"/>
      <c r="Z6" s="234" t="s">
        <v>3762</v>
      </c>
      <c r="AA6" s="238">
        <v>202412</v>
      </c>
      <c r="AB6" s="243"/>
      <c r="AC6" s="233" t="s">
        <v>4786</v>
      </c>
      <c r="AD6" s="244" t="s">
        <v>4774</v>
      </c>
      <c r="AE6" s="245">
        <v>0</v>
      </c>
      <c r="AF6" s="244" t="s">
        <v>4774</v>
      </c>
      <c r="AG6" s="239" t="str">
        <f>IFERROR(VLOOKUP(작성용!A:A,RM!A:D,4,0),"-")</f>
        <v>메자닌평가팀</v>
      </c>
      <c r="AH6" s="9" t="s">
        <v>4775</v>
      </c>
      <c r="AI6" s="235" t="s">
        <v>4771</v>
      </c>
      <c r="AJ6" s="235" t="s">
        <v>4776</v>
      </c>
      <c r="AK6" s="235" t="s">
        <v>4777</v>
      </c>
      <c r="AL6" s="235">
        <v>5</v>
      </c>
    </row>
    <row r="7" spans="1:38" x14ac:dyDescent="0.3">
      <c r="A7" s="229" t="s">
        <v>3330</v>
      </c>
      <c r="B7" s="229" t="s">
        <v>4779</v>
      </c>
      <c r="C7" s="241" t="s">
        <v>4778</v>
      </c>
      <c r="D7" s="237" t="s">
        <v>4779</v>
      </c>
      <c r="E7" s="236">
        <v>1101112507551</v>
      </c>
      <c r="F7" s="240" t="s">
        <v>4780</v>
      </c>
      <c r="G7" s="214">
        <v>9</v>
      </c>
      <c r="H7" s="231" t="s">
        <v>4771</v>
      </c>
      <c r="I7" s="231"/>
      <c r="J7" s="231"/>
      <c r="K7" s="231"/>
      <c r="L7" s="231"/>
      <c r="M7" s="231"/>
      <c r="N7" s="231" t="s">
        <v>4781</v>
      </c>
      <c r="O7" s="246" t="s">
        <v>4782</v>
      </c>
      <c r="P7" s="246" t="s">
        <v>4783</v>
      </c>
      <c r="Q7" s="225" t="s">
        <v>4784</v>
      </c>
      <c r="R7" s="212" t="s">
        <v>2</v>
      </c>
      <c r="S7" s="213" t="s">
        <v>4771</v>
      </c>
      <c r="T7" s="233">
        <v>45394</v>
      </c>
      <c r="U7" s="234" t="s">
        <v>4789</v>
      </c>
      <c r="V7" s="233">
        <v>45844</v>
      </c>
      <c r="W7" s="233">
        <v>45851</v>
      </c>
      <c r="X7" s="234" t="s">
        <v>4771</v>
      </c>
      <c r="Y7" s="234"/>
      <c r="Z7" s="234" t="s">
        <v>3764</v>
      </c>
      <c r="AA7" s="238">
        <v>202506</v>
      </c>
      <c r="AB7" s="243"/>
      <c r="AC7" s="233" t="s">
        <v>4786</v>
      </c>
      <c r="AD7" s="244" t="s">
        <v>4774</v>
      </c>
      <c r="AE7" s="245">
        <v>0</v>
      </c>
      <c r="AF7" s="244" t="s">
        <v>4774</v>
      </c>
      <c r="AG7" s="239" t="str">
        <f>IFERROR(VLOOKUP(작성용!A:A,RM!A:D,4,0),"-")</f>
        <v>메자닌평가팀</v>
      </c>
      <c r="AH7" s="9" t="s">
        <v>4775</v>
      </c>
      <c r="AI7" s="235" t="s">
        <v>4771</v>
      </c>
      <c r="AJ7" s="235" t="s">
        <v>4776</v>
      </c>
      <c r="AK7" s="235" t="s">
        <v>4777</v>
      </c>
      <c r="AL7" s="235">
        <v>6</v>
      </c>
    </row>
    <row r="8" spans="1:38" x14ac:dyDescent="0.3">
      <c r="A8" s="229" t="s">
        <v>3330</v>
      </c>
      <c r="B8" s="229" t="s">
        <v>4779</v>
      </c>
      <c r="C8" s="241" t="s">
        <v>4778</v>
      </c>
      <c r="D8" s="237" t="s">
        <v>3758</v>
      </c>
      <c r="E8" s="236">
        <v>1101112507551</v>
      </c>
      <c r="F8" s="240" t="s">
        <v>4780</v>
      </c>
      <c r="G8" s="214">
        <v>9</v>
      </c>
      <c r="H8" s="231" t="s">
        <v>4771</v>
      </c>
      <c r="I8" s="231"/>
      <c r="J8" s="231"/>
      <c r="K8" s="231"/>
      <c r="L8" s="231"/>
      <c r="M8" s="231"/>
      <c r="N8" s="231" t="s">
        <v>4781</v>
      </c>
      <c r="O8" s="246" t="s">
        <v>4782</v>
      </c>
      <c r="P8" s="246" t="s">
        <v>4783</v>
      </c>
      <c r="Q8" s="225" t="s">
        <v>4784</v>
      </c>
      <c r="R8" s="212" t="s">
        <v>2</v>
      </c>
      <c r="S8" s="213" t="s">
        <v>4771</v>
      </c>
      <c r="T8" s="233">
        <v>45394</v>
      </c>
      <c r="U8" s="234" t="s">
        <v>4788</v>
      </c>
      <c r="V8" s="233">
        <v>46029</v>
      </c>
      <c r="W8" s="233">
        <v>46036</v>
      </c>
      <c r="X8" s="234" t="s">
        <v>4771</v>
      </c>
      <c r="Y8" s="234"/>
      <c r="Z8" s="234" t="s">
        <v>3765</v>
      </c>
      <c r="AA8" s="238">
        <v>202512</v>
      </c>
      <c r="AB8" s="243"/>
      <c r="AC8" s="233" t="s">
        <v>4786</v>
      </c>
      <c r="AD8" s="244" t="s">
        <v>4774</v>
      </c>
      <c r="AE8" s="245">
        <v>0</v>
      </c>
      <c r="AF8" s="244" t="s">
        <v>4774</v>
      </c>
      <c r="AG8" s="239" t="str">
        <f>IFERROR(VLOOKUP(작성용!A:A,RM!A:D,4,0),"-")</f>
        <v>메자닌평가팀</v>
      </c>
      <c r="AH8" s="9" t="s">
        <v>4775</v>
      </c>
      <c r="AI8" s="235" t="s">
        <v>4771</v>
      </c>
      <c r="AJ8" s="235" t="s">
        <v>4776</v>
      </c>
      <c r="AK8" s="235" t="s">
        <v>4777</v>
      </c>
      <c r="AL8" s="235">
        <v>7</v>
      </c>
    </row>
    <row r="9" spans="1:38" x14ac:dyDescent="0.3">
      <c r="A9" s="229" t="s">
        <v>3330</v>
      </c>
      <c r="B9" s="229" t="s">
        <v>4779</v>
      </c>
      <c r="C9" s="241" t="s">
        <v>4778</v>
      </c>
      <c r="D9" s="237" t="s">
        <v>4779</v>
      </c>
      <c r="E9" s="236">
        <v>1101112507551</v>
      </c>
      <c r="F9" s="240" t="s">
        <v>4780</v>
      </c>
      <c r="G9" s="214">
        <v>9</v>
      </c>
      <c r="H9" s="231" t="s">
        <v>4771</v>
      </c>
      <c r="I9" s="231"/>
      <c r="J9" s="231"/>
      <c r="K9" s="231"/>
      <c r="L9" s="231"/>
      <c r="M9" s="231"/>
      <c r="N9" s="231" t="s">
        <v>4781</v>
      </c>
      <c r="O9" s="246" t="s">
        <v>4782</v>
      </c>
      <c r="P9" s="246" t="s">
        <v>4783</v>
      </c>
      <c r="Q9" s="225" t="s">
        <v>4784</v>
      </c>
      <c r="R9" s="212" t="s">
        <v>2</v>
      </c>
      <c r="S9" s="213" t="s">
        <v>4771</v>
      </c>
      <c r="T9" s="233">
        <v>45394</v>
      </c>
      <c r="U9" s="234" t="s">
        <v>4790</v>
      </c>
      <c r="V9" s="233">
        <v>46209</v>
      </c>
      <c r="W9" s="233">
        <v>46216</v>
      </c>
      <c r="X9" s="234" t="s">
        <v>4771</v>
      </c>
      <c r="Y9" s="234"/>
      <c r="Z9" s="234" t="s">
        <v>3766</v>
      </c>
      <c r="AA9" s="238">
        <v>202606</v>
      </c>
      <c r="AB9" s="243"/>
      <c r="AC9" s="233" t="s">
        <v>4786</v>
      </c>
      <c r="AD9" s="244" t="s">
        <v>4774</v>
      </c>
      <c r="AE9" s="245">
        <v>0</v>
      </c>
      <c r="AF9" s="244" t="s">
        <v>4774</v>
      </c>
      <c r="AG9" s="239" t="str">
        <f>IFERROR(VLOOKUP(작성용!A:A,RM!A:D,4,0),"-")</f>
        <v>메자닌평가팀</v>
      </c>
      <c r="AH9" s="9" t="s">
        <v>4775</v>
      </c>
      <c r="AI9" s="235" t="s">
        <v>4791</v>
      </c>
      <c r="AJ9" s="235" t="s">
        <v>4776</v>
      </c>
      <c r="AK9" s="235" t="s">
        <v>4777</v>
      </c>
      <c r="AL9" s="235">
        <v>8</v>
      </c>
    </row>
    <row r="10" spans="1:38" x14ac:dyDescent="0.3">
      <c r="A10" s="229" t="s">
        <v>3330</v>
      </c>
      <c r="B10" s="229" t="s">
        <v>4779</v>
      </c>
      <c r="C10" s="241" t="s">
        <v>3707</v>
      </c>
      <c r="D10" s="237" t="s">
        <v>4779</v>
      </c>
      <c r="E10" s="236">
        <v>1101112507551</v>
      </c>
      <c r="F10" s="240" t="s">
        <v>4780</v>
      </c>
      <c r="G10" s="214">
        <v>9</v>
      </c>
      <c r="H10" s="231" t="s">
        <v>4771</v>
      </c>
      <c r="I10" s="231"/>
      <c r="J10" s="231"/>
      <c r="K10" s="231"/>
      <c r="L10" s="231"/>
      <c r="M10" s="231"/>
      <c r="N10" s="231" t="s">
        <v>4781</v>
      </c>
      <c r="O10" s="246" t="s">
        <v>4782</v>
      </c>
      <c r="P10" s="246" t="s">
        <v>4783</v>
      </c>
      <c r="Q10" s="225" t="s">
        <v>4784</v>
      </c>
      <c r="R10" s="212" t="s">
        <v>2</v>
      </c>
      <c r="S10" s="213" t="s">
        <v>4771</v>
      </c>
      <c r="T10" s="233">
        <v>45394</v>
      </c>
      <c r="U10" s="234" t="s">
        <v>4792</v>
      </c>
      <c r="V10" s="233">
        <v>46395</v>
      </c>
      <c r="W10" s="233">
        <v>46402</v>
      </c>
      <c r="X10" s="234" t="s">
        <v>4771</v>
      </c>
      <c r="Y10" s="234"/>
      <c r="Z10" s="234" t="s">
        <v>3767</v>
      </c>
      <c r="AA10" s="238">
        <v>202612</v>
      </c>
      <c r="AB10" s="243"/>
      <c r="AC10" s="233" t="s">
        <v>4786</v>
      </c>
      <c r="AD10" s="244" t="s">
        <v>4774</v>
      </c>
      <c r="AE10" s="245">
        <v>0</v>
      </c>
      <c r="AF10" s="244" t="s">
        <v>4774</v>
      </c>
      <c r="AG10" s="239" t="str">
        <f>IFERROR(VLOOKUP(작성용!A:A,RM!A:D,4,0),"-")</f>
        <v>메자닌평가팀</v>
      </c>
      <c r="AH10" s="9" t="s">
        <v>4043</v>
      </c>
      <c r="AI10" s="235" t="s">
        <v>4791</v>
      </c>
      <c r="AJ10" s="235" t="s">
        <v>4776</v>
      </c>
      <c r="AK10" s="235" t="s">
        <v>4777</v>
      </c>
      <c r="AL10" s="235">
        <v>9</v>
      </c>
    </row>
    <row r="11" spans="1:38" x14ac:dyDescent="0.3">
      <c r="A11" s="229" t="s">
        <v>3769</v>
      </c>
      <c r="B11" s="229" t="s">
        <v>3770</v>
      </c>
      <c r="C11" s="241" t="s">
        <v>3707</v>
      </c>
      <c r="D11" s="237" t="s">
        <v>4793</v>
      </c>
      <c r="E11" s="236">
        <v>1101114465111</v>
      </c>
      <c r="F11" s="240" t="s">
        <v>4794</v>
      </c>
      <c r="G11" s="214">
        <v>0</v>
      </c>
      <c r="H11" s="231" t="s">
        <v>3527</v>
      </c>
      <c r="I11" s="231"/>
      <c r="J11" s="231"/>
      <c r="K11" s="231"/>
      <c r="L11" s="231"/>
      <c r="M11" s="231"/>
      <c r="N11" s="231" t="s">
        <v>4795</v>
      </c>
      <c r="O11" s="246" t="s">
        <v>4796</v>
      </c>
      <c r="P11" s="246" t="s">
        <v>4797</v>
      </c>
      <c r="Q11" s="225" t="s">
        <v>3771</v>
      </c>
      <c r="R11" s="212" t="s">
        <v>2</v>
      </c>
      <c r="S11" s="213" t="s">
        <v>4767</v>
      </c>
      <c r="T11" s="233">
        <v>45442</v>
      </c>
      <c r="U11" s="234" t="s">
        <v>4798</v>
      </c>
      <c r="V11" s="234">
        <v>45679</v>
      </c>
      <c r="W11" s="234">
        <v>45686</v>
      </c>
      <c r="X11" s="234" t="s">
        <v>2</v>
      </c>
      <c r="Y11" s="224"/>
      <c r="Z11" s="224" t="s">
        <v>4799</v>
      </c>
      <c r="AA11" s="243">
        <v>202501</v>
      </c>
      <c r="AB11" s="243"/>
      <c r="AC11" s="244" t="s">
        <v>4800</v>
      </c>
      <c r="AD11" s="244" t="s">
        <v>3772</v>
      </c>
      <c r="AE11" s="245">
        <v>0</v>
      </c>
      <c r="AF11" s="244" t="s">
        <v>3772</v>
      </c>
      <c r="AG11" s="239" t="str">
        <f>IFERROR(VLOOKUP(작성용!A:A,RM!A:D,4,0),"-")</f>
        <v>-</v>
      </c>
      <c r="AH11" s="235" t="s">
        <v>4767</v>
      </c>
      <c r="AI11" s="235" t="s">
        <v>4801</v>
      </c>
      <c r="AJ11" s="235" t="s">
        <v>4802</v>
      </c>
      <c r="AK11" s="235" t="s">
        <v>4803</v>
      </c>
      <c r="AL11" s="235">
        <v>10</v>
      </c>
    </row>
    <row r="12" spans="1:38" x14ac:dyDescent="0.3">
      <c r="A12" s="222" t="s">
        <v>1281</v>
      </c>
      <c r="B12" s="222" t="s">
        <v>1282</v>
      </c>
      <c r="C12" s="241" t="s">
        <v>4765</v>
      </c>
      <c r="D12" s="237" t="s">
        <v>4804</v>
      </c>
      <c r="E12" s="236">
        <v>1101112152067</v>
      </c>
      <c r="F12" s="240" t="s">
        <v>4805</v>
      </c>
      <c r="G12" s="214">
        <v>3</v>
      </c>
      <c r="H12" s="231" t="s">
        <v>3527</v>
      </c>
      <c r="I12" s="231"/>
      <c r="J12" s="231"/>
      <c r="K12" s="231"/>
      <c r="L12" s="231"/>
      <c r="M12" s="231"/>
      <c r="N12" s="231" t="s">
        <v>4806</v>
      </c>
      <c r="O12" s="246" t="s">
        <v>4807</v>
      </c>
      <c r="P12" s="246" t="s">
        <v>4808</v>
      </c>
      <c r="Q12" s="225" t="s">
        <v>4024</v>
      </c>
      <c r="R12" s="212" t="s">
        <v>2</v>
      </c>
      <c r="S12" s="213" t="s">
        <v>4771</v>
      </c>
      <c r="T12" s="233">
        <v>45471</v>
      </c>
      <c r="U12" s="234" t="s">
        <v>4772</v>
      </c>
      <c r="V12" s="234">
        <v>45667</v>
      </c>
      <c r="W12" s="234">
        <v>45672</v>
      </c>
      <c r="X12" s="234" t="s">
        <v>2</v>
      </c>
      <c r="Y12" s="234"/>
      <c r="Z12" s="234" t="s">
        <v>4809</v>
      </c>
      <c r="AA12" s="243">
        <v>202412</v>
      </c>
      <c r="AB12" s="243"/>
      <c r="AC12" s="244" t="s">
        <v>4786</v>
      </c>
      <c r="AD12" s="244" t="s">
        <v>4774</v>
      </c>
      <c r="AE12" s="245">
        <v>0</v>
      </c>
      <c r="AF12" s="244" t="s">
        <v>3763</v>
      </c>
      <c r="AG12" s="239" t="str">
        <f>IFERROR(VLOOKUP(작성용!A:A,RM!A:D,4,0),"-")</f>
        <v>메자닌평가팀</v>
      </c>
      <c r="AH12" s="247" t="s">
        <v>4775</v>
      </c>
      <c r="AI12" s="248" t="s">
        <v>3527</v>
      </c>
      <c r="AJ12" s="235" t="s">
        <v>4020</v>
      </c>
      <c r="AK12" s="235" t="s">
        <v>3708</v>
      </c>
      <c r="AL12" s="235">
        <v>11</v>
      </c>
    </row>
    <row r="13" spans="1:38" x14ac:dyDescent="0.3">
      <c r="A13" s="222" t="s">
        <v>1281</v>
      </c>
      <c r="B13" s="222" t="s">
        <v>1282</v>
      </c>
      <c r="C13" s="241" t="s">
        <v>4778</v>
      </c>
      <c r="D13" s="237" t="s">
        <v>4810</v>
      </c>
      <c r="E13" s="236">
        <v>1101112152067</v>
      </c>
      <c r="F13" s="240" t="s">
        <v>4780</v>
      </c>
      <c r="G13" s="214">
        <v>8</v>
      </c>
      <c r="H13" s="231" t="s">
        <v>4771</v>
      </c>
      <c r="I13" s="231"/>
      <c r="J13" s="231"/>
      <c r="K13" s="231"/>
      <c r="L13" s="231"/>
      <c r="M13" s="231"/>
      <c r="N13" s="231" t="s">
        <v>4811</v>
      </c>
      <c r="O13" s="246" t="s">
        <v>4812</v>
      </c>
      <c r="P13" s="246" t="s">
        <v>4808</v>
      </c>
      <c r="Q13" s="225" t="s">
        <v>4024</v>
      </c>
      <c r="R13" s="212" t="s">
        <v>2</v>
      </c>
      <c r="S13" s="213" t="s">
        <v>4767</v>
      </c>
      <c r="T13" s="233">
        <v>45471</v>
      </c>
      <c r="U13" s="234" t="s">
        <v>4772</v>
      </c>
      <c r="V13" s="234">
        <v>45667</v>
      </c>
      <c r="W13" s="234">
        <v>45672</v>
      </c>
      <c r="X13" s="234" t="s">
        <v>2</v>
      </c>
      <c r="Y13" s="234"/>
      <c r="Z13" s="234" t="s">
        <v>4813</v>
      </c>
      <c r="AA13" s="243">
        <v>202412</v>
      </c>
      <c r="AB13" s="243"/>
      <c r="AC13" s="244" t="s">
        <v>4786</v>
      </c>
      <c r="AD13" s="244" t="s">
        <v>3763</v>
      </c>
      <c r="AE13" s="245">
        <v>0</v>
      </c>
      <c r="AF13" s="244" t="s">
        <v>4774</v>
      </c>
      <c r="AG13" s="239" t="str">
        <f>IFERROR(VLOOKUP(작성용!A:A,RM!A:D,4,0),"-")</f>
        <v>메자닌평가팀</v>
      </c>
      <c r="AH13" s="247" t="s">
        <v>4043</v>
      </c>
      <c r="AI13" s="248" t="s">
        <v>4771</v>
      </c>
      <c r="AJ13" s="235" t="s">
        <v>4020</v>
      </c>
      <c r="AK13" s="235" t="s">
        <v>4803</v>
      </c>
      <c r="AL13" s="235">
        <v>12</v>
      </c>
    </row>
    <row r="14" spans="1:38" x14ac:dyDescent="0.3">
      <c r="A14" s="222" t="s">
        <v>1281</v>
      </c>
      <c r="B14" s="222" t="s">
        <v>1282</v>
      </c>
      <c r="C14" s="241" t="s">
        <v>3707</v>
      </c>
      <c r="D14" s="237" t="s">
        <v>4810</v>
      </c>
      <c r="E14" s="236">
        <v>1101112152067</v>
      </c>
      <c r="F14" s="240" t="s">
        <v>4780</v>
      </c>
      <c r="G14" s="214">
        <v>88</v>
      </c>
      <c r="H14" s="231" t="s">
        <v>4767</v>
      </c>
      <c r="I14" s="231"/>
      <c r="J14" s="231"/>
      <c r="K14" s="231"/>
      <c r="L14" s="231"/>
      <c r="M14" s="231"/>
      <c r="N14" s="231" t="s">
        <v>4806</v>
      </c>
      <c r="O14" s="246" t="s">
        <v>4807</v>
      </c>
      <c r="P14" s="246" t="s">
        <v>4808</v>
      </c>
      <c r="Q14" s="225" t="s">
        <v>4814</v>
      </c>
      <c r="R14" s="212" t="s">
        <v>2</v>
      </c>
      <c r="S14" s="213" t="s">
        <v>4767</v>
      </c>
      <c r="T14" s="233">
        <v>45471</v>
      </c>
      <c r="U14" s="234" t="s">
        <v>4815</v>
      </c>
      <c r="V14" s="234">
        <v>45667</v>
      </c>
      <c r="W14" s="234">
        <v>45672</v>
      </c>
      <c r="X14" s="234" t="s">
        <v>2</v>
      </c>
      <c r="Y14" s="234"/>
      <c r="Z14" s="234" t="s">
        <v>4025</v>
      </c>
      <c r="AA14" s="243">
        <v>202412</v>
      </c>
      <c r="AB14" s="243"/>
      <c r="AC14" s="244" t="s">
        <v>4773</v>
      </c>
      <c r="AD14" s="244" t="s">
        <v>4774</v>
      </c>
      <c r="AE14" s="245">
        <v>0</v>
      </c>
      <c r="AF14" s="244" t="s">
        <v>3763</v>
      </c>
      <c r="AG14" s="239" t="str">
        <f>IFERROR(VLOOKUP(작성용!A:A,RM!A:D,4,0),"-")</f>
        <v>메자닌평가팀</v>
      </c>
      <c r="AH14" s="247" t="s">
        <v>4043</v>
      </c>
      <c r="AI14" s="248" t="s">
        <v>4771</v>
      </c>
      <c r="AJ14" s="235" t="s">
        <v>4776</v>
      </c>
      <c r="AK14" s="235" t="s">
        <v>4777</v>
      </c>
      <c r="AL14" s="235">
        <v>13</v>
      </c>
    </row>
    <row r="15" spans="1:38" x14ac:dyDescent="0.3">
      <c r="A15" s="229" t="s">
        <v>369</v>
      </c>
      <c r="B15" s="229" t="s">
        <v>8</v>
      </c>
      <c r="C15" s="241" t="s">
        <v>3707</v>
      </c>
      <c r="D15" s="237" t="s">
        <v>4816</v>
      </c>
      <c r="E15" s="236">
        <v>1101112405896</v>
      </c>
      <c r="F15" s="240" t="s">
        <v>4766</v>
      </c>
      <c r="G15" s="214">
        <v>0</v>
      </c>
      <c r="H15" s="231" t="s">
        <v>4771</v>
      </c>
      <c r="I15" s="231"/>
      <c r="J15" s="231"/>
      <c r="K15" s="231"/>
      <c r="L15" s="231"/>
      <c r="M15" s="231"/>
      <c r="N15" s="231" t="s">
        <v>4817</v>
      </c>
      <c r="O15" s="246" t="s">
        <v>4818</v>
      </c>
      <c r="P15" s="246" t="s">
        <v>4819</v>
      </c>
      <c r="Q15" s="225" t="s">
        <v>4820</v>
      </c>
      <c r="R15" s="212" t="s">
        <v>2</v>
      </c>
      <c r="S15" s="213" t="s">
        <v>4771</v>
      </c>
      <c r="T15" s="233">
        <v>45516</v>
      </c>
      <c r="U15" s="234" t="s">
        <v>4821</v>
      </c>
      <c r="V15" s="233">
        <v>45597</v>
      </c>
      <c r="W15" s="234" t="s">
        <v>4822</v>
      </c>
      <c r="X15" s="234" t="s">
        <v>4771</v>
      </c>
      <c r="Y15" s="234"/>
      <c r="Z15" s="234" t="s">
        <v>3755</v>
      </c>
      <c r="AA15" s="238">
        <v>202410</v>
      </c>
      <c r="AB15" s="243"/>
      <c r="AC15" s="233" t="s">
        <v>4800</v>
      </c>
      <c r="AD15" s="244" t="s">
        <v>4823</v>
      </c>
      <c r="AE15" s="245">
        <v>1</v>
      </c>
      <c r="AF15" s="244" t="s">
        <v>4824</v>
      </c>
      <c r="AG15" s="239" t="str">
        <f>IFERROR(VLOOKUP(작성용!A:A,RM!A:D,4,0),"-")</f>
        <v>강승현</v>
      </c>
      <c r="AH15" s="239" t="s">
        <v>4824</v>
      </c>
      <c r="AI15" s="235" t="s">
        <v>4771</v>
      </c>
      <c r="AJ15" s="235" t="s">
        <v>4802</v>
      </c>
      <c r="AK15" s="235" t="s">
        <v>4803</v>
      </c>
      <c r="AL15" s="235">
        <v>14</v>
      </c>
    </row>
    <row r="16" spans="1:38" x14ac:dyDescent="0.3">
      <c r="A16" s="229" t="s">
        <v>24</v>
      </c>
      <c r="B16" s="229" t="s">
        <v>4825</v>
      </c>
      <c r="C16" s="241" t="s">
        <v>4765</v>
      </c>
      <c r="D16" s="237" t="s">
        <v>4827</v>
      </c>
      <c r="E16" s="236" t="s">
        <v>3773</v>
      </c>
      <c r="F16" s="240" t="s">
        <v>4828</v>
      </c>
      <c r="G16" s="214">
        <v>0</v>
      </c>
      <c r="H16" s="231" t="s">
        <v>4829</v>
      </c>
      <c r="I16" s="231"/>
      <c r="J16" s="231"/>
      <c r="K16" s="231"/>
      <c r="L16" s="231"/>
      <c r="M16" s="231"/>
      <c r="N16" s="231" t="s">
        <v>4817</v>
      </c>
      <c r="O16" s="246" t="s">
        <v>4830</v>
      </c>
      <c r="P16" s="246" t="s">
        <v>4831</v>
      </c>
      <c r="Q16" s="225" t="s">
        <v>4832</v>
      </c>
      <c r="R16" s="212" t="s">
        <v>2</v>
      </c>
      <c r="S16" s="213" t="s">
        <v>3527</v>
      </c>
      <c r="T16" s="233" t="s">
        <v>4833</v>
      </c>
      <c r="U16" s="234" t="s">
        <v>4834</v>
      </c>
      <c r="V16" s="233">
        <v>45597</v>
      </c>
      <c r="W16" s="233" t="s">
        <v>4822</v>
      </c>
      <c r="X16" s="233">
        <v>45566</v>
      </c>
      <c r="Y16" s="234"/>
      <c r="Z16" s="234" t="s">
        <v>4835</v>
      </c>
      <c r="AA16" s="238">
        <v>202410</v>
      </c>
      <c r="AB16" s="243"/>
      <c r="AC16" s="233" t="s">
        <v>4773</v>
      </c>
      <c r="AD16" s="244" t="s">
        <v>4836</v>
      </c>
      <c r="AE16" s="245">
        <v>0</v>
      </c>
      <c r="AF16" s="244" t="s">
        <v>4836</v>
      </c>
      <c r="AG16" s="239" t="str">
        <f>IFERROR(VLOOKUP(작성용!A:A,RM!A:D,4,0),"-")</f>
        <v>메자닌평가팀</v>
      </c>
      <c r="AH16" s="9" t="s">
        <v>4775</v>
      </c>
      <c r="AI16" s="235" t="s">
        <v>4771</v>
      </c>
      <c r="AJ16" s="235" t="s">
        <v>4802</v>
      </c>
      <c r="AK16" s="235" t="s">
        <v>4803</v>
      </c>
      <c r="AL16" s="235">
        <v>15</v>
      </c>
    </row>
    <row r="17" spans="1:38" x14ac:dyDescent="0.3">
      <c r="A17" s="229" t="s">
        <v>24</v>
      </c>
      <c r="B17" s="229" t="s">
        <v>4028</v>
      </c>
      <c r="C17" s="241" t="s">
        <v>4765</v>
      </c>
      <c r="D17" s="237" t="s">
        <v>4826</v>
      </c>
      <c r="E17" s="236" t="s">
        <v>3773</v>
      </c>
      <c r="F17" s="240" t="s">
        <v>4828</v>
      </c>
      <c r="G17" s="214">
        <v>0</v>
      </c>
      <c r="H17" s="231" t="s">
        <v>4837</v>
      </c>
      <c r="I17" s="231"/>
      <c r="J17" s="231"/>
      <c r="K17" s="231"/>
      <c r="L17" s="231"/>
      <c r="M17" s="231"/>
      <c r="N17" s="231" t="s">
        <v>4547</v>
      </c>
      <c r="O17" s="246" t="s">
        <v>4838</v>
      </c>
      <c r="P17" s="246" t="s">
        <v>4831</v>
      </c>
      <c r="Q17" s="225" t="s">
        <v>4832</v>
      </c>
      <c r="R17" s="212" t="s">
        <v>2</v>
      </c>
      <c r="S17" s="213" t="s">
        <v>3527</v>
      </c>
      <c r="T17" s="233" t="s">
        <v>4833</v>
      </c>
      <c r="U17" s="234" t="s">
        <v>4555</v>
      </c>
      <c r="V17" s="233">
        <v>45628</v>
      </c>
      <c r="W17" s="233" t="s">
        <v>4822</v>
      </c>
      <c r="X17" s="233">
        <v>45628</v>
      </c>
      <c r="Y17" s="234"/>
      <c r="Z17" s="234" t="s">
        <v>4835</v>
      </c>
      <c r="AA17" s="238">
        <v>202411</v>
      </c>
      <c r="AB17" s="243"/>
      <c r="AC17" s="233" t="s">
        <v>4786</v>
      </c>
      <c r="AD17" s="244" t="s">
        <v>4836</v>
      </c>
      <c r="AE17" s="245">
        <v>0</v>
      </c>
      <c r="AF17" s="244" t="s">
        <v>4836</v>
      </c>
      <c r="AG17" s="239" t="str">
        <f>IFERROR(VLOOKUP(작성용!A:A,RM!A:D,4,0),"-")</f>
        <v>메자닌평가팀</v>
      </c>
      <c r="AH17" s="9" t="s">
        <v>4775</v>
      </c>
      <c r="AI17" s="235" t="s">
        <v>4767</v>
      </c>
      <c r="AJ17" s="235" t="s">
        <v>4802</v>
      </c>
      <c r="AK17" s="235" t="s">
        <v>4777</v>
      </c>
      <c r="AL17" s="235">
        <v>16</v>
      </c>
    </row>
    <row r="18" spans="1:38" x14ac:dyDescent="0.3">
      <c r="A18" s="229" t="s">
        <v>2336</v>
      </c>
      <c r="B18" s="229" t="s">
        <v>4839</v>
      </c>
      <c r="C18" s="241" t="s">
        <v>4765</v>
      </c>
      <c r="D18" s="237" t="s">
        <v>4840</v>
      </c>
      <c r="E18" s="236">
        <v>1949110016277</v>
      </c>
      <c r="F18" s="240" t="s">
        <v>4841</v>
      </c>
      <c r="G18" s="214">
        <v>0</v>
      </c>
      <c r="H18" s="231" t="s">
        <v>4767</v>
      </c>
      <c r="I18" s="231"/>
      <c r="J18" s="231"/>
      <c r="K18" s="231"/>
      <c r="L18" s="231"/>
      <c r="M18" s="231"/>
      <c r="N18" s="231" t="s">
        <v>4806</v>
      </c>
      <c r="O18" s="246" t="s">
        <v>4842</v>
      </c>
      <c r="P18" s="246" t="s">
        <v>4843</v>
      </c>
      <c r="Q18" s="225" t="s">
        <v>4844</v>
      </c>
      <c r="R18" s="212" t="s">
        <v>2</v>
      </c>
      <c r="S18" s="213" t="s">
        <v>4771</v>
      </c>
      <c r="T18" s="233">
        <v>45527</v>
      </c>
      <c r="U18" s="234" t="s">
        <v>4759</v>
      </c>
      <c r="V18" s="233">
        <v>45603</v>
      </c>
      <c r="W18" s="233">
        <v>45610</v>
      </c>
      <c r="X18" s="234" t="s">
        <v>2</v>
      </c>
      <c r="Y18" s="234"/>
      <c r="Z18" s="234" t="s">
        <v>4031</v>
      </c>
      <c r="AA18" s="238">
        <v>202409</v>
      </c>
      <c r="AB18" s="243"/>
      <c r="AC18" s="233" t="s">
        <v>4800</v>
      </c>
      <c r="AD18" s="244" t="s">
        <v>4845</v>
      </c>
      <c r="AE18" s="245">
        <v>1</v>
      </c>
      <c r="AF18" s="244" t="s">
        <v>4845</v>
      </c>
      <c r="AG18" s="239" t="str">
        <f>IFERROR(VLOOKUP(작성용!A:A,RM!A:D,4,0),"-")</f>
        <v>채동우</v>
      </c>
      <c r="AH18" s="9" t="s">
        <v>4846</v>
      </c>
      <c r="AI18" s="235" t="s">
        <v>4767</v>
      </c>
      <c r="AJ18" s="235" t="s">
        <v>4847</v>
      </c>
      <c r="AK18" s="235" t="s">
        <v>4777</v>
      </c>
      <c r="AL18" s="235">
        <v>17</v>
      </c>
    </row>
    <row r="19" spans="1:38" x14ac:dyDescent="0.3">
      <c r="A19" s="229" t="s">
        <v>2336</v>
      </c>
      <c r="B19" s="229" t="s">
        <v>4848</v>
      </c>
      <c r="C19" s="241" t="s">
        <v>4778</v>
      </c>
      <c r="D19" s="237" t="s">
        <v>4849</v>
      </c>
      <c r="E19" s="236">
        <v>1101113298068</v>
      </c>
      <c r="F19" s="240" t="s">
        <v>4850</v>
      </c>
      <c r="G19" s="214">
        <v>1</v>
      </c>
      <c r="H19" s="231" t="s">
        <v>4767</v>
      </c>
      <c r="I19" s="231"/>
      <c r="J19" s="231"/>
      <c r="K19" s="231"/>
      <c r="L19" s="231"/>
      <c r="M19" s="231"/>
      <c r="N19" s="231" t="s">
        <v>4806</v>
      </c>
      <c r="O19" s="246" t="s">
        <v>4851</v>
      </c>
      <c r="P19" s="246" t="s">
        <v>4852</v>
      </c>
      <c r="Q19" s="225" t="s">
        <v>4844</v>
      </c>
      <c r="R19" s="212" t="s">
        <v>2</v>
      </c>
      <c r="S19" s="213" t="s">
        <v>4771</v>
      </c>
      <c r="T19" s="233">
        <v>45527</v>
      </c>
      <c r="U19" s="234" t="s">
        <v>4759</v>
      </c>
      <c r="V19" s="233">
        <v>45603</v>
      </c>
      <c r="W19" s="233">
        <v>45610</v>
      </c>
      <c r="X19" s="234" t="s">
        <v>2</v>
      </c>
      <c r="Y19" s="234"/>
      <c r="Z19" s="234" t="s">
        <v>4031</v>
      </c>
      <c r="AA19" s="238">
        <v>202409</v>
      </c>
      <c r="AB19" s="243"/>
      <c r="AC19" s="233" t="s">
        <v>4800</v>
      </c>
      <c r="AD19" s="244" t="s">
        <v>4761</v>
      </c>
      <c r="AE19" s="245">
        <v>1</v>
      </c>
      <c r="AF19" s="244" t="s">
        <v>4761</v>
      </c>
      <c r="AG19" s="239" t="str">
        <f>IFERROR(VLOOKUP(작성용!A:A,RM!A:D,4,0),"-")</f>
        <v>채동우</v>
      </c>
      <c r="AH19" s="9" t="s">
        <v>4846</v>
      </c>
      <c r="AI19" s="235" t="s">
        <v>4771</v>
      </c>
      <c r="AJ19" s="235" t="s">
        <v>4847</v>
      </c>
      <c r="AK19" s="235" t="s">
        <v>4777</v>
      </c>
      <c r="AL19" s="235">
        <v>18</v>
      </c>
    </row>
    <row r="20" spans="1:38" x14ac:dyDescent="0.3">
      <c r="A20" s="229" t="s">
        <v>2336</v>
      </c>
      <c r="B20" s="229" t="s">
        <v>4848</v>
      </c>
      <c r="C20" s="241" t="s">
        <v>4778</v>
      </c>
      <c r="D20" s="237" t="s">
        <v>4849</v>
      </c>
      <c r="E20" s="236">
        <v>1101113298068</v>
      </c>
      <c r="F20" s="240" t="s">
        <v>4850</v>
      </c>
      <c r="G20" s="214">
        <v>2</v>
      </c>
      <c r="H20" s="231" t="s">
        <v>4771</v>
      </c>
      <c r="I20" s="231"/>
      <c r="J20" s="231"/>
      <c r="K20" s="231"/>
      <c r="L20" s="231"/>
      <c r="M20" s="231"/>
      <c r="N20" s="231" t="s">
        <v>4806</v>
      </c>
      <c r="O20" s="246" t="s">
        <v>4851</v>
      </c>
      <c r="P20" s="246" t="s">
        <v>4843</v>
      </c>
      <c r="Q20" s="225" t="s">
        <v>4844</v>
      </c>
      <c r="R20" s="212" t="s">
        <v>2</v>
      </c>
      <c r="S20" s="213" t="s">
        <v>4771</v>
      </c>
      <c r="T20" s="233">
        <v>45527</v>
      </c>
      <c r="U20" s="234" t="s">
        <v>4759</v>
      </c>
      <c r="V20" s="233">
        <v>45603</v>
      </c>
      <c r="W20" s="233">
        <v>45610</v>
      </c>
      <c r="X20" s="234" t="s">
        <v>2</v>
      </c>
      <c r="Y20" s="234"/>
      <c r="Z20" s="234" t="s">
        <v>4031</v>
      </c>
      <c r="AA20" s="238">
        <v>202409</v>
      </c>
      <c r="AB20" s="243"/>
      <c r="AC20" s="233" t="s">
        <v>4800</v>
      </c>
      <c r="AD20" s="244" t="s">
        <v>4761</v>
      </c>
      <c r="AE20" s="245">
        <v>0</v>
      </c>
      <c r="AF20" s="244" t="s">
        <v>4761</v>
      </c>
      <c r="AG20" s="239" t="str">
        <f>IFERROR(VLOOKUP(작성용!A:A,RM!A:D,4,0),"-")</f>
        <v>채동우</v>
      </c>
      <c r="AH20" s="9" t="s">
        <v>4846</v>
      </c>
      <c r="AI20" s="235" t="s">
        <v>4771</v>
      </c>
      <c r="AJ20" s="235" t="s">
        <v>4847</v>
      </c>
      <c r="AK20" s="235" t="s">
        <v>4777</v>
      </c>
      <c r="AL20" s="235">
        <v>19</v>
      </c>
    </row>
    <row r="21" spans="1:38" x14ac:dyDescent="0.3">
      <c r="A21" s="229" t="s">
        <v>2336</v>
      </c>
      <c r="B21" s="229" t="s">
        <v>4848</v>
      </c>
      <c r="C21" s="241" t="s">
        <v>4778</v>
      </c>
      <c r="D21" s="237" t="s">
        <v>4853</v>
      </c>
      <c r="E21" s="236">
        <v>1101113896341</v>
      </c>
      <c r="F21" s="240" t="s">
        <v>4854</v>
      </c>
      <c r="G21" s="214">
        <v>0</v>
      </c>
      <c r="H21" s="231" t="s">
        <v>4771</v>
      </c>
      <c r="I21" s="231"/>
      <c r="J21" s="231"/>
      <c r="K21" s="231"/>
      <c r="L21" s="231"/>
      <c r="M21" s="231"/>
      <c r="N21" s="231" t="s">
        <v>4806</v>
      </c>
      <c r="O21" s="246" t="s">
        <v>4851</v>
      </c>
      <c r="P21" s="246" t="s">
        <v>4843</v>
      </c>
      <c r="Q21" s="225" t="s">
        <v>4844</v>
      </c>
      <c r="R21" s="212" t="s">
        <v>2</v>
      </c>
      <c r="S21" s="213" t="s">
        <v>4771</v>
      </c>
      <c r="T21" s="233">
        <v>45527</v>
      </c>
      <c r="U21" s="234" t="s">
        <v>4759</v>
      </c>
      <c r="V21" s="233">
        <v>45603</v>
      </c>
      <c r="W21" s="233">
        <v>45610</v>
      </c>
      <c r="X21" s="234" t="s">
        <v>2</v>
      </c>
      <c r="Y21" s="234"/>
      <c r="Z21" s="234" t="s">
        <v>4031</v>
      </c>
      <c r="AA21" s="238">
        <v>202409</v>
      </c>
      <c r="AB21" s="243"/>
      <c r="AC21" s="233" t="s">
        <v>4800</v>
      </c>
      <c r="AD21" s="244" t="s">
        <v>4761</v>
      </c>
      <c r="AE21" s="245">
        <v>1</v>
      </c>
      <c r="AF21" s="244" t="s">
        <v>4761</v>
      </c>
      <c r="AG21" s="239" t="str">
        <f>IFERROR(VLOOKUP(작성용!A:A,RM!A:D,4,0),"-")</f>
        <v>채동우</v>
      </c>
      <c r="AH21" s="9" t="s">
        <v>4846</v>
      </c>
      <c r="AI21" s="235" t="s">
        <v>4771</v>
      </c>
      <c r="AJ21" s="235" t="s">
        <v>4847</v>
      </c>
      <c r="AK21" s="235" t="s">
        <v>4777</v>
      </c>
      <c r="AL21" s="235">
        <v>20</v>
      </c>
    </row>
    <row r="22" spans="1:38" x14ac:dyDescent="0.3">
      <c r="A22" s="229" t="s">
        <v>2336</v>
      </c>
      <c r="B22" s="229" t="s">
        <v>4848</v>
      </c>
      <c r="C22" s="241" t="s">
        <v>4778</v>
      </c>
      <c r="D22" s="237" t="s">
        <v>4855</v>
      </c>
      <c r="E22" s="236">
        <v>1741110000775</v>
      </c>
      <c r="F22" s="240" t="s">
        <v>4854</v>
      </c>
      <c r="G22" s="214">
        <v>0</v>
      </c>
      <c r="H22" s="231" t="s">
        <v>4771</v>
      </c>
      <c r="I22" s="231"/>
      <c r="J22" s="231"/>
      <c r="K22" s="231"/>
      <c r="L22" s="231"/>
      <c r="M22" s="231"/>
      <c r="N22" s="231" t="s">
        <v>4806</v>
      </c>
      <c r="O22" s="246" t="s">
        <v>4851</v>
      </c>
      <c r="P22" s="246" t="s">
        <v>4843</v>
      </c>
      <c r="Q22" s="225" t="s">
        <v>4844</v>
      </c>
      <c r="R22" s="212" t="s">
        <v>2</v>
      </c>
      <c r="S22" s="213" t="s">
        <v>4771</v>
      </c>
      <c r="T22" s="233">
        <v>45527</v>
      </c>
      <c r="U22" s="234" t="s">
        <v>4759</v>
      </c>
      <c r="V22" s="233">
        <v>45603</v>
      </c>
      <c r="W22" s="233">
        <v>45610</v>
      </c>
      <c r="X22" s="234" t="s">
        <v>2</v>
      </c>
      <c r="Y22" s="234"/>
      <c r="Z22" s="234" t="s">
        <v>4031</v>
      </c>
      <c r="AA22" s="238">
        <v>202409</v>
      </c>
      <c r="AB22" s="243"/>
      <c r="AC22" s="233" t="s">
        <v>4800</v>
      </c>
      <c r="AD22" s="244" t="s">
        <v>4856</v>
      </c>
      <c r="AE22" s="245">
        <v>1</v>
      </c>
      <c r="AF22" s="244" t="s">
        <v>4856</v>
      </c>
      <c r="AG22" s="239" t="str">
        <f>IFERROR(VLOOKUP(작성용!A:A,RM!A:D,4,0),"-")</f>
        <v>채동우</v>
      </c>
      <c r="AH22" s="9" t="s">
        <v>4846</v>
      </c>
      <c r="AI22" s="235" t="s">
        <v>4771</v>
      </c>
      <c r="AJ22" s="235" t="s">
        <v>4847</v>
      </c>
      <c r="AK22" s="235" t="s">
        <v>4777</v>
      </c>
      <c r="AL22" s="235">
        <v>21</v>
      </c>
    </row>
    <row r="23" spans="1:38" x14ac:dyDescent="0.3">
      <c r="A23" s="229" t="s">
        <v>2336</v>
      </c>
      <c r="B23" s="229" t="s">
        <v>4848</v>
      </c>
      <c r="C23" s="241" t="s">
        <v>4778</v>
      </c>
      <c r="D23" s="237" t="s">
        <v>4857</v>
      </c>
      <c r="E23" s="236">
        <v>1701110182783</v>
      </c>
      <c r="F23" s="240" t="s">
        <v>4854</v>
      </c>
      <c r="G23" s="214">
        <v>0</v>
      </c>
      <c r="H23" s="231" t="s">
        <v>4771</v>
      </c>
      <c r="I23" s="231"/>
      <c r="J23" s="231"/>
      <c r="K23" s="231"/>
      <c r="L23" s="231"/>
      <c r="M23" s="231"/>
      <c r="N23" s="231" t="s">
        <v>4806</v>
      </c>
      <c r="O23" s="246" t="s">
        <v>4851</v>
      </c>
      <c r="P23" s="246" t="s">
        <v>4843</v>
      </c>
      <c r="Q23" s="225" t="s">
        <v>4844</v>
      </c>
      <c r="R23" s="212" t="s">
        <v>2</v>
      </c>
      <c r="S23" s="213" t="s">
        <v>4771</v>
      </c>
      <c r="T23" s="233">
        <v>45527</v>
      </c>
      <c r="U23" s="234" t="s">
        <v>4759</v>
      </c>
      <c r="V23" s="233">
        <v>45603</v>
      </c>
      <c r="W23" s="233">
        <v>45610</v>
      </c>
      <c r="X23" s="234" t="s">
        <v>2</v>
      </c>
      <c r="Y23" s="234"/>
      <c r="Z23" s="234" t="s">
        <v>4031</v>
      </c>
      <c r="AA23" s="238">
        <v>202409</v>
      </c>
      <c r="AB23" s="243"/>
      <c r="AC23" s="233" t="s">
        <v>4800</v>
      </c>
      <c r="AD23" s="244" t="s">
        <v>4858</v>
      </c>
      <c r="AE23" s="245">
        <v>1</v>
      </c>
      <c r="AF23" s="244" t="s">
        <v>4858</v>
      </c>
      <c r="AG23" s="239" t="str">
        <f>IFERROR(VLOOKUP(작성용!A:A,RM!A:D,4,0),"-")</f>
        <v>채동우</v>
      </c>
      <c r="AH23" s="9" t="s">
        <v>4846</v>
      </c>
      <c r="AI23" s="235" t="s">
        <v>4771</v>
      </c>
      <c r="AJ23" s="235" t="s">
        <v>4847</v>
      </c>
      <c r="AK23" s="235" t="s">
        <v>4777</v>
      </c>
      <c r="AL23" s="235">
        <v>22</v>
      </c>
    </row>
    <row r="24" spans="1:38" x14ac:dyDescent="0.3">
      <c r="A24" s="229" t="s">
        <v>2336</v>
      </c>
      <c r="B24" s="229" t="s">
        <v>4848</v>
      </c>
      <c r="C24" s="241" t="s">
        <v>4778</v>
      </c>
      <c r="D24" s="237" t="s">
        <v>4859</v>
      </c>
      <c r="E24" s="236">
        <v>1701110619538</v>
      </c>
      <c r="F24" s="240" t="s">
        <v>4854</v>
      </c>
      <c r="G24" s="214">
        <v>0</v>
      </c>
      <c r="H24" s="231" t="s">
        <v>4771</v>
      </c>
      <c r="I24" s="231"/>
      <c r="J24" s="231"/>
      <c r="K24" s="231"/>
      <c r="L24" s="231"/>
      <c r="M24" s="231"/>
      <c r="N24" s="231" t="s">
        <v>4806</v>
      </c>
      <c r="O24" s="246" t="s">
        <v>4851</v>
      </c>
      <c r="P24" s="246" t="s">
        <v>4843</v>
      </c>
      <c r="Q24" s="225" t="s">
        <v>4844</v>
      </c>
      <c r="R24" s="212" t="s">
        <v>2</v>
      </c>
      <c r="S24" s="213" t="s">
        <v>4771</v>
      </c>
      <c r="T24" s="233">
        <v>45527</v>
      </c>
      <c r="U24" s="234" t="s">
        <v>4759</v>
      </c>
      <c r="V24" s="233">
        <v>45603</v>
      </c>
      <c r="W24" s="233">
        <v>45610</v>
      </c>
      <c r="X24" s="234" t="s">
        <v>2</v>
      </c>
      <c r="Y24" s="234"/>
      <c r="Z24" s="234" t="s">
        <v>4031</v>
      </c>
      <c r="AA24" s="238">
        <v>202409</v>
      </c>
      <c r="AB24" s="243"/>
      <c r="AC24" s="233" t="s">
        <v>4800</v>
      </c>
      <c r="AD24" s="244" t="s">
        <v>4860</v>
      </c>
      <c r="AE24" s="245">
        <v>1</v>
      </c>
      <c r="AF24" s="244" t="s">
        <v>4860</v>
      </c>
      <c r="AG24" s="239" t="str">
        <f>IFERROR(VLOOKUP(작성용!A:A,RM!A:D,4,0),"-")</f>
        <v>채동우</v>
      </c>
      <c r="AH24" s="9" t="s">
        <v>4846</v>
      </c>
      <c r="AI24" s="235" t="s">
        <v>4771</v>
      </c>
      <c r="AJ24" s="235" t="s">
        <v>4847</v>
      </c>
      <c r="AK24" s="235" t="s">
        <v>4777</v>
      </c>
      <c r="AL24" s="235">
        <v>23</v>
      </c>
    </row>
    <row r="25" spans="1:38" x14ac:dyDescent="0.3">
      <c r="A25" s="229" t="s">
        <v>2336</v>
      </c>
      <c r="B25" s="229" t="s">
        <v>4848</v>
      </c>
      <c r="C25" s="241" t="s">
        <v>4778</v>
      </c>
      <c r="D25" s="237" t="s">
        <v>4861</v>
      </c>
      <c r="E25" s="236">
        <v>1101114625385</v>
      </c>
      <c r="F25" s="240" t="s">
        <v>4850</v>
      </c>
      <c r="G25" s="214">
        <v>0</v>
      </c>
      <c r="H25" s="231" t="s">
        <v>4771</v>
      </c>
      <c r="I25" s="231"/>
      <c r="J25" s="231"/>
      <c r="K25" s="231"/>
      <c r="L25" s="231"/>
      <c r="M25" s="231"/>
      <c r="N25" s="231" t="s">
        <v>4806</v>
      </c>
      <c r="O25" s="246" t="s">
        <v>4851</v>
      </c>
      <c r="P25" s="246" t="s">
        <v>4843</v>
      </c>
      <c r="Q25" s="225" t="s">
        <v>4844</v>
      </c>
      <c r="R25" s="212" t="s">
        <v>2</v>
      </c>
      <c r="S25" s="213" t="s">
        <v>4771</v>
      </c>
      <c r="T25" s="233">
        <v>45527</v>
      </c>
      <c r="U25" s="234" t="s">
        <v>4759</v>
      </c>
      <c r="V25" s="233">
        <v>45603</v>
      </c>
      <c r="W25" s="233">
        <v>45610</v>
      </c>
      <c r="X25" s="234" t="s">
        <v>2</v>
      </c>
      <c r="Y25" s="234"/>
      <c r="Z25" s="234" t="s">
        <v>4031</v>
      </c>
      <c r="AA25" s="238">
        <v>202409</v>
      </c>
      <c r="AB25" s="243"/>
      <c r="AC25" s="233" t="s">
        <v>4800</v>
      </c>
      <c r="AD25" s="244" t="s">
        <v>4862</v>
      </c>
      <c r="AE25" s="245">
        <v>1</v>
      </c>
      <c r="AF25" s="244" t="s">
        <v>4862</v>
      </c>
      <c r="AG25" s="239" t="str">
        <f>IFERROR(VLOOKUP(작성용!A:A,RM!A:D,4,0),"-")</f>
        <v>채동우</v>
      </c>
      <c r="AH25" s="9" t="s">
        <v>4846</v>
      </c>
      <c r="AI25" s="235" t="s">
        <v>4771</v>
      </c>
      <c r="AJ25" s="235" t="s">
        <v>4847</v>
      </c>
      <c r="AK25" s="235" t="s">
        <v>4777</v>
      </c>
      <c r="AL25" s="235">
        <v>24</v>
      </c>
    </row>
    <row r="26" spans="1:38" x14ac:dyDescent="0.3">
      <c r="A26" s="229" t="s">
        <v>2336</v>
      </c>
      <c r="B26" s="229" t="s">
        <v>4848</v>
      </c>
      <c r="C26" s="241" t="s">
        <v>4778</v>
      </c>
      <c r="D26" s="237" t="s">
        <v>4861</v>
      </c>
      <c r="E26" s="236">
        <v>1101114625385</v>
      </c>
      <c r="F26" s="240" t="s">
        <v>4850</v>
      </c>
      <c r="G26" s="214">
        <v>1</v>
      </c>
      <c r="H26" s="231" t="s">
        <v>4771</v>
      </c>
      <c r="I26" s="231"/>
      <c r="J26" s="231"/>
      <c r="K26" s="231"/>
      <c r="L26" s="231"/>
      <c r="M26" s="231"/>
      <c r="N26" s="231" t="s">
        <v>4806</v>
      </c>
      <c r="O26" s="246" t="s">
        <v>4851</v>
      </c>
      <c r="P26" s="246" t="s">
        <v>4843</v>
      </c>
      <c r="Q26" s="225" t="s">
        <v>4844</v>
      </c>
      <c r="R26" s="212" t="s">
        <v>2</v>
      </c>
      <c r="S26" s="213" t="s">
        <v>4771</v>
      </c>
      <c r="T26" s="233">
        <v>45527</v>
      </c>
      <c r="U26" s="234" t="s">
        <v>4759</v>
      </c>
      <c r="V26" s="233">
        <v>45603</v>
      </c>
      <c r="W26" s="233">
        <v>45610</v>
      </c>
      <c r="X26" s="234" t="s">
        <v>2</v>
      </c>
      <c r="Y26" s="234"/>
      <c r="Z26" s="234" t="s">
        <v>4031</v>
      </c>
      <c r="AA26" s="238">
        <v>202409</v>
      </c>
      <c r="AB26" s="243"/>
      <c r="AC26" s="233" t="s">
        <v>4800</v>
      </c>
      <c r="AD26" s="244" t="s">
        <v>4862</v>
      </c>
      <c r="AE26" s="245">
        <v>0</v>
      </c>
      <c r="AF26" s="244" t="s">
        <v>4862</v>
      </c>
      <c r="AG26" s="239" t="str">
        <f>IFERROR(VLOOKUP(작성용!A:A,RM!A:D,4,0),"-")</f>
        <v>채동우</v>
      </c>
      <c r="AH26" s="9" t="s">
        <v>4846</v>
      </c>
      <c r="AI26" s="235" t="s">
        <v>4771</v>
      </c>
      <c r="AJ26" s="235" t="s">
        <v>4847</v>
      </c>
      <c r="AK26" s="235" t="s">
        <v>4777</v>
      </c>
      <c r="AL26" s="235">
        <v>25</v>
      </c>
    </row>
    <row r="27" spans="1:38" x14ac:dyDescent="0.3">
      <c r="A27" s="229" t="s">
        <v>2336</v>
      </c>
      <c r="B27" s="229" t="s">
        <v>4848</v>
      </c>
      <c r="C27" s="241" t="s">
        <v>4778</v>
      </c>
      <c r="D27" s="237" t="s">
        <v>4863</v>
      </c>
      <c r="E27" s="236">
        <v>1101114300797</v>
      </c>
      <c r="F27" s="240" t="s">
        <v>4850</v>
      </c>
      <c r="G27" s="214">
        <v>0</v>
      </c>
      <c r="H27" s="231" t="s">
        <v>4771</v>
      </c>
      <c r="I27" s="231"/>
      <c r="J27" s="231"/>
      <c r="K27" s="231"/>
      <c r="L27" s="231"/>
      <c r="M27" s="231"/>
      <c r="N27" s="231" t="s">
        <v>4806</v>
      </c>
      <c r="O27" s="246" t="s">
        <v>4851</v>
      </c>
      <c r="P27" s="246" t="s">
        <v>4843</v>
      </c>
      <c r="Q27" s="225" t="s">
        <v>4844</v>
      </c>
      <c r="R27" s="212" t="s">
        <v>2</v>
      </c>
      <c r="S27" s="213" t="s">
        <v>4771</v>
      </c>
      <c r="T27" s="233">
        <v>45527</v>
      </c>
      <c r="U27" s="234" t="s">
        <v>4759</v>
      </c>
      <c r="V27" s="233">
        <v>45603</v>
      </c>
      <c r="W27" s="233">
        <v>45610</v>
      </c>
      <c r="X27" s="234" t="s">
        <v>2</v>
      </c>
      <c r="Y27" s="234"/>
      <c r="Z27" s="234" t="s">
        <v>4031</v>
      </c>
      <c r="AA27" s="238">
        <v>202409</v>
      </c>
      <c r="AB27" s="243"/>
      <c r="AC27" s="233" t="s">
        <v>4800</v>
      </c>
      <c r="AD27" s="244" t="s">
        <v>4864</v>
      </c>
      <c r="AE27" s="245">
        <v>1</v>
      </c>
      <c r="AF27" s="244" t="s">
        <v>4864</v>
      </c>
      <c r="AG27" s="239" t="str">
        <f>IFERROR(VLOOKUP(작성용!A:A,RM!A:D,4,0),"-")</f>
        <v>채동우</v>
      </c>
      <c r="AH27" s="9" t="s">
        <v>4846</v>
      </c>
      <c r="AI27" s="235" t="s">
        <v>4771</v>
      </c>
      <c r="AJ27" s="235" t="s">
        <v>4847</v>
      </c>
      <c r="AK27" s="235" t="s">
        <v>4777</v>
      </c>
      <c r="AL27" s="235">
        <v>26</v>
      </c>
    </row>
    <row r="28" spans="1:38" x14ac:dyDescent="0.3">
      <c r="A28" s="229" t="s">
        <v>2336</v>
      </c>
      <c r="B28" s="229" t="s">
        <v>4848</v>
      </c>
      <c r="C28" s="241" t="s">
        <v>4778</v>
      </c>
      <c r="D28" s="237" t="s">
        <v>4865</v>
      </c>
      <c r="E28" s="236">
        <v>1301110057421</v>
      </c>
      <c r="F28" s="240" t="s">
        <v>4780</v>
      </c>
      <c r="G28" s="214">
        <v>0</v>
      </c>
      <c r="H28" s="231" t="s">
        <v>4771</v>
      </c>
      <c r="I28" s="231"/>
      <c r="J28" s="231"/>
      <c r="K28" s="231"/>
      <c r="L28" s="231"/>
      <c r="M28" s="231"/>
      <c r="N28" s="231" t="s">
        <v>4806</v>
      </c>
      <c r="O28" s="246" t="s">
        <v>4851</v>
      </c>
      <c r="P28" s="246" t="s">
        <v>4843</v>
      </c>
      <c r="Q28" s="225" t="s">
        <v>4844</v>
      </c>
      <c r="R28" s="212" t="s">
        <v>2</v>
      </c>
      <c r="S28" s="213" t="s">
        <v>4771</v>
      </c>
      <c r="T28" s="233">
        <v>45527</v>
      </c>
      <c r="U28" s="234" t="s">
        <v>4759</v>
      </c>
      <c r="V28" s="233">
        <v>45603</v>
      </c>
      <c r="W28" s="233">
        <v>45610</v>
      </c>
      <c r="X28" s="234" t="s">
        <v>2</v>
      </c>
      <c r="Y28" s="234"/>
      <c r="Z28" s="234" t="s">
        <v>4031</v>
      </c>
      <c r="AA28" s="238">
        <v>202409</v>
      </c>
      <c r="AB28" s="243"/>
      <c r="AC28" s="233" t="s">
        <v>4800</v>
      </c>
      <c r="AD28" s="244" t="s">
        <v>4774</v>
      </c>
      <c r="AE28" s="245">
        <v>0</v>
      </c>
      <c r="AF28" s="244" t="s">
        <v>4774</v>
      </c>
      <c r="AG28" s="239" t="str">
        <f>IFERROR(VLOOKUP(작성용!A:A,RM!A:D,4,0),"-")</f>
        <v>채동우</v>
      </c>
      <c r="AH28" s="9" t="s">
        <v>4846</v>
      </c>
      <c r="AI28" s="235" t="s">
        <v>4771</v>
      </c>
      <c r="AJ28" s="235" t="s">
        <v>4847</v>
      </c>
      <c r="AK28" s="235" t="s">
        <v>4777</v>
      </c>
      <c r="AL28" s="235">
        <v>27</v>
      </c>
    </row>
    <row r="29" spans="1:38" x14ac:dyDescent="0.3">
      <c r="A29" s="229" t="s">
        <v>2336</v>
      </c>
      <c r="B29" s="229" t="s">
        <v>4848</v>
      </c>
      <c r="C29" s="241" t="s">
        <v>4778</v>
      </c>
      <c r="D29" s="237" t="s">
        <v>4866</v>
      </c>
      <c r="E29" s="236" t="s">
        <v>3643</v>
      </c>
      <c r="F29" s="240" t="s">
        <v>4854</v>
      </c>
      <c r="G29" s="214">
        <v>0</v>
      </c>
      <c r="H29" s="231" t="s">
        <v>4771</v>
      </c>
      <c r="I29" s="231"/>
      <c r="J29" s="231"/>
      <c r="K29" s="231"/>
      <c r="L29" s="231"/>
      <c r="M29" s="231"/>
      <c r="N29" s="231" t="s">
        <v>4806</v>
      </c>
      <c r="O29" s="246" t="s">
        <v>4851</v>
      </c>
      <c r="P29" s="246" t="s">
        <v>4843</v>
      </c>
      <c r="Q29" s="225" t="s">
        <v>4844</v>
      </c>
      <c r="R29" s="212" t="s">
        <v>2</v>
      </c>
      <c r="S29" s="213" t="s">
        <v>4771</v>
      </c>
      <c r="T29" s="233">
        <v>45527</v>
      </c>
      <c r="U29" s="234" t="s">
        <v>4759</v>
      </c>
      <c r="V29" s="233">
        <v>45603</v>
      </c>
      <c r="W29" s="233">
        <v>45610</v>
      </c>
      <c r="X29" s="234" t="s">
        <v>2</v>
      </c>
      <c r="Y29" s="234"/>
      <c r="Z29" s="234" t="s">
        <v>4031</v>
      </c>
      <c r="AA29" s="238">
        <v>202409</v>
      </c>
      <c r="AB29" s="243"/>
      <c r="AC29" s="233" t="s">
        <v>4800</v>
      </c>
      <c r="AD29" s="244" t="s">
        <v>4846</v>
      </c>
      <c r="AE29" s="245">
        <v>1</v>
      </c>
      <c r="AF29" s="244" t="s">
        <v>4846</v>
      </c>
      <c r="AG29" s="239" t="str">
        <f>IFERROR(VLOOKUP(작성용!A:A,RM!A:D,4,0),"-")</f>
        <v>채동우</v>
      </c>
      <c r="AH29" s="9" t="s">
        <v>4846</v>
      </c>
      <c r="AI29" s="235" t="s">
        <v>4771</v>
      </c>
      <c r="AJ29" s="235" t="s">
        <v>4847</v>
      </c>
      <c r="AK29" s="235" t="s">
        <v>4777</v>
      </c>
      <c r="AL29" s="235">
        <v>28</v>
      </c>
    </row>
    <row r="30" spans="1:38" x14ac:dyDescent="0.3">
      <c r="A30" s="229" t="s">
        <v>2336</v>
      </c>
      <c r="B30" s="229" t="s">
        <v>4848</v>
      </c>
      <c r="C30" s="241" t="s">
        <v>4778</v>
      </c>
      <c r="D30" s="237" t="s">
        <v>4867</v>
      </c>
      <c r="E30" s="236">
        <v>1101111322786</v>
      </c>
      <c r="F30" s="240" t="s">
        <v>4854</v>
      </c>
      <c r="G30" s="214">
        <v>0</v>
      </c>
      <c r="H30" s="231" t="s">
        <v>4771</v>
      </c>
      <c r="I30" s="231"/>
      <c r="J30" s="231"/>
      <c r="K30" s="231"/>
      <c r="L30" s="231"/>
      <c r="M30" s="231"/>
      <c r="N30" s="231" t="s">
        <v>4806</v>
      </c>
      <c r="O30" s="246" t="s">
        <v>4851</v>
      </c>
      <c r="P30" s="246" t="s">
        <v>4843</v>
      </c>
      <c r="Q30" s="225" t="s">
        <v>4844</v>
      </c>
      <c r="R30" s="212" t="s">
        <v>2</v>
      </c>
      <c r="S30" s="213" t="s">
        <v>4771</v>
      </c>
      <c r="T30" s="233">
        <v>45527</v>
      </c>
      <c r="U30" s="234" t="s">
        <v>4759</v>
      </c>
      <c r="V30" s="233">
        <v>45603</v>
      </c>
      <c r="W30" s="233">
        <v>45610</v>
      </c>
      <c r="X30" s="234" t="s">
        <v>2</v>
      </c>
      <c r="Y30" s="234"/>
      <c r="Z30" s="234" t="s">
        <v>4031</v>
      </c>
      <c r="AA30" s="238">
        <v>202409</v>
      </c>
      <c r="AB30" s="243"/>
      <c r="AC30" s="233" t="s">
        <v>4800</v>
      </c>
      <c r="AD30" s="244" t="s">
        <v>4860</v>
      </c>
      <c r="AE30" s="245">
        <v>1</v>
      </c>
      <c r="AF30" s="244" t="s">
        <v>4860</v>
      </c>
      <c r="AG30" s="239" t="str">
        <f>IFERROR(VLOOKUP(작성용!A:A,RM!A:D,4,0),"-")</f>
        <v>채동우</v>
      </c>
      <c r="AH30" s="9" t="s">
        <v>4846</v>
      </c>
      <c r="AI30" s="235" t="s">
        <v>4771</v>
      </c>
      <c r="AJ30" s="235" t="s">
        <v>4847</v>
      </c>
      <c r="AK30" s="235" t="s">
        <v>4777</v>
      </c>
      <c r="AL30" s="235">
        <v>29</v>
      </c>
    </row>
    <row r="31" spans="1:38" x14ac:dyDescent="0.3">
      <c r="A31" s="229" t="s">
        <v>2336</v>
      </c>
      <c r="B31" s="229" t="s">
        <v>4848</v>
      </c>
      <c r="C31" s="241" t="s">
        <v>4778</v>
      </c>
      <c r="D31" s="237" t="s">
        <v>4867</v>
      </c>
      <c r="E31" s="236">
        <v>1101111322786</v>
      </c>
      <c r="F31" s="240" t="s">
        <v>4780</v>
      </c>
      <c r="G31" s="214">
        <v>0</v>
      </c>
      <c r="H31" s="231" t="s">
        <v>4771</v>
      </c>
      <c r="I31" s="231"/>
      <c r="J31" s="231"/>
      <c r="K31" s="231"/>
      <c r="L31" s="231"/>
      <c r="M31" s="231"/>
      <c r="N31" s="231" t="s">
        <v>4806</v>
      </c>
      <c r="O31" s="246" t="s">
        <v>4851</v>
      </c>
      <c r="P31" s="246" t="s">
        <v>4843</v>
      </c>
      <c r="Q31" s="225" t="s">
        <v>4844</v>
      </c>
      <c r="R31" s="212" t="s">
        <v>2</v>
      </c>
      <c r="S31" s="213" t="s">
        <v>4771</v>
      </c>
      <c r="T31" s="233">
        <v>45527</v>
      </c>
      <c r="U31" s="234" t="s">
        <v>4759</v>
      </c>
      <c r="V31" s="233">
        <v>45603</v>
      </c>
      <c r="W31" s="233">
        <v>45610</v>
      </c>
      <c r="X31" s="234" t="s">
        <v>2</v>
      </c>
      <c r="Y31" s="234"/>
      <c r="Z31" s="234" t="s">
        <v>4031</v>
      </c>
      <c r="AA31" s="238">
        <v>202409</v>
      </c>
      <c r="AB31" s="243"/>
      <c r="AC31" s="233" t="s">
        <v>4800</v>
      </c>
      <c r="AD31" s="244" t="s">
        <v>4860</v>
      </c>
      <c r="AE31" s="245">
        <v>0</v>
      </c>
      <c r="AF31" s="244" t="s">
        <v>4860</v>
      </c>
      <c r="AG31" s="239" t="str">
        <f>IFERROR(VLOOKUP(작성용!A:A,RM!A:D,4,0),"-")</f>
        <v>채동우</v>
      </c>
      <c r="AH31" s="9" t="s">
        <v>4846</v>
      </c>
      <c r="AI31" s="235" t="s">
        <v>4771</v>
      </c>
      <c r="AJ31" s="235" t="s">
        <v>4847</v>
      </c>
      <c r="AK31" s="235" t="s">
        <v>4777</v>
      </c>
      <c r="AL31" s="235">
        <v>30</v>
      </c>
    </row>
    <row r="32" spans="1:38" x14ac:dyDescent="0.3">
      <c r="A32" s="229" t="s">
        <v>2336</v>
      </c>
      <c r="B32" s="229" t="s">
        <v>4839</v>
      </c>
      <c r="C32" s="241" t="s">
        <v>4765</v>
      </c>
      <c r="D32" s="237" t="s">
        <v>4868</v>
      </c>
      <c r="E32" s="236">
        <v>1645110024117</v>
      </c>
      <c r="F32" s="240" t="s">
        <v>4869</v>
      </c>
      <c r="G32" s="214">
        <v>0</v>
      </c>
      <c r="H32" s="231" t="s">
        <v>4767</v>
      </c>
      <c r="I32" s="231"/>
      <c r="J32" s="231"/>
      <c r="K32" s="231"/>
      <c r="L32" s="231"/>
      <c r="M32" s="231"/>
      <c r="N32" s="231" t="s">
        <v>4811</v>
      </c>
      <c r="O32" s="246" t="s">
        <v>4851</v>
      </c>
      <c r="P32" s="246" t="s">
        <v>4843</v>
      </c>
      <c r="Q32" s="225" t="s">
        <v>4870</v>
      </c>
      <c r="R32" s="212" t="s">
        <v>2</v>
      </c>
      <c r="S32" s="213" t="s">
        <v>4771</v>
      </c>
      <c r="T32" s="233">
        <v>45527</v>
      </c>
      <c r="U32" s="234" t="s">
        <v>4871</v>
      </c>
      <c r="V32" s="233">
        <v>45603</v>
      </c>
      <c r="W32" s="233">
        <v>45610</v>
      </c>
      <c r="X32" s="234" t="s">
        <v>2</v>
      </c>
      <c r="Y32" s="234"/>
      <c r="Z32" s="234" t="s">
        <v>4031</v>
      </c>
      <c r="AA32" s="238">
        <v>202409</v>
      </c>
      <c r="AB32" s="243"/>
      <c r="AC32" s="233" t="s">
        <v>4800</v>
      </c>
      <c r="AD32" s="244" t="s">
        <v>4823</v>
      </c>
      <c r="AE32" s="245">
        <v>1</v>
      </c>
      <c r="AF32" s="244" t="s">
        <v>4872</v>
      </c>
      <c r="AG32" s="239" t="str">
        <f>IFERROR(VLOOKUP(작성용!A:A,RM!A:D,4,0),"-")</f>
        <v>채동우</v>
      </c>
      <c r="AH32" s="9" t="s">
        <v>4873</v>
      </c>
      <c r="AI32" s="235" t="s">
        <v>4771</v>
      </c>
      <c r="AJ32" s="235" t="s">
        <v>4847</v>
      </c>
      <c r="AK32" s="235" t="s">
        <v>4777</v>
      </c>
      <c r="AL32" s="235">
        <v>31</v>
      </c>
    </row>
    <row r="33" spans="1:38" x14ac:dyDescent="0.3">
      <c r="A33" s="229" t="s">
        <v>2336</v>
      </c>
      <c r="B33" s="229" t="s">
        <v>4848</v>
      </c>
      <c r="C33" s="241" t="s">
        <v>4765</v>
      </c>
      <c r="D33" s="237" t="s">
        <v>4874</v>
      </c>
      <c r="E33" s="236">
        <v>1301110059360</v>
      </c>
      <c r="F33" s="240" t="s">
        <v>4750</v>
      </c>
      <c r="G33" s="214">
        <v>0</v>
      </c>
      <c r="H33" s="231" t="s">
        <v>4771</v>
      </c>
      <c r="I33" s="231"/>
      <c r="J33" s="231"/>
      <c r="K33" s="231"/>
      <c r="L33" s="231"/>
      <c r="M33" s="231"/>
      <c r="N33" s="231" t="s">
        <v>4806</v>
      </c>
      <c r="O33" s="246" t="s">
        <v>4851</v>
      </c>
      <c r="P33" s="246" t="s">
        <v>4843</v>
      </c>
      <c r="Q33" s="225" t="s">
        <v>4844</v>
      </c>
      <c r="R33" s="212" t="s">
        <v>2</v>
      </c>
      <c r="S33" s="213" t="s">
        <v>3527</v>
      </c>
      <c r="T33" s="233">
        <v>45527</v>
      </c>
      <c r="U33" s="234" t="s">
        <v>4871</v>
      </c>
      <c r="V33" s="233">
        <v>45603</v>
      </c>
      <c r="W33" s="233">
        <v>45610</v>
      </c>
      <c r="X33" s="234" t="s">
        <v>2</v>
      </c>
      <c r="Y33" s="234"/>
      <c r="Z33" s="234" t="s">
        <v>4031</v>
      </c>
      <c r="AA33" s="238">
        <v>202409</v>
      </c>
      <c r="AB33" s="243"/>
      <c r="AC33" s="233" t="s">
        <v>4800</v>
      </c>
      <c r="AD33" s="244" t="s">
        <v>4875</v>
      </c>
      <c r="AE33" s="245">
        <v>1</v>
      </c>
      <c r="AF33" s="244" t="s">
        <v>4875</v>
      </c>
      <c r="AG33" s="239" t="str">
        <f>IFERROR(VLOOKUP(작성용!A:A,RM!A:D,4,0),"-")</f>
        <v>채동우</v>
      </c>
      <c r="AH33" s="9" t="s">
        <v>4873</v>
      </c>
      <c r="AI33" s="235" t="s">
        <v>4771</v>
      </c>
      <c r="AJ33" s="235" t="s">
        <v>4847</v>
      </c>
      <c r="AK33" s="235" t="s">
        <v>4777</v>
      </c>
      <c r="AL33" s="235">
        <v>32</v>
      </c>
    </row>
    <row r="34" spans="1:38" x14ac:dyDescent="0.3">
      <c r="A34" s="229" t="s">
        <v>369</v>
      </c>
      <c r="B34" s="229" t="s">
        <v>4027</v>
      </c>
      <c r="C34" s="241" t="s">
        <v>3707</v>
      </c>
      <c r="D34" s="237" t="s">
        <v>3988</v>
      </c>
      <c r="E34" s="236">
        <v>1101112405896</v>
      </c>
      <c r="F34" s="240" t="s">
        <v>4766</v>
      </c>
      <c r="G34" s="214">
        <v>0</v>
      </c>
      <c r="H34" s="231" t="s">
        <v>4767</v>
      </c>
      <c r="I34" s="231"/>
      <c r="J34" s="231"/>
      <c r="K34" s="231"/>
      <c r="L34" s="231"/>
      <c r="M34" s="231"/>
      <c r="N34" s="231" t="s">
        <v>4817</v>
      </c>
      <c r="O34" s="246" t="s">
        <v>3989</v>
      </c>
      <c r="P34" s="246" t="s">
        <v>4026</v>
      </c>
      <c r="Q34" s="225" t="s">
        <v>4820</v>
      </c>
      <c r="R34" s="212" t="s">
        <v>2</v>
      </c>
      <c r="S34" s="213" t="s">
        <v>4771</v>
      </c>
      <c r="T34" s="233">
        <v>45544</v>
      </c>
      <c r="U34" s="234" t="s">
        <v>4876</v>
      </c>
      <c r="V34" s="233">
        <v>45628</v>
      </c>
      <c r="W34" s="233" t="s">
        <v>4877</v>
      </c>
      <c r="X34" s="234" t="s">
        <v>4767</v>
      </c>
      <c r="Y34" s="234"/>
      <c r="Z34" s="234" t="s">
        <v>4556</v>
      </c>
      <c r="AA34" s="238">
        <v>202411</v>
      </c>
      <c r="AB34" s="243"/>
      <c r="AC34" s="233" t="s">
        <v>4878</v>
      </c>
      <c r="AD34" s="244" t="s">
        <v>4823</v>
      </c>
      <c r="AE34" s="245">
        <v>1</v>
      </c>
      <c r="AF34" s="244" t="s">
        <v>4823</v>
      </c>
      <c r="AG34" s="239" t="str">
        <f>IFERROR(VLOOKUP(작성용!A:A,RM!A:D,4,0),"-")</f>
        <v>강승현</v>
      </c>
      <c r="AH34" s="239" t="s">
        <v>4823</v>
      </c>
      <c r="AI34" s="235" t="s">
        <v>4767</v>
      </c>
      <c r="AJ34" s="235" t="s">
        <v>4776</v>
      </c>
      <c r="AK34" s="235" t="s">
        <v>4777</v>
      </c>
      <c r="AL34" s="235">
        <v>33</v>
      </c>
    </row>
    <row r="35" spans="1:38" x14ac:dyDescent="0.3">
      <c r="A35" s="229" t="s">
        <v>2441</v>
      </c>
      <c r="B35" s="229" t="s">
        <v>4879</v>
      </c>
      <c r="C35" s="249" t="s">
        <v>4765</v>
      </c>
      <c r="D35" s="237" t="s">
        <v>4880</v>
      </c>
      <c r="E35" s="236">
        <v>1717110070191</v>
      </c>
      <c r="F35" s="240" t="s">
        <v>4766</v>
      </c>
      <c r="G35" s="214">
        <v>0</v>
      </c>
      <c r="H35" s="231" t="s">
        <v>4767</v>
      </c>
      <c r="I35" s="231"/>
      <c r="J35" s="231"/>
      <c r="K35" s="231"/>
      <c r="L35" s="231"/>
      <c r="M35" s="231"/>
      <c r="N35" s="231" t="s">
        <v>4881</v>
      </c>
      <c r="O35" s="246" t="s">
        <v>4882</v>
      </c>
      <c r="P35" s="246" t="s">
        <v>4883</v>
      </c>
      <c r="Q35" s="225" t="s">
        <v>4884</v>
      </c>
      <c r="R35" s="212" t="s">
        <v>2</v>
      </c>
      <c r="S35" s="213" t="s">
        <v>4767</v>
      </c>
      <c r="T35" s="233">
        <v>45545</v>
      </c>
      <c r="U35" s="234" t="s">
        <v>4759</v>
      </c>
      <c r="V35" s="234">
        <v>45616</v>
      </c>
      <c r="W35" s="234">
        <v>45624</v>
      </c>
      <c r="X35" s="234" t="s">
        <v>2</v>
      </c>
      <c r="Y35" s="234"/>
      <c r="Z35" s="234" t="s">
        <v>4586</v>
      </c>
      <c r="AA35" s="243">
        <v>202411</v>
      </c>
      <c r="AB35" s="243"/>
      <c r="AC35" s="244" t="s">
        <v>4885</v>
      </c>
      <c r="AD35" s="244" t="s">
        <v>4886</v>
      </c>
      <c r="AE35" s="245">
        <v>1</v>
      </c>
      <c r="AF35" s="244" t="s">
        <v>4862</v>
      </c>
      <c r="AG35" s="239" t="str">
        <f>IFERROR(VLOOKUP(작성용!A:A,RM!A:D,4,0),"-")</f>
        <v>강승현</v>
      </c>
      <c r="AH35" s="9" t="s">
        <v>4887</v>
      </c>
      <c r="AI35" s="235" t="s">
        <v>6255</v>
      </c>
      <c r="AJ35" s="235" t="s">
        <v>4020</v>
      </c>
      <c r="AK35" s="235" t="s">
        <v>4128</v>
      </c>
      <c r="AL35" s="235">
        <v>34</v>
      </c>
    </row>
    <row r="36" spans="1:38" x14ac:dyDescent="0.3">
      <c r="A36" s="229" t="s">
        <v>2441</v>
      </c>
      <c r="B36" s="229" t="s">
        <v>4888</v>
      </c>
      <c r="C36" s="249" t="s">
        <v>4778</v>
      </c>
      <c r="D36" s="237" t="s">
        <v>4889</v>
      </c>
      <c r="E36" s="236">
        <v>1101116121365</v>
      </c>
      <c r="F36" s="240" t="s">
        <v>4794</v>
      </c>
      <c r="G36" s="214">
        <v>0</v>
      </c>
      <c r="H36" s="231" t="s">
        <v>4771</v>
      </c>
      <c r="I36" s="231"/>
      <c r="J36" s="231"/>
      <c r="K36" s="231"/>
      <c r="L36" s="231"/>
      <c r="M36" s="231"/>
      <c r="N36" s="231" t="s">
        <v>4881</v>
      </c>
      <c r="O36" s="246" t="s">
        <v>4890</v>
      </c>
      <c r="P36" s="246" t="s">
        <v>4891</v>
      </c>
      <c r="Q36" s="225" t="s">
        <v>4892</v>
      </c>
      <c r="R36" s="212" t="s">
        <v>2</v>
      </c>
      <c r="S36" s="213" t="s">
        <v>4767</v>
      </c>
      <c r="T36" s="233">
        <v>45545</v>
      </c>
      <c r="U36" s="234" t="s">
        <v>4759</v>
      </c>
      <c r="V36" s="234">
        <v>45616</v>
      </c>
      <c r="W36" s="234">
        <v>45624</v>
      </c>
      <c r="X36" s="234" t="s">
        <v>2</v>
      </c>
      <c r="Y36" s="234"/>
      <c r="Z36" s="234" t="s">
        <v>4586</v>
      </c>
      <c r="AA36" s="243">
        <v>202411</v>
      </c>
      <c r="AB36" s="243"/>
      <c r="AC36" s="244" t="s">
        <v>4885</v>
      </c>
      <c r="AD36" s="244" t="s">
        <v>4761</v>
      </c>
      <c r="AE36" s="245">
        <v>1</v>
      </c>
      <c r="AF36" s="244" t="s">
        <v>4585</v>
      </c>
      <c r="AG36" s="239" t="str">
        <f>IFERROR(VLOOKUP(작성용!A:A,RM!A:D,4,0),"-")</f>
        <v>강승현</v>
      </c>
      <c r="AH36" s="9" t="s">
        <v>4860</v>
      </c>
      <c r="AI36" s="235" t="s">
        <v>6255</v>
      </c>
      <c r="AJ36" s="235" t="s">
        <v>4776</v>
      </c>
      <c r="AK36" s="235" t="s">
        <v>4128</v>
      </c>
      <c r="AL36" s="235">
        <v>35</v>
      </c>
    </row>
    <row r="37" spans="1:38" x14ac:dyDescent="0.3">
      <c r="A37" s="229" t="s">
        <v>2441</v>
      </c>
      <c r="B37" s="229" t="s">
        <v>4888</v>
      </c>
      <c r="C37" s="249" t="s">
        <v>4778</v>
      </c>
      <c r="D37" s="237" t="s">
        <v>4893</v>
      </c>
      <c r="E37" s="236">
        <v>1101117412862</v>
      </c>
      <c r="F37" s="240" t="s">
        <v>4894</v>
      </c>
      <c r="G37" s="214">
        <v>0</v>
      </c>
      <c r="H37" s="231" t="s">
        <v>4771</v>
      </c>
      <c r="I37" s="231"/>
      <c r="J37" s="231"/>
      <c r="K37" s="231"/>
      <c r="L37" s="231"/>
      <c r="M37" s="231"/>
      <c r="N37" s="231" t="s">
        <v>4895</v>
      </c>
      <c r="O37" s="246" t="s">
        <v>4890</v>
      </c>
      <c r="P37" s="246" t="s">
        <v>4891</v>
      </c>
      <c r="Q37" s="225" t="s">
        <v>4892</v>
      </c>
      <c r="R37" s="212" t="s">
        <v>2</v>
      </c>
      <c r="S37" s="213" t="s">
        <v>4771</v>
      </c>
      <c r="T37" s="233">
        <v>45545</v>
      </c>
      <c r="U37" s="234" t="s">
        <v>4759</v>
      </c>
      <c r="V37" s="234">
        <v>45616</v>
      </c>
      <c r="W37" s="234">
        <v>45624</v>
      </c>
      <c r="X37" s="234" t="s">
        <v>2</v>
      </c>
      <c r="Y37" s="234"/>
      <c r="Z37" s="234" t="s">
        <v>4586</v>
      </c>
      <c r="AA37" s="243">
        <v>202411</v>
      </c>
      <c r="AB37" s="243"/>
      <c r="AC37" s="244" t="s">
        <v>4760</v>
      </c>
      <c r="AD37" s="244" t="s">
        <v>4845</v>
      </c>
      <c r="AE37" s="245">
        <v>1</v>
      </c>
      <c r="AF37" s="244" t="s">
        <v>4845</v>
      </c>
      <c r="AG37" s="239" t="str">
        <f>IFERROR(VLOOKUP(작성용!A:A,RM!A:D,4,0),"-")</f>
        <v>강승현</v>
      </c>
      <c r="AH37" s="9" t="s">
        <v>4860</v>
      </c>
      <c r="AI37" s="235" t="s">
        <v>6255</v>
      </c>
      <c r="AJ37" s="235" t="s">
        <v>4776</v>
      </c>
      <c r="AK37" s="235" t="s">
        <v>4128</v>
      </c>
      <c r="AL37" s="235">
        <v>36</v>
      </c>
    </row>
    <row r="38" spans="1:38" x14ac:dyDescent="0.3">
      <c r="A38" s="229" t="s">
        <v>2441</v>
      </c>
      <c r="B38" s="229" t="s">
        <v>4888</v>
      </c>
      <c r="C38" s="249" t="s">
        <v>4765</v>
      </c>
      <c r="D38" s="237" t="s">
        <v>4889</v>
      </c>
      <c r="E38" s="236">
        <v>1101116121365</v>
      </c>
      <c r="F38" s="240" t="s">
        <v>4854</v>
      </c>
      <c r="G38" s="214">
        <v>0</v>
      </c>
      <c r="H38" s="231" t="s">
        <v>4771</v>
      </c>
      <c r="I38" s="231"/>
      <c r="J38" s="231"/>
      <c r="K38" s="231"/>
      <c r="L38" s="231"/>
      <c r="M38" s="231"/>
      <c r="N38" s="231" t="s">
        <v>4895</v>
      </c>
      <c r="O38" s="246" t="s">
        <v>4890</v>
      </c>
      <c r="P38" s="246" t="s">
        <v>4883</v>
      </c>
      <c r="Q38" s="225" t="s">
        <v>4892</v>
      </c>
      <c r="R38" s="212" t="s">
        <v>2</v>
      </c>
      <c r="S38" s="213" t="s">
        <v>4771</v>
      </c>
      <c r="T38" s="233">
        <v>45545</v>
      </c>
      <c r="U38" s="234" t="s">
        <v>4759</v>
      </c>
      <c r="V38" s="234">
        <v>45616</v>
      </c>
      <c r="W38" s="234">
        <v>45624</v>
      </c>
      <c r="X38" s="234" t="s">
        <v>2</v>
      </c>
      <c r="Y38" s="234"/>
      <c r="Z38" s="234" t="s">
        <v>4586</v>
      </c>
      <c r="AA38" s="243">
        <v>202411</v>
      </c>
      <c r="AB38" s="243"/>
      <c r="AC38" s="244" t="s">
        <v>4760</v>
      </c>
      <c r="AD38" s="244" t="s">
        <v>4761</v>
      </c>
      <c r="AE38" s="245">
        <v>0</v>
      </c>
      <c r="AF38" s="244" t="s">
        <v>4585</v>
      </c>
      <c r="AG38" s="239" t="str">
        <f>IFERROR(VLOOKUP(작성용!A:A,RM!A:D,4,0),"-")</f>
        <v>강승현</v>
      </c>
      <c r="AH38" s="9" t="s">
        <v>4860</v>
      </c>
      <c r="AI38" s="235" t="s">
        <v>6255</v>
      </c>
      <c r="AJ38" s="235" t="s">
        <v>4776</v>
      </c>
      <c r="AK38" s="235" t="s">
        <v>4128</v>
      </c>
      <c r="AL38" s="235">
        <v>37</v>
      </c>
    </row>
    <row r="39" spans="1:38" x14ac:dyDescent="0.3">
      <c r="A39" s="229" t="s">
        <v>2441</v>
      </c>
      <c r="B39" s="229" t="s">
        <v>4888</v>
      </c>
      <c r="C39" s="249" t="s">
        <v>4778</v>
      </c>
      <c r="D39" s="237" t="s">
        <v>4893</v>
      </c>
      <c r="E39" s="236">
        <v>1101117412862</v>
      </c>
      <c r="F39" s="240" t="s">
        <v>4854</v>
      </c>
      <c r="G39" s="214">
        <v>0</v>
      </c>
      <c r="H39" s="231" t="s">
        <v>4771</v>
      </c>
      <c r="I39" s="231"/>
      <c r="J39" s="231"/>
      <c r="K39" s="231"/>
      <c r="L39" s="231"/>
      <c r="M39" s="231"/>
      <c r="N39" s="231" t="s">
        <v>4895</v>
      </c>
      <c r="O39" s="246" t="s">
        <v>4890</v>
      </c>
      <c r="P39" s="246" t="s">
        <v>4891</v>
      </c>
      <c r="Q39" s="225" t="s">
        <v>4892</v>
      </c>
      <c r="R39" s="212" t="s">
        <v>2</v>
      </c>
      <c r="S39" s="213" t="s">
        <v>4771</v>
      </c>
      <c r="T39" s="233">
        <v>45545</v>
      </c>
      <c r="U39" s="234" t="s">
        <v>4759</v>
      </c>
      <c r="V39" s="234">
        <v>45616</v>
      </c>
      <c r="W39" s="234">
        <v>45624</v>
      </c>
      <c r="X39" s="234" t="s">
        <v>2</v>
      </c>
      <c r="Y39" s="234"/>
      <c r="Z39" s="234" t="s">
        <v>4586</v>
      </c>
      <c r="AA39" s="243">
        <v>202411</v>
      </c>
      <c r="AB39" s="243"/>
      <c r="AC39" s="244" t="s">
        <v>4760</v>
      </c>
      <c r="AD39" s="244" t="s">
        <v>4845</v>
      </c>
      <c r="AE39" s="245">
        <v>0</v>
      </c>
      <c r="AF39" s="244" t="s">
        <v>4845</v>
      </c>
      <c r="AG39" s="239" t="str">
        <f>IFERROR(VLOOKUP(작성용!A:A,RM!A:D,4,0),"-")</f>
        <v>강승현</v>
      </c>
      <c r="AH39" s="9" t="s">
        <v>4860</v>
      </c>
      <c r="AI39" s="235" t="s">
        <v>6255</v>
      </c>
      <c r="AJ39" s="235" t="s">
        <v>4776</v>
      </c>
      <c r="AK39" s="235" t="s">
        <v>4128</v>
      </c>
      <c r="AL39" s="235">
        <v>38</v>
      </c>
    </row>
    <row r="40" spans="1:38" x14ac:dyDescent="0.3">
      <c r="A40" s="229" t="s">
        <v>2441</v>
      </c>
      <c r="B40" s="229" t="s">
        <v>4749</v>
      </c>
      <c r="C40" s="249" t="s">
        <v>4762</v>
      </c>
      <c r="D40" s="237" t="s">
        <v>4896</v>
      </c>
      <c r="E40" s="236">
        <v>1101117982617</v>
      </c>
      <c r="F40" s="240" t="s">
        <v>3990</v>
      </c>
      <c r="G40" s="214">
        <v>0</v>
      </c>
      <c r="H40" s="231" t="s">
        <v>4771</v>
      </c>
      <c r="I40" s="231"/>
      <c r="J40" s="231"/>
      <c r="K40" s="231"/>
      <c r="L40" s="231"/>
      <c r="M40" s="231"/>
      <c r="N40" s="231" t="s">
        <v>4895</v>
      </c>
      <c r="O40" s="246" t="s">
        <v>4890</v>
      </c>
      <c r="P40" s="246" t="s">
        <v>4891</v>
      </c>
      <c r="Q40" s="225" t="s">
        <v>4892</v>
      </c>
      <c r="R40" s="212" t="s">
        <v>2</v>
      </c>
      <c r="S40" s="213" t="s">
        <v>4767</v>
      </c>
      <c r="T40" s="233">
        <v>45545</v>
      </c>
      <c r="U40" s="234" t="s">
        <v>4871</v>
      </c>
      <c r="V40" s="234">
        <v>45616</v>
      </c>
      <c r="W40" s="234">
        <v>45624</v>
      </c>
      <c r="X40" s="234" t="s">
        <v>2</v>
      </c>
      <c r="Y40" s="234"/>
      <c r="Z40" s="234" t="s">
        <v>4586</v>
      </c>
      <c r="AA40" s="243">
        <v>202411</v>
      </c>
      <c r="AB40" s="243"/>
      <c r="AC40" s="244" t="s">
        <v>4760</v>
      </c>
      <c r="AD40" s="244" t="s">
        <v>4897</v>
      </c>
      <c r="AE40" s="245">
        <v>1</v>
      </c>
      <c r="AF40" s="244" t="s">
        <v>4898</v>
      </c>
      <c r="AG40" s="239" t="str">
        <f>IFERROR(VLOOKUP(작성용!A:A,RM!A:D,4,0),"-")</f>
        <v>강승현</v>
      </c>
      <c r="AH40" s="9" t="s">
        <v>4860</v>
      </c>
      <c r="AI40" s="235" t="s">
        <v>6255</v>
      </c>
      <c r="AJ40" s="235" t="s">
        <v>4776</v>
      </c>
      <c r="AK40" s="235" t="s">
        <v>4128</v>
      </c>
      <c r="AL40" s="235">
        <v>39</v>
      </c>
    </row>
    <row r="41" spans="1:38" x14ac:dyDescent="0.3">
      <c r="A41" s="229" t="s">
        <v>2441</v>
      </c>
      <c r="B41" s="229" t="s">
        <v>4888</v>
      </c>
      <c r="C41" s="249" t="s">
        <v>4778</v>
      </c>
      <c r="D41" s="237" t="s">
        <v>4899</v>
      </c>
      <c r="E41" s="236">
        <v>1101116854461</v>
      </c>
      <c r="F41" s="240" t="s">
        <v>4854</v>
      </c>
      <c r="G41" s="214">
        <v>0</v>
      </c>
      <c r="H41" s="231" t="s">
        <v>4771</v>
      </c>
      <c r="I41" s="231"/>
      <c r="J41" s="231"/>
      <c r="K41" s="231"/>
      <c r="L41" s="231"/>
      <c r="M41" s="231"/>
      <c r="N41" s="231" t="s">
        <v>4895</v>
      </c>
      <c r="O41" s="246" t="s">
        <v>4890</v>
      </c>
      <c r="P41" s="246" t="s">
        <v>4891</v>
      </c>
      <c r="Q41" s="225" t="s">
        <v>4892</v>
      </c>
      <c r="R41" s="212" t="s">
        <v>2</v>
      </c>
      <c r="S41" s="213" t="s">
        <v>4771</v>
      </c>
      <c r="T41" s="233">
        <v>45545</v>
      </c>
      <c r="U41" s="234" t="s">
        <v>4759</v>
      </c>
      <c r="V41" s="234">
        <v>45616</v>
      </c>
      <c r="W41" s="234">
        <v>45624</v>
      </c>
      <c r="X41" s="234" t="s">
        <v>2</v>
      </c>
      <c r="Y41" s="234"/>
      <c r="Z41" s="234" t="s">
        <v>4586</v>
      </c>
      <c r="AA41" s="243">
        <v>202411</v>
      </c>
      <c r="AB41" s="243"/>
      <c r="AC41" s="244" t="s">
        <v>4760</v>
      </c>
      <c r="AD41" s="244" t="s">
        <v>4900</v>
      </c>
      <c r="AE41" s="245">
        <v>1</v>
      </c>
      <c r="AF41" s="244" t="s">
        <v>4900</v>
      </c>
      <c r="AG41" s="239" t="str">
        <f>IFERROR(VLOOKUP(작성용!A:A,RM!A:D,4,0),"-")</f>
        <v>강승현</v>
      </c>
      <c r="AH41" s="9" t="s">
        <v>4860</v>
      </c>
      <c r="AI41" s="235" t="s">
        <v>6255</v>
      </c>
      <c r="AJ41" s="235" t="s">
        <v>4776</v>
      </c>
      <c r="AK41" s="235" t="s">
        <v>4128</v>
      </c>
      <c r="AL41" s="235">
        <v>40</v>
      </c>
    </row>
    <row r="42" spans="1:38" x14ac:dyDescent="0.3">
      <c r="A42" s="222" t="s">
        <v>2202</v>
      </c>
      <c r="B42" s="222" t="s">
        <v>2203</v>
      </c>
      <c r="C42" s="241" t="s">
        <v>3707</v>
      </c>
      <c r="D42" s="237" t="s">
        <v>4901</v>
      </c>
      <c r="E42" s="236">
        <v>1101115395747</v>
      </c>
      <c r="F42" s="240" t="s">
        <v>4869</v>
      </c>
      <c r="G42" s="214">
        <v>0</v>
      </c>
      <c r="H42" s="231" t="s">
        <v>4767</v>
      </c>
      <c r="I42" s="231"/>
      <c r="J42" s="231"/>
      <c r="K42" s="231"/>
      <c r="L42" s="231"/>
      <c r="M42" s="231"/>
      <c r="N42" s="231" t="s">
        <v>4811</v>
      </c>
      <c r="O42" s="246" t="s">
        <v>4587</v>
      </c>
      <c r="P42" s="246" t="s">
        <v>4588</v>
      </c>
      <c r="Q42" s="225" t="s">
        <v>4589</v>
      </c>
      <c r="R42" s="212" t="s">
        <v>2</v>
      </c>
      <c r="S42" s="213" t="s">
        <v>3527</v>
      </c>
      <c r="T42" s="233">
        <v>45545</v>
      </c>
      <c r="U42" s="234" t="s">
        <v>4871</v>
      </c>
      <c r="V42" s="234">
        <v>45611</v>
      </c>
      <c r="W42" s="234">
        <v>45617</v>
      </c>
      <c r="X42" s="234" t="s">
        <v>2</v>
      </c>
      <c r="Y42" s="234"/>
      <c r="Z42" s="234" t="s">
        <v>4590</v>
      </c>
      <c r="AA42" s="224">
        <v>202411</v>
      </c>
      <c r="AB42" s="243"/>
      <c r="AC42" s="244" t="s">
        <v>4800</v>
      </c>
      <c r="AD42" s="244" t="s">
        <v>4902</v>
      </c>
      <c r="AE42" s="245">
        <v>1</v>
      </c>
      <c r="AF42" s="244" t="s">
        <v>4902</v>
      </c>
      <c r="AG42" s="239" t="str">
        <f>IFERROR(VLOOKUP(작성용!A:A,RM!A:D,4,0),"-")</f>
        <v>강승현</v>
      </c>
      <c r="AH42" s="9" t="s">
        <v>4887</v>
      </c>
      <c r="AI42" s="235" t="s">
        <v>4771</v>
      </c>
      <c r="AJ42" s="235" t="s">
        <v>4032</v>
      </c>
      <c r="AK42" s="235" t="s">
        <v>4128</v>
      </c>
      <c r="AL42" s="235">
        <v>41</v>
      </c>
    </row>
    <row r="43" spans="1:38" x14ac:dyDescent="0.3">
      <c r="A43" s="222" t="s">
        <v>2202</v>
      </c>
      <c r="B43" s="222" t="s">
        <v>2203</v>
      </c>
      <c r="C43" s="241" t="s">
        <v>4778</v>
      </c>
      <c r="D43" s="237" t="s">
        <v>4901</v>
      </c>
      <c r="E43" s="236">
        <v>1101115395747</v>
      </c>
      <c r="F43" s="240" t="s">
        <v>4850</v>
      </c>
      <c r="G43" s="214">
        <v>0</v>
      </c>
      <c r="H43" s="231" t="s">
        <v>4767</v>
      </c>
      <c r="I43" s="231"/>
      <c r="J43" s="231"/>
      <c r="K43" s="231"/>
      <c r="L43" s="231"/>
      <c r="M43" s="231"/>
      <c r="N43" s="231" t="s">
        <v>4811</v>
      </c>
      <c r="O43" s="246" t="s">
        <v>4903</v>
      </c>
      <c r="P43" s="246" t="s">
        <v>4904</v>
      </c>
      <c r="Q43" s="225" t="s">
        <v>4589</v>
      </c>
      <c r="R43" s="212" t="s">
        <v>2</v>
      </c>
      <c r="S43" s="213" t="s">
        <v>4771</v>
      </c>
      <c r="T43" s="233">
        <v>45545</v>
      </c>
      <c r="U43" s="234" t="s">
        <v>4759</v>
      </c>
      <c r="V43" s="234">
        <v>45611</v>
      </c>
      <c r="W43" s="234">
        <v>45617</v>
      </c>
      <c r="X43" s="234" t="s">
        <v>2</v>
      </c>
      <c r="Y43" s="234"/>
      <c r="Z43" s="234" t="s">
        <v>4590</v>
      </c>
      <c r="AA43" s="224">
        <v>202411</v>
      </c>
      <c r="AB43" s="243"/>
      <c r="AC43" s="244" t="s">
        <v>4878</v>
      </c>
      <c r="AD43" s="244" t="s">
        <v>4905</v>
      </c>
      <c r="AE43" s="245">
        <v>0</v>
      </c>
      <c r="AF43" s="244" t="s">
        <v>4902</v>
      </c>
      <c r="AG43" s="239" t="str">
        <f>IFERROR(VLOOKUP(작성용!A:A,RM!A:D,4,0),"-")</f>
        <v>강승현</v>
      </c>
      <c r="AH43" s="9" t="s">
        <v>4860</v>
      </c>
      <c r="AI43" s="235" t="s">
        <v>4771</v>
      </c>
      <c r="AJ43" s="235" t="s">
        <v>4847</v>
      </c>
      <c r="AK43" s="235" t="s">
        <v>4128</v>
      </c>
      <c r="AL43" s="235">
        <v>42</v>
      </c>
    </row>
    <row r="44" spans="1:38" x14ac:dyDescent="0.3">
      <c r="A44" s="222" t="s">
        <v>2202</v>
      </c>
      <c r="B44" s="222" t="s">
        <v>2203</v>
      </c>
      <c r="C44" s="241" t="s">
        <v>4778</v>
      </c>
      <c r="D44" s="237" t="s">
        <v>4906</v>
      </c>
      <c r="E44" s="236">
        <v>1348110310730</v>
      </c>
      <c r="F44" s="240" t="s">
        <v>4869</v>
      </c>
      <c r="G44" s="214">
        <v>0</v>
      </c>
      <c r="H44" s="231" t="s">
        <v>4771</v>
      </c>
      <c r="I44" s="231"/>
      <c r="J44" s="231"/>
      <c r="K44" s="231"/>
      <c r="L44" s="231"/>
      <c r="M44" s="231"/>
      <c r="N44" s="231" t="s">
        <v>4806</v>
      </c>
      <c r="O44" s="246" t="s">
        <v>4903</v>
      </c>
      <c r="P44" s="246" t="s">
        <v>4907</v>
      </c>
      <c r="Q44" s="225" t="s">
        <v>4589</v>
      </c>
      <c r="R44" s="212" t="s">
        <v>2</v>
      </c>
      <c r="S44" s="213" t="s">
        <v>4771</v>
      </c>
      <c r="T44" s="233">
        <v>45545</v>
      </c>
      <c r="U44" s="234" t="s">
        <v>4759</v>
      </c>
      <c r="V44" s="234">
        <v>45611</v>
      </c>
      <c r="W44" s="234">
        <v>45617</v>
      </c>
      <c r="X44" s="234" t="s">
        <v>2</v>
      </c>
      <c r="Y44" s="234"/>
      <c r="Z44" s="234" t="s">
        <v>4590</v>
      </c>
      <c r="AA44" s="224">
        <v>202411</v>
      </c>
      <c r="AB44" s="243"/>
      <c r="AC44" s="244" t="s">
        <v>4800</v>
      </c>
      <c r="AD44" s="244" t="s">
        <v>4864</v>
      </c>
      <c r="AE44" s="245">
        <v>1</v>
      </c>
      <c r="AF44" s="244" t="s">
        <v>4864</v>
      </c>
      <c r="AG44" s="239" t="str">
        <f>IFERROR(VLOOKUP(작성용!A:A,RM!A:D,4,0),"-")</f>
        <v>강승현</v>
      </c>
      <c r="AH44" s="9" t="s">
        <v>4860</v>
      </c>
      <c r="AI44" s="235" t="s">
        <v>4771</v>
      </c>
      <c r="AJ44" s="235" t="s">
        <v>4847</v>
      </c>
      <c r="AK44" s="235" t="s">
        <v>4128</v>
      </c>
      <c r="AL44" s="235">
        <v>43</v>
      </c>
    </row>
    <row r="45" spans="1:38" x14ac:dyDescent="0.3">
      <c r="A45" s="222" t="s">
        <v>2202</v>
      </c>
      <c r="B45" s="222" t="s">
        <v>2203</v>
      </c>
      <c r="C45" s="241" t="s">
        <v>4778</v>
      </c>
      <c r="D45" s="237" t="s">
        <v>4906</v>
      </c>
      <c r="E45" s="236">
        <v>1348110310730</v>
      </c>
      <c r="F45" s="240" t="s">
        <v>4780</v>
      </c>
      <c r="G45" s="214">
        <v>1</v>
      </c>
      <c r="H45" s="231" t="s">
        <v>4771</v>
      </c>
      <c r="I45" s="231"/>
      <c r="J45" s="231"/>
      <c r="K45" s="231"/>
      <c r="L45" s="231"/>
      <c r="M45" s="231"/>
      <c r="N45" s="231" t="s">
        <v>4806</v>
      </c>
      <c r="O45" s="246" t="s">
        <v>4903</v>
      </c>
      <c r="P45" s="246" t="s">
        <v>4907</v>
      </c>
      <c r="Q45" s="225" t="s">
        <v>4589</v>
      </c>
      <c r="R45" s="212" t="s">
        <v>2</v>
      </c>
      <c r="S45" s="213" t="s">
        <v>4771</v>
      </c>
      <c r="T45" s="233">
        <v>45545</v>
      </c>
      <c r="U45" s="234" t="s">
        <v>4759</v>
      </c>
      <c r="V45" s="234">
        <v>45611</v>
      </c>
      <c r="W45" s="234">
        <v>45617</v>
      </c>
      <c r="X45" s="234" t="s">
        <v>2</v>
      </c>
      <c r="Y45" s="234"/>
      <c r="Z45" s="234" t="s">
        <v>4590</v>
      </c>
      <c r="AA45" s="224">
        <v>202411</v>
      </c>
      <c r="AB45" s="243"/>
      <c r="AC45" s="244" t="s">
        <v>4800</v>
      </c>
      <c r="AD45" s="244" t="s">
        <v>4864</v>
      </c>
      <c r="AE45" s="245">
        <v>0</v>
      </c>
      <c r="AF45" s="244" t="s">
        <v>4864</v>
      </c>
      <c r="AG45" s="239" t="str">
        <f>IFERROR(VLOOKUP(작성용!A:A,RM!A:D,4,0),"-")</f>
        <v>강승현</v>
      </c>
      <c r="AH45" s="9" t="s">
        <v>4860</v>
      </c>
      <c r="AI45" s="235" t="s">
        <v>4771</v>
      </c>
      <c r="AJ45" s="235" t="s">
        <v>4847</v>
      </c>
      <c r="AK45" s="235" t="s">
        <v>4128</v>
      </c>
      <c r="AL45" s="235">
        <v>44</v>
      </c>
    </row>
    <row r="46" spans="1:38" x14ac:dyDescent="0.3">
      <c r="A46" s="222" t="s">
        <v>2202</v>
      </c>
      <c r="B46" s="222" t="s">
        <v>2203</v>
      </c>
      <c r="C46" s="241" t="s">
        <v>4778</v>
      </c>
      <c r="D46" s="237" t="s">
        <v>4906</v>
      </c>
      <c r="E46" s="236">
        <v>1348110310730</v>
      </c>
      <c r="F46" s="240" t="s">
        <v>4780</v>
      </c>
      <c r="G46" s="214">
        <v>2</v>
      </c>
      <c r="H46" s="231" t="s">
        <v>4771</v>
      </c>
      <c r="I46" s="231"/>
      <c r="J46" s="231"/>
      <c r="K46" s="231"/>
      <c r="L46" s="231"/>
      <c r="M46" s="231"/>
      <c r="N46" s="231" t="s">
        <v>4806</v>
      </c>
      <c r="O46" s="246" t="s">
        <v>4903</v>
      </c>
      <c r="P46" s="246" t="s">
        <v>4907</v>
      </c>
      <c r="Q46" s="225" t="s">
        <v>4589</v>
      </c>
      <c r="R46" s="212" t="s">
        <v>2</v>
      </c>
      <c r="S46" s="213" t="s">
        <v>4771</v>
      </c>
      <c r="T46" s="233">
        <v>45545</v>
      </c>
      <c r="U46" s="234" t="s">
        <v>4759</v>
      </c>
      <c r="V46" s="234">
        <v>45611</v>
      </c>
      <c r="W46" s="234">
        <v>45617</v>
      </c>
      <c r="X46" s="234" t="s">
        <v>2</v>
      </c>
      <c r="Y46" s="234"/>
      <c r="Z46" s="234" t="s">
        <v>4590</v>
      </c>
      <c r="AA46" s="224">
        <v>202411</v>
      </c>
      <c r="AB46" s="243"/>
      <c r="AC46" s="244" t="s">
        <v>4800</v>
      </c>
      <c r="AD46" s="244" t="s">
        <v>4864</v>
      </c>
      <c r="AE46" s="245">
        <v>0</v>
      </c>
      <c r="AF46" s="244" t="s">
        <v>4864</v>
      </c>
      <c r="AG46" s="239" t="str">
        <f>IFERROR(VLOOKUP(작성용!A:A,RM!A:D,4,0),"-")</f>
        <v>강승현</v>
      </c>
      <c r="AH46" s="9" t="s">
        <v>4860</v>
      </c>
      <c r="AI46" s="235" t="s">
        <v>4771</v>
      </c>
      <c r="AJ46" s="235" t="s">
        <v>4847</v>
      </c>
      <c r="AK46" s="235" t="s">
        <v>4128</v>
      </c>
      <c r="AL46" s="235">
        <v>45</v>
      </c>
    </row>
    <row r="47" spans="1:38" x14ac:dyDescent="0.3">
      <c r="A47" s="222" t="s">
        <v>2202</v>
      </c>
      <c r="B47" s="222" t="s">
        <v>2203</v>
      </c>
      <c r="C47" s="241" t="s">
        <v>4778</v>
      </c>
      <c r="D47" s="237" t="s">
        <v>4906</v>
      </c>
      <c r="E47" s="236">
        <v>1348110310730</v>
      </c>
      <c r="F47" s="240" t="s">
        <v>4780</v>
      </c>
      <c r="G47" s="214">
        <v>3</v>
      </c>
      <c r="H47" s="231" t="s">
        <v>4771</v>
      </c>
      <c r="I47" s="231"/>
      <c r="J47" s="231"/>
      <c r="K47" s="231"/>
      <c r="L47" s="231"/>
      <c r="M47" s="231"/>
      <c r="N47" s="231" t="s">
        <v>4806</v>
      </c>
      <c r="O47" s="246" t="s">
        <v>4903</v>
      </c>
      <c r="P47" s="246" t="s">
        <v>4907</v>
      </c>
      <c r="Q47" s="225" t="s">
        <v>4589</v>
      </c>
      <c r="R47" s="212" t="s">
        <v>2</v>
      </c>
      <c r="S47" s="213" t="s">
        <v>4771</v>
      </c>
      <c r="T47" s="233">
        <v>45545</v>
      </c>
      <c r="U47" s="234" t="s">
        <v>4759</v>
      </c>
      <c r="V47" s="234">
        <v>45611</v>
      </c>
      <c r="W47" s="234">
        <v>45617</v>
      </c>
      <c r="X47" s="234" t="s">
        <v>2</v>
      </c>
      <c r="Y47" s="234"/>
      <c r="Z47" s="234" t="s">
        <v>4590</v>
      </c>
      <c r="AA47" s="224">
        <v>202411</v>
      </c>
      <c r="AB47" s="243"/>
      <c r="AC47" s="244" t="s">
        <v>4800</v>
      </c>
      <c r="AD47" s="244" t="s">
        <v>4864</v>
      </c>
      <c r="AE47" s="245">
        <v>0</v>
      </c>
      <c r="AF47" s="244" t="s">
        <v>4864</v>
      </c>
      <c r="AG47" s="239" t="str">
        <f>IFERROR(VLOOKUP(작성용!A:A,RM!A:D,4,0),"-")</f>
        <v>강승현</v>
      </c>
      <c r="AH47" s="9" t="s">
        <v>4860</v>
      </c>
      <c r="AI47" s="235" t="s">
        <v>4771</v>
      </c>
      <c r="AJ47" s="235" t="s">
        <v>4847</v>
      </c>
      <c r="AK47" s="235" t="s">
        <v>4128</v>
      </c>
      <c r="AL47" s="235">
        <v>46</v>
      </c>
    </row>
    <row r="48" spans="1:38" x14ac:dyDescent="0.3">
      <c r="A48" s="222" t="s">
        <v>2202</v>
      </c>
      <c r="B48" s="222" t="s">
        <v>2203</v>
      </c>
      <c r="C48" s="241" t="s">
        <v>4778</v>
      </c>
      <c r="D48" s="237" t="s">
        <v>4908</v>
      </c>
      <c r="E48" s="236">
        <v>1311110553113</v>
      </c>
      <c r="F48" s="240" t="s">
        <v>4854</v>
      </c>
      <c r="G48" s="214">
        <v>0</v>
      </c>
      <c r="H48" s="231" t="s">
        <v>4771</v>
      </c>
      <c r="I48" s="231"/>
      <c r="J48" s="231"/>
      <c r="K48" s="231"/>
      <c r="L48" s="231"/>
      <c r="M48" s="231"/>
      <c r="N48" s="231" t="s">
        <v>4806</v>
      </c>
      <c r="O48" s="246" t="s">
        <v>4903</v>
      </c>
      <c r="P48" s="246" t="s">
        <v>4907</v>
      </c>
      <c r="Q48" s="225" t="s">
        <v>4589</v>
      </c>
      <c r="R48" s="212" t="s">
        <v>2</v>
      </c>
      <c r="S48" s="213" t="s">
        <v>4771</v>
      </c>
      <c r="T48" s="233">
        <v>45545</v>
      </c>
      <c r="U48" s="234" t="s">
        <v>4759</v>
      </c>
      <c r="V48" s="234">
        <v>45611</v>
      </c>
      <c r="W48" s="234">
        <v>45617</v>
      </c>
      <c r="X48" s="234" t="s">
        <v>2</v>
      </c>
      <c r="Y48" s="234"/>
      <c r="Z48" s="234" t="s">
        <v>4590</v>
      </c>
      <c r="AA48" s="224">
        <v>202411</v>
      </c>
      <c r="AB48" s="243"/>
      <c r="AC48" s="244" t="s">
        <v>4800</v>
      </c>
      <c r="AD48" s="244" t="s">
        <v>4909</v>
      </c>
      <c r="AE48" s="245">
        <v>1</v>
      </c>
      <c r="AF48" s="244" t="s">
        <v>4909</v>
      </c>
      <c r="AG48" s="239" t="str">
        <f>IFERROR(VLOOKUP(작성용!A:A,RM!A:D,4,0),"-")</f>
        <v>강승현</v>
      </c>
      <c r="AH48" s="9" t="s">
        <v>4860</v>
      </c>
      <c r="AI48" s="235" t="s">
        <v>4771</v>
      </c>
      <c r="AJ48" s="235" t="s">
        <v>4847</v>
      </c>
      <c r="AK48" s="235" t="s">
        <v>4128</v>
      </c>
      <c r="AL48" s="235">
        <v>47</v>
      </c>
    </row>
    <row r="49" spans="1:38" x14ac:dyDescent="0.3">
      <c r="A49" s="222" t="s">
        <v>2202</v>
      </c>
      <c r="B49" s="222" t="s">
        <v>2203</v>
      </c>
      <c r="C49" s="241" t="s">
        <v>4778</v>
      </c>
      <c r="D49" s="237" t="s">
        <v>4908</v>
      </c>
      <c r="E49" s="236">
        <v>1311110553113</v>
      </c>
      <c r="F49" s="240" t="s">
        <v>4894</v>
      </c>
      <c r="G49" s="214">
        <v>0</v>
      </c>
      <c r="H49" s="231" t="s">
        <v>4771</v>
      </c>
      <c r="I49" s="231"/>
      <c r="J49" s="231"/>
      <c r="K49" s="231"/>
      <c r="L49" s="231"/>
      <c r="M49" s="231"/>
      <c r="N49" s="231" t="s">
        <v>4806</v>
      </c>
      <c r="O49" s="246" t="s">
        <v>4903</v>
      </c>
      <c r="P49" s="246" t="s">
        <v>4907</v>
      </c>
      <c r="Q49" s="225" t="s">
        <v>4589</v>
      </c>
      <c r="R49" s="212" t="s">
        <v>2</v>
      </c>
      <c r="S49" s="213" t="s">
        <v>4771</v>
      </c>
      <c r="T49" s="233">
        <v>45545</v>
      </c>
      <c r="U49" s="234" t="s">
        <v>4759</v>
      </c>
      <c r="V49" s="234">
        <v>45611</v>
      </c>
      <c r="W49" s="234">
        <v>45617</v>
      </c>
      <c r="X49" s="234" t="s">
        <v>2</v>
      </c>
      <c r="Y49" s="234"/>
      <c r="Z49" s="234" t="s">
        <v>4590</v>
      </c>
      <c r="AA49" s="224">
        <v>202411</v>
      </c>
      <c r="AB49" s="243"/>
      <c r="AC49" s="244" t="s">
        <v>4800</v>
      </c>
      <c r="AD49" s="244" t="s">
        <v>4909</v>
      </c>
      <c r="AE49" s="245">
        <v>0</v>
      </c>
      <c r="AF49" s="244" t="s">
        <v>4909</v>
      </c>
      <c r="AG49" s="239" t="str">
        <f>IFERROR(VLOOKUP(작성용!A:A,RM!A:D,4,0),"-")</f>
        <v>강승현</v>
      </c>
      <c r="AH49" s="9" t="s">
        <v>4860</v>
      </c>
      <c r="AI49" s="235" t="s">
        <v>4771</v>
      </c>
      <c r="AJ49" s="235" t="s">
        <v>4847</v>
      </c>
      <c r="AK49" s="235" t="s">
        <v>4128</v>
      </c>
      <c r="AL49" s="235">
        <v>48</v>
      </c>
    </row>
    <row r="50" spans="1:38" x14ac:dyDescent="0.3">
      <c r="A50" s="222" t="s">
        <v>2202</v>
      </c>
      <c r="B50" s="222" t="s">
        <v>2203</v>
      </c>
      <c r="C50" s="241" t="s">
        <v>4778</v>
      </c>
      <c r="D50" s="237" t="s">
        <v>4910</v>
      </c>
      <c r="E50" s="236">
        <v>1101115120946</v>
      </c>
      <c r="F50" s="240" t="s">
        <v>4854</v>
      </c>
      <c r="G50" s="214">
        <v>0</v>
      </c>
      <c r="H50" s="231" t="s">
        <v>4771</v>
      </c>
      <c r="I50" s="231"/>
      <c r="J50" s="231"/>
      <c r="K50" s="231"/>
      <c r="L50" s="231"/>
      <c r="M50" s="231"/>
      <c r="N50" s="231" t="s">
        <v>4806</v>
      </c>
      <c r="O50" s="246" t="s">
        <v>4903</v>
      </c>
      <c r="P50" s="246" t="s">
        <v>4907</v>
      </c>
      <c r="Q50" s="225" t="s">
        <v>4589</v>
      </c>
      <c r="R50" s="212" t="s">
        <v>2</v>
      </c>
      <c r="S50" s="213" t="s">
        <v>4771</v>
      </c>
      <c r="T50" s="233">
        <v>45545</v>
      </c>
      <c r="U50" s="234" t="s">
        <v>4759</v>
      </c>
      <c r="V50" s="234">
        <v>45611</v>
      </c>
      <c r="W50" s="234">
        <v>45617</v>
      </c>
      <c r="X50" s="234" t="s">
        <v>2</v>
      </c>
      <c r="Y50" s="234"/>
      <c r="Z50" s="234" t="s">
        <v>4590</v>
      </c>
      <c r="AA50" s="224">
        <v>202411</v>
      </c>
      <c r="AB50" s="243"/>
      <c r="AC50" s="244" t="s">
        <v>4800</v>
      </c>
      <c r="AD50" s="244" t="s">
        <v>4911</v>
      </c>
      <c r="AE50" s="245">
        <v>1</v>
      </c>
      <c r="AF50" s="244" t="s">
        <v>4911</v>
      </c>
      <c r="AG50" s="239" t="str">
        <f>IFERROR(VLOOKUP(작성용!A:A,RM!A:D,4,0),"-")</f>
        <v>강승현</v>
      </c>
      <c r="AH50" s="9" t="s">
        <v>4860</v>
      </c>
      <c r="AI50" s="235" t="s">
        <v>4771</v>
      </c>
      <c r="AJ50" s="235" t="s">
        <v>4847</v>
      </c>
      <c r="AK50" s="235" t="s">
        <v>4128</v>
      </c>
      <c r="AL50" s="235">
        <v>49</v>
      </c>
    </row>
    <row r="51" spans="1:38" x14ac:dyDescent="0.3">
      <c r="A51" s="222" t="s">
        <v>2202</v>
      </c>
      <c r="B51" s="222" t="s">
        <v>2203</v>
      </c>
      <c r="C51" s="241" t="s">
        <v>4778</v>
      </c>
      <c r="D51" s="237" t="s">
        <v>4910</v>
      </c>
      <c r="E51" s="236">
        <v>1101115120946</v>
      </c>
      <c r="F51" s="240" t="s">
        <v>4850</v>
      </c>
      <c r="G51" s="214">
        <v>1</v>
      </c>
      <c r="H51" s="231" t="s">
        <v>4771</v>
      </c>
      <c r="I51" s="231"/>
      <c r="J51" s="231"/>
      <c r="K51" s="231"/>
      <c r="L51" s="231"/>
      <c r="M51" s="231"/>
      <c r="N51" s="231" t="s">
        <v>4806</v>
      </c>
      <c r="O51" s="246" t="s">
        <v>4903</v>
      </c>
      <c r="P51" s="246" t="s">
        <v>4907</v>
      </c>
      <c r="Q51" s="225" t="s">
        <v>4589</v>
      </c>
      <c r="R51" s="212" t="s">
        <v>2</v>
      </c>
      <c r="S51" s="213" t="s">
        <v>4771</v>
      </c>
      <c r="T51" s="233">
        <v>45545</v>
      </c>
      <c r="U51" s="234" t="s">
        <v>4759</v>
      </c>
      <c r="V51" s="234">
        <v>45611</v>
      </c>
      <c r="W51" s="234">
        <v>45617</v>
      </c>
      <c r="X51" s="234" t="s">
        <v>2</v>
      </c>
      <c r="Y51" s="234"/>
      <c r="Z51" s="234" t="s">
        <v>4590</v>
      </c>
      <c r="AA51" s="224">
        <v>202411</v>
      </c>
      <c r="AB51" s="243"/>
      <c r="AC51" s="244" t="s">
        <v>4800</v>
      </c>
      <c r="AD51" s="244" t="s">
        <v>4911</v>
      </c>
      <c r="AE51" s="245">
        <v>0</v>
      </c>
      <c r="AF51" s="244" t="s">
        <v>4911</v>
      </c>
      <c r="AG51" s="239" t="str">
        <f>IFERROR(VLOOKUP(작성용!A:A,RM!A:D,4,0),"-")</f>
        <v>강승현</v>
      </c>
      <c r="AH51" s="9" t="s">
        <v>4860</v>
      </c>
      <c r="AI51" s="235" t="s">
        <v>4771</v>
      </c>
      <c r="AJ51" s="235" t="s">
        <v>4847</v>
      </c>
      <c r="AK51" s="235" t="s">
        <v>4128</v>
      </c>
      <c r="AL51" s="235">
        <v>50</v>
      </c>
    </row>
    <row r="52" spans="1:38" x14ac:dyDescent="0.3">
      <c r="A52" s="222" t="s">
        <v>2202</v>
      </c>
      <c r="B52" s="222" t="s">
        <v>2203</v>
      </c>
      <c r="C52" s="241" t="s">
        <v>4778</v>
      </c>
      <c r="D52" s="237" t="s">
        <v>4910</v>
      </c>
      <c r="E52" s="236">
        <v>1101115120946</v>
      </c>
      <c r="F52" s="240" t="s">
        <v>4850</v>
      </c>
      <c r="G52" s="214">
        <v>2</v>
      </c>
      <c r="H52" s="231" t="s">
        <v>4771</v>
      </c>
      <c r="I52" s="231"/>
      <c r="J52" s="231"/>
      <c r="K52" s="231"/>
      <c r="L52" s="231"/>
      <c r="M52" s="231"/>
      <c r="N52" s="231" t="s">
        <v>4806</v>
      </c>
      <c r="O52" s="246" t="s">
        <v>4903</v>
      </c>
      <c r="P52" s="246" t="s">
        <v>4907</v>
      </c>
      <c r="Q52" s="225" t="s">
        <v>4589</v>
      </c>
      <c r="R52" s="212" t="s">
        <v>2</v>
      </c>
      <c r="S52" s="213" t="s">
        <v>4771</v>
      </c>
      <c r="T52" s="233">
        <v>45545</v>
      </c>
      <c r="U52" s="234" t="s">
        <v>4759</v>
      </c>
      <c r="V52" s="234">
        <v>45611</v>
      </c>
      <c r="W52" s="234">
        <v>45617</v>
      </c>
      <c r="X52" s="234" t="s">
        <v>2</v>
      </c>
      <c r="Y52" s="234"/>
      <c r="Z52" s="234" t="s">
        <v>4590</v>
      </c>
      <c r="AA52" s="224">
        <v>202411</v>
      </c>
      <c r="AB52" s="243"/>
      <c r="AC52" s="244" t="s">
        <v>4800</v>
      </c>
      <c r="AD52" s="244" t="s">
        <v>4911</v>
      </c>
      <c r="AE52" s="245">
        <v>0</v>
      </c>
      <c r="AF52" s="244" t="s">
        <v>4911</v>
      </c>
      <c r="AG52" s="239" t="str">
        <f>IFERROR(VLOOKUP(작성용!A:A,RM!A:D,4,0),"-")</f>
        <v>강승현</v>
      </c>
      <c r="AH52" s="9" t="s">
        <v>4860</v>
      </c>
      <c r="AI52" s="235" t="s">
        <v>4771</v>
      </c>
      <c r="AJ52" s="235" t="s">
        <v>4847</v>
      </c>
      <c r="AK52" s="235" t="s">
        <v>4128</v>
      </c>
      <c r="AL52" s="235">
        <v>51</v>
      </c>
    </row>
    <row r="53" spans="1:38" x14ac:dyDescent="0.3">
      <c r="A53" s="222" t="s">
        <v>2202</v>
      </c>
      <c r="B53" s="222" t="s">
        <v>2203</v>
      </c>
      <c r="C53" s="241" t="s">
        <v>4778</v>
      </c>
      <c r="D53" s="237" t="s">
        <v>4910</v>
      </c>
      <c r="E53" s="236">
        <v>1101115120946</v>
      </c>
      <c r="F53" s="240" t="s">
        <v>4850</v>
      </c>
      <c r="G53" s="214">
        <v>3</v>
      </c>
      <c r="H53" s="231" t="s">
        <v>4771</v>
      </c>
      <c r="I53" s="231"/>
      <c r="J53" s="231"/>
      <c r="K53" s="231"/>
      <c r="L53" s="231"/>
      <c r="M53" s="231"/>
      <c r="N53" s="231" t="s">
        <v>4806</v>
      </c>
      <c r="O53" s="246" t="s">
        <v>4903</v>
      </c>
      <c r="P53" s="246" t="s">
        <v>4907</v>
      </c>
      <c r="Q53" s="225" t="s">
        <v>4589</v>
      </c>
      <c r="R53" s="212" t="s">
        <v>2</v>
      </c>
      <c r="S53" s="213" t="s">
        <v>4771</v>
      </c>
      <c r="T53" s="233">
        <v>45545</v>
      </c>
      <c r="U53" s="234" t="s">
        <v>4759</v>
      </c>
      <c r="V53" s="234">
        <v>45611</v>
      </c>
      <c r="W53" s="234">
        <v>45617</v>
      </c>
      <c r="X53" s="234" t="s">
        <v>2</v>
      </c>
      <c r="Y53" s="234"/>
      <c r="Z53" s="234" t="s">
        <v>4590</v>
      </c>
      <c r="AA53" s="224">
        <v>202411</v>
      </c>
      <c r="AB53" s="243"/>
      <c r="AC53" s="244" t="s">
        <v>4800</v>
      </c>
      <c r="AD53" s="244" t="s">
        <v>4911</v>
      </c>
      <c r="AE53" s="245">
        <v>0</v>
      </c>
      <c r="AF53" s="244" t="s">
        <v>4911</v>
      </c>
      <c r="AG53" s="239" t="str">
        <f>IFERROR(VLOOKUP(작성용!A:A,RM!A:D,4,0),"-")</f>
        <v>강승현</v>
      </c>
      <c r="AH53" s="9" t="s">
        <v>4860</v>
      </c>
      <c r="AI53" s="235" t="s">
        <v>4771</v>
      </c>
      <c r="AJ53" s="235" t="s">
        <v>4847</v>
      </c>
      <c r="AK53" s="235" t="s">
        <v>4128</v>
      </c>
      <c r="AL53" s="235">
        <v>52</v>
      </c>
    </row>
    <row r="54" spans="1:38" x14ac:dyDescent="0.3">
      <c r="A54" s="222" t="s">
        <v>2202</v>
      </c>
      <c r="B54" s="222" t="s">
        <v>2203</v>
      </c>
      <c r="C54" s="241" t="s">
        <v>4778</v>
      </c>
      <c r="D54" s="237" t="s">
        <v>4912</v>
      </c>
      <c r="E54" s="236">
        <v>1246110267276</v>
      </c>
      <c r="F54" s="240" t="s">
        <v>4854</v>
      </c>
      <c r="G54" s="214">
        <v>0</v>
      </c>
      <c r="H54" s="231" t="s">
        <v>4771</v>
      </c>
      <c r="I54" s="231"/>
      <c r="J54" s="231"/>
      <c r="K54" s="231"/>
      <c r="L54" s="231"/>
      <c r="M54" s="231"/>
      <c r="N54" s="231" t="s">
        <v>4806</v>
      </c>
      <c r="O54" s="246" t="s">
        <v>4903</v>
      </c>
      <c r="P54" s="246" t="s">
        <v>4907</v>
      </c>
      <c r="Q54" s="225" t="s">
        <v>4589</v>
      </c>
      <c r="R54" s="212" t="s">
        <v>2</v>
      </c>
      <c r="S54" s="213" t="s">
        <v>4771</v>
      </c>
      <c r="T54" s="233">
        <v>45545</v>
      </c>
      <c r="U54" s="234" t="s">
        <v>4759</v>
      </c>
      <c r="V54" s="234">
        <v>45611</v>
      </c>
      <c r="W54" s="234">
        <v>45617</v>
      </c>
      <c r="X54" s="234" t="s">
        <v>2</v>
      </c>
      <c r="Y54" s="234"/>
      <c r="Z54" s="234" t="s">
        <v>4590</v>
      </c>
      <c r="AA54" s="224">
        <v>202411</v>
      </c>
      <c r="AB54" s="243"/>
      <c r="AC54" s="244" t="s">
        <v>4800</v>
      </c>
      <c r="AD54" s="244" t="s">
        <v>4845</v>
      </c>
      <c r="AE54" s="245">
        <v>1</v>
      </c>
      <c r="AF54" s="244" t="s">
        <v>4845</v>
      </c>
      <c r="AG54" s="239" t="str">
        <f>IFERROR(VLOOKUP(작성용!A:A,RM!A:D,4,0),"-")</f>
        <v>강승현</v>
      </c>
      <c r="AH54" s="9" t="s">
        <v>4860</v>
      </c>
      <c r="AI54" s="235" t="s">
        <v>4771</v>
      </c>
      <c r="AJ54" s="235" t="s">
        <v>4847</v>
      </c>
      <c r="AK54" s="235" t="s">
        <v>4128</v>
      </c>
      <c r="AL54" s="235">
        <v>53</v>
      </c>
    </row>
    <row r="55" spans="1:38" x14ac:dyDescent="0.3">
      <c r="A55" s="222" t="s">
        <v>2202</v>
      </c>
      <c r="B55" s="222" t="s">
        <v>2203</v>
      </c>
      <c r="C55" s="241" t="s">
        <v>4778</v>
      </c>
      <c r="D55" s="237" t="s">
        <v>4913</v>
      </c>
      <c r="E55" s="236">
        <v>1101117391727</v>
      </c>
      <c r="F55" s="240" t="s">
        <v>4854</v>
      </c>
      <c r="G55" s="214">
        <v>0</v>
      </c>
      <c r="H55" s="231" t="s">
        <v>4771</v>
      </c>
      <c r="I55" s="231"/>
      <c r="J55" s="231"/>
      <c r="K55" s="231"/>
      <c r="L55" s="231"/>
      <c r="M55" s="231"/>
      <c r="N55" s="231" t="s">
        <v>4806</v>
      </c>
      <c r="O55" s="246" t="s">
        <v>4903</v>
      </c>
      <c r="P55" s="246" t="s">
        <v>4907</v>
      </c>
      <c r="Q55" s="225" t="s">
        <v>4589</v>
      </c>
      <c r="R55" s="212" t="s">
        <v>2</v>
      </c>
      <c r="S55" s="213" t="s">
        <v>4771</v>
      </c>
      <c r="T55" s="233">
        <v>45545</v>
      </c>
      <c r="U55" s="234" t="s">
        <v>4759</v>
      </c>
      <c r="V55" s="234">
        <v>45611</v>
      </c>
      <c r="W55" s="234">
        <v>45617</v>
      </c>
      <c r="X55" s="234" t="s">
        <v>2</v>
      </c>
      <c r="Y55" s="234"/>
      <c r="Z55" s="234" t="s">
        <v>4590</v>
      </c>
      <c r="AA55" s="224">
        <v>202411</v>
      </c>
      <c r="AB55" s="243"/>
      <c r="AC55" s="244" t="s">
        <v>4800</v>
      </c>
      <c r="AD55" s="244" t="s">
        <v>4860</v>
      </c>
      <c r="AE55" s="245">
        <v>1</v>
      </c>
      <c r="AF55" s="244" t="s">
        <v>4860</v>
      </c>
      <c r="AG55" s="239" t="str">
        <f>IFERROR(VLOOKUP(작성용!A:A,RM!A:D,4,0),"-")</f>
        <v>강승현</v>
      </c>
      <c r="AH55" s="9" t="s">
        <v>4860</v>
      </c>
      <c r="AI55" s="235" t="s">
        <v>4771</v>
      </c>
      <c r="AJ55" s="235" t="s">
        <v>4847</v>
      </c>
      <c r="AK55" s="235" t="s">
        <v>4128</v>
      </c>
      <c r="AL55" s="235">
        <v>54</v>
      </c>
    </row>
    <row r="56" spans="1:38" x14ac:dyDescent="0.3">
      <c r="A56" s="222" t="s">
        <v>2202</v>
      </c>
      <c r="B56" s="222" t="s">
        <v>2203</v>
      </c>
      <c r="C56" s="241" t="s">
        <v>4778</v>
      </c>
      <c r="D56" s="237" t="s">
        <v>4913</v>
      </c>
      <c r="E56" s="236">
        <v>1101117391727</v>
      </c>
      <c r="F56" s="240" t="s">
        <v>4780</v>
      </c>
      <c r="G56" s="214">
        <v>1</v>
      </c>
      <c r="H56" s="231" t="s">
        <v>4771</v>
      </c>
      <c r="I56" s="231"/>
      <c r="J56" s="231"/>
      <c r="K56" s="231"/>
      <c r="L56" s="231"/>
      <c r="M56" s="231"/>
      <c r="N56" s="231" t="s">
        <v>4806</v>
      </c>
      <c r="O56" s="246" t="s">
        <v>4903</v>
      </c>
      <c r="P56" s="246" t="s">
        <v>4907</v>
      </c>
      <c r="Q56" s="225" t="s">
        <v>4589</v>
      </c>
      <c r="R56" s="212" t="s">
        <v>2</v>
      </c>
      <c r="S56" s="213" t="s">
        <v>4771</v>
      </c>
      <c r="T56" s="233">
        <v>45545</v>
      </c>
      <c r="U56" s="234" t="s">
        <v>4759</v>
      </c>
      <c r="V56" s="234">
        <v>45611</v>
      </c>
      <c r="W56" s="234">
        <v>45617</v>
      </c>
      <c r="X56" s="234" t="s">
        <v>2</v>
      </c>
      <c r="Y56" s="234"/>
      <c r="Z56" s="234" t="s">
        <v>4590</v>
      </c>
      <c r="AA56" s="224">
        <v>202411</v>
      </c>
      <c r="AB56" s="243"/>
      <c r="AC56" s="244" t="s">
        <v>4800</v>
      </c>
      <c r="AD56" s="244" t="s">
        <v>4860</v>
      </c>
      <c r="AE56" s="245">
        <v>0</v>
      </c>
      <c r="AF56" s="244" t="s">
        <v>4860</v>
      </c>
      <c r="AG56" s="239" t="str">
        <f>IFERROR(VLOOKUP(작성용!A:A,RM!A:D,4,0),"-")</f>
        <v>강승현</v>
      </c>
      <c r="AH56" s="9" t="s">
        <v>4860</v>
      </c>
      <c r="AI56" s="235" t="s">
        <v>4771</v>
      </c>
      <c r="AJ56" s="235" t="s">
        <v>4847</v>
      </c>
      <c r="AK56" s="235" t="s">
        <v>4128</v>
      </c>
      <c r="AL56" s="235">
        <v>55</v>
      </c>
    </row>
    <row r="57" spans="1:38" x14ac:dyDescent="0.3">
      <c r="A57" s="222" t="s">
        <v>2202</v>
      </c>
      <c r="B57" s="222" t="s">
        <v>2203</v>
      </c>
      <c r="C57" s="241" t="s">
        <v>4778</v>
      </c>
      <c r="D57" s="237" t="s">
        <v>4913</v>
      </c>
      <c r="E57" s="236">
        <v>1101117391727</v>
      </c>
      <c r="F57" s="240" t="s">
        <v>4850</v>
      </c>
      <c r="G57" s="214">
        <v>0</v>
      </c>
      <c r="H57" s="231" t="s">
        <v>4771</v>
      </c>
      <c r="I57" s="231"/>
      <c r="J57" s="231"/>
      <c r="K57" s="231"/>
      <c r="L57" s="231"/>
      <c r="M57" s="231"/>
      <c r="N57" s="231" t="s">
        <v>4806</v>
      </c>
      <c r="O57" s="246" t="s">
        <v>4903</v>
      </c>
      <c r="P57" s="246" t="s">
        <v>4907</v>
      </c>
      <c r="Q57" s="225" t="s">
        <v>4589</v>
      </c>
      <c r="R57" s="212" t="s">
        <v>2</v>
      </c>
      <c r="S57" s="213" t="s">
        <v>4771</v>
      </c>
      <c r="T57" s="233">
        <v>45545</v>
      </c>
      <c r="U57" s="234" t="s">
        <v>4759</v>
      </c>
      <c r="V57" s="234">
        <v>45611</v>
      </c>
      <c r="W57" s="234">
        <v>45617</v>
      </c>
      <c r="X57" s="234" t="s">
        <v>2</v>
      </c>
      <c r="Y57" s="234"/>
      <c r="Z57" s="234" t="s">
        <v>4590</v>
      </c>
      <c r="AA57" s="224">
        <v>202411</v>
      </c>
      <c r="AB57" s="243"/>
      <c r="AC57" s="244" t="s">
        <v>4800</v>
      </c>
      <c r="AD57" s="244" t="s">
        <v>4860</v>
      </c>
      <c r="AE57" s="245">
        <v>0</v>
      </c>
      <c r="AF57" s="244" t="s">
        <v>4860</v>
      </c>
      <c r="AG57" s="239" t="str">
        <f>IFERROR(VLOOKUP(작성용!A:A,RM!A:D,4,0),"-")</f>
        <v>강승현</v>
      </c>
      <c r="AH57" s="9" t="s">
        <v>4860</v>
      </c>
      <c r="AI57" s="235" t="s">
        <v>4771</v>
      </c>
      <c r="AJ57" s="235" t="s">
        <v>4847</v>
      </c>
      <c r="AK57" s="235" t="s">
        <v>4128</v>
      </c>
      <c r="AL57" s="235">
        <v>56</v>
      </c>
    </row>
    <row r="58" spans="1:38" x14ac:dyDescent="0.3">
      <c r="A58" s="222" t="s">
        <v>2202</v>
      </c>
      <c r="B58" s="222" t="s">
        <v>2203</v>
      </c>
      <c r="C58" s="241" t="s">
        <v>4778</v>
      </c>
      <c r="D58" s="237" t="s">
        <v>4914</v>
      </c>
      <c r="E58" s="236">
        <v>1311110511715</v>
      </c>
      <c r="F58" s="240" t="s">
        <v>4854</v>
      </c>
      <c r="G58" s="214">
        <v>0</v>
      </c>
      <c r="H58" s="231" t="s">
        <v>4771</v>
      </c>
      <c r="I58" s="231"/>
      <c r="J58" s="231"/>
      <c r="K58" s="231"/>
      <c r="L58" s="231"/>
      <c r="M58" s="231"/>
      <c r="N58" s="231" t="s">
        <v>4806</v>
      </c>
      <c r="O58" s="246" t="s">
        <v>4903</v>
      </c>
      <c r="P58" s="246" t="s">
        <v>4907</v>
      </c>
      <c r="Q58" s="225" t="s">
        <v>4589</v>
      </c>
      <c r="R58" s="212" t="s">
        <v>2</v>
      </c>
      <c r="S58" s="213" t="s">
        <v>4771</v>
      </c>
      <c r="T58" s="233">
        <v>45545</v>
      </c>
      <c r="U58" s="234" t="s">
        <v>4759</v>
      </c>
      <c r="V58" s="234">
        <v>45611</v>
      </c>
      <c r="W58" s="234">
        <v>45617</v>
      </c>
      <c r="X58" s="234" t="s">
        <v>2</v>
      </c>
      <c r="Y58" s="234"/>
      <c r="Z58" s="234" t="s">
        <v>4590</v>
      </c>
      <c r="AA58" s="224">
        <v>202411</v>
      </c>
      <c r="AB58" s="243"/>
      <c r="AC58" s="244" t="s">
        <v>4800</v>
      </c>
      <c r="AD58" s="244" t="s">
        <v>4915</v>
      </c>
      <c r="AE58" s="245">
        <v>1</v>
      </c>
      <c r="AF58" s="244" t="s">
        <v>4915</v>
      </c>
      <c r="AG58" s="239" t="str">
        <f>IFERROR(VLOOKUP(작성용!A:A,RM!A:D,4,0),"-")</f>
        <v>강승현</v>
      </c>
      <c r="AH58" s="9" t="s">
        <v>4860</v>
      </c>
      <c r="AI58" s="235" t="s">
        <v>4771</v>
      </c>
      <c r="AJ58" s="235" t="s">
        <v>4847</v>
      </c>
      <c r="AK58" s="235" t="s">
        <v>4128</v>
      </c>
      <c r="AL58" s="235">
        <v>57</v>
      </c>
    </row>
    <row r="59" spans="1:38" x14ac:dyDescent="0.3">
      <c r="A59" s="222" t="s">
        <v>2341</v>
      </c>
      <c r="B59" s="222" t="s">
        <v>4916</v>
      </c>
      <c r="C59" s="241" t="s">
        <v>3707</v>
      </c>
      <c r="D59" s="237" t="s">
        <v>4591</v>
      </c>
      <c r="E59" s="236">
        <v>1101112304171</v>
      </c>
      <c r="F59" s="240" t="s">
        <v>3990</v>
      </c>
      <c r="G59" s="214">
        <v>1</v>
      </c>
      <c r="H59" s="231" t="s">
        <v>3527</v>
      </c>
      <c r="I59" s="231"/>
      <c r="J59" s="231"/>
      <c r="K59" s="231"/>
      <c r="L59" s="231"/>
      <c r="M59" s="231"/>
      <c r="N59" s="231" t="s">
        <v>85</v>
      </c>
      <c r="O59" s="246" t="s">
        <v>4595</v>
      </c>
      <c r="P59" s="246" t="s">
        <v>4593</v>
      </c>
      <c r="Q59" s="225" t="s">
        <v>4594</v>
      </c>
      <c r="R59" s="212" t="s">
        <v>2</v>
      </c>
      <c r="S59" s="213" t="s">
        <v>3527</v>
      </c>
      <c r="T59" s="233">
        <v>45548</v>
      </c>
      <c r="U59" s="234" t="s">
        <v>3711</v>
      </c>
      <c r="V59" s="233">
        <v>45604</v>
      </c>
      <c r="W59" s="233">
        <v>45610</v>
      </c>
      <c r="X59" s="234" t="s">
        <v>2</v>
      </c>
      <c r="Y59" s="234"/>
      <c r="Z59" s="234" t="s">
        <v>4917</v>
      </c>
      <c r="AA59" s="238">
        <v>202411</v>
      </c>
      <c r="AB59" s="243"/>
      <c r="AC59" s="244" t="s">
        <v>3987</v>
      </c>
      <c r="AD59" s="244" t="s">
        <v>4034</v>
      </c>
      <c r="AE59" s="245">
        <v>1</v>
      </c>
      <c r="AF59" s="244" t="s">
        <v>4918</v>
      </c>
      <c r="AG59" s="239" t="str">
        <f>IFERROR(VLOOKUP(작성용!A:A,RM!A:D,4,0),"-")</f>
        <v>김예림</v>
      </c>
      <c r="AH59" s="9" t="s">
        <v>161</v>
      </c>
      <c r="AI59" s="235" t="s">
        <v>3527</v>
      </c>
      <c r="AJ59" s="235" t="s">
        <v>4609</v>
      </c>
      <c r="AK59" s="235" t="s">
        <v>3708</v>
      </c>
      <c r="AL59" s="235">
        <v>58</v>
      </c>
    </row>
    <row r="60" spans="1:38" x14ac:dyDescent="0.3">
      <c r="A60" s="222" t="s">
        <v>2341</v>
      </c>
      <c r="B60" s="222" t="s">
        <v>4919</v>
      </c>
      <c r="C60" s="241" t="s">
        <v>3707</v>
      </c>
      <c r="D60" s="237" t="s">
        <v>4591</v>
      </c>
      <c r="E60" s="236">
        <v>1101112304171</v>
      </c>
      <c r="F60" s="240" t="s">
        <v>4850</v>
      </c>
      <c r="G60" s="214">
        <v>4</v>
      </c>
      <c r="H60" s="231" t="s">
        <v>3527</v>
      </c>
      <c r="I60" s="231"/>
      <c r="J60" s="231"/>
      <c r="K60" s="231"/>
      <c r="L60" s="231"/>
      <c r="M60" s="231"/>
      <c r="N60" s="231" t="s">
        <v>4806</v>
      </c>
      <c r="O60" s="246" t="s">
        <v>4595</v>
      </c>
      <c r="P60" s="246" t="s">
        <v>4593</v>
      </c>
      <c r="Q60" s="225" t="s">
        <v>4594</v>
      </c>
      <c r="R60" s="212" t="s">
        <v>2</v>
      </c>
      <c r="S60" s="213" t="s">
        <v>3527</v>
      </c>
      <c r="T60" s="233">
        <v>45548</v>
      </c>
      <c r="U60" s="234" t="s">
        <v>4759</v>
      </c>
      <c r="V60" s="233">
        <v>45604</v>
      </c>
      <c r="W60" s="233">
        <v>45610</v>
      </c>
      <c r="X60" s="234" t="s">
        <v>2</v>
      </c>
      <c r="Y60" s="234"/>
      <c r="Z60" s="234" t="s">
        <v>4917</v>
      </c>
      <c r="AA60" s="238">
        <v>202411</v>
      </c>
      <c r="AB60" s="243"/>
      <c r="AC60" s="244" t="s">
        <v>4800</v>
      </c>
      <c r="AD60" s="244" t="s">
        <v>4034</v>
      </c>
      <c r="AE60" s="245">
        <v>0</v>
      </c>
      <c r="AF60" s="244" t="s">
        <v>4034</v>
      </c>
      <c r="AG60" s="239" t="str">
        <f>IFERROR(VLOOKUP(작성용!A:A,RM!A:D,4,0),"-")</f>
        <v>김예림</v>
      </c>
      <c r="AH60" s="9" t="s">
        <v>161</v>
      </c>
      <c r="AI60" s="235" t="s">
        <v>4771</v>
      </c>
      <c r="AJ60" s="235" t="s">
        <v>4920</v>
      </c>
      <c r="AK60" s="235" t="s">
        <v>4777</v>
      </c>
      <c r="AL60" s="235">
        <v>59</v>
      </c>
    </row>
    <row r="61" spans="1:38" x14ac:dyDescent="0.3">
      <c r="A61" s="222" t="s">
        <v>2341</v>
      </c>
      <c r="B61" s="222" t="s">
        <v>4919</v>
      </c>
      <c r="C61" s="241" t="s">
        <v>4778</v>
      </c>
      <c r="D61" s="237" t="s">
        <v>4921</v>
      </c>
      <c r="E61" s="236">
        <v>1101112304171</v>
      </c>
      <c r="F61" s="240" t="s">
        <v>4750</v>
      </c>
      <c r="G61" s="214">
        <v>5</v>
      </c>
      <c r="H61" s="231" t="s">
        <v>3527</v>
      </c>
      <c r="I61" s="231"/>
      <c r="J61" s="231"/>
      <c r="K61" s="231"/>
      <c r="L61" s="231"/>
      <c r="M61" s="231"/>
      <c r="N61" s="231" t="s">
        <v>4806</v>
      </c>
      <c r="O61" s="246" t="s">
        <v>4922</v>
      </c>
      <c r="P61" s="246" t="s">
        <v>4593</v>
      </c>
      <c r="Q61" s="225" t="s">
        <v>4923</v>
      </c>
      <c r="R61" s="212" t="s">
        <v>2</v>
      </c>
      <c r="S61" s="213" t="s">
        <v>3527</v>
      </c>
      <c r="T61" s="233">
        <v>45548</v>
      </c>
      <c r="U61" s="234" t="s">
        <v>4759</v>
      </c>
      <c r="V61" s="233">
        <v>45604</v>
      </c>
      <c r="W61" s="233">
        <v>45610</v>
      </c>
      <c r="X61" s="234" t="s">
        <v>2</v>
      </c>
      <c r="Y61" s="234"/>
      <c r="Z61" s="234" t="s">
        <v>4917</v>
      </c>
      <c r="AA61" s="238">
        <v>202411</v>
      </c>
      <c r="AB61" s="243"/>
      <c r="AC61" s="244" t="s">
        <v>4800</v>
      </c>
      <c r="AD61" s="244" t="s">
        <v>4034</v>
      </c>
      <c r="AE61" s="245">
        <v>0</v>
      </c>
      <c r="AF61" s="244" t="s">
        <v>4918</v>
      </c>
      <c r="AG61" s="239" t="str">
        <f>IFERROR(VLOOKUP(작성용!A:A,RM!A:D,4,0),"-")</f>
        <v>김예림</v>
      </c>
      <c r="AH61" s="9" t="s">
        <v>161</v>
      </c>
      <c r="AI61" s="235" t="s">
        <v>3527</v>
      </c>
      <c r="AJ61" s="235" t="s">
        <v>4920</v>
      </c>
      <c r="AK61" s="235" t="s">
        <v>4777</v>
      </c>
      <c r="AL61" s="235">
        <v>60</v>
      </c>
    </row>
    <row r="62" spans="1:38" x14ac:dyDescent="0.3">
      <c r="A62" s="222" t="s">
        <v>2341</v>
      </c>
      <c r="B62" s="222" t="s">
        <v>4592</v>
      </c>
      <c r="C62" s="241" t="s">
        <v>3707</v>
      </c>
      <c r="D62" s="237" t="s">
        <v>4921</v>
      </c>
      <c r="E62" s="236">
        <v>1101112304171</v>
      </c>
      <c r="F62" s="240" t="s">
        <v>4850</v>
      </c>
      <c r="G62" s="214">
        <v>6</v>
      </c>
      <c r="H62" s="231" t="s">
        <v>4771</v>
      </c>
      <c r="I62" s="231"/>
      <c r="J62" s="231"/>
      <c r="K62" s="231"/>
      <c r="L62" s="231"/>
      <c r="M62" s="231"/>
      <c r="N62" s="231" t="s">
        <v>4806</v>
      </c>
      <c r="O62" s="246" t="s">
        <v>4922</v>
      </c>
      <c r="P62" s="246" t="s">
        <v>4924</v>
      </c>
      <c r="Q62" s="225" t="s">
        <v>4923</v>
      </c>
      <c r="R62" s="212" t="s">
        <v>2</v>
      </c>
      <c r="S62" s="213" t="s">
        <v>3527</v>
      </c>
      <c r="T62" s="233">
        <v>45548</v>
      </c>
      <c r="U62" s="234" t="s">
        <v>4759</v>
      </c>
      <c r="V62" s="233">
        <v>45604</v>
      </c>
      <c r="W62" s="233">
        <v>45610</v>
      </c>
      <c r="X62" s="234" t="s">
        <v>2</v>
      </c>
      <c r="Y62" s="234"/>
      <c r="Z62" s="234" t="s">
        <v>4925</v>
      </c>
      <c r="AA62" s="238">
        <v>202411</v>
      </c>
      <c r="AB62" s="243"/>
      <c r="AC62" s="244" t="s">
        <v>3987</v>
      </c>
      <c r="AD62" s="244" t="s">
        <v>4918</v>
      </c>
      <c r="AE62" s="245">
        <v>0</v>
      </c>
      <c r="AF62" s="244" t="s">
        <v>4918</v>
      </c>
      <c r="AG62" s="239" t="str">
        <f>IFERROR(VLOOKUP(작성용!A:A,RM!A:D,4,0),"-")</f>
        <v>김예림</v>
      </c>
      <c r="AH62" s="9" t="s">
        <v>161</v>
      </c>
      <c r="AI62" s="235" t="s">
        <v>4771</v>
      </c>
      <c r="AJ62" s="235" t="s">
        <v>4920</v>
      </c>
      <c r="AK62" s="235" t="s">
        <v>4777</v>
      </c>
      <c r="AL62" s="235">
        <v>61</v>
      </c>
    </row>
    <row r="63" spans="1:38" x14ac:dyDescent="0.3">
      <c r="A63" s="222" t="s">
        <v>2341</v>
      </c>
      <c r="B63" s="222" t="s">
        <v>4919</v>
      </c>
      <c r="C63" s="241" t="s">
        <v>4778</v>
      </c>
      <c r="D63" s="237" t="s">
        <v>4921</v>
      </c>
      <c r="E63" s="236">
        <v>1101112304171</v>
      </c>
      <c r="F63" s="240" t="s">
        <v>4926</v>
      </c>
      <c r="G63" s="214">
        <v>0</v>
      </c>
      <c r="H63" s="231" t="s">
        <v>3527</v>
      </c>
      <c r="I63" s="231"/>
      <c r="J63" s="231"/>
      <c r="K63" s="231"/>
      <c r="L63" s="231"/>
      <c r="M63" s="231"/>
      <c r="N63" s="231" t="s">
        <v>4806</v>
      </c>
      <c r="O63" s="246" t="s">
        <v>4922</v>
      </c>
      <c r="P63" s="246" t="s">
        <v>4924</v>
      </c>
      <c r="Q63" s="225" t="s">
        <v>4923</v>
      </c>
      <c r="R63" s="212" t="s">
        <v>2</v>
      </c>
      <c r="S63" s="213" t="s">
        <v>4771</v>
      </c>
      <c r="T63" s="233">
        <v>45548</v>
      </c>
      <c r="U63" s="234" t="s">
        <v>4759</v>
      </c>
      <c r="V63" s="233">
        <v>45604</v>
      </c>
      <c r="W63" s="233">
        <v>45610</v>
      </c>
      <c r="X63" s="234" t="s">
        <v>2</v>
      </c>
      <c r="Y63" s="234"/>
      <c r="Z63" s="234" t="s">
        <v>4925</v>
      </c>
      <c r="AA63" s="238">
        <v>202411</v>
      </c>
      <c r="AB63" s="243"/>
      <c r="AC63" s="244" t="s">
        <v>4800</v>
      </c>
      <c r="AD63" s="244" t="s">
        <v>4918</v>
      </c>
      <c r="AE63" s="245">
        <v>0</v>
      </c>
      <c r="AF63" s="244" t="s">
        <v>4918</v>
      </c>
      <c r="AG63" s="239" t="str">
        <f>IFERROR(VLOOKUP(작성용!A:A,RM!A:D,4,0),"-")</f>
        <v>김예림</v>
      </c>
      <c r="AH63" s="9" t="s">
        <v>4927</v>
      </c>
      <c r="AI63" s="235" t="s">
        <v>4771</v>
      </c>
      <c r="AJ63" s="235" t="s">
        <v>4920</v>
      </c>
      <c r="AK63" s="235" t="s">
        <v>4777</v>
      </c>
      <c r="AL63" s="235">
        <v>62</v>
      </c>
    </row>
    <row r="64" spans="1:38" x14ac:dyDescent="0.3">
      <c r="A64" s="222" t="s">
        <v>2341</v>
      </c>
      <c r="B64" s="222" t="s">
        <v>4919</v>
      </c>
      <c r="C64" s="241" t="s">
        <v>4778</v>
      </c>
      <c r="D64" s="237" t="s">
        <v>4928</v>
      </c>
      <c r="E64" s="236">
        <v>1101113060277</v>
      </c>
      <c r="F64" s="240" t="s">
        <v>4854</v>
      </c>
      <c r="G64" s="214">
        <v>99</v>
      </c>
      <c r="H64" s="231" t="s">
        <v>4771</v>
      </c>
      <c r="I64" s="231"/>
      <c r="J64" s="231"/>
      <c r="K64" s="231"/>
      <c r="L64" s="231"/>
      <c r="M64" s="231"/>
      <c r="N64" s="231" t="s">
        <v>4806</v>
      </c>
      <c r="O64" s="246" t="s">
        <v>4922</v>
      </c>
      <c r="P64" s="246" t="s">
        <v>4924</v>
      </c>
      <c r="Q64" s="225" t="s">
        <v>4923</v>
      </c>
      <c r="R64" s="212" t="s">
        <v>2</v>
      </c>
      <c r="S64" s="213" t="s">
        <v>4771</v>
      </c>
      <c r="T64" s="233">
        <v>45548</v>
      </c>
      <c r="U64" s="234" t="s">
        <v>4759</v>
      </c>
      <c r="V64" s="233">
        <v>45604</v>
      </c>
      <c r="W64" s="233">
        <v>45610</v>
      </c>
      <c r="X64" s="234" t="s">
        <v>2</v>
      </c>
      <c r="Y64" s="234"/>
      <c r="Z64" s="234" t="s">
        <v>4925</v>
      </c>
      <c r="AA64" s="238">
        <v>202411</v>
      </c>
      <c r="AB64" s="243"/>
      <c r="AC64" s="244" t="s">
        <v>4800</v>
      </c>
      <c r="AD64" s="244" t="s">
        <v>4927</v>
      </c>
      <c r="AE64" s="245">
        <v>1</v>
      </c>
      <c r="AF64" s="244" t="s">
        <v>4927</v>
      </c>
      <c r="AG64" s="239" t="str">
        <f>IFERROR(VLOOKUP(작성용!A:A,RM!A:D,4,0),"-")</f>
        <v>김예림</v>
      </c>
      <c r="AH64" s="9" t="s">
        <v>4927</v>
      </c>
      <c r="AI64" s="235" t="s">
        <v>4771</v>
      </c>
      <c r="AJ64" s="235" t="s">
        <v>4920</v>
      </c>
      <c r="AK64" s="235" t="s">
        <v>4777</v>
      </c>
      <c r="AL64" s="235">
        <v>63</v>
      </c>
    </row>
    <row r="65" spans="1:38" x14ac:dyDescent="0.3">
      <c r="A65" s="222" t="s">
        <v>2341</v>
      </c>
      <c r="B65" s="222" t="s">
        <v>4919</v>
      </c>
      <c r="C65" s="241" t="s">
        <v>4778</v>
      </c>
      <c r="D65" s="237" t="s">
        <v>4929</v>
      </c>
      <c r="E65" s="236">
        <v>1101115439579</v>
      </c>
      <c r="F65" s="240" t="s">
        <v>4930</v>
      </c>
      <c r="G65" s="214">
        <v>0</v>
      </c>
      <c r="H65" s="231" t="s">
        <v>4771</v>
      </c>
      <c r="I65" s="231"/>
      <c r="J65" s="231"/>
      <c r="K65" s="231"/>
      <c r="L65" s="231"/>
      <c r="M65" s="231"/>
      <c r="N65" s="231" t="s">
        <v>4806</v>
      </c>
      <c r="O65" s="246" t="s">
        <v>4922</v>
      </c>
      <c r="P65" s="246" t="s">
        <v>4924</v>
      </c>
      <c r="Q65" s="225" t="s">
        <v>4923</v>
      </c>
      <c r="R65" s="212" t="s">
        <v>2</v>
      </c>
      <c r="S65" s="213" t="s">
        <v>4771</v>
      </c>
      <c r="T65" s="233">
        <v>45548</v>
      </c>
      <c r="U65" s="234" t="s">
        <v>4759</v>
      </c>
      <c r="V65" s="233">
        <v>45604</v>
      </c>
      <c r="W65" s="233">
        <v>45610</v>
      </c>
      <c r="X65" s="234" t="s">
        <v>2</v>
      </c>
      <c r="Y65" s="234"/>
      <c r="Z65" s="234" t="s">
        <v>4925</v>
      </c>
      <c r="AA65" s="238">
        <v>202411</v>
      </c>
      <c r="AB65" s="243"/>
      <c r="AC65" s="244" t="s">
        <v>4800</v>
      </c>
      <c r="AD65" s="244" t="s">
        <v>3713</v>
      </c>
      <c r="AE65" s="245">
        <v>1</v>
      </c>
      <c r="AF65" s="244" t="s">
        <v>3713</v>
      </c>
      <c r="AG65" s="239" t="str">
        <f>IFERROR(VLOOKUP(작성용!A:A,RM!A:D,4,0),"-")</f>
        <v>김예림</v>
      </c>
      <c r="AH65" s="9" t="s">
        <v>4927</v>
      </c>
      <c r="AI65" s="235" t="s">
        <v>4771</v>
      </c>
      <c r="AJ65" s="235" t="s">
        <v>4920</v>
      </c>
      <c r="AK65" s="235" t="s">
        <v>4777</v>
      </c>
      <c r="AL65" s="235">
        <v>64</v>
      </c>
    </row>
    <row r="66" spans="1:38" x14ac:dyDescent="0.3">
      <c r="A66" s="222" t="s">
        <v>2341</v>
      </c>
      <c r="B66" s="222" t="s">
        <v>4919</v>
      </c>
      <c r="C66" s="241" t="s">
        <v>4778</v>
      </c>
      <c r="D66" s="237" t="s">
        <v>4929</v>
      </c>
      <c r="E66" s="236">
        <v>1101115439579</v>
      </c>
      <c r="F66" s="240" t="s">
        <v>4780</v>
      </c>
      <c r="G66" s="214">
        <v>0</v>
      </c>
      <c r="H66" s="231" t="s">
        <v>4771</v>
      </c>
      <c r="I66" s="231"/>
      <c r="J66" s="231"/>
      <c r="K66" s="231"/>
      <c r="L66" s="231"/>
      <c r="M66" s="231"/>
      <c r="N66" s="231" t="s">
        <v>4806</v>
      </c>
      <c r="O66" s="246" t="s">
        <v>4922</v>
      </c>
      <c r="P66" s="246" t="s">
        <v>4924</v>
      </c>
      <c r="Q66" s="225" t="s">
        <v>4923</v>
      </c>
      <c r="R66" s="212" t="s">
        <v>2</v>
      </c>
      <c r="S66" s="213" t="s">
        <v>4771</v>
      </c>
      <c r="T66" s="233">
        <v>45548</v>
      </c>
      <c r="U66" s="234" t="s">
        <v>4759</v>
      </c>
      <c r="V66" s="233">
        <v>45604</v>
      </c>
      <c r="W66" s="233">
        <v>45610</v>
      </c>
      <c r="X66" s="234" t="s">
        <v>2</v>
      </c>
      <c r="Y66" s="234"/>
      <c r="Z66" s="234" t="s">
        <v>4925</v>
      </c>
      <c r="AA66" s="238">
        <v>202411</v>
      </c>
      <c r="AB66" s="243"/>
      <c r="AC66" s="244" t="s">
        <v>4800</v>
      </c>
      <c r="AD66" s="244" t="s">
        <v>3713</v>
      </c>
      <c r="AE66" s="245">
        <v>0</v>
      </c>
      <c r="AF66" s="244" t="s">
        <v>3713</v>
      </c>
      <c r="AG66" s="239" t="str">
        <f>IFERROR(VLOOKUP(작성용!A:A,RM!A:D,4,0),"-")</f>
        <v>김예림</v>
      </c>
      <c r="AH66" s="9" t="s">
        <v>4927</v>
      </c>
      <c r="AI66" s="235" t="s">
        <v>4771</v>
      </c>
      <c r="AJ66" s="235" t="s">
        <v>4920</v>
      </c>
      <c r="AK66" s="235" t="s">
        <v>4777</v>
      </c>
      <c r="AL66" s="235">
        <v>65</v>
      </c>
    </row>
    <row r="67" spans="1:38" x14ac:dyDescent="0.3">
      <c r="A67" s="222" t="s">
        <v>2341</v>
      </c>
      <c r="B67" s="222" t="s">
        <v>4919</v>
      </c>
      <c r="C67" s="241" t="s">
        <v>4778</v>
      </c>
      <c r="D67" s="237" t="s">
        <v>4931</v>
      </c>
      <c r="E67" s="236">
        <v>1101115421849</v>
      </c>
      <c r="F67" s="240" t="s">
        <v>4854</v>
      </c>
      <c r="G67" s="214">
        <v>1</v>
      </c>
      <c r="H67" s="231" t="s">
        <v>4771</v>
      </c>
      <c r="I67" s="231"/>
      <c r="J67" s="231"/>
      <c r="K67" s="231"/>
      <c r="L67" s="231"/>
      <c r="M67" s="231"/>
      <c r="N67" s="231" t="s">
        <v>4806</v>
      </c>
      <c r="O67" s="246" t="s">
        <v>4922</v>
      </c>
      <c r="P67" s="246" t="s">
        <v>4924</v>
      </c>
      <c r="Q67" s="225" t="s">
        <v>4923</v>
      </c>
      <c r="R67" s="212" t="s">
        <v>2</v>
      </c>
      <c r="S67" s="213" t="s">
        <v>4771</v>
      </c>
      <c r="T67" s="233">
        <v>45548</v>
      </c>
      <c r="U67" s="234" t="s">
        <v>4759</v>
      </c>
      <c r="V67" s="233">
        <v>45604</v>
      </c>
      <c r="W67" s="233">
        <v>45610</v>
      </c>
      <c r="X67" s="234" t="s">
        <v>2</v>
      </c>
      <c r="Y67" s="234"/>
      <c r="Z67" s="234" t="s">
        <v>4925</v>
      </c>
      <c r="AA67" s="238">
        <v>202411</v>
      </c>
      <c r="AB67" s="243"/>
      <c r="AC67" s="244" t="s">
        <v>4800</v>
      </c>
      <c r="AD67" s="244" t="s">
        <v>3943</v>
      </c>
      <c r="AE67" s="245">
        <v>1</v>
      </c>
      <c r="AF67" s="244" t="s">
        <v>3943</v>
      </c>
      <c r="AG67" s="239" t="str">
        <f>IFERROR(VLOOKUP(작성용!A:A,RM!A:D,4,0),"-")</f>
        <v>김예림</v>
      </c>
      <c r="AH67" s="9" t="s">
        <v>4927</v>
      </c>
      <c r="AI67" s="235" t="s">
        <v>4771</v>
      </c>
      <c r="AJ67" s="235" t="s">
        <v>4920</v>
      </c>
      <c r="AK67" s="235" t="s">
        <v>4777</v>
      </c>
      <c r="AL67" s="235">
        <v>66</v>
      </c>
    </row>
    <row r="68" spans="1:38" x14ac:dyDescent="0.3">
      <c r="A68" s="222" t="s">
        <v>2341</v>
      </c>
      <c r="B68" s="222" t="s">
        <v>4919</v>
      </c>
      <c r="C68" s="241" t="s">
        <v>4778</v>
      </c>
      <c r="D68" s="237" t="s">
        <v>4931</v>
      </c>
      <c r="E68" s="236">
        <v>1101115421849</v>
      </c>
      <c r="F68" s="240" t="s">
        <v>4780</v>
      </c>
      <c r="G68" s="214">
        <v>1</v>
      </c>
      <c r="H68" s="231" t="s">
        <v>4771</v>
      </c>
      <c r="I68" s="231"/>
      <c r="J68" s="231"/>
      <c r="K68" s="231"/>
      <c r="L68" s="231"/>
      <c r="M68" s="231"/>
      <c r="N68" s="231" t="s">
        <v>4806</v>
      </c>
      <c r="O68" s="246" t="s">
        <v>4922</v>
      </c>
      <c r="P68" s="246" t="s">
        <v>4924</v>
      </c>
      <c r="Q68" s="225" t="s">
        <v>4923</v>
      </c>
      <c r="R68" s="212" t="s">
        <v>2</v>
      </c>
      <c r="S68" s="213" t="s">
        <v>4771</v>
      </c>
      <c r="T68" s="233">
        <v>45548</v>
      </c>
      <c r="U68" s="234" t="s">
        <v>4759</v>
      </c>
      <c r="V68" s="233">
        <v>45604</v>
      </c>
      <c r="W68" s="233">
        <v>45610</v>
      </c>
      <c r="X68" s="234" t="s">
        <v>2</v>
      </c>
      <c r="Y68" s="234"/>
      <c r="Z68" s="234" t="s">
        <v>4925</v>
      </c>
      <c r="AA68" s="238">
        <v>202411</v>
      </c>
      <c r="AB68" s="243"/>
      <c r="AC68" s="244" t="s">
        <v>4800</v>
      </c>
      <c r="AD68" s="244" t="s">
        <v>3943</v>
      </c>
      <c r="AE68" s="245">
        <v>0</v>
      </c>
      <c r="AF68" s="244" t="s">
        <v>3943</v>
      </c>
      <c r="AG68" s="239" t="str">
        <f>IFERROR(VLOOKUP(작성용!A:A,RM!A:D,4,0),"-")</f>
        <v>김예림</v>
      </c>
      <c r="AH68" s="9" t="s">
        <v>4927</v>
      </c>
      <c r="AI68" s="235" t="s">
        <v>4771</v>
      </c>
      <c r="AJ68" s="235" t="s">
        <v>4920</v>
      </c>
      <c r="AK68" s="235" t="s">
        <v>4777</v>
      </c>
      <c r="AL68" s="235">
        <v>67</v>
      </c>
    </row>
    <row r="69" spans="1:38" x14ac:dyDescent="0.3">
      <c r="A69" s="222" t="s">
        <v>2341</v>
      </c>
      <c r="B69" s="222" t="s">
        <v>4919</v>
      </c>
      <c r="C69" s="241" t="s">
        <v>4778</v>
      </c>
      <c r="D69" s="237" t="s">
        <v>4932</v>
      </c>
      <c r="E69" s="236">
        <v>1101110365886</v>
      </c>
      <c r="F69" s="240" t="s">
        <v>4854</v>
      </c>
      <c r="G69" s="214">
        <v>1</v>
      </c>
      <c r="H69" s="231" t="s">
        <v>4771</v>
      </c>
      <c r="I69" s="231"/>
      <c r="J69" s="231"/>
      <c r="K69" s="231"/>
      <c r="L69" s="231"/>
      <c r="M69" s="231"/>
      <c r="N69" s="231" t="s">
        <v>4806</v>
      </c>
      <c r="O69" s="246" t="s">
        <v>4922</v>
      </c>
      <c r="P69" s="246" t="s">
        <v>4924</v>
      </c>
      <c r="Q69" s="225" t="s">
        <v>4923</v>
      </c>
      <c r="R69" s="212" t="s">
        <v>2</v>
      </c>
      <c r="S69" s="213" t="s">
        <v>4771</v>
      </c>
      <c r="T69" s="233">
        <v>45548</v>
      </c>
      <c r="U69" s="234" t="s">
        <v>4759</v>
      </c>
      <c r="V69" s="233">
        <v>45604</v>
      </c>
      <c r="W69" s="233">
        <v>45610</v>
      </c>
      <c r="X69" s="234" t="s">
        <v>2</v>
      </c>
      <c r="Y69" s="234"/>
      <c r="Z69" s="234" t="s">
        <v>4925</v>
      </c>
      <c r="AA69" s="238">
        <v>202411</v>
      </c>
      <c r="AB69" s="243"/>
      <c r="AC69" s="244" t="s">
        <v>4800</v>
      </c>
      <c r="AD69" s="244" t="s">
        <v>4933</v>
      </c>
      <c r="AE69" s="245">
        <v>1</v>
      </c>
      <c r="AF69" s="244" t="s">
        <v>4933</v>
      </c>
      <c r="AG69" s="239" t="str">
        <f>IFERROR(VLOOKUP(작성용!A:A,RM!A:D,4,0),"-")</f>
        <v>김예림</v>
      </c>
      <c r="AH69" s="9" t="s">
        <v>4927</v>
      </c>
      <c r="AI69" s="235" t="s">
        <v>4771</v>
      </c>
      <c r="AJ69" s="235" t="s">
        <v>4920</v>
      </c>
      <c r="AK69" s="235" t="s">
        <v>4777</v>
      </c>
      <c r="AL69" s="235">
        <v>68</v>
      </c>
    </row>
    <row r="70" spans="1:38" x14ac:dyDescent="0.3">
      <c r="A70" s="222" t="s">
        <v>2341</v>
      </c>
      <c r="B70" s="222" t="s">
        <v>4919</v>
      </c>
      <c r="C70" s="241" t="s">
        <v>4778</v>
      </c>
      <c r="D70" s="237" t="s">
        <v>4934</v>
      </c>
      <c r="E70" s="236">
        <v>1411110019452</v>
      </c>
      <c r="F70" s="240" t="s">
        <v>4854</v>
      </c>
      <c r="G70" s="214">
        <v>1</v>
      </c>
      <c r="H70" s="231" t="s">
        <v>4771</v>
      </c>
      <c r="I70" s="231"/>
      <c r="J70" s="231"/>
      <c r="K70" s="231"/>
      <c r="L70" s="231"/>
      <c r="M70" s="231"/>
      <c r="N70" s="231" t="s">
        <v>4806</v>
      </c>
      <c r="O70" s="246" t="s">
        <v>4922</v>
      </c>
      <c r="P70" s="246" t="s">
        <v>4924</v>
      </c>
      <c r="Q70" s="225" t="s">
        <v>4923</v>
      </c>
      <c r="R70" s="212" t="s">
        <v>2</v>
      </c>
      <c r="S70" s="213" t="s">
        <v>4771</v>
      </c>
      <c r="T70" s="233">
        <v>45548</v>
      </c>
      <c r="U70" s="234" t="s">
        <v>4759</v>
      </c>
      <c r="V70" s="233">
        <v>45604</v>
      </c>
      <c r="W70" s="233">
        <v>45610</v>
      </c>
      <c r="X70" s="234" t="s">
        <v>2</v>
      </c>
      <c r="Y70" s="234"/>
      <c r="Z70" s="234" t="s">
        <v>4925</v>
      </c>
      <c r="AA70" s="238">
        <v>202411</v>
      </c>
      <c r="AB70" s="243"/>
      <c r="AC70" s="244" t="s">
        <v>4800</v>
      </c>
      <c r="AD70" s="244" t="s">
        <v>4935</v>
      </c>
      <c r="AE70" s="245">
        <v>1</v>
      </c>
      <c r="AF70" s="244" t="s">
        <v>4935</v>
      </c>
      <c r="AG70" s="239" t="str">
        <f>IFERROR(VLOOKUP(작성용!A:A,RM!A:D,4,0),"-")</f>
        <v>김예림</v>
      </c>
      <c r="AH70" s="9" t="s">
        <v>4927</v>
      </c>
      <c r="AI70" s="235" t="s">
        <v>4771</v>
      </c>
      <c r="AJ70" s="235" t="s">
        <v>4920</v>
      </c>
      <c r="AK70" s="235" t="s">
        <v>4777</v>
      </c>
      <c r="AL70" s="235">
        <v>69</v>
      </c>
    </row>
    <row r="71" spans="1:38" x14ac:dyDescent="0.3">
      <c r="A71" s="222" t="s">
        <v>2341</v>
      </c>
      <c r="B71" s="222" t="s">
        <v>4919</v>
      </c>
      <c r="C71" s="241" t="s">
        <v>4778</v>
      </c>
      <c r="D71" s="237" t="s">
        <v>4936</v>
      </c>
      <c r="E71" s="236">
        <v>1342110123995</v>
      </c>
      <c r="F71" s="240" t="s">
        <v>4854</v>
      </c>
      <c r="G71" s="214">
        <v>1</v>
      </c>
      <c r="H71" s="231" t="s">
        <v>4771</v>
      </c>
      <c r="I71" s="231"/>
      <c r="J71" s="231"/>
      <c r="K71" s="231"/>
      <c r="L71" s="231"/>
      <c r="M71" s="231"/>
      <c r="N71" s="231" t="s">
        <v>4806</v>
      </c>
      <c r="O71" s="246" t="s">
        <v>4922</v>
      </c>
      <c r="P71" s="246" t="s">
        <v>4924</v>
      </c>
      <c r="Q71" s="225" t="s">
        <v>4923</v>
      </c>
      <c r="R71" s="212" t="s">
        <v>2</v>
      </c>
      <c r="S71" s="213" t="s">
        <v>4771</v>
      </c>
      <c r="T71" s="233">
        <v>45548</v>
      </c>
      <c r="U71" s="234" t="s">
        <v>4759</v>
      </c>
      <c r="V71" s="233">
        <v>45604</v>
      </c>
      <c r="W71" s="233">
        <v>45610</v>
      </c>
      <c r="X71" s="234" t="s">
        <v>2</v>
      </c>
      <c r="Y71" s="234"/>
      <c r="Z71" s="234" t="s">
        <v>4925</v>
      </c>
      <c r="AA71" s="238">
        <v>202411</v>
      </c>
      <c r="AB71" s="243"/>
      <c r="AC71" s="244" t="s">
        <v>4800</v>
      </c>
      <c r="AD71" s="244" t="s">
        <v>4937</v>
      </c>
      <c r="AE71" s="245">
        <v>1.5</v>
      </c>
      <c r="AF71" s="244" t="s">
        <v>4937</v>
      </c>
      <c r="AG71" s="239" t="str">
        <f>IFERROR(VLOOKUP(작성용!A:A,RM!A:D,4,0),"-")</f>
        <v>김예림</v>
      </c>
      <c r="AH71" s="9" t="s">
        <v>4927</v>
      </c>
      <c r="AI71" s="235" t="s">
        <v>4771</v>
      </c>
      <c r="AJ71" s="235" t="s">
        <v>4920</v>
      </c>
      <c r="AK71" s="235" t="s">
        <v>4777</v>
      </c>
      <c r="AL71" s="235">
        <v>70</v>
      </c>
    </row>
    <row r="72" spans="1:38" x14ac:dyDescent="0.3">
      <c r="A72" s="222" t="s">
        <v>2341</v>
      </c>
      <c r="B72" s="222" t="s">
        <v>4919</v>
      </c>
      <c r="C72" s="241" t="s">
        <v>4778</v>
      </c>
      <c r="D72" s="237" t="s">
        <v>4938</v>
      </c>
      <c r="E72" s="236">
        <v>1314110146996</v>
      </c>
      <c r="F72" s="240" t="s">
        <v>4854</v>
      </c>
      <c r="G72" s="214">
        <v>0</v>
      </c>
      <c r="H72" s="231" t="s">
        <v>4771</v>
      </c>
      <c r="I72" s="231"/>
      <c r="J72" s="231"/>
      <c r="K72" s="231"/>
      <c r="L72" s="231"/>
      <c r="M72" s="231"/>
      <c r="N72" s="231" t="s">
        <v>4806</v>
      </c>
      <c r="O72" s="246" t="s">
        <v>4922</v>
      </c>
      <c r="P72" s="246" t="s">
        <v>4924</v>
      </c>
      <c r="Q72" s="225" t="s">
        <v>4923</v>
      </c>
      <c r="R72" s="212" t="s">
        <v>2</v>
      </c>
      <c r="S72" s="213" t="s">
        <v>4771</v>
      </c>
      <c r="T72" s="233">
        <v>45548</v>
      </c>
      <c r="U72" s="234" t="s">
        <v>4759</v>
      </c>
      <c r="V72" s="233">
        <v>45604</v>
      </c>
      <c r="W72" s="233">
        <v>45610</v>
      </c>
      <c r="X72" s="234" t="s">
        <v>2</v>
      </c>
      <c r="Y72" s="234"/>
      <c r="Z72" s="234" t="s">
        <v>4925</v>
      </c>
      <c r="AA72" s="238">
        <v>202411</v>
      </c>
      <c r="AB72" s="243"/>
      <c r="AC72" s="244" t="s">
        <v>4800</v>
      </c>
      <c r="AD72" s="244" t="s">
        <v>4935</v>
      </c>
      <c r="AE72" s="245">
        <v>1</v>
      </c>
      <c r="AF72" s="244" t="s">
        <v>4935</v>
      </c>
      <c r="AG72" s="239" t="str">
        <f>IFERROR(VLOOKUP(작성용!A:A,RM!A:D,4,0),"-")</f>
        <v>김예림</v>
      </c>
      <c r="AH72" s="9" t="s">
        <v>4927</v>
      </c>
      <c r="AI72" s="235" t="s">
        <v>4771</v>
      </c>
      <c r="AJ72" s="235" t="s">
        <v>4920</v>
      </c>
      <c r="AK72" s="235" t="s">
        <v>4777</v>
      </c>
      <c r="AL72" s="235">
        <v>71</v>
      </c>
    </row>
    <row r="73" spans="1:38" x14ac:dyDescent="0.3">
      <c r="A73" s="222" t="s">
        <v>2341</v>
      </c>
      <c r="B73" s="222" t="s">
        <v>4919</v>
      </c>
      <c r="C73" s="241" t="s">
        <v>4778</v>
      </c>
      <c r="D73" s="237" t="s">
        <v>4938</v>
      </c>
      <c r="E73" s="236">
        <v>1314110146996</v>
      </c>
      <c r="F73" s="240" t="s">
        <v>4850</v>
      </c>
      <c r="G73" s="214">
        <v>0</v>
      </c>
      <c r="H73" s="231" t="s">
        <v>4771</v>
      </c>
      <c r="I73" s="231"/>
      <c r="J73" s="231"/>
      <c r="K73" s="231"/>
      <c r="L73" s="231"/>
      <c r="M73" s="231"/>
      <c r="N73" s="231" t="s">
        <v>4806</v>
      </c>
      <c r="O73" s="246" t="s">
        <v>4922</v>
      </c>
      <c r="P73" s="246" t="s">
        <v>4924</v>
      </c>
      <c r="Q73" s="225" t="s">
        <v>4923</v>
      </c>
      <c r="R73" s="212" t="s">
        <v>2</v>
      </c>
      <c r="S73" s="213" t="s">
        <v>4771</v>
      </c>
      <c r="T73" s="233">
        <v>45548</v>
      </c>
      <c r="U73" s="234" t="s">
        <v>4759</v>
      </c>
      <c r="V73" s="233">
        <v>45604</v>
      </c>
      <c r="W73" s="233">
        <v>45610</v>
      </c>
      <c r="X73" s="234" t="s">
        <v>2</v>
      </c>
      <c r="Y73" s="234"/>
      <c r="Z73" s="234" t="s">
        <v>4925</v>
      </c>
      <c r="AA73" s="238">
        <v>202411</v>
      </c>
      <c r="AB73" s="243"/>
      <c r="AC73" s="244" t="s">
        <v>4800</v>
      </c>
      <c r="AD73" s="244" t="s">
        <v>4935</v>
      </c>
      <c r="AE73" s="245">
        <v>0</v>
      </c>
      <c r="AF73" s="244" t="s">
        <v>4935</v>
      </c>
      <c r="AG73" s="239" t="str">
        <f>IFERROR(VLOOKUP(작성용!A:A,RM!A:D,4,0),"-")</f>
        <v>김예림</v>
      </c>
      <c r="AH73" s="9" t="s">
        <v>4927</v>
      </c>
      <c r="AI73" s="235" t="s">
        <v>4771</v>
      </c>
      <c r="AJ73" s="235" t="s">
        <v>4920</v>
      </c>
      <c r="AK73" s="235" t="s">
        <v>4777</v>
      </c>
      <c r="AL73" s="235">
        <v>72</v>
      </c>
    </row>
    <row r="74" spans="1:38" x14ac:dyDescent="0.3">
      <c r="A74" s="222" t="s">
        <v>2341</v>
      </c>
      <c r="B74" s="222" t="s">
        <v>4919</v>
      </c>
      <c r="C74" s="241" t="s">
        <v>4778</v>
      </c>
      <c r="D74" s="237" t="s">
        <v>4939</v>
      </c>
      <c r="E74" s="236">
        <v>1101114700070</v>
      </c>
      <c r="F74" s="240" t="s">
        <v>4850</v>
      </c>
      <c r="G74" s="214">
        <v>0</v>
      </c>
      <c r="H74" s="231" t="s">
        <v>4771</v>
      </c>
      <c r="I74" s="231"/>
      <c r="J74" s="231"/>
      <c r="K74" s="231"/>
      <c r="L74" s="231"/>
      <c r="M74" s="231"/>
      <c r="N74" s="231" t="s">
        <v>4940</v>
      </c>
      <c r="O74" s="246" t="s">
        <v>4922</v>
      </c>
      <c r="P74" s="246" t="s">
        <v>4924</v>
      </c>
      <c r="Q74" s="225" t="s">
        <v>4923</v>
      </c>
      <c r="R74" s="212" t="s">
        <v>2</v>
      </c>
      <c r="S74" s="213" t="s">
        <v>4771</v>
      </c>
      <c r="T74" s="233">
        <v>45548</v>
      </c>
      <c r="U74" s="234" t="s">
        <v>4759</v>
      </c>
      <c r="V74" s="233">
        <v>45604</v>
      </c>
      <c r="W74" s="233">
        <v>45610</v>
      </c>
      <c r="X74" s="234" t="s">
        <v>2</v>
      </c>
      <c r="Y74" s="234"/>
      <c r="Z74" s="234" t="s">
        <v>4925</v>
      </c>
      <c r="AA74" s="238">
        <v>202411</v>
      </c>
      <c r="AB74" s="243"/>
      <c r="AC74" s="244" t="s">
        <v>4800</v>
      </c>
      <c r="AD74" s="244" t="s">
        <v>4905</v>
      </c>
      <c r="AE74" s="245">
        <v>1</v>
      </c>
      <c r="AF74" s="244" t="s">
        <v>4905</v>
      </c>
      <c r="AG74" s="239" t="str">
        <f>IFERROR(VLOOKUP(작성용!A:A,RM!A:D,4,0),"-")</f>
        <v>김예림</v>
      </c>
      <c r="AH74" s="9" t="s">
        <v>4927</v>
      </c>
      <c r="AI74" s="235" t="s">
        <v>4771</v>
      </c>
      <c r="AJ74" s="235" t="s">
        <v>4920</v>
      </c>
      <c r="AK74" s="235" t="s">
        <v>4777</v>
      </c>
      <c r="AL74" s="235">
        <v>73</v>
      </c>
    </row>
    <row r="75" spans="1:38" x14ac:dyDescent="0.3">
      <c r="A75" s="222" t="s">
        <v>2341</v>
      </c>
      <c r="B75" s="222" t="s">
        <v>4919</v>
      </c>
      <c r="C75" s="241" t="s">
        <v>4778</v>
      </c>
      <c r="D75" s="237" t="s">
        <v>4941</v>
      </c>
      <c r="E75" s="236">
        <v>1101117274402</v>
      </c>
      <c r="F75" s="240" t="s">
        <v>4854</v>
      </c>
      <c r="G75" s="214">
        <v>1</v>
      </c>
      <c r="H75" s="231" t="s">
        <v>4771</v>
      </c>
      <c r="I75" s="231"/>
      <c r="J75" s="231"/>
      <c r="K75" s="231"/>
      <c r="L75" s="231"/>
      <c r="M75" s="231"/>
      <c r="N75" s="231" t="s">
        <v>4806</v>
      </c>
      <c r="O75" s="246" t="s">
        <v>4922</v>
      </c>
      <c r="P75" s="246" t="s">
        <v>4924</v>
      </c>
      <c r="Q75" s="225" t="s">
        <v>4923</v>
      </c>
      <c r="R75" s="212" t="s">
        <v>2</v>
      </c>
      <c r="S75" s="213" t="s">
        <v>4771</v>
      </c>
      <c r="T75" s="233">
        <v>45548</v>
      </c>
      <c r="U75" s="234" t="s">
        <v>4759</v>
      </c>
      <c r="V75" s="233">
        <v>45604</v>
      </c>
      <c r="W75" s="233">
        <v>45610</v>
      </c>
      <c r="X75" s="234" t="s">
        <v>2</v>
      </c>
      <c r="Y75" s="234"/>
      <c r="Z75" s="234" t="s">
        <v>4925</v>
      </c>
      <c r="AA75" s="238">
        <v>202411</v>
      </c>
      <c r="AB75" s="243"/>
      <c r="AC75" s="244" t="s">
        <v>4800</v>
      </c>
      <c r="AD75" s="244" t="s">
        <v>4846</v>
      </c>
      <c r="AE75" s="245">
        <v>1</v>
      </c>
      <c r="AF75" s="244" t="s">
        <v>4846</v>
      </c>
      <c r="AG75" s="239" t="str">
        <f>IFERROR(VLOOKUP(작성용!A:A,RM!A:D,4,0),"-")</f>
        <v>김예림</v>
      </c>
      <c r="AH75" s="9" t="s">
        <v>4927</v>
      </c>
      <c r="AI75" s="235" t="s">
        <v>4771</v>
      </c>
      <c r="AJ75" s="235" t="s">
        <v>4920</v>
      </c>
      <c r="AK75" s="235" t="s">
        <v>4777</v>
      </c>
      <c r="AL75" s="235">
        <v>74</v>
      </c>
    </row>
    <row r="76" spans="1:38" x14ac:dyDescent="0.3">
      <c r="A76" s="222" t="s">
        <v>2341</v>
      </c>
      <c r="B76" s="222" t="s">
        <v>4919</v>
      </c>
      <c r="C76" s="241" t="s">
        <v>4778</v>
      </c>
      <c r="D76" s="237" t="s">
        <v>4941</v>
      </c>
      <c r="E76" s="236">
        <v>1101117274402</v>
      </c>
      <c r="F76" s="240" t="s">
        <v>4850</v>
      </c>
      <c r="G76" s="214">
        <v>1</v>
      </c>
      <c r="H76" s="231" t="s">
        <v>4771</v>
      </c>
      <c r="I76" s="231"/>
      <c r="J76" s="231"/>
      <c r="K76" s="231"/>
      <c r="L76" s="231"/>
      <c r="M76" s="231"/>
      <c r="N76" s="231" t="s">
        <v>4806</v>
      </c>
      <c r="O76" s="246" t="s">
        <v>4922</v>
      </c>
      <c r="P76" s="246" t="s">
        <v>4924</v>
      </c>
      <c r="Q76" s="225" t="s">
        <v>4942</v>
      </c>
      <c r="R76" s="212" t="s">
        <v>2</v>
      </c>
      <c r="S76" s="213" t="s">
        <v>4771</v>
      </c>
      <c r="T76" s="233">
        <v>45548</v>
      </c>
      <c r="U76" s="234" t="s">
        <v>4759</v>
      </c>
      <c r="V76" s="233">
        <v>45604</v>
      </c>
      <c r="W76" s="233">
        <v>45610</v>
      </c>
      <c r="X76" s="234" t="s">
        <v>2</v>
      </c>
      <c r="Y76" s="234"/>
      <c r="Z76" s="234" t="s">
        <v>4925</v>
      </c>
      <c r="AA76" s="238">
        <v>202411</v>
      </c>
      <c r="AB76" s="243"/>
      <c r="AC76" s="244" t="s">
        <v>4800</v>
      </c>
      <c r="AD76" s="244" t="s">
        <v>4846</v>
      </c>
      <c r="AE76" s="245">
        <v>0</v>
      </c>
      <c r="AF76" s="244" t="s">
        <v>4846</v>
      </c>
      <c r="AG76" s="239" t="str">
        <f>IFERROR(VLOOKUP(작성용!A:A,RM!A:D,4,0),"-")</f>
        <v>김예림</v>
      </c>
      <c r="AH76" s="9" t="s">
        <v>4927</v>
      </c>
      <c r="AI76" s="235" t="s">
        <v>4771</v>
      </c>
      <c r="AJ76" s="235" t="s">
        <v>4920</v>
      </c>
      <c r="AK76" s="235" t="s">
        <v>4777</v>
      </c>
      <c r="AL76" s="235">
        <v>75</v>
      </c>
    </row>
    <row r="77" spans="1:38" x14ac:dyDescent="0.3">
      <c r="A77" s="222" t="s">
        <v>2341</v>
      </c>
      <c r="B77" s="222" t="s">
        <v>4919</v>
      </c>
      <c r="C77" s="241" t="s">
        <v>4778</v>
      </c>
      <c r="D77" s="237" t="s">
        <v>4941</v>
      </c>
      <c r="E77" s="236">
        <v>1101117274402</v>
      </c>
      <c r="F77" s="240" t="s">
        <v>4850</v>
      </c>
      <c r="G77" s="214">
        <v>2</v>
      </c>
      <c r="H77" s="231" t="s">
        <v>4771</v>
      </c>
      <c r="I77" s="231"/>
      <c r="J77" s="231"/>
      <c r="K77" s="231"/>
      <c r="L77" s="231"/>
      <c r="M77" s="231"/>
      <c r="N77" s="231" t="s">
        <v>4806</v>
      </c>
      <c r="O77" s="246" t="s">
        <v>4922</v>
      </c>
      <c r="P77" s="246" t="s">
        <v>4924</v>
      </c>
      <c r="Q77" s="225" t="s">
        <v>4923</v>
      </c>
      <c r="R77" s="212" t="s">
        <v>2</v>
      </c>
      <c r="S77" s="213" t="s">
        <v>4771</v>
      </c>
      <c r="T77" s="233">
        <v>45548</v>
      </c>
      <c r="U77" s="234" t="s">
        <v>4759</v>
      </c>
      <c r="V77" s="233">
        <v>45604</v>
      </c>
      <c r="W77" s="233">
        <v>45610</v>
      </c>
      <c r="X77" s="234" t="s">
        <v>2</v>
      </c>
      <c r="Y77" s="234"/>
      <c r="Z77" s="234" t="s">
        <v>4925</v>
      </c>
      <c r="AA77" s="238">
        <v>202411</v>
      </c>
      <c r="AB77" s="243"/>
      <c r="AC77" s="244" t="s">
        <v>4800</v>
      </c>
      <c r="AD77" s="244" t="s">
        <v>4846</v>
      </c>
      <c r="AE77" s="245">
        <v>0</v>
      </c>
      <c r="AF77" s="244" t="s">
        <v>4846</v>
      </c>
      <c r="AG77" s="239" t="str">
        <f>IFERROR(VLOOKUP(작성용!A:A,RM!A:D,4,0),"-")</f>
        <v>김예림</v>
      </c>
      <c r="AH77" s="9" t="s">
        <v>4927</v>
      </c>
      <c r="AI77" s="235" t="s">
        <v>4771</v>
      </c>
      <c r="AJ77" s="235" t="s">
        <v>4920</v>
      </c>
      <c r="AK77" s="235" t="s">
        <v>4777</v>
      </c>
      <c r="AL77" s="235">
        <v>76</v>
      </c>
    </row>
    <row r="78" spans="1:38" x14ac:dyDescent="0.3">
      <c r="A78" s="222" t="s">
        <v>2341</v>
      </c>
      <c r="B78" s="222" t="s">
        <v>4919</v>
      </c>
      <c r="C78" s="241" t="s">
        <v>4778</v>
      </c>
      <c r="D78" s="237" t="s">
        <v>4941</v>
      </c>
      <c r="E78" s="236">
        <v>1101117274402</v>
      </c>
      <c r="F78" s="240" t="s">
        <v>4780</v>
      </c>
      <c r="G78" s="214">
        <v>0</v>
      </c>
      <c r="H78" s="231" t="s">
        <v>4771</v>
      </c>
      <c r="I78" s="231"/>
      <c r="J78" s="231"/>
      <c r="K78" s="231"/>
      <c r="L78" s="231"/>
      <c r="M78" s="231"/>
      <c r="N78" s="231" t="s">
        <v>4806</v>
      </c>
      <c r="O78" s="246" t="s">
        <v>4922</v>
      </c>
      <c r="P78" s="246" t="s">
        <v>4924</v>
      </c>
      <c r="Q78" s="225" t="s">
        <v>4923</v>
      </c>
      <c r="R78" s="212" t="s">
        <v>2</v>
      </c>
      <c r="S78" s="213" t="s">
        <v>4771</v>
      </c>
      <c r="T78" s="233">
        <v>45548</v>
      </c>
      <c r="U78" s="234" t="s">
        <v>4759</v>
      </c>
      <c r="V78" s="233">
        <v>45604</v>
      </c>
      <c r="W78" s="233">
        <v>45610</v>
      </c>
      <c r="X78" s="234" t="s">
        <v>2</v>
      </c>
      <c r="Y78" s="234"/>
      <c r="Z78" s="234" t="s">
        <v>4925</v>
      </c>
      <c r="AA78" s="238">
        <v>202411</v>
      </c>
      <c r="AB78" s="243"/>
      <c r="AC78" s="244" t="s">
        <v>4800</v>
      </c>
      <c r="AD78" s="244" t="s">
        <v>4846</v>
      </c>
      <c r="AE78" s="245">
        <v>0</v>
      </c>
      <c r="AF78" s="244" t="s">
        <v>4846</v>
      </c>
      <c r="AG78" s="239" t="str">
        <f>IFERROR(VLOOKUP(작성용!A:A,RM!A:D,4,0),"-")</f>
        <v>김예림</v>
      </c>
      <c r="AH78" s="9" t="s">
        <v>4927</v>
      </c>
      <c r="AI78" s="235" t="s">
        <v>4771</v>
      </c>
      <c r="AJ78" s="235" t="s">
        <v>4920</v>
      </c>
      <c r="AK78" s="235" t="s">
        <v>4777</v>
      </c>
      <c r="AL78" s="235">
        <v>77</v>
      </c>
    </row>
    <row r="79" spans="1:38" x14ac:dyDescent="0.3">
      <c r="A79" s="222" t="s">
        <v>2341</v>
      </c>
      <c r="B79" s="222" t="s">
        <v>4919</v>
      </c>
      <c r="C79" s="241" t="s">
        <v>4778</v>
      </c>
      <c r="D79" s="237" t="s">
        <v>4941</v>
      </c>
      <c r="E79" s="236">
        <v>1101117274402</v>
      </c>
      <c r="F79" s="240" t="s">
        <v>4780</v>
      </c>
      <c r="G79" s="214">
        <v>1</v>
      </c>
      <c r="H79" s="231" t="s">
        <v>4771</v>
      </c>
      <c r="I79" s="231"/>
      <c r="J79" s="231"/>
      <c r="K79" s="231"/>
      <c r="L79" s="231"/>
      <c r="M79" s="231"/>
      <c r="N79" s="231" t="s">
        <v>4806</v>
      </c>
      <c r="O79" s="246" t="s">
        <v>4922</v>
      </c>
      <c r="P79" s="246" t="s">
        <v>4924</v>
      </c>
      <c r="Q79" s="225" t="s">
        <v>4923</v>
      </c>
      <c r="R79" s="212" t="s">
        <v>2</v>
      </c>
      <c r="S79" s="213" t="s">
        <v>4771</v>
      </c>
      <c r="T79" s="233">
        <v>45548</v>
      </c>
      <c r="U79" s="234" t="s">
        <v>4759</v>
      </c>
      <c r="V79" s="233">
        <v>45604</v>
      </c>
      <c r="W79" s="233">
        <v>45610</v>
      </c>
      <c r="X79" s="234" t="s">
        <v>2</v>
      </c>
      <c r="Y79" s="234"/>
      <c r="Z79" s="234" t="s">
        <v>4925</v>
      </c>
      <c r="AA79" s="238">
        <v>202411</v>
      </c>
      <c r="AB79" s="243"/>
      <c r="AC79" s="244" t="s">
        <v>4800</v>
      </c>
      <c r="AD79" s="244" t="s">
        <v>4846</v>
      </c>
      <c r="AE79" s="245">
        <v>0</v>
      </c>
      <c r="AF79" s="244" t="s">
        <v>4846</v>
      </c>
      <c r="AG79" s="239" t="str">
        <f>IFERROR(VLOOKUP(작성용!A:A,RM!A:D,4,0),"-")</f>
        <v>김예림</v>
      </c>
      <c r="AH79" s="9" t="s">
        <v>4927</v>
      </c>
      <c r="AI79" s="235" t="s">
        <v>4771</v>
      </c>
      <c r="AJ79" s="235" t="s">
        <v>4920</v>
      </c>
      <c r="AK79" s="235" t="s">
        <v>4777</v>
      </c>
      <c r="AL79" s="235">
        <v>78</v>
      </c>
    </row>
    <row r="80" spans="1:38" x14ac:dyDescent="0.3">
      <c r="A80" s="222" t="s">
        <v>2341</v>
      </c>
      <c r="B80" s="222" t="s">
        <v>4919</v>
      </c>
      <c r="C80" s="241" t="s">
        <v>4778</v>
      </c>
      <c r="D80" s="237" t="s">
        <v>4943</v>
      </c>
      <c r="E80" s="236">
        <v>1101111361669</v>
      </c>
      <c r="F80" s="240" t="s">
        <v>4854</v>
      </c>
      <c r="G80" s="214">
        <v>0</v>
      </c>
      <c r="H80" s="231" t="s">
        <v>4771</v>
      </c>
      <c r="I80" s="231"/>
      <c r="J80" s="231"/>
      <c r="K80" s="231"/>
      <c r="L80" s="231"/>
      <c r="M80" s="231"/>
      <c r="N80" s="231" t="s">
        <v>4940</v>
      </c>
      <c r="O80" s="246" t="s">
        <v>4922</v>
      </c>
      <c r="P80" s="246" t="s">
        <v>4924</v>
      </c>
      <c r="Q80" s="225" t="s">
        <v>4923</v>
      </c>
      <c r="R80" s="212" t="s">
        <v>2</v>
      </c>
      <c r="S80" s="213" t="s">
        <v>4771</v>
      </c>
      <c r="T80" s="233">
        <v>45548</v>
      </c>
      <c r="U80" s="234" t="s">
        <v>4759</v>
      </c>
      <c r="V80" s="233">
        <v>45604</v>
      </c>
      <c r="W80" s="233">
        <v>45610</v>
      </c>
      <c r="X80" s="234" t="s">
        <v>2</v>
      </c>
      <c r="Y80" s="234"/>
      <c r="Z80" s="234" t="s">
        <v>4925</v>
      </c>
      <c r="AA80" s="238">
        <v>202411</v>
      </c>
      <c r="AB80" s="243"/>
      <c r="AC80" s="244" t="s">
        <v>4800</v>
      </c>
      <c r="AD80" s="244" t="s">
        <v>556</v>
      </c>
      <c r="AE80" s="245">
        <v>1</v>
      </c>
      <c r="AF80" s="244" t="s">
        <v>556</v>
      </c>
      <c r="AG80" s="239" t="str">
        <f>IFERROR(VLOOKUP(작성용!A:A,RM!A:D,4,0),"-")</f>
        <v>김예림</v>
      </c>
      <c r="AH80" s="9" t="s">
        <v>4927</v>
      </c>
      <c r="AI80" s="235" t="s">
        <v>4771</v>
      </c>
      <c r="AJ80" s="235" t="s">
        <v>4920</v>
      </c>
      <c r="AK80" s="235" t="s">
        <v>4777</v>
      </c>
      <c r="AL80" s="235">
        <v>79</v>
      </c>
    </row>
    <row r="81" spans="1:38" x14ac:dyDescent="0.3">
      <c r="A81" s="222" t="s">
        <v>2341</v>
      </c>
      <c r="B81" s="222" t="s">
        <v>4919</v>
      </c>
      <c r="C81" s="241" t="s">
        <v>4778</v>
      </c>
      <c r="D81" s="237" t="s">
        <v>4944</v>
      </c>
      <c r="E81" s="236" t="s">
        <v>3662</v>
      </c>
      <c r="F81" s="240" t="s">
        <v>4854</v>
      </c>
      <c r="G81" s="214">
        <v>0</v>
      </c>
      <c r="H81" s="231" t="s">
        <v>4771</v>
      </c>
      <c r="I81" s="231"/>
      <c r="J81" s="231"/>
      <c r="K81" s="231"/>
      <c r="L81" s="231"/>
      <c r="M81" s="231"/>
      <c r="N81" s="231" t="s">
        <v>4940</v>
      </c>
      <c r="O81" s="246" t="s">
        <v>4922</v>
      </c>
      <c r="P81" s="246" t="s">
        <v>4924</v>
      </c>
      <c r="Q81" s="225" t="s">
        <v>4923</v>
      </c>
      <c r="R81" s="212" t="s">
        <v>2</v>
      </c>
      <c r="S81" s="213" t="s">
        <v>4771</v>
      </c>
      <c r="T81" s="233">
        <v>45548</v>
      </c>
      <c r="U81" s="234" t="s">
        <v>4759</v>
      </c>
      <c r="V81" s="233">
        <v>45604</v>
      </c>
      <c r="W81" s="233">
        <v>45610</v>
      </c>
      <c r="X81" s="234" t="s">
        <v>2</v>
      </c>
      <c r="Y81" s="234"/>
      <c r="Z81" s="234" t="s">
        <v>4925</v>
      </c>
      <c r="AA81" s="238">
        <v>202411</v>
      </c>
      <c r="AB81" s="243"/>
      <c r="AC81" s="244" t="s">
        <v>4800</v>
      </c>
      <c r="AD81" s="244" t="s">
        <v>4945</v>
      </c>
      <c r="AE81" s="245">
        <v>1</v>
      </c>
      <c r="AF81" s="244" t="s">
        <v>4945</v>
      </c>
      <c r="AG81" s="239" t="str">
        <f>IFERROR(VLOOKUP(작성용!A:A,RM!A:D,4,0),"-")</f>
        <v>김예림</v>
      </c>
      <c r="AH81" s="9" t="s">
        <v>4927</v>
      </c>
      <c r="AI81" s="235" t="s">
        <v>4771</v>
      </c>
      <c r="AJ81" s="235" t="s">
        <v>4920</v>
      </c>
      <c r="AK81" s="235" t="s">
        <v>4777</v>
      </c>
      <c r="AL81" s="235">
        <v>80</v>
      </c>
    </row>
    <row r="82" spans="1:38" x14ac:dyDescent="0.3">
      <c r="A82" s="222" t="s">
        <v>2341</v>
      </c>
      <c r="B82" s="222" t="s">
        <v>4919</v>
      </c>
      <c r="C82" s="241" t="s">
        <v>4778</v>
      </c>
      <c r="D82" s="237" t="s">
        <v>4946</v>
      </c>
      <c r="E82" s="236">
        <v>1201110801119</v>
      </c>
      <c r="F82" s="240" t="s">
        <v>4854</v>
      </c>
      <c r="G82" s="214">
        <v>0</v>
      </c>
      <c r="H82" s="231" t="s">
        <v>4771</v>
      </c>
      <c r="I82" s="231"/>
      <c r="J82" s="231"/>
      <c r="K82" s="231"/>
      <c r="L82" s="231"/>
      <c r="M82" s="231"/>
      <c r="N82" s="231" t="s">
        <v>4940</v>
      </c>
      <c r="O82" s="246" t="s">
        <v>4922</v>
      </c>
      <c r="P82" s="246" t="s">
        <v>4924</v>
      </c>
      <c r="Q82" s="225" t="s">
        <v>4923</v>
      </c>
      <c r="R82" s="212" t="s">
        <v>2</v>
      </c>
      <c r="S82" s="213" t="s">
        <v>4771</v>
      </c>
      <c r="T82" s="233">
        <v>45548</v>
      </c>
      <c r="U82" s="234" t="s">
        <v>4759</v>
      </c>
      <c r="V82" s="233">
        <v>45604</v>
      </c>
      <c r="W82" s="233">
        <v>45610</v>
      </c>
      <c r="X82" s="234" t="s">
        <v>2</v>
      </c>
      <c r="Y82" s="234"/>
      <c r="Z82" s="234" t="s">
        <v>4925</v>
      </c>
      <c r="AA82" s="238">
        <v>202411</v>
      </c>
      <c r="AB82" s="243"/>
      <c r="AC82" s="244" t="s">
        <v>4800</v>
      </c>
      <c r="AD82" s="244" t="s">
        <v>4947</v>
      </c>
      <c r="AE82" s="245">
        <v>1</v>
      </c>
      <c r="AF82" s="244" t="s">
        <v>4947</v>
      </c>
      <c r="AG82" s="239" t="str">
        <f>IFERROR(VLOOKUP(작성용!A:A,RM!A:D,4,0),"-")</f>
        <v>김예림</v>
      </c>
      <c r="AH82" s="9" t="s">
        <v>4927</v>
      </c>
      <c r="AI82" s="235" t="s">
        <v>4771</v>
      </c>
      <c r="AJ82" s="235" t="s">
        <v>4920</v>
      </c>
      <c r="AK82" s="235" t="s">
        <v>4777</v>
      </c>
      <c r="AL82" s="235">
        <v>81</v>
      </c>
    </row>
    <row r="83" spans="1:38" x14ac:dyDescent="0.3">
      <c r="A83" s="222" t="s">
        <v>2341</v>
      </c>
      <c r="B83" s="222" t="s">
        <v>4919</v>
      </c>
      <c r="C83" s="241" t="s">
        <v>4778</v>
      </c>
      <c r="D83" s="237" t="s">
        <v>4948</v>
      </c>
      <c r="E83" s="236">
        <v>1101116335289</v>
      </c>
      <c r="F83" s="240" t="s">
        <v>4854</v>
      </c>
      <c r="G83" s="214">
        <v>0</v>
      </c>
      <c r="H83" s="231" t="s">
        <v>4771</v>
      </c>
      <c r="I83" s="231"/>
      <c r="J83" s="231"/>
      <c r="K83" s="231"/>
      <c r="L83" s="231"/>
      <c r="M83" s="231"/>
      <c r="N83" s="231" t="s">
        <v>4940</v>
      </c>
      <c r="O83" s="246" t="s">
        <v>4922</v>
      </c>
      <c r="P83" s="246" t="s">
        <v>4924</v>
      </c>
      <c r="Q83" s="225" t="s">
        <v>4923</v>
      </c>
      <c r="R83" s="212" t="s">
        <v>2</v>
      </c>
      <c r="S83" s="213" t="s">
        <v>4771</v>
      </c>
      <c r="T83" s="233">
        <v>45548</v>
      </c>
      <c r="U83" s="234" t="s">
        <v>4759</v>
      </c>
      <c r="V83" s="233">
        <v>45604</v>
      </c>
      <c r="W83" s="233">
        <v>45610</v>
      </c>
      <c r="X83" s="234" t="s">
        <v>2</v>
      </c>
      <c r="Y83" s="234"/>
      <c r="Z83" s="234" t="s">
        <v>4925</v>
      </c>
      <c r="AA83" s="238">
        <v>202411</v>
      </c>
      <c r="AB83" s="243"/>
      <c r="AC83" s="244" t="s">
        <v>4800</v>
      </c>
      <c r="AD83" s="244" t="s">
        <v>4856</v>
      </c>
      <c r="AE83" s="245">
        <v>1</v>
      </c>
      <c r="AF83" s="244" t="s">
        <v>4856</v>
      </c>
      <c r="AG83" s="239" t="str">
        <f>IFERROR(VLOOKUP(작성용!A:A,RM!A:D,4,0),"-")</f>
        <v>김예림</v>
      </c>
      <c r="AH83" s="9" t="s">
        <v>4927</v>
      </c>
      <c r="AI83" s="235" t="s">
        <v>4771</v>
      </c>
      <c r="AJ83" s="235" t="s">
        <v>4920</v>
      </c>
      <c r="AK83" s="235" t="s">
        <v>4777</v>
      </c>
      <c r="AL83" s="235">
        <v>82</v>
      </c>
    </row>
    <row r="84" spans="1:38" x14ac:dyDescent="0.3">
      <c r="A84" s="222" t="s">
        <v>2341</v>
      </c>
      <c r="B84" s="222" t="s">
        <v>4919</v>
      </c>
      <c r="C84" s="241" t="s">
        <v>4778</v>
      </c>
      <c r="D84" s="237" t="s">
        <v>4949</v>
      </c>
      <c r="E84" s="236">
        <v>1358110113365</v>
      </c>
      <c r="F84" s="240" t="s">
        <v>4854</v>
      </c>
      <c r="G84" s="214">
        <v>0</v>
      </c>
      <c r="H84" s="231" t="s">
        <v>4771</v>
      </c>
      <c r="I84" s="231"/>
      <c r="J84" s="231"/>
      <c r="K84" s="231"/>
      <c r="L84" s="231"/>
      <c r="M84" s="231"/>
      <c r="N84" s="231" t="s">
        <v>4940</v>
      </c>
      <c r="O84" s="246" t="s">
        <v>4922</v>
      </c>
      <c r="P84" s="246" t="s">
        <v>4924</v>
      </c>
      <c r="Q84" s="225" t="s">
        <v>4923</v>
      </c>
      <c r="R84" s="212" t="s">
        <v>2</v>
      </c>
      <c r="S84" s="213" t="s">
        <v>4771</v>
      </c>
      <c r="T84" s="233">
        <v>45548</v>
      </c>
      <c r="U84" s="234" t="s">
        <v>4759</v>
      </c>
      <c r="V84" s="233">
        <v>45604</v>
      </c>
      <c r="W84" s="233">
        <v>45610</v>
      </c>
      <c r="X84" s="234" t="s">
        <v>2</v>
      </c>
      <c r="Y84" s="234"/>
      <c r="Z84" s="234" t="s">
        <v>4925</v>
      </c>
      <c r="AA84" s="238">
        <v>202411</v>
      </c>
      <c r="AB84" s="243"/>
      <c r="AC84" s="244" t="s">
        <v>4800</v>
      </c>
      <c r="AD84" s="244" t="s">
        <v>4897</v>
      </c>
      <c r="AE84" s="245">
        <v>1</v>
      </c>
      <c r="AF84" s="244" t="s">
        <v>4897</v>
      </c>
      <c r="AG84" s="239" t="str">
        <f>IFERROR(VLOOKUP(작성용!A:A,RM!A:D,4,0),"-")</f>
        <v>김예림</v>
      </c>
      <c r="AH84" s="9" t="s">
        <v>4927</v>
      </c>
      <c r="AI84" s="235" t="s">
        <v>4771</v>
      </c>
      <c r="AJ84" s="235" t="s">
        <v>4920</v>
      </c>
      <c r="AK84" s="235" t="s">
        <v>4777</v>
      </c>
      <c r="AL84" s="235">
        <v>83</v>
      </c>
    </row>
    <row r="85" spans="1:38" x14ac:dyDescent="0.3">
      <c r="A85" s="222" t="s">
        <v>2341</v>
      </c>
      <c r="B85" s="222" t="s">
        <v>4919</v>
      </c>
      <c r="C85" s="241" t="s">
        <v>4778</v>
      </c>
      <c r="D85" s="237" t="s">
        <v>4950</v>
      </c>
      <c r="E85" s="236">
        <v>1101115657775</v>
      </c>
      <c r="F85" s="240" t="s">
        <v>4854</v>
      </c>
      <c r="G85" s="214">
        <v>0</v>
      </c>
      <c r="H85" s="231" t="s">
        <v>4771</v>
      </c>
      <c r="I85" s="231"/>
      <c r="J85" s="231"/>
      <c r="K85" s="231"/>
      <c r="L85" s="231"/>
      <c r="M85" s="231"/>
      <c r="N85" s="231" t="s">
        <v>4940</v>
      </c>
      <c r="O85" s="246" t="s">
        <v>4922</v>
      </c>
      <c r="P85" s="246" t="s">
        <v>4924</v>
      </c>
      <c r="Q85" s="225" t="s">
        <v>4923</v>
      </c>
      <c r="R85" s="212" t="s">
        <v>2</v>
      </c>
      <c r="S85" s="213" t="s">
        <v>4771</v>
      </c>
      <c r="T85" s="233">
        <v>45548</v>
      </c>
      <c r="U85" s="234" t="s">
        <v>4759</v>
      </c>
      <c r="V85" s="233">
        <v>45604</v>
      </c>
      <c r="W85" s="233">
        <v>45610</v>
      </c>
      <c r="X85" s="234" t="s">
        <v>2</v>
      </c>
      <c r="Y85" s="234"/>
      <c r="Z85" s="234" t="s">
        <v>4925</v>
      </c>
      <c r="AA85" s="238">
        <v>202411</v>
      </c>
      <c r="AB85" s="243"/>
      <c r="AC85" s="244" t="s">
        <v>4800</v>
      </c>
      <c r="AD85" s="244" t="s">
        <v>4915</v>
      </c>
      <c r="AE85" s="245">
        <v>1</v>
      </c>
      <c r="AF85" s="244" t="s">
        <v>4915</v>
      </c>
      <c r="AG85" s="239" t="str">
        <f>IFERROR(VLOOKUP(작성용!A:A,RM!A:D,4,0),"-")</f>
        <v>김예림</v>
      </c>
      <c r="AH85" s="9" t="s">
        <v>4927</v>
      </c>
      <c r="AI85" s="235" t="s">
        <v>4771</v>
      </c>
      <c r="AJ85" s="235" t="s">
        <v>4920</v>
      </c>
      <c r="AK85" s="235" t="s">
        <v>4777</v>
      </c>
      <c r="AL85" s="235">
        <v>84</v>
      </c>
    </row>
    <row r="86" spans="1:38" x14ac:dyDescent="0.3">
      <c r="A86" s="222" t="s">
        <v>2187</v>
      </c>
      <c r="B86" s="222" t="s">
        <v>2188</v>
      </c>
      <c r="C86" s="241" t="s">
        <v>4765</v>
      </c>
      <c r="D86" s="237" t="s">
        <v>4951</v>
      </c>
      <c r="E86" s="236" t="s">
        <v>4601</v>
      </c>
      <c r="F86" s="240" t="s">
        <v>4854</v>
      </c>
      <c r="G86" s="214">
        <v>0</v>
      </c>
      <c r="H86" s="231" t="s">
        <v>4771</v>
      </c>
      <c r="I86" s="231"/>
      <c r="J86" s="231"/>
      <c r="K86" s="231"/>
      <c r="L86" s="231"/>
      <c r="M86" s="231"/>
      <c r="N86" s="231" t="s">
        <v>4811</v>
      </c>
      <c r="O86" s="246" t="s">
        <v>4952</v>
      </c>
      <c r="P86" s="246" t="s">
        <v>4596</v>
      </c>
      <c r="Q86" s="225" t="s">
        <v>4953</v>
      </c>
      <c r="R86" s="212" t="s">
        <v>2</v>
      </c>
      <c r="S86" s="213" t="s">
        <v>4767</v>
      </c>
      <c r="T86" s="233">
        <v>45554</v>
      </c>
      <c r="U86" s="234" t="s">
        <v>4871</v>
      </c>
      <c r="V86" s="234">
        <v>45609</v>
      </c>
      <c r="W86" s="234">
        <v>45611</v>
      </c>
      <c r="X86" s="234" t="s">
        <v>2</v>
      </c>
      <c r="Y86" s="234"/>
      <c r="Z86" s="234" t="s">
        <v>4602</v>
      </c>
      <c r="AA86" s="224">
        <v>202411</v>
      </c>
      <c r="AB86" s="243"/>
      <c r="AC86" s="244" t="s">
        <v>4800</v>
      </c>
      <c r="AD86" s="244" t="s">
        <v>4761</v>
      </c>
      <c r="AE86" s="245">
        <v>1</v>
      </c>
      <c r="AF86" s="244" t="s">
        <v>4761</v>
      </c>
      <c r="AG86" s="239" t="str">
        <f>IFERROR(VLOOKUP(작성용!A:A,RM!A:D,4,0),"-")</f>
        <v>백형진</v>
      </c>
      <c r="AH86" s="9" t="s">
        <v>4761</v>
      </c>
      <c r="AI86" s="235" t="s">
        <v>4767</v>
      </c>
      <c r="AJ86" s="9" t="s">
        <v>4776</v>
      </c>
      <c r="AK86" s="235" t="s">
        <v>4803</v>
      </c>
      <c r="AL86" s="235">
        <v>85</v>
      </c>
    </row>
    <row r="87" spans="1:38" x14ac:dyDescent="0.3">
      <c r="A87" s="222" t="s">
        <v>2187</v>
      </c>
      <c r="B87" s="222" t="s">
        <v>2188</v>
      </c>
      <c r="C87" s="241" t="s">
        <v>4778</v>
      </c>
      <c r="D87" s="237" t="s">
        <v>4951</v>
      </c>
      <c r="E87" s="236" t="s">
        <v>4601</v>
      </c>
      <c r="F87" s="240" t="s">
        <v>4850</v>
      </c>
      <c r="G87" s="214">
        <v>0</v>
      </c>
      <c r="H87" s="231" t="s">
        <v>4767</v>
      </c>
      <c r="I87" s="231"/>
      <c r="J87" s="231"/>
      <c r="K87" s="231"/>
      <c r="L87" s="231"/>
      <c r="M87" s="231"/>
      <c r="N87" s="231" t="s">
        <v>4806</v>
      </c>
      <c r="O87" s="246" t="s">
        <v>4954</v>
      </c>
      <c r="P87" s="246" t="s">
        <v>4955</v>
      </c>
      <c r="Q87" s="225" t="s">
        <v>4953</v>
      </c>
      <c r="R87" s="212" t="s">
        <v>2</v>
      </c>
      <c r="S87" s="213" t="s">
        <v>4767</v>
      </c>
      <c r="T87" s="233">
        <v>45554</v>
      </c>
      <c r="U87" s="234" t="s">
        <v>4871</v>
      </c>
      <c r="V87" s="234">
        <v>45609</v>
      </c>
      <c r="W87" s="234">
        <v>45611</v>
      </c>
      <c r="X87" s="234" t="s">
        <v>2</v>
      </c>
      <c r="Y87" s="234"/>
      <c r="Z87" s="234" t="s">
        <v>4602</v>
      </c>
      <c r="AA87" s="224">
        <v>202411</v>
      </c>
      <c r="AB87" s="243"/>
      <c r="AC87" s="244" t="s">
        <v>4800</v>
      </c>
      <c r="AD87" s="244" t="s">
        <v>4956</v>
      </c>
      <c r="AE87" s="245">
        <v>0</v>
      </c>
      <c r="AF87" s="244" t="s">
        <v>4956</v>
      </c>
      <c r="AG87" s="239" t="str">
        <f>IFERROR(VLOOKUP(작성용!A:A,RM!A:D,4,0),"-")</f>
        <v>백형진</v>
      </c>
      <c r="AH87" s="9" t="s">
        <v>4956</v>
      </c>
      <c r="AI87" s="235" t="s">
        <v>4767</v>
      </c>
      <c r="AJ87" s="9" t="s">
        <v>4776</v>
      </c>
      <c r="AK87" s="235" t="s">
        <v>4803</v>
      </c>
      <c r="AL87" s="235">
        <v>86</v>
      </c>
    </row>
    <row r="88" spans="1:38" x14ac:dyDescent="0.3">
      <c r="A88" s="229" t="s">
        <v>2187</v>
      </c>
      <c r="B88" s="229" t="s">
        <v>2188</v>
      </c>
      <c r="C88" s="249" t="s">
        <v>4597</v>
      </c>
      <c r="D88" s="237" t="s">
        <v>4957</v>
      </c>
      <c r="E88" s="236">
        <v>1101113351121</v>
      </c>
      <c r="F88" s="240" t="s">
        <v>4869</v>
      </c>
      <c r="G88" s="214">
        <v>0</v>
      </c>
      <c r="H88" s="231" t="s">
        <v>4767</v>
      </c>
      <c r="I88" s="231"/>
      <c r="J88" s="231"/>
      <c r="K88" s="231"/>
      <c r="L88" s="231"/>
      <c r="M88" s="231"/>
      <c r="N88" s="231" t="s">
        <v>4806</v>
      </c>
      <c r="O88" s="246" t="s">
        <v>4598</v>
      </c>
      <c r="P88" s="246" t="s">
        <v>4599</v>
      </c>
      <c r="Q88" s="225" t="s">
        <v>4600</v>
      </c>
      <c r="R88" s="212" t="s">
        <v>2</v>
      </c>
      <c r="S88" s="213" t="s">
        <v>4771</v>
      </c>
      <c r="T88" s="233">
        <v>45554</v>
      </c>
      <c r="U88" s="234" t="s">
        <v>4871</v>
      </c>
      <c r="V88" s="234">
        <v>45609</v>
      </c>
      <c r="W88" s="234">
        <v>45611</v>
      </c>
      <c r="X88" s="234" t="s">
        <v>2</v>
      </c>
      <c r="Y88" s="234"/>
      <c r="Z88" s="234" t="s">
        <v>4602</v>
      </c>
      <c r="AA88" s="224">
        <v>202411</v>
      </c>
      <c r="AB88" s="243"/>
      <c r="AC88" s="244" t="s">
        <v>4878</v>
      </c>
      <c r="AD88" s="244" t="s">
        <v>4823</v>
      </c>
      <c r="AE88" s="245">
        <v>1</v>
      </c>
      <c r="AF88" s="244" t="s">
        <v>1896</v>
      </c>
      <c r="AG88" s="239" t="str">
        <f>IFERROR(VLOOKUP(작성용!A:A,RM!A:D,4,0),"-")</f>
        <v>백형진</v>
      </c>
      <c r="AH88" s="9" t="s">
        <v>4761</v>
      </c>
      <c r="AI88" s="235" t="s">
        <v>4771</v>
      </c>
      <c r="AJ88" s="9" t="s">
        <v>4776</v>
      </c>
      <c r="AK88" s="235" t="s">
        <v>4777</v>
      </c>
      <c r="AL88" s="235">
        <v>87</v>
      </c>
    </row>
    <row r="89" spans="1:38" x14ac:dyDescent="0.3">
      <c r="A89" s="229" t="s">
        <v>2187</v>
      </c>
      <c r="B89" s="229" t="s">
        <v>2188</v>
      </c>
      <c r="C89" s="249" t="s">
        <v>4597</v>
      </c>
      <c r="D89" s="237" t="s">
        <v>4958</v>
      </c>
      <c r="E89" s="236">
        <v>1101113383364</v>
      </c>
      <c r="F89" s="240" t="s">
        <v>4869</v>
      </c>
      <c r="G89" s="214">
        <v>0</v>
      </c>
      <c r="H89" s="231" t="s">
        <v>4771</v>
      </c>
      <c r="I89" s="231"/>
      <c r="J89" s="231"/>
      <c r="K89" s="231"/>
      <c r="L89" s="231"/>
      <c r="M89" s="231"/>
      <c r="N89" s="231" t="s">
        <v>4806</v>
      </c>
      <c r="O89" s="246" t="s">
        <v>4598</v>
      </c>
      <c r="P89" s="246" t="s">
        <v>4599</v>
      </c>
      <c r="Q89" s="225" t="s">
        <v>4600</v>
      </c>
      <c r="R89" s="212" t="s">
        <v>2</v>
      </c>
      <c r="S89" s="213" t="s">
        <v>4771</v>
      </c>
      <c r="T89" s="233">
        <v>45554</v>
      </c>
      <c r="U89" s="234" t="s">
        <v>4759</v>
      </c>
      <c r="V89" s="234">
        <v>45609</v>
      </c>
      <c r="W89" s="234">
        <v>45611</v>
      </c>
      <c r="X89" s="234" t="s">
        <v>2</v>
      </c>
      <c r="Y89" s="234"/>
      <c r="Z89" s="234" t="s">
        <v>4602</v>
      </c>
      <c r="AA89" s="224">
        <v>202411</v>
      </c>
      <c r="AB89" s="243"/>
      <c r="AC89" s="244" t="s">
        <v>4800</v>
      </c>
      <c r="AD89" s="244" t="s">
        <v>4915</v>
      </c>
      <c r="AE89" s="245">
        <v>1</v>
      </c>
      <c r="AF89" s="244" t="s">
        <v>4915</v>
      </c>
      <c r="AG89" s="239" t="str">
        <f>IFERROR(VLOOKUP(작성용!A:A,RM!A:D,4,0),"-")</f>
        <v>백형진</v>
      </c>
      <c r="AH89" s="9" t="s">
        <v>4761</v>
      </c>
      <c r="AI89" s="235" t="s">
        <v>4771</v>
      </c>
      <c r="AJ89" s="9" t="s">
        <v>4776</v>
      </c>
      <c r="AK89" s="235" t="s">
        <v>4777</v>
      </c>
      <c r="AL89" s="235">
        <v>88</v>
      </c>
    </row>
    <row r="90" spans="1:38" x14ac:dyDescent="0.3">
      <c r="A90" s="229" t="s">
        <v>2187</v>
      </c>
      <c r="B90" s="229" t="s">
        <v>2188</v>
      </c>
      <c r="C90" s="249" t="s">
        <v>4597</v>
      </c>
      <c r="D90" s="237" t="s">
        <v>4959</v>
      </c>
      <c r="E90" s="236">
        <v>1101113631036</v>
      </c>
      <c r="F90" s="240" t="s">
        <v>4854</v>
      </c>
      <c r="G90" s="214">
        <v>0</v>
      </c>
      <c r="H90" s="231" t="s">
        <v>4771</v>
      </c>
      <c r="I90" s="231"/>
      <c r="J90" s="231"/>
      <c r="K90" s="231"/>
      <c r="L90" s="231"/>
      <c r="M90" s="231"/>
      <c r="N90" s="231" t="s">
        <v>4940</v>
      </c>
      <c r="O90" s="246" t="s">
        <v>4598</v>
      </c>
      <c r="P90" s="246" t="s">
        <v>4599</v>
      </c>
      <c r="Q90" s="225" t="s">
        <v>4600</v>
      </c>
      <c r="R90" s="212" t="s">
        <v>2</v>
      </c>
      <c r="S90" s="213" t="s">
        <v>4771</v>
      </c>
      <c r="T90" s="233">
        <v>45554</v>
      </c>
      <c r="U90" s="234" t="s">
        <v>4759</v>
      </c>
      <c r="V90" s="234">
        <v>45609</v>
      </c>
      <c r="W90" s="234">
        <v>45611</v>
      </c>
      <c r="X90" s="234" t="s">
        <v>2</v>
      </c>
      <c r="Y90" s="234"/>
      <c r="Z90" s="234" t="s">
        <v>4602</v>
      </c>
      <c r="AA90" s="224">
        <v>202411</v>
      </c>
      <c r="AB90" s="243"/>
      <c r="AC90" s="244" t="s">
        <v>4800</v>
      </c>
      <c r="AD90" s="244" t="s">
        <v>4905</v>
      </c>
      <c r="AE90" s="245">
        <v>1</v>
      </c>
      <c r="AF90" s="244" t="s">
        <v>4905</v>
      </c>
      <c r="AG90" s="239" t="str">
        <f>IFERROR(VLOOKUP(작성용!A:A,RM!A:D,4,0),"-")</f>
        <v>백형진</v>
      </c>
      <c r="AH90" s="9" t="s">
        <v>4761</v>
      </c>
      <c r="AI90" s="235" t="s">
        <v>4771</v>
      </c>
      <c r="AJ90" s="9" t="s">
        <v>4776</v>
      </c>
      <c r="AK90" s="235" t="s">
        <v>4803</v>
      </c>
      <c r="AL90" s="235">
        <v>89</v>
      </c>
    </row>
    <row r="91" spans="1:38" x14ac:dyDescent="0.3">
      <c r="A91" s="222" t="s">
        <v>2187</v>
      </c>
      <c r="B91" s="222" t="s">
        <v>4960</v>
      </c>
      <c r="C91" s="241" t="s">
        <v>4778</v>
      </c>
      <c r="D91" s="237" t="s">
        <v>4961</v>
      </c>
      <c r="E91" s="236">
        <v>1101118176996</v>
      </c>
      <c r="F91" s="240" t="s">
        <v>4854</v>
      </c>
      <c r="G91" s="214">
        <v>0</v>
      </c>
      <c r="H91" s="231" t="s">
        <v>4767</v>
      </c>
      <c r="I91" s="231"/>
      <c r="J91" s="231"/>
      <c r="K91" s="231"/>
      <c r="L91" s="231"/>
      <c r="M91" s="231"/>
      <c r="N91" s="231" t="s">
        <v>4806</v>
      </c>
      <c r="O91" s="246" t="s">
        <v>4952</v>
      </c>
      <c r="P91" s="246" t="s">
        <v>4955</v>
      </c>
      <c r="Q91" s="225" t="s">
        <v>4600</v>
      </c>
      <c r="R91" s="212" t="s">
        <v>2</v>
      </c>
      <c r="S91" s="213" t="s">
        <v>4771</v>
      </c>
      <c r="T91" s="233">
        <v>45554</v>
      </c>
      <c r="U91" s="234" t="s">
        <v>4759</v>
      </c>
      <c r="V91" s="234">
        <v>45609</v>
      </c>
      <c r="W91" s="234">
        <v>45611</v>
      </c>
      <c r="X91" s="234" t="s">
        <v>2</v>
      </c>
      <c r="Y91" s="234"/>
      <c r="Z91" s="234" t="s">
        <v>4602</v>
      </c>
      <c r="AA91" s="224">
        <v>202411</v>
      </c>
      <c r="AB91" s="243"/>
      <c r="AC91" s="244" t="s">
        <v>4800</v>
      </c>
      <c r="AD91" s="244" t="s">
        <v>4962</v>
      </c>
      <c r="AE91" s="245">
        <v>1</v>
      </c>
      <c r="AF91" s="244" t="s">
        <v>4872</v>
      </c>
      <c r="AG91" s="239" t="str">
        <f>IFERROR(VLOOKUP(작성용!A:A,RM!A:D,4,0),"-")</f>
        <v>백형진</v>
      </c>
      <c r="AH91" s="9" t="s">
        <v>4761</v>
      </c>
      <c r="AI91" s="235" t="s">
        <v>4771</v>
      </c>
      <c r="AJ91" s="9" t="s">
        <v>4776</v>
      </c>
      <c r="AK91" s="235" t="s">
        <v>4777</v>
      </c>
      <c r="AL91" s="235">
        <v>90</v>
      </c>
    </row>
    <row r="92" spans="1:38" x14ac:dyDescent="0.3">
      <c r="A92" s="222" t="s">
        <v>2187</v>
      </c>
      <c r="B92" s="222" t="s">
        <v>4960</v>
      </c>
      <c r="C92" s="241" t="s">
        <v>4778</v>
      </c>
      <c r="D92" s="237" t="s">
        <v>4961</v>
      </c>
      <c r="E92" s="236">
        <v>1101118176996</v>
      </c>
      <c r="F92" s="240" t="s">
        <v>4894</v>
      </c>
      <c r="G92" s="214">
        <v>0</v>
      </c>
      <c r="H92" s="231" t="s">
        <v>4771</v>
      </c>
      <c r="I92" s="231"/>
      <c r="J92" s="231"/>
      <c r="K92" s="231"/>
      <c r="L92" s="231"/>
      <c r="M92" s="231"/>
      <c r="N92" s="231" t="s">
        <v>4806</v>
      </c>
      <c r="O92" s="246" t="s">
        <v>4952</v>
      </c>
      <c r="P92" s="246" t="s">
        <v>4955</v>
      </c>
      <c r="Q92" s="225" t="s">
        <v>4600</v>
      </c>
      <c r="R92" s="212" t="s">
        <v>2</v>
      </c>
      <c r="S92" s="213" t="s">
        <v>4771</v>
      </c>
      <c r="T92" s="233">
        <v>45554</v>
      </c>
      <c r="U92" s="234" t="s">
        <v>4759</v>
      </c>
      <c r="V92" s="234">
        <v>45609</v>
      </c>
      <c r="W92" s="234">
        <v>45611</v>
      </c>
      <c r="X92" s="234" t="s">
        <v>2</v>
      </c>
      <c r="Y92" s="234"/>
      <c r="Z92" s="234" t="s">
        <v>4602</v>
      </c>
      <c r="AA92" s="224">
        <v>202411</v>
      </c>
      <c r="AB92" s="243"/>
      <c r="AC92" s="244" t="s">
        <v>4800</v>
      </c>
      <c r="AD92" s="244" t="s">
        <v>4858</v>
      </c>
      <c r="AE92" s="245">
        <v>0</v>
      </c>
      <c r="AF92" s="244" t="s">
        <v>4872</v>
      </c>
      <c r="AG92" s="239" t="str">
        <f>IFERROR(VLOOKUP(작성용!A:A,RM!A:D,4,0),"-")</f>
        <v>백형진</v>
      </c>
      <c r="AH92" s="9" t="s">
        <v>4761</v>
      </c>
      <c r="AI92" s="235" t="s">
        <v>4771</v>
      </c>
      <c r="AJ92" s="9" t="s">
        <v>4776</v>
      </c>
      <c r="AK92" s="235" t="s">
        <v>4777</v>
      </c>
      <c r="AL92" s="235">
        <v>91</v>
      </c>
    </row>
    <row r="93" spans="1:38" x14ac:dyDescent="0.3">
      <c r="A93" s="222" t="s">
        <v>2187</v>
      </c>
      <c r="B93" s="222" t="s">
        <v>4960</v>
      </c>
      <c r="C93" s="241" t="s">
        <v>4778</v>
      </c>
      <c r="D93" s="237" t="s">
        <v>4961</v>
      </c>
      <c r="E93" s="236">
        <v>1101118176996</v>
      </c>
      <c r="F93" s="240" t="s">
        <v>4963</v>
      </c>
      <c r="G93" s="214">
        <v>0</v>
      </c>
      <c r="H93" s="231" t="s">
        <v>4771</v>
      </c>
      <c r="I93" s="231"/>
      <c r="J93" s="231"/>
      <c r="K93" s="231"/>
      <c r="L93" s="231"/>
      <c r="M93" s="231"/>
      <c r="N93" s="231" t="s">
        <v>4806</v>
      </c>
      <c r="O93" s="246" t="s">
        <v>4952</v>
      </c>
      <c r="P93" s="246" t="s">
        <v>4955</v>
      </c>
      <c r="Q93" s="225" t="s">
        <v>4600</v>
      </c>
      <c r="R93" s="212" t="s">
        <v>2</v>
      </c>
      <c r="S93" s="213" t="s">
        <v>4771</v>
      </c>
      <c r="T93" s="233">
        <v>45554</v>
      </c>
      <c r="U93" s="234" t="s">
        <v>4759</v>
      </c>
      <c r="V93" s="234">
        <v>45609</v>
      </c>
      <c r="W93" s="234">
        <v>45611</v>
      </c>
      <c r="X93" s="234" t="s">
        <v>2</v>
      </c>
      <c r="Y93" s="234"/>
      <c r="Z93" s="234" t="s">
        <v>4602</v>
      </c>
      <c r="AA93" s="224">
        <v>202411</v>
      </c>
      <c r="AB93" s="243"/>
      <c r="AC93" s="244" t="s">
        <v>4800</v>
      </c>
      <c r="AD93" s="244" t="s">
        <v>4858</v>
      </c>
      <c r="AE93" s="245">
        <v>0</v>
      </c>
      <c r="AF93" s="244" t="s">
        <v>4872</v>
      </c>
      <c r="AG93" s="239" t="str">
        <f>IFERROR(VLOOKUP(작성용!A:A,RM!A:D,4,0),"-")</f>
        <v>백형진</v>
      </c>
      <c r="AH93" s="9" t="s">
        <v>4761</v>
      </c>
      <c r="AI93" s="235" t="s">
        <v>4771</v>
      </c>
      <c r="AJ93" s="9" t="s">
        <v>4776</v>
      </c>
      <c r="AK93" s="235" t="s">
        <v>4777</v>
      </c>
      <c r="AL93" s="235">
        <v>92</v>
      </c>
    </row>
    <row r="94" spans="1:38" x14ac:dyDescent="0.3">
      <c r="A94" s="229" t="s">
        <v>2187</v>
      </c>
      <c r="B94" s="229" t="s">
        <v>2188</v>
      </c>
      <c r="C94" s="249" t="s">
        <v>4597</v>
      </c>
      <c r="D94" s="237" t="s">
        <v>4964</v>
      </c>
      <c r="E94" s="236">
        <v>1101117782794</v>
      </c>
      <c r="F94" s="240" t="s">
        <v>4854</v>
      </c>
      <c r="G94" s="214">
        <v>0</v>
      </c>
      <c r="H94" s="231" t="s">
        <v>4771</v>
      </c>
      <c r="I94" s="231"/>
      <c r="J94" s="231"/>
      <c r="K94" s="231"/>
      <c r="L94" s="231"/>
      <c r="M94" s="231"/>
      <c r="N94" s="231" t="s">
        <v>4806</v>
      </c>
      <c r="O94" s="246" t="s">
        <v>4598</v>
      </c>
      <c r="P94" s="246" t="s">
        <v>4599</v>
      </c>
      <c r="Q94" s="225" t="s">
        <v>4600</v>
      </c>
      <c r="R94" s="212" t="s">
        <v>2</v>
      </c>
      <c r="S94" s="213" t="s">
        <v>4771</v>
      </c>
      <c r="T94" s="233">
        <v>45554</v>
      </c>
      <c r="U94" s="234" t="s">
        <v>4759</v>
      </c>
      <c r="V94" s="234">
        <v>45609</v>
      </c>
      <c r="W94" s="234">
        <v>45611</v>
      </c>
      <c r="X94" s="234" t="s">
        <v>2</v>
      </c>
      <c r="Y94" s="234"/>
      <c r="Z94" s="234" t="s">
        <v>4602</v>
      </c>
      <c r="AA94" s="224">
        <v>202411</v>
      </c>
      <c r="AB94" s="243"/>
      <c r="AC94" s="244" t="s">
        <v>4800</v>
      </c>
      <c r="AD94" s="244" t="s">
        <v>4539</v>
      </c>
      <c r="AE94" s="245">
        <v>1</v>
      </c>
      <c r="AF94" s="244" t="s">
        <v>4539</v>
      </c>
      <c r="AG94" s="239" t="str">
        <f>IFERROR(VLOOKUP(작성용!A:A,RM!A:D,4,0),"-")</f>
        <v>백형진</v>
      </c>
      <c r="AH94" s="9" t="s">
        <v>4761</v>
      </c>
      <c r="AI94" s="235" t="s">
        <v>4771</v>
      </c>
      <c r="AJ94" s="9" t="s">
        <v>4776</v>
      </c>
      <c r="AK94" s="235" t="s">
        <v>4777</v>
      </c>
      <c r="AL94" s="235">
        <v>93</v>
      </c>
    </row>
    <row r="95" spans="1:38" x14ac:dyDescent="0.3">
      <c r="A95" s="229" t="s">
        <v>2187</v>
      </c>
      <c r="B95" s="229" t="s">
        <v>2188</v>
      </c>
      <c r="C95" s="249" t="s">
        <v>4597</v>
      </c>
      <c r="D95" s="237" t="s">
        <v>4965</v>
      </c>
      <c r="E95" s="236">
        <v>1101116069705</v>
      </c>
      <c r="F95" s="240" t="s">
        <v>4869</v>
      </c>
      <c r="G95" s="214">
        <v>0</v>
      </c>
      <c r="H95" s="231" t="s">
        <v>4771</v>
      </c>
      <c r="I95" s="231"/>
      <c r="J95" s="231"/>
      <c r="K95" s="231"/>
      <c r="L95" s="231"/>
      <c r="M95" s="231"/>
      <c r="N95" s="231" t="s">
        <v>4806</v>
      </c>
      <c r="O95" s="246" t="s">
        <v>4952</v>
      </c>
      <c r="P95" s="246" t="s">
        <v>4955</v>
      </c>
      <c r="Q95" s="225" t="s">
        <v>4953</v>
      </c>
      <c r="R95" s="212" t="s">
        <v>2</v>
      </c>
      <c r="S95" s="213" t="s">
        <v>4771</v>
      </c>
      <c r="T95" s="233">
        <v>45554</v>
      </c>
      <c r="U95" s="234" t="s">
        <v>4759</v>
      </c>
      <c r="V95" s="234">
        <v>45609</v>
      </c>
      <c r="W95" s="234">
        <v>45611</v>
      </c>
      <c r="X95" s="234" t="s">
        <v>2</v>
      </c>
      <c r="Y95" s="234"/>
      <c r="Z95" s="234" t="s">
        <v>4602</v>
      </c>
      <c r="AA95" s="224">
        <v>202411</v>
      </c>
      <c r="AB95" s="243"/>
      <c r="AC95" s="244" t="s">
        <v>4800</v>
      </c>
      <c r="AD95" s="244" t="s">
        <v>4846</v>
      </c>
      <c r="AE95" s="245">
        <v>1</v>
      </c>
      <c r="AF95" s="244" t="s">
        <v>4846</v>
      </c>
      <c r="AG95" s="239" t="str">
        <f>IFERROR(VLOOKUP(작성용!A:A,RM!A:D,4,0),"-")</f>
        <v>백형진</v>
      </c>
      <c r="AH95" s="9" t="s">
        <v>4761</v>
      </c>
      <c r="AI95" s="235" t="s">
        <v>4771</v>
      </c>
      <c r="AJ95" s="235" t="s">
        <v>4776</v>
      </c>
      <c r="AK95" s="235" t="s">
        <v>4777</v>
      </c>
      <c r="AL95" s="235">
        <v>94</v>
      </c>
    </row>
    <row r="96" spans="1:38" x14ac:dyDescent="0.3">
      <c r="A96" s="229" t="s">
        <v>2187</v>
      </c>
      <c r="B96" s="229" t="s">
        <v>2188</v>
      </c>
      <c r="C96" s="249" t="s">
        <v>4597</v>
      </c>
      <c r="D96" s="237" t="s">
        <v>4965</v>
      </c>
      <c r="E96" s="236">
        <v>1101116069705</v>
      </c>
      <c r="F96" s="240" t="s">
        <v>4850</v>
      </c>
      <c r="G96" s="214">
        <v>0</v>
      </c>
      <c r="H96" s="231" t="s">
        <v>4771</v>
      </c>
      <c r="I96" s="231"/>
      <c r="J96" s="231"/>
      <c r="K96" s="231"/>
      <c r="L96" s="231"/>
      <c r="M96" s="231"/>
      <c r="N96" s="231" t="s">
        <v>4806</v>
      </c>
      <c r="O96" s="246" t="s">
        <v>4952</v>
      </c>
      <c r="P96" s="246" t="s">
        <v>4955</v>
      </c>
      <c r="Q96" s="225" t="s">
        <v>4953</v>
      </c>
      <c r="R96" s="212" t="s">
        <v>2</v>
      </c>
      <c r="S96" s="213" t="s">
        <v>4771</v>
      </c>
      <c r="T96" s="233">
        <v>45554</v>
      </c>
      <c r="U96" s="234" t="s">
        <v>4759</v>
      </c>
      <c r="V96" s="234">
        <v>45609</v>
      </c>
      <c r="W96" s="234">
        <v>45611</v>
      </c>
      <c r="X96" s="234" t="s">
        <v>2</v>
      </c>
      <c r="Y96" s="234"/>
      <c r="Z96" s="234" t="s">
        <v>4602</v>
      </c>
      <c r="AA96" s="224">
        <v>202411</v>
      </c>
      <c r="AB96" s="243"/>
      <c r="AC96" s="244" t="s">
        <v>4800</v>
      </c>
      <c r="AD96" s="244" t="s">
        <v>4873</v>
      </c>
      <c r="AE96" s="245">
        <v>0</v>
      </c>
      <c r="AF96" s="244" t="s">
        <v>4846</v>
      </c>
      <c r="AG96" s="239" t="str">
        <f>IFERROR(VLOOKUP(작성용!A:A,RM!A:D,4,0),"-")</f>
        <v>백형진</v>
      </c>
      <c r="AH96" s="9" t="s">
        <v>4761</v>
      </c>
      <c r="AI96" s="235" t="s">
        <v>4771</v>
      </c>
      <c r="AJ96" s="235" t="s">
        <v>4776</v>
      </c>
      <c r="AK96" s="235" t="s">
        <v>4777</v>
      </c>
      <c r="AL96" s="235">
        <v>95</v>
      </c>
    </row>
    <row r="97" spans="1:38" x14ac:dyDescent="0.3">
      <c r="A97" s="229" t="s">
        <v>2187</v>
      </c>
      <c r="B97" s="229" t="s">
        <v>2188</v>
      </c>
      <c r="C97" s="249" t="s">
        <v>4597</v>
      </c>
      <c r="D97" s="237" t="s">
        <v>4966</v>
      </c>
      <c r="E97" s="236">
        <v>1311110318343</v>
      </c>
      <c r="F97" s="240" t="s">
        <v>4854</v>
      </c>
      <c r="G97" s="214">
        <v>0</v>
      </c>
      <c r="H97" s="231" t="s">
        <v>4771</v>
      </c>
      <c r="I97" s="231"/>
      <c r="J97" s="231"/>
      <c r="K97" s="231"/>
      <c r="L97" s="231"/>
      <c r="M97" s="231"/>
      <c r="N97" s="231" t="s">
        <v>4806</v>
      </c>
      <c r="O97" s="246" t="s">
        <v>4598</v>
      </c>
      <c r="P97" s="246" t="s">
        <v>4599</v>
      </c>
      <c r="Q97" s="225" t="s">
        <v>4600</v>
      </c>
      <c r="R97" s="212" t="s">
        <v>2</v>
      </c>
      <c r="S97" s="213" t="s">
        <v>4771</v>
      </c>
      <c r="T97" s="233">
        <v>45554</v>
      </c>
      <c r="U97" s="234" t="s">
        <v>4759</v>
      </c>
      <c r="V97" s="234">
        <v>45609</v>
      </c>
      <c r="W97" s="234">
        <v>45611</v>
      </c>
      <c r="X97" s="234" t="s">
        <v>2</v>
      </c>
      <c r="Y97" s="234"/>
      <c r="Z97" s="234" t="s">
        <v>4602</v>
      </c>
      <c r="AA97" s="224">
        <v>202411</v>
      </c>
      <c r="AB97" s="243"/>
      <c r="AC97" s="244" t="s">
        <v>4878</v>
      </c>
      <c r="AD97" s="244" t="s">
        <v>3645</v>
      </c>
      <c r="AE97" s="245">
        <v>1</v>
      </c>
      <c r="AF97" s="244" t="s">
        <v>3645</v>
      </c>
      <c r="AG97" s="239" t="str">
        <f>IFERROR(VLOOKUP(작성용!A:A,RM!A:D,4,0),"-")</f>
        <v>백형진</v>
      </c>
      <c r="AH97" s="9" t="s">
        <v>4761</v>
      </c>
      <c r="AI97" s="235" t="s">
        <v>4771</v>
      </c>
      <c r="AJ97" s="9" t="s">
        <v>4776</v>
      </c>
      <c r="AK97" s="235" t="s">
        <v>4777</v>
      </c>
      <c r="AL97" s="235">
        <v>96</v>
      </c>
    </row>
    <row r="98" spans="1:38" x14ac:dyDescent="0.3">
      <c r="A98" s="229" t="s">
        <v>2187</v>
      </c>
      <c r="B98" s="229" t="s">
        <v>2188</v>
      </c>
      <c r="C98" s="249" t="s">
        <v>4778</v>
      </c>
      <c r="D98" s="237" t="s">
        <v>4967</v>
      </c>
      <c r="E98" s="236">
        <v>1101111841009</v>
      </c>
      <c r="F98" s="240" t="s">
        <v>4854</v>
      </c>
      <c r="G98" s="214">
        <v>0</v>
      </c>
      <c r="H98" s="231" t="s">
        <v>4767</v>
      </c>
      <c r="I98" s="231"/>
      <c r="J98" s="231"/>
      <c r="K98" s="231"/>
      <c r="L98" s="231"/>
      <c r="M98" s="231"/>
      <c r="N98" s="231" t="s">
        <v>4940</v>
      </c>
      <c r="O98" s="246" t="s">
        <v>4952</v>
      </c>
      <c r="P98" s="246" t="s">
        <v>4955</v>
      </c>
      <c r="Q98" s="225" t="s">
        <v>4953</v>
      </c>
      <c r="R98" s="212" t="s">
        <v>2</v>
      </c>
      <c r="S98" s="213" t="s">
        <v>4771</v>
      </c>
      <c r="T98" s="233">
        <v>45554</v>
      </c>
      <c r="U98" s="234" t="s">
        <v>4759</v>
      </c>
      <c r="V98" s="234">
        <v>45609</v>
      </c>
      <c r="W98" s="234">
        <v>45611</v>
      </c>
      <c r="X98" s="234" t="s">
        <v>2</v>
      </c>
      <c r="Y98" s="234"/>
      <c r="Z98" s="234" t="s">
        <v>4602</v>
      </c>
      <c r="AA98" s="224">
        <v>202411</v>
      </c>
      <c r="AB98" s="243"/>
      <c r="AC98" s="244" t="s">
        <v>4800</v>
      </c>
      <c r="AD98" s="244" t="s">
        <v>4909</v>
      </c>
      <c r="AE98" s="245">
        <v>1.4</v>
      </c>
      <c r="AF98" s="244" t="s">
        <v>4909</v>
      </c>
      <c r="AG98" s="239" t="str">
        <f>IFERROR(VLOOKUP(작성용!A:A,RM!A:D,4,0),"-")</f>
        <v>백형진</v>
      </c>
      <c r="AH98" s="9" t="s">
        <v>4761</v>
      </c>
      <c r="AI98" s="235" t="s">
        <v>4771</v>
      </c>
      <c r="AJ98" s="235" t="s">
        <v>4776</v>
      </c>
      <c r="AK98" s="235" t="s">
        <v>4777</v>
      </c>
      <c r="AL98" s="235">
        <v>97</v>
      </c>
    </row>
    <row r="99" spans="1:38" x14ac:dyDescent="0.3">
      <c r="A99" s="229" t="s">
        <v>2187</v>
      </c>
      <c r="B99" s="229" t="s">
        <v>2188</v>
      </c>
      <c r="C99" s="249" t="s">
        <v>4597</v>
      </c>
      <c r="D99" s="237" t="s">
        <v>4968</v>
      </c>
      <c r="E99" s="236">
        <v>1101116920717</v>
      </c>
      <c r="F99" s="240" t="s">
        <v>4869</v>
      </c>
      <c r="G99" s="214">
        <v>0</v>
      </c>
      <c r="H99" s="231" t="s">
        <v>4771</v>
      </c>
      <c r="I99" s="231"/>
      <c r="J99" s="231"/>
      <c r="K99" s="231"/>
      <c r="L99" s="231"/>
      <c r="M99" s="231"/>
      <c r="N99" s="231" t="s">
        <v>4806</v>
      </c>
      <c r="O99" s="246" t="s">
        <v>4598</v>
      </c>
      <c r="P99" s="246" t="s">
        <v>4599</v>
      </c>
      <c r="Q99" s="225" t="s">
        <v>4600</v>
      </c>
      <c r="R99" s="212" t="s">
        <v>2</v>
      </c>
      <c r="S99" s="213" t="s">
        <v>4771</v>
      </c>
      <c r="T99" s="233">
        <v>45554</v>
      </c>
      <c r="U99" s="234" t="s">
        <v>4759</v>
      </c>
      <c r="V99" s="234">
        <v>45609</v>
      </c>
      <c r="W99" s="234">
        <v>45611</v>
      </c>
      <c r="X99" s="234" t="s">
        <v>2</v>
      </c>
      <c r="Y99" s="234"/>
      <c r="Z99" s="234" t="s">
        <v>4602</v>
      </c>
      <c r="AA99" s="224">
        <v>202411</v>
      </c>
      <c r="AB99" s="243"/>
      <c r="AC99" s="244" t="s">
        <v>4800</v>
      </c>
      <c r="AD99" s="244" t="s">
        <v>4947</v>
      </c>
      <c r="AE99" s="245">
        <v>1</v>
      </c>
      <c r="AF99" s="244" t="s">
        <v>4947</v>
      </c>
      <c r="AG99" s="239" t="str">
        <f>IFERROR(VLOOKUP(작성용!A:A,RM!A:D,4,0),"-")</f>
        <v>백형진</v>
      </c>
      <c r="AH99" s="9" t="s">
        <v>4761</v>
      </c>
      <c r="AI99" s="235" t="s">
        <v>4771</v>
      </c>
      <c r="AJ99" s="9" t="s">
        <v>4776</v>
      </c>
      <c r="AK99" s="235" t="s">
        <v>4777</v>
      </c>
      <c r="AL99" s="235">
        <v>98</v>
      </c>
    </row>
    <row r="100" spans="1:38" x14ac:dyDescent="0.3">
      <c r="A100" s="229" t="s">
        <v>2187</v>
      </c>
      <c r="B100" s="229" t="s">
        <v>2188</v>
      </c>
      <c r="C100" s="249" t="s">
        <v>4597</v>
      </c>
      <c r="D100" s="237" t="s">
        <v>4968</v>
      </c>
      <c r="E100" s="236">
        <v>1101116920717</v>
      </c>
      <c r="F100" s="240" t="s">
        <v>4780</v>
      </c>
      <c r="G100" s="214">
        <v>1</v>
      </c>
      <c r="H100" s="231" t="s">
        <v>4771</v>
      </c>
      <c r="I100" s="231"/>
      <c r="J100" s="231"/>
      <c r="K100" s="231"/>
      <c r="L100" s="231"/>
      <c r="M100" s="231"/>
      <c r="N100" s="231" t="s">
        <v>4806</v>
      </c>
      <c r="O100" s="246" t="s">
        <v>4598</v>
      </c>
      <c r="P100" s="246" t="s">
        <v>4599</v>
      </c>
      <c r="Q100" s="225" t="s">
        <v>4600</v>
      </c>
      <c r="R100" s="212" t="s">
        <v>2</v>
      </c>
      <c r="S100" s="213" t="s">
        <v>4771</v>
      </c>
      <c r="T100" s="233">
        <v>45554</v>
      </c>
      <c r="U100" s="234" t="s">
        <v>4759</v>
      </c>
      <c r="V100" s="234">
        <v>45609</v>
      </c>
      <c r="W100" s="234">
        <v>45611</v>
      </c>
      <c r="X100" s="234" t="s">
        <v>2</v>
      </c>
      <c r="Y100" s="234"/>
      <c r="Z100" s="234" t="s">
        <v>4602</v>
      </c>
      <c r="AA100" s="224">
        <v>202411</v>
      </c>
      <c r="AB100" s="243"/>
      <c r="AC100" s="244" t="s">
        <v>4800</v>
      </c>
      <c r="AD100" s="244" t="s">
        <v>4947</v>
      </c>
      <c r="AE100" s="245">
        <v>0</v>
      </c>
      <c r="AF100" s="244" t="s">
        <v>4947</v>
      </c>
      <c r="AG100" s="239" t="str">
        <f>IFERROR(VLOOKUP(작성용!A:A,RM!A:D,4,0),"-")</f>
        <v>백형진</v>
      </c>
      <c r="AH100" s="9" t="s">
        <v>4761</v>
      </c>
      <c r="AI100" s="235" t="s">
        <v>4771</v>
      </c>
      <c r="AJ100" s="9" t="s">
        <v>4776</v>
      </c>
      <c r="AK100" s="235" t="s">
        <v>4777</v>
      </c>
      <c r="AL100" s="235">
        <v>99</v>
      </c>
    </row>
    <row r="101" spans="1:38" x14ac:dyDescent="0.3">
      <c r="A101" s="229" t="s">
        <v>2187</v>
      </c>
      <c r="B101" s="229" t="s">
        <v>2188</v>
      </c>
      <c r="C101" s="249" t="s">
        <v>4597</v>
      </c>
      <c r="D101" s="237" t="s">
        <v>4968</v>
      </c>
      <c r="E101" s="236">
        <v>1101116920717</v>
      </c>
      <c r="F101" s="240" t="s">
        <v>4894</v>
      </c>
      <c r="G101" s="214">
        <v>0</v>
      </c>
      <c r="H101" s="231" t="s">
        <v>4771</v>
      </c>
      <c r="I101" s="231"/>
      <c r="J101" s="231"/>
      <c r="K101" s="231"/>
      <c r="L101" s="231"/>
      <c r="M101" s="231"/>
      <c r="N101" s="231" t="s">
        <v>4806</v>
      </c>
      <c r="O101" s="246" t="s">
        <v>4598</v>
      </c>
      <c r="P101" s="246" t="s">
        <v>4599</v>
      </c>
      <c r="Q101" s="225" t="s">
        <v>4600</v>
      </c>
      <c r="R101" s="212" t="s">
        <v>2</v>
      </c>
      <c r="S101" s="213" t="s">
        <v>4771</v>
      </c>
      <c r="T101" s="233">
        <v>45554</v>
      </c>
      <c r="U101" s="234" t="s">
        <v>4759</v>
      </c>
      <c r="V101" s="234">
        <v>45609</v>
      </c>
      <c r="W101" s="234">
        <v>45611</v>
      </c>
      <c r="X101" s="234" t="s">
        <v>2</v>
      </c>
      <c r="Y101" s="234"/>
      <c r="Z101" s="234" t="s">
        <v>4602</v>
      </c>
      <c r="AA101" s="224">
        <v>202411</v>
      </c>
      <c r="AB101" s="243"/>
      <c r="AC101" s="244" t="s">
        <v>4800</v>
      </c>
      <c r="AD101" s="244" t="s">
        <v>4947</v>
      </c>
      <c r="AE101" s="245">
        <v>0</v>
      </c>
      <c r="AF101" s="244" t="s">
        <v>4947</v>
      </c>
      <c r="AG101" s="239" t="str">
        <f>IFERROR(VLOOKUP(작성용!A:A,RM!A:D,4,0),"-")</f>
        <v>백형진</v>
      </c>
      <c r="AH101" s="9" t="s">
        <v>4761</v>
      </c>
      <c r="AI101" s="235" t="s">
        <v>4771</v>
      </c>
      <c r="AJ101" s="9" t="s">
        <v>4776</v>
      </c>
      <c r="AK101" s="235" t="s">
        <v>4777</v>
      </c>
      <c r="AL101" s="235">
        <v>100</v>
      </c>
    </row>
    <row r="102" spans="1:38" x14ac:dyDescent="0.3">
      <c r="A102" s="229" t="s">
        <v>2187</v>
      </c>
      <c r="B102" s="229" t="s">
        <v>2188</v>
      </c>
      <c r="C102" s="249" t="s">
        <v>4597</v>
      </c>
      <c r="D102" s="237" t="s">
        <v>4968</v>
      </c>
      <c r="E102" s="236">
        <v>1101116920717</v>
      </c>
      <c r="F102" s="240" t="s">
        <v>4894</v>
      </c>
      <c r="G102" s="214">
        <v>1</v>
      </c>
      <c r="H102" s="231" t="s">
        <v>4771</v>
      </c>
      <c r="I102" s="231"/>
      <c r="J102" s="231"/>
      <c r="K102" s="231"/>
      <c r="L102" s="231"/>
      <c r="M102" s="231"/>
      <c r="N102" s="231" t="s">
        <v>4806</v>
      </c>
      <c r="O102" s="246" t="s">
        <v>4598</v>
      </c>
      <c r="P102" s="246" t="s">
        <v>4599</v>
      </c>
      <c r="Q102" s="225" t="s">
        <v>4600</v>
      </c>
      <c r="R102" s="212" t="s">
        <v>2</v>
      </c>
      <c r="S102" s="213" t="s">
        <v>4771</v>
      </c>
      <c r="T102" s="233">
        <v>45554</v>
      </c>
      <c r="U102" s="234" t="s">
        <v>4759</v>
      </c>
      <c r="V102" s="234">
        <v>45609</v>
      </c>
      <c r="W102" s="234">
        <v>45611</v>
      </c>
      <c r="X102" s="234" t="s">
        <v>2</v>
      </c>
      <c r="Y102" s="234"/>
      <c r="Z102" s="234" t="s">
        <v>4602</v>
      </c>
      <c r="AA102" s="224">
        <v>202411</v>
      </c>
      <c r="AB102" s="243"/>
      <c r="AC102" s="244" t="s">
        <v>4800</v>
      </c>
      <c r="AD102" s="244" t="s">
        <v>4947</v>
      </c>
      <c r="AE102" s="245">
        <v>0</v>
      </c>
      <c r="AF102" s="244" t="s">
        <v>4947</v>
      </c>
      <c r="AG102" s="239" t="str">
        <f>IFERROR(VLOOKUP(작성용!A:A,RM!A:D,4,0),"-")</f>
        <v>백형진</v>
      </c>
      <c r="AH102" s="9" t="s">
        <v>4761</v>
      </c>
      <c r="AI102" s="235" t="s">
        <v>4771</v>
      </c>
      <c r="AJ102" s="9" t="s">
        <v>4776</v>
      </c>
      <c r="AK102" s="235" t="s">
        <v>4777</v>
      </c>
      <c r="AL102" s="235">
        <v>101</v>
      </c>
    </row>
    <row r="103" spans="1:38" x14ac:dyDescent="0.3">
      <c r="A103" s="229" t="s">
        <v>2187</v>
      </c>
      <c r="B103" s="229" t="s">
        <v>2188</v>
      </c>
      <c r="C103" s="249" t="s">
        <v>4597</v>
      </c>
      <c r="D103" s="237" t="s">
        <v>4969</v>
      </c>
      <c r="E103" s="236">
        <v>1101118113881</v>
      </c>
      <c r="F103" s="240" t="s">
        <v>4854</v>
      </c>
      <c r="G103" s="214">
        <v>0</v>
      </c>
      <c r="H103" s="231" t="s">
        <v>4771</v>
      </c>
      <c r="I103" s="231"/>
      <c r="J103" s="231"/>
      <c r="K103" s="231"/>
      <c r="L103" s="231"/>
      <c r="M103" s="231"/>
      <c r="N103" s="231" t="s">
        <v>4806</v>
      </c>
      <c r="O103" s="246" t="s">
        <v>4598</v>
      </c>
      <c r="P103" s="246" t="s">
        <v>4599</v>
      </c>
      <c r="Q103" s="225" t="s">
        <v>4600</v>
      </c>
      <c r="R103" s="212" t="s">
        <v>2</v>
      </c>
      <c r="S103" s="213" t="s">
        <v>4771</v>
      </c>
      <c r="T103" s="233">
        <v>45554</v>
      </c>
      <c r="U103" s="234" t="s">
        <v>4759</v>
      </c>
      <c r="V103" s="234">
        <v>45609</v>
      </c>
      <c r="W103" s="234">
        <v>45611</v>
      </c>
      <c r="X103" s="234" t="s">
        <v>2</v>
      </c>
      <c r="Y103" s="234"/>
      <c r="Z103" s="234" t="s">
        <v>4602</v>
      </c>
      <c r="AA103" s="224">
        <v>202411</v>
      </c>
      <c r="AB103" s="243"/>
      <c r="AC103" s="244" t="s">
        <v>4800</v>
      </c>
      <c r="AD103" s="244" t="s">
        <v>3644</v>
      </c>
      <c r="AE103" s="245">
        <v>1.4</v>
      </c>
      <c r="AF103" s="244" t="s">
        <v>3644</v>
      </c>
      <c r="AG103" s="239" t="str">
        <f>IFERROR(VLOOKUP(작성용!A:A,RM!A:D,4,0),"-")</f>
        <v>백형진</v>
      </c>
      <c r="AH103" s="9" t="s">
        <v>4761</v>
      </c>
      <c r="AI103" s="235" t="s">
        <v>4771</v>
      </c>
      <c r="AJ103" s="9" t="s">
        <v>4776</v>
      </c>
      <c r="AK103" s="235" t="s">
        <v>4777</v>
      </c>
      <c r="AL103" s="235">
        <v>102</v>
      </c>
    </row>
    <row r="104" spans="1:38" x14ac:dyDescent="0.3">
      <c r="A104" s="229" t="s">
        <v>2187</v>
      </c>
      <c r="B104" s="229" t="s">
        <v>2188</v>
      </c>
      <c r="C104" s="249" t="s">
        <v>4597</v>
      </c>
      <c r="D104" s="237" t="s">
        <v>4969</v>
      </c>
      <c r="E104" s="236">
        <v>1101118113881</v>
      </c>
      <c r="F104" s="240" t="s">
        <v>4850</v>
      </c>
      <c r="G104" s="214">
        <v>0</v>
      </c>
      <c r="H104" s="231" t="s">
        <v>4771</v>
      </c>
      <c r="I104" s="231"/>
      <c r="J104" s="231"/>
      <c r="K104" s="231"/>
      <c r="L104" s="231"/>
      <c r="M104" s="231"/>
      <c r="N104" s="231" t="s">
        <v>4806</v>
      </c>
      <c r="O104" s="246" t="s">
        <v>4598</v>
      </c>
      <c r="P104" s="246" t="s">
        <v>4599</v>
      </c>
      <c r="Q104" s="225" t="s">
        <v>4600</v>
      </c>
      <c r="R104" s="212" t="s">
        <v>2</v>
      </c>
      <c r="S104" s="213" t="s">
        <v>4771</v>
      </c>
      <c r="T104" s="233">
        <v>45554</v>
      </c>
      <c r="U104" s="234" t="s">
        <v>4759</v>
      </c>
      <c r="V104" s="234">
        <v>45609</v>
      </c>
      <c r="W104" s="234">
        <v>45611</v>
      </c>
      <c r="X104" s="234" t="s">
        <v>2</v>
      </c>
      <c r="Y104" s="234"/>
      <c r="Z104" s="234" t="s">
        <v>4602</v>
      </c>
      <c r="AA104" s="224">
        <v>202411</v>
      </c>
      <c r="AB104" s="243"/>
      <c r="AC104" s="244" t="s">
        <v>4800</v>
      </c>
      <c r="AD104" s="244" t="s">
        <v>3644</v>
      </c>
      <c r="AE104" s="245">
        <v>0</v>
      </c>
      <c r="AF104" s="244" t="s">
        <v>3644</v>
      </c>
      <c r="AG104" s="239" t="str">
        <f>IFERROR(VLOOKUP(작성용!A:A,RM!A:D,4,0),"-")</f>
        <v>백형진</v>
      </c>
      <c r="AH104" s="9" t="s">
        <v>4761</v>
      </c>
      <c r="AI104" s="235" t="s">
        <v>4771</v>
      </c>
      <c r="AJ104" s="9" t="s">
        <v>4776</v>
      </c>
      <c r="AK104" s="235" t="s">
        <v>4777</v>
      </c>
      <c r="AL104" s="235">
        <v>103</v>
      </c>
    </row>
    <row r="105" spans="1:38" x14ac:dyDescent="0.3">
      <c r="A105" s="229" t="s">
        <v>2187</v>
      </c>
      <c r="B105" s="229" t="s">
        <v>2188</v>
      </c>
      <c r="C105" s="249" t="s">
        <v>4597</v>
      </c>
      <c r="D105" s="237" t="s">
        <v>4970</v>
      </c>
      <c r="E105" s="236">
        <v>1601110211344</v>
      </c>
      <c r="F105" s="240" t="s">
        <v>4854</v>
      </c>
      <c r="G105" s="214">
        <v>0</v>
      </c>
      <c r="H105" s="231" t="s">
        <v>4771</v>
      </c>
      <c r="I105" s="231"/>
      <c r="J105" s="231"/>
      <c r="K105" s="231"/>
      <c r="L105" s="231"/>
      <c r="M105" s="231"/>
      <c r="N105" s="231" t="s">
        <v>4806</v>
      </c>
      <c r="O105" s="246" t="s">
        <v>4598</v>
      </c>
      <c r="P105" s="246" t="s">
        <v>4599</v>
      </c>
      <c r="Q105" s="225" t="s">
        <v>4600</v>
      </c>
      <c r="R105" s="212" t="s">
        <v>2</v>
      </c>
      <c r="S105" s="213" t="s">
        <v>4771</v>
      </c>
      <c r="T105" s="233">
        <v>45554</v>
      </c>
      <c r="U105" s="234" t="s">
        <v>4759</v>
      </c>
      <c r="V105" s="234">
        <v>45609</v>
      </c>
      <c r="W105" s="234">
        <v>45611</v>
      </c>
      <c r="X105" s="234" t="s">
        <v>2</v>
      </c>
      <c r="Y105" s="234"/>
      <c r="Z105" s="234" t="s">
        <v>4602</v>
      </c>
      <c r="AA105" s="224">
        <v>202411</v>
      </c>
      <c r="AB105" s="243"/>
      <c r="AC105" s="244" t="s">
        <v>4800</v>
      </c>
      <c r="AD105" s="244" t="s">
        <v>3650</v>
      </c>
      <c r="AE105" s="245">
        <v>1</v>
      </c>
      <c r="AF105" s="244" t="s">
        <v>3650</v>
      </c>
      <c r="AG105" s="239" t="str">
        <f>IFERROR(VLOOKUP(작성용!A:A,RM!A:D,4,0),"-")</f>
        <v>백형진</v>
      </c>
      <c r="AH105" s="9" t="s">
        <v>4761</v>
      </c>
      <c r="AI105" s="235" t="s">
        <v>4771</v>
      </c>
      <c r="AJ105" s="9" t="s">
        <v>4776</v>
      </c>
      <c r="AK105" s="235" t="s">
        <v>4777</v>
      </c>
      <c r="AL105" s="235">
        <v>104</v>
      </c>
    </row>
    <row r="106" spans="1:38" x14ac:dyDescent="0.3">
      <c r="A106" s="222" t="s">
        <v>3609</v>
      </c>
      <c r="B106" s="222" t="s">
        <v>4603</v>
      </c>
      <c r="C106" s="241" t="s">
        <v>4778</v>
      </c>
      <c r="D106" s="237" t="s">
        <v>4971</v>
      </c>
      <c r="E106" s="236" t="s">
        <v>4604</v>
      </c>
      <c r="F106" s="240" t="s">
        <v>4894</v>
      </c>
      <c r="G106" s="214">
        <v>0</v>
      </c>
      <c r="H106" s="231" t="s">
        <v>4771</v>
      </c>
      <c r="I106" s="231"/>
      <c r="J106" s="231"/>
      <c r="K106" s="231"/>
      <c r="L106" s="231"/>
      <c r="M106" s="231"/>
      <c r="N106" s="231" t="s">
        <v>4972</v>
      </c>
      <c r="O106" s="246" t="s">
        <v>4973</v>
      </c>
      <c r="P106" s="246" t="s">
        <v>4974</v>
      </c>
      <c r="Q106" s="225" t="s">
        <v>4605</v>
      </c>
      <c r="R106" s="212" t="s">
        <v>2</v>
      </c>
      <c r="S106" s="213" t="s">
        <v>4771</v>
      </c>
      <c r="T106" s="233">
        <v>45555</v>
      </c>
      <c r="U106" s="234" t="s">
        <v>4759</v>
      </c>
      <c r="V106" s="234">
        <v>45642</v>
      </c>
      <c r="W106" s="234">
        <v>45649</v>
      </c>
      <c r="X106" s="234" t="s">
        <v>2</v>
      </c>
      <c r="Y106" s="234"/>
      <c r="Z106" s="234" t="s">
        <v>4606</v>
      </c>
      <c r="AA106" s="224">
        <v>202411</v>
      </c>
      <c r="AB106" s="243"/>
      <c r="AC106" s="244" t="s">
        <v>4800</v>
      </c>
      <c r="AD106" s="244" t="s">
        <v>4911</v>
      </c>
      <c r="AE106" s="245">
        <v>1</v>
      </c>
      <c r="AF106" s="244" t="s">
        <v>4911</v>
      </c>
      <c r="AG106" s="239" t="str">
        <f>IFERROR(VLOOKUP(작성용!A:A,RM!A:D,4,0),"-")</f>
        <v>최수민</v>
      </c>
      <c r="AH106" s="9" t="s">
        <v>4933</v>
      </c>
      <c r="AI106" s="235" t="s">
        <v>4975</v>
      </c>
      <c r="AJ106" s="235" t="s">
        <v>4976</v>
      </c>
      <c r="AK106" s="235" t="s">
        <v>4128</v>
      </c>
      <c r="AL106" s="235">
        <v>105</v>
      </c>
    </row>
    <row r="107" spans="1:38" x14ac:dyDescent="0.3">
      <c r="A107" s="222" t="s">
        <v>3609</v>
      </c>
      <c r="B107" s="222" t="s">
        <v>4603</v>
      </c>
      <c r="C107" s="241" t="s">
        <v>4778</v>
      </c>
      <c r="D107" s="237" t="s">
        <v>4971</v>
      </c>
      <c r="E107" s="236" t="s">
        <v>4604</v>
      </c>
      <c r="F107" s="240" t="s">
        <v>4977</v>
      </c>
      <c r="G107" s="214">
        <v>0</v>
      </c>
      <c r="H107" s="231" t="s">
        <v>4771</v>
      </c>
      <c r="I107" s="231"/>
      <c r="J107" s="231"/>
      <c r="K107" s="231"/>
      <c r="L107" s="231"/>
      <c r="M107" s="231"/>
      <c r="N107" s="231" t="s">
        <v>4972</v>
      </c>
      <c r="O107" s="246" t="s">
        <v>4973</v>
      </c>
      <c r="P107" s="246" t="s">
        <v>4974</v>
      </c>
      <c r="Q107" s="225" t="s">
        <v>4605</v>
      </c>
      <c r="R107" s="212" t="s">
        <v>2</v>
      </c>
      <c r="S107" s="213" t="s">
        <v>4771</v>
      </c>
      <c r="T107" s="233">
        <v>45555</v>
      </c>
      <c r="U107" s="234" t="s">
        <v>4759</v>
      </c>
      <c r="V107" s="234">
        <v>45642</v>
      </c>
      <c r="W107" s="234" t="s">
        <v>4877</v>
      </c>
      <c r="X107" s="234" t="s">
        <v>2</v>
      </c>
      <c r="Y107" s="234"/>
      <c r="Z107" s="234" t="s">
        <v>4606</v>
      </c>
      <c r="AA107" s="224">
        <v>202411</v>
      </c>
      <c r="AB107" s="243"/>
      <c r="AC107" s="244" t="s">
        <v>4800</v>
      </c>
      <c r="AD107" s="244" t="s">
        <v>4911</v>
      </c>
      <c r="AE107" s="245">
        <v>0</v>
      </c>
      <c r="AF107" s="244" t="s">
        <v>4911</v>
      </c>
      <c r="AG107" s="239" t="str">
        <f>IFERROR(VLOOKUP(작성용!A:A,RM!A:D,4,0),"-")</f>
        <v>최수민</v>
      </c>
      <c r="AH107" s="9" t="s">
        <v>4933</v>
      </c>
      <c r="AI107" s="235" t="s">
        <v>4771</v>
      </c>
      <c r="AJ107" s="235" t="s">
        <v>4976</v>
      </c>
      <c r="AK107" s="235" t="s">
        <v>4128</v>
      </c>
      <c r="AL107" s="235">
        <v>106</v>
      </c>
    </row>
    <row r="108" spans="1:38" x14ac:dyDescent="0.3">
      <c r="A108" s="222" t="s">
        <v>3609</v>
      </c>
      <c r="B108" s="222" t="s">
        <v>4603</v>
      </c>
      <c r="C108" s="241" t="s">
        <v>4778</v>
      </c>
      <c r="D108" s="237" t="s">
        <v>4978</v>
      </c>
      <c r="E108" s="236" t="s">
        <v>4545</v>
      </c>
      <c r="F108" s="240" t="s">
        <v>4780</v>
      </c>
      <c r="G108" s="214">
        <v>0</v>
      </c>
      <c r="H108" s="231" t="s">
        <v>4771</v>
      </c>
      <c r="I108" s="231"/>
      <c r="J108" s="231"/>
      <c r="K108" s="231"/>
      <c r="L108" s="231"/>
      <c r="M108" s="231"/>
      <c r="N108" s="231" t="s">
        <v>4972</v>
      </c>
      <c r="O108" s="246" t="s">
        <v>4973</v>
      </c>
      <c r="P108" s="246" t="s">
        <v>4974</v>
      </c>
      <c r="Q108" s="225" t="s">
        <v>4605</v>
      </c>
      <c r="R108" s="212" t="s">
        <v>2</v>
      </c>
      <c r="S108" s="213" t="s">
        <v>4771</v>
      </c>
      <c r="T108" s="233">
        <v>45555</v>
      </c>
      <c r="U108" s="234" t="s">
        <v>4759</v>
      </c>
      <c r="V108" s="234">
        <v>45642</v>
      </c>
      <c r="W108" s="234">
        <v>45649</v>
      </c>
      <c r="X108" s="234" t="s">
        <v>2</v>
      </c>
      <c r="Y108" s="234"/>
      <c r="Z108" s="234" t="s">
        <v>4606</v>
      </c>
      <c r="AA108" s="224">
        <v>202411</v>
      </c>
      <c r="AB108" s="243"/>
      <c r="AC108" s="244" t="s">
        <v>4800</v>
      </c>
      <c r="AD108" s="244" t="s">
        <v>4900</v>
      </c>
      <c r="AE108" s="245">
        <v>1</v>
      </c>
      <c r="AF108" s="244" t="s">
        <v>4900</v>
      </c>
      <c r="AG108" s="239" t="str">
        <f>IFERROR(VLOOKUP(작성용!A:A,RM!A:D,4,0),"-")</f>
        <v>최수민</v>
      </c>
      <c r="AH108" s="9" t="s">
        <v>4933</v>
      </c>
      <c r="AI108" s="235" t="s">
        <v>4975</v>
      </c>
      <c r="AJ108" s="235" t="s">
        <v>4976</v>
      </c>
      <c r="AK108" s="235" t="s">
        <v>4128</v>
      </c>
      <c r="AL108" s="235">
        <v>107</v>
      </c>
    </row>
    <row r="109" spans="1:38" x14ac:dyDescent="0.3">
      <c r="A109" s="222" t="s">
        <v>3609</v>
      </c>
      <c r="B109" s="222" t="s">
        <v>4603</v>
      </c>
      <c r="C109" s="241" t="s">
        <v>4778</v>
      </c>
      <c r="D109" s="237" t="s">
        <v>4978</v>
      </c>
      <c r="E109" s="236" t="s">
        <v>4545</v>
      </c>
      <c r="F109" s="240" t="s">
        <v>4977</v>
      </c>
      <c r="G109" s="214">
        <v>0</v>
      </c>
      <c r="H109" s="231" t="s">
        <v>4771</v>
      </c>
      <c r="I109" s="231"/>
      <c r="J109" s="231"/>
      <c r="K109" s="231"/>
      <c r="L109" s="231"/>
      <c r="M109" s="231"/>
      <c r="N109" s="231" t="s">
        <v>4972</v>
      </c>
      <c r="O109" s="246" t="s">
        <v>4973</v>
      </c>
      <c r="P109" s="246" t="s">
        <v>4974</v>
      </c>
      <c r="Q109" s="225" t="s">
        <v>4605</v>
      </c>
      <c r="R109" s="212" t="s">
        <v>2</v>
      </c>
      <c r="S109" s="213" t="s">
        <v>4771</v>
      </c>
      <c r="T109" s="233">
        <v>45555</v>
      </c>
      <c r="U109" s="234" t="s">
        <v>4759</v>
      </c>
      <c r="V109" s="234">
        <v>45642</v>
      </c>
      <c r="W109" s="234" t="s">
        <v>4877</v>
      </c>
      <c r="X109" s="234" t="s">
        <v>2</v>
      </c>
      <c r="Y109" s="234"/>
      <c r="Z109" s="234" t="s">
        <v>4606</v>
      </c>
      <c r="AA109" s="224">
        <v>202411</v>
      </c>
      <c r="AB109" s="243"/>
      <c r="AC109" s="244" t="s">
        <v>4800</v>
      </c>
      <c r="AD109" s="244" t="s">
        <v>4900</v>
      </c>
      <c r="AE109" s="245">
        <v>0</v>
      </c>
      <c r="AF109" s="244" t="s">
        <v>4900</v>
      </c>
      <c r="AG109" s="239" t="str">
        <f>IFERROR(VLOOKUP(작성용!A:A,RM!A:D,4,0),"-")</f>
        <v>최수민</v>
      </c>
      <c r="AH109" s="9" t="s">
        <v>4933</v>
      </c>
      <c r="AI109" s="235" t="s">
        <v>4771</v>
      </c>
      <c r="AJ109" s="235" t="s">
        <v>4976</v>
      </c>
      <c r="AK109" s="235" t="s">
        <v>4128</v>
      </c>
      <c r="AL109" s="235">
        <v>108</v>
      </c>
    </row>
    <row r="110" spans="1:38" x14ac:dyDescent="0.3">
      <c r="A110" s="222" t="s">
        <v>3609</v>
      </c>
      <c r="B110" s="222" t="s">
        <v>4603</v>
      </c>
      <c r="C110" s="241" t="s">
        <v>4778</v>
      </c>
      <c r="D110" s="237" t="s">
        <v>4979</v>
      </c>
      <c r="E110" s="236">
        <v>1101114834853</v>
      </c>
      <c r="F110" s="240" t="s">
        <v>4854</v>
      </c>
      <c r="G110" s="214">
        <v>0</v>
      </c>
      <c r="H110" s="231" t="s">
        <v>4771</v>
      </c>
      <c r="I110" s="231"/>
      <c r="J110" s="231"/>
      <c r="K110" s="231"/>
      <c r="L110" s="231"/>
      <c r="M110" s="231"/>
      <c r="N110" s="231" t="s">
        <v>4972</v>
      </c>
      <c r="O110" s="246" t="s">
        <v>4973</v>
      </c>
      <c r="P110" s="246" t="s">
        <v>4974</v>
      </c>
      <c r="Q110" s="225" t="s">
        <v>4605</v>
      </c>
      <c r="R110" s="212" t="s">
        <v>2</v>
      </c>
      <c r="S110" s="213" t="s">
        <v>4771</v>
      </c>
      <c r="T110" s="233">
        <v>45555</v>
      </c>
      <c r="U110" s="234" t="s">
        <v>4759</v>
      </c>
      <c r="V110" s="234">
        <v>45642</v>
      </c>
      <c r="W110" s="234">
        <v>45649</v>
      </c>
      <c r="X110" s="234" t="s">
        <v>2</v>
      </c>
      <c r="Y110" s="234"/>
      <c r="Z110" s="234" t="s">
        <v>4606</v>
      </c>
      <c r="AA110" s="224">
        <v>202411</v>
      </c>
      <c r="AB110" s="243"/>
      <c r="AC110" s="244" t="s">
        <v>4800</v>
      </c>
      <c r="AD110" s="244" t="s">
        <v>4980</v>
      </c>
      <c r="AE110" s="245">
        <v>1</v>
      </c>
      <c r="AF110" s="244" t="s">
        <v>4980</v>
      </c>
      <c r="AG110" s="239" t="str">
        <f>IFERROR(VLOOKUP(작성용!A:A,RM!A:D,4,0),"-")</f>
        <v>최수민</v>
      </c>
      <c r="AH110" s="9" t="s">
        <v>4933</v>
      </c>
      <c r="AI110" s="235" t="s">
        <v>4975</v>
      </c>
      <c r="AJ110" s="235" t="s">
        <v>4976</v>
      </c>
      <c r="AK110" s="235" t="s">
        <v>4128</v>
      </c>
      <c r="AL110" s="235">
        <v>109</v>
      </c>
    </row>
    <row r="111" spans="1:38" x14ac:dyDescent="0.3">
      <c r="A111" s="222" t="s">
        <v>3609</v>
      </c>
      <c r="B111" s="222" t="s">
        <v>4603</v>
      </c>
      <c r="C111" s="241" t="s">
        <v>4778</v>
      </c>
      <c r="D111" s="237" t="s">
        <v>4981</v>
      </c>
      <c r="E111" s="236">
        <v>1801111018795</v>
      </c>
      <c r="F111" s="240" t="s">
        <v>4850</v>
      </c>
      <c r="G111" s="214">
        <v>0</v>
      </c>
      <c r="H111" s="231" t="s">
        <v>4771</v>
      </c>
      <c r="I111" s="231"/>
      <c r="J111" s="231"/>
      <c r="K111" s="231"/>
      <c r="L111" s="231"/>
      <c r="M111" s="231"/>
      <c r="N111" s="231" t="s">
        <v>4972</v>
      </c>
      <c r="O111" s="246" t="s">
        <v>4973</v>
      </c>
      <c r="P111" s="246" t="s">
        <v>4974</v>
      </c>
      <c r="Q111" s="225" t="s">
        <v>4605</v>
      </c>
      <c r="R111" s="212" t="s">
        <v>2</v>
      </c>
      <c r="S111" s="213" t="s">
        <v>4771</v>
      </c>
      <c r="T111" s="233">
        <v>45555</v>
      </c>
      <c r="U111" s="234" t="s">
        <v>4759</v>
      </c>
      <c r="V111" s="234">
        <v>45642</v>
      </c>
      <c r="W111" s="234">
        <v>45649</v>
      </c>
      <c r="X111" s="234" t="s">
        <v>2</v>
      </c>
      <c r="Y111" s="234"/>
      <c r="Z111" s="234" t="s">
        <v>4606</v>
      </c>
      <c r="AA111" s="224">
        <v>202411</v>
      </c>
      <c r="AB111" s="243"/>
      <c r="AC111" s="244" t="s">
        <v>4800</v>
      </c>
      <c r="AD111" s="244" t="s">
        <v>4982</v>
      </c>
      <c r="AE111" s="245">
        <v>1</v>
      </c>
      <c r="AF111" s="244" t="s">
        <v>4982</v>
      </c>
      <c r="AG111" s="239" t="str">
        <f>IFERROR(VLOOKUP(작성용!A:A,RM!A:D,4,0),"-")</f>
        <v>최수민</v>
      </c>
      <c r="AH111" s="9" t="s">
        <v>4933</v>
      </c>
      <c r="AI111" s="235" t="s">
        <v>4975</v>
      </c>
      <c r="AJ111" s="235" t="s">
        <v>4976</v>
      </c>
      <c r="AK111" s="235" t="s">
        <v>4128</v>
      </c>
      <c r="AL111" s="235">
        <v>110</v>
      </c>
    </row>
    <row r="112" spans="1:38" x14ac:dyDescent="0.3">
      <c r="A112" s="222" t="s">
        <v>3609</v>
      </c>
      <c r="B112" s="222" t="s">
        <v>4603</v>
      </c>
      <c r="C112" s="241" t="s">
        <v>4778</v>
      </c>
      <c r="D112" s="237" t="s">
        <v>4981</v>
      </c>
      <c r="E112" s="236">
        <v>1801111018795</v>
      </c>
      <c r="F112" s="240" t="s">
        <v>4977</v>
      </c>
      <c r="G112" s="214">
        <v>0</v>
      </c>
      <c r="H112" s="231" t="s">
        <v>4771</v>
      </c>
      <c r="I112" s="231"/>
      <c r="J112" s="231"/>
      <c r="K112" s="231"/>
      <c r="L112" s="231"/>
      <c r="M112" s="231"/>
      <c r="N112" s="231" t="s">
        <v>4972</v>
      </c>
      <c r="O112" s="246" t="s">
        <v>4973</v>
      </c>
      <c r="P112" s="246" t="s">
        <v>4974</v>
      </c>
      <c r="Q112" s="225" t="s">
        <v>4605</v>
      </c>
      <c r="R112" s="212" t="s">
        <v>2</v>
      </c>
      <c r="S112" s="213" t="s">
        <v>4771</v>
      </c>
      <c r="T112" s="233">
        <v>45555</v>
      </c>
      <c r="U112" s="234" t="s">
        <v>4759</v>
      </c>
      <c r="V112" s="234">
        <v>45642</v>
      </c>
      <c r="W112" s="234" t="s">
        <v>4877</v>
      </c>
      <c r="X112" s="234" t="s">
        <v>2</v>
      </c>
      <c r="Y112" s="234"/>
      <c r="Z112" s="234" t="s">
        <v>4606</v>
      </c>
      <c r="AA112" s="224">
        <v>202411</v>
      </c>
      <c r="AB112" s="243"/>
      <c r="AC112" s="244" t="s">
        <v>4800</v>
      </c>
      <c r="AD112" s="244" t="s">
        <v>4982</v>
      </c>
      <c r="AE112" s="245">
        <v>0</v>
      </c>
      <c r="AF112" s="244" t="s">
        <v>4982</v>
      </c>
      <c r="AG112" s="239" t="str">
        <f>IFERROR(VLOOKUP(작성용!A:A,RM!A:D,4,0),"-")</f>
        <v>최수민</v>
      </c>
      <c r="AH112" s="9" t="s">
        <v>4933</v>
      </c>
      <c r="AI112" s="235" t="s">
        <v>4771</v>
      </c>
      <c r="AJ112" s="235" t="s">
        <v>4976</v>
      </c>
      <c r="AK112" s="235" t="s">
        <v>4128</v>
      </c>
      <c r="AL112" s="235">
        <v>111</v>
      </c>
    </row>
    <row r="113" spans="1:38" x14ac:dyDescent="0.3">
      <c r="A113" s="222" t="s">
        <v>3609</v>
      </c>
      <c r="B113" s="222" t="s">
        <v>4603</v>
      </c>
      <c r="C113" s="241" t="s">
        <v>4778</v>
      </c>
      <c r="D113" s="237" t="s">
        <v>4983</v>
      </c>
      <c r="E113" s="236">
        <v>1101114198142</v>
      </c>
      <c r="F113" s="240" t="s">
        <v>4850</v>
      </c>
      <c r="G113" s="214">
        <v>0</v>
      </c>
      <c r="H113" s="231" t="s">
        <v>4771</v>
      </c>
      <c r="I113" s="231"/>
      <c r="J113" s="231"/>
      <c r="K113" s="231"/>
      <c r="L113" s="231"/>
      <c r="M113" s="231"/>
      <c r="N113" s="231" t="s">
        <v>4972</v>
      </c>
      <c r="O113" s="246" t="s">
        <v>4973</v>
      </c>
      <c r="P113" s="246" t="s">
        <v>4974</v>
      </c>
      <c r="Q113" s="225" t="s">
        <v>4605</v>
      </c>
      <c r="R113" s="212" t="s">
        <v>2</v>
      </c>
      <c r="S113" s="213" t="s">
        <v>4771</v>
      </c>
      <c r="T113" s="233">
        <v>45555</v>
      </c>
      <c r="U113" s="234" t="s">
        <v>4759</v>
      </c>
      <c r="V113" s="234">
        <v>45642</v>
      </c>
      <c r="W113" s="234">
        <v>45649</v>
      </c>
      <c r="X113" s="234" t="s">
        <v>2</v>
      </c>
      <c r="Y113" s="234"/>
      <c r="Z113" s="234" t="s">
        <v>4606</v>
      </c>
      <c r="AA113" s="224">
        <v>202411</v>
      </c>
      <c r="AB113" s="243"/>
      <c r="AC113" s="244" t="s">
        <v>4800</v>
      </c>
      <c r="AD113" s="244" t="s">
        <v>4856</v>
      </c>
      <c r="AE113" s="245">
        <v>1</v>
      </c>
      <c r="AF113" s="244" t="s">
        <v>4856</v>
      </c>
      <c r="AG113" s="239" t="str">
        <f>IFERROR(VLOOKUP(작성용!A:A,RM!A:D,4,0),"-")</f>
        <v>최수민</v>
      </c>
      <c r="AH113" s="9" t="s">
        <v>4933</v>
      </c>
      <c r="AI113" s="235" t="s">
        <v>4975</v>
      </c>
      <c r="AJ113" s="235" t="s">
        <v>4976</v>
      </c>
      <c r="AK113" s="235" t="s">
        <v>4128</v>
      </c>
      <c r="AL113" s="235">
        <v>112</v>
      </c>
    </row>
    <row r="114" spans="1:38" x14ac:dyDescent="0.3">
      <c r="A114" s="222" t="s">
        <v>3609</v>
      </c>
      <c r="B114" s="222" t="s">
        <v>4603</v>
      </c>
      <c r="C114" s="241" t="s">
        <v>4778</v>
      </c>
      <c r="D114" s="237" t="s">
        <v>4983</v>
      </c>
      <c r="E114" s="236">
        <v>1101114198142</v>
      </c>
      <c r="F114" s="240" t="s">
        <v>4977</v>
      </c>
      <c r="G114" s="214">
        <v>0</v>
      </c>
      <c r="H114" s="231" t="s">
        <v>4771</v>
      </c>
      <c r="I114" s="231"/>
      <c r="J114" s="231"/>
      <c r="K114" s="231"/>
      <c r="L114" s="231"/>
      <c r="M114" s="231"/>
      <c r="N114" s="231" t="s">
        <v>4972</v>
      </c>
      <c r="O114" s="246" t="s">
        <v>4973</v>
      </c>
      <c r="P114" s="246" t="s">
        <v>4974</v>
      </c>
      <c r="Q114" s="225" t="s">
        <v>4605</v>
      </c>
      <c r="R114" s="212" t="s">
        <v>2</v>
      </c>
      <c r="S114" s="213" t="s">
        <v>4771</v>
      </c>
      <c r="T114" s="233">
        <v>45555</v>
      </c>
      <c r="U114" s="234" t="s">
        <v>4759</v>
      </c>
      <c r="V114" s="234">
        <v>45642</v>
      </c>
      <c r="W114" s="234" t="s">
        <v>4877</v>
      </c>
      <c r="X114" s="234" t="s">
        <v>2</v>
      </c>
      <c r="Y114" s="234"/>
      <c r="Z114" s="234" t="s">
        <v>4606</v>
      </c>
      <c r="AA114" s="224">
        <v>202411</v>
      </c>
      <c r="AB114" s="243"/>
      <c r="AC114" s="244" t="s">
        <v>4800</v>
      </c>
      <c r="AD114" s="244" t="s">
        <v>4856</v>
      </c>
      <c r="AE114" s="245">
        <v>0</v>
      </c>
      <c r="AF114" s="244" t="s">
        <v>4856</v>
      </c>
      <c r="AG114" s="239" t="str">
        <f>IFERROR(VLOOKUP(작성용!A:A,RM!A:D,4,0),"-")</f>
        <v>최수민</v>
      </c>
      <c r="AH114" s="9" t="s">
        <v>4933</v>
      </c>
      <c r="AI114" s="235" t="s">
        <v>4771</v>
      </c>
      <c r="AJ114" s="235" t="s">
        <v>4976</v>
      </c>
      <c r="AK114" s="235" t="s">
        <v>4128</v>
      </c>
      <c r="AL114" s="235">
        <v>113</v>
      </c>
    </row>
    <row r="115" spans="1:38" x14ac:dyDescent="0.3">
      <c r="A115" s="222" t="s">
        <v>3609</v>
      </c>
      <c r="B115" s="222" t="s">
        <v>4603</v>
      </c>
      <c r="C115" s="241" t="s">
        <v>4778</v>
      </c>
      <c r="D115" s="237" t="s">
        <v>4984</v>
      </c>
      <c r="E115" s="236">
        <v>1101118452031</v>
      </c>
      <c r="F115" s="240" t="s">
        <v>4780</v>
      </c>
      <c r="G115" s="214">
        <v>0</v>
      </c>
      <c r="H115" s="231" t="s">
        <v>4771</v>
      </c>
      <c r="I115" s="231"/>
      <c r="J115" s="231"/>
      <c r="K115" s="231"/>
      <c r="L115" s="231"/>
      <c r="M115" s="231"/>
      <c r="N115" s="231" t="s">
        <v>4972</v>
      </c>
      <c r="O115" s="246" t="s">
        <v>4973</v>
      </c>
      <c r="P115" s="246" t="s">
        <v>4974</v>
      </c>
      <c r="Q115" s="225" t="s">
        <v>4605</v>
      </c>
      <c r="R115" s="212" t="s">
        <v>2</v>
      </c>
      <c r="S115" s="213" t="s">
        <v>4771</v>
      </c>
      <c r="T115" s="233">
        <v>45555</v>
      </c>
      <c r="U115" s="234" t="s">
        <v>4759</v>
      </c>
      <c r="V115" s="234">
        <v>45642</v>
      </c>
      <c r="W115" s="234">
        <v>45649</v>
      </c>
      <c r="X115" s="234" t="s">
        <v>2</v>
      </c>
      <c r="Y115" s="234"/>
      <c r="Z115" s="234" t="s">
        <v>4606</v>
      </c>
      <c r="AA115" s="224">
        <v>202411</v>
      </c>
      <c r="AB115" s="243"/>
      <c r="AC115" s="244" t="s">
        <v>4800</v>
      </c>
      <c r="AD115" s="244" t="s">
        <v>4915</v>
      </c>
      <c r="AE115" s="245">
        <v>1</v>
      </c>
      <c r="AF115" s="244" t="s">
        <v>4915</v>
      </c>
      <c r="AG115" s="239" t="str">
        <f>IFERROR(VLOOKUP(작성용!A:A,RM!A:D,4,0),"-")</f>
        <v>최수민</v>
      </c>
      <c r="AH115" s="9" t="s">
        <v>4933</v>
      </c>
      <c r="AI115" s="235" t="s">
        <v>4975</v>
      </c>
      <c r="AJ115" s="235" t="s">
        <v>4976</v>
      </c>
      <c r="AK115" s="235" t="s">
        <v>4128</v>
      </c>
      <c r="AL115" s="235">
        <v>114</v>
      </c>
    </row>
    <row r="116" spans="1:38" x14ac:dyDescent="0.3">
      <c r="A116" s="222" t="s">
        <v>3609</v>
      </c>
      <c r="B116" s="222" t="s">
        <v>4603</v>
      </c>
      <c r="C116" s="241" t="s">
        <v>4778</v>
      </c>
      <c r="D116" s="237" t="s">
        <v>4984</v>
      </c>
      <c r="E116" s="236">
        <v>1101118452031</v>
      </c>
      <c r="F116" s="240" t="s">
        <v>4977</v>
      </c>
      <c r="G116" s="214">
        <v>0</v>
      </c>
      <c r="H116" s="231" t="s">
        <v>4771</v>
      </c>
      <c r="I116" s="231"/>
      <c r="J116" s="231"/>
      <c r="K116" s="231"/>
      <c r="L116" s="231"/>
      <c r="M116" s="231"/>
      <c r="N116" s="231" t="s">
        <v>4972</v>
      </c>
      <c r="O116" s="246" t="s">
        <v>4973</v>
      </c>
      <c r="P116" s="246" t="s">
        <v>4974</v>
      </c>
      <c r="Q116" s="225" t="s">
        <v>4605</v>
      </c>
      <c r="R116" s="212" t="s">
        <v>2</v>
      </c>
      <c r="S116" s="213" t="s">
        <v>4771</v>
      </c>
      <c r="T116" s="233">
        <v>45555</v>
      </c>
      <c r="U116" s="234" t="s">
        <v>4759</v>
      </c>
      <c r="V116" s="234">
        <v>45642</v>
      </c>
      <c r="W116" s="234" t="s">
        <v>4877</v>
      </c>
      <c r="X116" s="234" t="s">
        <v>2</v>
      </c>
      <c r="Y116" s="234"/>
      <c r="Z116" s="234" t="s">
        <v>4606</v>
      </c>
      <c r="AA116" s="224">
        <v>202411</v>
      </c>
      <c r="AB116" s="243"/>
      <c r="AC116" s="244" t="s">
        <v>4800</v>
      </c>
      <c r="AD116" s="244" t="s">
        <v>4915</v>
      </c>
      <c r="AE116" s="245">
        <v>0</v>
      </c>
      <c r="AF116" s="244" t="s">
        <v>4915</v>
      </c>
      <c r="AG116" s="239" t="str">
        <f>IFERROR(VLOOKUP(작성용!A:A,RM!A:D,4,0),"-")</f>
        <v>최수민</v>
      </c>
      <c r="AH116" s="9" t="s">
        <v>4933</v>
      </c>
      <c r="AI116" s="235" t="s">
        <v>4771</v>
      </c>
      <c r="AJ116" s="235" t="s">
        <v>4976</v>
      </c>
      <c r="AK116" s="235" t="s">
        <v>4128</v>
      </c>
      <c r="AL116" s="235">
        <v>115</v>
      </c>
    </row>
    <row r="117" spans="1:38" x14ac:dyDescent="0.3">
      <c r="A117" s="222" t="s">
        <v>3609</v>
      </c>
      <c r="B117" s="222" t="s">
        <v>4603</v>
      </c>
      <c r="C117" s="241" t="s">
        <v>4778</v>
      </c>
      <c r="D117" s="237" t="s">
        <v>4985</v>
      </c>
      <c r="E117" s="236">
        <v>1101117991981</v>
      </c>
      <c r="F117" s="240" t="s">
        <v>4780</v>
      </c>
      <c r="G117" s="214">
        <v>1</v>
      </c>
      <c r="H117" s="231" t="s">
        <v>4771</v>
      </c>
      <c r="I117" s="231"/>
      <c r="J117" s="231"/>
      <c r="K117" s="231"/>
      <c r="L117" s="231"/>
      <c r="M117" s="231"/>
      <c r="N117" s="231" t="s">
        <v>4972</v>
      </c>
      <c r="O117" s="246" t="s">
        <v>4973</v>
      </c>
      <c r="P117" s="246" t="s">
        <v>4974</v>
      </c>
      <c r="Q117" s="225" t="s">
        <v>4605</v>
      </c>
      <c r="R117" s="212" t="s">
        <v>2</v>
      </c>
      <c r="S117" s="213" t="s">
        <v>4771</v>
      </c>
      <c r="T117" s="233">
        <v>45555</v>
      </c>
      <c r="U117" s="234" t="s">
        <v>4759</v>
      </c>
      <c r="V117" s="234">
        <v>45642</v>
      </c>
      <c r="W117" s="234">
        <v>45649</v>
      </c>
      <c r="X117" s="234" t="s">
        <v>2</v>
      </c>
      <c r="Y117" s="234"/>
      <c r="Z117" s="234" t="s">
        <v>4606</v>
      </c>
      <c r="AA117" s="224">
        <v>202411</v>
      </c>
      <c r="AB117" s="243"/>
      <c r="AC117" s="244" t="s">
        <v>4800</v>
      </c>
      <c r="AD117" s="244" t="s">
        <v>4933</v>
      </c>
      <c r="AE117" s="245">
        <v>1</v>
      </c>
      <c r="AF117" s="244" t="s">
        <v>4933</v>
      </c>
      <c r="AG117" s="239" t="str">
        <f>IFERROR(VLOOKUP(작성용!A:A,RM!A:D,4,0),"-")</f>
        <v>최수민</v>
      </c>
      <c r="AH117" s="9" t="s">
        <v>4933</v>
      </c>
      <c r="AI117" s="235" t="s">
        <v>4975</v>
      </c>
      <c r="AJ117" s="235" t="s">
        <v>4976</v>
      </c>
      <c r="AK117" s="235" t="s">
        <v>4128</v>
      </c>
      <c r="AL117" s="235">
        <v>116</v>
      </c>
    </row>
    <row r="118" spans="1:38" x14ac:dyDescent="0.3">
      <c r="A118" s="222" t="s">
        <v>3609</v>
      </c>
      <c r="B118" s="222" t="s">
        <v>4603</v>
      </c>
      <c r="C118" s="241" t="s">
        <v>4778</v>
      </c>
      <c r="D118" s="237" t="s">
        <v>4985</v>
      </c>
      <c r="E118" s="236">
        <v>1101117991981</v>
      </c>
      <c r="F118" s="240" t="s">
        <v>4780</v>
      </c>
      <c r="G118" s="214">
        <v>2</v>
      </c>
      <c r="H118" s="231" t="s">
        <v>4771</v>
      </c>
      <c r="I118" s="231"/>
      <c r="J118" s="231"/>
      <c r="K118" s="231"/>
      <c r="L118" s="231"/>
      <c r="M118" s="231"/>
      <c r="N118" s="231" t="s">
        <v>4972</v>
      </c>
      <c r="O118" s="246" t="s">
        <v>4973</v>
      </c>
      <c r="P118" s="246" t="s">
        <v>4974</v>
      </c>
      <c r="Q118" s="225" t="s">
        <v>4605</v>
      </c>
      <c r="R118" s="212" t="s">
        <v>2</v>
      </c>
      <c r="S118" s="213" t="s">
        <v>4771</v>
      </c>
      <c r="T118" s="233">
        <v>45555</v>
      </c>
      <c r="U118" s="234" t="s">
        <v>4759</v>
      </c>
      <c r="V118" s="234">
        <v>45642</v>
      </c>
      <c r="W118" s="234">
        <v>45649</v>
      </c>
      <c r="X118" s="234" t="s">
        <v>2</v>
      </c>
      <c r="Y118" s="234"/>
      <c r="Z118" s="234" t="s">
        <v>4606</v>
      </c>
      <c r="AA118" s="224">
        <v>202411</v>
      </c>
      <c r="AB118" s="243"/>
      <c r="AC118" s="244" t="s">
        <v>4800</v>
      </c>
      <c r="AD118" s="244" t="s">
        <v>4933</v>
      </c>
      <c r="AE118" s="245">
        <v>0</v>
      </c>
      <c r="AF118" s="244" t="s">
        <v>4933</v>
      </c>
      <c r="AG118" s="239" t="str">
        <f>IFERROR(VLOOKUP(작성용!A:A,RM!A:D,4,0),"-")</f>
        <v>최수민</v>
      </c>
      <c r="AH118" s="9" t="s">
        <v>4933</v>
      </c>
      <c r="AI118" s="235" t="s">
        <v>4975</v>
      </c>
      <c r="AJ118" s="235" t="s">
        <v>4976</v>
      </c>
      <c r="AK118" s="235" t="s">
        <v>4128</v>
      </c>
      <c r="AL118" s="235">
        <v>117</v>
      </c>
    </row>
    <row r="119" spans="1:38" x14ac:dyDescent="0.3">
      <c r="A119" s="222" t="s">
        <v>3609</v>
      </c>
      <c r="B119" s="222" t="s">
        <v>4603</v>
      </c>
      <c r="C119" s="241" t="s">
        <v>4778</v>
      </c>
      <c r="D119" s="237" t="s">
        <v>4985</v>
      </c>
      <c r="E119" s="236">
        <v>1101117991981</v>
      </c>
      <c r="F119" s="240" t="s">
        <v>4780</v>
      </c>
      <c r="G119" s="214">
        <v>3</v>
      </c>
      <c r="H119" s="231" t="s">
        <v>4771</v>
      </c>
      <c r="I119" s="231"/>
      <c r="J119" s="231"/>
      <c r="K119" s="231"/>
      <c r="L119" s="231"/>
      <c r="M119" s="231"/>
      <c r="N119" s="231" t="s">
        <v>4972</v>
      </c>
      <c r="O119" s="246" t="s">
        <v>4973</v>
      </c>
      <c r="P119" s="246" t="s">
        <v>4974</v>
      </c>
      <c r="Q119" s="225" t="s">
        <v>4605</v>
      </c>
      <c r="R119" s="212" t="s">
        <v>2</v>
      </c>
      <c r="S119" s="213" t="s">
        <v>4771</v>
      </c>
      <c r="T119" s="233">
        <v>45555</v>
      </c>
      <c r="U119" s="234" t="s">
        <v>4759</v>
      </c>
      <c r="V119" s="234">
        <v>45642</v>
      </c>
      <c r="W119" s="234">
        <v>45649</v>
      </c>
      <c r="X119" s="234" t="s">
        <v>2</v>
      </c>
      <c r="Y119" s="234"/>
      <c r="Z119" s="234" t="s">
        <v>4606</v>
      </c>
      <c r="AA119" s="224">
        <v>202411</v>
      </c>
      <c r="AB119" s="243"/>
      <c r="AC119" s="244" t="s">
        <v>4800</v>
      </c>
      <c r="AD119" s="244" t="s">
        <v>4933</v>
      </c>
      <c r="AE119" s="245">
        <v>0</v>
      </c>
      <c r="AF119" s="244" t="s">
        <v>4933</v>
      </c>
      <c r="AG119" s="239" t="str">
        <f>IFERROR(VLOOKUP(작성용!A:A,RM!A:D,4,0),"-")</f>
        <v>최수민</v>
      </c>
      <c r="AH119" s="9" t="s">
        <v>4933</v>
      </c>
      <c r="AI119" s="235" t="s">
        <v>4975</v>
      </c>
      <c r="AJ119" s="235" t="s">
        <v>4976</v>
      </c>
      <c r="AK119" s="235" t="s">
        <v>4128</v>
      </c>
      <c r="AL119" s="235">
        <v>118</v>
      </c>
    </row>
    <row r="120" spans="1:38" x14ac:dyDescent="0.3">
      <c r="A120" s="222" t="s">
        <v>3609</v>
      </c>
      <c r="B120" s="222" t="s">
        <v>4603</v>
      </c>
      <c r="C120" s="241" t="s">
        <v>4778</v>
      </c>
      <c r="D120" s="237" t="s">
        <v>4985</v>
      </c>
      <c r="E120" s="236">
        <v>1101117991981</v>
      </c>
      <c r="F120" s="240" t="s">
        <v>4977</v>
      </c>
      <c r="G120" s="214">
        <v>0</v>
      </c>
      <c r="H120" s="231" t="s">
        <v>4771</v>
      </c>
      <c r="I120" s="231"/>
      <c r="J120" s="231"/>
      <c r="K120" s="231"/>
      <c r="L120" s="231"/>
      <c r="M120" s="231"/>
      <c r="N120" s="231" t="s">
        <v>4972</v>
      </c>
      <c r="O120" s="246" t="s">
        <v>4973</v>
      </c>
      <c r="P120" s="246" t="s">
        <v>4974</v>
      </c>
      <c r="Q120" s="225" t="s">
        <v>4605</v>
      </c>
      <c r="R120" s="212" t="s">
        <v>2</v>
      </c>
      <c r="S120" s="213" t="s">
        <v>4771</v>
      </c>
      <c r="T120" s="233">
        <v>45555</v>
      </c>
      <c r="U120" s="234" t="s">
        <v>4759</v>
      </c>
      <c r="V120" s="234">
        <v>45642</v>
      </c>
      <c r="W120" s="234" t="s">
        <v>4877</v>
      </c>
      <c r="X120" s="234" t="s">
        <v>2</v>
      </c>
      <c r="Y120" s="234"/>
      <c r="Z120" s="234" t="s">
        <v>4606</v>
      </c>
      <c r="AA120" s="224">
        <v>202411</v>
      </c>
      <c r="AB120" s="243"/>
      <c r="AC120" s="244" t="s">
        <v>4800</v>
      </c>
      <c r="AD120" s="244" t="s">
        <v>4933</v>
      </c>
      <c r="AE120" s="245">
        <v>0</v>
      </c>
      <c r="AF120" s="244" t="s">
        <v>4933</v>
      </c>
      <c r="AG120" s="239" t="str">
        <f>IFERROR(VLOOKUP(작성용!A:A,RM!A:D,4,0),"-")</f>
        <v>최수민</v>
      </c>
      <c r="AH120" s="9" t="s">
        <v>4933</v>
      </c>
      <c r="AI120" s="235" t="s">
        <v>4771</v>
      </c>
      <c r="AJ120" s="235" t="s">
        <v>4976</v>
      </c>
      <c r="AK120" s="235" t="s">
        <v>4128</v>
      </c>
      <c r="AL120" s="235">
        <v>119</v>
      </c>
    </row>
    <row r="121" spans="1:38" x14ac:dyDescent="0.3">
      <c r="A121" s="222" t="s">
        <v>3609</v>
      </c>
      <c r="B121" s="222" t="s">
        <v>4603</v>
      </c>
      <c r="C121" s="241" t="s">
        <v>4778</v>
      </c>
      <c r="D121" s="237" t="s">
        <v>4986</v>
      </c>
      <c r="E121" s="236">
        <v>1101117123485</v>
      </c>
      <c r="F121" s="240" t="s">
        <v>4850</v>
      </c>
      <c r="G121" s="214">
        <v>0</v>
      </c>
      <c r="H121" s="231" t="s">
        <v>4771</v>
      </c>
      <c r="I121" s="231"/>
      <c r="J121" s="231"/>
      <c r="K121" s="231"/>
      <c r="L121" s="231"/>
      <c r="M121" s="231"/>
      <c r="N121" s="231" t="s">
        <v>4972</v>
      </c>
      <c r="O121" s="246" t="s">
        <v>4973</v>
      </c>
      <c r="P121" s="246" t="s">
        <v>4974</v>
      </c>
      <c r="Q121" s="225" t="s">
        <v>4605</v>
      </c>
      <c r="R121" s="212" t="s">
        <v>2</v>
      </c>
      <c r="S121" s="213" t="s">
        <v>4771</v>
      </c>
      <c r="T121" s="233">
        <v>45555</v>
      </c>
      <c r="U121" s="234" t="s">
        <v>4759</v>
      </c>
      <c r="V121" s="234">
        <v>45642</v>
      </c>
      <c r="W121" s="234">
        <v>45649</v>
      </c>
      <c r="X121" s="234" t="s">
        <v>2</v>
      </c>
      <c r="Y121" s="234"/>
      <c r="Z121" s="234" t="s">
        <v>4606</v>
      </c>
      <c r="AA121" s="224">
        <v>202411</v>
      </c>
      <c r="AB121" s="243"/>
      <c r="AC121" s="244" t="s">
        <v>4800</v>
      </c>
      <c r="AD121" s="244" t="s">
        <v>4987</v>
      </c>
      <c r="AE121" s="245">
        <v>1</v>
      </c>
      <c r="AF121" s="244" t="s">
        <v>4987</v>
      </c>
      <c r="AG121" s="239" t="str">
        <f>IFERROR(VLOOKUP(작성용!A:A,RM!A:D,4,0),"-")</f>
        <v>최수민</v>
      </c>
      <c r="AH121" s="9" t="s">
        <v>4933</v>
      </c>
      <c r="AI121" s="235" t="s">
        <v>4975</v>
      </c>
      <c r="AJ121" s="235" t="s">
        <v>4976</v>
      </c>
      <c r="AK121" s="235" t="s">
        <v>4128</v>
      </c>
      <c r="AL121" s="235">
        <v>120</v>
      </c>
    </row>
    <row r="122" spans="1:38" x14ac:dyDescent="0.3">
      <c r="A122" s="222" t="s">
        <v>3609</v>
      </c>
      <c r="B122" s="222" t="s">
        <v>4603</v>
      </c>
      <c r="C122" s="241" t="s">
        <v>4778</v>
      </c>
      <c r="D122" s="237" t="s">
        <v>4986</v>
      </c>
      <c r="E122" s="236">
        <v>1101117123485</v>
      </c>
      <c r="F122" s="240" t="s">
        <v>4977</v>
      </c>
      <c r="G122" s="214">
        <v>0</v>
      </c>
      <c r="H122" s="231" t="s">
        <v>4771</v>
      </c>
      <c r="I122" s="231"/>
      <c r="J122" s="231"/>
      <c r="K122" s="231"/>
      <c r="L122" s="231"/>
      <c r="M122" s="231"/>
      <c r="N122" s="231" t="s">
        <v>4972</v>
      </c>
      <c r="O122" s="246" t="s">
        <v>4973</v>
      </c>
      <c r="P122" s="246" t="s">
        <v>4974</v>
      </c>
      <c r="Q122" s="225" t="s">
        <v>4605</v>
      </c>
      <c r="R122" s="212" t="s">
        <v>2</v>
      </c>
      <c r="S122" s="213" t="s">
        <v>4771</v>
      </c>
      <c r="T122" s="233">
        <v>45555</v>
      </c>
      <c r="U122" s="234" t="s">
        <v>4759</v>
      </c>
      <c r="V122" s="234">
        <v>45642</v>
      </c>
      <c r="W122" s="234" t="s">
        <v>4877</v>
      </c>
      <c r="X122" s="234" t="s">
        <v>2</v>
      </c>
      <c r="Y122" s="234"/>
      <c r="Z122" s="234" t="s">
        <v>4606</v>
      </c>
      <c r="AA122" s="224">
        <v>202411</v>
      </c>
      <c r="AB122" s="243"/>
      <c r="AC122" s="244" t="s">
        <v>4800</v>
      </c>
      <c r="AD122" s="244" t="s">
        <v>4987</v>
      </c>
      <c r="AE122" s="245">
        <v>0</v>
      </c>
      <c r="AF122" s="244" t="s">
        <v>4987</v>
      </c>
      <c r="AG122" s="239" t="str">
        <f>IFERROR(VLOOKUP(작성용!A:A,RM!A:D,4,0),"-")</f>
        <v>최수민</v>
      </c>
      <c r="AH122" s="9" t="s">
        <v>4933</v>
      </c>
      <c r="AI122" s="235" t="s">
        <v>4771</v>
      </c>
      <c r="AJ122" s="235" t="s">
        <v>4976</v>
      </c>
      <c r="AK122" s="235" t="s">
        <v>4128</v>
      </c>
      <c r="AL122" s="235">
        <v>121</v>
      </c>
    </row>
    <row r="123" spans="1:38" x14ac:dyDescent="0.3">
      <c r="A123" s="222" t="s">
        <v>3609</v>
      </c>
      <c r="B123" s="222" t="s">
        <v>4603</v>
      </c>
      <c r="C123" s="241" t="s">
        <v>4778</v>
      </c>
      <c r="D123" s="237" t="s">
        <v>4988</v>
      </c>
      <c r="E123" s="236">
        <v>1101117733888</v>
      </c>
      <c r="F123" s="240" t="s">
        <v>4854</v>
      </c>
      <c r="G123" s="214">
        <v>0</v>
      </c>
      <c r="H123" s="231" t="s">
        <v>4771</v>
      </c>
      <c r="I123" s="231"/>
      <c r="J123" s="231"/>
      <c r="K123" s="231"/>
      <c r="L123" s="231"/>
      <c r="M123" s="231"/>
      <c r="N123" s="231" t="s">
        <v>4972</v>
      </c>
      <c r="O123" s="246" t="s">
        <v>4973</v>
      </c>
      <c r="P123" s="246" t="s">
        <v>4974</v>
      </c>
      <c r="Q123" s="225" t="s">
        <v>4605</v>
      </c>
      <c r="R123" s="212" t="s">
        <v>2</v>
      </c>
      <c r="S123" s="213" t="s">
        <v>4771</v>
      </c>
      <c r="T123" s="233">
        <v>45555</v>
      </c>
      <c r="U123" s="234" t="s">
        <v>4759</v>
      </c>
      <c r="V123" s="234">
        <v>45642</v>
      </c>
      <c r="W123" s="234">
        <v>45649</v>
      </c>
      <c r="X123" s="234" t="s">
        <v>2</v>
      </c>
      <c r="Y123" s="234"/>
      <c r="Z123" s="234" t="s">
        <v>4606</v>
      </c>
      <c r="AA123" s="224">
        <v>202411</v>
      </c>
      <c r="AB123" s="243"/>
      <c r="AC123" s="244" t="s">
        <v>4800</v>
      </c>
      <c r="AD123" s="244" t="s">
        <v>4937</v>
      </c>
      <c r="AE123" s="245">
        <v>1</v>
      </c>
      <c r="AF123" s="244" t="s">
        <v>4937</v>
      </c>
      <c r="AG123" s="239" t="str">
        <f>IFERROR(VLOOKUP(작성용!A:A,RM!A:D,4,0),"-")</f>
        <v>최수민</v>
      </c>
      <c r="AH123" s="9" t="s">
        <v>4933</v>
      </c>
      <c r="AI123" s="235" t="s">
        <v>4975</v>
      </c>
      <c r="AJ123" s="235" t="s">
        <v>4976</v>
      </c>
      <c r="AK123" s="235" t="s">
        <v>4128</v>
      </c>
      <c r="AL123" s="235">
        <v>122</v>
      </c>
    </row>
    <row r="124" spans="1:38" x14ac:dyDescent="0.3">
      <c r="A124" s="222" t="s">
        <v>3609</v>
      </c>
      <c r="B124" s="222" t="s">
        <v>4603</v>
      </c>
      <c r="C124" s="241" t="s">
        <v>4778</v>
      </c>
      <c r="D124" s="237" t="s">
        <v>4988</v>
      </c>
      <c r="E124" s="236">
        <v>1101117733888</v>
      </c>
      <c r="F124" s="240" t="s">
        <v>4850</v>
      </c>
      <c r="G124" s="214">
        <v>0</v>
      </c>
      <c r="H124" s="231" t="s">
        <v>4771</v>
      </c>
      <c r="I124" s="231"/>
      <c r="J124" s="231"/>
      <c r="K124" s="231"/>
      <c r="L124" s="231"/>
      <c r="M124" s="231"/>
      <c r="N124" s="231" t="s">
        <v>4972</v>
      </c>
      <c r="O124" s="246" t="s">
        <v>4973</v>
      </c>
      <c r="P124" s="246" t="s">
        <v>4974</v>
      </c>
      <c r="Q124" s="225" t="s">
        <v>4605</v>
      </c>
      <c r="R124" s="212" t="s">
        <v>2</v>
      </c>
      <c r="S124" s="213" t="s">
        <v>4771</v>
      </c>
      <c r="T124" s="233">
        <v>45555</v>
      </c>
      <c r="U124" s="234" t="s">
        <v>4759</v>
      </c>
      <c r="V124" s="234">
        <v>45642</v>
      </c>
      <c r="W124" s="234">
        <v>45649</v>
      </c>
      <c r="X124" s="234" t="s">
        <v>2</v>
      </c>
      <c r="Y124" s="234"/>
      <c r="Z124" s="234" t="s">
        <v>4606</v>
      </c>
      <c r="AA124" s="224">
        <v>202411</v>
      </c>
      <c r="AB124" s="243"/>
      <c r="AC124" s="244" t="s">
        <v>4800</v>
      </c>
      <c r="AD124" s="244" t="s">
        <v>4937</v>
      </c>
      <c r="AE124" s="245">
        <v>0</v>
      </c>
      <c r="AF124" s="244" t="s">
        <v>4937</v>
      </c>
      <c r="AG124" s="239" t="str">
        <f>IFERROR(VLOOKUP(작성용!A:A,RM!A:D,4,0),"-")</f>
        <v>최수민</v>
      </c>
      <c r="AH124" s="9" t="s">
        <v>4933</v>
      </c>
      <c r="AI124" s="235" t="s">
        <v>4975</v>
      </c>
      <c r="AJ124" s="235" t="s">
        <v>4976</v>
      </c>
      <c r="AK124" s="235" t="s">
        <v>4128</v>
      </c>
      <c r="AL124" s="235">
        <v>123</v>
      </c>
    </row>
    <row r="125" spans="1:38" x14ac:dyDescent="0.3">
      <c r="A125" s="222" t="s">
        <v>3609</v>
      </c>
      <c r="B125" s="222" t="s">
        <v>4603</v>
      </c>
      <c r="C125" s="241" t="s">
        <v>4778</v>
      </c>
      <c r="D125" s="237" t="s">
        <v>4988</v>
      </c>
      <c r="E125" s="236">
        <v>1101117733888</v>
      </c>
      <c r="F125" s="240" t="s">
        <v>4850</v>
      </c>
      <c r="G125" s="214">
        <v>1</v>
      </c>
      <c r="H125" s="231" t="s">
        <v>4771</v>
      </c>
      <c r="I125" s="231"/>
      <c r="J125" s="231"/>
      <c r="K125" s="231"/>
      <c r="L125" s="231"/>
      <c r="M125" s="231"/>
      <c r="N125" s="231" t="s">
        <v>4972</v>
      </c>
      <c r="O125" s="246" t="s">
        <v>4973</v>
      </c>
      <c r="P125" s="246" t="s">
        <v>4974</v>
      </c>
      <c r="Q125" s="225" t="s">
        <v>4605</v>
      </c>
      <c r="R125" s="212" t="s">
        <v>2</v>
      </c>
      <c r="S125" s="213" t="s">
        <v>4771</v>
      </c>
      <c r="T125" s="233">
        <v>45555</v>
      </c>
      <c r="U125" s="234" t="s">
        <v>4759</v>
      </c>
      <c r="V125" s="234">
        <v>45642</v>
      </c>
      <c r="W125" s="234">
        <v>45649</v>
      </c>
      <c r="X125" s="234" t="s">
        <v>2</v>
      </c>
      <c r="Y125" s="234"/>
      <c r="Z125" s="234" t="s">
        <v>4606</v>
      </c>
      <c r="AA125" s="224">
        <v>202411</v>
      </c>
      <c r="AB125" s="243"/>
      <c r="AC125" s="244" t="s">
        <v>4800</v>
      </c>
      <c r="AD125" s="244" t="s">
        <v>4937</v>
      </c>
      <c r="AE125" s="245">
        <v>0</v>
      </c>
      <c r="AF125" s="244" t="s">
        <v>4937</v>
      </c>
      <c r="AG125" s="239" t="str">
        <f>IFERROR(VLOOKUP(작성용!A:A,RM!A:D,4,0),"-")</f>
        <v>최수민</v>
      </c>
      <c r="AH125" s="9" t="s">
        <v>4933</v>
      </c>
      <c r="AI125" s="235" t="s">
        <v>4975</v>
      </c>
      <c r="AJ125" s="235" t="s">
        <v>4976</v>
      </c>
      <c r="AK125" s="235" t="s">
        <v>4128</v>
      </c>
      <c r="AL125" s="235">
        <v>124</v>
      </c>
    </row>
    <row r="126" spans="1:38" x14ac:dyDescent="0.3">
      <c r="A126" s="222" t="s">
        <v>3609</v>
      </c>
      <c r="B126" s="222" t="s">
        <v>4603</v>
      </c>
      <c r="C126" s="241" t="s">
        <v>4778</v>
      </c>
      <c r="D126" s="237" t="s">
        <v>4989</v>
      </c>
      <c r="E126" s="236">
        <v>2301110245786</v>
      </c>
      <c r="F126" s="240" t="s">
        <v>4977</v>
      </c>
      <c r="G126" s="214">
        <v>0</v>
      </c>
      <c r="H126" s="231" t="s">
        <v>4771</v>
      </c>
      <c r="I126" s="231"/>
      <c r="J126" s="231"/>
      <c r="K126" s="231"/>
      <c r="L126" s="231"/>
      <c r="M126" s="231"/>
      <c r="N126" s="231" t="s">
        <v>4972</v>
      </c>
      <c r="O126" s="246" t="s">
        <v>4973</v>
      </c>
      <c r="P126" s="246" t="s">
        <v>4974</v>
      </c>
      <c r="Q126" s="225" t="s">
        <v>4605</v>
      </c>
      <c r="R126" s="212" t="s">
        <v>2</v>
      </c>
      <c r="S126" s="213" t="s">
        <v>4771</v>
      </c>
      <c r="T126" s="233">
        <v>45555</v>
      </c>
      <c r="U126" s="234" t="s">
        <v>4759</v>
      </c>
      <c r="V126" s="234">
        <v>45642</v>
      </c>
      <c r="W126" s="234" t="s">
        <v>4877</v>
      </c>
      <c r="X126" s="234" t="s">
        <v>2</v>
      </c>
      <c r="Y126" s="234"/>
      <c r="Z126" s="234" t="s">
        <v>4606</v>
      </c>
      <c r="AA126" s="224">
        <v>202411</v>
      </c>
      <c r="AB126" s="243"/>
      <c r="AC126" s="244" t="s">
        <v>4800</v>
      </c>
      <c r="AD126" s="244" t="s">
        <v>4945</v>
      </c>
      <c r="AE126" s="245">
        <v>1</v>
      </c>
      <c r="AF126" s="244" t="s">
        <v>4990</v>
      </c>
      <c r="AG126" s="239" t="str">
        <f>IFERROR(VLOOKUP(작성용!A:A,RM!A:D,4,0),"-")</f>
        <v>최수민</v>
      </c>
      <c r="AH126" s="9" t="s">
        <v>4933</v>
      </c>
      <c r="AI126" s="235" t="s">
        <v>4771</v>
      </c>
      <c r="AJ126" s="235" t="s">
        <v>4976</v>
      </c>
      <c r="AK126" s="235" t="s">
        <v>4128</v>
      </c>
      <c r="AL126" s="235">
        <v>125</v>
      </c>
    </row>
    <row r="127" spans="1:38" x14ac:dyDescent="0.3">
      <c r="A127" s="222" t="s">
        <v>3609</v>
      </c>
      <c r="B127" s="222" t="s">
        <v>4603</v>
      </c>
      <c r="C127" s="241" t="s">
        <v>4778</v>
      </c>
      <c r="D127" s="237" t="s">
        <v>4989</v>
      </c>
      <c r="E127" s="236">
        <v>2301110245786</v>
      </c>
      <c r="F127" s="240" t="s">
        <v>4894</v>
      </c>
      <c r="G127" s="214">
        <v>0</v>
      </c>
      <c r="H127" s="231" t="s">
        <v>4771</v>
      </c>
      <c r="I127" s="231"/>
      <c r="J127" s="231"/>
      <c r="K127" s="231"/>
      <c r="L127" s="231"/>
      <c r="M127" s="231"/>
      <c r="N127" s="231" t="s">
        <v>4972</v>
      </c>
      <c r="O127" s="246" t="s">
        <v>4973</v>
      </c>
      <c r="P127" s="246" t="s">
        <v>4974</v>
      </c>
      <c r="Q127" s="225" t="s">
        <v>4605</v>
      </c>
      <c r="R127" s="212" t="s">
        <v>2</v>
      </c>
      <c r="S127" s="213" t="s">
        <v>4771</v>
      </c>
      <c r="T127" s="233">
        <v>45555</v>
      </c>
      <c r="U127" s="234" t="s">
        <v>4759</v>
      </c>
      <c r="V127" s="234">
        <v>45642</v>
      </c>
      <c r="W127" s="234">
        <v>45649</v>
      </c>
      <c r="X127" s="234" t="s">
        <v>2</v>
      </c>
      <c r="Y127" s="234"/>
      <c r="Z127" s="234" t="s">
        <v>4606</v>
      </c>
      <c r="AA127" s="224">
        <v>202411</v>
      </c>
      <c r="AB127" s="243"/>
      <c r="AC127" s="244" t="s">
        <v>4800</v>
      </c>
      <c r="AD127" s="244" t="s">
        <v>4945</v>
      </c>
      <c r="AE127" s="245">
        <v>0</v>
      </c>
      <c r="AF127" s="244" t="s">
        <v>4990</v>
      </c>
      <c r="AG127" s="239" t="str">
        <f>IFERROR(VLOOKUP(작성용!A:A,RM!A:D,4,0),"-")</f>
        <v>최수민</v>
      </c>
      <c r="AH127" s="9" t="s">
        <v>4933</v>
      </c>
      <c r="AI127" s="235" t="s">
        <v>4975</v>
      </c>
      <c r="AJ127" s="235" t="s">
        <v>4976</v>
      </c>
      <c r="AK127" s="235" t="s">
        <v>4128</v>
      </c>
      <c r="AL127" s="235">
        <v>126</v>
      </c>
    </row>
    <row r="128" spans="1:38" x14ac:dyDescent="0.3">
      <c r="A128" s="222" t="s">
        <v>3609</v>
      </c>
      <c r="B128" s="222" t="s">
        <v>4603</v>
      </c>
      <c r="C128" s="241" t="s">
        <v>4762</v>
      </c>
      <c r="D128" s="237" t="s">
        <v>4991</v>
      </c>
      <c r="E128" s="236">
        <v>1101116398443</v>
      </c>
      <c r="F128" s="240" t="s">
        <v>4977</v>
      </c>
      <c r="G128" s="214">
        <v>0</v>
      </c>
      <c r="H128" s="231" t="s">
        <v>4771</v>
      </c>
      <c r="I128" s="231"/>
      <c r="J128" s="231"/>
      <c r="K128" s="231"/>
      <c r="L128" s="231"/>
      <c r="M128" s="231"/>
      <c r="N128" s="231" t="s">
        <v>4972</v>
      </c>
      <c r="O128" s="246" t="s">
        <v>4973</v>
      </c>
      <c r="P128" s="246" t="s">
        <v>4974</v>
      </c>
      <c r="Q128" s="225" t="s">
        <v>4605</v>
      </c>
      <c r="R128" s="212" t="s">
        <v>2</v>
      </c>
      <c r="S128" s="213" t="s">
        <v>4771</v>
      </c>
      <c r="T128" s="233">
        <v>45555</v>
      </c>
      <c r="U128" s="234" t="s">
        <v>4759</v>
      </c>
      <c r="V128" s="234">
        <v>45642</v>
      </c>
      <c r="W128" s="234" t="s">
        <v>4877</v>
      </c>
      <c r="X128" s="234" t="s">
        <v>2</v>
      </c>
      <c r="Y128" s="234"/>
      <c r="Z128" s="234" t="s">
        <v>4606</v>
      </c>
      <c r="AA128" s="224">
        <v>202411</v>
      </c>
      <c r="AB128" s="243"/>
      <c r="AC128" s="244" t="s">
        <v>4800</v>
      </c>
      <c r="AD128" s="244" t="s">
        <v>4911</v>
      </c>
      <c r="AE128" s="245">
        <v>1</v>
      </c>
      <c r="AF128" s="244" t="s">
        <v>4911</v>
      </c>
      <c r="AG128" s="239" t="str">
        <f>IFERROR(VLOOKUP(작성용!A:A,RM!A:D,4,0),"-")</f>
        <v>최수민</v>
      </c>
      <c r="AH128" s="9" t="s">
        <v>4933</v>
      </c>
      <c r="AI128" s="235" t="s">
        <v>4771</v>
      </c>
      <c r="AJ128" s="235" t="s">
        <v>4976</v>
      </c>
      <c r="AK128" s="235" t="s">
        <v>4128</v>
      </c>
      <c r="AL128" s="235">
        <v>127</v>
      </c>
    </row>
    <row r="129" spans="1:39" x14ac:dyDescent="0.3">
      <c r="A129" s="222" t="s">
        <v>3609</v>
      </c>
      <c r="B129" s="222" t="s">
        <v>4603</v>
      </c>
      <c r="C129" s="241" t="s">
        <v>4762</v>
      </c>
      <c r="D129" s="237" t="s">
        <v>4991</v>
      </c>
      <c r="E129" s="236">
        <v>1101116398443</v>
      </c>
      <c r="F129" s="240" t="s">
        <v>4850</v>
      </c>
      <c r="G129" s="214">
        <v>0</v>
      </c>
      <c r="H129" s="231" t="s">
        <v>4771</v>
      </c>
      <c r="I129" s="231"/>
      <c r="J129" s="231"/>
      <c r="K129" s="231"/>
      <c r="L129" s="231"/>
      <c r="M129" s="231"/>
      <c r="N129" s="231" t="s">
        <v>4972</v>
      </c>
      <c r="O129" s="246" t="s">
        <v>4973</v>
      </c>
      <c r="P129" s="246" t="s">
        <v>4974</v>
      </c>
      <c r="Q129" s="225" t="s">
        <v>4605</v>
      </c>
      <c r="R129" s="212" t="s">
        <v>2</v>
      </c>
      <c r="S129" s="213" t="s">
        <v>4771</v>
      </c>
      <c r="T129" s="233">
        <v>45555</v>
      </c>
      <c r="U129" s="234" t="s">
        <v>4759</v>
      </c>
      <c r="V129" s="234">
        <v>45642</v>
      </c>
      <c r="W129" s="234">
        <v>45649</v>
      </c>
      <c r="X129" s="234" t="s">
        <v>2</v>
      </c>
      <c r="Y129" s="234"/>
      <c r="Z129" s="234" t="s">
        <v>4606</v>
      </c>
      <c r="AA129" s="224">
        <v>202411</v>
      </c>
      <c r="AB129" s="243"/>
      <c r="AC129" s="244" t="s">
        <v>4800</v>
      </c>
      <c r="AD129" s="244" t="s">
        <v>4911</v>
      </c>
      <c r="AE129" s="245">
        <v>0</v>
      </c>
      <c r="AF129" s="244" t="s">
        <v>4911</v>
      </c>
      <c r="AG129" s="239" t="str">
        <f>IFERROR(VLOOKUP(작성용!A:A,RM!A:D,4,0),"-")</f>
        <v>최수민</v>
      </c>
      <c r="AH129" s="9" t="s">
        <v>4933</v>
      </c>
      <c r="AI129" s="235" t="s">
        <v>4975</v>
      </c>
      <c r="AJ129" s="235" t="s">
        <v>4976</v>
      </c>
      <c r="AK129" s="235" t="s">
        <v>4128</v>
      </c>
      <c r="AL129" s="235">
        <v>128</v>
      </c>
    </row>
    <row r="130" spans="1:39" x14ac:dyDescent="0.3">
      <c r="A130" s="222" t="s">
        <v>3609</v>
      </c>
      <c r="B130" s="222" t="s">
        <v>4603</v>
      </c>
      <c r="C130" s="241" t="s">
        <v>4778</v>
      </c>
      <c r="D130" s="237" t="s">
        <v>4992</v>
      </c>
      <c r="E130" s="236">
        <v>1101116786226</v>
      </c>
      <c r="F130" s="240" t="s">
        <v>4977</v>
      </c>
      <c r="G130" s="214">
        <v>0</v>
      </c>
      <c r="H130" s="231" t="s">
        <v>4771</v>
      </c>
      <c r="I130" s="231"/>
      <c r="J130" s="231"/>
      <c r="K130" s="231"/>
      <c r="L130" s="231"/>
      <c r="M130" s="231"/>
      <c r="N130" s="231" t="s">
        <v>4972</v>
      </c>
      <c r="O130" s="246" t="s">
        <v>4973</v>
      </c>
      <c r="P130" s="246" t="s">
        <v>4974</v>
      </c>
      <c r="Q130" s="225" t="s">
        <v>4605</v>
      </c>
      <c r="R130" s="212" t="s">
        <v>2</v>
      </c>
      <c r="S130" s="213" t="s">
        <v>4771</v>
      </c>
      <c r="T130" s="233">
        <v>45555</v>
      </c>
      <c r="U130" s="234" t="s">
        <v>4759</v>
      </c>
      <c r="V130" s="234">
        <v>45642</v>
      </c>
      <c r="W130" s="234" t="s">
        <v>4877</v>
      </c>
      <c r="X130" s="234" t="s">
        <v>2</v>
      </c>
      <c r="Y130" s="234"/>
      <c r="Z130" s="234" t="s">
        <v>4606</v>
      </c>
      <c r="AA130" s="224">
        <v>202411</v>
      </c>
      <c r="AB130" s="243"/>
      <c r="AC130" s="244" t="s">
        <v>4800</v>
      </c>
      <c r="AD130" s="244" t="s">
        <v>4947</v>
      </c>
      <c r="AE130" s="245">
        <v>1</v>
      </c>
      <c r="AF130" s="244" t="s">
        <v>4947</v>
      </c>
      <c r="AG130" s="239" t="str">
        <f>IFERROR(VLOOKUP(작성용!A:A,RM!A:D,4,0),"-")</f>
        <v>최수민</v>
      </c>
      <c r="AH130" s="9" t="s">
        <v>4933</v>
      </c>
      <c r="AI130" s="235" t="s">
        <v>4771</v>
      </c>
      <c r="AJ130" s="235" t="s">
        <v>4976</v>
      </c>
      <c r="AK130" s="235" t="s">
        <v>4128</v>
      </c>
      <c r="AL130" s="235">
        <v>129</v>
      </c>
    </row>
    <row r="131" spans="1:39" x14ac:dyDescent="0.3">
      <c r="A131" s="222" t="s">
        <v>3609</v>
      </c>
      <c r="B131" s="222" t="s">
        <v>4603</v>
      </c>
      <c r="C131" s="241" t="s">
        <v>4778</v>
      </c>
      <c r="D131" s="237" t="s">
        <v>4992</v>
      </c>
      <c r="E131" s="236">
        <v>1101116786226</v>
      </c>
      <c r="F131" s="240" t="s">
        <v>4850</v>
      </c>
      <c r="G131" s="214">
        <v>0</v>
      </c>
      <c r="H131" s="231" t="s">
        <v>4771</v>
      </c>
      <c r="I131" s="231"/>
      <c r="J131" s="231"/>
      <c r="K131" s="231"/>
      <c r="L131" s="231"/>
      <c r="M131" s="231"/>
      <c r="N131" s="231" t="s">
        <v>4972</v>
      </c>
      <c r="O131" s="246" t="s">
        <v>4973</v>
      </c>
      <c r="P131" s="246" t="s">
        <v>4974</v>
      </c>
      <c r="Q131" s="225" t="s">
        <v>4605</v>
      </c>
      <c r="R131" s="212" t="s">
        <v>2</v>
      </c>
      <c r="S131" s="213" t="s">
        <v>4771</v>
      </c>
      <c r="T131" s="233">
        <v>45555</v>
      </c>
      <c r="U131" s="234" t="s">
        <v>4759</v>
      </c>
      <c r="V131" s="234">
        <v>45642</v>
      </c>
      <c r="W131" s="234">
        <v>45649</v>
      </c>
      <c r="X131" s="234" t="s">
        <v>2</v>
      </c>
      <c r="Y131" s="234"/>
      <c r="Z131" s="234" t="s">
        <v>4606</v>
      </c>
      <c r="AA131" s="224">
        <v>202411</v>
      </c>
      <c r="AB131" s="243"/>
      <c r="AC131" s="244" t="s">
        <v>4800</v>
      </c>
      <c r="AD131" s="244" t="s">
        <v>4947</v>
      </c>
      <c r="AE131" s="245">
        <v>0</v>
      </c>
      <c r="AF131" s="244" t="s">
        <v>4947</v>
      </c>
      <c r="AG131" s="239" t="str">
        <f>IFERROR(VLOOKUP(작성용!A:A,RM!A:D,4,0),"-")</f>
        <v>최수민</v>
      </c>
      <c r="AH131" s="9" t="s">
        <v>4933</v>
      </c>
      <c r="AI131" s="235" t="s">
        <v>4975</v>
      </c>
      <c r="AJ131" s="235" t="s">
        <v>4976</v>
      </c>
      <c r="AK131" s="235" t="s">
        <v>4128</v>
      </c>
      <c r="AL131" s="235">
        <v>130</v>
      </c>
    </row>
    <row r="132" spans="1:39" x14ac:dyDescent="0.3">
      <c r="A132" s="229" t="s">
        <v>783</v>
      </c>
      <c r="B132" s="229" t="s">
        <v>784</v>
      </c>
      <c r="C132" s="249" t="s">
        <v>4778</v>
      </c>
      <c r="D132" s="237" t="s">
        <v>4993</v>
      </c>
      <c r="E132" s="236">
        <v>1101112008921</v>
      </c>
      <c r="F132" s="240" t="s">
        <v>4854</v>
      </c>
      <c r="G132" s="214">
        <v>0</v>
      </c>
      <c r="H132" s="231" t="s">
        <v>4771</v>
      </c>
      <c r="I132" s="231"/>
      <c r="J132" s="231"/>
      <c r="K132" s="231"/>
      <c r="L132" s="231"/>
      <c r="M132" s="231"/>
      <c r="N132" s="231" t="s">
        <v>4895</v>
      </c>
      <c r="O132" s="246" t="s">
        <v>4994</v>
      </c>
      <c r="P132" s="246" t="s">
        <v>4995</v>
      </c>
      <c r="Q132" s="225" t="s">
        <v>4996</v>
      </c>
      <c r="R132" s="212" t="s">
        <v>2</v>
      </c>
      <c r="S132" s="213" t="s">
        <v>4771</v>
      </c>
      <c r="T132" s="233">
        <v>45555</v>
      </c>
      <c r="U132" s="234" t="s">
        <v>4759</v>
      </c>
      <c r="V132" s="234">
        <v>45618</v>
      </c>
      <c r="W132" s="234">
        <v>45625</v>
      </c>
      <c r="X132" s="234" t="s">
        <v>2</v>
      </c>
      <c r="Y132" s="234"/>
      <c r="Z132" s="234" t="s">
        <v>4997</v>
      </c>
      <c r="AA132" s="224">
        <v>202411</v>
      </c>
      <c r="AB132" s="243"/>
      <c r="AC132" s="244" t="s">
        <v>4998</v>
      </c>
      <c r="AD132" s="244" t="s">
        <v>556</v>
      </c>
      <c r="AE132" s="245">
        <v>1</v>
      </c>
      <c r="AF132" s="244" t="s">
        <v>4999</v>
      </c>
      <c r="AG132" s="239" t="str">
        <f>IFERROR(VLOOKUP(작성용!A:A,RM!A:D,4,0),"-")</f>
        <v>조현우</v>
      </c>
      <c r="AH132" s="9" t="s">
        <v>4918</v>
      </c>
      <c r="AI132" s="235" t="s">
        <v>4771</v>
      </c>
      <c r="AJ132" s="235" t="s">
        <v>4776</v>
      </c>
      <c r="AK132" s="235" t="s">
        <v>4777</v>
      </c>
      <c r="AL132" s="235">
        <v>131</v>
      </c>
    </row>
    <row r="133" spans="1:39" x14ac:dyDescent="0.3">
      <c r="A133" s="229" t="s">
        <v>783</v>
      </c>
      <c r="B133" s="229" t="s">
        <v>784</v>
      </c>
      <c r="C133" s="249" t="s">
        <v>4778</v>
      </c>
      <c r="D133" s="237" t="s">
        <v>5000</v>
      </c>
      <c r="E133" s="236">
        <v>1101116127264</v>
      </c>
      <c r="F133" s="240" t="s">
        <v>4854</v>
      </c>
      <c r="G133" s="214">
        <v>0</v>
      </c>
      <c r="H133" s="231" t="s">
        <v>4771</v>
      </c>
      <c r="I133" s="231"/>
      <c r="J133" s="231"/>
      <c r="K133" s="231"/>
      <c r="L133" s="231"/>
      <c r="M133" s="231"/>
      <c r="N133" s="231" t="s">
        <v>4895</v>
      </c>
      <c r="O133" s="246" t="s">
        <v>4994</v>
      </c>
      <c r="P133" s="246" t="s">
        <v>4995</v>
      </c>
      <c r="Q133" s="225" t="s">
        <v>4996</v>
      </c>
      <c r="R133" s="212" t="s">
        <v>2</v>
      </c>
      <c r="S133" s="213" t="s">
        <v>4771</v>
      </c>
      <c r="T133" s="233">
        <v>45555</v>
      </c>
      <c r="U133" s="234" t="s">
        <v>4759</v>
      </c>
      <c r="V133" s="234">
        <v>45618</v>
      </c>
      <c r="W133" s="234">
        <v>45625</v>
      </c>
      <c r="X133" s="234" t="s">
        <v>2</v>
      </c>
      <c r="Y133" s="234"/>
      <c r="Z133" s="234" t="s">
        <v>4997</v>
      </c>
      <c r="AA133" s="224">
        <v>202411</v>
      </c>
      <c r="AB133" s="243"/>
      <c r="AC133" s="244" t="s">
        <v>4998</v>
      </c>
      <c r="AD133" s="244" t="s">
        <v>4862</v>
      </c>
      <c r="AE133" s="245">
        <v>1</v>
      </c>
      <c r="AF133" s="244" t="s">
        <v>5001</v>
      </c>
      <c r="AG133" s="239" t="str">
        <f>IFERROR(VLOOKUP(작성용!A:A,RM!A:D,4,0),"-")</f>
        <v>조현우</v>
      </c>
      <c r="AH133" s="9" t="s">
        <v>4918</v>
      </c>
      <c r="AI133" s="235" t="s">
        <v>4771</v>
      </c>
      <c r="AJ133" s="235" t="s">
        <v>4776</v>
      </c>
      <c r="AK133" s="235" t="s">
        <v>4777</v>
      </c>
      <c r="AL133" s="235">
        <v>132</v>
      </c>
      <c r="AM133" s="198"/>
    </row>
    <row r="134" spans="1:39" x14ac:dyDescent="0.3">
      <c r="A134" s="229" t="s">
        <v>783</v>
      </c>
      <c r="B134" s="229" t="s">
        <v>784</v>
      </c>
      <c r="C134" s="249" t="s">
        <v>4778</v>
      </c>
      <c r="D134" s="237" t="s">
        <v>5002</v>
      </c>
      <c r="E134" s="236">
        <v>1101111238628</v>
      </c>
      <c r="F134" s="240" t="s">
        <v>4854</v>
      </c>
      <c r="G134" s="214">
        <v>0</v>
      </c>
      <c r="H134" s="231" t="s">
        <v>4771</v>
      </c>
      <c r="I134" s="231"/>
      <c r="J134" s="231"/>
      <c r="K134" s="231"/>
      <c r="L134" s="231"/>
      <c r="M134" s="231"/>
      <c r="N134" s="231" t="s">
        <v>4895</v>
      </c>
      <c r="O134" s="246" t="s">
        <v>4994</v>
      </c>
      <c r="P134" s="246" t="s">
        <v>4995</v>
      </c>
      <c r="Q134" s="225" t="s">
        <v>4996</v>
      </c>
      <c r="R134" s="212" t="s">
        <v>2</v>
      </c>
      <c r="S134" s="213" t="s">
        <v>4771</v>
      </c>
      <c r="T134" s="233">
        <v>45555</v>
      </c>
      <c r="U134" s="234" t="s">
        <v>4759</v>
      </c>
      <c r="V134" s="234">
        <v>45618</v>
      </c>
      <c r="W134" s="234">
        <v>45625</v>
      </c>
      <c r="X134" s="234" t="s">
        <v>2</v>
      </c>
      <c r="Y134" s="234"/>
      <c r="Z134" s="234" t="s">
        <v>4997</v>
      </c>
      <c r="AA134" s="224">
        <v>202411</v>
      </c>
      <c r="AB134" s="243"/>
      <c r="AC134" s="244" t="s">
        <v>4998</v>
      </c>
      <c r="AD134" s="244" t="s">
        <v>4862</v>
      </c>
      <c r="AE134" s="245">
        <v>1</v>
      </c>
      <c r="AF134" s="244" t="s">
        <v>4862</v>
      </c>
      <c r="AG134" s="239" t="str">
        <f>IFERROR(VLOOKUP(작성용!A:A,RM!A:D,4,0),"-")</f>
        <v>조현우</v>
      </c>
      <c r="AH134" s="9" t="s">
        <v>4918</v>
      </c>
      <c r="AI134" s="235" t="s">
        <v>4771</v>
      </c>
      <c r="AJ134" s="235" t="s">
        <v>4776</v>
      </c>
      <c r="AK134" s="235" t="s">
        <v>4777</v>
      </c>
      <c r="AL134" s="235">
        <v>133</v>
      </c>
      <c r="AM134" s="198"/>
    </row>
    <row r="135" spans="1:39" x14ac:dyDescent="0.3">
      <c r="A135" s="229" t="s">
        <v>783</v>
      </c>
      <c r="B135" s="229" t="s">
        <v>784</v>
      </c>
      <c r="C135" s="249" t="s">
        <v>4778</v>
      </c>
      <c r="D135" s="237" t="s">
        <v>5003</v>
      </c>
      <c r="E135" s="236">
        <v>1101110090558</v>
      </c>
      <c r="F135" s="240" t="s">
        <v>4854</v>
      </c>
      <c r="G135" s="214">
        <v>0</v>
      </c>
      <c r="H135" s="231" t="s">
        <v>4771</v>
      </c>
      <c r="I135" s="231"/>
      <c r="J135" s="231"/>
      <c r="K135" s="231"/>
      <c r="L135" s="231"/>
      <c r="M135" s="231"/>
      <c r="N135" s="231" t="s">
        <v>4895</v>
      </c>
      <c r="O135" s="246" t="s">
        <v>4994</v>
      </c>
      <c r="P135" s="246" t="s">
        <v>4995</v>
      </c>
      <c r="Q135" s="225" t="s">
        <v>4996</v>
      </c>
      <c r="R135" s="212" t="s">
        <v>2</v>
      </c>
      <c r="S135" s="213" t="s">
        <v>4771</v>
      </c>
      <c r="T135" s="233">
        <v>45555</v>
      </c>
      <c r="U135" s="234" t="s">
        <v>4759</v>
      </c>
      <c r="V135" s="234">
        <v>45618</v>
      </c>
      <c r="W135" s="234">
        <v>45625</v>
      </c>
      <c r="X135" s="234" t="s">
        <v>2</v>
      </c>
      <c r="Y135" s="234"/>
      <c r="Z135" s="234" t="s">
        <v>4997</v>
      </c>
      <c r="AA135" s="224">
        <v>202411</v>
      </c>
      <c r="AB135" s="243"/>
      <c r="AC135" s="244" t="s">
        <v>4998</v>
      </c>
      <c r="AD135" s="244" t="s">
        <v>4918</v>
      </c>
      <c r="AE135" s="245">
        <v>1</v>
      </c>
      <c r="AF135" s="244" t="s">
        <v>4918</v>
      </c>
      <c r="AG135" s="239" t="str">
        <f>IFERROR(VLOOKUP(작성용!A:A,RM!A:D,4,0),"-")</f>
        <v>조현우</v>
      </c>
      <c r="AH135" s="9" t="s">
        <v>4918</v>
      </c>
      <c r="AI135" s="235" t="s">
        <v>4771</v>
      </c>
      <c r="AJ135" s="235" t="s">
        <v>4776</v>
      </c>
      <c r="AK135" s="235" t="s">
        <v>4777</v>
      </c>
      <c r="AL135" s="235">
        <v>134</v>
      </c>
      <c r="AM135" s="198"/>
    </row>
    <row r="136" spans="1:39" x14ac:dyDescent="0.3">
      <c r="A136" s="229" t="s">
        <v>2221</v>
      </c>
      <c r="B136" s="229" t="s">
        <v>5004</v>
      </c>
      <c r="C136" s="249" t="s">
        <v>4778</v>
      </c>
      <c r="D136" s="261" t="s">
        <v>5005</v>
      </c>
      <c r="E136" s="236">
        <v>1101140224052</v>
      </c>
      <c r="F136" s="240" t="s">
        <v>4854</v>
      </c>
      <c r="G136" s="214">
        <v>0</v>
      </c>
      <c r="H136" s="231" t="s">
        <v>4771</v>
      </c>
      <c r="I136" s="231"/>
      <c r="J136" s="231"/>
      <c r="K136" s="231"/>
      <c r="L136" s="231"/>
      <c r="M136" s="231"/>
      <c r="N136" s="231" t="s">
        <v>4895</v>
      </c>
      <c r="O136" s="246" t="s">
        <v>5006</v>
      </c>
      <c r="P136" s="246" t="s">
        <v>5007</v>
      </c>
      <c r="Q136" s="225" t="s">
        <v>5008</v>
      </c>
      <c r="R136" s="212" t="s">
        <v>2</v>
      </c>
      <c r="S136" s="213" t="s">
        <v>4767</v>
      </c>
      <c r="T136" s="233">
        <v>45561</v>
      </c>
      <c r="U136" s="234" t="s">
        <v>4759</v>
      </c>
      <c r="V136" s="234">
        <v>45602</v>
      </c>
      <c r="W136" s="234">
        <v>45609</v>
      </c>
      <c r="X136" s="234" t="s">
        <v>2</v>
      </c>
      <c r="Y136" s="234"/>
      <c r="Z136" s="234" t="s">
        <v>4612</v>
      </c>
      <c r="AA136" s="243">
        <v>202411</v>
      </c>
      <c r="AB136" s="243"/>
      <c r="AC136" s="244" t="s">
        <v>4800</v>
      </c>
      <c r="AD136" s="244" t="s">
        <v>4962</v>
      </c>
      <c r="AE136" s="245">
        <v>1</v>
      </c>
      <c r="AF136" s="244" t="s">
        <v>4858</v>
      </c>
      <c r="AG136" s="239" t="str">
        <f>IFERROR(VLOOKUP(작성용!A:A,RM!A:D,4,0),"-")</f>
        <v>강성은</v>
      </c>
      <c r="AH136" s="9" t="s">
        <v>4845</v>
      </c>
      <c r="AI136" s="9" t="s">
        <v>4767</v>
      </c>
      <c r="AJ136" s="235" t="s">
        <v>5009</v>
      </c>
      <c r="AK136" s="235" t="s">
        <v>4777</v>
      </c>
      <c r="AL136" s="235">
        <v>135</v>
      </c>
      <c r="AM136" s="198"/>
    </row>
    <row r="137" spans="1:39" x14ac:dyDescent="0.3">
      <c r="A137" s="229" t="s">
        <v>2221</v>
      </c>
      <c r="B137" s="229" t="s">
        <v>5010</v>
      </c>
      <c r="C137" s="249" t="s">
        <v>4765</v>
      </c>
      <c r="D137" s="262" t="s">
        <v>5011</v>
      </c>
      <c r="E137" s="236" t="s">
        <v>4014</v>
      </c>
      <c r="F137" s="240" t="s">
        <v>4780</v>
      </c>
      <c r="G137" s="214">
        <v>1</v>
      </c>
      <c r="H137" s="231" t="s">
        <v>4767</v>
      </c>
      <c r="I137" s="231"/>
      <c r="J137" s="231"/>
      <c r="K137" s="231"/>
      <c r="L137" s="231"/>
      <c r="M137" s="231"/>
      <c r="N137" s="231" t="s">
        <v>4895</v>
      </c>
      <c r="O137" s="246" t="s">
        <v>5012</v>
      </c>
      <c r="P137" s="246" t="s">
        <v>5007</v>
      </c>
      <c r="Q137" s="225" t="s">
        <v>5013</v>
      </c>
      <c r="R137" s="212" t="s">
        <v>2</v>
      </c>
      <c r="S137" s="213" t="s">
        <v>4771</v>
      </c>
      <c r="T137" s="233">
        <v>45561</v>
      </c>
      <c r="U137" s="234" t="s">
        <v>4759</v>
      </c>
      <c r="V137" s="234">
        <v>45602</v>
      </c>
      <c r="W137" s="234">
        <v>45609</v>
      </c>
      <c r="X137" s="234" t="s">
        <v>2</v>
      </c>
      <c r="Y137" s="234"/>
      <c r="Z137" s="234" t="s">
        <v>4612</v>
      </c>
      <c r="AA137" s="243">
        <v>202411</v>
      </c>
      <c r="AB137" s="243"/>
      <c r="AC137" s="244" t="s">
        <v>4800</v>
      </c>
      <c r="AD137" s="244" t="s">
        <v>4887</v>
      </c>
      <c r="AE137" s="245">
        <v>1</v>
      </c>
      <c r="AF137" s="244" t="s">
        <v>4860</v>
      </c>
      <c r="AG137" s="239" t="str">
        <f>IFERROR(VLOOKUP(작성용!A:A,RM!A:D,4,0),"-")</f>
        <v>강성은</v>
      </c>
      <c r="AH137" s="9" t="s">
        <v>4845</v>
      </c>
      <c r="AI137" s="9" t="s">
        <v>4767</v>
      </c>
      <c r="AJ137" s="235" t="s">
        <v>4920</v>
      </c>
      <c r="AK137" s="235" t="s">
        <v>4777</v>
      </c>
      <c r="AL137" s="235">
        <v>136</v>
      </c>
      <c r="AM137" s="198"/>
    </row>
    <row r="138" spans="1:39" x14ac:dyDescent="0.3">
      <c r="A138" s="229" t="s">
        <v>2221</v>
      </c>
      <c r="B138" s="229" t="s">
        <v>5004</v>
      </c>
      <c r="C138" s="249" t="s">
        <v>4778</v>
      </c>
      <c r="D138" s="262" t="s">
        <v>5014</v>
      </c>
      <c r="E138" s="236" t="s">
        <v>4014</v>
      </c>
      <c r="F138" s="240" t="s">
        <v>4780</v>
      </c>
      <c r="G138" s="214">
        <v>2</v>
      </c>
      <c r="H138" s="231" t="s">
        <v>4771</v>
      </c>
      <c r="I138" s="231"/>
      <c r="J138" s="231"/>
      <c r="K138" s="231"/>
      <c r="L138" s="231"/>
      <c r="M138" s="231"/>
      <c r="N138" s="231" t="s">
        <v>4895</v>
      </c>
      <c r="O138" s="246" t="s">
        <v>5006</v>
      </c>
      <c r="P138" s="246" t="s">
        <v>5007</v>
      </c>
      <c r="Q138" s="225" t="s">
        <v>5008</v>
      </c>
      <c r="R138" s="212" t="s">
        <v>2</v>
      </c>
      <c r="S138" s="213" t="s">
        <v>4767</v>
      </c>
      <c r="T138" s="233">
        <v>45561</v>
      </c>
      <c r="U138" s="234" t="s">
        <v>4759</v>
      </c>
      <c r="V138" s="234">
        <v>45602</v>
      </c>
      <c r="W138" s="234">
        <v>45609</v>
      </c>
      <c r="X138" s="234" t="s">
        <v>2</v>
      </c>
      <c r="Y138" s="234"/>
      <c r="Z138" s="234" t="s">
        <v>4612</v>
      </c>
      <c r="AA138" s="243">
        <v>202411</v>
      </c>
      <c r="AB138" s="243"/>
      <c r="AC138" s="244" t="s">
        <v>4800</v>
      </c>
      <c r="AD138" s="244" t="s">
        <v>4860</v>
      </c>
      <c r="AE138" s="245">
        <v>0</v>
      </c>
      <c r="AF138" s="244" t="s">
        <v>4860</v>
      </c>
      <c r="AG138" s="239" t="str">
        <f>IFERROR(VLOOKUP(작성용!A:A,RM!A:D,4,0),"-")</f>
        <v>강성은</v>
      </c>
      <c r="AH138" s="9" t="s">
        <v>4845</v>
      </c>
      <c r="AI138" s="9" t="s">
        <v>4771</v>
      </c>
      <c r="AJ138" s="235" t="s">
        <v>4920</v>
      </c>
      <c r="AK138" s="235" t="s">
        <v>4777</v>
      </c>
      <c r="AL138" s="235">
        <v>137</v>
      </c>
      <c r="AM138" s="198"/>
    </row>
    <row r="139" spans="1:39" x14ac:dyDescent="0.3">
      <c r="A139" s="229" t="s">
        <v>2221</v>
      </c>
      <c r="B139" s="229" t="s">
        <v>5004</v>
      </c>
      <c r="C139" s="249" t="s">
        <v>4778</v>
      </c>
      <c r="D139" s="262" t="s">
        <v>5015</v>
      </c>
      <c r="E139" s="236">
        <v>1101140219574</v>
      </c>
      <c r="F139" s="240" t="s">
        <v>4854</v>
      </c>
      <c r="G139" s="214">
        <v>0</v>
      </c>
      <c r="H139" s="231" t="s">
        <v>4771</v>
      </c>
      <c r="I139" s="231"/>
      <c r="J139" s="231"/>
      <c r="K139" s="231"/>
      <c r="L139" s="231"/>
      <c r="M139" s="231"/>
      <c r="N139" s="231" t="s">
        <v>4895</v>
      </c>
      <c r="O139" s="246" t="s">
        <v>5006</v>
      </c>
      <c r="P139" s="246" t="s">
        <v>5007</v>
      </c>
      <c r="Q139" s="225" t="s">
        <v>5008</v>
      </c>
      <c r="R139" s="212" t="s">
        <v>2</v>
      </c>
      <c r="S139" s="213" t="s">
        <v>4771</v>
      </c>
      <c r="T139" s="233">
        <v>45561</v>
      </c>
      <c r="U139" s="234" t="s">
        <v>4759</v>
      </c>
      <c r="V139" s="234">
        <v>45602</v>
      </c>
      <c r="W139" s="234">
        <v>45609</v>
      </c>
      <c r="X139" s="234" t="s">
        <v>2</v>
      </c>
      <c r="Y139" s="234"/>
      <c r="Z139" s="234" t="s">
        <v>4612</v>
      </c>
      <c r="AA139" s="243">
        <v>202411</v>
      </c>
      <c r="AB139" s="243"/>
      <c r="AC139" s="244" t="s">
        <v>4800</v>
      </c>
      <c r="AD139" s="244" t="s">
        <v>4845</v>
      </c>
      <c r="AE139" s="245">
        <v>1</v>
      </c>
      <c r="AF139" s="244" t="s">
        <v>4845</v>
      </c>
      <c r="AG139" s="239" t="str">
        <f>IFERROR(VLOOKUP(작성용!A:A,RM!A:D,4,0),"-")</f>
        <v>강성은</v>
      </c>
      <c r="AH139" s="9" t="s">
        <v>4845</v>
      </c>
      <c r="AI139" s="9" t="s">
        <v>4771</v>
      </c>
      <c r="AJ139" s="235" t="s">
        <v>4920</v>
      </c>
      <c r="AK139" s="235" t="s">
        <v>4777</v>
      </c>
      <c r="AL139" s="235">
        <v>138</v>
      </c>
      <c r="AM139" s="198"/>
    </row>
    <row r="140" spans="1:39" x14ac:dyDescent="0.3">
      <c r="A140" s="229" t="s">
        <v>2221</v>
      </c>
      <c r="B140" s="229" t="s">
        <v>5004</v>
      </c>
      <c r="C140" s="249" t="s">
        <v>4778</v>
      </c>
      <c r="D140" s="262" t="s">
        <v>5016</v>
      </c>
      <c r="E140" s="236">
        <v>1341110629094</v>
      </c>
      <c r="F140" s="240" t="s">
        <v>4854</v>
      </c>
      <c r="G140" s="214">
        <v>0</v>
      </c>
      <c r="H140" s="231" t="s">
        <v>4771</v>
      </c>
      <c r="I140" s="231"/>
      <c r="J140" s="231"/>
      <c r="K140" s="231"/>
      <c r="L140" s="231"/>
      <c r="M140" s="231"/>
      <c r="N140" s="231" t="s">
        <v>4881</v>
      </c>
      <c r="O140" s="246" t="s">
        <v>5006</v>
      </c>
      <c r="P140" s="246" t="s">
        <v>5007</v>
      </c>
      <c r="Q140" s="225" t="s">
        <v>5008</v>
      </c>
      <c r="R140" s="212" t="s">
        <v>2</v>
      </c>
      <c r="S140" s="213" t="s">
        <v>4771</v>
      </c>
      <c r="T140" s="233">
        <v>45561</v>
      </c>
      <c r="U140" s="234" t="s">
        <v>4759</v>
      </c>
      <c r="V140" s="234">
        <v>45602</v>
      </c>
      <c r="W140" s="234">
        <v>45609</v>
      </c>
      <c r="X140" s="234" t="s">
        <v>2</v>
      </c>
      <c r="Y140" s="234"/>
      <c r="Z140" s="234" t="s">
        <v>4612</v>
      </c>
      <c r="AA140" s="243">
        <v>202411</v>
      </c>
      <c r="AB140" s="243"/>
      <c r="AC140" s="244" t="s">
        <v>4878</v>
      </c>
      <c r="AD140" s="244" t="s">
        <v>4860</v>
      </c>
      <c r="AE140" s="245">
        <v>1</v>
      </c>
      <c r="AF140" s="244" t="s">
        <v>4860</v>
      </c>
      <c r="AG140" s="239" t="str">
        <f>IFERROR(VLOOKUP(작성용!A:A,RM!A:D,4,0),"-")</f>
        <v>강성은</v>
      </c>
      <c r="AH140" s="9" t="s">
        <v>4845</v>
      </c>
      <c r="AI140" s="9" t="s">
        <v>4771</v>
      </c>
      <c r="AJ140" s="235" t="s">
        <v>5009</v>
      </c>
      <c r="AK140" s="235" t="s">
        <v>4777</v>
      </c>
      <c r="AL140" s="235">
        <v>139</v>
      </c>
      <c r="AM140" s="198"/>
    </row>
    <row r="141" spans="1:39" x14ac:dyDescent="0.3">
      <c r="A141" s="229" t="s">
        <v>2221</v>
      </c>
      <c r="B141" s="229" t="s">
        <v>5010</v>
      </c>
      <c r="C141" s="249" t="s">
        <v>4765</v>
      </c>
      <c r="D141" s="262" t="s">
        <v>5017</v>
      </c>
      <c r="E141" s="236">
        <v>2802110190400</v>
      </c>
      <c r="F141" s="240" t="s">
        <v>4869</v>
      </c>
      <c r="G141" s="214">
        <v>0</v>
      </c>
      <c r="H141" s="231" t="s">
        <v>4771</v>
      </c>
      <c r="I141" s="231"/>
      <c r="J141" s="231"/>
      <c r="K141" s="231"/>
      <c r="L141" s="231"/>
      <c r="M141" s="231"/>
      <c r="N141" s="231" t="s">
        <v>4895</v>
      </c>
      <c r="O141" s="246" t="s">
        <v>5012</v>
      </c>
      <c r="P141" s="246" t="s">
        <v>5007</v>
      </c>
      <c r="Q141" s="225" t="s">
        <v>5008</v>
      </c>
      <c r="R141" s="212" t="s">
        <v>2</v>
      </c>
      <c r="S141" s="213" t="s">
        <v>4767</v>
      </c>
      <c r="T141" s="233">
        <v>45561</v>
      </c>
      <c r="U141" s="234" t="s">
        <v>4759</v>
      </c>
      <c r="V141" s="234">
        <v>45602</v>
      </c>
      <c r="W141" s="234">
        <v>45609</v>
      </c>
      <c r="X141" s="234" t="s">
        <v>2</v>
      </c>
      <c r="Y141" s="234"/>
      <c r="Z141" s="234" t="s">
        <v>4612</v>
      </c>
      <c r="AA141" s="243">
        <v>202411</v>
      </c>
      <c r="AB141" s="243"/>
      <c r="AC141" s="244" t="s">
        <v>4800</v>
      </c>
      <c r="AD141" s="244" t="s">
        <v>4875</v>
      </c>
      <c r="AE141" s="245">
        <v>1.5</v>
      </c>
      <c r="AF141" s="244" t="s">
        <v>4845</v>
      </c>
      <c r="AG141" s="239" t="str">
        <f>IFERROR(VLOOKUP(작성용!A:A,RM!A:D,4,0),"-")</f>
        <v>강성은</v>
      </c>
      <c r="AH141" s="9" t="s">
        <v>4875</v>
      </c>
      <c r="AI141" s="9" t="s">
        <v>4771</v>
      </c>
      <c r="AJ141" s="235" t="s">
        <v>4920</v>
      </c>
      <c r="AK141" s="235" t="s">
        <v>4777</v>
      </c>
      <c r="AL141" s="235">
        <v>140</v>
      </c>
      <c r="AM141" s="198"/>
    </row>
    <row r="142" spans="1:39" x14ac:dyDescent="0.3">
      <c r="A142" s="229" t="s">
        <v>2221</v>
      </c>
      <c r="B142" s="229" t="s">
        <v>5004</v>
      </c>
      <c r="C142" s="249" t="s">
        <v>4765</v>
      </c>
      <c r="D142" s="262" t="s">
        <v>5018</v>
      </c>
      <c r="E142" s="236">
        <v>1101140235512</v>
      </c>
      <c r="F142" s="240" t="s">
        <v>4869</v>
      </c>
      <c r="G142" s="214">
        <v>0</v>
      </c>
      <c r="H142" s="231" t="s">
        <v>4771</v>
      </c>
      <c r="I142" s="231"/>
      <c r="J142" s="231"/>
      <c r="K142" s="231"/>
      <c r="L142" s="231"/>
      <c r="M142" s="231"/>
      <c r="N142" s="231" t="s">
        <v>4895</v>
      </c>
      <c r="O142" s="246" t="s">
        <v>5006</v>
      </c>
      <c r="P142" s="246" t="s">
        <v>5007</v>
      </c>
      <c r="Q142" s="225" t="s">
        <v>5008</v>
      </c>
      <c r="R142" s="212" t="s">
        <v>2</v>
      </c>
      <c r="S142" s="213" t="s">
        <v>4771</v>
      </c>
      <c r="T142" s="233">
        <v>45561</v>
      </c>
      <c r="U142" s="234" t="s">
        <v>4759</v>
      </c>
      <c r="V142" s="234">
        <v>45602</v>
      </c>
      <c r="W142" s="234">
        <v>45609</v>
      </c>
      <c r="X142" s="234" t="s">
        <v>2</v>
      </c>
      <c r="Y142" s="234"/>
      <c r="Z142" s="234" t="s">
        <v>4612</v>
      </c>
      <c r="AA142" s="243">
        <v>202411</v>
      </c>
      <c r="AB142" s="243"/>
      <c r="AC142" s="244" t="s">
        <v>4800</v>
      </c>
      <c r="AD142" s="244" t="s">
        <v>4864</v>
      </c>
      <c r="AE142" s="245">
        <v>1</v>
      </c>
      <c r="AF142" s="244" t="s">
        <v>4864</v>
      </c>
      <c r="AG142" s="239" t="str">
        <f>IFERROR(VLOOKUP(작성용!A:A,RM!A:D,4,0),"-")</f>
        <v>강성은</v>
      </c>
      <c r="AH142" s="9" t="s">
        <v>4845</v>
      </c>
      <c r="AI142" s="9" t="s">
        <v>4771</v>
      </c>
      <c r="AJ142" s="235" t="s">
        <v>4920</v>
      </c>
      <c r="AK142" s="235" t="s">
        <v>4777</v>
      </c>
      <c r="AL142" s="235">
        <v>141</v>
      </c>
      <c r="AM142" s="198"/>
    </row>
    <row r="143" spans="1:39" x14ac:dyDescent="0.3">
      <c r="A143" s="229" t="s">
        <v>2221</v>
      </c>
      <c r="B143" s="229" t="s">
        <v>5004</v>
      </c>
      <c r="C143" s="249" t="s">
        <v>4778</v>
      </c>
      <c r="D143" s="262" t="s">
        <v>5019</v>
      </c>
      <c r="E143" s="236">
        <v>2101140109071</v>
      </c>
      <c r="F143" s="240" t="s">
        <v>4930</v>
      </c>
      <c r="G143" s="214">
        <v>1</v>
      </c>
      <c r="H143" s="231" t="s">
        <v>4771</v>
      </c>
      <c r="I143" s="231"/>
      <c r="J143" s="231"/>
      <c r="K143" s="231"/>
      <c r="L143" s="231"/>
      <c r="M143" s="231"/>
      <c r="N143" s="231" t="s">
        <v>4895</v>
      </c>
      <c r="O143" s="246" t="s">
        <v>5006</v>
      </c>
      <c r="P143" s="246" t="s">
        <v>5007</v>
      </c>
      <c r="Q143" s="225" t="s">
        <v>5008</v>
      </c>
      <c r="R143" s="212" t="s">
        <v>2</v>
      </c>
      <c r="S143" s="213" t="s">
        <v>4771</v>
      </c>
      <c r="T143" s="233">
        <v>45561</v>
      </c>
      <c r="U143" s="234" t="s">
        <v>4759</v>
      </c>
      <c r="V143" s="234">
        <v>45602</v>
      </c>
      <c r="W143" s="234">
        <v>45609</v>
      </c>
      <c r="X143" s="234" t="s">
        <v>2</v>
      </c>
      <c r="Y143" s="234"/>
      <c r="Z143" s="234" t="s">
        <v>4612</v>
      </c>
      <c r="AA143" s="243">
        <v>202411</v>
      </c>
      <c r="AB143" s="243"/>
      <c r="AC143" s="244" t="s">
        <v>4800</v>
      </c>
      <c r="AD143" s="244" t="s">
        <v>4864</v>
      </c>
      <c r="AE143" s="245">
        <v>1</v>
      </c>
      <c r="AF143" s="244" t="s">
        <v>4864</v>
      </c>
      <c r="AG143" s="239" t="str">
        <f>IFERROR(VLOOKUP(작성용!A:A,RM!A:D,4,0),"-")</f>
        <v>강성은</v>
      </c>
      <c r="AH143" s="9" t="s">
        <v>4845</v>
      </c>
      <c r="AI143" s="9" t="s">
        <v>4771</v>
      </c>
      <c r="AJ143" s="235" t="s">
        <v>4920</v>
      </c>
      <c r="AK143" s="235" t="s">
        <v>4777</v>
      </c>
      <c r="AL143" s="235">
        <v>142</v>
      </c>
      <c r="AM143" s="198"/>
    </row>
    <row r="144" spans="1:39" x14ac:dyDescent="0.3">
      <c r="A144" s="229" t="s">
        <v>2221</v>
      </c>
      <c r="B144" s="229" t="s">
        <v>5004</v>
      </c>
      <c r="C144" s="249" t="s">
        <v>4778</v>
      </c>
      <c r="D144" s="262" t="s">
        <v>5019</v>
      </c>
      <c r="E144" s="236">
        <v>2101140109071</v>
      </c>
      <c r="F144" s="240" t="s">
        <v>4854</v>
      </c>
      <c r="G144" s="214">
        <v>0</v>
      </c>
      <c r="H144" s="231" t="s">
        <v>4771</v>
      </c>
      <c r="I144" s="231"/>
      <c r="J144" s="231"/>
      <c r="K144" s="231"/>
      <c r="L144" s="231"/>
      <c r="M144" s="231"/>
      <c r="N144" s="231" t="s">
        <v>4895</v>
      </c>
      <c r="O144" s="246" t="s">
        <v>5006</v>
      </c>
      <c r="P144" s="246" t="s">
        <v>5007</v>
      </c>
      <c r="Q144" s="225" t="s">
        <v>5008</v>
      </c>
      <c r="R144" s="212" t="s">
        <v>2</v>
      </c>
      <c r="S144" s="213" t="s">
        <v>4771</v>
      </c>
      <c r="T144" s="233">
        <v>45561</v>
      </c>
      <c r="U144" s="234" t="s">
        <v>4759</v>
      </c>
      <c r="V144" s="234">
        <v>45602</v>
      </c>
      <c r="W144" s="234">
        <v>45609</v>
      </c>
      <c r="X144" s="234" t="s">
        <v>2</v>
      </c>
      <c r="Y144" s="234"/>
      <c r="Z144" s="234" t="s">
        <v>4612</v>
      </c>
      <c r="AA144" s="243">
        <v>202411</v>
      </c>
      <c r="AB144" s="243"/>
      <c r="AC144" s="244" t="s">
        <v>4800</v>
      </c>
      <c r="AD144" s="244" t="s">
        <v>4864</v>
      </c>
      <c r="AE144" s="245">
        <v>0</v>
      </c>
      <c r="AF144" s="244" t="s">
        <v>4864</v>
      </c>
      <c r="AG144" s="239" t="str">
        <f>IFERROR(VLOOKUP(작성용!A:A,RM!A:D,4,0),"-")</f>
        <v>강성은</v>
      </c>
      <c r="AH144" s="9" t="s">
        <v>4845</v>
      </c>
      <c r="AI144" s="9" t="s">
        <v>4771</v>
      </c>
      <c r="AJ144" s="235" t="s">
        <v>4920</v>
      </c>
      <c r="AK144" s="235" t="s">
        <v>4777</v>
      </c>
      <c r="AL144" s="235">
        <v>143</v>
      </c>
      <c r="AM144" s="198"/>
    </row>
    <row r="145" spans="1:39" x14ac:dyDescent="0.3">
      <c r="A145" s="229" t="s">
        <v>2221</v>
      </c>
      <c r="B145" s="229" t="s">
        <v>5004</v>
      </c>
      <c r="C145" s="249" t="s">
        <v>4778</v>
      </c>
      <c r="D145" s="262" t="s">
        <v>5020</v>
      </c>
      <c r="E145" s="236">
        <v>1101140253449</v>
      </c>
      <c r="F145" s="240" t="s">
        <v>4854</v>
      </c>
      <c r="G145" s="214">
        <v>0</v>
      </c>
      <c r="H145" s="231" t="s">
        <v>4771</v>
      </c>
      <c r="I145" s="231"/>
      <c r="J145" s="231"/>
      <c r="K145" s="231"/>
      <c r="L145" s="231"/>
      <c r="M145" s="231"/>
      <c r="N145" s="231" t="s">
        <v>4895</v>
      </c>
      <c r="O145" s="246" t="s">
        <v>5006</v>
      </c>
      <c r="P145" s="246" t="s">
        <v>5007</v>
      </c>
      <c r="Q145" s="225" t="s">
        <v>5008</v>
      </c>
      <c r="R145" s="212" t="s">
        <v>2</v>
      </c>
      <c r="S145" s="213" t="s">
        <v>4771</v>
      </c>
      <c r="T145" s="233">
        <v>45561</v>
      </c>
      <c r="U145" s="234" t="s">
        <v>4759</v>
      </c>
      <c r="V145" s="234">
        <v>45602</v>
      </c>
      <c r="W145" s="234">
        <v>45609</v>
      </c>
      <c r="X145" s="234" t="s">
        <v>2</v>
      </c>
      <c r="Y145" s="234"/>
      <c r="Z145" s="234" t="s">
        <v>4612</v>
      </c>
      <c r="AA145" s="243">
        <v>202411</v>
      </c>
      <c r="AB145" s="243"/>
      <c r="AC145" s="244" t="s">
        <v>4800</v>
      </c>
      <c r="AD145" s="244" t="s">
        <v>5021</v>
      </c>
      <c r="AE145" s="245">
        <v>1</v>
      </c>
      <c r="AF145" s="244" t="s">
        <v>5021</v>
      </c>
      <c r="AG145" s="239" t="str">
        <f>IFERROR(VLOOKUP(작성용!A:A,RM!A:D,4,0),"-")</f>
        <v>강성은</v>
      </c>
      <c r="AH145" s="9" t="s">
        <v>4845</v>
      </c>
      <c r="AI145" s="9" t="s">
        <v>4771</v>
      </c>
      <c r="AJ145" s="235" t="s">
        <v>4920</v>
      </c>
      <c r="AK145" s="235" t="s">
        <v>4777</v>
      </c>
      <c r="AL145" s="235">
        <v>144</v>
      </c>
      <c r="AM145" s="198"/>
    </row>
    <row r="146" spans="1:39" x14ac:dyDescent="0.3">
      <c r="A146" s="229" t="s">
        <v>2221</v>
      </c>
      <c r="B146" s="229" t="s">
        <v>5004</v>
      </c>
      <c r="C146" s="249" t="s">
        <v>4778</v>
      </c>
      <c r="D146" s="262" t="s">
        <v>5022</v>
      </c>
      <c r="E146" s="236" t="s">
        <v>4016</v>
      </c>
      <c r="F146" s="240" t="s">
        <v>4894</v>
      </c>
      <c r="G146" s="214">
        <v>0</v>
      </c>
      <c r="H146" s="231" t="s">
        <v>4771</v>
      </c>
      <c r="I146" s="231"/>
      <c r="J146" s="231"/>
      <c r="K146" s="231"/>
      <c r="L146" s="231"/>
      <c r="M146" s="231"/>
      <c r="N146" s="231" t="s">
        <v>4895</v>
      </c>
      <c r="O146" s="246" t="s">
        <v>5006</v>
      </c>
      <c r="P146" s="246" t="s">
        <v>5007</v>
      </c>
      <c r="Q146" s="225" t="s">
        <v>5008</v>
      </c>
      <c r="R146" s="212" t="s">
        <v>2</v>
      </c>
      <c r="S146" s="213" t="s">
        <v>4771</v>
      </c>
      <c r="T146" s="233">
        <v>45561</v>
      </c>
      <c r="U146" s="234" t="s">
        <v>4759</v>
      </c>
      <c r="V146" s="234">
        <v>45602</v>
      </c>
      <c r="W146" s="234">
        <v>45609</v>
      </c>
      <c r="X146" s="234" t="s">
        <v>2</v>
      </c>
      <c r="Y146" s="234"/>
      <c r="Z146" s="234" t="s">
        <v>4612</v>
      </c>
      <c r="AA146" s="243">
        <v>202411</v>
      </c>
      <c r="AB146" s="243"/>
      <c r="AC146" s="244" t="s">
        <v>4800</v>
      </c>
      <c r="AD146" s="244" t="s">
        <v>5021</v>
      </c>
      <c r="AE146" s="245">
        <v>1</v>
      </c>
      <c r="AF146" s="244" t="s">
        <v>5021</v>
      </c>
      <c r="AG146" s="239" t="str">
        <f>IFERROR(VLOOKUP(작성용!A:A,RM!A:D,4,0),"-")</f>
        <v>강성은</v>
      </c>
      <c r="AH146" s="9" t="s">
        <v>4845</v>
      </c>
      <c r="AI146" s="9" t="s">
        <v>4771</v>
      </c>
      <c r="AJ146" s="235" t="s">
        <v>4920</v>
      </c>
      <c r="AK146" s="235" t="s">
        <v>4777</v>
      </c>
      <c r="AL146" s="235">
        <v>145</v>
      </c>
      <c r="AM146" s="198"/>
    </row>
    <row r="147" spans="1:39" x14ac:dyDescent="0.3">
      <c r="A147" s="229" t="s">
        <v>2221</v>
      </c>
      <c r="B147" s="229" t="s">
        <v>5004</v>
      </c>
      <c r="C147" s="249" t="s">
        <v>4778</v>
      </c>
      <c r="D147" s="262" t="s">
        <v>5023</v>
      </c>
      <c r="E147" s="236" t="s">
        <v>4610</v>
      </c>
      <c r="F147" s="240" t="s">
        <v>4854</v>
      </c>
      <c r="G147" s="214">
        <v>0</v>
      </c>
      <c r="H147" s="231" t="s">
        <v>4771</v>
      </c>
      <c r="I147" s="231"/>
      <c r="J147" s="231"/>
      <c r="K147" s="231"/>
      <c r="L147" s="231"/>
      <c r="M147" s="231"/>
      <c r="N147" s="231" t="s">
        <v>4895</v>
      </c>
      <c r="O147" s="246" t="s">
        <v>5006</v>
      </c>
      <c r="P147" s="246" t="s">
        <v>5007</v>
      </c>
      <c r="Q147" s="225" t="s">
        <v>5008</v>
      </c>
      <c r="R147" s="212" t="s">
        <v>2</v>
      </c>
      <c r="S147" s="213" t="s">
        <v>4771</v>
      </c>
      <c r="T147" s="233">
        <v>45561</v>
      </c>
      <c r="U147" s="234" t="s">
        <v>4759</v>
      </c>
      <c r="V147" s="234">
        <v>45602</v>
      </c>
      <c r="W147" s="234">
        <v>45609</v>
      </c>
      <c r="X147" s="234" t="s">
        <v>2</v>
      </c>
      <c r="Y147" s="234"/>
      <c r="Z147" s="234" t="s">
        <v>4612</v>
      </c>
      <c r="AA147" s="243">
        <v>202411</v>
      </c>
      <c r="AB147" s="243"/>
      <c r="AC147" s="244" t="s">
        <v>4800</v>
      </c>
      <c r="AD147" s="244" t="s">
        <v>5021</v>
      </c>
      <c r="AE147" s="245">
        <v>1</v>
      </c>
      <c r="AF147" s="244" t="s">
        <v>5021</v>
      </c>
      <c r="AG147" s="239" t="str">
        <f>IFERROR(VLOOKUP(작성용!A:A,RM!A:D,4,0),"-")</f>
        <v>강성은</v>
      </c>
      <c r="AH147" s="9" t="s">
        <v>4845</v>
      </c>
      <c r="AI147" s="9" t="s">
        <v>4771</v>
      </c>
      <c r="AJ147" s="235" t="s">
        <v>4920</v>
      </c>
      <c r="AK147" s="235" t="s">
        <v>4777</v>
      </c>
      <c r="AL147" s="235">
        <v>146</v>
      </c>
      <c r="AM147" s="198"/>
    </row>
    <row r="148" spans="1:39" x14ac:dyDescent="0.3">
      <c r="A148" s="229" t="s">
        <v>2221</v>
      </c>
      <c r="B148" s="229" t="s">
        <v>5004</v>
      </c>
      <c r="C148" s="249" t="s">
        <v>4778</v>
      </c>
      <c r="D148" s="262" t="s">
        <v>5024</v>
      </c>
      <c r="E148" s="236" t="s">
        <v>4015</v>
      </c>
      <c r="F148" s="240" t="s">
        <v>4854</v>
      </c>
      <c r="G148" s="214">
        <v>0</v>
      </c>
      <c r="H148" s="231" t="s">
        <v>4771</v>
      </c>
      <c r="I148" s="231"/>
      <c r="J148" s="231"/>
      <c r="K148" s="231"/>
      <c r="L148" s="231"/>
      <c r="M148" s="231"/>
      <c r="N148" s="231" t="s">
        <v>4895</v>
      </c>
      <c r="O148" s="246" t="s">
        <v>5006</v>
      </c>
      <c r="P148" s="246" t="s">
        <v>5007</v>
      </c>
      <c r="Q148" s="225" t="s">
        <v>5008</v>
      </c>
      <c r="R148" s="212" t="s">
        <v>2</v>
      </c>
      <c r="S148" s="213" t="s">
        <v>4771</v>
      </c>
      <c r="T148" s="233">
        <v>45561</v>
      </c>
      <c r="U148" s="234" t="s">
        <v>4759</v>
      </c>
      <c r="V148" s="234">
        <v>45602</v>
      </c>
      <c r="W148" s="234">
        <v>45609</v>
      </c>
      <c r="X148" s="234" t="s">
        <v>2</v>
      </c>
      <c r="Y148" s="234"/>
      <c r="Z148" s="234" t="s">
        <v>4612</v>
      </c>
      <c r="AA148" s="243">
        <v>202411</v>
      </c>
      <c r="AB148" s="243"/>
      <c r="AC148" s="244" t="s">
        <v>4800</v>
      </c>
      <c r="AD148" s="244" t="s">
        <v>5021</v>
      </c>
      <c r="AE148" s="245">
        <v>1</v>
      </c>
      <c r="AF148" s="244" t="s">
        <v>5021</v>
      </c>
      <c r="AG148" s="239" t="str">
        <f>IFERROR(VLOOKUP(작성용!A:A,RM!A:D,4,0),"-")</f>
        <v>강성은</v>
      </c>
      <c r="AH148" s="9" t="s">
        <v>4845</v>
      </c>
      <c r="AI148" s="9" t="s">
        <v>4771</v>
      </c>
      <c r="AJ148" s="235" t="s">
        <v>4920</v>
      </c>
      <c r="AK148" s="235" t="s">
        <v>4777</v>
      </c>
      <c r="AL148" s="235">
        <v>147</v>
      </c>
      <c r="AM148" s="198"/>
    </row>
    <row r="149" spans="1:39" x14ac:dyDescent="0.3">
      <c r="A149" s="229" t="s">
        <v>2221</v>
      </c>
      <c r="B149" s="229" t="s">
        <v>5004</v>
      </c>
      <c r="C149" s="249" t="s">
        <v>4778</v>
      </c>
      <c r="D149" s="262" t="s">
        <v>5025</v>
      </c>
      <c r="E149" s="236" t="s">
        <v>4611</v>
      </c>
      <c r="F149" s="240" t="s">
        <v>4854</v>
      </c>
      <c r="G149" s="214">
        <v>0</v>
      </c>
      <c r="H149" s="231" t="s">
        <v>4771</v>
      </c>
      <c r="I149" s="231"/>
      <c r="J149" s="231"/>
      <c r="K149" s="231"/>
      <c r="L149" s="231"/>
      <c r="M149" s="231"/>
      <c r="N149" s="231" t="s">
        <v>4895</v>
      </c>
      <c r="O149" s="246" t="s">
        <v>5006</v>
      </c>
      <c r="P149" s="246" t="s">
        <v>5007</v>
      </c>
      <c r="Q149" s="225" t="s">
        <v>5008</v>
      </c>
      <c r="R149" s="212" t="s">
        <v>2</v>
      </c>
      <c r="S149" s="213" t="s">
        <v>4771</v>
      </c>
      <c r="T149" s="233">
        <v>45561</v>
      </c>
      <c r="U149" s="234" t="s">
        <v>4759</v>
      </c>
      <c r="V149" s="234">
        <v>45602</v>
      </c>
      <c r="W149" s="234">
        <v>45609</v>
      </c>
      <c r="X149" s="234" t="s">
        <v>2</v>
      </c>
      <c r="Y149" s="234"/>
      <c r="Z149" s="234" t="s">
        <v>4612</v>
      </c>
      <c r="AA149" s="243">
        <v>202411</v>
      </c>
      <c r="AB149" s="243"/>
      <c r="AC149" s="244" t="s">
        <v>4800</v>
      </c>
      <c r="AD149" s="244" t="s">
        <v>4774</v>
      </c>
      <c r="AE149" s="245">
        <v>0</v>
      </c>
      <c r="AF149" s="244" t="s">
        <v>5021</v>
      </c>
      <c r="AG149" s="239" t="str">
        <f>IFERROR(VLOOKUP(작성용!A:A,RM!A:D,4,0),"-")</f>
        <v>강성은</v>
      </c>
      <c r="AH149" s="9" t="s">
        <v>4845</v>
      </c>
      <c r="AI149" s="9" t="s">
        <v>4771</v>
      </c>
      <c r="AJ149" s="235" t="s">
        <v>4920</v>
      </c>
      <c r="AK149" s="235" t="s">
        <v>4777</v>
      </c>
      <c r="AL149" s="235">
        <v>148</v>
      </c>
      <c r="AM149" s="198"/>
    </row>
    <row r="150" spans="1:39" x14ac:dyDescent="0.3">
      <c r="A150" s="229" t="s">
        <v>2441</v>
      </c>
      <c r="B150" s="229" t="s">
        <v>4888</v>
      </c>
      <c r="C150" s="249" t="s">
        <v>4762</v>
      </c>
      <c r="D150" s="237" t="s">
        <v>5026</v>
      </c>
      <c r="E150" s="236">
        <v>1717110070191</v>
      </c>
      <c r="F150" s="240" t="s">
        <v>4894</v>
      </c>
      <c r="G150" s="214">
        <v>0</v>
      </c>
      <c r="H150" s="231" t="s">
        <v>4771</v>
      </c>
      <c r="I150" s="231"/>
      <c r="J150" s="231"/>
      <c r="K150" s="231"/>
      <c r="L150" s="231"/>
      <c r="M150" s="231"/>
      <c r="N150" s="231" t="s">
        <v>4895</v>
      </c>
      <c r="O150" s="246" t="s">
        <v>4890</v>
      </c>
      <c r="P150" s="246" t="s">
        <v>4891</v>
      </c>
      <c r="Q150" s="225" t="s">
        <v>4892</v>
      </c>
      <c r="R150" s="212" t="s">
        <v>2</v>
      </c>
      <c r="S150" s="213" t="s">
        <v>4771</v>
      </c>
      <c r="T150" s="233">
        <v>45561</v>
      </c>
      <c r="U150" s="234" t="s">
        <v>4759</v>
      </c>
      <c r="V150" s="234">
        <v>45616</v>
      </c>
      <c r="W150" s="234">
        <v>45624</v>
      </c>
      <c r="X150" s="234" t="s">
        <v>2</v>
      </c>
      <c r="Y150" s="234"/>
      <c r="Z150" s="234" t="s">
        <v>4586</v>
      </c>
      <c r="AA150" s="243">
        <v>202411</v>
      </c>
      <c r="AB150" s="243"/>
      <c r="AC150" s="244" t="s">
        <v>4760</v>
      </c>
      <c r="AD150" s="244" t="s">
        <v>4862</v>
      </c>
      <c r="AE150" s="245">
        <v>0</v>
      </c>
      <c r="AF150" s="244" t="s">
        <v>4862</v>
      </c>
      <c r="AG150" s="239" t="str">
        <f>IFERROR(VLOOKUP(작성용!A:A,RM!A:D,4,0),"-")</f>
        <v>강승현</v>
      </c>
      <c r="AH150" s="9" t="s">
        <v>4860</v>
      </c>
      <c r="AI150" s="235" t="s">
        <v>6255</v>
      </c>
      <c r="AJ150" s="235" t="s">
        <v>4776</v>
      </c>
      <c r="AK150" s="235" t="s">
        <v>4128</v>
      </c>
      <c r="AL150" s="235">
        <v>149</v>
      </c>
      <c r="AM150" s="198"/>
    </row>
    <row r="151" spans="1:39" x14ac:dyDescent="0.3">
      <c r="A151" s="222" t="s">
        <v>3326</v>
      </c>
      <c r="B151" s="222" t="s">
        <v>3327</v>
      </c>
      <c r="C151" s="241" t="s">
        <v>4778</v>
      </c>
      <c r="D151" s="237" t="s">
        <v>5027</v>
      </c>
      <c r="E151" s="236">
        <v>1812110007663</v>
      </c>
      <c r="F151" s="240" t="s">
        <v>4869</v>
      </c>
      <c r="G151" s="214">
        <v>0</v>
      </c>
      <c r="H151" s="231" t="s">
        <v>4771</v>
      </c>
      <c r="I151" s="231"/>
      <c r="J151" s="231"/>
      <c r="K151" s="231"/>
      <c r="L151" s="231"/>
      <c r="M151" s="231"/>
      <c r="N151" s="231" t="s">
        <v>5028</v>
      </c>
      <c r="O151" s="246" t="s">
        <v>5029</v>
      </c>
      <c r="P151" s="246" t="s">
        <v>5030</v>
      </c>
      <c r="Q151" s="225" t="s">
        <v>5031</v>
      </c>
      <c r="R151" s="212" t="s">
        <v>2</v>
      </c>
      <c r="S151" s="213" t="s">
        <v>4767</v>
      </c>
      <c r="T151" s="233">
        <v>45561</v>
      </c>
      <c r="U151" s="234" t="s">
        <v>4772</v>
      </c>
      <c r="V151" s="234">
        <v>45672</v>
      </c>
      <c r="W151" s="234">
        <v>45679</v>
      </c>
      <c r="X151" s="234" t="s">
        <v>2</v>
      </c>
      <c r="Y151" s="234"/>
      <c r="Z151" s="234" t="s">
        <v>5032</v>
      </c>
      <c r="AA151" s="243">
        <v>202412</v>
      </c>
      <c r="AB151" s="243"/>
      <c r="AC151" s="244" t="s">
        <v>4760</v>
      </c>
      <c r="AD151" s="244" t="s">
        <v>5033</v>
      </c>
      <c r="AE151" s="245">
        <v>1</v>
      </c>
      <c r="AF151" s="244" t="s">
        <v>4927</v>
      </c>
      <c r="AG151" s="239" t="str">
        <f>IFERROR(VLOOKUP(작성용!A:A,RM!A:D,4,0),"-")</f>
        <v>김예림</v>
      </c>
      <c r="AH151" s="9" t="s">
        <v>4927</v>
      </c>
      <c r="AI151" s="235" t="s">
        <v>4767</v>
      </c>
      <c r="AJ151" s="235" t="s">
        <v>4776</v>
      </c>
      <c r="AK151" s="235" t="s">
        <v>4777</v>
      </c>
      <c r="AL151" s="235">
        <v>150</v>
      </c>
    </row>
    <row r="152" spans="1:39" x14ac:dyDescent="0.3">
      <c r="A152" s="229" t="s">
        <v>4615</v>
      </c>
      <c r="B152" s="229" t="s">
        <v>4616</v>
      </c>
      <c r="C152" s="241" t="s">
        <v>4762</v>
      </c>
      <c r="D152" s="237" t="s">
        <v>5034</v>
      </c>
      <c r="E152" s="236">
        <v>1201111153056</v>
      </c>
      <c r="F152" s="240" t="s">
        <v>4854</v>
      </c>
      <c r="G152" s="214">
        <v>0</v>
      </c>
      <c r="H152" s="231" t="s">
        <v>4767</v>
      </c>
      <c r="I152" s="231"/>
      <c r="J152" s="231"/>
      <c r="K152" s="231"/>
      <c r="L152" s="231"/>
      <c r="M152" s="231"/>
      <c r="N152" s="231" t="s">
        <v>5035</v>
      </c>
      <c r="O152" s="246" t="s">
        <v>5036</v>
      </c>
      <c r="P152" s="246" t="s">
        <v>5037</v>
      </c>
      <c r="Q152" s="225" t="s">
        <v>5038</v>
      </c>
      <c r="R152" s="212" t="s">
        <v>2</v>
      </c>
      <c r="S152" s="213" t="s">
        <v>4767</v>
      </c>
      <c r="T152" s="233">
        <v>45567</v>
      </c>
      <c r="U152" s="234" t="s">
        <v>4759</v>
      </c>
      <c r="V152" s="234">
        <v>45649</v>
      </c>
      <c r="W152" s="234">
        <v>45677</v>
      </c>
      <c r="X152" s="234" t="s">
        <v>2</v>
      </c>
      <c r="Y152" s="224"/>
      <c r="Z152" s="234" t="s">
        <v>4617</v>
      </c>
      <c r="AA152" s="224">
        <v>202411</v>
      </c>
      <c r="AB152" s="243"/>
      <c r="AC152" s="244" t="s">
        <v>4760</v>
      </c>
      <c r="AD152" s="244" t="s">
        <v>4846</v>
      </c>
      <c r="AE152" s="245">
        <v>1</v>
      </c>
      <c r="AF152" s="244" t="s">
        <v>4762</v>
      </c>
      <c r="AG152" s="239" t="str">
        <f>IFERROR(VLOOKUP(작성용!A:A,RM!A:D,4,0),"-")</f>
        <v>채동우</v>
      </c>
      <c r="AH152" s="235" t="s">
        <v>4846</v>
      </c>
      <c r="AI152" s="235" t="s">
        <v>4767</v>
      </c>
      <c r="AJ152" s="235" t="s">
        <v>4776</v>
      </c>
      <c r="AK152" s="235" t="s">
        <v>4777</v>
      </c>
      <c r="AL152" s="235">
        <v>151</v>
      </c>
    </row>
    <row r="153" spans="1:39" s="198" customFormat="1" x14ac:dyDescent="0.3">
      <c r="A153" s="222" t="s">
        <v>763</v>
      </c>
      <c r="B153" s="222" t="s">
        <v>764</v>
      </c>
      <c r="C153" s="241" t="s">
        <v>3707</v>
      </c>
      <c r="D153" s="237" t="s">
        <v>4694</v>
      </c>
      <c r="E153" s="236" t="s">
        <v>4618</v>
      </c>
      <c r="F153" s="240" t="s">
        <v>3990</v>
      </c>
      <c r="G153" s="214">
        <v>0</v>
      </c>
      <c r="H153" s="231" t="s">
        <v>3527</v>
      </c>
      <c r="I153" s="231"/>
      <c r="J153" s="231"/>
      <c r="K153" s="231"/>
      <c r="L153" s="231"/>
      <c r="M153" s="231"/>
      <c r="N153" s="231" t="s">
        <v>4050</v>
      </c>
      <c r="O153" s="246" t="s">
        <v>5039</v>
      </c>
      <c r="P153" s="246" t="s">
        <v>5041</v>
      </c>
      <c r="Q153" s="225" t="s">
        <v>4622</v>
      </c>
      <c r="R153" s="212" t="s">
        <v>2</v>
      </c>
      <c r="S153" s="213" t="s">
        <v>4767</v>
      </c>
      <c r="T153" s="233">
        <v>45567</v>
      </c>
      <c r="U153" s="234" t="s">
        <v>4834</v>
      </c>
      <c r="V153" s="234">
        <v>45625</v>
      </c>
      <c r="W153" s="234">
        <v>45632</v>
      </c>
      <c r="X153" s="234" t="s">
        <v>2</v>
      </c>
      <c r="Y153" s="234"/>
      <c r="Z153" s="234" t="s">
        <v>5043</v>
      </c>
      <c r="AA153" s="243">
        <v>202410</v>
      </c>
      <c r="AB153" s="243"/>
      <c r="AC153" s="244" t="s">
        <v>5044</v>
      </c>
      <c r="AD153" s="244" t="s">
        <v>3524</v>
      </c>
      <c r="AE153" s="245">
        <v>3</v>
      </c>
      <c r="AF153" s="244" t="s">
        <v>4887</v>
      </c>
      <c r="AG153" s="239" t="str">
        <f>IFERROR(VLOOKUP(작성용!A:A,RM!A:D,4,0),"-")</f>
        <v>변혜진</v>
      </c>
      <c r="AH153" s="9" t="s">
        <v>4864</v>
      </c>
      <c r="AI153" s="235" t="s">
        <v>5045</v>
      </c>
      <c r="AJ153" s="235" t="s">
        <v>2</v>
      </c>
      <c r="AK153" s="235" t="s">
        <v>4128</v>
      </c>
      <c r="AL153" s="235">
        <v>152</v>
      </c>
    </row>
    <row r="154" spans="1:39" x14ac:dyDescent="0.3">
      <c r="A154" s="222" t="s">
        <v>763</v>
      </c>
      <c r="B154" s="222" t="s">
        <v>764</v>
      </c>
      <c r="C154" s="241" t="s">
        <v>4778</v>
      </c>
      <c r="D154" s="237" t="s">
        <v>5046</v>
      </c>
      <c r="E154" s="236" t="s">
        <v>4619</v>
      </c>
      <c r="F154" s="240" t="s">
        <v>5047</v>
      </c>
      <c r="G154" s="214">
        <v>1</v>
      </c>
      <c r="H154" s="231" t="s">
        <v>3527</v>
      </c>
      <c r="I154" s="231"/>
      <c r="J154" s="231"/>
      <c r="K154" s="231"/>
      <c r="L154" s="231"/>
      <c r="M154" s="231"/>
      <c r="N154" s="231" t="s">
        <v>4972</v>
      </c>
      <c r="O154" s="246" t="s">
        <v>4621</v>
      </c>
      <c r="P154" s="246" t="s">
        <v>5041</v>
      </c>
      <c r="Q154" s="225" t="s">
        <v>5048</v>
      </c>
      <c r="R154" s="212" t="s">
        <v>2</v>
      </c>
      <c r="S154" s="213" t="s">
        <v>4767</v>
      </c>
      <c r="T154" s="233">
        <v>45567</v>
      </c>
      <c r="U154" s="234" t="s">
        <v>4821</v>
      </c>
      <c r="V154" s="234">
        <v>45625</v>
      </c>
      <c r="W154" s="234">
        <v>45632</v>
      </c>
      <c r="X154" s="234" t="s">
        <v>2</v>
      </c>
      <c r="Y154" s="234"/>
      <c r="Z154" s="234" t="s">
        <v>5042</v>
      </c>
      <c r="AA154" s="243">
        <v>202410</v>
      </c>
      <c r="AB154" s="243"/>
      <c r="AC154" s="244" t="s">
        <v>5044</v>
      </c>
      <c r="AD154" s="244" t="s">
        <v>5049</v>
      </c>
      <c r="AE154" s="245">
        <v>1</v>
      </c>
      <c r="AF154" s="244" t="s">
        <v>5049</v>
      </c>
      <c r="AG154" s="239" t="str">
        <f>IFERROR(VLOOKUP(작성용!A:A,RM!A:D,4,0),"-")</f>
        <v>변혜진</v>
      </c>
      <c r="AH154" s="9" t="s">
        <v>4864</v>
      </c>
      <c r="AI154" s="235" t="s">
        <v>4771</v>
      </c>
      <c r="AJ154" s="235" t="s">
        <v>2</v>
      </c>
      <c r="AK154" s="235" t="s">
        <v>4128</v>
      </c>
      <c r="AL154" s="235">
        <v>153</v>
      </c>
    </row>
    <row r="155" spans="1:39" x14ac:dyDescent="0.3">
      <c r="A155" s="222" t="s">
        <v>763</v>
      </c>
      <c r="B155" s="222" t="s">
        <v>764</v>
      </c>
      <c r="C155" s="241" t="s">
        <v>4778</v>
      </c>
      <c r="D155" s="237" t="s">
        <v>4695</v>
      </c>
      <c r="E155" s="236" t="s">
        <v>4620</v>
      </c>
      <c r="F155" s="240" t="s">
        <v>4869</v>
      </c>
      <c r="G155" s="214">
        <v>0</v>
      </c>
      <c r="H155" s="231" t="s">
        <v>3527</v>
      </c>
      <c r="I155" s="231"/>
      <c r="J155" s="231"/>
      <c r="K155" s="231"/>
      <c r="L155" s="231"/>
      <c r="M155" s="231"/>
      <c r="N155" s="231" t="s">
        <v>4050</v>
      </c>
      <c r="O155" s="246" t="s">
        <v>5039</v>
      </c>
      <c r="P155" s="246" t="s">
        <v>5050</v>
      </c>
      <c r="Q155" s="225" t="s">
        <v>4622</v>
      </c>
      <c r="R155" s="212" t="s">
        <v>2</v>
      </c>
      <c r="S155" s="213" t="s">
        <v>4771</v>
      </c>
      <c r="T155" s="233">
        <v>45567</v>
      </c>
      <c r="U155" s="234" t="s">
        <v>4821</v>
      </c>
      <c r="V155" s="234">
        <v>45625</v>
      </c>
      <c r="W155" s="234">
        <v>45632</v>
      </c>
      <c r="X155" s="234" t="s">
        <v>2</v>
      </c>
      <c r="Y155" s="234"/>
      <c r="Z155" s="234" t="s">
        <v>5043</v>
      </c>
      <c r="AA155" s="243">
        <v>202410</v>
      </c>
      <c r="AB155" s="243"/>
      <c r="AC155" s="244" t="s">
        <v>5051</v>
      </c>
      <c r="AD155" s="244" t="s">
        <v>4875</v>
      </c>
      <c r="AE155" s="245">
        <v>3</v>
      </c>
      <c r="AF155" s="244" t="s">
        <v>4845</v>
      </c>
      <c r="AG155" s="239" t="str">
        <f>IFERROR(VLOOKUP(작성용!A:A,RM!A:D,4,0),"-")</f>
        <v>변혜진</v>
      </c>
      <c r="AH155" s="9" t="s">
        <v>5049</v>
      </c>
      <c r="AI155" s="235" t="s">
        <v>5052</v>
      </c>
      <c r="AJ155" s="235" t="s">
        <v>2</v>
      </c>
      <c r="AK155" s="235" t="s">
        <v>4128</v>
      </c>
      <c r="AL155" s="235">
        <v>154</v>
      </c>
    </row>
    <row r="156" spans="1:39" x14ac:dyDescent="0.3">
      <c r="A156" s="222" t="s">
        <v>763</v>
      </c>
      <c r="B156" s="222" t="s">
        <v>764</v>
      </c>
      <c r="C156" s="241" t="s">
        <v>4778</v>
      </c>
      <c r="D156" s="237" t="s">
        <v>5053</v>
      </c>
      <c r="E156" s="236" t="s">
        <v>4619</v>
      </c>
      <c r="F156" s="240" t="s">
        <v>5047</v>
      </c>
      <c r="G156" s="214">
        <v>2</v>
      </c>
      <c r="H156" s="231" t="s">
        <v>4767</v>
      </c>
      <c r="I156" s="231"/>
      <c r="J156" s="231"/>
      <c r="K156" s="231"/>
      <c r="L156" s="231"/>
      <c r="M156" s="231"/>
      <c r="N156" s="231" t="s">
        <v>5054</v>
      </c>
      <c r="O156" s="246" t="s">
        <v>5039</v>
      </c>
      <c r="P156" s="246" t="s">
        <v>5040</v>
      </c>
      <c r="Q156" s="225" t="s">
        <v>5055</v>
      </c>
      <c r="R156" s="212" t="s">
        <v>2</v>
      </c>
      <c r="S156" s="213" t="s">
        <v>4767</v>
      </c>
      <c r="T156" s="233">
        <v>45567</v>
      </c>
      <c r="U156" s="234" t="s">
        <v>4821</v>
      </c>
      <c r="V156" s="234">
        <v>45625</v>
      </c>
      <c r="W156" s="234">
        <v>45632</v>
      </c>
      <c r="X156" s="234" t="s">
        <v>2</v>
      </c>
      <c r="Y156" s="234"/>
      <c r="Z156" s="234" t="s">
        <v>5043</v>
      </c>
      <c r="AA156" s="243">
        <v>202410</v>
      </c>
      <c r="AB156" s="243"/>
      <c r="AC156" s="244" t="s">
        <v>5044</v>
      </c>
      <c r="AD156" s="244" t="s">
        <v>3563</v>
      </c>
      <c r="AE156" s="245">
        <v>0</v>
      </c>
      <c r="AF156" s="244" t="s">
        <v>4864</v>
      </c>
      <c r="AG156" s="239" t="str">
        <f>IFERROR(VLOOKUP(작성용!A:A,RM!A:D,4,0),"-")</f>
        <v>변혜진</v>
      </c>
      <c r="AH156" s="9" t="s">
        <v>5049</v>
      </c>
      <c r="AI156" s="235" t="s">
        <v>4767</v>
      </c>
      <c r="AJ156" s="235" t="s">
        <v>2</v>
      </c>
      <c r="AK156" s="235" t="s">
        <v>4128</v>
      </c>
      <c r="AL156" s="235">
        <v>155</v>
      </c>
    </row>
    <row r="157" spans="1:39" x14ac:dyDescent="0.3">
      <c r="A157" s="222" t="s">
        <v>3448</v>
      </c>
      <c r="B157" s="222" t="s">
        <v>4623</v>
      </c>
      <c r="C157" s="241" t="s">
        <v>3709</v>
      </c>
      <c r="D157" s="237" t="s">
        <v>5056</v>
      </c>
      <c r="E157" s="236">
        <v>1101113259408</v>
      </c>
      <c r="F157" s="240" t="s">
        <v>5057</v>
      </c>
      <c r="G157" s="214">
        <v>77</v>
      </c>
      <c r="H157" s="231" t="s">
        <v>4767</v>
      </c>
      <c r="I157" s="231"/>
      <c r="J157" s="231"/>
      <c r="K157" s="231"/>
      <c r="L157" s="231"/>
      <c r="M157" s="231"/>
      <c r="N157" s="231" t="s">
        <v>3528</v>
      </c>
      <c r="O157" s="246" t="s">
        <v>5058</v>
      </c>
      <c r="P157" s="246" t="s">
        <v>5059</v>
      </c>
      <c r="Q157" s="225" t="s">
        <v>5060</v>
      </c>
      <c r="R157" s="212" t="s">
        <v>2</v>
      </c>
      <c r="S157" s="213" t="s">
        <v>4771</v>
      </c>
      <c r="T157" s="233">
        <v>45569</v>
      </c>
      <c r="U157" s="234" t="s">
        <v>4759</v>
      </c>
      <c r="V157" s="234">
        <v>45609</v>
      </c>
      <c r="W157" s="234">
        <v>45611</v>
      </c>
      <c r="X157" s="234" t="s">
        <v>2</v>
      </c>
      <c r="Y157" s="234"/>
      <c r="Z157" s="234" t="s">
        <v>4624</v>
      </c>
      <c r="AA157" s="243">
        <v>202411</v>
      </c>
      <c r="AB157" s="243"/>
      <c r="AC157" s="244" t="s">
        <v>3987</v>
      </c>
      <c r="AD157" s="244" t="s">
        <v>4987</v>
      </c>
      <c r="AE157" s="245">
        <v>1</v>
      </c>
      <c r="AF157" s="244" t="s">
        <v>3583</v>
      </c>
      <c r="AG157" s="239" t="str">
        <f>IFERROR(VLOOKUP(작성용!A:A,RM!A:D,4,0),"-")</f>
        <v>원정우</v>
      </c>
      <c r="AH157" s="9" t="s">
        <v>5061</v>
      </c>
      <c r="AI157" s="235" t="s">
        <v>3527</v>
      </c>
      <c r="AJ157" s="235" t="s">
        <v>4609</v>
      </c>
      <c r="AK157" s="235" t="s">
        <v>4803</v>
      </c>
      <c r="AL157" s="235">
        <v>156</v>
      </c>
    </row>
    <row r="158" spans="1:39" x14ac:dyDescent="0.3">
      <c r="A158" s="222" t="s">
        <v>3448</v>
      </c>
      <c r="B158" s="222" t="s">
        <v>4623</v>
      </c>
      <c r="C158" s="241" t="s">
        <v>4898</v>
      </c>
      <c r="D158" s="237" t="s">
        <v>5062</v>
      </c>
      <c r="E158" s="236">
        <v>1101113259408</v>
      </c>
      <c r="F158" s="240" t="s">
        <v>4780</v>
      </c>
      <c r="G158" s="214">
        <v>77</v>
      </c>
      <c r="H158" s="231" t="s">
        <v>4771</v>
      </c>
      <c r="I158" s="231"/>
      <c r="J158" s="231"/>
      <c r="K158" s="231"/>
      <c r="L158" s="231"/>
      <c r="M158" s="231"/>
      <c r="N158" s="231" t="s">
        <v>4881</v>
      </c>
      <c r="O158" s="246" t="s">
        <v>5058</v>
      </c>
      <c r="P158" s="246" t="s">
        <v>5063</v>
      </c>
      <c r="Q158" s="225" t="s">
        <v>5060</v>
      </c>
      <c r="R158" s="212" t="s">
        <v>2</v>
      </c>
      <c r="S158" s="213" t="s">
        <v>4767</v>
      </c>
      <c r="T158" s="233">
        <v>45569</v>
      </c>
      <c r="U158" s="234" t="s">
        <v>4871</v>
      </c>
      <c r="V158" s="234">
        <v>45609</v>
      </c>
      <c r="W158" s="234">
        <v>45611</v>
      </c>
      <c r="X158" s="234" t="s">
        <v>2</v>
      </c>
      <c r="Y158" s="234"/>
      <c r="Z158" s="234" t="s">
        <v>4624</v>
      </c>
      <c r="AA158" s="243">
        <v>202411</v>
      </c>
      <c r="AB158" s="243"/>
      <c r="AC158" s="244" t="s">
        <v>4878</v>
      </c>
      <c r="AD158" s="244" t="s">
        <v>3583</v>
      </c>
      <c r="AE158" s="245">
        <v>0</v>
      </c>
      <c r="AF158" s="244" t="s">
        <v>5061</v>
      </c>
      <c r="AG158" s="239" t="str">
        <f>IFERROR(VLOOKUP(작성용!A:A,RM!A:D,4,0),"-")</f>
        <v>원정우</v>
      </c>
      <c r="AH158" s="9" t="s">
        <v>5061</v>
      </c>
      <c r="AI158" s="235" t="s">
        <v>4771</v>
      </c>
      <c r="AJ158" s="235" t="s">
        <v>5009</v>
      </c>
      <c r="AK158" s="235" t="s">
        <v>4777</v>
      </c>
      <c r="AL158" s="235">
        <v>157</v>
      </c>
    </row>
    <row r="159" spans="1:39" x14ac:dyDescent="0.3">
      <c r="A159" s="222" t="s">
        <v>3448</v>
      </c>
      <c r="B159" s="222" t="s">
        <v>4623</v>
      </c>
      <c r="C159" s="241" t="s">
        <v>4898</v>
      </c>
      <c r="D159" s="237" t="s">
        <v>5056</v>
      </c>
      <c r="E159" s="236">
        <v>1101113259408</v>
      </c>
      <c r="F159" s="240" t="s">
        <v>4850</v>
      </c>
      <c r="G159" s="214">
        <v>77</v>
      </c>
      <c r="H159" s="231" t="s">
        <v>4767</v>
      </c>
      <c r="I159" s="231"/>
      <c r="J159" s="231"/>
      <c r="K159" s="231"/>
      <c r="L159" s="231"/>
      <c r="M159" s="231"/>
      <c r="N159" s="231" t="s">
        <v>4881</v>
      </c>
      <c r="O159" s="246" t="s">
        <v>5058</v>
      </c>
      <c r="P159" s="246" t="s">
        <v>5059</v>
      </c>
      <c r="Q159" s="225" t="s">
        <v>5064</v>
      </c>
      <c r="R159" s="212" t="s">
        <v>2</v>
      </c>
      <c r="S159" s="213" t="s">
        <v>4767</v>
      </c>
      <c r="T159" s="233">
        <v>45569</v>
      </c>
      <c r="U159" s="234" t="s">
        <v>4871</v>
      </c>
      <c r="V159" s="234">
        <v>45609</v>
      </c>
      <c r="W159" s="234">
        <v>45611</v>
      </c>
      <c r="X159" s="234" t="s">
        <v>2</v>
      </c>
      <c r="Y159" s="234"/>
      <c r="Z159" s="234" t="s">
        <v>4624</v>
      </c>
      <c r="AA159" s="243">
        <v>202411</v>
      </c>
      <c r="AB159" s="243"/>
      <c r="AC159" s="244" t="s">
        <v>4878</v>
      </c>
      <c r="AD159" s="244" t="s">
        <v>5061</v>
      </c>
      <c r="AE159" s="245">
        <v>0</v>
      </c>
      <c r="AF159" s="244" t="s">
        <v>5061</v>
      </c>
      <c r="AG159" s="239" t="str">
        <f>IFERROR(VLOOKUP(작성용!A:A,RM!A:D,4,0),"-")</f>
        <v>원정우</v>
      </c>
      <c r="AH159" s="9" t="s">
        <v>5061</v>
      </c>
      <c r="AI159" s="235" t="s">
        <v>4767</v>
      </c>
      <c r="AJ159" s="235" t="s">
        <v>4920</v>
      </c>
      <c r="AK159" s="235" t="s">
        <v>4803</v>
      </c>
      <c r="AL159" s="235">
        <v>158</v>
      </c>
    </row>
    <row r="160" spans="1:39" x14ac:dyDescent="0.3">
      <c r="A160" s="222" t="s">
        <v>3448</v>
      </c>
      <c r="B160" s="222" t="s">
        <v>4623</v>
      </c>
      <c r="C160" s="241" t="s">
        <v>3707</v>
      </c>
      <c r="D160" s="237" t="s">
        <v>5065</v>
      </c>
      <c r="E160" s="236">
        <v>1101116861490</v>
      </c>
      <c r="F160" s="240" t="s">
        <v>4841</v>
      </c>
      <c r="G160" s="214">
        <v>0</v>
      </c>
      <c r="H160" s="231" t="s">
        <v>4767</v>
      </c>
      <c r="I160" s="231"/>
      <c r="J160" s="231"/>
      <c r="K160" s="231"/>
      <c r="L160" s="231"/>
      <c r="M160" s="231"/>
      <c r="N160" s="231" t="s">
        <v>4881</v>
      </c>
      <c r="O160" s="246" t="s">
        <v>5058</v>
      </c>
      <c r="P160" s="246" t="s">
        <v>5063</v>
      </c>
      <c r="Q160" s="225" t="s">
        <v>5060</v>
      </c>
      <c r="R160" s="212" t="s">
        <v>2</v>
      </c>
      <c r="S160" s="213" t="s">
        <v>4767</v>
      </c>
      <c r="T160" s="233">
        <v>45569</v>
      </c>
      <c r="U160" s="234" t="s">
        <v>4871</v>
      </c>
      <c r="V160" s="234">
        <v>45609</v>
      </c>
      <c r="W160" s="234">
        <v>45611</v>
      </c>
      <c r="X160" s="234" t="s">
        <v>2</v>
      </c>
      <c r="Y160" s="234"/>
      <c r="Z160" s="234" t="s">
        <v>4624</v>
      </c>
      <c r="AA160" s="243">
        <v>202411</v>
      </c>
      <c r="AB160" s="243"/>
      <c r="AC160" s="244" t="s">
        <v>4800</v>
      </c>
      <c r="AD160" s="244" t="s">
        <v>5066</v>
      </c>
      <c r="AE160" s="245">
        <v>1</v>
      </c>
      <c r="AF160" s="244" t="s">
        <v>4872</v>
      </c>
      <c r="AG160" s="239" t="str">
        <f>IFERROR(VLOOKUP(작성용!A:A,RM!A:D,4,0),"-")</f>
        <v>원정우</v>
      </c>
      <c r="AH160" s="9" t="s">
        <v>5061</v>
      </c>
      <c r="AI160" s="235" t="s">
        <v>4771</v>
      </c>
      <c r="AJ160" s="235" t="s">
        <v>4920</v>
      </c>
      <c r="AK160" s="235" t="s">
        <v>4777</v>
      </c>
      <c r="AL160" s="235">
        <v>159</v>
      </c>
    </row>
    <row r="161" spans="1:38" x14ac:dyDescent="0.3">
      <c r="A161" s="222" t="s">
        <v>3448</v>
      </c>
      <c r="B161" s="222" t="s">
        <v>4623</v>
      </c>
      <c r="C161" s="241" t="s">
        <v>4778</v>
      </c>
      <c r="D161" s="237" t="s">
        <v>5067</v>
      </c>
      <c r="E161" s="236">
        <v>1101111767007</v>
      </c>
      <c r="F161" s="240" t="s">
        <v>5068</v>
      </c>
      <c r="G161" s="214">
        <v>0</v>
      </c>
      <c r="H161" s="231" t="s">
        <v>4767</v>
      </c>
      <c r="I161" s="231"/>
      <c r="J161" s="231"/>
      <c r="K161" s="231"/>
      <c r="L161" s="231"/>
      <c r="M161" s="231"/>
      <c r="N161" s="231" t="s">
        <v>4881</v>
      </c>
      <c r="O161" s="246" t="s">
        <v>5058</v>
      </c>
      <c r="P161" s="246" t="s">
        <v>5063</v>
      </c>
      <c r="Q161" s="225" t="s">
        <v>5060</v>
      </c>
      <c r="R161" s="212" t="s">
        <v>2</v>
      </c>
      <c r="S161" s="213" t="s">
        <v>4767</v>
      </c>
      <c r="T161" s="233">
        <v>45569</v>
      </c>
      <c r="U161" s="234" t="s">
        <v>4759</v>
      </c>
      <c r="V161" s="234">
        <v>45609</v>
      </c>
      <c r="W161" s="234">
        <v>45611</v>
      </c>
      <c r="X161" s="234" t="s">
        <v>2</v>
      </c>
      <c r="Y161" s="234"/>
      <c r="Z161" s="234" t="s">
        <v>4624</v>
      </c>
      <c r="AA161" s="243">
        <v>202411</v>
      </c>
      <c r="AB161" s="243"/>
      <c r="AC161" s="244" t="s">
        <v>4800</v>
      </c>
      <c r="AD161" s="244" t="s">
        <v>4935</v>
      </c>
      <c r="AE161" s="245">
        <v>1</v>
      </c>
      <c r="AF161" s="244" t="s">
        <v>5069</v>
      </c>
      <c r="AG161" s="239" t="str">
        <f>IFERROR(VLOOKUP(작성용!A:A,RM!A:D,4,0),"-")</f>
        <v>원정우</v>
      </c>
      <c r="AH161" s="9" t="s">
        <v>4987</v>
      </c>
      <c r="AI161" s="235" t="s">
        <v>4771</v>
      </c>
      <c r="AJ161" s="235" t="s">
        <v>5009</v>
      </c>
      <c r="AK161" s="235" t="s">
        <v>4803</v>
      </c>
      <c r="AL161" s="235">
        <v>160</v>
      </c>
    </row>
    <row r="162" spans="1:38" x14ac:dyDescent="0.3">
      <c r="A162" s="222" t="s">
        <v>3448</v>
      </c>
      <c r="B162" s="222" t="s">
        <v>4623</v>
      </c>
      <c r="C162" s="241" t="s">
        <v>4778</v>
      </c>
      <c r="D162" s="237" t="s">
        <v>5067</v>
      </c>
      <c r="E162" s="236">
        <v>1101111767007</v>
      </c>
      <c r="F162" s="240" t="s">
        <v>4692</v>
      </c>
      <c r="G162" s="214">
        <v>1</v>
      </c>
      <c r="H162" s="231" t="s">
        <v>4771</v>
      </c>
      <c r="I162" s="231"/>
      <c r="J162" s="231"/>
      <c r="K162" s="231"/>
      <c r="L162" s="231"/>
      <c r="M162" s="231"/>
      <c r="N162" s="231" t="s">
        <v>4881</v>
      </c>
      <c r="O162" s="246" t="s">
        <v>5070</v>
      </c>
      <c r="P162" s="246" t="s">
        <v>5063</v>
      </c>
      <c r="Q162" s="225" t="s">
        <v>5060</v>
      </c>
      <c r="R162" s="212" t="s">
        <v>2</v>
      </c>
      <c r="S162" s="213" t="s">
        <v>4771</v>
      </c>
      <c r="T162" s="233">
        <v>45569</v>
      </c>
      <c r="U162" s="234" t="s">
        <v>4759</v>
      </c>
      <c r="V162" s="234">
        <v>45609</v>
      </c>
      <c r="W162" s="234">
        <v>45611</v>
      </c>
      <c r="X162" s="234" t="s">
        <v>2</v>
      </c>
      <c r="Y162" s="234"/>
      <c r="Z162" s="234" t="s">
        <v>4624</v>
      </c>
      <c r="AA162" s="243">
        <v>202411</v>
      </c>
      <c r="AB162" s="243"/>
      <c r="AC162" s="244" t="s">
        <v>4800</v>
      </c>
      <c r="AD162" s="244" t="s">
        <v>5069</v>
      </c>
      <c r="AE162" s="245">
        <v>0</v>
      </c>
      <c r="AF162" s="244" t="s">
        <v>5069</v>
      </c>
      <c r="AG162" s="239" t="str">
        <f>IFERROR(VLOOKUP(작성용!A:A,RM!A:D,4,0),"-")</f>
        <v>원정우</v>
      </c>
      <c r="AH162" s="9" t="s">
        <v>4987</v>
      </c>
      <c r="AI162" s="235" t="s">
        <v>4767</v>
      </c>
      <c r="AJ162" s="235" t="s">
        <v>5009</v>
      </c>
      <c r="AK162" s="235" t="s">
        <v>4803</v>
      </c>
      <c r="AL162" s="235">
        <v>161</v>
      </c>
    </row>
    <row r="163" spans="1:38" x14ac:dyDescent="0.3">
      <c r="A163" s="222" t="s">
        <v>3448</v>
      </c>
      <c r="B163" s="222" t="s">
        <v>4623</v>
      </c>
      <c r="C163" s="241" t="s">
        <v>4765</v>
      </c>
      <c r="D163" s="237" t="s">
        <v>5071</v>
      </c>
      <c r="E163" s="236">
        <v>1101115676270</v>
      </c>
      <c r="F163" s="240" t="s">
        <v>4854</v>
      </c>
      <c r="G163" s="214">
        <v>0</v>
      </c>
      <c r="H163" s="231" t="s">
        <v>4771</v>
      </c>
      <c r="I163" s="231"/>
      <c r="J163" s="231"/>
      <c r="K163" s="231"/>
      <c r="L163" s="231"/>
      <c r="M163" s="231"/>
      <c r="N163" s="231" t="s">
        <v>4895</v>
      </c>
      <c r="O163" s="246" t="s">
        <v>5070</v>
      </c>
      <c r="P163" s="246" t="s">
        <v>5063</v>
      </c>
      <c r="Q163" s="225" t="s">
        <v>5060</v>
      </c>
      <c r="R163" s="212" t="s">
        <v>2</v>
      </c>
      <c r="S163" s="213" t="s">
        <v>4767</v>
      </c>
      <c r="T163" s="233">
        <v>45569</v>
      </c>
      <c r="U163" s="234" t="s">
        <v>4871</v>
      </c>
      <c r="V163" s="234">
        <v>45609</v>
      </c>
      <c r="W163" s="234">
        <v>45611</v>
      </c>
      <c r="X163" s="234" t="s">
        <v>2</v>
      </c>
      <c r="Y163" s="234"/>
      <c r="Z163" s="234" t="s">
        <v>4624</v>
      </c>
      <c r="AA163" s="243">
        <v>202411</v>
      </c>
      <c r="AB163" s="243"/>
      <c r="AC163" s="244" t="s">
        <v>4800</v>
      </c>
      <c r="AD163" s="244" t="s">
        <v>4887</v>
      </c>
      <c r="AE163" s="245">
        <v>1</v>
      </c>
      <c r="AF163" s="244" t="s">
        <v>4860</v>
      </c>
      <c r="AG163" s="239" t="str">
        <f>IFERROR(VLOOKUP(작성용!A:A,RM!A:D,4,0),"-")</f>
        <v>원정우</v>
      </c>
      <c r="AH163" s="9" t="s">
        <v>5061</v>
      </c>
      <c r="AI163" s="235" t="s">
        <v>4767</v>
      </c>
      <c r="AJ163" s="235" t="s">
        <v>4920</v>
      </c>
      <c r="AK163" s="235" t="s">
        <v>4777</v>
      </c>
      <c r="AL163" s="235">
        <v>162</v>
      </c>
    </row>
    <row r="164" spans="1:38" x14ac:dyDescent="0.3">
      <c r="A164" s="222" t="s">
        <v>3448</v>
      </c>
      <c r="B164" s="222" t="s">
        <v>4623</v>
      </c>
      <c r="C164" s="241" t="s">
        <v>4765</v>
      </c>
      <c r="D164" s="237" t="s">
        <v>5071</v>
      </c>
      <c r="E164" s="236">
        <v>1101115676270</v>
      </c>
      <c r="F164" s="240" t="s">
        <v>4850</v>
      </c>
      <c r="G164" s="214">
        <v>0</v>
      </c>
      <c r="H164" s="231" t="s">
        <v>4771</v>
      </c>
      <c r="I164" s="231"/>
      <c r="J164" s="231"/>
      <c r="K164" s="231"/>
      <c r="L164" s="231"/>
      <c r="M164" s="231"/>
      <c r="N164" s="231" t="s">
        <v>3528</v>
      </c>
      <c r="O164" s="246" t="s">
        <v>5070</v>
      </c>
      <c r="P164" s="246" t="s">
        <v>5059</v>
      </c>
      <c r="Q164" s="225" t="s">
        <v>5060</v>
      </c>
      <c r="R164" s="212" t="s">
        <v>2</v>
      </c>
      <c r="S164" s="213" t="s">
        <v>4771</v>
      </c>
      <c r="T164" s="233">
        <v>45569</v>
      </c>
      <c r="U164" s="234" t="s">
        <v>4759</v>
      </c>
      <c r="V164" s="234">
        <v>45609</v>
      </c>
      <c r="W164" s="234">
        <v>45611</v>
      </c>
      <c r="X164" s="234" t="s">
        <v>2</v>
      </c>
      <c r="Y164" s="234"/>
      <c r="Z164" s="234" t="s">
        <v>4624</v>
      </c>
      <c r="AA164" s="243">
        <v>202411</v>
      </c>
      <c r="AB164" s="243"/>
      <c r="AC164" s="244" t="s">
        <v>4800</v>
      </c>
      <c r="AD164" s="244" t="s">
        <v>4860</v>
      </c>
      <c r="AE164" s="245">
        <v>0</v>
      </c>
      <c r="AF164" s="244" t="s">
        <v>4887</v>
      </c>
      <c r="AG164" s="239" t="str">
        <f>IFERROR(VLOOKUP(작성용!A:A,RM!A:D,4,0),"-")</f>
        <v>원정우</v>
      </c>
      <c r="AH164" s="9" t="s">
        <v>5061</v>
      </c>
      <c r="AI164" s="235" t="s">
        <v>4771</v>
      </c>
      <c r="AJ164" s="235" t="s">
        <v>5009</v>
      </c>
      <c r="AK164" s="235" t="s">
        <v>4803</v>
      </c>
      <c r="AL164" s="235">
        <v>163</v>
      </c>
    </row>
    <row r="165" spans="1:38" x14ac:dyDescent="0.3">
      <c r="A165" s="222" t="s">
        <v>3448</v>
      </c>
      <c r="B165" s="222" t="s">
        <v>4623</v>
      </c>
      <c r="C165" s="241" t="s">
        <v>4765</v>
      </c>
      <c r="D165" s="237" t="s">
        <v>5072</v>
      </c>
      <c r="E165" s="236">
        <v>1101115676270</v>
      </c>
      <c r="F165" s="240" t="s">
        <v>4850</v>
      </c>
      <c r="G165" s="214">
        <v>1</v>
      </c>
      <c r="H165" s="231" t="s">
        <v>4771</v>
      </c>
      <c r="I165" s="231"/>
      <c r="J165" s="231"/>
      <c r="K165" s="231"/>
      <c r="L165" s="231"/>
      <c r="M165" s="231"/>
      <c r="N165" s="231" t="s">
        <v>4881</v>
      </c>
      <c r="O165" s="246" t="s">
        <v>5058</v>
      </c>
      <c r="P165" s="246" t="s">
        <v>5063</v>
      </c>
      <c r="Q165" s="225" t="s">
        <v>5060</v>
      </c>
      <c r="R165" s="212" t="s">
        <v>2</v>
      </c>
      <c r="S165" s="213" t="s">
        <v>4771</v>
      </c>
      <c r="T165" s="233">
        <v>45569</v>
      </c>
      <c r="U165" s="234" t="s">
        <v>4871</v>
      </c>
      <c r="V165" s="234">
        <v>45609</v>
      </c>
      <c r="W165" s="234">
        <v>45611</v>
      </c>
      <c r="X165" s="234" t="s">
        <v>2</v>
      </c>
      <c r="Y165" s="234"/>
      <c r="Z165" s="234" t="s">
        <v>4624</v>
      </c>
      <c r="AA165" s="243">
        <v>202411</v>
      </c>
      <c r="AB165" s="243"/>
      <c r="AC165" s="244" t="s">
        <v>4878</v>
      </c>
      <c r="AD165" s="244" t="s">
        <v>4860</v>
      </c>
      <c r="AE165" s="245">
        <v>0</v>
      </c>
      <c r="AF165" s="244" t="s">
        <v>4860</v>
      </c>
      <c r="AG165" s="239" t="str">
        <f>IFERROR(VLOOKUP(작성용!A:A,RM!A:D,4,0),"-")</f>
        <v>원정우</v>
      </c>
      <c r="AH165" s="9" t="s">
        <v>4987</v>
      </c>
      <c r="AI165" s="235" t="s">
        <v>4771</v>
      </c>
      <c r="AJ165" s="235" t="s">
        <v>5009</v>
      </c>
      <c r="AK165" s="235" t="s">
        <v>4777</v>
      </c>
      <c r="AL165" s="235">
        <v>164</v>
      </c>
    </row>
    <row r="166" spans="1:38" x14ac:dyDescent="0.3">
      <c r="A166" s="222" t="s">
        <v>3448</v>
      </c>
      <c r="B166" s="222" t="s">
        <v>4623</v>
      </c>
      <c r="C166" s="241" t="s">
        <v>4778</v>
      </c>
      <c r="D166" s="237" t="s">
        <v>5073</v>
      </c>
      <c r="E166" s="236">
        <v>1101116637768</v>
      </c>
      <c r="F166" s="240" t="s">
        <v>4850</v>
      </c>
      <c r="G166" s="214">
        <v>0</v>
      </c>
      <c r="H166" s="231" t="s">
        <v>4771</v>
      </c>
      <c r="I166" s="231"/>
      <c r="J166" s="231"/>
      <c r="K166" s="231"/>
      <c r="L166" s="231"/>
      <c r="M166" s="231"/>
      <c r="N166" s="231" t="s">
        <v>4895</v>
      </c>
      <c r="O166" s="246" t="s">
        <v>5058</v>
      </c>
      <c r="P166" s="246" t="s">
        <v>5059</v>
      </c>
      <c r="Q166" s="225" t="s">
        <v>5060</v>
      </c>
      <c r="R166" s="212" t="s">
        <v>2</v>
      </c>
      <c r="S166" s="213" t="s">
        <v>4771</v>
      </c>
      <c r="T166" s="233">
        <v>45569</v>
      </c>
      <c r="U166" s="234" t="s">
        <v>4759</v>
      </c>
      <c r="V166" s="234">
        <v>45609</v>
      </c>
      <c r="W166" s="234">
        <v>45611</v>
      </c>
      <c r="X166" s="234" t="s">
        <v>2</v>
      </c>
      <c r="Y166" s="234"/>
      <c r="Z166" s="234" t="s">
        <v>4624</v>
      </c>
      <c r="AA166" s="243">
        <v>202411</v>
      </c>
      <c r="AB166" s="243"/>
      <c r="AC166" s="244" t="s">
        <v>4800</v>
      </c>
      <c r="AD166" s="244" t="s">
        <v>4862</v>
      </c>
      <c r="AE166" s="245">
        <v>1</v>
      </c>
      <c r="AF166" s="244" t="s">
        <v>4886</v>
      </c>
      <c r="AG166" s="239" t="str">
        <f>IFERROR(VLOOKUP(작성용!A:A,RM!A:D,4,0),"-")</f>
        <v>원정우</v>
      </c>
      <c r="AH166" s="9" t="s">
        <v>5061</v>
      </c>
      <c r="AI166" s="235" t="s">
        <v>3527</v>
      </c>
      <c r="AJ166" s="235" t="s">
        <v>4920</v>
      </c>
      <c r="AK166" s="235" t="s">
        <v>4777</v>
      </c>
      <c r="AL166" s="235">
        <v>165</v>
      </c>
    </row>
    <row r="167" spans="1:38" x14ac:dyDescent="0.3">
      <c r="A167" s="229" t="s">
        <v>2223</v>
      </c>
      <c r="B167" s="229" t="s">
        <v>5074</v>
      </c>
      <c r="C167" s="241" t="s">
        <v>4778</v>
      </c>
      <c r="D167" s="237" t="s">
        <v>5075</v>
      </c>
      <c r="E167" s="236">
        <v>1101110014970</v>
      </c>
      <c r="F167" s="240" t="s">
        <v>4854</v>
      </c>
      <c r="G167" s="214">
        <v>0</v>
      </c>
      <c r="H167" s="231" t="s">
        <v>4767</v>
      </c>
      <c r="I167" s="231"/>
      <c r="J167" s="231"/>
      <c r="K167" s="231"/>
      <c r="L167" s="231"/>
      <c r="M167" s="231"/>
      <c r="N167" s="231" t="s">
        <v>4806</v>
      </c>
      <c r="O167" s="246" t="s">
        <v>5076</v>
      </c>
      <c r="P167" s="246" t="s">
        <v>5077</v>
      </c>
      <c r="Q167" s="225" t="s">
        <v>5078</v>
      </c>
      <c r="R167" s="212" t="s">
        <v>2</v>
      </c>
      <c r="S167" s="213" t="s">
        <v>4771</v>
      </c>
      <c r="T167" s="233">
        <v>45569</v>
      </c>
      <c r="U167" s="234" t="s">
        <v>4871</v>
      </c>
      <c r="V167" s="233">
        <v>45610</v>
      </c>
      <c r="W167" s="233">
        <v>45614</v>
      </c>
      <c r="X167" s="234" t="s">
        <v>4771</v>
      </c>
      <c r="Y167" s="234"/>
      <c r="Z167" s="234" t="s">
        <v>4625</v>
      </c>
      <c r="AA167" s="238">
        <v>202411</v>
      </c>
      <c r="AB167" s="243"/>
      <c r="AC167" s="233" t="s">
        <v>4800</v>
      </c>
      <c r="AD167" s="244" t="s">
        <v>4905</v>
      </c>
      <c r="AE167" s="245">
        <v>1.5</v>
      </c>
      <c r="AF167" s="244" t="s">
        <v>4905</v>
      </c>
      <c r="AG167" s="239" t="str">
        <f>IFERROR(VLOOKUP(작성용!A:A,RM!A:D,4,0),"-")</f>
        <v>이문수</v>
      </c>
      <c r="AH167" s="9" t="s">
        <v>4937</v>
      </c>
      <c r="AI167" s="235" t="s">
        <v>4771</v>
      </c>
      <c r="AJ167" s="235" t="s">
        <v>5079</v>
      </c>
      <c r="AK167" s="235" t="s">
        <v>4777</v>
      </c>
      <c r="AL167" s="235">
        <v>166</v>
      </c>
    </row>
    <row r="168" spans="1:38" x14ac:dyDescent="0.3">
      <c r="A168" s="229" t="s">
        <v>2223</v>
      </c>
      <c r="B168" s="229" t="s">
        <v>5074</v>
      </c>
      <c r="C168" s="241" t="s">
        <v>4778</v>
      </c>
      <c r="D168" s="237" t="s">
        <v>5080</v>
      </c>
      <c r="E168" s="236">
        <v>1101115378842</v>
      </c>
      <c r="F168" s="240" t="s">
        <v>4854</v>
      </c>
      <c r="G168" s="214">
        <v>0</v>
      </c>
      <c r="H168" s="231" t="s">
        <v>4771</v>
      </c>
      <c r="I168" s="231"/>
      <c r="J168" s="231"/>
      <c r="K168" s="231"/>
      <c r="L168" s="231"/>
      <c r="M168" s="231"/>
      <c r="N168" s="231" t="s">
        <v>4811</v>
      </c>
      <c r="O168" s="246" t="s">
        <v>5076</v>
      </c>
      <c r="P168" s="246" t="s">
        <v>5077</v>
      </c>
      <c r="Q168" s="225" t="s">
        <v>5078</v>
      </c>
      <c r="R168" s="212" t="s">
        <v>2</v>
      </c>
      <c r="S168" s="213" t="s">
        <v>4771</v>
      </c>
      <c r="T168" s="233">
        <v>45569</v>
      </c>
      <c r="U168" s="234" t="s">
        <v>4759</v>
      </c>
      <c r="V168" s="233">
        <v>45610</v>
      </c>
      <c r="W168" s="233">
        <v>45614</v>
      </c>
      <c r="X168" s="234" t="s">
        <v>4771</v>
      </c>
      <c r="Y168" s="234"/>
      <c r="Z168" s="234" t="s">
        <v>4625</v>
      </c>
      <c r="AA168" s="238">
        <v>202411</v>
      </c>
      <c r="AB168" s="243"/>
      <c r="AC168" s="233" t="s">
        <v>4800</v>
      </c>
      <c r="AD168" s="244" t="s">
        <v>4918</v>
      </c>
      <c r="AE168" s="245">
        <v>1.9</v>
      </c>
      <c r="AF168" s="244" t="s">
        <v>4918</v>
      </c>
      <c r="AG168" s="239" t="str">
        <f>IFERROR(VLOOKUP(작성용!A:A,RM!A:D,4,0),"-")</f>
        <v>이문수</v>
      </c>
      <c r="AH168" s="9" t="s">
        <v>5066</v>
      </c>
      <c r="AI168" s="235" t="s">
        <v>4771</v>
      </c>
      <c r="AJ168" s="235" t="s">
        <v>5079</v>
      </c>
      <c r="AK168" s="235" t="s">
        <v>4777</v>
      </c>
      <c r="AL168" s="235">
        <v>167</v>
      </c>
    </row>
    <row r="169" spans="1:38" x14ac:dyDescent="0.3">
      <c r="A169" s="229" t="s">
        <v>2223</v>
      </c>
      <c r="B169" s="229" t="s">
        <v>5074</v>
      </c>
      <c r="C169" s="241" t="s">
        <v>4778</v>
      </c>
      <c r="D169" s="237" t="s">
        <v>5081</v>
      </c>
      <c r="E169" s="236">
        <v>1101115378842</v>
      </c>
      <c r="F169" s="240" t="s">
        <v>4894</v>
      </c>
      <c r="G169" s="214">
        <v>0</v>
      </c>
      <c r="H169" s="231" t="s">
        <v>4771</v>
      </c>
      <c r="I169" s="231"/>
      <c r="J169" s="231"/>
      <c r="K169" s="231"/>
      <c r="L169" s="231"/>
      <c r="M169" s="231"/>
      <c r="N169" s="231" t="s">
        <v>4806</v>
      </c>
      <c r="O169" s="246" t="s">
        <v>5076</v>
      </c>
      <c r="P169" s="246" t="s">
        <v>5077</v>
      </c>
      <c r="Q169" s="225" t="s">
        <v>5078</v>
      </c>
      <c r="R169" s="212" t="s">
        <v>2</v>
      </c>
      <c r="S169" s="213" t="s">
        <v>4771</v>
      </c>
      <c r="T169" s="233">
        <v>45569</v>
      </c>
      <c r="U169" s="234" t="s">
        <v>4871</v>
      </c>
      <c r="V169" s="233">
        <v>45610</v>
      </c>
      <c r="W169" s="233">
        <v>45614</v>
      </c>
      <c r="X169" s="234" t="s">
        <v>4771</v>
      </c>
      <c r="Y169" s="234"/>
      <c r="Z169" s="234" t="s">
        <v>4625</v>
      </c>
      <c r="AA169" s="238">
        <v>202411</v>
      </c>
      <c r="AB169" s="243"/>
      <c r="AC169" s="233" t="s">
        <v>4800</v>
      </c>
      <c r="AD169" s="244" t="s">
        <v>4918</v>
      </c>
      <c r="AE169" s="245">
        <v>0</v>
      </c>
      <c r="AF169" s="244" t="s">
        <v>5082</v>
      </c>
      <c r="AG169" s="239" t="str">
        <f>IFERROR(VLOOKUP(작성용!A:A,RM!A:D,4,0),"-")</f>
        <v>이문수</v>
      </c>
      <c r="AH169" s="9" t="s">
        <v>5066</v>
      </c>
      <c r="AI169" s="235" t="s">
        <v>4771</v>
      </c>
      <c r="AJ169" s="235" t="s">
        <v>5079</v>
      </c>
      <c r="AK169" s="235" t="s">
        <v>4777</v>
      </c>
      <c r="AL169" s="235">
        <v>168</v>
      </c>
    </row>
    <row r="170" spans="1:38" x14ac:dyDescent="0.3">
      <c r="A170" s="229" t="s">
        <v>2223</v>
      </c>
      <c r="B170" s="229" t="s">
        <v>5074</v>
      </c>
      <c r="C170" s="241" t="s">
        <v>4778</v>
      </c>
      <c r="D170" s="237" t="s">
        <v>5081</v>
      </c>
      <c r="E170" s="236">
        <v>1101115378842</v>
      </c>
      <c r="F170" s="240" t="s">
        <v>4750</v>
      </c>
      <c r="G170" s="214">
        <v>0</v>
      </c>
      <c r="H170" s="231" t="s">
        <v>4771</v>
      </c>
      <c r="I170" s="231"/>
      <c r="J170" s="231"/>
      <c r="K170" s="231"/>
      <c r="L170" s="231"/>
      <c r="M170" s="231"/>
      <c r="N170" s="231" t="s">
        <v>4811</v>
      </c>
      <c r="O170" s="246" t="s">
        <v>5076</v>
      </c>
      <c r="P170" s="246" t="s">
        <v>5077</v>
      </c>
      <c r="Q170" s="225" t="s">
        <v>5078</v>
      </c>
      <c r="R170" s="212" t="s">
        <v>2</v>
      </c>
      <c r="S170" s="213" t="s">
        <v>4771</v>
      </c>
      <c r="T170" s="233">
        <v>45569</v>
      </c>
      <c r="U170" s="234" t="s">
        <v>4759</v>
      </c>
      <c r="V170" s="233">
        <v>45610</v>
      </c>
      <c r="W170" s="233">
        <v>45614</v>
      </c>
      <c r="X170" s="234" t="s">
        <v>4767</v>
      </c>
      <c r="Y170" s="234"/>
      <c r="Z170" s="234" t="s">
        <v>4625</v>
      </c>
      <c r="AA170" s="238">
        <v>202411</v>
      </c>
      <c r="AB170" s="243"/>
      <c r="AC170" s="233" t="s">
        <v>4800</v>
      </c>
      <c r="AD170" s="244" t="s">
        <v>4918</v>
      </c>
      <c r="AE170" s="245">
        <v>0</v>
      </c>
      <c r="AF170" s="244" t="s">
        <v>4918</v>
      </c>
      <c r="AG170" s="239" t="str">
        <f>IFERROR(VLOOKUP(작성용!A:A,RM!A:D,4,0),"-")</f>
        <v>이문수</v>
      </c>
      <c r="AH170" s="9" t="s">
        <v>5066</v>
      </c>
      <c r="AI170" s="235" t="s">
        <v>4767</v>
      </c>
      <c r="AJ170" s="235" t="s">
        <v>5083</v>
      </c>
      <c r="AK170" s="235" t="s">
        <v>4777</v>
      </c>
      <c r="AL170" s="235">
        <v>169</v>
      </c>
    </row>
    <row r="171" spans="1:38" x14ac:dyDescent="0.3">
      <c r="A171" s="229" t="s">
        <v>2223</v>
      </c>
      <c r="B171" s="229" t="s">
        <v>5074</v>
      </c>
      <c r="C171" s="241" t="s">
        <v>4778</v>
      </c>
      <c r="D171" s="237" t="s">
        <v>5084</v>
      </c>
      <c r="E171" s="236" t="s">
        <v>3905</v>
      </c>
      <c r="F171" s="240" t="s">
        <v>4854</v>
      </c>
      <c r="G171" s="214">
        <v>0</v>
      </c>
      <c r="H171" s="231" t="s">
        <v>4771</v>
      </c>
      <c r="I171" s="231"/>
      <c r="J171" s="231"/>
      <c r="K171" s="231"/>
      <c r="L171" s="231"/>
      <c r="M171" s="231"/>
      <c r="N171" s="231" t="s">
        <v>4806</v>
      </c>
      <c r="O171" s="246" t="s">
        <v>5076</v>
      </c>
      <c r="P171" s="246" t="s">
        <v>5077</v>
      </c>
      <c r="Q171" s="225" t="s">
        <v>5078</v>
      </c>
      <c r="R171" s="212" t="s">
        <v>2</v>
      </c>
      <c r="S171" s="213" t="s">
        <v>4771</v>
      </c>
      <c r="T171" s="233">
        <v>45569</v>
      </c>
      <c r="U171" s="234" t="s">
        <v>4759</v>
      </c>
      <c r="V171" s="233">
        <v>45610</v>
      </c>
      <c r="W171" s="233">
        <v>45614</v>
      </c>
      <c r="X171" s="234" t="s">
        <v>4771</v>
      </c>
      <c r="Y171" s="234"/>
      <c r="Z171" s="234" t="s">
        <v>5085</v>
      </c>
      <c r="AA171" s="238">
        <v>202411</v>
      </c>
      <c r="AB171" s="243"/>
      <c r="AC171" s="233" t="s">
        <v>4800</v>
      </c>
      <c r="AD171" s="244" t="s">
        <v>4858</v>
      </c>
      <c r="AE171" s="245">
        <v>1.5</v>
      </c>
      <c r="AF171" s="244" t="s">
        <v>4858</v>
      </c>
      <c r="AG171" s="239" t="str">
        <f>IFERROR(VLOOKUP(작성용!A:A,RM!A:D,4,0),"-")</f>
        <v>이문수</v>
      </c>
      <c r="AH171" s="9" t="s">
        <v>4937</v>
      </c>
      <c r="AI171" s="235" t="s">
        <v>4771</v>
      </c>
      <c r="AJ171" s="235" t="s">
        <v>5079</v>
      </c>
      <c r="AK171" s="235" t="s">
        <v>4777</v>
      </c>
      <c r="AL171" s="235">
        <v>170</v>
      </c>
    </row>
    <row r="172" spans="1:38" x14ac:dyDescent="0.3">
      <c r="A172" s="222" t="s">
        <v>3565</v>
      </c>
      <c r="B172" s="222" t="s">
        <v>3566</v>
      </c>
      <c r="C172" s="241" t="s">
        <v>4778</v>
      </c>
      <c r="D172" s="237" t="s">
        <v>5086</v>
      </c>
      <c r="E172" s="236">
        <v>1101110042426</v>
      </c>
      <c r="F172" s="240" t="s">
        <v>4869</v>
      </c>
      <c r="G172" s="214">
        <v>0</v>
      </c>
      <c r="H172" s="231" t="s">
        <v>4829</v>
      </c>
      <c r="I172" s="231"/>
      <c r="J172" s="231"/>
      <c r="K172" s="231"/>
      <c r="L172" s="231"/>
      <c r="M172" s="231"/>
      <c r="N172" s="231" t="s">
        <v>4972</v>
      </c>
      <c r="O172" s="246" t="s">
        <v>5087</v>
      </c>
      <c r="P172" s="246" t="s">
        <v>5088</v>
      </c>
      <c r="Q172" s="225" t="s">
        <v>5089</v>
      </c>
      <c r="R172" s="212" t="s">
        <v>2</v>
      </c>
      <c r="S172" s="213" t="s">
        <v>3527</v>
      </c>
      <c r="T172" s="233">
        <v>45569</v>
      </c>
      <c r="U172" s="234" t="s">
        <v>4772</v>
      </c>
      <c r="V172" s="234">
        <v>45659</v>
      </c>
      <c r="W172" s="234">
        <v>45660</v>
      </c>
      <c r="X172" s="234">
        <v>45660</v>
      </c>
      <c r="Y172" s="234"/>
      <c r="Z172" s="234" t="s">
        <v>5090</v>
      </c>
      <c r="AA172" s="243">
        <v>202412</v>
      </c>
      <c r="AB172" s="243"/>
      <c r="AC172" s="244" t="s">
        <v>4760</v>
      </c>
      <c r="AD172" s="244" t="s">
        <v>4860</v>
      </c>
      <c r="AE172" s="245">
        <v>1</v>
      </c>
      <c r="AF172" s="244" t="s">
        <v>4860</v>
      </c>
      <c r="AG172" s="239" t="str">
        <f>IFERROR(VLOOKUP(작성용!A:A,RM!A:D,4,0),"-")</f>
        <v>강승현</v>
      </c>
      <c r="AH172" s="235" t="s">
        <v>4860</v>
      </c>
      <c r="AI172" s="235" t="s">
        <v>4771</v>
      </c>
      <c r="AJ172" s="235" t="s">
        <v>4776</v>
      </c>
      <c r="AK172" s="235" t="s">
        <v>4777</v>
      </c>
      <c r="AL172" s="235">
        <v>171</v>
      </c>
    </row>
    <row r="173" spans="1:38" x14ac:dyDescent="0.3">
      <c r="A173" s="229" t="s">
        <v>16</v>
      </c>
      <c r="B173" s="229" t="s">
        <v>5091</v>
      </c>
      <c r="C173" s="241" t="s">
        <v>4765</v>
      </c>
      <c r="D173" s="237" t="s">
        <v>5092</v>
      </c>
      <c r="E173" s="236" t="s">
        <v>3939</v>
      </c>
      <c r="F173" s="240" t="s">
        <v>4850</v>
      </c>
      <c r="G173" s="214">
        <v>0</v>
      </c>
      <c r="H173" s="231" t="s">
        <v>4767</v>
      </c>
      <c r="I173" s="231"/>
      <c r="J173" s="231"/>
      <c r="K173" s="231"/>
      <c r="L173" s="231"/>
      <c r="M173" s="231"/>
      <c r="N173" s="231" t="s">
        <v>4940</v>
      </c>
      <c r="O173" s="246"/>
      <c r="P173" s="246"/>
      <c r="Q173" s="225"/>
      <c r="R173" s="212" t="s">
        <v>2</v>
      </c>
      <c r="S173" s="213" t="s">
        <v>4771</v>
      </c>
      <c r="T173" s="233">
        <v>45572</v>
      </c>
      <c r="U173" s="234" t="s">
        <v>4759</v>
      </c>
      <c r="V173" s="233">
        <v>45608</v>
      </c>
      <c r="W173" s="233">
        <v>45615</v>
      </c>
      <c r="X173" s="234" t="s">
        <v>4771</v>
      </c>
      <c r="Y173" s="234"/>
      <c r="Z173" s="234" t="s">
        <v>4626</v>
      </c>
      <c r="AA173" s="238">
        <v>202411</v>
      </c>
      <c r="AB173" s="243"/>
      <c r="AC173" s="233" t="s">
        <v>4878</v>
      </c>
      <c r="AD173" s="244" t="s">
        <v>4947</v>
      </c>
      <c r="AE173" s="245">
        <v>1</v>
      </c>
      <c r="AF173" s="244" t="s">
        <v>4947</v>
      </c>
      <c r="AG173" s="239" t="str">
        <f>IFERROR(VLOOKUP(작성용!A:A,RM!A:D,4,0),"-")</f>
        <v>심태진</v>
      </c>
      <c r="AH173" s="9" t="s">
        <v>4935</v>
      </c>
      <c r="AI173" s="235" t="s">
        <v>4771</v>
      </c>
      <c r="AJ173" s="235" t="s">
        <v>4771</v>
      </c>
      <c r="AK173" s="235" t="s">
        <v>4803</v>
      </c>
      <c r="AL173" s="235">
        <v>172</v>
      </c>
    </row>
    <row r="174" spans="1:38" x14ac:dyDescent="0.3">
      <c r="A174" s="229" t="s">
        <v>16</v>
      </c>
      <c r="B174" s="229" t="s">
        <v>5093</v>
      </c>
      <c r="C174" s="241" t="s">
        <v>4765</v>
      </c>
      <c r="D174" s="237" t="s">
        <v>5094</v>
      </c>
      <c r="E174" s="236" t="s">
        <v>3939</v>
      </c>
      <c r="F174" s="240" t="s">
        <v>4850</v>
      </c>
      <c r="G174" s="214">
        <v>1</v>
      </c>
      <c r="H174" s="231" t="s">
        <v>4767</v>
      </c>
      <c r="I174" s="231"/>
      <c r="J174" s="231"/>
      <c r="K174" s="231"/>
      <c r="L174" s="231"/>
      <c r="M174" s="231"/>
      <c r="N174" s="231" t="s">
        <v>4940</v>
      </c>
      <c r="O174" s="246"/>
      <c r="P174" s="246"/>
      <c r="Q174" s="225"/>
      <c r="R174" s="212" t="s">
        <v>2</v>
      </c>
      <c r="S174" s="213" t="s">
        <v>4767</v>
      </c>
      <c r="T174" s="233">
        <v>45572</v>
      </c>
      <c r="U174" s="234" t="s">
        <v>4759</v>
      </c>
      <c r="V174" s="233">
        <v>45608</v>
      </c>
      <c r="W174" s="233">
        <v>45615</v>
      </c>
      <c r="X174" s="234" t="s">
        <v>4771</v>
      </c>
      <c r="Y174" s="234"/>
      <c r="Z174" s="234" t="s">
        <v>4626</v>
      </c>
      <c r="AA174" s="238">
        <v>202411</v>
      </c>
      <c r="AB174" s="243"/>
      <c r="AC174" s="233" t="s">
        <v>4800</v>
      </c>
      <c r="AD174" s="244" t="s">
        <v>4947</v>
      </c>
      <c r="AE174" s="245">
        <v>0</v>
      </c>
      <c r="AF174" s="244" t="s">
        <v>5095</v>
      </c>
      <c r="AG174" s="239" t="str">
        <f>IFERROR(VLOOKUP(작성용!A:A,RM!A:D,4,0),"-")</f>
        <v>심태진</v>
      </c>
      <c r="AH174" s="9" t="s">
        <v>4935</v>
      </c>
      <c r="AI174" s="235" t="s">
        <v>4767</v>
      </c>
      <c r="AJ174" s="235" t="s">
        <v>4771</v>
      </c>
      <c r="AK174" s="235" t="s">
        <v>4777</v>
      </c>
      <c r="AL174" s="235">
        <v>173</v>
      </c>
    </row>
    <row r="175" spans="1:38" x14ac:dyDescent="0.3">
      <c r="A175" s="229" t="s">
        <v>16</v>
      </c>
      <c r="B175" s="229" t="s">
        <v>5093</v>
      </c>
      <c r="C175" s="241" t="s">
        <v>4778</v>
      </c>
      <c r="D175" s="237" t="s">
        <v>5096</v>
      </c>
      <c r="E175" s="236">
        <v>1341110392039</v>
      </c>
      <c r="F175" s="240" t="s">
        <v>4854</v>
      </c>
      <c r="G175" s="214">
        <v>0</v>
      </c>
      <c r="H175" s="231" t="s">
        <v>4771</v>
      </c>
      <c r="I175" s="231"/>
      <c r="J175" s="231"/>
      <c r="K175" s="231"/>
      <c r="L175" s="231"/>
      <c r="M175" s="231"/>
      <c r="N175" s="231" t="s">
        <v>4940</v>
      </c>
      <c r="O175" s="246"/>
      <c r="P175" s="246"/>
      <c r="Q175" s="225"/>
      <c r="R175" s="212" t="s">
        <v>2</v>
      </c>
      <c r="S175" s="213" t="s">
        <v>4771</v>
      </c>
      <c r="T175" s="233">
        <v>45572</v>
      </c>
      <c r="U175" s="234" t="s">
        <v>4759</v>
      </c>
      <c r="V175" s="233">
        <v>45608</v>
      </c>
      <c r="W175" s="233">
        <v>45615</v>
      </c>
      <c r="X175" s="234" t="s">
        <v>4767</v>
      </c>
      <c r="Y175" s="234"/>
      <c r="Z175" s="234" t="s">
        <v>4626</v>
      </c>
      <c r="AA175" s="238">
        <v>202411</v>
      </c>
      <c r="AB175" s="243"/>
      <c r="AC175" s="233" t="s">
        <v>4800</v>
      </c>
      <c r="AD175" s="244" t="s">
        <v>4933</v>
      </c>
      <c r="AE175" s="245">
        <v>1</v>
      </c>
      <c r="AF175" s="244" t="s">
        <v>4933</v>
      </c>
      <c r="AG175" s="239" t="str">
        <f>IFERROR(VLOOKUP(작성용!A:A,RM!A:D,4,0),"-")</f>
        <v>심태진</v>
      </c>
      <c r="AH175" s="9" t="s">
        <v>4935</v>
      </c>
      <c r="AI175" s="235" t="s">
        <v>4771</v>
      </c>
      <c r="AJ175" s="235" t="s">
        <v>4771</v>
      </c>
      <c r="AK175" s="235" t="s">
        <v>4777</v>
      </c>
      <c r="AL175" s="235">
        <v>174</v>
      </c>
    </row>
    <row r="176" spans="1:38" x14ac:dyDescent="0.3">
      <c r="A176" s="229" t="s">
        <v>16</v>
      </c>
      <c r="B176" s="229" t="s">
        <v>5091</v>
      </c>
      <c r="C176" s="241" t="s">
        <v>4778</v>
      </c>
      <c r="D176" s="237" t="s">
        <v>5097</v>
      </c>
      <c r="E176" s="236">
        <v>1355110404174</v>
      </c>
      <c r="F176" s="240" t="s">
        <v>4854</v>
      </c>
      <c r="G176" s="214">
        <v>0</v>
      </c>
      <c r="H176" s="231" t="s">
        <v>4771</v>
      </c>
      <c r="I176" s="231"/>
      <c r="J176" s="231"/>
      <c r="K176" s="231"/>
      <c r="L176" s="231"/>
      <c r="M176" s="231"/>
      <c r="N176" s="231" t="s">
        <v>4940</v>
      </c>
      <c r="O176" s="246"/>
      <c r="P176" s="246"/>
      <c r="Q176" s="225"/>
      <c r="R176" s="212" t="s">
        <v>2</v>
      </c>
      <c r="S176" s="213" t="s">
        <v>4771</v>
      </c>
      <c r="T176" s="233">
        <v>45572</v>
      </c>
      <c r="U176" s="234" t="s">
        <v>4759</v>
      </c>
      <c r="V176" s="233">
        <v>45608</v>
      </c>
      <c r="W176" s="233">
        <v>45615</v>
      </c>
      <c r="X176" s="234" t="s">
        <v>4771</v>
      </c>
      <c r="Y176" s="234"/>
      <c r="Z176" s="234" t="s">
        <v>4626</v>
      </c>
      <c r="AA176" s="238">
        <v>202411</v>
      </c>
      <c r="AB176" s="243"/>
      <c r="AC176" s="233" t="s">
        <v>4800</v>
      </c>
      <c r="AD176" s="244" t="s">
        <v>4900</v>
      </c>
      <c r="AE176" s="245">
        <v>1</v>
      </c>
      <c r="AF176" s="244" t="s">
        <v>4900</v>
      </c>
      <c r="AG176" s="239" t="str">
        <f>IFERROR(VLOOKUP(작성용!A:A,RM!A:D,4,0),"-")</f>
        <v>심태진</v>
      </c>
      <c r="AH176" s="9" t="s">
        <v>4935</v>
      </c>
      <c r="AI176" s="235" t="s">
        <v>4771</v>
      </c>
      <c r="AJ176" s="235" t="s">
        <v>4767</v>
      </c>
      <c r="AK176" s="235" t="s">
        <v>4777</v>
      </c>
      <c r="AL176" s="235">
        <v>175</v>
      </c>
    </row>
    <row r="177" spans="1:38" x14ac:dyDescent="0.3">
      <c r="A177" s="229" t="s">
        <v>16</v>
      </c>
      <c r="B177" s="229" t="s">
        <v>5093</v>
      </c>
      <c r="C177" s="241" t="s">
        <v>4778</v>
      </c>
      <c r="D177" s="237" t="s">
        <v>5098</v>
      </c>
      <c r="E177" s="236">
        <v>1101116148228</v>
      </c>
      <c r="F177" s="240" t="s">
        <v>4841</v>
      </c>
      <c r="G177" s="214">
        <v>0</v>
      </c>
      <c r="H177" s="231" t="s">
        <v>4767</v>
      </c>
      <c r="I177" s="231"/>
      <c r="J177" s="231"/>
      <c r="K177" s="231"/>
      <c r="L177" s="231"/>
      <c r="M177" s="231"/>
      <c r="N177" s="231" t="s">
        <v>4940</v>
      </c>
      <c r="O177" s="246"/>
      <c r="P177" s="246"/>
      <c r="Q177" s="225"/>
      <c r="R177" s="212" t="s">
        <v>2</v>
      </c>
      <c r="S177" s="213" t="s">
        <v>4771</v>
      </c>
      <c r="T177" s="233">
        <v>45572</v>
      </c>
      <c r="U177" s="234" t="s">
        <v>4759</v>
      </c>
      <c r="V177" s="233">
        <v>45608</v>
      </c>
      <c r="W177" s="233">
        <v>45615</v>
      </c>
      <c r="X177" s="234" t="s">
        <v>4771</v>
      </c>
      <c r="Y177" s="234"/>
      <c r="Z177" s="234" t="s">
        <v>4626</v>
      </c>
      <c r="AA177" s="238">
        <v>202411</v>
      </c>
      <c r="AB177" s="243"/>
      <c r="AC177" s="233" t="s">
        <v>4800</v>
      </c>
      <c r="AD177" s="244" t="s">
        <v>4933</v>
      </c>
      <c r="AE177" s="245">
        <v>1</v>
      </c>
      <c r="AF177" s="244" t="s">
        <v>4933</v>
      </c>
      <c r="AG177" s="239" t="str">
        <f>IFERROR(VLOOKUP(작성용!A:A,RM!A:D,4,0),"-")</f>
        <v>심태진</v>
      </c>
      <c r="AH177" s="9" t="s">
        <v>4935</v>
      </c>
      <c r="AI177" s="235" t="s">
        <v>4771</v>
      </c>
      <c r="AJ177" s="235" t="s">
        <v>4767</v>
      </c>
      <c r="AK177" s="235" t="s">
        <v>4777</v>
      </c>
      <c r="AL177" s="235">
        <v>176</v>
      </c>
    </row>
    <row r="178" spans="1:38" x14ac:dyDescent="0.3">
      <c r="A178" s="229" t="s">
        <v>16</v>
      </c>
      <c r="B178" s="229" t="s">
        <v>5093</v>
      </c>
      <c r="C178" s="241" t="s">
        <v>4778</v>
      </c>
      <c r="D178" s="237" t="s">
        <v>5099</v>
      </c>
      <c r="E178" s="236">
        <v>1311110591014</v>
      </c>
      <c r="F178" s="240" t="s">
        <v>4850</v>
      </c>
      <c r="G178" s="214">
        <v>0</v>
      </c>
      <c r="H178" s="231" t="s">
        <v>4771</v>
      </c>
      <c r="I178" s="231"/>
      <c r="J178" s="231"/>
      <c r="K178" s="231"/>
      <c r="L178" s="231"/>
      <c r="M178" s="231"/>
      <c r="N178" s="231" t="s">
        <v>4940</v>
      </c>
      <c r="O178" s="246"/>
      <c r="P178" s="246"/>
      <c r="Q178" s="225"/>
      <c r="R178" s="212" t="s">
        <v>2</v>
      </c>
      <c r="S178" s="213" t="s">
        <v>4767</v>
      </c>
      <c r="T178" s="233">
        <v>45572</v>
      </c>
      <c r="U178" s="234" t="s">
        <v>4759</v>
      </c>
      <c r="V178" s="233">
        <v>45608</v>
      </c>
      <c r="W178" s="233">
        <v>45615</v>
      </c>
      <c r="X178" s="234" t="s">
        <v>4771</v>
      </c>
      <c r="Y178" s="234"/>
      <c r="Z178" s="234" t="s">
        <v>4626</v>
      </c>
      <c r="AA178" s="238">
        <v>202411</v>
      </c>
      <c r="AB178" s="243"/>
      <c r="AC178" s="233" t="s">
        <v>4800</v>
      </c>
      <c r="AD178" s="244" t="s">
        <v>4761</v>
      </c>
      <c r="AE178" s="245">
        <v>1</v>
      </c>
      <c r="AF178" s="244" t="s">
        <v>4956</v>
      </c>
      <c r="AG178" s="239" t="str">
        <f>IFERROR(VLOOKUP(작성용!A:A,RM!A:D,4,0),"-")</f>
        <v>심태진</v>
      </c>
      <c r="AH178" s="9" t="s">
        <v>4935</v>
      </c>
      <c r="AI178" s="235" t="s">
        <v>4771</v>
      </c>
      <c r="AJ178" s="235" t="s">
        <v>4771</v>
      </c>
      <c r="AK178" s="235" t="s">
        <v>4777</v>
      </c>
      <c r="AL178" s="235">
        <v>177</v>
      </c>
    </row>
    <row r="179" spans="1:38" x14ac:dyDescent="0.3">
      <c r="A179" s="229" t="s">
        <v>16</v>
      </c>
      <c r="B179" s="229" t="s">
        <v>5093</v>
      </c>
      <c r="C179" s="241" t="s">
        <v>4778</v>
      </c>
      <c r="D179" s="237" t="s">
        <v>5100</v>
      </c>
      <c r="E179" s="236">
        <v>2301110141322</v>
      </c>
      <c r="F179" s="240" t="s">
        <v>4854</v>
      </c>
      <c r="G179" s="214">
        <v>0</v>
      </c>
      <c r="H179" s="231" t="s">
        <v>4771</v>
      </c>
      <c r="I179" s="231"/>
      <c r="J179" s="231"/>
      <c r="K179" s="231"/>
      <c r="L179" s="231"/>
      <c r="M179" s="231"/>
      <c r="N179" s="231" t="s">
        <v>4940</v>
      </c>
      <c r="O179" s="246"/>
      <c r="P179" s="246"/>
      <c r="Q179" s="225"/>
      <c r="R179" s="212" t="s">
        <v>2</v>
      </c>
      <c r="S179" s="213" t="s">
        <v>4771</v>
      </c>
      <c r="T179" s="233">
        <v>45572</v>
      </c>
      <c r="U179" s="234" t="s">
        <v>4759</v>
      </c>
      <c r="V179" s="233">
        <v>45608</v>
      </c>
      <c r="W179" s="233">
        <v>45615</v>
      </c>
      <c r="X179" s="234" t="s">
        <v>4771</v>
      </c>
      <c r="Y179" s="234"/>
      <c r="Z179" s="234" t="s">
        <v>4626</v>
      </c>
      <c r="AA179" s="238">
        <v>202411</v>
      </c>
      <c r="AB179" s="243"/>
      <c r="AC179" s="233" t="s">
        <v>4800</v>
      </c>
      <c r="AD179" s="244" t="s">
        <v>4897</v>
      </c>
      <c r="AE179" s="245">
        <v>1</v>
      </c>
      <c r="AF179" s="244" t="s">
        <v>4897</v>
      </c>
      <c r="AG179" s="239" t="str">
        <f>IFERROR(VLOOKUP(작성용!A:A,RM!A:D,4,0),"-")</f>
        <v>심태진</v>
      </c>
      <c r="AH179" s="9" t="s">
        <v>4935</v>
      </c>
      <c r="AI179" s="235" t="s">
        <v>4771</v>
      </c>
      <c r="AJ179" s="235" t="s">
        <v>4771</v>
      </c>
      <c r="AK179" s="235" t="s">
        <v>4777</v>
      </c>
      <c r="AL179" s="235">
        <v>178</v>
      </c>
    </row>
    <row r="180" spans="1:38" x14ac:dyDescent="0.3">
      <c r="A180" s="229" t="s">
        <v>16</v>
      </c>
      <c r="B180" s="229" t="s">
        <v>5091</v>
      </c>
      <c r="C180" s="241" t="s">
        <v>4778</v>
      </c>
      <c r="D180" s="237" t="s">
        <v>5101</v>
      </c>
      <c r="E180" s="236">
        <v>1648110045638</v>
      </c>
      <c r="F180" s="240" t="s">
        <v>4780</v>
      </c>
      <c r="G180" s="214">
        <v>0</v>
      </c>
      <c r="H180" s="231" t="s">
        <v>4771</v>
      </c>
      <c r="I180" s="231"/>
      <c r="J180" s="231"/>
      <c r="K180" s="231"/>
      <c r="L180" s="231"/>
      <c r="M180" s="231"/>
      <c r="N180" s="231" t="s">
        <v>4940</v>
      </c>
      <c r="O180" s="246"/>
      <c r="P180" s="246"/>
      <c r="Q180" s="225"/>
      <c r="R180" s="212" t="s">
        <v>2</v>
      </c>
      <c r="S180" s="213" t="s">
        <v>4767</v>
      </c>
      <c r="T180" s="233">
        <v>45572</v>
      </c>
      <c r="U180" s="234" t="s">
        <v>4759</v>
      </c>
      <c r="V180" s="233">
        <v>45608</v>
      </c>
      <c r="W180" s="233">
        <v>45615</v>
      </c>
      <c r="X180" s="234" t="s">
        <v>4771</v>
      </c>
      <c r="Y180" s="234"/>
      <c r="Z180" s="234" t="s">
        <v>4626</v>
      </c>
      <c r="AA180" s="238">
        <v>202411</v>
      </c>
      <c r="AB180" s="243"/>
      <c r="AC180" s="233" t="s">
        <v>4800</v>
      </c>
      <c r="AD180" s="244" t="s">
        <v>4933</v>
      </c>
      <c r="AE180" s="245">
        <v>1</v>
      </c>
      <c r="AF180" s="244" t="s">
        <v>4933</v>
      </c>
      <c r="AG180" s="239" t="str">
        <f>IFERROR(VLOOKUP(작성용!A:A,RM!A:D,4,0),"-")</f>
        <v>심태진</v>
      </c>
      <c r="AH180" s="9" t="s">
        <v>4935</v>
      </c>
      <c r="AI180" s="235" t="s">
        <v>4771</v>
      </c>
      <c r="AJ180" s="235" t="s">
        <v>4771</v>
      </c>
      <c r="AK180" s="235" t="s">
        <v>4777</v>
      </c>
      <c r="AL180" s="235">
        <v>179</v>
      </c>
    </row>
    <row r="181" spans="1:38" x14ac:dyDescent="0.3">
      <c r="A181" s="229" t="s">
        <v>16</v>
      </c>
      <c r="B181" s="229" t="s">
        <v>5091</v>
      </c>
      <c r="C181" s="241" t="s">
        <v>4778</v>
      </c>
      <c r="D181" s="237" t="s">
        <v>5102</v>
      </c>
      <c r="E181" s="236">
        <v>1411110002605</v>
      </c>
      <c r="F181" s="240" t="s">
        <v>4869</v>
      </c>
      <c r="G181" s="214">
        <v>0</v>
      </c>
      <c r="H181" s="231" t="s">
        <v>4771</v>
      </c>
      <c r="I181" s="231"/>
      <c r="J181" s="231"/>
      <c r="K181" s="231"/>
      <c r="L181" s="231"/>
      <c r="M181" s="231"/>
      <c r="N181" s="231" t="s">
        <v>4940</v>
      </c>
      <c r="O181" s="246"/>
      <c r="P181" s="246"/>
      <c r="Q181" s="225"/>
      <c r="R181" s="212" t="s">
        <v>2</v>
      </c>
      <c r="S181" s="213" t="s">
        <v>4771</v>
      </c>
      <c r="T181" s="233">
        <v>45572</v>
      </c>
      <c r="U181" s="234" t="s">
        <v>4759</v>
      </c>
      <c r="V181" s="233">
        <v>45608</v>
      </c>
      <c r="W181" s="233">
        <v>45615</v>
      </c>
      <c r="X181" s="234" t="s">
        <v>4771</v>
      </c>
      <c r="Y181" s="234"/>
      <c r="Z181" s="234" t="s">
        <v>4626</v>
      </c>
      <c r="AA181" s="238">
        <v>202411</v>
      </c>
      <c r="AB181" s="243"/>
      <c r="AC181" s="233" t="s">
        <v>4800</v>
      </c>
      <c r="AD181" s="228" t="s">
        <v>15</v>
      </c>
      <c r="AE181" s="245">
        <v>1</v>
      </c>
      <c r="AF181" s="228" t="s">
        <v>15</v>
      </c>
      <c r="AG181" s="239" t="str">
        <f>IFERROR(VLOOKUP(작성용!A:A,RM!A:D,4,0),"-")</f>
        <v>심태진</v>
      </c>
      <c r="AH181" s="9" t="s">
        <v>4935</v>
      </c>
      <c r="AI181" s="235" t="s">
        <v>4771</v>
      </c>
      <c r="AJ181" s="235" t="s">
        <v>4771</v>
      </c>
      <c r="AK181" s="235" t="s">
        <v>4777</v>
      </c>
      <c r="AL181" s="235">
        <v>180</v>
      </c>
    </row>
    <row r="182" spans="1:38" x14ac:dyDescent="0.3">
      <c r="A182" s="222" t="s">
        <v>2687</v>
      </c>
      <c r="B182" s="222" t="s">
        <v>5103</v>
      </c>
      <c r="C182" s="241" t="s">
        <v>4778</v>
      </c>
      <c r="D182" s="237" t="s">
        <v>5104</v>
      </c>
      <c r="E182" s="236">
        <v>1101111085079</v>
      </c>
      <c r="F182" s="240" t="s">
        <v>4854</v>
      </c>
      <c r="G182" s="214">
        <v>0</v>
      </c>
      <c r="H182" s="231" t="s">
        <v>4771</v>
      </c>
      <c r="I182" s="231"/>
      <c r="J182" s="231"/>
      <c r="K182" s="231"/>
      <c r="L182" s="231"/>
      <c r="M182" s="231"/>
      <c r="N182" s="231" t="s">
        <v>4895</v>
      </c>
      <c r="O182" s="246" t="s">
        <v>5105</v>
      </c>
      <c r="P182" s="246" t="s">
        <v>5106</v>
      </c>
      <c r="Q182" s="225" t="s">
        <v>4627</v>
      </c>
      <c r="R182" s="212" t="s">
        <v>4767</v>
      </c>
      <c r="S182" s="213" t="s">
        <v>4771</v>
      </c>
      <c r="T182" s="233">
        <v>45572</v>
      </c>
      <c r="U182" s="234" t="s">
        <v>4759</v>
      </c>
      <c r="V182" s="234">
        <v>45601</v>
      </c>
      <c r="W182" s="234">
        <v>45607</v>
      </c>
      <c r="X182" s="234" t="s">
        <v>2</v>
      </c>
      <c r="Y182" s="234"/>
      <c r="Z182" s="234" t="s">
        <v>4628</v>
      </c>
      <c r="AA182" s="243">
        <v>202411</v>
      </c>
      <c r="AB182" s="243"/>
      <c r="AC182" s="244" t="s">
        <v>4800</v>
      </c>
      <c r="AD182" s="244" t="s">
        <v>4918</v>
      </c>
      <c r="AE182" s="245">
        <v>1</v>
      </c>
      <c r="AF182" s="244" t="s">
        <v>4918</v>
      </c>
      <c r="AG182" s="239" t="str">
        <f>IFERROR(VLOOKUP(작성용!A:A,RM!A:D,4,0),"-")</f>
        <v>오수현</v>
      </c>
      <c r="AH182" s="9" t="s">
        <v>4982</v>
      </c>
      <c r="AI182" s="235" t="s">
        <v>4771</v>
      </c>
      <c r="AJ182" s="235" t="s">
        <v>5107</v>
      </c>
      <c r="AK182" s="235" t="s">
        <v>4777</v>
      </c>
      <c r="AL182" s="235">
        <v>181</v>
      </c>
    </row>
    <row r="183" spans="1:38" x14ac:dyDescent="0.3">
      <c r="A183" s="222" t="s">
        <v>2687</v>
      </c>
      <c r="B183" s="222" t="s">
        <v>5103</v>
      </c>
      <c r="C183" s="241" t="s">
        <v>4778</v>
      </c>
      <c r="D183" s="237" t="s">
        <v>5108</v>
      </c>
      <c r="E183" s="236">
        <v>1201110579253</v>
      </c>
      <c r="F183" s="240" t="s">
        <v>4854</v>
      </c>
      <c r="G183" s="214">
        <v>0</v>
      </c>
      <c r="H183" s="231" t="s">
        <v>4771</v>
      </c>
      <c r="I183" s="231"/>
      <c r="J183" s="231"/>
      <c r="K183" s="231"/>
      <c r="L183" s="231"/>
      <c r="M183" s="231"/>
      <c r="N183" s="231" t="s">
        <v>4895</v>
      </c>
      <c r="O183" s="246" t="s">
        <v>5105</v>
      </c>
      <c r="P183" s="246" t="s">
        <v>5106</v>
      </c>
      <c r="Q183" s="225" t="s">
        <v>4627</v>
      </c>
      <c r="R183" s="212" t="s">
        <v>4771</v>
      </c>
      <c r="S183" s="213" t="s">
        <v>4771</v>
      </c>
      <c r="T183" s="233">
        <v>45572</v>
      </c>
      <c r="U183" s="234" t="s">
        <v>4759</v>
      </c>
      <c r="V183" s="234">
        <v>45601</v>
      </c>
      <c r="W183" s="234">
        <v>45607</v>
      </c>
      <c r="X183" s="234" t="s">
        <v>2</v>
      </c>
      <c r="Y183" s="234"/>
      <c r="Z183" s="234" t="s">
        <v>4628</v>
      </c>
      <c r="AA183" s="243">
        <v>202411</v>
      </c>
      <c r="AB183" s="243"/>
      <c r="AC183" s="244" t="s">
        <v>4800</v>
      </c>
      <c r="AD183" s="244" t="s">
        <v>4935</v>
      </c>
      <c r="AE183" s="245">
        <v>1.4</v>
      </c>
      <c r="AF183" s="244" t="s">
        <v>4935</v>
      </c>
      <c r="AG183" s="239" t="str">
        <f>IFERROR(VLOOKUP(작성용!A:A,RM!A:D,4,0),"-")</f>
        <v>오수현</v>
      </c>
      <c r="AH183" s="9" t="s">
        <v>4982</v>
      </c>
      <c r="AI183" s="235" t="s">
        <v>4771</v>
      </c>
      <c r="AJ183" s="235" t="s">
        <v>5107</v>
      </c>
      <c r="AK183" s="235" t="s">
        <v>4777</v>
      </c>
      <c r="AL183" s="235">
        <v>182</v>
      </c>
    </row>
    <row r="184" spans="1:38" x14ac:dyDescent="0.3">
      <c r="A184" s="222" t="s">
        <v>2687</v>
      </c>
      <c r="B184" s="222" t="s">
        <v>5103</v>
      </c>
      <c r="C184" s="241" t="s">
        <v>4778</v>
      </c>
      <c r="D184" s="237" t="s">
        <v>5109</v>
      </c>
      <c r="E184" s="236">
        <v>1101140233532</v>
      </c>
      <c r="F184" s="240" t="s">
        <v>4854</v>
      </c>
      <c r="G184" s="214">
        <v>0</v>
      </c>
      <c r="H184" s="231" t="s">
        <v>4771</v>
      </c>
      <c r="I184" s="231"/>
      <c r="J184" s="231"/>
      <c r="K184" s="231"/>
      <c r="L184" s="231"/>
      <c r="M184" s="231"/>
      <c r="N184" s="231" t="s">
        <v>4895</v>
      </c>
      <c r="O184" s="246" t="s">
        <v>5105</v>
      </c>
      <c r="P184" s="246" t="s">
        <v>5106</v>
      </c>
      <c r="Q184" s="225" t="s">
        <v>4627</v>
      </c>
      <c r="R184" s="212" t="s">
        <v>4771</v>
      </c>
      <c r="S184" s="213" t="s">
        <v>4771</v>
      </c>
      <c r="T184" s="233">
        <v>45572</v>
      </c>
      <c r="U184" s="234" t="s">
        <v>4759</v>
      </c>
      <c r="V184" s="234">
        <v>45601</v>
      </c>
      <c r="W184" s="234">
        <v>45607</v>
      </c>
      <c r="X184" s="234" t="s">
        <v>2</v>
      </c>
      <c r="Y184" s="234"/>
      <c r="Z184" s="234" t="s">
        <v>4628</v>
      </c>
      <c r="AA184" s="243">
        <v>202411</v>
      </c>
      <c r="AB184" s="243"/>
      <c r="AC184" s="244" t="s">
        <v>4800</v>
      </c>
      <c r="AD184" s="244" t="s">
        <v>4860</v>
      </c>
      <c r="AE184" s="245">
        <v>1</v>
      </c>
      <c r="AF184" s="244" t="s">
        <v>4982</v>
      </c>
      <c r="AG184" s="239" t="str">
        <f>IFERROR(VLOOKUP(작성용!A:A,RM!A:D,4,0),"-")</f>
        <v>오수현</v>
      </c>
      <c r="AH184" s="9" t="s">
        <v>4982</v>
      </c>
      <c r="AI184" s="235" t="s">
        <v>4771</v>
      </c>
      <c r="AJ184" s="235" t="s">
        <v>5107</v>
      </c>
      <c r="AK184" s="235" t="s">
        <v>4777</v>
      </c>
      <c r="AL184" s="235">
        <v>183</v>
      </c>
    </row>
    <row r="185" spans="1:38" x14ac:dyDescent="0.3">
      <c r="A185" s="222" t="s">
        <v>2687</v>
      </c>
      <c r="B185" s="222" t="s">
        <v>5103</v>
      </c>
      <c r="C185" s="241" t="s">
        <v>4778</v>
      </c>
      <c r="D185" s="237" t="s">
        <v>5110</v>
      </c>
      <c r="E185" s="236">
        <v>1101113451731</v>
      </c>
      <c r="F185" s="240" t="s">
        <v>4850</v>
      </c>
      <c r="G185" s="214">
        <v>0</v>
      </c>
      <c r="H185" s="231" t="s">
        <v>4771</v>
      </c>
      <c r="I185" s="231"/>
      <c r="J185" s="231"/>
      <c r="K185" s="231"/>
      <c r="L185" s="231"/>
      <c r="M185" s="231"/>
      <c r="N185" s="231" t="s">
        <v>4895</v>
      </c>
      <c r="O185" s="246" t="s">
        <v>5105</v>
      </c>
      <c r="P185" s="246" t="s">
        <v>5106</v>
      </c>
      <c r="Q185" s="225" t="s">
        <v>4627</v>
      </c>
      <c r="R185" s="212" t="s">
        <v>2</v>
      </c>
      <c r="S185" s="213" t="s">
        <v>4771</v>
      </c>
      <c r="T185" s="233">
        <v>45572</v>
      </c>
      <c r="U185" s="234" t="s">
        <v>4759</v>
      </c>
      <c r="V185" s="234">
        <v>45601</v>
      </c>
      <c r="W185" s="234">
        <v>45607</v>
      </c>
      <c r="X185" s="234" t="s">
        <v>2</v>
      </c>
      <c r="Y185" s="234"/>
      <c r="Z185" s="234" t="s">
        <v>4628</v>
      </c>
      <c r="AA185" s="243">
        <v>202411</v>
      </c>
      <c r="AB185" s="243"/>
      <c r="AC185" s="244" t="s">
        <v>4800</v>
      </c>
      <c r="AD185" s="244" t="s">
        <v>4982</v>
      </c>
      <c r="AE185" s="245">
        <v>1</v>
      </c>
      <c r="AF185" s="244" t="s">
        <v>4982</v>
      </c>
      <c r="AG185" s="239" t="str">
        <f>IFERROR(VLOOKUP(작성용!A:A,RM!A:D,4,0),"-")</f>
        <v>오수현</v>
      </c>
      <c r="AH185" s="9" t="s">
        <v>4982</v>
      </c>
      <c r="AI185" s="235" t="s">
        <v>4771</v>
      </c>
      <c r="AJ185" s="235" t="s">
        <v>5107</v>
      </c>
      <c r="AK185" s="235" t="s">
        <v>4777</v>
      </c>
      <c r="AL185" s="235">
        <v>184</v>
      </c>
    </row>
    <row r="186" spans="1:38" x14ac:dyDescent="0.3">
      <c r="A186" s="222" t="s">
        <v>2687</v>
      </c>
      <c r="B186" s="222" t="s">
        <v>5103</v>
      </c>
      <c r="C186" s="241" t="s">
        <v>4778</v>
      </c>
      <c r="D186" s="237" t="s">
        <v>5110</v>
      </c>
      <c r="E186" s="236">
        <v>1101113451731</v>
      </c>
      <c r="F186" s="240" t="s">
        <v>4854</v>
      </c>
      <c r="G186" s="214">
        <v>0</v>
      </c>
      <c r="H186" s="231" t="s">
        <v>4771</v>
      </c>
      <c r="I186" s="231"/>
      <c r="J186" s="231"/>
      <c r="K186" s="231"/>
      <c r="L186" s="231"/>
      <c r="M186" s="231"/>
      <c r="N186" s="231" t="s">
        <v>4895</v>
      </c>
      <c r="O186" s="246" t="s">
        <v>5105</v>
      </c>
      <c r="P186" s="246" t="s">
        <v>5106</v>
      </c>
      <c r="Q186" s="225" t="s">
        <v>4627</v>
      </c>
      <c r="R186" s="212" t="s">
        <v>2</v>
      </c>
      <c r="S186" s="213" t="s">
        <v>4771</v>
      </c>
      <c r="T186" s="233">
        <v>45572</v>
      </c>
      <c r="U186" s="234" t="s">
        <v>4759</v>
      </c>
      <c r="V186" s="234">
        <v>45601</v>
      </c>
      <c r="W186" s="234">
        <v>45607</v>
      </c>
      <c r="X186" s="234" t="s">
        <v>2</v>
      </c>
      <c r="Y186" s="234"/>
      <c r="Z186" s="234" t="s">
        <v>4628</v>
      </c>
      <c r="AA186" s="243">
        <v>202411</v>
      </c>
      <c r="AB186" s="243"/>
      <c r="AC186" s="244" t="s">
        <v>4800</v>
      </c>
      <c r="AD186" s="244" t="s">
        <v>4982</v>
      </c>
      <c r="AE186" s="245">
        <v>0</v>
      </c>
      <c r="AF186" s="244" t="s">
        <v>4982</v>
      </c>
      <c r="AG186" s="239" t="str">
        <f>IFERROR(VLOOKUP(작성용!A:A,RM!A:D,4,0),"-")</f>
        <v>오수현</v>
      </c>
      <c r="AH186" s="9" t="s">
        <v>4982</v>
      </c>
      <c r="AI186" s="235" t="s">
        <v>4771</v>
      </c>
      <c r="AJ186" s="235" t="s">
        <v>5107</v>
      </c>
      <c r="AK186" s="235" t="s">
        <v>4777</v>
      </c>
      <c r="AL186" s="235">
        <v>185</v>
      </c>
    </row>
    <row r="187" spans="1:38" x14ac:dyDescent="0.3">
      <c r="A187" s="222" t="s">
        <v>2687</v>
      </c>
      <c r="B187" s="222" t="s">
        <v>5103</v>
      </c>
      <c r="C187" s="241" t="s">
        <v>4778</v>
      </c>
      <c r="D187" s="237" t="s">
        <v>5111</v>
      </c>
      <c r="E187" s="236">
        <v>1101140222212</v>
      </c>
      <c r="F187" s="240" t="s">
        <v>4854</v>
      </c>
      <c r="G187" s="214">
        <v>0</v>
      </c>
      <c r="H187" s="231" t="s">
        <v>4771</v>
      </c>
      <c r="I187" s="231"/>
      <c r="J187" s="231"/>
      <c r="K187" s="231"/>
      <c r="L187" s="231"/>
      <c r="M187" s="231"/>
      <c r="N187" s="231" t="s">
        <v>4895</v>
      </c>
      <c r="O187" s="246" t="s">
        <v>5105</v>
      </c>
      <c r="P187" s="246" t="s">
        <v>5106</v>
      </c>
      <c r="Q187" s="225" t="s">
        <v>4627</v>
      </c>
      <c r="R187" s="212" t="s">
        <v>4771</v>
      </c>
      <c r="S187" s="213" t="s">
        <v>4771</v>
      </c>
      <c r="T187" s="233">
        <v>45572</v>
      </c>
      <c r="U187" s="234" t="s">
        <v>4759</v>
      </c>
      <c r="V187" s="234">
        <v>45601</v>
      </c>
      <c r="W187" s="234">
        <v>45607</v>
      </c>
      <c r="X187" s="234" t="s">
        <v>2</v>
      </c>
      <c r="Y187" s="234"/>
      <c r="Z187" s="234" t="s">
        <v>4628</v>
      </c>
      <c r="AA187" s="243">
        <v>202411</v>
      </c>
      <c r="AB187" s="243"/>
      <c r="AC187" s="244" t="s">
        <v>4800</v>
      </c>
      <c r="AD187" s="244" t="s">
        <v>4856</v>
      </c>
      <c r="AE187" s="245">
        <v>1</v>
      </c>
      <c r="AF187" s="244" t="s">
        <v>4918</v>
      </c>
      <c r="AG187" s="239" t="str">
        <f>IFERROR(VLOOKUP(작성용!A:A,RM!A:D,4,0),"-")</f>
        <v>오수현</v>
      </c>
      <c r="AH187" s="9" t="s">
        <v>4982</v>
      </c>
      <c r="AI187" s="235" t="s">
        <v>4771</v>
      </c>
      <c r="AJ187" s="235" t="s">
        <v>5107</v>
      </c>
      <c r="AK187" s="235" t="s">
        <v>4777</v>
      </c>
      <c r="AL187" s="235">
        <v>186</v>
      </c>
    </row>
    <row r="188" spans="1:38" x14ac:dyDescent="0.3">
      <c r="A188" s="222" t="s">
        <v>2687</v>
      </c>
      <c r="B188" s="222" t="s">
        <v>5103</v>
      </c>
      <c r="C188" s="241" t="s">
        <v>4778</v>
      </c>
      <c r="D188" s="237" t="s">
        <v>5112</v>
      </c>
      <c r="E188" s="236">
        <v>1612110005190</v>
      </c>
      <c r="F188" s="240" t="s">
        <v>4854</v>
      </c>
      <c r="G188" s="214">
        <v>0</v>
      </c>
      <c r="H188" s="231" t="s">
        <v>4771</v>
      </c>
      <c r="I188" s="231"/>
      <c r="J188" s="231"/>
      <c r="K188" s="231"/>
      <c r="L188" s="231"/>
      <c r="M188" s="231"/>
      <c r="N188" s="231" t="s">
        <v>4895</v>
      </c>
      <c r="O188" s="246" t="s">
        <v>5105</v>
      </c>
      <c r="P188" s="246" t="s">
        <v>5106</v>
      </c>
      <c r="Q188" s="225" t="s">
        <v>4627</v>
      </c>
      <c r="R188" s="212" t="s">
        <v>2</v>
      </c>
      <c r="S188" s="213" t="s">
        <v>4771</v>
      </c>
      <c r="T188" s="233">
        <v>45572</v>
      </c>
      <c r="U188" s="234" t="s">
        <v>4759</v>
      </c>
      <c r="V188" s="234">
        <v>45601</v>
      </c>
      <c r="W188" s="234">
        <v>45607</v>
      </c>
      <c r="X188" s="234" t="s">
        <v>2</v>
      </c>
      <c r="Y188" s="234"/>
      <c r="Z188" s="234" t="s">
        <v>4628</v>
      </c>
      <c r="AA188" s="243">
        <v>202411</v>
      </c>
      <c r="AB188" s="243"/>
      <c r="AC188" s="244" t="s">
        <v>4800</v>
      </c>
      <c r="AD188" s="244" t="s">
        <v>4856</v>
      </c>
      <c r="AE188" s="245">
        <v>1</v>
      </c>
      <c r="AF188" s="244" t="s">
        <v>4856</v>
      </c>
      <c r="AG188" s="239" t="str">
        <f>IFERROR(VLOOKUP(작성용!A:A,RM!A:D,4,0),"-")</f>
        <v>오수현</v>
      </c>
      <c r="AH188" s="9" t="s">
        <v>4982</v>
      </c>
      <c r="AI188" s="235" t="s">
        <v>4771</v>
      </c>
      <c r="AJ188" s="235" t="s">
        <v>5107</v>
      </c>
      <c r="AK188" s="235" t="s">
        <v>4777</v>
      </c>
      <c r="AL188" s="235">
        <v>187</v>
      </c>
    </row>
    <row r="189" spans="1:38" x14ac:dyDescent="0.3">
      <c r="A189" s="222" t="s">
        <v>2687</v>
      </c>
      <c r="B189" s="222" t="s">
        <v>5103</v>
      </c>
      <c r="C189" s="241" t="s">
        <v>4778</v>
      </c>
      <c r="D189" s="237" t="s">
        <v>5113</v>
      </c>
      <c r="E189" s="236">
        <v>1101140251956</v>
      </c>
      <c r="F189" s="240" t="s">
        <v>4854</v>
      </c>
      <c r="G189" s="214">
        <v>0</v>
      </c>
      <c r="H189" s="231" t="s">
        <v>4771</v>
      </c>
      <c r="I189" s="231"/>
      <c r="J189" s="231"/>
      <c r="K189" s="231"/>
      <c r="L189" s="231"/>
      <c r="M189" s="231"/>
      <c r="N189" s="231" t="s">
        <v>4895</v>
      </c>
      <c r="O189" s="246" t="s">
        <v>5105</v>
      </c>
      <c r="P189" s="246" t="s">
        <v>5106</v>
      </c>
      <c r="Q189" s="225" t="s">
        <v>4627</v>
      </c>
      <c r="R189" s="212" t="s">
        <v>4771</v>
      </c>
      <c r="S189" s="213" t="s">
        <v>4771</v>
      </c>
      <c r="T189" s="233">
        <v>45572</v>
      </c>
      <c r="U189" s="234" t="s">
        <v>4759</v>
      </c>
      <c r="V189" s="234">
        <v>45601</v>
      </c>
      <c r="W189" s="234">
        <v>45607</v>
      </c>
      <c r="X189" s="234" t="s">
        <v>2</v>
      </c>
      <c r="Y189" s="234"/>
      <c r="Z189" s="234" t="s">
        <v>4628</v>
      </c>
      <c r="AA189" s="243">
        <v>202411</v>
      </c>
      <c r="AB189" s="243"/>
      <c r="AC189" s="244" t="s">
        <v>4800</v>
      </c>
      <c r="AD189" s="244" t="s">
        <v>4935</v>
      </c>
      <c r="AE189" s="245">
        <v>1</v>
      </c>
      <c r="AF189" s="244" t="s">
        <v>5114</v>
      </c>
      <c r="AG189" s="239" t="str">
        <f>IFERROR(VLOOKUP(작성용!A:A,RM!A:D,4,0),"-")</f>
        <v>오수현</v>
      </c>
      <c r="AH189" s="9" t="s">
        <v>4982</v>
      </c>
      <c r="AI189" s="235" t="s">
        <v>4771</v>
      </c>
      <c r="AJ189" s="235" t="s">
        <v>5115</v>
      </c>
      <c r="AK189" s="235" t="s">
        <v>4803</v>
      </c>
      <c r="AL189" s="235">
        <v>188</v>
      </c>
    </row>
    <row r="190" spans="1:38" x14ac:dyDescent="0.3">
      <c r="A190" s="222" t="s">
        <v>2687</v>
      </c>
      <c r="B190" s="222" t="s">
        <v>5103</v>
      </c>
      <c r="C190" s="241" t="s">
        <v>4765</v>
      </c>
      <c r="D190" s="237" t="s">
        <v>5116</v>
      </c>
      <c r="E190" s="236">
        <v>1942110041004</v>
      </c>
      <c r="F190" s="240" t="s">
        <v>4869</v>
      </c>
      <c r="G190" s="214">
        <v>0</v>
      </c>
      <c r="H190" s="231" t="s">
        <v>4767</v>
      </c>
      <c r="I190" s="231"/>
      <c r="J190" s="231"/>
      <c r="K190" s="231"/>
      <c r="L190" s="231"/>
      <c r="M190" s="231"/>
      <c r="N190" s="231" t="s">
        <v>4895</v>
      </c>
      <c r="O190" s="246" t="s">
        <v>5117</v>
      </c>
      <c r="P190" s="246" t="s">
        <v>5106</v>
      </c>
      <c r="Q190" s="225" t="s">
        <v>4627</v>
      </c>
      <c r="R190" s="212" t="s">
        <v>2</v>
      </c>
      <c r="S190" s="213" t="s">
        <v>4767</v>
      </c>
      <c r="T190" s="233">
        <v>45572</v>
      </c>
      <c r="U190" s="234" t="s">
        <v>4759</v>
      </c>
      <c r="V190" s="234">
        <v>45601</v>
      </c>
      <c r="W190" s="234">
        <v>45607</v>
      </c>
      <c r="X190" s="234" t="s">
        <v>2</v>
      </c>
      <c r="Y190" s="234"/>
      <c r="Z190" s="234" t="s">
        <v>4628</v>
      </c>
      <c r="AA190" s="243">
        <v>202411</v>
      </c>
      <c r="AB190" s="243"/>
      <c r="AC190" s="244" t="s">
        <v>4800</v>
      </c>
      <c r="AD190" s="244" t="s">
        <v>4935</v>
      </c>
      <c r="AE190" s="245">
        <v>1</v>
      </c>
      <c r="AF190" s="244" t="s">
        <v>4935</v>
      </c>
      <c r="AG190" s="239" t="str">
        <f>IFERROR(VLOOKUP(작성용!A:A,RM!A:D,4,0),"-")</f>
        <v>오수현</v>
      </c>
      <c r="AH190" s="9" t="s">
        <v>5118</v>
      </c>
      <c r="AI190" s="235" t="s">
        <v>4771</v>
      </c>
      <c r="AJ190" s="235" t="s">
        <v>5107</v>
      </c>
      <c r="AK190" s="235" t="s">
        <v>4777</v>
      </c>
      <c r="AL190" s="235">
        <v>189</v>
      </c>
    </row>
    <row r="191" spans="1:38" x14ac:dyDescent="0.3">
      <c r="A191" s="222" t="s">
        <v>2687</v>
      </c>
      <c r="B191" s="222" t="s">
        <v>5103</v>
      </c>
      <c r="C191" s="241" t="s">
        <v>4778</v>
      </c>
      <c r="D191" s="237" t="s">
        <v>5116</v>
      </c>
      <c r="E191" s="236">
        <v>1942110041004</v>
      </c>
      <c r="F191" s="240" t="s">
        <v>4894</v>
      </c>
      <c r="G191" s="214">
        <v>1</v>
      </c>
      <c r="H191" s="231" t="s">
        <v>4771</v>
      </c>
      <c r="I191" s="231"/>
      <c r="J191" s="231"/>
      <c r="K191" s="231"/>
      <c r="L191" s="231"/>
      <c r="M191" s="231"/>
      <c r="N191" s="231" t="s">
        <v>4895</v>
      </c>
      <c r="O191" s="246" t="s">
        <v>5105</v>
      </c>
      <c r="P191" s="246" t="s">
        <v>5106</v>
      </c>
      <c r="Q191" s="225" t="s">
        <v>4627</v>
      </c>
      <c r="R191" s="212" t="s">
        <v>2</v>
      </c>
      <c r="S191" s="213" t="s">
        <v>4771</v>
      </c>
      <c r="T191" s="233">
        <v>45572</v>
      </c>
      <c r="U191" s="234" t="s">
        <v>4759</v>
      </c>
      <c r="V191" s="234">
        <v>45601</v>
      </c>
      <c r="W191" s="234">
        <v>45607</v>
      </c>
      <c r="X191" s="234" t="s">
        <v>2</v>
      </c>
      <c r="Y191" s="234"/>
      <c r="Z191" s="234" t="s">
        <v>4628</v>
      </c>
      <c r="AA191" s="243">
        <v>202411</v>
      </c>
      <c r="AB191" s="243"/>
      <c r="AC191" s="244" t="s">
        <v>4878</v>
      </c>
      <c r="AD191" s="244" t="s">
        <v>4935</v>
      </c>
      <c r="AE191" s="245">
        <v>0</v>
      </c>
      <c r="AF191" s="244" t="s">
        <v>4935</v>
      </c>
      <c r="AG191" s="239" t="str">
        <f>IFERROR(VLOOKUP(작성용!A:A,RM!A:D,4,0),"-")</f>
        <v>오수현</v>
      </c>
      <c r="AH191" s="9" t="s">
        <v>4982</v>
      </c>
      <c r="AI191" s="235" t="s">
        <v>4771</v>
      </c>
      <c r="AJ191" s="235" t="s">
        <v>5107</v>
      </c>
      <c r="AK191" s="235" t="s">
        <v>4777</v>
      </c>
      <c r="AL191" s="235">
        <v>190</v>
      </c>
    </row>
    <row r="192" spans="1:38" x14ac:dyDescent="0.3">
      <c r="A192" s="222" t="s">
        <v>2687</v>
      </c>
      <c r="B192" s="222" t="s">
        <v>5103</v>
      </c>
      <c r="C192" s="241" t="s">
        <v>4778</v>
      </c>
      <c r="D192" s="237" t="s">
        <v>5119</v>
      </c>
      <c r="E192" s="236">
        <v>1101116803400</v>
      </c>
      <c r="F192" s="240" t="s">
        <v>4850</v>
      </c>
      <c r="G192" s="214">
        <v>7</v>
      </c>
      <c r="H192" s="231" t="s">
        <v>4771</v>
      </c>
      <c r="I192" s="231"/>
      <c r="J192" s="231"/>
      <c r="K192" s="231"/>
      <c r="L192" s="231"/>
      <c r="M192" s="231"/>
      <c r="N192" s="231" t="s">
        <v>4895</v>
      </c>
      <c r="O192" s="246" t="s">
        <v>5105</v>
      </c>
      <c r="P192" s="246" t="s">
        <v>5106</v>
      </c>
      <c r="Q192" s="225" t="s">
        <v>4627</v>
      </c>
      <c r="R192" s="212" t="s">
        <v>4771</v>
      </c>
      <c r="S192" s="213" t="s">
        <v>4771</v>
      </c>
      <c r="T192" s="233">
        <v>45572</v>
      </c>
      <c r="U192" s="234" t="s">
        <v>4759</v>
      </c>
      <c r="V192" s="234">
        <v>45601</v>
      </c>
      <c r="W192" s="234">
        <v>45607</v>
      </c>
      <c r="X192" s="234" t="s">
        <v>2</v>
      </c>
      <c r="Y192" s="234"/>
      <c r="Z192" s="234" t="s">
        <v>4628</v>
      </c>
      <c r="AA192" s="243">
        <v>202411</v>
      </c>
      <c r="AB192" s="243"/>
      <c r="AC192" s="244" t="s">
        <v>4800</v>
      </c>
      <c r="AD192" s="244" t="s">
        <v>4935</v>
      </c>
      <c r="AE192" s="245">
        <v>1</v>
      </c>
      <c r="AF192" s="244" t="s">
        <v>4935</v>
      </c>
      <c r="AG192" s="239" t="str">
        <f>IFERROR(VLOOKUP(작성용!A:A,RM!A:D,4,0),"-")</f>
        <v>오수현</v>
      </c>
      <c r="AH192" s="9" t="s">
        <v>4982</v>
      </c>
      <c r="AI192" s="235" t="s">
        <v>4771</v>
      </c>
      <c r="AJ192" s="235" t="s">
        <v>5107</v>
      </c>
      <c r="AK192" s="235" t="s">
        <v>4777</v>
      </c>
      <c r="AL192" s="235">
        <v>191</v>
      </c>
    </row>
    <row r="193" spans="1:38" x14ac:dyDescent="0.3">
      <c r="A193" s="222" t="s">
        <v>2687</v>
      </c>
      <c r="B193" s="222" t="s">
        <v>5120</v>
      </c>
      <c r="C193" s="241" t="s">
        <v>4778</v>
      </c>
      <c r="D193" s="237" t="s">
        <v>5121</v>
      </c>
      <c r="E193" s="236">
        <v>1211110059387</v>
      </c>
      <c r="F193" s="240" t="s">
        <v>4854</v>
      </c>
      <c r="G193" s="214">
        <v>0</v>
      </c>
      <c r="H193" s="231" t="s">
        <v>4771</v>
      </c>
      <c r="I193" s="231"/>
      <c r="J193" s="231"/>
      <c r="K193" s="231"/>
      <c r="L193" s="231"/>
      <c r="M193" s="231"/>
      <c r="N193" s="231" t="s">
        <v>4895</v>
      </c>
      <c r="O193" s="246" t="s">
        <v>5105</v>
      </c>
      <c r="P193" s="246" t="s">
        <v>5106</v>
      </c>
      <c r="Q193" s="225" t="s">
        <v>4627</v>
      </c>
      <c r="R193" s="212" t="s">
        <v>2</v>
      </c>
      <c r="S193" s="213" t="s">
        <v>4771</v>
      </c>
      <c r="T193" s="233">
        <v>45572</v>
      </c>
      <c r="U193" s="234" t="s">
        <v>4759</v>
      </c>
      <c r="V193" s="234">
        <v>45601</v>
      </c>
      <c r="W193" s="234">
        <v>45607</v>
      </c>
      <c r="X193" s="234" t="s">
        <v>2</v>
      </c>
      <c r="Y193" s="234"/>
      <c r="Z193" s="234" t="s">
        <v>4628</v>
      </c>
      <c r="AA193" s="243">
        <v>202411</v>
      </c>
      <c r="AB193" s="243"/>
      <c r="AC193" s="244" t="s">
        <v>4800</v>
      </c>
      <c r="AD193" s="244" t="s">
        <v>4945</v>
      </c>
      <c r="AE193" s="245">
        <v>1</v>
      </c>
      <c r="AF193" s="244" t="s">
        <v>4945</v>
      </c>
      <c r="AG193" s="239" t="str">
        <f>IFERROR(VLOOKUP(작성용!A:A,RM!A:D,4,0),"-")</f>
        <v>오수현</v>
      </c>
      <c r="AH193" s="9" t="s">
        <v>4982</v>
      </c>
      <c r="AI193" s="235" t="s">
        <v>4771</v>
      </c>
      <c r="AJ193" s="235" t="s">
        <v>5107</v>
      </c>
      <c r="AK193" s="235" t="s">
        <v>4777</v>
      </c>
      <c r="AL193" s="235">
        <v>192</v>
      </c>
    </row>
    <row r="194" spans="1:38" x14ac:dyDescent="0.3">
      <c r="A194" s="222" t="s">
        <v>2687</v>
      </c>
      <c r="B194" s="222" t="s">
        <v>5103</v>
      </c>
      <c r="C194" s="241" t="s">
        <v>4778</v>
      </c>
      <c r="D194" s="237" t="s">
        <v>5122</v>
      </c>
      <c r="E194" s="236">
        <v>1101116039162</v>
      </c>
      <c r="F194" s="240" t="s">
        <v>4854</v>
      </c>
      <c r="G194" s="214">
        <v>1</v>
      </c>
      <c r="H194" s="231" t="s">
        <v>4771</v>
      </c>
      <c r="I194" s="231"/>
      <c r="J194" s="231"/>
      <c r="K194" s="231"/>
      <c r="L194" s="231"/>
      <c r="M194" s="231"/>
      <c r="N194" s="231" t="s">
        <v>4895</v>
      </c>
      <c r="O194" s="246" t="s">
        <v>5105</v>
      </c>
      <c r="P194" s="246" t="s">
        <v>5106</v>
      </c>
      <c r="Q194" s="225" t="s">
        <v>4627</v>
      </c>
      <c r="R194" s="212" t="s">
        <v>2</v>
      </c>
      <c r="S194" s="213" t="s">
        <v>4771</v>
      </c>
      <c r="T194" s="233">
        <v>45572</v>
      </c>
      <c r="U194" s="234" t="s">
        <v>4759</v>
      </c>
      <c r="V194" s="234">
        <v>45601</v>
      </c>
      <c r="W194" s="234">
        <v>45607</v>
      </c>
      <c r="X194" s="234" t="s">
        <v>2</v>
      </c>
      <c r="Y194" s="234"/>
      <c r="Z194" s="234" t="s">
        <v>4628</v>
      </c>
      <c r="AA194" s="243">
        <v>202411</v>
      </c>
      <c r="AB194" s="243"/>
      <c r="AC194" s="244" t="s">
        <v>4800</v>
      </c>
      <c r="AD194" s="244" t="s">
        <v>4856</v>
      </c>
      <c r="AE194" s="245">
        <v>1</v>
      </c>
      <c r="AF194" s="244" t="s">
        <v>4856</v>
      </c>
      <c r="AG194" s="239" t="str">
        <f>IFERROR(VLOOKUP(작성용!A:A,RM!A:D,4,0),"-")</f>
        <v>오수현</v>
      </c>
      <c r="AH194" s="9" t="s">
        <v>4982</v>
      </c>
      <c r="AI194" s="235" t="s">
        <v>4771</v>
      </c>
      <c r="AJ194" s="235" t="s">
        <v>5107</v>
      </c>
      <c r="AK194" s="235" t="s">
        <v>4777</v>
      </c>
      <c r="AL194" s="235">
        <v>193</v>
      </c>
    </row>
    <row r="195" spans="1:38" x14ac:dyDescent="0.3">
      <c r="A195" s="222" t="s">
        <v>2687</v>
      </c>
      <c r="B195" s="222" t="s">
        <v>5103</v>
      </c>
      <c r="C195" s="241" t="s">
        <v>4762</v>
      </c>
      <c r="D195" s="237" t="s">
        <v>5123</v>
      </c>
      <c r="E195" s="236">
        <v>1101140304838</v>
      </c>
      <c r="F195" s="240" t="s">
        <v>4854</v>
      </c>
      <c r="G195" s="214">
        <v>0</v>
      </c>
      <c r="H195" s="231" t="s">
        <v>4771</v>
      </c>
      <c r="I195" s="231"/>
      <c r="J195" s="231"/>
      <c r="K195" s="231"/>
      <c r="L195" s="231"/>
      <c r="M195" s="231"/>
      <c r="N195" s="231" t="s">
        <v>4895</v>
      </c>
      <c r="O195" s="246" t="s">
        <v>5105</v>
      </c>
      <c r="P195" s="246" t="s">
        <v>5106</v>
      </c>
      <c r="Q195" s="225" t="s">
        <v>4627</v>
      </c>
      <c r="R195" s="212" t="s">
        <v>2</v>
      </c>
      <c r="S195" s="213" t="s">
        <v>4771</v>
      </c>
      <c r="T195" s="233">
        <v>45572</v>
      </c>
      <c r="U195" s="234" t="s">
        <v>4759</v>
      </c>
      <c r="V195" s="234">
        <v>45601</v>
      </c>
      <c r="W195" s="234">
        <v>45607</v>
      </c>
      <c r="X195" s="234" t="s">
        <v>2</v>
      </c>
      <c r="Y195" s="234"/>
      <c r="Z195" s="234" t="s">
        <v>4628</v>
      </c>
      <c r="AA195" s="243">
        <v>202411</v>
      </c>
      <c r="AB195" s="243"/>
      <c r="AC195" s="244" t="s">
        <v>4800</v>
      </c>
      <c r="AD195" s="244" t="s">
        <v>4915</v>
      </c>
      <c r="AE195" s="245">
        <v>1</v>
      </c>
      <c r="AF195" s="244" t="s">
        <v>4762</v>
      </c>
      <c r="AG195" s="239" t="str">
        <f>IFERROR(VLOOKUP(작성용!A:A,RM!A:D,4,0),"-")</f>
        <v>오수현</v>
      </c>
      <c r="AH195" s="9" t="s">
        <v>4982</v>
      </c>
      <c r="AI195" s="235" t="s">
        <v>4771</v>
      </c>
      <c r="AJ195" s="235" t="s">
        <v>5107</v>
      </c>
      <c r="AK195" s="235" t="s">
        <v>4777</v>
      </c>
      <c r="AL195" s="235">
        <v>194</v>
      </c>
    </row>
    <row r="196" spans="1:38" x14ac:dyDescent="0.3">
      <c r="A196" s="222" t="s">
        <v>2687</v>
      </c>
      <c r="B196" s="222" t="s">
        <v>5103</v>
      </c>
      <c r="C196" s="241" t="s">
        <v>4762</v>
      </c>
      <c r="D196" s="237" t="s">
        <v>5124</v>
      </c>
      <c r="E196" s="236">
        <v>1345110457059</v>
      </c>
      <c r="F196" s="240" t="s">
        <v>4926</v>
      </c>
      <c r="G196" s="214">
        <v>0</v>
      </c>
      <c r="H196" s="231" t="s">
        <v>4771</v>
      </c>
      <c r="I196" s="231"/>
      <c r="J196" s="231"/>
      <c r="K196" s="231"/>
      <c r="L196" s="231"/>
      <c r="M196" s="231"/>
      <c r="N196" s="231" t="s">
        <v>4895</v>
      </c>
      <c r="O196" s="246" t="s">
        <v>5105</v>
      </c>
      <c r="P196" s="246" t="s">
        <v>5106</v>
      </c>
      <c r="Q196" s="225" t="s">
        <v>4627</v>
      </c>
      <c r="R196" s="212" t="s">
        <v>2</v>
      </c>
      <c r="S196" s="213" t="s">
        <v>4771</v>
      </c>
      <c r="T196" s="233">
        <v>45572</v>
      </c>
      <c r="U196" s="234" t="s">
        <v>4759</v>
      </c>
      <c r="V196" s="234">
        <v>45601</v>
      </c>
      <c r="W196" s="234">
        <v>45607</v>
      </c>
      <c r="X196" s="234" t="s">
        <v>2</v>
      </c>
      <c r="Y196" s="234"/>
      <c r="Z196" s="234" t="s">
        <v>4628</v>
      </c>
      <c r="AA196" s="243">
        <v>202411</v>
      </c>
      <c r="AB196" s="243"/>
      <c r="AC196" s="244" t="s">
        <v>4800</v>
      </c>
      <c r="AD196" s="244" t="s">
        <v>4845</v>
      </c>
      <c r="AE196" s="245">
        <v>1</v>
      </c>
      <c r="AF196" s="244" t="s">
        <v>4845</v>
      </c>
      <c r="AG196" s="239" t="str">
        <f>IFERROR(VLOOKUP(작성용!A:A,RM!A:D,4,0),"-")</f>
        <v>오수현</v>
      </c>
      <c r="AH196" s="9" t="s">
        <v>4982</v>
      </c>
      <c r="AI196" s="235" t="s">
        <v>4771</v>
      </c>
      <c r="AJ196" s="235" t="s">
        <v>5107</v>
      </c>
      <c r="AK196" s="235" t="s">
        <v>4777</v>
      </c>
      <c r="AL196" s="235">
        <v>195</v>
      </c>
    </row>
    <row r="197" spans="1:38" x14ac:dyDescent="0.3">
      <c r="A197" s="229" t="s">
        <v>627</v>
      </c>
      <c r="B197" s="229" t="s">
        <v>5125</v>
      </c>
      <c r="C197" s="241" t="s">
        <v>4778</v>
      </c>
      <c r="D197" s="237" t="s">
        <v>5126</v>
      </c>
      <c r="E197" s="236">
        <v>1101113121756</v>
      </c>
      <c r="F197" s="240" t="s">
        <v>4854</v>
      </c>
      <c r="G197" s="214">
        <v>0</v>
      </c>
      <c r="H197" s="231" t="s">
        <v>4771</v>
      </c>
      <c r="I197" s="231"/>
      <c r="J197" s="231"/>
      <c r="K197" s="231"/>
      <c r="L197" s="231"/>
      <c r="M197" s="231"/>
      <c r="N197" s="231" t="s">
        <v>4972</v>
      </c>
      <c r="O197" s="246" t="s">
        <v>5127</v>
      </c>
      <c r="P197" s="246" t="s">
        <v>5128</v>
      </c>
      <c r="Q197" s="225" t="s">
        <v>5129</v>
      </c>
      <c r="R197" s="212" t="s">
        <v>5130</v>
      </c>
      <c r="S197" s="213" t="s">
        <v>5130</v>
      </c>
      <c r="T197" s="233">
        <v>45572</v>
      </c>
      <c r="U197" s="234" t="s">
        <v>4772</v>
      </c>
      <c r="V197" s="234">
        <v>45672</v>
      </c>
      <c r="W197" s="234">
        <v>45679</v>
      </c>
      <c r="X197" s="234" t="s">
        <v>2</v>
      </c>
      <c r="Y197" s="234"/>
      <c r="Z197" s="234" t="s">
        <v>4629</v>
      </c>
      <c r="AA197" s="224">
        <v>202412</v>
      </c>
      <c r="AB197" s="243"/>
      <c r="AC197" s="244" t="s">
        <v>4760</v>
      </c>
      <c r="AD197" s="244" t="s">
        <v>4927</v>
      </c>
      <c r="AE197" s="245">
        <v>1</v>
      </c>
      <c r="AF197" s="244" t="s">
        <v>4927</v>
      </c>
      <c r="AG197" s="239" t="str">
        <f>IFERROR(VLOOKUP(작성용!A:A,RM!A:D,4,0),"-")</f>
        <v>김예림</v>
      </c>
      <c r="AH197" s="235" t="s">
        <v>4927</v>
      </c>
      <c r="AI197" s="235" t="s">
        <v>4771</v>
      </c>
      <c r="AJ197" s="235" t="s">
        <v>4771</v>
      </c>
      <c r="AK197" s="235" t="s">
        <v>4128</v>
      </c>
      <c r="AL197" s="235">
        <v>196</v>
      </c>
    </row>
    <row r="198" spans="1:38" x14ac:dyDescent="0.3">
      <c r="A198" s="229" t="s">
        <v>627</v>
      </c>
      <c r="B198" s="229" t="s">
        <v>5125</v>
      </c>
      <c r="C198" s="241" t="s">
        <v>4778</v>
      </c>
      <c r="D198" s="237" t="s">
        <v>5131</v>
      </c>
      <c r="E198" s="236">
        <v>1412110039135</v>
      </c>
      <c r="F198" s="240" t="s">
        <v>4854</v>
      </c>
      <c r="G198" s="214">
        <v>0</v>
      </c>
      <c r="H198" s="231" t="s">
        <v>4771</v>
      </c>
      <c r="I198" s="231"/>
      <c r="J198" s="231"/>
      <c r="K198" s="231"/>
      <c r="L198" s="231"/>
      <c r="M198" s="231"/>
      <c r="N198" s="231" t="s">
        <v>4972</v>
      </c>
      <c r="O198" s="246" t="s">
        <v>5127</v>
      </c>
      <c r="P198" s="246" t="s">
        <v>5128</v>
      </c>
      <c r="Q198" s="225" t="s">
        <v>5129</v>
      </c>
      <c r="R198" s="212" t="s">
        <v>5132</v>
      </c>
      <c r="S198" s="213" t="s">
        <v>5132</v>
      </c>
      <c r="T198" s="233">
        <v>45572</v>
      </c>
      <c r="U198" s="234" t="s">
        <v>4772</v>
      </c>
      <c r="V198" s="234">
        <v>45672</v>
      </c>
      <c r="W198" s="234">
        <v>45679</v>
      </c>
      <c r="X198" s="234" t="s">
        <v>2</v>
      </c>
      <c r="Y198" s="234"/>
      <c r="Z198" s="234" t="s">
        <v>4629</v>
      </c>
      <c r="AA198" s="224">
        <v>202412</v>
      </c>
      <c r="AB198" s="243"/>
      <c r="AC198" s="244" t="s">
        <v>4760</v>
      </c>
      <c r="AD198" s="244" t="s">
        <v>4845</v>
      </c>
      <c r="AE198" s="245">
        <v>1</v>
      </c>
      <c r="AF198" s="244" t="s">
        <v>4845</v>
      </c>
      <c r="AG198" s="239" t="str">
        <f>IFERROR(VLOOKUP(작성용!A:A,RM!A:D,4,0),"-")</f>
        <v>김예림</v>
      </c>
      <c r="AH198" s="235" t="s">
        <v>4927</v>
      </c>
      <c r="AI198" s="235" t="s">
        <v>4771</v>
      </c>
      <c r="AJ198" s="235" t="s">
        <v>4771</v>
      </c>
      <c r="AK198" s="235" t="s">
        <v>4128</v>
      </c>
      <c r="AL198" s="235">
        <v>197</v>
      </c>
    </row>
    <row r="199" spans="1:38" x14ac:dyDescent="0.3">
      <c r="A199" s="229" t="s">
        <v>627</v>
      </c>
      <c r="B199" s="229" t="s">
        <v>5125</v>
      </c>
      <c r="C199" s="241" t="s">
        <v>4778</v>
      </c>
      <c r="D199" s="237" t="s">
        <v>5133</v>
      </c>
      <c r="E199" s="236">
        <v>1843710003123</v>
      </c>
      <c r="F199" s="240" t="s">
        <v>4854</v>
      </c>
      <c r="G199" s="214">
        <v>0</v>
      </c>
      <c r="H199" s="231" t="s">
        <v>4771</v>
      </c>
      <c r="I199" s="231"/>
      <c r="J199" s="231"/>
      <c r="K199" s="231"/>
      <c r="L199" s="231"/>
      <c r="M199" s="231"/>
      <c r="N199" s="231" t="s">
        <v>4972</v>
      </c>
      <c r="O199" s="246" t="s">
        <v>5127</v>
      </c>
      <c r="P199" s="246" t="s">
        <v>5128</v>
      </c>
      <c r="Q199" s="225" t="s">
        <v>5129</v>
      </c>
      <c r="R199" s="212" t="s">
        <v>5134</v>
      </c>
      <c r="S199" s="213" t="s">
        <v>5134</v>
      </c>
      <c r="T199" s="233">
        <v>45572</v>
      </c>
      <c r="U199" s="234" t="s">
        <v>4772</v>
      </c>
      <c r="V199" s="234">
        <v>45672</v>
      </c>
      <c r="W199" s="234">
        <v>45679</v>
      </c>
      <c r="X199" s="234" t="s">
        <v>2</v>
      </c>
      <c r="Y199" s="234"/>
      <c r="Z199" s="234" t="s">
        <v>4629</v>
      </c>
      <c r="AA199" s="224">
        <v>202412</v>
      </c>
      <c r="AB199" s="243"/>
      <c r="AC199" s="244" t="s">
        <v>4760</v>
      </c>
      <c r="AD199" s="244" t="s">
        <v>4937</v>
      </c>
      <c r="AE199" s="245">
        <v>1</v>
      </c>
      <c r="AF199" s="244" t="s">
        <v>4937</v>
      </c>
      <c r="AG199" s="239" t="str">
        <f>IFERROR(VLOOKUP(작성용!A:A,RM!A:D,4,0),"-")</f>
        <v>김예림</v>
      </c>
      <c r="AH199" s="235" t="s">
        <v>4927</v>
      </c>
      <c r="AI199" s="235" t="s">
        <v>4771</v>
      </c>
      <c r="AJ199" s="235" t="s">
        <v>4771</v>
      </c>
      <c r="AK199" s="235" t="s">
        <v>4128</v>
      </c>
      <c r="AL199" s="235">
        <v>198</v>
      </c>
    </row>
    <row r="200" spans="1:38" x14ac:dyDescent="0.3">
      <c r="A200" s="229" t="s">
        <v>627</v>
      </c>
      <c r="B200" s="229" t="s">
        <v>5125</v>
      </c>
      <c r="C200" s="241" t="s">
        <v>4778</v>
      </c>
      <c r="D200" s="237" t="s">
        <v>5135</v>
      </c>
      <c r="E200" s="236">
        <v>1101114306373</v>
      </c>
      <c r="F200" s="240" t="s">
        <v>4854</v>
      </c>
      <c r="G200" s="214">
        <v>0</v>
      </c>
      <c r="H200" s="231" t="s">
        <v>4771</v>
      </c>
      <c r="I200" s="231"/>
      <c r="J200" s="231"/>
      <c r="K200" s="231"/>
      <c r="L200" s="231"/>
      <c r="M200" s="231"/>
      <c r="N200" s="231" t="s">
        <v>4972</v>
      </c>
      <c r="O200" s="246" t="s">
        <v>5127</v>
      </c>
      <c r="P200" s="246" t="s">
        <v>5128</v>
      </c>
      <c r="Q200" s="225" t="s">
        <v>5129</v>
      </c>
      <c r="R200" s="212" t="s">
        <v>5136</v>
      </c>
      <c r="S200" s="213" t="s">
        <v>5136</v>
      </c>
      <c r="T200" s="233">
        <v>45572</v>
      </c>
      <c r="U200" s="234" t="s">
        <v>4772</v>
      </c>
      <c r="V200" s="234">
        <v>45672</v>
      </c>
      <c r="W200" s="234">
        <v>45679</v>
      </c>
      <c r="X200" s="234" t="s">
        <v>2</v>
      </c>
      <c r="Y200" s="234"/>
      <c r="Z200" s="234" t="s">
        <v>4629</v>
      </c>
      <c r="AA200" s="224">
        <v>202412</v>
      </c>
      <c r="AB200" s="243"/>
      <c r="AC200" s="244" t="s">
        <v>4885</v>
      </c>
      <c r="AD200" s="244" t="s">
        <v>4905</v>
      </c>
      <c r="AE200" s="245">
        <v>1</v>
      </c>
      <c r="AF200" s="244" t="s">
        <v>4905</v>
      </c>
      <c r="AG200" s="239" t="str">
        <f>IFERROR(VLOOKUP(작성용!A:A,RM!A:D,4,0),"-")</f>
        <v>김예림</v>
      </c>
      <c r="AH200" s="235" t="s">
        <v>4927</v>
      </c>
      <c r="AI200" s="235" t="s">
        <v>4771</v>
      </c>
      <c r="AJ200" s="235" t="s">
        <v>4771</v>
      </c>
      <c r="AK200" s="235" t="s">
        <v>4128</v>
      </c>
      <c r="AL200" s="235">
        <v>199</v>
      </c>
    </row>
    <row r="201" spans="1:38" x14ac:dyDescent="0.3">
      <c r="A201" s="229" t="s">
        <v>627</v>
      </c>
      <c r="B201" s="229" t="s">
        <v>5125</v>
      </c>
      <c r="C201" s="241" t="s">
        <v>4778</v>
      </c>
      <c r="D201" s="237" t="s">
        <v>5137</v>
      </c>
      <c r="E201" s="236">
        <v>1101112723644</v>
      </c>
      <c r="F201" s="240" t="s">
        <v>5138</v>
      </c>
      <c r="G201" s="214">
        <v>0</v>
      </c>
      <c r="H201" s="231" t="s">
        <v>4771</v>
      </c>
      <c r="I201" s="231"/>
      <c r="J201" s="231"/>
      <c r="K201" s="231"/>
      <c r="L201" s="231"/>
      <c r="M201" s="231"/>
      <c r="N201" s="231" t="s">
        <v>4972</v>
      </c>
      <c r="O201" s="246" t="s">
        <v>5127</v>
      </c>
      <c r="P201" s="246" t="s">
        <v>5128</v>
      </c>
      <c r="Q201" s="225" t="s">
        <v>5129</v>
      </c>
      <c r="R201" s="212" t="s">
        <v>5139</v>
      </c>
      <c r="S201" s="213" t="s">
        <v>5139</v>
      </c>
      <c r="T201" s="233">
        <v>45572</v>
      </c>
      <c r="U201" s="234" t="s">
        <v>4772</v>
      </c>
      <c r="V201" s="234">
        <v>45672</v>
      </c>
      <c r="W201" s="234">
        <v>45679</v>
      </c>
      <c r="X201" s="234" t="s">
        <v>2</v>
      </c>
      <c r="Y201" s="234"/>
      <c r="Z201" s="234" t="s">
        <v>4629</v>
      </c>
      <c r="AA201" s="224">
        <v>202412</v>
      </c>
      <c r="AB201" s="243"/>
      <c r="AC201" s="244" t="s">
        <v>4760</v>
      </c>
      <c r="AD201" s="244" t="s">
        <v>4537</v>
      </c>
      <c r="AE201" s="245">
        <v>1</v>
      </c>
      <c r="AF201" s="244" t="s">
        <v>4872</v>
      </c>
      <c r="AG201" s="239" t="str">
        <f>IFERROR(VLOOKUP(작성용!A:A,RM!A:D,4,0),"-")</f>
        <v>김예림</v>
      </c>
      <c r="AH201" s="235" t="s">
        <v>4927</v>
      </c>
      <c r="AI201" s="235" t="s">
        <v>4771</v>
      </c>
      <c r="AJ201" s="235" t="s">
        <v>4771</v>
      </c>
      <c r="AK201" s="235" t="s">
        <v>4128</v>
      </c>
      <c r="AL201" s="235">
        <v>200</v>
      </c>
    </row>
    <row r="202" spans="1:38" x14ac:dyDescent="0.3">
      <c r="A202" s="229" t="s">
        <v>627</v>
      </c>
      <c r="B202" s="229" t="s">
        <v>5125</v>
      </c>
      <c r="C202" s="241" t="s">
        <v>4778</v>
      </c>
      <c r="D202" s="237" t="s">
        <v>5140</v>
      </c>
      <c r="E202" s="236">
        <v>1201110854332</v>
      </c>
      <c r="F202" s="240" t="s">
        <v>5138</v>
      </c>
      <c r="G202" s="214">
        <v>0</v>
      </c>
      <c r="H202" s="231" t="s">
        <v>4771</v>
      </c>
      <c r="I202" s="231"/>
      <c r="J202" s="231"/>
      <c r="K202" s="231"/>
      <c r="L202" s="231"/>
      <c r="M202" s="231"/>
      <c r="N202" s="231" t="s">
        <v>4972</v>
      </c>
      <c r="O202" s="246" t="s">
        <v>5127</v>
      </c>
      <c r="P202" s="246" t="s">
        <v>5128</v>
      </c>
      <c r="Q202" s="225" t="s">
        <v>5129</v>
      </c>
      <c r="R202" s="212" t="s">
        <v>5141</v>
      </c>
      <c r="S202" s="213" t="s">
        <v>5141</v>
      </c>
      <c r="T202" s="233">
        <v>45572</v>
      </c>
      <c r="U202" s="234" t="s">
        <v>4772</v>
      </c>
      <c r="V202" s="234">
        <v>45672</v>
      </c>
      <c r="W202" s="234">
        <v>45679</v>
      </c>
      <c r="X202" s="234" t="s">
        <v>2</v>
      </c>
      <c r="Y202" s="234"/>
      <c r="Z202" s="234" t="s">
        <v>4629</v>
      </c>
      <c r="AA202" s="224">
        <v>202412</v>
      </c>
      <c r="AB202" s="243"/>
      <c r="AC202" s="244" t="s">
        <v>4760</v>
      </c>
      <c r="AD202" s="244" t="s">
        <v>4918</v>
      </c>
      <c r="AE202" s="245">
        <v>1</v>
      </c>
      <c r="AF202" s="244" t="s">
        <v>4918</v>
      </c>
      <c r="AG202" s="239" t="str">
        <f>IFERROR(VLOOKUP(작성용!A:A,RM!A:D,4,0),"-")</f>
        <v>김예림</v>
      </c>
      <c r="AH202" s="235" t="s">
        <v>4927</v>
      </c>
      <c r="AI202" s="235" t="s">
        <v>4771</v>
      </c>
      <c r="AJ202" s="235" t="s">
        <v>4771</v>
      </c>
      <c r="AK202" s="235" t="s">
        <v>4128</v>
      </c>
      <c r="AL202" s="235">
        <v>201</v>
      </c>
    </row>
    <row r="203" spans="1:38" x14ac:dyDescent="0.3">
      <c r="A203" s="229" t="s">
        <v>627</v>
      </c>
      <c r="B203" s="229" t="s">
        <v>5125</v>
      </c>
      <c r="C203" s="241" t="s">
        <v>4778</v>
      </c>
      <c r="D203" s="237" t="s">
        <v>5142</v>
      </c>
      <c r="E203" s="236">
        <v>1101114177237</v>
      </c>
      <c r="F203" s="240" t="s">
        <v>4854</v>
      </c>
      <c r="G203" s="214">
        <v>0</v>
      </c>
      <c r="H203" s="231" t="s">
        <v>4771</v>
      </c>
      <c r="I203" s="231"/>
      <c r="J203" s="231"/>
      <c r="K203" s="231"/>
      <c r="L203" s="231"/>
      <c r="M203" s="231"/>
      <c r="N203" s="231" t="s">
        <v>4972</v>
      </c>
      <c r="O203" s="246" t="s">
        <v>5127</v>
      </c>
      <c r="P203" s="246" t="s">
        <v>5128</v>
      </c>
      <c r="Q203" s="225" t="s">
        <v>5129</v>
      </c>
      <c r="R203" s="212" t="s">
        <v>5143</v>
      </c>
      <c r="S203" s="213" t="s">
        <v>5143</v>
      </c>
      <c r="T203" s="233">
        <v>45572</v>
      </c>
      <c r="U203" s="234" t="s">
        <v>4772</v>
      </c>
      <c r="V203" s="234">
        <v>45672</v>
      </c>
      <c r="W203" s="234">
        <v>45679</v>
      </c>
      <c r="X203" s="234" t="s">
        <v>2</v>
      </c>
      <c r="Y203" s="234"/>
      <c r="Z203" s="234" t="s">
        <v>4629</v>
      </c>
      <c r="AA203" s="224">
        <v>202412</v>
      </c>
      <c r="AB203" s="243"/>
      <c r="AC203" s="244" t="s">
        <v>4760</v>
      </c>
      <c r="AD203" s="244" t="s">
        <v>4846</v>
      </c>
      <c r="AE203" s="245">
        <v>1</v>
      </c>
      <c r="AF203" s="244" t="s">
        <v>5144</v>
      </c>
      <c r="AG203" s="239" t="str">
        <f>IFERROR(VLOOKUP(작성용!A:A,RM!A:D,4,0),"-")</f>
        <v>김예림</v>
      </c>
      <c r="AH203" s="235" t="s">
        <v>4927</v>
      </c>
      <c r="AI203" s="235" t="s">
        <v>4771</v>
      </c>
      <c r="AJ203" s="235" t="s">
        <v>4771</v>
      </c>
      <c r="AK203" s="235" t="s">
        <v>4128</v>
      </c>
      <c r="AL203" s="235">
        <v>202</v>
      </c>
    </row>
    <row r="204" spans="1:38" x14ac:dyDescent="0.3">
      <c r="A204" s="222" t="s">
        <v>3121</v>
      </c>
      <c r="B204" s="222" t="s">
        <v>3122</v>
      </c>
      <c r="C204" s="241" t="s">
        <v>4778</v>
      </c>
      <c r="D204" s="237" t="s">
        <v>5145</v>
      </c>
      <c r="E204" s="236">
        <v>1545110025688</v>
      </c>
      <c r="F204" s="240" t="s">
        <v>4854</v>
      </c>
      <c r="G204" s="214">
        <v>0</v>
      </c>
      <c r="H204" s="231" t="s">
        <v>4771</v>
      </c>
      <c r="I204" s="231"/>
      <c r="J204" s="231"/>
      <c r="K204" s="231"/>
      <c r="L204" s="231"/>
      <c r="M204" s="231"/>
      <c r="N204" s="231" t="s">
        <v>4972</v>
      </c>
      <c r="O204" s="246" t="s">
        <v>5146</v>
      </c>
      <c r="P204" s="246" t="s">
        <v>5147</v>
      </c>
      <c r="Q204" s="225" t="s">
        <v>5148</v>
      </c>
      <c r="R204" s="212" t="s">
        <v>4771</v>
      </c>
      <c r="S204" s="213" t="s">
        <v>4771</v>
      </c>
      <c r="T204" s="233">
        <v>45573</v>
      </c>
      <c r="U204" s="234" t="s">
        <v>4759</v>
      </c>
      <c r="V204" s="234">
        <v>45604</v>
      </c>
      <c r="W204" s="234">
        <v>45610</v>
      </c>
      <c r="X204" s="234" t="s">
        <v>2</v>
      </c>
      <c r="Y204" s="234"/>
      <c r="Z204" s="234" t="s">
        <v>4636</v>
      </c>
      <c r="AA204" s="243">
        <v>202411</v>
      </c>
      <c r="AB204" s="243"/>
      <c r="AC204" s="244" t="s">
        <v>4800</v>
      </c>
      <c r="AD204" s="244" t="s">
        <v>4823</v>
      </c>
      <c r="AE204" s="245">
        <v>1</v>
      </c>
      <c r="AF204" s="244" t="s">
        <v>4918</v>
      </c>
      <c r="AG204" s="239" t="str">
        <f>IFERROR(VLOOKUP(작성용!A:A,RM!A:D,4,0),"-")</f>
        <v>유재호</v>
      </c>
      <c r="AH204" s="9" t="s">
        <v>5021</v>
      </c>
      <c r="AI204" s="235" t="s">
        <v>4771</v>
      </c>
      <c r="AJ204" s="235" t="s">
        <v>5149</v>
      </c>
      <c r="AK204" s="235" t="s">
        <v>4777</v>
      </c>
      <c r="AL204" s="235">
        <v>203</v>
      </c>
    </row>
    <row r="205" spans="1:38" x14ac:dyDescent="0.3">
      <c r="A205" s="222" t="s">
        <v>3121</v>
      </c>
      <c r="B205" s="222" t="s">
        <v>3122</v>
      </c>
      <c r="C205" s="241" t="s">
        <v>4778</v>
      </c>
      <c r="D205" s="237" t="s">
        <v>5150</v>
      </c>
      <c r="E205" s="236">
        <v>1101115685411</v>
      </c>
      <c r="F205" s="240" t="s">
        <v>4850</v>
      </c>
      <c r="G205" s="214">
        <v>0</v>
      </c>
      <c r="H205" s="231" t="s">
        <v>4771</v>
      </c>
      <c r="I205" s="231"/>
      <c r="J205" s="231"/>
      <c r="K205" s="231"/>
      <c r="L205" s="231"/>
      <c r="M205" s="231"/>
      <c r="N205" s="231" t="s">
        <v>5054</v>
      </c>
      <c r="O205" s="246" t="s">
        <v>5146</v>
      </c>
      <c r="P205" s="246" t="s">
        <v>5147</v>
      </c>
      <c r="Q205" s="225" t="s">
        <v>5148</v>
      </c>
      <c r="R205" s="212" t="s">
        <v>4771</v>
      </c>
      <c r="S205" s="213" t="s">
        <v>4771</v>
      </c>
      <c r="T205" s="233">
        <v>45573</v>
      </c>
      <c r="U205" s="234" t="s">
        <v>4759</v>
      </c>
      <c r="V205" s="234">
        <v>45604</v>
      </c>
      <c r="W205" s="234">
        <v>45610</v>
      </c>
      <c r="X205" s="234" t="s">
        <v>2</v>
      </c>
      <c r="Y205" s="234"/>
      <c r="Z205" s="234" t="s">
        <v>4636</v>
      </c>
      <c r="AA205" s="243">
        <v>202411</v>
      </c>
      <c r="AB205" s="243"/>
      <c r="AC205" s="244" t="s">
        <v>4800</v>
      </c>
      <c r="AD205" s="244" t="s">
        <v>4980</v>
      </c>
      <c r="AE205" s="245">
        <v>1</v>
      </c>
      <c r="AF205" s="244" t="s">
        <v>4980</v>
      </c>
      <c r="AG205" s="239" t="str">
        <f>IFERROR(VLOOKUP(작성용!A:A,RM!A:D,4,0),"-")</f>
        <v>유재호</v>
      </c>
      <c r="AH205" s="9" t="s">
        <v>5021</v>
      </c>
      <c r="AI205" s="235" t="s">
        <v>4771</v>
      </c>
      <c r="AJ205" s="235" t="s">
        <v>5149</v>
      </c>
      <c r="AK205" s="235" t="s">
        <v>4777</v>
      </c>
      <c r="AL205" s="235">
        <v>204</v>
      </c>
    </row>
    <row r="206" spans="1:38" x14ac:dyDescent="0.3">
      <c r="A206" s="222" t="s">
        <v>3121</v>
      </c>
      <c r="B206" s="222" t="s">
        <v>3122</v>
      </c>
      <c r="C206" s="241" t="s">
        <v>4778</v>
      </c>
      <c r="D206" s="237" t="s">
        <v>5151</v>
      </c>
      <c r="E206" s="236">
        <v>1101116123957</v>
      </c>
      <c r="F206" s="240" t="s">
        <v>4854</v>
      </c>
      <c r="G206" s="214">
        <v>0</v>
      </c>
      <c r="H206" s="231" t="s">
        <v>4771</v>
      </c>
      <c r="I206" s="231"/>
      <c r="J206" s="231"/>
      <c r="K206" s="231"/>
      <c r="L206" s="231"/>
      <c r="M206" s="231"/>
      <c r="N206" s="231" t="s">
        <v>4972</v>
      </c>
      <c r="O206" s="246" t="s">
        <v>5146</v>
      </c>
      <c r="P206" s="246" t="s">
        <v>5152</v>
      </c>
      <c r="Q206" s="225" t="s">
        <v>5148</v>
      </c>
      <c r="R206" s="212" t="s">
        <v>4771</v>
      </c>
      <c r="S206" s="213" t="s">
        <v>4771</v>
      </c>
      <c r="T206" s="233">
        <v>45573</v>
      </c>
      <c r="U206" s="234" t="s">
        <v>4759</v>
      </c>
      <c r="V206" s="234">
        <v>45604</v>
      </c>
      <c r="W206" s="234">
        <v>45610</v>
      </c>
      <c r="X206" s="234" t="s">
        <v>2</v>
      </c>
      <c r="Y206" s="234"/>
      <c r="Z206" s="234" t="s">
        <v>4636</v>
      </c>
      <c r="AA206" s="243">
        <v>202411</v>
      </c>
      <c r="AB206" s="243"/>
      <c r="AC206" s="244" t="s">
        <v>4800</v>
      </c>
      <c r="AD206" s="244" t="s">
        <v>3645</v>
      </c>
      <c r="AE206" s="245">
        <v>1</v>
      </c>
      <c r="AF206" s="244" t="s">
        <v>3645</v>
      </c>
      <c r="AG206" s="239" t="str">
        <f>IFERROR(VLOOKUP(작성용!A:A,RM!A:D,4,0),"-")</f>
        <v>유재호</v>
      </c>
      <c r="AH206" s="9" t="s">
        <v>5153</v>
      </c>
      <c r="AI206" s="235" t="s">
        <v>4771</v>
      </c>
      <c r="AJ206" s="235" t="s">
        <v>5149</v>
      </c>
      <c r="AK206" s="235" t="s">
        <v>4777</v>
      </c>
      <c r="AL206" s="235">
        <v>205</v>
      </c>
    </row>
    <row r="207" spans="1:38" x14ac:dyDescent="0.3">
      <c r="A207" s="222" t="s">
        <v>3121</v>
      </c>
      <c r="B207" s="222" t="s">
        <v>3122</v>
      </c>
      <c r="C207" s="241" t="s">
        <v>4778</v>
      </c>
      <c r="D207" s="237" t="s">
        <v>5154</v>
      </c>
      <c r="E207" s="236">
        <v>1101112319807</v>
      </c>
      <c r="F207" s="240" t="s">
        <v>4850</v>
      </c>
      <c r="G207" s="214">
        <v>0</v>
      </c>
      <c r="H207" s="231" t="s">
        <v>4771</v>
      </c>
      <c r="I207" s="231"/>
      <c r="J207" s="231"/>
      <c r="K207" s="231"/>
      <c r="L207" s="231"/>
      <c r="M207" s="231"/>
      <c r="N207" s="231" t="s">
        <v>4972</v>
      </c>
      <c r="O207" s="246" t="s">
        <v>5146</v>
      </c>
      <c r="P207" s="246" t="s">
        <v>5147</v>
      </c>
      <c r="Q207" s="225" t="s">
        <v>5155</v>
      </c>
      <c r="R207" s="212" t="s">
        <v>4771</v>
      </c>
      <c r="S207" s="213" t="s">
        <v>4771</v>
      </c>
      <c r="T207" s="233">
        <v>45573</v>
      </c>
      <c r="U207" s="234" t="s">
        <v>4759</v>
      </c>
      <c r="V207" s="234">
        <v>45604</v>
      </c>
      <c r="W207" s="234">
        <v>45610</v>
      </c>
      <c r="X207" s="234" t="s">
        <v>2</v>
      </c>
      <c r="Y207" s="234"/>
      <c r="Z207" s="234" t="s">
        <v>4636</v>
      </c>
      <c r="AA207" s="243">
        <v>202411</v>
      </c>
      <c r="AB207" s="243"/>
      <c r="AC207" s="244" t="s">
        <v>4800</v>
      </c>
      <c r="AD207" s="244" t="s">
        <v>5156</v>
      </c>
      <c r="AE207" s="245">
        <v>1</v>
      </c>
      <c r="AF207" s="244" t="s">
        <v>4999</v>
      </c>
      <c r="AG207" s="239" t="str">
        <f>IFERROR(VLOOKUP(작성용!A:A,RM!A:D,4,0),"-")</f>
        <v>유재호</v>
      </c>
      <c r="AH207" s="9" t="s">
        <v>5021</v>
      </c>
      <c r="AI207" s="235" t="s">
        <v>4771</v>
      </c>
      <c r="AJ207" s="235" t="s">
        <v>5149</v>
      </c>
      <c r="AK207" s="235" t="s">
        <v>4803</v>
      </c>
      <c r="AL207" s="235">
        <v>206</v>
      </c>
    </row>
    <row r="208" spans="1:38" x14ac:dyDescent="0.3">
      <c r="A208" s="222" t="s">
        <v>3121</v>
      </c>
      <c r="B208" s="222" t="s">
        <v>3122</v>
      </c>
      <c r="C208" s="241" t="s">
        <v>4778</v>
      </c>
      <c r="D208" s="237" t="s">
        <v>5157</v>
      </c>
      <c r="E208" s="236">
        <v>1101115279199</v>
      </c>
      <c r="F208" s="240" t="s">
        <v>4854</v>
      </c>
      <c r="G208" s="214">
        <v>0</v>
      </c>
      <c r="H208" s="231" t="s">
        <v>4771</v>
      </c>
      <c r="I208" s="231"/>
      <c r="J208" s="231"/>
      <c r="K208" s="231"/>
      <c r="L208" s="231"/>
      <c r="M208" s="231"/>
      <c r="N208" s="231" t="s">
        <v>4972</v>
      </c>
      <c r="O208" s="246" t="s">
        <v>5146</v>
      </c>
      <c r="P208" s="246" t="s">
        <v>5147</v>
      </c>
      <c r="Q208" s="225" t="s">
        <v>5148</v>
      </c>
      <c r="R208" s="212" t="s">
        <v>4771</v>
      </c>
      <c r="S208" s="213" t="s">
        <v>4771</v>
      </c>
      <c r="T208" s="233">
        <v>45573</v>
      </c>
      <c r="U208" s="234" t="s">
        <v>4759</v>
      </c>
      <c r="V208" s="234">
        <v>45604</v>
      </c>
      <c r="W208" s="234">
        <v>45610</v>
      </c>
      <c r="X208" s="234" t="s">
        <v>2</v>
      </c>
      <c r="Y208" s="234"/>
      <c r="Z208" s="234" t="s">
        <v>4636</v>
      </c>
      <c r="AA208" s="243">
        <v>202411</v>
      </c>
      <c r="AB208" s="243"/>
      <c r="AC208" s="244" t="s">
        <v>4800</v>
      </c>
      <c r="AD208" s="244" t="s">
        <v>4982</v>
      </c>
      <c r="AE208" s="245">
        <v>1</v>
      </c>
      <c r="AF208" s="244" t="s">
        <v>4982</v>
      </c>
      <c r="AG208" s="239" t="str">
        <f>IFERROR(VLOOKUP(작성용!A:A,RM!A:D,4,0),"-")</f>
        <v>유재호</v>
      </c>
      <c r="AH208" s="9" t="s">
        <v>5021</v>
      </c>
      <c r="AI208" s="235" t="s">
        <v>4771</v>
      </c>
      <c r="AJ208" s="235" t="s">
        <v>5149</v>
      </c>
      <c r="AK208" s="235" t="s">
        <v>4777</v>
      </c>
      <c r="AL208" s="235">
        <v>207</v>
      </c>
    </row>
    <row r="209" spans="1:38" x14ac:dyDescent="0.3">
      <c r="A209" s="222" t="s">
        <v>3121</v>
      </c>
      <c r="B209" s="222" t="s">
        <v>3122</v>
      </c>
      <c r="C209" s="241" t="s">
        <v>4778</v>
      </c>
      <c r="D209" s="237" t="s">
        <v>5157</v>
      </c>
      <c r="E209" s="236">
        <v>1101115279199</v>
      </c>
      <c r="F209" s="240" t="s">
        <v>4850</v>
      </c>
      <c r="G209" s="214">
        <v>0</v>
      </c>
      <c r="H209" s="231" t="s">
        <v>4771</v>
      </c>
      <c r="I209" s="231"/>
      <c r="J209" s="231"/>
      <c r="K209" s="231"/>
      <c r="L209" s="231"/>
      <c r="M209" s="231"/>
      <c r="N209" s="231" t="s">
        <v>4972</v>
      </c>
      <c r="O209" s="246" t="s">
        <v>5146</v>
      </c>
      <c r="P209" s="246" t="s">
        <v>5147</v>
      </c>
      <c r="Q209" s="225" t="s">
        <v>5148</v>
      </c>
      <c r="R209" s="212" t="s">
        <v>4771</v>
      </c>
      <c r="S209" s="213" t="s">
        <v>4771</v>
      </c>
      <c r="T209" s="233">
        <v>45573</v>
      </c>
      <c r="U209" s="234" t="s">
        <v>4871</v>
      </c>
      <c r="V209" s="234">
        <v>45604</v>
      </c>
      <c r="W209" s="234">
        <v>45610</v>
      </c>
      <c r="X209" s="234" t="s">
        <v>2</v>
      </c>
      <c r="Y209" s="234"/>
      <c r="Z209" s="234" t="s">
        <v>4636</v>
      </c>
      <c r="AA209" s="243">
        <v>202411</v>
      </c>
      <c r="AB209" s="243"/>
      <c r="AC209" s="244" t="s">
        <v>4800</v>
      </c>
      <c r="AD209" s="244" t="s">
        <v>4982</v>
      </c>
      <c r="AE209" s="245">
        <v>0</v>
      </c>
      <c r="AF209" s="244" t="s">
        <v>4982</v>
      </c>
      <c r="AG209" s="239" t="str">
        <f>IFERROR(VLOOKUP(작성용!A:A,RM!A:D,4,0),"-")</f>
        <v>유재호</v>
      </c>
      <c r="AH209" s="9" t="s">
        <v>5021</v>
      </c>
      <c r="AI209" s="235" t="s">
        <v>4771</v>
      </c>
      <c r="AJ209" s="235" t="s">
        <v>5149</v>
      </c>
      <c r="AK209" s="235" t="s">
        <v>4777</v>
      </c>
      <c r="AL209" s="235">
        <v>208</v>
      </c>
    </row>
    <row r="210" spans="1:38" x14ac:dyDescent="0.3">
      <c r="A210" s="222" t="s">
        <v>3121</v>
      </c>
      <c r="B210" s="222" t="s">
        <v>3122</v>
      </c>
      <c r="C210" s="241" t="s">
        <v>4778</v>
      </c>
      <c r="D210" s="237" t="s">
        <v>4979</v>
      </c>
      <c r="E210" s="236">
        <v>1101114834853</v>
      </c>
      <c r="F210" s="240" t="s">
        <v>4854</v>
      </c>
      <c r="G210" s="214">
        <v>0</v>
      </c>
      <c r="H210" s="231" t="s">
        <v>4771</v>
      </c>
      <c r="I210" s="231"/>
      <c r="J210" s="231"/>
      <c r="K210" s="231"/>
      <c r="L210" s="231"/>
      <c r="M210" s="231"/>
      <c r="N210" s="231" t="s">
        <v>4972</v>
      </c>
      <c r="O210" s="246" t="s">
        <v>5146</v>
      </c>
      <c r="P210" s="246" t="s">
        <v>5147</v>
      </c>
      <c r="Q210" s="225" t="s">
        <v>5155</v>
      </c>
      <c r="R210" s="212" t="s">
        <v>4771</v>
      </c>
      <c r="S210" s="213" t="s">
        <v>4771</v>
      </c>
      <c r="T210" s="233">
        <v>45573</v>
      </c>
      <c r="U210" s="234" t="s">
        <v>4759</v>
      </c>
      <c r="V210" s="234">
        <v>45604</v>
      </c>
      <c r="W210" s="234">
        <v>45610</v>
      </c>
      <c r="X210" s="234" t="s">
        <v>2</v>
      </c>
      <c r="Y210" s="234"/>
      <c r="Z210" s="234" t="s">
        <v>4636</v>
      </c>
      <c r="AA210" s="243">
        <v>202411</v>
      </c>
      <c r="AB210" s="243"/>
      <c r="AC210" s="244" t="s">
        <v>4800</v>
      </c>
      <c r="AD210" s="244" t="s">
        <v>4539</v>
      </c>
      <c r="AE210" s="245">
        <v>0</v>
      </c>
      <c r="AF210" s="244" t="s">
        <v>5001</v>
      </c>
      <c r="AG210" s="239" t="str">
        <f>IFERROR(VLOOKUP(작성용!A:A,RM!A:D,4,0),"-")</f>
        <v>유재호</v>
      </c>
      <c r="AH210" s="9" t="s">
        <v>5021</v>
      </c>
      <c r="AI210" s="235" t="s">
        <v>4771</v>
      </c>
      <c r="AJ210" s="235" t="s">
        <v>5149</v>
      </c>
      <c r="AK210" s="235" t="s">
        <v>4777</v>
      </c>
      <c r="AL210" s="235">
        <v>209</v>
      </c>
    </row>
    <row r="211" spans="1:38" x14ac:dyDescent="0.3">
      <c r="A211" s="222" t="s">
        <v>3121</v>
      </c>
      <c r="B211" s="222" t="s">
        <v>3122</v>
      </c>
      <c r="C211" s="241" t="s">
        <v>4778</v>
      </c>
      <c r="D211" s="237" t="s">
        <v>4979</v>
      </c>
      <c r="E211" s="236">
        <v>1101114834853</v>
      </c>
      <c r="F211" s="240" t="s">
        <v>4850</v>
      </c>
      <c r="G211" s="214">
        <v>0</v>
      </c>
      <c r="H211" s="231" t="s">
        <v>4837</v>
      </c>
      <c r="I211" s="231"/>
      <c r="J211" s="231"/>
      <c r="K211" s="231"/>
      <c r="L211" s="231"/>
      <c r="M211" s="231"/>
      <c r="N211" s="231" t="s">
        <v>4972</v>
      </c>
      <c r="O211" s="246" t="s">
        <v>5146</v>
      </c>
      <c r="P211" s="246" t="s">
        <v>5147</v>
      </c>
      <c r="Q211" s="225" t="s">
        <v>5148</v>
      </c>
      <c r="R211" s="212" t="s">
        <v>4771</v>
      </c>
      <c r="S211" s="213" t="s">
        <v>4771</v>
      </c>
      <c r="T211" s="233">
        <v>45573</v>
      </c>
      <c r="U211" s="234" t="s">
        <v>4759</v>
      </c>
      <c r="V211" s="234">
        <v>45604</v>
      </c>
      <c r="W211" s="234">
        <v>45610</v>
      </c>
      <c r="X211" s="234" t="s">
        <v>2</v>
      </c>
      <c r="Y211" s="234"/>
      <c r="Z211" s="234" t="s">
        <v>4636</v>
      </c>
      <c r="AA211" s="243">
        <v>202411</v>
      </c>
      <c r="AB211" s="243"/>
      <c r="AC211" s="244" t="s">
        <v>4800</v>
      </c>
      <c r="AD211" s="244" t="s">
        <v>4539</v>
      </c>
      <c r="AE211" s="245">
        <v>0</v>
      </c>
      <c r="AF211" s="244" t="s">
        <v>5001</v>
      </c>
      <c r="AG211" s="239" t="str">
        <f>IFERROR(VLOOKUP(작성용!A:A,RM!A:D,4,0),"-")</f>
        <v>유재호</v>
      </c>
      <c r="AH211" s="9" t="s">
        <v>5021</v>
      </c>
      <c r="AI211" s="235" t="s">
        <v>4771</v>
      </c>
      <c r="AJ211" s="235" t="s">
        <v>5149</v>
      </c>
      <c r="AK211" s="235" t="s">
        <v>4777</v>
      </c>
      <c r="AL211" s="235">
        <v>210</v>
      </c>
    </row>
    <row r="212" spans="1:38" x14ac:dyDescent="0.3">
      <c r="A212" s="222" t="s">
        <v>3121</v>
      </c>
      <c r="B212" s="222" t="s">
        <v>3122</v>
      </c>
      <c r="C212" s="241" t="s">
        <v>4778</v>
      </c>
      <c r="D212" s="237" t="s">
        <v>5158</v>
      </c>
      <c r="E212" s="236">
        <v>1101117117470</v>
      </c>
      <c r="F212" s="240" t="s">
        <v>4850</v>
      </c>
      <c r="G212" s="214">
        <v>0</v>
      </c>
      <c r="H212" s="231" t="s">
        <v>4771</v>
      </c>
      <c r="I212" s="231"/>
      <c r="J212" s="231"/>
      <c r="K212" s="231"/>
      <c r="L212" s="231"/>
      <c r="M212" s="231"/>
      <c r="N212" s="231" t="s">
        <v>4972</v>
      </c>
      <c r="O212" s="246" t="s">
        <v>5159</v>
      </c>
      <c r="P212" s="246" t="s">
        <v>5147</v>
      </c>
      <c r="Q212" s="225" t="s">
        <v>5148</v>
      </c>
      <c r="R212" s="212" t="s">
        <v>4771</v>
      </c>
      <c r="S212" s="213" t="s">
        <v>4771</v>
      </c>
      <c r="T212" s="233">
        <v>45573</v>
      </c>
      <c r="U212" s="234" t="s">
        <v>4759</v>
      </c>
      <c r="V212" s="234">
        <v>45604</v>
      </c>
      <c r="W212" s="234">
        <v>45610</v>
      </c>
      <c r="X212" s="234" t="s">
        <v>2</v>
      </c>
      <c r="Y212" s="234"/>
      <c r="Z212" s="234" t="s">
        <v>4636</v>
      </c>
      <c r="AA212" s="243">
        <v>202411</v>
      </c>
      <c r="AB212" s="243"/>
      <c r="AC212" s="244" t="s">
        <v>4800</v>
      </c>
      <c r="AD212" s="244" t="s">
        <v>5021</v>
      </c>
      <c r="AE212" s="245">
        <v>1</v>
      </c>
      <c r="AF212" s="244" t="s">
        <v>5021</v>
      </c>
      <c r="AG212" s="239" t="str">
        <f>IFERROR(VLOOKUP(작성용!A:A,RM!A:D,4,0),"-")</f>
        <v>유재호</v>
      </c>
      <c r="AH212" s="9" t="s">
        <v>5021</v>
      </c>
      <c r="AI212" s="235" t="s">
        <v>4771</v>
      </c>
      <c r="AJ212" s="235" t="s">
        <v>5149</v>
      </c>
      <c r="AK212" s="235" t="s">
        <v>4777</v>
      </c>
      <c r="AL212" s="235">
        <v>211</v>
      </c>
    </row>
    <row r="213" spans="1:38" x14ac:dyDescent="0.3">
      <c r="A213" s="222" t="s">
        <v>3121</v>
      </c>
      <c r="B213" s="222" t="s">
        <v>3122</v>
      </c>
      <c r="C213" s="241" t="s">
        <v>4778</v>
      </c>
      <c r="D213" s="237" t="s">
        <v>5160</v>
      </c>
      <c r="E213" s="236">
        <v>1101115299030</v>
      </c>
      <c r="F213" s="240" t="s">
        <v>4854</v>
      </c>
      <c r="G213" s="214">
        <v>0</v>
      </c>
      <c r="H213" s="231" t="s">
        <v>4771</v>
      </c>
      <c r="I213" s="231"/>
      <c r="J213" s="231"/>
      <c r="K213" s="231"/>
      <c r="L213" s="231"/>
      <c r="M213" s="231"/>
      <c r="N213" s="231" t="s">
        <v>4972</v>
      </c>
      <c r="O213" s="246" t="s">
        <v>5146</v>
      </c>
      <c r="P213" s="246" t="s">
        <v>5147</v>
      </c>
      <c r="Q213" s="225" t="s">
        <v>5148</v>
      </c>
      <c r="R213" s="212" t="s">
        <v>4771</v>
      </c>
      <c r="S213" s="213" t="s">
        <v>4771</v>
      </c>
      <c r="T213" s="233">
        <v>45573</v>
      </c>
      <c r="U213" s="234" t="s">
        <v>4759</v>
      </c>
      <c r="V213" s="234">
        <v>45604</v>
      </c>
      <c r="W213" s="234">
        <v>45610</v>
      </c>
      <c r="X213" s="234" t="s">
        <v>2</v>
      </c>
      <c r="Y213" s="234"/>
      <c r="Z213" s="234" t="s">
        <v>4636</v>
      </c>
      <c r="AA213" s="243">
        <v>202411</v>
      </c>
      <c r="AB213" s="243"/>
      <c r="AC213" s="244" t="s">
        <v>4800</v>
      </c>
      <c r="AD213" s="244" t="s">
        <v>4845</v>
      </c>
      <c r="AE213" s="245">
        <v>1</v>
      </c>
      <c r="AF213" s="244" t="s">
        <v>4845</v>
      </c>
      <c r="AG213" s="239" t="str">
        <f>IFERROR(VLOOKUP(작성용!A:A,RM!A:D,4,0),"-")</f>
        <v>유재호</v>
      </c>
      <c r="AH213" s="9" t="s">
        <v>5021</v>
      </c>
      <c r="AI213" s="235" t="s">
        <v>4771</v>
      </c>
      <c r="AJ213" s="235" t="s">
        <v>5161</v>
      </c>
      <c r="AK213" s="235" t="s">
        <v>4777</v>
      </c>
      <c r="AL213" s="235">
        <v>212</v>
      </c>
    </row>
    <row r="214" spans="1:38" x14ac:dyDescent="0.3">
      <c r="A214" s="222" t="s">
        <v>3121</v>
      </c>
      <c r="B214" s="222" t="s">
        <v>3122</v>
      </c>
      <c r="C214" s="241" t="s">
        <v>4778</v>
      </c>
      <c r="D214" s="237" t="s">
        <v>5160</v>
      </c>
      <c r="E214" s="236">
        <v>1101115299030</v>
      </c>
      <c r="F214" s="240" t="s">
        <v>4850</v>
      </c>
      <c r="G214" s="214">
        <v>0</v>
      </c>
      <c r="H214" s="231" t="s">
        <v>4771</v>
      </c>
      <c r="I214" s="231"/>
      <c r="J214" s="231"/>
      <c r="K214" s="231"/>
      <c r="L214" s="231"/>
      <c r="M214" s="231"/>
      <c r="N214" s="231" t="s">
        <v>4972</v>
      </c>
      <c r="O214" s="246" t="s">
        <v>5146</v>
      </c>
      <c r="P214" s="246" t="s">
        <v>5147</v>
      </c>
      <c r="Q214" s="225" t="s">
        <v>5148</v>
      </c>
      <c r="R214" s="212" t="s">
        <v>4771</v>
      </c>
      <c r="S214" s="213" t="s">
        <v>4771</v>
      </c>
      <c r="T214" s="233">
        <v>45573</v>
      </c>
      <c r="U214" s="234" t="s">
        <v>4759</v>
      </c>
      <c r="V214" s="234">
        <v>45604</v>
      </c>
      <c r="W214" s="234">
        <v>45610</v>
      </c>
      <c r="X214" s="234" t="s">
        <v>2</v>
      </c>
      <c r="Y214" s="234"/>
      <c r="Z214" s="234" t="s">
        <v>4636</v>
      </c>
      <c r="AA214" s="243">
        <v>202411</v>
      </c>
      <c r="AB214" s="243"/>
      <c r="AC214" s="244" t="s">
        <v>4800</v>
      </c>
      <c r="AD214" s="244" t="s">
        <v>4845</v>
      </c>
      <c r="AE214" s="245">
        <v>0</v>
      </c>
      <c r="AF214" s="244" t="s">
        <v>4845</v>
      </c>
      <c r="AG214" s="239" t="str">
        <f>IFERROR(VLOOKUP(작성용!A:A,RM!A:D,4,0),"-")</f>
        <v>유재호</v>
      </c>
      <c r="AH214" s="9" t="s">
        <v>5021</v>
      </c>
      <c r="AI214" s="235" t="s">
        <v>4771</v>
      </c>
      <c r="AJ214" s="235" t="s">
        <v>5149</v>
      </c>
      <c r="AK214" s="235" t="s">
        <v>4777</v>
      </c>
      <c r="AL214" s="235">
        <v>213</v>
      </c>
    </row>
    <row r="215" spans="1:38" x14ac:dyDescent="0.3">
      <c r="A215" s="222" t="s">
        <v>3121</v>
      </c>
      <c r="B215" s="222" t="s">
        <v>5162</v>
      </c>
      <c r="C215" s="241" t="s">
        <v>4778</v>
      </c>
      <c r="D215" s="237" t="s">
        <v>5163</v>
      </c>
      <c r="E215" s="236">
        <v>1101116881935</v>
      </c>
      <c r="F215" s="240" t="s">
        <v>4850</v>
      </c>
      <c r="G215" s="214">
        <v>0</v>
      </c>
      <c r="H215" s="231" t="s">
        <v>4771</v>
      </c>
      <c r="I215" s="231"/>
      <c r="J215" s="231"/>
      <c r="K215" s="231"/>
      <c r="L215" s="231"/>
      <c r="M215" s="231"/>
      <c r="N215" s="231" t="s">
        <v>4972</v>
      </c>
      <c r="O215" s="246" t="s">
        <v>5146</v>
      </c>
      <c r="P215" s="246" t="s">
        <v>5147</v>
      </c>
      <c r="Q215" s="225" t="s">
        <v>5148</v>
      </c>
      <c r="R215" s="212" t="s">
        <v>4771</v>
      </c>
      <c r="S215" s="213" t="s">
        <v>4771</v>
      </c>
      <c r="T215" s="233">
        <v>45573</v>
      </c>
      <c r="U215" s="234" t="s">
        <v>4759</v>
      </c>
      <c r="V215" s="234">
        <v>45604</v>
      </c>
      <c r="W215" s="234">
        <v>45610</v>
      </c>
      <c r="X215" s="234" t="s">
        <v>2</v>
      </c>
      <c r="Y215" s="234"/>
      <c r="Z215" s="234" t="s">
        <v>4636</v>
      </c>
      <c r="AA215" s="243">
        <v>202411</v>
      </c>
      <c r="AB215" s="243"/>
      <c r="AC215" s="244" t="s">
        <v>4800</v>
      </c>
      <c r="AD215" s="244" t="s">
        <v>4915</v>
      </c>
      <c r="AE215" s="245">
        <v>1</v>
      </c>
      <c r="AF215" s="244" t="s">
        <v>4918</v>
      </c>
      <c r="AG215" s="239" t="str">
        <f>IFERROR(VLOOKUP(작성용!A:A,RM!A:D,4,0),"-")</f>
        <v>유재호</v>
      </c>
      <c r="AH215" s="9" t="s">
        <v>5021</v>
      </c>
      <c r="AI215" s="235" t="s">
        <v>4771</v>
      </c>
      <c r="AJ215" s="235" t="s">
        <v>5149</v>
      </c>
      <c r="AK215" s="235" t="s">
        <v>4128</v>
      </c>
      <c r="AL215" s="235">
        <v>214</v>
      </c>
    </row>
    <row r="216" spans="1:38" x14ac:dyDescent="0.3">
      <c r="A216" s="222" t="s">
        <v>3121</v>
      </c>
      <c r="B216" s="222" t="s">
        <v>3122</v>
      </c>
      <c r="C216" s="241" t="s">
        <v>4778</v>
      </c>
      <c r="D216" s="237" t="s">
        <v>5164</v>
      </c>
      <c r="E216" s="236">
        <v>1101114350544</v>
      </c>
      <c r="F216" s="240" t="s">
        <v>4850</v>
      </c>
      <c r="G216" s="214">
        <v>0</v>
      </c>
      <c r="H216" s="231" t="s">
        <v>4771</v>
      </c>
      <c r="I216" s="231"/>
      <c r="J216" s="231"/>
      <c r="K216" s="231"/>
      <c r="L216" s="231"/>
      <c r="M216" s="231"/>
      <c r="N216" s="231" t="s">
        <v>4972</v>
      </c>
      <c r="O216" s="246" t="s">
        <v>5146</v>
      </c>
      <c r="P216" s="246" t="s">
        <v>5147</v>
      </c>
      <c r="Q216" s="225" t="s">
        <v>5148</v>
      </c>
      <c r="R216" s="212" t="s">
        <v>4771</v>
      </c>
      <c r="S216" s="213" t="s">
        <v>4771</v>
      </c>
      <c r="T216" s="233">
        <v>45573</v>
      </c>
      <c r="U216" s="234" t="s">
        <v>4759</v>
      </c>
      <c r="V216" s="234">
        <v>45604</v>
      </c>
      <c r="W216" s="234">
        <v>45610</v>
      </c>
      <c r="X216" s="234" t="s">
        <v>2</v>
      </c>
      <c r="Y216" s="234"/>
      <c r="Z216" s="234" t="s">
        <v>4636</v>
      </c>
      <c r="AA216" s="243">
        <v>202411</v>
      </c>
      <c r="AB216" s="243"/>
      <c r="AC216" s="244" t="s">
        <v>4800</v>
      </c>
      <c r="AD216" s="244" t="s">
        <v>4897</v>
      </c>
      <c r="AE216" s="245">
        <v>1</v>
      </c>
      <c r="AF216" s="244" t="s">
        <v>5144</v>
      </c>
      <c r="AG216" s="239" t="str">
        <f>IFERROR(VLOOKUP(작성용!A:A,RM!A:D,4,0),"-")</f>
        <v>유재호</v>
      </c>
      <c r="AH216" s="9" t="s">
        <v>5021</v>
      </c>
      <c r="AI216" s="235" t="s">
        <v>4771</v>
      </c>
      <c r="AJ216" s="235" t="s">
        <v>5149</v>
      </c>
      <c r="AK216" s="235" t="s">
        <v>4777</v>
      </c>
      <c r="AL216" s="235">
        <v>215</v>
      </c>
    </row>
    <row r="217" spans="1:38" x14ac:dyDescent="0.3">
      <c r="A217" s="222" t="s">
        <v>3121</v>
      </c>
      <c r="B217" s="222" t="s">
        <v>3122</v>
      </c>
      <c r="C217" s="241" t="s">
        <v>4778</v>
      </c>
      <c r="D217" s="237" t="s">
        <v>5165</v>
      </c>
      <c r="E217" s="236">
        <v>1101115470341</v>
      </c>
      <c r="F217" s="240" t="s">
        <v>4854</v>
      </c>
      <c r="G217" s="214">
        <v>0</v>
      </c>
      <c r="H217" s="231" t="s">
        <v>4771</v>
      </c>
      <c r="I217" s="231"/>
      <c r="J217" s="231"/>
      <c r="K217" s="231"/>
      <c r="L217" s="231"/>
      <c r="M217" s="231"/>
      <c r="N217" s="231" t="s">
        <v>4972</v>
      </c>
      <c r="O217" s="246" t="s">
        <v>5146</v>
      </c>
      <c r="P217" s="246" t="s">
        <v>5147</v>
      </c>
      <c r="Q217" s="225" t="s">
        <v>5148</v>
      </c>
      <c r="R217" s="212" t="s">
        <v>4771</v>
      </c>
      <c r="S217" s="213" t="s">
        <v>4771</v>
      </c>
      <c r="T217" s="233">
        <v>45573</v>
      </c>
      <c r="U217" s="234" t="s">
        <v>4759</v>
      </c>
      <c r="V217" s="234">
        <v>45604</v>
      </c>
      <c r="W217" s="234">
        <v>45610</v>
      </c>
      <c r="X217" s="234" t="s">
        <v>2</v>
      </c>
      <c r="Y217" s="234"/>
      <c r="Z217" s="234" t="s">
        <v>4636</v>
      </c>
      <c r="AA217" s="243">
        <v>202411</v>
      </c>
      <c r="AB217" s="243"/>
      <c r="AC217" s="244" t="s">
        <v>4800</v>
      </c>
      <c r="AD217" s="244" t="s">
        <v>4761</v>
      </c>
      <c r="AE217" s="245">
        <v>1</v>
      </c>
      <c r="AF217" s="244" t="s">
        <v>4761</v>
      </c>
      <c r="AG217" s="239" t="str">
        <f>IFERROR(VLOOKUP(작성용!A:A,RM!A:D,4,0),"-")</f>
        <v>유재호</v>
      </c>
      <c r="AH217" s="9" t="s">
        <v>5021</v>
      </c>
      <c r="AI217" s="235" t="s">
        <v>4771</v>
      </c>
      <c r="AJ217" s="235" t="s">
        <v>5149</v>
      </c>
      <c r="AK217" s="235" t="s">
        <v>4777</v>
      </c>
      <c r="AL217" s="235">
        <v>216</v>
      </c>
    </row>
    <row r="218" spans="1:38" x14ac:dyDescent="0.3">
      <c r="A218" s="222" t="s">
        <v>3121</v>
      </c>
      <c r="B218" s="222" t="s">
        <v>3122</v>
      </c>
      <c r="C218" s="241" t="s">
        <v>4778</v>
      </c>
      <c r="D218" s="237" t="s">
        <v>5166</v>
      </c>
      <c r="E218" s="236">
        <v>2001110288964</v>
      </c>
      <c r="F218" s="240" t="s">
        <v>4850</v>
      </c>
      <c r="G218" s="214">
        <v>0</v>
      </c>
      <c r="H218" s="231" t="s">
        <v>4771</v>
      </c>
      <c r="I218" s="231"/>
      <c r="J218" s="231"/>
      <c r="K218" s="231"/>
      <c r="L218" s="231"/>
      <c r="M218" s="231"/>
      <c r="N218" s="231" t="s">
        <v>4972</v>
      </c>
      <c r="O218" s="246" t="s">
        <v>5146</v>
      </c>
      <c r="P218" s="246" t="s">
        <v>5147</v>
      </c>
      <c r="Q218" s="225" t="s">
        <v>5148</v>
      </c>
      <c r="R218" s="212" t="s">
        <v>4771</v>
      </c>
      <c r="S218" s="213" t="s">
        <v>4771</v>
      </c>
      <c r="T218" s="233">
        <v>45573</v>
      </c>
      <c r="U218" s="234" t="s">
        <v>4759</v>
      </c>
      <c r="V218" s="234">
        <v>45604</v>
      </c>
      <c r="W218" s="234">
        <v>45610</v>
      </c>
      <c r="X218" s="234" t="s">
        <v>2</v>
      </c>
      <c r="Y218" s="234"/>
      <c r="Z218" s="234" t="s">
        <v>4636</v>
      </c>
      <c r="AA218" s="243">
        <v>202411</v>
      </c>
      <c r="AB218" s="243"/>
      <c r="AC218" s="244" t="s">
        <v>4800</v>
      </c>
      <c r="AD218" s="244" t="s">
        <v>4900</v>
      </c>
      <c r="AE218" s="245">
        <v>1</v>
      </c>
      <c r="AF218" s="244" t="s">
        <v>4900</v>
      </c>
      <c r="AG218" s="239" t="str">
        <f>IFERROR(VLOOKUP(작성용!A:A,RM!A:D,4,0),"-")</f>
        <v>유재호</v>
      </c>
      <c r="AH218" s="9" t="s">
        <v>5021</v>
      </c>
      <c r="AI218" s="235" t="s">
        <v>4771</v>
      </c>
      <c r="AJ218" s="235" t="s">
        <v>5149</v>
      </c>
      <c r="AK218" s="235" t="s">
        <v>4777</v>
      </c>
      <c r="AL218" s="235">
        <v>217</v>
      </c>
    </row>
    <row r="219" spans="1:38" x14ac:dyDescent="0.3">
      <c r="A219" s="222" t="s">
        <v>3121</v>
      </c>
      <c r="B219" s="222" t="s">
        <v>3122</v>
      </c>
      <c r="C219" s="241" t="s">
        <v>4778</v>
      </c>
      <c r="D219" s="237" t="s">
        <v>5167</v>
      </c>
      <c r="E219" s="236">
        <v>1101115366970</v>
      </c>
      <c r="F219" s="240" t="s">
        <v>4854</v>
      </c>
      <c r="G219" s="214">
        <v>0</v>
      </c>
      <c r="H219" s="231" t="s">
        <v>4771</v>
      </c>
      <c r="I219" s="231"/>
      <c r="J219" s="231"/>
      <c r="K219" s="231"/>
      <c r="L219" s="231"/>
      <c r="M219" s="231"/>
      <c r="N219" s="231" t="s">
        <v>4972</v>
      </c>
      <c r="O219" s="246" t="s">
        <v>5146</v>
      </c>
      <c r="P219" s="246" t="s">
        <v>5147</v>
      </c>
      <c r="Q219" s="225" t="s">
        <v>5148</v>
      </c>
      <c r="R219" s="212" t="s">
        <v>4771</v>
      </c>
      <c r="S219" s="213" t="s">
        <v>4771</v>
      </c>
      <c r="T219" s="233">
        <v>45573</v>
      </c>
      <c r="U219" s="234" t="s">
        <v>4759</v>
      </c>
      <c r="V219" s="234">
        <v>45604</v>
      </c>
      <c r="W219" s="234">
        <v>45610</v>
      </c>
      <c r="X219" s="234" t="s">
        <v>2</v>
      </c>
      <c r="Y219" s="234"/>
      <c r="Z219" s="234" t="s">
        <v>5168</v>
      </c>
      <c r="AA219" s="243">
        <v>202411</v>
      </c>
      <c r="AB219" s="243"/>
      <c r="AC219" s="244" t="s">
        <v>4800</v>
      </c>
      <c r="AD219" s="244" t="s">
        <v>4937</v>
      </c>
      <c r="AE219" s="245">
        <v>1</v>
      </c>
      <c r="AF219" s="244" t="s">
        <v>4872</v>
      </c>
      <c r="AG219" s="239" t="str">
        <f>IFERROR(VLOOKUP(작성용!A:A,RM!A:D,4,0),"-")</f>
        <v>유재호</v>
      </c>
      <c r="AH219" s="9" t="s">
        <v>5021</v>
      </c>
      <c r="AI219" s="235" t="s">
        <v>4771</v>
      </c>
      <c r="AJ219" s="235" t="s">
        <v>4920</v>
      </c>
      <c r="AK219" s="235" t="s">
        <v>4777</v>
      </c>
      <c r="AL219" s="235">
        <v>218</v>
      </c>
    </row>
    <row r="220" spans="1:38" x14ac:dyDescent="0.3">
      <c r="A220" s="222" t="s">
        <v>3121</v>
      </c>
      <c r="B220" s="222" t="s">
        <v>3122</v>
      </c>
      <c r="C220" s="241" t="s">
        <v>4778</v>
      </c>
      <c r="D220" s="237" t="s">
        <v>5167</v>
      </c>
      <c r="E220" s="236">
        <v>1101115366970</v>
      </c>
      <c r="F220" s="240" t="s">
        <v>4850</v>
      </c>
      <c r="G220" s="214">
        <v>0</v>
      </c>
      <c r="H220" s="231" t="s">
        <v>4771</v>
      </c>
      <c r="I220" s="231"/>
      <c r="J220" s="231"/>
      <c r="K220" s="231"/>
      <c r="L220" s="231"/>
      <c r="M220" s="231"/>
      <c r="N220" s="231" t="s">
        <v>4972</v>
      </c>
      <c r="O220" s="246" t="s">
        <v>5146</v>
      </c>
      <c r="P220" s="246" t="s">
        <v>5147</v>
      </c>
      <c r="Q220" s="225" t="s">
        <v>5148</v>
      </c>
      <c r="R220" s="212" t="s">
        <v>4771</v>
      </c>
      <c r="S220" s="213" t="s">
        <v>4771</v>
      </c>
      <c r="T220" s="233">
        <v>45573</v>
      </c>
      <c r="U220" s="234" t="s">
        <v>4759</v>
      </c>
      <c r="V220" s="234">
        <v>45604</v>
      </c>
      <c r="W220" s="234">
        <v>45610</v>
      </c>
      <c r="X220" s="234" t="s">
        <v>2</v>
      </c>
      <c r="Y220" s="234"/>
      <c r="Z220" s="234" t="s">
        <v>5168</v>
      </c>
      <c r="AA220" s="243">
        <v>202411</v>
      </c>
      <c r="AB220" s="243"/>
      <c r="AC220" s="244" t="s">
        <v>4800</v>
      </c>
      <c r="AD220" s="244" t="s">
        <v>4937</v>
      </c>
      <c r="AE220" s="245">
        <v>0</v>
      </c>
      <c r="AF220" s="244" t="s">
        <v>4872</v>
      </c>
      <c r="AG220" s="239" t="str">
        <f>IFERROR(VLOOKUP(작성용!A:A,RM!A:D,4,0),"-")</f>
        <v>유재호</v>
      </c>
      <c r="AH220" s="9" t="s">
        <v>5021</v>
      </c>
      <c r="AI220" s="235" t="s">
        <v>4771</v>
      </c>
      <c r="AJ220" s="235" t="s">
        <v>4920</v>
      </c>
      <c r="AK220" s="235" t="s">
        <v>4777</v>
      </c>
      <c r="AL220" s="235">
        <v>219</v>
      </c>
    </row>
    <row r="221" spans="1:38" x14ac:dyDescent="0.3">
      <c r="A221" s="222" t="s">
        <v>3121</v>
      </c>
      <c r="B221" s="222" t="s">
        <v>3122</v>
      </c>
      <c r="C221" s="241" t="s">
        <v>4778</v>
      </c>
      <c r="D221" s="237" t="s">
        <v>5169</v>
      </c>
      <c r="E221" s="236">
        <v>2301110083681</v>
      </c>
      <c r="F221" s="240" t="s">
        <v>4854</v>
      </c>
      <c r="G221" s="214">
        <v>0</v>
      </c>
      <c r="H221" s="231" t="s">
        <v>4837</v>
      </c>
      <c r="I221" s="231"/>
      <c r="J221" s="231"/>
      <c r="K221" s="231"/>
      <c r="L221" s="231"/>
      <c r="M221" s="231"/>
      <c r="N221" s="231" t="s">
        <v>4972</v>
      </c>
      <c r="O221" s="246" t="s">
        <v>5146</v>
      </c>
      <c r="P221" s="246" t="s">
        <v>5147</v>
      </c>
      <c r="Q221" s="225" t="s">
        <v>5148</v>
      </c>
      <c r="R221" s="212" t="s">
        <v>4771</v>
      </c>
      <c r="S221" s="213" t="s">
        <v>4771</v>
      </c>
      <c r="T221" s="233">
        <v>45573</v>
      </c>
      <c r="U221" s="234" t="s">
        <v>4759</v>
      </c>
      <c r="V221" s="234">
        <v>45604</v>
      </c>
      <c r="W221" s="234">
        <v>45610</v>
      </c>
      <c r="X221" s="234" t="s">
        <v>2</v>
      </c>
      <c r="Y221" s="234"/>
      <c r="Z221" s="234" t="s">
        <v>5168</v>
      </c>
      <c r="AA221" s="243">
        <v>202411</v>
      </c>
      <c r="AB221" s="243"/>
      <c r="AC221" s="244" t="s">
        <v>4800</v>
      </c>
      <c r="AD221" s="244" t="s">
        <v>4864</v>
      </c>
      <c r="AE221" s="245">
        <v>1</v>
      </c>
      <c r="AF221" s="244" t="s">
        <v>4864</v>
      </c>
      <c r="AG221" s="239" t="str">
        <f>IFERROR(VLOOKUP(작성용!A:A,RM!A:D,4,0),"-")</f>
        <v>유재호</v>
      </c>
      <c r="AH221" s="9" t="s">
        <v>5021</v>
      </c>
      <c r="AI221" s="235" t="s">
        <v>4771</v>
      </c>
      <c r="AJ221" s="235" t="s">
        <v>4920</v>
      </c>
      <c r="AK221" s="235" t="s">
        <v>4777</v>
      </c>
      <c r="AL221" s="235">
        <v>220</v>
      </c>
    </row>
    <row r="222" spans="1:38" x14ac:dyDescent="0.3">
      <c r="A222" s="222" t="s">
        <v>3121</v>
      </c>
      <c r="B222" s="222" t="s">
        <v>3122</v>
      </c>
      <c r="C222" s="241" t="s">
        <v>4778</v>
      </c>
      <c r="D222" s="237" t="s">
        <v>5170</v>
      </c>
      <c r="E222" s="236">
        <v>1311110492428</v>
      </c>
      <c r="F222" s="240" t="s">
        <v>4850</v>
      </c>
      <c r="G222" s="214">
        <v>0</v>
      </c>
      <c r="H222" s="231" t="s">
        <v>4771</v>
      </c>
      <c r="I222" s="231"/>
      <c r="J222" s="231"/>
      <c r="K222" s="231"/>
      <c r="L222" s="231"/>
      <c r="M222" s="231"/>
      <c r="N222" s="231" t="s">
        <v>4972</v>
      </c>
      <c r="O222" s="246" t="s">
        <v>5146</v>
      </c>
      <c r="P222" s="246" t="s">
        <v>5147</v>
      </c>
      <c r="Q222" s="225" t="s">
        <v>5148</v>
      </c>
      <c r="R222" s="212" t="s">
        <v>4771</v>
      </c>
      <c r="S222" s="213" t="s">
        <v>4771</v>
      </c>
      <c r="T222" s="233">
        <v>45573</v>
      </c>
      <c r="U222" s="234" t="s">
        <v>4759</v>
      </c>
      <c r="V222" s="234">
        <v>45604</v>
      </c>
      <c r="W222" s="234">
        <v>45610</v>
      </c>
      <c r="X222" s="234" t="s">
        <v>2</v>
      </c>
      <c r="Y222" s="234"/>
      <c r="Z222" s="234" t="s">
        <v>5168</v>
      </c>
      <c r="AA222" s="243">
        <v>202411</v>
      </c>
      <c r="AB222" s="243"/>
      <c r="AC222" s="244" t="s">
        <v>4800</v>
      </c>
      <c r="AD222" s="244" t="s">
        <v>4858</v>
      </c>
      <c r="AE222" s="245">
        <v>1</v>
      </c>
      <c r="AF222" s="244" t="s">
        <v>1896</v>
      </c>
      <c r="AG222" s="239" t="str">
        <f>IFERROR(VLOOKUP(작성용!A:A,RM!A:D,4,0),"-")</f>
        <v>유재호</v>
      </c>
      <c r="AH222" s="9" t="s">
        <v>5021</v>
      </c>
      <c r="AI222" s="235" t="s">
        <v>4771</v>
      </c>
      <c r="AJ222" s="235" t="s">
        <v>4920</v>
      </c>
      <c r="AK222" s="235" t="s">
        <v>4777</v>
      </c>
      <c r="AL222" s="235">
        <v>221</v>
      </c>
    </row>
    <row r="223" spans="1:38" x14ac:dyDescent="0.3">
      <c r="A223" s="222" t="s">
        <v>3121</v>
      </c>
      <c r="B223" s="222" t="s">
        <v>3122</v>
      </c>
      <c r="C223" s="241" t="s">
        <v>4778</v>
      </c>
      <c r="D223" s="237" t="s">
        <v>5171</v>
      </c>
      <c r="E223" s="236">
        <v>1101115823342</v>
      </c>
      <c r="F223" s="240" t="s">
        <v>4850</v>
      </c>
      <c r="G223" s="214">
        <v>0</v>
      </c>
      <c r="H223" s="231" t="s">
        <v>4771</v>
      </c>
      <c r="I223" s="231"/>
      <c r="J223" s="231"/>
      <c r="K223" s="231"/>
      <c r="L223" s="231"/>
      <c r="M223" s="231"/>
      <c r="N223" s="231" t="s">
        <v>4972</v>
      </c>
      <c r="O223" s="246" t="s">
        <v>5146</v>
      </c>
      <c r="P223" s="246" t="s">
        <v>5147</v>
      </c>
      <c r="Q223" s="225" t="s">
        <v>5148</v>
      </c>
      <c r="R223" s="212" t="s">
        <v>4771</v>
      </c>
      <c r="S223" s="213" t="s">
        <v>4771</v>
      </c>
      <c r="T223" s="233">
        <v>45573</v>
      </c>
      <c r="U223" s="234" t="s">
        <v>4759</v>
      </c>
      <c r="V223" s="234">
        <v>45604</v>
      </c>
      <c r="W223" s="234">
        <v>45610</v>
      </c>
      <c r="X223" s="234" t="s">
        <v>2</v>
      </c>
      <c r="Y223" s="234"/>
      <c r="Z223" s="234" t="s">
        <v>5168</v>
      </c>
      <c r="AA223" s="243">
        <v>202411</v>
      </c>
      <c r="AB223" s="243"/>
      <c r="AC223" s="244" t="s">
        <v>4800</v>
      </c>
      <c r="AD223" s="244" t="s">
        <v>4845</v>
      </c>
      <c r="AE223" s="245">
        <v>1</v>
      </c>
      <c r="AF223" s="244" t="s">
        <v>4845</v>
      </c>
      <c r="AG223" s="239" t="str">
        <f>IFERROR(VLOOKUP(작성용!A:A,RM!A:D,4,0),"-")</f>
        <v>유재호</v>
      </c>
      <c r="AH223" s="9" t="s">
        <v>5021</v>
      </c>
      <c r="AI223" s="235" t="s">
        <v>4771</v>
      </c>
      <c r="AJ223" s="235" t="s">
        <v>4920</v>
      </c>
      <c r="AK223" s="235" t="s">
        <v>4777</v>
      </c>
      <c r="AL223" s="235">
        <v>222</v>
      </c>
    </row>
    <row r="224" spans="1:38" x14ac:dyDescent="0.3">
      <c r="A224" s="222" t="s">
        <v>3121</v>
      </c>
      <c r="B224" s="222" t="s">
        <v>3122</v>
      </c>
      <c r="C224" s="241" t="s">
        <v>4778</v>
      </c>
      <c r="D224" s="237" t="s">
        <v>5171</v>
      </c>
      <c r="E224" s="236">
        <v>1101115823342</v>
      </c>
      <c r="F224" s="240" t="s">
        <v>4850</v>
      </c>
      <c r="G224" s="214">
        <v>1</v>
      </c>
      <c r="H224" s="231" t="s">
        <v>4771</v>
      </c>
      <c r="I224" s="231"/>
      <c r="J224" s="231"/>
      <c r="K224" s="231"/>
      <c r="L224" s="231"/>
      <c r="M224" s="231"/>
      <c r="N224" s="231" t="s">
        <v>4972</v>
      </c>
      <c r="O224" s="246" t="s">
        <v>5146</v>
      </c>
      <c r="P224" s="246" t="s">
        <v>5147</v>
      </c>
      <c r="Q224" s="225" t="s">
        <v>5148</v>
      </c>
      <c r="R224" s="212" t="s">
        <v>4771</v>
      </c>
      <c r="S224" s="213" t="s">
        <v>4771</v>
      </c>
      <c r="T224" s="233">
        <v>45573</v>
      </c>
      <c r="U224" s="234" t="s">
        <v>4759</v>
      </c>
      <c r="V224" s="234">
        <v>45604</v>
      </c>
      <c r="W224" s="234">
        <v>45610</v>
      </c>
      <c r="X224" s="234" t="s">
        <v>2</v>
      </c>
      <c r="Y224" s="234"/>
      <c r="Z224" s="234" t="s">
        <v>5168</v>
      </c>
      <c r="AA224" s="243">
        <v>202411</v>
      </c>
      <c r="AB224" s="243"/>
      <c r="AC224" s="244" t="s">
        <v>4800</v>
      </c>
      <c r="AD224" s="244" t="s">
        <v>4845</v>
      </c>
      <c r="AE224" s="245">
        <v>0</v>
      </c>
      <c r="AF224" s="244" t="s">
        <v>4845</v>
      </c>
      <c r="AG224" s="239" t="str">
        <f>IFERROR(VLOOKUP(작성용!A:A,RM!A:D,4,0),"-")</f>
        <v>유재호</v>
      </c>
      <c r="AH224" s="9" t="s">
        <v>5021</v>
      </c>
      <c r="AI224" s="235" t="s">
        <v>4771</v>
      </c>
      <c r="AJ224" s="235" t="s">
        <v>4920</v>
      </c>
      <c r="AK224" s="235" t="s">
        <v>4777</v>
      </c>
      <c r="AL224" s="235">
        <v>223</v>
      </c>
    </row>
    <row r="225" spans="1:38" x14ac:dyDescent="0.3">
      <c r="A225" s="222" t="s">
        <v>3121</v>
      </c>
      <c r="B225" s="222" t="s">
        <v>3122</v>
      </c>
      <c r="C225" s="241" t="s">
        <v>4778</v>
      </c>
      <c r="D225" s="237" t="s">
        <v>5172</v>
      </c>
      <c r="E225" s="236">
        <v>1101116058807</v>
      </c>
      <c r="F225" s="240" t="s">
        <v>4850</v>
      </c>
      <c r="G225" s="214">
        <v>0</v>
      </c>
      <c r="H225" s="231" t="s">
        <v>4771</v>
      </c>
      <c r="I225" s="231"/>
      <c r="J225" s="231"/>
      <c r="K225" s="231"/>
      <c r="L225" s="231"/>
      <c r="M225" s="231"/>
      <c r="N225" s="231" t="s">
        <v>4972</v>
      </c>
      <c r="O225" s="246" t="s">
        <v>5146</v>
      </c>
      <c r="P225" s="246" t="s">
        <v>5147</v>
      </c>
      <c r="Q225" s="225" t="s">
        <v>5148</v>
      </c>
      <c r="R225" s="212" t="s">
        <v>4771</v>
      </c>
      <c r="S225" s="213" t="s">
        <v>4771</v>
      </c>
      <c r="T225" s="233">
        <v>45573</v>
      </c>
      <c r="U225" s="234" t="s">
        <v>4759</v>
      </c>
      <c r="V225" s="234">
        <v>45604</v>
      </c>
      <c r="W225" s="234">
        <v>45610</v>
      </c>
      <c r="X225" s="234" t="s">
        <v>2</v>
      </c>
      <c r="Y225" s="234"/>
      <c r="Z225" s="234" t="s">
        <v>5168</v>
      </c>
      <c r="AA225" s="243">
        <v>202411</v>
      </c>
      <c r="AB225" s="243"/>
      <c r="AC225" s="244" t="s">
        <v>4800</v>
      </c>
      <c r="AD225" s="244" t="s">
        <v>4860</v>
      </c>
      <c r="AE225" s="245">
        <v>1</v>
      </c>
      <c r="AF225" s="244" t="s">
        <v>4860</v>
      </c>
      <c r="AG225" s="239" t="str">
        <f>IFERROR(VLOOKUP(작성용!A:A,RM!A:D,4,0),"-")</f>
        <v>유재호</v>
      </c>
      <c r="AH225" s="9" t="s">
        <v>5021</v>
      </c>
      <c r="AI225" s="235" t="s">
        <v>4771</v>
      </c>
      <c r="AJ225" s="235" t="s">
        <v>4920</v>
      </c>
      <c r="AK225" s="235" t="s">
        <v>4777</v>
      </c>
      <c r="AL225" s="235">
        <v>224</v>
      </c>
    </row>
    <row r="226" spans="1:38" x14ac:dyDescent="0.3">
      <c r="A226" s="222" t="s">
        <v>3121</v>
      </c>
      <c r="B226" s="222" t="s">
        <v>3122</v>
      </c>
      <c r="C226" s="241" t="s">
        <v>4778</v>
      </c>
      <c r="D226" s="237" t="s">
        <v>5173</v>
      </c>
      <c r="E226" s="236">
        <v>1615110205835</v>
      </c>
      <c r="F226" s="240" t="s">
        <v>4850</v>
      </c>
      <c r="G226" s="214">
        <v>0</v>
      </c>
      <c r="H226" s="231" t="s">
        <v>4771</v>
      </c>
      <c r="I226" s="231"/>
      <c r="J226" s="231"/>
      <c r="K226" s="231"/>
      <c r="L226" s="231"/>
      <c r="M226" s="231"/>
      <c r="N226" s="231" t="s">
        <v>4972</v>
      </c>
      <c r="O226" s="246" t="s">
        <v>5146</v>
      </c>
      <c r="P226" s="246" t="s">
        <v>5147</v>
      </c>
      <c r="Q226" s="225" t="s">
        <v>5148</v>
      </c>
      <c r="R226" s="212" t="s">
        <v>4771</v>
      </c>
      <c r="S226" s="213" t="s">
        <v>4771</v>
      </c>
      <c r="T226" s="233">
        <v>45573</v>
      </c>
      <c r="U226" s="234" t="s">
        <v>4759</v>
      </c>
      <c r="V226" s="234">
        <v>45604</v>
      </c>
      <c r="W226" s="234">
        <v>45610</v>
      </c>
      <c r="X226" s="234" t="s">
        <v>2</v>
      </c>
      <c r="Y226" s="234"/>
      <c r="Z226" s="234" t="s">
        <v>5168</v>
      </c>
      <c r="AA226" s="243">
        <v>202411</v>
      </c>
      <c r="AB226" s="243"/>
      <c r="AC226" s="244" t="s">
        <v>4800</v>
      </c>
      <c r="AD226" s="244" t="s">
        <v>4846</v>
      </c>
      <c r="AE226" s="245">
        <v>1</v>
      </c>
      <c r="AF226" s="244" t="s">
        <v>4846</v>
      </c>
      <c r="AG226" s="239" t="str">
        <f>IFERROR(VLOOKUP(작성용!A:A,RM!A:D,4,0),"-")</f>
        <v>유재호</v>
      </c>
      <c r="AH226" s="9" t="s">
        <v>5021</v>
      </c>
      <c r="AI226" s="235" t="s">
        <v>4771</v>
      </c>
      <c r="AJ226" s="235" t="s">
        <v>4920</v>
      </c>
      <c r="AK226" s="235" t="s">
        <v>4777</v>
      </c>
      <c r="AL226" s="235">
        <v>225</v>
      </c>
    </row>
    <row r="227" spans="1:38" x14ac:dyDescent="0.3">
      <c r="A227" s="222" t="s">
        <v>3121</v>
      </c>
      <c r="B227" s="222" t="s">
        <v>3122</v>
      </c>
      <c r="C227" s="241" t="s">
        <v>4778</v>
      </c>
      <c r="D227" s="237" t="s">
        <v>5173</v>
      </c>
      <c r="E227" s="236">
        <v>1615110205835</v>
      </c>
      <c r="F227" s="240" t="s">
        <v>4850</v>
      </c>
      <c r="G227" s="214">
        <v>1</v>
      </c>
      <c r="H227" s="231" t="s">
        <v>4771</v>
      </c>
      <c r="I227" s="231"/>
      <c r="J227" s="231"/>
      <c r="K227" s="231"/>
      <c r="L227" s="231"/>
      <c r="M227" s="231"/>
      <c r="N227" s="231" t="s">
        <v>4972</v>
      </c>
      <c r="O227" s="246" t="s">
        <v>5146</v>
      </c>
      <c r="P227" s="246" t="s">
        <v>5147</v>
      </c>
      <c r="Q227" s="225" t="s">
        <v>5148</v>
      </c>
      <c r="R227" s="212" t="s">
        <v>4771</v>
      </c>
      <c r="S227" s="213" t="s">
        <v>4771</v>
      </c>
      <c r="T227" s="233">
        <v>45573</v>
      </c>
      <c r="U227" s="234" t="s">
        <v>4759</v>
      </c>
      <c r="V227" s="234">
        <v>45604</v>
      </c>
      <c r="W227" s="234">
        <v>45610</v>
      </c>
      <c r="X227" s="234" t="s">
        <v>2</v>
      </c>
      <c r="Y227" s="234"/>
      <c r="Z227" s="234" t="s">
        <v>5168</v>
      </c>
      <c r="AA227" s="243">
        <v>202411</v>
      </c>
      <c r="AB227" s="243"/>
      <c r="AC227" s="244" t="s">
        <v>4800</v>
      </c>
      <c r="AD227" s="244" t="s">
        <v>4846</v>
      </c>
      <c r="AE227" s="245">
        <v>0</v>
      </c>
      <c r="AF227" s="244" t="s">
        <v>4846</v>
      </c>
      <c r="AG227" s="239" t="str">
        <f>IFERROR(VLOOKUP(작성용!A:A,RM!A:D,4,0),"-")</f>
        <v>유재호</v>
      </c>
      <c r="AH227" s="9" t="s">
        <v>5021</v>
      </c>
      <c r="AI227" s="235" t="s">
        <v>4771</v>
      </c>
      <c r="AJ227" s="235" t="s">
        <v>4920</v>
      </c>
      <c r="AK227" s="235" t="s">
        <v>4777</v>
      </c>
      <c r="AL227" s="235">
        <v>226</v>
      </c>
    </row>
    <row r="228" spans="1:38" x14ac:dyDescent="0.3">
      <c r="A228" s="222" t="s">
        <v>3121</v>
      </c>
      <c r="B228" s="222" t="s">
        <v>3122</v>
      </c>
      <c r="C228" s="241" t="s">
        <v>4778</v>
      </c>
      <c r="D228" s="237" t="s">
        <v>5173</v>
      </c>
      <c r="E228" s="236">
        <v>1615110205835</v>
      </c>
      <c r="F228" s="240" t="s">
        <v>4850</v>
      </c>
      <c r="G228" s="214">
        <v>2</v>
      </c>
      <c r="H228" s="231" t="s">
        <v>4771</v>
      </c>
      <c r="I228" s="231"/>
      <c r="J228" s="231"/>
      <c r="K228" s="231"/>
      <c r="L228" s="231"/>
      <c r="M228" s="231"/>
      <c r="N228" s="231" t="s">
        <v>4972</v>
      </c>
      <c r="O228" s="246" t="s">
        <v>5146</v>
      </c>
      <c r="P228" s="246" t="s">
        <v>5147</v>
      </c>
      <c r="Q228" s="225" t="s">
        <v>5148</v>
      </c>
      <c r="R228" s="212" t="s">
        <v>4771</v>
      </c>
      <c r="S228" s="213" t="s">
        <v>4771</v>
      </c>
      <c r="T228" s="233">
        <v>45573</v>
      </c>
      <c r="U228" s="234" t="s">
        <v>4759</v>
      </c>
      <c r="V228" s="234">
        <v>45604</v>
      </c>
      <c r="W228" s="234">
        <v>45610</v>
      </c>
      <c r="X228" s="234" t="s">
        <v>2</v>
      </c>
      <c r="Y228" s="234"/>
      <c r="Z228" s="234" t="s">
        <v>5168</v>
      </c>
      <c r="AA228" s="243">
        <v>202411</v>
      </c>
      <c r="AB228" s="243"/>
      <c r="AC228" s="244" t="s">
        <v>4800</v>
      </c>
      <c r="AD228" s="244" t="s">
        <v>4846</v>
      </c>
      <c r="AE228" s="245">
        <v>0</v>
      </c>
      <c r="AF228" s="244" t="s">
        <v>4846</v>
      </c>
      <c r="AG228" s="239" t="str">
        <f>IFERROR(VLOOKUP(작성용!A:A,RM!A:D,4,0),"-")</f>
        <v>유재호</v>
      </c>
      <c r="AH228" s="9" t="s">
        <v>5021</v>
      </c>
      <c r="AI228" s="235" t="s">
        <v>4771</v>
      </c>
      <c r="AJ228" s="235" t="s">
        <v>4920</v>
      </c>
      <c r="AK228" s="235" t="s">
        <v>4777</v>
      </c>
      <c r="AL228" s="235">
        <v>227</v>
      </c>
    </row>
    <row r="229" spans="1:38" x14ac:dyDescent="0.3">
      <c r="A229" s="222" t="s">
        <v>3121</v>
      </c>
      <c r="B229" s="222" t="s">
        <v>3122</v>
      </c>
      <c r="C229" s="241" t="s">
        <v>4778</v>
      </c>
      <c r="D229" s="237" t="s">
        <v>5174</v>
      </c>
      <c r="E229" s="236">
        <v>1101117771549</v>
      </c>
      <c r="F229" s="240" t="s">
        <v>4894</v>
      </c>
      <c r="G229" s="214">
        <v>0</v>
      </c>
      <c r="H229" s="231" t="s">
        <v>4771</v>
      </c>
      <c r="I229" s="231"/>
      <c r="J229" s="231"/>
      <c r="K229" s="231"/>
      <c r="L229" s="231"/>
      <c r="M229" s="231"/>
      <c r="N229" s="231" t="s">
        <v>4972</v>
      </c>
      <c r="O229" s="246" t="s">
        <v>5146</v>
      </c>
      <c r="P229" s="246" t="s">
        <v>5147</v>
      </c>
      <c r="Q229" s="225" t="s">
        <v>5148</v>
      </c>
      <c r="R229" s="212" t="s">
        <v>4771</v>
      </c>
      <c r="S229" s="213" t="s">
        <v>4771</v>
      </c>
      <c r="T229" s="233">
        <v>45573</v>
      </c>
      <c r="U229" s="234" t="s">
        <v>4759</v>
      </c>
      <c r="V229" s="234">
        <v>45604</v>
      </c>
      <c r="W229" s="234">
        <v>45610</v>
      </c>
      <c r="X229" s="234" t="s">
        <v>2</v>
      </c>
      <c r="Y229" s="234"/>
      <c r="Z229" s="234" t="s">
        <v>5168</v>
      </c>
      <c r="AA229" s="243">
        <v>202411</v>
      </c>
      <c r="AB229" s="243"/>
      <c r="AC229" s="244" t="s">
        <v>4800</v>
      </c>
      <c r="AD229" s="244" t="s">
        <v>3645</v>
      </c>
      <c r="AE229" s="245">
        <v>1</v>
      </c>
      <c r="AF229" s="244" t="s">
        <v>3645</v>
      </c>
      <c r="AG229" s="239" t="str">
        <f>IFERROR(VLOOKUP(작성용!A:A,RM!A:D,4,0),"-")</f>
        <v>유재호</v>
      </c>
      <c r="AH229" s="9" t="s">
        <v>5021</v>
      </c>
      <c r="AI229" s="235" t="s">
        <v>4771</v>
      </c>
      <c r="AJ229" s="235" t="s">
        <v>4920</v>
      </c>
      <c r="AK229" s="235" t="s">
        <v>4777</v>
      </c>
      <c r="AL229" s="235">
        <v>228</v>
      </c>
    </row>
    <row r="230" spans="1:38" x14ac:dyDescent="0.3">
      <c r="A230" s="222" t="s">
        <v>3121</v>
      </c>
      <c r="B230" s="222" t="s">
        <v>3122</v>
      </c>
      <c r="C230" s="241" t="s">
        <v>4778</v>
      </c>
      <c r="D230" s="237" t="s">
        <v>5175</v>
      </c>
      <c r="E230" s="236">
        <v>1101118193924</v>
      </c>
      <c r="F230" s="240" t="s">
        <v>4854</v>
      </c>
      <c r="G230" s="214">
        <v>0</v>
      </c>
      <c r="H230" s="231" t="s">
        <v>4771</v>
      </c>
      <c r="I230" s="231"/>
      <c r="J230" s="231"/>
      <c r="K230" s="231"/>
      <c r="L230" s="231"/>
      <c r="M230" s="231"/>
      <c r="N230" s="231" t="s">
        <v>4972</v>
      </c>
      <c r="O230" s="246" t="s">
        <v>5146</v>
      </c>
      <c r="P230" s="246" t="s">
        <v>5147</v>
      </c>
      <c r="Q230" s="225" t="s">
        <v>5148</v>
      </c>
      <c r="R230" s="212" t="s">
        <v>4771</v>
      </c>
      <c r="S230" s="213" t="s">
        <v>4771</v>
      </c>
      <c r="T230" s="233">
        <v>45573</v>
      </c>
      <c r="U230" s="234" t="s">
        <v>4759</v>
      </c>
      <c r="V230" s="234">
        <v>45604</v>
      </c>
      <c r="W230" s="234">
        <v>45610</v>
      </c>
      <c r="X230" s="234" t="s">
        <v>2</v>
      </c>
      <c r="Y230" s="234"/>
      <c r="Z230" s="234" t="s">
        <v>5168</v>
      </c>
      <c r="AA230" s="243">
        <v>202411</v>
      </c>
      <c r="AB230" s="243"/>
      <c r="AC230" s="244" t="s">
        <v>4800</v>
      </c>
      <c r="AD230" s="244" t="s">
        <v>4858</v>
      </c>
      <c r="AE230" s="245">
        <v>1</v>
      </c>
      <c r="AF230" s="244" t="s">
        <v>4858</v>
      </c>
      <c r="AG230" s="239" t="str">
        <f>IFERROR(VLOOKUP(작성용!A:A,RM!A:D,4,0),"-")</f>
        <v>유재호</v>
      </c>
      <c r="AH230" s="9" t="s">
        <v>5021</v>
      </c>
      <c r="AI230" s="235" t="s">
        <v>4771</v>
      </c>
      <c r="AJ230" s="235" t="s">
        <v>4920</v>
      </c>
      <c r="AK230" s="235" t="s">
        <v>4777</v>
      </c>
      <c r="AL230" s="235">
        <v>229</v>
      </c>
    </row>
    <row r="231" spans="1:38" x14ac:dyDescent="0.3">
      <c r="A231" s="222" t="s">
        <v>3121</v>
      </c>
      <c r="B231" s="222" t="s">
        <v>3122</v>
      </c>
      <c r="C231" s="241" t="s">
        <v>4762</v>
      </c>
      <c r="D231" s="237" t="s">
        <v>5176</v>
      </c>
      <c r="E231" s="236">
        <v>1801110991314</v>
      </c>
      <c r="F231" s="240" t="s">
        <v>4841</v>
      </c>
      <c r="G231" s="214">
        <v>77</v>
      </c>
      <c r="H231" s="231" t="s">
        <v>4771</v>
      </c>
      <c r="I231" s="231"/>
      <c r="J231" s="231"/>
      <c r="K231" s="231"/>
      <c r="L231" s="231"/>
      <c r="M231" s="231"/>
      <c r="N231" s="231" t="s">
        <v>4972</v>
      </c>
      <c r="O231" s="246" t="s">
        <v>5146</v>
      </c>
      <c r="P231" s="246" t="s">
        <v>5147</v>
      </c>
      <c r="Q231" s="225" t="s">
        <v>5148</v>
      </c>
      <c r="R231" s="212" t="s">
        <v>4771</v>
      </c>
      <c r="S231" s="213" t="s">
        <v>4771</v>
      </c>
      <c r="T231" s="233">
        <v>45573</v>
      </c>
      <c r="U231" s="234" t="s">
        <v>4759</v>
      </c>
      <c r="V231" s="234">
        <v>45604</v>
      </c>
      <c r="W231" s="234">
        <v>45610</v>
      </c>
      <c r="X231" s="234" t="s">
        <v>2</v>
      </c>
      <c r="Y231" s="234"/>
      <c r="Z231" s="234" t="s">
        <v>5168</v>
      </c>
      <c r="AA231" s="243">
        <v>202411</v>
      </c>
      <c r="AB231" s="243"/>
      <c r="AC231" s="244" t="s">
        <v>4800</v>
      </c>
      <c r="AD231" s="244" t="s">
        <v>640</v>
      </c>
      <c r="AE231" s="245">
        <v>1</v>
      </c>
      <c r="AF231" s="244" t="s">
        <v>640</v>
      </c>
      <c r="AG231" s="239" t="str">
        <f>IFERROR(VLOOKUP(작성용!A:A,RM!A:D,4,0),"-")</f>
        <v>유재호</v>
      </c>
      <c r="AH231" s="9" t="s">
        <v>5021</v>
      </c>
      <c r="AI231" s="235" t="s">
        <v>4771</v>
      </c>
      <c r="AJ231" s="235" t="s">
        <v>4920</v>
      </c>
      <c r="AK231" s="235" t="s">
        <v>4777</v>
      </c>
      <c r="AL231" s="235">
        <v>230</v>
      </c>
    </row>
    <row r="232" spans="1:38" x14ac:dyDescent="0.3">
      <c r="A232" s="222" t="s">
        <v>3121</v>
      </c>
      <c r="B232" s="222" t="s">
        <v>3122</v>
      </c>
      <c r="C232" s="241" t="s">
        <v>4762</v>
      </c>
      <c r="D232" s="237" t="s">
        <v>5177</v>
      </c>
      <c r="E232" s="236">
        <v>1101115777755</v>
      </c>
      <c r="F232" s="240" t="s">
        <v>4850</v>
      </c>
      <c r="G232" s="214">
        <v>77</v>
      </c>
      <c r="H232" s="231" t="s">
        <v>4771</v>
      </c>
      <c r="I232" s="231"/>
      <c r="J232" s="231"/>
      <c r="K232" s="231"/>
      <c r="L232" s="231"/>
      <c r="M232" s="231"/>
      <c r="N232" s="231" t="s">
        <v>4972</v>
      </c>
      <c r="O232" s="246" t="s">
        <v>5146</v>
      </c>
      <c r="P232" s="246" t="s">
        <v>5147</v>
      </c>
      <c r="Q232" s="225" t="s">
        <v>5148</v>
      </c>
      <c r="R232" s="212" t="s">
        <v>4771</v>
      </c>
      <c r="S232" s="213" t="s">
        <v>4771</v>
      </c>
      <c r="T232" s="233">
        <v>45573</v>
      </c>
      <c r="U232" s="234" t="s">
        <v>4759</v>
      </c>
      <c r="V232" s="234">
        <v>45604</v>
      </c>
      <c r="W232" s="234">
        <v>45610</v>
      </c>
      <c r="X232" s="234" t="s">
        <v>2</v>
      </c>
      <c r="Y232" s="234"/>
      <c r="Z232" s="234" t="s">
        <v>5168</v>
      </c>
      <c r="AA232" s="243">
        <v>202411</v>
      </c>
      <c r="AB232" s="243"/>
      <c r="AC232" s="244" t="s">
        <v>4800</v>
      </c>
      <c r="AD232" s="244" t="s">
        <v>4536</v>
      </c>
      <c r="AE232" s="245">
        <v>1</v>
      </c>
      <c r="AF232" s="244" t="s">
        <v>4536</v>
      </c>
      <c r="AG232" s="239" t="str">
        <f>IFERROR(VLOOKUP(작성용!A:A,RM!A:D,4,0),"-")</f>
        <v>유재호</v>
      </c>
      <c r="AH232" s="9" t="s">
        <v>5021</v>
      </c>
      <c r="AI232" s="235" t="s">
        <v>4771</v>
      </c>
      <c r="AJ232" s="235" t="s">
        <v>4920</v>
      </c>
      <c r="AK232" s="235" t="s">
        <v>4777</v>
      </c>
      <c r="AL232" s="235">
        <v>231</v>
      </c>
    </row>
    <row r="233" spans="1:38" x14ac:dyDescent="0.3">
      <c r="A233" s="222" t="s">
        <v>3121</v>
      </c>
      <c r="B233" s="222" t="s">
        <v>3122</v>
      </c>
      <c r="C233" s="241" t="s">
        <v>4762</v>
      </c>
      <c r="D233" s="237" t="s">
        <v>5178</v>
      </c>
      <c r="E233" s="236">
        <v>1101111787386</v>
      </c>
      <c r="F233" s="240" t="s">
        <v>4850</v>
      </c>
      <c r="G233" s="214">
        <v>77</v>
      </c>
      <c r="H233" s="231" t="s">
        <v>4771</v>
      </c>
      <c r="I233" s="231"/>
      <c r="J233" s="231"/>
      <c r="K233" s="231"/>
      <c r="L233" s="231"/>
      <c r="M233" s="231"/>
      <c r="N233" s="231" t="s">
        <v>4972</v>
      </c>
      <c r="O233" s="246" t="s">
        <v>5146</v>
      </c>
      <c r="P233" s="246" t="s">
        <v>5147</v>
      </c>
      <c r="Q233" s="225" t="s">
        <v>5148</v>
      </c>
      <c r="R233" s="212" t="s">
        <v>4771</v>
      </c>
      <c r="S233" s="213" t="s">
        <v>4771</v>
      </c>
      <c r="T233" s="233">
        <v>45573</v>
      </c>
      <c r="U233" s="234" t="s">
        <v>4759</v>
      </c>
      <c r="V233" s="234">
        <v>45604</v>
      </c>
      <c r="W233" s="234">
        <v>45610</v>
      </c>
      <c r="X233" s="234" t="s">
        <v>2</v>
      </c>
      <c r="Y233" s="234"/>
      <c r="Z233" s="234" t="s">
        <v>5168</v>
      </c>
      <c r="AA233" s="243">
        <v>202411</v>
      </c>
      <c r="AB233" s="243"/>
      <c r="AC233" s="244" t="s">
        <v>4800</v>
      </c>
      <c r="AD233" s="244" t="s">
        <v>4945</v>
      </c>
      <c r="AE233" s="245">
        <v>1</v>
      </c>
      <c r="AF233" s="244" t="s">
        <v>71</v>
      </c>
      <c r="AG233" s="239" t="str">
        <f>IFERROR(VLOOKUP(작성용!A:A,RM!A:D,4,0),"-")</f>
        <v>유재호</v>
      </c>
      <c r="AH233" s="9" t="s">
        <v>5021</v>
      </c>
      <c r="AI233" s="235" t="s">
        <v>4771</v>
      </c>
      <c r="AJ233" s="235" t="s">
        <v>4920</v>
      </c>
      <c r="AK233" s="235" t="s">
        <v>4777</v>
      </c>
      <c r="AL233" s="235">
        <v>232</v>
      </c>
    </row>
    <row r="234" spans="1:38" x14ac:dyDescent="0.3">
      <c r="A234" s="222" t="s">
        <v>3121</v>
      </c>
      <c r="B234" s="222" t="s">
        <v>3122</v>
      </c>
      <c r="C234" s="241" t="s">
        <v>4762</v>
      </c>
      <c r="D234" s="237" t="s">
        <v>5179</v>
      </c>
      <c r="E234" s="236">
        <v>1101117095262</v>
      </c>
      <c r="F234" s="240" t="s">
        <v>4850</v>
      </c>
      <c r="G234" s="214">
        <v>77</v>
      </c>
      <c r="H234" s="231" t="s">
        <v>4771</v>
      </c>
      <c r="I234" s="231"/>
      <c r="J234" s="231"/>
      <c r="K234" s="231"/>
      <c r="L234" s="231"/>
      <c r="M234" s="231"/>
      <c r="N234" s="231" t="s">
        <v>4972</v>
      </c>
      <c r="O234" s="246" t="s">
        <v>5146</v>
      </c>
      <c r="P234" s="246" t="s">
        <v>5147</v>
      </c>
      <c r="Q234" s="225" t="s">
        <v>5148</v>
      </c>
      <c r="R234" s="212" t="s">
        <v>4771</v>
      </c>
      <c r="S234" s="213" t="s">
        <v>4771</v>
      </c>
      <c r="T234" s="233">
        <v>45573</v>
      </c>
      <c r="U234" s="234" t="s">
        <v>4759</v>
      </c>
      <c r="V234" s="234">
        <v>45604</v>
      </c>
      <c r="W234" s="234">
        <v>45610</v>
      </c>
      <c r="X234" s="234" t="s">
        <v>2</v>
      </c>
      <c r="Y234" s="234"/>
      <c r="Z234" s="234" t="s">
        <v>5168</v>
      </c>
      <c r="AA234" s="243">
        <v>202411</v>
      </c>
      <c r="AB234" s="243"/>
      <c r="AC234" s="244" t="s">
        <v>4800</v>
      </c>
      <c r="AD234" s="244" t="s">
        <v>3715</v>
      </c>
      <c r="AE234" s="245">
        <v>1</v>
      </c>
      <c r="AF234" s="244" t="s">
        <v>3715</v>
      </c>
      <c r="AG234" s="239" t="str">
        <f>IFERROR(VLOOKUP(작성용!A:A,RM!A:D,4,0),"-")</f>
        <v>유재호</v>
      </c>
      <c r="AH234" s="9" t="s">
        <v>5021</v>
      </c>
      <c r="AI234" s="235" t="s">
        <v>4771</v>
      </c>
      <c r="AJ234" s="235" t="s">
        <v>4920</v>
      </c>
      <c r="AK234" s="235" t="s">
        <v>4777</v>
      </c>
      <c r="AL234" s="235">
        <v>233</v>
      </c>
    </row>
    <row r="235" spans="1:38" x14ac:dyDescent="0.3">
      <c r="A235" s="222" t="s">
        <v>3121</v>
      </c>
      <c r="B235" s="222" t="s">
        <v>3122</v>
      </c>
      <c r="C235" s="241" t="s">
        <v>4762</v>
      </c>
      <c r="D235" s="237" t="s">
        <v>5180</v>
      </c>
      <c r="E235" s="236">
        <v>2149110013103</v>
      </c>
      <c r="F235" s="240" t="s">
        <v>4780</v>
      </c>
      <c r="G235" s="214">
        <v>1</v>
      </c>
      <c r="H235" s="231" t="s">
        <v>4771</v>
      </c>
      <c r="I235" s="231"/>
      <c r="J235" s="231"/>
      <c r="K235" s="231"/>
      <c r="L235" s="231"/>
      <c r="M235" s="231"/>
      <c r="N235" s="231" t="s">
        <v>4972</v>
      </c>
      <c r="O235" s="246" t="s">
        <v>5146</v>
      </c>
      <c r="P235" s="246" t="s">
        <v>5147</v>
      </c>
      <c r="Q235" s="225" t="s">
        <v>5148</v>
      </c>
      <c r="R235" s="212" t="s">
        <v>4771</v>
      </c>
      <c r="S235" s="213" t="s">
        <v>4771</v>
      </c>
      <c r="T235" s="233">
        <v>45573</v>
      </c>
      <c r="U235" s="234" t="s">
        <v>4759</v>
      </c>
      <c r="V235" s="234">
        <v>45604</v>
      </c>
      <c r="W235" s="234">
        <v>45610</v>
      </c>
      <c r="X235" s="234" t="s">
        <v>2</v>
      </c>
      <c r="Y235" s="234"/>
      <c r="Z235" s="234" t="s">
        <v>5168</v>
      </c>
      <c r="AA235" s="243">
        <v>202411</v>
      </c>
      <c r="AB235" s="243"/>
      <c r="AC235" s="244" t="s">
        <v>4800</v>
      </c>
      <c r="AD235" s="244" t="s">
        <v>4012</v>
      </c>
      <c r="AE235" s="245">
        <v>0</v>
      </c>
      <c r="AF235" s="244" t="s">
        <v>4012</v>
      </c>
      <c r="AG235" s="239" t="str">
        <f>IFERROR(VLOOKUP(작성용!A:A,RM!A:D,4,0),"-")</f>
        <v>유재호</v>
      </c>
      <c r="AH235" s="9" t="s">
        <v>5021</v>
      </c>
      <c r="AI235" s="235" t="s">
        <v>4771</v>
      </c>
      <c r="AJ235" s="235" t="s">
        <v>4920</v>
      </c>
      <c r="AK235" s="235" t="s">
        <v>4777</v>
      </c>
      <c r="AL235" s="235">
        <v>234</v>
      </c>
    </row>
    <row r="236" spans="1:38" x14ac:dyDescent="0.3">
      <c r="A236" s="222" t="s">
        <v>3121</v>
      </c>
      <c r="B236" s="222" t="s">
        <v>3122</v>
      </c>
      <c r="C236" s="241" t="s">
        <v>4762</v>
      </c>
      <c r="D236" s="237" t="s">
        <v>5181</v>
      </c>
      <c r="E236" s="236">
        <v>1101116451530</v>
      </c>
      <c r="F236" s="240" t="s">
        <v>4894</v>
      </c>
      <c r="G236" s="214">
        <v>77</v>
      </c>
      <c r="H236" s="231" t="s">
        <v>4771</v>
      </c>
      <c r="I236" s="231"/>
      <c r="J236" s="231"/>
      <c r="K236" s="231"/>
      <c r="L236" s="231"/>
      <c r="M236" s="231"/>
      <c r="N236" s="231" t="s">
        <v>4972</v>
      </c>
      <c r="O236" s="246" t="s">
        <v>5146</v>
      </c>
      <c r="P236" s="246" t="s">
        <v>5147</v>
      </c>
      <c r="Q236" s="225" t="s">
        <v>5148</v>
      </c>
      <c r="R236" s="212" t="s">
        <v>4771</v>
      </c>
      <c r="S236" s="213" t="s">
        <v>4771</v>
      </c>
      <c r="T236" s="233">
        <v>45573</v>
      </c>
      <c r="U236" s="234" t="s">
        <v>4759</v>
      </c>
      <c r="V236" s="234">
        <v>45604</v>
      </c>
      <c r="W236" s="234">
        <v>45610</v>
      </c>
      <c r="X236" s="234" t="s">
        <v>2</v>
      </c>
      <c r="Y236" s="234"/>
      <c r="Z236" s="234" t="s">
        <v>5168</v>
      </c>
      <c r="AA236" s="243">
        <v>202411</v>
      </c>
      <c r="AB236" s="243"/>
      <c r="AC236" s="244" t="s">
        <v>4800</v>
      </c>
      <c r="AD236" s="244" t="s">
        <v>3715</v>
      </c>
      <c r="AE236" s="245">
        <v>1</v>
      </c>
      <c r="AF236" s="244" t="s">
        <v>3715</v>
      </c>
      <c r="AG236" s="239" t="str">
        <f>IFERROR(VLOOKUP(작성용!A:A,RM!A:D,4,0),"-")</f>
        <v>유재호</v>
      </c>
      <c r="AH236" s="9" t="s">
        <v>5021</v>
      </c>
      <c r="AI236" s="235" t="s">
        <v>4771</v>
      </c>
      <c r="AJ236" s="235" t="s">
        <v>4920</v>
      </c>
      <c r="AK236" s="235" t="s">
        <v>4777</v>
      </c>
      <c r="AL236" s="235">
        <v>235</v>
      </c>
    </row>
    <row r="237" spans="1:38" x14ac:dyDescent="0.3">
      <c r="A237" s="222" t="s">
        <v>3121</v>
      </c>
      <c r="B237" s="222" t="s">
        <v>3122</v>
      </c>
      <c r="C237" s="241" t="s">
        <v>4762</v>
      </c>
      <c r="D237" s="237" t="s">
        <v>5182</v>
      </c>
      <c r="E237" s="236">
        <v>1101113017385</v>
      </c>
      <c r="F237" s="240" t="s">
        <v>4854</v>
      </c>
      <c r="G237" s="214">
        <v>0</v>
      </c>
      <c r="H237" s="231" t="s">
        <v>4771</v>
      </c>
      <c r="I237" s="231"/>
      <c r="J237" s="231"/>
      <c r="K237" s="231"/>
      <c r="L237" s="231"/>
      <c r="M237" s="231"/>
      <c r="N237" s="231" t="s">
        <v>4972</v>
      </c>
      <c r="O237" s="246" t="s">
        <v>5146</v>
      </c>
      <c r="P237" s="246" t="s">
        <v>5147</v>
      </c>
      <c r="Q237" s="225" t="s">
        <v>5148</v>
      </c>
      <c r="R237" s="212" t="s">
        <v>4771</v>
      </c>
      <c r="S237" s="213" t="s">
        <v>4771</v>
      </c>
      <c r="T237" s="233">
        <v>45573</v>
      </c>
      <c r="U237" s="234" t="s">
        <v>4759</v>
      </c>
      <c r="V237" s="234">
        <v>45604</v>
      </c>
      <c r="W237" s="234">
        <v>45610</v>
      </c>
      <c r="X237" s="234" t="s">
        <v>2</v>
      </c>
      <c r="Y237" s="234"/>
      <c r="Z237" s="234" t="s">
        <v>5168</v>
      </c>
      <c r="AA237" s="243">
        <v>202411</v>
      </c>
      <c r="AB237" s="243"/>
      <c r="AC237" s="244" t="s">
        <v>4800</v>
      </c>
      <c r="AD237" s="244" t="s">
        <v>3716</v>
      </c>
      <c r="AE237" s="245">
        <v>1</v>
      </c>
      <c r="AF237" s="244" t="s">
        <v>3716</v>
      </c>
      <c r="AG237" s="239" t="str">
        <f>IFERROR(VLOOKUP(작성용!A:A,RM!A:D,4,0),"-")</f>
        <v>유재호</v>
      </c>
      <c r="AH237" s="9" t="s">
        <v>5021</v>
      </c>
      <c r="AI237" s="235" t="s">
        <v>4771</v>
      </c>
      <c r="AJ237" s="235" t="s">
        <v>4920</v>
      </c>
      <c r="AK237" s="235" t="s">
        <v>4777</v>
      </c>
      <c r="AL237" s="235">
        <v>236</v>
      </c>
    </row>
    <row r="238" spans="1:38" x14ac:dyDescent="0.3">
      <c r="A238" s="222" t="s">
        <v>3121</v>
      </c>
      <c r="B238" s="222" t="s">
        <v>3122</v>
      </c>
      <c r="C238" s="241" t="s">
        <v>4762</v>
      </c>
      <c r="D238" s="237" t="s">
        <v>5183</v>
      </c>
      <c r="E238" s="236" t="s">
        <v>4637</v>
      </c>
      <c r="F238" s="240" t="s">
        <v>4894</v>
      </c>
      <c r="G238" s="214">
        <v>77</v>
      </c>
      <c r="H238" s="231" t="s">
        <v>4771</v>
      </c>
      <c r="I238" s="231"/>
      <c r="J238" s="231"/>
      <c r="K238" s="231"/>
      <c r="L238" s="231"/>
      <c r="M238" s="231"/>
      <c r="N238" s="231" t="s">
        <v>4972</v>
      </c>
      <c r="O238" s="246" t="s">
        <v>5146</v>
      </c>
      <c r="P238" s="246" t="s">
        <v>5147</v>
      </c>
      <c r="Q238" s="225" t="s">
        <v>5148</v>
      </c>
      <c r="R238" s="212" t="s">
        <v>4771</v>
      </c>
      <c r="S238" s="213" t="s">
        <v>4771</v>
      </c>
      <c r="T238" s="233">
        <v>45573</v>
      </c>
      <c r="U238" s="234" t="s">
        <v>4759</v>
      </c>
      <c r="V238" s="234">
        <v>45604</v>
      </c>
      <c r="W238" s="234">
        <v>45610</v>
      </c>
      <c r="X238" s="234" t="s">
        <v>2</v>
      </c>
      <c r="Y238" s="234"/>
      <c r="Z238" s="234" t="s">
        <v>5168</v>
      </c>
      <c r="AA238" s="243">
        <v>202411</v>
      </c>
      <c r="AB238" s="243"/>
      <c r="AC238" s="244" t="s">
        <v>4800</v>
      </c>
      <c r="AD238" s="244" t="s">
        <v>4846</v>
      </c>
      <c r="AE238" s="245">
        <v>1</v>
      </c>
      <c r="AF238" s="244" t="s">
        <v>4762</v>
      </c>
      <c r="AG238" s="239" t="str">
        <f>IFERROR(VLOOKUP(작성용!A:A,RM!A:D,4,0),"-")</f>
        <v>유재호</v>
      </c>
      <c r="AH238" s="9" t="s">
        <v>5021</v>
      </c>
      <c r="AI238" s="235" t="s">
        <v>4771</v>
      </c>
      <c r="AJ238" s="235" t="s">
        <v>4920</v>
      </c>
      <c r="AK238" s="235" t="s">
        <v>4777</v>
      </c>
      <c r="AL238" s="235">
        <v>237</v>
      </c>
    </row>
    <row r="239" spans="1:38" x14ac:dyDescent="0.3">
      <c r="A239" s="222" t="s">
        <v>3121</v>
      </c>
      <c r="B239" s="222" t="s">
        <v>3122</v>
      </c>
      <c r="C239" s="241" t="s">
        <v>4762</v>
      </c>
      <c r="D239" s="237" t="s">
        <v>5184</v>
      </c>
      <c r="E239" s="236">
        <v>1545110040511</v>
      </c>
      <c r="F239" s="240" t="s">
        <v>4854</v>
      </c>
      <c r="G239" s="214">
        <v>0</v>
      </c>
      <c r="H239" s="231" t="s">
        <v>4771</v>
      </c>
      <c r="I239" s="231"/>
      <c r="J239" s="231"/>
      <c r="K239" s="231"/>
      <c r="L239" s="231"/>
      <c r="M239" s="231"/>
      <c r="N239" s="231" t="s">
        <v>4972</v>
      </c>
      <c r="O239" s="246" t="s">
        <v>5146</v>
      </c>
      <c r="P239" s="246" t="s">
        <v>5147</v>
      </c>
      <c r="Q239" s="225" t="s">
        <v>5148</v>
      </c>
      <c r="R239" s="212" t="s">
        <v>4771</v>
      </c>
      <c r="S239" s="213" t="s">
        <v>4771</v>
      </c>
      <c r="T239" s="233">
        <v>45573</v>
      </c>
      <c r="U239" s="234" t="s">
        <v>4759</v>
      </c>
      <c r="V239" s="234">
        <v>45604</v>
      </c>
      <c r="W239" s="234">
        <v>45610</v>
      </c>
      <c r="X239" s="234" t="s">
        <v>2</v>
      </c>
      <c r="Y239" s="234"/>
      <c r="Z239" s="234" t="s">
        <v>5168</v>
      </c>
      <c r="AA239" s="243">
        <v>202411</v>
      </c>
      <c r="AB239" s="243"/>
      <c r="AC239" s="244" t="s">
        <v>4800</v>
      </c>
      <c r="AD239" s="244" t="s">
        <v>3663</v>
      </c>
      <c r="AE239" s="245">
        <v>1</v>
      </c>
      <c r="AF239" s="244" t="s">
        <v>3663</v>
      </c>
      <c r="AG239" s="239" t="str">
        <f>IFERROR(VLOOKUP(작성용!A:A,RM!A:D,4,0),"-")</f>
        <v>유재호</v>
      </c>
      <c r="AH239" s="9" t="s">
        <v>5021</v>
      </c>
      <c r="AI239" s="235" t="s">
        <v>4771</v>
      </c>
      <c r="AJ239" s="235" t="s">
        <v>4920</v>
      </c>
      <c r="AK239" s="235" t="s">
        <v>4777</v>
      </c>
      <c r="AL239" s="235">
        <v>238</v>
      </c>
    </row>
    <row r="240" spans="1:38" x14ac:dyDescent="0.3">
      <c r="A240" s="222" t="s">
        <v>3121</v>
      </c>
      <c r="B240" s="222" t="s">
        <v>3122</v>
      </c>
      <c r="C240" s="241" t="s">
        <v>4762</v>
      </c>
      <c r="D240" s="237" t="s">
        <v>5185</v>
      </c>
      <c r="E240" s="236">
        <v>1101116157253</v>
      </c>
      <c r="F240" s="240" t="s">
        <v>4850</v>
      </c>
      <c r="G240" s="214">
        <v>77</v>
      </c>
      <c r="H240" s="231" t="s">
        <v>4771</v>
      </c>
      <c r="I240" s="231"/>
      <c r="J240" s="231"/>
      <c r="K240" s="231"/>
      <c r="L240" s="231"/>
      <c r="M240" s="231"/>
      <c r="N240" s="231" t="s">
        <v>4972</v>
      </c>
      <c r="O240" s="246" t="s">
        <v>5146</v>
      </c>
      <c r="P240" s="246" t="s">
        <v>5147</v>
      </c>
      <c r="Q240" s="225" t="s">
        <v>5148</v>
      </c>
      <c r="R240" s="212" t="s">
        <v>4771</v>
      </c>
      <c r="S240" s="213" t="s">
        <v>4771</v>
      </c>
      <c r="T240" s="233">
        <v>45573</v>
      </c>
      <c r="U240" s="234" t="s">
        <v>4759</v>
      </c>
      <c r="V240" s="234">
        <v>45604</v>
      </c>
      <c r="W240" s="234">
        <v>45610</v>
      </c>
      <c r="X240" s="234" t="s">
        <v>2</v>
      </c>
      <c r="Y240" s="234"/>
      <c r="Z240" s="234" t="s">
        <v>5168</v>
      </c>
      <c r="AA240" s="243">
        <v>202411</v>
      </c>
      <c r="AB240" s="243"/>
      <c r="AC240" s="244" t="s">
        <v>4800</v>
      </c>
      <c r="AD240" s="244" t="s">
        <v>4535</v>
      </c>
      <c r="AE240" s="245">
        <v>1</v>
      </c>
      <c r="AF240" s="244" t="s">
        <v>4535</v>
      </c>
      <c r="AG240" s="239" t="str">
        <f>IFERROR(VLOOKUP(작성용!A:A,RM!A:D,4,0),"-")</f>
        <v>유재호</v>
      </c>
      <c r="AH240" s="9" t="s">
        <v>5021</v>
      </c>
      <c r="AI240" s="235" t="s">
        <v>4771</v>
      </c>
      <c r="AJ240" s="235" t="s">
        <v>4920</v>
      </c>
      <c r="AK240" s="235" t="s">
        <v>4777</v>
      </c>
      <c r="AL240" s="235">
        <v>239</v>
      </c>
    </row>
    <row r="241" spans="1:38" x14ac:dyDescent="0.3">
      <c r="A241" s="222" t="s">
        <v>3121</v>
      </c>
      <c r="B241" s="222" t="s">
        <v>3122</v>
      </c>
      <c r="C241" s="241" t="s">
        <v>4762</v>
      </c>
      <c r="D241" s="237" t="s">
        <v>5186</v>
      </c>
      <c r="E241" s="236">
        <v>1101118089157</v>
      </c>
      <c r="F241" s="240" t="s">
        <v>4850</v>
      </c>
      <c r="G241" s="214">
        <v>77</v>
      </c>
      <c r="H241" s="231" t="s">
        <v>4771</v>
      </c>
      <c r="I241" s="231"/>
      <c r="J241" s="231"/>
      <c r="K241" s="231"/>
      <c r="L241" s="231"/>
      <c r="M241" s="231"/>
      <c r="N241" s="231" t="s">
        <v>4972</v>
      </c>
      <c r="O241" s="246" t="s">
        <v>5146</v>
      </c>
      <c r="P241" s="246" t="s">
        <v>5147</v>
      </c>
      <c r="Q241" s="225" t="s">
        <v>5148</v>
      </c>
      <c r="R241" s="212" t="s">
        <v>4771</v>
      </c>
      <c r="S241" s="213" t="s">
        <v>4771</v>
      </c>
      <c r="T241" s="233">
        <v>45573</v>
      </c>
      <c r="U241" s="234" t="s">
        <v>4759</v>
      </c>
      <c r="V241" s="234">
        <v>45604</v>
      </c>
      <c r="W241" s="234">
        <v>45610</v>
      </c>
      <c r="X241" s="234" t="s">
        <v>2</v>
      </c>
      <c r="Y241" s="234"/>
      <c r="Z241" s="234" t="s">
        <v>5168</v>
      </c>
      <c r="AA241" s="243">
        <v>202411</v>
      </c>
      <c r="AB241" s="243"/>
      <c r="AC241" s="244" t="s">
        <v>4800</v>
      </c>
      <c r="AD241" s="244" t="s">
        <v>4761</v>
      </c>
      <c r="AE241" s="245">
        <v>1</v>
      </c>
      <c r="AF241" s="244" t="s">
        <v>5187</v>
      </c>
      <c r="AG241" s="239" t="str">
        <f>IFERROR(VLOOKUP(작성용!A:A,RM!A:D,4,0),"-")</f>
        <v>유재호</v>
      </c>
      <c r="AH241" s="9" t="s">
        <v>5021</v>
      </c>
      <c r="AI241" s="235" t="s">
        <v>4771</v>
      </c>
      <c r="AJ241" s="235" t="s">
        <v>4920</v>
      </c>
      <c r="AK241" s="235" t="s">
        <v>4777</v>
      </c>
      <c r="AL241" s="235">
        <v>240</v>
      </c>
    </row>
    <row r="242" spans="1:38" x14ac:dyDescent="0.3">
      <c r="A242" s="222" t="s">
        <v>3121</v>
      </c>
      <c r="B242" s="222" t="s">
        <v>3122</v>
      </c>
      <c r="C242" s="241" t="s">
        <v>4762</v>
      </c>
      <c r="D242" s="237" t="s">
        <v>5186</v>
      </c>
      <c r="E242" s="236">
        <v>1101118089157</v>
      </c>
      <c r="F242" s="240" t="s">
        <v>4850</v>
      </c>
      <c r="G242" s="214">
        <v>771</v>
      </c>
      <c r="H242" s="231" t="s">
        <v>4771</v>
      </c>
      <c r="I242" s="231"/>
      <c r="J242" s="231"/>
      <c r="K242" s="231"/>
      <c r="L242" s="231"/>
      <c r="M242" s="231"/>
      <c r="N242" s="231" t="s">
        <v>4972</v>
      </c>
      <c r="O242" s="246" t="s">
        <v>5146</v>
      </c>
      <c r="P242" s="246" t="s">
        <v>5147</v>
      </c>
      <c r="Q242" s="225" t="s">
        <v>5148</v>
      </c>
      <c r="R242" s="212" t="s">
        <v>4771</v>
      </c>
      <c r="S242" s="213" t="s">
        <v>4771</v>
      </c>
      <c r="T242" s="233">
        <v>45573</v>
      </c>
      <c r="U242" s="234" t="s">
        <v>4759</v>
      </c>
      <c r="V242" s="234">
        <v>45604</v>
      </c>
      <c r="W242" s="234">
        <v>45610</v>
      </c>
      <c r="X242" s="234" t="s">
        <v>2</v>
      </c>
      <c r="Y242" s="234"/>
      <c r="Z242" s="234" t="s">
        <v>5168</v>
      </c>
      <c r="AA242" s="243">
        <v>202411</v>
      </c>
      <c r="AB242" s="243"/>
      <c r="AC242" s="244" t="s">
        <v>4800</v>
      </c>
      <c r="AD242" s="244" t="s">
        <v>4761</v>
      </c>
      <c r="AE242" s="245">
        <v>0</v>
      </c>
      <c r="AF242" s="244" t="s">
        <v>5187</v>
      </c>
      <c r="AG242" s="239" t="str">
        <f>IFERROR(VLOOKUP(작성용!A:A,RM!A:D,4,0),"-")</f>
        <v>유재호</v>
      </c>
      <c r="AH242" s="9" t="s">
        <v>5021</v>
      </c>
      <c r="AI242" s="235" t="s">
        <v>4771</v>
      </c>
      <c r="AJ242" s="235" t="s">
        <v>4920</v>
      </c>
      <c r="AK242" s="235" t="s">
        <v>4777</v>
      </c>
      <c r="AL242" s="235">
        <v>241</v>
      </c>
    </row>
    <row r="243" spans="1:38" x14ac:dyDescent="0.3">
      <c r="A243" s="222" t="s">
        <v>3121</v>
      </c>
      <c r="B243" s="222" t="s">
        <v>3122</v>
      </c>
      <c r="C243" s="241" t="s">
        <v>4762</v>
      </c>
      <c r="D243" s="237" t="s">
        <v>5188</v>
      </c>
      <c r="E243" s="236">
        <v>1101117039682</v>
      </c>
      <c r="F243" s="240" t="s">
        <v>4850</v>
      </c>
      <c r="G243" s="214">
        <v>77</v>
      </c>
      <c r="H243" s="231" t="s">
        <v>4771</v>
      </c>
      <c r="I243" s="231"/>
      <c r="J243" s="231"/>
      <c r="K243" s="231"/>
      <c r="L243" s="231"/>
      <c r="M243" s="231"/>
      <c r="N243" s="231" t="s">
        <v>4972</v>
      </c>
      <c r="O243" s="246" t="s">
        <v>5146</v>
      </c>
      <c r="P243" s="246" t="s">
        <v>5147</v>
      </c>
      <c r="Q243" s="225" t="s">
        <v>5148</v>
      </c>
      <c r="R243" s="212" t="s">
        <v>4771</v>
      </c>
      <c r="S243" s="213" t="s">
        <v>4771</v>
      </c>
      <c r="T243" s="233">
        <v>45573</v>
      </c>
      <c r="U243" s="234" t="s">
        <v>4759</v>
      </c>
      <c r="V243" s="234">
        <v>45604</v>
      </c>
      <c r="W243" s="234">
        <v>45610</v>
      </c>
      <c r="X243" s="234" t="s">
        <v>2</v>
      </c>
      <c r="Y243" s="234"/>
      <c r="Z243" s="234" t="s">
        <v>5168</v>
      </c>
      <c r="AA243" s="243">
        <v>202411</v>
      </c>
      <c r="AB243" s="243"/>
      <c r="AC243" s="244" t="s">
        <v>4800</v>
      </c>
      <c r="AD243" s="244" t="s">
        <v>4539</v>
      </c>
      <c r="AE243" s="245">
        <v>1</v>
      </c>
      <c r="AF243" s="244" t="s">
        <v>4539</v>
      </c>
      <c r="AG243" s="239" t="str">
        <f>IFERROR(VLOOKUP(작성용!A:A,RM!A:D,4,0),"-")</f>
        <v>유재호</v>
      </c>
      <c r="AH243" s="9" t="s">
        <v>5021</v>
      </c>
      <c r="AI243" s="235" t="s">
        <v>4771</v>
      </c>
      <c r="AJ243" s="235" t="s">
        <v>4920</v>
      </c>
      <c r="AK243" s="235" t="s">
        <v>4777</v>
      </c>
      <c r="AL243" s="235">
        <v>242</v>
      </c>
    </row>
    <row r="244" spans="1:38" x14ac:dyDescent="0.3">
      <c r="A244" s="222" t="s">
        <v>3121</v>
      </c>
      <c r="B244" s="222" t="s">
        <v>3122</v>
      </c>
      <c r="C244" s="241" t="s">
        <v>4762</v>
      </c>
      <c r="D244" s="237" t="s">
        <v>5188</v>
      </c>
      <c r="E244" s="236">
        <v>1101117039682</v>
      </c>
      <c r="F244" s="240" t="s">
        <v>4850</v>
      </c>
      <c r="G244" s="214">
        <v>771</v>
      </c>
      <c r="H244" s="231" t="s">
        <v>4771</v>
      </c>
      <c r="I244" s="231"/>
      <c r="J244" s="231"/>
      <c r="K244" s="231"/>
      <c r="L244" s="231"/>
      <c r="M244" s="231"/>
      <c r="N244" s="231" t="s">
        <v>4972</v>
      </c>
      <c r="O244" s="246" t="s">
        <v>5146</v>
      </c>
      <c r="P244" s="246" t="s">
        <v>5147</v>
      </c>
      <c r="Q244" s="225" t="s">
        <v>5148</v>
      </c>
      <c r="R244" s="212" t="s">
        <v>4771</v>
      </c>
      <c r="S244" s="213" t="s">
        <v>4771</v>
      </c>
      <c r="T244" s="233">
        <v>45573</v>
      </c>
      <c r="U244" s="234" t="s">
        <v>4759</v>
      </c>
      <c r="V244" s="234">
        <v>45604</v>
      </c>
      <c r="W244" s="234">
        <v>45610</v>
      </c>
      <c r="X244" s="234" t="s">
        <v>2</v>
      </c>
      <c r="Y244" s="234"/>
      <c r="Z244" s="234" t="s">
        <v>5168</v>
      </c>
      <c r="AA244" s="243">
        <v>202411</v>
      </c>
      <c r="AB244" s="243"/>
      <c r="AC244" s="244" t="s">
        <v>4800</v>
      </c>
      <c r="AD244" s="244" t="s">
        <v>4539</v>
      </c>
      <c r="AE244" s="245">
        <v>0</v>
      </c>
      <c r="AF244" s="244" t="s">
        <v>4539</v>
      </c>
      <c r="AG244" s="239" t="str">
        <f>IFERROR(VLOOKUP(작성용!A:A,RM!A:D,4,0),"-")</f>
        <v>유재호</v>
      </c>
      <c r="AH244" s="9" t="s">
        <v>5021</v>
      </c>
      <c r="AI244" s="235" t="s">
        <v>4771</v>
      </c>
      <c r="AJ244" s="235" t="s">
        <v>4920</v>
      </c>
      <c r="AK244" s="235" t="s">
        <v>4777</v>
      </c>
      <c r="AL244" s="235">
        <v>243</v>
      </c>
    </row>
    <row r="245" spans="1:38" x14ac:dyDescent="0.3">
      <c r="A245" s="222" t="s">
        <v>3121</v>
      </c>
      <c r="B245" s="222" t="s">
        <v>3122</v>
      </c>
      <c r="C245" s="241" t="s">
        <v>4762</v>
      </c>
      <c r="D245" s="237" t="s">
        <v>5189</v>
      </c>
      <c r="E245" s="236">
        <v>1101116256493</v>
      </c>
      <c r="F245" s="240" t="s">
        <v>4850</v>
      </c>
      <c r="G245" s="214">
        <v>77</v>
      </c>
      <c r="H245" s="231" t="s">
        <v>4771</v>
      </c>
      <c r="I245" s="231"/>
      <c r="J245" s="231"/>
      <c r="K245" s="231"/>
      <c r="L245" s="231"/>
      <c r="M245" s="231"/>
      <c r="N245" s="231" t="s">
        <v>4972</v>
      </c>
      <c r="O245" s="246" t="s">
        <v>5146</v>
      </c>
      <c r="P245" s="246" t="s">
        <v>5147</v>
      </c>
      <c r="Q245" s="225" t="s">
        <v>5148</v>
      </c>
      <c r="R245" s="212" t="s">
        <v>4771</v>
      </c>
      <c r="S245" s="213" t="s">
        <v>4771</v>
      </c>
      <c r="T245" s="233">
        <v>45573</v>
      </c>
      <c r="U245" s="234" t="s">
        <v>4759</v>
      </c>
      <c r="V245" s="234">
        <v>45604</v>
      </c>
      <c r="W245" s="234">
        <v>45610</v>
      </c>
      <c r="X245" s="234" t="s">
        <v>2</v>
      </c>
      <c r="Y245" s="234"/>
      <c r="Z245" s="234" t="s">
        <v>5168</v>
      </c>
      <c r="AA245" s="243">
        <v>202411</v>
      </c>
      <c r="AB245" s="243"/>
      <c r="AC245" s="244" t="s">
        <v>4800</v>
      </c>
      <c r="AD245" s="244" t="s">
        <v>4535</v>
      </c>
      <c r="AE245" s="245">
        <v>1</v>
      </c>
      <c r="AF245" s="244" t="s">
        <v>4535</v>
      </c>
      <c r="AG245" s="239" t="str">
        <f>IFERROR(VLOOKUP(작성용!A:A,RM!A:D,4,0),"-")</f>
        <v>유재호</v>
      </c>
      <c r="AH245" s="9" t="s">
        <v>5021</v>
      </c>
      <c r="AI245" s="235" t="s">
        <v>4771</v>
      </c>
      <c r="AJ245" s="235" t="s">
        <v>4920</v>
      </c>
      <c r="AK245" s="235" t="s">
        <v>4777</v>
      </c>
      <c r="AL245" s="235">
        <v>244</v>
      </c>
    </row>
    <row r="246" spans="1:38" x14ac:dyDescent="0.3">
      <c r="A246" s="222" t="s">
        <v>3121</v>
      </c>
      <c r="B246" s="222" t="s">
        <v>3122</v>
      </c>
      <c r="C246" s="241" t="s">
        <v>4762</v>
      </c>
      <c r="D246" s="237" t="s">
        <v>5189</v>
      </c>
      <c r="E246" s="236">
        <v>1101116256493</v>
      </c>
      <c r="F246" s="240" t="s">
        <v>4850</v>
      </c>
      <c r="G246" s="214">
        <v>771</v>
      </c>
      <c r="H246" s="231" t="s">
        <v>4771</v>
      </c>
      <c r="I246" s="231"/>
      <c r="J246" s="231"/>
      <c r="K246" s="231"/>
      <c r="L246" s="231"/>
      <c r="M246" s="231"/>
      <c r="N246" s="231" t="s">
        <v>4972</v>
      </c>
      <c r="O246" s="246" t="s">
        <v>5146</v>
      </c>
      <c r="P246" s="246" t="s">
        <v>5147</v>
      </c>
      <c r="Q246" s="225" t="s">
        <v>5148</v>
      </c>
      <c r="R246" s="212" t="s">
        <v>4771</v>
      </c>
      <c r="S246" s="213" t="s">
        <v>4771</v>
      </c>
      <c r="T246" s="233">
        <v>45573</v>
      </c>
      <c r="U246" s="234" t="s">
        <v>4759</v>
      </c>
      <c r="V246" s="234">
        <v>45604</v>
      </c>
      <c r="W246" s="234">
        <v>45610</v>
      </c>
      <c r="X246" s="234" t="s">
        <v>2</v>
      </c>
      <c r="Y246" s="234"/>
      <c r="Z246" s="234" t="s">
        <v>5168</v>
      </c>
      <c r="AA246" s="243">
        <v>202411</v>
      </c>
      <c r="AB246" s="243"/>
      <c r="AC246" s="244" t="s">
        <v>4800</v>
      </c>
      <c r="AD246" s="244" t="s">
        <v>4535</v>
      </c>
      <c r="AE246" s="245">
        <v>0</v>
      </c>
      <c r="AF246" s="244" t="s">
        <v>4535</v>
      </c>
      <c r="AG246" s="239" t="str">
        <f>IFERROR(VLOOKUP(작성용!A:A,RM!A:D,4,0),"-")</f>
        <v>유재호</v>
      </c>
      <c r="AH246" s="9" t="s">
        <v>5021</v>
      </c>
      <c r="AI246" s="235" t="s">
        <v>4771</v>
      </c>
      <c r="AJ246" s="235" t="s">
        <v>4920</v>
      </c>
      <c r="AK246" s="235" t="s">
        <v>4777</v>
      </c>
      <c r="AL246" s="235">
        <v>245</v>
      </c>
    </row>
    <row r="247" spans="1:38" x14ac:dyDescent="0.3">
      <c r="A247" s="222" t="s">
        <v>3121</v>
      </c>
      <c r="B247" s="222" t="s">
        <v>3122</v>
      </c>
      <c r="C247" s="241" t="s">
        <v>4762</v>
      </c>
      <c r="D247" s="237" t="s">
        <v>5190</v>
      </c>
      <c r="E247" s="236">
        <v>1101116969393</v>
      </c>
      <c r="F247" s="240" t="s">
        <v>4850</v>
      </c>
      <c r="G247" s="214">
        <v>77</v>
      </c>
      <c r="H247" s="231" t="s">
        <v>4771</v>
      </c>
      <c r="I247" s="231"/>
      <c r="J247" s="231"/>
      <c r="K247" s="231"/>
      <c r="L247" s="231"/>
      <c r="M247" s="231"/>
      <c r="N247" s="231" t="s">
        <v>4972</v>
      </c>
      <c r="O247" s="246" t="s">
        <v>5146</v>
      </c>
      <c r="P247" s="246" t="s">
        <v>5147</v>
      </c>
      <c r="Q247" s="225" t="s">
        <v>5148</v>
      </c>
      <c r="R247" s="212" t="s">
        <v>4771</v>
      </c>
      <c r="S247" s="213" t="s">
        <v>4771</v>
      </c>
      <c r="T247" s="233">
        <v>45573</v>
      </c>
      <c r="U247" s="234" t="s">
        <v>4759</v>
      </c>
      <c r="V247" s="234">
        <v>45604</v>
      </c>
      <c r="W247" s="234">
        <v>45610</v>
      </c>
      <c r="X247" s="234" t="s">
        <v>2</v>
      </c>
      <c r="Y247" s="234"/>
      <c r="Z247" s="234" t="s">
        <v>5168</v>
      </c>
      <c r="AA247" s="243">
        <v>202411</v>
      </c>
      <c r="AB247" s="243"/>
      <c r="AC247" s="244" t="s">
        <v>4800</v>
      </c>
      <c r="AD247" s="244" t="s">
        <v>4823</v>
      </c>
      <c r="AE247" s="245">
        <v>1</v>
      </c>
      <c r="AF247" s="244" t="s">
        <v>492</v>
      </c>
      <c r="AG247" s="239" t="str">
        <f>IFERROR(VLOOKUP(작성용!A:A,RM!A:D,4,0),"-")</f>
        <v>유재호</v>
      </c>
      <c r="AH247" s="9" t="s">
        <v>5021</v>
      </c>
      <c r="AI247" s="235" t="s">
        <v>4771</v>
      </c>
      <c r="AJ247" s="235" t="s">
        <v>4920</v>
      </c>
      <c r="AK247" s="235" t="s">
        <v>4777</v>
      </c>
      <c r="AL247" s="235">
        <v>246</v>
      </c>
    </row>
    <row r="248" spans="1:38" x14ac:dyDescent="0.3">
      <c r="A248" s="222" t="s">
        <v>3121</v>
      </c>
      <c r="B248" s="222" t="s">
        <v>3122</v>
      </c>
      <c r="C248" s="241" t="s">
        <v>4762</v>
      </c>
      <c r="D248" s="237" t="s">
        <v>5191</v>
      </c>
      <c r="E248" s="236">
        <v>1101117205796</v>
      </c>
      <c r="F248" s="240" t="s">
        <v>4780</v>
      </c>
      <c r="G248" s="214">
        <v>77</v>
      </c>
      <c r="H248" s="231" t="s">
        <v>4771</v>
      </c>
      <c r="I248" s="231"/>
      <c r="J248" s="231"/>
      <c r="K248" s="231"/>
      <c r="L248" s="231"/>
      <c r="M248" s="231"/>
      <c r="N248" s="231" t="s">
        <v>4972</v>
      </c>
      <c r="O248" s="246" t="s">
        <v>5146</v>
      </c>
      <c r="P248" s="246" t="s">
        <v>5147</v>
      </c>
      <c r="Q248" s="225" t="s">
        <v>5148</v>
      </c>
      <c r="R248" s="212" t="s">
        <v>4771</v>
      </c>
      <c r="S248" s="213" t="s">
        <v>4771</v>
      </c>
      <c r="T248" s="233">
        <v>45573</v>
      </c>
      <c r="U248" s="234" t="s">
        <v>4759</v>
      </c>
      <c r="V248" s="234">
        <v>45604</v>
      </c>
      <c r="W248" s="234">
        <v>45610</v>
      </c>
      <c r="X248" s="234" t="s">
        <v>2</v>
      </c>
      <c r="Y248" s="234"/>
      <c r="Z248" s="234" t="s">
        <v>5168</v>
      </c>
      <c r="AA248" s="243">
        <v>202411</v>
      </c>
      <c r="AB248" s="243"/>
      <c r="AC248" s="244" t="s">
        <v>4800</v>
      </c>
      <c r="AD248" s="244" t="s">
        <v>4897</v>
      </c>
      <c r="AE248" s="245">
        <v>1</v>
      </c>
      <c r="AF248" s="244" t="s">
        <v>5192</v>
      </c>
      <c r="AG248" s="239" t="str">
        <f>IFERROR(VLOOKUP(작성용!A:A,RM!A:D,4,0),"-")</f>
        <v>유재호</v>
      </c>
      <c r="AH248" s="9" t="s">
        <v>5021</v>
      </c>
      <c r="AI248" s="235" t="s">
        <v>4771</v>
      </c>
      <c r="AJ248" s="235" t="s">
        <v>4920</v>
      </c>
      <c r="AK248" s="235" t="s">
        <v>4777</v>
      </c>
      <c r="AL248" s="235">
        <v>247</v>
      </c>
    </row>
    <row r="249" spans="1:38" x14ac:dyDescent="0.3">
      <c r="A249" s="222" t="s">
        <v>3121</v>
      </c>
      <c r="B249" s="222" t="s">
        <v>3122</v>
      </c>
      <c r="C249" s="241" t="s">
        <v>4762</v>
      </c>
      <c r="D249" s="237" t="s">
        <v>5193</v>
      </c>
      <c r="E249" s="236">
        <v>1801110301290</v>
      </c>
      <c r="F249" s="240" t="s">
        <v>4850</v>
      </c>
      <c r="G249" s="214">
        <v>77</v>
      </c>
      <c r="H249" s="231" t="s">
        <v>4771</v>
      </c>
      <c r="I249" s="231"/>
      <c r="J249" s="231"/>
      <c r="K249" s="231"/>
      <c r="L249" s="231"/>
      <c r="M249" s="231"/>
      <c r="N249" s="231" t="s">
        <v>4972</v>
      </c>
      <c r="O249" s="246" t="s">
        <v>5146</v>
      </c>
      <c r="P249" s="246" t="s">
        <v>5147</v>
      </c>
      <c r="Q249" s="225" t="s">
        <v>5148</v>
      </c>
      <c r="R249" s="212" t="s">
        <v>4771</v>
      </c>
      <c r="S249" s="213" t="s">
        <v>4771</v>
      </c>
      <c r="T249" s="233">
        <v>45573</v>
      </c>
      <c r="U249" s="234" t="s">
        <v>4759</v>
      </c>
      <c r="V249" s="234">
        <v>45604</v>
      </c>
      <c r="W249" s="234">
        <v>45610</v>
      </c>
      <c r="X249" s="234" t="s">
        <v>2</v>
      </c>
      <c r="Y249" s="234"/>
      <c r="Z249" s="234" t="s">
        <v>5168</v>
      </c>
      <c r="AA249" s="243">
        <v>202411</v>
      </c>
      <c r="AB249" s="243"/>
      <c r="AC249" s="244" t="s">
        <v>4800</v>
      </c>
      <c r="AD249" s="244" t="s">
        <v>4937</v>
      </c>
      <c r="AE249" s="245">
        <v>1</v>
      </c>
      <c r="AF249" s="244" t="s">
        <v>4762</v>
      </c>
      <c r="AG249" s="239" t="str">
        <f>IFERROR(VLOOKUP(작성용!A:A,RM!A:D,4,0),"-")</f>
        <v>유재호</v>
      </c>
      <c r="AH249" s="9" t="s">
        <v>5021</v>
      </c>
      <c r="AI249" s="235" t="s">
        <v>4771</v>
      </c>
      <c r="AJ249" s="235" t="s">
        <v>4920</v>
      </c>
      <c r="AK249" s="235" t="s">
        <v>4777</v>
      </c>
      <c r="AL249" s="235">
        <v>248</v>
      </c>
    </row>
    <row r="250" spans="1:38" x14ac:dyDescent="0.3">
      <c r="A250" s="222" t="s">
        <v>3121</v>
      </c>
      <c r="B250" s="222" t="s">
        <v>3122</v>
      </c>
      <c r="C250" s="241" t="s">
        <v>4762</v>
      </c>
      <c r="D250" s="237" t="s">
        <v>5194</v>
      </c>
      <c r="E250" s="236">
        <v>1358110168906</v>
      </c>
      <c r="F250" s="240" t="s">
        <v>4780</v>
      </c>
      <c r="G250" s="214">
        <v>1</v>
      </c>
      <c r="H250" s="231" t="s">
        <v>4771</v>
      </c>
      <c r="I250" s="231"/>
      <c r="J250" s="231"/>
      <c r="K250" s="231"/>
      <c r="L250" s="231"/>
      <c r="M250" s="231"/>
      <c r="N250" s="231" t="s">
        <v>4972</v>
      </c>
      <c r="O250" s="246" t="s">
        <v>5146</v>
      </c>
      <c r="P250" s="246" t="s">
        <v>5147</v>
      </c>
      <c r="Q250" s="225" t="s">
        <v>5148</v>
      </c>
      <c r="R250" s="212" t="s">
        <v>4771</v>
      </c>
      <c r="S250" s="213" t="s">
        <v>4771</v>
      </c>
      <c r="T250" s="233">
        <v>45573</v>
      </c>
      <c r="U250" s="234" t="s">
        <v>4759</v>
      </c>
      <c r="V250" s="234">
        <v>45604</v>
      </c>
      <c r="W250" s="234">
        <v>45610</v>
      </c>
      <c r="X250" s="234" t="s">
        <v>2</v>
      </c>
      <c r="Y250" s="234"/>
      <c r="Z250" s="234" t="s">
        <v>5168</v>
      </c>
      <c r="AA250" s="243">
        <v>202411</v>
      </c>
      <c r="AB250" s="243"/>
      <c r="AC250" s="244" t="s">
        <v>4800</v>
      </c>
      <c r="AD250" s="244" t="s">
        <v>4774</v>
      </c>
      <c r="AE250" s="245">
        <v>0</v>
      </c>
      <c r="AF250" s="244" t="s">
        <v>4762</v>
      </c>
      <c r="AG250" s="239" t="str">
        <f>IFERROR(VLOOKUP(작성용!A:A,RM!A:D,4,0),"-")</f>
        <v>유재호</v>
      </c>
      <c r="AH250" s="9" t="s">
        <v>5021</v>
      </c>
      <c r="AI250" s="235" t="s">
        <v>4771</v>
      </c>
      <c r="AJ250" s="235" t="s">
        <v>4920</v>
      </c>
      <c r="AK250" s="235" t="s">
        <v>4777</v>
      </c>
      <c r="AL250" s="235">
        <v>249</v>
      </c>
    </row>
    <row r="251" spans="1:38" x14ac:dyDescent="0.3">
      <c r="A251" s="222" t="s">
        <v>3121</v>
      </c>
      <c r="B251" s="222" t="s">
        <v>3122</v>
      </c>
      <c r="C251" s="241" t="s">
        <v>4762</v>
      </c>
      <c r="D251" s="237" t="s">
        <v>5195</v>
      </c>
      <c r="E251" s="236">
        <v>1101115462273</v>
      </c>
      <c r="F251" s="240" t="s">
        <v>4850</v>
      </c>
      <c r="G251" s="214">
        <v>77</v>
      </c>
      <c r="H251" s="231" t="s">
        <v>4771</v>
      </c>
      <c r="I251" s="231"/>
      <c r="J251" s="231"/>
      <c r="K251" s="231"/>
      <c r="L251" s="231"/>
      <c r="M251" s="231"/>
      <c r="N251" s="231" t="s">
        <v>4972</v>
      </c>
      <c r="O251" s="246" t="s">
        <v>5146</v>
      </c>
      <c r="P251" s="246" t="s">
        <v>5147</v>
      </c>
      <c r="Q251" s="225" t="s">
        <v>5148</v>
      </c>
      <c r="R251" s="212" t="s">
        <v>4771</v>
      </c>
      <c r="S251" s="213" t="s">
        <v>4771</v>
      </c>
      <c r="T251" s="233">
        <v>45573</v>
      </c>
      <c r="U251" s="234" t="s">
        <v>4759</v>
      </c>
      <c r="V251" s="234">
        <v>45604</v>
      </c>
      <c r="W251" s="234">
        <v>45610</v>
      </c>
      <c r="X251" s="234" t="s">
        <v>2</v>
      </c>
      <c r="Y251" s="234"/>
      <c r="Z251" s="234" t="s">
        <v>5168</v>
      </c>
      <c r="AA251" s="243">
        <v>202411</v>
      </c>
      <c r="AB251" s="243"/>
      <c r="AC251" s="244" t="s">
        <v>4800</v>
      </c>
      <c r="AD251" s="244" t="s">
        <v>4897</v>
      </c>
      <c r="AE251" s="245">
        <v>1</v>
      </c>
      <c r="AF251" s="244" t="s">
        <v>4762</v>
      </c>
      <c r="AG251" s="239" t="str">
        <f>IFERROR(VLOOKUP(작성용!A:A,RM!A:D,4,0),"-")</f>
        <v>유재호</v>
      </c>
      <c r="AH251" s="9" t="s">
        <v>5021</v>
      </c>
      <c r="AI251" s="235" t="s">
        <v>4771</v>
      </c>
      <c r="AJ251" s="235" t="s">
        <v>4920</v>
      </c>
      <c r="AK251" s="235" t="s">
        <v>4777</v>
      </c>
      <c r="AL251" s="235">
        <v>250</v>
      </c>
    </row>
    <row r="252" spans="1:38" x14ac:dyDescent="0.3">
      <c r="A252" s="222" t="s">
        <v>3121</v>
      </c>
      <c r="B252" s="222" t="s">
        <v>3122</v>
      </c>
      <c r="C252" s="241" t="s">
        <v>4778</v>
      </c>
      <c r="D252" s="237" t="s">
        <v>5196</v>
      </c>
      <c r="E252" s="236">
        <v>1101115648899</v>
      </c>
      <c r="F252" s="240" t="s">
        <v>4854</v>
      </c>
      <c r="G252" s="214">
        <v>0</v>
      </c>
      <c r="H252" s="231" t="s">
        <v>4771</v>
      </c>
      <c r="I252" s="231"/>
      <c r="J252" s="231"/>
      <c r="K252" s="231"/>
      <c r="L252" s="231"/>
      <c r="M252" s="231"/>
      <c r="N252" s="231" t="s">
        <v>4972</v>
      </c>
      <c r="O252" s="246" t="s">
        <v>5146</v>
      </c>
      <c r="P252" s="246" t="s">
        <v>5147</v>
      </c>
      <c r="Q252" s="225" t="s">
        <v>5148</v>
      </c>
      <c r="R252" s="212" t="s">
        <v>4771</v>
      </c>
      <c r="S252" s="213" t="s">
        <v>4771</v>
      </c>
      <c r="T252" s="233">
        <v>45573</v>
      </c>
      <c r="U252" s="234" t="s">
        <v>4759</v>
      </c>
      <c r="V252" s="234">
        <v>45604</v>
      </c>
      <c r="W252" s="234">
        <v>45610</v>
      </c>
      <c r="X252" s="234" t="s">
        <v>2</v>
      </c>
      <c r="Y252" s="234"/>
      <c r="Z252" s="234" t="s">
        <v>5168</v>
      </c>
      <c r="AA252" s="243">
        <v>202411</v>
      </c>
      <c r="AB252" s="243"/>
      <c r="AC252" s="244" t="s">
        <v>4800</v>
      </c>
      <c r="AD252" s="244" t="s">
        <v>4900</v>
      </c>
      <c r="AE252" s="245">
        <v>1</v>
      </c>
      <c r="AF252" s="244" t="s">
        <v>5001</v>
      </c>
      <c r="AG252" s="239" t="str">
        <f>IFERROR(VLOOKUP(작성용!A:A,RM!A:D,4,0),"-")</f>
        <v>유재호</v>
      </c>
      <c r="AH252" s="9" t="s">
        <v>5021</v>
      </c>
      <c r="AI252" s="235" t="s">
        <v>4771</v>
      </c>
      <c r="AJ252" s="235" t="s">
        <v>4920</v>
      </c>
      <c r="AK252" s="235" t="s">
        <v>4777</v>
      </c>
      <c r="AL252" s="235">
        <v>251</v>
      </c>
    </row>
    <row r="253" spans="1:38" x14ac:dyDescent="0.3">
      <c r="A253" s="222" t="s">
        <v>3121</v>
      </c>
      <c r="B253" s="222" t="s">
        <v>3122</v>
      </c>
      <c r="C253" s="241" t="s">
        <v>4778</v>
      </c>
      <c r="D253" s="237" t="s">
        <v>5196</v>
      </c>
      <c r="E253" s="236">
        <v>1101115648899</v>
      </c>
      <c r="F253" s="240" t="s">
        <v>4894</v>
      </c>
      <c r="G253" s="214">
        <v>0</v>
      </c>
      <c r="H253" s="231" t="s">
        <v>4771</v>
      </c>
      <c r="I253" s="231"/>
      <c r="J253" s="231"/>
      <c r="K253" s="231"/>
      <c r="L253" s="231"/>
      <c r="M253" s="231"/>
      <c r="N253" s="231" t="s">
        <v>4972</v>
      </c>
      <c r="O253" s="246" t="s">
        <v>5146</v>
      </c>
      <c r="P253" s="246" t="s">
        <v>5147</v>
      </c>
      <c r="Q253" s="225" t="s">
        <v>5148</v>
      </c>
      <c r="R253" s="212" t="s">
        <v>4771</v>
      </c>
      <c r="S253" s="213" t="s">
        <v>4771</v>
      </c>
      <c r="T253" s="233">
        <v>45573</v>
      </c>
      <c r="U253" s="234" t="s">
        <v>4759</v>
      </c>
      <c r="V253" s="234">
        <v>45604</v>
      </c>
      <c r="W253" s="234">
        <v>45610</v>
      </c>
      <c r="X253" s="234" t="s">
        <v>2</v>
      </c>
      <c r="Y253" s="234"/>
      <c r="Z253" s="234" t="s">
        <v>5168</v>
      </c>
      <c r="AA253" s="243">
        <v>202411</v>
      </c>
      <c r="AB253" s="243"/>
      <c r="AC253" s="244" t="s">
        <v>4800</v>
      </c>
      <c r="AD253" s="244" t="s">
        <v>4900</v>
      </c>
      <c r="AE253" s="245">
        <v>0</v>
      </c>
      <c r="AF253" s="244" t="s">
        <v>5001</v>
      </c>
      <c r="AG253" s="239" t="str">
        <f>IFERROR(VLOOKUP(작성용!A:A,RM!A:D,4,0),"-")</f>
        <v>유재호</v>
      </c>
      <c r="AH253" s="9" t="s">
        <v>5021</v>
      </c>
      <c r="AI253" s="235" t="s">
        <v>4771</v>
      </c>
      <c r="AJ253" s="235" t="s">
        <v>4920</v>
      </c>
      <c r="AK253" s="235" t="s">
        <v>4777</v>
      </c>
      <c r="AL253" s="235">
        <v>252</v>
      </c>
    </row>
    <row r="254" spans="1:38" x14ac:dyDescent="0.3">
      <c r="A254" s="222" t="s">
        <v>3121</v>
      </c>
      <c r="B254" s="222" t="s">
        <v>3122</v>
      </c>
      <c r="C254" s="241" t="s">
        <v>4778</v>
      </c>
      <c r="D254" s="237" t="s">
        <v>5197</v>
      </c>
      <c r="E254" s="236">
        <v>1101116159275</v>
      </c>
      <c r="F254" s="240" t="s">
        <v>4850</v>
      </c>
      <c r="G254" s="214">
        <v>0</v>
      </c>
      <c r="H254" s="231" t="s">
        <v>4771</v>
      </c>
      <c r="I254" s="231"/>
      <c r="J254" s="231"/>
      <c r="K254" s="231"/>
      <c r="L254" s="231"/>
      <c r="M254" s="231"/>
      <c r="N254" s="231" t="s">
        <v>4972</v>
      </c>
      <c r="O254" s="246" t="s">
        <v>5146</v>
      </c>
      <c r="P254" s="246" t="s">
        <v>5147</v>
      </c>
      <c r="Q254" s="225" t="s">
        <v>5148</v>
      </c>
      <c r="R254" s="212" t="s">
        <v>4771</v>
      </c>
      <c r="S254" s="213" t="s">
        <v>4771</v>
      </c>
      <c r="T254" s="233">
        <v>45573</v>
      </c>
      <c r="U254" s="234" t="s">
        <v>4759</v>
      </c>
      <c r="V254" s="234">
        <v>45604</v>
      </c>
      <c r="W254" s="234">
        <v>45610</v>
      </c>
      <c r="X254" s="234" t="s">
        <v>2</v>
      </c>
      <c r="Y254" s="234"/>
      <c r="Z254" s="234" t="s">
        <v>5168</v>
      </c>
      <c r="AA254" s="243">
        <v>202411</v>
      </c>
      <c r="AB254" s="243"/>
      <c r="AC254" s="244" t="s">
        <v>4800</v>
      </c>
      <c r="AD254" s="244" t="s">
        <v>3715</v>
      </c>
      <c r="AE254" s="245">
        <v>1</v>
      </c>
      <c r="AF254" s="244" t="s">
        <v>3715</v>
      </c>
      <c r="AG254" s="239" t="str">
        <f>IFERROR(VLOOKUP(작성용!A:A,RM!A:D,4,0),"-")</f>
        <v>유재호</v>
      </c>
      <c r="AH254" s="9" t="s">
        <v>5021</v>
      </c>
      <c r="AI254" s="235" t="s">
        <v>4771</v>
      </c>
      <c r="AJ254" s="235" t="s">
        <v>4920</v>
      </c>
      <c r="AK254" s="235" t="s">
        <v>4777</v>
      </c>
      <c r="AL254" s="235">
        <v>253</v>
      </c>
    </row>
    <row r="255" spans="1:38" x14ac:dyDescent="0.3">
      <c r="A255" s="222" t="s">
        <v>3121</v>
      </c>
      <c r="B255" s="222" t="s">
        <v>3122</v>
      </c>
      <c r="C255" s="241" t="s">
        <v>4778</v>
      </c>
      <c r="D255" s="237" t="s">
        <v>5197</v>
      </c>
      <c r="E255" s="236">
        <v>1101116159275</v>
      </c>
      <c r="F255" s="240" t="s">
        <v>4850</v>
      </c>
      <c r="G255" s="214">
        <v>1</v>
      </c>
      <c r="H255" s="231" t="s">
        <v>4771</v>
      </c>
      <c r="I255" s="231"/>
      <c r="J255" s="231"/>
      <c r="K255" s="231"/>
      <c r="L255" s="231"/>
      <c r="M255" s="231"/>
      <c r="N255" s="231" t="s">
        <v>4972</v>
      </c>
      <c r="O255" s="246" t="s">
        <v>5146</v>
      </c>
      <c r="P255" s="246" t="s">
        <v>5147</v>
      </c>
      <c r="Q255" s="225" t="s">
        <v>5148</v>
      </c>
      <c r="R255" s="212" t="s">
        <v>4771</v>
      </c>
      <c r="S255" s="213" t="s">
        <v>4771</v>
      </c>
      <c r="T255" s="233">
        <v>45573</v>
      </c>
      <c r="U255" s="234" t="s">
        <v>4759</v>
      </c>
      <c r="V255" s="234">
        <v>45604</v>
      </c>
      <c r="W255" s="234">
        <v>45610</v>
      </c>
      <c r="X255" s="234" t="s">
        <v>2</v>
      </c>
      <c r="Y255" s="234"/>
      <c r="Z255" s="234" t="s">
        <v>5168</v>
      </c>
      <c r="AA255" s="243">
        <v>202411</v>
      </c>
      <c r="AB255" s="243"/>
      <c r="AC255" s="244" t="s">
        <v>4800</v>
      </c>
      <c r="AD255" s="244" t="s">
        <v>3715</v>
      </c>
      <c r="AE255" s="245">
        <v>0</v>
      </c>
      <c r="AF255" s="244" t="s">
        <v>3715</v>
      </c>
      <c r="AG255" s="239" t="str">
        <f>IFERROR(VLOOKUP(작성용!A:A,RM!A:D,4,0),"-")</f>
        <v>유재호</v>
      </c>
      <c r="AH255" s="9" t="s">
        <v>5021</v>
      </c>
      <c r="AI255" s="235" t="s">
        <v>4771</v>
      </c>
      <c r="AJ255" s="235" t="s">
        <v>4920</v>
      </c>
      <c r="AK255" s="235" t="s">
        <v>4777</v>
      </c>
      <c r="AL255" s="235">
        <v>254</v>
      </c>
    </row>
    <row r="256" spans="1:38" x14ac:dyDescent="0.3">
      <c r="A256" s="229" t="s">
        <v>4638</v>
      </c>
      <c r="B256" s="229" t="s">
        <v>5198</v>
      </c>
      <c r="C256" s="241" t="s">
        <v>4762</v>
      </c>
      <c r="D256" s="237" t="s">
        <v>5199</v>
      </c>
      <c r="E256" s="236" t="s">
        <v>3944</v>
      </c>
      <c r="F256" s="240" t="s">
        <v>5200</v>
      </c>
      <c r="G256" s="214">
        <v>0</v>
      </c>
      <c r="H256" s="231" t="s">
        <v>4771</v>
      </c>
      <c r="I256" s="231"/>
      <c r="J256" s="231"/>
      <c r="K256" s="231"/>
      <c r="L256" s="231"/>
      <c r="M256" s="231"/>
      <c r="N256" s="231" t="s">
        <v>5035</v>
      </c>
      <c r="O256" s="246" t="s">
        <v>5201</v>
      </c>
      <c r="P256" s="246" t="s">
        <v>5202</v>
      </c>
      <c r="Q256" s="225" t="s">
        <v>5203</v>
      </c>
      <c r="R256" s="212" t="s">
        <v>2</v>
      </c>
      <c r="S256" s="213" t="s">
        <v>4771</v>
      </c>
      <c r="T256" s="233">
        <v>45573</v>
      </c>
      <c r="U256" s="234" t="s">
        <v>4772</v>
      </c>
      <c r="V256" s="233">
        <v>45667</v>
      </c>
      <c r="W256" s="233">
        <v>45667</v>
      </c>
      <c r="X256" s="234" t="s">
        <v>4771</v>
      </c>
      <c r="Y256" s="234"/>
      <c r="Z256" s="234" t="s">
        <v>4639</v>
      </c>
      <c r="AA256" s="238">
        <v>202412</v>
      </c>
      <c r="AB256" s="243"/>
      <c r="AC256" s="233" t="s">
        <v>4760</v>
      </c>
      <c r="AD256" s="244" t="s">
        <v>4864</v>
      </c>
      <c r="AE256" s="245">
        <v>1</v>
      </c>
      <c r="AF256" s="244" t="s">
        <v>4864</v>
      </c>
      <c r="AG256" s="239" t="str">
        <f>IFERROR(VLOOKUP(작성용!A:A,RM!A:D,4,0),"-")</f>
        <v>변혜진</v>
      </c>
      <c r="AH256" s="9" t="s">
        <v>4864</v>
      </c>
      <c r="AI256" s="235" t="s">
        <v>4771</v>
      </c>
      <c r="AJ256" s="235" t="s">
        <v>4771</v>
      </c>
      <c r="AK256" s="235" t="s">
        <v>4777</v>
      </c>
      <c r="AL256" s="235">
        <v>255</v>
      </c>
    </row>
    <row r="257" spans="1:38" s="198" customFormat="1" x14ac:dyDescent="0.3">
      <c r="A257" s="229">
        <v>6000663</v>
      </c>
      <c r="B257" s="229" t="s">
        <v>5204</v>
      </c>
      <c r="C257" s="241" t="s">
        <v>4778</v>
      </c>
      <c r="D257" s="237" t="s">
        <v>5205</v>
      </c>
      <c r="E257" s="236">
        <v>1101116577998</v>
      </c>
      <c r="F257" s="240" t="s">
        <v>4850</v>
      </c>
      <c r="G257" s="214">
        <v>0</v>
      </c>
      <c r="H257" s="231" t="s">
        <v>4771</v>
      </c>
      <c r="I257" s="231"/>
      <c r="J257" s="231"/>
      <c r="K257" s="231"/>
      <c r="L257" s="231"/>
      <c r="M257" s="231"/>
      <c r="N257" s="231" t="s">
        <v>4811</v>
      </c>
      <c r="O257" s="246"/>
      <c r="P257" s="246"/>
      <c r="Q257" s="225"/>
      <c r="R257" s="212" t="s">
        <v>2</v>
      </c>
      <c r="S257" s="213" t="s">
        <v>4771</v>
      </c>
      <c r="T257" s="233" t="s">
        <v>5206</v>
      </c>
      <c r="U257" s="234" t="s">
        <v>4772</v>
      </c>
      <c r="V257" s="233">
        <v>45667</v>
      </c>
      <c r="W257" s="233" t="s">
        <v>4877</v>
      </c>
      <c r="X257" s="234" t="s">
        <v>4771</v>
      </c>
      <c r="Y257" s="234"/>
      <c r="Z257" s="234"/>
      <c r="AA257" s="238">
        <v>202412</v>
      </c>
      <c r="AB257" s="243"/>
      <c r="AC257" s="233" t="s">
        <v>5207</v>
      </c>
      <c r="AD257" s="244" t="s">
        <v>4864</v>
      </c>
      <c r="AE257" s="245">
        <v>0.4</v>
      </c>
      <c r="AF257" s="244" t="s">
        <v>5049</v>
      </c>
      <c r="AG257" s="239" t="str">
        <f>IFERROR(VLOOKUP(작성용!A:A,RM!A:D,4,0),"-")</f>
        <v>-</v>
      </c>
      <c r="AH257" s="9" t="s">
        <v>4771</v>
      </c>
      <c r="AI257" s="235" t="s">
        <v>4771</v>
      </c>
      <c r="AJ257" s="235" t="s">
        <v>4771</v>
      </c>
      <c r="AK257" s="235" t="s">
        <v>5208</v>
      </c>
      <c r="AL257" s="235">
        <v>256</v>
      </c>
    </row>
    <row r="258" spans="1:38" x14ac:dyDescent="0.3">
      <c r="A258" s="229">
        <v>6000663</v>
      </c>
      <c r="B258" s="229" t="s">
        <v>5199</v>
      </c>
      <c r="C258" s="241" t="s">
        <v>4778</v>
      </c>
      <c r="D258" s="237" t="s">
        <v>5209</v>
      </c>
      <c r="E258" s="236">
        <v>1713110036357</v>
      </c>
      <c r="F258" s="240" t="s">
        <v>4850</v>
      </c>
      <c r="G258" s="214">
        <v>1</v>
      </c>
      <c r="H258" s="231" t="s">
        <v>4771</v>
      </c>
      <c r="I258" s="231"/>
      <c r="J258" s="231"/>
      <c r="K258" s="231"/>
      <c r="L258" s="231"/>
      <c r="M258" s="231"/>
      <c r="N258" s="231" t="s">
        <v>4811</v>
      </c>
      <c r="O258" s="246"/>
      <c r="P258" s="246"/>
      <c r="Q258" s="225"/>
      <c r="R258" s="212" t="s">
        <v>2</v>
      </c>
      <c r="S258" s="213" t="s">
        <v>4771</v>
      </c>
      <c r="T258" s="233" t="s">
        <v>5206</v>
      </c>
      <c r="U258" s="234" t="s">
        <v>4772</v>
      </c>
      <c r="V258" s="233">
        <v>45667</v>
      </c>
      <c r="W258" s="233" t="s">
        <v>4877</v>
      </c>
      <c r="X258" s="234" t="s">
        <v>4771</v>
      </c>
      <c r="Y258" s="234"/>
      <c r="Z258" s="234"/>
      <c r="AA258" s="238">
        <v>202412</v>
      </c>
      <c r="AB258" s="243"/>
      <c r="AC258" s="233" t="s">
        <v>5210</v>
      </c>
      <c r="AD258" s="244" t="s">
        <v>4937</v>
      </c>
      <c r="AE258" s="245">
        <v>0</v>
      </c>
      <c r="AF258" s="244" t="s">
        <v>4937</v>
      </c>
      <c r="AG258" s="239" t="str">
        <f>IFERROR(VLOOKUP(작성용!A:A,RM!A:D,4,0),"-")</f>
        <v>-</v>
      </c>
      <c r="AH258" s="9" t="s">
        <v>4771</v>
      </c>
      <c r="AI258" s="235" t="s">
        <v>4771</v>
      </c>
      <c r="AJ258" s="235" t="s">
        <v>4771</v>
      </c>
      <c r="AK258" s="235" t="s">
        <v>5208</v>
      </c>
      <c r="AL258" s="235">
        <v>257</v>
      </c>
    </row>
    <row r="259" spans="1:38" x14ac:dyDescent="0.3">
      <c r="A259" s="229">
        <v>6000663</v>
      </c>
      <c r="B259" s="229" t="s">
        <v>5199</v>
      </c>
      <c r="C259" s="241" t="s">
        <v>4778</v>
      </c>
      <c r="D259" s="237" t="s">
        <v>5211</v>
      </c>
      <c r="E259" s="236">
        <v>1201110903345</v>
      </c>
      <c r="F259" s="240" t="s">
        <v>4850</v>
      </c>
      <c r="G259" s="214">
        <v>1</v>
      </c>
      <c r="H259" s="231" t="s">
        <v>4771</v>
      </c>
      <c r="I259" s="231"/>
      <c r="J259" s="231"/>
      <c r="K259" s="231"/>
      <c r="L259" s="231"/>
      <c r="M259" s="231"/>
      <c r="N259" s="231" t="s">
        <v>4806</v>
      </c>
      <c r="O259" s="246"/>
      <c r="P259" s="246"/>
      <c r="Q259" s="225"/>
      <c r="R259" s="212" t="s">
        <v>2</v>
      </c>
      <c r="S259" s="213" t="s">
        <v>4771</v>
      </c>
      <c r="T259" s="233" t="s">
        <v>5206</v>
      </c>
      <c r="U259" s="234" t="s">
        <v>4772</v>
      </c>
      <c r="V259" s="233">
        <v>45667</v>
      </c>
      <c r="W259" s="233" t="s">
        <v>4877</v>
      </c>
      <c r="X259" s="234" t="s">
        <v>4771</v>
      </c>
      <c r="Y259" s="234"/>
      <c r="Z259" s="234"/>
      <c r="AA259" s="238">
        <v>202412</v>
      </c>
      <c r="AB259" s="243"/>
      <c r="AC259" s="233" t="s">
        <v>5210</v>
      </c>
      <c r="AD259" s="244" t="s">
        <v>4823</v>
      </c>
      <c r="AE259" s="245">
        <v>0</v>
      </c>
      <c r="AF259" s="244" t="s">
        <v>4823</v>
      </c>
      <c r="AG259" s="239" t="str">
        <f>IFERROR(VLOOKUP(작성용!A:A,RM!A:D,4,0),"-")</f>
        <v>-</v>
      </c>
      <c r="AH259" s="9" t="s">
        <v>4771</v>
      </c>
      <c r="AI259" s="235" t="s">
        <v>4771</v>
      </c>
      <c r="AJ259" s="235" t="s">
        <v>4771</v>
      </c>
      <c r="AK259" s="235" t="s">
        <v>5208</v>
      </c>
      <c r="AL259" s="235">
        <v>258</v>
      </c>
    </row>
    <row r="260" spans="1:38" x14ac:dyDescent="0.3">
      <c r="A260" s="229">
        <v>6000663</v>
      </c>
      <c r="B260" s="229" t="s">
        <v>5199</v>
      </c>
      <c r="C260" s="241" t="s">
        <v>4778</v>
      </c>
      <c r="D260" s="237" t="s">
        <v>5212</v>
      </c>
      <c r="E260" s="236">
        <v>1101116016673</v>
      </c>
      <c r="F260" s="240" t="s">
        <v>5068</v>
      </c>
      <c r="G260" s="214">
        <v>0</v>
      </c>
      <c r="H260" s="231" t="s">
        <v>4767</v>
      </c>
      <c r="I260" s="231"/>
      <c r="J260" s="231"/>
      <c r="K260" s="231"/>
      <c r="L260" s="231"/>
      <c r="M260" s="231"/>
      <c r="N260" s="231" t="s">
        <v>4806</v>
      </c>
      <c r="O260" s="246"/>
      <c r="P260" s="246"/>
      <c r="Q260" s="225"/>
      <c r="R260" s="212" t="s">
        <v>2</v>
      </c>
      <c r="S260" s="213" t="s">
        <v>4771</v>
      </c>
      <c r="T260" s="233" t="s">
        <v>5206</v>
      </c>
      <c r="U260" s="234" t="s">
        <v>4772</v>
      </c>
      <c r="V260" s="233">
        <v>45667</v>
      </c>
      <c r="W260" s="233" t="s">
        <v>4877</v>
      </c>
      <c r="X260" s="234" t="s">
        <v>4771</v>
      </c>
      <c r="Y260" s="234"/>
      <c r="Z260" s="234"/>
      <c r="AA260" s="238">
        <v>202412</v>
      </c>
      <c r="AB260" s="243"/>
      <c r="AC260" s="233" t="s">
        <v>5210</v>
      </c>
      <c r="AD260" s="244" t="s">
        <v>4774</v>
      </c>
      <c r="AE260" s="245">
        <v>0</v>
      </c>
      <c r="AF260" s="244" t="s">
        <v>4774</v>
      </c>
      <c r="AG260" s="239" t="str">
        <f>IFERROR(VLOOKUP(작성용!A:A,RM!A:D,4,0),"-")</f>
        <v>-</v>
      </c>
      <c r="AH260" s="9" t="s">
        <v>4771</v>
      </c>
      <c r="AI260" s="235" t="s">
        <v>4771</v>
      </c>
      <c r="AJ260" s="235" t="s">
        <v>4771</v>
      </c>
      <c r="AK260" s="235" t="s">
        <v>5208</v>
      </c>
      <c r="AL260" s="235">
        <v>259</v>
      </c>
    </row>
    <row r="261" spans="1:38" x14ac:dyDescent="0.3">
      <c r="A261" s="229">
        <v>6000663</v>
      </c>
      <c r="B261" s="229" t="s">
        <v>5199</v>
      </c>
      <c r="C261" s="241" t="s">
        <v>4778</v>
      </c>
      <c r="D261" s="237" t="s">
        <v>5213</v>
      </c>
      <c r="E261" s="236">
        <v>1101117892874</v>
      </c>
      <c r="F261" s="240" t="s">
        <v>4850</v>
      </c>
      <c r="G261" s="214">
        <v>0</v>
      </c>
      <c r="H261" s="231" t="s">
        <v>4771</v>
      </c>
      <c r="I261" s="231"/>
      <c r="J261" s="231"/>
      <c r="K261" s="231"/>
      <c r="L261" s="231"/>
      <c r="M261" s="231"/>
      <c r="N261" s="231" t="s">
        <v>4806</v>
      </c>
      <c r="O261" s="246"/>
      <c r="P261" s="246"/>
      <c r="Q261" s="225"/>
      <c r="R261" s="212" t="s">
        <v>2</v>
      </c>
      <c r="S261" s="213" t="s">
        <v>4771</v>
      </c>
      <c r="T261" s="233" t="s">
        <v>5206</v>
      </c>
      <c r="U261" s="234" t="s">
        <v>4772</v>
      </c>
      <c r="V261" s="233">
        <v>45667</v>
      </c>
      <c r="W261" s="233" t="s">
        <v>4877</v>
      </c>
      <c r="X261" s="234" t="s">
        <v>4771</v>
      </c>
      <c r="Y261" s="234"/>
      <c r="Z261" s="234"/>
      <c r="AA261" s="238">
        <v>202412</v>
      </c>
      <c r="AB261" s="243"/>
      <c r="AC261" s="233" t="s">
        <v>5210</v>
      </c>
      <c r="AD261" s="244" t="s">
        <v>4982</v>
      </c>
      <c r="AE261" s="245">
        <v>0</v>
      </c>
      <c r="AF261" s="244" t="s">
        <v>4982</v>
      </c>
      <c r="AG261" s="239" t="str">
        <f>IFERROR(VLOOKUP(작성용!A:A,RM!A:D,4,0),"-")</f>
        <v>-</v>
      </c>
      <c r="AH261" s="9" t="s">
        <v>4771</v>
      </c>
      <c r="AI261" s="235" t="s">
        <v>4771</v>
      </c>
      <c r="AJ261" s="235" t="s">
        <v>4771</v>
      </c>
      <c r="AK261" s="235" t="s">
        <v>5208</v>
      </c>
      <c r="AL261" s="235">
        <v>260</v>
      </c>
    </row>
    <row r="262" spans="1:38" x14ac:dyDescent="0.3">
      <c r="A262" s="229">
        <v>6000663</v>
      </c>
      <c r="B262" s="229" t="s">
        <v>5199</v>
      </c>
      <c r="C262" s="241" t="s">
        <v>4778</v>
      </c>
      <c r="D262" s="237" t="s">
        <v>5214</v>
      </c>
      <c r="E262" s="236">
        <v>1101116461696</v>
      </c>
      <c r="F262" s="240" t="s">
        <v>5047</v>
      </c>
      <c r="G262" s="214">
        <v>0</v>
      </c>
      <c r="H262" s="231" t="s">
        <v>4771</v>
      </c>
      <c r="I262" s="231"/>
      <c r="J262" s="231"/>
      <c r="K262" s="231"/>
      <c r="L262" s="231"/>
      <c r="M262" s="231"/>
      <c r="N262" s="231" t="s">
        <v>4806</v>
      </c>
      <c r="O262" s="246"/>
      <c r="P262" s="246"/>
      <c r="Q262" s="225"/>
      <c r="R262" s="212" t="s">
        <v>2</v>
      </c>
      <c r="S262" s="213" t="s">
        <v>4771</v>
      </c>
      <c r="T262" s="233" t="s">
        <v>5206</v>
      </c>
      <c r="U262" s="234" t="s">
        <v>4772</v>
      </c>
      <c r="V262" s="233">
        <v>45667</v>
      </c>
      <c r="W262" s="233" t="s">
        <v>4877</v>
      </c>
      <c r="X262" s="234" t="s">
        <v>4771</v>
      </c>
      <c r="Y262" s="234"/>
      <c r="Z262" s="234"/>
      <c r="AA262" s="238">
        <v>202412</v>
      </c>
      <c r="AB262" s="243"/>
      <c r="AC262" s="233" t="s">
        <v>5210</v>
      </c>
      <c r="AD262" s="244" t="s">
        <v>4897</v>
      </c>
      <c r="AE262" s="245">
        <v>0</v>
      </c>
      <c r="AF262" s="244" t="s">
        <v>4897</v>
      </c>
      <c r="AG262" s="239" t="str">
        <f>IFERROR(VLOOKUP(작성용!A:A,RM!A:D,4,0),"-")</f>
        <v>-</v>
      </c>
      <c r="AH262" s="9" t="s">
        <v>4771</v>
      </c>
      <c r="AI262" s="235" t="s">
        <v>4771</v>
      </c>
      <c r="AJ262" s="235" t="s">
        <v>4771</v>
      </c>
      <c r="AK262" s="235" t="s">
        <v>5208</v>
      </c>
      <c r="AL262" s="235">
        <v>261</v>
      </c>
    </row>
    <row r="263" spans="1:38" x14ac:dyDescent="0.3">
      <c r="A263" s="229">
        <v>6000663</v>
      </c>
      <c r="B263" s="229" t="s">
        <v>5199</v>
      </c>
      <c r="C263" s="241" t="s">
        <v>4778</v>
      </c>
      <c r="D263" s="237" t="s">
        <v>5215</v>
      </c>
      <c r="E263" s="236">
        <v>1801111306190</v>
      </c>
      <c r="F263" s="240" t="s">
        <v>4850</v>
      </c>
      <c r="G263" s="214">
        <v>0</v>
      </c>
      <c r="H263" s="231" t="s">
        <v>4771</v>
      </c>
      <c r="I263" s="231"/>
      <c r="J263" s="231"/>
      <c r="K263" s="231"/>
      <c r="L263" s="231"/>
      <c r="M263" s="231"/>
      <c r="N263" s="231" t="s">
        <v>4806</v>
      </c>
      <c r="O263" s="246"/>
      <c r="P263" s="246"/>
      <c r="Q263" s="225"/>
      <c r="R263" s="212" t="s">
        <v>2</v>
      </c>
      <c r="S263" s="213" t="s">
        <v>4771</v>
      </c>
      <c r="T263" s="233" t="s">
        <v>5206</v>
      </c>
      <c r="U263" s="234" t="s">
        <v>4772</v>
      </c>
      <c r="V263" s="233">
        <v>45667</v>
      </c>
      <c r="W263" s="233" t="s">
        <v>4877</v>
      </c>
      <c r="X263" s="234" t="s">
        <v>4771</v>
      </c>
      <c r="Y263" s="234"/>
      <c r="Z263" s="234"/>
      <c r="AA263" s="238">
        <v>202412</v>
      </c>
      <c r="AB263" s="243"/>
      <c r="AC263" s="233" t="s">
        <v>5210</v>
      </c>
      <c r="AD263" s="244" t="s">
        <v>4761</v>
      </c>
      <c r="AE263" s="245">
        <v>0</v>
      </c>
      <c r="AF263" s="244" t="s">
        <v>4761</v>
      </c>
      <c r="AG263" s="239" t="str">
        <f>IFERROR(VLOOKUP(작성용!A:A,RM!A:D,4,0),"-")</f>
        <v>-</v>
      </c>
      <c r="AH263" s="9" t="s">
        <v>4767</v>
      </c>
      <c r="AI263" s="235" t="s">
        <v>4771</v>
      </c>
      <c r="AJ263" s="235" t="s">
        <v>4771</v>
      </c>
      <c r="AK263" s="235" t="s">
        <v>5208</v>
      </c>
      <c r="AL263" s="235">
        <v>262</v>
      </c>
    </row>
    <row r="264" spans="1:38" x14ac:dyDescent="0.3">
      <c r="A264" s="229">
        <v>6000663</v>
      </c>
      <c r="B264" s="229" t="s">
        <v>5199</v>
      </c>
      <c r="C264" s="241" t="s">
        <v>4778</v>
      </c>
      <c r="D264" s="237" t="s">
        <v>5216</v>
      </c>
      <c r="E264" s="236">
        <v>1648110127006</v>
      </c>
      <c r="F264" s="240" t="s">
        <v>4854</v>
      </c>
      <c r="G264" s="214">
        <v>0</v>
      </c>
      <c r="H264" s="231" t="s">
        <v>4771</v>
      </c>
      <c r="I264" s="231"/>
      <c r="J264" s="231"/>
      <c r="K264" s="231"/>
      <c r="L264" s="231"/>
      <c r="M264" s="231"/>
      <c r="N264" s="231" t="s">
        <v>4806</v>
      </c>
      <c r="O264" s="246"/>
      <c r="P264" s="246"/>
      <c r="Q264" s="225"/>
      <c r="R264" s="212" t="s">
        <v>2</v>
      </c>
      <c r="S264" s="213" t="s">
        <v>4771</v>
      </c>
      <c r="T264" s="233" t="s">
        <v>5206</v>
      </c>
      <c r="U264" s="234" t="s">
        <v>4772</v>
      </c>
      <c r="V264" s="233">
        <v>45667</v>
      </c>
      <c r="W264" s="233" t="s">
        <v>4877</v>
      </c>
      <c r="X264" s="234" t="s">
        <v>4771</v>
      </c>
      <c r="Y264" s="234"/>
      <c r="Z264" s="234"/>
      <c r="AA264" s="238">
        <v>202412</v>
      </c>
      <c r="AB264" s="243"/>
      <c r="AC264" s="233" t="s">
        <v>5210</v>
      </c>
      <c r="AD264" s="244" t="s">
        <v>4856</v>
      </c>
      <c r="AE264" s="245">
        <v>0</v>
      </c>
      <c r="AF264" s="244" t="s">
        <v>4856</v>
      </c>
      <c r="AG264" s="239" t="str">
        <f>IFERROR(VLOOKUP(작성용!A:A,RM!A:D,4,0),"-")</f>
        <v>-</v>
      </c>
      <c r="AH264" s="9" t="s">
        <v>4771</v>
      </c>
      <c r="AI264" s="235" t="s">
        <v>4771</v>
      </c>
      <c r="AJ264" s="235" t="s">
        <v>4771</v>
      </c>
      <c r="AK264" s="235" t="s">
        <v>5208</v>
      </c>
      <c r="AL264" s="235">
        <v>263</v>
      </c>
    </row>
    <row r="265" spans="1:38" x14ac:dyDescent="0.3">
      <c r="A265" s="229">
        <v>6000663</v>
      </c>
      <c r="B265" s="229" t="s">
        <v>5199</v>
      </c>
      <c r="C265" s="241" t="s">
        <v>4778</v>
      </c>
      <c r="D265" s="237" t="s">
        <v>5217</v>
      </c>
      <c r="E265" s="236">
        <v>1101114342682</v>
      </c>
      <c r="F265" s="240" t="s">
        <v>4854</v>
      </c>
      <c r="G265" s="214">
        <v>0</v>
      </c>
      <c r="H265" s="231" t="s">
        <v>4771</v>
      </c>
      <c r="I265" s="231"/>
      <c r="J265" s="231"/>
      <c r="K265" s="231"/>
      <c r="L265" s="231"/>
      <c r="M265" s="231"/>
      <c r="N265" s="231" t="s">
        <v>4806</v>
      </c>
      <c r="O265" s="246"/>
      <c r="P265" s="246"/>
      <c r="Q265" s="225"/>
      <c r="R265" s="212" t="s">
        <v>2</v>
      </c>
      <c r="S265" s="213" t="s">
        <v>4771</v>
      </c>
      <c r="T265" s="233" t="s">
        <v>5206</v>
      </c>
      <c r="U265" s="234" t="s">
        <v>4772</v>
      </c>
      <c r="V265" s="233">
        <v>45667</v>
      </c>
      <c r="W265" s="233" t="s">
        <v>4877</v>
      </c>
      <c r="X265" s="234" t="s">
        <v>4771</v>
      </c>
      <c r="Y265" s="234"/>
      <c r="Z265" s="234"/>
      <c r="AA265" s="238">
        <v>202412</v>
      </c>
      <c r="AB265" s="243"/>
      <c r="AC265" s="233" t="s">
        <v>5210</v>
      </c>
      <c r="AD265" s="228" t="s">
        <v>4823</v>
      </c>
      <c r="AE265" s="245">
        <v>0</v>
      </c>
      <c r="AF265" s="228" t="s">
        <v>4823</v>
      </c>
      <c r="AG265" s="239" t="str">
        <f>IFERROR(VLOOKUP(작성용!A:A,RM!A:D,4,0),"-")</f>
        <v>-</v>
      </c>
      <c r="AH265" s="9" t="s">
        <v>4771</v>
      </c>
      <c r="AI265" s="235" t="s">
        <v>4771</v>
      </c>
      <c r="AJ265" s="235" t="s">
        <v>4771</v>
      </c>
      <c r="AK265" s="235" t="s">
        <v>5208</v>
      </c>
      <c r="AL265" s="235">
        <v>264</v>
      </c>
    </row>
    <row r="266" spans="1:38" x14ac:dyDescent="0.3">
      <c r="A266" s="229">
        <v>6000663</v>
      </c>
      <c r="B266" s="229" t="s">
        <v>5199</v>
      </c>
      <c r="C266" s="241" t="s">
        <v>4778</v>
      </c>
      <c r="D266" s="237" t="s">
        <v>5217</v>
      </c>
      <c r="E266" s="236">
        <v>1101114342682</v>
      </c>
      <c r="F266" s="240" t="s">
        <v>4780</v>
      </c>
      <c r="G266" s="214">
        <v>0</v>
      </c>
      <c r="H266" s="231" t="s">
        <v>4771</v>
      </c>
      <c r="I266" s="231"/>
      <c r="J266" s="231"/>
      <c r="K266" s="231"/>
      <c r="L266" s="231"/>
      <c r="M266" s="231"/>
      <c r="N266" s="231" t="s">
        <v>4806</v>
      </c>
      <c r="O266" s="246"/>
      <c r="P266" s="246"/>
      <c r="Q266" s="225"/>
      <c r="R266" s="212" t="s">
        <v>2</v>
      </c>
      <c r="S266" s="213" t="s">
        <v>4771</v>
      </c>
      <c r="T266" s="233" t="s">
        <v>5206</v>
      </c>
      <c r="U266" s="234" t="s">
        <v>4772</v>
      </c>
      <c r="V266" s="233">
        <v>45667</v>
      </c>
      <c r="W266" s="233" t="s">
        <v>4877</v>
      </c>
      <c r="X266" s="234" t="s">
        <v>4771</v>
      </c>
      <c r="Y266" s="234"/>
      <c r="Z266" s="234"/>
      <c r="AA266" s="238">
        <v>202412</v>
      </c>
      <c r="AB266" s="243"/>
      <c r="AC266" s="233" t="s">
        <v>5210</v>
      </c>
      <c r="AD266" s="228" t="s">
        <v>4823</v>
      </c>
      <c r="AE266" s="245">
        <v>0</v>
      </c>
      <c r="AF266" s="228" t="s">
        <v>4823</v>
      </c>
      <c r="AG266" s="239" t="str">
        <f>IFERROR(VLOOKUP(작성용!A:A,RM!A:D,4,0),"-")</f>
        <v>-</v>
      </c>
      <c r="AH266" s="9" t="s">
        <v>4771</v>
      </c>
      <c r="AI266" s="235" t="s">
        <v>4771</v>
      </c>
      <c r="AJ266" s="235" t="s">
        <v>4771</v>
      </c>
      <c r="AK266" s="235" t="s">
        <v>5208</v>
      </c>
      <c r="AL266" s="235">
        <v>265</v>
      </c>
    </row>
    <row r="267" spans="1:38" x14ac:dyDescent="0.3">
      <c r="A267" s="222" t="s">
        <v>2221</v>
      </c>
      <c r="B267" s="222" t="s">
        <v>5004</v>
      </c>
      <c r="C267" s="241" t="s">
        <v>4778</v>
      </c>
      <c r="D267" s="237" t="s">
        <v>5218</v>
      </c>
      <c r="E267" s="236">
        <v>1101140282919</v>
      </c>
      <c r="F267" s="240" t="s">
        <v>4854</v>
      </c>
      <c r="G267" s="214">
        <v>0</v>
      </c>
      <c r="H267" s="231" t="s">
        <v>4771</v>
      </c>
      <c r="I267" s="231"/>
      <c r="J267" s="231"/>
      <c r="K267" s="231"/>
      <c r="L267" s="231"/>
      <c r="M267" s="231"/>
      <c r="N267" s="231" t="s">
        <v>4781</v>
      </c>
      <c r="O267" s="246" t="s">
        <v>5219</v>
      </c>
      <c r="P267" s="246" t="s">
        <v>5220</v>
      </c>
      <c r="Q267" s="225" t="s">
        <v>4640</v>
      </c>
      <c r="R267" s="212" t="s">
        <v>4771</v>
      </c>
      <c r="S267" s="213" t="s">
        <v>4771</v>
      </c>
      <c r="T267" s="233">
        <v>45573</v>
      </c>
      <c r="U267" s="234" t="s">
        <v>4759</v>
      </c>
      <c r="V267" s="234">
        <v>45602</v>
      </c>
      <c r="W267" s="234">
        <v>45607</v>
      </c>
      <c r="X267" s="234" t="s">
        <v>2</v>
      </c>
      <c r="Y267" s="234"/>
      <c r="Z267" s="234" t="s">
        <v>4641</v>
      </c>
      <c r="AA267" s="243">
        <v>202411</v>
      </c>
      <c r="AB267" s="243"/>
      <c r="AC267" s="244" t="s">
        <v>4800</v>
      </c>
      <c r="AD267" s="244" t="s">
        <v>4539</v>
      </c>
      <c r="AE267" s="245">
        <v>0</v>
      </c>
      <c r="AF267" s="244" t="s">
        <v>4539</v>
      </c>
      <c r="AG267" s="239" t="str">
        <f>IFERROR(VLOOKUP(작성용!A:A,RM!A:D,4,0),"-")</f>
        <v>강성은</v>
      </c>
      <c r="AH267" s="9" t="s">
        <v>4845</v>
      </c>
      <c r="AI267" s="235" t="s">
        <v>4771</v>
      </c>
      <c r="AJ267" s="235" t="s">
        <v>4920</v>
      </c>
      <c r="AK267" s="235" t="s">
        <v>4777</v>
      </c>
      <c r="AL267" s="235">
        <v>266</v>
      </c>
    </row>
    <row r="268" spans="1:38" x14ac:dyDescent="0.3">
      <c r="A268" s="222" t="s">
        <v>2221</v>
      </c>
      <c r="B268" s="222" t="s">
        <v>5004</v>
      </c>
      <c r="C268" s="241" t="s">
        <v>4778</v>
      </c>
      <c r="D268" s="259" t="s">
        <v>5221</v>
      </c>
      <c r="E268" s="236">
        <v>1101112380890</v>
      </c>
      <c r="F268" s="240" t="s">
        <v>4780</v>
      </c>
      <c r="G268" s="214">
        <v>0</v>
      </c>
      <c r="H268" s="231" t="s">
        <v>4771</v>
      </c>
      <c r="I268" s="231"/>
      <c r="J268" s="231"/>
      <c r="K268" s="231"/>
      <c r="L268" s="231"/>
      <c r="M268" s="231"/>
      <c r="N268" s="231" t="s">
        <v>4781</v>
      </c>
      <c r="O268" s="246" t="s">
        <v>5219</v>
      </c>
      <c r="P268" s="246" t="s">
        <v>5220</v>
      </c>
      <c r="Q268" s="225" t="s">
        <v>4640</v>
      </c>
      <c r="R268" s="212" t="s">
        <v>4771</v>
      </c>
      <c r="S268" s="213" t="s">
        <v>4771</v>
      </c>
      <c r="T268" s="233">
        <v>45573</v>
      </c>
      <c r="U268" s="234" t="s">
        <v>4759</v>
      </c>
      <c r="V268" s="234">
        <v>45602</v>
      </c>
      <c r="W268" s="234">
        <v>45607</v>
      </c>
      <c r="X268" s="234" t="s">
        <v>2</v>
      </c>
      <c r="Y268" s="234"/>
      <c r="Z268" s="234" t="s">
        <v>4641</v>
      </c>
      <c r="AA268" s="243">
        <v>202411</v>
      </c>
      <c r="AB268" s="243"/>
      <c r="AC268" s="244" t="s">
        <v>4800</v>
      </c>
      <c r="AD268" s="244" t="s">
        <v>4012</v>
      </c>
      <c r="AE268" s="245">
        <v>0</v>
      </c>
      <c r="AF268" s="244" t="s">
        <v>4012</v>
      </c>
      <c r="AG268" s="239" t="str">
        <f>IFERROR(VLOOKUP(작성용!A:A,RM!A:D,4,0),"-")</f>
        <v>강성은</v>
      </c>
      <c r="AH268" s="9" t="s">
        <v>4845</v>
      </c>
      <c r="AI268" s="235" t="s">
        <v>4771</v>
      </c>
      <c r="AJ268" s="235" t="s">
        <v>4920</v>
      </c>
      <c r="AK268" s="235" t="s">
        <v>4777</v>
      </c>
      <c r="AL268" s="235">
        <v>267</v>
      </c>
    </row>
    <row r="269" spans="1:38" x14ac:dyDescent="0.3">
      <c r="A269" s="222" t="s">
        <v>2221</v>
      </c>
      <c r="B269" s="222" t="s">
        <v>5004</v>
      </c>
      <c r="C269" s="241" t="s">
        <v>4778</v>
      </c>
      <c r="D269" s="259" t="s">
        <v>5222</v>
      </c>
      <c r="E269" s="236">
        <v>1101140272689</v>
      </c>
      <c r="F269" s="240" t="s">
        <v>4854</v>
      </c>
      <c r="G269" s="214">
        <v>0</v>
      </c>
      <c r="H269" s="231" t="s">
        <v>4771</v>
      </c>
      <c r="I269" s="231"/>
      <c r="J269" s="231"/>
      <c r="K269" s="231"/>
      <c r="L269" s="231"/>
      <c r="M269" s="231"/>
      <c r="N269" s="231" t="s">
        <v>4781</v>
      </c>
      <c r="O269" s="246" t="s">
        <v>5219</v>
      </c>
      <c r="P269" s="246" t="s">
        <v>5220</v>
      </c>
      <c r="Q269" s="225" t="s">
        <v>4640</v>
      </c>
      <c r="R269" s="212" t="s">
        <v>2</v>
      </c>
      <c r="S269" s="213" t="s">
        <v>4771</v>
      </c>
      <c r="T269" s="233">
        <v>45573</v>
      </c>
      <c r="U269" s="234" t="s">
        <v>4759</v>
      </c>
      <c r="V269" s="234">
        <v>45602</v>
      </c>
      <c r="W269" s="234">
        <v>45607</v>
      </c>
      <c r="X269" s="234" t="s">
        <v>2</v>
      </c>
      <c r="Y269" s="234"/>
      <c r="Z269" s="234" t="s">
        <v>4641</v>
      </c>
      <c r="AA269" s="243">
        <v>202411</v>
      </c>
      <c r="AB269" s="243"/>
      <c r="AC269" s="244" t="s">
        <v>4800</v>
      </c>
      <c r="AD269" s="244" t="s">
        <v>4539</v>
      </c>
      <c r="AE269" s="245">
        <v>0</v>
      </c>
      <c r="AF269" s="244" t="s">
        <v>4539</v>
      </c>
      <c r="AG269" s="239" t="str">
        <f>IFERROR(VLOOKUP(작성용!A:A,RM!A:D,4,0),"-")</f>
        <v>강성은</v>
      </c>
      <c r="AH269" s="9" t="s">
        <v>4845</v>
      </c>
      <c r="AI269" s="235" t="s">
        <v>5223</v>
      </c>
      <c r="AJ269" s="235" t="s">
        <v>4920</v>
      </c>
      <c r="AK269" s="235" t="s">
        <v>4777</v>
      </c>
      <c r="AL269" s="235">
        <v>268</v>
      </c>
    </row>
    <row r="270" spans="1:38" x14ac:dyDescent="0.3">
      <c r="A270" s="222" t="s">
        <v>2221</v>
      </c>
      <c r="B270" s="222" t="s">
        <v>5004</v>
      </c>
      <c r="C270" s="241" t="s">
        <v>4778</v>
      </c>
      <c r="D270" s="259" t="s">
        <v>5224</v>
      </c>
      <c r="E270" s="236">
        <v>1101114898916</v>
      </c>
      <c r="F270" s="240" t="s">
        <v>4854</v>
      </c>
      <c r="G270" s="214">
        <v>0</v>
      </c>
      <c r="H270" s="231" t="s">
        <v>4771</v>
      </c>
      <c r="I270" s="231"/>
      <c r="J270" s="231"/>
      <c r="K270" s="231"/>
      <c r="L270" s="231"/>
      <c r="M270" s="231"/>
      <c r="N270" s="231" t="s">
        <v>4781</v>
      </c>
      <c r="O270" s="246" t="s">
        <v>5219</v>
      </c>
      <c r="P270" s="246" t="s">
        <v>5220</v>
      </c>
      <c r="Q270" s="225" t="s">
        <v>4640</v>
      </c>
      <c r="R270" s="212" t="s">
        <v>2</v>
      </c>
      <c r="S270" s="213" t="s">
        <v>4771</v>
      </c>
      <c r="T270" s="233">
        <v>45573</v>
      </c>
      <c r="U270" s="234" t="s">
        <v>4759</v>
      </c>
      <c r="V270" s="234">
        <v>45602</v>
      </c>
      <c r="W270" s="234">
        <v>45607</v>
      </c>
      <c r="X270" s="234" t="s">
        <v>2</v>
      </c>
      <c r="Y270" s="234"/>
      <c r="Z270" s="234" t="s">
        <v>4641</v>
      </c>
      <c r="AA270" s="243">
        <v>202411</v>
      </c>
      <c r="AB270" s="243"/>
      <c r="AC270" s="244" t="s">
        <v>4800</v>
      </c>
      <c r="AD270" s="244" t="s">
        <v>3644</v>
      </c>
      <c r="AE270" s="245">
        <v>2</v>
      </c>
      <c r="AF270" s="244" t="s">
        <v>3644</v>
      </c>
      <c r="AG270" s="239" t="str">
        <f>IFERROR(VLOOKUP(작성용!A:A,RM!A:D,4,0),"-")</f>
        <v>강성은</v>
      </c>
      <c r="AH270" s="9" t="s">
        <v>4845</v>
      </c>
      <c r="AI270" s="235" t="s">
        <v>4771</v>
      </c>
      <c r="AJ270" s="235" t="s">
        <v>4920</v>
      </c>
      <c r="AK270" s="235" t="s">
        <v>4777</v>
      </c>
      <c r="AL270" s="235">
        <v>269</v>
      </c>
    </row>
    <row r="271" spans="1:38" x14ac:dyDescent="0.3">
      <c r="A271" s="222" t="s">
        <v>2221</v>
      </c>
      <c r="B271" s="222" t="s">
        <v>5004</v>
      </c>
      <c r="C271" s="241" t="s">
        <v>4778</v>
      </c>
      <c r="D271" s="259" t="s">
        <v>5224</v>
      </c>
      <c r="E271" s="236">
        <v>1101114898916</v>
      </c>
      <c r="F271" s="240" t="s">
        <v>4850</v>
      </c>
      <c r="G271" s="214">
        <v>2</v>
      </c>
      <c r="H271" s="231" t="s">
        <v>4771</v>
      </c>
      <c r="I271" s="231"/>
      <c r="J271" s="231"/>
      <c r="K271" s="231"/>
      <c r="L271" s="231"/>
      <c r="M271" s="231"/>
      <c r="N271" s="231" t="s">
        <v>4781</v>
      </c>
      <c r="O271" s="246" t="s">
        <v>5219</v>
      </c>
      <c r="P271" s="246" t="s">
        <v>5220</v>
      </c>
      <c r="Q271" s="225" t="s">
        <v>4640</v>
      </c>
      <c r="R271" s="212" t="s">
        <v>2</v>
      </c>
      <c r="S271" s="213" t="s">
        <v>4771</v>
      </c>
      <c r="T271" s="233">
        <v>45573</v>
      </c>
      <c r="U271" s="234" t="s">
        <v>4759</v>
      </c>
      <c r="V271" s="234">
        <v>45602</v>
      </c>
      <c r="W271" s="234">
        <v>45607</v>
      </c>
      <c r="X271" s="234" t="s">
        <v>2</v>
      </c>
      <c r="Y271" s="234"/>
      <c r="Z271" s="234" t="s">
        <v>4641</v>
      </c>
      <c r="AA271" s="243">
        <v>202411</v>
      </c>
      <c r="AB271" s="243"/>
      <c r="AC271" s="244" t="s">
        <v>4800</v>
      </c>
      <c r="AD271" s="244" t="s">
        <v>3644</v>
      </c>
      <c r="AE271" s="245">
        <v>0</v>
      </c>
      <c r="AF271" s="244" t="s">
        <v>3644</v>
      </c>
      <c r="AG271" s="239" t="str">
        <f>IFERROR(VLOOKUP(작성용!A:A,RM!A:D,4,0),"-")</f>
        <v>강성은</v>
      </c>
      <c r="AH271" s="9" t="s">
        <v>4845</v>
      </c>
      <c r="AI271" s="235" t="s">
        <v>4771</v>
      </c>
      <c r="AJ271" s="235" t="s">
        <v>4920</v>
      </c>
      <c r="AK271" s="235" t="s">
        <v>4777</v>
      </c>
      <c r="AL271" s="235">
        <v>270</v>
      </c>
    </row>
    <row r="272" spans="1:38" x14ac:dyDescent="0.3">
      <c r="A272" s="222" t="s">
        <v>2221</v>
      </c>
      <c r="B272" s="222" t="s">
        <v>5004</v>
      </c>
      <c r="C272" s="241" t="s">
        <v>4778</v>
      </c>
      <c r="D272" s="259" t="s">
        <v>5225</v>
      </c>
      <c r="E272" s="236">
        <v>1101140287034</v>
      </c>
      <c r="F272" s="240" t="s">
        <v>4854</v>
      </c>
      <c r="G272" s="214">
        <v>0</v>
      </c>
      <c r="H272" s="231" t="s">
        <v>4771</v>
      </c>
      <c r="I272" s="231"/>
      <c r="J272" s="231"/>
      <c r="K272" s="231"/>
      <c r="L272" s="231"/>
      <c r="M272" s="231"/>
      <c r="N272" s="231" t="s">
        <v>4781</v>
      </c>
      <c r="O272" s="246" t="s">
        <v>5219</v>
      </c>
      <c r="P272" s="246" t="s">
        <v>5220</v>
      </c>
      <c r="Q272" s="225" t="s">
        <v>4640</v>
      </c>
      <c r="R272" s="212" t="s">
        <v>2</v>
      </c>
      <c r="S272" s="213" t="s">
        <v>4771</v>
      </c>
      <c r="T272" s="233">
        <v>45573</v>
      </c>
      <c r="U272" s="234" t="s">
        <v>4759</v>
      </c>
      <c r="V272" s="234">
        <v>45602</v>
      </c>
      <c r="W272" s="234">
        <v>45607</v>
      </c>
      <c r="X272" s="234" t="s">
        <v>2</v>
      </c>
      <c r="Y272" s="234"/>
      <c r="Z272" s="234" t="s">
        <v>4641</v>
      </c>
      <c r="AA272" s="243">
        <v>202411</v>
      </c>
      <c r="AB272" s="243"/>
      <c r="AC272" s="244" t="s">
        <v>4800</v>
      </c>
      <c r="AD272" s="244" t="s">
        <v>4539</v>
      </c>
      <c r="AE272" s="245">
        <v>0</v>
      </c>
      <c r="AF272" s="244" t="s">
        <v>4539</v>
      </c>
      <c r="AG272" s="239" t="str">
        <f>IFERROR(VLOOKUP(작성용!A:A,RM!A:D,4,0),"-")</f>
        <v>강성은</v>
      </c>
      <c r="AH272" s="9" t="s">
        <v>4845</v>
      </c>
      <c r="AI272" s="235" t="s">
        <v>5226</v>
      </c>
      <c r="AJ272" s="235" t="s">
        <v>4920</v>
      </c>
      <c r="AK272" s="235" t="s">
        <v>4777</v>
      </c>
      <c r="AL272" s="235">
        <v>271</v>
      </c>
    </row>
    <row r="273" spans="1:38" x14ac:dyDescent="0.3">
      <c r="A273" s="222" t="s">
        <v>2221</v>
      </c>
      <c r="B273" s="222" t="s">
        <v>5004</v>
      </c>
      <c r="C273" s="241" t="s">
        <v>4778</v>
      </c>
      <c r="D273" s="259" t="s">
        <v>5227</v>
      </c>
      <c r="E273" s="236" t="s">
        <v>3679</v>
      </c>
      <c r="F273" s="240" t="s">
        <v>4854</v>
      </c>
      <c r="G273" s="214">
        <v>0</v>
      </c>
      <c r="H273" s="231" t="s">
        <v>4771</v>
      </c>
      <c r="I273" s="231"/>
      <c r="J273" s="231"/>
      <c r="K273" s="231"/>
      <c r="L273" s="231"/>
      <c r="M273" s="231"/>
      <c r="N273" s="231" t="s">
        <v>4781</v>
      </c>
      <c r="O273" s="246" t="s">
        <v>5219</v>
      </c>
      <c r="P273" s="246" t="s">
        <v>5220</v>
      </c>
      <c r="Q273" s="225" t="s">
        <v>4640</v>
      </c>
      <c r="R273" s="212" t="s">
        <v>2</v>
      </c>
      <c r="S273" s="213" t="s">
        <v>4771</v>
      </c>
      <c r="T273" s="233">
        <v>45573</v>
      </c>
      <c r="U273" s="234" t="s">
        <v>4871</v>
      </c>
      <c r="V273" s="234">
        <v>45602</v>
      </c>
      <c r="W273" s="234">
        <v>45607</v>
      </c>
      <c r="X273" s="234" t="s">
        <v>2</v>
      </c>
      <c r="Y273" s="234"/>
      <c r="Z273" s="234" t="s">
        <v>4641</v>
      </c>
      <c r="AA273" s="243">
        <v>202411</v>
      </c>
      <c r="AB273" s="243"/>
      <c r="AC273" s="244" t="s">
        <v>4800</v>
      </c>
      <c r="AD273" s="244" t="s">
        <v>3757</v>
      </c>
      <c r="AE273" s="245">
        <v>1</v>
      </c>
      <c r="AF273" s="244" t="s">
        <v>3757</v>
      </c>
      <c r="AG273" s="239" t="str">
        <f>IFERROR(VLOOKUP(작성용!A:A,RM!A:D,4,0),"-")</f>
        <v>강성은</v>
      </c>
      <c r="AH273" s="9" t="s">
        <v>4845</v>
      </c>
      <c r="AI273" s="235" t="s">
        <v>4771</v>
      </c>
      <c r="AJ273" s="235" t="s">
        <v>4920</v>
      </c>
      <c r="AK273" s="235" t="s">
        <v>4777</v>
      </c>
      <c r="AL273" s="235">
        <v>272</v>
      </c>
    </row>
    <row r="274" spans="1:38" x14ac:dyDescent="0.3">
      <c r="A274" s="222" t="s">
        <v>2221</v>
      </c>
      <c r="B274" s="222" t="s">
        <v>5004</v>
      </c>
      <c r="C274" s="241" t="s">
        <v>4778</v>
      </c>
      <c r="D274" s="259" t="s">
        <v>5227</v>
      </c>
      <c r="E274" s="236" t="s">
        <v>3679</v>
      </c>
      <c r="F274" s="240" t="s">
        <v>4930</v>
      </c>
      <c r="G274" s="214">
        <v>0</v>
      </c>
      <c r="H274" s="231" t="s">
        <v>4771</v>
      </c>
      <c r="I274" s="231"/>
      <c r="J274" s="231"/>
      <c r="K274" s="231"/>
      <c r="L274" s="231"/>
      <c r="M274" s="231"/>
      <c r="N274" s="231" t="s">
        <v>4781</v>
      </c>
      <c r="O274" s="246" t="s">
        <v>5219</v>
      </c>
      <c r="P274" s="246" t="s">
        <v>5220</v>
      </c>
      <c r="Q274" s="225" t="s">
        <v>4640</v>
      </c>
      <c r="R274" s="212" t="s">
        <v>2</v>
      </c>
      <c r="S274" s="213" t="s">
        <v>4771</v>
      </c>
      <c r="T274" s="233">
        <v>45573</v>
      </c>
      <c r="U274" s="234" t="s">
        <v>4759</v>
      </c>
      <c r="V274" s="234">
        <v>45602</v>
      </c>
      <c r="W274" s="234">
        <v>45607</v>
      </c>
      <c r="X274" s="234" t="s">
        <v>2</v>
      </c>
      <c r="Y274" s="234"/>
      <c r="Z274" s="234" t="s">
        <v>4641</v>
      </c>
      <c r="AA274" s="243">
        <v>202411</v>
      </c>
      <c r="AB274" s="243"/>
      <c r="AC274" s="244" t="s">
        <v>4800</v>
      </c>
      <c r="AD274" s="244" t="s">
        <v>3757</v>
      </c>
      <c r="AE274" s="245">
        <v>0</v>
      </c>
      <c r="AF274" s="244" t="s">
        <v>3757</v>
      </c>
      <c r="AG274" s="239" t="str">
        <f>IFERROR(VLOOKUP(작성용!A:A,RM!A:D,4,0),"-")</f>
        <v>강성은</v>
      </c>
      <c r="AH274" s="9" t="s">
        <v>4845</v>
      </c>
      <c r="AI274" s="235" t="s">
        <v>4771</v>
      </c>
      <c r="AJ274" s="235" t="s">
        <v>4920</v>
      </c>
      <c r="AK274" s="235" t="s">
        <v>4777</v>
      </c>
      <c r="AL274" s="235">
        <v>273</v>
      </c>
    </row>
    <row r="275" spans="1:38" x14ac:dyDescent="0.3">
      <c r="A275" s="222" t="s">
        <v>2221</v>
      </c>
      <c r="B275" s="222" t="s">
        <v>5004</v>
      </c>
      <c r="C275" s="241" t="s">
        <v>4778</v>
      </c>
      <c r="D275" s="259" t="s">
        <v>5228</v>
      </c>
      <c r="E275" s="236">
        <v>1101140284460</v>
      </c>
      <c r="F275" s="240" t="s">
        <v>4854</v>
      </c>
      <c r="G275" s="214">
        <v>0</v>
      </c>
      <c r="H275" s="231" t="s">
        <v>4771</v>
      </c>
      <c r="I275" s="231"/>
      <c r="J275" s="231"/>
      <c r="K275" s="231"/>
      <c r="L275" s="231"/>
      <c r="M275" s="231"/>
      <c r="N275" s="231" t="s">
        <v>4781</v>
      </c>
      <c r="O275" s="246" t="s">
        <v>5219</v>
      </c>
      <c r="P275" s="246" t="s">
        <v>5220</v>
      </c>
      <c r="Q275" s="225" t="s">
        <v>4640</v>
      </c>
      <c r="R275" s="212" t="s">
        <v>2</v>
      </c>
      <c r="S275" s="213" t="s">
        <v>4771</v>
      </c>
      <c r="T275" s="233">
        <v>45573</v>
      </c>
      <c r="U275" s="234" t="s">
        <v>4759</v>
      </c>
      <c r="V275" s="234">
        <v>45602</v>
      </c>
      <c r="W275" s="234">
        <v>45607</v>
      </c>
      <c r="X275" s="234" t="s">
        <v>2</v>
      </c>
      <c r="Y275" s="234"/>
      <c r="Z275" s="234" t="s">
        <v>4641</v>
      </c>
      <c r="AA275" s="243">
        <v>202411</v>
      </c>
      <c r="AB275" s="243"/>
      <c r="AC275" s="244" t="s">
        <v>4800</v>
      </c>
      <c r="AD275" s="244" t="s">
        <v>4539</v>
      </c>
      <c r="AE275" s="245">
        <v>0</v>
      </c>
      <c r="AF275" s="244" t="s">
        <v>4539</v>
      </c>
      <c r="AG275" s="239" t="str">
        <f>IFERROR(VLOOKUP(작성용!A:A,RM!A:D,4,0),"-")</f>
        <v>강성은</v>
      </c>
      <c r="AH275" s="9" t="s">
        <v>4845</v>
      </c>
      <c r="AI275" s="235" t="s">
        <v>5226</v>
      </c>
      <c r="AJ275" s="235" t="s">
        <v>4920</v>
      </c>
      <c r="AK275" s="235" t="s">
        <v>4777</v>
      </c>
      <c r="AL275" s="235">
        <v>274</v>
      </c>
    </row>
    <row r="276" spans="1:38" x14ac:dyDescent="0.3">
      <c r="A276" s="222" t="s">
        <v>2221</v>
      </c>
      <c r="B276" s="222" t="s">
        <v>5004</v>
      </c>
      <c r="C276" s="241" t="s">
        <v>4778</v>
      </c>
      <c r="D276" s="259" t="s">
        <v>5229</v>
      </c>
      <c r="E276" s="236" t="s">
        <v>3918</v>
      </c>
      <c r="F276" s="240" t="s">
        <v>4854</v>
      </c>
      <c r="G276" s="214">
        <v>0</v>
      </c>
      <c r="H276" s="231" t="s">
        <v>4771</v>
      </c>
      <c r="I276" s="231"/>
      <c r="J276" s="231"/>
      <c r="K276" s="231"/>
      <c r="L276" s="231"/>
      <c r="M276" s="231"/>
      <c r="N276" s="231" t="s">
        <v>4781</v>
      </c>
      <c r="O276" s="246" t="s">
        <v>5219</v>
      </c>
      <c r="P276" s="246" t="s">
        <v>5220</v>
      </c>
      <c r="Q276" s="225" t="s">
        <v>4640</v>
      </c>
      <c r="R276" s="212" t="s">
        <v>2</v>
      </c>
      <c r="S276" s="213" t="s">
        <v>4771</v>
      </c>
      <c r="T276" s="233">
        <v>45573</v>
      </c>
      <c r="U276" s="234" t="s">
        <v>4759</v>
      </c>
      <c r="V276" s="234">
        <v>45602</v>
      </c>
      <c r="W276" s="234">
        <v>45607</v>
      </c>
      <c r="X276" s="234" t="s">
        <v>2</v>
      </c>
      <c r="Y276" s="234"/>
      <c r="Z276" s="234" t="s">
        <v>4641</v>
      </c>
      <c r="AA276" s="243">
        <v>202411</v>
      </c>
      <c r="AB276" s="243"/>
      <c r="AC276" s="244" t="s">
        <v>4800</v>
      </c>
      <c r="AD276" s="244" t="s">
        <v>3646</v>
      </c>
      <c r="AE276" s="245">
        <v>1</v>
      </c>
      <c r="AF276" s="244" t="s">
        <v>3646</v>
      </c>
      <c r="AG276" s="239" t="str">
        <f>IFERROR(VLOOKUP(작성용!A:A,RM!A:D,4,0),"-")</f>
        <v>강성은</v>
      </c>
      <c r="AH276" s="9" t="s">
        <v>4845</v>
      </c>
      <c r="AI276" s="235" t="s">
        <v>4771</v>
      </c>
      <c r="AJ276" s="235" t="s">
        <v>4920</v>
      </c>
      <c r="AK276" s="235" t="s">
        <v>4777</v>
      </c>
      <c r="AL276" s="235">
        <v>275</v>
      </c>
    </row>
    <row r="277" spans="1:38" x14ac:dyDescent="0.3">
      <c r="A277" s="222" t="s">
        <v>2221</v>
      </c>
      <c r="B277" s="222" t="s">
        <v>5004</v>
      </c>
      <c r="C277" s="241" t="s">
        <v>4778</v>
      </c>
      <c r="D277" s="259" t="s">
        <v>5230</v>
      </c>
      <c r="E277" s="236">
        <v>1101140315330</v>
      </c>
      <c r="F277" s="240" t="s">
        <v>4854</v>
      </c>
      <c r="G277" s="214">
        <v>0</v>
      </c>
      <c r="H277" s="231" t="s">
        <v>4771</v>
      </c>
      <c r="I277" s="231"/>
      <c r="J277" s="231"/>
      <c r="K277" s="231"/>
      <c r="L277" s="231"/>
      <c r="M277" s="231"/>
      <c r="N277" s="231" t="s">
        <v>4781</v>
      </c>
      <c r="O277" s="246" t="s">
        <v>5219</v>
      </c>
      <c r="P277" s="246" t="s">
        <v>5220</v>
      </c>
      <c r="Q277" s="225" t="s">
        <v>4640</v>
      </c>
      <c r="R277" s="212" t="s">
        <v>2</v>
      </c>
      <c r="S277" s="213" t="s">
        <v>4771</v>
      </c>
      <c r="T277" s="233">
        <v>45573</v>
      </c>
      <c r="U277" s="234" t="s">
        <v>4759</v>
      </c>
      <c r="V277" s="234">
        <v>45602</v>
      </c>
      <c r="W277" s="234">
        <v>45607</v>
      </c>
      <c r="X277" s="234" t="s">
        <v>2</v>
      </c>
      <c r="Y277" s="234"/>
      <c r="Z277" s="234" t="s">
        <v>4641</v>
      </c>
      <c r="AA277" s="243">
        <v>202411</v>
      </c>
      <c r="AB277" s="243"/>
      <c r="AC277" s="244" t="s">
        <v>4800</v>
      </c>
      <c r="AD277" s="244" t="s">
        <v>4980</v>
      </c>
      <c r="AE277" s="245">
        <v>0</v>
      </c>
      <c r="AF277" s="244" t="s">
        <v>4762</v>
      </c>
      <c r="AG277" s="239" t="str">
        <f>IFERROR(VLOOKUP(작성용!A:A,RM!A:D,4,0),"-")</f>
        <v>강성은</v>
      </c>
      <c r="AH277" s="9" t="s">
        <v>4845</v>
      </c>
      <c r="AI277" s="235" t="s">
        <v>5226</v>
      </c>
      <c r="AJ277" s="235" t="s">
        <v>4920</v>
      </c>
      <c r="AK277" s="235" t="s">
        <v>4777</v>
      </c>
      <c r="AL277" s="235">
        <v>276</v>
      </c>
    </row>
    <row r="278" spans="1:38" x14ac:dyDescent="0.3">
      <c r="A278" s="222" t="s">
        <v>2221</v>
      </c>
      <c r="B278" s="222" t="s">
        <v>5004</v>
      </c>
      <c r="C278" s="241" t="s">
        <v>4778</v>
      </c>
      <c r="D278" s="259" t="s">
        <v>5231</v>
      </c>
      <c r="E278" s="236">
        <v>1501110219184</v>
      </c>
      <c r="F278" s="240" t="s">
        <v>4780</v>
      </c>
      <c r="G278" s="214">
        <v>0</v>
      </c>
      <c r="H278" s="231" t="s">
        <v>4771</v>
      </c>
      <c r="I278" s="231"/>
      <c r="J278" s="231"/>
      <c r="K278" s="231"/>
      <c r="L278" s="231"/>
      <c r="M278" s="231"/>
      <c r="N278" s="231" t="s">
        <v>4781</v>
      </c>
      <c r="O278" s="246" t="s">
        <v>5219</v>
      </c>
      <c r="P278" s="246" t="s">
        <v>5220</v>
      </c>
      <c r="Q278" s="225" t="s">
        <v>4640</v>
      </c>
      <c r="R278" s="212" t="s">
        <v>2</v>
      </c>
      <c r="S278" s="213" t="s">
        <v>4771</v>
      </c>
      <c r="T278" s="233">
        <v>45573</v>
      </c>
      <c r="U278" s="234" t="s">
        <v>4759</v>
      </c>
      <c r="V278" s="234">
        <v>45602</v>
      </c>
      <c r="W278" s="234">
        <v>45607</v>
      </c>
      <c r="X278" s="234" t="s">
        <v>2</v>
      </c>
      <c r="Y278" s="234"/>
      <c r="Z278" s="234" t="s">
        <v>4641</v>
      </c>
      <c r="AA278" s="243">
        <v>202411</v>
      </c>
      <c r="AB278" s="243"/>
      <c r="AC278" s="244" t="s">
        <v>4800</v>
      </c>
      <c r="AD278" s="244" t="s">
        <v>4774</v>
      </c>
      <c r="AE278" s="245">
        <v>0</v>
      </c>
      <c r="AF278" s="244" t="s">
        <v>4774</v>
      </c>
      <c r="AG278" s="239" t="str">
        <f>IFERROR(VLOOKUP(작성용!A:A,RM!A:D,4,0),"-")</f>
        <v>강성은</v>
      </c>
      <c r="AH278" s="9" t="s">
        <v>4845</v>
      </c>
      <c r="AI278" s="235" t="s">
        <v>4771</v>
      </c>
      <c r="AJ278" s="235" t="s">
        <v>4920</v>
      </c>
      <c r="AK278" s="235" t="s">
        <v>4777</v>
      </c>
      <c r="AL278" s="235">
        <v>277</v>
      </c>
    </row>
    <row r="279" spans="1:38" x14ac:dyDescent="0.3">
      <c r="A279" s="222" t="s">
        <v>2221</v>
      </c>
      <c r="B279" s="222" t="s">
        <v>5004</v>
      </c>
      <c r="C279" s="241" t="s">
        <v>4778</v>
      </c>
      <c r="D279" s="259" t="s">
        <v>5232</v>
      </c>
      <c r="E279" s="236">
        <v>1101140301991</v>
      </c>
      <c r="F279" s="240" t="s">
        <v>4854</v>
      </c>
      <c r="G279" s="214">
        <v>0</v>
      </c>
      <c r="H279" s="231" t="s">
        <v>4771</v>
      </c>
      <c r="I279" s="231"/>
      <c r="J279" s="231"/>
      <c r="K279" s="231"/>
      <c r="L279" s="231"/>
      <c r="M279" s="231"/>
      <c r="N279" s="231" t="s">
        <v>4781</v>
      </c>
      <c r="O279" s="246" t="s">
        <v>5219</v>
      </c>
      <c r="P279" s="246" t="s">
        <v>5220</v>
      </c>
      <c r="Q279" s="225" t="s">
        <v>4640</v>
      </c>
      <c r="R279" s="212" t="s">
        <v>2</v>
      </c>
      <c r="S279" s="213" t="s">
        <v>4771</v>
      </c>
      <c r="T279" s="233">
        <v>45573</v>
      </c>
      <c r="U279" s="234" t="s">
        <v>4759</v>
      </c>
      <c r="V279" s="234">
        <v>45602</v>
      </c>
      <c r="W279" s="234">
        <v>45607</v>
      </c>
      <c r="X279" s="234" t="s">
        <v>2</v>
      </c>
      <c r="Y279" s="234"/>
      <c r="Z279" s="234" t="s">
        <v>4641</v>
      </c>
      <c r="AA279" s="243">
        <v>202411</v>
      </c>
      <c r="AB279" s="243"/>
      <c r="AC279" s="244" t="s">
        <v>4800</v>
      </c>
      <c r="AD279" s="244" t="s">
        <v>4980</v>
      </c>
      <c r="AE279" s="245">
        <v>1</v>
      </c>
      <c r="AF279" s="244" t="s">
        <v>4980</v>
      </c>
      <c r="AG279" s="239" t="str">
        <f>IFERROR(VLOOKUP(작성용!A:A,RM!A:D,4,0),"-")</f>
        <v>강성은</v>
      </c>
      <c r="AH279" s="9" t="s">
        <v>4845</v>
      </c>
      <c r="AI279" s="235" t="s">
        <v>4771</v>
      </c>
      <c r="AJ279" s="235" t="s">
        <v>4920</v>
      </c>
      <c r="AK279" s="235" t="s">
        <v>4777</v>
      </c>
      <c r="AL279" s="235">
        <v>278</v>
      </c>
    </row>
    <row r="280" spans="1:38" x14ac:dyDescent="0.3">
      <c r="A280" s="222" t="s">
        <v>2221</v>
      </c>
      <c r="B280" s="222" t="s">
        <v>5004</v>
      </c>
      <c r="C280" s="241" t="s">
        <v>4778</v>
      </c>
      <c r="D280" s="259" t="s">
        <v>5233</v>
      </c>
      <c r="E280" s="236">
        <v>1101113038951</v>
      </c>
      <c r="F280" s="240" t="s">
        <v>4854</v>
      </c>
      <c r="G280" s="214">
        <v>0</v>
      </c>
      <c r="H280" s="231" t="s">
        <v>4771</v>
      </c>
      <c r="I280" s="231"/>
      <c r="J280" s="231"/>
      <c r="K280" s="231"/>
      <c r="L280" s="231"/>
      <c r="M280" s="231"/>
      <c r="N280" s="231" t="s">
        <v>4781</v>
      </c>
      <c r="O280" s="246" t="s">
        <v>5219</v>
      </c>
      <c r="P280" s="246" t="s">
        <v>5220</v>
      </c>
      <c r="Q280" s="225" t="s">
        <v>4640</v>
      </c>
      <c r="R280" s="212" t="s">
        <v>2</v>
      </c>
      <c r="S280" s="213" t="s">
        <v>4771</v>
      </c>
      <c r="T280" s="233">
        <v>45573</v>
      </c>
      <c r="U280" s="234" t="s">
        <v>4759</v>
      </c>
      <c r="V280" s="234">
        <v>45602</v>
      </c>
      <c r="W280" s="234">
        <v>45607</v>
      </c>
      <c r="X280" s="234" t="s">
        <v>2</v>
      </c>
      <c r="Y280" s="234"/>
      <c r="Z280" s="234" t="s">
        <v>4641</v>
      </c>
      <c r="AA280" s="243">
        <v>202411</v>
      </c>
      <c r="AB280" s="243"/>
      <c r="AC280" s="244" t="s">
        <v>4800</v>
      </c>
      <c r="AD280" s="244" t="s">
        <v>3716</v>
      </c>
      <c r="AE280" s="245">
        <v>1</v>
      </c>
      <c r="AF280" s="244" t="s">
        <v>3716</v>
      </c>
      <c r="AG280" s="239" t="str">
        <f>IFERROR(VLOOKUP(작성용!A:A,RM!A:D,4,0),"-")</f>
        <v>강성은</v>
      </c>
      <c r="AH280" s="9" t="s">
        <v>4845</v>
      </c>
      <c r="AI280" s="235" t="s">
        <v>4771</v>
      </c>
      <c r="AJ280" s="235" t="s">
        <v>4920</v>
      </c>
      <c r="AK280" s="235" t="s">
        <v>4777</v>
      </c>
      <c r="AL280" s="235">
        <v>279</v>
      </c>
    </row>
    <row r="281" spans="1:38" x14ac:dyDescent="0.3">
      <c r="A281" s="222" t="s">
        <v>2221</v>
      </c>
      <c r="B281" s="222" t="s">
        <v>5004</v>
      </c>
      <c r="C281" s="241" t="s">
        <v>4778</v>
      </c>
      <c r="D281" s="259" t="s">
        <v>5233</v>
      </c>
      <c r="E281" s="236">
        <v>1101113038951</v>
      </c>
      <c r="F281" s="240" t="s">
        <v>4963</v>
      </c>
      <c r="G281" s="214">
        <v>0</v>
      </c>
      <c r="H281" s="231" t="s">
        <v>4771</v>
      </c>
      <c r="I281" s="231"/>
      <c r="J281" s="231"/>
      <c r="K281" s="231"/>
      <c r="L281" s="231"/>
      <c r="M281" s="231"/>
      <c r="N281" s="231" t="s">
        <v>4781</v>
      </c>
      <c r="O281" s="246" t="s">
        <v>5219</v>
      </c>
      <c r="P281" s="246" t="s">
        <v>5220</v>
      </c>
      <c r="Q281" s="225" t="s">
        <v>4640</v>
      </c>
      <c r="R281" s="212" t="s">
        <v>2</v>
      </c>
      <c r="S281" s="213" t="s">
        <v>4771</v>
      </c>
      <c r="T281" s="233">
        <v>45573</v>
      </c>
      <c r="U281" s="234" t="s">
        <v>4759</v>
      </c>
      <c r="V281" s="234">
        <v>45602</v>
      </c>
      <c r="W281" s="234">
        <v>45607</v>
      </c>
      <c r="X281" s="234" t="s">
        <v>2</v>
      </c>
      <c r="Y281" s="234"/>
      <c r="Z281" s="234" t="s">
        <v>4641</v>
      </c>
      <c r="AA281" s="243">
        <v>202411</v>
      </c>
      <c r="AB281" s="243"/>
      <c r="AC281" s="244" t="s">
        <v>4800</v>
      </c>
      <c r="AD281" s="244" t="s">
        <v>3716</v>
      </c>
      <c r="AE281" s="245">
        <v>0</v>
      </c>
      <c r="AF281" s="244" t="s">
        <v>3716</v>
      </c>
      <c r="AG281" s="239" t="str">
        <f>IFERROR(VLOOKUP(작성용!A:A,RM!A:D,4,0),"-")</f>
        <v>강성은</v>
      </c>
      <c r="AH281" s="9" t="s">
        <v>4845</v>
      </c>
      <c r="AI281" s="235" t="s">
        <v>4771</v>
      </c>
      <c r="AJ281" s="235" t="s">
        <v>4920</v>
      </c>
      <c r="AK281" s="235" t="s">
        <v>4777</v>
      </c>
      <c r="AL281" s="235">
        <v>280</v>
      </c>
    </row>
    <row r="282" spans="1:38" x14ac:dyDescent="0.3">
      <c r="A282" s="222" t="s">
        <v>2221</v>
      </c>
      <c r="B282" s="222" t="s">
        <v>5004</v>
      </c>
      <c r="C282" s="241" t="s">
        <v>4778</v>
      </c>
      <c r="D282" s="259" t="s">
        <v>5234</v>
      </c>
      <c r="E282" s="236">
        <v>1101140308129</v>
      </c>
      <c r="F282" s="240" t="s">
        <v>4854</v>
      </c>
      <c r="G282" s="214">
        <v>0</v>
      </c>
      <c r="H282" s="231" t="s">
        <v>4771</v>
      </c>
      <c r="I282" s="231"/>
      <c r="J282" s="231"/>
      <c r="K282" s="231"/>
      <c r="L282" s="231"/>
      <c r="M282" s="231"/>
      <c r="N282" s="231" t="s">
        <v>4781</v>
      </c>
      <c r="O282" s="246" t="s">
        <v>5219</v>
      </c>
      <c r="P282" s="246" t="s">
        <v>5220</v>
      </c>
      <c r="Q282" s="225" t="s">
        <v>4640</v>
      </c>
      <c r="R282" s="212" t="s">
        <v>2</v>
      </c>
      <c r="S282" s="213" t="s">
        <v>4771</v>
      </c>
      <c r="T282" s="233">
        <v>45573</v>
      </c>
      <c r="U282" s="234" t="s">
        <v>4759</v>
      </c>
      <c r="V282" s="234">
        <v>45602</v>
      </c>
      <c r="W282" s="234">
        <v>45607</v>
      </c>
      <c r="X282" s="234" t="s">
        <v>2</v>
      </c>
      <c r="Y282" s="234"/>
      <c r="Z282" s="234" t="s">
        <v>4641</v>
      </c>
      <c r="AA282" s="243">
        <v>202411</v>
      </c>
      <c r="AB282" s="243"/>
      <c r="AC282" s="244" t="s">
        <v>4800</v>
      </c>
      <c r="AD282" s="244" t="s">
        <v>4980</v>
      </c>
      <c r="AE282" s="245">
        <v>0</v>
      </c>
      <c r="AF282" s="244" t="s">
        <v>4980</v>
      </c>
      <c r="AG282" s="239" t="str">
        <f>IFERROR(VLOOKUP(작성용!A:A,RM!A:D,4,0),"-")</f>
        <v>강성은</v>
      </c>
      <c r="AH282" s="9" t="s">
        <v>4845</v>
      </c>
      <c r="AI282" s="235" t="s">
        <v>5226</v>
      </c>
      <c r="AJ282" s="235" t="s">
        <v>4920</v>
      </c>
      <c r="AK282" s="235" t="s">
        <v>4777</v>
      </c>
      <c r="AL282" s="235">
        <v>281</v>
      </c>
    </row>
    <row r="283" spans="1:38" x14ac:dyDescent="0.3">
      <c r="A283" s="222" t="s">
        <v>2221</v>
      </c>
      <c r="B283" s="222" t="s">
        <v>5004</v>
      </c>
      <c r="C283" s="241" t="s">
        <v>4778</v>
      </c>
      <c r="D283" s="259" t="s">
        <v>5235</v>
      </c>
      <c r="E283" s="236" t="s">
        <v>3919</v>
      </c>
      <c r="F283" s="240" t="s">
        <v>4930</v>
      </c>
      <c r="G283" s="214">
        <v>0</v>
      </c>
      <c r="H283" s="231" t="s">
        <v>4771</v>
      </c>
      <c r="I283" s="231"/>
      <c r="J283" s="231"/>
      <c r="K283" s="231"/>
      <c r="L283" s="231"/>
      <c r="M283" s="231"/>
      <c r="N283" s="231" t="s">
        <v>4781</v>
      </c>
      <c r="O283" s="246" t="s">
        <v>5219</v>
      </c>
      <c r="P283" s="246" t="s">
        <v>5220</v>
      </c>
      <c r="Q283" s="225" t="s">
        <v>4640</v>
      </c>
      <c r="R283" s="212" t="s">
        <v>2</v>
      </c>
      <c r="S283" s="213" t="s">
        <v>4771</v>
      </c>
      <c r="T283" s="233">
        <v>45573</v>
      </c>
      <c r="U283" s="234" t="s">
        <v>4759</v>
      </c>
      <c r="V283" s="234">
        <v>45602</v>
      </c>
      <c r="W283" s="234">
        <v>45607</v>
      </c>
      <c r="X283" s="234" t="s">
        <v>2</v>
      </c>
      <c r="Y283" s="234"/>
      <c r="Z283" s="234" t="s">
        <v>4641</v>
      </c>
      <c r="AA283" s="243">
        <v>202411</v>
      </c>
      <c r="AB283" s="243"/>
      <c r="AC283" s="244" t="s">
        <v>4800</v>
      </c>
      <c r="AD283" s="244" t="s">
        <v>4846</v>
      </c>
      <c r="AE283" s="245">
        <v>1</v>
      </c>
      <c r="AF283" s="244" t="s">
        <v>4846</v>
      </c>
      <c r="AG283" s="239" t="str">
        <f>IFERROR(VLOOKUP(작성용!A:A,RM!A:D,4,0),"-")</f>
        <v>강성은</v>
      </c>
      <c r="AH283" s="9" t="s">
        <v>4845</v>
      </c>
      <c r="AI283" s="235" t="s">
        <v>4771</v>
      </c>
      <c r="AJ283" s="235" t="s">
        <v>4920</v>
      </c>
      <c r="AK283" s="235" t="s">
        <v>4777</v>
      </c>
      <c r="AL283" s="235">
        <v>282</v>
      </c>
    </row>
    <row r="284" spans="1:38" x14ac:dyDescent="0.3">
      <c r="A284" s="222" t="s">
        <v>2221</v>
      </c>
      <c r="B284" s="222" t="s">
        <v>5004</v>
      </c>
      <c r="C284" s="241" t="s">
        <v>4778</v>
      </c>
      <c r="D284" s="259" t="s">
        <v>5235</v>
      </c>
      <c r="E284" s="236" t="s">
        <v>3919</v>
      </c>
      <c r="F284" s="240" t="s">
        <v>4854</v>
      </c>
      <c r="G284" s="214">
        <v>0</v>
      </c>
      <c r="H284" s="231" t="s">
        <v>4771</v>
      </c>
      <c r="I284" s="231"/>
      <c r="J284" s="231"/>
      <c r="K284" s="231"/>
      <c r="L284" s="231"/>
      <c r="M284" s="231"/>
      <c r="N284" s="231" t="s">
        <v>4781</v>
      </c>
      <c r="O284" s="246" t="s">
        <v>5219</v>
      </c>
      <c r="P284" s="246" t="s">
        <v>5220</v>
      </c>
      <c r="Q284" s="225" t="s">
        <v>4640</v>
      </c>
      <c r="R284" s="212" t="s">
        <v>2</v>
      </c>
      <c r="S284" s="213" t="s">
        <v>4771</v>
      </c>
      <c r="T284" s="233">
        <v>45573</v>
      </c>
      <c r="U284" s="234" t="s">
        <v>4759</v>
      </c>
      <c r="V284" s="234">
        <v>45602</v>
      </c>
      <c r="W284" s="234">
        <v>45607</v>
      </c>
      <c r="X284" s="234" t="s">
        <v>2</v>
      </c>
      <c r="Y284" s="234"/>
      <c r="Z284" s="234" t="s">
        <v>4641</v>
      </c>
      <c r="AA284" s="243">
        <v>202411</v>
      </c>
      <c r="AB284" s="243"/>
      <c r="AC284" s="244" t="s">
        <v>4800</v>
      </c>
      <c r="AD284" s="244" t="s">
        <v>4846</v>
      </c>
      <c r="AE284" s="245">
        <v>0</v>
      </c>
      <c r="AF284" s="244" t="s">
        <v>4846</v>
      </c>
      <c r="AG284" s="239" t="str">
        <f>IFERROR(VLOOKUP(작성용!A:A,RM!A:D,4,0),"-")</f>
        <v>강성은</v>
      </c>
      <c r="AH284" s="9" t="s">
        <v>4845</v>
      </c>
      <c r="AI284" s="235" t="s">
        <v>4771</v>
      </c>
      <c r="AJ284" s="235" t="s">
        <v>4920</v>
      </c>
      <c r="AK284" s="235" t="s">
        <v>4777</v>
      </c>
      <c r="AL284" s="235">
        <v>283</v>
      </c>
    </row>
    <row r="285" spans="1:38" x14ac:dyDescent="0.3">
      <c r="A285" s="222" t="s">
        <v>2221</v>
      </c>
      <c r="B285" s="222" t="s">
        <v>5004</v>
      </c>
      <c r="C285" s="241" t="s">
        <v>4778</v>
      </c>
      <c r="D285" s="259" t="s">
        <v>5236</v>
      </c>
      <c r="E285" s="236">
        <v>1101140296027</v>
      </c>
      <c r="F285" s="240" t="s">
        <v>4854</v>
      </c>
      <c r="G285" s="214">
        <v>0</v>
      </c>
      <c r="H285" s="231" t="s">
        <v>4771</v>
      </c>
      <c r="I285" s="231"/>
      <c r="J285" s="231"/>
      <c r="K285" s="231"/>
      <c r="L285" s="231"/>
      <c r="M285" s="231"/>
      <c r="N285" s="231" t="s">
        <v>4781</v>
      </c>
      <c r="O285" s="246" t="s">
        <v>5219</v>
      </c>
      <c r="P285" s="246" t="s">
        <v>5220</v>
      </c>
      <c r="Q285" s="225" t="s">
        <v>4640</v>
      </c>
      <c r="R285" s="212" t="s">
        <v>2</v>
      </c>
      <c r="S285" s="213" t="s">
        <v>4771</v>
      </c>
      <c r="T285" s="233">
        <v>45573</v>
      </c>
      <c r="U285" s="234" t="s">
        <v>4759</v>
      </c>
      <c r="V285" s="234">
        <v>45602</v>
      </c>
      <c r="W285" s="234">
        <v>45607</v>
      </c>
      <c r="X285" s="234" t="s">
        <v>2</v>
      </c>
      <c r="Y285" s="234"/>
      <c r="Z285" s="234" t="s">
        <v>4641</v>
      </c>
      <c r="AA285" s="243">
        <v>202411</v>
      </c>
      <c r="AB285" s="243"/>
      <c r="AC285" s="244" t="s">
        <v>4800</v>
      </c>
      <c r="AD285" s="244" t="s">
        <v>4980</v>
      </c>
      <c r="AE285" s="245">
        <v>0</v>
      </c>
      <c r="AF285" s="244" t="s">
        <v>4980</v>
      </c>
      <c r="AG285" s="239" t="str">
        <f>IFERROR(VLOOKUP(작성용!A:A,RM!A:D,4,0),"-")</f>
        <v>강성은</v>
      </c>
      <c r="AH285" s="9" t="s">
        <v>4845</v>
      </c>
      <c r="AI285" s="235" t="s">
        <v>5226</v>
      </c>
      <c r="AJ285" s="235" t="s">
        <v>4920</v>
      </c>
      <c r="AK285" s="235" t="s">
        <v>4777</v>
      </c>
      <c r="AL285" s="235">
        <v>284</v>
      </c>
    </row>
    <row r="286" spans="1:38" x14ac:dyDescent="0.3">
      <c r="A286" s="222" t="s">
        <v>2221</v>
      </c>
      <c r="B286" s="222" t="s">
        <v>5004</v>
      </c>
      <c r="C286" s="241" t="s">
        <v>4778</v>
      </c>
      <c r="D286" s="259" t="s">
        <v>5237</v>
      </c>
      <c r="E286" s="236">
        <v>1101114475300</v>
      </c>
      <c r="F286" s="240" t="s">
        <v>4854</v>
      </c>
      <c r="G286" s="214">
        <v>0</v>
      </c>
      <c r="H286" s="231" t="s">
        <v>4771</v>
      </c>
      <c r="I286" s="231"/>
      <c r="J286" s="231"/>
      <c r="K286" s="231"/>
      <c r="L286" s="231"/>
      <c r="M286" s="231"/>
      <c r="N286" s="231" t="s">
        <v>4781</v>
      </c>
      <c r="O286" s="246" t="s">
        <v>5219</v>
      </c>
      <c r="P286" s="246" t="s">
        <v>5220</v>
      </c>
      <c r="Q286" s="225" t="s">
        <v>4640</v>
      </c>
      <c r="R286" s="212" t="s">
        <v>2</v>
      </c>
      <c r="S286" s="213" t="s">
        <v>4771</v>
      </c>
      <c r="T286" s="233">
        <v>45573</v>
      </c>
      <c r="U286" s="234" t="s">
        <v>4759</v>
      </c>
      <c r="V286" s="234">
        <v>45602</v>
      </c>
      <c r="W286" s="234">
        <v>45607</v>
      </c>
      <c r="X286" s="234" t="s">
        <v>2</v>
      </c>
      <c r="Y286" s="234"/>
      <c r="Z286" s="234" t="s">
        <v>4641</v>
      </c>
      <c r="AA286" s="243">
        <v>202411</v>
      </c>
      <c r="AB286" s="243"/>
      <c r="AC286" s="244" t="s">
        <v>4800</v>
      </c>
      <c r="AD286" s="244" t="s">
        <v>4918</v>
      </c>
      <c r="AE286" s="245">
        <v>0</v>
      </c>
      <c r="AF286" s="244" t="s">
        <v>4918</v>
      </c>
      <c r="AG286" s="239" t="str">
        <f>IFERROR(VLOOKUP(작성용!A:A,RM!A:D,4,0),"-")</f>
        <v>강성은</v>
      </c>
      <c r="AH286" s="9" t="s">
        <v>4845</v>
      </c>
      <c r="AI286" s="235" t="s">
        <v>4771</v>
      </c>
      <c r="AJ286" s="235" t="s">
        <v>4920</v>
      </c>
      <c r="AK286" s="235" t="s">
        <v>4777</v>
      </c>
      <c r="AL286" s="235">
        <v>285</v>
      </c>
    </row>
    <row r="287" spans="1:38" x14ac:dyDescent="0.3">
      <c r="A287" s="222" t="s">
        <v>2221</v>
      </c>
      <c r="B287" s="222" t="s">
        <v>5004</v>
      </c>
      <c r="C287" s="241" t="s">
        <v>4778</v>
      </c>
      <c r="D287" s="259" t="s">
        <v>5237</v>
      </c>
      <c r="E287" s="236">
        <v>1101114475300</v>
      </c>
      <c r="F287" s="240" t="s">
        <v>4850</v>
      </c>
      <c r="G287" s="214">
        <v>0</v>
      </c>
      <c r="H287" s="231" t="s">
        <v>4771</v>
      </c>
      <c r="I287" s="231"/>
      <c r="J287" s="231"/>
      <c r="K287" s="231"/>
      <c r="L287" s="231"/>
      <c r="M287" s="231"/>
      <c r="N287" s="231" t="s">
        <v>4781</v>
      </c>
      <c r="O287" s="246" t="s">
        <v>5219</v>
      </c>
      <c r="P287" s="246" t="s">
        <v>5220</v>
      </c>
      <c r="Q287" s="225" t="s">
        <v>4640</v>
      </c>
      <c r="R287" s="212" t="s">
        <v>2</v>
      </c>
      <c r="S287" s="213" t="s">
        <v>4771</v>
      </c>
      <c r="T287" s="233">
        <v>45573</v>
      </c>
      <c r="U287" s="234" t="s">
        <v>4759</v>
      </c>
      <c r="V287" s="234">
        <v>45602</v>
      </c>
      <c r="W287" s="234">
        <v>45607</v>
      </c>
      <c r="X287" s="234" t="s">
        <v>2</v>
      </c>
      <c r="Y287" s="234"/>
      <c r="Z287" s="234" t="s">
        <v>4641</v>
      </c>
      <c r="AA287" s="243">
        <v>202411</v>
      </c>
      <c r="AB287" s="243"/>
      <c r="AC287" s="244" t="s">
        <v>4800</v>
      </c>
      <c r="AD287" s="244" t="s">
        <v>4918</v>
      </c>
      <c r="AE287" s="245">
        <v>0</v>
      </c>
      <c r="AF287" s="244" t="s">
        <v>4918</v>
      </c>
      <c r="AG287" s="239" t="str">
        <f>IFERROR(VLOOKUP(작성용!A:A,RM!A:D,4,0),"-")</f>
        <v>강성은</v>
      </c>
      <c r="AH287" s="9" t="s">
        <v>4845</v>
      </c>
      <c r="AI287" s="235" t="s">
        <v>4771</v>
      </c>
      <c r="AJ287" s="235" t="s">
        <v>4920</v>
      </c>
      <c r="AK287" s="235" t="s">
        <v>4777</v>
      </c>
      <c r="AL287" s="235">
        <v>286</v>
      </c>
    </row>
    <row r="288" spans="1:38" x14ac:dyDescent="0.3">
      <c r="A288" s="222" t="s">
        <v>2221</v>
      </c>
      <c r="B288" s="222" t="s">
        <v>5004</v>
      </c>
      <c r="C288" s="241" t="s">
        <v>4778</v>
      </c>
      <c r="D288" s="259" t="s">
        <v>5238</v>
      </c>
      <c r="E288" s="236">
        <v>1101140279198</v>
      </c>
      <c r="F288" s="240" t="s">
        <v>4854</v>
      </c>
      <c r="G288" s="214">
        <v>0</v>
      </c>
      <c r="H288" s="231" t="s">
        <v>4771</v>
      </c>
      <c r="I288" s="231"/>
      <c r="J288" s="231"/>
      <c r="K288" s="231"/>
      <c r="L288" s="231"/>
      <c r="M288" s="231"/>
      <c r="N288" s="231" t="s">
        <v>4781</v>
      </c>
      <c r="O288" s="246" t="s">
        <v>5219</v>
      </c>
      <c r="P288" s="246" t="s">
        <v>5220</v>
      </c>
      <c r="Q288" s="225" t="s">
        <v>4640</v>
      </c>
      <c r="R288" s="212" t="s">
        <v>2</v>
      </c>
      <c r="S288" s="213" t="s">
        <v>4771</v>
      </c>
      <c r="T288" s="233">
        <v>45573</v>
      </c>
      <c r="U288" s="234" t="s">
        <v>4759</v>
      </c>
      <c r="V288" s="234">
        <v>45602</v>
      </c>
      <c r="W288" s="234">
        <v>45607</v>
      </c>
      <c r="X288" s="234" t="s">
        <v>2</v>
      </c>
      <c r="Y288" s="234"/>
      <c r="Z288" s="234" t="s">
        <v>4641</v>
      </c>
      <c r="AA288" s="243">
        <v>202411</v>
      </c>
      <c r="AB288" s="243"/>
      <c r="AC288" s="244" t="s">
        <v>4800</v>
      </c>
      <c r="AD288" s="244" t="s">
        <v>4539</v>
      </c>
      <c r="AE288" s="245">
        <v>0</v>
      </c>
      <c r="AF288" s="244" t="s">
        <v>4539</v>
      </c>
      <c r="AG288" s="239" t="str">
        <f>IFERROR(VLOOKUP(작성용!A:A,RM!A:D,4,0),"-")</f>
        <v>강성은</v>
      </c>
      <c r="AH288" s="9" t="s">
        <v>4845</v>
      </c>
      <c r="AI288" s="235" t="s">
        <v>5226</v>
      </c>
      <c r="AJ288" s="235" t="s">
        <v>4920</v>
      </c>
      <c r="AK288" s="235" t="s">
        <v>4777</v>
      </c>
      <c r="AL288" s="235">
        <v>287</v>
      </c>
    </row>
    <row r="289" spans="1:38" x14ac:dyDescent="0.3">
      <c r="A289" s="222" t="s">
        <v>2221</v>
      </c>
      <c r="B289" s="222" t="s">
        <v>5004</v>
      </c>
      <c r="C289" s="241" t="s">
        <v>4778</v>
      </c>
      <c r="D289" s="259" t="s">
        <v>5239</v>
      </c>
      <c r="E289" s="236">
        <v>1101115221794</v>
      </c>
      <c r="F289" s="240" t="s">
        <v>4854</v>
      </c>
      <c r="G289" s="214">
        <v>0</v>
      </c>
      <c r="H289" s="231" t="s">
        <v>4771</v>
      </c>
      <c r="I289" s="231"/>
      <c r="J289" s="231"/>
      <c r="K289" s="231"/>
      <c r="L289" s="231"/>
      <c r="M289" s="231"/>
      <c r="N289" s="231" t="s">
        <v>4781</v>
      </c>
      <c r="O289" s="246" t="s">
        <v>5219</v>
      </c>
      <c r="P289" s="246" t="s">
        <v>5220</v>
      </c>
      <c r="Q289" s="225" t="s">
        <v>4640</v>
      </c>
      <c r="R289" s="212" t="s">
        <v>2</v>
      </c>
      <c r="S289" s="213" t="s">
        <v>4771</v>
      </c>
      <c r="T289" s="233">
        <v>45573</v>
      </c>
      <c r="U289" s="234" t="s">
        <v>4759</v>
      </c>
      <c r="V289" s="234">
        <v>45602</v>
      </c>
      <c r="W289" s="234">
        <v>45607</v>
      </c>
      <c r="X289" s="234" t="s">
        <v>2</v>
      </c>
      <c r="Y289" s="234"/>
      <c r="Z289" s="234" t="s">
        <v>4641</v>
      </c>
      <c r="AA289" s="243">
        <v>202411</v>
      </c>
      <c r="AB289" s="243"/>
      <c r="AC289" s="244" t="s">
        <v>4800</v>
      </c>
      <c r="AD289" s="244" t="s">
        <v>3923</v>
      </c>
      <c r="AE289" s="245">
        <v>1</v>
      </c>
      <c r="AF289" s="244" t="s">
        <v>3923</v>
      </c>
      <c r="AG289" s="239" t="str">
        <f>IFERROR(VLOOKUP(작성용!A:A,RM!A:D,4,0),"-")</f>
        <v>강성은</v>
      </c>
      <c r="AH289" s="9" t="s">
        <v>4845</v>
      </c>
      <c r="AI289" s="235" t="s">
        <v>4771</v>
      </c>
      <c r="AJ289" s="235" t="s">
        <v>4920</v>
      </c>
      <c r="AK289" s="235" t="s">
        <v>4777</v>
      </c>
      <c r="AL289" s="235">
        <v>288</v>
      </c>
    </row>
    <row r="290" spans="1:38" x14ac:dyDescent="0.3">
      <c r="A290" s="222" t="s">
        <v>2221</v>
      </c>
      <c r="B290" s="222" t="s">
        <v>5004</v>
      </c>
      <c r="C290" s="241" t="s">
        <v>4778</v>
      </c>
      <c r="D290" s="259" t="s">
        <v>5239</v>
      </c>
      <c r="E290" s="236">
        <v>1101115221794</v>
      </c>
      <c r="F290" s="240" t="s">
        <v>4894</v>
      </c>
      <c r="G290" s="214">
        <v>0</v>
      </c>
      <c r="H290" s="231" t="s">
        <v>4771</v>
      </c>
      <c r="I290" s="231"/>
      <c r="J290" s="231"/>
      <c r="K290" s="231"/>
      <c r="L290" s="231"/>
      <c r="M290" s="231"/>
      <c r="N290" s="231" t="s">
        <v>4781</v>
      </c>
      <c r="O290" s="246" t="s">
        <v>5219</v>
      </c>
      <c r="P290" s="246" t="s">
        <v>5220</v>
      </c>
      <c r="Q290" s="225" t="s">
        <v>4640</v>
      </c>
      <c r="R290" s="212" t="s">
        <v>2</v>
      </c>
      <c r="S290" s="213" t="s">
        <v>4771</v>
      </c>
      <c r="T290" s="233">
        <v>45573</v>
      </c>
      <c r="U290" s="234" t="s">
        <v>4759</v>
      </c>
      <c r="V290" s="234">
        <v>45602</v>
      </c>
      <c r="W290" s="234">
        <v>45607</v>
      </c>
      <c r="X290" s="234" t="s">
        <v>2</v>
      </c>
      <c r="Y290" s="234"/>
      <c r="Z290" s="234" t="s">
        <v>4641</v>
      </c>
      <c r="AA290" s="243">
        <v>202411</v>
      </c>
      <c r="AB290" s="243"/>
      <c r="AC290" s="244" t="s">
        <v>4800</v>
      </c>
      <c r="AD290" s="244" t="s">
        <v>3923</v>
      </c>
      <c r="AE290" s="245">
        <v>0</v>
      </c>
      <c r="AF290" s="244" t="s">
        <v>3923</v>
      </c>
      <c r="AG290" s="239" t="str">
        <f>IFERROR(VLOOKUP(작성용!A:A,RM!A:D,4,0),"-")</f>
        <v>강성은</v>
      </c>
      <c r="AH290" s="9" t="s">
        <v>4845</v>
      </c>
      <c r="AI290" s="235" t="s">
        <v>4771</v>
      </c>
      <c r="AJ290" s="235" t="s">
        <v>4920</v>
      </c>
      <c r="AK290" s="235" t="s">
        <v>4777</v>
      </c>
      <c r="AL290" s="235">
        <v>289</v>
      </c>
    </row>
    <row r="291" spans="1:38" x14ac:dyDescent="0.3">
      <c r="A291" s="222" t="s">
        <v>2221</v>
      </c>
      <c r="B291" s="222" t="s">
        <v>5004</v>
      </c>
      <c r="C291" s="241" t="s">
        <v>4778</v>
      </c>
      <c r="D291" s="259" t="s">
        <v>5239</v>
      </c>
      <c r="E291" s="236">
        <v>1101115221794</v>
      </c>
      <c r="F291" s="240" t="s">
        <v>4894</v>
      </c>
      <c r="G291" s="214">
        <v>1</v>
      </c>
      <c r="H291" s="231" t="s">
        <v>4771</v>
      </c>
      <c r="I291" s="231"/>
      <c r="J291" s="231"/>
      <c r="K291" s="231"/>
      <c r="L291" s="231"/>
      <c r="M291" s="231"/>
      <c r="N291" s="231" t="s">
        <v>4781</v>
      </c>
      <c r="O291" s="246" t="s">
        <v>5219</v>
      </c>
      <c r="P291" s="246" t="s">
        <v>5220</v>
      </c>
      <c r="Q291" s="225" t="s">
        <v>4640</v>
      </c>
      <c r="R291" s="212" t="s">
        <v>2</v>
      </c>
      <c r="S291" s="213" t="s">
        <v>4771</v>
      </c>
      <c r="T291" s="233">
        <v>45573</v>
      </c>
      <c r="U291" s="234" t="s">
        <v>4759</v>
      </c>
      <c r="V291" s="234">
        <v>45602</v>
      </c>
      <c r="W291" s="234">
        <v>45607</v>
      </c>
      <c r="X291" s="234" t="s">
        <v>2</v>
      </c>
      <c r="Y291" s="234"/>
      <c r="Z291" s="234" t="s">
        <v>4641</v>
      </c>
      <c r="AA291" s="243">
        <v>202411</v>
      </c>
      <c r="AB291" s="243"/>
      <c r="AC291" s="244" t="s">
        <v>4800</v>
      </c>
      <c r="AD291" s="244" t="s">
        <v>3923</v>
      </c>
      <c r="AE291" s="245">
        <v>0</v>
      </c>
      <c r="AF291" s="244" t="s">
        <v>3923</v>
      </c>
      <c r="AG291" s="239" t="str">
        <f>IFERROR(VLOOKUP(작성용!A:A,RM!A:D,4,0),"-")</f>
        <v>강성은</v>
      </c>
      <c r="AH291" s="9" t="s">
        <v>4845</v>
      </c>
      <c r="AI291" s="235" t="s">
        <v>4771</v>
      </c>
      <c r="AJ291" s="235" t="s">
        <v>4920</v>
      </c>
      <c r="AK291" s="235" t="s">
        <v>4777</v>
      </c>
      <c r="AL291" s="235">
        <v>290</v>
      </c>
    </row>
    <row r="292" spans="1:38" x14ac:dyDescent="0.3">
      <c r="A292" s="222" t="s">
        <v>2221</v>
      </c>
      <c r="B292" s="222" t="s">
        <v>5004</v>
      </c>
      <c r="C292" s="241" t="s">
        <v>4762</v>
      </c>
      <c r="D292" s="259" t="s">
        <v>5240</v>
      </c>
      <c r="E292" s="236">
        <v>1101113273698</v>
      </c>
      <c r="F292" s="240" t="s">
        <v>4854</v>
      </c>
      <c r="G292" s="214">
        <v>0</v>
      </c>
      <c r="H292" s="231" t="s">
        <v>4771</v>
      </c>
      <c r="I292" s="231"/>
      <c r="J292" s="231"/>
      <c r="K292" s="231"/>
      <c r="L292" s="231"/>
      <c r="M292" s="231"/>
      <c r="N292" s="231" t="s">
        <v>4781</v>
      </c>
      <c r="O292" s="246" t="s">
        <v>5219</v>
      </c>
      <c r="P292" s="246" t="s">
        <v>5220</v>
      </c>
      <c r="Q292" s="225" t="s">
        <v>4640</v>
      </c>
      <c r="R292" s="212" t="s">
        <v>2</v>
      </c>
      <c r="S292" s="213" t="s">
        <v>4771</v>
      </c>
      <c r="T292" s="233">
        <v>45573</v>
      </c>
      <c r="U292" s="234" t="s">
        <v>4759</v>
      </c>
      <c r="V292" s="234">
        <v>45602</v>
      </c>
      <c r="W292" s="234">
        <v>45607</v>
      </c>
      <c r="X292" s="234" t="s">
        <v>2</v>
      </c>
      <c r="Y292" s="234"/>
      <c r="Z292" s="234" t="s">
        <v>4642</v>
      </c>
      <c r="AA292" s="243">
        <v>202411</v>
      </c>
      <c r="AB292" s="243"/>
      <c r="AC292" s="244" t="s">
        <v>4800</v>
      </c>
      <c r="AD292" s="244" t="s">
        <v>4897</v>
      </c>
      <c r="AE292" s="245">
        <v>0</v>
      </c>
      <c r="AF292" s="244" t="s">
        <v>4918</v>
      </c>
      <c r="AG292" s="239" t="str">
        <f>IFERROR(VLOOKUP(작성용!A:A,RM!A:D,4,0),"-")</f>
        <v>강성은</v>
      </c>
      <c r="AH292" s="9" t="s">
        <v>4845</v>
      </c>
      <c r="AI292" s="235" t="s">
        <v>4771</v>
      </c>
      <c r="AJ292" s="235" t="s">
        <v>4920</v>
      </c>
      <c r="AK292" s="235" t="s">
        <v>4777</v>
      </c>
      <c r="AL292" s="235">
        <v>291</v>
      </c>
    </row>
    <row r="293" spans="1:38" x14ac:dyDescent="0.3">
      <c r="A293" s="222" t="s">
        <v>1786</v>
      </c>
      <c r="B293" s="222" t="s">
        <v>4643</v>
      </c>
      <c r="C293" s="241" t="s">
        <v>4778</v>
      </c>
      <c r="D293" s="237" t="s">
        <v>5241</v>
      </c>
      <c r="E293" s="236">
        <v>1101130017756</v>
      </c>
      <c r="F293" s="240" t="s">
        <v>5200</v>
      </c>
      <c r="G293" s="214">
        <v>0</v>
      </c>
      <c r="H293" s="231" t="s">
        <v>4771</v>
      </c>
      <c r="I293" s="231"/>
      <c r="J293" s="231"/>
      <c r="K293" s="231"/>
      <c r="L293" s="231"/>
      <c r="M293" s="231"/>
      <c r="N293" s="231" t="s">
        <v>4895</v>
      </c>
      <c r="O293" s="246" t="s">
        <v>5242</v>
      </c>
      <c r="P293" s="246" t="s">
        <v>5243</v>
      </c>
      <c r="Q293" s="225" t="s">
        <v>5244</v>
      </c>
      <c r="R293" s="212" t="s">
        <v>2</v>
      </c>
      <c r="S293" s="213" t="s">
        <v>4771</v>
      </c>
      <c r="T293" s="233">
        <v>45573</v>
      </c>
      <c r="U293" s="234" t="s">
        <v>4759</v>
      </c>
      <c r="V293" s="234">
        <v>45608</v>
      </c>
      <c r="W293" s="234">
        <v>45615</v>
      </c>
      <c r="X293" s="234" t="s">
        <v>4771</v>
      </c>
      <c r="Y293" s="234"/>
      <c r="Z293" s="234" t="s">
        <v>4644</v>
      </c>
      <c r="AA293" s="243">
        <v>202411</v>
      </c>
      <c r="AB293" s="243"/>
      <c r="AC293" s="244" t="s">
        <v>4760</v>
      </c>
      <c r="AD293" s="244" t="s">
        <v>4918</v>
      </c>
      <c r="AE293" s="245">
        <v>1</v>
      </c>
      <c r="AF293" s="244" t="s">
        <v>4918</v>
      </c>
      <c r="AG293" s="239" t="str">
        <f>IFERROR(VLOOKUP(작성용!A:A,RM!A:D,4,0),"-")</f>
        <v>조현우</v>
      </c>
      <c r="AH293" s="9" t="s">
        <v>4918</v>
      </c>
      <c r="AI293" s="235" t="s">
        <v>4771</v>
      </c>
      <c r="AJ293" s="235" t="s">
        <v>4920</v>
      </c>
      <c r="AK293" s="235" t="s">
        <v>4777</v>
      </c>
      <c r="AL293" s="235">
        <v>292</v>
      </c>
    </row>
    <row r="294" spans="1:38" x14ac:dyDescent="0.3">
      <c r="A294" s="222" t="s">
        <v>1786</v>
      </c>
      <c r="B294" s="222" t="s">
        <v>4643</v>
      </c>
      <c r="C294" s="241" t="s">
        <v>4778</v>
      </c>
      <c r="D294" s="237" t="s">
        <v>5245</v>
      </c>
      <c r="E294" s="236">
        <v>1101130017764</v>
      </c>
      <c r="F294" s="240" t="s">
        <v>5200</v>
      </c>
      <c r="G294" s="214">
        <v>0</v>
      </c>
      <c r="H294" s="231" t="s">
        <v>4771</v>
      </c>
      <c r="I294" s="231"/>
      <c r="J294" s="231"/>
      <c r="K294" s="231"/>
      <c r="L294" s="231"/>
      <c r="M294" s="231"/>
      <c r="N294" s="231" t="s">
        <v>4895</v>
      </c>
      <c r="O294" s="246" t="s">
        <v>5242</v>
      </c>
      <c r="P294" s="246" t="s">
        <v>5246</v>
      </c>
      <c r="Q294" s="225" t="s">
        <v>5247</v>
      </c>
      <c r="R294" s="212" t="s">
        <v>2</v>
      </c>
      <c r="S294" s="213" t="s">
        <v>4771</v>
      </c>
      <c r="T294" s="233">
        <v>45573</v>
      </c>
      <c r="U294" s="234" t="s">
        <v>4871</v>
      </c>
      <c r="V294" s="234">
        <v>45608</v>
      </c>
      <c r="W294" s="234">
        <v>45615</v>
      </c>
      <c r="X294" s="234" t="s">
        <v>4771</v>
      </c>
      <c r="Y294" s="234"/>
      <c r="Z294" s="234" t="s">
        <v>4644</v>
      </c>
      <c r="AA294" s="243">
        <v>202411</v>
      </c>
      <c r="AB294" s="243"/>
      <c r="AC294" s="244" t="s">
        <v>4760</v>
      </c>
      <c r="AD294" s="244" t="s">
        <v>4875</v>
      </c>
      <c r="AE294" s="245">
        <v>1</v>
      </c>
      <c r="AF294" s="244" t="s">
        <v>4845</v>
      </c>
      <c r="AG294" s="239" t="str">
        <f>IFERROR(VLOOKUP(작성용!A:A,RM!A:D,4,0),"-")</f>
        <v>조현우</v>
      </c>
      <c r="AH294" s="9" t="s">
        <v>4918</v>
      </c>
      <c r="AI294" s="235" t="s">
        <v>4771</v>
      </c>
      <c r="AJ294" s="235" t="s">
        <v>5009</v>
      </c>
      <c r="AK294" s="235" t="s">
        <v>4777</v>
      </c>
      <c r="AL294" s="235">
        <v>293</v>
      </c>
    </row>
    <row r="295" spans="1:38" x14ac:dyDescent="0.3">
      <c r="A295" s="222" t="s">
        <v>2341</v>
      </c>
      <c r="B295" s="222" t="s">
        <v>4919</v>
      </c>
      <c r="C295" s="241" t="s">
        <v>4762</v>
      </c>
      <c r="D295" s="237" t="s">
        <v>5248</v>
      </c>
      <c r="E295" s="236">
        <v>1101111932626</v>
      </c>
      <c r="F295" s="240" t="s">
        <v>4854</v>
      </c>
      <c r="G295" s="214">
        <v>0</v>
      </c>
      <c r="H295" s="231" t="s">
        <v>4767</v>
      </c>
      <c r="I295" s="231"/>
      <c r="J295" s="231"/>
      <c r="K295" s="231"/>
      <c r="L295" s="231"/>
      <c r="M295" s="231"/>
      <c r="N295" s="231" t="s">
        <v>4940</v>
      </c>
      <c r="O295" s="246" t="s">
        <v>4922</v>
      </c>
      <c r="P295" s="246" t="s">
        <v>4924</v>
      </c>
      <c r="Q295" s="225" t="s">
        <v>4923</v>
      </c>
      <c r="R295" s="212" t="s">
        <v>2</v>
      </c>
      <c r="S295" s="213" t="s">
        <v>4771</v>
      </c>
      <c r="T295" s="233">
        <v>45573</v>
      </c>
      <c r="U295" s="234" t="s">
        <v>4759</v>
      </c>
      <c r="V295" s="233">
        <v>45604</v>
      </c>
      <c r="W295" s="233">
        <v>45610</v>
      </c>
      <c r="X295" s="234" t="s">
        <v>2</v>
      </c>
      <c r="Y295" s="234"/>
      <c r="Z295" s="234" t="s">
        <v>5249</v>
      </c>
      <c r="AA295" s="238">
        <v>202411</v>
      </c>
      <c r="AB295" s="243"/>
      <c r="AC295" s="244" t="s">
        <v>4800</v>
      </c>
      <c r="AD295" s="244" t="s">
        <v>3646</v>
      </c>
      <c r="AE295" s="245">
        <v>1</v>
      </c>
      <c r="AF295" s="244" t="s">
        <v>3646</v>
      </c>
      <c r="AG295" s="239" t="str">
        <f>IFERROR(VLOOKUP(작성용!A:A,RM!A:D,4,0),"-")</f>
        <v>김예림</v>
      </c>
      <c r="AH295" s="9" t="s">
        <v>4927</v>
      </c>
      <c r="AI295" s="235" t="s">
        <v>4771</v>
      </c>
      <c r="AJ295" s="235" t="s">
        <v>4920</v>
      </c>
      <c r="AK295" s="235" t="s">
        <v>4803</v>
      </c>
      <c r="AL295" s="235">
        <v>294</v>
      </c>
    </row>
    <row r="296" spans="1:38" x14ac:dyDescent="0.3">
      <c r="A296" s="222" t="s">
        <v>2341</v>
      </c>
      <c r="B296" s="222" t="s">
        <v>4919</v>
      </c>
      <c r="C296" s="241" t="s">
        <v>4898</v>
      </c>
      <c r="D296" s="237" t="s">
        <v>5250</v>
      </c>
      <c r="E296" s="236">
        <v>1801110874875</v>
      </c>
      <c r="F296" s="240" t="s">
        <v>4854</v>
      </c>
      <c r="G296" s="214">
        <v>0</v>
      </c>
      <c r="H296" s="231" t="s">
        <v>4771</v>
      </c>
      <c r="I296" s="231"/>
      <c r="J296" s="231"/>
      <c r="K296" s="231"/>
      <c r="L296" s="231"/>
      <c r="M296" s="231"/>
      <c r="N296" s="231" t="s">
        <v>4940</v>
      </c>
      <c r="O296" s="246" t="s">
        <v>4922</v>
      </c>
      <c r="P296" s="246" t="s">
        <v>5251</v>
      </c>
      <c r="Q296" s="225" t="s">
        <v>4923</v>
      </c>
      <c r="R296" s="212" t="s">
        <v>2</v>
      </c>
      <c r="S296" s="213" t="s">
        <v>4767</v>
      </c>
      <c r="T296" s="233">
        <v>45573</v>
      </c>
      <c r="U296" s="234" t="s">
        <v>4759</v>
      </c>
      <c r="V296" s="233">
        <v>45604</v>
      </c>
      <c r="W296" s="233">
        <v>45610</v>
      </c>
      <c r="X296" s="234" t="s">
        <v>2</v>
      </c>
      <c r="Y296" s="234"/>
      <c r="Z296" s="234" t="s">
        <v>5249</v>
      </c>
      <c r="AA296" s="238">
        <v>202411</v>
      </c>
      <c r="AB296" s="243"/>
      <c r="AC296" s="244" t="s">
        <v>4800</v>
      </c>
      <c r="AD296" s="244" t="s">
        <v>5252</v>
      </c>
      <c r="AE296" s="245">
        <v>1</v>
      </c>
      <c r="AF296" s="244" t="s">
        <v>4762</v>
      </c>
      <c r="AG296" s="239" t="str">
        <f>IFERROR(VLOOKUP(작성용!A:A,RM!A:D,4,0),"-")</f>
        <v>김예림</v>
      </c>
      <c r="AH296" s="9" t="s">
        <v>4927</v>
      </c>
      <c r="AI296" s="235" t="s">
        <v>4771</v>
      </c>
      <c r="AJ296" s="235" t="s">
        <v>4920</v>
      </c>
      <c r="AK296" s="235" t="s">
        <v>4777</v>
      </c>
      <c r="AL296" s="235">
        <v>295</v>
      </c>
    </row>
    <row r="297" spans="1:38" x14ac:dyDescent="0.3">
      <c r="A297" s="222" t="s">
        <v>4645</v>
      </c>
      <c r="B297" s="222" t="s">
        <v>5253</v>
      </c>
      <c r="C297" s="241" t="s">
        <v>4778</v>
      </c>
      <c r="D297" s="237" t="s">
        <v>5254</v>
      </c>
      <c r="E297" s="236">
        <v>1101130030708</v>
      </c>
      <c r="F297" s="240" t="s">
        <v>5255</v>
      </c>
      <c r="G297" s="214">
        <v>0</v>
      </c>
      <c r="H297" s="231" t="s">
        <v>4771</v>
      </c>
      <c r="I297" s="231"/>
      <c r="J297" s="231"/>
      <c r="K297" s="231"/>
      <c r="L297" s="231"/>
      <c r="M297" s="231"/>
      <c r="N297" s="231" t="s">
        <v>4972</v>
      </c>
      <c r="O297" s="246" t="s">
        <v>5256</v>
      </c>
      <c r="P297" s="246" t="s">
        <v>5257</v>
      </c>
      <c r="Q297" s="225" t="s">
        <v>4646</v>
      </c>
      <c r="R297" s="212" t="s">
        <v>2</v>
      </c>
      <c r="S297" s="213" t="s">
        <v>4771</v>
      </c>
      <c r="T297" s="233">
        <v>45573</v>
      </c>
      <c r="U297" s="234" t="s">
        <v>4815</v>
      </c>
      <c r="V297" s="234">
        <v>45632</v>
      </c>
      <c r="W297" s="234">
        <v>45670</v>
      </c>
      <c r="X297" s="234" t="s">
        <v>2</v>
      </c>
      <c r="Y297" s="234"/>
      <c r="Z297" s="234" t="s">
        <v>5258</v>
      </c>
      <c r="AA297" s="224">
        <v>202412</v>
      </c>
      <c r="AB297" s="243"/>
      <c r="AC297" s="244" t="s">
        <v>4800</v>
      </c>
      <c r="AD297" s="244" t="s">
        <v>4864</v>
      </c>
      <c r="AE297" s="245">
        <v>1</v>
      </c>
      <c r="AF297" s="244" t="s">
        <v>4864</v>
      </c>
      <c r="AG297" s="239" t="str">
        <f>IFERROR(VLOOKUP(작성용!A:A,RM!A:D,4,0),"-")</f>
        <v>-</v>
      </c>
      <c r="AH297" s="9" t="s">
        <v>4771</v>
      </c>
      <c r="AI297" s="235" t="s">
        <v>5259</v>
      </c>
      <c r="AJ297" s="9" t="s">
        <v>4771</v>
      </c>
      <c r="AK297" s="235" t="s">
        <v>4128</v>
      </c>
      <c r="AL297" s="235">
        <v>296</v>
      </c>
    </row>
    <row r="298" spans="1:38" x14ac:dyDescent="0.3">
      <c r="A298" s="222">
        <v>6000638</v>
      </c>
      <c r="B298" s="221" t="s">
        <v>5254</v>
      </c>
      <c r="C298" s="241" t="s">
        <v>4778</v>
      </c>
      <c r="D298" s="237" t="s">
        <v>5169</v>
      </c>
      <c r="E298" s="236">
        <v>2301110083681</v>
      </c>
      <c r="F298" s="240" t="s">
        <v>4854</v>
      </c>
      <c r="G298" s="214">
        <v>0</v>
      </c>
      <c r="H298" s="231" t="s">
        <v>4771</v>
      </c>
      <c r="I298" s="231"/>
      <c r="J298" s="231"/>
      <c r="K298" s="231"/>
      <c r="L298" s="231"/>
      <c r="M298" s="231"/>
      <c r="N298" s="231" t="s">
        <v>4972</v>
      </c>
      <c r="O298" s="246"/>
      <c r="P298" s="246"/>
      <c r="Q298" s="225"/>
      <c r="R298" s="212" t="s">
        <v>4771</v>
      </c>
      <c r="S298" s="213" t="s">
        <v>4771</v>
      </c>
      <c r="T298" s="233" t="s">
        <v>5260</v>
      </c>
      <c r="U298" s="234" t="s">
        <v>4772</v>
      </c>
      <c r="V298" s="234">
        <v>45632</v>
      </c>
      <c r="W298" s="234" t="s">
        <v>4877</v>
      </c>
      <c r="X298" s="234" t="s">
        <v>2</v>
      </c>
      <c r="Y298" s="234"/>
      <c r="Z298" s="234"/>
      <c r="AA298" s="224">
        <v>202412</v>
      </c>
      <c r="AB298" s="243"/>
      <c r="AC298" s="244" t="s">
        <v>4800</v>
      </c>
      <c r="AD298" s="244" t="s">
        <v>4864</v>
      </c>
      <c r="AE298" s="245">
        <v>0.4</v>
      </c>
      <c r="AF298" s="244" t="s">
        <v>4864</v>
      </c>
      <c r="AG298" s="239" t="str">
        <f>IFERROR(VLOOKUP(작성용!A:A,RM!A:D,4,0),"-")</f>
        <v>-</v>
      </c>
      <c r="AH298" s="251" t="s">
        <v>4771</v>
      </c>
      <c r="AI298" s="235" t="s">
        <v>4771</v>
      </c>
      <c r="AJ298" s="235" t="s">
        <v>4771</v>
      </c>
      <c r="AK298" s="235" t="s">
        <v>5261</v>
      </c>
      <c r="AL298" s="235">
        <v>297</v>
      </c>
    </row>
    <row r="299" spans="1:38" x14ac:dyDescent="0.3">
      <c r="A299" s="222" t="s">
        <v>2187</v>
      </c>
      <c r="B299" s="222" t="s">
        <v>2188</v>
      </c>
      <c r="C299" s="241" t="s">
        <v>4765</v>
      </c>
      <c r="D299" s="237" t="s">
        <v>4951</v>
      </c>
      <c r="E299" s="236" t="s">
        <v>4601</v>
      </c>
      <c r="F299" s="240" t="s">
        <v>4850</v>
      </c>
      <c r="G299" s="214">
        <v>1</v>
      </c>
      <c r="H299" s="231" t="s">
        <v>4771</v>
      </c>
      <c r="I299" s="231"/>
      <c r="J299" s="231"/>
      <c r="K299" s="231"/>
      <c r="L299" s="231"/>
      <c r="M299" s="231"/>
      <c r="N299" s="231" t="s">
        <v>4806</v>
      </c>
      <c r="O299" s="246" t="s">
        <v>4952</v>
      </c>
      <c r="P299" s="246" t="s">
        <v>4955</v>
      </c>
      <c r="Q299" s="225" t="s">
        <v>4953</v>
      </c>
      <c r="R299" s="212" t="s">
        <v>2</v>
      </c>
      <c r="S299" s="213" t="s">
        <v>4771</v>
      </c>
      <c r="T299" s="233">
        <v>45554</v>
      </c>
      <c r="U299" s="234" t="s">
        <v>4871</v>
      </c>
      <c r="V299" s="234">
        <v>45609</v>
      </c>
      <c r="W299" s="234">
        <v>45611</v>
      </c>
      <c r="X299" s="234" t="s">
        <v>2</v>
      </c>
      <c r="Y299" s="234"/>
      <c r="Z299" s="234" t="s">
        <v>4648</v>
      </c>
      <c r="AA299" s="224">
        <v>202411</v>
      </c>
      <c r="AB299" s="243"/>
      <c r="AC299" s="244" t="s">
        <v>4800</v>
      </c>
      <c r="AD299" s="244" t="s">
        <v>4761</v>
      </c>
      <c r="AE299" s="245">
        <v>0</v>
      </c>
      <c r="AF299" s="244" t="s">
        <v>4761</v>
      </c>
      <c r="AG299" s="239" t="str">
        <f>IFERROR(VLOOKUP(작성용!A:A,RM!A:D,4,0),"-")</f>
        <v>백형진</v>
      </c>
      <c r="AH299" s="9" t="s">
        <v>4761</v>
      </c>
      <c r="AI299" s="235" t="s">
        <v>4771</v>
      </c>
      <c r="AJ299" s="9" t="s">
        <v>4920</v>
      </c>
      <c r="AK299" s="235" t="s">
        <v>4803</v>
      </c>
      <c r="AL299" s="235">
        <v>298</v>
      </c>
    </row>
    <row r="300" spans="1:38" x14ac:dyDescent="0.3">
      <c r="A300" s="222" t="s">
        <v>2187</v>
      </c>
      <c r="B300" s="222" t="s">
        <v>2188</v>
      </c>
      <c r="C300" s="241" t="s">
        <v>4778</v>
      </c>
      <c r="D300" s="237" t="s">
        <v>4951</v>
      </c>
      <c r="E300" s="236" t="s">
        <v>4601</v>
      </c>
      <c r="F300" s="240" t="s">
        <v>4850</v>
      </c>
      <c r="G300" s="214">
        <v>2</v>
      </c>
      <c r="H300" s="231" t="s">
        <v>4771</v>
      </c>
      <c r="I300" s="231"/>
      <c r="J300" s="231"/>
      <c r="K300" s="231"/>
      <c r="L300" s="231"/>
      <c r="M300" s="231"/>
      <c r="N300" s="231" t="s">
        <v>4806</v>
      </c>
      <c r="O300" s="246" t="s">
        <v>4952</v>
      </c>
      <c r="P300" s="246" t="s">
        <v>4955</v>
      </c>
      <c r="Q300" s="225" t="s">
        <v>5262</v>
      </c>
      <c r="R300" s="212" t="s">
        <v>2</v>
      </c>
      <c r="S300" s="213" t="s">
        <v>4771</v>
      </c>
      <c r="T300" s="233">
        <v>45554</v>
      </c>
      <c r="U300" s="234" t="s">
        <v>4759</v>
      </c>
      <c r="V300" s="234">
        <v>45609</v>
      </c>
      <c r="W300" s="234">
        <v>45611</v>
      </c>
      <c r="X300" s="234" t="s">
        <v>2</v>
      </c>
      <c r="Y300" s="234"/>
      <c r="Z300" s="234" t="s">
        <v>4648</v>
      </c>
      <c r="AA300" s="224">
        <v>202411</v>
      </c>
      <c r="AB300" s="243"/>
      <c r="AC300" s="244" t="s">
        <v>4800</v>
      </c>
      <c r="AD300" s="244" t="s">
        <v>4761</v>
      </c>
      <c r="AE300" s="245">
        <v>0</v>
      </c>
      <c r="AF300" s="244" t="s">
        <v>4956</v>
      </c>
      <c r="AG300" s="239" t="str">
        <f>IFERROR(VLOOKUP(작성용!A:A,RM!A:D,4,0),"-")</f>
        <v>백형진</v>
      </c>
      <c r="AH300" s="9" t="s">
        <v>4761</v>
      </c>
      <c r="AI300" s="235" t="s">
        <v>4767</v>
      </c>
      <c r="AJ300" s="9" t="s">
        <v>4920</v>
      </c>
      <c r="AK300" s="235" t="s">
        <v>4777</v>
      </c>
      <c r="AL300" s="235">
        <v>299</v>
      </c>
    </row>
    <row r="301" spans="1:38" x14ac:dyDescent="0.3">
      <c r="A301" s="222" t="s">
        <v>2187</v>
      </c>
      <c r="B301" s="222" t="s">
        <v>2188</v>
      </c>
      <c r="C301" s="241" t="s">
        <v>4762</v>
      </c>
      <c r="D301" s="237" t="s">
        <v>5263</v>
      </c>
      <c r="E301" s="236">
        <v>1101110778526</v>
      </c>
      <c r="F301" s="240" t="s">
        <v>4854</v>
      </c>
      <c r="G301" s="214">
        <v>0</v>
      </c>
      <c r="H301" s="231" t="s">
        <v>4771</v>
      </c>
      <c r="I301" s="231"/>
      <c r="J301" s="231"/>
      <c r="K301" s="231"/>
      <c r="L301" s="231"/>
      <c r="M301" s="231"/>
      <c r="N301" s="231" t="s">
        <v>4811</v>
      </c>
      <c r="O301" s="246" t="s">
        <v>4952</v>
      </c>
      <c r="P301" s="246" t="s">
        <v>5264</v>
      </c>
      <c r="Q301" s="225" t="s">
        <v>4953</v>
      </c>
      <c r="R301" s="212" t="s">
        <v>2</v>
      </c>
      <c r="S301" s="213" t="s">
        <v>4771</v>
      </c>
      <c r="T301" s="233">
        <v>45554</v>
      </c>
      <c r="U301" s="234" t="s">
        <v>4759</v>
      </c>
      <c r="V301" s="234">
        <v>45609</v>
      </c>
      <c r="W301" s="234">
        <v>45611</v>
      </c>
      <c r="X301" s="234" t="s">
        <v>2</v>
      </c>
      <c r="Y301" s="234"/>
      <c r="Z301" s="234" t="s">
        <v>4648</v>
      </c>
      <c r="AA301" s="224">
        <v>202411</v>
      </c>
      <c r="AB301" s="243"/>
      <c r="AC301" s="244" t="s">
        <v>4800</v>
      </c>
      <c r="AD301" s="244" t="s">
        <v>4761</v>
      </c>
      <c r="AE301" s="245">
        <v>1</v>
      </c>
      <c r="AF301" s="244" t="s">
        <v>4647</v>
      </c>
      <c r="AG301" s="239" t="str">
        <f>IFERROR(VLOOKUP(작성용!A:A,RM!A:D,4,0),"-")</f>
        <v>백형진</v>
      </c>
      <c r="AH301" s="9" t="s">
        <v>4761</v>
      </c>
      <c r="AI301" s="235" t="s">
        <v>4771</v>
      </c>
      <c r="AJ301" s="9" t="s">
        <v>4920</v>
      </c>
      <c r="AK301" s="235" t="s">
        <v>4777</v>
      </c>
      <c r="AL301" s="235">
        <v>300</v>
      </c>
    </row>
    <row r="302" spans="1:38" x14ac:dyDescent="0.3">
      <c r="A302" s="222" t="s">
        <v>2187</v>
      </c>
      <c r="B302" s="222" t="s">
        <v>2188</v>
      </c>
      <c r="C302" s="241" t="s">
        <v>4762</v>
      </c>
      <c r="D302" s="237" t="s">
        <v>5265</v>
      </c>
      <c r="E302" s="236">
        <v>1801111241388</v>
      </c>
      <c r="F302" s="240" t="s">
        <v>4854</v>
      </c>
      <c r="G302" s="214">
        <v>0</v>
      </c>
      <c r="H302" s="231" t="s">
        <v>4771</v>
      </c>
      <c r="I302" s="231"/>
      <c r="J302" s="231"/>
      <c r="K302" s="231"/>
      <c r="L302" s="231"/>
      <c r="M302" s="231"/>
      <c r="N302" s="231" t="s">
        <v>4806</v>
      </c>
      <c r="O302" s="246" t="s">
        <v>4952</v>
      </c>
      <c r="P302" s="246" t="s">
        <v>4955</v>
      </c>
      <c r="Q302" s="225" t="s">
        <v>4953</v>
      </c>
      <c r="R302" s="212" t="s">
        <v>2</v>
      </c>
      <c r="S302" s="213" t="s">
        <v>4771</v>
      </c>
      <c r="T302" s="233">
        <v>45554</v>
      </c>
      <c r="U302" s="234" t="s">
        <v>4759</v>
      </c>
      <c r="V302" s="234">
        <v>45609</v>
      </c>
      <c r="W302" s="234">
        <v>45611</v>
      </c>
      <c r="X302" s="234" t="s">
        <v>2</v>
      </c>
      <c r="Y302" s="234"/>
      <c r="Z302" s="234" t="s">
        <v>4648</v>
      </c>
      <c r="AA302" s="224">
        <v>202411</v>
      </c>
      <c r="AB302" s="243"/>
      <c r="AC302" s="244" t="s">
        <v>4800</v>
      </c>
      <c r="AD302" s="244" t="s">
        <v>3910</v>
      </c>
      <c r="AE302" s="245">
        <v>1</v>
      </c>
      <c r="AF302" s="244" t="s">
        <v>3910</v>
      </c>
      <c r="AG302" s="239" t="str">
        <f>IFERROR(VLOOKUP(작성용!A:A,RM!A:D,4,0),"-")</f>
        <v>백형진</v>
      </c>
      <c r="AH302" s="9" t="s">
        <v>4761</v>
      </c>
      <c r="AI302" s="235" t="s">
        <v>4767</v>
      </c>
      <c r="AJ302" s="9" t="s">
        <v>5009</v>
      </c>
      <c r="AK302" s="235" t="s">
        <v>4777</v>
      </c>
      <c r="AL302" s="235">
        <v>301</v>
      </c>
    </row>
    <row r="303" spans="1:38" x14ac:dyDescent="0.3">
      <c r="A303" s="222" t="s">
        <v>2187</v>
      </c>
      <c r="B303" s="222" t="s">
        <v>2188</v>
      </c>
      <c r="C303" s="241" t="s">
        <v>4762</v>
      </c>
      <c r="D303" s="237" t="s">
        <v>5265</v>
      </c>
      <c r="E303" s="236">
        <v>1801111241388</v>
      </c>
      <c r="F303" s="240" t="s">
        <v>4780</v>
      </c>
      <c r="G303" s="214">
        <v>0</v>
      </c>
      <c r="H303" s="231" t="s">
        <v>4771</v>
      </c>
      <c r="I303" s="231"/>
      <c r="J303" s="231"/>
      <c r="K303" s="231"/>
      <c r="L303" s="231"/>
      <c r="M303" s="231"/>
      <c r="N303" s="231" t="s">
        <v>4806</v>
      </c>
      <c r="O303" s="246" t="s">
        <v>4952</v>
      </c>
      <c r="P303" s="246" t="s">
        <v>4955</v>
      </c>
      <c r="Q303" s="225" t="s">
        <v>4953</v>
      </c>
      <c r="R303" s="212" t="s">
        <v>2</v>
      </c>
      <c r="S303" s="213" t="s">
        <v>4771</v>
      </c>
      <c r="T303" s="233">
        <v>45554</v>
      </c>
      <c r="U303" s="234" t="s">
        <v>4759</v>
      </c>
      <c r="V303" s="234">
        <v>45609</v>
      </c>
      <c r="W303" s="234">
        <v>45611</v>
      </c>
      <c r="X303" s="234" t="s">
        <v>2</v>
      </c>
      <c r="Y303" s="234"/>
      <c r="Z303" s="234" t="s">
        <v>4648</v>
      </c>
      <c r="AA303" s="224">
        <v>202411</v>
      </c>
      <c r="AB303" s="243"/>
      <c r="AC303" s="244" t="s">
        <v>4800</v>
      </c>
      <c r="AD303" s="244" t="s">
        <v>3910</v>
      </c>
      <c r="AE303" s="245">
        <v>0</v>
      </c>
      <c r="AF303" s="244" t="s">
        <v>3910</v>
      </c>
      <c r="AG303" s="239" t="str">
        <f>IFERROR(VLOOKUP(작성용!A:A,RM!A:D,4,0),"-")</f>
        <v>백형진</v>
      </c>
      <c r="AH303" s="9" t="s">
        <v>4761</v>
      </c>
      <c r="AI303" s="235" t="s">
        <v>4771</v>
      </c>
      <c r="AJ303" s="9" t="s">
        <v>4920</v>
      </c>
      <c r="AK303" s="235" t="s">
        <v>4777</v>
      </c>
      <c r="AL303" s="235">
        <v>302</v>
      </c>
    </row>
    <row r="304" spans="1:38" x14ac:dyDescent="0.3">
      <c r="A304" s="222" t="s">
        <v>2187</v>
      </c>
      <c r="B304" s="222" t="s">
        <v>2188</v>
      </c>
      <c r="C304" s="241" t="s">
        <v>4778</v>
      </c>
      <c r="D304" s="237" t="s">
        <v>5224</v>
      </c>
      <c r="E304" s="236">
        <v>1101114898916</v>
      </c>
      <c r="F304" s="240" t="s">
        <v>4850</v>
      </c>
      <c r="G304" s="214">
        <v>2</v>
      </c>
      <c r="H304" s="231" t="s">
        <v>4771</v>
      </c>
      <c r="I304" s="231"/>
      <c r="J304" s="231"/>
      <c r="K304" s="231"/>
      <c r="L304" s="231"/>
      <c r="M304" s="231"/>
      <c r="N304" s="231" t="s">
        <v>4806</v>
      </c>
      <c r="O304" s="246" t="s">
        <v>4952</v>
      </c>
      <c r="P304" s="246" t="s">
        <v>4955</v>
      </c>
      <c r="Q304" s="225" t="s">
        <v>5262</v>
      </c>
      <c r="R304" s="212" t="s">
        <v>2</v>
      </c>
      <c r="S304" s="213" t="s">
        <v>4767</v>
      </c>
      <c r="T304" s="233">
        <v>45554</v>
      </c>
      <c r="U304" s="234" t="s">
        <v>4759</v>
      </c>
      <c r="V304" s="234">
        <v>45609</v>
      </c>
      <c r="W304" s="234">
        <v>45611</v>
      </c>
      <c r="X304" s="234" t="s">
        <v>2</v>
      </c>
      <c r="Y304" s="234"/>
      <c r="Z304" s="234" t="s">
        <v>4648</v>
      </c>
      <c r="AA304" s="224">
        <v>202411</v>
      </c>
      <c r="AB304" s="243"/>
      <c r="AC304" s="244" t="s">
        <v>4800</v>
      </c>
      <c r="AD304" s="244" t="s">
        <v>4937</v>
      </c>
      <c r="AE304" s="245">
        <v>0</v>
      </c>
      <c r="AF304" s="244" t="s">
        <v>4937</v>
      </c>
      <c r="AG304" s="239" t="str">
        <f>IFERROR(VLOOKUP(작성용!A:A,RM!A:D,4,0),"-")</f>
        <v>백형진</v>
      </c>
      <c r="AH304" s="9" t="s">
        <v>4761</v>
      </c>
      <c r="AI304" s="235" t="s">
        <v>4771</v>
      </c>
      <c r="AJ304" s="9" t="s">
        <v>4920</v>
      </c>
      <c r="AK304" s="235" t="s">
        <v>4777</v>
      </c>
      <c r="AL304" s="235">
        <v>303</v>
      </c>
    </row>
    <row r="305" spans="1:39" x14ac:dyDescent="0.3">
      <c r="A305" s="222" t="s">
        <v>2187</v>
      </c>
      <c r="B305" s="222" t="s">
        <v>2188</v>
      </c>
      <c r="C305" s="241" t="s">
        <v>4778</v>
      </c>
      <c r="D305" s="237" t="s">
        <v>5224</v>
      </c>
      <c r="E305" s="236">
        <v>1101114898916</v>
      </c>
      <c r="F305" s="240" t="s">
        <v>4850</v>
      </c>
      <c r="G305" s="214">
        <v>22</v>
      </c>
      <c r="H305" s="231" t="s">
        <v>4771</v>
      </c>
      <c r="I305" s="231"/>
      <c r="J305" s="231"/>
      <c r="K305" s="231"/>
      <c r="L305" s="231"/>
      <c r="M305" s="231"/>
      <c r="N305" s="231" t="s">
        <v>4806</v>
      </c>
      <c r="O305" s="246" t="s">
        <v>4952</v>
      </c>
      <c r="P305" s="246" t="s">
        <v>4955</v>
      </c>
      <c r="Q305" s="225" t="s">
        <v>5262</v>
      </c>
      <c r="R305" s="212" t="s">
        <v>2</v>
      </c>
      <c r="S305" s="213" t="s">
        <v>4771</v>
      </c>
      <c r="T305" s="233">
        <v>45554</v>
      </c>
      <c r="U305" s="234" t="s">
        <v>4871</v>
      </c>
      <c r="V305" s="234">
        <v>45609</v>
      </c>
      <c r="W305" s="234">
        <v>45611</v>
      </c>
      <c r="X305" s="234" t="s">
        <v>2</v>
      </c>
      <c r="Y305" s="234"/>
      <c r="Z305" s="234" t="s">
        <v>4648</v>
      </c>
      <c r="AA305" s="224">
        <v>202411</v>
      </c>
      <c r="AB305" s="243"/>
      <c r="AC305" s="244" t="s">
        <v>4800</v>
      </c>
      <c r="AD305" s="244" t="s">
        <v>4937</v>
      </c>
      <c r="AE305" s="245">
        <v>0</v>
      </c>
      <c r="AF305" s="244" t="s">
        <v>4937</v>
      </c>
      <c r="AG305" s="239" t="str">
        <f>IFERROR(VLOOKUP(작성용!A:A,RM!A:D,4,0),"-")</f>
        <v>백형진</v>
      </c>
      <c r="AH305" s="9" t="s">
        <v>4761</v>
      </c>
      <c r="AI305" s="235" t="s">
        <v>4771</v>
      </c>
      <c r="AJ305" s="9" t="s">
        <v>4920</v>
      </c>
      <c r="AK305" s="235" t="s">
        <v>4777</v>
      </c>
      <c r="AL305" s="235">
        <v>304</v>
      </c>
    </row>
    <row r="306" spans="1:39" x14ac:dyDescent="0.3">
      <c r="A306" s="222" t="s">
        <v>2187</v>
      </c>
      <c r="B306" s="222" t="s">
        <v>2188</v>
      </c>
      <c r="C306" s="241" t="s">
        <v>4778</v>
      </c>
      <c r="D306" s="237" t="s">
        <v>5119</v>
      </c>
      <c r="E306" s="236">
        <v>1101116803400</v>
      </c>
      <c r="F306" s="240" t="s">
        <v>4850</v>
      </c>
      <c r="G306" s="214">
        <v>0</v>
      </c>
      <c r="H306" s="231" t="s">
        <v>4771</v>
      </c>
      <c r="I306" s="231"/>
      <c r="J306" s="231"/>
      <c r="K306" s="231"/>
      <c r="L306" s="231"/>
      <c r="M306" s="231"/>
      <c r="N306" s="231" t="s">
        <v>4806</v>
      </c>
      <c r="O306" s="246" t="s">
        <v>4952</v>
      </c>
      <c r="P306" s="246" t="s">
        <v>4955</v>
      </c>
      <c r="Q306" s="225" t="s">
        <v>4953</v>
      </c>
      <c r="R306" s="212" t="s">
        <v>2</v>
      </c>
      <c r="S306" s="213" t="s">
        <v>4771</v>
      </c>
      <c r="T306" s="233">
        <v>45554</v>
      </c>
      <c r="U306" s="234" t="s">
        <v>4759</v>
      </c>
      <c r="V306" s="234">
        <v>45609</v>
      </c>
      <c r="W306" s="234">
        <v>45611</v>
      </c>
      <c r="X306" s="234" t="s">
        <v>2</v>
      </c>
      <c r="Y306" s="234"/>
      <c r="Z306" s="234" t="s">
        <v>4648</v>
      </c>
      <c r="AA306" s="224">
        <v>202411</v>
      </c>
      <c r="AB306" s="243"/>
      <c r="AC306" s="244" t="s">
        <v>4800</v>
      </c>
      <c r="AD306" s="244" t="s">
        <v>3646</v>
      </c>
      <c r="AE306" s="245">
        <v>0</v>
      </c>
      <c r="AF306" s="244" t="s">
        <v>3646</v>
      </c>
      <c r="AG306" s="239" t="str">
        <f>IFERROR(VLOOKUP(작성용!A:A,RM!A:D,4,0),"-")</f>
        <v>백형진</v>
      </c>
      <c r="AH306" s="9" t="s">
        <v>4761</v>
      </c>
      <c r="AI306" s="235" t="s">
        <v>4771</v>
      </c>
      <c r="AJ306" s="9" t="s">
        <v>4920</v>
      </c>
      <c r="AK306" s="235" t="s">
        <v>4777</v>
      </c>
      <c r="AL306" s="235">
        <v>305</v>
      </c>
    </row>
    <row r="307" spans="1:39" x14ac:dyDescent="0.3">
      <c r="A307" s="222" t="s">
        <v>2187</v>
      </c>
      <c r="B307" s="222" t="s">
        <v>2188</v>
      </c>
      <c r="C307" s="241" t="s">
        <v>4778</v>
      </c>
      <c r="D307" s="237" t="s">
        <v>5119</v>
      </c>
      <c r="E307" s="236">
        <v>1101116803400</v>
      </c>
      <c r="F307" s="240" t="s">
        <v>4850</v>
      </c>
      <c r="G307" s="214">
        <v>1</v>
      </c>
      <c r="H307" s="231" t="s">
        <v>4771</v>
      </c>
      <c r="I307" s="231"/>
      <c r="J307" s="231"/>
      <c r="K307" s="231"/>
      <c r="L307" s="231"/>
      <c r="M307" s="231"/>
      <c r="N307" s="231" t="s">
        <v>4806</v>
      </c>
      <c r="O307" s="246" t="s">
        <v>4952</v>
      </c>
      <c r="P307" s="246" t="s">
        <v>4955</v>
      </c>
      <c r="Q307" s="225" t="s">
        <v>4953</v>
      </c>
      <c r="R307" s="212" t="s">
        <v>2</v>
      </c>
      <c r="S307" s="213" t="s">
        <v>4771</v>
      </c>
      <c r="T307" s="233">
        <v>45554</v>
      </c>
      <c r="U307" s="234" t="s">
        <v>4759</v>
      </c>
      <c r="V307" s="234">
        <v>45609</v>
      </c>
      <c r="W307" s="234">
        <v>45611</v>
      </c>
      <c r="X307" s="234" t="s">
        <v>2</v>
      </c>
      <c r="Y307" s="234"/>
      <c r="Z307" s="234" t="s">
        <v>4648</v>
      </c>
      <c r="AA307" s="224">
        <v>202411</v>
      </c>
      <c r="AB307" s="243"/>
      <c r="AC307" s="244" t="s">
        <v>4800</v>
      </c>
      <c r="AD307" s="244" t="s">
        <v>3646</v>
      </c>
      <c r="AE307" s="245">
        <v>0</v>
      </c>
      <c r="AF307" s="244" t="s">
        <v>3646</v>
      </c>
      <c r="AG307" s="239" t="str">
        <f>IFERROR(VLOOKUP(작성용!A:A,RM!A:D,4,0),"-")</f>
        <v>백형진</v>
      </c>
      <c r="AH307" s="9" t="s">
        <v>4761</v>
      </c>
      <c r="AI307" s="235" t="s">
        <v>4771</v>
      </c>
      <c r="AJ307" s="9" t="s">
        <v>4920</v>
      </c>
      <c r="AK307" s="235" t="s">
        <v>4803</v>
      </c>
      <c r="AL307" s="235">
        <v>306</v>
      </c>
    </row>
    <row r="308" spans="1:39" x14ac:dyDescent="0.3">
      <c r="A308" s="222" t="s">
        <v>2187</v>
      </c>
      <c r="B308" s="222" t="s">
        <v>2188</v>
      </c>
      <c r="C308" s="241" t="s">
        <v>4778</v>
      </c>
      <c r="D308" s="237" t="s">
        <v>5266</v>
      </c>
      <c r="E308" s="236">
        <v>1101115024875</v>
      </c>
      <c r="F308" s="240" t="s">
        <v>4850</v>
      </c>
      <c r="G308" s="214">
        <v>0</v>
      </c>
      <c r="H308" s="231" t="s">
        <v>4767</v>
      </c>
      <c r="I308" s="231"/>
      <c r="J308" s="231"/>
      <c r="K308" s="231"/>
      <c r="L308" s="231"/>
      <c r="M308" s="231"/>
      <c r="N308" s="231" t="s">
        <v>4806</v>
      </c>
      <c r="O308" s="246" t="s">
        <v>4952</v>
      </c>
      <c r="P308" s="246" t="s">
        <v>4955</v>
      </c>
      <c r="Q308" s="225" t="s">
        <v>4953</v>
      </c>
      <c r="R308" s="212" t="s">
        <v>2</v>
      </c>
      <c r="S308" s="213" t="s">
        <v>4771</v>
      </c>
      <c r="T308" s="233">
        <v>45554</v>
      </c>
      <c r="U308" s="234" t="s">
        <v>4759</v>
      </c>
      <c r="V308" s="234">
        <v>45609</v>
      </c>
      <c r="W308" s="234">
        <v>45611</v>
      </c>
      <c r="X308" s="234" t="s">
        <v>2</v>
      </c>
      <c r="Y308" s="234"/>
      <c r="Z308" s="234" t="s">
        <v>4648</v>
      </c>
      <c r="AA308" s="224">
        <v>202411</v>
      </c>
      <c r="AB308" s="243"/>
      <c r="AC308" s="244" t="s">
        <v>4800</v>
      </c>
      <c r="AD308" s="244" t="s">
        <v>3757</v>
      </c>
      <c r="AE308" s="245">
        <v>1</v>
      </c>
      <c r="AF308" s="244" t="s">
        <v>3757</v>
      </c>
      <c r="AG308" s="239" t="str">
        <f>IFERROR(VLOOKUP(작성용!A:A,RM!A:D,4,0),"-")</f>
        <v>백형진</v>
      </c>
      <c r="AH308" s="9" t="s">
        <v>4761</v>
      </c>
      <c r="AI308" s="235" t="s">
        <v>4771</v>
      </c>
      <c r="AJ308" s="9" t="s">
        <v>4920</v>
      </c>
      <c r="AK308" s="235" t="s">
        <v>4777</v>
      </c>
      <c r="AL308" s="235">
        <v>307</v>
      </c>
    </row>
    <row r="309" spans="1:39" x14ac:dyDescent="0.3">
      <c r="A309" s="222" t="s">
        <v>2187</v>
      </c>
      <c r="B309" s="222" t="s">
        <v>2188</v>
      </c>
      <c r="C309" s="241" t="s">
        <v>4765</v>
      </c>
      <c r="D309" s="237" t="s">
        <v>5267</v>
      </c>
      <c r="E309" s="236">
        <v>1101110029721</v>
      </c>
      <c r="F309" s="240" t="s">
        <v>5068</v>
      </c>
      <c r="G309" s="214">
        <v>0</v>
      </c>
      <c r="H309" s="231" t="s">
        <v>4771</v>
      </c>
      <c r="I309" s="231"/>
      <c r="J309" s="231"/>
      <c r="K309" s="231"/>
      <c r="L309" s="231"/>
      <c r="M309" s="231"/>
      <c r="N309" s="231" t="s">
        <v>4806</v>
      </c>
      <c r="O309" s="246" t="s">
        <v>4952</v>
      </c>
      <c r="P309" s="246" t="s">
        <v>4955</v>
      </c>
      <c r="Q309" s="225" t="s">
        <v>5262</v>
      </c>
      <c r="R309" s="212" t="s">
        <v>2</v>
      </c>
      <c r="S309" s="213" t="s">
        <v>4771</v>
      </c>
      <c r="T309" s="233">
        <v>45554</v>
      </c>
      <c r="U309" s="234" t="s">
        <v>4871</v>
      </c>
      <c r="V309" s="234">
        <v>45609</v>
      </c>
      <c r="W309" s="234">
        <v>45611</v>
      </c>
      <c r="X309" s="234" t="s">
        <v>2</v>
      </c>
      <c r="Y309" s="234"/>
      <c r="Z309" s="234" t="s">
        <v>4648</v>
      </c>
      <c r="AA309" s="224">
        <v>202411</v>
      </c>
      <c r="AB309" s="243"/>
      <c r="AC309" s="244" t="s">
        <v>4878</v>
      </c>
      <c r="AD309" s="244" t="s">
        <v>4774</v>
      </c>
      <c r="AE309" s="245">
        <v>0</v>
      </c>
      <c r="AF309" s="244" t="s">
        <v>4774</v>
      </c>
      <c r="AG309" s="239" t="str">
        <f>IFERROR(VLOOKUP(작성용!A:A,RM!A:D,4,0),"-")</f>
        <v>백형진</v>
      </c>
      <c r="AH309" s="9" t="s">
        <v>4761</v>
      </c>
      <c r="AI309" s="235" t="s">
        <v>4771</v>
      </c>
      <c r="AJ309" s="9" t="s">
        <v>4920</v>
      </c>
      <c r="AK309" s="235" t="s">
        <v>4777</v>
      </c>
      <c r="AL309" s="235">
        <v>308</v>
      </c>
    </row>
    <row r="310" spans="1:39" x14ac:dyDescent="0.3">
      <c r="A310" s="222" t="s">
        <v>2187</v>
      </c>
      <c r="B310" s="222" t="s">
        <v>2188</v>
      </c>
      <c r="C310" s="241" t="s">
        <v>4778</v>
      </c>
      <c r="D310" s="237" t="s">
        <v>5224</v>
      </c>
      <c r="E310" s="236">
        <v>1101114898916</v>
      </c>
      <c r="F310" s="240" t="s">
        <v>4854</v>
      </c>
      <c r="G310" s="214">
        <v>0</v>
      </c>
      <c r="H310" s="231" t="s">
        <v>4771</v>
      </c>
      <c r="I310" s="231"/>
      <c r="J310" s="231"/>
      <c r="K310" s="231"/>
      <c r="L310" s="231"/>
      <c r="M310" s="231"/>
      <c r="N310" s="231" t="s">
        <v>4806</v>
      </c>
      <c r="O310" s="246" t="s">
        <v>4952</v>
      </c>
      <c r="P310" s="246" t="s">
        <v>5264</v>
      </c>
      <c r="Q310" s="225" t="s">
        <v>5262</v>
      </c>
      <c r="R310" s="212" t="s">
        <v>2</v>
      </c>
      <c r="S310" s="213" t="s">
        <v>4771</v>
      </c>
      <c r="T310" s="233">
        <v>45554</v>
      </c>
      <c r="U310" s="234" t="s">
        <v>4759</v>
      </c>
      <c r="V310" s="234">
        <v>45609</v>
      </c>
      <c r="W310" s="234">
        <v>45611</v>
      </c>
      <c r="X310" s="234" t="s">
        <v>2</v>
      </c>
      <c r="Y310" s="234"/>
      <c r="Z310" s="234" t="s">
        <v>4648</v>
      </c>
      <c r="AA310" s="224">
        <v>202411</v>
      </c>
      <c r="AB310" s="243"/>
      <c r="AC310" s="244" t="s">
        <v>4800</v>
      </c>
      <c r="AD310" s="244" t="s">
        <v>5066</v>
      </c>
      <c r="AE310" s="245">
        <v>0</v>
      </c>
      <c r="AF310" s="244" t="s">
        <v>5066</v>
      </c>
      <c r="AG310" s="239" t="str">
        <f>IFERROR(VLOOKUP(작성용!A:A,RM!A:D,4,0),"-")</f>
        <v>백형진</v>
      </c>
      <c r="AH310" s="9" t="s">
        <v>4956</v>
      </c>
      <c r="AI310" s="235" t="s">
        <v>4771</v>
      </c>
      <c r="AJ310" s="9" t="s">
        <v>4920</v>
      </c>
      <c r="AK310" s="235" t="s">
        <v>4777</v>
      </c>
      <c r="AL310" s="235">
        <v>309</v>
      </c>
    </row>
    <row r="311" spans="1:39" x14ac:dyDescent="0.3">
      <c r="A311" s="222" t="s">
        <v>2187</v>
      </c>
      <c r="B311" s="222" t="s">
        <v>2188</v>
      </c>
      <c r="C311" s="241" t="s">
        <v>4765</v>
      </c>
      <c r="D311" s="237" t="s">
        <v>5268</v>
      </c>
      <c r="E311" s="236">
        <v>1101116803400</v>
      </c>
      <c r="F311" s="240" t="s">
        <v>4854</v>
      </c>
      <c r="G311" s="214">
        <v>0</v>
      </c>
      <c r="H311" s="231" t="s">
        <v>4767</v>
      </c>
      <c r="I311" s="231"/>
      <c r="J311" s="231"/>
      <c r="K311" s="231"/>
      <c r="L311" s="231"/>
      <c r="M311" s="231"/>
      <c r="N311" s="231" t="s">
        <v>4806</v>
      </c>
      <c r="O311" s="246" t="s">
        <v>4952</v>
      </c>
      <c r="P311" s="246" t="s">
        <v>4955</v>
      </c>
      <c r="Q311" s="225" t="s">
        <v>4953</v>
      </c>
      <c r="R311" s="212" t="s">
        <v>2</v>
      </c>
      <c r="S311" s="213" t="s">
        <v>4771</v>
      </c>
      <c r="T311" s="233">
        <v>45554</v>
      </c>
      <c r="U311" s="234" t="s">
        <v>4759</v>
      </c>
      <c r="V311" s="234">
        <v>45609</v>
      </c>
      <c r="W311" s="234">
        <v>45611</v>
      </c>
      <c r="X311" s="234" t="s">
        <v>2</v>
      </c>
      <c r="Y311" s="234"/>
      <c r="Z311" s="234" t="s">
        <v>4648</v>
      </c>
      <c r="AA311" s="224">
        <v>202411</v>
      </c>
      <c r="AB311" s="243"/>
      <c r="AC311" s="244" t="s">
        <v>4800</v>
      </c>
      <c r="AD311" s="244" t="s">
        <v>3646</v>
      </c>
      <c r="AE311" s="245">
        <v>0</v>
      </c>
      <c r="AF311" s="244" t="s">
        <v>3646</v>
      </c>
      <c r="AG311" s="239" t="str">
        <f>IFERROR(VLOOKUP(작성용!A:A,RM!A:D,4,0),"-")</f>
        <v>백형진</v>
      </c>
      <c r="AH311" s="9" t="s">
        <v>4761</v>
      </c>
      <c r="AI311" s="235" t="s">
        <v>4771</v>
      </c>
      <c r="AJ311" s="9" t="s">
        <v>4920</v>
      </c>
      <c r="AK311" s="235" t="s">
        <v>4777</v>
      </c>
      <c r="AL311" s="235">
        <v>310</v>
      </c>
    </row>
    <row r="312" spans="1:39" x14ac:dyDescent="0.3">
      <c r="A312" s="222" t="s">
        <v>2187</v>
      </c>
      <c r="B312" s="222" t="s">
        <v>2188</v>
      </c>
      <c r="C312" s="241" t="s">
        <v>4778</v>
      </c>
      <c r="D312" s="237" t="s">
        <v>5266</v>
      </c>
      <c r="E312" s="236">
        <v>1101115024875</v>
      </c>
      <c r="F312" s="240" t="s">
        <v>4854</v>
      </c>
      <c r="G312" s="214">
        <v>0</v>
      </c>
      <c r="H312" s="231" t="s">
        <v>4771</v>
      </c>
      <c r="I312" s="231"/>
      <c r="J312" s="231"/>
      <c r="K312" s="231"/>
      <c r="L312" s="231"/>
      <c r="M312" s="231"/>
      <c r="N312" s="231" t="s">
        <v>4806</v>
      </c>
      <c r="O312" s="246" t="s">
        <v>4952</v>
      </c>
      <c r="P312" s="246" t="s">
        <v>5264</v>
      </c>
      <c r="Q312" s="225" t="s">
        <v>4953</v>
      </c>
      <c r="R312" s="212" t="s">
        <v>2</v>
      </c>
      <c r="S312" s="213" t="s">
        <v>4771</v>
      </c>
      <c r="T312" s="233">
        <v>45554</v>
      </c>
      <c r="U312" s="234" t="s">
        <v>4759</v>
      </c>
      <c r="V312" s="234">
        <v>45609</v>
      </c>
      <c r="W312" s="234">
        <v>45611</v>
      </c>
      <c r="X312" s="234" t="s">
        <v>2</v>
      </c>
      <c r="Y312" s="234"/>
      <c r="Z312" s="234" t="s">
        <v>4648</v>
      </c>
      <c r="AA312" s="224">
        <v>202411</v>
      </c>
      <c r="AB312" s="243"/>
      <c r="AC312" s="244" t="s">
        <v>4800</v>
      </c>
      <c r="AD312" s="244" t="s">
        <v>3757</v>
      </c>
      <c r="AE312" s="245">
        <v>0</v>
      </c>
      <c r="AF312" s="244" t="s">
        <v>3757</v>
      </c>
      <c r="AG312" s="239" t="str">
        <f>IFERROR(VLOOKUP(작성용!A:A,RM!A:D,4,0),"-")</f>
        <v>백형진</v>
      </c>
      <c r="AH312" s="9" t="s">
        <v>4761</v>
      </c>
      <c r="AI312" s="235" t="s">
        <v>4771</v>
      </c>
      <c r="AJ312" s="9" t="s">
        <v>4920</v>
      </c>
      <c r="AK312" s="235" t="s">
        <v>4777</v>
      </c>
      <c r="AL312" s="235">
        <v>311</v>
      </c>
    </row>
    <row r="313" spans="1:39" x14ac:dyDescent="0.3">
      <c r="A313" s="229" t="s">
        <v>3121</v>
      </c>
      <c r="B313" s="229" t="s">
        <v>3122</v>
      </c>
      <c r="C313" s="241" t="s">
        <v>4778</v>
      </c>
      <c r="D313" s="237" t="s">
        <v>5269</v>
      </c>
      <c r="E313" s="236">
        <v>1314110519721</v>
      </c>
      <c r="F313" s="240" t="s">
        <v>4854</v>
      </c>
      <c r="G313" s="214">
        <v>0</v>
      </c>
      <c r="H313" s="231" t="s">
        <v>4771</v>
      </c>
      <c r="I313" s="231"/>
      <c r="J313" s="231"/>
      <c r="K313" s="231"/>
      <c r="L313" s="231"/>
      <c r="M313" s="231"/>
      <c r="N313" s="231" t="s">
        <v>4972</v>
      </c>
      <c r="O313" s="246" t="s">
        <v>5146</v>
      </c>
      <c r="P313" s="246" t="s">
        <v>5147</v>
      </c>
      <c r="Q313" s="225" t="s">
        <v>5148</v>
      </c>
      <c r="R313" s="212" t="s">
        <v>4771</v>
      </c>
      <c r="S313" s="213" t="s">
        <v>4771</v>
      </c>
      <c r="T313" s="233">
        <v>45573</v>
      </c>
      <c r="U313" s="234" t="s">
        <v>4759</v>
      </c>
      <c r="V313" s="234">
        <v>45604</v>
      </c>
      <c r="W313" s="234">
        <v>45610</v>
      </c>
      <c r="X313" s="234" t="s">
        <v>2</v>
      </c>
      <c r="Y313" s="234"/>
      <c r="Z313" s="234" t="s">
        <v>5168</v>
      </c>
      <c r="AA313" s="243">
        <v>202411</v>
      </c>
      <c r="AB313" s="243"/>
      <c r="AC313" s="244" t="s">
        <v>4800</v>
      </c>
      <c r="AD313" s="244" t="s">
        <v>4858</v>
      </c>
      <c r="AE313" s="245">
        <v>1</v>
      </c>
      <c r="AF313" s="244" t="s">
        <v>4858</v>
      </c>
      <c r="AG313" s="239" t="str">
        <f>IFERROR(VLOOKUP(작성용!A:A,RM!A:D,4,0),"-")</f>
        <v>유재호</v>
      </c>
      <c r="AH313" s="9" t="s">
        <v>5021</v>
      </c>
      <c r="AI313" s="235" t="s">
        <v>4771</v>
      </c>
      <c r="AJ313" s="235" t="s">
        <v>4920</v>
      </c>
      <c r="AK313" s="235" t="s">
        <v>4777</v>
      </c>
      <c r="AL313" s="235">
        <v>312</v>
      </c>
    </row>
    <row r="314" spans="1:39" x14ac:dyDescent="0.3">
      <c r="A314" s="222" t="s">
        <v>2226</v>
      </c>
      <c r="B314" s="222" t="s">
        <v>5270</v>
      </c>
      <c r="C314" s="241" t="s">
        <v>4778</v>
      </c>
      <c r="D314" s="237" t="s">
        <v>5271</v>
      </c>
      <c r="E314" s="236">
        <v>1101117224887</v>
      </c>
      <c r="F314" s="240" t="s">
        <v>4850</v>
      </c>
      <c r="G314" s="214">
        <v>0</v>
      </c>
      <c r="H314" s="231" t="s">
        <v>4771</v>
      </c>
      <c r="I314" s="231"/>
      <c r="J314" s="231"/>
      <c r="K314" s="231"/>
      <c r="L314" s="231"/>
      <c r="M314" s="231"/>
      <c r="N314" s="231" t="s">
        <v>4895</v>
      </c>
      <c r="O314" s="246" t="s">
        <v>5272</v>
      </c>
      <c r="P314" s="246" t="s">
        <v>5273</v>
      </c>
      <c r="Q314" s="225" t="s">
        <v>5274</v>
      </c>
      <c r="R314" s="212" t="s">
        <v>4771</v>
      </c>
      <c r="S314" s="213" t="s">
        <v>4771</v>
      </c>
      <c r="T314" s="233">
        <v>45575</v>
      </c>
      <c r="U314" s="234" t="s">
        <v>4759</v>
      </c>
      <c r="V314" s="234">
        <v>45607</v>
      </c>
      <c r="W314" s="234">
        <v>45609</v>
      </c>
      <c r="X314" s="234" t="s">
        <v>2</v>
      </c>
      <c r="Y314" s="234"/>
      <c r="Z314" s="234" t="s">
        <v>4649</v>
      </c>
      <c r="AA314" s="243">
        <v>202411</v>
      </c>
      <c r="AB314" s="243"/>
      <c r="AC314" s="244" t="s">
        <v>4800</v>
      </c>
      <c r="AD314" s="244" t="s">
        <v>4856</v>
      </c>
      <c r="AE314" s="245">
        <v>1</v>
      </c>
      <c r="AF314" s="244" t="s">
        <v>4856</v>
      </c>
      <c r="AG314" s="239" t="str">
        <f>IFERROR(VLOOKUP(작성용!A:A,RM!A:D,4,0),"-")</f>
        <v>오수현</v>
      </c>
      <c r="AH314" s="9" t="s">
        <v>3923</v>
      </c>
      <c r="AI314" s="235" t="s">
        <v>4771</v>
      </c>
      <c r="AJ314" s="235" t="s">
        <v>5275</v>
      </c>
      <c r="AK314" s="235" t="s">
        <v>4777</v>
      </c>
      <c r="AL314" s="235">
        <v>313</v>
      </c>
      <c r="AM314" s="198"/>
    </row>
    <row r="315" spans="1:39" s="198" customFormat="1" x14ac:dyDescent="0.3">
      <c r="A315" s="222" t="s">
        <v>2226</v>
      </c>
      <c r="B315" s="222" t="s">
        <v>5270</v>
      </c>
      <c r="C315" s="241" t="s">
        <v>4778</v>
      </c>
      <c r="D315" s="237" t="s">
        <v>5276</v>
      </c>
      <c r="E315" s="236">
        <v>1101117430616</v>
      </c>
      <c r="F315" s="240" t="s">
        <v>4850</v>
      </c>
      <c r="G315" s="214">
        <v>0</v>
      </c>
      <c r="H315" s="231" t="s">
        <v>4771</v>
      </c>
      <c r="I315" s="231"/>
      <c r="J315" s="231"/>
      <c r="K315" s="231"/>
      <c r="L315" s="231"/>
      <c r="M315" s="231"/>
      <c r="N315" s="231" t="s">
        <v>4895</v>
      </c>
      <c r="O315" s="246" t="s">
        <v>5272</v>
      </c>
      <c r="P315" s="246" t="s">
        <v>5273</v>
      </c>
      <c r="Q315" s="225" t="s">
        <v>5274</v>
      </c>
      <c r="R315" s="212" t="s">
        <v>2</v>
      </c>
      <c r="S315" s="213" t="s">
        <v>4771</v>
      </c>
      <c r="T315" s="233">
        <v>45575</v>
      </c>
      <c r="U315" s="234" t="s">
        <v>4759</v>
      </c>
      <c r="V315" s="234">
        <v>45607</v>
      </c>
      <c r="W315" s="234">
        <v>45609</v>
      </c>
      <c r="X315" s="234" t="s">
        <v>2</v>
      </c>
      <c r="Y315" s="234"/>
      <c r="Z315" s="234" t="s">
        <v>4649</v>
      </c>
      <c r="AA315" s="243">
        <v>202411</v>
      </c>
      <c r="AB315" s="243"/>
      <c r="AC315" s="244" t="s">
        <v>4800</v>
      </c>
      <c r="AD315" s="244" t="s">
        <v>4900</v>
      </c>
      <c r="AE315" s="245">
        <v>1</v>
      </c>
      <c r="AF315" s="244" t="s">
        <v>4900</v>
      </c>
      <c r="AG315" s="239" t="str">
        <f>IFERROR(VLOOKUP(작성용!A:A,RM!A:D,4,0),"-")</f>
        <v>오수현</v>
      </c>
      <c r="AH315" s="9" t="s">
        <v>3923</v>
      </c>
      <c r="AI315" s="235" t="s">
        <v>4771</v>
      </c>
      <c r="AJ315" s="235" t="s">
        <v>5275</v>
      </c>
      <c r="AK315" s="235" t="s">
        <v>4777</v>
      </c>
      <c r="AL315" s="235">
        <v>314</v>
      </c>
    </row>
    <row r="316" spans="1:39" s="198" customFormat="1" x14ac:dyDescent="0.3">
      <c r="A316" s="222" t="s">
        <v>2226</v>
      </c>
      <c r="B316" s="222" t="s">
        <v>5270</v>
      </c>
      <c r="C316" s="241" t="s">
        <v>4778</v>
      </c>
      <c r="D316" s="237" t="s">
        <v>5277</v>
      </c>
      <c r="E316" s="236">
        <v>1101115812288</v>
      </c>
      <c r="F316" s="240" t="s">
        <v>4850</v>
      </c>
      <c r="G316" s="214">
        <v>0</v>
      </c>
      <c r="H316" s="231" t="s">
        <v>4771</v>
      </c>
      <c r="I316" s="231"/>
      <c r="J316" s="231"/>
      <c r="K316" s="231"/>
      <c r="L316" s="231"/>
      <c r="M316" s="231"/>
      <c r="N316" s="231" t="s">
        <v>4895</v>
      </c>
      <c r="O316" s="246" t="s">
        <v>5272</v>
      </c>
      <c r="P316" s="246" t="s">
        <v>5273</v>
      </c>
      <c r="Q316" s="225" t="s">
        <v>5274</v>
      </c>
      <c r="R316" s="212" t="s">
        <v>2</v>
      </c>
      <c r="S316" s="213" t="s">
        <v>4771</v>
      </c>
      <c r="T316" s="233">
        <v>45575</v>
      </c>
      <c r="U316" s="234" t="s">
        <v>4759</v>
      </c>
      <c r="V316" s="234">
        <v>45607</v>
      </c>
      <c r="W316" s="234">
        <v>45609</v>
      </c>
      <c r="X316" s="234" t="s">
        <v>2</v>
      </c>
      <c r="Y316" s="234"/>
      <c r="Z316" s="234" t="s">
        <v>4649</v>
      </c>
      <c r="AA316" s="243">
        <v>202411</v>
      </c>
      <c r="AB316" s="243"/>
      <c r="AC316" s="244" t="s">
        <v>4800</v>
      </c>
      <c r="AD316" s="244" t="s">
        <v>4927</v>
      </c>
      <c r="AE316" s="245">
        <v>1</v>
      </c>
      <c r="AF316" s="244" t="s">
        <v>4927</v>
      </c>
      <c r="AG316" s="239" t="str">
        <f>IFERROR(VLOOKUP(작성용!A:A,RM!A:D,4,0),"-")</f>
        <v>오수현</v>
      </c>
      <c r="AH316" s="9" t="s">
        <v>3923</v>
      </c>
      <c r="AI316" s="235" t="s">
        <v>4771</v>
      </c>
      <c r="AJ316" s="235" t="s">
        <v>5275</v>
      </c>
      <c r="AK316" s="235" t="s">
        <v>4777</v>
      </c>
      <c r="AL316" s="235">
        <v>315</v>
      </c>
    </row>
    <row r="317" spans="1:39" s="198" customFormat="1" x14ac:dyDescent="0.3">
      <c r="A317" s="222" t="s">
        <v>2226</v>
      </c>
      <c r="B317" s="222" t="s">
        <v>5270</v>
      </c>
      <c r="C317" s="241" t="s">
        <v>4778</v>
      </c>
      <c r="D317" s="237" t="s">
        <v>5277</v>
      </c>
      <c r="E317" s="236">
        <v>1101115812288</v>
      </c>
      <c r="F317" s="240" t="s">
        <v>4854</v>
      </c>
      <c r="G317" s="214">
        <v>0</v>
      </c>
      <c r="H317" s="231" t="s">
        <v>4771</v>
      </c>
      <c r="I317" s="231"/>
      <c r="J317" s="231"/>
      <c r="K317" s="231"/>
      <c r="L317" s="231"/>
      <c r="M317" s="231"/>
      <c r="N317" s="231" t="s">
        <v>4895</v>
      </c>
      <c r="O317" s="246" t="s">
        <v>5272</v>
      </c>
      <c r="P317" s="246" t="s">
        <v>5273</v>
      </c>
      <c r="Q317" s="225" t="s">
        <v>5274</v>
      </c>
      <c r="R317" s="212" t="s">
        <v>2</v>
      </c>
      <c r="S317" s="213" t="s">
        <v>4771</v>
      </c>
      <c r="T317" s="233">
        <v>45575</v>
      </c>
      <c r="U317" s="234" t="s">
        <v>4759</v>
      </c>
      <c r="V317" s="234">
        <v>45607</v>
      </c>
      <c r="W317" s="234">
        <v>45609</v>
      </c>
      <c r="X317" s="234" t="s">
        <v>2</v>
      </c>
      <c r="Y317" s="234"/>
      <c r="Z317" s="234" t="s">
        <v>4649</v>
      </c>
      <c r="AA317" s="243">
        <v>202411</v>
      </c>
      <c r="AB317" s="243"/>
      <c r="AC317" s="244" t="s">
        <v>4800</v>
      </c>
      <c r="AD317" s="244" t="s">
        <v>4927</v>
      </c>
      <c r="AE317" s="245">
        <v>0</v>
      </c>
      <c r="AF317" s="244" t="s">
        <v>4927</v>
      </c>
      <c r="AG317" s="239" t="str">
        <f>IFERROR(VLOOKUP(작성용!A:A,RM!A:D,4,0),"-")</f>
        <v>오수현</v>
      </c>
      <c r="AH317" s="9" t="s">
        <v>3923</v>
      </c>
      <c r="AI317" s="235" t="s">
        <v>4771</v>
      </c>
      <c r="AJ317" s="235" t="s">
        <v>5275</v>
      </c>
      <c r="AK317" s="235" t="s">
        <v>4777</v>
      </c>
      <c r="AL317" s="235">
        <v>316</v>
      </c>
    </row>
    <row r="318" spans="1:39" s="198" customFormat="1" x14ac:dyDescent="0.3">
      <c r="A318" s="222" t="s">
        <v>2226</v>
      </c>
      <c r="B318" s="222" t="s">
        <v>5270</v>
      </c>
      <c r="C318" s="241" t="s">
        <v>4778</v>
      </c>
      <c r="D318" s="237" t="s">
        <v>5277</v>
      </c>
      <c r="E318" s="236">
        <v>1101115812288</v>
      </c>
      <c r="F318" s="240" t="s">
        <v>4894</v>
      </c>
      <c r="G318" s="214">
        <v>0</v>
      </c>
      <c r="H318" s="231" t="s">
        <v>4771</v>
      </c>
      <c r="I318" s="231"/>
      <c r="J318" s="231"/>
      <c r="K318" s="231"/>
      <c r="L318" s="231"/>
      <c r="M318" s="231"/>
      <c r="N318" s="231" t="s">
        <v>4895</v>
      </c>
      <c r="O318" s="246" t="s">
        <v>5272</v>
      </c>
      <c r="P318" s="246" t="s">
        <v>5273</v>
      </c>
      <c r="Q318" s="225" t="s">
        <v>5274</v>
      </c>
      <c r="R318" s="212" t="s">
        <v>2</v>
      </c>
      <c r="S318" s="213" t="s">
        <v>4771</v>
      </c>
      <c r="T318" s="233">
        <v>45575</v>
      </c>
      <c r="U318" s="234" t="s">
        <v>4759</v>
      </c>
      <c r="V318" s="234">
        <v>45607</v>
      </c>
      <c r="W318" s="234">
        <v>45609</v>
      </c>
      <c r="X318" s="234" t="s">
        <v>2</v>
      </c>
      <c r="Y318" s="234"/>
      <c r="Z318" s="234" t="s">
        <v>4649</v>
      </c>
      <c r="AA318" s="243">
        <v>202411</v>
      </c>
      <c r="AB318" s="243"/>
      <c r="AC318" s="244" t="s">
        <v>4800</v>
      </c>
      <c r="AD318" s="244" t="s">
        <v>4927</v>
      </c>
      <c r="AE318" s="245">
        <v>0</v>
      </c>
      <c r="AF318" s="244" t="s">
        <v>4927</v>
      </c>
      <c r="AG318" s="239" t="str">
        <f>IFERROR(VLOOKUP(작성용!A:A,RM!A:D,4,0),"-")</f>
        <v>오수현</v>
      </c>
      <c r="AH318" s="9" t="s">
        <v>3923</v>
      </c>
      <c r="AI318" s="235" t="s">
        <v>4771</v>
      </c>
      <c r="AJ318" s="235" t="s">
        <v>5275</v>
      </c>
      <c r="AK318" s="235" t="s">
        <v>4777</v>
      </c>
      <c r="AL318" s="235">
        <v>317</v>
      </c>
    </row>
    <row r="319" spans="1:39" s="198" customFormat="1" x14ac:dyDescent="0.3">
      <c r="A319" s="222" t="s">
        <v>2226</v>
      </c>
      <c r="B319" s="222" t="s">
        <v>5270</v>
      </c>
      <c r="C319" s="241" t="s">
        <v>4778</v>
      </c>
      <c r="D319" s="237" t="s">
        <v>5278</v>
      </c>
      <c r="E319" s="236">
        <v>1101116414611</v>
      </c>
      <c r="F319" s="240" t="s">
        <v>4850</v>
      </c>
      <c r="G319" s="214">
        <v>1</v>
      </c>
      <c r="H319" s="231" t="s">
        <v>4771</v>
      </c>
      <c r="I319" s="231"/>
      <c r="J319" s="231"/>
      <c r="K319" s="231"/>
      <c r="L319" s="231"/>
      <c r="M319" s="231"/>
      <c r="N319" s="231" t="s">
        <v>4895</v>
      </c>
      <c r="O319" s="246" t="s">
        <v>5272</v>
      </c>
      <c r="P319" s="246" t="s">
        <v>5273</v>
      </c>
      <c r="Q319" s="225" t="s">
        <v>5274</v>
      </c>
      <c r="R319" s="212" t="s">
        <v>2</v>
      </c>
      <c r="S319" s="213" t="s">
        <v>4771</v>
      </c>
      <c r="T319" s="233">
        <v>45575</v>
      </c>
      <c r="U319" s="234" t="s">
        <v>4759</v>
      </c>
      <c r="V319" s="234">
        <v>45607</v>
      </c>
      <c r="W319" s="234">
        <v>45609</v>
      </c>
      <c r="X319" s="234" t="s">
        <v>2</v>
      </c>
      <c r="Y319" s="234"/>
      <c r="Z319" s="234" t="s">
        <v>4649</v>
      </c>
      <c r="AA319" s="243">
        <v>202411</v>
      </c>
      <c r="AB319" s="243"/>
      <c r="AC319" s="244" t="s">
        <v>4800</v>
      </c>
      <c r="AD319" s="244" t="s">
        <v>4911</v>
      </c>
      <c r="AE319" s="245">
        <v>1</v>
      </c>
      <c r="AF319" s="244" t="s">
        <v>4911</v>
      </c>
      <c r="AG319" s="239" t="str">
        <f>IFERROR(VLOOKUP(작성용!A:A,RM!A:D,4,0),"-")</f>
        <v>오수현</v>
      </c>
      <c r="AH319" s="9" t="s">
        <v>3923</v>
      </c>
      <c r="AI319" s="235" t="s">
        <v>4771</v>
      </c>
      <c r="AJ319" s="235" t="s">
        <v>5275</v>
      </c>
      <c r="AK319" s="235" t="s">
        <v>4777</v>
      </c>
      <c r="AL319" s="235">
        <v>318</v>
      </c>
    </row>
    <row r="320" spans="1:39" s="198" customFormat="1" x14ac:dyDescent="0.3">
      <c r="A320" s="222" t="s">
        <v>2226</v>
      </c>
      <c r="B320" s="222" t="s">
        <v>5270</v>
      </c>
      <c r="C320" s="241" t="s">
        <v>4778</v>
      </c>
      <c r="D320" s="237" t="s">
        <v>5278</v>
      </c>
      <c r="E320" s="236">
        <v>1101116414611</v>
      </c>
      <c r="F320" s="240" t="s">
        <v>4854</v>
      </c>
      <c r="G320" s="214">
        <v>0</v>
      </c>
      <c r="H320" s="231" t="s">
        <v>4771</v>
      </c>
      <c r="I320" s="231"/>
      <c r="J320" s="231"/>
      <c r="K320" s="231"/>
      <c r="L320" s="231"/>
      <c r="M320" s="231"/>
      <c r="N320" s="231" t="s">
        <v>4895</v>
      </c>
      <c r="O320" s="246" t="s">
        <v>5272</v>
      </c>
      <c r="P320" s="246" t="s">
        <v>5273</v>
      </c>
      <c r="Q320" s="225" t="s">
        <v>5274</v>
      </c>
      <c r="R320" s="212" t="s">
        <v>2</v>
      </c>
      <c r="S320" s="213" t="s">
        <v>4771</v>
      </c>
      <c r="T320" s="233">
        <v>45575</v>
      </c>
      <c r="U320" s="234" t="s">
        <v>4759</v>
      </c>
      <c r="V320" s="234">
        <v>45607</v>
      </c>
      <c r="W320" s="234">
        <v>45609</v>
      </c>
      <c r="X320" s="234" t="s">
        <v>2</v>
      </c>
      <c r="Y320" s="234"/>
      <c r="Z320" s="234" t="s">
        <v>4649</v>
      </c>
      <c r="AA320" s="243">
        <v>202411</v>
      </c>
      <c r="AB320" s="243"/>
      <c r="AC320" s="244" t="s">
        <v>4800</v>
      </c>
      <c r="AD320" s="244" t="s">
        <v>4911</v>
      </c>
      <c r="AE320" s="245">
        <v>0</v>
      </c>
      <c r="AF320" s="244" t="s">
        <v>4911</v>
      </c>
      <c r="AG320" s="239" t="str">
        <f>IFERROR(VLOOKUP(작성용!A:A,RM!A:D,4,0),"-")</f>
        <v>오수현</v>
      </c>
      <c r="AH320" s="9" t="s">
        <v>3923</v>
      </c>
      <c r="AI320" s="235" t="s">
        <v>4771</v>
      </c>
      <c r="AJ320" s="235" t="s">
        <v>5275</v>
      </c>
      <c r="AK320" s="235" t="s">
        <v>4777</v>
      </c>
      <c r="AL320" s="235">
        <v>319</v>
      </c>
    </row>
    <row r="321" spans="1:38" s="198" customFormat="1" x14ac:dyDescent="0.3">
      <c r="A321" s="222" t="s">
        <v>2226</v>
      </c>
      <c r="B321" s="222" t="s">
        <v>5270</v>
      </c>
      <c r="C321" s="241" t="s">
        <v>4778</v>
      </c>
      <c r="D321" s="237" t="s">
        <v>5279</v>
      </c>
      <c r="E321" s="236">
        <v>1344110020923</v>
      </c>
      <c r="F321" s="240" t="s">
        <v>4854</v>
      </c>
      <c r="G321" s="214">
        <v>0</v>
      </c>
      <c r="H321" s="231" t="s">
        <v>4771</v>
      </c>
      <c r="I321" s="231"/>
      <c r="J321" s="231"/>
      <c r="K321" s="231"/>
      <c r="L321" s="231"/>
      <c r="M321" s="231"/>
      <c r="N321" s="231" t="s">
        <v>4895</v>
      </c>
      <c r="O321" s="246" t="s">
        <v>5272</v>
      </c>
      <c r="P321" s="246" t="s">
        <v>5273</v>
      </c>
      <c r="Q321" s="225" t="s">
        <v>5274</v>
      </c>
      <c r="R321" s="212" t="s">
        <v>2</v>
      </c>
      <c r="S321" s="213" t="s">
        <v>4771</v>
      </c>
      <c r="T321" s="233">
        <v>45575</v>
      </c>
      <c r="U321" s="234" t="s">
        <v>4759</v>
      </c>
      <c r="V321" s="234">
        <v>45607</v>
      </c>
      <c r="W321" s="234">
        <v>45609</v>
      </c>
      <c r="X321" s="234" t="s">
        <v>2</v>
      </c>
      <c r="Y321" s="234"/>
      <c r="Z321" s="234" t="s">
        <v>4649</v>
      </c>
      <c r="AA321" s="243">
        <v>202411</v>
      </c>
      <c r="AB321" s="243"/>
      <c r="AC321" s="244" t="s">
        <v>4800</v>
      </c>
      <c r="AD321" s="244" t="s">
        <v>4864</v>
      </c>
      <c r="AE321" s="245">
        <v>1</v>
      </c>
      <c r="AF321" s="244" t="s">
        <v>4864</v>
      </c>
      <c r="AG321" s="239" t="str">
        <f>IFERROR(VLOOKUP(작성용!A:A,RM!A:D,4,0),"-")</f>
        <v>오수현</v>
      </c>
      <c r="AH321" s="9" t="s">
        <v>3923</v>
      </c>
      <c r="AI321" s="235" t="s">
        <v>4771</v>
      </c>
      <c r="AJ321" s="235" t="s">
        <v>5275</v>
      </c>
      <c r="AK321" s="235" t="s">
        <v>4777</v>
      </c>
      <c r="AL321" s="235">
        <v>320</v>
      </c>
    </row>
    <row r="322" spans="1:38" s="198" customFormat="1" x14ac:dyDescent="0.3">
      <c r="A322" s="222" t="s">
        <v>2226</v>
      </c>
      <c r="B322" s="222" t="s">
        <v>5270</v>
      </c>
      <c r="C322" s="241" t="s">
        <v>4762</v>
      </c>
      <c r="D322" s="237" t="s">
        <v>5280</v>
      </c>
      <c r="E322" s="236">
        <v>1752110036727</v>
      </c>
      <c r="F322" s="240" t="s">
        <v>4850</v>
      </c>
      <c r="G322" s="214">
        <v>1</v>
      </c>
      <c r="H322" s="231" t="s">
        <v>4771</v>
      </c>
      <c r="I322" s="231"/>
      <c r="J322" s="231"/>
      <c r="K322" s="231"/>
      <c r="L322" s="231"/>
      <c r="M322" s="231"/>
      <c r="N322" s="231" t="s">
        <v>4895</v>
      </c>
      <c r="O322" s="246" t="s">
        <v>5272</v>
      </c>
      <c r="P322" s="246" t="s">
        <v>5273</v>
      </c>
      <c r="Q322" s="225" t="s">
        <v>5274</v>
      </c>
      <c r="R322" s="212" t="s">
        <v>2</v>
      </c>
      <c r="S322" s="213" t="s">
        <v>4771</v>
      </c>
      <c r="T322" s="233">
        <v>45575</v>
      </c>
      <c r="U322" s="234" t="s">
        <v>4759</v>
      </c>
      <c r="V322" s="234">
        <v>45607</v>
      </c>
      <c r="W322" s="234">
        <v>45609</v>
      </c>
      <c r="X322" s="234" t="s">
        <v>2</v>
      </c>
      <c r="Y322" s="234"/>
      <c r="Z322" s="234" t="s">
        <v>4649</v>
      </c>
      <c r="AA322" s="243">
        <v>202411</v>
      </c>
      <c r="AB322" s="243"/>
      <c r="AC322" s="244" t="s">
        <v>4800</v>
      </c>
      <c r="AD322" s="244" t="s">
        <v>4860</v>
      </c>
      <c r="AE322" s="245">
        <v>1</v>
      </c>
      <c r="AF322" s="244" t="s">
        <v>4860</v>
      </c>
      <c r="AG322" s="239" t="str">
        <f>IFERROR(VLOOKUP(작성용!A:A,RM!A:D,4,0),"-")</f>
        <v>오수현</v>
      </c>
      <c r="AH322" s="9" t="s">
        <v>3923</v>
      </c>
      <c r="AI322" s="235" t="s">
        <v>4771</v>
      </c>
      <c r="AJ322" s="235" t="s">
        <v>5275</v>
      </c>
      <c r="AK322" s="235" t="s">
        <v>4777</v>
      </c>
      <c r="AL322" s="235">
        <v>321</v>
      </c>
    </row>
    <row r="323" spans="1:38" s="198" customFormat="1" x14ac:dyDescent="0.3">
      <c r="A323" s="222" t="s">
        <v>2226</v>
      </c>
      <c r="B323" s="222" t="s">
        <v>5270</v>
      </c>
      <c r="C323" s="241" t="s">
        <v>4778</v>
      </c>
      <c r="D323" s="237" t="s">
        <v>5281</v>
      </c>
      <c r="E323" s="236">
        <v>1311110621184</v>
      </c>
      <c r="F323" s="240" t="s">
        <v>4850</v>
      </c>
      <c r="G323" s="214">
        <v>0</v>
      </c>
      <c r="H323" s="231" t="s">
        <v>4771</v>
      </c>
      <c r="I323" s="231"/>
      <c r="J323" s="231"/>
      <c r="K323" s="231"/>
      <c r="L323" s="231"/>
      <c r="M323" s="231"/>
      <c r="N323" s="231" t="s">
        <v>4895</v>
      </c>
      <c r="O323" s="246" t="s">
        <v>5272</v>
      </c>
      <c r="P323" s="246" t="s">
        <v>5273</v>
      </c>
      <c r="Q323" s="225" t="s">
        <v>5274</v>
      </c>
      <c r="R323" s="212" t="s">
        <v>2</v>
      </c>
      <c r="S323" s="213" t="s">
        <v>4771</v>
      </c>
      <c r="T323" s="233">
        <v>45575</v>
      </c>
      <c r="U323" s="234" t="s">
        <v>4759</v>
      </c>
      <c r="V323" s="234">
        <v>45607</v>
      </c>
      <c r="W323" s="234">
        <v>45609</v>
      </c>
      <c r="X323" s="234" t="s">
        <v>2</v>
      </c>
      <c r="Y323" s="234"/>
      <c r="Z323" s="234" t="s">
        <v>4649</v>
      </c>
      <c r="AA323" s="243">
        <v>202411</v>
      </c>
      <c r="AB323" s="243"/>
      <c r="AC323" s="244" t="s">
        <v>4800</v>
      </c>
      <c r="AD323" s="244" t="s">
        <v>4935</v>
      </c>
      <c r="AE323" s="245">
        <v>1</v>
      </c>
      <c r="AF323" s="244" t="s">
        <v>4935</v>
      </c>
      <c r="AG323" s="239" t="str">
        <f>IFERROR(VLOOKUP(작성용!A:A,RM!A:D,4,0),"-")</f>
        <v>오수현</v>
      </c>
      <c r="AH323" s="9" t="s">
        <v>3923</v>
      </c>
      <c r="AI323" s="235" t="s">
        <v>4771</v>
      </c>
      <c r="AJ323" s="235" t="s">
        <v>5275</v>
      </c>
      <c r="AK323" s="235" t="s">
        <v>4777</v>
      </c>
      <c r="AL323" s="235">
        <v>322</v>
      </c>
    </row>
    <row r="324" spans="1:38" s="198" customFormat="1" x14ac:dyDescent="0.3">
      <c r="A324" s="222" t="s">
        <v>2226</v>
      </c>
      <c r="B324" s="222" t="s">
        <v>5270</v>
      </c>
      <c r="C324" s="241" t="s">
        <v>4778</v>
      </c>
      <c r="D324" s="237" t="s">
        <v>5282</v>
      </c>
      <c r="E324" s="236">
        <v>1601110397954</v>
      </c>
      <c r="F324" s="240" t="s">
        <v>4850</v>
      </c>
      <c r="G324" s="214">
        <v>0</v>
      </c>
      <c r="H324" s="231" t="s">
        <v>4771</v>
      </c>
      <c r="I324" s="231"/>
      <c r="J324" s="231"/>
      <c r="K324" s="231"/>
      <c r="L324" s="231"/>
      <c r="M324" s="231"/>
      <c r="N324" s="231" t="s">
        <v>4895</v>
      </c>
      <c r="O324" s="246" t="s">
        <v>5272</v>
      </c>
      <c r="P324" s="246" t="s">
        <v>5273</v>
      </c>
      <c r="Q324" s="225" t="s">
        <v>5274</v>
      </c>
      <c r="R324" s="212" t="s">
        <v>2</v>
      </c>
      <c r="S324" s="213" t="s">
        <v>4771</v>
      </c>
      <c r="T324" s="233">
        <v>45575</v>
      </c>
      <c r="U324" s="234" t="s">
        <v>4759</v>
      </c>
      <c r="V324" s="234">
        <v>45607</v>
      </c>
      <c r="W324" s="234">
        <v>45609</v>
      </c>
      <c r="X324" s="234" t="s">
        <v>2</v>
      </c>
      <c r="Y324" s="234"/>
      <c r="Z324" s="234" t="s">
        <v>4649</v>
      </c>
      <c r="AA324" s="243">
        <v>202411</v>
      </c>
      <c r="AB324" s="243"/>
      <c r="AC324" s="244" t="s">
        <v>4800</v>
      </c>
      <c r="AD324" s="244" t="s">
        <v>4937</v>
      </c>
      <c r="AE324" s="245">
        <v>1</v>
      </c>
      <c r="AF324" s="244" t="s">
        <v>4937</v>
      </c>
      <c r="AG324" s="239" t="str">
        <f>IFERROR(VLOOKUP(작성용!A:A,RM!A:D,4,0),"-")</f>
        <v>오수현</v>
      </c>
      <c r="AH324" s="9" t="s">
        <v>3923</v>
      </c>
      <c r="AI324" s="235" t="s">
        <v>4771</v>
      </c>
      <c r="AJ324" s="235" t="s">
        <v>5275</v>
      </c>
      <c r="AK324" s="235" t="s">
        <v>4777</v>
      </c>
      <c r="AL324" s="235">
        <v>323</v>
      </c>
    </row>
    <row r="325" spans="1:38" s="198" customFormat="1" x14ac:dyDescent="0.3">
      <c r="A325" s="222" t="s">
        <v>2226</v>
      </c>
      <c r="B325" s="222" t="s">
        <v>5270</v>
      </c>
      <c r="C325" s="241" t="s">
        <v>4778</v>
      </c>
      <c r="D325" s="237" t="s">
        <v>5282</v>
      </c>
      <c r="E325" s="236">
        <v>1601110397954</v>
      </c>
      <c r="F325" s="240" t="s">
        <v>4850</v>
      </c>
      <c r="G325" s="214">
        <v>1</v>
      </c>
      <c r="H325" s="231" t="s">
        <v>4771</v>
      </c>
      <c r="I325" s="231"/>
      <c r="J325" s="231"/>
      <c r="K325" s="231"/>
      <c r="L325" s="231"/>
      <c r="M325" s="231"/>
      <c r="N325" s="231" t="s">
        <v>4895</v>
      </c>
      <c r="O325" s="246" t="s">
        <v>5272</v>
      </c>
      <c r="P325" s="246" t="s">
        <v>5273</v>
      </c>
      <c r="Q325" s="225" t="s">
        <v>5274</v>
      </c>
      <c r="R325" s="212" t="s">
        <v>2</v>
      </c>
      <c r="S325" s="213" t="s">
        <v>4771</v>
      </c>
      <c r="T325" s="233">
        <v>45575</v>
      </c>
      <c r="U325" s="234" t="s">
        <v>4759</v>
      </c>
      <c r="V325" s="234">
        <v>45607</v>
      </c>
      <c r="W325" s="234">
        <v>45609</v>
      </c>
      <c r="X325" s="234" t="s">
        <v>2</v>
      </c>
      <c r="Y325" s="234"/>
      <c r="Z325" s="234" t="s">
        <v>4649</v>
      </c>
      <c r="AA325" s="243">
        <v>202411</v>
      </c>
      <c r="AB325" s="243"/>
      <c r="AC325" s="244" t="s">
        <v>4800</v>
      </c>
      <c r="AD325" s="244" t="s">
        <v>4937</v>
      </c>
      <c r="AE325" s="245">
        <v>0</v>
      </c>
      <c r="AF325" s="244" t="s">
        <v>4937</v>
      </c>
      <c r="AG325" s="239" t="str">
        <f>IFERROR(VLOOKUP(작성용!A:A,RM!A:D,4,0),"-")</f>
        <v>오수현</v>
      </c>
      <c r="AH325" s="9" t="s">
        <v>3923</v>
      </c>
      <c r="AI325" s="235" t="s">
        <v>4771</v>
      </c>
      <c r="AJ325" s="235" t="s">
        <v>5275</v>
      </c>
      <c r="AK325" s="235" t="s">
        <v>4777</v>
      </c>
      <c r="AL325" s="235">
        <v>324</v>
      </c>
    </row>
    <row r="326" spans="1:38" s="198" customFormat="1" x14ac:dyDescent="0.3">
      <c r="A326" s="222" t="s">
        <v>2226</v>
      </c>
      <c r="B326" s="222" t="s">
        <v>5270</v>
      </c>
      <c r="C326" s="241" t="s">
        <v>4778</v>
      </c>
      <c r="D326" s="237" t="s">
        <v>5283</v>
      </c>
      <c r="E326" s="236">
        <v>1101116479201</v>
      </c>
      <c r="F326" s="240" t="s">
        <v>4850</v>
      </c>
      <c r="G326" s="214">
        <v>2</v>
      </c>
      <c r="H326" s="231" t="s">
        <v>4771</v>
      </c>
      <c r="I326" s="231"/>
      <c r="J326" s="231"/>
      <c r="K326" s="231"/>
      <c r="L326" s="231"/>
      <c r="M326" s="231"/>
      <c r="N326" s="231" t="s">
        <v>4895</v>
      </c>
      <c r="O326" s="246" t="s">
        <v>5272</v>
      </c>
      <c r="P326" s="246" t="s">
        <v>5273</v>
      </c>
      <c r="Q326" s="225" t="s">
        <v>5274</v>
      </c>
      <c r="R326" s="212" t="s">
        <v>2</v>
      </c>
      <c r="S326" s="213" t="s">
        <v>4771</v>
      </c>
      <c r="T326" s="233">
        <v>45575</v>
      </c>
      <c r="U326" s="234" t="s">
        <v>4759</v>
      </c>
      <c r="V326" s="234">
        <v>45607</v>
      </c>
      <c r="W326" s="234">
        <v>45609</v>
      </c>
      <c r="X326" s="234" t="s">
        <v>2</v>
      </c>
      <c r="Y326" s="234"/>
      <c r="Z326" s="234" t="s">
        <v>4649</v>
      </c>
      <c r="AA326" s="243">
        <v>202411</v>
      </c>
      <c r="AB326" s="243"/>
      <c r="AC326" s="244" t="s">
        <v>4800</v>
      </c>
      <c r="AD326" s="244" t="s">
        <v>4980</v>
      </c>
      <c r="AE326" s="245">
        <v>1</v>
      </c>
      <c r="AF326" s="244" t="s">
        <v>4980</v>
      </c>
      <c r="AG326" s="239" t="str">
        <f>IFERROR(VLOOKUP(작성용!A:A,RM!A:D,4,0),"-")</f>
        <v>오수현</v>
      </c>
      <c r="AH326" s="9" t="s">
        <v>3923</v>
      </c>
      <c r="AI326" s="235" t="s">
        <v>4771</v>
      </c>
      <c r="AJ326" s="235" t="s">
        <v>5275</v>
      </c>
      <c r="AK326" s="235" t="s">
        <v>4777</v>
      </c>
      <c r="AL326" s="235">
        <v>325</v>
      </c>
    </row>
    <row r="327" spans="1:38" s="198" customFormat="1" x14ac:dyDescent="0.3">
      <c r="A327" s="222" t="s">
        <v>2226</v>
      </c>
      <c r="B327" s="222" t="s">
        <v>5284</v>
      </c>
      <c r="C327" s="241" t="s">
        <v>4778</v>
      </c>
      <c r="D327" s="237" t="s">
        <v>5285</v>
      </c>
      <c r="E327" s="236">
        <v>1101115707778</v>
      </c>
      <c r="F327" s="240" t="s">
        <v>4841</v>
      </c>
      <c r="G327" s="214">
        <v>0</v>
      </c>
      <c r="H327" s="231" t="s">
        <v>4771</v>
      </c>
      <c r="I327" s="231"/>
      <c r="J327" s="231"/>
      <c r="K327" s="231"/>
      <c r="L327" s="231"/>
      <c r="M327" s="231"/>
      <c r="N327" s="231" t="s">
        <v>4895</v>
      </c>
      <c r="O327" s="246" t="s">
        <v>5272</v>
      </c>
      <c r="P327" s="246" t="s">
        <v>5273</v>
      </c>
      <c r="Q327" s="225" t="s">
        <v>5274</v>
      </c>
      <c r="R327" s="212" t="s">
        <v>2</v>
      </c>
      <c r="S327" s="213" t="s">
        <v>4771</v>
      </c>
      <c r="T327" s="233">
        <v>45575</v>
      </c>
      <c r="U327" s="234" t="s">
        <v>4871</v>
      </c>
      <c r="V327" s="234">
        <v>45607</v>
      </c>
      <c r="W327" s="234">
        <v>45609</v>
      </c>
      <c r="X327" s="234" t="s">
        <v>2</v>
      </c>
      <c r="Y327" s="234"/>
      <c r="Z327" s="234" t="s">
        <v>4649</v>
      </c>
      <c r="AA327" s="243">
        <v>202411</v>
      </c>
      <c r="AB327" s="243"/>
      <c r="AC327" s="244" t="s">
        <v>4800</v>
      </c>
      <c r="AD327" s="244" t="s">
        <v>5286</v>
      </c>
      <c r="AE327" s="245">
        <v>1</v>
      </c>
      <c r="AF327" s="244" t="s">
        <v>4911</v>
      </c>
      <c r="AG327" s="239" t="str">
        <f>IFERROR(VLOOKUP(작성용!A:A,RM!A:D,4,0),"-")</f>
        <v>오수현</v>
      </c>
      <c r="AH327" s="9" t="s">
        <v>3923</v>
      </c>
      <c r="AI327" s="235" t="s">
        <v>4771</v>
      </c>
      <c r="AJ327" s="235" t="s">
        <v>5275</v>
      </c>
      <c r="AK327" s="235" t="s">
        <v>4777</v>
      </c>
      <c r="AL327" s="235">
        <v>326</v>
      </c>
    </row>
    <row r="328" spans="1:38" s="198" customFormat="1" x14ac:dyDescent="0.3">
      <c r="A328" s="222" t="s">
        <v>2226</v>
      </c>
      <c r="B328" s="222" t="s">
        <v>5270</v>
      </c>
      <c r="C328" s="241" t="s">
        <v>4778</v>
      </c>
      <c r="D328" s="237" t="s">
        <v>5285</v>
      </c>
      <c r="E328" s="236">
        <v>1101115707778</v>
      </c>
      <c r="F328" s="240" t="s">
        <v>4854</v>
      </c>
      <c r="G328" s="214">
        <v>0</v>
      </c>
      <c r="H328" s="231" t="s">
        <v>4771</v>
      </c>
      <c r="I328" s="231"/>
      <c r="J328" s="231"/>
      <c r="K328" s="231"/>
      <c r="L328" s="231"/>
      <c r="M328" s="231"/>
      <c r="N328" s="231" t="s">
        <v>4895</v>
      </c>
      <c r="O328" s="246" t="s">
        <v>5272</v>
      </c>
      <c r="P328" s="246" t="s">
        <v>5273</v>
      </c>
      <c r="Q328" s="225" t="s">
        <v>5287</v>
      </c>
      <c r="R328" s="212" t="s">
        <v>2</v>
      </c>
      <c r="S328" s="213" t="s">
        <v>4771</v>
      </c>
      <c r="T328" s="233">
        <v>45575</v>
      </c>
      <c r="U328" s="234" t="s">
        <v>4871</v>
      </c>
      <c r="V328" s="234">
        <v>45607</v>
      </c>
      <c r="W328" s="234">
        <v>45609</v>
      </c>
      <c r="X328" s="234" t="s">
        <v>2</v>
      </c>
      <c r="Y328" s="234"/>
      <c r="Z328" s="234" t="s">
        <v>4649</v>
      </c>
      <c r="AA328" s="243">
        <v>202411</v>
      </c>
      <c r="AB328" s="243"/>
      <c r="AC328" s="244" t="s">
        <v>4800</v>
      </c>
      <c r="AD328" s="244" t="s">
        <v>5286</v>
      </c>
      <c r="AE328" s="245">
        <v>0</v>
      </c>
      <c r="AF328" s="244" t="s">
        <v>4911</v>
      </c>
      <c r="AG328" s="239" t="str">
        <f>IFERROR(VLOOKUP(작성용!A:A,RM!A:D,4,0),"-")</f>
        <v>오수현</v>
      </c>
      <c r="AH328" s="9" t="s">
        <v>3923</v>
      </c>
      <c r="AI328" s="235" t="s">
        <v>4771</v>
      </c>
      <c r="AJ328" s="235" t="s">
        <v>5275</v>
      </c>
      <c r="AK328" s="235" t="s">
        <v>4777</v>
      </c>
      <c r="AL328" s="235">
        <v>327</v>
      </c>
    </row>
    <row r="329" spans="1:38" s="198" customFormat="1" x14ac:dyDescent="0.3">
      <c r="A329" s="222" t="s">
        <v>2226</v>
      </c>
      <c r="B329" s="222" t="s">
        <v>5284</v>
      </c>
      <c r="C329" s="241" t="s">
        <v>4762</v>
      </c>
      <c r="D329" s="237" t="s">
        <v>5288</v>
      </c>
      <c r="E329" s="236">
        <v>1311110654672</v>
      </c>
      <c r="F329" s="240" t="s">
        <v>4841</v>
      </c>
      <c r="G329" s="214">
        <v>0</v>
      </c>
      <c r="H329" s="231" t="s">
        <v>4771</v>
      </c>
      <c r="I329" s="231"/>
      <c r="J329" s="231"/>
      <c r="K329" s="231"/>
      <c r="L329" s="231"/>
      <c r="M329" s="231"/>
      <c r="N329" s="231" t="s">
        <v>4881</v>
      </c>
      <c r="O329" s="246" t="s">
        <v>5272</v>
      </c>
      <c r="P329" s="246" t="s">
        <v>5273</v>
      </c>
      <c r="Q329" s="225" t="s">
        <v>5274</v>
      </c>
      <c r="R329" s="212" t="s">
        <v>2</v>
      </c>
      <c r="S329" s="213" t="s">
        <v>4767</v>
      </c>
      <c r="T329" s="233">
        <v>45575</v>
      </c>
      <c r="U329" s="234" t="s">
        <v>4759</v>
      </c>
      <c r="V329" s="234">
        <v>45607</v>
      </c>
      <c r="W329" s="234">
        <v>45609</v>
      </c>
      <c r="X329" s="234" t="s">
        <v>2</v>
      </c>
      <c r="Y329" s="234"/>
      <c r="Z329" s="234" t="s">
        <v>4649</v>
      </c>
      <c r="AA329" s="243">
        <v>202411</v>
      </c>
      <c r="AB329" s="243"/>
      <c r="AC329" s="244" t="s">
        <v>4878</v>
      </c>
      <c r="AD329" s="244" t="s">
        <v>4915</v>
      </c>
      <c r="AE329" s="245">
        <v>1</v>
      </c>
      <c r="AF329" s="244" t="s">
        <v>4915</v>
      </c>
      <c r="AG329" s="239" t="str">
        <f>IFERROR(VLOOKUP(작성용!A:A,RM!A:D,4,0),"-")</f>
        <v>오수현</v>
      </c>
      <c r="AH329" s="9" t="s">
        <v>3923</v>
      </c>
      <c r="AI329" s="235" t="s">
        <v>4771</v>
      </c>
      <c r="AJ329" s="235" t="s">
        <v>5275</v>
      </c>
      <c r="AK329" s="235" t="s">
        <v>4777</v>
      </c>
      <c r="AL329" s="235">
        <v>328</v>
      </c>
    </row>
    <row r="330" spans="1:38" s="198" customFormat="1" x14ac:dyDescent="0.3">
      <c r="A330" s="222" t="s">
        <v>2226</v>
      </c>
      <c r="B330" s="222" t="s">
        <v>5270</v>
      </c>
      <c r="C330" s="241" t="s">
        <v>4778</v>
      </c>
      <c r="D330" s="237" t="s">
        <v>5289</v>
      </c>
      <c r="E330" s="236">
        <v>1101117100681</v>
      </c>
      <c r="F330" s="240" t="s">
        <v>4850</v>
      </c>
      <c r="G330" s="214">
        <v>3</v>
      </c>
      <c r="H330" s="231" t="s">
        <v>4767</v>
      </c>
      <c r="I330" s="231"/>
      <c r="J330" s="231"/>
      <c r="K330" s="231"/>
      <c r="L330" s="231"/>
      <c r="M330" s="231"/>
      <c r="N330" s="231" t="s">
        <v>4895</v>
      </c>
      <c r="O330" s="246" t="s">
        <v>5272</v>
      </c>
      <c r="P330" s="246" t="s">
        <v>5273</v>
      </c>
      <c r="Q330" s="225" t="s">
        <v>5274</v>
      </c>
      <c r="R330" s="212" t="s">
        <v>2</v>
      </c>
      <c r="S330" s="213" t="s">
        <v>4771</v>
      </c>
      <c r="T330" s="233">
        <v>45575</v>
      </c>
      <c r="U330" s="234" t="s">
        <v>4759</v>
      </c>
      <c r="V330" s="234">
        <v>45607</v>
      </c>
      <c r="W330" s="234">
        <v>45609</v>
      </c>
      <c r="X330" s="234" t="s">
        <v>2</v>
      </c>
      <c r="Y330" s="234"/>
      <c r="Z330" s="234" t="s">
        <v>4649</v>
      </c>
      <c r="AA330" s="243">
        <v>202411</v>
      </c>
      <c r="AB330" s="243"/>
      <c r="AC330" s="244" t="s">
        <v>4800</v>
      </c>
      <c r="AD330" s="244" t="s">
        <v>4987</v>
      </c>
      <c r="AE330" s="245">
        <v>1</v>
      </c>
      <c r="AF330" s="244" t="s">
        <v>5061</v>
      </c>
      <c r="AG330" s="239" t="str">
        <f>IFERROR(VLOOKUP(작성용!A:A,RM!A:D,4,0),"-")</f>
        <v>오수현</v>
      </c>
      <c r="AH330" s="9" t="s">
        <v>3923</v>
      </c>
      <c r="AI330" s="235" t="s">
        <v>4771</v>
      </c>
      <c r="AJ330" s="235" t="s">
        <v>5275</v>
      </c>
      <c r="AK330" s="235" t="s">
        <v>4777</v>
      </c>
      <c r="AL330" s="235">
        <v>329</v>
      </c>
    </row>
    <row r="331" spans="1:38" s="198" customFormat="1" x14ac:dyDescent="0.3">
      <c r="A331" s="222" t="s">
        <v>2226</v>
      </c>
      <c r="B331" s="222" t="s">
        <v>5270</v>
      </c>
      <c r="C331" s="241" t="s">
        <v>4778</v>
      </c>
      <c r="D331" s="237" t="s">
        <v>5290</v>
      </c>
      <c r="E331" s="236">
        <v>1101116455235</v>
      </c>
      <c r="F331" s="240" t="s">
        <v>4850</v>
      </c>
      <c r="G331" s="214">
        <v>0</v>
      </c>
      <c r="H331" s="231" t="s">
        <v>4771</v>
      </c>
      <c r="I331" s="231"/>
      <c r="J331" s="231"/>
      <c r="K331" s="231"/>
      <c r="L331" s="231"/>
      <c r="M331" s="231"/>
      <c r="N331" s="231" t="s">
        <v>4895</v>
      </c>
      <c r="O331" s="246" t="s">
        <v>5291</v>
      </c>
      <c r="P331" s="246" t="s">
        <v>5273</v>
      </c>
      <c r="Q331" s="225" t="s">
        <v>5274</v>
      </c>
      <c r="R331" s="212" t="s">
        <v>2</v>
      </c>
      <c r="S331" s="213" t="s">
        <v>4771</v>
      </c>
      <c r="T331" s="233">
        <v>45575</v>
      </c>
      <c r="U331" s="234" t="s">
        <v>4759</v>
      </c>
      <c r="V331" s="234">
        <v>45607</v>
      </c>
      <c r="W331" s="234">
        <v>45609</v>
      </c>
      <c r="X331" s="234" t="s">
        <v>2</v>
      </c>
      <c r="Y331" s="234"/>
      <c r="Z331" s="234" t="s">
        <v>4649</v>
      </c>
      <c r="AA331" s="243">
        <v>202411</v>
      </c>
      <c r="AB331" s="243"/>
      <c r="AC331" s="244" t="s">
        <v>4800</v>
      </c>
      <c r="AD331" s="244" t="s">
        <v>4845</v>
      </c>
      <c r="AE331" s="245">
        <v>1</v>
      </c>
      <c r="AF331" s="244" t="s">
        <v>4875</v>
      </c>
      <c r="AG331" s="239" t="str">
        <f>IFERROR(VLOOKUP(작성용!A:A,RM!A:D,4,0),"-")</f>
        <v>오수현</v>
      </c>
      <c r="AH331" s="9" t="s">
        <v>3923</v>
      </c>
      <c r="AI331" s="235" t="s">
        <v>4771</v>
      </c>
      <c r="AJ331" s="235" t="s">
        <v>5275</v>
      </c>
      <c r="AK331" s="235" t="s">
        <v>4777</v>
      </c>
      <c r="AL331" s="235">
        <v>330</v>
      </c>
    </row>
    <row r="332" spans="1:38" s="198" customFormat="1" x14ac:dyDescent="0.3">
      <c r="A332" s="222" t="s">
        <v>2226</v>
      </c>
      <c r="B332" s="222" t="s">
        <v>5270</v>
      </c>
      <c r="C332" s="241" t="s">
        <v>4762</v>
      </c>
      <c r="D332" s="237" t="s">
        <v>5292</v>
      </c>
      <c r="E332" s="236">
        <v>1101116823458</v>
      </c>
      <c r="F332" s="240" t="s">
        <v>4850</v>
      </c>
      <c r="G332" s="214">
        <v>0</v>
      </c>
      <c r="H332" s="231" t="s">
        <v>4767</v>
      </c>
      <c r="I332" s="231"/>
      <c r="J332" s="231"/>
      <c r="K332" s="231"/>
      <c r="L332" s="231"/>
      <c r="M332" s="231"/>
      <c r="N332" s="231" t="s">
        <v>4881</v>
      </c>
      <c r="O332" s="246" t="s">
        <v>5272</v>
      </c>
      <c r="P332" s="246" t="s">
        <v>5273</v>
      </c>
      <c r="Q332" s="225" t="s">
        <v>5274</v>
      </c>
      <c r="R332" s="212" t="s">
        <v>2</v>
      </c>
      <c r="S332" s="213" t="s">
        <v>4771</v>
      </c>
      <c r="T332" s="233">
        <v>45575</v>
      </c>
      <c r="U332" s="234" t="s">
        <v>4759</v>
      </c>
      <c r="V332" s="234">
        <v>45607</v>
      </c>
      <c r="W332" s="234">
        <v>45609</v>
      </c>
      <c r="X332" s="234" t="s">
        <v>2</v>
      </c>
      <c r="Y332" s="234"/>
      <c r="Z332" s="234" t="s">
        <v>4649</v>
      </c>
      <c r="AA332" s="243">
        <v>202411</v>
      </c>
      <c r="AB332" s="243"/>
      <c r="AC332" s="244" t="s">
        <v>4878</v>
      </c>
      <c r="AD332" s="244" t="s">
        <v>4933</v>
      </c>
      <c r="AE332" s="245">
        <v>1</v>
      </c>
      <c r="AF332" s="244" t="s">
        <v>5293</v>
      </c>
      <c r="AG332" s="239" t="str">
        <f>IFERROR(VLOOKUP(작성용!A:A,RM!A:D,4,0),"-")</f>
        <v>오수현</v>
      </c>
      <c r="AH332" s="9" t="s">
        <v>3923</v>
      </c>
      <c r="AI332" s="235" t="s">
        <v>4767</v>
      </c>
      <c r="AJ332" s="235" t="s">
        <v>5275</v>
      </c>
      <c r="AK332" s="235" t="s">
        <v>4777</v>
      </c>
      <c r="AL332" s="235">
        <v>331</v>
      </c>
    </row>
    <row r="333" spans="1:38" s="198" customFormat="1" x14ac:dyDescent="0.3">
      <c r="A333" s="222" t="s">
        <v>2226</v>
      </c>
      <c r="B333" s="222" t="s">
        <v>5270</v>
      </c>
      <c r="C333" s="241" t="s">
        <v>4762</v>
      </c>
      <c r="D333" s="237" t="s">
        <v>5294</v>
      </c>
      <c r="E333" s="236">
        <v>1345110364816</v>
      </c>
      <c r="F333" s="240" t="s">
        <v>4841</v>
      </c>
      <c r="G333" s="214">
        <v>3</v>
      </c>
      <c r="H333" s="231" t="s">
        <v>4767</v>
      </c>
      <c r="I333" s="231"/>
      <c r="J333" s="231"/>
      <c r="K333" s="231"/>
      <c r="L333" s="231"/>
      <c r="M333" s="231"/>
      <c r="N333" s="231" t="s">
        <v>4895</v>
      </c>
      <c r="O333" s="246" t="s">
        <v>5272</v>
      </c>
      <c r="P333" s="246" t="s">
        <v>5273</v>
      </c>
      <c r="Q333" s="225" t="s">
        <v>5274</v>
      </c>
      <c r="R333" s="212" t="s">
        <v>2</v>
      </c>
      <c r="S333" s="213" t="s">
        <v>4771</v>
      </c>
      <c r="T333" s="233">
        <v>45575</v>
      </c>
      <c r="U333" s="234" t="s">
        <v>4871</v>
      </c>
      <c r="V333" s="234">
        <v>45607</v>
      </c>
      <c r="W333" s="234">
        <v>45609</v>
      </c>
      <c r="X333" s="234" t="s">
        <v>2</v>
      </c>
      <c r="Y333" s="234"/>
      <c r="Z333" s="234" t="s">
        <v>4649</v>
      </c>
      <c r="AA333" s="243">
        <v>202411</v>
      </c>
      <c r="AB333" s="243"/>
      <c r="AC333" s="244" t="s">
        <v>4800</v>
      </c>
      <c r="AD333" s="244" t="s">
        <v>5021</v>
      </c>
      <c r="AE333" s="245">
        <v>1</v>
      </c>
      <c r="AF333" s="244" t="s">
        <v>5021</v>
      </c>
      <c r="AG333" s="239" t="str">
        <f>IFERROR(VLOOKUP(작성용!A:A,RM!A:D,4,0),"-")</f>
        <v>오수현</v>
      </c>
      <c r="AH333" s="9" t="s">
        <v>3923</v>
      </c>
      <c r="AI333" s="235" t="s">
        <v>4771</v>
      </c>
      <c r="AJ333" s="235" t="s">
        <v>5275</v>
      </c>
      <c r="AK333" s="235" t="s">
        <v>4777</v>
      </c>
      <c r="AL333" s="235">
        <v>332</v>
      </c>
    </row>
    <row r="334" spans="1:38" s="198" customFormat="1" x14ac:dyDescent="0.3">
      <c r="A334" s="222" t="s">
        <v>2226</v>
      </c>
      <c r="B334" s="222" t="s">
        <v>5284</v>
      </c>
      <c r="C334" s="241" t="s">
        <v>4778</v>
      </c>
      <c r="D334" s="237" t="s">
        <v>5073</v>
      </c>
      <c r="E334" s="236">
        <v>1101116637768</v>
      </c>
      <c r="F334" s="240" t="s">
        <v>4850</v>
      </c>
      <c r="G334" s="214">
        <v>0</v>
      </c>
      <c r="H334" s="231" t="s">
        <v>4771</v>
      </c>
      <c r="I334" s="231"/>
      <c r="J334" s="231"/>
      <c r="K334" s="231"/>
      <c r="L334" s="231"/>
      <c r="M334" s="231"/>
      <c r="N334" s="231" t="s">
        <v>4895</v>
      </c>
      <c r="O334" s="246" t="s">
        <v>5291</v>
      </c>
      <c r="P334" s="246" t="s">
        <v>5295</v>
      </c>
      <c r="Q334" s="225" t="s">
        <v>5274</v>
      </c>
      <c r="R334" s="212" t="s">
        <v>2</v>
      </c>
      <c r="S334" s="213" t="s">
        <v>4771</v>
      </c>
      <c r="T334" s="233">
        <v>45575</v>
      </c>
      <c r="U334" s="234" t="s">
        <v>4759</v>
      </c>
      <c r="V334" s="234">
        <v>45607</v>
      </c>
      <c r="W334" s="234">
        <v>45609</v>
      </c>
      <c r="X334" s="234" t="s">
        <v>2</v>
      </c>
      <c r="Y334" s="234"/>
      <c r="Z334" s="234" t="s">
        <v>4649</v>
      </c>
      <c r="AA334" s="243">
        <v>202411</v>
      </c>
      <c r="AB334" s="243"/>
      <c r="AC334" s="244" t="s">
        <v>4800</v>
      </c>
      <c r="AD334" s="244" t="s">
        <v>4862</v>
      </c>
      <c r="AE334" s="245">
        <v>0</v>
      </c>
      <c r="AF334" s="244" t="s">
        <v>4862</v>
      </c>
      <c r="AG334" s="239" t="str">
        <f>IFERROR(VLOOKUP(작성용!A:A,RM!A:D,4,0),"-")</f>
        <v>오수현</v>
      </c>
      <c r="AH334" s="9" t="s">
        <v>3923</v>
      </c>
      <c r="AI334" s="235" t="s">
        <v>4771</v>
      </c>
      <c r="AJ334" s="235" t="s">
        <v>5275</v>
      </c>
      <c r="AK334" s="235" t="s">
        <v>4777</v>
      </c>
      <c r="AL334" s="235">
        <v>333</v>
      </c>
    </row>
    <row r="335" spans="1:38" s="198" customFormat="1" x14ac:dyDescent="0.3">
      <c r="A335" s="222" t="s">
        <v>2226</v>
      </c>
      <c r="B335" s="222" t="s">
        <v>5270</v>
      </c>
      <c r="C335" s="241" t="s">
        <v>4762</v>
      </c>
      <c r="D335" s="237" t="s">
        <v>5296</v>
      </c>
      <c r="E335" s="236">
        <v>1348110066482</v>
      </c>
      <c r="F335" s="240" t="s">
        <v>4850</v>
      </c>
      <c r="G335" s="214">
        <v>0</v>
      </c>
      <c r="H335" s="231" t="s">
        <v>4771</v>
      </c>
      <c r="I335" s="231"/>
      <c r="J335" s="231"/>
      <c r="K335" s="231"/>
      <c r="L335" s="231"/>
      <c r="M335" s="231"/>
      <c r="N335" s="231" t="s">
        <v>4895</v>
      </c>
      <c r="O335" s="246" t="s">
        <v>5272</v>
      </c>
      <c r="P335" s="246" t="s">
        <v>5273</v>
      </c>
      <c r="Q335" s="225" t="s">
        <v>5274</v>
      </c>
      <c r="R335" s="212" t="s">
        <v>2</v>
      </c>
      <c r="S335" s="213" t="s">
        <v>4771</v>
      </c>
      <c r="T335" s="233">
        <v>45575</v>
      </c>
      <c r="U335" s="234" t="s">
        <v>4759</v>
      </c>
      <c r="V335" s="234">
        <v>45607</v>
      </c>
      <c r="W335" s="234">
        <v>45609</v>
      </c>
      <c r="X335" s="234" t="s">
        <v>2</v>
      </c>
      <c r="Y335" s="234"/>
      <c r="Z335" s="234" t="s">
        <v>4649</v>
      </c>
      <c r="AA335" s="243">
        <v>202411</v>
      </c>
      <c r="AB335" s="243"/>
      <c r="AC335" s="244" t="s">
        <v>4800</v>
      </c>
      <c r="AD335" s="244" t="s">
        <v>4927</v>
      </c>
      <c r="AE335" s="245">
        <v>1</v>
      </c>
      <c r="AF335" s="244" t="s">
        <v>4927</v>
      </c>
      <c r="AG335" s="239" t="str">
        <f>IFERROR(VLOOKUP(작성용!A:A,RM!A:D,4,0),"-")</f>
        <v>오수현</v>
      </c>
      <c r="AH335" s="9" t="s">
        <v>3923</v>
      </c>
      <c r="AI335" s="235" t="s">
        <v>4771</v>
      </c>
      <c r="AJ335" s="235" t="s">
        <v>5275</v>
      </c>
      <c r="AK335" s="235" t="s">
        <v>4777</v>
      </c>
      <c r="AL335" s="235">
        <v>334</v>
      </c>
    </row>
    <row r="336" spans="1:38" s="198" customFormat="1" x14ac:dyDescent="0.3">
      <c r="A336" s="222" t="s">
        <v>2226</v>
      </c>
      <c r="B336" s="222" t="s">
        <v>5270</v>
      </c>
      <c r="C336" s="241" t="s">
        <v>4762</v>
      </c>
      <c r="D336" s="237" t="s">
        <v>5296</v>
      </c>
      <c r="E336" s="236">
        <v>1348110066482</v>
      </c>
      <c r="F336" s="240" t="s">
        <v>4854</v>
      </c>
      <c r="G336" s="214">
        <v>0</v>
      </c>
      <c r="H336" s="231" t="s">
        <v>4771</v>
      </c>
      <c r="I336" s="231"/>
      <c r="J336" s="231"/>
      <c r="K336" s="231"/>
      <c r="L336" s="231"/>
      <c r="M336" s="231"/>
      <c r="N336" s="231" t="s">
        <v>4895</v>
      </c>
      <c r="O336" s="246" t="s">
        <v>5272</v>
      </c>
      <c r="P336" s="246" t="s">
        <v>5273</v>
      </c>
      <c r="Q336" s="225" t="s">
        <v>5274</v>
      </c>
      <c r="R336" s="212" t="s">
        <v>2</v>
      </c>
      <c r="S336" s="213" t="s">
        <v>4771</v>
      </c>
      <c r="T336" s="233">
        <v>45575</v>
      </c>
      <c r="U336" s="234" t="s">
        <v>4759</v>
      </c>
      <c r="V336" s="234">
        <v>45607</v>
      </c>
      <c r="W336" s="234">
        <v>45609</v>
      </c>
      <c r="X336" s="234" t="s">
        <v>2</v>
      </c>
      <c r="Y336" s="234"/>
      <c r="Z336" s="234" t="s">
        <v>4649</v>
      </c>
      <c r="AA336" s="243">
        <v>202411</v>
      </c>
      <c r="AB336" s="243"/>
      <c r="AC336" s="244" t="s">
        <v>4800</v>
      </c>
      <c r="AD336" s="244" t="s">
        <v>4927</v>
      </c>
      <c r="AE336" s="245">
        <v>0</v>
      </c>
      <c r="AF336" s="244" t="s">
        <v>4927</v>
      </c>
      <c r="AG336" s="239" t="str">
        <f>IFERROR(VLOOKUP(작성용!A:A,RM!A:D,4,0),"-")</f>
        <v>오수현</v>
      </c>
      <c r="AH336" s="9" t="s">
        <v>3923</v>
      </c>
      <c r="AI336" s="235" t="s">
        <v>4771</v>
      </c>
      <c r="AJ336" s="235" t="s">
        <v>5275</v>
      </c>
      <c r="AK336" s="235" t="s">
        <v>4777</v>
      </c>
      <c r="AL336" s="235">
        <v>335</v>
      </c>
    </row>
    <row r="337" spans="1:38" s="198" customFormat="1" x14ac:dyDescent="0.3">
      <c r="A337" s="222" t="s">
        <v>2226</v>
      </c>
      <c r="B337" s="222" t="s">
        <v>5270</v>
      </c>
      <c r="C337" s="241" t="s">
        <v>4762</v>
      </c>
      <c r="D337" s="237" t="s">
        <v>5297</v>
      </c>
      <c r="E337" s="236">
        <v>1101114800680</v>
      </c>
      <c r="F337" s="240" t="s">
        <v>4850</v>
      </c>
      <c r="G337" s="214">
        <v>0</v>
      </c>
      <c r="H337" s="231" t="s">
        <v>4771</v>
      </c>
      <c r="I337" s="231"/>
      <c r="J337" s="231"/>
      <c r="K337" s="231"/>
      <c r="L337" s="231"/>
      <c r="M337" s="231"/>
      <c r="N337" s="231" t="s">
        <v>4895</v>
      </c>
      <c r="O337" s="246" t="s">
        <v>5272</v>
      </c>
      <c r="P337" s="246" t="s">
        <v>5273</v>
      </c>
      <c r="Q337" s="225" t="s">
        <v>5274</v>
      </c>
      <c r="R337" s="212" t="s">
        <v>2</v>
      </c>
      <c r="S337" s="213" t="s">
        <v>4771</v>
      </c>
      <c r="T337" s="233">
        <v>45575</v>
      </c>
      <c r="U337" s="234" t="s">
        <v>4759</v>
      </c>
      <c r="V337" s="234">
        <v>45607</v>
      </c>
      <c r="W337" s="234">
        <v>45609</v>
      </c>
      <c r="X337" s="234" t="s">
        <v>2</v>
      </c>
      <c r="Y337" s="234"/>
      <c r="Z337" s="234" t="s">
        <v>4649</v>
      </c>
      <c r="AA337" s="243">
        <v>202411</v>
      </c>
      <c r="AB337" s="243"/>
      <c r="AC337" s="244" t="s">
        <v>4800</v>
      </c>
      <c r="AD337" s="244" t="s">
        <v>4933</v>
      </c>
      <c r="AE337" s="245">
        <v>1</v>
      </c>
      <c r="AF337" s="244" t="s">
        <v>4933</v>
      </c>
      <c r="AG337" s="239" t="str">
        <f>IFERROR(VLOOKUP(작성용!A:A,RM!A:D,4,0),"-")</f>
        <v>오수현</v>
      </c>
      <c r="AH337" s="9" t="s">
        <v>3923</v>
      </c>
      <c r="AI337" s="235" t="s">
        <v>4771</v>
      </c>
      <c r="AJ337" s="235" t="s">
        <v>5275</v>
      </c>
      <c r="AK337" s="235" t="s">
        <v>4777</v>
      </c>
      <c r="AL337" s="235">
        <v>336</v>
      </c>
    </row>
    <row r="338" spans="1:38" s="198" customFormat="1" x14ac:dyDescent="0.3">
      <c r="A338" s="222" t="s">
        <v>2226</v>
      </c>
      <c r="B338" s="222" t="s">
        <v>5270</v>
      </c>
      <c r="C338" s="241" t="s">
        <v>4778</v>
      </c>
      <c r="D338" s="237" t="s">
        <v>5298</v>
      </c>
      <c r="E338" s="236">
        <v>1601110527923</v>
      </c>
      <c r="F338" s="240" t="s">
        <v>4850</v>
      </c>
      <c r="G338" s="214">
        <v>0</v>
      </c>
      <c r="H338" s="231" t="s">
        <v>4771</v>
      </c>
      <c r="I338" s="231"/>
      <c r="J338" s="231"/>
      <c r="K338" s="231"/>
      <c r="L338" s="231"/>
      <c r="M338" s="231"/>
      <c r="N338" s="231" t="s">
        <v>4895</v>
      </c>
      <c r="O338" s="246" t="s">
        <v>5272</v>
      </c>
      <c r="P338" s="246" t="s">
        <v>5273</v>
      </c>
      <c r="Q338" s="225" t="s">
        <v>5274</v>
      </c>
      <c r="R338" s="212" t="s">
        <v>2</v>
      </c>
      <c r="S338" s="213" t="s">
        <v>4771</v>
      </c>
      <c r="T338" s="233">
        <v>45575</v>
      </c>
      <c r="U338" s="234" t="s">
        <v>4759</v>
      </c>
      <c r="V338" s="234">
        <v>45607</v>
      </c>
      <c r="W338" s="234">
        <v>45609</v>
      </c>
      <c r="X338" s="234" t="s">
        <v>2</v>
      </c>
      <c r="Y338" s="234"/>
      <c r="Z338" s="234" t="s">
        <v>4649</v>
      </c>
      <c r="AA338" s="243">
        <v>202411</v>
      </c>
      <c r="AB338" s="243"/>
      <c r="AC338" s="244" t="s">
        <v>4800</v>
      </c>
      <c r="AD338" s="244" t="s">
        <v>4864</v>
      </c>
      <c r="AE338" s="245">
        <v>1</v>
      </c>
      <c r="AF338" s="244" t="s">
        <v>4864</v>
      </c>
      <c r="AG338" s="239" t="str">
        <f>IFERROR(VLOOKUP(작성용!A:A,RM!A:D,4,0),"-")</f>
        <v>오수현</v>
      </c>
      <c r="AH338" s="9" t="s">
        <v>3923</v>
      </c>
      <c r="AI338" s="235" t="s">
        <v>4771</v>
      </c>
      <c r="AJ338" s="235" t="s">
        <v>5275</v>
      </c>
      <c r="AK338" s="235" t="s">
        <v>4777</v>
      </c>
      <c r="AL338" s="235">
        <v>337</v>
      </c>
    </row>
    <row r="339" spans="1:38" s="198" customFormat="1" x14ac:dyDescent="0.3">
      <c r="A339" s="222" t="s">
        <v>2226</v>
      </c>
      <c r="B339" s="222" t="s">
        <v>5270</v>
      </c>
      <c r="C339" s="241" t="s">
        <v>4762</v>
      </c>
      <c r="D339" s="237" t="s">
        <v>5299</v>
      </c>
      <c r="E339" s="236">
        <v>1101113821249</v>
      </c>
      <c r="F339" s="240" t="s">
        <v>4850</v>
      </c>
      <c r="G339" s="214">
        <v>0</v>
      </c>
      <c r="H339" s="231" t="s">
        <v>4771</v>
      </c>
      <c r="I339" s="231"/>
      <c r="J339" s="231"/>
      <c r="K339" s="231"/>
      <c r="L339" s="231"/>
      <c r="M339" s="231"/>
      <c r="N339" s="231" t="s">
        <v>4895</v>
      </c>
      <c r="O339" s="246" t="s">
        <v>5272</v>
      </c>
      <c r="P339" s="246" t="s">
        <v>5273</v>
      </c>
      <c r="Q339" s="225" t="s">
        <v>5274</v>
      </c>
      <c r="R339" s="212" t="s">
        <v>2</v>
      </c>
      <c r="S339" s="213" t="s">
        <v>4771</v>
      </c>
      <c r="T339" s="233">
        <v>45575</v>
      </c>
      <c r="U339" s="234" t="s">
        <v>4759</v>
      </c>
      <c r="V339" s="234">
        <v>45607</v>
      </c>
      <c r="W339" s="234">
        <v>45609</v>
      </c>
      <c r="X339" s="234" t="s">
        <v>2</v>
      </c>
      <c r="Y339" s="234"/>
      <c r="Z339" s="234" t="s">
        <v>4649</v>
      </c>
      <c r="AA339" s="243">
        <v>202411</v>
      </c>
      <c r="AB339" s="243"/>
      <c r="AC339" s="244" t="s">
        <v>4800</v>
      </c>
      <c r="AD339" s="244" t="s">
        <v>4858</v>
      </c>
      <c r="AE339" s="245">
        <v>1</v>
      </c>
      <c r="AF339" s="244" t="s">
        <v>4858</v>
      </c>
      <c r="AG339" s="239" t="str">
        <f>IFERROR(VLOOKUP(작성용!A:A,RM!A:D,4,0),"-")</f>
        <v>오수현</v>
      </c>
      <c r="AH339" s="9" t="s">
        <v>3923</v>
      </c>
      <c r="AI339" s="235" t="s">
        <v>4771</v>
      </c>
      <c r="AJ339" s="235" t="s">
        <v>5275</v>
      </c>
      <c r="AK339" s="235" t="s">
        <v>4777</v>
      </c>
      <c r="AL339" s="235">
        <v>338</v>
      </c>
    </row>
    <row r="340" spans="1:38" s="198" customFormat="1" x14ac:dyDescent="0.3">
      <c r="A340" s="222" t="s">
        <v>2226</v>
      </c>
      <c r="B340" s="222" t="s">
        <v>5270</v>
      </c>
      <c r="C340" s="241" t="s">
        <v>4762</v>
      </c>
      <c r="D340" s="237" t="s">
        <v>5300</v>
      </c>
      <c r="E340" s="236">
        <v>1311110644508</v>
      </c>
      <c r="F340" s="240" t="s">
        <v>4850</v>
      </c>
      <c r="G340" s="214">
        <v>0</v>
      </c>
      <c r="H340" s="231" t="s">
        <v>4771</v>
      </c>
      <c r="I340" s="231"/>
      <c r="J340" s="231"/>
      <c r="K340" s="231"/>
      <c r="L340" s="231"/>
      <c r="M340" s="231"/>
      <c r="N340" s="231" t="s">
        <v>4895</v>
      </c>
      <c r="O340" s="246" t="s">
        <v>5272</v>
      </c>
      <c r="P340" s="246" t="s">
        <v>5273</v>
      </c>
      <c r="Q340" s="225" t="s">
        <v>5274</v>
      </c>
      <c r="R340" s="212" t="s">
        <v>2</v>
      </c>
      <c r="S340" s="213" t="s">
        <v>4771</v>
      </c>
      <c r="T340" s="233">
        <v>45575</v>
      </c>
      <c r="U340" s="234" t="s">
        <v>4759</v>
      </c>
      <c r="V340" s="234">
        <v>45607</v>
      </c>
      <c r="W340" s="234">
        <v>45609</v>
      </c>
      <c r="X340" s="234" t="s">
        <v>2</v>
      </c>
      <c r="Y340" s="234"/>
      <c r="Z340" s="234" t="s">
        <v>4649</v>
      </c>
      <c r="AA340" s="243">
        <v>202411</v>
      </c>
      <c r="AB340" s="243"/>
      <c r="AC340" s="244" t="s">
        <v>4800</v>
      </c>
      <c r="AD340" s="244" t="s">
        <v>4858</v>
      </c>
      <c r="AE340" s="245">
        <v>1</v>
      </c>
      <c r="AF340" s="244" t="s">
        <v>4858</v>
      </c>
      <c r="AG340" s="239" t="str">
        <f>IFERROR(VLOOKUP(작성용!A:A,RM!A:D,4,0),"-")</f>
        <v>오수현</v>
      </c>
      <c r="AH340" s="9" t="s">
        <v>3923</v>
      </c>
      <c r="AI340" s="235" t="s">
        <v>4771</v>
      </c>
      <c r="AJ340" s="235" t="s">
        <v>5275</v>
      </c>
      <c r="AK340" s="235" t="s">
        <v>4777</v>
      </c>
      <c r="AL340" s="235">
        <v>339</v>
      </c>
    </row>
    <row r="341" spans="1:38" s="198" customFormat="1" x14ac:dyDescent="0.3">
      <c r="A341" s="222" t="s">
        <v>2226</v>
      </c>
      <c r="B341" s="222" t="s">
        <v>5270</v>
      </c>
      <c r="C341" s="241" t="s">
        <v>4778</v>
      </c>
      <c r="D341" s="237" t="s">
        <v>5301</v>
      </c>
      <c r="E341" s="236">
        <v>1101115763910</v>
      </c>
      <c r="F341" s="240" t="s">
        <v>4850</v>
      </c>
      <c r="G341" s="214">
        <v>0</v>
      </c>
      <c r="H341" s="231" t="s">
        <v>4771</v>
      </c>
      <c r="I341" s="231"/>
      <c r="J341" s="231"/>
      <c r="K341" s="231"/>
      <c r="L341" s="231"/>
      <c r="M341" s="231"/>
      <c r="N341" s="231" t="s">
        <v>4895</v>
      </c>
      <c r="O341" s="246" t="s">
        <v>5272</v>
      </c>
      <c r="P341" s="246" t="s">
        <v>5273</v>
      </c>
      <c r="Q341" s="225" t="s">
        <v>5274</v>
      </c>
      <c r="R341" s="212" t="s">
        <v>2</v>
      </c>
      <c r="S341" s="213" t="s">
        <v>4771</v>
      </c>
      <c r="T341" s="233">
        <v>45575</v>
      </c>
      <c r="U341" s="234" t="s">
        <v>4759</v>
      </c>
      <c r="V341" s="234">
        <v>45607</v>
      </c>
      <c r="W341" s="234">
        <v>45609</v>
      </c>
      <c r="X341" s="234" t="s">
        <v>2</v>
      </c>
      <c r="Y341" s="234"/>
      <c r="Z341" s="234" t="s">
        <v>4649</v>
      </c>
      <c r="AA341" s="243">
        <v>202411</v>
      </c>
      <c r="AB341" s="243"/>
      <c r="AC341" s="244" t="s">
        <v>4800</v>
      </c>
      <c r="AD341" s="244" t="s">
        <v>4860</v>
      </c>
      <c r="AE341" s="245">
        <v>1</v>
      </c>
      <c r="AF341" s="244" t="s">
        <v>4860</v>
      </c>
      <c r="AG341" s="239" t="str">
        <f>IFERROR(VLOOKUP(작성용!A:A,RM!A:D,4,0),"-")</f>
        <v>오수현</v>
      </c>
      <c r="AH341" s="9" t="s">
        <v>3923</v>
      </c>
      <c r="AI341" s="235" t="s">
        <v>4771</v>
      </c>
      <c r="AJ341" s="235" t="s">
        <v>5275</v>
      </c>
      <c r="AK341" s="235" t="s">
        <v>4777</v>
      </c>
      <c r="AL341" s="235">
        <v>340</v>
      </c>
    </row>
    <row r="342" spans="1:38" s="198" customFormat="1" x14ac:dyDescent="0.3">
      <c r="A342" s="222" t="s">
        <v>2226</v>
      </c>
      <c r="B342" s="222" t="s">
        <v>5270</v>
      </c>
      <c r="C342" s="241" t="s">
        <v>4778</v>
      </c>
      <c r="D342" s="237" t="s">
        <v>5301</v>
      </c>
      <c r="E342" s="236">
        <v>1101115763910</v>
      </c>
      <c r="F342" s="240" t="s">
        <v>4850</v>
      </c>
      <c r="G342" s="214">
        <v>1</v>
      </c>
      <c r="H342" s="231" t="s">
        <v>4771</v>
      </c>
      <c r="I342" s="231"/>
      <c r="J342" s="231"/>
      <c r="K342" s="231"/>
      <c r="L342" s="231"/>
      <c r="M342" s="231"/>
      <c r="N342" s="231" t="s">
        <v>4895</v>
      </c>
      <c r="O342" s="246" t="s">
        <v>5272</v>
      </c>
      <c r="P342" s="246" t="s">
        <v>5273</v>
      </c>
      <c r="Q342" s="225" t="s">
        <v>5274</v>
      </c>
      <c r="R342" s="212" t="s">
        <v>2</v>
      </c>
      <c r="S342" s="213" t="s">
        <v>4771</v>
      </c>
      <c r="T342" s="233">
        <v>45575</v>
      </c>
      <c r="U342" s="234" t="s">
        <v>4759</v>
      </c>
      <c r="V342" s="234">
        <v>45607</v>
      </c>
      <c r="W342" s="234">
        <v>45609</v>
      </c>
      <c r="X342" s="234" t="s">
        <v>2</v>
      </c>
      <c r="Y342" s="234"/>
      <c r="Z342" s="234" t="s">
        <v>4649</v>
      </c>
      <c r="AA342" s="243">
        <v>202411</v>
      </c>
      <c r="AB342" s="243"/>
      <c r="AC342" s="244" t="s">
        <v>4800</v>
      </c>
      <c r="AD342" s="244" t="s">
        <v>4860</v>
      </c>
      <c r="AE342" s="245">
        <v>0</v>
      </c>
      <c r="AF342" s="244" t="s">
        <v>4860</v>
      </c>
      <c r="AG342" s="239" t="str">
        <f>IFERROR(VLOOKUP(작성용!A:A,RM!A:D,4,0),"-")</f>
        <v>오수현</v>
      </c>
      <c r="AH342" s="9" t="s">
        <v>3923</v>
      </c>
      <c r="AI342" s="235" t="s">
        <v>4771</v>
      </c>
      <c r="AJ342" s="235" t="s">
        <v>5275</v>
      </c>
      <c r="AK342" s="235" t="s">
        <v>4777</v>
      </c>
      <c r="AL342" s="235">
        <v>341</v>
      </c>
    </row>
    <row r="343" spans="1:38" s="198" customFormat="1" x14ac:dyDescent="0.3">
      <c r="A343" s="222" t="s">
        <v>2226</v>
      </c>
      <c r="B343" s="222" t="s">
        <v>5270</v>
      </c>
      <c r="C343" s="241" t="s">
        <v>4762</v>
      </c>
      <c r="D343" s="237" t="s">
        <v>5302</v>
      </c>
      <c r="E343" s="236">
        <v>1101112885949</v>
      </c>
      <c r="F343" s="240" t="s">
        <v>4850</v>
      </c>
      <c r="G343" s="214">
        <v>0</v>
      </c>
      <c r="H343" s="231" t="s">
        <v>4771</v>
      </c>
      <c r="I343" s="231"/>
      <c r="J343" s="231"/>
      <c r="K343" s="231"/>
      <c r="L343" s="231"/>
      <c r="M343" s="231"/>
      <c r="N343" s="231" t="s">
        <v>4895</v>
      </c>
      <c r="O343" s="246" t="s">
        <v>5272</v>
      </c>
      <c r="P343" s="246" t="s">
        <v>5273</v>
      </c>
      <c r="Q343" s="225" t="s">
        <v>5274</v>
      </c>
      <c r="R343" s="212" t="s">
        <v>2</v>
      </c>
      <c r="S343" s="213" t="s">
        <v>4771</v>
      </c>
      <c r="T343" s="233">
        <v>45575</v>
      </c>
      <c r="U343" s="234" t="s">
        <v>4759</v>
      </c>
      <c r="V343" s="234">
        <v>45607</v>
      </c>
      <c r="W343" s="234">
        <v>45609</v>
      </c>
      <c r="X343" s="234" t="s">
        <v>2</v>
      </c>
      <c r="Y343" s="234"/>
      <c r="Z343" s="234" t="s">
        <v>4649</v>
      </c>
      <c r="AA343" s="243">
        <v>202411</v>
      </c>
      <c r="AB343" s="243"/>
      <c r="AC343" s="244" t="s">
        <v>4800</v>
      </c>
      <c r="AD343" s="244" t="s">
        <v>4856</v>
      </c>
      <c r="AE343" s="245">
        <v>1</v>
      </c>
      <c r="AF343" s="244" t="s">
        <v>4856</v>
      </c>
      <c r="AG343" s="239" t="str">
        <f>IFERROR(VLOOKUP(작성용!A:A,RM!A:D,4,0),"-")</f>
        <v>오수현</v>
      </c>
      <c r="AH343" s="9" t="s">
        <v>3923</v>
      </c>
      <c r="AI343" s="235" t="s">
        <v>4771</v>
      </c>
      <c r="AJ343" s="235" t="s">
        <v>5275</v>
      </c>
      <c r="AK343" s="235" t="s">
        <v>4777</v>
      </c>
      <c r="AL343" s="235">
        <v>342</v>
      </c>
    </row>
    <row r="344" spans="1:38" s="198" customFormat="1" x14ac:dyDescent="0.3">
      <c r="A344" s="222" t="s">
        <v>2226</v>
      </c>
      <c r="B344" s="222" t="s">
        <v>5270</v>
      </c>
      <c r="C344" s="241" t="s">
        <v>4762</v>
      </c>
      <c r="D344" s="237" t="s">
        <v>5303</v>
      </c>
      <c r="E344" s="236">
        <v>1101117199957</v>
      </c>
      <c r="F344" s="240" t="s">
        <v>4854</v>
      </c>
      <c r="G344" s="214">
        <v>0</v>
      </c>
      <c r="H344" s="231" t="s">
        <v>4771</v>
      </c>
      <c r="I344" s="231"/>
      <c r="J344" s="231"/>
      <c r="K344" s="231"/>
      <c r="L344" s="231"/>
      <c r="M344" s="231"/>
      <c r="N344" s="231" t="s">
        <v>4895</v>
      </c>
      <c r="O344" s="246" t="s">
        <v>5272</v>
      </c>
      <c r="P344" s="246" t="s">
        <v>5273</v>
      </c>
      <c r="Q344" s="225" t="s">
        <v>5274</v>
      </c>
      <c r="R344" s="212" t="s">
        <v>2</v>
      </c>
      <c r="S344" s="213" t="s">
        <v>4771</v>
      </c>
      <c r="T344" s="233">
        <v>45575</v>
      </c>
      <c r="U344" s="234" t="s">
        <v>4759</v>
      </c>
      <c r="V344" s="234">
        <v>45607</v>
      </c>
      <c r="W344" s="234">
        <v>45609</v>
      </c>
      <c r="X344" s="234" t="s">
        <v>2</v>
      </c>
      <c r="Y344" s="234"/>
      <c r="Z344" s="234" t="s">
        <v>4649</v>
      </c>
      <c r="AA344" s="243">
        <v>202411</v>
      </c>
      <c r="AB344" s="243"/>
      <c r="AC344" s="244" t="s">
        <v>4800</v>
      </c>
      <c r="AD344" s="244" t="s">
        <v>4856</v>
      </c>
      <c r="AE344" s="245">
        <v>1</v>
      </c>
      <c r="AF344" s="244" t="s">
        <v>4856</v>
      </c>
      <c r="AG344" s="239" t="str">
        <f>IFERROR(VLOOKUP(작성용!A:A,RM!A:D,4,0),"-")</f>
        <v>오수현</v>
      </c>
      <c r="AH344" s="9" t="s">
        <v>3923</v>
      </c>
      <c r="AI344" s="235" t="s">
        <v>4771</v>
      </c>
      <c r="AJ344" s="235" t="s">
        <v>5275</v>
      </c>
      <c r="AK344" s="235" t="s">
        <v>4777</v>
      </c>
      <c r="AL344" s="235">
        <v>343</v>
      </c>
    </row>
    <row r="345" spans="1:38" s="198" customFormat="1" x14ac:dyDescent="0.3">
      <c r="A345" s="222" t="s">
        <v>2226</v>
      </c>
      <c r="B345" s="222" t="s">
        <v>5270</v>
      </c>
      <c r="C345" s="241" t="s">
        <v>4762</v>
      </c>
      <c r="D345" s="237" t="s">
        <v>5303</v>
      </c>
      <c r="E345" s="236">
        <v>1101117199957</v>
      </c>
      <c r="F345" s="240" t="s">
        <v>4850</v>
      </c>
      <c r="G345" s="214">
        <v>0</v>
      </c>
      <c r="H345" s="231" t="s">
        <v>4771</v>
      </c>
      <c r="I345" s="231"/>
      <c r="J345" s="231"/>
      <c r="K345" s="231"/>
      <c r="L345" s="231"/>
      <c r="M345" s="231"/>
      <c r="N345" s="231" t="s">
        <v>4895</v>
      </c>
      <c r="O345" s="246" t="s">
        <v>5272</v>
      </c>
      <c r="P345" s="246" t="s">
        <v>5273</v>
      </c>
      <c r="Q345" s="225" t="s">
        <v>5274</v>
      </c>
      <c r="R345" s="212" t="s">
        <v>2</v>
      </c>
      <c r="S345" s="213" t="s">
        <v>4771</v>
      </c>
      <c r="T345" s="233">
        <v>45575</v>
      </c>
      <c r="U345" s="234" t="s">
        <v>4759</v>
      </c>
      <c r="V345" s="234">
        <v>45607</v>
      </c>
      <c r="W345" s="234">
        <v>45609</v>
      </c>
      <c r="X345" s="234" t="s">
        <v>2</v>
      </c>
      <c r="Y345" s="234"/>
      <c r="Z345" s="234" t="s">
        <v>4649</v>
      </c>
      <c r="AA345" s="243">
        <v>202411</v>
      </c>
      <c r="AB345" s="243"/>
      <c r="AC345" s="244" t="s">
        <v>4800</v>
      </c>
      <c r="AD345" s="244" t="s">
        <v>4856</v>
      </c>
      <c r="AE345" s="245">
        <v>0</v>
      </c>
      <c r="AF345" s="244" t="s">
        <v>4856</v>
      </c>
      <c r="AG345" s="239" t="str">
        <f>IFERROR(VLOOKUP(작성용!A:A,RM!A:D,4,0),"-")</f>
        <v>오수현</v>
      </c>
      <c r="AH345" s="9" t="s">
        <v>3923</v>
      </c>
      <c r="AI345" s="235" t="s">
        <v>4771</v>
      </c>
      <c r="AJ345" s="235" t="s">
        <v>5275</v>
      </c>
      <c r="AK345" s="235" t="s">
        <v>4777</v>
      </c>
      <c r="AL345" s="235">
        <v>344</v>
      </c>
    </row>
    <row r="346" spans="1:38" s="198" customFormat="1" x14ac:dyDescent="0.3">
      <c r="A346" s="222" t="s">
        <v>2226</v>
      </c>
      <c r="B346" s="222" t="s">
        <v>5270</v>
      </c>
      <c r="C346" s="241" t="s">
        <v>4762</v>
      </c>
      <c r="D346" s="237" t="s">
        <v>5304</v>
      </c>
      <c r="E346" s="236">
        <v>2811110093358</v>
      </c>
      <c r="F346" s="240" t="s">
        <v>4854</v>
      </c>
      <c r="G346" s="214">
        <v>0</v>
      </c>
      <c r="H346" s="231" t="s">
        <v>4771</v>
      </c>
      <c r="I346" s="231"/>
      <c r="J346" s="231"/>
      <c r="K346" s="231"/>
      <c r="L346" s="231"/>
      <c r="M346" s="231"/>
      <c r="N346" s="231" t="s">
        <v>4895</v>
      </c>
      <c r="O346" s="246" t="s">
        <v>5272</v>
      </c>
      <c r="P346" s="246" t="s">
        <v>5273</v>
      </c>
      <c r="Q346" s="225" t="s">
        <v>5274</v>
      </c>
      <c r="R346" s="212" t="s">
        <v>4771</v>
      </c>
      <c r="S346" s="213" t="s">
        <v>4771</v>
      </c>
      <c r="T346" s="233">
        <v>45575</v>
      </c>
      <c r="U346" s="234" t="s">
        <v>4759</v>
      </c>
      <c r="V346" s="234">
        <v>45607</v>
      </c>
      <c r="W346" s="234">
        <v>45609</v>
      </c>
      <c r="X346" s="234" t="s">
        <v>2</v>
      </c>
      <c r="Y346" s="234"/>
      <c r="Z346" s="234" t="s">
        <v>4649</v>
      </c>
      <c r="AA346" s="243">
        <v>202411</v>
      </c>
      <c r="AB346" s="243"/>
      <c r="AC346" s="244" t="s">
        <v>4800</v>
      </c>
      <c r="AD346" s="244" t="s">
        <v>4900</v>
      </c>
      <c r="AE346" s="245">
        <v>0</v>
      </c>
      <c r="AF346" s="244" t="s">
        <v>4900</v>
      </c>
      <c r="AG346" s="239" t="str">
        <f>IFERROR(VLOOKUP(작성용!A:A,RM!A:D,4,0),"-")</f>
        <v>오수현</v>
      </c>
      <c r="AH346" s="9" t="s">
        <v>3923</v>
      </c>
      <c r="AI346" s="235" t="s">
        <v>4771</v>
      </c>
      <c r="AJ346" s="235" t="s">
        <v>5275</v>
      </c>
      <c r="AK346" s="235" t="s">
        <v>4777</v>
      </c>
      <c r="AL346" s="235">
        <v>345</v>
      </c>
    </row>
    <row r="347" spans="1:38" s="198" customFormat="1" x14ac:dyDescent="0.3">
      <c r="A347" s="222" t="s">
        <v>2226</v>
      </c>
      <c r="B347" s="222" t="s">
        <v>5270</v>
      </c>
      <c r="C347" s="241" t="s">
        <v>4778</v>
      </c>
      <c r="D347" s="237" t="s">
        <v>5305</v>
      </c>
      <c r="E347" s="236">
        <v>1311110484201</v>
      </c>
      <c r="F347" s="240" t="s">
        <v>4850</v>
      </c>
      <c r="G347" s="214">
        <v>0</v>
      </c>
      <c r="H347" s="231" t="s">
        <v>4771</v>
      </c>
      <c r="I347" s="231"/>
      <c r="J347" s="231"/>
      <c r="K347" s="231"/>
      <c r="L347" s="231"/>
      <c r="M347" s="231"/>
      <c r="N347" s="231" t="s">
        <v>4895</v>
      </c>
      <c r="O347" s="246" t="s">
        <v>5272</v>
      </c>
      <c r="P347" s="246" t="s">
        <v>5273</v>
      </c>
      <c r="Q347" s="225" t="s">
        <v>5274</v>
      </c>
      <c r="R347" s="212" t="s">
        <v>2</v>
      </c>
      <c r="S347" s="213" t="s">
        <v>4771</v>
      </c>
      <c r="T347" s="233">
        <v>45575</v>
      </c>
      <c r="U347" s="234" t="s">
        <v>4759</v>
      </c>
      <c r="V347" s="234">
        <v>45607</v>
      </c>
      <c r="W347" s="234">
        <v>45609</v>
      </c>
      <c r="X347" s="234" t="s">
        <v>2</v>
      </c>
      <c r="Y347" s="234"/>
      <c r="Z347" s="234" t="s">
        <v>4649</v>
      </c>
      <c r="AA347" s="243">
        <v>202411</v>
      </c>
      <c r="AB347" s="243"/>
      <c r="AC347" s="244" t="s">
        <v>4800</v>
      </c>
      <c r="AD347" s="244" t="s">
        <v>4858</v>
      </c>
      <c r="AE347" s="245">
        <v>1</v>
      </c>
      <c r="AF347" s="244" t="s">
        <v>4858</v>
      </c>
      <c r="AG347" s="239" t="str">
        <f>IFERROR(VLOOKUP(작성용!A:A,RM!A:D,4,0),"-")</f>
        <v>오수현</v>
      </c>
      <c r="AH347" s="9" t="s">
        <v>3923</v>
      </c>
      <c r="AI347" s="235" t="s">
        <v>4771</v>
      </c>
      <c r="AJ347" s="235" t="s">
        <v>5275</v>
      </c>
      <c r="AK347" s="235" t="s">
        <v>4777</v>
      </c>
      <c r="AL347" s="235">
        <v>346</v>
      </c>
    </row>
    <row r="348" spans="1:38" s="198" customFormat="1" x14ac:dyDescent="0.3">
      <c r="A348" s="222" t="s">
        <v>2226</v>
      </c>
      <c r="B348" s="222" t="s">
        <v>5270</v>
      </c>
      <c r="C348" s="241" t="s">
        <v>4762</v>
      </c>
      <c r="D348" s="237" t="s">
        <v>5306</v>
      </c>
      <c r="E348" s="236">
        <v>1101116630308</v>
      </c>
      <c r="F348" s="240" t="s">
        <v>4850</v>
      </c>
      <c r="G348" s="214">
        <v>0</v>
      </c>
      <c r="H348" s="231" t="s">
        <v>4771</v>
      </c>
      <c r="I348" s="231"/>
      <c r="J348" s="231"/>
      <c r="K348" s="231"/>
      <c r="L348" s="231"/>
      <c r="M348" s="231"/>
      <c r="N348" s="231" t="s">
        <v>4895</v>
      </c>
      <c r="O348" s="246" t="s">
        <v>5272</v>
      </c>
      <c r="P348" s="246" t="s">
        <v>5273</v>
      </c>
      <c r="Q348" s="225" t="s">
        <v>5274</v>
      </c>
      <c r="R348" s="212" t="s">
        <v>2</v>
      </c>
      <c r="S348" s="213" t="s">
        <v>4771</v>
      </c>
      <c r="T348" s="233">
        <v>45575</v>
      </c>
      <c r="U348" s="234" t="s">
        <v>4759</v>
      </c>
      <c r="V348" s="234">
        <v>45607</v>
      </c>
      <c r="W348" s="234">
        <v>45609</v>
      </c>
      <c r="X348" s="234" t="s">
        <v>2</v>
      </c>
      <c r="Y348" s="234"/>
      <c r="Z348" s="234" t="s">
        <v>4649</v>
      </c>
      <c r="AA348" s="243">
        <v>202411</v>
      </c>
      <c r="AB348" s="243"/>
      <c r="AC348" s="244" t="s">
        <v>4800</v>
      </c>
      <c r="AD348" s="244" t="s">
        <v>4761</v>
      </c>
      <c r="AE348" s="245">
        <v>1</v>
      </c>
      <c r="AF348" s="244" t="s">
        <v>4761</v>
      </c>
      <c r="AG348" s="239" t="str">
        <f>IFERROR(VLOOKUP(작성용!A:A,RM!A:D,4,0),"-")</f>
        <v>오수현</v>
      </c>
      <c r="AH348" s="9" t="s">
        <v>3923</v>
      </c>
      <c r="AI348" s="235" t="s">
        <v>4771</v>
      </c>
      <c r="AJ348" s="235" t="s">
        <v>5275</v>
      </c>
      <c r="AK348" s="235" t="s">
        <v>4777</v>
      </c>
      <c r="AL348" s="235">
        <v>347</v>
      </c>
    </row>
    <row r="349" spans="1:38" s="198" customFormat="1" x14ac:dyDescent="0.3">
      <c r="A349" s="222" t="s">
        <v>2226</v>
      </c>
      <c r="B349" s="222" t="s">
        <v>5270</v>
      </c>
      <c r="C349" s="241" t="s">
        <v>4778</v>
      </c>
      <c r="D349" s="237" t="s">
        <v>5307</v>
      </c>
      <c r="E349" s="236">
        <v>1101116761096</v>
      </c>
      <c r="F349" s="240" t="s">
        <v>4854</v>
      </c>
      <c r="G349" s="214">
        <v>0</v>
      </c>
      <c r="H349" s="231" t="s">
        <v>4771</v>
      </c>
      <c r="I349" s="231"/>
      <c r="J349" s="231"/>
      <c r="K349" s="231"/>
      <c r="L349" s="231"/>
      <c r="M349" s="231"/>
      <c r="N349" s="231" t="s">
        <v>4895</v>
      </c>
      <c r="O349" s="246" t="s">
        <v>5272</v>
      </c>
      <c r="P349" s="246" t="s">
        <v>5273</v>
      </c>
      <c r="Q349" s="225" t="s">
        <v>5274</v>
      </c>
      <c r="R349" s="212" t="s">
        <v>2</v>
      </c>
      <c r="S349" s="213" t="s">
        <v>4771</v>
      </c>
      <c r="T349" s="233">
        <v>45575</v>
      </c>
      <c r="U349" s="234" t="s">
        <v>4759</v>
      </c>
      <c r="V349" s="234">
        <v>45607</v>
      </c>
      <c r="W349" s="234">
        <v>45609</v>
      </c>
      <c r="X349" s="234" t="s">
        <v>2</v>
      </c>
      <c r="Y349" s="234"/>
      <c r="Z349" s="234" t="s">
        <v>4649</v>
      </c>
      <c r="AA349" s="243">
        <v>202411</v>
      </c>
      <c r="AB349" s="243"/>
      <c r="AC349" s="244" t="s">
        <v>4800</v>
      </c>
      <c r="AD349" s="244" t="s">
        <v>4933</v>
      </c>
      <c r="AE349" s="245">
        <v>1</v>
      </c>
      <c r="AF349" s="244" t="s">
        <v>4933</v>
      </c>
      <c r="AG349" s="239" t="str">
        <f>IFERROR(VLOOKUP(작성용!A:A,RM!A:D,4,0),"-")</f>
        <v>오수현</v>
      </c>
      <c r="AH349" s="9" t="s">
        <v>3923</v>
      </c>
      <c r="AI349" s="235" t="s">
        <v>4771</v>
      </c>
      <c r="AJ349" s="235" t="s">
        <v>5275</v>
      </c>
      <c r="AK349" s="235" t="s">
        <v>4777</v>
      </c>
      <c r="AL349" s="235">
        <v>348</v>
      </c>
    </row>
    <row r="350" spans="1:38" s="198" customFormat="1" x14ac:dyDescent="0.3">
      <c r="A350" s="222" t="s">
        <v>2226</v>
      </c>
      <c r="B350" s="222" t="s">
        <v>5270</v>
      </c>
      <c r="C350" s="241" t="s">
        <v>4778</v>
      </c>
      <c r="D350" s="237" t="s">
        <v>5307</v>
      </c>
      <c r="E350" s="236">
        <v>1101116761096</v>
      </c>
      <c r="F350" s="240" t="s">
        <v>4850</v>
      </c>
      <c r="G350" s="214">
        <v>5</v>
      </c>
      <c r="H350" s="231" t="s">
        <v>4771</v>
      </c>
      <c r="I350" s="231"/>
      <c r="J350" s="231"/>
      <c r="K350" s="231"/>
      <c r="L350" s="231"/>
      <c r="M350" s="231"/>
      <c r="N350" s="231" t="s">
        <v>4895</v>
      </c>
      <c r="O350" s="246" t="s">
        <v>5272</v>
      </c>
      <c r="P350" s="246" t="s">
        <v>5273</v>
      </c>
      <c r="Q350" s="225" t="s">
        <v>5274</v>
      </c>
      <c r="R350" s="212" t="s">
        <v>2</v>
      </c>
      <c r="S350" s="213" t="s">
        <v>4771</v>
      </c>
      <c r="T350" s="233">
        <v>45575</v>
      </c>
      <c r="U350" s="234" t="s">
        <v>4759</v>
      </c>
      <c r="V350" s="234">
        <v>45607</v>
      </c>
      <c r="W350" s="234">
        <v>45609</v>
      </c>
      <c r="X350" s="234" t="s">
        <v>2</v>
      </c>
      <c r="Y350" s="234"/>
      <c r="Z350" s="234" t="s">
        <v>4649</v>
      </c>
      <c r="AA350" s="243">
        <v>202411</v>
      </c>
      <c r="AB350" s="243"/>
      <c r="AC350" s="244" t="s">
        <v>4800</v>
      </c>
      <c r="AD350" s="244" t="s">
        <v>4933</v>
      </c>
      <c r="AE350" s="245">
        <v>0</v>
      </c>
      <c r="AF350" s="244" t="s">
        <v>4933</v>
      </c>
      <c r="AG350" s="239" t="str">
        <f>IFERROR(VLOOKUP(작성용!A:A,RM!A:D,4,0),"-")</f>
        <v>오수현</v>
      </c>
      <c r="AH350" s="9" t="s">
        <v>3923</v>
      </c>
      <c r="AI350" s="235" t="s">
        <v>4771</v>
      </c>
      <c r="AJ350" s="235" t="s">
        <v>5275</v>
      </c>
      <c r="AK350" s="235" t="s">
        <v>4777</v>
      </c>
      <c r="AL350" s="235">
        <v>349</v>
      </c>
    </row>
    <row r="351" spans="1:38" s="198" customFormat="1" x14ac:dyDescent="0.3">
      <c r="A351" s="222" t="s">
        <v>2226</v>
      </c>
      <c r="B351" s="222" t="s">
        <v>5270</v>
      </c>
      <c r="C351" s="241" t="s">
        <v>4778</v>
      </c>
      <c r="D351" s="237" t="s">
        <v>5181</v>
      </c>
      <c r="E351" s="236">
        <v>1101116451530</v>
      </c>
      <c r="F351" s="240" t="s">
        <v>4894</v>
      </c>
      <c r="G351" s="214">
        <v>1</v>
      </c>
      <c r="H351" s="231" t="s">
        <v>4771</v>
      </c>
      <c r="I351" s="231"/>
      <c r="J351" s="231"/>
      <c r="K351" s="231"/>
      <c r="L351" s="231"/>
      <c r="M351" s="231"/>
      <c r="N351" s="231" t="s">
        <v>4895</v>
      </c>
      <c r="O351" s="246" t="s">
        <v>5272</v>
      </c>
      <c r="P351" s="246" t="s">
        <v>5273</v>
      </c>
      <c r="Q351" s="225" t="s">
        <v>5274</v>
      </c>
      <c r="R351" s="212" t="s">
        <v>2</v>
      </c>
      <c r="S351" s="213" t="s">
        <v>4771</v>
      </c>
      <c r="T351" s="233">
        <v>45575</v>
      </c>
      <c r="U351" s="234" t="s">
        <v>4759</v>
      </c>
      <c r="V351" s="234">
        <v>45607</v>
      </c>
      <c r="W351" s="234">
        <v>45609</v>
      </c>
      <c r="X351" s="234" t="s">
        <v>2</v>
      </c>
      <c r="Y351" s="234"/>
      <c r="Z351" s="234" t="s">
        <v>4649</v>
      </c>
      <c r="AA351" s="243">
        <v>202411</v>
      </c>
      <c r="AB351" s="243"/>
      <c r="AC351" s="244" t="s">
        <v>4800</v>
      </c>
      <c r="AD351" s="244" t="s">
        <v>4927</v>
      </c>
      <c r="AE351" s="245">
        <v>0</v>
      </c>
      <c r="AF351" s="244" t="s">
        <v>4927</v>
      </c>
      <c r="AG351" s="239" t="str">
        <f>IFERROR(VLOOKUP(작성용!A:A,RM!A:D,4,0),"-")</f>
        <v>오수현</v>
      </c>
      <c r="AH351" s="9" t="s">
        <v>3923</v>
      </c>
      <c r="AI351" s="235" t="s">
        <v>4771</v>
      </c>
      <c r="AJ351" s="235" t="s">
        <v>5275</v>
      </c>
      <c r="AK351" s="235" t="s">
        <v>4777</v>
      </c>
      <c r="AL351" s="235">
        <v>350</v>
      </c>
    </row>
    <row r="352" spans="1:38" s="198" customFormat="1" x14ac:dyDescent="0.3">
      <c r="A352" s="222" t="s">
        <v>2226</v>
      </c>
      <c r="B352" s="222" t="s">
        <v>5270</v>
      </c>
      <c r="C352" s="241" t="s">
        <v>4762</v>
      </c>
      <c r="D352" s="237" t="s">
        <v>5308</v>
      </c>
      <c r="E352" s="236">
        <v>1345110316205</v>
      </c>
      <c r="F352" s="240" t="s">
        <v>4926</v>
      </c>
      <c r="G352" s="214">
        <v>0</v>
      </c>
      <c r="H352" s="231" t="s">
        <v>4771</v>
      </c>
      <c r="I352" s="231"/>
      <c r="J352" s="231"/>
      <c r="K352" s="231"/>
      <c r="L352" s="231"/>
      <c r="M352" s="231"/>
      <c r="N352" s="231" t="s">
        <v>4895</v>
      </c>
      <c r="O352" s="246" t="s">
        <v>5272</v>
      </c>
      <c r="P352" s="246" t="s">
        <v>5273</v>
      </c>
      <c r="Q352" s="225" t="s">
        <v>5274</v>
      </c>
      <c r="R352" s="212" t="s">
        <v>2</v>
      </c>
      <c r="S352" s="213" t="s">
        <v>4771</v>
      </c>
      <c r="T352" s="233">
        <v>45575</v>
      </c>
      <c r="U352" s="234" t="s">
        <v>4759</v>
      </c>
      <c r="V352" s="234">
        <v>45607</v>
      </c>
      <c r="W352" s="234">
        <v>45609</v>
      </c>
      <c r="X352" s="234" t="s">
        <v>2</v>
      </c>
      <c r="Y352" s="234"/>
      <c r="Z352" s="234" t="s">
        <v>4649</v>
      </c>
      <c r="AA352" s="243">
        <v>202411</v>
      </c>
      <c r="AB352" s="243"/>
      <c r="AC352" s="244" t="s">
        <v>4800</v>
      </c>
      <c r="AD352" s="244" t="s">
        <v>4856</v>
      </c>
      <c r="AE352" s="245">
        <v>1</v>
      </c>
      <c r="AF352" s="244" t="s">
        <v>4856</v>
      </c>
      <c r="AG352" s="239" t="str">
        <f>IFERROR(VLOOKUP(작성용!A:A,RM!A:D,4,0),"-")</f>
        <v>오수현</v>
      </c>
      <c r="AH352" s="9" t="s">
        <v>3923</v>
      </c>
      <c r="AI352" s="235" t="s">
        <v>4771</v>
      </c>
      <c r="AJ352" s="235" t="s">
        <v>5275</v>
      </c>
      <c r="AK352" s="235" t="s">
        <v>4777</v>
      </c>
      <c r="AL352" s="235">
        <v>351</v>
      </c>
    </row>
    <row r="353" spans="1:38" s="198" customFormat="1" x14ac:dyDescent="0.3">
      <c r="A353" s="222" t="s">
        <v>2226</v>
      </c>
      <c r="B353" s="222" t="s">
        <v>5270</v>
      </c>
      <c r="C353" s="241" t="s">
        <v>4762</v>
      </c>
      <c r="D353" s="237" t="s">
        <v>5309</v>
      </c>
      <c r="E353" s="236" t="s">
        <v>4006</v>
      </c>
      <c r="F353" s="240" t="s">
        <v>4894</v>
      </c>
      <c r="G353" s="214">
        <v>0</v>
      </c>
      <c r="H353" s="231" t="s">
        <v>4771</v>
      </c>
      <c r="I353" s="231"/>
      <c r="J353" s="231"/>
      <c r="K353" s="231"/>
      <c r="L353" s="231"/>
      <c r="M353" s="231"/>
      <c r="N353" s="231" t="s">
        <v>4895</v>
      </c>
      <c r="O353" s="246" t="s">
        <v>5272</v>
      </c>
      <c r="P353" s="246" t="s">
        <v>5273</v>
      </c>
      <c r="Q353" s="225" t="s">
        <v>5274</v>
      </c>
      <c r="R353" s="212" t="s">
        <v>2</v>
      </c>
      <c r="S353" s="213" t="s">
        <v>4771</v>
      </c>
      <c r="T353" s="233">
        <v>45575</v>
      </c>
      <c r="U353" s="234" t="s">
        <v>4759</v>
      </c>
      <c r="V353" s="234">
        <v>45607</v>
      </c>
      <c r="W353" s="234">
        <v>45609</v>
      </c>
      <c r="X353" s="234" t="s">
        <v>2</v>
      </c>
      <c r="Y353" s="234"/>
      <c r="Z353" s="234" t="s">
        <v>4649</v>
      </c>
      <c r="AA353" s="243">
        <v>202411</v>
      </c>
      <c r="AB353" s="243"/>
      <c r="AC353" s="244" t="s">
        <v>4800</v>
      </c>
      <c r="AD353" s="244" t="s">
        <v>4761</v>
      </c>
      <c r="AE353" s="245">
        <v>1</v>
      </c>
      <c r="AF353" s="244" t="s">
        <v>4761</v>
      </c>
      <c r="AG353" s="239" t="str">
        <f>IFERROR(VLOOKUP(작성용!A:A,RM!A:D,4,0),"-")</f>
        <v>오수현</v>
      </c>
      <c r="AH353" s="9" t="s">
        <v>3923</v>
      </c>
      <c r="AI353" s="235" t="s">
        <v>4771</v>
      </c>
      <c r="AJ353" s="235" t="s">
        <v>5275</v>
      </c>
      <c r="AK353" s="235" t="s">
        <v>4777</v>
      </c>
      <c r="AL353" s="235">
        <v>352</v>
      </c>
    </row>
    <row r="354" spans="1:38" s="198" customFormat="1" x14ac:dyDescent="0.3">
      <c r="A354" s="222" t="s">
        <v>2226</v>
      </c>
      <c r="B354" s="222" t="s">
        <v>5270</v>
      </c>
      <c r="C354" s="241" t="s">
        <v>4778</v>
      </c>
      <c r="D354" s="237" t="s">
        <v>5310</v>
      </c>
      <c r="E354" s="236" t="s">
        <v>4007</v>
      </c>
      <c r="F354" s="240" t="s">
        <v>4894</v>
      </c>
      <c r="G354" s="214">
        <v>0</v>
      </c>
      <c r="H354" s="231" t="s">
        <v>4771</v>
      </c>
      <c r="I354" s="231"/>
      <c r="J354" s="231"/>
      <c r="K354" s="231"/>
      <c r="L354" s="231"/>
      <c r="M354" s="231"/>
      <c r="N354" s="231" t="s">
        <v>4895</v>
      </c>
      <c r="O354" s="246" t="s">
        <v>5272</v>
      </c>
      <c r="P354" s="246" t="s">
        <v>5273</v>
      </c>
      <c r="Q354" s="225" t="s">
        <v>5274</v>
      </c>
      <c r="R354" s="212" t="s">
        <v>2</v>
      </c>
      <c r="S354" s="213" t="s">
        <v>4771</v>
      </c>
      <c r="T354" s="233">
        <v>45575</v>
      </c>
      <c r="U354" s="234" t="s">
        <v>4759</v>
      </c>
      <c r="V354" s="234">
        <v>45607</v>
      </c>
      <c r="W354" s="234">
        <v>45609</v>
      </c>
      <c r="X354" s="234" t="s">
        <v>2</v>
      </c>
      <c r="Y354" s="234"/>
      <c r="Z354" s="234" t="s">
        <v>4649</v>
      </c>
      <c r="AA354" s="243">
        <v>202411</v>
      </c>
      <c r="AB354" s="243"/>
      <c r="AC354" s="244" t="s">
        <v>4800</v>
      </c>
      <c r="AD354" s="244" t="s">
        <v>4982</v>
      </c>
      <c r="AE354" s="245">
        <v>1</v>
      </c>
      <c r="AF354" s="244" t="s">
        <v>4982</v>
      </c>
      <c r="AG354" s="239" t="str">
        <f>IFERROR(VLOOKUP(작성용!A:A,RM!A:D,4,0),"-")</f>
        <v>오수현</v>
      </c>
      <c r="AH354" s="9" t="s">
        <v>3923</v>
      </c>
      <c r="AI354" s="235" t="s">
        <v>4771</v>
      </c>
      <c r="AJ354" s="235" t="s">
        <v>5275</v>
      </c>
      <c r="AK354" s="235" t="s">
        <v>4777</v>
      </c>
      <c r="AL354" s="235">
        <v>353</v>
      </c>
    </row>
    <row r="355" spans="1:38" s="198" customFormat="1" x14ac:dyDescent="0.3">
      <c r="A355" s="222" t="s">
        <v>2226</v>
      </c>
      <c r="B355" s="222" t="s">
        <v>5270</v>
      </c>
      <c r="C355" s="241" t="s">
        <v>4778</v>
      </c>
      <c r="D355" s="237" t="s">
        <v>5310</v>
      </c>
      <c r="E355" s="236" t="s">
        <v>4007</v>
      </c>
      <c r="F355" s="240" t="s">
        <v>4780</v>
      </c>
      <c r="G355" s="214">
        <v>0</v>
      </c>
      <c r="H355" s="231" t="s">
        <v>4771</v>
      </c>
      <c r="I355" s="231"/>
      <c r="J355" s="231"/>
      <c r="K355" s="231"/>
      <c r="L355" s="231"/>
      <c r="M355" s="231"/>
      <c r="N355" s="231" t="s">
        <v>4895</v>
      </c>
      <c r="O355" s="246" t="s">
        <v>5272</v>
      </c>
      <c r="P355" s="246" t="s">
        <v>5273</v>
      </c>
      <c r="Q355" s="225" t="s">
        <v>5274</v>
      </c>
      <c r="R355" s="212" t="s">
        <v>2</v>
      </c>
      <c r="S355" s="213" t="s">
        <v>4771</v>
      </c>
      <c r="T355" s="233">
        <v>45575</v>
      </c>
      <c r="U355" s="234" t="s">
        <v>4759</v>
      </c>
      <c r="V355" s="234">
        <v>45607</v>
      </c>
      <c r="W355" s="234">
        <v>45609</v>
      </c>
      <c r="X355" s="234" t="s">
        <v>2</v>
      </c>
      <c r="Y355" s="234"/>
      <c r="Z355" s="234" t="s">
        <v>4649</v>
      </c>
      <c r="AA355" s="243">
        <v>202411</v>
      </c>
      <c r="AB355" s="243"/>
      <c r="AC355" s="244" t="s">
        <v>4800</v>
      </c>
      <c r="AD355" s="244" t="s">
        <v>4982</v>
      </c>
      <c r="AE355" s="245">
        <v>0</v>
      </c>
      <c r="AF355" s="244" t="s">
        <v>4982</v>
      </c>
      <c r="AG355" s="239" t="str">
        <f>IFERROR(VLOOKUP(작성용!A:A,RM!A:D,4,0),"-")</f>
        <v>오수현</v>
      </c>
      <c r="AH355" s="9" t="s">
        <v>3923</v>
      </c>
      <c r="AI355" s="235" t="s">
        <v>4771</v>
      </c>
      <c r="AJ355" s="235" t="s">
        <v>5275</v>
      </c>
      <c r="AK355" s="235" t="s">
        <v>4777</v>
      </c>
      <c r="AL355" s="235">
        <v>354</v>
      </c>
    </row>
    <row r="356" spans="1:38" s="198" customFormat="1" x14ac:dyDescent="0.3">
      <c r="A356" s="222" t="s">
        <v>2226</v>
      </c>
      <c r="B356" s="222" t="s">
        <v>5270</v>
      </c>
      <c r="C356" s="241" t="s">
        <v>4762</v>
      </c>
      <c r="D356" s="237" t="s">
        <v>5311</v>
      </c>
      <c r="E356" s="236" t="s">
        <v>4008</v>
      </c>
      <c r="F356" s="240" t="s">
        <v>4894</v>
      </c>
      <c r="G356" s="214">
        <v>0</v>
      </c>
      <c r="H356" s="231" t="s">
        <v>4771</v>
      </c>
      <c r="I356" s="231"/>
      <c r="J356" s="231"/>
      <c r="K356" s="231"/>
      <c r="L356" s="231"/>
      <c r="M356" s="231"/>
      <c r="N356" s="231" t="s">
        <v>4895</v>
      </c>
      <c r="O356" s="246" t="s">
        <v>5272</v>
      </c>
      <c r="P356" s="246" t="s">
        <v>5273</v>
      </c>
      <c r="Q356" s="225" t="s">
        <v>5274</v>
      </c>
      <c r="R356" s="212" t="s">
        <v>2</v>
      </c>
      <c r="S356" s="213" t="s">
        <v>4771</v>
      </c>
      <c r="T356" s="233">
        <v>45575</v>
      </c>
      <c r="U356" s="234" t="s">
        <v>4759</v>
      </c>
      <c r="V356" s="234">
        <v>45607</v>
      </c>
      <c r="W356" s="234">
        <v>45609</v>
      </c>
      <c r="X356" s="234" t="s">
        <v>2</v>
      </c>
      <c r="Y356" s="234"/>
      <c r="Z356" s="234" t="s">
        <v>4649</v>
      </c>
      <c r="AA356" s="243">
        <v>202411</v>
      </c>
      <c r="AB356" s="243"/>
      <c r="AC356" s="244" t="s">
        <v>4800</v>
      </c>
      <c r="AD356" s="244" t="s">
        <v>4927</v>
      </c>
      <c r="AE356" s="245">
        <v>1</v>
      </c>
      <c r="AF356" s="244" t="s">
        <v>4927</v>
      </c>
      <c r="AG356" s="239" t="str">
        <f>IFERROR(VLOOKUP(작성용!A:A,RM!A:D,4,0),"-")</f>
        <v>오수현</v>
      </c>
      <c r="AH356" s="9" t="s">
        <v>3923</v>
      </c>
      <c r="AI356" s="235" t="s">
        <v>4771</v>
      </c>
      <c r="AJ356" s="235" t="s">
        <v>5275</v>
      </c>
      <c r="AK356" s="235" t="s">
        <v>4777</v>
      </c>
      <c r="AL356" s="235">
        <v>355</v>
      </c>
    </row>
    <row r="357" spans="1:38" s="198" customFormat="1" x14ac:dyDescent="0.3">
      <c r="A357" s="222" t="s">
        <v>2226</v>
      </c>
      <c r="B357" s="222" t="s">
        <v>5270</v>
      </c>
      <c r="C357" s="241" t="s">
        <v>4762</v>
      </c>
      <c r="D357" s="237" t="s">
        <v>5312</v>
      </c>
      <c r="E357" s="236" t="s">
        <v>4009</v>
      </c>
      <c r="F357" s="240" t="s">
        <v>4894</v>
      </c>
      <c r="G357" s="214">
        <v>0</v>
      </c>
      <c r="H357" s="231" t="s">
        <v>4771</v>
      </c>
      <c r="I357" s="231"/>
      <c r="J357" s="231"/>
      <c r="K357" s="231"/>
      <c r="L357" s="231"/>
      <c r="M357" s="231"/>
      <c r="N357" s="231" t="s">
        <v>4895</v>
      </c>
      <c r="O357" s="246" t="s">
        <v>5272</v>
      </c>
      <c r="P357" s="246" t="s">
        <v>5273</v>
      </c>
      <c r="Q357" s="225" t="s">
        <v>5274</v>
      </c>
      <c r="R357" s="212" t="s">
        <v>2</v>
      </c>
      <c r="S357" s="213" t="s">
        <v>4771</v>
      </c>
      <c r="T357" s="233">
        <v>45575</v>
      </c>
      <c r="U357" s="234" t="s">
        <v>4759</v>
      </c>
      <c r="V357" s="234">
        <v>45607</v>
      </c>
      <c r="W357" s="234">
        <v>45609</v>
      </c>
      <c r="X357" s="234" t="s">
        <v>2</v>
      </c>
      <c r="Y357" s="234"/>
      <c r="Z357" s="234" t="s">
        <v>4649</v>
      </c>
      <c r="AA357" s="243">
        <v>202411</v>
      </c>
      <c r="AB357" s="243"/>
      <c r="AC357" s="244" t="s">
        <v>4800</v>
      </c>
      <c r="AD357" s="244" t="s">
        <v>4846</v>
      </c>
      <c r="AE357" s="245">
        <v>1</v>
      </c>
      <c r="AF357" s="244" t="s">
        <v>4846</v>
      </c>
      <c r="AG357" s="239" t="str">
        <f>IFERROR(VLOOKUP(작성용!A:A,RM!A:D,4,0),"-")</f>
        <v>오수현</v>
      </c>
      <c r="AH357" s="9" t="s">
        <v>3923</v>
      </c>
      <c r="AI357" s="235" t="s">
        <v>4771</v>
      </c>
      <c r="AJ357" s="235" t="s">
        <v>5275</v>
      </c>
      <c r="AK357" s="235" t="s">
        <v>4777</v>
      </c>
      <c r="AL357" s="235">
        <v>356</v>
      </c>
    </row>
    <row r="358" spans="1:38" s="198" customFormat="1" x14ac:dyDescent="0.3">
      <c r="A358" s="222" t="s">
        <v>2226</v>
      </c>
      <c r="B358" s="222" t="s">
        <v>5270</v>
      </c>
      <c r="C358" s="241" t="s">
        <v>4762</v>
      </c>
      <c r="D358" s="237" t="s">
        <v>5313</v>
      </c>
      <c r="E358" s="236" t="s">
        <v>4010</v>
      </c>
      <c r="F358" s="240" t="s">
        <v>4894</v>
      </c>
      <c r="G358" s="214">
        <v>0</v>
      </c>
      <c r="H358" s="231" t="s">
        <v>4771</v>
      </c>
      <c r="I358" s="231"/>
      <c r="J358" s="231"/>
      <c r="K358" s="231"/>
      <c r="L358" s="231"/>
      <c r="M358" s="231"/>
      <c r="N358" s="231" t="s">
        <v>4895</v>
      </c>
      <c r="O358" s="246" t="s">
        <v>5272</v>
      </c>
      <c r="P358" s="246" t="s">
        <v>5273</v>
      </c>
      <c r="Q358" s="225" t="s">
        <v>5274</v>
      </c>
      <c r="R358" s="212" t="s">
        <v>2</v>
      </c>
      <c r="S358" s="213" t="s">
        <v>4771</v>
      </c>
      <c r="T358" s="233">
        <v>45575</v>
      </c>
      <c r="U358" s="234" t="s">
        <v>4759</v>
      </c>
      <c r="V358" s="234">
        <v>45607</v>
      </c>
      <c r="W358" s="234">
        <v>45609</v>
      </c>
      <c r="X358" s="234" t="s">
        <v>2</v>
      </c>
      <c r="Y358" s="234"/>
      <c r="Z358" s="234" t="s">
        <v>4649</v>
      </c>
      <c r="AA358" s="243">
        <v>202411</v>
      </c>
      <c r="AB358" s="243"/>
      <c r="AC358" s="244" t="s">
        <v>4800</v>
      </c>
      <c r="AD358" s="244" t="s">
        <v>4947</v>
      </c>
      <c r="AE358" s="245">
        <v>1</v>
      </c>
      <c r="AF358" s="244" t="s">
        <v>4872</v>
      </c>
      <c r="AG358" s="239" t="str">
        <f>IFERROR(VLOOKUP(작성용!A:A,RM!A:D,4,0),"-")</f>
        <v>오수현</v>
      </c>
      <c r="AH358" s="9" t="s">
        <v>3923</v>
      </c>
      <c r="AI358" s="235" t="s">
        <v>4771</v>
      </c>
      <c r="AJ358" s="235" t="s">
        <v>5275</v>
      </c>
      <c r="AK358" s="235" t="s">
        <v>4777</v>
      </c>
      <c r="AL358" s="235">
        <v>357</v>
      </c>
    </row>
    <row r="359" spans="1:38" s="198" customFormat="1" x14ac:dyDescent="0.3">
      <c r="A359" s="222" t="s">
        <v>2226</v>
      </c>
      <c r="B359" s="222" t="s">
        <v>5270</v>
      </c>
      <c r="C359" s="241" t="s">
        <v>4778</v>
      </c>
      <c r="D359" s="237" t="s">
        <v>5314</v>
      </c>
      <c r="E359" s="236" t="s">
        <v>4011</v>
      </c>
      <c r="F359" s="240" t="s">
        <v>4894</v>
      </c>
      <c r="G359" s="214">
        <v>0</v>
      </c>
      <c r="H359" s="231" t="s">
        <v>4771</v>
      </c>
      <c r="I359" s="231"/>
      <c r="J359" s="231"/>
      <c r="K359" s="231"/>
      <c r="L359" s="231"/>
      <c r="M359" s="231"/>
      <c r="N359" s="231" t="s">
        <v>4895</v>
      </c>
      <c r="O359" s="246" t="s">
        <v>5272</v>
      </c>
      <c r="P359" s="246" t="s">
        <v>5273</v>
      </c>
      <c r="Q359" s="225" t="s">
        <v>5274</v>
      </c>
      <c r="R359" s="212" t="s">
        <v>2</v>
      </c>
      <c r="S359" s="213" t="s">
        <v>4771</v>
      </c>
      <c r="T359" s="233">
        <v>45575</v>
      </c>
      <c r="U359" s="234" t="s">
        <v>4759</v>
      </c>
      <c r="V359" s="234">
        <v>45607</v>
      </c>
      <c r="W359" s="234">
        <v>45609</v>
      </c>
      <c r="X359" s="234" t="s">
        <v>2</v>
      </c>
      <c r="Y359" s="234"/>
      <c r="Z359" s="234" t="s">
        <v>4649</v>
      </c>
      <c r="AA359" s="243">
        <v>202411</v>
      </c>
      <c r="AB359" s="243"/>
      <c r="AC359" s="244" t="s">
        <v>4800</v>
      </c>
      <c r="AD359" s="244" t="s">
        <v>4845</v>
      </c>
      <c r="AE359" s="245">
        <v>1</v>
      </c>
      <c r="AF359" s="244" t="s">
        <v>4845</v>
      </c>
      <c r="AG359" s="239" t="str">
        <f>IFERROR(VLOOKUP(작성용!A:A,RM!A:D,4,0),"-")</f>
        <v>오수현</v>
      </c>
      <c r="AH359" s="9" t="s">
        <v>3923</v>
      </c>
      <c r="AI359" s="235" t="s">
        <v>4771</v>
      </c>
      <c r="AJ359" s="235" t="s">
        <v>5275</v>
      </c>
      <c r="AK359" s="235" t="s">
        <v>4777</v>
      </c>
      <c r="AL359" s="235">
        <v>358</v>
      </c>
    </row>
    <row r="360" spans="1:38" s="198" customFormat="1" x14ac:dyDescent="0.3">
      <c r="A360" s="222" t="s">
        <v>2226</v>
      </c>
      <c r="B360" s="222" t="s">
        <v>5270</v>
      </c>
      <c r="C360" s="241" t="s">
        <v>4762</v>
      </c>
      <c r="D360" s="237" t="s">
        <v>5315</v>
      </c>
      <c r="E360" s="236">
        <v>1101115462570</v>
      </c>
      <c r="F360" s="240" t="s">
        <v>4780</v>
      </c>
      <c r="G360" s="214">
        <v>0</v>
      </c>
      <c r="H360" s="231" t="s">
        <v>4771</v>
      </c>
      <c r="I360" s="231"/>
      <c r="J360" s="231"/>
      <c r="K360" s="231"/>
      <c r="L360" s="231"/>
      <c r="M360" s="231"/>
      <c r="N360" s="231" t="s">
        <v>4895</v>
      </c>
      <c r="O360" s="246" t="s">
        <v>5272</v>
      </c>
      <c r="P360" s="246" t="s">
        <v>5273</v>
      </c>
      <c r="Q360" s="225" t="s">
        <v>5274</v>
      </c>
      <c r="R360" s="212" t="s">
        <v>2</v>
      </c>
      <c r="S360" s="213" t="s">
        <v>4771</v>
      </c>
      <c r="T360" s="233">
        <v>45575</v>
      </c>
      <c r="U360" s="234" t="s">
        <v>4759</v>
      </c>
      <c r="V360" s="234">
        <v>45607</v>
      </c>
      <c r="W360" s="234">
        <v>45609</v>
      </c>
      <c r="X360" s="234" t="s">
        <v>2</v>
      </c>
      <c r="Y360" s="234"/>
      <c r="Z360" s="234" t="s">
        <v>4649</v>
      </c>
      <c r="AA360" s="243">
        <v>202411</v>
      </c>
      <c r="AB360" s="243"/>
      <c r="AC360" s="244" t="s">
        <v>4800</v>
      </c>
      <c r="AD360" s="244" t="s">
        <v>4945</v>
      </c>
      <c r="AE360" s="245">
        <v>1</v>
      </c>
      <c r="AF360" s="244" t="s">
        <v>4945</v>
      </c>
      <c r="AG360" s="239" t="str">
        <f>IFERROR(VLOOKUP(작성용!A:A,RM!A:D,4,0),"-")</f>
        <v>오수현</v>
      </c>
      <c r="AH360" s="9" t="s">
        <v>3923</v>
      </c>
      <c r="AI360" s="235" t="s">
        <v>4771</v>
      </c>
      <c r="AJ360" s="235" t="s">
        <v>5275</v>
      </c>
      <c r="AK360" s="235" t="s">
        <v>4777</v>
      </c>
      <c r="AL360" s="235">
        <v>359</v>
      </c>
    </row>
    <row r="361" spans="1:38" s="198" customFormat="1" x14ac:dyDescent="0.3">
      <c r="A361" s="222" t="s">
        <v>2226</v>
      </c>
      <c r="B361" s="222" t="s">
        <v>5270</v>
      </c>
      <c r="C361" s="241" t="s">
        <v>4762</v>
      </c>
      <c r="D361" s="237" t="s">
        <v>5316</v>
      </c>
      <c r="E361" s="236">
        <v>1311110499870</v>
      </c>
      <c r="F361" s="240" t="s">
        <v>4850</v>
      </c>
      <c r="G361" s="214">
        <v>0</v>
      </c>
      <c r="H361" s="231" t="s">
        <v>4771</v>
      </c>
      <c r="I361" s="231"/>
      <c r="J361" s="231"/>
      <c r="K361" s="231"/>
      <c r="L361" s="231"/>
      <c r="M361" s="231"/>
      <c r="N361" s="231" t="s">
        <v>4895</v>
      </c>
      <c r="O361" s="246" t="s">
        <v>5272</v>
      </c>
      <c r="P361" s="246" t="s">
        <v>5273</v>
      </c>
      <c r="Q361" s="225" t="s">
        <v>5274</v>
      </c>
      <c r="R361" s="212" t="s">
        <v>2</v>
      </c>
      <c r="S361" s="213" t="s">
        <v>4771</v>
      </c>
      <c r="T361" s="233">
        <v>45575</v>
      </c>
      <c r="U361" s="234" t="s">
        <v>4759</v>
      </c>
      <c r="V361" s="234">
        <v>45607</v>
      </c>
      <c r="W361" s="234">
        <v>45609</v>
      </c>
      <c r="X361" s="234" t="s">
        <v>2</v>
      </c>
      <c r="Y361" s="234"/>
      <c r="Z361" s="234" t="s">
        <v>4649</v>
      </c>
      <c r="AA361" s="243">
        <v>202411</v>
      </c>
      <c r="AB361" s="243"/>
      <c r="AC361" s="244" t="s">
        <v>4800</v>
      </c>
      <c r="AD361" s="244" t="s">
        <v>4823</v>
      </c>
      <c r="AE361" s="245">
        <v>1</v>
      </c>
      <c r="AF361" s="244" t="s">
        <v>4860</v>
      </c>
      <c r="AG361" s="239" t="str">
        <f>IFERROR(VLOOKUP(작성용!A:A,RM!A:D,4,0),"-")</f>
        <v>오수현</v>
      </c>
      <c r="AH361" s="9" t="s">
        <v>3923</v>
      </c>
      <c r="AI361" s="235" t="s">
        <v>4771</v>
      </c>
      <c r="AJ361" s="235" t="s">
        <v>5275</v>
      </c>
      <c r="AK361" s="235" t="s">
        <v>4777</v>
      </c>
      <c r="AL361" s="235">
        <v>360</v>
      </c>
    </row>
    <row r="362" spans="1:38" s="198" customFormat="1" x14ac:dyDescent="0.3">
      <c r="A362" s="222" t="s">
        <v>2226</v>
      </c>
      <c r="B362" s="222" t="s">
        <v>5270</v>
      </c>
      <c r="C362" s="241" t="s">
        <v>4762</v>
      </c>
      <c r="D362" s="237" t="s">
        <v>5317</v>
      </c>
      <c r="E362" s="236">
        <v>1511110047732</v>
      </c>
      <c r="F362" s="240" t="s">
        <v>4850</v>
      </c>
      <c r="G362" s="214">
        <v>0</v>
      </c>
      <c r="H362" s="231" t="s">
        <v>4771</v>
      </c>
      <c r="I362" s="231"/>
      <c r="J362" s="231"/>
      <c r="K362" s="231"/>
      <c r="L362" s="231"/>
      <c r="M362" s="231"/>
      <c r="N362" s="231" t="s">
        <v>4895</v>
      </c>
      <c r="O362" s="246" t="s">
        <v>5272</v>
      </c>
      <c r="P362" s="246" t="s">
        <v>5273</v>
      </c>
      <c r="Q362" s="225" t="s">
        <v>5274</v>
      </c>
      <c r="R362" s="212" t="s">
        <v>2</v>
      </c>
      <c r="S362" s="213" t="s">
        <v>4771</v>
      </c>
      <c r="T362" s="233">
        <v>45575</v>
      </c>
      <c r="U362" s="234" t="s">
        <v>4759</v>
      </c>
      <c r="V362" s="234">
        <v>45607</v>
      </c>
      <c r="W362" s="234">
        <v>45609</v>
      </c>
      <c r="X362" s="234" t="s">
        <v>2</v>
      </c>
      <c r="Y362" s="234"/>
      <c r="Z362" s="234" t="s">
        <v>4649</v>
      </c>
      <c r="AA362" s="243">
        <v>202411</v>
      </c>
      <c r="AB362" s="243"/>
      <c r="AC362" s="244" t="s">
        <v>4800</v>
      </c>
      <c r="AD362" s="244" t="s">
        <v>4980</v>
      </c>
      <c r="AE362" s="245">
        <v>1</v>
      </c>
      <c r="AF362" s="244" t="s">
        <v>4980</v>
      </c>
      <c r="AG362" s="239" t="str">
        <f>IFERROR(VLOOKUP(작성용!A:A,RM!A:D,4,0),"-")</f>
        <v>오수현</v>
      </c>
      <c r="AH362" s="9" t="s">
        <v>3923</v>
      </c>
      <c r="AI362" s="235" t="s">
        <v>4771</v>
      </c>
      <c r="AJ362" s="235" t="s">
        <v>5275</v>
      </c>
      <c r="AK362" s="235" t="s">
        <v>4777</v>
      </c>
      <c r="AL362" s="235">
        <v>361</v>
      </c>
    </row>
    <row r="363" spans="1:38" s="198" customFormat="1" x14ac:dyDescent="0.3">
      <c r="A363" s="222" t="s">
        <v>2226</v>
      </c>
      <c r="B363" s="222" t="s">
        <v>5270</v>
      </c>
      <c r="C363" s="241" t="s">
        <v>4778</v>
      </c>
      <c r="D363" s="237" t="s">
        <v>5318</v>
      </c>
      <c r="E363" s="236">
        <v>1311110534650</v>
      </c>
      <c r="F363" s="240" t="s">
        <v>4854</v>
      </c>
      <c r="G363" s="214">
        <v>0</v>
      </c>
      <c r="H363" s="231" t="s">
        <v>4771</v>
      </c>
      <c r="I363" s="231"/>
      <c r="J363" s="231"/>
      <c r="K363" s="231"/>
      <c r="L363" s="231"/>
      <c r="M363" s="231"/>
      <c r="N363" s="231" t="s">
        <v>4895</v>
      </c>
      <c r="O363" s="246" t="s">
        <v>5272</v>
      </c>
      <c r="P363" s="246" t="s">
        <v>5273</v>
      </c>
      <c r="Q363" s="225" t="s">
        <v>5274</v>
      </c>
      <c r="R363" s="212" t="s">
        <v>2</v>
      </c>
      <c r="S363" s="213" t="s">
        <v>4771</v>
      </c>
      <c r="T363" s="233">
        <v>45575</v>
      </c>
      <c r="U363" s="234" t="s">
        <v>4759</v>
      </c>
      <c r="V363" s="234">
        <v>45607</v>
      </c>
      <c r="W363" s="234">
        <v>45609</v>
      </c>
      <c r="X363" s="234" t="s">
        <v>2</v>
      </c>
      <c r="Y363" s="234"/>
      <c r="Z363" s="234" t="s">
        <v>4649</v>
      </c>
      <c r="AA363" s="243">
        <v>202411</v>
      </c>
      <c r="AB363" s="243"/>
      <c r="AC363" s="244" t="s">
        <v>4800</v>
      </c>
      <c r="AD363" s="244" t="s">
        <v>4761</v>
      </c>
      <c r="AE363" s="245">
        <v>1</v>
      </c>
      <c r="AF363" s="244" t="s">
        <v>4761</v>
      </c>
      <c r="AG363" s="239" t="str">
        <f>IFERROR(VLOOKUP(작성용!A:A,RM!A:D,4,0),"-")</f>
        <v>오수현</v>
      </c>
      <c r="AH363" s="9" t="s">
        <v>3923</v>
      </c>
      <c r="AI363" s="235" t="s">
        <v>4771</v>
      </c>
      <c r="AJ363" s="235" t="s">
        <v>5275</v>
      </c>
      <c r="AK363" s="235" t="s">
        <v>4777</v>
      </c>
      <c r="AL363" s="235">
        <v>362</v>
      </c>
    </row>
    <row r="364" spans="1:38" s="198" customFormat="1" x14ac:dyDescent="0.3">
      <c r="A364" s="222" t="s">
        <v>2226</v>
      </c>
      <c r="B364" s="222" t="s">
        <v>5270</v>
      </c>
      <c r="C364" s="241" t="s">
        <v>4778</v>
      </c>
      <c r="D364" s="237" t="s">
        <v>5319</v>
      </c>
      <c r="E364" s="236">
        <v>1101117478088</v>
      </c>
      <c r="F364" s="240" t="s">
        <v>4854</v>
      </c>
      <c r="G364" s="214">
        <v>0</v>
      </c>
      <c r="H364" s="231" t="s">
        <v>4771</v>
      </c>
      <c r="I364" s="231"/>
      <c r="J364" s="231"/>
      <c r="K364" s="231"/>
      <c r="L364" s="231"/>
      <c r="M364" s="231"/>
      <c r="N364" s="231" t="s">
        <v>4895</v>
      </c>
      <c r="O364" s="246" t="s">
        <v>5272</v>
      </c>
      <c r="P364" s="246" t="s">
        <v>5273</v>
      </c>
      <c r="Q364" s="225" t="s">
        <v>5274</v>
      </c>
      <c r="R364" s="212" t="s">
        <v>2</v>
      </c>
      <c r="S364" s="213" t="s">
        <v>4771</v>
      </c>
      <c r="T364" s="233">
        <v>45575</v>
      </c>
      <c r="U364" s="234" t="s">
        <v>4759</v>
      </c>
      <c r="V364" s="234">
        <v>45607</v>
      </c>
      <c r="W364" s="234">
        <v>45609</v>
      </c>
      <c r="X364" s="234" t="s">
        <v>2</v>
      </c>
      <c r="Y364" s="234"/>
      <c r="Z364" s="234" t="s">
        <v>4649</v>
      </c>
      <c r="AA364" s="243">
        <v>202411</v>
      </c>
      <c r="AB364" s="243"/>
      <c r="AC364" s="244" t="s">
        <v>4800</v>
      </c>
      <c r="AD364" s="244" t="s">
        <v>4947</v>
      </c>
      <c r="AE364" s="245">
        <v>1</v>
      </c>
      <c r="AF364" s="244" t="s">
        <v>4947</v>
      </c>
      <c r="AG364" s="239" t="str">
        <f>IFERROR(VLOOKUP(작성용!A:A,RM!A:D,4,0),"-")</f>
        <v>오수현</v>
      </c>
      <c r="AH364" s="9" t="s">
        <v>3923</v>
      </c>
      <c r="AI364" s="235" t="s">
        <v>4771</v>
      </c>
      <c r="AJ364" s="235" t="s">
        <v>5275</v>
      </c>
      <c r="AK364" s="235" t="s">
        <v>4777</v>
      </c>
      <c r="AL364" s="235">
        <v>363</v>
      </c>
    </row>
    <row r="365" spans="1:38" s="198" customFormat="1" x14ac:dyDescent="0.3">
      <c r="A365" s="222" t="s">
        <v>2226</v>
      </c>
      <c r="B365" s="222" t="s">
        <v>5270</v>
      </c>
      <c r="C365" s="241" t="s">
        <v>4762</v>
      </c>
      <c r="D365" s="237" t="s">
        <v>5320</v>
      </c>
      <c r="E365" s="236">
        <v>1358110177957</v>
      </c>
      <c r="F365" s="240" t="s">
        <v>4780</v>
      </c>
      <c r="G365" s="214">
        <v>0</v>
      </c>
      <c r="H365" s="231" t="s">
        <v>4771</v>
      </c>
      <c r="I365" s="231"/>
      <c r="J365" s="231"/>
      <c r="K365" s="231"/>
      <c r="L365" s="231"/>
      <c r="M365" s="231"/>
      <c r="N365" s="231" t="s">
        <v>4895</v>
      </c>
      <c r="O365" s="246" t="s">
        <v>5272</v>
      </c>
      <c r="P365" s="246" t="s">
        <v>5273</v>
      </c>
      <c r="Q365" s="225" t="s">
        <v>5274</v>
      </c>
      <c r="R365" s="212" t="s">
        <v>2</v>
      </c>
      <c r="S365" s="213" t="s">
        <v>4771</v>
      </c>
      <c r="T365" s="233">
        <v>45575</v>
      </c>
      <c r="U365" s="234" t="s">
        <v>4759</v>
      </c>
      <c r="V365" s="234">
        <v>45607</v>
      </c>
      <c r="W365" s="234">
        <v>45609</v>
      </c>
      <c r="X365" s="234" t="s">
        <v>2</v>
      </c>
      <c r="Y365" s="234"/>
      <c r="Z365" s="234" t="s">
        <v>4649</v>
      </c>
      <c r="AA365" s="243">
        <v>202411</v>
      </c>
      <c r="AB365" s="243"/>
      <c r="AC365" s="244" t="s">
        <v>4800</v>
      </c>
      <c r="AD365" s="244" t="s">
        <v>4774</v>
      </c>
      <c r="AE365" s="245">
        <v>0</v>
      </c>
      <c r="AF365" s="244" t="s">
        <v>4774</v>
      </c>
      <c r="AG365" s="239" t="str">
        <f>IFERROR(VLOOKUP(작성용!A:A,RM!A:D,4,0),"-")</f>
        <v>오수현</v>
      </c>
      <c r="AH365" s="9" t="s">
        <v>3923</v>
      </c>
      <c r="AI365" s="235" t="s">
        <v>4771</v>
      </c>
      <c r="AJ365" s="235" t="s">
        <v>5275</v>
      </c>
      <c r="AK365" s="235" t="s">
        <v>4777</v>
      </c>
      <c r="AL365" s="235">
        <v>364</v>
      </c>
    </row>
    <row r="366" spans="1:38" s="198" customFormat="1" x14ac:dyDescent="0.3">
      <c r="A366" s="222" t="s">
        <v>2226</v>
      </c>
      <c r="B366" s="222" t="s">
        <v>5270</v>
      </c>
      <c r="C366" s="241" t="s">
        <v>4778</v>
      </c>
      <c r="D366" s="237" t="s">
        <v>5321</v>
      </c>
      <c r="E366" s="236">
        <v>1717110147784</v>
      </c>
      <c r="F366" s="240" t="s">
        <v>4850</v>
      </c>
      <c r="G366" s="214">
        <v>1</v>
      </c>
      <c r="H366" s="231" t="s">
        <v>4771</v>
      </c>
      <c r="I366" s="231"/>
      <c r="J366" s="231"/>
      <c r="K366" s="231"/>
      <c r="L366" s="231"/>
      <c r="M366" s="231"/>
      <c r="N366" s="231" t="s">
        <v>4895</v>
      </c>
      <c r="O366" s="246" t="s">
        <v>5272</v>
      </c>
      <c r="P366" s="246" t="s">
        <v>5273</v>
      </c>
      <c r="Q366" s="225" t="s">
        <v>5274</v>
      </c>
      <c r="R366" s="212" t="s">
        <v>2</v>
      </c>
      <c r="S366" s="213" t="s">
        <v>4771</v>
      </c>
      <c r="T366" s="233">
        <v>45575</v>
      </c>
      <c r="U366" s="234" t="s">
        <v>4759</v>
      </c>
      <c r="V366" s="234">
        <v>45607</v>
      </c>
      <c r="W366" s="234">
        <v>45609</v>
      </c>
      <c r="X366" s="234" t="s">
        <v>2</v>
      </c>
      <c r="Y366" s="234"/>
      <c r="Z366" s="234" t="s">
        <v>4649</v>
      </c>
      <c r="AA366" s="243">
        <v>202411</v>
      </c>
      <c r="AB366" s="243"/>
      <c r="AC366" s="244" t="s">
        <v>4800</v>
      </c>
      <c r="AD366" s="244" t="s">
        <v>4905</v>
      </c>
      <c r="AE366" s="245">
        <v>1</v>
      </c>
      <c r="AF366" s="244" t="s">
        <v>4905</v>
      </c>
      <c r="AG366" s="239" t="str">
        <f>IFERROR(VLOOKUP(작성용!A:A,RM!A:D,4,0),"-")</f>
        <v>오수현</v>
      </c>
      <c r="AH366" s="9" t="s">
        <v>3923</v>
      </c>
      <c r="AI366" s="235" t="s">
        <v>4771</v>
      </c>
      <c r="AJ366" s="235" t="s">
        <v>5275</v>
      </c>
      <c r="AK366" s="235" t="s">
        <v>4777</v>
      </c>
      <c r="AL366" s="235">
        <v>365</v>
      </c>
    </row>
    <row r="367" spans="1:38" s="198" customFormat="1" x14ac:dyDescent="0.3">
      <c r="A367" s="222" t="s">
        <v>2226</v>
      </c>
      <c r="B367" s="222" t="s">
        <v>5270</v>
      </c>
      <c r="C367" s="241" t="s">
        <v>4778</v>
      </c>
      <c r="D367" s="237" t="s">
        <v>5322</v>
      </c>
      <c r="E367" s="236">
        <v>1311110641645</v>
      </c>
      <c r="F367" s="240" t="s">
        <v>4850</v>
      </c>
      <c r="G367" s="214">
        <v>3</v>
      </c>
      <c r="H367" s="231" t="s">
        <v>4771</v>
      </c>
      <c r="I367" s="231"/>
      <c r="J367" s="231"/>
      <c r="K367" s="231"/>
      <c r="L367" s="231"/>
      <c r="M367" s="231"/>
      <c r="N367" s="231" t="s">
        <v>4895</v>
      </c>
      <c r="O367" s="246" t="s">
        <v>5272</v>
      </c>
      <c r="P367" s="246" t="s">
        <v>5273</v>
      </c>
      <c r="Q367" s="225" t="s">
        <v>5274</v>
      </c>
      <c r="R367" s="212" t="s">
        <v>2</v>
      </c>
      <c r="S367" s="213" t="s">
        <v>4771</v>
      </c>
      <c r="T367" s="233">
        <v>45575</v>
      </c>
      <c r="U367" s="234" t="s">
        <v>4759</v>
      </c>
      <c r="V367" s="234">
        <v>45607</v>
      </c>
      <c r="W367" s="234">
        <v>45609</v>
      </c>
      <c r="X367" s="234" t="s">
        <v>2</v>
      </c>
      <c r="Y367" s="234"/>
      <c r="Z367" s="234" t="s">
        <v>4649</v>
      </c>
      <c r="AA367" s="243">
        <v>202411</v>
      </c>
      <c r="AB367" s="243"/>
      <c r="AC367" s="244" t="s">
        <v>4800</v>
      </c>
      <c r="AD367" s="244" t="s">
        <v>4947</v>
      </c>
      <c r="AE367" s="245">
        <v>1</v>
      </c>
      <c r="AF367" s="244" t="s">
        <v>4947</v>
      </c>
      <c r="AG367" s="239" t="str">
        <f>IFERROR(VLOOKUP(작성용!A:A,RM!A:D,4,0),"-")</f>
        <v>오수현</v>
      </c>
      <c r="AH367" s="9" t="s">
        <v>3923</v>
      </c>
      <c r="AI367" s="235" t="s">
        <v>4771</v>
      </c>
      <c r="AJ367" s="235" t="s">
        <v>5275</v>
      </c>
      <c r="AK367" s="235" t="s">
        <v>4777</v>
      </c>
      <c r="AL367" s="235">
        <v>366</v>
      </c>
    </row>
    <row r="368" spans="1:38" s="198" customFormat="1" x14ac:dyDescent="0.3">
      <c r="A368" s="222" t="s">
        <v>2226</v>
      </c>
      <c r="B368" s="222" t="s">
        <v>5270</v>
      </c>
      <c r="C368" s="241" t="s">
        <v>4778</v>
      </c>
      <c r="D368" s="237" t="s">
        <v>5322</v>
      </c>
      <c r="E368" s="236">
        <v>1311110641645</v>
      </c>
      <c r="F368" s="240" t="s">
        <v>4850</v>
      </c>
      <c r="G368" s="214">
        <v>1</v>
      </c>
      <c r="H368" s="231" t="s">
        <v>4771</v>
      </c>
      <c r="I368" s="231"/>
      <c r="J368" s="231"/>
      <c r="K368" s="231"/>
      <c r="L368" s="231"/>
      <c r="M368" s="231"/>
      <c r="N368" s="231" t="s">
        <v>4895</v>
      </c>
      <c r="O368" s="246" t="s">
        <v>5272</v>
      </c>
      <c r="P368" s="246" t="s">
        <v>5273</v>
      </c>
      <c r="Q368" s="225" t="s">
        <v>5274</v>
      </c>
      <c r="R368" s="212" t="s">
        <v>2</v>
      </c>
      <c r="S368" s="213" t="s">
        <v>4771</v>
      </c>
      <c r="T368" s="233">
        <v>45575</v>
      </c>
      <c r="U368" s="234" t="s">
        <v>4759</v>
      </c>
      <c r="V368" s="234">
        <v>45607</v>
      </c>
      <c r="W368" s="234">
        <v>45609</v>
      </c>
      <c r="X368" s="234" t="s">
        <v>2</v>
      </c>
      <c r="Y368" s="234"/>
      <c r="Z368" s="234" t="s">
        <v>4649</v>
      </c>
      <c r="AA368" s="243">
        <v>202411</v>
      </c>
      <c r="AB368" s="243"/>
      <c r="AC368" s="244" t="s">
        <v>4800</v>
      </c>
      <c r="AD368" s="244" t="s">
        <v>4947</v>
      </c>
      <c r="AE368" s="245">
        <v>0</v>
      </c>
      <c r="AF368" s="244" t="s">
        <v>4947</v>
      </c>
      <c r="AG368" s="239" t="str">
        <f>IFERROR(VLOOKUP(작성용!A:A,RM!A:D,4,0),"-")</f>
        <v>오수현</v>
      </c>
      <c r="AH368" s="9" t="s">
        <v>3923</v>
      </c>
      <c r="AI368" s="235" t="s">
        <v>4771</v>
      </c>
      <c r="AJ368" s="235" t="s">
        <v>5275</v>
      </c>
      <c r="AK368" s="235" t="s">
        <v>4777</v>
      </c>
      <c r="AL368" s="235">
        <v>367</v>
      </c>
    </row>
    <row r="369" spans="1:38" s="198" customFormat="1" x14ac:dyDescent="0.3">
      <c r="A369" s="222" t="s">
        <v>2226</v>
      </c>
      <c r="B369" s="222" t="s">
        <v>5270</v>
      </c>
      <c r="C369" s="241" t="s">
        <v>4762</v>
      </c>
      <c r="D369" s="237" t="s">
        <v>5323</v>
      </c>
      <c r="E369" s="236">
        <v>1601110488696</v>
      </c>
      <c r="F369" s="240" t="s">
        <v>4850</v>
      </c>
      <c r="G369" s="214">
        <v>0</v>
      </c>
      <c r="H369" s="231" t="s">
        <v>4771</v>
      </c>
      <c r="I369" s="231"/>
      <c r="J369" s="231"/>
      <c r="K369" s="231"/>
      <c r="L369" s="231"/>
      <c r="M369" s="231"/>
      <c r="N369" s="231" t="s">
        <v>4895</v>
      </c>
      <c r="O369" s="246" t="s">
        <v>5272</v>
      </c>
      <c r="P369" s="246" t="s">
        <v>5273</v>
      </c>
      <c r="Q369" s="225" t="s">
        <v>5274</v>
      </c>
      <c r="R369" s="212" t="s">
        <v>2</v>
      </c>
      <c r="S369" s="213" t="s">
        <v>4771</v>
      </c>
      <c r="T369" s="233">
        <v>45575</v>
      </c>
      <c r="U369" s="234" t="s">
        <v>4759</v>
      </c>
      <c r="V369" s="234">
        <v>45607</v>
      </c>
      <c r="W369" s="234">
        <v>45609</v>
      </c>
      <c r="X369" s="234" t="s">
        <v>2</v>
      </c>
      <c r="Y369" s="234"/>
      <c r="Z369" s="234" t="s">
        <v>4649</v>
      </c>
      <c r="AA369" s="243">
        <v>202411</v>
      </c>
      <c r="AB369" s="243"/>
      <c r="AC369" s="244" t="s">
        <v>4800</v>
      </c>
      <c r="AD369" s="244" t="s">
        <v>4864</v>
      </c>
      <c r="AE369" s="245">
        <v>1</v>
      </c>
      <c r="AF369" s="244" t="s">
        <v>4864</v>
      </c>
      <c r="AG369" s="239" t="str">
        <f>IFERROR(VLOOKUP(작성용!A:A,RM!A:D,4,0),"-")</f>
        <v>오수현</v>
      </c>
      <c r="AH369" s="9" t="s">
        <v>3923</v>
      </c>
      <c r="AI369" s="235" t="s">
        <v>4771</v>
      </c>
      <c r="AJ369" s="235" t="s">
        <v>5275</v>
      </c>
      <c r="AK369" s="235" t="s">
        <v>4777</v>
      </c>
      <c r="AL369" s="235">
        <v>368</v>
      </c>
    </row>
    <row r="370" spans="1:38" s="198" customFormat="1" x14ac:dyDescent="0.3">
      <c r="A370" s="222" t="s">
        <v>2226</v>
      </c>
      <c r="B370" s="222" t="s">
        <v>5270</v>
      </c>
      <c r="C370" s="241" t="s">
        <v>4762</v>
      </c>
      <c r="D370" s="237" t="s">
        <v>5324</v>
      </c>
      <c r="E370" s="236">
        <v>1648110117700</v>
      </c>
      <c r="F370" s="240" t="s">
        <v>4850</v>
      </c>
      <c r="G370" s="214">
        <v>0</v>
      </c>
      <c r="H370" s="231" t="s">
        <v>4771</v>
      </c>
      <c r="I370" s="231"/>
      <c r="J370" s="231"/>
      <c r="K370" s="231"/>
      <c r="L370" s="231"/>
      <c r="M370" s="231"/>
      <c r="N370" s="231" t="s">
        <v>4895</v>
      </c>
      <c r="O370" s="246" t="s">
        <v>5272</v>
      </c>
      <c r="P370" s="246" t="s">
        <v>5273</v>
      </c>
      <c r="Q370" s="225" t="s">
        <v>5274</v>
      </c>
      <c r="R370" s="212" t="s">
        <v>2</v>
      </c>
      <c r="S370" s="213" t="s">
        <v>4771</v>
      </c>
      <c r="T370" s="233">
        <v>45575</v>
      </c>
      <c r="U370" s="234" t="s">
        <v>4759</v>
      </c>
      <c r="V370" s="234">
        <v>45607</v>
      </c>
      <c r="W370" s="234">
        <v>45609</v>
      </c>
      <c r="X370" s="234" t="s">
        <v>2</v>
      </c>
      <c r="Y370" s="234"/>
      <c r="Z370" s="234" t="s">
        <v>4649</v>
      </c>
      <c r="AA370" s="243">
        <v>202411</v>
      </c>
      <c r="AB370" s="243"/>
      <c r="AC370" s="244" t="s">
        <v>4800</v>
      </c>
      <c r="AD370" s="244" t="s">
        <v>4982</v>
      </c>
      <c r="AE370" s="245">
        <v>1</v>
      </c>
      <c r="AF370" s="244" t="s">
        <v>4982</v>
      </c>
      <c r="AG370" s="239" t="str">
        <f>IFERROR(VLOOKUP(작성용!A:A,RM!A:D,4,0),"-")</f>
        <v>오수현</v>
      </c>
      <c r="AH370" s="9" t="s">
        <v>3923</v>
      </c>
      <c r="AI370" s="235" t="s">
        <v>4771</v>
      </c>
      <c r="AJ370" s="235" t="s">
        <v>5275</v>
      </c>
      <c r="AK370" s="235" t="s">
        <v>4777</v>
      </c>
      <c r="AL370" s="235">
        <v>369</v>
      </c>
    </row>
    <row r="371" spans="1:38" s="198" customFormat="1" x14ac:dyDescent="0.3">
      <c r="A371" s="222" t="s">
        <v>2221</v>
      </c>
      <c r="B371" s="222" t="s">
        <v>5004</v>
      </c>
      <c r="C371" s="241" t="s">
        <v>4762</v>
      </c>
      <c r="D371" s="259" t="s">
        <v>5325</v>
      </c>
      <c r="E371" s="236">
        <v>1101140316940</v>
      </c>
      <c r="F371" s="240" t="s">
        <v>4854</v>
      </c>
      <c r="G371" s="214">
        <v>0</v>
      </c>
      <c r="H371" s="231" t="s">
        <v>4771</v>
      </c>
      <c r="I371" s="231"/>
      <c r="J371" s="231"/>
      <c r="K371" s="231"/>
      <c r="L371" s="231"/>
      <c r="M371" s="231"/>
      <c r="N371" s="231" t="s">
        <v>4781</v>
      </c>
      <c r="O371" s="246" t="s">
        <v>5219</v>
      </c>
      <c r="P371" s="246" t="s">
        <v>5220</v>
      </c>
      <c r="Q371" s="225" t="s">
        <v>4640</v>
      </c>
      <c r="R371" s="212" t="s">
        <v>2</v>
      </c>
      <c r="S371" s="213" t="s">
        <v>4771</v>
      </c>
      <c r="T371" s="233">
        <v>45573</v>
      </c>
      <c r="U371" s="234" t="s">
        <v>4759</v>
      </c>
      <c r="V371" s="234">
        <v>45602</v>
      </c>
      <c r="W371" s="234">
        <v>45607</v>
      </c>
      <c r="X371" s="234" t="s">
        <v>2</v>
      </c>
      <c r="Y371" s="234"/>
      <c r="Z371" s="234" t="s">
        <v>4642</v>
      </c>
      <c r="AA371" s="243">
        <v>202411</v>
      </c>
      <c r="AB371" s="243"/>
      <c r="AC371" s="244" t="s">
        <v>4800</v>
      </c>
      <c r="AD371" s="244" t="s">
        <v>4897</v>
      </c>
      <c r="AE371" s="245">
        <v>0</v>
      </c>
      <c r="AF371" s="244" t="s">
        <v>4762</v>
      </c>
      <c r="AG371" s="239" t="str">
        <f>IFERROR(VLOOKUP(작성용!A:A,RM!A:D,4,0),"-")</f>
        <v>강성은</v>
      </c>
      <c r="AH371" s="9" t="s">
        <v>4845</v>
      </c>
      <c r="AI371" s="235" t="s">
        <v>5326</v>
      </c>
      <c r="AJ371" s="235" t="s">
        <v>4920</v>
      </c>
      <c r="AK371" s="235" t="s">
        <v>4777</v>
      </c>
      <c r="AL371" s="235">
        <v>370</v>
      </c>
    </row>
    <row r="372" spans="1:38" x14ac:dyDescent="0.3">
      <c r="A372" s="222" t="s">
        <v>5327</v>
      </c>
      <c r="B372" s="222" t="s">
        <v>5328</v>
      </c>
      <c r="C372" s="241" t="s">
        <v>4778</v>
      </c>
      <c r="D372" s="237" t="s">
        <v>5329</v>
      </c>
      <c r="E372" s="236" t="s">
        <v>5330</v>
      </c>
      <c r="F372" s="240" t="s">
        <v>5200</v>
      </c>
      <c r="G372" s="214">
        <v>0</v>
      </c>
      <c r="H372" s="231" t="s">
        <v>4771</v>
      </c>
      <c r="I372" s="231"/>
      <c r="J372" s="231"/>
      <c r="K372" s="231"/>
      <c r="L372" s="231"/>
      <c r="M372" s="231"/>
      <c r="N372" s="231" t="s">
        <v>4895</v>
      </c>
      <c r="O372" s="246" t="s">
        <v>5331</v>
      </c>
      <c r="P372" s="246" t="s">
        <v>5332</v>
      </c>
      <c r="Q372" s="225" t="s">
        <v>5333</v>
      </c>
      <c r="R372" s="212" t="s">
        <v>4771</v>
      </c>
      <c r="S372" s="213" t="s">
        <v>4771</v>
      </c>
      <c r="T372" s="233">
        <v>45572</v>
      </c>
      <c r="U372" s="234" t="s">
        <v>4759</v>
      </c>
      <c r="V372" s="234">
        <v>45611</v>
      </c>
      <c r="W372" s="234">
        <v>45649</v>
      </c>
      <c r="X372" s="234" t="s">
        <v>2</v>
      </c>
      <c r="Y372" s="234"/>
      <c r="Z372" s="234" t="s">
        <v>5334</v>
      </c>
      <c r="AA372" s="243">
        <v>202411</v>
      </c>
      <c r="AB372" s="243"/>
      <c r="AC372" s="244" t="s">
        <v>4760</v>
      </c>
      <c r="AD372" s="244" t="s">
        <v>4761</v>
      </c>
      <c r="AE372" s="245">
        <v>1.5</v>
      </c>
      <c r="AF372" s="244" t="s">
        <v>4761</v>
      </c>
      <c r="AG372" s="239" t="str">
        <f>IFERROR(VLOOKUP(작성용!A:A,RM!A:D,4,0),"-")</f>
        <v>유재호</v>
      </c>
      <c r="AH372" s="235" t="s">
        <v>5021</v>
      </c>
      <c r="AI372" s="235" t="s">
        <v>5335</v>
      </c>
      <c r="AJ372" s="235" t="s">
        <v>5336</v>
      </c>
      <c r="AK372" s="235" t="s">
        <v>4777</v>
      </c>
      <c r="AL372" s="235">
        <v>371</v>
      </c>
    </row>
    <row r="373" spans="1:38" x14ac:dyDescent="0.3">
      <c r="A373" s="222" t="s">
        <v>5327</v>
      </c>
      <c r="B373" s="222" t="s">
        <v>5328</v>
      </c>
      <c r="C373" s="241" t="s">
        <v>4765</v>
      </c>
      <c r="D373" s="237" t="s">
        <v>5337</v>
      </c>
      <c r="E373" s="236" t="s">
        <v>4559</v>
      </c>
      <c r="F373" s="240" t="s">
        <v>5200</v>
      </c>
      <c r="G373" s="214">
        <v>0</v>
      </c>
      <c r="H373" s="231" t="s">
        <v>4771</v>
      </c>
      <c r="I373" s="231"/>
      <c r="J373" s="231"/>
      <c r="K373" s="231"/>
      <c r="L373" s="231"/>
      <c r="M373" s="231"/>
      <c r="N373" s="231" t="s">
        <v>4895</v>
      </c>
      <c r="O373" s="246" t="s">
        <v>5331</v>
      </c>
      <c r="P373" s="246" t="s">
        <v>5332</v>
      </c>
      <c r="Q373" s="225" t="s">
        <v>5333</v>
      </c>
      <c r="R373" s="212" t="s">
        <v>4771</v>
      </c>
      <c r="S373" s="213" t="s">
        <v>4771</v>
      </c>
      <c r="T373" s="233">
        <v>45572</v>
      </c>
      <c r="U373" s="234" t="s">
        <v>4759</v>
      </c>
      <c r="V373" s="234">
        <v>45611</v>
      </c>
      <c r="W373" s="234">
        <v>45649</v>
      </c>
      <c r="X373" s="234" t="s">
        <v>2</v>
      </c>
      <c r="Y373" s="234"/>
      <c r="Z373" s="234" t="s">
        <v>5334</v>
      </c>
      <c r="AA373" s="243">
        <v>202411</v>
      </c>
      <c r="AB373" s="243"/>
      <c r="AC373" s="244" t="s">
        <v>4760</v>
      </c>
      <c r="AD373" s="244" t="s">
        <v>4982</v>
      </c>
      <c r="AE373" s="245">
        <v>1.5</v>
      </c>
      <c r="AF373" s="244" t="s">
        <v>4982</v>
      </c>
      <c r="AG373" s="239" t="str">
        <f>IFERROR(VLOOKUP(작성용!A:A,RM!A:D,4,0),"-")</f>
        <v>유재호</v>
      </c>
      <c r="AH373" s="235" t="s">
        <v>5021</v>
      </c>
      <c r="AI373" s="235" t="s">
        <v>5335</v>
      </c>
      <c r="AJ373" s="235" t="s">
        <v>5338</v>
      </c>
      <c r="AK373" s="235" t="s">
        <v>4777</v>
      </c>
      <c r="AL373" s="235">
        <v>372</v>
      </c>
    </row>
    <row r="374" spans="1:38" x14ac:dyDescent="0.3">
      <c r="A374" s="222" t="s">
        <v>5327</v>
      </c>
      <c r="B374" s="222" t="s">
        <v>5328</v>
      </c>
      <c r="C374" s="241" t="s">
        <v>4765</v>
      </c>
      <c r="D374" s="237" t="s">
        <v>5339</v>
      </c>
      <c r="E374" s="236" t="s">
        <v>4560</v>
      </c>
      <c r="F374" s="240" t="s">
        <v>5200</v>
      </c>
      <c r="G374" s="214">
        <v>0</v>
      </c>
      <c r="H374" s="231" t="s">
        <v>4771</v>
      </c>
      <c r="I374" s="231"/>
      <c r="J374" s="231"/>
      <c r="K374" s="231"/>
      <c r="L374" s="231"/>
      <c r="M374" s="231"/>
      <c r="N374" s="231" t="s">
        <v>4895</v>
      </c>
      <c r="O374" s="246" t="s">
        <v>5340</v>
      </c>
      <c r="P374" s="246" t="s">
        <v>5332</v>
      </c>
      <c r="Q374" s="225" t="s">
        <v>5333</v>
      </c>
      <c r="R374" s="212" t="s">
        <v>4771</v>
      </c>
      <c r="S374" s="213" t="s">
        <v>4771</v>
      </c>
      <c r="T374" s="233">
        <v>45572</v>
      </c>
      <c r="U374" s="234" t="s">
        <v>4759</v>
      </c>
      <c r="V374" s="234">
        <v>45611</v>
      </c>
      <c r="W374" s="234">
        <v>45649</v>
      </c>
      <c r="X374" s="234" t="s">
        <v>2</v>
      </c>
      <c r="Y374" s="234"/>
      <c r="Z374" s="234" t="s">
        <v>5334</v>
      </c>
      <c r="AA374" s="243">
        <v>202411</v>
      </c>
      <c r="AB374" s="243"/>
      <c r="AC374" s="244" t="s">
        <v>4760</v>
      </c>
      <c r="AD374" s="244" t="s">
        <v>4858</v>
      </c>
      <c r="AE374" s="245">
        <v>2</v>
      </c>
      <c r="AF374" s="244" t="s">
        <v>4858</v>
      </c>
      <c r="AG374" s="239" t="str">
        <f>IFERROR(VLOOKUP(작성용!A:A,RM!A:D,4,0),"-")</f>
        <v>유재호</v>
      </c>
      <c r="AH374" s="235" t="s">
        <v>5021</v>
      </c>
      <c r="AI374" s="235" t="s">
        <v>5341</v>
      </c>
      <c r="AJ374" s="235" t="s">
        <v>5338</v>
      </c>
      <c r="AK374" s="235" t="s">
        <v>4777</v>
      </c>
      <c r="AL374" s="235">
        <v>373</v>
      </c>
    </row>
    <row r="375" spans="1:38" x14ac:dyDescent="0.3">
      <c r="A375" s="222" t="s">
        <v>5327</v>
      </c>
      <c r="B375" s="222" t="s">
        <v>5328</v>
      </c>
      <c r="C375" s="241" t="s">
        <v>4778</v>
      </c>
      <c r="D375" s="237" t="s">
        <v>5342</v>
      </c>
      <c r="E375" s="236">
        <v>1101130022523</v>
      </c>
      <c r="F375" s="240" t="s">
        <v>5200</v>
      </c>
      <c r="G375" s="214">
        <v>0</v>
      </c>
      <c r="H375" s="231" t="s">
        <v>4771</v>
      </c>
      <c r="I375" s="231"/>
      <c r="J375" s="231"/>
      <c r="K375" s="231"/>
      <c r="L375" s="231"/>
      <c r="M375" s="231"/>
      <c r="N375" s="231" t="s">
        <v>4895</v>
      </c>
      <c r="O375" s="246" t="s">
        <v>5331</v>
      </c>
      <c r="P375" s="246" t="s">
        <v>5332</v>
      </c>
      <c r="Q375" s="225" t="s">
        <v>5333</v>
      </c>
      <c r="R375" s="212" t="s">
        <v>4771</v>
      </c>
      <c r="S375" s="213" t="s">
        <v>4771</v>
      </c>
      <c r="T375" s="233">
        <v>45572</v>
      </c>
      <c r="U375" s="234" t="s">
        <v>4759</v>
      </c>
      <c r="V375" s="234">
        <v>45611</v>
      </c>
      <c r="W375" s="234">
        <v>45649</v>
      </c>
      <c r="X375" s="234" t="s">
        <v>2</v>
      </c>
      <c r="Y375" s="234"/>
      <c r="Z375" s="234" t="s">
        <v>5334</v>
      </c>
      <c r="AA375" s="243">
        <v>202411</v>
      </c>
      <c r="AB375" s="243"/>
      <c r="AC375" s="244" t="s">
        <v>4760</v>
      </c>
      <c r="AD375" s="244" t="s">
        <v>4897</v>
      </c>
      <c r="AE375" s="245">
        <v>1.5</v>
      </c>
      <c r="AF375" s="244" t="s">
        <v>4918</v>
      </c>
      <c r="AG375" s="239" t="str">
        <f>IFERROR(VLOOKUP(작성용!A:A,RM!A:D,4,0),"-")</f>
        <v>유재호</v>
      </c>
      <c r="AH375" s="235" t="s">
        <v>5021</v>
      </c>
      <c r="AI375" s="235" t="s">
        <v>5335</v>
      </c>
      <c r="AJ375" s="235" t="s">
        <v>5338</v>
      </c>
      <c r="AK375" s="235" t="s">
        <v>4777</v>
      </c>
      <c r="AL375" s="235">
        <v>374</v>
      </c>
    </row>
    <row r="376" spans="1:38" x14ac:dyDescent="0.3">
      <c r="A376" s="222" t="s">
        <v>5327</v>
      </c>
      <c r="B376" s="222" t="s">
        <v>5328</v>
      </c>
      <c r="C376" s="241" t="s">
        <v>4778</v>
      </c>
      <c r="D376" s="237" t="s">
        <v>5343</v>
      </c>
      <c r="E376" s="236" t="s">
        <v>4561</v>
      </c>
      <c r="F376" s="240" t="s">
        <v>5200</v>
      </c>
      <c r="G376" s="214">
        <v>0</v>
      </c>
      <c r="H376" s="231" t="s">
        <v>4771</v>
      </c>
      <c r="I376" s="231"/>
      <c r="J376" s="231"/>
      <c r="K376" s="231"/>
      <c r="L376" s="231"/>
      <c r="M376" s="231"/>
      <c r="N376" s="231" t="s">
        <v>4895</v>
      </c>
      <c r="O376" s="246" t="s">
        <v>5340</v>
      </c>
      <c r="P376" s="246" t="s">
        <v>5332</v>
      </c>
      <c r="Q376" s="225" t="s">
        <v>5333</v>
      </c>
      <c r="R376" s="212" t="s">
        <v>4771</v>
      </c>
      <c r="S376" s="213" t="s">
        <v>4771</v>
      </c>
      <c r="T376" s="233">
        <v>45572</v>
      </c>
      <c r="U376" s="234" t="s">
        <v>4759</v>
      </c>
      <c r="V376" s="234">
        <v>45611</v>
      </c>
      <c r="W376" s="234">
        <v>45649</v>
      </c>
      <c r="X376" s="234" t="s">
        <v>2</v>
      </c>
      <c r="Y376" s="234"/>
      <c r="Z376" s="234" t="s">
        <v>5334</v>
      </c>
      <c r="AA376" s="243">
        <v>202411</v>
      </c>
      <c r="AB376" s="243"/>
      <c r="AC376" s="244" t="s">
        <v>4760</v>
      </c>
      <c r="AD376" s="244" t="s">
        <v>4900</v>
      </c>
      <c r="AE376" s="245">
        <v>2</v>
      </c>
      <c r="AF376" s="244" t="s">
        <v>4900</v>
      </c>
      <c r="AG376" s="239" t="str">
        <f>IFERROR(VLOOKUP(작성용!A:A,RM!A:D,4,0),"-")</f>
        <v>유재호</v>
      </c>
      <c r="AH376" s="235" t="s">
        <v>5021</v>
      </c>
      <c r="AI376" s="235" t="s">
        <v>5341</v>
      </c>
      <c r="AJ376" s="235" t="s">
        <v>5336</v>
      </c>
      <c r="AK376" s="235" t="s">
        <v>4777</v>
      </c>
      <c r="AL376" s="235">
        <v>375</v>
      </c>
    </row>
    <row r="377" spans="1:38" x14ac:dyDescent="0.3">
      <c r="A377" s="222" t="s">
        <v>5327</v>
      </c>
      <c r="B377" s="222" t="s">
        <v>5328</v>
      </c>
      <c r="C377" s="241" t="s">
        <v>4778</v>
      </c>
      <c r="D377" s="237" t="s">
        <v>5344</v>
      </c>
      <c r="E377" s="236" t="s">
        <v>4562</v>
      </c>
      <c r="F377" s="240" t="s">
        <v>5200</v>
      </c>
      <c r="G377" s="214">
        <v>0</v>
      </c>
      <c r="H377" s="231" t="s">
        <v>4771</v>
      </c>
      <c r="I377" s="231"/>
      <c r="J377" s="231"/>
      <c r="K377" s="231"/>
      <c r="L377" s="231"/>
      <c r="M377" s="231"/>
      <c r="N377" s="231" t="s">
        <v>4895</v>
      </c>
      <c r="O377" s="246" t="s">
        <v>5331</v>
      </c>
      <c r="P377" s="246" t="s">
        <v>5332</v>
      </c>
      <c r="Q377" s="225" t="s">
        <v>5333</v>
      </c>
      <c r="R377" s="212" t="s">
        <v>4771</v>
      </c>
      <c r="S377" s="213" t="s">
        <v>4771</v>
      </c>
      <c r="T377" s="233">
        <v>45572</v>
      </c>
      <c r="U377" s="234" t="s">
        <v>4759</v>
      </c>
      <c r="V377" s="234">
        <v>45611</v>
      </c>
      <c r="W377" s="234">
        <v>45649</v>
      </c>
      <c r="X377" s="234" t="s">
        <v>2</v>
      </c>
      <c r="Y377" s="234"/>
      <c r="Z377" s="234" t="s">
        <v>5334</v>
      </c>
      <c r="AA377" s="243">
        <v>202411</v>
      </c>
      <c r="AB377" s="243"/>
      <c r="AC377" s="244" t="s">
        <v>4760</v>
      </c>
      <c r="AD377" s="244" t="s">
        <v>4927</v>
      </c>
      <c r="AE377" s="245">
        <v>2</v>
      </c>
      <c r="AF377" s="244" t="s">
        <v>4927</v>
      </c>
      <c r="AG377" s="239" t="str">
        <f>IFERROR(VLOOKUP(작성용!A:A,RM!A:D,4,0),"-")</f>
        <v>유재호</v>
      </c>
      <c r="AH377" s="235" t="s">
        <v>5021</v>
      </c>
      <c r="AI377" s="235" t="s">
        <v>5341</v>
      </c>
      <c r="AJ377" s="235" t="s">
        <v>5338</v>
      </c>
      <c r="AK377" s="235" t="s">
        <v>4777</v>
      </c>
      <c r="AL377" s="235">
        <v>376</v>
      </c>
    </row>
    <row r="378" spans="1:38" x14ac:dyDescent="0.3">
      <c r="A378" s="222" t="s">
        <v>5327</v>
      </c>
      <c r="B378" s="222" t="s">
        <v>5328</v>
      </c>
      <c r="C378" s="241" t="s">
        <v>4778</v>
      </c>
      <c r="D378" s="237" t="s">
        <v>5345</v>
      </c>
      <c r="E378" s="236" t="s">
        <v>4563</v>
      </c>
      <c r="F378" s="240" t="s">
        <v>5200</v>
      </c>
      <c r="G378" s="214">
        <v>0</v>
      </c>
      <c r="H378" s="231" t="s">
        <v>4771</v>
      </c>
      <c r="I378" s="231"/>
      <c r="J378" s="231"/>
      <c r="K378" s="231"/>
      <c r="L378" s="231"/>
      <c r="M378" s="231"/>
      <c r="N378" s="231" t="s">
        <v>4895</v>
      </c>
      <c r="O378" s="246" t="s">
        <v>5331</v>
      </c>
      <c r="P378" s="246" t="s">
        <v>5332</v>
      </c>
      <c r="Q378" s="225" t="s">
        <v>5333</v>
      </c>
      <c r="R378" s="212" t="s">
        <v>4767</v>
      </c>
      <c r="S378" s="213" t="s">
        <v>4771</v>
      </c>
      <c r="T378" s="233">
        <v>45572</v>
      </c>
      <c r="U378" s="234" t="s">
        <v>4759</v>
      </c>
      <c r="V378" s="234">
        <v>45611</v>
      </c>
      <c r="W378" s="234">
        <v>45649</v>
      </c>
      <c r="X378" s="234" t="s">
        <v>2</v>
      </c>
      <c r="Y378" s="234"/>
      <c r="Z378" s="234" t="s">
        <v>5334</v>
      </c>
      <c r="AA378" s="243">
        <v>202411</v>
      </c>
      <c r="AB378" s="243"/>
      <c r="AC378" s="244" t="s">
        <v>4760</v>
      </c>
      <c r="AD378" s="244" t="s">
        <v>5021</v>
      </c>
      <c r="AE378" s="245">
        <v>2</v>
      </c>
      <c r="AF378" s="244" t="s">
        <v>5021</v>
      </c>
      <c r="AG378" s="239" t="str">
        <f>IFERROR(VLOOKUP(작성용!A:A,RM!A:D,4,0),"-")</f>
        <v>유재호</v>
      </c>
      <c r="AH378" s="235" t="s">
        <v>5021</v>
      </c>
      <c r="AI378" s="235" t="s">
        <v>5346</v>
      </c>
      <c r="AJ378" s="235" t="s">
        <v>5338</v>
      </c>
      <c r="AK378" s="235" t="s">
        <v>4777</v>
      </c>
      <c r="AL378" s="235">
        <v>377</v>
      </c>
    </row>
    <row r="379" spans="1:38" x14ac:dyDescent="0.3">
      <c r="A379" s="222" t="s">
        <v>5327</v>
      </c>
      <c r="B379" s="222" t="s">
        <v>5328</v>
      </c>
      <c r="C379" s="241" t="s">
        <v>4778</v>
      </c>
      <c r="D379" s="237" t="s">
        <v>5347</v>
      </c>
      <c r="E379" s="236" t="s">
        <v>4564</v>
      </c>
      <c r="F379" s="240" t="s">
        <v>5200</v>
      </c>
      <c r="G379" s="214">
        <v>0</v>
      </c>
      <c r="H379" s="231" t="s">
        <v>4771</v>
      </c>
      <c r="I379" s="231"/>
      <c r="J379" s="231"/>
      <c r="K379" s="231"/>
      <c r="L379" s="231"/>
      <c r="M379" s="231"/>
      <c r="N379" s="231" t="s">
        <v>4895</v>
      </c>
      <c r="O379" s="246" t="s">
        <v>5331</v>
      </c>
      <c r="P379" s="246" t="s">
        <v>5332</v>
      </c>
      <c r="Q379" s="225" t="s">
        <v>5333</v>
      </c>
      <c r="R379" s="212" t="s">
        <v>4771</v>
      </c>
      <c r="S379" s="213" t="s">
        <v>4771</v>
      </c>
      <c r="T379" s="233">
        <v>45572</v>
      </c>
      <c r="U379" s="234" t="s">
        <v>4759</v>
      </c>
      <c r="V379" s="234">
        <v>45611</v>
      </c>
      <c r="W379" s="234">
        <v>45649</v>
      </c>
      <c r="X379" s="234" t="s">
        <v>2</v>
      </c>
      <c r="Y379" s="234"/>
      <c r="Z379" s="234" t="s">
        <v>5348</v>
      </c>
      <c r="AA379" s="243">
        <v>202411</v>
      </c>
      <c r="AB379" s="243"/>
      <c r="AC379" s="244" t="s">
        <v>4760</v>
      </c>
      <c r="AD379" s="244" t="s">
        <v>4982</v>
      </c>
      <c r="AE379" s="245">
        <v>2</v>
      </c>
      <c r="AF379" s="244" t="s">
        <v>4982</v>
      </c>
      <c r="AG379" s="239" t="str">
        <f>IFERROR(VLOOKUP(작성용!A:A,RM!A:D,4,0),"-")</f>
        <v>유재호</v>
      </c>
      <c r="AH379" s="235" t="s">
        <v>5021</v>
      </c>
      <c r="AI379" s="235" t="s">
        <v>5341</v>
      </c>
      <c r="AJ379" s="235" t="s">
        <v>5338</v>
      </c>
      <c r="AK379" s="235" t="s">
        <v>4777</v>
      </c>
      <c r="AL379" s="235">
        <v>378</v>
      </c>
    </row>
    <row r="380" spans="1:38" x14ac:dyDescent="0.3">
      <c r="A380" s="222" t="s">
        <v>5327</v>
      </c>
      <c r="B380" s="222" t="s">
        <v>5328</v>
      </c>
      <c r="C380" s="241" t="s">
        <v>4778</v>
      </c>
      <c r="D380" s="237" t="s">
        <v>5349</v>
      </c>
      <c r="E380" s="236" t="s">
        <v>4540</v>
      </c>
      <c r="F380" s="240" t="s">
        <v>5255</v>
      </c>
      <c r="G380" s="214">
        <v>0</v>
      </c>
      <c r="H380" s="231" t="s">
        <v>4771</v>
      </c>
      <c r="I380" s="231"/>
      <c r="J380" s="231"/>
      <c r="K380" s="231"/>
      <c r="L380" s="231"/>
      <c r="M380" s="231"/>
      <c r="N380" s="231" t="s">
        <v>4895</v>
      </c>
      <c r="O380" s="246" t="s">
        <v>5331</v>
      </c>
      <c r="P380" s="246" t="s">
        <v>5332</v>
      </c>
      <c r="Q380" s="225" t="s">
        <v>5333</v>
      </c>
      <c r="R380" s="212" t="s">
        <v>4771</v>
      </c>
      <c r="S380" s="213" t="s">
        <v>4771</v>
      </c>
      <c r="T380" s="233">
        <v>45572</v>
      </c>
      <c r="U380" s="234" t="s">
        <v>4759</v>
      </c>
      <c r="V380" s="234">
        <v>45611</v>
      </c>
      <c r="W380" s="234">
        <v>45649</v>
      </c>
      <c r="X380" s="234" t="s">
        <v>2</v>
      </c>
      <c r="Y380" s="234"/>
      <c r="Z380" s="234" t="s">
        <v>5334</v>
      </c>
      <c r="AA380" s="243">
        <v>202411</v>
      </c>
      <c r="AB380" s="243"/>
      <c r="AC380" s="244" t="s">
        <v>4760</v>
      </c>
      <c r="AD380" s="244" t="s">
        <v>4862</v>
      </c>
      <c r="AE380" s="245">
        <v>1.5</v>
      </c>
      <c r="AF380" s="244" t="s">
        <v>4862</v>
      </c>
      <c r="AG380" s="239" t="str">
        <f>IFERROR(VLOOKUP(작성용!A:A,RM!A:D,4,0),"-")</f>
        <v>유재호</v>
      </c>
      <c r="AH380" s="235" t="s">
        <v>5021</v>
      </c>
      <c r="AI380" s="235" t="s">
        <v>5335</v>
      </c>
      <c r="AJ380" s="235" t="s">
        <v>5338</v>
      </c>
      <c r="AK380" s="235" t="s">
        <v>4777</v>
      </c>
      <c r="AL380" s="235">
        <v>379</v>
      </c>
    </row>
    <row r="381" spans="1:38" x14ac:dyDescent="0.3">
      <c r="A381" s="222" t="s">
        <v>5327</v>
      </c>
      <c r="B381" s="222" t="s">
        <v>5328</v>
      </c>
      <c r="C381" s="241" t="s">
        <v>4778</v>
      </c>
      <c r="D381" s="237" t="s">
        <v>5350</v>
      </c>
      <c r="E381" s="236" t="s">
        <v>4565</v>
      </c>
      <c r="F381" s="240" t="s">
        <v>5200</v>
      </c>
      <c r="G381" s="214">
        <v>0</v>
      </c>
      <c r="H381" s="231" t="s">
        <v>4771</v>
      </c>
      <c r="I381" s="231"/>
      <c r="J381" s="231"/>
      <c r="K381" s="231"/>
      <c r="L381" s="231"/>
      <c r="M381" s="231"/>
      <c r="N381" s="231" t="s">
        <v>4895</v>
      </c>
      <c r="O381" s="246" t="s">
        <v>5331</v>
      </c>
      <c r="P381" s="246" t="s">
        <v>5332</v>
      </c>
      <c r="Q381" s="225" t="s">
        <v>5333</v>
      </c>
      <c r="R381" s="212" t="s">
        <v>4771</v>
      </c>
      <c r="S381" s="213" t="s">
        <v>4771</v>
      </c>
      <c r="T381" s="233">
        <v>45572</v>
      </c>
      <c r="U381" s="234" t="s">
        <v>4759</v>
      </c>
      <c r="V381" s="234">
        <v>45611</v>
      </c>
      <c r="W381" s="234">
        <v>45649</v>
      </c>
      <c r="X381" s="234" t="s">
        <v>2</v>
      </c>
      <c r="Y381" s="234"/>
      <c r="Z381" s="234" t="s">
        <v>5334</v>
      </c>
      <c r="AA381" s="243">
        <v>202411</v>
      </c>
      <c r="AB381" s="243"/>
      <c r="AC381" s="244" t="s">
        <v>4760</v>
      </c>
      <c r="AD381" s="244" t="s">
        <v>4915</v>
      </c>
      <c r="AE381" s="245">
        <v>1.5</v>
      </c>
      <c r="AF381" s="244" t="s">
        <v>5001</v>
      </c>
      <c r="AG381" s="239" t="str">
        <f>IFERROR(VLOOKUP(작성용!A:A,RM!A:D,4,0),"-")</f>
        <v>유재호</v>
      </c>
      <c r="AH381" s="235" t="s">
        <v>5021</v>
      </c>
      <c r="AI381" s="235" t="s">
        <v>5335</v>
      </c>
      <c r="AJ381" s="235" t="s">
        <v>5338</v>
      </c>
      <c r="AK381" s="235" t="s">
        <v>4777</v>
      </c>
      <c r="AL381" s="235">
        <v>380</v>
      </c>
    </row>
    <row r="382" spans="1:38" x14ac:dyDescent="0.3">
      <c r="A382" s="222" t="s">
        <v>5327</v>
      </c>
      <c r="B382" s="222" t="s">
        <v>5328</v>
      </c>
      <c r="C382" s="241" t="s">
        <v>4778</v>
      </c>
      <c r="D382" s="237" t="s">
        <v>5351</v>
      </c>
      <c r="E382" s="236" t="s">
        <v>4566</v>
      </c>
      <c r="F382" s="240" t="s">
        <v>5200</v>
      </c>
      <c r="G382" s="214">
        <v>0</v>
      </c>
      <c r="H382" s="231" t="s">
        <v>4771</v>
      </c>
      <c r="I382" s="231"/>
      <c r="J382" s="231"/>
      <c r="K382" s="231"/>
      <c r="L382" s="231"/>
      <c r="M382" s="231"/>
      <c r="N382" s="231" t="s">
        <v>4895</v>
      </c>
      <c r="O382" s="246" t="s">
        <v>5331</v>
      </c>
      <c r="P382" s="246" t="s">
        <v>5332</v>
      </c>
      <c r="Q382" s="225" t="s">
        <v>5333</v>
      </c>
      <c r="R382" s="212" t="s">
        <v>4771</v>
      </c>
      <c r="S382" s="213" t="s">
        <v>4771</v>
      </c>
      <c r="T382" s="233">
        <v>45572</v>
      </c>
      <c r="U382" s="234" t="s">
        <v>4759</v>
      </c>
      <c r="V382" s="234">
        <v>45611</v>
      </c>
      <c r="W382" s="234">
        <v>45649</v>
      </c>
      <c r="X382" s="234" t="s">
        <v>2</v>
      </c>
      <c r="Y382" s="234"/>
      <c r="Z382" s="234" t="s">
        <v>5334</v>
      </c>
      <c r="AA382" s="243">
        <v>202411</v>
      </c>
      <c r="AB382" s="243"/>
      <c r="AC382" s="244" t="s">
        <v>4760</v>
      </c>
      <c r="AD382" s="244" t="s">
        <v>4980</v>
      </c>
      <c r="AE382" s="245">
        <v>2</v>
      </c>
      <c r="AF382" s="244" t="s">
        <v>4980</v>
      </c>
      <c r="AG382" s="239" t="str">
        <f>IFERROR(VLOOKUP(작성용!A:A,RM!A:D,4,0),"-")</f>
        <v>유재호</v>
      </c>
      <c r="AH382" s="235" t="s">
        <v>5021</v>
      </c>
      <c r="AI382" s="235" t="s">
        <v>5341</v>
      </c>
      <c r="AJ382" s="235" t="s">
        <v>5338</v>
      </c>
      <c r="AK382" s="235" t="s">
        <v>4777</v>
      </c>
      <c r="AL382" s="235">
        <v>381</v>
      </c>
    </row>
    <row r="383" spans="1:38" x14ac:dyDescent="0.3">
      <c r="A383" s="222" t="s">
        <v>5327</v>
      </c>
      <c r="B383" s="222" t="s">
        <v>5328</v>
      </c>
      <c r="C383" s="241" t="s">
        <v>4765</v>
      </c>
      <c r="D383" s="237" t="s">
        <v>5352</v>
      </c>
      <c r="E383" s="236" t="s">
        <v>4567</v>
      </c>
      <c r="F383" s="240" t="s">
        <v>5200</v>
      </c>
      <c r="G383" s="214">
        <v>0</v>
      </c>
      <c r="H383" s="231" t="s">
        <v>4771</v>
      </c>
      <c r="I383" s="231"/>
      <c r="J383" s="231"/>
      <c r="K383" s="231"/>
      <c r="L383" s="231"/>
      <c r="M383" s="231"/>
      <c r="N383" s="231" t="s">
        <v>4895</v>
      </c>
      <c r="O383" s="246" t="s">
        <v>5331</v>
      </c>
      <c r="P383" s="246" t="s">
        <v>5332</v>
      </c>
      <c r="Q383" s="225" t="s">
        <v>5333</v>
      </c>
      <c r="R383" s="212" t="s">
        <v>4771</v>
      </c>
      <c r="S383" s="213" t="s">
        <v>4771</v>
      </c>
      <c r="T383" s="233">
        <v>45572</v>
      </c>
      <c r="U383" s="234" t="s">
        <v>4759</v>
      </c>
      <c r="V383" s="234">
        <v>45611</v>
      </c>
      <c r="W383" s="234">
        <v>45649</v>
      </c>
      <c r="X383" s="234" t="s">
        <v>2</v>
      </c>
      <c r="Y383" s="234"/>
      <c r="Z383" s="234" t="s">
        <v>5334</v>
      </c>
      <c r="AA383" s="243">
        <v>202411</v>
      </c>
      <c r="AB383" s="243"/>
      <c r="AC383" s="244" t="s">
        <v>4760</v>
      </c>
      <c r="AD383" s="244" t="s">
        <v>4823</v>
      </c>
      <c r="AE383" s="245">
        <v>2</v>
      </c>
      <c r="AF383" s="244" t="s">
        <v>4918</v>
      </c>
      <c r="AG383" s="239" t="str">
        <f>IFERROR(VLOOKUP(작성용!A:A,RM!A:D,4,0),"-")</f>
        <v>유재호</v>
      </c>
      <c r="AH383" s="235" t="s">
        <v>5021</v>
      </c>
      <c r="AI383" s="235" t="s">
        <v>5341</v>
      </c>
      <c r="AJ383" s="235" t="s">
        <v>5338</v>
      </c>
      <c r="AK383" s="235" t="s">
        <v>4777</v>
      </c>
      <c r="AL383" s="235">
        <v>382</v>
      </c>
    </row>
    <row r="384" spans="1:38" x14ac:dyDescent="0.3">
      <c r="A384" s="222" t="s">
        <v>5327</v>
      </c>
      <c r="B384" s="222" t="s">
        <v>5328</v>
      </c>
      <c r="C384" s="241" t="s">
        <v>4762</v>
      </c>
      <c r="D384" s="237" t="s">
        <v>5353</v>
      </c>
      <c r="E384" s="236" t="s">
        <v>4656</v>
      </c>
      <c r="F384" s="240" t="s">
        <v>5200</v>
      </c>
      <c r="G384" s="214">
        <v>0</v>
      </c>
      <c r="H384" s="231" t="s">
        <v>4771</v>
      </c>
      <c r="I384" s="231"/>
      <c r="J384" s="231"/>
      <c r="K384" s="231"/>
      <c r="L384" s="231"/>
      <c r="M384" s="231"/>
      <c r="N384" s="231" t="s">
        <v>4895</v>
      </c>
      <c r="O384" s="246" t="s">
        <v>5331</v>
      </c>
      <c r="P384" s="246" t="s">
        <v>5332</v>
      </c>
      <c r="Q384" s="225" t="s">
        <v>5333</v>
      </c>
      <c r="R384" s="212" t="s">
        <v>4771</v>
      </c>
      <c r="S384" s="213" t="s">
        <v>4771</v>
      </c>
      <c r="T384" s="233">
        <v>45572</v>
      </c>
      <c r="U384" s="234" t="s">
        <v>4759</v>
      </c>
      <c r="V384" s="234">
        <v>45611</v>
      </c>
      <c r="W384" s="234">
        <v>45649</v>
      </c>
      <c r="X384" s="234" t="s">
        <v>2</v>
      </c>
      <c r="Y384" s="234"/>
      <c r="Z384" s="234" t="s">
        <v>5334</v>
      </c>
      <c r="AA384" s="243">
        <v>202411</v>
      </c>
      <c r="AB384" s="243"/>
      <c r="AC384" s="244" t="s">
        <v>4760</v>
      </c>
      <c r="AD384" s="244" t="s">
        <v>4987</v>
      </c>
      <c r="AE384" s="245">
        <v>1.5</v>
      </c>
      <c r="AF384" s="244" t="s">
        <v>4762</v>
      </c>
      <c r="AG384" s="239" t="str">
        <f>IFERROR(VLOOKUP(작성용!A:A,RM!A:D,4,0),"-")</f>
        <v>유재호</v>
      </c>
      <c r="AH384" s="235" t="s">
        <v>5021</v>
      </c>
      <c r="AI384" s="235" t="s">
        <v>5335</v>
      </c>
      <c r="AJ384" s="235" t="s">
        <v>5338</v>
      </c>
      <c r="AK384" s="235" t="s">
        <v>4777</v>
      </c>
      <c r="AL384" s="235">
        <v>383</v>
      </c>
    </row>
    <row r="385" spans="1:38" x14ac:dyDescent="0.3">
      <c r="A385" s="222" t="s">
        <v>5327</v>
      </c>
      <c r="B385" s="222" t="s">
        <v>5328</v>
      </c>
      <c r="C385" s="241" t="s">
        <v>4778</v>
      </c>
      <c r="D385" s="237" t="s">
        <v>5354</v>
      </c>
      <c r="E385" s="236" t="s">
        <v>4650</v>
      </c>
      <c r="F385" s="240" t="s">
        <v>5355</v>
      </c>
      <c r="G385" s="214">
        <v>0</v>
      </c>
      <c r="H385" s="231" t="s">
        <v>4771</v>
      </c>
      <c r="I385" s="231"/>
      <c r="J385" s="231"/>
      <c r="K385" s="231"/>
      <c r="L385" s="231"/>
      <c r="M385" s="231"/>
      <c r="N385" s="231" t="s">
        <v>4895</v>
      </c>
      <c r="O385" s="246" t="s">
        <v>5331</v>
      </c>
      <c r="P385" s="246" t="s">
        <v>5332</v>
      </c>
      <c r="Q385" s="225" t="s">
        <v>5333</v>
      </c>
      <c r="R385" s="212" t="s">
        <v>4771</v>
      </c>
      <c r="S385" s="213" t="s">
        <v>4771</v>
      </c>
      <c r="T385" s="233">
        <v>45572</v>
      </c>
      <c r="U385" s="234" t="s">
        <v>4759</v>
      </c>
      <c r="V385" s="234">
        <v>45611</v>
      </c>
      <c r="W385" s="234">
        <v>45649</v>
      </c>
      <c r="X385" s="234" t="s">
        <v>2</v>
      </c>
      <c r="Y385" s="234"/>
      <c r="Z385" s="234" t="s">
        <v>5334</v>
      </c>
      <c r="AA385" s="243">
        <v>202411</v>
      </c>
      <c r="AB385" s="243"/>
      <c r="AC385" s="244" t="s">
        <v>4760</v>
      </c>
      <c r="AD385" s="244" t="s">
        <v>4862</v>
      </c>
      <c r="AE385" s="245">
        <v>2</v>
      </c>
      <c r="AF385" s="244" t="s">
        <v>4862</v>
      </c>
      <c r="AG385" s="239" t="str">
        <f>IFERROR(VLOOKUP(작성용!A:A,RM!A:D,4,0),"-")</f>
        <v>유재호</v>
      </c>
      <c r="AH385" s="235" t="s">
        <v>5021</v>
      </c>
      <c r="AI385" s="235" t="s">
        <v>5341</v>
      </c>
      <c r="AJ385" s="235" t="s">
        <v>5338</v>
      </c>
      <c r="AK385" s="235" t="s">
        <v>4777</v>
      </c>
      <c r="AL385" s="235">
        <v>384</v>
      </c>
    </row>
    <row r="386" spans="1:38" s="198" customFormat="1" x14ac:dyDescent="0.3">
      <c r="A386" s="222" t="s">
        <v>4568</v>
      </c>
      <c r="B386" s="222" t="s">
        <v>5328</v>
      </c>
      <c r="C386" s="241" t="s">
        <v>4778</v>
      </c>
      <c r="D386" s="237" t="s">
        <v>5356</v>
      </c>
      <c r="E386" s="236" t="s">
        <v>4569</v>
      </c>
      <c r="F386" s="240" t="s">
        <v>5355</v>
      </c>
      <c r="G386" s="214">
        <v>0</v>
      </c>
      <c r="H386" s="231" t="s">
        <v>4771</v>
      </c>
      <c r="I386" s="231"/>
      <c r="J386" s="231"/>
      <c r="K386" s="231"/>
      <c r="L386" s="231"/>
      <c r="M386" s="231"/>
      <c r="N386" s="231" t="s">
        <v>4895</v>
      </c>
      <c r="O386" s="246" t="s">
        <v>5331</v>
      </c>
      <c r="P386" s="246" t="s">
        <v>5332</v>
      </c>
      <c r="Q386" s="225" t="s">
        <v>5333</v>
      </c>
      <c r="R386" s="212" t="s">
        <v>4771</v>
      </c>
      <c r="S386" s="213" t="s">
        <v>4771</v>
      </c>
      <c r="T386" s="233">
        <v>45572</v>
      </c>
      <c r="U386" s="234" t="s">
        <v>4759</v>
      </c>
      <c r="V386" s="234">
        <v>45611</v>
      </c>
      <c r="W386" s="234">
        <v>45649</v>
      </c>
      <c r="X386" s="234" t="s">
        <v>2</v>
      </c>
      <c r="Y386" s="234"/>
      <c r="Z386" s="234" t="s">
        <v>5334</v>
      </c>
      <c r="AA386" s="243">
        <v>202411</v>
      </c>
      <c r="AB386" s="243"/>
      <c r="AC386" s="244" t="s">
        <v>5357</v>
      </c>
      <c r="AD386" s="244" t="s">
        <v>5358</v>
      </c>
      <c r="AE386" s="245">
        <v>0</v>
      </c>
      <c r="AF386" s="244" t="s">
        <v>5358</v>
      </c>
      <c r="AG386" s="239" t="str">
        <f>IFERROR(VLOOKUP(작성용!A:A,RM!A:D,4,0),"-")</f>
        <v>유재호</v>
      </c>
      <c r="AH386" s="235" t="s">
        <v>5021</v>
      </c>
      <c r="AI386" s="235" t="s">
        <v>5341</v>
      </c>
      <c r="AJ386" s="235" t="s">
        <v>5338</v>
      </c>
      <c r="AK386" s="235" t="s">
        <v>4777</v>
      </c>
      <c r="AL386" s="235">
        <v>385</v>
      </c>
    </row>
    <row r="387" spans="1:38" x14ac:dyDescent="0.3">
      <c r="A387" s="222" t="s">
        <v>4568</v>
      </c>
      <c r="B387" s="222" t="s">
        <v>5328</v>
      </c>
      <c r="C387" s="241" t="s">
        <v>4762</v>
      </c>
      <c r="D387" s="237" t="s">
        <v>5359</v>
      </c>
      <c r="E387" s="236" t="s">
        <v>4659</v>
      </c>
      <c r="F387" s="240" t="s">
        <v>5355</v>
      </c>
      <c r="G387" s="214">
        <v>0</v>
      </c>
      <c r="H387" s="231" t="s">
        <v>4771</v>
      </c>
      <c r="I387" s="231"/>
      <c r="J387" s="231"/>
      <c r="K387" s="231"/>
      <c r="L387" s="231"/>
      <c r="M387" s="231"/>
      <c r="N387" s="231" t="s">
        <v>4895</v>
      </c>
      <c r="O387" s="246" t="s">
        <v>5331</v>
      </c>
      <c r="P387" s="246" t="s">
        <v>5332</v>
      </c>
      <c r="Q387" s="225" t="s">
        <v>5333</v>
      </c>
      <c r="R387" s="212" t="s">
        <v>4771</v>
      </c>
      <c r="S387" s="213" t="s">
        <v>4771</v>
      </c>
      <c r="T387" s="233">
        <v>45572</v>
      </c>
      <c r="U387" s="234" t="s">
        <v>4759</v>
      </c>
      <c r="V387" s="234">
        <v>45611</v>
      </c>
      <c r="W387" s="234">
        <v>45649</v>
      </c>
      <c r="X387" s="234" t="s">
        <v>2</v>
      </c>
      <c r="Y387" s="234"/>
      <c r="Z387" s="234" t="s">
        <v>5334</v>
      </c>
      <c r="AA387" s="243">
        <v>202411</v>
      </c>
      <c r="AB387" s="243"/>
      <c r="AC387" s="244" t="s">
        <v>5357</v>
      </c>
      <c r="AD387" s="244" t="s">
        <v>5358</v>
      </c>
      <c r="AE387" s="245">
        <v>0</v>
      </c>
      <c r="AF387" s="244" t="s">
        <v>5358</v>
      </c>
      <c r="AG387" s="239" t="str">
        <f>IFERROR(VLOOKUP(작성용!A:A,RM!A:D,4,0),"-")</f>
        <v>유재호</v>
      </c>
      <c r="AH387" s="235" t="s">
        <v>5021</v>
      </c>
      <c r="AI387" s="235" t="s">
        <v>5341</v>
      </c>
      <c r="AJ387" s="235" t="s">
        <v>5338</v>
      </c>
      <c r="AK387" s="235" t="s">
        <v>4777</v>
      </c>
      <c r="AL387" s="235">
        <v>386</v>
      </c>
    </row>
    <row r="388" spans="1:38" x14ac:dyDescent="0.3">
      <c r="A388" s="222" t="s">
        <v>4568</v>
      </c>
      <c r="B388" s="222" t="s">
        <v>5360</v>
      </c>
      <c r="C388" s="241" t="s">
        <v>4778</v>
      </c>
      <c r="D388" s="237" t="s">
        <v>5361</v>
      </c>
      <c r="E388" s="236" t="s">
        <v>4570</v>
      </c>
      <c r="F388" s="240" t="s">
        <v>5355</v>
      </c>
      <c r="G388" s="214">
        <v>0</v>
      </c>
      <c r="H388" s="231" t="s">
        <v>4771</v>
      </c>
      <c r="I388" s="231"/>
      <c r="J388" s="231"/>
      <c r="K388" s="231"/>
      <c r="L388" s="231"/>
      <c r="M388" s="231"/>
      <c r="N388" s="231" t="s">
        <v>4895</v>
      </c>
      <c r="O388" s="246" t="s">
        <v>5331</v>
      </c>
      <c r="P388" s="246" t="s">
        <v>5332</v>
      </c>
      <c r="Q388" s="225" t="s">
        <v>5333</v>
      </c>
      <c r="R388" s="212" t="s">
        <v>4771</v>
      </c>
      <c r="S388" s="213" t="s">
        <v>4771</v>
      </c>
      <c r="T388" s="233">
        <v>45572</v>
      </c>
      <c r="U388" s="234" t="s">
        <v>4759</v>
      </c>
      <c r="V388" s="234">
        <v>45611</v>
      </c>
      <c r="W388" s="234">
        <v>45649</v>
      </c>
      <c r="X388" s="234" t="s">
        <v>2</v>
      </c>
      <c r="Y388" s="234"/>
      <c r="Z388" s="234" t="s">
        <v>5334</v>
      </c>
      <c r="AA388" s="243">
        <v>202411</v>
      </c>
      <c r="AB388" s="243"/>
      <c r="AC388" s="244" t="s">
        <v>5357</v>
      </c>
      <c r="AD388" s="244" t="s">
        <v>5358</v>
      </c>
      <c r="AE388" s="245">
        <v>0</v>
      </c>
      <c r="AF388" s="244" t="s">
        <v>5358</v>
      </c>
      <c r="AG388" s="239" t="str">
        <f>IFERROR(VLOOKUP(작성용!A:A,RM!A:D,4,0),"-")</f>
        <v>유재호</v>
      </c>
      <c r="AH388" s="235" t="s">
        <v>5021</v>
      </c>
      <c r="AI388" s="235" t="s">
        <v>5341</v>
      </c>
      <c r="AJ388" s="235" t="s">
        <v>5338</v>
      </c>
      <c r="AK388" s="235" t="s">
        <v>4777</v>
      </c>
      <c r="AL388" s="235">
        <v>387</v>
      </c>
    </row>
    <row r="389" spans="1:38" x14ac:dyDescent="0.3">
      <c r="A389" s="222" t="s">
        <v>5327</v>
      </c>
      <c r="B389" s="222" t="s">
        <v>5328</v>
      </c>
      <c r="C389" s="241" t="s">
        <v>4778</v>
      </c>
      <c r="D389" s="237" t="s">
        <v>5362</v>
      </c>
      <c r="E389" s="236" t="s">
        <v>4571</v>
      </c>
      <c r="F389" s="240" t="s">
        <v>5200</v>
      </c>
      <c r="G389" s="214">
        <v>0</v>
      </c>
      <c r="H389" s="231" t="s">
        <v>4771</v>
      </c>
      <c r="I389" s="231"/>
      <c r="J389" s="231"/>
      <c r="K389" s="231"/>
      <c r="L389" s="231"/>
      <c r="M389" s="231"/>
      <c r="N389" s="231" t="s">
        <v>4895</v>
      </c>
      <c r="O389" s="246" t="s">
        <v>5331</v>
      </c>
      <c r="P389" s="246" t="s">
        <v>5332</v>
      </c>
      <c r="Q389" s="225" t="s">
        <v>5333</v>
      </c>
      <c r="R389" s="212" t="s">
        <v>4771</v>
      </c>
      <c r="S389" s="213" t="s">
        <v>4771</v>
      </c>
      <c r="T389" s="233">
        <v>45572</v>
      </c>
      <c r="U389" s="234" t="s">
        <v>4759</v>
      </c>
      <c r="V389" s="234">
        <v>45611</v>
      </c>
      <c r="W389" s="234">
        <v>45649</v>
      </c>
      <c r="X389" s="234" t="s">
        <v>2</v>
      </c>
      <c r="Y389" s="234"/>
      <c r="Z389" s="234" t="s">
        <v>5334</v>
      </c>
      <c r="AA389" s="243">
        <v>202411</v>
      </c>
      <c r="AB389" s="243"/>
      <c r="AC389" s="244" t="s">
        <v>4760</v>
      </c>
      <c r="AD389" s="244" t="s">
        <v>4927</v>
      </c>
      <c r="AE389" s="245">
        <v>1.5</v>
      </c>
      <c r="AF389" s="244" t="s">
        <v>4927</v>
      </c>
      <c r="AG389" s="239" t="str">
        <f>IFERROR(VLOOKUP(작성용!A:A,RM!A:D,4,0),"-")</f>
        <v>유재호</v>
      </c>
      <c r="AH389" s="235" t="s">
        <v>5021</v>
      </c>
      <c r="AI389" s="235" t="s">
        <v>5335</v>
      </c>
      <c r="AJ389" s="235" t="s">
        <v>5338</v>
      </c>
      <c r="AK389" s="235" t="s">
        <v>4777</v>
      </c>
      <c r="AL389" s="235">
        <v>388</v>
      </c>
    </row>
    <row r="390" spans="1:38" x14ac:dyDescent="0.3">
      <c r="A390" s="222" t="s">
        <v>5327</v>
      </c>
      <c r="B390" s="222" t="s">
        <v>5328</v>
      </c>
      <c r="C390" s="241" t="s">
        <v>4765</v>
      </c>
      <c r="D390" s="237" t="s">
        <v>5363</v>
      </c>
      <c r="E390" s="236">
        <v>1101114153344</v>
      </c>
      <c r="F390" s="240" t="s">
        <v>4780</v>
      </c>
      <c r="G390" s="214">
        <v>0</v>
      </c>
      <c r="H390" s="231" t="s">
        <v>4771</v>
      </c>
      <c r="I390" s="231"/>
      <c r="J390" s="231"/>
      <c r="K390" s="231"/>
      <c r="L390" s="231"/>
      <c r="M390" s="231"/>
      <c r="N390" s="231" t="s">
        <v>4895</v>
      </c>
      <c r="O390" s="246" t="s">
        <v>5331</v>
      </c>
      <c r="P390" s="246" t="s">
        <v>5332</v>
      </c>
      <c r="Q390" s="225" t="s">
        <v>5333</v>
      </c>
      <c r="R390" s="212" t="s">
        <v>4771</v>
      </c>
      <c r="S390" s="213" t="s">
        <v>4771</v>
      </c>
      <c r="T390" s="233">
        <v>45572</v>
      </c>
      <c r="U390" s="234" t="s">
        <v>4759</v>
      </c>
      <c r="V390" s="234">
        <v>45611</v>
      </c>
      <c r="W390" s="234">
        <v>45649</v>
      </c>
      <c r="X390" s="234" t="s">
        <v>2</v>
      </c>
      <c r="Y390" s="234"/>
      <c r="Z390" s="234" t="s">
        <v>5334</v>
      </c>
      <c r="AA390" s="243">
        <v>202411</v>
      </c>
      <c r="AB390" s="243"/>
      <c r="AC390" s="244" t="s">
        <v>4760</v>
      </c>
      <c r="AD390" s="244" t="s">
        <v>4905</v>
      </c>
      <c r="AE390" s="245">
        <v>1.5</v>
      </c>
      <c r="AF390" s="244" t="s">
        <v>4905</v>
      </c>
      <c r="AG390" s="239" t="str">
        <f>IFERROR(VLOOKUP(작성용!A:A,RM!A:D,4,0),"-")</f>
        <v>유재호</v>
      </c>
      <c r="AH390" s="235" t="s">
        <v>5153</v>
      </c>
      <c r="AI390" s="235" t="s">
        <v>5335</v>
      </c>
      <c r="AJ390" s="235" t="s">
        <v>5338</v>
      </c>
      <c r="AK390" s="235" t="s">
        <v>4777</v>
      </c>
      <c r="AL390" s="235">
        <v>389</v>
      </c>
    </row>
    <row r="391" spans="1:38" x14ac:dyDescent="0.3">
      <c r="A391" s="222" t="s">
        <v>5327</v>
      </c>
      <c r="B391" s="222" t="s">
        <v>5328</v>
      </c>
      <c r="C391" s="241" t="s">
        <v>4778</v>
      </c>
      <c r="D391" s="237" t="s">
        <v>5364</v>
      </c>
      <c r="E391" s="236" t="s">
        <v>4572</v>
      </c>
      <c r="F391" s="240" t="s">
        <v>4894</v>
      </c>
      <c r="G391" s="214">
        <v>0</v>
      </c>
      <c r="H391" s="231" t="s">
        <v>4771</v>
      </c>
      <c r="I391" s="231"/>
      <c r="J391" s="231"/>
      <c r="K391" s="231"/>
      <c r="L391" s="231"/>
      <c r="M391" s="231"/>
      <c r="N391" s="231" t="s">
        <v>4895</v>
      </c>
      <c r="O391" s="246" t="s">
        <v>5331</v>
      </c>
      <c r="P391" s="246" t="s">
        <v>5332</v>
      </c>
      <c r="Q391" s="225" t="s">
        <v>5333</v>
      </c>
      <c r="R391" s="212" t="s">
        <v>4771</v>
      </c>
      <c r="S391" s="213" t="s">
        <v>4771</v>
      </c>
      <c r="T391" s="233">
        <v>45572</v>
      </c>
      <c r="U391" s="234" t="s">
        <v>4759</v>
      </c>
      <c r="V391" s="234">
        <v>45611</v>
      </c>
      <c r="W391" s="234">
        <v>45649</v>
      </c>
      <c r="X391" s="234" t="s">
        <v>2</v>
      </c>
      <c r="Y391" s="234"/>
      <c r="Z391" s="234" t="s">
        <v>5334</v>
      </c>
      <c r="AA391" s="243">
        <v>202411</v>
      </c>
      <c r="AB391" s="243"/>
      <c r="AC391" s="244" t="s">
        <v>4760</v>
      </c>
      <c r="AD391" s="244" t="s">
        <v>4945</v>
      </c>
      <c r="AE391" s="245">
        <v>2</v>
      </c>
      <c r="AF391" s="244" t="s">
        <v>4872</v>
      </c>
      <c r="AG391" s="239" t="str">
        <f>IFERROR(VLOOKUP(작성용!A:A,RM!A:D,4,0),"-")</f>
        <v>유재호</v>
      </c>
      <c r="AH391" s="235" t="s">
        <v>5021</v>
      </c>
      <c r="AI391" s="235" t="s">
        <v>5341</v>
      </c>
      <c r="AJ391" s="235" t="s">
        <v>5338</v>
      </c>
      <c r="AK391" s="235" t="s">
        <v>4777</v>
      </c>
      <c r="AL391" s="235">
        <v>390</v>
      </c>
    </row>
    <row r="392" spans="1:38" x14ac:dyDescent="0.3">
      <c r="A392" s="222" t="s">
        <v>5327</v>
      </c>
      <c r="B392" s="222" t="s">
        <v>5328</v>
      </c>
      <c r="C392" s="241" t="s">
        <v>4778</v>
      </c>
      <c r="D392" s="237" t="s">
        <v>5365</v>
      </c>
      <c r="E392" s="236">
        <v>1101115562601</v>
      </c>
      <c r="F392" s="240" t="s">
        <v>4850</v>
      </c>
      <c r="G392" s="214">
        <v>0</v>
      </c>
      <c r="H392" s="231" t="s">
        <v>4771</v>
      </c>
      <c r="I392" s="231"/>
      <c r="J392" s="231"/>
      <c r="K392" s="231"/>
      <c r="L392" s="231"/>
      <c r="M392" s="231"/>
      <c r="N392" s="231" t="s">
        <v>4895</v>
      </c>
      <c r="O392" s="246" t="s">
        <v>5331</v>
      </c>
      <c r="P392" s="246" t="s">
        <v>5332</v>
      </c>
      <c r="Q392" s="225" t="s">
        <v>5366</v>
      </c>
      <c r="R392" s="212" t="s">
        <v>4771</v>
      </c>
      <c r="S392" s="213" t="s">
        <v>4771</v>
      </c>
      <c r="T392" s="233">
        <v>45572</v>
      </c>
      <c r="U392" s="234" t="s">
        <v>4759</v>
      </c>
      <c r="V392" s="234">
        <v>45611</v>
      </c>
      <c r="W392" s="234">
        <v>45649</v>
      </c>
      <c r="X392" s="234" t="s">
        <v>2</v>
      </c>
      <c r="Y392" s="234"/>
      <c r="Z392" s="234" t="s">
        <v>5334</v>
      </c>
      <c r="AA392" s="243">
        <v>202411</v>
      </c>
      <c r="AB392" s="243"/>
      <c r="AC392" s="244" t="s">
        <v>4760</v>
      </c>
      <c r="AD392" s="244" t="s">
        <v>4858</v>
      </c>
      <c r="AE392" s="245">
        <v>2</v>
      </c>
      <c r="AF392" s="244" t="s">
        <v>4858</v>
      </c>
      <c r="AG392" s="239" t="str">
        <f>IFERROR(VLOOKUP(작성용!A:A,RM!A:D,4,0),"-")</f>
        <v>유재호</v>
      </c>
      <c r="AH392" s="203" t="s">
        <v>5021</v>
      </c>
      <c r="AI392" s="235" t="s">
        <v>5341</v>
      </c>
      <c r="AJ392" s="235" t="s">
        <v>5338</v>
      </c>
      <c r="AK392" s="235" t="s">
        <v>4777</v>
      </c>
      <c r="AL392" s="235">
        <v>391</v>
      </c>
    </row>
    <row r="393" spans="1:38" x14ac:dyDescent="0.3">
      <c r="A393" s="222" t="s">
        <v>5327</v>
      </c>
      <c r="B393" s="222" t="s">
        <v>5328</v>
      </c>
      <c r="C393" s="241" t="s">
        <v>4778</v>
      </c>
      <c r="D393" s="237" t="s">
        <v>5367</v>
      </c>
      <c r="E393" s="236">
        <v>1101114040814</v>
      </c>
      <c r="F393" s="240" t="s">
        <v>4854</v>
      </c>
      <c r="G393" s="214">
        <v>0</v>
      </c>
      <c r="H393" s="231" t="s">
        <v>4771</v>
      </c>
      <c r="I393" s="231"/>
      <c r="J393" s="231"/>
      <c r="K393" s="231"/>
      <c r="L393" s="231"/>
      <c r="M393" s="231"/>
      <c r="N393" s="231" t="s">
        <v>4895</v>
      </c>
      <c r="O393" s="246" t="s">
        <v>5331</v>
      </c>
      <c r="P393" s="246" t="s">
        <v>5332</v>
      </c>
      <c r="Q393" s="225" t="s">
        <v>5333</v>
      </c>
      <c r="R393" s="212" t="s">
        <v>4771</v>
      </c>
      <c r="S393" s="213" t="s">
        <v>4771</v>
      </c>
      <c r="T393" s="233">
        <v>45572</v>
      </c>
      <c r="U393" s="234" t="s">
        <v>4759</v>
      </c>
      <c r="V393" s="234">
        <v>45611</v>
      </c>
      <c r="W393" s="234">
        <v>45649</v>
      </c>
      <c r="X393" s="234" t="s">
        <v>2</v>
      </c>
      <c r="Y393" s="234"/>
      <c r="Z393" s="234" t="s">
        <v>5334</v>
      </c>
      <c r="AA393" s="243">
        <v>202411</v>
      </c>
      <c r="AB393" s="243"/>
      <c r="AC393" s="244" t="s">
        <v>4760</v>
      </c>
      <c r="AD393" s="244" t="s">
        <v>4909</v>
      </c>
      <c r="AE393" s="245">
        <v>2</v>
      </c>
      <c r="AF393" s="244" t="s">
        <v>4872</v>
      </c>
      <c r="AG393" s="239" t="str">
        <f>IFERROR(VLOOKUP(작성용!A:A,RM!A:D,4,0),"-")</f>
        <v>유재호</v>
      </c>
      <c r="AH393" s="203" t="s">
        <v>5021</v>
      </c>
      <c r="AI393" s="235" t="s">
        <v>5341</v>
      </c>
      <c r="AJ393" s="235" t="s">
        <v>5338</v>
      </c>
      <c r="AK393" s="235" t="s">
        <v>4777</v>
      </c>
      <c r="AL393" s="235">
        <v>392</v>
      </c>
    </row>
    <row r="394" spans="1:38" x14ac:dyDescent="0.3">
      <c r="A394" s="222" t="s">
        <v>5327</v>
      </c>
      <c r="B394" s="222" t="s">
        <v>5328</v>
      </c>
      <c r="C394" s="241" t="s">
        <v>4778</v>
      </c>
      <c r="D394" s="237" t="s">
        <v>5368</v>
      </c>
      <c r="E394" s="236">
        <v>1101115004918</v>
      </c>
      <c r="F394" s="240" t="s">
        <v>4894</v>
      </c>
      <c r="G394" s="214">
        <v>0</v>
      </c>
      <c r="H394" s="231" t="s">
        <v>4771</v>
      </c>
      <c r="I394" s="231"/>
      <c r="J394" s="231"/>
      <c r="K394" s="231"/>
      <c r="L394" s="231"/>
      <c r="M394" s="231"/>
      <c r="N394" s="231" t="s">
        <v>4895</v>
      </c>
      <c r="O394" s="246" t="s">
        <v>5331</v>
      </c>
      <c r="P394" s="246" t="s">
        <v>5332</v>
      </c>
      <c r="Q394" s="225" t="s">
        <v>5333</v>
      </c>
      <c r="R394" s="212" t="s">
        <v>4771</v>
      </c>
      <c r="S394" s="213" t="s">
        <v>4771</v>
      </c>
      <c r="T394" s="233">
        <v>45572</v>
      </c>
      <c r="U394" s="234" t="s">
        <v>4759</v>
      </c>
      <c r="V394" s="234">
        <v>45611</v>
      </c>
      <c r="W394" s="234">
        <v>45649</v>
      </c>
      <c r="X394" s="234" t="s">
        <v>2</v>
      </c>
      <c r="Y394" s="234"/>
      <c r="Z394" s="234" t="s">
        <v>5334</v>
      </c>
      <c r="AA394" s="243">
        <v>202411</v>
      </c>
      <c r="AB394" s="243"/>
      <c r="AC394" s="244" t="s">
        <v>4760</v>
      </c>
      <c r="AD394" s="244" t="s">
        <v>4862</v>
      </c>
      <c r="AE394" s="245">
        <v>2</v>
      </c>
      <c r="AF394" s="244" t="s">
        <v>4862</v>
      </c>
      <c r="AG394" s="239" t="str">
        <f>IFERROR(VLOOKUP(작성용!A:A,RM!A:D,4,0),"-")</f>
        <v>유재호</v>
      </c>
      <c r="AH394" s="203" t="s">
        <v>5021</v>
      </c>
      <c r="AI394" s="235" t="s">
        <v>5341</v>
      </c>
      <c r="AJ394" s="235" t="s">
        <v>5338</v>
      </c>
      <c r="AK394" s="235" t="s">
        <v>4777</v>
      </c>
      <c r="AL394" s="235">
        <v>393</v>
      </c>
    </row>
    <row r="395" spans="1:38" x14ac:dyDescent="0.3">
      <c r="A395" s="222" t="s">
        <v>5327</v>
      </c>
      <c r="B395" s="222" t="s">
        <v>5328</v>
      </c>
      <c r="C395" s="241" t="s">
        <v>4778</v>
      </c>
      <c r="D395" s="237" t="s">
        <v>5369</v>
      </c>
      <c r="E395" s="236">
        <v>1101115463718</v>
      </c>
      <c r="F395" s="240" t="s">
        <v>4930</v>
      </c>
      <c r="G395" s="214">
        <v>0</v>
      </c>
      <c r="H395" s="231" t="s">
        <v>4771</v>
      </c>
      <c r="I395" s="231"/>
      <c r="J395" s="231"/>
      <c r="K395" s="231"/>
      <c r="L395" s="231"/>
      <c r="M395" s="231"/>
      <c r="N395" s="231" t="s">
        <v>4895</v>
      </c>
      <c r="O395" s="246" t="s">
        <v>5331</v>
      </c>
      <c r="P395" s="246" t="s">
        <v>5332</v>
      </c>
      <c r="Q395" s="225" t="s">
        <v>5333</v>
      </c>
      <c r="R395" s="212" t="s">
        <v>4771</v>
      </c>
      <c r="S395" s="213" t="s">
        <v>4771</v>
      </c>
      <c r="T395" s="233">
        <v>45572</v>
      </c>
      <c r="U395" s="234" t="s">
        <v>4759</v>
      </c>
      <c r="V395" s="234">
        <v>45611</v>
      </c>
      <c r="W395" s="234">
        <v>45649</v>
      </c>
      <c r="X395" s="234" t="s">
        <v>2</v>
      </c>
      <c r="Y395" s="234"/>
      <c r="Z395" s="234" t="s">
        <v>5334</v>
      </c>
      <c r="AA395" s="243">
        <v>202411</v>
      </c>
      <c r="AB395" s="243"/>
      <c r="AC395" s="244" t="s">
        <v>4760</v>
      </c>
      <c r="AD395" s="244" t="s">
        <v>4860</v>
      </c>
      <c r="AE395" s="245">
        <v>2</v>
      </c>
      <c r="AF395" s="244" t="s">
        <v>4860</v>
      </c>
      <c r="AG395" s="239" t="str">
        <f>IFERROR(VLOOKUP(작성용!A:A,RM!A:D,4,0),"-")</f>
        <v>유재호</v>
      </c>
      <c r="AH395" s="203" t="s">
        <v>5021</v>
      </c>
      <c r="AI395" s="235" t="s">
        <v>5341</v>
      </c>
      <c r="AJ395" s="235" t="s">
        <v>5338</v>
      </c>
      <c r="AK395" s="235" t="s">
        <v>4777</v>
      </c>
      <c r="AL395" s="235">
        <v>394</v>
      </c>
    </row>
    <row r="396" spans="1:38" x14ac:dyDescent="0.3">
      <c r="A396" s="222" t="s">
        <v>5327</v>
      </c>
      <c r="B396" s="222" t="s">
        <v>5328</v>
      </c>
      <c r="C396" s="241" t="s">
        <v>4778</v>
      </c>
      <c r="D396" s="237" t="s">
        <v>5369</v>
      </c>
      <c r="E396" s="236">
        <v>1101115463718</v>
      </c>
      <c r="F396" s="240" t="s">
        <v>4930</v>
      </c>
      <c r="G396" s="214">
        <v>1</v>
      </c>
      <c r="H396" s="231" t="s">
        <v>4771</v>
      </c>
      <c r="I396" s="231"/>
      <c r="J396" s="231"/>
      <c r="K396" s="231"/>
      <c r="L396" s="231"/>
      <c r="M396" s="231"/>
      <c r="N396" s="231" t="s">
        <v>4895</v>
      </c>
      <c r="O396" s="246" t="s">
        <v>5331</v>
      </c>
      <c r="P396" s="246" t="s">
        <v>5332</v>
      </c>
      <c r="Q396" s="225" t="s">
        <v>5333</v>
      </c>
      <c r="R396" s="212" t="s">
        <v>4771</v>
      </c>
      <c r="S396" s="213" t="s">
        <v>4771</v>
      </c>
      <c r="T396" s="233">
        <v>45572</v>
      </c>
      <c r="U396" s="234" t="s">
        <v>4759</v>
      </c>
      <c r="V396" s="234">
        <v>45611</v>
      </c>
      <c r="W396" s="234">
        <v>45649</v>
      </c>
      <c r="X396" s="234" t="s">
        <v>2</v>
      </c>
      <c r="Y396" s="234"/>
      <c r="Z396" s="234" t="s">
        <v>5334</v>
      </c>
      <c r="AA396" s="243">
        <v>202411</v>
      </c>
      <c r="AB396" s="243"/>
      <c r="AC396" s="244" t="s">
        <v>4760</v>
      </c>
      <c r="AD396" s="244" t="s">
        <v>4860</v>
      </c>
      <c r="AE396" s="245">
        <v>0</v>
      </c>
      <c r="AF396" s="244" t="s">
        <v>4860</v>
      </c>
      <c r="AG396" s="239" t="str">
        <f>IFERROR(VLOOKUP(작성용!A:A,RM!A:D,4,0),"-")</f>
        <v>유재호</v>
      </c>
      <c r="AH396" s="203" t="s">
        <v>5021</v>
      </c>
      <c r="AI396" s="235" t="s">
        <v>5341</v>
      </c>
      <c r="AJ396" s="235" t="s">
        <v>5338</v>
      </c>
      <c r="AK396" s="235" t="s">
        <v>4777</v>
      </c>
      <c r="AL396" s="235">
        <v>395</v>
      </c>
    </row>
    <row r="397" spans="1:38" x14ac:dyDescent="0.3">
      <c r="A397" s="222" t="s">
        <v>5327</v>
      </c>
      <c r="B397" s="222" t="s">
        <v>5328</v>
      </c>
      <c r="C397" s="241" t="s">
        <v>4778</v>
      </c>
      <c r="D397" s="237" t="s">
        <v>5370</v>
      </c>
      <c r="E397" s="236" t="s">
        <v>4630</v>
      </c>
      <c r="F397" s="240" t="s">
        <v>4930</v>
      </c>
      <c r="G397" s="214">
        <v>0</v>
      </c>
      <c r="H397" s="231" t="s">
        <v>4771</v>
      </c>
      <c r="I397" s="231"/>
      <c r="J397" s="231"/>
      <c r="K397" s="231"/>
      <c r="L397" s="231"/>
      <c r="M397" s="231"/>
      <c r="N397" s="231" t="s">
        <v>4881</v>
      </c>
      <c r="O397" s="246" t="s">
        <v>5331</v>
      </c>
      <c r="P397" s="246" t="s">
        <v>5332</v>
      </c>
      <c r="Q397" s="225" t="s">
        <v>5333</v>
      </c>
      <c r="R397" s="212" t="s">
        <v>4771</v>
      </c>
      <c r="S397" s="213" t="s">
        <v>4771</v>
      </c>
      <c r="T397" s="233">
        <v>45572</v>
      </c>
      <c r="U397" s="234" t="s">
        <v>4759</v>
      </c>
      <c r="V397" s="234">
        <v>45611</v>
      </c>
      <c r="W397" s="234">
        <v>45649</v>
      </c>
      <c r="X397" s="234" t="s">
        <v>2</v>
      </c>
      <c r="Y397" s="234"/>
      <c r="Z397" s="234" t="s">
        <v>5334</v>
      </c>
      <c r="AA397" s="243">
        <v>202411</v>
      </c>
      <c r="AB397" s="243"/>
      <c r="AC397" s="244" t="s">
        <v>4760</v>
      </c>
      <c r="AD397" s="244" t="s">
        <v>4900</v>
      </c>
      <c r="AE397" s="245">
        <v>1.5</v>
      </c>
      <c r="AF397" s="244" t="s">
        <v>4900</v>
      </c>
      <c r="AG397" s="239" t="str">
        <f>IFERROR(VLOOKUP(작성용!A:A,RM!A:D,4,0),"-")</f>
        <v>유재호</v>
      </c>
      <c r="AH397" s="203" t="s">
        <v>5021</v>
      </c>
      <c r="AI397" s="235" t="s">
        <v>5335</v>
      </c>
      <c r="AJ397" s="235" t="s">
        <v>5338</v>
      </c>
      <c r="AK397" s="235" t="s">
        <v>4777</v>
      </c>
      <c r="AL397" s="235">
        <v>396</v>
      </c>
    </row>
    <row r="398" spans="1:38" x14ac:dyDescent="0.3">
      <c r="A398" s="222" t="s">
        <v>5327</v>
      </c>
      <c r="B398" s="222" t="s">
        <v>5328</v>
      </c>
      <c r="C398" s="241" t="s">
        <v>4778</v>
      </c>
      <c r="D398" s="237" t="s">
        <v>5371</v>
      </c>
      <c r="E398" s="236">
        <v>1717110153707</v>
      </c>
      <c r="F398" s="240" t="s">
        <v>4854</v>
      </c>
      <c r="G398" s="214">
        <v>0</v>
      </c>
      <c r="H398" s="231" t="s">
        <v>4771</v>
      </c>
      <c r="I398" s="231"/>
      <c r="J398" s="231"/>
      <c r="K398" s="231"/>
      <c r="L398" s="231"/>
      <c r="M398" s="231"/>
      <c r="N398" s="231" t="s">
        <v>4895</v>
      </c>
      <c r="O398" s="246" t="s">
        <v>5331</v>
      </c>
      <c r="P398" s="246" t="s">
        <v>5332</v>
      </c>
      <c r="Q398" s="225" t="s">
        <v>5333</v>
      </c>
      <c r="R398" s="212" t="s">
        <v>4771</v>
      </c>
      <c r="S398" s="213" t="s">
        <v>4771</v>
      </c>
      <c r="T398" s="233">
        <v>45572</v>
      </c>
      <c r="U398" s="234" t="s">
        <v>4759</v>
      </c>
      <c r="V398" s="234">
        <v>45611</v>
      </c>
      <c r="W398" s="234">
        <v>45649</v>
      </c>
      <c r="X398" s="234" t="s">
        <v>2</v>
      </c>
      <c r="Y398" s="234"/>
      <c r="Z398" s="234" t="s">
        <v>5334</v>
      </c>
      <c r="AA398" s="243">
        <v>202411</v>
      </c>
      <c r="AB398" s="243"/>
      <c r="AC398" s="244" t="s">
        <v>4760</v>
      </c>
      <c r="AD398" s="244" t="s">
        <v>5021</v>
      </c>
      <c r="AE398" s="245">
        <v>2</v>
      </c>
      <c r="AF398" s="244" t="s">
        <v>5021</v>
      </c>
      <c r="AG398" s="239" t="str">
        <f>IFERROR(VLOOKUP(작성용!A:A,RM!A:D,4,0),"-")</f>
        <v>유재호</v>
      </c>
      <c r="AH398" s="203" t="s">
        <v>5021</v>
      </c>
      <c r="AI398" s="235" t="s">
        <v>5341</v>
      </c>
      <c r="AJ398" s="235" t="s">
        <v>5338</v>
      </c>
      <c r="AK398" s="235" t="s">
        <v>4777</v>
      </c>
      <c r="AL398" s="235">
        <v>397</v>
      </c>
    </row>
    <row r="399" spans="1:38" x14ac:dyDescent="0.3">
      <c r="A399" s="222" t="s">
        <v>5327</v>
      </c>
      <c r="B399" s="222" t="s">
        <v>5328</v>
      </c>
      <c r="C399" s="241" t="s">
        <v>4778</v>
      </c>
      <c r="D399" s="237" t="s">
        <v>5240</v>
      </c>
      <c r="E399" s="236">
        <v>1101113273698</v>
      </c>
      <c r="F399" s="240" t="s">
        <v>4854</v>
      </c>
      <c r="G399" s="214">
        <v>0</v>
      </c>
      <c r="H399" s="231" t="s">
        <v>4771</v>
      </c>
      <c r="I399" s="231"/>
      <c r="J399" s="231"/>
      <c r="K399" s="231"/>
      <c r="L399" s="231"/>
      <c r="M399" s="231"/>
      <c r="N399" s="231" t="s">
        <v>4895</v>
      </c>
      <c r="O399" s="246" t="s">
        <v>5331</v>
      </c>
      <c r="P399" s="246" t="s">
        <v>5332</v>
      </c>
      <c r="Q399" s="225" t="s">
        <v>5333</v>
      </c>
      <c r="R399" s="212" t="s">
        <v>4771</v>
      </c>
      <c r="S399" s="213" t="s">
        <v>4771</v>
      </c>
      <c r="T399" s="233">
        <v>45572</v>
      </c>
      <c r="U399" s="234" t="s">
        <v>4759</v>
      </c>
      <c r="V399" s="234">
        <v>45611</v>
      </c>
      <c r="W399" s="234">
        <v>45649</v>
      </c>
      <c r="X399" s="234" t="s">
        <v>2</v>
      </c>
      <c r="Y399" s="234"/>
      <c r="Z399" s="234" t="s">
        <v>5334</v>
      </c>
      <c r="AA399" s="243">
        <v>202411</v>
      </c>
      <c r="AB399" s="243"/>
      <c r="AC399" s="244" t="s">
        <v>4760</v>
      </c>
      <c r="AD399" s="244" t="s">
        <v>4897</v>
      </c>
      <c r="AE399" s="245">
        <v>2</v>
      </c>
      <c r="AF399" s="244" t="s">
        <v>4918</v>
      </c>
      <c r="AG399" s="239" t="str">
        <f>IFERROR(VLOOKUP(작성용!A:A,RM!A:D,4,0),"-")</f>
        <v>유재호</v>
      </c>
      <c r="AH399" s="203" t="s">
        <v>5021</v>
      </c>
      <c r="AI399" s="235" t="s">
        <v>5341</v>
      </c>
      <c r="AJ399" s="235" t="s">
        <v>5338</v>
      </c>
      <c r="AK399" s="235" t="s">
        <v>4777</v>
      </c>
      <c r="AL399" s="235">
        <v>398</v>
      </c>
    </row>
    <row r="400" spans="1:38" x14ac:dyDescent="0.3">
      <c r="A400" s="222" t="s">
        <v>5327</v>
      </c>
      <c r="B400" s="222" t="s">
        <v>5328</v>
      </c>
      <c r="C400" s="241" t="s">
        <v>4778</v>
      </c>
      <c r="D400" s="237" t="s">
        <v>5372</v>
      </c>
      <c r="E400" s="236">
        <v>1101116691673</v>
      </c>
      <c r="F400" s="240" t="s">
        <v>4854</v>
      </c>
      <c r="G400" s="214">
        <v>0</v>
      </c>
      <c r="H400" s="231" t="s">
        <v>4771</v>
      </c>
      <c r="I400" s="231"/>
      <c r="J400" s="231"/>
      <c r="K400" s="231"/>
      <c r="L400" s="231"/>
      <c r="M400" s="231"/>
      <c r="N400" s="231" t="s">
        <v>4895</v>
      </c>
      <c r="O400" s="246" t="s">
        <v>5331</v>
      </c>
      <c r="P400" s="246" t="s">
        <v>5332</v>
      </c>
      <c r="Q400" s="225" t="s">
        <v>5333</v>
      </c>
      <c r="R400" s="212" t="s">
        <v>4771</v>
      </c>
      <c r="S400" s="213" t="s">
        <v>4771</v>
      </c>
      <c r="T400" s="233">
        <v>45572</v>
      </c>
      <c r="U400" s="234" t="s">
        <v>4759</v>
      </c>
      <c r="V400" s="234">
        <v>45611</v>
      </c>
      <c r="W400" s="234">
        <v>45649</v>
      </c>
      <c r="X400" s="234" t="s">
        <v>2</v>
      </c>
      <c r="Y400" s="234"/>
      <c r="Z400" s="234" t="s">
        <v>5334</v>
      </c>
      <c r="AA400" s="243">
        <v>202411</v>
      </c>
      <c r="AB400" s="243"/>
      <c r="AC400" s="244" t="s">
        <v>4760</v>
      </c>
      <c r="AD400" s="244" t="s">
        <v>4935</v>
      </c>
      <c r="AE400" s="245">
        <v>2</v>
      </c>
      <c r="AF400" s="244" t="s">
        <v>4935</v>
      </c>
      <c r="AG400" s="239" t="str">
        <f>IFERROR(VLOOKUP(작성용!A:A,RM!A:D,4,0),"-")</f>
        <v>유재호</v>
      </c>
      <c r="AH400" s="203" t="s">
        <v>5021</v>
      </c>
      <c r="AI400" s="235" t="s">
        <v>5341</v>
      </c>
      <c r="AJ400" s="235" t="s">
        <v>5338</v>
      </c>
      <c r="AK400" s="235" t="s">
        <v>4777</v>
      </c>
      <c r="AL400" s="235">
        <v>399</v>
      </c>
    </row>
    <row r="401" spans="1:38" x14ac:dyDescent="0.3">
      <c r="A401" s="222" t="s">
        <v>5327</v>
      </c>
      <c r="B401" s="222" t="s">
        <v>5328</v>
      </c>
      <c r="C401" s="241" t="s">
        <v>4778</v>
      </c>
      <c r="D401" s="237" t="s">
        <v>5373</v>
      </c>
      <c r="E401" s="236">
        <v>1101116417607</v>
      </c>
      <c r="F401" s="240" t="s">
        <v>4850</v>
      </c>
      <c r="G401" s="214">
        <v>4</v>
      </c>
      <c r="H401" s="231" t="s">
        <v>4771</v>
      </c>
      <c r="I401" s="231"/>
      <c r="J401" s="231"/>
      <c r="K401" s="231"/>
      <c r="L401" s="231"/>
      <c r="M401" s="231"/>
      <c r="N401" s="231" t="s">
        <v>4895</v>
      </c>
      <c r="O401" s="246" t="s">
        <v>5331</v>
      </c>
      <c r="P401" s="246" t="s">
        <v>5332</v>
      </c>
      <c r="Q401" s="225" t="s">
        <v>5333</v>
      </c>
      <c r="R401" s="212" t="s">
        <v>4771</v>
      </c>
      <c r="S401" s="213" t="s">
        <v>4771</v>
      </c>
      <c r="T401" s="233">
        <v>45572</v>
      </c>
      <c r="U401" s="234" t="s">
        <v>4871</v>
      </c>
      <c r="V401" s="234">
        <v>45611</v>
      </c>
      <c r="W401" s="234">
        <v>45649</v>
      </c>
      <c r="X401" s="234" t="s">
        <v>2</v>
      </c>
      <c r="Y401" s="234"/>
      <c r="Z401" s="234" t="s">
        <v>5334</v>
      </c>
      <c r="AA401" s="243">
        <v>202411</v>
      </c>
      <c r="AB401" s="243"/>
      <c r="AC401" s="244" t="s">
        <v>4760</v>
      </c>
      <c r="AD401" s="244" t="s">
        <v>4536</v>
      </c>
      <c r="AE401" s="245">
        <v>2</v>
      </c>
      <c r="AF401" s="244" t="s">
        <v>4980</v>
      </c>
      <c r="AG401" s="239" t="str">
        <f>IFERROR(VLOOKUP(작성용!A:A,RM!A:D,4,0),"-")</f>
        <v>유재호</v>
      </c>
      <c r="AH401" s="203" t="s">
        <v>5021</v>
      </c>
      <c r="AI401" s="235" t="s">
        <v>5341</v>
      </c>
      <c r="AJ401" s="235" t="s">
        <v>5338</v>
      </c>
      <c r="AK401" s="235" t="s">
        <v>4777</v>
      </c>
      <c r="AL401" s="235">
        <v>400</v>
      </c>
    </row>
    <row r="402" spans="1:38" x14ac:dyDescent="0.3">
      <c r="A402" s="222" t="s">
        <v>5327</v>
      </c>
      <c r="B402" s="222" t="s">
        <v>5328</v>
      </c>
      <c r="C402" s="241" t="s">
        <v>4778</v>
      </c>
      <c r="D402" s="237" t="s">
        <v>5373</v>
      </c>
      <c r="E402" s="236">
        <v>1101116417607</v>
      </c>
      <c r="F402" s="240" t="s">
        <v>4850</v>
      </c>
      <c r="G402" s="214">
        <v>5</v>
      </c>
      <c r="H402" s="231" t="s">
        <v>4771</v>
      </c>
      <c r="I402" s="231"/>
      <c r="J402" s="231"/>
      <c r="K402" s="231"/>
      <c r="L402" s="231"/>
      <c r="M402" s="231"/>
      <c r="N402" s="231" t="s">
        <v>4895</v>
      </c>
      <c r="O402" s="246" t="s">
        <v>5331</v>
      </c>
      <c r="P402" s="246" t="s">
        <v>5332</v>
      </c>
      <c r="Q402" s="225" t="s">
        <v>5333</v>
      </c>
      <c r="R402" s="212" t="s">
        <v>4771</v>
      </c>
      <c r="S402" s="213" t="s">
        <v>4771</v>
      </c>
      <c r="T402" s="233">
        <v>45572</v>
      </c>
      <c r="U402" s="234" t="s">
        <v>4759</v>
      </c>
      <c r="V402" s="234">
        <v>45611</v>
      </c>
      <c r="W402" s="234">
        <v>45649</v>
      </c>
      <c r="X402" s="234" t="s">
        <v>2</v>
      </c>
      <c r="Y402" s="234"/>
      <c r="Z402" s="234" t="s">
        <v>5334</v>
      </c>
      <c r="AA402" s="243">
        <v>202411</v>
      </c>
      <c r="AB402" s="243"/>
      <c r="AC402" s="244" t="s">
        <v>4760</v>
      </c>
      <c r="AD402" s="244" t="s">
        <v>4536</v>
      </c>
      <c r="AE402" s="245">
        <v>0</v>
      </c>
      <c r="AF402" s="244" t="s">
        <v>4980</v>
      </c>
      <c r="AG402" s="239" t="str">
        <f>IFERROR(VLOOKUP(작성용!A:A,RM!A:D,4,0),"-")</f>
        <v>유재호</v>
      </c>
      <c r="AH402" s="203" t="s">
        <v>5021</v>
      </c>
      <c r="AI402" s="235" t="s">
        <v>5341</v>
      </c>
      <c r="AJ402" s="235" t="s">
        <v>5338</v>
      </c>
      <c r="AK402" s="235" t="s">
        <v>4777</v>
      </c>
      <c r="AL402" s="235">
        <v>401</v>
      </c>
    </row>
    <row r="403" spans="1:38" x14ac:dyDescent="0.3">
      <c r="A403" s="222" t="s">
        <v>5327</v>
      </c>
      <c r="B403" s="222" t="s">
        <v>5328</v>
      </c>
      <c r="C403" s="241" t="s">
        <v>4778</v>
      </c>
      <c r="D403" s="237" t="s">
        <v>5374</v>
      </c>
      <c r="E403" s="236">
        <v>1101116387727</v>
      </c>
      <c r="F403" s="240" t="s">
        <v>4854</v>
      </c>
      <c r="G403" s="214">
        <v>0</v>
      </c>
      <c r="H403" s="231" t="s">
        <v>4771</v>
      </c>
      <c r="I403" s="231"/>
      <c r="J403" s="231"/>
      <c r="K403" s="231"/>
      <c r="L403" s="231"/>
      <c r="M403" s="231"/>
      <c r="N403" s="231" t="s">
        <v>4895</v>
      </c>
      <c r="O403" s="246" t="s">
        <v>5331</v>
      </c>
      <c r="P403" s="246" t="s">
        <v>5332</v>
      </c>
      <c r="Q403" s="225" t="s">
        <v>5333</v>
      </c>
      <c r="R403" s="212" t="s">
        <v>4771</v>
      </c>
      <c r="S403" s="213" t="s">
        <v>4771</v>
      </c>
      <c r="T403" s="233">
        <v>45572</v>
      </c>
      <c r="U403" s="234" t="s">
        <v>4759</v>
      </c>
      <c r="V403" s="234">
        <v>45611</v>
      </c>
      <c r="W403" s="234">
        <v>45649</v>
      </c>
      <c r="X403" s="234" t="s">
        <v>2</v>
      </c>
      <c r="Y403" s="234"/>
      <c r="Z403" s="234" t="s">
        <v>5334</v>
      </c>
      <c r="AA403" s="243">
        <v>202411</v>
      </c>
      <c r="AB403" s="243"/>
      <c r="AC403" s="244" t="s">
        <v>4760</v>
      </c>
      <c r="AD403" s="244" t="s">
        <v>4845</v>
      </c>
      <c r="AE403" s="245">
        <v>2</v>
      </c>
      <c r="AF403" s="244" t="s">
        <v>4845</v>
      </c>
      <c r="AG403" s="239" t="str">
        <f>IFERROR(VLOOKUP(작성용!A:A,RM!A:D,4,0),"-")</f>
        <v>유재호</v>
      </c>
      <c r="AH403" s="203" t="s">
        <v>5021</v>
      </c>
      <c r="AI403" s="235" t="s">
        <v>5341</v>
      </c>
      <c r="AJ403" s="235" t="s">
        <v>5338</v>
      </c>
      <c r="AK403" s="235" t="s">
        <v>4777</v>
      </c>
      <c r="AL403" s="235">
        <v>402</v>
      </c>
    </row>
    <row r="404" spans="1:38" x14ac:dyDescent="0.3">
      <c r="A404" s="222" t="s">
        <v>5327</v>
      </c>
      <c r="B404" s="222" t="s">
        <v>5328</v>
      </c>
      <c r="C404" s="241" t="s">
        <v>4765</v>
      </c>
      <c r="D404" s="237" t="s">
        <v>5374</v>
      </c>
      <c r="E404" s="236">
        <v>1101116387727</v>
      </c>
      <c r="F404" s="240" t="s">
        <v>4780</v>
      </c>
      <c r="G404" s="214">
        <v>0</v>
      </c>
      <c r="H404" s="231" t="s">
        <v>4771</v>
      </c>
      <c r="I404" s="231"/>
      <c r="J404" s="231"/>
      <c r="K404" s="231"/>
      <c r="L404" s="231"/>
      <c r="M404" s="231"/>
      <c r="N404" s="231" t="s">
        <v>4895</v>
      </c>
      <c r="O404" s="246" t="s">
        <v>5331</v>
      </c>
      <c r="P404" s="246" t="s">
        <v>5332</v>
      </c>
      <c r="Q404" s="225" t="s">
        <v>5333</v>
      </c>
      <c r="R404" s="212" t="s">
        <v>4771</v>
      </c>
      <c r="S404" s="213" t="s">
        <v>4771</v>
      </c>
      <c r="T404" s="233">
        <v>45572</v>
      </c>
      <c r="U404" s="234" t="s">
        <v>4759</v>
      </c>
      <c r="V404" s="234">
        <v>45611</v>
      </c>
      <c r="W404" s="234">
        <v>45649</v>
      </c>
      <c r="X404" s="234" t="s">
        <v>2</v>
      </c>
      <c r="Y404" s="234"/>
      <c r="Z404" s="234" t="s">
        <v>5334</v>
      </c>
      <c r="AA404" s="243">
        <v>202411</v>
      </c>
      <c r="AB404" s="243"/>
      <c r="AC404" s="244" t="s">
        <v>4760</v>
      </c>
      <c r="AD404" s="244" t="s">
        <v>4845</v>
      </c>
      <c r="AE404" s="245">
        <v>0</v>
      </c>
      <c r="AF404" s="244" t="s">
        <v>4845</v>
      </c>
      <c r="AG404" s="239" t="str">
        <f>IFERROR(VLOOKUP(작성용!A:A,RM!A:D,4,0),"-")</f>
        <v>유재호</v>
      </c>
      <c r="AH404" s="203" t="s">
        <v>5021</v>
      </c>
      <c r="AI404" s="235" t="s">
        <v>5341</v>
      </c>
      <c r="AJ404" s="235" t="s">
        <v>5338</v>
      </c>
      <c r="AK404" s="235" t="s">
        <v>4777</v>
      </c>
      <c r="AL404" s="235">
        <v>403</v>
      </c>
    </row>
    <row r="405" spans="1:38" x14ac:dyDescent="0.3">
      <c r="A405" s="222" t="s">
        <v>5327</v>
      </c>
      <c r="B405" s="222" t="s">
        <v>5328</v>
      </c>
      <c r="C405" s="241" t="s">
        <v>4778</v>
      </c>
      <c r="D405" s="237" t="s">
        <v>5374</v>
      </c>
      <c r="E405" s="236">
        <v>1101116387727</v>
      </c>
      <c r="F405" s="240" t="s">
        <v>4780</v>
      </c>
      <c r="G405" s="214">
        <v>77</v>
      </c>
      <c r="H405" s="231" t="s">
        <v>4771</v>
      </c>
      <c r="I405" s="231"/>
      <c r="J405" s="231"/>
      <c r="K405" s="231"/>
      <c r="L405" s="231"/>
      <c r="M405" s="231"/>
      <c r="N405" s="231" t="s">
        <v>4895</v>
      </c>
      <c r="O405" s="246" t="s">
        <v>5331</v>
      </c>
      <c r="P405" s="246" t="s">
        <v>5332</v>
      </c>
      <c r="Q405" s="225" t="s">
        <v>5333</v>
      </c>
      <c r="R405" s="212" t="s">
        <v>4771</v>
      </c>
      <c r="S405" s="213" t="s">
        <v>4771</v>
      </c>
      <c r="T405" s="233">
        <v>45572</v>
      </c>
      <c r="U405" s="234" t="s">
        <v>4759</v>
      </c>
      <c r="V405" s="234">
        <v>45611</v>
      </c>
      <c r="W405" s="234">
        <v>45649</v>
      </c>
      <c r="X405" s="234" t="s">
        <v>2</v>
      </c>
      <c r="Y405" s="234"/>
      <c r="Z405" s="234" t="s">
        <v>5334</v>
      </c>
      <c r="AA405" s="243">
        <v>202411</v>
      </c>
      <c r="AB405" s="243"/>
      <c r="AC405" s="244" t="s">
        <v>4760</v>
      </c>
      <c r="AD405" s="244" t="s">
        <v>4845</v>
      </c>
      <c r="AE405" s="245">
        <v>0</v>
      </c>
      <c r="AF405" s="244" t="s">
        <v>4845</v>
      </c>
      <c r="AG405" s="239" t="str">
        <f>IFERROR(VLOOKUP(작성용!A:A,RM!A:D,4,0),"-")</f>
        <v>유재호</v>
      </c>
      <c r="AH405" s="203" t="s">
        <v>5021</v>
      </c>
      <c r="AI405" s="235" t="s">
        <v>5341</v>
      </c>
      <c r="AJ405" s="235" t="s">
        <v>5338</v>
      </c>
      <c r="AK405" s="235" t="s">
        <v>4777</v>
      </c>
      <c r="AL405" s="235">
        <v>404</v>
      </c>
    </row>
    <row r="406" spans="1:38" x14ac:dyDescent="0.3">
      <c r="A406" s="222" t="s">
        <v>5327</v>
      </c>
      <c r="B406" s="222" t="s">
        <v>5328</v>
      </c>
      <c r="C406" s="241" t="s">
        <v>4778</v>
      </c>
      <c r="D406" s="237" t="s">
        <v>5375</v>
      </c>
      <c r="E406" s="236">
        <v>1311110399187</v>
      </c>
      <c r="F406" s="240" t="s">
        <v>4894</v>
      </c>
      <c r="G406" s="214">
        <v>0</v>
      </c>
      <c r="H406" s="231" t="s">
        <v>4771</v>
      </c>
      <c r="I406" s="231"/>
      <c r="J406" s="231"/>
      <c r="K406" s="231"/>
      <c r="L406" s="231"/>
      <c r="M406" s="231"/>
      <c r="N406" s="231" t="s">
        <v>4895</v>
      </c>
      <c r="O406" s="246" t="s">
        <v>5331</v>
      </c>
      <c r="P406" s="246" t="s">
        <v>5332</v>
      </c>
      <c r="Q406" s="225" t="s">
        <v>5333</v>
      </c>
      <c r="R406" s="212" t="s">
        <v>4771</v>
      </c>
      <c r="S406" s="213" t="s">
        <v>4771</v>
      </c>
      <c r="T406" s="233">
        <v>45572</v>
      </c>
      <c r="U406" s="234" t="s">
        <v>4759</v>
      </c>
      <c r="V406" s="234">
        <v>45611</v>
      </c>
      <c r="W406" s="234">
        <v>45649</v>
      </c>
      <c r="X406" s="234" t="s">
        <v>2</v>
      </c>
      <c r="Y406" s="234"/>
      <c r="Z406" s="234" t="s">
        <v>5334</v>
      </c>
      <c r="AA406" s="243">
        <v>202411</v>
      </c>
      <c r="AB406" s="243"/>
      <c r="AC406" s="244" t="s">
        <v>4760</v>
      </c>
      <c r="AD406" s="244" t="s">
        <v>4945</v>
      </c>
      <c r="AE406" s="245">
        <v>2</v>
      </c>
      <c r="AF406" s="244" t="s">
        <v>4872</v>
      </c>
      <c r="AG406" s="239" t="str">
        <f>IFERROR(VLOOKUP(작성용!A:A,RM!A:D,4,0),"-")</f>
        <v>유재호</v>
      </c>
      <c r="AH406" s="203" t="s">
        <v>5021</v>
      </c>
      <c r="AI406" s="235" t="s">
        <v>5341</v>
      </c>
      <c r="AJ406" s="235" t="s">
        <v>5338</v>
      </c>
      <c r="AK406" s="235" t="s">
        <v>4777</v>
      </c>
      <c r="AL406" s="235">
        <v>405</v>
      </c>
    </row>
    <row r="407" spans="1:38" x14ac:dyDescent="0.3">
      <c r="A407" s="222" t="s">
        <v>5327</v>
      </c>
      <c r="B407" s="222" t="s">
        <v>5328</v>
      </c>
      <c r="C407" s="241" t="s">
        <v>4778</v>
      </c>
      <c r="D407" s="237" t="s">
        <v>5376</v>
      </c>
      <c r="E407" s="236" t="s">
        <v>4631</v>
      </c>
      <c r="F407" s="240" t="s">
        <v>4930</v>
      </c>
      <c r="G407" s="214">
        <v>0</v>
      </c>
      <c r="H407" s="231" t="s">
        <v>4771</v>
      </c>
      <c r="I407" s="231"/>
      <c r="J407" s="231"/>
      <c r="K407" s="231"/>
      <c r="L407" s="231"/>
      <c r="M407" s="231"/>
      <c r="N407" s="231" t="s">
        <v>4895</v>
      </c>
      <c r="O407" s="246" t="s">
        <v>5331</v>
      </c>
      <c r="P407" s="246" t="s">
        <v>5332</v>
      </c>
      <c r="Q407" s="225" t="s">
        <v>5333</v>
      </c>
      <c r="R407" s="212" t="s">
        <v>4771</v>
      </c>
      <c r="S407" s="213" t="s">
        <v>4771</v>
      </c>
      <c r="T407" s="233">
        <v>45572</v>
      </c>
      <c r="U407" s="234" t="s">
        <v>4759</v>
      </c>
      <c r="V407" s="234">
        <v>45611</v>
      </c>
      <c r="W407" s="234">
        <v>45649</v>
      </c>
      <c r="X407" s="234" t="s">
        <v>2</v>
      </c>
      <c r="Y407" s="234"/>
      <c r="Z407" s="234" t="s">
        <v>5334</v>
      </c>
      <c r="AA407" s="243">
        <v>202411</v>
      </c>
      <c r="AB407" s="243"/>
      <c r="AC407" s="244" t="s">
        <v>4760</v>
      </c>
      <c r="AD407" s="244" t="s">
        <v>4823</v>
      </c>
      <c r="AE407" s="245">
        <v>2</v>
      </c>
      <c r="AF407" s="244" t="s">
        <v>4918</v>
      </c>
      <c r="AG407" s="239" t="str">
        <f>IFERROR(VLOOKUP(작성용!A:A,RM!A:D,4,0),"-")</f>
        <v>유재호</v>
      </c>
      <c r="AH407" s="203" t="s">
        <v>5021</v>
      </c>
      <c r="AI407" s="235" t="s">
        <v>5341</v>
      </c>
      <c r="AJ407" s="235" t="s">
        <v>5338</v>
      </c>
      <c r="AK407" s="235" t="s">
        <v>4777</v>
      </c>
      <c r="AL407" s="235">
        <v>406</v>
      </c>
    </row>
    <row r="408" spans="1:38" x14ac:dyDescent="0.3">
      <c r="A408" s="222" t="s">
        <v>5327</v>
      </c>
      <c r="B408" s="222" t="s">
        <v>5328</v>
      </c>
      <c r="C408" s="241" t="s">
        <v>4778</v>
      </c>
      <c r="D408" s="237" t="s">
        <v>5376</v>
      </c>
      <c r="E408" s="236" t="s">
        <v>4631</v>
      </c>
      <c r="F408" s="240" t="s">
        <v>4930</v>
      </c>
      <c r="G408" s="214">
        <v>77</v>
      </c>
      <c r="H408" s="231" t="s">
        <v>4771</v>
      </c>
      <c r="I408" s="231"/>
      <c r="J408" s="231"/>
      <c r="K408" s="231"/>
      <c r="L408" s="231"/>
      <c r="M408" s="231"/>
      <c r="N408" s="231" t="s">
        <v>4881</v>
      </c>
      <c r="O408" s="246" t="s">
        <v>5331</v>
      </c>
      <c r="P408" s="246" t="s">
        <v>5332</v>
      </c>
      <c r="Q408" s="225" t="s">
        <v>5333</v>
      </c>
      <c r="R408" s="212" t="s">
        <v>4771</v>
      </c>
      <c r="S408" s="213" t="s">
        <v>4771</v>
      </c>
      <c r="T408" s="233">
        <v>45572</v>
      </c>
      <c r="U408" s="234" t="s">
        <v>4871</v>
      </c>
      <c r="V408" s="234">
        <v>45611</v>
      </c>
      <c r="W408" s="234">
        <v>45649</v>
      </c>
      <c r="X408" s="234" t="s">
        <v>2</v>
      </c>
      <c r="Y408" s="234"/>
      <c r="Z408" s="234" t="s">
        <v>5334</v>
      </c>
      <c r="AA408" s="243">
        <v>202411</v>
      </c>
      <c r="AB408" s="243"/>
      <c r="AC408" s="244" t="s">
        <v>4760</v>
      </c>
      <c r="AD408" s="244" t="s">
        <v>4823</v>
      </c>
      <c r="AE408" s="245">
        <v>0</v>
      </c>
      <c r="AF408" s="244" t="s">
        <v>4918</v>
      </c>
      <c r="AG408" s="239" t="str">
        <f>IFERROR(VLOOKUP(작성용!A:A,RM!A:D,4,0),"-")</f>
        <v>유재호</v>
      </c>
      <c r="AH408" s="203" t="s">
        <v>5021</v>
      </c>
      <c r="AI408" s="235" t="s">
        <v>5341</v>
      </c>
      <c r="AJ408" s="235" t="s">
        <v>5338</v>
      </c>
      <c r="AK408" s="235" t="s">
        <v>4777</v>
      </c>
      <c r="AL408" s="235">
        <v>407</v>
      </c>
    </row>
    <row r="409" spans="1:38" x14ac:dyDescent="0.3">
      <c r="A409" s="222" t="s">
        <v>5327</v>
      </c>
      <c r="B409" s="222" t="s">
        <v>5328</v>
      </c>
      <c r="C409" s="241" t="s">
        <v>4778</v>
      </c>
      <c r="D409" s="237" t="s">
        <v>5377</v>
      </c>
      <c r="E409" s="236" t="s">
        <v>4632</v>
      </c>
      <c r="F409" s="240" t="s">
        <v>4850</v>
      </c>
      <c r="G409" s="214">
        <v>0</v>
      </c>
      <c r="H409" s="231" t="s">
        <v>4771</v>
      </c>
      <c r="I409" s="231"/>
      <c r="J409" s="231"/>
      <c r="K409" s="231"/>
      <c r="L409" s="231"/>
      <c r="M409" s="231"/>
      <c r="N409" s="231" t="s">
        <v>4895</v>
      </c>
      <c r="O409" s="246" t="s">
        <v>5331</v>
      </c>
      <c r="P409" s="246" t="s">
        <v>5332</v>
      </c>
      <c r="Q409" s="225" t="s">
        <v>5333</v>
      </c>
      <c r="R409" s="212" t="s">
        <v>4771</v>
      </c>
      <c r="S409" s="213" t="s">
        <v>4771</v>
      </c>
      <c r="T409" s="233">
        <v>45572</v>
      </c>
      <c r="U409" s="234" t="s">
        <v>4759</v>
      </c>
      <c r="V409" s="234">
        <v>45611</v>
      </c>
      <c r="W409" s="234">
        <v>45649</v>
      </c>
      <c r="X409" s="234" t="s">
        <v>2</v>
      </c>
      <c r="Y409" s="234"/>
      <c r="Z409" s="234" t="s">
        <v>5334</v>
      </c>
      <c r="AA409" s="243">
        <v>202411</v>
      </c>
      <c r="AB409" s="243"/>
      <c r="AC409" s="244" t="s">
        <v>4760</v>
      </c>
      <c r="AD409" s="244" t="s">
        <v>4858</v>
      </c>
      <c r="AE409" s="245">
        <v>1.5</v>
      </c>
      <c r="AF409" s="244" t="s">
        <v>4858</v>
      </c>
      <c r="AG409" s="239" t="str">
        <f>IFERROR(VLOOKUP(작성용!A:A,RM!A:D,4,0),"-")</f>
        <v>유재호</v>
      </c>
      <c r="AH409" s="203" t="s">
        <v>5021</v>
      </c>
      <c r="AI409" s="235" t="s">
        <v>5335</v>
      </c>
      <c r="AJ409" s="235" t="s">
        <v>5338</v>
      </c>
      <c r="AK409" s="235" t="s">
        <v>4777</v>
      </c>
      <c r="AL409" s="235">
        <v>408</v>
      </c>
    </row>
    <row r="410" spans="1:38" x14ac:dyDescent="0.3">
      <c r="A410" s="222" t="s">
        <v>5327</v>
      </c>
      <c r="B410" s="222" t="s">
        <v>5328</v>
      </c>
      <c r="C410" s="241" t="s">
        <v>4762</v>
      </c>
      <c r="D410" s="237" t="s">
        <v>5378</v>
      </c>
      <c r="E410" s="236">
        <v>1101114789397</v>
      </c>
      <c r="F410" s="240" t="s">
        <v>4854</v>
      </c>
      <c r="G410" s="214">
        <v>0</v>
      </c>
      <c r="H410" s="231" t="s">
        <v>4771</v>
      </c>
      <c r="I410" s="231"/>
      <c r="J410" s="231"/>
      <c r="K410" s="231"/>
      <c r="L410" s="231"/>
      <c r="M410" s="231"/>
      <c r="N410" s="231" t="s">
        <v>4895</v>
      </c>
      <c r="O410" s="246" t="s">
        <v>5331</v>
      </c>
      <c r="P410" s="246" t="s">
        <v>5332</v>
      </c>
      <c r="Q410" s="225" t="s">
        <v>5333</v>
      </c>
      <c r="R410" s="212" t="s">
        <v>4771</v>
      </c>
      <c r="S410" s="213" t="s">
        <v>4771</v>
      </c>
      <c r="T410" s="233">
        <v>45572</v>
      </c>
      <c r="U410" s="234" t="s">
        <v>4759</v>
      </c>
      <c r="V410" s="234">
        <v>45611</v>
      </c>
      <c r="W410" s="234">
        <v>45649</v>
      </c>
      <c r="X410" s="234" t="s">
        <v>2</v>
      </c>
      <c r="Y410" s="234"/>
      <c r="Z410" s="234" t="s">
        <v>5334</v>
      </c>
      <c r="AA410" s="243">
        <v>202411</v>
      </c>
      <c r="AB410" s="243"/>
      <c r="AC410" s="244" t="s">
        <v>4760</v>
      </c>
      <c r="AD410" s="244" t="s">
        <v>4933</v>
      </c>
      <c r="AE410" s="245">
        <v>2</v>
      </c>
      <c r="AF410" s="244" t="s">
        <v>4933</v>
      </c>
      <c r="AG410" s="239" t="str">
        <f>IFERROR(VLOOKUP(작성용!A:A,RM!A:D,4,0),"-")</f>
        <v>유재호</v>
      </c>
      <c r="AH410" s="203" t="s">
        <v>5021</v>
      </c>
      <c r="AI410" s="235" t="s">
        <v>5341</v>
      </c>
      <c r="AJ410" s="235" t="s">
        <v>5338</v>
      </c>
      <c r="AK410" s="235" t="s">
        <v>4777</v>
      </c>
      <c r="AL410" s="235">
        <v>409</v>
      </c>
    </row>
    <row r="411" spans="1:38" x14ac:dyDescent="0.3">
      <c r="A411" s="222" t="s">
        <v>5327</v>
      </c>
      <c r="B411" s="222" t="s">
        <v>5328</v>
      </c>
      <c r="C411" s="241" t="s">
        <v>4762</v>
      </c>
      <c r="D411" s="237" t="s">
        <v>5379</v>
      </c>
      <c r="E411" s="236">
        <v>1101114789397</v>
      </c>
      <c r="F411" s="240" t="s">
        <v>4850</v>
      </c>
      <c r="G411" s="214">
        <v>77</v>
      </c>
      <c r="H411" s="231" t="s">
        <v>4771</v>
      </c>
      <c r="I411" s="231"/>
      <c r="J411" s="231"/>
      <c r="K411" s="231"/>
      <c r="L411" s="231"/>
      <c r="M411" s="231"/>
      <c r="N411" s="231" t="s">
        <v>4895</v>
      </c>
      <c r="O411" s="246" t="s">
        <v>5331</v>
      </c>
      <c r="P411" s="246" t="s">
        <v>5332</v>
      </c>
      <c r="Q411" s="225" t="s">
        <v>5333</v>
      </c>
      <c r="R411" s="212" t="s">
        <v>4771</v>
      </c>
      <c r="S411" s="213" t="s">
        <v>4771</v>
      </c>
      <c r="T411" s="233">
        <v>45572</v>
      </c>
      <c r="U411" s="234" t="s">
        <v>4759</v>
      </c>
      <c r="V411" s="234">
        <v>45611</v>
      </c>
      <c r="W411" s="234">
        <v>45649</v>
      </c>
      <c r="X411" s="234" t="s">
        <v>2</v>
      </c>
      <c r="Y411" s="234"/>
      <c r="Z411" s="234" t="s">
        <v>5334</v>
      </c>
      <c r="AA411" s="243">
        <v>202411</v>
      </c>
      <c r="AB411" s="243"/>
      <c r="AC411" s="244" t="s">
        <v>4760</v>
      </c>
      <c r="AD411" s="244" t="s">
        <v>4933</v>
      </c>
      <c r="AE411" s="245">
        <v>0</v>
      </c>
      <c r="AF411" s="244" t="s">
        <v>4933</v>
      </c>
      <c r="AG411" s="239" t="str">
        <f>IFERROR(VLOOKUP(작성용!A:A,RM!A:D,4,0),"-")</f>
        <v>유재호</v>
      </c>
      <c r="AH411" s="203" t="s">
        <v>5021</v>
      </c>
      <c r="AI411" s="235" t="s">
        <v>5341</v>
      </c>
      <c r="AJ411" s="235" t="s">
        <v>5338</v>
      </c>
      <c r="AK411" s="235" t="s">
        <v>4777</v>
      </c>
      <c r="AL411" s="235">
        <v>410</v>
      </c>
    </row>
    <row r="412" spans="1:38" s="198" customFormat="1" x14ac:dyDescent="0.3">
      <c r="A412" s="222" t="s">
        <v>5327</v>
      </c>
      <c r="B412" s="222" t="s">
        <v>5328</v>
      </c>
      <c r="C412" s="241" t="s">
        <v>4778</v>
      </c>
      <c r="D412" s="237" t="s">
        <v>5380</v>
      </c>
      <c r="E412" s="236">
        <v>1101116562866</v>
      </c>
      <c r="F412" s="240" t="s">
        <v>4850</v>
      </c>
      <c r="G412" s="214">
        <v>0</v>
      </c>
      <c r="H412" s="231" t="s">
        <v>4771</v>
      </c>
      <c r="I412" s="231"/>
      <c r="J412" s="231"/>
      <c r="K412" s="231"/>
      <c r="L412" s="231"/>
      <c r="M412" s="231"/>
      <c r="N412" s="231" t="s">
        <v>4895</v>
      </c>
      <c r="O412" s="246" t="s">
        <v>5331</v>
      </c>
      <c r="P412" s="246" t="s">
        <v>5332</v>
      </c>
      <c r="Q412" s="225" t="s">
        <v>5333</v>
      </c>
      <c r="R412" s="212" t="s">
        <v>4771</v>
      </c>
      <c r="S412" s="213" t="s">
        <v>4771</v>
      </c>
      <c r="T412" s="233">
        <v>45572</v>
      </c>
      <c r="U412" s="234" t="s">
        <v>4759</v>
      </c>
      <c r="V412" s="234">
        <v>45611</v>
      </c>
      <c r="W412" s="234">
        <v>45649</v>
      </c>
      <c r="X412" s="234" t="s">
        <v>2</v>
      </c>
      <c r="Y412" s="234"/>
      <c r="Z412" s="234" t="s">
        <v>5334</v>
      </c>
      <c r="AA412" s="243">
        <v>202411</v>
      </c>
      <c r="AB412" s="243"/>
      <c r="AC412" s="244" t="s">
        <v>4760</v>
      </c>
      <c r="AD412" s="244" t="s">
        <v>4858</v>
      </c>
      <c r="AE412" s="245">
        <v>2</v>
      </c>
      <c r="AF412" s="244" t="s">
        <v>4858</v>
      </c>
      <c r="AG412" s="239" t="str">
        <f>IFERROR(VLOOKUP(작성용!A:A,RM!A:D,4,0),"-")</f>
        <v>유재호</v>
      </c>
      <c r="AH412" s="203" t="s">
        <v>5021</v>
      </c>
      <c r="AI412" s="235" t="s">
        <v>5341</v>
      </c>
      <c r="AJ412" s="235" t="s">
        <v>5338</v>
      </c>
      <c r="AK412" s="235" t="s">
        <v>4777</v>
      </c>
      <c r="AL412" s="235">
        <v>411</v>
      </c>
    </row>
    <row r="413" spans="1:38" x14ac:dyDescent="0.3">
      <c r="A413" s="222" t="s">
        <v>5327</v>
      </c>
      <c r="B413" s="222" t="s">
        <v>5328</v>
      </c>
      <c r="C413" s="241" t="s">
        <v>4778</v>
      </c>
      <c r="D413" s="237" t="s">
        <v>5381</v>
      </c>
      <c r="E413" s="236">
        <v>1101117859981</v>
      </c>
      <c r="F413" s="240" t="s">
        <v>4850</v>
      </c>
      <c r="G413" s="214">
        <v>0</v>
      </c>
      <c r="H413" s="231" t="s">
        <v>4771</v>
      </c>
      <c r="I413" s="231"/>
      <c r="J413" s="231"/>
      <c r="K413" s="231"/>
      <c r="L413" s="231"/>
      <c r="M413" s="231"/>
      <c r="N413" s="231" t="s">
        <v>4895</v>
      </c>
      <c r="O413" s="246" t="s">
        <v>5331</v>
      </c>
      <c r="P413" s="246" t="s">
        <v>5332</v>
      </c>
      <c r="Q413" s="225" t="s">
        <v>5333</v>
      </c>
      <c r="R413" s="212" t="s">
        <v>4771</v>
      </c>
      <c r="S413" s="213" t="s">
        <v>4771</v>
      </c>
      <c r="T413" s="233">
        <v>45572</v>
      </c>
      <c r="U413" s="234" t="s">
        <v>4759</v>
      </c>
      <c r="V413" s="234">
        <v>45611</v>
      </c>
      <c r="W413" s="234">
        <v>45649</v>
      </c>
      <c r="X413" s="234" t="s">
        <v>2</v>
      </c>
      <c r="Y413" s="234"/>
      <c r="Z413" s="234" t="s">
        <v>5334</v>
      </c>
      <c r="AA413" s="243">
        <v>202411</v>
      </c>
      <c r="AB413" s="243"/>
      <c r="AC413" s="244" t="s">
        <v>4760</v>
      </c>
      <c r="AD413" s="244" t="s">
        <v>4845</v>
      </c>
      <c r="AE413" s="245">
        <v>2</v>
      </c>
      <c r="AF413" s="244" t="s">
        <v>4845</v>
      </c>
      <c r="AG413" s="239" t="str">
        <f>IFERROR(VLOOKUP(작성용!A:A,RM!A:D,4,0),"-")</f>
        <v>유재호</v>
      </c>
      <c r="AH413" s="203" t="s">
        <v>5021</v>
      </c>
      <c r="AI413" s="235" t="s">
        <v>5341</v>
      </c>
      <c r="AJ413" s="235" t="s">
        <v>5338</v>
      </c>
      <c r="AK413" s="235" t="s">
        <v>4777</v>
      </c>
      <c r="AL413" s="235">
        <v>412</v>
      </c>
    </row>
    <row r="414" spans="1:38" x14ac:dyDescent="0.3">
      <c r="A414" s="222" t="s">
        <v>5327</v>
      </c>
      <c r="B414" s="222" t="s">
        <v>5328</v>
      </c>
      <c r="C414" s="241" t="s">
        <v>4778</v>
      </c>
      <c r="D414" s="237" t="s">
        <v>5382</v>
      </c>
      <c r="E414" s="236" t="s">
        <v>4633</v>
      </c>
      <c r="F414" s="240" t="s">
        <v>4930</v>
      </c>
      <c r="G414" s="214">
        <v>0</v>
      </c>
      <c r="H414" s="231" t="s">
        <v>4771</v>
      </c>
      <c r="I414" s="231"/>
      <c r="J414" s="231"/>
      <c r="K414" s="231"/>
      <c r="L414" s="231"/>
      <c r="M414" s="231"/>
      <c r="N414" s="231" t="s">
        <v>4895</v>
      </c>
      <c r="O414" s="246" t="s">
        <v>5340</v>
      </c>
      <c r="P414" s="246" t="s">
        <v>5332</v>
      </c>
      <c r="Q414" s="225" t="s">
        <v>5333</v>
      </c>
      <c r="R414" s="212" t="s">
        <v>4771</v>
      </c>
      <c r="S414" s="213" t="s">
        <v>4771</v>
      </c>
      <c r="T414" s="233">
        <v>45572</v>
      </c>
      <c r="U414" s="234" t="s">
        <v>4759</v>
      </c>
      <c r="V414" s="234">
        <v>45611</v>
      </c>
      <c r="W414" s="234">
        <v>45649</v>
      </c>
      <c r="X414" s="234" t="s">
        <v>2</v>
      </c>
      <c r="Y414" s="234"/>
      <c r="Z414" s="234" t="s">
        <v>5334</v>
      </c>
      <c r="AA414" s="243">
        <v>202411</v>
      </c>
      <c r="AB414" s="243"/>
      <c r="AC414" s="244" t="s">
        <v>4760</v>
      </c>
      <c r="AD414" s="244" t="s">
        <v>4846</v>
      </c>
      <c r="AE414" s="245">
        <v>1.5</v>
      </c>
      <c r="AF414" s="244" t="s">
        <v>5144</v>
      </c>
      <c r="AG414" s="239" t="str">
        <f>IFERROR(VLOOKUP(작성용!A:A,RM!A:D,4,0),"-")</f>
        <v>유재호</v>
      </c>
      <c r="AH414" s="203" t="s">
        <v>5021</v>
      </c>
      <c r="AI414" s="235" t="s">
        <v>5335</v>
      </c>
      <c r="AJ414" s="235" t="s">
        <v>5338</v>
      </c>
      <c r="AK414" s="235" t="s">
        <v>4777</v>
      </c>
      <c r="AL414" s="235">
        <v>413</v>
      </c>
    </row>
    <row r="415" spans="1:38" x14ac:dyDescent="0.3">
      <c r="A415" s="222" t="s">
        <v>5327</v>
      </c>
      <c r="B415" s="222" t="s">
        <v>5328</v>
      </c>
      <c r="C415" s="241" t="s">
        <v>4778</v>
      </c>
      <c r="D415" s="237" t="s">
        <v>5382</v>
      </c>
      <c r="E415" s="236" t="s">
        <v>4633</v>
      </c>
      <c r="F415" s="240" t="s">
        <v>4930</v>
      </c>
      <c r="G415" s="214">
        <v>77</v>
      </c>
      <c r="H415" s="231" t="s">
        <v>4771</v>
      </c>
      <c r="I415" s="231"/>
      <c r="J415" s="231"/>
      <c r="K415" s="231"/>
      <c r="L415" s="231"/>
      <c r="M415" s="231"/>
      <c r="N415" s="231" t="s">
        <v>4895</v>
      </c>
      <c r="O415" s="246" t="s">
        <v>5331</v>
      </c>
      <c r="P415" s="246" t="s">
        <v>5332</v>
      </c>
      <c r="Q415" s="225" t="s">
        <v>5333</v>
      </c>
      <c r="R415" s="212" t="s">
        <v>4771</v>
      </c>
      <c r="S415" s="213" t="s">
        <v>4771</v>
      </c>
      <c r="T415" s="233">
        <v>45572</v>
      </c>
      <c r="U415" s="234" t="s">
        <v>4759</v>
      </c>
      <c r="V415" s="234">
        <v>45611</v>
      </c>
      <c r="W415" s="234">
        <v>45649</v>
      </c>
      <c r="X415" s="234" t="s">
        <v>2</v>
      </c>
      <c r="Y415" s="234"/>
      <c r="Z415" s="234" t="s">
        <v>5334</v>
      </c>
      <c r="AA415" s="243">
        <v>202411</v>
      </c>
      <c r="AB415" s="243"/>
      <c r="AC415" s="244" t="s">
        <v>4760</v>
      </c>
      <c r="AD415" s="244" t="s">
        <v>4846</v>
      </c>
      <c r="AE415" s="245">
        <v>0</v>
      </c>
      <c r="AF415" s="244" t="s">
        <v>5144</v>
      </c>
      <c r="AG415" s="239" t="str">
        <f>IFERROR(VLOOKUP(작성용!A:A,RM!A:D,4,0),"-")</f>
        <v>유재호</v>
      </c>
      <c r="AH415" s="203" t="s">
        <v>5021</v>
      </c>
      <c r="AI415" s="235" t="s">
        <v>5335</v>
      </c>
      <c r="AJ415" s="235" t="s">
        <v>5338</v>
      </c>
      <c r="AK415" s="235" t="s">
        <v>4777</v>
      </c>
      <c r="AL415" s="235">
        <v>414</v>
      </c>
    </row>
    <row r="416" spans="1:38" x14ac:dyDescent="0.3">
      <c r="A416" s="222" t="s">
        <v>5327</v>
      </c>
      <c r="B416" s="222" t="s">
        <v>5328</v>
      </c>
      <c r="C416" s="241" t="s">
        <v>4778</v>
      </c>
      <c r="D416" s="237" t="s">
        <v>5383</v>
      </c>
      <c r="E416" s="236" t="s">
        <v>4634</v>
      </c>
      <c r="F416" s="240" t="s">
        <v>4854</v>
      </c>
      <c r="G416" s="214">
        <v>0</v>
      </c>
      <c r="H416" s="231" t="s">
        <v>4771</v>
      </c>
      <c r="I416" s="231"/>
      <c r="J416" s="231"/>
      <c r="K416" s="231"/>
      <c r="L416" s="231"/>
      <c r="M416" s="231"/>
      <c r="N416" s="231" t="s">
        <v>4895</v>
      </c>
      <c r="O416" s="246" t="s">
        <v>5331</v>
      </c>
      <c r="P416" s="246" t="s">
        <v>5332</v>
      </c>
      <c r="Q416" s="225" t="s">
        <v>5333</v>
      </c>
      <c r="R416" s="212" t="s">
        <v>4771</v>
      </c>
      <c r="S416" s="213" t="s">
        <v>4771</v>
      </c>
      <c r="T416" s="233">
        <v>45572</v>
      </c>
      <c r="U416" s="234" t="s">
        <v>4759</v>
      </c>
      <c r="V416" s="234">
        <v>45611</v>
      </c>
      <c r="W416" s="234">
        <v>45649</v>
      </c>
      <c r="X416" s="234" t="s">
        <v>2</v>
      </c>
      <c r="Y416" s="234"/>
      <c r="Z416" s="234" t="s">
        <v>5334</v>
      </c>
      <c r="AA416" s="243">
        <v>202411</v>
      </c>
      <c r="AB416" s="243"/>
      <c r="AC416" s="244" t="s">
        <v>4760</v>
      </c>
      <c r="AD416" s="244" t="s">
        <v>4937</v>
      </c>
      <c r="AE416" s="245">
        <v>2</v>
      </c>
      <c r="AF416" s="244" t="s">
        <v>4937</v>
      </c>
      <c r="AG416" s="239" t="str">
        <f>IFERROR(VLOOKUP(작성용!A:A,RM!A:D,4,0),"-")</f>
        <v>유재호</v>
      </c>
      <c r="AH416" s="203" t="s">
        <v>5021</v>
      </c>
      <c r="AI416" s="235" t="s">
        <v>5341</v>
      </c>
      <c r="AJ416" s="235" t="s">
        <v>5338</v>
      </c>
      <c r="AK416" s="235" t="s">
        <v>4777</v>
      </c>
      <c r="AL416" s="235">
        <v>415</v>
      </c>
    </row>
    <row r="417" spans="1:38" x14ac:dyDescent="0.3">
      <c r="A417" s="222" t="s">
        <v>5327</v>
      </c>
      <c r="B417" s="222" t="s">
        <v>5360</v>
      </c>
      <c r="C417" s="241" t="s">
        <v>4778</v>
      </c>
      <c r="D417" s="237" t="s">
        <v>5383</v>
      </c>
      <c r="E417" s="236" t="s">
        <v>4634</v>
      </c>
      <c r="F417" s="240" t="s">
        <v>5068</v>
      </c>
      <c r="G417" s="214">
        <v>0</v>
      </c>
      <c r="H417" s="231" t="s">
        <v>4771</v>
      </c>
      <c r="I417" s="231"/>
      <c r="J417" s="231"/>
      <c r="K417" s="231"/>
      <c r="L417" s="231"/>
      <c r="M417" s="231"/>
      <c r="N417" s="231" t="s">
        <v>4895</v>
      </c>
      <c r="O417" s="246" t="s">
        <v>5331</v>
      </c>
      <c r="P417" s="246" t="s">
        <v>5332</v>
      </c>
      <c r="Q417" s="225" t="s">
        <v>5333</v>
      </c>
      <c r="R417" s="212" t="s">
        <v>4771</v>
      </c>
      <c r="S417" s="213" t="s">
        <v>4771</v>
      </c>
      <c r="T417" s="233">
        <v>45572</v>
      </c>
      <c r="U417" s="234" t="s">
        <v>4759</v>
      </c>
      <c r="V417" s="234">
        <v>45611</v>
      </c>
      <c r="W417" s="234">
        <v>45649</v>
      </c>
      <c r="X417" s="234" t="s">
        <v>2</v>
      </c>
      <c r="Y417" s="234"/>
      <c r="Z417" s="234" t="s">
        <v>5334</v>
      </c>
      <c r="AA417" s="243">
        <v>202411</v>
      </c>
      <c r="AB417" s="243"/>
      <c r="AC417" s="244" t="s">
        <v>4760</v>
      </c>
      <c r="AD417" s="244" t="s">
        <v>4937</v>
      </c>
      <c r="AE417" s="245">
        <v>0</v>
      </c>
      <c r="AF417" s="244" t="s">
        <v>4937</v>
      </c>
      <c r="AG417" s="239" t="str">
        <f>IFERROR(VLOOKUP(작성용!A:A,RM!A:D,4,0),"-")</f>
        <v>유재호</v>
      </c>
      <c r="AH417" s="203" t="s">
        <v>5153</v>
      </c>
      <c r="AI417" s="235" t="s">
        <v>5341</v>
      </c>
      <c r="AJ417" s="235" t="s">
        <v>5338</v>
      </c>
      <c r="AK417" s="235" t="s">
        <v>4777</v>
      </c>
      <c r="AL417" s="235">
        <v>416</v>
      </c>
    </row>
    <row r="418" spans="1:38" x14ac:dyDescent="0.3">
      <c r="A418" s="222" t="s">
        <v>5327</v>
      </c>
      <c r="B418" s="222" t="s">
        <v>5328</v>
      </c>
      <c r="C418" s="241" t="s">
        <v>4778</v>
      </c>
      <c r="D418" s="237" t="s">
        <v>5384</v>
      </c>
      <c r="E418" s="236">
        <v>1101116968436</v>
      </c>
      <c r="F418" s="240" t="s">
        <v>4854</v>
      </c>
      <c r="G418" s="214">
        <v>0</v>
      </c>
      <c r="H418" s="231" t="s">
        <v>4771</v>
      </c>
      <c r="I418" s="231"/>
      <c r="J418" s="231"/>
      <c r="K418" s="231"/>
      <c r="L418" s="231"/>
      <c r="M418" s="231"/>
      <c r="N418" s="231" t="s">
        <v>4895</v>
      </c>
      <c r="O418" s="246" t="s">
        <v>5331</v>
      </c>
      <c r="P418" s="246" t="s">
        <v>5332</v>
      </c>
      <c r="Q418" s="225" t="s">
        <v>5333</v>
      </c>
      <c r="R418" s="212" t="s">
        <v>4767</v>
      </c>
      <c r="S418" s="213" t="s">
        <v>4771</v>
      </c>
      <c r="T418" s="233">
        <v>45572</v>
      </c>
      <c r="U418" s="234" t="s">
        <v>4759</v>
      </c>
      <c r="V418" s="234">
        <v>45611</v>
      </c>
      <c r="W418" s="234">
        <v>45649</v>
      </c>
      <c r="X418" s="234" t="s">
        <v>2</v>
      </c>
      <c r="Y418" s="234"/>
      <c r="Z418" s="234" t="s">
        <v>5334</v>
      </c>
      <c r="AA418" s="243">
        <v>202411</v>
      </c>
      <c r="AB418" s="243"/>
      <c r="AC418" s="244" t="s">
        <v>4760</v>
      </c>
      <c r="AD418" s="244" t="s">
        <v>4862</v>
      </c>
      <c r="AE418" s="245">
        <v>2</v>
      </c>
      <c r="AF418" s="244" t="s">
        <v>4862</v>
      </c>
      <c r="AG418" s="239" t="str">
        <f>IFERROR(VLOOKUP(작성용!A:A,RM!A:D,4,0),"-")</f>
        <v>유재호</v>
      </c>
      <c r="AH418" s="203" t="s">
        <v>5021</v>
      </c>
      <c r="AI418" s="235" t="s">
        <v>5341</v>
      </c>
      <c r="AJ418" s="235" t="s">
        <v>5338</v>
      </c>
      <c r="AK418" s="235" t="s">
        <v>4777</v>
      </c>
      <c r="AL418" s="235">
        <v>417</v>
      </c>
    </row>
    <row r="419" spans="1:38" x14ac:dyDescent="0.3">
      <c r="A419" s="222" t="s">
        <v>5327</v>
      </c>
      <c r="B419" s="222" t="s">
        <v>5360</v>
      </c>
      <c r="C419" s="241" t="s">
        <v>4778</v>
      </c>
      <c r="D419" s="237" t="s">
        <v>5385</v>
      </c>
      <c r="E419" s="236" t="s">
        <v>4635</v>
      </c>
      <c r="F419" s="240" t="s">
        <v>4894</v>
      </c>
      <c r="G419" s="214">
        <v>0</v>
      </c>
      <c r="H419" s="231" t="s">
        <v>4771</v>
      </c>
      <c r="I419" s="231"/>
      <c r="J419" s="231"/>
      <c r="K419" s="231"/>
      <c r="L419" s="231"/>
      <c r="M419" s="231"/>
      <c r="N419" s="231" t="s">
        <v>4895</v>
      </c>
      <c r="O419" s="246" t="s">
        <v>5340</v>
      </c>
      <c r="P419" s="246" t="s">
        <v>5332</v>
      </c>
      <c r="Q419" s="225" t="s">
        <v>5333</v>
      </c>
      <c r="R419" s="212" t="s">
        <v>4771</v>
      </c>
      <c r="S419" s="213" t="s">
        <v>4771</v>
      </c>
      <c r="T419" s="233">
        <v>45572</v>
      </c>
      <c r="U419" s="234" t="s">
        <v>4759</v>
      </c>
      <c r="V419" s="234">
        <v>45611</v>
      </c>
      <c r="W419" s="234">
        <v>45649</v>
      </c>
      <c r="X419" s="234" t="s">
        <v>2</v>
      </c>
      <c r="Y419" s="234"/>
      <c r="Z419" s="234" t="s">
        <v>5334</v>
      </c>
      <c r="AA419" s="243">
        <v>202411</v>
      </c>
      <c r="AB419" s="243"/>
      <c r="AC419" s="244" t="s">
        <v>4760</v>
      </c>
      <c r="AD419" s="244" t="s">
        <v>4927</v>
      </c>
      <c r="AE419" s="245">
        <v>1.5</v>
      </c>
      <c r="AF419" s="244" t="s">
        <v>4927</v>
      </c>
      <c r="AG419" s="239" t="str">
        <f>IFERROR(VLOOKUP(작성용!A:A,RM!A:D,4,0),"-")</f>
        <v>유재호</v>
      </c>
      <c r="AH419" s="203" t="s">
        <v>5021</v>
      </c>
      <c r="AI419" s="235" t="s">
        <v>5335</v>
      </c>
      <c r="AJ419" s="235" t="s">
        <v>5338</v>
      </c>
      <c r="AK419" s="235" t="s">
        <v>4777</v>
      </c>
      <c r="AL419" s="235">
        <v>418</v>
      </c>
    </row>
    <row r="420" spans="1:38" x14ac:dyDescent="0.3">
      <c r="A420" s="222" t="s">
        <v>5327</v>
      </c>
      <c r="B420" s="222" t="s">
        <v>5328</v>
      </c>
      <c r="C420" s="241" t="s">
        <v>4778</v>
      </c>
      <c r="D420" s="237" t="s">
        <v>5237</v>
      </c>
      <c r="E420" s="236">
        <v>1101114475300</v>
      </c>
      <c r="F420" s="240" t="s">
        <v>4854</v>
      </c>
      <c r="G420" s="214">
        <v>0</v>
      </c>
      <c r="H420" s="231" t="s">
        <v>4771</v>
      </c>
      <c r="I420" s="231"/>
      <c r="J420" s="231"/>
      <c r="K420" s="231"/>
      <c r="L420" s="231"/>
      <c r="M420" s="231"/>
      <c r="N420" s="231" t="s">
        <v>4895</v>
      </c>
      <c r="O420" s="246" t="s">
        <v>5331</v>
      </c>
      <c r="P420" s="246" t="s">
        <v>5332</v>
      </c>
      <c r="Q420" s="225" t="s">
        <v>5333</v>
      </c>
      <c r="R420" s="212" t="s">
        <v>4771</v>
      </c>
      <c r="S420" s="213" t="s">
        <v>4771</v>
      </c>
      <c r="T420" s="233">
        <v>45572</v>
      </c>
      <c r="U420" s="234" t="s">
        <v>4759</v>
      </c>
      <c r="V420" s="234">
        <v>45611</v>
      </c>
      <c r="W420" s="234">
        <v>45649</v>
      </c>
      <c r="X420" s="234" t="s">
        <v>2</v>
      </c>
      <c r="Y420" s="234"/>
      <c r="Z420" s="234" t="s">
        <v>5334</v>
      </c>
      <c r="AA420" s="243">
        <v>202411</v>
      </c>
      <c r="AB420" s="243"/>
      <c r="AC420" s="244" t="s">
        <v>4760</v>
      </c>
      <c r="AD420" s="244" t="s">
        <v>4918</v>
      </c>
      <c r="AE420" s="245">
        <v>2.5</v>
      </c>
      <c r="AF420" s="244" t="s">
        <v>4918</v>
      </c>
      <c r="AG420" s="239" t="str">
        <f>IFERROR(VLOOKUP(작성용!A:A,RM!A:D,4,0),"-")</f>
        <v>유재호</v>
      </c>
      <c r="AH420" s="203" t="s">
        <v>5021</v>
      </c>
      <c r="AI420" s="235" t="s">
        <v>5341</v>
      </c>
      <c r="AJ420" s="235" t="s">
        <v>5338</v>
      </c>
      <c r="AK420" s="235" t="s">
        <v>4777</v>
      </c>
      <c r="AL420" s="235">
        <v>419</v>
      </c>
    </row>
    <row r="421" spans="1:38" x14ac:dyDescent="0.3">
      <c r="A421" s="222">
        <v>6000807</v>
      </c>
      <c r="B421" s="222" t="s">
        <v>5329</v>
      </c>
      <c r="C421" s="241" t="s">
        <v>4778</v>
      </c>
      <c r="D421" s="237" t="s">
        <v>5321</v>
      </c>
      <c r="E421" s="236">
        <v>1717110147784</v>
      </c>
      <c r="F421" s="240" t="s">
        <v>4850</v>
      </c>
      <c r="G421" s="214">
        <v>0</v>
      </c>
      <c r="H421" s="231" t="s">
        <v>4771</v>
      </c>
      <c r="I421" s="231"/>
      <c r="J421" s="231"/>
      <c r="K421" s="231"/>
      <c r="L421" s="231"/>
      <c r="M421" s="231"/>
      <c r="N421" s="231" t="s">
        <v>4895</v>
      </c>
      <c r="O421" s="246"/>
      <c r="P421" s="246"/>
      <c r="Q421" s="225"/>
      <c r="R421" s="212" t="s">
        <v>4771</v>
      </c>
      <c r="S421" s="213" t="s">
        <v>4771</v>
      </c>
      <c r="T421" s="233" t="s">
        <v>5386</v>
      </c>
      <c r="U421" s="234" t="s">
        <v>4759</v>
      </c>
      <c r="V421" s="234">
        <v>45611</v>
      </c>
      <c r="W421" s="234" t="s">
        <v>4877</v>
      </c>
      <c r="X421" s="234" t="s">
        <v>2</v>
      </c>
      <c r="Y421" s="234"/>
      <c r="Z421" s="234"/>
      <c r="AA421" s="243">
        <v>202411</v>
      </c>
      <c r="AB421" s="243"/>
      <c r="AC421" s="244" t="s">
        <v>5210</v>
      </c>
      <c r="AD421" s="244" t="s">
        <v>4905</v>
      </c>
      <c r="AE421" s="245">
        <v>0</v>
      </c>
      <c r="AF421" s="244" t="s">
        <v>4905</v>
      </c>
      <c r="AG421" s="239" t="str">
        <f>IFERROR(VLOOKUP(작성용!A:A,RM!A:D,4,0),"-")</f>
        <v>-</v>
      </c>
      <c r="AH421" s="235" t="s">
        <v>4771</v>
      </c>
      <c r="AI421" s="235" t="s">
        <v>4771</v>
      </c>
      <c r="AJ421" s="235" t="s">
        <v>4771</v>
      </c>
      <c r="AK421" s="203" t="s">
        <v>5208</v>
      </c>
      <c r="AL421" s="235">
        <v>420</v>
      </c>
    </row>
    <row r="422" spans="1:38" x14ac:dyDescent="0.3">
      <c r="A422" s="222">
        <v>6000807</v>
      </c>
      <c r="B422" s="222" t="s">
        <v>5329</v>
      </c>
      <c r="C422" s="241" t="s">
        <v>4778</v>
      </c>
      <c r="D422" s="237" t="s">
        <v>5387</v>
      </c>
      <c r="E422" s="236" t="s">
        <v>4573</v>
      </c>
      <c r="F422" s="240" t="s">
        <v>4894</v>
      </c>
      <c r="G422" s="214">
        <v>0</v>
      </c>
      <c r="H422" s="231" t="s">
        <v>4771</v>
      </c>
      <c r="I422" s="231"/>
      <c r="J422" s="231"/>
      <c r="K422" s="231"/>
      <c r="L422" s="231"/>
      <c r="M422" s="231"/>
      <c r="N422" s="231" t="s">
        <v>4895</v>
      </c>
      <c r="O422" s="246"/>
      <c r="P422" s="246"/>
      <c r="Q422" s="225"/>
      <c r="R422" s="212" t="s">
        <v>4771</v>
      </c>
      <c r="S422" s="213" t="s">
        <v>4771</v>
      </c>
      <c r="T422" s="233" t="s">
        <v>5386</v>
      </c>
      <c r="U422" s="234" t="s">
        <v>4759</v>
      </c>
      <c r="V422" s="234">
        <v>45611</v>
      </c>
      <c r="W422" s="234" t="s">
        <v>4877</v>
      </c>
      <c r="X422" s="234" t="s">
        <v>2</v>
      </c>
      <c r="Y422" s="234"/>
      <c r="Z422" s="234"/>
      <c r="AA422" s="243">
        <v>202411</v>
      </c>
      <c r="AB422" s="243"/>
      <c r="AC422" s="244" t="s">
        <v>5210</v>
      </c>
      <c r="AD422" s="244" t="s">
        <v>4982</v>
      </c>
      <c r="AE422" s="245">
        <v>0</v>
      </c>
      <c r="AF422" s="244" t="s">
        <v>4982</v>
      </c>
      <c r="AG422" s="239" t="str">
        <f>IFERROR(VLOOKUP(작성용!A:A,RM!A:D,4,0),"-")</f>
        <v>-</v>
      </c>
      <c r="AH422" s="235" t="s">
        <v>4771</v>
      </c>
      <c r="AI422" s="235" t="s">
        <v>4771</v>
      </c>
      <c r="AJ422" s="235" t="s">
        <v>4771</v>
      </c>
      <c r="AK422" s="203" t="s">
        <v>5208</v>
      </c>
      <c r="AL422" s="235">
        <v>421</v>
      </c>
    </row>
    <row r="423" spans="1:38" x14ac:dyDescent="0.3">
      <c r="A423" s="222">
        <v>6000807</v>
      </c>
      <c r="B423" s="222" t="s">
        <v>5329</v>
      </c>
      <c r="C423" s="241" t="s">
        <v>4778</v>
      </c>
      <c r="D423" s="237" t="s">
        <v>5388</v>
      </c>
      <c r="E423" s="236" t="s">
        <v>4005</v>
      </c>
      <c r="F423" s="240" t="s">
        <v>4894</v>
      </c>
      <c r="G423" s="214">
        <v>0</v>
      </c>
      <c r="H423" s="231" t="s">
        <v>4771</v>
      </c>
      <c r="I423" s="231"/>
      <c r="J423" s="231"/>
      <c r="K423" s="231"/>
      <c r="L423" s="231"/>
      <c r="M423" s="231"/>
      <c r="N423" s="231" t="s">
        <v>4895</v>
      </c>
      <c r="O423" s="246"/>
      <c r="P423" s="246"/>
      <c r="Q423" s="225"/>
      <c r="R423" s="212" t="s">
        <v>4771</v>
      </c>
      <c r="S423" s="213" t="s">
        <v>4771</v>
      </c>
      <c r="T423" s="233" t="s">
        <v>5386</v>
      </c>
      <c r="U423" s="234" t="s">
        <v>4759</v>
      </c>
      <c r="V423" s="234">
        <v>45611</v>
      </c>
      <c r="W423" s="234" t="s">
        <v>4877</v>
      </c>
      <c r="X423" s="234" t="s">
        <v>2</v>
      </c>
      <c r="Y423" s="234"/>
      <c r="Z423" s="234"/>
      <c r="AA423" s="243">
        <v>202411</v>
      </c>
      <c r="AB423" s="243"/>
      <c r="AC423" s="244" t="s">
        <v>5210</v>
      </c>
      <c r="AD423" s="244" t="s">
        <v>4858</v>
      </c>
      <c r="AE423" s="245">
        <v>0</v>
      </c>
      <c r="AF423" s="244" t="s">
        <v>4858</v>
      </c>
      <c r="AG423" s="239" t="str">
        <f>IFERROR(VLOOKUP(작성용!A:A,RM!A:D,4,0),"-")</f>
        <v>-</v>
      </c>
      <c r="AH423" s="235" t="s">
        <v>4767</v>
      </c>
      <c r="AI423" s="235" t="s">
        <v>4771</v>
      </c>
      <c r="AJ423" s="235" t="s">
        <v>4771</v>
      </c>
      <c r="AK423" s="203" t="s">
        <v>5208</v>
      </c>
      <c r="AL423" s="235">
        <v>422</v>
      </c>
    </row>
    <row r="424" spans="1:38" x14ac:dyDescent="0.3">
      <c r="A424" s="222">
        <v>6000807</v>
      </c>
      <c r="B424" s="222" t="s">
        <v>5329</v>
      </c>
      <c r="C424" s="241" t="s">
        <v>4778</v>
      </c>
      <c r="D424" s="237" t="s">
        <v>5389</v>
      </c>
      <c r="E424" s="236" t="s">
        <v>4004</v>
      </c>
      <c r="F424" s="240" t="s">
        <v>4894</v>
      </c>
      <c r="G424" s="214">
        <v>0</v>
      </c>
      <c r="H424" s="231" t="s">
        <v>4771</v>
      </c>
      <c r="I424" s="231"/>
      <c r="J424" s="231"/>
      <c r="K424" s="231"/>
      <c r="L424" s="231"/>
      <c r="M424" s="231"/>
      <c r="N424" s="231" t="s">
        <v>4895</v>
      </c>
      <c r="O424" s="246"/>
      <c r="P424" s="246"/>
      <c r="Q424" s="225"/>
      <c r="R424" s="212" t="s">
        <v>4771</v>
      </c>
      <c r="S424" s="213" t="s">
        <v>4771</v>
      </c>
      <c r="T424" s="233" t="s">
        <v>5386</v>
      </c>
      <c r="U424" s="234" t="s">
        <v>4759</v>
      </c>
      <c r="V424" s="234">
        <v>45611</v>
      </c>
      <c r="W424" s="234" t="s">
        <v>4877</v>
      </c>
      <c r="X424" s="234" t="s">
        <v>2</v>
      </c>
      <c r="Y424" s="234"/>
      <c r="Z424" s="234"/>
      <c r="AA424" s="243">
        <v>202411</v>
      </c>
      <c r="AB424" s="243"/>
      <c r="AC424" s="244" t="s">
        <v>5210</v>
      </c>
      <c r="AD424" s="244" t="s">
        <v>4918</v>
      </c>
      <c r="AE424" s="245">
        <v>0</v>
      </c>
      <c r="AF424" s="244" t="s">
        <v>4918</v>
      </c>
      <c r="AG424" s="239" t="str">
        <f>IFERROR(VLOOKUP(작성용!A:A,RM!A:D,4,0),"-")</f>
        <v>-</v>
      </c>
      <c r="AH424" s="235" t="s">
        <v>4771</v>
      </c>
      <c r="AI424" s="235" t="s">
        <v>4771</v>
      </c>
      <c r="AJ424" s="235" t="s">
        <v>4771</v>
      </c>
      <c r="AK424" s="203" t="s">
        <v>5208</v>
      </c>
      <c r="AL424" s="235">
        <v>423</v>
      </c>
    </row>
    <row r="425" spans="1:38" x14ac:dyDescent="0.3">
      <c r="A425" s="222">
        <v>6000807</v>
      </c>
      <c r="B425" s="222" t="s">
        <v>5329</v>
      </c>
      <c r="C425" s="241" t="s">
        <v>4778</v>
      </c>
      <c r="D425" s="237" t="s">
        <v>5389</v>
      </c>
      <c r="E425" s="236" t="s">
        <v>4004</v>
      </c>
      <c r="F425" s="240" t="s">
        <v>4894</v>
      </c>
      <c r="G425" s="214">
        <v>1</v>
      </c>
      <c r="H425" s="231" t="s">
        <v>4771</v>
      </c>
      <c r="I425" s="231"/>
      <c r="J425" s="231"/>
      <c r="K425" s="231"/>
      <c r="L425" s="231"/>
      <c r="M425" s="231"/>
      <c r="N425" s="231" t="s">
        <v>4895</v>
      </c>
      <c r="O425" s="246"/>
      <c r="P425" s="246"/>
      <c r="Q425" s="225"/>
      <c r="R425" s="212" t="s">
        <v>4771</v>
      </c>
      <c r="S425" s="213" t="s">
        <v>4771</v>
      </c>
      <c r="T425" s="233" t="s">
        <v>5386</v>
      </c>
      <c r="U425" s="234" t="s">
        <v>4759</v>
      </c>
      <c r="V425" s="234">
        <v>45611</v>
      </c>
      <c r="W425" s="234" t="s">
        <v>4877</v>
      </c>
      <c r="X425" s="234" t="s">
        <v>2</v>
      </c>
      <c r="Y425" s="234"/>
      <c r="Z425" s="234"/>
      <c r="AA425" s="243">
        <v>202411</v>
      </c>
      <c r="AB425" s="243"/>
      <c r="AC425" s="244" t="s">
        <v>5210</v>
      </c>
      <c r="AD425" s="244" t="s">
        <v>4918</v>
      </c>
      <c r="AE425" s="245">
        <v>0</v>
      </c>
      <c r="AF425" s="244" t="s">
        <v>4918</v>
      </c>
      <c r="AG425" s="239" t="str">
        <f>IFERROR(VLOOKUP(작성용!A:A,RM!A:D,4,0),"-")</f>
        <v>-</v>
      </c>
      <c r="AH425" s="235" t="s">
        <v>4771</v>
      </c>
      <c r="AI425" s="235" t="s">
        <v>4771</v>
      </c>
      <c r="AJ425" s="235" t="s">
        <v>4771</v>
      </c>
      <c r="AK425" s="203" t="s">
        <v>5208</v>
      </c>
      <c r="AL425" s="235">
        <v>424</v>
      </c>
    </row>
    <row r="426" spans="1:38" x14ac:dyDescent="0.3">
      <c r="A426" s="222">
        <v>6000807</v>
      </c>
      <c r="B426" s="222" t="s">
        <v>5329</v>
      </c>
      <c r="C426" s="241" t="s">
        <v>4778</v>
      </c>
      <c r="D426" s="237" t="s">
        <v>5390</v>
      </c>
      <c r="E426" s="236">
        <v>1311110537282</v>
      </c>
      <c r="F426" s="240" t="s">
        <v>4850</v>
      </c>
      <c r="G426" s="214">
        <v>0</v>
      </c>
      <c r="H426" s="231" t="s">
        <v>4771</v>
      </c>
      <c r="I426" s="231"/>
      <c r="J426" s="231"/>
      <c r="K426" s="231"/>
      <c r="L426" s="231"/>
      <c r="M426" s="231"/>
      <c r="N426" s="231" t="s">
        <v>4895</v>
      </c>
      <c r="O426" s="246"/>
      <c r="P426" s="246"/>
      <c r="Q426" s="225"/>
      <c r="R426" s="212" t="s">
        <v>4771</v>
      </c>
      <c r="S426" s="213" t="s">
        <v>4771</v>
      </c>
      <c r="T426" s="233" t="s">
        <v>5386</v>
      </c>
      <c r="U426" s="234" t="s">
        <v>4759</v>
      </c>
      <c r="V426" s="234">
        <v>45611</v>
      </c>
      <c r="W426" s="234" t="s">
        <v>4877</v>
      </c>
      <c r="X426" s="234" t="s">
        <v>2</v>
      </c>
      <c r="Y426" s="234"/>
      <c r="Z426" s="234"/>
      <c r="AA426" s="243">
        <v>202411</v>
      </c>
      <c r="AB426" s="243"/>
      <c r="AC426" s="244" t="s">
        <v>5210</v>
      </c>
      <c r="AD426" s="244" t="s">
        <v>4982</v>
      </c>
      <c r="AE426" s="245">
        <v>0.6</v>
      </c>
      <c r="AF426" s="244" t="s">
        <v>4982</v>
      </c>
      <c r="AG426" s="239" t="str">
        <f>IFERROR(VLOOKUP(작성용!A:A,RM!A:D,4,0),"-")</f>
        <v>-</v>
      </c>
      <c r="AH426" s="235" t="s">
        <v>4771</v>
      </c>
      <c r="AI426" s="235" t="s">
        <v>4771</v>
      </c>
      <c r="AJ426" s="235" t="s">
        <v>4771</v>
      </c>
      <c r="AK426" s="203" t="s">
        <v>5208</v>
      </c>
      <c r="AL426" s="235">
        <v>425</v>
      </c>
    </row>
    <row r="427" spans="1:38" x14ac:dyDescent="0.3">
      <c r="A427" s="222">
        <v>6000807</v>
      </c>
      <c r="B427" s="222" t="s">
        <v>5329</v>
      </c>
      <c r="C427" s="241" t="s">
        <v>4778</v>
      </c>
      <c r="D427" s="237" t="s">
        <v>5391</v>
      </c>
      <c r="E427" s="236">
        <v>1311110585009</v>
      </c>
      <c r="F427" s="240" t="s">
        <v>4850</v>
      </c>
      <c r="G427" s="214">
        <v>0</v>
      </c>
      <c r="H427" s="231" t="s">
        <v>4771</v>
      </c>
      <c r="I427" s="231"/>
      <c r="J427" s="231"/>
      <c r="K427" s="231"/>
      <c r="L427" s="231"/>
      <c r="M427" s="231"/>
      <c r="N427" s="231" t="s">
        <v>4895</v>
      </c>
      <c r="O427" s="246"/>
      <c r="P427" s="246"/>
      <c r="Q427" s="225"/>
      <c r="R427" s="212" t="s">
        <v>4771</v>
      </c>
      <c r="S427" s="213" t="s">
        <v>4771</v>
      </c>
      <c r="T427" s="233" t="s">
        <v>5386</v>
      </c>
      <c r="U427" s="234" t="s">
        <v>4759</v>
      </c>
      <c r="V427" s="234">
        <v>45611</v>
      </c>
      <c r="W427" s="234" t="s">
        <v>4877</v>
      </c>
      <c r="X427" s="234" t="s">
        <v>2</v>
      </c>
      <c r="Y427" s="234"/>
      <c r="Z427" s="234"/>
      <c r="AA427" s="243">
        <v>202411</v>
      </c>
      <c r="AB427" s="243"/>
      <c r="AC427" s="244" t="s">
        <v>5210</v>
      </c>
      <c r="AD427" s="244" t="s">
        <v>3647</v>
      </c>
      <c r="AE427" s="245">
        <v>0</v>
      </c>
      <c r="AF427" s="244" t="s">
        <v>5144</v>
      </c>
      <c r="AG427" s="239" t="str">
        <f>IFERROR(VLOOKUP(작성용!A:A,RM!A:D,4,0),"-")</f>
        <v>-</v>
      </c>
      <c r="AH427" s="235" t="s">
        <v>4771</v>
      </c>
      <c r="AI427" s="235" t="s">
        <v>4771</v>
      </c>
      <c r="AJ427" s="235" t="s">
        <v>4771</v>
      </c>
      <c r="AK427" s="203" t="s">
        <v>5208</v>
      </c>
      <c r="AL427" s="235">
        <v>426</v>
      </c>
    </row>
    <row r="428" spans="1:38" x14ac:dyDescent="0.3">
      <c r="A428" s="222">
        <v>6000807</v>
      </c>
      <c r="B428" s="222" t="s">
        <v>5329</v>
      </c>
      <c r="C428" s="241" t="s">
        <v>4778</v>
      </c>
      <c r="D428" s="237" t="s">
        <v>4979</v>
      </c>
      <c r="E428" s="236">
        <v>1101114834853</v>
      </c>
      <c r="F428" s="240" t="s">
        <v>4854</v>
      </c>
      <c r="G428" s="214">
        <v>0</v>
      </c>
      <c r="H428" s="231" t="s">
        <v>4771</v>
      </c>
      <c r="I428" s="231"/>
      <c r="J428" s="231"/>
      <c r="K428" s="231"/>
      <c r="L428" s="231"/>
      <c r="M428" s="231"/>
      <c r="N428" s="231" t="s">
        <v>4895</v>
      </c>
      <c r="O428" s="246"/>
      <c r="P428" s="246"/>
      <c r="Q428" s="225"/>
      <c r="R428" s="212" t="s">
        <v>4771</v>
      </c>
      <c r="S428" s="213" t="s">
        <v>4771</v>
      </c>
      <c r="T428" s="233" t="s">
        <v>5386</v>
      </c>
      <c r="U428" s="234" t="s">
        <v>4759</v>
      </c>
      <c r="V428" s="234">
        <v>45611</v>
      </c>
      <c r="W428" s="234" t="s">
        <v>4877</v>
      </c>
      <c r="X428" s="234" t="s">
        <v>2</v>
      </c>
      <c r="Y428" s="234"/>
      <c r="Z428" s="234"/>
      <c r="AA428" s="243">
        <v>202411</v>
      </c>
      <c r="AB428" s="243"/>
      <c r="AC428" s="244" t="s">
        <v>5210</v>
      </c>
      <c r="AD428" s="244" t="s">
        <v>4980</v>
      </c>
      <c r="AE428" s="245">
        <v>0</v>
      </c>
      <c r="AF428" s="244" t="s">
        <v>4980</v>
      </c>
      <c r="AG428" s="239" t="str">
        <f>IFERROR(VLOOKUP(작성용!A:A,RM!A:D,4,0),"-")</f>
        <v>-</v>
      </c>
      <c r="AH428" s="235" t="s">
        <v>4771</v>
      </c>
      <c r="AI428" s="235" t="s">
        <v>4771</v>
      </c>
      <c r="AJ428" s="235" t="s">
        <v>4771</v>
      </c>
      <c r="AK428" s="203" t="s">
        <v>5208</v>
      </c>
      <c r="AL428" s="235">
        <v>427</v>
      </c>
    </row>
    <row r="429" spans="1:38" x14ac:dyDescent="0.3">
      <c r="A429" s="222">
        <v>6000807</v>
      </c>
      <c r="B429" s="222" t="s">
        <v>5329</v>
      </c>
      <c r="C429" s="241" t="s">
        <v>4778</v>
      </c>
      <c r="D429" s="237" t="s">
        <v>5392</v>
      </c>
      <c r="E429" s="236">
        <v>1101117385332</v>
      </c>
      <c r="F429" s="240" t="s">
        <v>4850</v>
      </c>
      <c r="G429" s="214">
        <v>0</v>
      </c>
      <c r="H429" s="231" t="s">
        <v>4771</v>
      </c>
      <c r="I429" s="231"/>
      <c r="J429" s="231"/>
      <c r="K429" s="231"/>
      <c r="L429" s="231"/>
      <c r="M429" s="231"/>
      <c r="N429" s="231" t="s">
        <v>4895</v>
      </c>
      <c r="O429" s="246"/>
      <c r="P429" s="246"/>
      <c r="Q429" s="225"/>
      <c r="R429" s="212" t="s">
        <v>4771</v>
      </c>
      <c r="S429" s="213" t="s">
        <v>4771</v>
      </c>
      <c r="T429" s="233" t="s">
        <v>5386</v>
      </c>
      <c r="U429" s="234" t="s">
        <v>4759</v>
      </c>
      <c r="V429" s="234">
        <v>45611</v>
      </c>
      <c r="W429" s="234" t="s">
        <v>4877</v>
      </c>
      <c r="X429" s="234" t="s">
        <v>2</v>
      </c>
      <c r="Y429" s="234"/>
      <c r="Z429" s="234"/>
      <c r="AA429" s="243">
        <v>202411</v>
      </c>
      <c r="AB429" s="243"/>
      <c r="AC429" s="244" t="s">
        <v>5210</v>
      </c>
      <c r="AD429" s="244" t="s">
        <v>4980</v>
      </c>
      <c r="AE429" s="245">
        <v>0</v>
      </c>
      <c r="AF429" s="244" t="s">
        <v>4980</v>
      </c>
      <c r="AG429" s="239" t="str">
        <f>IFERROR(VLOOKUP(작성용!A:A,RM!A:D,4,0),"-")</f>
        <v>-</v>
      </c>
      <c r="AH429" s="235" t="s">
        <v>4771</v>
      </c>
      <c r="AI429" s="235" t="s">
        <v>4771</v>
      </c>
      <c r="AJ429" s="235" t="s">
        <v>4771</v>
      </c>
      <c r="AK429" s="203" t="s">
        <v>5208</v>
      </c>
      <c r="AL429" s="235">
        <v>428</v>
      </c>
    </row>
    <row r="430" spans="1:38" x14ac:dyDescent="0.3">
      <c r="A430" s="222">
        <v>6000807</v>
      </c>
      <c r="B430" s="222" t="s">
        <v>5329</v>
      </c>
      <c r="C430" s="241" t="s">
        <v>4778</v>
      </c>
      <c r="D430" s="237" t="s">
        <v>5393</v>
      </c>
      <c r="E430" s="236">
        <v>1358110313494</v>
      </c>
      <c r="F430" s="240" t="s">
        <v>4850</v>
      </c>
      <c r="G430" s="214">
        <v>0</v>
      </c>
      <c r="H430" s="231" t="s">
        <v>4771</v>
      </c>
      <c r="I430" s="231"/>
      <c r="J430" s="231"/>
      <c r="K430" s="231"/>
      <c r="L430" s="231"/>
      <c r="M430" s="231"/>
      <c r="N430" s="231" t="s">
        <v>4895</v>
      </c>
      <c r="O430" s="246"/>
      <c r="P430" s="246"/>
      <c r="Q430" s="225"/>
      <c r="R430" s="212" t="s">
        <v>4771</v>
      </c>
      <c r="S430" s="213" t="s">
        <v>4771</v>
      </c>
      <c r="T430" s="233" t="s">
        <v>5386</v>
      </c>
      <c r="U430" s="234" t="s">
        <v>4759</v>
      </c>
      <c r="V430" s="234">
        <v>45611</v>
      </c>
      <c r="W430" s="234" t="s">
        <v>4877</v>
      </c>
      <c r="X430" s="234" t="s">
        <v>2</v>
      </c>
      <c r="Y430" s="234"/>
      <c r="Z430" s="234"/>
      <c r="AA430" s="243">
        <v>202411</v>
      </c>
      <c r="AB430" s="243"/>
      <c r="AC430" s="244" t="s">
        <v>5210</v>
      </c>
      <c r="AD430" s="244" t="s">
        <v>4860</v>
      </c>
      <c r="AE430" s="245">
        <v>0.6</v>
      </c>
      <c r="AF430" s="244" t="s">
        <v>4860</v>
      </c>
      <c r="AG430" s="239" t="str">
        <f>IFERROR(VLOOKUP(작성용!A:A,RM!A:D,4,0),"-")</f>
        <v>-</v>
      </c>
      <c r="AH430" s="235" t="s">
        <v>4771</v>
      </c>
      <c r="AI430" s="235" t="s">
        <v>4771</v>
      </c>
      <c r="AJ430" s="235" t="s">
        <v>4771</v>
      </c>
      <c r="AK430" s="203" t="s">
        <v>5208</v>
      </c>
      <c r="AL430" s="235">
        <v>429</v>
      </c>
    </row>
    <row r="431" spans="1:38" x14ac:dyDescent="0.3">
      <c r="A431" s="222">
        <v>6000807</v>
      </c>
      <c r="B431" s="222" t="s">
        <v>5329</v>
      </c>
      <c r="C431" s="241" t="s">
        <v>4778</v>
      </c>
      <c r="D431" s="237" t="s">
        <v>5307</v>
      </c>
      <c r="E431" s="236">
        <v>1101116761096</v>
      </c>
      <c r="F431" s="240" t="s">
        <v>4854</v>
      </c>
      <c r="G431" s="214">
        <v>0</v>
      </c>
      <c r="H431" s="231" t="s">
        <v>4771</v>
      </c>
      <c r="I431" s="231"/>
      <c r="J431" s="231"/>
      <c r="K431" s="231"/>
      <c r="L431" s="231"/>
      <c r="M431" s="231"/>
      <c r="N431" s="231" t="s">
        <v>4895</v>
      </c>
      <c r="O431" s="246"/>
      <c r="P431" s="246"/>
      <c r="Q431" s="225"/>
      <c r="R431" s="212" t="s">
        <v>4771</v>
      </c>
      <c r="S431" s="213" t="s">
        <v>4771</v>
      </c>
      <c r="T431" s="233" t="s">
        <v>5386</v>
      </c>
      <c r="U431" s="234" t="s">
        <v>4759</v>
      </c>
      <c r="V431" s="234">
        <v>45611</v>
      </c>
      <c r="W431" s="234" t="s">
        <v>4877</v>
      </c>
      <c r="X431" s="234" t="s">
        <v>2</v>
      </c>
      <c r="Y431" s="234"/>
      <c r="Z431" s="234"/>
      <c r="AA431" s="243">
        <v>202411</v>
      </c>
      <c r="AB431" s="243"/>
      <c r="AC431" s="244" t="s">
        <v>5210</v>
      </c>
      <c r="AD431" s="244" t="s">
        <v>4933</v>
      </c>
      <c r="AE431" s="245">
        <v>0</v>
      </c>
      <c r="AF431" s="244" t="s">
        <v>4864</v>
      </c>
      <c r="AG431" s="239" t="str">
        <f>IFERROR(VLOOKUP(작성용!A:A,RM!A:D,4,0),"-")</f>
        <v>-</v>
      </c>
      <c r="AH431" s="235" t="s">
        <v>4771</v>
      </c>
      <c r="AI431" s="235" t="s">
        <v>4771</v>
      </c>
      <c r="AJ431" s="235" t="s">
        <v>4771</v>
      </c>
      <c r="AK431" s="203" t="s">
        <v>5208</v>
      </c>
      <c r="AL431" s="235">
        <v>430</v>
      </c>
    </row>
    <row r="432" spans="1:38" x14ac:dyDescent="0.3">
      <c r="A432" s="222">
        <v>6000807</v>
      </c>
      <c r="B432" s="222" t="s">
        <v>5329</v>
      </c>
      <c r="C432" s="241" t="s">
        <v>4778</v>
      </c>
      <c r="D432" s="237" t="s">
        <v>5394</v>
      </c>
      <c r="E432" s="236">
        <v>1101116498730</v>
      </c>
      <c r="F432" s="240" t="s">
        <v>4854</v>
      </c>
      <c r="G432" s="214">
        <v>0</v>
      </c>
      <c r="H432" s="231" t="s">
        <v>4771</v>
      </c>
      <c r="I432" s="231"/>
      <c r="J432" s="231"/>
      <c r="K432" s="231"/>
      <c r="L432" s="231"/>
      <c r="M432" s="231"/>
      <c r="N432" s="231" t="s">
        <v>4895</v>
      </c>
      <c r="O432" s="246"/>
      <c r="P432" s="246"/>
      <c r="Q432" s="225"/>
      <c r="R432" s="212" t="s">
        <v>4771</v>
      </c>
      <c r="S432" s="213" t="s">
        <v>4771</v>
      </c>
      <c r="T432" s="233" t="s">
        <v>5386</v>
      </c>
      <c r="U432" s="234" t="s">
        <v>4759</v>
      </c>
      <c r="V432" s="234">
        <v>45611</v>
      </c>
      <c r="W432" s="234" t="s">
        <v>4877</v>
      </c>
      <c r="X432" s="234" t="s">
        <v>2</v>
      </c>
      <c r="Y432" s="234"/>
      <c r="Z432" s="234"/>
      <c r="AA432" s="243">
        <v>202411</v>
      </c>
      <c r="AB432" s="243"/>
      <c r="AC432" s="244" t="s">
        <v>5210</v>
      </c>
      <c r="AD432" s="244" t="s">
        <v>4860</v>
      </c>
      <c r="AE432" s="245">
        <v>0.6</v>
      </c>
      <c r="AF432" s="244" t="s">
        <v>4860</v>
      </c>
      <c r="AG432" s="239" t="str">
        <f>IFERROR(VLOOKUP(작성용!A:A,RM!A:D,4,0),"-")</f>
        <v>-</v>
      </c>
      <c r="AH432" s="235" t="s">
        <v>4771</v>
      </c>
      <c r="AI432" s="235" t="s">
        <v>4771</v>
      </c>
      <c r="AJ432" s="235" t="s">
        <v>4771</v>
      </c>
      <c r="AK432" s="203" t="s">
        <v>5208</v>
      </c>
      <c r="AL432" s="235">
        <v>431</v>
      </c>
    </row>
    <row r="433" spans="1:38" x14ac:dyDescent="0.3">
      <c r="A433" s="222">
        <v>6000807</v>
      </c>
      <c r="B433" s="222" t="s">
        <v>5329</v>
      </c>
      <c r="C433" s="241" t="s">
        <v>4778</v>
      </c>
      <c r="D433" s="237" t="s">
        <v>5394</v>
      </c>
      <c r="E433" s="236">
        <v>1101116498730</v>
      </c>
      <c r="F433" s="240" t="s">
        <v>4894</v>
      </c>
      <c r="G433" s="214">
        <v>0</v>
      </c>
      <c r="H433" s="231" t="s">
        <v>4771</v>
      </c>
      <c r="I433" s="231"/>
      <c r="J433" s="231"/>
      <c r="K433" s="231"/>
      <c r="L433" s="231"/>
      <c r="M433" s="231"/>
      <c r="N433" s="231" t="s">
        <v>4895</v>
      </c>
      <c r="O433" s="246"/>
      <c r="P433" s="246"/>
      <c r="Q433" s="225"/>
      <c r="R433" s="212" t="s">
        <v>4771</v>
      </c>
      <c r="S433" s="213" t="s">
        <v>4771</v>
      </c>
      <c r="T433" s="233" t="s">
        <v>5386</v>
      </c>
      <c r="U433" s="234" t="s">
        <v>4759</v>
      </c>
      <c r="V433" s="234">
        <v>45611</v>
      </c>
      <c r="W433" s="234" t="s">
        <v>4877</v>
      </c>
      <c r="X433" s="234" t="s">
        <v>2</v>
      </c>
      <c r="Y433" s="234"/>
      <c r="Z433" s="234"/>
      <c r="AA433" s="243">
        <v>202411</v>
      </c>
      <c r="AB433" s="243"/>
      <c r="AC433" s="244" t="s">
        <v>5210</v>
      </c>
      <c r="AD433" s="244" t="s">
        <v>4860</v>
      </c>
      <c r="AE433" s="245">
        <v>0</v>
      </c>
      <c r="AF433" s="244" t="s">
        <v>4860</v>
      </c>
      <c r="AG433" s="239" t="str">
        <f>IFERROR(VLOOKUP(작성용!A:A,RM!A:D,4,0),"-")</f>
        <v>-</v>
      </c>
      <c r="AH433" s="235" t="s">
        <v>4771</v>
      </c>
      <c r="AI433" s="235" t="s">
        <v>4771</v>
      </c>
      <c r="AJ433" s="235" t="s">
        <v>4771</v>
      </c>
      <c r="AK433" s="203" t="s">
        <v>5208</v>
      </c>
      <c r="AL433" s="235">
        <v>432</v>
      </c>
    </row>
    <row r="434" spans="1:38" x14ac:dyDescent="0.3">
      <c r="A434" s="222">
        <v>6000807</v>
      </c>
      <c r="B434" s="222" t="s">
        <v>5329</v>
      </c>
      <c r="C434" s="241" t="s">
        <v>4778</v>
      </c>
      <c r="D434" s="237" t="s">
        <v>5395</v>
      </c>
      <c r="E434" s="236">
        <v>1101116377877</v>
      </c>
      <c r="F434" s="240" t="s">
        <v>4850</v>
      </c>
      <c r="G434" s="214">
        <v>0</v>
      </c>
      <c r="H434" s="231" t="s">
        <v>4771</v>
      </c>
      <c r="I434" s="231"/>
      <c r="J434" s="231"/>
      <c r="K434" s="231"/>
      <c r="L434" s="231"/>
      <c r="M434" s="231"/>
      <c r="N434" s="231" t="s">
        <v>4895</v>
      </c>
      <c r="O434" s="246"/>
      <c r="P434" s="246"/>
      <c r="Q434" s="225"/>
      <c r="R434" s="212" t="s">
        <v>4771</v>
      </c>
      <c r="S434" s="213" t="s">
        <v>4771</v>
      </c>
      <c r="T434" s="233" t="s">
        <v>5386</v>
      </c>
      <c r="U434" s="234" t="s">
        <v>4759</v>
      </c>
      <c r="V434" s="234">
        <v>45611</v>
      </c>
      <c r="W434" s="234" t="s">
        <v>4877</v>
      </c>
      <c r="X434" s="234" t="s">
        <v>2</v>
      </c>
      <c r="Y434" s="234"/>
      <c r="Z434" s="234"/>
      <c r="AA434" s="243">
        <v>202411</v>
      </c>
      <c r="AB434" s="243"/>
      <c r="AC434" s="244" t="s">
        <v>5210</v>
      </c>
      <c r="AD434" s="244" t="s">
        <v>4980</v>
      </c>
      <c r="AE434" s="245">
        <v>0.6</v>
      </c>
      <c r="AF434" s="244" t="s">
        <v>4980</v>
      </c>
      <c r="AG434" s="239" t="str">
        <f>IFERROR(VLOOKUP(작성용!A:A,RM!A:D,4,0),"-")</f>
        <v>-</v>
      </c>
      <c r="AH434" s="235" t="s">
        <v>4771</v>
      </c>
      <c r="AI434" s="235" t="s">
        <v>4771</v>
      </c>
      <c r="AJ434" s="235" t="s">
        <v>4771</v>
      </c>
      <c r="AK434" s="203" t="s">
        <v>5208</v>
      </c>
      <c r="AL434" s="235">
        <v>433</v>
      </c>
    </row>
    <row r="435" spans="1:38" x14ac:dyDescent="0.3">
      <c r="A435" s="222">
        <v>6000807</v>
      </c>
      <c r="B435" s="222" t="s">
        <v>5329</v>
      </c>
      <c r="C435" s="241" t="s">
        <v>4778</v>
      </c>
      <c r="D435" s="237" t="s">
        <v>5237</v>
      </c>
      <c r="E435" s="236">
        <v>1101114475300</v>
      </c>
      <c r="F435" s="240" t="s">
        <v>4854</v>
      </c>
      <c r="G435" s="214">
        <v>0</v>
      </c>
      <c r="H435" s="231" t="s">
        <v>4771</v>
      </c>
      <c r="I435" s="231"/>
      <c r="J435" s="231"/>
      <c r="K435" s="231"/>
      <c r="L435" s="231"/>
      <c r="M435" s="231"/>
      <c r="N435" s="231" t="s">
        <v>4895</v>
      </c>
      <c r="O435" s="246"/>
      <c r="P435" s="246"/>
      <c r="Q435" s="225"/>
      <c r="R435" s="212" t="s">
        <v>4771</v>
      </c>
      <c r="S435" s="213" t="s">
        <v>4771</v>
      </c>
      <c r="T435" s="233" t="s">
        <v>5386</v>
      </c>
      <c r="U435" s="234" t="s">
        <v>4759</v>
      </c>
      <c r="V435" s="234">
        <v>45611</v>
      </c>
      <c r="W435" s="234" t="s">
        <v>4877</v>
      </c>
      <c r="X435" s="234" t="s">
        <v>2</v>
      </c>
      <c r="Y435" s="234"/>
      <c r="Z435" s="234"/>
      <c r="AA435" s="243">
        <v>202411</v>
      </c>
      <c r="AB435" s="243"/>
      <c r="AC435" s="244" t="s">
        <v>5210</v>
      </c>
      <c r="AD435" s="244" t="s">
        <v>4918</v>
      </c>
      <c r="AE435" s="245">
        <v>0</v>
      </c>
      <c r="AF435" s="244" t="s">
        <v>4918</v>
      </c>
      <c r="AG435" s="239" t="str">
        <f>IFERROR(VLOOKUP(작성용!A:A,RM!A:D,4,0),"-")</f>
        <v>-</v>
      </c>
      <c r="AH435" s="235" t="s">
        <v>4771</v>
      </c>
      <c r="AI435" s="235" t="s">
        <v>4771</v>
      </c>
      <c r="AJ435" s="235" t="s">
        <v>4771</v>
      </c>
      <c r="AK435" s="203" t="s">
        <v>5208</v>
      </c>
      <c r="AL435" s="235">
        <v>434</v>
      </c>
    </row>
    <row r="436" spans="1:38" x14ac:dyDescent="0.3">
      <c r="A436" s="222">
        <v>6000807</v>
      </c>
      <c r="B436" s="222" t="s">
        <v>5329</v>
      </c>
      <c r="C436" s="241" t="s">
        <v>4778</v>
      </c>
      <c r="D436" s="237" t="s">
        <v>5396</v>
      </c>
      <c r="E436" s="236" t="s">
        <v>4003</v>
      </c>
      <c r="F436" s="240" t="s">
        <v>4850</v>
      </c>
      <c r="G436" s="214">
        <v>0</v>
      </c>
      <c r="H436" s="231" t="s">
        <v>4771</v>
      </c>
      <c r="I436" s="231"/>
      <c r="J436" s="231"/>
      <c r="K436" s="231"/>
      <c r="L436" s="231"/>
      <c r="M436" s="231"/>
      <c r="N436" s="231" t="s">
        <v>4895</v>
      </c>
      <c r="O436" s="246"/>
      <c r="P436" s="246"/>
      <c r="Q436" s="225"/>
      <c r="R436" s="212" t="s">
        <v>4771</v>
      </c>
      <c r="S436" s="213" t="s">
        <v>4771</v>
      </c>
      <c r="T436" s="233" t="s">
        <v>5386</v>
      </c>
      <c r="U436" s="234" t="s">
        <v>4759</v>
      </c>
      <c r="V436" s="234">
        <v>45611</v>
      </c>
      <c r="W436" s="234" t="s">
        <v>4877</v>
      </c>
      <c r="X436" s="234" t="s">
        <v>2</v>
      </c>
      <c r="Y436" s="234"/>
      <c r="Z436" s="234"/>
      <c r="AA436" s="243">
        <v>202411</v>
      </c>
      <c r="AB436" s="243"/>
      <c r="AC436" s="244" t="s">
        <v>5210</v>
      </c>
      <c r="AD436" s="244" t="s">
        <v>4862</v>
      </c>
      <c r="AE436" s="245">
        <v>0</v>
      </c>
      <c r="AF436" s="244" t="s">
        <v>4862</v>
      </c>
      <c r="AG436" s="239" t="str">
        <f>IFERROR(VLOOKUP(작성용!A:A,RM!A:D,4,0),"-")</f>
        <v>-</v>
      </c>
      <c r="AH436" s="235" t="s">
        <v>4771</v>
      </c>
      <c r="AI436" s="235" t="s">
        <v>4771</v>
      </c>
      <c r="AJ436" s="235" t="s">
        <v>4771</v>
      </c>
      <c r="AK436" s="203" t="s">
        <v>5208</v>
      </c>
      <c r="AL436" s="235">
        <v>435</v>
      </c>
    </row>
    <row r="437" spans="1:38" x14ac:dyDescent="0.3">
      <c r="A437" s="222">
        <v>6000807</v>
      </c>
      <c r="B437" s="222" t="s">
        <v>5329</v>
      </c>
      <c r="C437" s="241" t="s">
        <v>4778</v>
      </c>
      <c r="D437" s="237" t="s">
        <v>5397</v>
      </c>
      <c r="E437" s="236">
        <v>1101115886366</v>
      </c>
      <c r="F437" s="240" t="s">
        <v>4850</v>
      </c>
      <c r="G437" s="214">
        <v>0</v>
      </c>
      <c r="H437" s="231" t="s">
        <v>4771</v>
      </c>
      <c r="I437" s="231"/>
      <c r="J437" s="231"/>
      <c r="K437" s="231"/>
      <c r="L437" s="231"/>
      <c r="M437" s="231"/>
      <c r="N437" s="231" t="s">
        <v>4895</v>
      </c>
      <c r="O437" s="246"/>
      <c r="P437" s="246"/>
      <c r="Q437" s="225"/>
      <c r="R437" s="212" t="s">
        <v>4771</v>
      </c>
      <c r="S437" s="213" t="s">
        <v>4771</v>
      </c>
      <c r="T437" s="233" t="s">
        <v>5386</v>
      </c>
      <c r="U437" s="234" t="s">
        <v>4759</v>
      </c>
      <c r="V437" s="234">
        <v>45611</v>
      </c>
      <c r="W437" s="234" t="s">
        <v>4877</v>
      </c>
      <c r="X437" s="234" t="s">
        <v>2</v>
      </c>
      <c r="Y437" s="234"/>
      <c r="Z437" s="234"/>
      <c r="AA437" s="243">
        <v>202411</v>
      </c>
      <c r="AB437" s="243"/>
      <c r="AC437" s="244" t="s">
        <v>5210</v>
      </c>
      <c r="AD437" s="244" t="s">
        <v>4982</v>
      </c>
      <c r="AE437" s="245">
        <v>0</v>
      </c>
      <c r="AF437" s="244" t="s">
        <v>4982</v>
      </c>
      <c r="AG437" s="239" t="str">
        <f>IFERROR(VLOOKUP(작성용!A:A,RM!A:D,4,0),"-")</f>
        <v>-</v>
      </c>
      <c r="AH437" s="235" t="s">
        <v>4771</v>
      </c>
      <c r="AI437" s="235" t="s">
        <v>4771</v>
      </c>
      <c r="AJ437" s="235" t="s">
        <v>4771</v>
      </c>
      <c r="AK437" s="203" t="s">
        <v>5208</v>
      </c>
      <c r="AL437" s="235">
        <v>436</v>
      </c>
    </row>
    <row r="438" spans="1:38" x14ac:dyDescent="0.3">
      <c r="A438" s="222">
        <v>6000807</v>
      </c>
      <c r="B438" s="222" t="s">
        <v>5329</v>
      </c>
      <c r="C438" s="241" t="s">
        <v>4778</v>
      </c>
      <c r="D438" s="237" t="s">
        <v>5398</v>
      </c>
      <c r="E438" s="236">
        <v>1311110508316</v>
      </c>
      <c r="F438" s="240" t="s">
        <v>4854</v>
      </c>
      <c r="G438" s="214">
        <v>0</v>
      </c>
      <c r="H438" s="231" t="s">
        <v>4771</v>
      </c>
      <c r="I438" s="231"/>
      <c r="J438" s="231"/>
      <c r="K438" s="231"/>
      <c r="L438" s="231"/>
      <c r="M438" s="231"/>
      <c r="N438" s="231" t="s">
        <v>4895</v>
      </c>
      <c r="O438" s="246"/>
      <c r="P438" s="246"/>
      <c r="Q438" s="225"/>
      <c r="R438" s="212" t="s">
        <v>4771</v>
      </c>
      <c r="S438" s="213" t="s">
        <v>4771</v>
      </c>
      <c r="T438" s="233" t="s">
        <v>5386</v>
      </c>
      <c r="U438" s="234" t="s">
        <v>4759</v>
      </c>
      <c r="V438" s="234">
        <v>45611</v>
      </c>
      <c r="W438" s="234" t="s">
        <v>4877</v>
      </c>
      <c r="X438" s="234" t="s">
        <v>2</v>
      </c>
      <c r="Y438" s="234"/>
      <c r="Z438" s="234"/>
      <c r="AA438" s="243">
        <v>202411</v>
      </c>
      <c r="AB438" s="243"/>
      <c r="AC438" s="244" t="s">
        <v>5210</v>
      </c>
      <c r="AD438" s="244" t="s">
        <v>4860</v>
      </c>
      <c r="AE438" s="245">
        <v>0.6</v>
      </c>
      <c r="AF438" s="244" t="s">
        <v>4860</v>
      </c>
      <c r="AG438" s="239" t="str">
        <f>IFERROR(VLOOKUP(작성용!A:A,RM!A:D,4,0),"-")</f>
        <v>-</v>
      </c>
      <c r="AH438" s="235" t="s">
        <v>4771</v>
      </c>
      <c r="AI438" s="235" t="s">
        <v>4771</v>
      </c>
      <c r="AJ438" s="235" t="s">
        <v>4771</v>
      </c>
      <c r="AK438" s="203" t="s">
        <v>5208</v>
      </c>
      <c r="AL438" s="235">
        <v>437</v>
      </c>
    </row>
    <row r="439" spans="1:38" x14ac:dyDescent="0.3">
      <c r="A439" s="222">
        <v>6000807</v>
      </c>
      <c r="B439" s="222" t="s">
        <v>5329</v>
      </c>
      <c r="C439" s="241" t="s">
        <v>4778</v>
      </c>
      <c r="D439" s="237" t="s">
        <v>5399</v>
      </c>
      <c r="E439" s="236">
        <v>1314110362394</v>
      </c>
      <c r="F439" s="240" t="s">
        <v>4850</v>
      </c>
      <c r="G439" s="214">
        <v>1</v>
      </c>
      <c r="H439" s="231" t="s">
        <v>4771</v>
      </c>
      <c r="I439" s="231"/>
      <c r="J439" s="231"/>
      <c r="K439" s="231"/>
      <c r="L439" s="231"/>
      <c r="M439" s="231"/>
      <c r="N439" s="231" t="s">
        <v>4895</v>
      </c>
      <c r="O439" s="246"/>
      <c r="P439" s="246"/>
      <c r="Q439" s="225"/>
      <c r="R439" s="212" t="s">
        <v>4771</v>
      </c>
      <c r="S439" s="213" t="s">
        <v>4771</v>
      </c>
      <c r="T439" s="233" t="s">
        <v>5386</v>
      </c>
      <c r="U439" s="234" t="s">
        <v>4759</v>
      </c>
      <c r="V439" s="234">
        <v>45611</v>
      </c>
      <c r="W439" s="234" t="s">
        <v>4877</v>
      </c>
      <c r="X439" s="234" t="s">
        <v>2</v>
      </c>
      <c r="Y439" s="234"/>
      <c r="Z439" s="234"/>
      <c r="AA439" s="243">
        <v>202411</v>
      </c>
      <c r="AB439" s="243"/>
      <c r="AC439" s="244" t="s">
        <v>5210</v>
      </c>
      <c r="AD439" s="244" t="s">
        <v>4761</v>
      </c>
      <c r="AE439" s="245">
        <v>0.6</v>
      </c>
      <c r="AF439" s="244" t="s">
        <v>4761</v>
      </c>
      <c r="AG439" s="239" t="str">
        <f>IFERROR(VLOOKUP(작성용!A:A,RM!A:D,4,0),"-")</f>
        <v>-</v>
      </c>
      <c r="AH439" s="235" t="s">
        <v>4771</v>
      </c>
      <c r="AI439" s="235" t="s">
        <v>4771</v>
      </c>
      <c r="AJ439" s="235" t="s">
        <v>4771</v>
      </c>
      <c r="AK439" s="203" t="s">
        <v>5208</v>
      </c>
      <c r="AL439" s="235">
        <v>438</v>
      </c>
    </row>
    <row r="440" spans="1:38" x14ac:dyDescent="0.3">
      <c r="A440" s="222">
        <v>6000807</v>
      </c>
      <c r="B440" s="222" t="s">
        <v>5329</v>
      </c>
      <c r="C440" s="241" t="s">
        <v>4778</v>
      </c>
      <c r="D440" s="237" t="s">
        <v>5400</v>
      </c>
      <c r="E440" s="236">
        <v>1101116789931</v>
      </c>
      <c r="F440" s="240" t="s">
        <v>4894</v>
      </c>
      <c r="G440" s="214">
        <v>1</v>
      </c>
      <c r="H440" s="231" t="s">
        <v>4771</v>
      </c>
      <c r="I440" s="231"/>
      <c r="J440" s="231"/>
      <c r="K440" s="231"/>
      <c r="L440" s="231"/>
      <c r="M440" s="231"/>
      <c r="N440" s="231" t="s">
        <v>4895</v>
      </c>
      <c r="O440" s="246"/>
      <c r="P440" s="246"/>
      <c r="Q440" s="225"/>
      <c r="R440" s="212" t="s">
        <v>4771</v>
      </c>
      <c r="S440" s="213" t="s">
        <v>4771</v>
      </c>
      <c r="T440" s="233" t="s">
        <v>5386</v>
      </c>
      <c r="U440" s="234" t="s">
        <v>4759</v>
      </c>
      <c r="V440" s="234">
        <v>45611</v>
      </c>
      <c r="W440" s="234" t="s">
        <v>4877</v>
      </c>
      <c r="X440" s="234" t="s">
        <v>2</v>
      </c>
      <c r="Y440" s="234"/>
      <c r="Z440" s="234"/>
      <c r="AA440" s="243">
        <v>202411</v>
      </c>
      <c r="AB440" s="243"/>
      <c r="AC440" s="244" t="s">
        <v>5210</v>
      </c>
      <c r="AD440" s="244" t="s">
        <v>4982</v>
      </c>
      <c r="AE440" s="245">
        <v>0</v>
      </c>
      <c r="AF440" s="244" t="s">
        <v>4982</v>
      </c>
      <c r="AG440" s="239" t="str">
        <f>IFERROR(VLOOKUP(작성용!A:A,RM!A:D,4,0),"-")</f>
        <v>-</v>
      </c>
      <c r="AH440" s="235" t="s">
        <v>4771</v>
      </c>
      <c r="AI440" s="235" t="s">
        <v>4771</v>
      </c>
      <c r="AJ440" s="235" t="s">
        <v>4771</v>
      </c>
      <c r="AK440" s="203" t="s">
        <v>5208</v>
      </c>
      <c r="AL440" s="235">
        <v>439</v>
      </c>
    </row>
    <row r="441" spans="1:38" x14ac:dyDescent="0.3">
      <c r="A441" s="222">
        <v>6000807</v>
      </c>
      <c r="B441" s="222" t="s">
        <v>5329</v>
      </c>
      <c r="C441" s="241" t="s">
        <v>4778</v>
      </c>
      <c r="D441" s="237" t="s">
        <v>5307</v>
      </c>
      <c r="E441" s="236">
        <v>1101116761096</v>
      </c>
      <c r="F441" s="240" t="s">
        <v>4850</v>
      </c>
      <c r="G441" s="214">
        <v>4</v>
      </c>
      <c r="H441" s="231" t="s">
        <v>4771</v>
      </c>
      <c r="I441" s="231"/>
      <c r="J441" s="231"/>
      <c r="K441" s="231"/>
      <c r="L441" s="231"/>
      <c r="M441" s="231"/>
      <c r="N441" s="231" t="s">
        <v>4895</v>
      </c>
      <c r="O441" s="246"/>
      <c r="P441" s="246"/>
      <c r="Q441" s="225"/>
      <c r="R441" s="212" t="s">
        <v>4771</v>
      </c>
      <c r="S441" s="213" t="s">
        <v>4771</v>
      </c>
      <c r="T441" s="233" t="s">
        <v>5386</v>
      </c>
      <c r="U441" s="234" t="s">
        <v>4759</v>
      </c>
      <c r="V441" s="234">
        <v>45611</v>
      </c>
      <c r="W441" s="234" t="s">
        <v>4877</v>
      </c>
      <c r="X441" s="234" t="s">
        <v>2</v>
      </c>
      <c r="Y441" s="234"/>
      <c r="Z441" s="234"/>
      <c r="AA441" s="243">
        <v>202411</v>
      </c>
      <c r="AB441" s="243"/>
      <c r="AC441" s="244" t="s">
        <v>5210</v>
      </c>
      <c r="AD441" s="244" t="s">
        <v>4933</v>
      </c>
      <c r="AE441" s="245">
        <v>0</v>
      </c>
      <c r="AF441" s="244" t="s">
        <v>4864</v>
      </c>
      <c r="AG441" s="239" t="str">
        <f>IFERROR(VLOOKUP(작성용!A:A,RM!A:D,4,0),"-")</f>
        <v>-</v>
      </c>
      <c r="AH441" s="235" t="s">
        <v>4771</v>
      </c>
      <c r="AI441" s="235" t="s">
        <v>4771</v>
      </c>
      <c r="AJ441" s="235" t="s">
        <v>4771</v>
      </c>
      <c r="AK441" s="203" t="s">
        <v>5208</v>
      </c>
      <c r="AL441" s="235">
        <v>440</v>
      </c>
    </row>
    <row r="442" spans="1:38" x14ac:dyDescent="0.3">
      <c r="A442" s="229">
        <v>6000808</v>
      </c>
      <c r="B442" s="229" t="s">
        <v>5337</v>
      </c>
      <c r="C442" s="241" t="s">
        <v>4778</v>
      </c>
      <c r="D442" s="237" t="s">
        <v>5401</v>
      </c>
      <c r="E442" s="236">
        <v>1601110436653</v>
      </c>
      <c r="F442" s="240" t="s">
        <v>4894</v>
      </c>
      <c r="G442" s="214">
        <v>0</v>
      </c>
      <c r="H442" s="231" t="s">
        <v>4771</v>
      </c>
      <c r="I442" s="231"/>
      <c r="J442" s="231"/>
      <c r="K442" s="231"/>
      <c r="L442" s="231"/>
      <c r="M442" s="231"/>
      <c r="N442" s="231" t="s">
        <v>4895</v>
      </c>
      <c r="O442" s="246"/>
      <c r="P442" s="246"/>
      <c r="Q442" s="225"/>
      <c r="R442" s="212" t="s">
        <v>4771</v>
      </c>
      <c r="S442" s="213" t="s">
        <v>4771</v>
      </c>
      <c r="T442" s="233" t="s">
        <v>5386</v>
      </c>
      <c r="U442" s="234" t="s">
        <v>4759</v>
      </c>
      <c r="V442" s="234">
        <v>45611</v>
      </c>
      <c r="W442" s="234" t="s">
        <v>4877</v>
      </c>
      <c r="X442" s="234" t="s">
        <v>2</v>
      </c>
      <c r="Y442" s="234"/>
      <c r="Z442" s="234"/>
      <c r="AA442" s="243">
        <v>202411</v>
      </c>
      <c r="AB442" s="243"/>
      <c r="AC442" s="244" t="s">
        <v>5210</v>
      </c>
      <c r="AD442" s="244" t="s">
        <v>4980</v>
      </c>
      <c r="AE442" s="245">
        <v>0.6</v>
      </c>
      <c r="AF442" s="244" t="s">
        <v>4980</v>
      </c>
      <c r="AG442" s="239" t="str">
        <f>IFERROR(VLOOKUP(작성용!A:A,RM!A:D,4,0),"-")</f>
        <v>-</v>
      </c>
      <c r="AH442" s="235" t="s">
        <v>4771</v>
      </c>
      <c r="AI442" s="235" t="s">
        <v>4771</v>
      </c>
      <c r="AJ442" s="235" t="s">
        <v>4771</v>
      </c>
      <c r="AK442" s="235" t="s">
        <v>5208</v>
      </c>
      <c r="AL442" s="235">
        <v>441</v>
      </c>
    </row>
    <row r="443" spans="1:38" x14ac:dyDescent="0.3">
      <c r="A443" s="229">
        <v>6000808</v>
      </c>
      <c r="B443" s="229" t="s">
        <v>5337</v>
      </c>
      <c r="C443" s="241" t="s">
        <v>4778</v>
      </c>
      <c r="D443" s="237" t="s">
        <v>5402</v>
      </c>
      <c r="E443" s="236">
        <v>1101116759174</v>
      </c>
      <c r="F443" s="240" t="s">
        <v>4850</v>
      </c>
      <c r="G443" s="214">
        <v>0</v>
      </c>
      <c r="H443" s="231" t="s">
        <v>4771</v>
      </c>
      <c r="I443" s="231"/>
      <c r="J443" s="231"/>
      <c r="K443" s="231"/>
      <c r="L443" s="231"/>
      <c r="M443" s="231"/>
      <c r="N443" s="231" t="s">
        <v>4895</v>
      </c>
      <c r="O443" s="246"/>
      <c r="P443" s="246"/>
      <c r="Q443" s="225"/>
      <c r="R443" s="212" t="s">
        <v>4771</v>
      </c>
      <c r="S443" s="213" t="s">
        <v>4771</v>
      </c>
      <c r="T443" s="233" t="s">
        <v>5386</v>
      </c>
      <c r="U443" s="234" t="s">
        <v>4759</v>
      </c>
      <c r="V443" s="234">
        <v>45611</v>
      </c>
      <c r="W443" s="234" t="s">
        <v>4877</v>
      </c>
      <c r="X443" s="234" t="s">
        <v>2</v>
      </c>
      <c r="Y443" s="234"/>
      <c r="Z443" s="234"/>
      <c r="AA443" s="243">
        <v>202411</v>
      </c>
      <c r="AB443" s="243"/>
      <c r="AC443" s="244" t="s">
        <v>5210</v>
      </c>
      <c r="AD443" s="244" t="s">
        <v>4982</v>
      </c>
      <c r="AE443" s="245">
        <v>0</v>
      </c>
      <c r="AF443" s="244" t="s">
        <v>4982</v>
      </c>
      <c r="AG443" s="239" t="str">
        <f>IFERROR(VLOOKUP(작성용!A:A,RM!A:D,4,0),"-")</f>
        <v>-</v>
      </c>
      <c r="AH443" s="235" t="s">
        <v>4771</v>
      </c>
      <c r="AI443" s="235" t="s">
        <v>4771</v>
      </c>
      <c r="AJ443" s="235" t="s">
        <v>4771</v>
      </c>
      <c r="AK443" s="235" t="s">
        <v>5208</v>
      </c>
      <c r="AL443" s="235">
        <v>442</v>
      </c>
    </row>
    <row r="444" spans="1:38" x14ac:dyDescent="0.3">
      <c r="A444" s="229">
        <v>6000808</v>
      </c>
      <c r="B444" s="229" t="s">
        <v>5337</v>
      </c>
      <c r="C444" s="241" t="s">
        <v>4778</v>
      </c>
      <c r="D444" s="237" t="s">
        <v>5402</v>
      </c>
      <c r="E444" s="236">
        <v>1101116759174</v>
      </c>
      <c r="F444" s="240" t="s">
        <v>4850</v>
      </c>
      <c r="G444" s="214">
        <v>1</v>
      </c>
      <c r="H444" s="231" t="s">
        <v>4771</v>
      </c>
      <c r="I444" s="231"/>
      <c r="J444" s="231"/>
      <c r="K444" s="231"/>
      <c r="L444" s="231"/>
      <c r="M444" s="231"/>
      <c r="N444" s="231" t="s">
        <v>4895</v>
      </c>
      <c r="O444" s="246"/>
      <c r="P444" s="246"/>
      <c r="Q444" s="225"/>
      <c r="R444" s="212" t="s">
        <v>4771</v>
      </c>
      <c r="S444" s="213" t="s">
        <v>4771</v>
      </c>
      <c r="T444" s="233" t="s">
        <v>5386</v>
      </c>
      <c r="U444" s="234" t="s">
        <v>4759</v>
      </c>
      <c r="V444" s="234">
        <v>45611</v>
      </c>
      <c r="W444" s="234" t="s">
        <v>4877</v>
      </c>
      <c r="X444" s="234" t="s">
        <v>2</v>
      </c>
      <c r="Y444" s="234"/>
      <c r="Z444" s="234"/>
      <c r="AA444" s="243">
        <v>202411</v>
      </c>
      <c r="AB444" s="243"/>
      <c r="AC444" s="244" t="s">
        <v>5210</v>
      </c>
      <c r="AD444" s="244" t="s">
        <v>4982</v>
      </c>
      <c r="AE444" s="245">
        <v>0</v>
      </c>
      <c r="AF444" s="244" t="s">
        <v>4982</v>
      </c>
      <c r="AG444" s="239" t="str">
        <f>IFERROR(VLOOKUP(작성용!A:A,RM!A:D,4,0),"-")</f>
        <v>-</v>
      </c>
      <c r="AH444" s="235" t="s">
        <v>4771</v>
      </c>
      <c r="AI444" s="235" t="s">
        <v>4771</v>
      </c>
      <c r="AJ444" s="235" t="s">
        <v>4771</v>
      </c>
      <c r="AK444" s="235" t="s">
        <v>5208</v>
      </c>
      <c r="AL444" s="235">
        <v>443</v>
      </c>
    </row>
    <row r="445" spans="1:38" x14ac:dyDescent="0.3">
      <c r="A445" s="229">
        <v>6000808</v>
      </c>
      <c r="B445" s="229" t="s">
        <v>5337</v>
      </c>
      <c r="C445" s="241" t="s">
        <v>4778</v>
      </c>
      <c r="D445" s="237" t="s">
        <v>5403</v>
      </c>
      <c r="E445" s="236">
        <v>1601110396112</v>
      </c>
      <c r="F445" s="240" t="s">
        <v>4850</v>
      </c>
      <c r="G445" s="214">
        <v>0</v>
      </c>
      <c r="H445" s="231" t="s">
        <v>4771</v>
      </c>
      <c r="I445" s="231"/>
      <c r="J445" s="231"/>
      <c r="K445" s="231"/>
      <c r="L445" s="231"/>
      <c r="M445" s="231"/>
      <c r="N445" s="231" t="s">
        <v>4895</v>
      </c>
      <c r="O445" s="246"/>
      <c r="P445" s="246"/>
      <c r="Q445" s="225"/>
      <c r="R445" s="212" t="s">
        <v>4771</v>
      </c>
      <c r="S445" s="213" t="s">
        <v>4771</v>
      </c>
      <c r="T445" s="233" t="s">
        <v>5386</v>
      </c>
      <c r="U445" s="234" t="s">
        <v>4759</v>
      </c>
      <c r="V445" s="234">
        <v>45611</v>
      </c>
      <c r="W445" s="234" t="s">
        <v>4877</v>
      </c>
      <c r="X445" s="234" t="s">
        <v>2</v>
      </c>
      <c r="Y445" s="234"/>
      <c r="Z445" s="234"/>
      <c r="AA445" s="243">
        <v>202411</v>
      </c>
      <c r="AB445" s="243"/>
      <c r="AC445" s="244" t="s">
        <v>5210</v>
      </c>
      <c r="AD445" s="244" t="s">
        <v>4761</v>
      </c>
      <c r="AE445" s="245">
        <v>0</v>
      </c>
      <c r="AF445" s="244" t="s">
        <v>4761</v>
      </c>
      <c r="AG445" s="239" t="str">
        <f>IFERROR(VLOOKUP(작성용!A:A,RM!A:D,4,0),"-")</f>
        <v>-</v>
      </c>
      <c r="AH445" s="235" t="s">
        <v>4771</v>
      </c>
      <c r="AI445" s="235" t="s">
        <v>4771</v>
      </c>
      <c r="AJ445" s="235" t="s">
        <v>4771</v>
      </c>
      <c r="AK445" s="235" t="s">
        <v>5208</v>
      </c>
      <c r="AL445" s="235">
        <v>444</v>
      </c>
    </row>
    <row r="446" spans="1:38" x14ac:dyDescent="0.3">
      <c r="A446" s="229">
        <v>6000808</v>
      </c>
      <c r="B446" s="229" t="s">
        <v>5337</v>
      </c>
      <c r="C446" s="241" t="s">
        <v>4778</v>
      </c>
      <c r="D446" s="237" t="s">
        <v>5404</v>
      </c>
      <c r="E446" s="236">
        <v>1101117122669</v>
      </c>
      <c r="F446" s="240" t="s">
        <v>4894</v>
      </c>
      <c r="G446" s="214">
        <v>0</v>
      </c>
      <c r="H446" s="231" t="s">
        <v>4771</v>
      </c>
      <c r="I446" s="231"/>
      <c r="J446" s="231"/>
      <c r="K446" s="231"/>
      <c r="L446" s="231"/>
      <c r="M446" s="231"/>
      <c r="N446" s="231" t="s">
        <v>4895</v>
      </c>
      <c r="O446" s="246"/>
      <c r="P446" s="246"/>
      <c r="Q446" s="225"/>
      <c r="R446" s="212" t="s">
        <v>4771</v>
      </c>
      <c r="S446" s="213" t="s">
        <v>4771</v>
      </c>
      <c r="T446" s="233" t="s">
        <v>5386</v>
      </c>
      <c r="U446" s="234" t="s">
        <v>4759</v>
      </c>
      <c r="V446" s="234">
        <v>45611</v>
      </c>
      <c r="W446" s="234" t="s">
        <v>4877</v>
      </c>
      <c r="X446" s="234" t="s">
        <v>2</v>
      </c>
      <c r="Y446" s="234"/>
      <c r="Z446" s="234"/>
      <c r="AA446" s="243">
        <v>202411</v>
      </c>
      <c r="AB446" s="243"/>
      <c r="AC446" s="244" t="s">
        <v>5210</v>
      </c>
      <c r="AD446" s="244" t="s">
        <v>4761</v>
      </c>
      <c r="AE446" s="245">
        <v>0</v>
      </c>
      <c r="AF446" s="244" t="s">
        <v>4761</v>
      </c>
      <c r="AG446" s="239" t="str">
        <f>IFERROR(VLOOKUP(작성용!A:A,RM!A:D,4,0),"-")</f>
        <v>-</v>
      </c>
      <c r="AH446" s="235" t="s">
        <v>4771</v>
      </c>
      <c r="AI446" s="235" t="s">
        <v>4771</v>
      </c>
      <c r="AJ446" s="235" t="s">
        <v>4771</v>
      </c>
      <c r="AK446" s="235" t="s">
        <v>5208</v>
      </c>
      <c r="AL446" s="235">
        <v>445</v>
      </c>
    </row>
    <row r="447" spans="1:38" x14ac:dyDescent="0.3">
      <c r="A447" s="229">
        <v>6000808</v>
      </c>
      <c r="B447" s="229" t="s">
        <v>5337</v>
      </c>
      <c r="C447" s="241" t="s">
        <v>4778</v>
      </c>
      <c r="D447" s="237" t="s">
        <v>5405</v>
      </c>
      <c r="E447" s="236">
        <v>1101117060306</v>
      </c>
      <c r="F447" s="240" t="s">
        <v>4850</v>
      </c>
      <c r="G447" s="214">
        <v>0</v>
      </c>
      <c r="H447" s="231" t="s">
        <v>4771</v>
      </c>
      <c r="I447" s="231"/>
      <c r="J447" s="231"/>
      <c r="K447" s="231"/>
      <c r="L447" s="231"/>
      <c r="M447" s="231"/>
      <c r="N447" s="231" t="s">
        <v>4895</v>
      </c>
      <c r="O447" s="246"/>
      <c r="P447" s="246"/>
      <c r="Q447" s="225"/>
      <c r="R447" s="212" t="s">
        <v>4771</v>
      </c>
      <c r="S447" s="213" t="s">
        <v>4771</v>
      </c>
      <c r="T447" s="233" t="s">
        <v>5386</v>
      </c>
      <c r="U447" s="234" t="s">
        <v>4759</v>
      </c>
      <c r="V447" s="234">
        <v>45611</v>
      </c>
      <c r="W447" s="234" t="s">
        <v>4877</v>
      </c>
      <c r="X447" s="234" t="s">
        <v>2</v>
      </c>
      <c r="Y447" s="234"/>
      <c r="Z447" s="234"/>
      <c r="AA447" s="243">
        <v>202411</v>
      </c>
      <c r="AB447" s="243"/>
      <c r="AC447" s="244" t="s">
        <v>5210</v>
      </c>
      <c r="AD447" s="244" t="s">
        <v>4846</v>
      </c>
      <c r="AE447" s="245">
        <v>0</v>
      </c>
      <c r="AF447" s="244" t="s">
        <v>4846</v>
      </c>
      <c r="AG447" s="239" t="str">
        <f>IFERROR(VLOOKUP(작성용!A:A,RM!A:D,4,0),"-")</f>
        <v>-</v>
      </c>
      <c r="AH447" s="235" t="s">
        <v>4771</v>
      </c>
      <c r="AI447" s="235" t="s">
        <v>4771</v>
      </c>
      <c r="AJ447" s="235" t="s">
        <v>4771</v>
      </c>
      <c r="AK447" s="235" t="s">
        <v>5208</v>
      </c>
      <c r="AL447" s="235">
        <v>446</v>
      </c>
    </row>
    <row r="448" spans="1:38" x14ac:dyDescent="0.3">
      <c r="A448" s="229">
        <v>6000808</v>
      </c>
      <c r="B448" s="229" t="s">
        <v>5337</v>
      </c>
      <c r="C448" s="241" t="s">
        <v>4778</v>
      </c>
      <c r="D448" s="237" t="s">
        <v>5406</v>
      </c>
      <c r="E448" s="236">
        <v>1101115366350</v>
      </c>
      <c r="F448" s="240" t="s">
        <v>4850</v>
      </c>
      <c r="G448" s="214">
        <v>0</v>
      </c>
      <c r="H448" s="231" t="s">
        <v>4771</v>
      </c>
      <c r="I448" s="231"/>
      <c r="J448" s="231"/>
      <c r="K448" s="231"/>
      <c r="L448" s="231"/>
      <c r="M448" s="231"/>
      <c r="N448" s="231" t="s">
        <v>4895</v>
      </c>
      <c r="O448" s="246"/>
      <c r="P448" s="246"/>
      <c r="Q448" s="225"/>
      <c r="R448" s="212" t="s">
        <v>4771</v>
      </c>
      <c r="S448" s="213" t="s">
        <v>4771</v>
      </c>
      <c r="T448" s="233" t="s">
        <v>5386</v>
      </c>
      <c r="U448" s="234" t="s">
        <v>4759</v>
      </c>
      <c r="V448" s="234">
        <v>45611</v>
      </c>
      <c r="W448" s="234" t="s">
        <v>4877</v>
      </c>
      <c r="X448" s="234" t="s">
        <v>2</v>
      </c>
      <c r="Y448" s="234"/>
      <c r="Z448" s="234"/>
      <c r="AA448" s="243">
        <v>202411</v>
      </c>
      <c r="AB448" s="243"/>
      <c r="AC448" s="244" t="s">
        <v>5210</v>
      </c>
      <c r="AD448" s="244" t="s">
        <v>4937</v>
      </c>
      <c r="AE448" s="245">
        <v>0</v>
      </c>
      <c r="AF448" s="244" t="s">
        <v>4937</v>
      </c>
      <c r="AG448" s="239" t="str">
        <f>IFERROR(VLOOKUP(작성용!A:A,RM!A:D,4,0),"-")</f>
        <v>-</v>
      </c>
      <c r="AH448" s="235" t="s">
        <v>4771</v>
      </c>
      <c r="AI448" s="235" t="s">
        <v>4771</v>
      </c>
      <c r="AJ448" s="235" t="s">
        <v>4771</v>
      </c>
      <c r="AK448" s="235" t="s">
        <v>5208</v>
      </c>
      <c r="AL448" s="235">
        <v>447</v>
      </c>
    </row>
    <row r="449" spans="1:38" x14ac:dyDescent="0.3">
      <c r="A449" s="229">
        <v>6000808</v>
      </c>
      <c r="B449" s="229" t="s">
        <v>5337</v>
      </c>
      <c r="C449" s="241" t="s">
        <v>4778</v>
      </c>
      <c r="D449" s="237" t="s">
        <v>5401</v>
      </c>
      <c r="E449" s="236">
        <v>1601110436653</v>
      </c>
      <c r="F449" s="240" t="s">
        <v>4850</v>
      </c>
      <c r="G449" s="214">
        <v>2</v>
      </c>
      <c r="H449" s="231" t="s">
        <v>4771</v>
      </c>
      <c r="I449" s="231"/>
      <c r="J449" s="231"/>
      <c r="K449" s="231"/>
      <c r="L449" s="231"/>
      <c r="M449" s="231"/>
      <c r="N449" s="231" t="s">
        <v>4895</v>
      </c>
      <c r="O449" s="246"/>
      <c r="P449" s="246"/>
      <c r="Q449" s="225"/>
      <c r="R449" s="212" t="s">
        <v>4771</v>
      </c>
      <c r="S449" s="213" t="s">
        <v>4771</v>
      </c>
      <c r="T449" s="233" t="s">
        <v>5386</v>
      </c>
      <c r="U449" s="234" t="s">
        <v>4759</v>
      </c>
      <c r="V449" s="234">
        <v>45611</v>
      </c>
      <c r="W449" s="234" t="s">
        <v>4877</v>
      </c>
      <c r="X449" s="234" t="s">
        <v>2</v>
      </c>
      <c r="Y449" s="234"/>
      <c r="Z449" s="234"/>
      <c r="AA449" s="243">
        <v>202411</v>
      </c>
      <c r="AB449" s="243"/>
      <c r="AC449" s="244" t="s">
        <v>5210</v>
      </c>
      <c r="AD449" s="244" t="s">
        <v>4980</v>
      </c>
      <c r="AE449" s="245">
        <v>0</v>
      </c>
      <c r="AF449" s="244" t="s">
        <v>4980</v>
      </c>
      <c r="AG449" s="239" t="str">
        <f>IFERROR(VLOOKUP(작성용!A:A,RM!A:D,4,0),"-")</f>
        <v>-</v>
      </c>
      <c r="AH449" s="235" t="s">
        <v>4771</v>
      </c>
      <c r="AI449" s="235" t="s">
        <v>4771</v>
      </c>
      <c r="AJ449" s="235" t="s">
        <v>4771</v>
      </c>
      <c r="AK449" s="235" t="s">
        <v>5208</v>
      </c>
      <c r="AL449" s="235">
        <v>448</v>
      </c>
    </row>
    <row r="450" spans="1:38" x14ac:dyDescent="0.3">
      <c r="A450" s="229">
        <v>6000808</v>
      </c>
      <c r="B450" s="229" t="s">
        <v>5337</v>
      </c>
      <c r="C450" s="241" t="s">
        <v>4778</v>
      </c>
      <c r="D450" s="237" t="s">
        <v>5407</v>
      </c>
      <c r="E450" s="236">
        <v>1101115770139</v>
      </c>
      <c r="F450" s="240" t="s">
        <v>4850</v>
      </c>
      <c r="G450" s="214">
        <v>0</v>
      </c>
      <c r="H450" s="231" t="s">
        <v>4771</v>
      </c>
      <c r="I450" s="231"/>
      <c r="J450" s="231"/>
      <c r="K450" s="231"/>
      <c r="L450" s="231"/>
      <c r="M450" s="231"/>
      <c r="N450" s="231" t="s">
        <v>4895</v>
      </c>
      <c r="O450" s="246"/>
      <c r="P450" s="246"/>
      <c r="Q450" s="225"/>
      <c r="R450" s="212" t="s">
        <v>4771</v>
      </c>
      <c r="S450" s="213" t="s">
        <v>4771</v>
      </c>
      <c r="T450" s="233" t="s">
        <v>5386</v>
      </c>
      <c r="U450" s="234" t="s">
        <v>4759</v>
      </c>
      <c r="V450" s="234">
        <v>45611</v>
      </c>
      <c r="W450" s="234" t="s">
        <v>4877</v>
      </c>
      <c r="X450" s="234" t="s">
        <v>2</v>
      </c>
      <c r="Y450" s="234"/>
      <c r="Z450" s="234"/>
      <c r="AA450" s="243">
        <v>202411</v>
      </c>
      <c r="AB450" s="243"/>
      <c r="AC450" s="244" t="s">
        <v>5210</v>
      </c>
      <c r="AD450" s="244" t="s">
        <v>4980</v>
      </c>
      <c r="AE450" s="245">
        <v>0.6</v>
      </c>
      <c r="AF450" s="244" t="s">
        <v>4980</v>
      </c>
      <c r="AG450" s="239" t="str">
        <f>IFERROR(VLOOKUP(작성용!A:A,RM!A:D,4,0),"-")</f>
        <v>-</v>
      </c>
      <c r="AH450" s="235" t="s">
        <v>4771</v>
      </c>
      <c r="AI450" s="235" t="s">
        <v>4771</v>
      </c>
      <c r="AJ450" s="235" t="s">
        <v>4771</v>
      </c>
      <c r="AK450" s="235" t="s">
        <v>5208</v>
      </c>
      <c r="AL450" s="235">
        <v>449</v>
      </c>
    </row>
    <row r="451" spans="1:38" x14ac:dyDescent="0.3">
      <c r="A451" s="229">
        <v>6000808</v>
      </c>
      <c r="B451" s="229" t="s">
        <v>5337</v>
      </c>
      <c r="C451" s="241" t="s">
        <v>4778</v>
      </c>
      <c r="D451" s="237" t="s">
        <v>5408</v>
      </c>
      <c r="E451" s="236">
        <v>1101116440880</v>
      </c>
      <c r="F451" s="240" t="s">
        <v>4850</v>
      </c>
      <c r="G451" s="214">
        <v>0</v>
      </c>
      <c r="H451" s="231" t="s">
        <v>4771</v>
      </c>
      <c r="I451" s="231"/>
      <c r="J451" s="231"/>
      <c r="K451" s="231"/>
      <c r="L451" s="231"/>
      <c r="M451" s="231"/>
      <c r="N451" s="231" t="s">
        <v>4895</v>
      </c>
      <c r="O451" s="246"/>
      <c r="P451" s="246"/>
      <c r="Q451" s="225"/>
      <c r="R451" s="212" t="s">
        <v>4771</v>
      </c>
      <c r="S451" s="213" t="s">
        <v>4771</v>
      </c>
      <c r="T451" s="233" t="s">
        <v>5386</v>
      </c>
      <c r="U451" s="234" t="s">
        <v>4759</v>
      </c>
      <c r="V451" s="234">
        <v>45611</v>
      </c>
      <c r="W451" s="234" t="s">
        <v>4877</v>
      </c>
      <c r="X451" s="234" t="s">
        <v>2</v>
      </c>
      <c r="Y451" s="234"/>
      <c r="Z451" s="234"/>
      <c r="AA451" s="243">
        <v>202411</v>
      </c>
      <c r="AB451" s="243"/>
      <c r="AC451" s="244" t="s">
        <v>5210</v>
      </c>
      <c r="AD451" s="244" t="s">
        <v>4982</v>
      </c>
      <c r="AE451" s="245">
        <v>0</v>
      </c>
      <c r="AF451" s="244" t="s">
        <v>4982</v>
      </c>
      <c r="AG451" s="239" t="str">
        <f>IFERROR(VLOOKUP(작성용!A:A,RM!A:D,4,0),"-")</f>
        <v>-</v>
      </c>
      <c r="AH451" s="235" t="s">
        <v>4771</v>
      </c>
      <c r="AI451" s="235" t="s">
        <v>4771</v>
      </c>
      <c r="AJ451" s="235" t="s">
        <v>4771</v>
      </c>
      <c r="AK451" s="235" t="s">
        <v>5208</v>
      </c>
      <c r="AL451" s="235">
        <v>450</v>
      </c>
    </row>
    <row r="452" spans="1:38" x14ac:dyDescent="0.3">
      <c r="A452" s="229">
        <v>6000808</v>
      </c>
      <c r="B452" s="229" t="s">
        <v>5337</v>
      </c>
      <c r="C452" s="241" t="s">
        <v>4778</v>
      </c>
      <c r="D452" s="237" t="s">
        <v>5409</v>
      </c>
      <c r="E452" s="236">
        <v>1101116243424</v>
      </c>
      <c r="F452" s="240" t="s">
        <v>4894</v>
      </c>
      <c r="G452" s="214">
        <v>0</v>
      </c>
      <c r="H452" s="231" t="s">
        <v>4771</v>
      </c>
      <c r="I452" s="231"/>
      <c r="J452" s="231"/>
      <c r="K452" s="231"/>
      <c r="L452" s="231"/>
      <c r="M452" s="231"/>
      <c r="N452" s="231" t="s">
        <v>4895</v>
      </c>
      <c r="O452" s="246"/>
      <c r="P452" s="246"/>
      <c r="Q452" s="225"/>
      <c r="R452" s="212" t="s">
        <v>4771</v>
      </c>
      <c r="S452" s="213" t="s">
        <v>4771</v>
      </c>
      <c r="T452" s="233" t="s">
        <v>5386</v>
      </c>
      <c r="U452" s="234" t="s">
        <v>4759</v>
      </c>
      <c r="V452" s="234">
        <v>45611</v>
      </c>
      <c r="W452" s="234" t="s">
        <v>4877</v>
      </c>
      <c r="X452" s="234" t="s">
        <v>2</v>
      </c>
      <c r="Y452" s="234"/>
      <c r="Z452" s="234"/>
      <c r="AA452" s="243">
        <v>202411</v>
      </c>
      <c r="AB452" s="243"/>
      <c r="AC452" s="244" t="s">
        <v>5210</v>
      </c>
      <c r="AD452" s="244" t="s">
        <v>4823</v>
      </c>
      <c r="AE452" s="245">
        <v>0</v>
      </c>
      <c r="AF452" s="244" t="s">
        <v>4990</v>
      </c>
      <c r="AG452" s="239" t="str">
        <f>IFERROR(VLOOKUP(작성용!A:A,RM!A:D,4,0),"-")</f>
        <v>-</v>
      </c>
      <c r="AH452" s="235" t="s">
        <v>4771</v>
      </c>
      <c r="AI452" s="235" t="s">
        <v>4771</v>
      </c>
      <c r="AJ452" s="235" t="s">
        <v>4771</v>
      </c>
      <c r="AK452" s="235" t="s">
        <v>5208</v>
      </c>
      <c r="AL452" s="235">
        <v>451</v>
      </c>
    </row>
    <row r="453" spans="1:38" x14ac:dyDescent="0.3">
      <c r="A453" s="229">
        <v>6000808</v>
      </c>
      <c r="B453" s="229" t="s">
        <v>5337</v>
      </c>
      <c r="C453" s="241" t="s">
        <v>4778</v>
      </c>
      <c r="D453" s="237" t="s">
        <v>5410</v>
      </c>
      <c r="E453" s="236">
        <v>1701110626400</v>
      </c>
      <c r="F453" s="240" t="s">
        <v>4850</v>
      </c>
      <c r="G453" s="214">
        <v>0</v>
      </c>
      <c r="H453" s="231" t="s">
        <v>4771</v>
      </c>
      <c r="I453" s="231"/>
      <c r="J453" s="231"/>
      <c r="K453" s="231"/>
      <c r="L453" s="231"/>
      <c r="M453" s="231"/>
      <c r="N453" s="231" t="s">
        <v>4895</v>
      </c>
      <c r="O453" s="246"/>
      <c r="P453" s="246"/>
      <c r="Q453" s="225"/>
      <c r="R453" s="212" t="s">
        <v>4771</v>
      </c>
      <c r="S453" s="213" t="s">
        <v>4771</v>
      </c>
      <c r="T453" s="233" t="s">
        <v>5386</v>
      </c>
      <c r="U453" s="234" t="s">
        <v>4759</v>
      </c>
      <c r="V453" s="234">
        <v>45611</v>
      </c>
      <c r="W453" s="234" t="s">
        <v>4877</v>
      </c>
      <c r="X453" s="234" t="s">
        <v>2</v>
      </c>
      <c r="Y453" s="234"/>
      <c r="Z453" s="234"/>
      <c r="AA453" s="243">
        <v>202411</v>
      </c>
      <c r="AB453" s="243"/>
      <c r="AC453" s="244" t="s">
        <v>5210</v>
      </c>
      <c r="AD453" s="244" t="s">
        <v>4935</v>
      </c>
      <c r="AE453" s="245">
        <v>0</v>
      </c>
      <c r="AF453" s="244" t="s">
        <v>4935</v>
      </c>
      <c r="AG453" s="239" t="str">
        <f>IFERROR(VLOOKUP(작성용!A:A,RM!A:D,4,0),"-")</f>
        <v>-</v>
      </c>
      <c r="AH453" s="235" t="s">
        <v>4771</v>
      </c>
      <c r="AI453" s="235" t="s">
        <v>4771</v>
      </c>
      <c r="AJ453" s="235" t="s">
        <v>4771</v>
      </c>
      <c r="AK453" s="235" t="s">
        <v>5208</v>
      </c>
      <c r="AL453" s="235">
        <v>452</v>
      </c>
    </row>
    <row r="454" spans="1:38" x14ac:dyDescent="0.3">
      <c r="A454" s="229">
        <v>6000808</v>
      </c>
      <c r="B454" s="229" t="s">
        <v>5337</v>
      </c>
      <c r="C454" s="241" t="s">
        <v>4778</v>
      </c>
      <c r="D454" s="237" t="s">
        <v>5411</v>
      </c>
      <c r="E454" s="236">
        <v>1345110479962</v>
      </c>
      <c r="F454" s="240" t="s">
        <v>4894</v>
      </c>
      <c r="G454" s="214">
        <v>0</v>
      </c>
      <c r="H454" s="231" t="s">
        <v>4771</v>
      </c>
      <c r="I454" s="231"/>
      <c r="J454" s="231"/>
      <c r="K454" s="231"/>
      <c r="L454" s="231"/>
      <c r="M454" s="231"/>
      <c r="N454" s="231" t="s">
        <v>4895</v>
      </c>
      <c r="O454" s="246"/>
      <c r="P454" s="246"/>
      <c r="Q454" s="225"/>
      <c r="R454" s="212" t="s">
        <v>4771</v>
      </c>
      <c r="S454" s="213" t="s">
        <v>4771</v>
      </c>
      <c r="T454" s="233" t="s">
        <v>5386</v>
      </c>
      <c r="U454" s="234" t="s">
        <v>4759</v>
      </c>
      <c r="V454" s="234">
        <v>45611</v>
      </c>
      <c r="W454" s="234" t="s">
        <v>4877</v>
      </c>
      <c r="X454" s="234" t="s">
        <v>2</v>
      </c>
      <c r="Y454" s="234"/>
      <c r="Z454" s="234"/>
      <c r="AA454" s="243">
        <v>202411</v>
      </c>
      <c r="AB454" s="243"/>
      <c r="AC454" s="244" t="s">
        <v>5210</v>
      </c>
      <c r="AD454" s="244" t="s">
        <v>4858</v>
      </c>
      <c r="AE454" s="245">
        <v>0</v>
      </c>
      <c r="AF454" s="244" t="s">
        <v>4858</v>
      </c>
      <c r="AG454" s="239" t="str">
        <f>IFERROR(VLOOKUP(작성용!A:A,RM!A:D,4,0),"-")</f>
        <v>-</v>
      </c>
      <c r="AH454" s="235" t="s">
        <v>4771</v>
      </c>
      <c r="AI454" s="235" t="s">
        <v>4771</v>
      </c>
      <c r="AJ454" s="235" t="s">
        <v>4771</v>
      </c>
      <c r="AK454" s="235" t="s">
        <v>5208</v>
      </c>
      <c r="AL454" s="235">
        <v>453</v>
      </c>
    </row>
    <row r="455" spans="1:38" x14ac:dyDescent="0.3">
      <c r="A455" s="229">
        <v>6000808</v>
      </c>
      <c r="B455" s="229" t="s">
        <v>5337</v>
      </c>
      <c r="C455" s="241" t="s">
        <v>4778</v>
      </c>
      <c r="D455" s="237" t="s">
        <v>5412</v>
      </c>
      <c r="E455" s="236">
        <v>1311110640168</v>
      </c>
      <c r="F455" s="240" t="s">
        <v>4850</v>
      </c>
      <c r="G455" s="214">
        <v>0</v>
      </c>
      <c r="H455" s="231" t="s">
        <v>4771</v>
      </c>
      <c r="I455" s="231"/>
      <c r="J455" s="231"/>
      <c r="K455" s="231"/>
      <c r="L455" s="231"/>
      <c r="M455" s="231"/>
      <c r="N455" s="231" t="s">
        <v>4895</v>
      </c>
      <c r="O455" s="246"/>
      <c r="P455" s="246"/>
      <c r="Q455" s="225"/>
      <c r="R455" s="212" t="s">
        <v>4771</v>
      </c>
      <c r="S455" s="213" t="s">
        <v>4771</v>
      </c>
      <c r="T455" s="233" t="s">
        <v>5386</v>
      </c>
      <c r="U455" s="234" t="s">
        <v>4759</v>
      </c>
      <c r="V455" s="234">
        <v>45611</v>
      </c>
      <c r="W455" s="234" t="s">
        <v>4877</v>
      </c>
      <c r="X455" s="234" t="s">
        <v>2</v>
      </c>
      <c r="Y455" s="234"/>
      <c r="Z455" s="234"/>
      <c r="AA455" s="243">
        <v>202411</v>
      </c>
      <c r="AB455" s="243"/>
      <c r="AC455" s="244" t="s">
        <v>5210</v>
      </c>
      <c r="AD455" s="244" t="s">
        <v>4845</v>
      </c>
      <c r="AE455" s="245">
        <v>0</v>
      </c>
      <c r="AF455" s="244" t="s">
        <v>4845</v>
      </c>
      <c r="AG455" s="239" t="str">
        <f>IFERROR(VLOOKUP(작성용!A:A,RM!A:D,4,0),"-")</f>
        <v>-</v>
      </c>
      <c r="AH455" s="235" t="s">
        <v>4771</v>
      </c>
      <c r="AI455" s="235" t="s">
        <v>4771</v>
      </c>
      <c r="AJ455" s="235" t="s">
        <v>4771</v>
      </c>
      <c r="AK455" s="235" t="s">
        <v>5208</v>
      </c>
      <c r="AL455" s="235">
        <v>454</v>
      </c>
    </row>
    <row r="456" spans="1:38" x14ac:dyDescent="0.3">
      <c r="A456" s="229">
        <v>6000808</v>
      </c>
      <c r="B456" s="229" t="s">
        <v>5337</v>
      </c>
      <c r="C456" s="241" t="s">
        <v>4778</v>
      </c>
      <c r="D456" s="237" t="s">
        <v>5413</v>
      </c>
      <c r="E456" s="236">
        <v>1311110526623</v>
      </c>
      <c r="F456" s="240" t="s">
        <v>4854</v>
      </c>
      <c r="G456" s="214">
        <v>0</v>
      </c>
      <c r="H456" s="231" t="s">
        <v>4771</v>
      </c>
      <c r="I456" s="231"/>
      <c r="J456" s="231"/>
      <c r="K456" s="231"/>
      <c r="L456" s="231"/>
      <c r="M456" s="231"/>
      <c r="N456" s="231" t="s">
        <v>4895</v>
      </c>
      <c r="O456" s="246"/>
      <c r="P456" s="246"/>
      <c r="Q456" s="225"/>
      <c r="R456" s="212" t="s">
        <v>4771</v>
      </c>
      <c r="S456" s="213" t="s">
        <v>4771</v>
      </c>
      <c r="T456" s="233" t="s">
        <v>5386</v>
      </c>
      <c r="U456" s="234" t="s">
        <v>4759</v>
      </c>
      <c r="V456" s="234">
        <v>45611</v>
      </c>
      <c r="W456" s="234" t="s">
        <v>4877</v>
      </c>
      <c r="X456" s="234" t="s">
        <v>2</v>
      </c>
      <c r="Y456" s="234"/>
      <c r="Z456" s="234"/>
      <c r="AA456" s="243">
        <v>202411</v>
      </c>
      <c r="AB456" s="243"/>
      <c r="AC456" s="244" t="s">
        <v>5210</v>
      </c>
      <c r="AD456" s="244" t="s">
        <v>4761</v>
      </c>
      <c r="AE456" s="245">
        <v>0.6</v>
      </c>
      <c r="AF456" s="244" t="s">
        <v>4761</v>
      </c>
      <c r="AG456" s="239" t="str">
        <f>IFERROR(VLOOKUP(작성용!A:A,RM!A:D,4,0),"-")</f>
        <v>-</v>
      </c>
      <c r="AH456" s="235" t="s">
        <v>4771</v>
      </c>
      <c r="AI456" s="235" t="s">
        <v>4771</v>
      </c>
      <c r="AJ456" s="235" t="s">
        <v>4771</v>
      </c>
      <c r="AK456" s="235" t="s">
        <v>5208</v>
      </c>
      <c r="AL456" s="235">
        <v>455</v>
      </c>
    </row>
    <row r="457" spans="1:38" x14ac:dyDescent="0.3">
      <c r="A457" s="229">
        <v>6000808</v>
      </c>
      <c r="B457" s="229" t="s">
        <v>5337</v>
      </c>
      <c r="C457" s="241" t="s">
        <v>4778</v>
      </c>
      <c r="D457" s="237" t="s">
        <v>5414</v>
      </c>
      <c r="E457" s="236">
        <v>1101115686279</v>
      </c>
      <c r="F457" s="240" t="s">
        <v>4854</v>
      </c>
      <c r="G457" s="214">
        <v>0</v>
      </c>
      <c r="H457" s="231" t="s">
        <v>4771</v>
      </c>
      <c r="I457" s="231"/>
      <c r="J457" s="231"/>
      <c r="K457" s="231"/>
      <c r="L457" s="231"/>
      <c r="M457" s="231"/>
      <c r="N457" s="231" t="s">
        <v>4895</v>
      </c>
      <c r="O457" s="246"/>
      <c r="P457" s="246"/>
      <c r="Q457" s="225"/>
      <c r="R457" s="212" t="s">
        <v>4771</v>
      </c>
      <c r="S457" s="213" t="s">
        <v>4771</v>
      </c>
      <c r="T457" s="233" t="s">
        <v>5386</v>
      </c>
      <c r="U457" s="234" t="s">
        <v>4759</v>
      </c>
      <c r="V457" s="234">
        <v>45611</v>
      </c>
      <c r="W457" s="234" t="s">
        <v>4877</v>
      </c>
      <c r="X457" s="234" t="s">
        <v>2</v>
      </c>
      <c r="Y457" s="234"/>
      <c r="Z457" s="234"/>
      <c r="AA457" s="243">
        <v>202411</v>
      </c>
      <c r="AB457" s="243"/>
      <c r="AC457" s="244" t="s">
        <v>5210</v>
      </c>
      <c r="AD457" s="244" t="s">
        <v>4897</v>
      </c>
      <c r="AE457" s="245">
        <v>0.6</v>
      </c>
      <c r="AF457" s="244" t="s">
        <v>4980</v>
      </c>
      <c r="AG457" s="239" t="str">
        <f>IFERROR(VLOOKUP(작성용!A:A,RM!A:D,4,0),"-")</f>
        <v>-</v>
      </c>
      <c r="AH457" s="235" t="s">
        <v>4771</v>
      </c>
      <c r="AI457" s="235" t="s">
        <v>4771</v>
      </c>
      <c r="AJ457" s="235" t="s">
        <v>4771</v>
      </c>
      <c r="AK457" s="235" t="s">
        <v>5208</v>
      </c>
      <c r="AL457" s="235">
        <v>456</v>
      </c>
    </row>
    <row r="458" spans="1:38" x14ac:dyDescent="0.3">
      <c r="A458" s="229">
        <v>6000808</v>
      </c>
      <c r="B458" s="229" t="s">
        <v>5337</v>
      </c>
      <c r="C458" s="241" t="s">
        <v>4778</v>
      </c>
      <c r="D458" s="237" t="s">
        <v>5414</v>
      </c>
      <c r="E458" s="236">
        <v>1101115686279</v>
      </c>
      <c r="F458" s="240" t="s">
        <v>4850</v>
      </c>
      <c r="G458" s="214">
        <v>3</v>
      </c>
      <c r="H458" s="231" t="s">
        <v>4771</v>
      </c>
      <c r="I458" s="231"/>
      <c r="J458" s="231"/>
      <c r="K458" s="231"/>
      <c r="L458" s="231"/>
      <c r="M458" s="231"/>
      <c r="N458" s="231" t="s">
        <v>4895</v>
      </c>
      <c r="O458" s="246"/>
      <c r="P458" s="246"/>
      <c r="Q458" s="225"/>
      <c r="R458" s="212" t="s">
        <v>4771</v>
      </c>
      <c r="S458" s="213" t="s">
        <v>4771</v>
      </c>
      <c r="T458" s="233" t="s">
        <v>5386</v>
      </c>
      <c r="U458" s="234" t="s">
        <v>4759</v>
      </c>
      <c r="V458" s="234">
        <v>45611</v>
      </c>
      <c r="W458" s="234" t="s">
        <v>4877</v>
      </c>
      <c r="X458" s="234" t="s">
        <v>2</v>
      </c>
      <c r="Y458" s="234"/>
      <c r="Z458" s="234"/>
      <c r="AA458" s="243">
        <v>202411</v>
      </c>
      <c r="AB458" s="243"/>
      <c r="AC458" s="244" t="s">
        <v>5210</v>
      </c>
      <c r="AD458" s="244" t="s">
        <v>4897</v>
      </c>
      <c r="AE458" s="245">
        <v>0</v>
      </c>
      <c r="AF458" s="244" t="s">
        <v>4980</v>
      </c>
      <c r="AG458" s="239" t="str">
        <f>IFERROR(VLOOKUP(작성용!A:A,RM!A:D,4,0),"-")</f>
        <v>-</v>
      </c>
      <c r="AH458" s="235" t="s">
        <v>4771</v>
      </c>
      <c r="AI458" s="235" t="s">
        <v>4771</v>
      </c>
      <c r="AJ458" s="235" t="s">
        <v>4771</v>
      </c>
      <c r="AK458" s="235" t="s">
        <v>5208</v>
      </c>
      <c r="AL458" s="235">
        <v>457</v>
      </c>
    </row>
    <row r="459" spans="1:38" x14ac:dyDescent="0.3">
      <c r="A459" s="229">
        <v>6000808</v>
      </c>
      <c r="B459" s="229" t="s">
        <v>5337</v>
      </c>
      <c r="C459" s="241" t="s">
        <v>4778</v>
      </c>
      <c r="D459" s="237" t="s">
        <v>5406</v>
      </c>
      <c r="E459" s="236">
        <v>1101115366350</v>
      </c>
      <c r="F459" s="240" t="s">
        <v>4850</v>
      </c>
      <c r="G459" s="214">
        <v>1</v>
      </c>
      <c r="H459" s="231" t="s">
        <v>4771</v>
      </c>
      <c r="I459" s="231"/>
      <c r="J459" s="231"/>
      <c r="K459" s="231"/>
      <c r="L459" s="231"/>
      <c r="M459" s="231"/>
      <c r="N459" s="231" t="s">
        <v>4895</v>
      </c>
      <c r="O459" s="246"/>
      <c r="P459" s="246"/>
      <c r="Q459" s="225"/>
      <c r="R459" s="212" t="s">
        <v>4771</v>
      </c>
      <c r="S459" s="213" t="s">
        <v>4771</v>
      </c>
      <c r="T459" s="233" t="s">
        <v>5386</v>
      </c>
      <c r="U459" s="234" t="s">
        <v>4759</v>
      </c>
      <c r="V459" s="234">
        <v>45611</v>
      </c>
      <c r="W459" s="234" t="s">
        <v>4877</v>
      </c>
      <c r="X459" s="234" t="s">
        <v>2</v>
      </c>
      <c r="Y459" s="234"/>
      <c r="Z459" s="234"/>
      <c r="AA459" s="243">
        <v>202411</v>
      </c>
      <c r="AB459" s="243"/>
      <c r="AC459" s="244" t="s">
        <v>5210</v>
      </c>
      <c r="AD459" s="244" t="s">
        <v>4937</v>
      </c>
      <c r="AE459" s="245">
        <v>0</v>
      </c>
      <c r="AF459" s="244" t="s">
        <v>4937</v>
      </c>
      <c r="AG459" s="239" t="str">
        <f>IFERROR(VLOOKUP(작성용!A:A,RM!A:D,4,0),"-")</f>
        <v>-</v>
      </c>
      <c r="AH459" s="235" t="s">
        <v>4771</v>
      </c>
      <c r="AI459" s="235" t="s">
        <v>4771</v>
      </c>
      <c r="AJ459" s="235" t="s">
        <v>4771</v>
      </c>
      <c r="AK459" s="235" t="s">
        <v>5208</v>
      </c>
      <c r="AL459" s="235">
        <v>458</v>
      </c>
    </row>
    <row r="460" spans="1:38" x14ac:dyDescent="0.3">
      <c r="A460" s="229">
        <v>6000808</v>
      </c>
      <c r="B460" s="229" t="s">
        <v>5337</v>
      </c>
      <c r="C460" s="241" t="s">
        <v>4778</v>
      </c>
      <c r="D460" s="237" t="s">
        <v>5415</v>
      </c>
      <c r="E460" s="236">
        <v>1101115595321</v>
      </c>
      <c r="F460" s="240" t="s">
        <v>4850</v>
      </c>
      <c r="G460" s="214">
        <v>0</v>
      </c>
      <c r="H460" s="231" t="s">
        <v>4771</v>
      </c>
      <c r="I460" s="231"/>
      <c r="J460" s="231"/>
      <c r="K460" s="231"/>
      <c r="L460" s="231"/>
      <c r="M460" s="231"/>
      <c r="N460" s="231" t="s">
        <v>4895</v>
      </c>
      <c r="O460" s="246"/>
      <c r="P460" s="246"/>
      <c r="Q460" s="225"/>
      <c r="R460" s="212" t="s">
        <v>4771</v>
      </c>
      <c r="S460" s="213" t="s">
        <v>4771</v>
      </c>
      <c r="T460" s="233" t="s">
        <v>5386</v>
      </c>
      <c r="U460" s="234" t="s">
        <v>4759</v>
      </c>
      <c r="V460" s="234">
        <v>45611</v>
      </c>
      <c r="W460" s="234" t="s">
        <v>4877</v>
      </c>
      <c r="X460" s="234" t="s">
        <v>2</v>
      </c>
      <c r="Y460" s="234"/>
      <c r="Z460" s="234"/>
      <c r="AA460" s="243">
        <v>202411</v>
      </c>
      <c r="AB460" s="243"/>
      <c r="AC460" s="244" t="s">
        <v>5210</v>
      </c>
      <c r="AD460" s="244" t="s">
        <v>4846</v>
      </c>
      <c r="AE460" s="245">
        <v>0.6</v>
      </c>
      <c r="AF460" s="244" t="s">
        <v>4846</v>
      </c>
      <c r="AG460" s="239" t="str">
        <f>IFERROR(VLOOKUP(작성용!A:A,RM!A:D,4,0),"-")</f>
        <v>-</v>
      </c>
      <c r="AH460" s="235" t="s">
        <v>4771</v>
      </c>
      <c r="AI460" s="235" t="s">
        <v>4771</v>
      </c>
      <c r="AJ460" s="235" t="s">
        <v>4771</v>
      </c>
      <c r="AK460" s="235" t="s">
        <v>5208</v>
      </c>
      <c r="AL460" s="235">
        <v>459</v>
      </c>
    </row>
    <row r="461" spans="1:38" x14ac:dyDescent="0.3">
      <c r="A461" s="229">
        <v>6000808</v>
      </c>
      <c r="B461" s="229" t="s">
        <v>5337</v>
      </c>
      <c r="C461" s="241" t="s">
        <v>4778</v>
      </c>
      <c r="D461" s="237" t="s">
        <v>5416</v>
      </c>
      <c r="E461" s="236">
        <v>1801111319573</v>
      </c>
      <c r="F461" s="240" t="s">
        <v>4850</v>
      </c>
      <c r="G461" s="214">
        <v>0</v>
      </c>
      <c r="H461" s="231" t="s">
        <v>4771</v>
      </c>
      <c r="I461" s="231"/>
      <c r="J461" s="231"/>
      <c r="K461" s="231"/>
      <c r="L461" s="231"/>
      <c r="M461" s="231"/>
      <c r="N461" s="231" t="s">
        <v>4895</v>
      </c>
      <c r="O461" s="246"/>
      <c r="P461" s="246"/>
      <c r="Q461" s="225"/>
      <c r="R461" s="212" t="s">
        <v>4771</v>
      </c>
      <c r="S461" s="213" t="s">
        <v>4771</v>
      </c>
      <c r="T461" s="233" t="s">
        <v>5386</v>
      </c>
      <c r="U461" s="234" t="s">
        <v>4759</v>
      </c>
      <c r="V461" s="234">
        <v>45611</v>
      </c>
      <c r="W461" s="234" t="s">
        <v>4877</v>
      </c>
      <c r="X461" s="234" t="s">
        <v>2</v>
      </c>
      <c r="Y461" s="234"/>
      <c r="Z461" s="234"/>
      <c r="AA461" s="243">
        <v>202411</v>
      </c>
      <c r="AB461" s="243"/>
      <c r="AC461" s="244" t="s">
        <v>5210</v>
      </c>
      <c r="AD461" s="244" t="s">
        <v>4846</v>
      </c>
      <c r="AE461" s="245">
        <v>0</v>
      </c>
      <c r="AF461" s="244" t="s">
        <v>4846</v>
      </c>
      <c r="AG461" s="239" t="str">
        <f>IFERROR(VLOOKUP(작성용!A:A,RM!A:D,4,0),"-")</f>
        <v>-</v>
      </c>
      <c r="AH461" s="235" t="s">
        <v>4771</v>
      </c>
      <c r="AI461" s="235" t="s">
        <v>4771</v>
      </c>
      <c r="AJ461" s="235" t="s">
        <v>4771</v>
      </c>
      <c r="AK461" s="235" t="s">
        <v>5208</v>
      </c>
      <c r="AL461" s="235">
        <v>460</v>
      </c>
    </row>
    <row r="462" spans="1:38" x14ac:dyDescent="0.3">
      <c r="A462" s="229">
        <v>6000808</v>
      </c>
      <c r="B462" s="229" t="s">
        <v>5337</v>
      </c>
      <c r="C462" s="241" t="s">
        <v>4778</v>
      </c>
      <c r="D462" s="237" t="s">
        <v>5417</v>
      </c>
      <c r="E462" s="236">
        <v>1101117619624</v>
      </c>
      <c r="F462" s="240" t="s">
        <v>4850</v>
      </c>
      <c r="G462" s="214">
        <v>0</v>
      </c>
      <c r="H462" s="231" t="s">
        <v>4771</v>
      </c>
      <c r="I462" s="231"/>
      <c r="J462" s="231"/>
      <c r="K462" s="231"/>
      <c r="L462" s="231"/>
      <c r="M462" s="231"/>
      <c r="N462" s="231" t="s">
        <v>4895</v>
      </c>
      <c r="O462" s="246"/>
      <c r="P462" s="246"/>
      <c r="Q462" s="225"/>
      <c r="R462" s="212" t="s">
        <v>4771</v>
      </c>
      <c r="S462" s="213" t="s">
        <v>4771</v>
      </c>
      <c r="T462" s="233" t="s">
        <v>5386</v>
      </c>
      <c r="U462" s="234" t="s">
        <v>4759</v>
      </c>
      <c r="V462" s="234">
        <v>45611</v>
      </c>
      <c r="W462" s="234" t="s">
        <v>4877</v>
      </c>
      <c r="X462" s="234" t="s">
        <v>2</v>
      </c>
      <c r="Y462" s="234"/>
      <c r="Z462" s="234"/>
      <c r="AA462" s="243">
        <v>202411</v>
      </c>
      <c r="AB462" s="243"/>
      <c r="AC462" s="244" t="s">
        <v>5210</v>
      </c>
      <c r="AD462" s="244" t="s">
        <v>4845</v>
      </c>
      <c r="AE462" s="245">
        <v>0</v>
      </c>
      <c r="AF462" s="244" t="s">
        <v>4845</v>
      </c>
      <c r="AG462" s="239" t="str">
        <f>IFERROR(VLOOKUP(작성용!A:A,RM!A:D,4,0),"-")</f>
        <v>-</v>
      </c>
      <c r="AH462" s="235" t="s">
        <v>4771</v>
      </c>
      <c r="AI462" s="235" t="s">
        <v>4771</v>
      </c>
      <c r="AJ462" s="235" t="s">
        <v>4771</v>
      </c>
      <c r="AK462" s="235" t="s">
        <v>5208</v>
      </c>
      <c r="AL462" s="235">
        <v>461</v>
      </c>
    </row>
    <row r="463" spans="1:38" x14ac:dyDescent="0.3">
      <c r="A463" s="229">
        <v>6000808</v>
      </c>
      <c r="B463" s="229" t="s">
        <v>5337</v>
      </c>
      <c r="C463" s="241" t="s">
        <v>4778</v>
      </c>
      <c r="D463" s="237" t="s">
        <v>5418</v>
      </c>
      <c r="E463" s="236">
        <v>1101115452646</v>
      </c>
      <c r="F463" s="240" t="s">
        <v>4850</v>
      </c>
      <c r="G463" s="214">
        <v>0</v>
      </c>
      <c r="H463" s="231" t="s">
        <v>4771</v>
      </c>
      <c r="I463" s="231"/>
      <c r="J463" s="231"/>
      <c r="K463" s="231"/>
      <c r="L463" s="231"/>
      <c r="M463" s="231"/>
      <c r="N463" s="231" t="s">
        <v>4895</v>
      </c>
      <c r="O463" s="246"/>
      <c r="P463" s="246"/>
      <c r="Q463" s="225"/>
      <c r="R463" s="212" t="s">
        <v>4771</v>
      </c>
      <c r="S463" s="213" t="s">
        <v>4771</v>
      </c>
      <c r="T463" s="233" t="s">
        <v>5386</v>
      </c>
      <c r="U463" s="234" t="s">
        <v>4759</v>
      </c>
      <c r="V463" s="234">
        <v>45611</v>
      </c>
      <c r="W463" s="234" t="s">
        <v>4877</v>
      </c>
      <c r="X463" s="234" t="s">
        <v>2</v>
      </c>
      <c r="Y463" s="234"/>
      <c r="Z463" s="234"/>
      <c r="AA463" s="243">
        <v>202411</v>
      </c>
      <c r="AB463" s="243"/>
      <c r="AC463" s="244" t="s">
        <v>5210</v>
      </c>
      <c r="AD463" s="244" t="s">
        <v>4862</v>
      </c>
      <c r="AE463" s="245">
        <v>0</v>
      </c>
      <c r="AF463" s="244" t="s">
        <v>4862</v>
      </c>
      <c r="AG463" s="239" t="str">
        <f>IFERROR(VLOOKUP(작성용!A:A,RM!A:D,4,0),"-")</f>
        <v>-</v>
      </c>
      <c r="AH463" s="235" t="s">
        <v>4771</v>
      </c>
      <c r="AI463" s="235" t="s">
        <v>4771</v>
      </c>
      <c r="AJ463" s="235" t="s">
        <v>4771</v>
      </c>
      <c r="AK463" s="235" t="s">
        <v>5208</v>
      </c>
      <c r="AL463" s="235">
        <v>462</v>
      </c>
    </row>
    <row r="464" spans="1:38" x14ac:dyDescent="0.3">
      <c r="A464" s="229">
        <v>6000808</v>
      </c>
      <c r="B464" s="229" t="s">
        <v>5337</v>
      </c>
      <c r="C464" s="241" t="s">
        <v>4778</v>
      </c>
      <c r="D464" s="237" t="s">
        <v>5407</v>
      </c>
      <c r="E464" s="236">
        <v>1101115770139</v>
      </c>
      <c r="F464" s="240" t="s">
        <v>4850</v>
      </c>
      <c r="G464" s="214">
        <v>1</v>
      </c>
      <c r="H464" s="231" t="s">
        <v>4771</v>
      </c>
      <c r="I464" s="231"/>
      <c r="J464" s="231"/>
      <c r="K464" s="231"/>
      <c r="L464" s="231"/>
      <c r="M464" s="231"/>
      <c r="N464" s="231" t="s">
        <v>4895</v>
      </c>
      <c r="O464" s="246"/>
      <c r="P464" s="246"/>
      <c r="Q464" s="225"/>
      <c r="R464" s="212" t="s">
        <v>4771</v>
      </c>
      <c r="S464" s="213" t="s">
        <v>4771</v>
      </c>
      <c r="T464" s="233" t="s">
        <v>5386</v>
      </c>
      <c r="U464" s="234" t="s">
        <v>4759</v>
      </c>
      <c r="V464" s="234">
        <v>45611</v>
      </c>
      <c r="W464" s="234" t="s">
        <v>4877</v>
      </c>
      <c r="X464" s="234" t="s">
        <v>2</v>
      </c>
      <c r="Y464" s="234"/>
      <c r="Z464" s="234"/>
      <c r="AA464" s="243">
        <v>202411</v>
      </c>
      <c r="AB464" s="243"/>
      <c r="AC464" s="244" t="s">
        <v>5210</v>
      </c>
      <c r="AD464" s="244" t="s">
        <v>4980</v>
      </c>
      <c r="AE464" s="245">
        <v>0</v>
      </c>
      <c r="AF464" s="244" t="s">
        <v>4980</v>
      </c>
      <c r="AG464" s="239" t="str">
        <f>IFERROR(VLOOKUP(작성용!A:A,RM!A:D,4,0),"-")</f>
        <v>-</v>
      </c>
      <c r="AH464" s="235" t="s">
        <v>4771</v>
      </c>
      <c r="AI464" s="235" t="s">
        <v>4771</v>
      </c>
      <c r="AJ464" s="235" t="s">
        <v>4771</v>
      </c>
      <c r="AK464" s="235" t="s">
        <v>5208</v>
      </c>
      <c r="AL464" s="235">
        <v>463</v>
      </c>
    </row>
    <row r="465" spans="1:38" x14ac:dyDescent="0.3">
      <c r="A465" s="229">
        <v>6000808</v>
      </c>
      <c r="B465" s="229" t="s">
        <v>5337</v>
      </c>
      <c r="C465" s="241" t="s">
        <v>4778</v>
      </c>
      <c r="D465" s="237" t="s">
        <v>5419</v>
      </c>
      <c r="E465" s="236">
        <v>1101116536209</v>
      </c>
      <c r="F465" s="240" t="s">
        <v>4850</v>
      </c>
      <c r="G465" s="214">
        <v>0</v>
      </c>
      <c r="H465" s="231" t="s">
        <v>4771</v>
      </c>
      <c r="I465" s="231"/>
      <c r="J465" s="231"/>
      <c r="K465" s="231"/>
      <c r="L465" s="231"/>
      <c r="M465" s="231"/>
      <c r="N465" s="231" t="s">
        <v>4895</v>
      </c>
      <c r="O465" s="246"/>
      <c r="P465" s="246"/>
      <c r="Q465" s="225"/>
      <c r="R465" s="212" t="s">
        <v>4771</v>
      </c>
      <c r="S465" s="213" t="s">
        <v>4771</v>
      </c>
      <c r="T465" s="233" t="s">
        <v>5386</v>
      </c>
      <c r="U465" s="234" t="s">
        <v>4759</v>
      </c>
      <c r="V465" s="234">
        <v>45611</v>
      </c>
      <c r="W465" s="234" t="s">
        <v>4877</v>
      </c>
      <c r="X465" s="234" t="s">
        <v>2</v>
      </c>
      <c r="Y465" s="234"/>
      <c r="Z465" s="234"/>
      <c r="AA465" s="243">
        <v>202411</v>
      </c>
      <c r="AB465" s="243"/>
      <c r="AC465" s="244" t="s">
        <v>5210</v>
      </c>
      <c r="AD465" s="244" t="s">
        <v>4856</v>
      </c>
      <c r="AE465" s="245">
        <v>0.6</v>
      </c>
      <c r="AF465" s="244" t="s">
        <v>4990</v>
      </c>
      <c r="AG465" s="239" t="str">
        <f>IFERROR(VLOOKUP(작성용!A:A,RM!A:D,4,0),"-")</f>
        <v>-</v>
      </c>
      <c r="AH465" s="235" t="s">
        <v>4771</v>
      </c>
      <c r="AI465" s="235" t="s">
        <v>5420</v>
      </c>
      <c r="AJ465" s="235" t="s">
        <v>4771</v>
      </c>
      <c r="AK465" s="235" t="s">
        <v>5208</v>
      </c>
      <c r="AL465" s="235">
        <v>464</v>
      </c>
    </row>
    <row r="466" spans="1:38" x14ac:dyDescent="0.3">
      <c r="A466" s="229">
        <v>6000808</v>
      </c>
      <c r="B466" s="229" t="s">
        <v>5337</v>
      </c>
      <c r="C466" s="241" t="s">
        <v>4778</v>
      </c>
      <c r="D466" s="237" t="s">
        <v>5421</v>
      </c>
      <c r="E466" s="236">
        <v>2844110080851</v>
      </c>
      <c r="F466" s="240" t="s">
        <v>4894</v>
      </c>
      <c r="G466" s="214">
        <v>0</v>
      </c>
      <c r="H466" s="231" t="s">
        <v>4771</v>
      </c>
      <c r="I466" s="231"/>
      <c r="J466" s="231"/>
      <c r="K466" s="231"/>
      <c r="L466" s="231"/>
      <c r="M466" s="231"/>
      <c r="N466" s="231" t="s">
        <v>4895</v>
      </c>
      <c r="O466" s="246"/>
      <c r="P466" s="246"/>
      <c r="Q466" s="225"/>
      <c r="R466" s="212" t="s">
        <v>4771</v>
      </c>
      <c r="S466" s="213" t="s">
        <v>4771</v>
      </c>
      <c r="T466" s="233" t="s">
        <v>5386</v>
      </c>
      <c r="U466" s="234" t="s">
        <v>4759</v>
      </c>
      <c r="V466" s="234">
        <v>45611</v>
      </c>
      <c r="W466" s="234" t="s">
        <v>4877</v>
      </c>
      <c r="X466" s="234" t="s">
        <v>2</v>
      </c>
      <c r="Y466" s="234"/>
      <c r="Z466" s="234"/>
      <c r="AA466" s="243">
        <v>202411</v>
      </c>
      <c r="AB466" s="243"/>
      <c r="AC466" s="244" t="s">
        <v>5210</v>
      </c>
      <c r="AD466" s="244" t="s">
        <v>4761</v>
      </c>
      <c r="AE466" s="245">
        <v>0</v>
      </c>
      <c r="AF466" s="244" t="s">
        <v>4761</v>
      </c>
      <c r="AG466" s="239" t="str">
        <f>IFERROR(VLOOKUP(작성용!A:A,RM!A:D,4,0),"-")</f>
        <v>-</v>
      </c>
      <c r="AH466" s="235" t="s">
        <v>4771</v>
      </c>
      <c r="AI466" s="235" t="s">
        <v>5420</v>
      </c>
      <c r="AJ466" s="235" t="s">
        <v>4771</v>
      </c>
      <c r="AK466" s="235" t="s">
        <v>5208</v>
      </c>
      <c r="AL466" s="235">
        <v>465</v>
      </c>
    </row>
    <row r="467" spans="1:38" x14ac:dyDescent="0.3">
      <c r="A467" s="229">
        <v>6000808</v>
      </c>
      <c r="B467" s="229" t="s">
        <v>5337</v>
      </c>
      <c r="C467" s="241" t="s">
        <v>4778</v>
      </c>
      <c r="D467" s="237" t="s">
        <v>5405</v>
      </c>
      <c r="E467" s="236">
        <v>1101117060306</v>
      </c>
      <c r="F467" s="240" t="s">
        <v>4850</v>
      </c>
      <c r="G467" s="214">
        <v>1</v>
      </c>
      <c r="H467" s="231" t="s">
        <v>4771</v>
      </c>
      <c r="I467" s="231"/>
      <c r="J467" s="231"/>
      <c r="K467" s="231"/>
      <c r="L467" s="231"/>
      <c r="M467" s="231"/>
      <c r="N467" s="231" t="s">
        <v>4895</v>
      </c>
      <c r="O467" s="246"/>
      <c r="P467" s="246"/>
      <c r="Q467" s="225"/>
      <c r="R467" s="212" t="s">
        <v>4771</v>
      </c>
      <c r="S467" s="213" t="s">
        <v>4771</v>
      </c>
      <c r="T467" s="233" t="s">
        <v>5386</v>
      </c>
      <c r="U467" s="234" t="s">
        <v>4759</v>
      </c>
      <c r="V467" s="234">
        <v>45611</v>
      </c>
      <c r="W467" s="234" t="s">
        <v>4877</v>
      </c>
      <c r="X467" s="234" t="s">
        <v>2</v>
      </c>
      <c r="Y467" s="234"/>
      <c r="Z467" s="234"/>
      <c r="AA467" s="243">
        <v>202411</v>
      </c>
      <c r="AB467" s="243"/>
      <c r="AC467" s="244" t="s">
        <v>5210</v>
      </c>
      <c r="AD467" s="244" t="s">
        <v>4846</v>
      </c>
      <c r="AE467" s="245">
        <v>0</v>
      </c>
      <c r="AF467" s="244" t="s">
        <v>4846</v>
      </c>
      <c r="AG467" s="239" t="str">
        <f>IFERROR(VLOOKUP(작성용!A:A,RM!A:D,4,0),"-")</f>
        <v>-</v>
      </c>
      <c r="AH467" s="235" t="s">
        <v>4771</v>
      </c>
      <c r="AI467" s="235" t="s">
        <v>5422</v>
      </c>
      <c r="AJ467" s="235" t="s">
        <v>4771</v>
      </c>
      <c r="AK467" s="235" t="s">
        <v>5208</v>
      </c>
      <c r="AL467" s="235">
        <v>466</v>
      </c>
    </row>
    <row r="468" spans="1:38" x14ac:dyDescent="0.3">
      <c r="A468" s="229">
        <v>6000808</v>
      </c>
      <c r="B468" s="229" t="s">
        <v>5337</v>
      </c>
      <c r="C468" s="241" t="s">
        <v>4778</v>
      </c>
      <c r="D468" s="237" t="s">
        <v>5423</v>
      </c>
      <c r="E468" s="236">
        <v>1601110472912</v>
      </c>
      <c r="F468" s="240" t="s">
        <v>4850</v>
      </c>
      <c r="G468" s="214">
        <v>0</v>
      </c>
      <c r="H468" s="231" t="s">
        <v>4771</v>
      </c>
      <c r="I468" s="231"/>
      <c r="J468" s="231"/>
      <c r="K468" s="231"/>
      <c r="L468" s="231"/>
      <c r="M468" s="231"/>
      <c r="N468" s="231" t="s">
        <v>4895</v>
      </c>
      <c r="O468" s="246"/>
      <c r="P468" s="246"/>
      <c r="Q468" s="225"/>
      <c r="R468" s="212" t="s">
        <v>4771</v>
      </c>
      <c r="S468" s="213" t="s">
        <v>4771</v>
      </c>
      <c r="T468" s="233" t="s">
        <v>5386</v>
      </c>
      <c r="U468" s="234" t="s">
        <v>4759</v>
      </c>
      <c r="V468" s="234">
        <v>45611</v>
      </c>
      <c r="W468" s="234" t="s">
        <v>4877</v>
      </c>
      <c r="X468" s="234" t="s">
        <v>2</v>
      </c>
      <c r="Y468" s="234"/>
      <c r="Z468" s="234"/>
      <c r="AA468" s="243">
        <v>202411</v>
      </c>
      <c r="AB468" s="243"/>
      <c r="AC468" s="244" t="s">
        <v>5210</v>
      </c>
      <c r="AD468" s="244" t="s">
        <v>4935</v>
      </c>
      <c r="AE468" s="245">
        <v>0</v>
      </c>
      <c r="AF468" s="244" t="s">
        <v>4935</v>
      </c>
      <c r="AG468" s="239" t="str">
        <f>IFERROR(VLOOKUP(작성용!A:A,RM!A:D,4,0),"-")</f>
        <v>-</v>
      </c>
      <c r="AH468" s="235" t="s">
        <v>4771</v>
      </c>
      <c r="AI468" s="235" t="s">
        <v>4771</v>
      </c>
      <c r="AJ468" s="235" t="s">
        <v>4771</v>
      </c>
      <c r="AK468" s="235" t="s">
        <v>5208</v>
      </c>
      <c r="AL468" s="235">
        <v>467</v>
      </c>
    </row>
    <row r="469" spans="1:38" x14ac:dyDescent="0.3">
      <c r="A469" s="222">
        <v>6000793</v>
      </c>
      <c r="B469" s="222" t="s">
        <v>5339</v>
      </c>
      <c r="C469" s="241" t="s">
        <v>4778</v>
      </c>
      <c r="D469" s="237" t="s">
        <v>5424</v>
      </c>
      <c r="E469" s="236">
        <v>1101115714757</v>
      </c>
      <c r="F469" s="240" t="s">
        <v>4850</v>
      </c>
      <c r="G469" s="214">
        <v>1</v>
      </c>
      <c r="H469" s="231" t="s">
        <v>4771</v>
      </c>
      <c r="I469" s="231"/>
      <c r="J469" s="231"/>
      <c r="K469" s="231"/>
      <c r="L469" s="231"/>
      <c r="M469" s="231"/>
      <c r="N469" s="231" t="s">
        <v>4895</v>
      </c>
      <c r="O469" s="246"/>
      <c r="P469" s="246"/>
      <c r="Q469" s="225"/>
      <c r="R469" s="212" t="s">
        <v>4771</v>
      </c>
      <c r="S469" s="213" t="s">
        <v>4771</v>
      </c>
      <c r="T469" s="233" t="s">
        <v>5386</v>
      </c>
      <c r="U469" s="234" t="s">
        <v>4759</v>
      </c>
      <c r="V469" s="234">
        <v>45611</v>
      </c>
      <c r="W469" s="234" t="s">
        <v>4877</v>
      </c>
      <c r="X469" s="234" t="s">
        <v>2</v>
      </c>
      <c r="Y469" s="234"/>
      <c r="Z469" s="234"/>
      <c r="AA469" s="243">
        <v>202411</v>
      </c>
      <c r="AB469" s="243"/>
      <c r="AC469" s="244" t="s">
        <v>4760</v>
      </c>
      <c r="AD469" s="244" t="s">
        <v>4947</v>
      </c>
      <c r="AE469" s="245">
        <v>0.6</v>
      </c>
      <c r="AF469" s="244" t="s">
        <v>4918</v>
      </c>
      <c r="AG469" s="239" t="str">
        <f>IFERROR(VLOOKUP(작성용!A:A,RM!A:D,4,0),"-")</f>
        <v>-</v>
      </c>
      <c r="AH469" s="235" t="s">
        <v>4771</v>
      </c>
      <c r="AI469" s="235" t="s">
        <v>4771</v>
      </c>
      <c r="AJ469" s="235" t="s">
        <v>4771</v>
      </c>
      <c r="AK469" s="235" t="s">
        <v>5208</v>
      </c>
      <c r="AL469" s="235">
        <v>468</v>
      </c>
    </row>
    <row r="470" spans="1:38" x14ac:dyDescent="0.3">
      <c r="A470" s="222">
        <v>6000793</v>
      </c>
      <c r="B470" s="222" t="s">
        <v>5339</v>
      </c>
      <c r="C470" s="241" t="s">
        <v>4778</v>
      </c>
      <c r="D470" s="237" t="s">
        <v>5425</v>
      </c>
      <c r="E470" s="236">
        <v>1101115498137</v>
      </c>
      <c r="F470" s="240" t="s">
        <v>4850</v>
      </c>
      <c r="G470" s="214">
        <v>0</v>
      </c>
      <c r="H470" s="231" t="s">
        <v>4771</v>
      </c>
      <c r="I470" s="231"/>
      <c r="J470" s="231"/>
      <c r="K470" s="231"/>
      <c r="L470" s="231"/>
      <c r="M470" s="231"/>
      <c r="N470" s="231" t="s">
        <v>4895</v>
      </c>
      <c r="O470" s="246"/>
      <c r="P470" s="246"/>
      <c r="Q470" s="225"/>
      <c r="R470" s="212" t="s">
        <v>4771</v>
      </c>
      <c r="S470" s="213" t="s">
        <v>4771</v>
      </c>
      <c r="T470" s="233" t="s">
        <v>5386</v>
      </c>
      <c r="U470" s="234" t="s">
        <v>4759</v>
      </c>
      <c r="V470" s="234">
        <v>45611</v>
      </c>
      <c r="W470" s="234" t="s">
        <v>4877</v>
      </c>
      <c r="X470" s="234" t="s">
        <v>2</v>
      </c>
      <c r="Y470" s="234"/>
      <c r="Z470" s="234"/>
      <c r="AA470" s="243">
        <v>202411</v>
      </c>
      <c r="AB470" s="243"/>
      <c r="AC470" s="244" t="s">
        <v>5210</v>
      </c>
      <c r="AD470" s="244" t="s">
        <v>4909</v>
      </c>
      <c r="AE470" s="245">
        <v>0</v>
      </c>
      <c r="AF470" s="244" t="s">
        <v>4999</v>
      </c>
      <c r="AG470" s="239" t="str">
        <f>IFERROR(VLOOKUP(작성용!A:A,RM!A:D,4,0),"-")</f>
        <v>-</v>
      </c>
      <c r="AH470" s="235" t="s">
        <v>4771</v>
      </c>
      <c r="AI470" s="235" t="s">
        <v>4771</v>
      </c>
      <c r="AJ470" s="235" t="s">
        <v>4771</v>
      </c>
      <c r="AK470" s="235" t="s">
        <v>5208</v>
      </c>
      <c r="AL470" s="235">
        <v>469</v>
      </c>
    </row>
    <row r="471" spans="1:38" x14ac:dyDescent="0.3">
      <c r="A471" s="222">
        <v>6000793</v>
      </c>
      <c r="B471" s="222" t="s">
        <v>5339</v>
      </c>
      <c r="C471" s="241" t="s">
        <v>4778</v>
      </c>
      <c r="D471" s="237" t="s">
        <v>5425</v>
      </c>
      <c r="E471" s="236">
        <v>1101115498137</v>
      </c>
      <c r="F471" s="240" t="s">
        <v>4850</v>
      </c>
      <c r="G471" s="214">
        <v>1</v>
      </c>
      <c r="H471" s="231" t="s">
        <v>4771</v>
      </c>
      <c r="I471" s="231"/>
      <c r="J471" s="231"/>
      <c r="K471" s="231"/>
      <c r="L471" s="231"/>
      <c r="M471" s="231"/>
      <c r="N471" s="231" t="s">
        <v>4895</v>
      </c>
      <c r="O471" s="246"/>
      <c r="P471" s="246"/>
      <c r="Q471" s="225"/>
      <c r="R471" s="212" t="s">
        <v>4771</v>
      </c>
      <c r="S471" s="213" t="s">
        <v>4771</v>
      </c>
      <c r="T471" s="233" t="s">
        <v>5386</v>
      </c>
      <c r="U471" s="234" t="s">
        <v>4759</v>
      </c>
      <c r="V471" s="234">
        <v>45611</v>
      </c>
      <c r="W471" s="234" t="s">
        <v>4877</v>
      </c>
      <c r="X471" s="234" t="s">
        <v>2</v>
      </c>
      <c r="Y471" s="234"/>
      <c r="Z471" s="234"/>
      <c r="AA471" s="243">
        <v>202411</v>
      </c>
      <c r="AB471" s="243"/>
      <c r="AC471" s="244" t="s">
        <v>5210</v>
      </c>
      <c r="AD471" s="244" t="s">
        <v>4909</v>
      </c>
      <c r="AE471" s="245">
        <v>0</v>
      </c>
      <c r="AF471" s="244" t="s">
        <v>4999</v>
      </c>
      <c r="AG471" s="239" t="str">
        <f>IFERROR(VLOOKUP(작성용!A:A,RM!A:D,4,0),"-")</f>
        <v>-</v>
      </c>
      <c r="AH471" s="235" t="s">
        <v>4771</v>
      </c>
      <c r="AI471" s="235" t="s">
        <v>4771</v>
      </c>
      <c r="AJ471" s="235" t="s">
        <v>4771</v>
      </c>
      <c r="AK471" s="235" t="s">
        <v>5208</v>
      </c>
      <c r="AL471" s="235">
        <v>470</v>
      </c>
    </row>
    <row r="472" spans="1:38" x14ac:dyDescent="0.3">
      <c r="A472" s="222">
        <v>6000793</v>
      </c>
      <c r="B472" s="222" t="s">
        <v>5339</v>
      </c>
      <c r="C472" s="241" t="s">
        <v>4778</v>
      </c>
      <c r="D472" s="237" t="s">
        <v>5393</v>
      </c>
      <c r="E472" s="236">
        <v>1358110313494</v>
      </c>
      <c r="F472" s="240" t="s">
        <v>4850</v>
      </c>
      <c r="G472" s="214">
        <v>0</v>
      </c>
      <c r="H472" s="231" t="s">
        <v>4771</v>
      </c>
      <c r="I472" s="231"/>
      <c r="J472" s="231"/>
      <c r="K472" s="231"/>
      <c r="L472" s="231"/>
      <c r="M472" s="231"/>
      <c r="N472" s="231" t="s">
        <v>4895</v>
      </c>
      <c r="O472" s="246"/>
      <c r="P472" s="246"/>
      <c r="Q472" s="225"/>
      <c r="R472" s="212" t="s">
        <v>4771</v>
      </c>
      <c r="S472" s="213" t="s">
        <v>4771</v>
      </c>
      <c r="T472" s="233" t="s">
        <v>5386</v>
      </c>
      <c r="U472" s="234" t="s">
        <v>4759</v>
      </c>
      <c r="V472" s="234">
        <v>45611</v>
      </c>
      <c r="W472" s="234" t="s">
        <v>4877</v>
      </c>
      <c r="X472" s="234" t="s">
        <v>2</v>
      </c>
      <c r="Y472" s="234"/>
      <c r="Z472" s="234"/>
      <c r="AA472" s="243">
        <v>202411</v>
      </c>
      <c r="AB472" s="243"/>
      <c r="AC472" s="244" t="s">
        <v>5210</v>
      </c>
      <c r="AD472" s="244" t="s">
        <v>4860</v>
      </c>
      <c r="AE472" s="245">
        <v>0</v>
      </c>
      <c r="AF472" s="244" t="s">
        <v>4860</v>
      </c>
      <c r="AG472" s="239" t="str">
        <f>IFERROR(VLOOKUP(작성용!A:A,RM!A:D,4,0),"-")</f>
        <v>-</v>
      </c>
      <c r="AH472" s="235" t="s">
        <v>4771</v>
      </c>
      <c r="AI472" s="235" t="s">
        <v>4771</v>
      </c>
      <c r="AJ472" s="235" t="s">
        <v>4771</v>
      </c>
      <c r="AK472" s="235" t="s">
        <v>5208</v>
      </c>
      <c r="AL472" s="235">
        <v>471</v>
      </c>
    </row>
    <row r="473" spans="1:38" x14ac:dyDescent="0.3">
      <c r="A473" s="222">
        <v>6000793</v>
      </c>
      <c r="B473" s="222" t="s">
        <v>5339</v>
      </c>
      <c r="C473" s="241" t="s">
        <v>4778</v>
      </c>
      <c r="D473" s="237" t="s">
        <v>5426</v>
      </c>
      <c r="E473" s="236">
        <v>1101115800986</v>
      </c>
      <c r="F473" s="240" t="s">
        <v>4850</v>
      </c>
      <c r="G473" s="214">
        <v>5</v>
      </c>
      <c r="H473" s="231" t="s">
        <v>4771</v>
      </c>
      <c r="I473" s="231"/>
      <c r="J473" s="231"/>
      <c r="K473" s="231"/>
      <c r="L473" s="231"/>
      <c r="M473" s="231"/>
      <c r="N473" s="231" t="s">
        <v>4895</v>
      </c>
      <c r="O473" s="246"/>
      <c r="P473" s="246"/>
      <c r="Q473" s="225"/>
      <c r="R473" s="212" t="s">
        <v>4771</v>
      </c>
      <c r="S473" s="213" t="s">
        <v>4771</v>
      </c>
      <c r="T473" s="233" t="s">
        <v>5386</v>
      </c>
      <c r="U473" s="234" t="s">
        <v>4759</v>
      </c>
      <c r="V473" s="234">
        <v>45611</v>
      </c>
      <c r="W473" s="234" t="s">
        <v>4877</v>
      </c>
      <c r="X473" s="234" t="s">
        <v>2</v>
      </c>
      <c r="Y473" s="234"/>
      <c r="Z473" s="234"/>
      <c r="AA473" s="243">
        <v>202411</v>
      </c>
      <c r="AB473" s="243"/>
      <c r="AC473" s="244" t="s">
        <v>5210</v>
      </c>
      <c r="AD473" s="244" t="s">
        <v>4862</v>
      </c>
      <c r="AE473" s="245">
        <v>0.6</v>
      </c>
      <c r="AF473" s="244" t="s">
        <v>4862</v>
      </c>
      <c r="AG473" s="239" t="str">
        <f>IFERROR(VLOOKUP(작성용!A:A,RM!A:D,4,0),"-")</f>
        <v>-</v>
      </c>
      <c r="AH473" s="235" t="s">
        <v>4771</v>
      </c>
      <c r="AI473" s="235" t="s">
        <v>4771</v>
      </c>
      <c r="AJ473" s="235" t="s">
        <v>4771</v>
      </c>
      <c r="AK473" s="235" t="s">
        <v>5208</v>
      </c>
      <c r="AL473" s="235">
        <v>472</v>
      </c>
    </row>
    <row r="474" spans="1:38" x14ac:dyDescent="0.3">
      <c r="A474" s="222">
        <v>6000793</v>
      </c>
      <c r="B474" s="222" t="s">
        <v>5339</v>
      </c>
      <c r="C474" s="241" t="s">
        <v>4778</v>
      </c>
      <c r="D474" s="237" t="s">
        <v>5426</v>
      </c>
      <c r="E474" s="236">
        <v>1101115800986</v>
      </c>
      <c r="F474" s="240" t="s">
        <v>4854</v>
      </c>
      <c r="G474" s="214">
        <v>0</v>
      </c>
      <c r="H474" s="231" t="s">
        <v>4771</v>
      </c>
      <c r="I474" s="231"/>
      <c r="J474" s="231"/>
      <c r="K474" s="231"/>
      <c r="L474" s="231"/>
      <c r="M474" s="231"/>
      <c r="N474" s="231" t="s">
        <v>4895</v>
      </c>
      <c r="O474" s="246"/>
      <c r="P474" s="246"/>
      <c r="Q474" s="225"/>
      <c r="R474" s="212" t="s">
        <v>4771</v>
      </c>
      <c r="S474" s="213" t="s">
        <v>4771</v>
      </c>
      <c r="T474" s="233" t="s">
        <v>5386</v>
      </c>
      <c r="U474" s="234" t="s">
        <v>4759</v>
      </c>
      <c r="V474" s="234">
        <v>45611</v>
      </c>
      <c r="W474" s="234" t="s">
        <v>4877</v>
      </c>
      <c r="X474" s="234" t="s">
        <v>2</v>
      </c>
      <c r="Y474" s="234"/>
      <c r="Z474" s="234"/>
      <c r="AA474" s="243">
        <v>202411</v>
      </c>
      <c r="AB474" s="243"/>
      <c r="AC474" s="244" t="s">
        <v>5210</v>
      </c>
      <c r="AD474" s="244" t="s">
        <v>4862</v>
      </c>
      <c r="AE474" s="245">
        <v>0</v>
      </c>
      <c r="AF474" s="244" t="s">
        <v>4862</v>
      </c>
      <c r="AG474" s="239" t="str">
        <f>IFERROR(VLOOKUP(작성용!A:A,RM!A:D,4,0),"-")</f>
        <v>-</v>
      </c>
      <c r="AH474" s="235" t="s">
        <v>4771</v>
      </c>
      <c r="AI474" s="235" t="s">
        <v>4771</v>
      </c>
      <c r="AJ474" s="235" t="s">
        <v>4771</v>
      </c>
      <c r="AK474" s="235" t="s">
        <v>5208</v>
      </c>
      <c r="AL474" s="235">
        <v>473</v>
      </c>
    </row>
    <row r="475" spans="1:38" x14ac:dyDescent="0.3">
      <c r="A475" s="222">
        <v>6000793</v>
      </c>
      <c r="B475" s="222" t="s">
        <v>5339</v>
      </c>
      <c r="C475" s="241" t="s">
        <v>4778</v>
      </c>
      <c r="D475" s="237" t="s">
        <v>5427</v>
      </c>
      <c r="E475" s="236">
        <v>1314110312464</v>
      </c>
      <c r="F475" s="240" t="s">
        <v>4850</v>
      </c>
      <c r="G475" s="214">
        <v>0</v>
      </c>
      <c r="H475" s="231" t="s">
        <v>4771</v>
      </c>
      <c r="I475" s="231"/>
      <c r="J475" s="231"/>
      <c r="K475" s="231"/>
      <c r="L475" s="231"/>
      <c r="M475" s="231"/>
      <c r="N475" s="231" t="s">
        <v>4895</v>
      </c>
      <c r="O475" s="246"/>
      <c r="P475" s="246"/>
      <c r="Q475" s="225"/>
      <c r="R475" s="212" t="s">
        <v>4771</v>
      </c>
      <c r="S475" s="213" t="s">
        <v>4771</v>
      </c>
      <c r="T475" s="233" t="s">
        <v>5386</v>
      </c>
      <c r="U475" s="234" t="s">
        <v>4759</v>
      </c>
      <c r="V475" s="234">
        <v>45611</v>
      </c>
      <c r="W475" s="234" t="s">
        <v>4877</v>
      </c>
      <c r="X475" s="234" t="s">
        <v>2</v>
      </c>
      <c r="Y475" s="234"/>
      <c r="Z475" s="234"/>
      <c r="AA475" s="243">
        <v>202411</v>
      </c>
      <c r="AB475" s="243"/>
      <c r="AC475" s="244" t="s">
        <v>5210</v>
      </c>
      <c r="AD475" s="244" t="s">
        <v>4860</v>
      </c>
      <c r="AE475" s="245">
        <v>0.6</v>
      </c>
      <c r="AF475" s="244" t="s">
        <v>4860</v>
      </c>
      <c r="AG475" s="239" t="str">
        <f>IFERROR(VLOOKUP(작성용!A:A,RM!A:D,4,0),"-")</f>
        <v>-</v>
      </c>
      <c r="AH475" s="235" t="s">
        <v>4771</v>
      </c>
      <c r="AI475" s="235" t="s">
        <v>4771</v>
      </c>
      <c r="AJ475" s="235" t="s">
        <v>4771</v>
      </c>
      <c r="AK475" s="235" t="s">
        <v>5208</v>
      </c>
      <c r="AL475" s="235">
        <v>474</v>
      </c>
    </row>
    <row r="476" spans="1:38" x14ac:dyDescent="0.3">
      <c r="A476" s="222">
        <v>6000793</v>
      </c>
      <c r="B476" s="222" t="s">
        <v>5339</v>
      </c>
      <c r="C476" s="241" t="s">
        <v>4778</v>
      </c>
      <c r="D476" s="237" t="s">
        <v>5427</v>
      </c>
      <c r="E476" s="236">
        <v>1314110312464</v>
      </c>
      <c r="F476" s="240" t="s">
        <v>4850</v>
      </c>
      <c r="G476" s="214">
        <v>1</v>
      </c>
      <c r="H476" s="231" t="s">
        <v>4771</v>
      </c>
      <c r="I476" s="231"/>
      <c r="J476" s="231"/>
      <c r="K476" s="231"/>
      <c r="L476" s="231"/>
      <c r="M476" s="231"/>
      <c r="N476" s="231" t="s">
        <v>4895</v>
      </c>
      <c r="O476" s="246"/>
      <c r="P476" s="246"/>
      <c r="Q476" s="225"/>
      <c r="R476" s="212" t="s">
        <v>4771</v>
      </c>
      <c r="S476" s="213" t="s">
        <v>4771</v>
      </c>
      <c r="T476" s="233" t="s">
        <v>5386</v>
      </c>
      <c r="U476" s="234" t="s">
        <v>4759</v>
      </c>
      <c r="V476" s="234">
        <v>45611</v>
      </c>
      <c r="W476" s="234" t="s">
        <v>4877</v>
      </c>
      <c r="X476" s="234" t="s">
        <v>2</v>
      </c>
      <c r="Y476" s="234"/>
      <c r="Z476" s="234"/>
      <c r="AA476" s="243">
        <v>202411</v>
      </c>
      <c r="AB476" s="243"/>
      <c r="AC476" s="244" t="s">
        <v>5210</v>
      </c>
      <c r="AD476" s="244" t="s">
        <v>4860</v>
      </c>
      <c r="AE476" s="245">
        <v>0</v>
      </c>
      <c r="AF476" s="244" t="s">
        <v>4860</v>
      </c>
      <c r="AG476" s="239" t="str">
        <f>IFERROR(VLOOKUP(작성용!A:A,RM!A:D,4,0),"-")</f>
        <v>-</v>
      </c>
      <c r="AH476" s="235" t="s">
        <v>4771</v>
      </c>
      <c r="AI476" s="235" t="s">
        <v>4771</v>
      </c>
      <c r="AJ476" s="235" t="s">
        <v>4771</v>
      </c>
      <c r="AK476" s="235" t="s">
        <v>5208</v>
      </c>
      <c r="AL476" s="235">
        <v>475</v>
      </c>
    </row>
    <row r="477" spans="1:38" x14ac:dyDescent="0.3">
      <c r="A477" s="222">
        <v>6000793</v>
      </c>
      <c r="B477" s="222" t="s">
        <v>5339</v>
      </c>
      <c r="C477" s="241" t="s">
        <v>4778</v>
      </c>
      <c r="D477" s="237" t="s">
        <v>5428</v>
      </c>
      <c r="E477" s="236">
        <v>1101115848275</v>
      </c>
      <c r="F477" s="240" t="s">
        <v>4850</v>
      </c>
      <c r="G477" s="214">
        <v>0</v>
      </c>
      <c r="H477" s="231" t="s">
        <v>4771</v>
      </c>
      <c r="I477" s="231"/>
      <c r="J477" s="231"/>
      <c r="K477" s="231"/>
      <c r="L477" s="231"/>
      <c r="M477" s="231"/>
      <c r="N477" s="231" t="s">
        <v>4895</v>
      </c>
      <c r="O477" s="246"/>
      <c r="P477" s="246"/>
      <c r="Q477" s="225"/>
      <c r="R477" s="212" t="s">
        <v>4771</v>
      </c>
      <c r="S477" s="213" t="s">
        <v>4771</v>
      </c>
      <c r="T477" s="233" t="s">
        <v>5386</v>
      </c>
      <c r="U477" s="234" t="s">
        <v>4759</v>
      </c>
      <c r="V477" s="234">
        <v>45611</v>
      </c>
      <c r="W477" s="234" t="s">
        <v>4877</v>
      </c>
      <c r="X477" s="234" t="s">
        <v>2</v>
      </c>
      <c r="Y477" s="234"/>
      <c r="Z477" s="234"/>
      <c r="AA477" s="243">
        <v>202411</v>
      </c>
      <c r="AB477" s="243"/>
      <c r="AC477" s="244" t="s">
        <v>5210</v>
      </c>
      <c r="AD477" s="244" t="s">
        <v>4927</v>
      </c>
      <c r="AE477" s="245">
        <v>0.6</v>
      </c>
      <c r="AF477" s="244" t="s">
        <v>4927</v>
      </c>
      <c r="AG477" s="239" t="str">
        <f>IFERROR(VLOOKUP(작성용!A:A,RM!A:D,4,0),"-")</f>
        <v>-</v>
      </c>
      <c r="AH477" s="235" t="s">
        <v>4771</v>
      </c>
      <c r="AI477" s="235" t="s">
        <v>4771</v>
      </c>
      <c r="AJ477" s="235" t="s">
        <v>4771</v>
      </c>
      <c r="AK477" s="235" t="s">
        <v>5208</v>
      </c>
      <c r="AL477" s="235">
        <v>476</v>
      </c>
    </row>
    <row r="478" spans="1:38" x14ac:dyDescent="0.3">
      <c r="A478" s="222">
        <v>6000793</v>
      </c>
      <c r="B478" s="222" t="s">
        <v>5339</v>
      </c>
      <c r="C478" s="241" t="s">
        <v>4778</v>
      </c>
      <c r="D478" s="237" t="s">
        <v>5429</v>
      </c>
      <c r="E478" s="236">
        <v>1101115407568</v>
      </c>
      <c r="F478" s="240" t="s">
        <v>4850</v>
      </c>
      <c r="G478" s="214">
        <v>8</v>
      </c>
      <c r="H478" s="231" t="s">
        <v>4771</v>
      </c>
      <c r="I478" s="231"/>
      <c r="J478" s="231"/>
      <c r="K478" s="231"/>
      <c r="L478" s="231"/>
      <c r="M478" s="231"/>
      <c r="N478" s="231" t="s">
        <v>4895</v>
      </c>
      <c r="O478" s="246"/>
      <c r="P478" s="246"/>
      <c r="Q478" s="225"/>
      <c r="R478" s="212" t="s">
        <v>4771</v>
      </c>
      <c r="S478" s="213" t="s">
        <v>4771</v>
      </c>
      <c r="T478" s="233" t="s">
        <v>5386</v>
      </c>
      <c r="U478" s="234" t="s">
        <v>4759</v>
      </c>
      <c r="V478" s="234">
        <v>45611</v>
      </c>
      <c r="W478" s="234" t="s">
        <v>4877</v>
      </c>
      <c r="X478" s="234" t="s">
        <v>2</v>
      </c>
      <c r="Y478" s="234"/>
      <c r="Z478" s="234"/>
      <c r="AA478" s="243">
        <v>202411</v>
      </c>
      <c r="AB478" s="243"/>
      <c r="AC478" s="244" t="s">
        <v>5210</v>
      </c>
      <c r="AD478" s="244" t="s">
        <v>4937</v>
      </c>
      <c r="AE478" s="245">
        <v>0.6</v>
      </c>
      <c r="AF478" s="244" t="s">
        <v>4937</v>
      </c>
      <c r="AG478" s="239" t="str">
        <f>IFERROR(VLOOKUP(작성용!A:A,RM!A:D,4,0),"-")</f>
        <v>-</v>
      </c>
      <c r="AH478" s="235" t="s">
        <v>4771</v>
      </c>
      <c r="AI478" s="235" t="s">
        <v>4771</v>
      </c>
      <c r="AJ478" s="235" t="s">
        <v>4771</v>
      </c>
      <c r="AK478" s="235" t="s">
        <v>5208</v>
      </c>
      <c r="AL478" s="235">
        <v>477</v>
      </c>
    </row>
    <row r="479" spans="1:38" x14ac:dyDescent="0.3">
      <c r="A479" s="222">
        <v>6000793</v>
      </c>
      <c r="B479" s="222" t="s">
        <v>5339</v>
      </c>
      <c r="C479" s="241" t="s">
        <v>4778</v>
      </c>
      <c r="D479" s="237" t="s">
        <v>5429</v>
      </c>
      <c r="E479" s="236">
        <v>1101115407568</v>
      </c>
      <c r="F479" s="240" t="s">
        <v>4894</v>
      </c>
      <c r="G479" s="214">
        <v>0</v>
      </c>
      <c r="H479" s="231" t="s">
        <v>4771</v>
      </c>
      <c r="I479" s="231"/>
      <c r="J479" s="231"/>
      <c r="K479" s="231"/>
      <c r="L479" s="231"/>
      <c r="M479" s="231"/>
      <c r="N479" s="231" t="s">
        <v>4895</v>
      </c>
      <c r="O479" s="246"/>
      <c r="P479" s="246"/>
      <c r="Q479" s="225"/>
      <c r="R479" s="212" t="s">
        <v>4771</v>
      </c>
      <c r="S479" s="213" t="s">
        <v>4771</v>
      </c>
      <c r="T479" s="233" t="s">
        <v>5386</v>
      </c>
      <c r="U479" s="234" t="s">
        <v>4759</v>
      </c>
      <c r="V479" s="234">
        <v>45611</v>
      </c>
      <c r="W479" s="234" t="s">
        <v>4877</v>
      </c>
      <c r="X479" s="234" t="s">
        <v>2</v>
      </c>
      <c r="Y479" s="234"/>
      <c r="Z479" s="234"/>
      <c r="AA479" s="243">
        <v>202411</v>
      </c>
      <c r="AB479" s="243"/>
      <c r="AC479" s="244" t="s">
        <v>5210</v>
      </c>
      <c r="AD479" s="244" t="s">
        <v>4937</v>
      </c>
      <c r="AE479" s="245">
        <v>0</v>
      </c>
      <c r="AF479" s="244" t="s">
        <v>4937</v>
      </c>
      <c r="AG479" s="239" t="str">
        <f>IFERROR(VLOOKUP(작성용!A:A,RM!A:D,4,0),"-")</f>
        <v>-</v>
      </c>
      <c r="AH479" s="235" t="s">
        <v>4771</v>
      </c>
      <c r="AI479" s="235" t="s">
        <v>4771</v>
      </c>
      <c r="AJ479" s="235" t="s">
        <v>4771</v>
      </c>
      <c r="AK479" s="235" t="s">
        <v>5208</v>
      </c>
      <c r="AL479" s="235">
        <v>478</v>
      </c>
    </row>
    <row r="480" spans="1:38" x14ac:dyDescent="0.3">
      <c r="A480" s="222">
        <v>6000793</v>
      </c>
      <c r="B480" s="222" t="s">
        <v>5339</v>
      </c>
      <c r="C480" s="241" t="s">
        <v>4778</v>
      </c>
      <c r="D480" s="237" t="s">
        <v>5430</v>
      </c>
      <c r="E480" s="236">
        <v>1601110397409</v>
      </c>
      <c r="F480" s="240" t="s">
        <v>4850</v>
      </c>
      <c r="G480" s="214">
        <v>0</v>
      </c>
      <c r="H480" s="231" t="s">
        <v>4771</v>
      </c>
      <c r="I480" s="231"/>
      <c r="J480" s="231"/>
      <c r="K480" s="231"/>
      <c r="L480" s="231"/>
      <c r="M480" s="231"/>
      <c r="N480" s="231" t="s">
        <v>4895</v>
      </c>
      <c r="O480" s="246"/>
      <c r="P480" s="246"/>
      <c r="Q480" s="225"/>
      <c r="R480" s="212" t="s">
        <v>4771</v>
      </c>
      <c r="S480" s="213" t="s">
        <v>4771</v>
      </c>
      <c r="T480" s="233" t="s">
        <v>5386</v>
      </c>
      <c r="U480" s="234" t="s">
        <v>4759</v>
      </c>
      <c r="V480" s="234">
        <v>45611</v>
      </c>
      <c r="W480" s="234" t="s">
        <v>4877</v>
      </c>
      <c r="X480" s="234" t="s">
        <v>2</v>
      </c>
      <c r="Y480" s="234"/>
      <c r="Z480" s="234"/>
      <c r="AA480" s="243">
        <v>202411</v>
      </c>
      <c r="AB480" s="243"/>
      <c r="AC480" s="244" t="s">
        <v>5210</v>
      </c>
      <c r="AD480" s="244" t="s">
        <v>4846</v>
      </c>
      <c r="AE480" s="245">
        <v>0</v>
      </c>
      <c r="AF480" s="244" t="s">
        <v>4846</v>
      </c>
      <c r="AG480" s="239" t="str">
        <f>IFERROR(VLOOKUP(작성용!A:A,RM!A:D,4,0),"-")</f>
        <v>-</v>
      </c>
      <c r="AH480" s="235" t="s">
        <v>4771</v>
      </c>
      <c r="AI480" s="235" t="s">
        <v>4771</v>
      </c>
      <c r="AJ480" s="235" t="s">
        <v>4771</v>
      </c>
      <c r="AK480" s="235" t="s">
        <v>5208</v>
      </c>
      <c r="AL480" s="235">
        <v>479</v>
      </c>
    </row>
    <row r="481" spans="1:38" x14ac:dyDescent="0.3">
      <c r="A481" s="222">
        <v>6000793</v>
      </c>
      <c r="B481" s="222" t="s">
        <v>5339</v>
      </c>
      <c r="C481" s="241" t="s">
        <v>4778</v>
      </c>
      <c r="D481" s="237" t="s">
        <v>5426</v>
      </c>
      <c r="E481" s="236">
        <v>1101115800986</v>
      </c>
      <c r="F481" s="240" t="s">
        <v>4850</v>
      </c>
      <c r="G481" s="214">
        <v>7</v>
      </c>
      <c r="H481" s="231" t="s">
        <v>4771</v>
      </c>
      <c r="I481" s="231"/>
      <c r="J481" s="231"/>
      <c r="K481" s="231"/>
      <c r="L481" s="231"/>
      <c r="M481" s="231"/>
      <c r="N481" s="231" t="s">
        <v>4895</v>
      </c>
      <c r="O481" s="246"/>
      <c r="P481" s="246"/>
      <c r="Q481" s="225"/>
      <c r="R481" s="212" t="s">
        <v>4771</v>
      </c>
      <c r="S481" s="213" t="s">
        <v>4771</v>
      </c>
      <c r="T481" s="233" t="s">
        <v>5386</v>
      </c>
      <c r="U481" s="234" t="s">
        <v>4759</v>
      </c>
      <c r="V481" s="234">
        <v>45611</v>
      </c>
      <c r="W481" s="234" t="s">
        <v>4877</v>
      </c>
      <c r="X481" s="234" t="s">
        <v>2</v>
      </c>
      <c r="Y481" s="234"/>
      <c r="Z481" s="234"/>
      <c r="AA481" s="243">
        <v>202411</v>
      </c>
      <c r="AB481" s="243"/>
      <c r="AC481" s="244" t="s">
        <v>5210</v>
      </c>
      <c r="AD481" s="244" t="s">
        <v>4862</v>
      </c>
      <c r="AE481" s="245">
        <v>0</v>
      </c>
      <c r="AF481" s="244" t="s">
        <v>4862</v>
      </c>
      <c r="AG481" s="239" t="str">
        <f>IFERROR(VLOOKUP(작성용!A:A,RM!A:D,4,0),"-")</f>
        <v>-</v>
      </c>
      <c r="AH481" s="235" t="s">
        <v>4771</v>
      </c>
      <c r="AI481" s="235" t="s">
        <v>4771</v>
      </c>
      <c r="AJ481" s="235" t="s">
        <v>4771</v>
      </c>
      <c r="AK481" s="235" t="s">
        <v>5208</v>
      </c>
      <c r="AL481" s="235">
        <v>480</v>
      </c>
    </row>
    <row r="482" spans="1:38" x14ac:dyDescent="0.3">
      <c r="A482" s="222">
        <v>6000793</v>
      </c>
      <c r="B482" s="222" t="s">
        <v>5339</v>
      </c>
      <c r="C482" s="241" t="s">
        <v>4778</v>
      </c>
      <c r="D482" s="237" t="s">
        <v>5431</v>
      </c>
      <c r="E482" s="236" t="s">
        <v>3522</v>
      </c>
      <c r="F482" s="240" t="s">
        <v>4894</v>
      </c>
      <c r="G482" s="214">
        <v>0</v>
      </c>
      <c r="H482" s="231" t="s">
        <v>4771</v>
      </c>
      <c r="I482" s="231"/>
      <c r="J482" s="231"/>
      <c r="K482" s="231"/>
      <c r="L482" s="231"/>
      <c r="M482" s="231"/>
      <c r="N482" s="231" t="s">
        <v>4895</v>
      </c>
      <c r="O482" s="246"/>
      <c r="P482" s="246"/>
      <c r="Q482" s="225"/>
      <c r="R482" s="212" t="s">
        <v>4771</v>
      </c>
      <c r="S482" s="213" t="s">
        <v>4771</v>
      </c>
      <c r="T482" s="233" t="s">
        <v>5386</v>
      </c>
      <c r="U482" s="234" t="s">
        <v>4759</v>
      </c>
      <c r="V482" s="234">
        <v>45611</v>
      </c>
      <c r="W482" s="234" t="s">
        <v>4877</v>
      </c>
      <c r="X482" s="234" t="s">
        <v>2</v>
      </c>
      <c r="Y482" s="234"/>
      <c r="Z482" s="234"/>
      <c r="AA482" s="243">
        <v>202411</v>
      </c>
      <c r="AB482" s="243"/>
      <c r="AC482" s="244" t="s">
        <v>5210</v>
      </c>
      <c r="AD482" s="244" t="s">
        <v>4927</v>
      </c>
      <c r="AE482" s="245">
        <v>0.6</v>
      </c>
      <c r="AF482" s="244" t="s">
        <v>4927</v>
      </c>
      <c r="AG482" s="239" t="str">
        <f>IFERROR(VLOOKUP(작성용!A:A,RM!A:D,4,0),"-")</f>
        <v>-</v>
      </c>
      <c r="AH482" s="235" t="s">
        <v>4771</v>
      </c>
      <c r="AI482" s="235" t="s">
        <v>4771</v>
      </c>
      <c r="AJ482" s="235" t="s">
        <v>4771</v>
      </c>
      <c r="AK482" s="235" t="s">
        <v>5208</v>
      </c>
      <c r="AL482" s="235">
        <v>481</v>
      </c>
    </row>
    <row r="483" spans="1:38" x14ac:dyDescent="0.3">
      <c r="A483" s="222">
        <v>6000793</v>
      </c>
      <c r="B483" s="222" t="s">
        <v>5339</v>
      </c>
      <c r="C483" s="241" t="s">
        <v>4778</v>
      </c>
      <c r="D483" s="237" t="s">
        <v>5431</v>
      </c>
      <c r="E483" s="236" t="s">
        <v>3522</v>
      </c>
      <c r="F483" s="240" t="s">
        <v>4894</v>
      </c>
      <c r="G483" s="214">
        <v>1</v>
      </c>
      <c r="H483" s="231" t="s">
        <v>4771</v>
      </c>
      <c r="I483" s="231"/>
      <c r="J483" s="231"/>
      <c r="K483" s="231"/>
      <c r="L483" s="231"/>
      <c r="M483" s="231"/>
      <c r="N483" s="231" t="s">
        <v>4895</v>
      </c>
      <c r="O483" s="246"/>
      <c r="P483" s="246"/>
      <c r="Q483" s="225"/>
      <c r="R483" s="212" t="s">
        <v>4771</v>
      </c>
      <c r="S483" s="213" t="s">
        <v>4771</v>
      </c>
      <c r="T483" s="233" t="s">
        <v>5386</v>
      </c>
      <c r="U483" s="234" t="s">
        <v>4759</v>
      </c>
      <c r="V483" s="234">
        <v>45611</v>
      </c>
      <c r="W483" s="234" t="s">
        <v>4877</v>
      </c>
      <c r="X483" s="234" t="s">
        <v>2</v>
      </c>
      <c r="Y483" s="234"/>
      <c r="Z483" s="234"/>
      <c r="AA483" s="243">
        <v>202411</v>
      </c>
      <c r="AB483" s="243"/>
      <c r="AC483" s="244" t="s">
        <v>5210</v>
      </c>
      <c r="AD483" s="244" t="s">
        <v>4927</v>
      </c>
      <c r="AE483" s="245">
        <v>0</v>
      </c>
      <c r="AF483" s="244" t="s">
        <v>4927</v>
      </c>
      <c r="AG483" s="239" t="str">
        <f>IFERROR(VLOOKUP(작성용!A:A,RM!A:D,4,0),"-")</f>
        <v>-</v>
      </c>
      <c r="AH483" s="235" t="s">
        <v>4771</v>
      </c>
      <c r="AI483" s="235" t="s">
        <v>4771</v>
      </c>
      <c r="AJ483" s="235" t="s">
        <v>4771</v>
      </c>
      <c r="AK483" s="235" t="s">
        <v>5208</v>
      </c>
      <c r="AL483" s="235">
        <v>482</v>
      </c>
    </row>
    <row r="484" spans="1:38" x14ac:dyDescent="0.3">
      <c r="A484" s="222">
        <v>6000793</v>
      </c>
      <c r="B484" s="222" t="s">
        <v>5339</v>
      </c>
      <c r="C484" s="241" t="s">
        <v>4778</v>
      </c>
      <c r="D484" s="237" t="s">
        <v>5430</v>
      </c>
      <c r="E484" s="236">
        <v>1601110397409</v>
      </c>
      <c r="F484" s="240" t="s">
        <v>4854</v>
      </c>
      <c r="G484" s="214">
        <v>0</v>
      </c>
      <c r="H484" s="231" t="s">
        <v>4771</v>
      </c>
      <c r="I484" s="231"/>
      <c r="J484" s="231"/>
      <c r="K484" s="231"/>
      <c r="L484" s="231"/>
      <c r="M484" s="231"/>
      <c r="N484" s="231" t="s">
        <v>4895</v>
      </c>
      <c r="O484" s="246"/>
      <c r="P484" s="246"/>
      <c r="Q484" s="225"/>
      <c r="R484" s="212" t="s">
        <v>4771</v>
      </c>
      <c r="S484" s="213" t="s">
        <v>4771</v>
      </c>
      <c r="T484" s="233" t="s">
        <v>5386</v>
      </c>
      <c r="U484" s="234" t="s">
        <v>4759</v>
      </c>
      <c r="V484" s="234">
        <v>45611</v>
      </c>
      <c r="W484" s="234" t="s">
        <v>4877</v>
      </c>
      <c r="X484" s="234" t="s">
        <v>2</v>
      </c>
      <c r="Y484" s="234"/>
      <c r="Z484" s="234"/>
      <c r="AA484" s="243">
        <v>202411</v>
      </c>
      <c r="AB484" s="243"/>
      <c r="AC484" s="244" t="s">
        <v>5210</v>
      </c>
      <c r="AD484" s="244" t="s">
        <v>4846</v>
      </c>
      <c r="AE484" s="245">
        <v>0</v>
      </c>
      <c r="AF484" s="244" t="s">
        <v>4846</v>
      </c>
      <c r="AG484" s="239" t="str">
        <f>IFERROR(VLOOKUP(작성용!A:A,RM!A:D,4,0),"-")</f>
        <v>-</v>
      </c>
      <c r="AH484" s="235" t="s">
        <v>4771</v>
      </c>
      <c r="AI484" s="235" t="s">
        <v>4771</v>
      </c>
      <c r="AJ484" s="235" t="s">
        <v>4771</v>
      </c>
      <c r="AK484" s="235" t="s">
        <v>5208</v>
      </c>
      <c r="AL484" s="235">
        <v>483</v>
      </c>
    </row>
    <row r="485" spans="1:38" x14ac:dyDescent="0.3">
      <c r="A485" s="222">
        <v>6000793</v>
      </c>
      <c r="B485" s="222" t="s">
        <v>5339</v>
      </c>
      <c r="C485" s="241" t="s">
        <v>4778</v>
      </c>
      <c r="D485" s="237" t="s">
        <v>5432</v>
      </c>
      <c r="E485" s="236">
        <v>1358110307520</v>
      </c>
      <c r="F485" s="240" t="s">
        <v>4854</v>
      </c>
      <c r="G485" s="214">
        <v>0</v>
      </c>
      <c r="H485" s="231" t="s">
        <v>4771</v>
      </c>
      <c r="I485" s="231"/>
      <c r="J485" s="231"/>
      <c r="K485" s="231"/>
      <c r="L485" s="231"/>
      <c r="M485" s="231"/>
      <c r="N485" s="231" t="s">
        <v>4895</v>
      </c>
      <c r="O485" s="246"/>
      <c r="P485" s="246"/>
      <c r="Q485" s="225"/>
      <c r="R485" s="212" t="s">
        <v>4771</v>
      </c>
      <c r="S485" s="213" t="s">
        <v>3527</v>
      </c>
      <c r="T485" s="233" t="s">
        <v>5433</v>
      </c>
      <c r="U485" s="234" t="s">
        <v>4871</v>
      </c>
      <c r="V485" s="234">
        <v>45611</v>
      </c>
      <c r="W485" s="234" t="s">
        <v>4877</v>
      </c>
      <c r="X485" s="234" t="s">
        <v>2</v>
      </c>
      <c r="Y485" s="234"/>
      <c r="Z485" s="234"/>
      <c r="AA485" s="243">
        <v>202411</v>
      </c>
      <c r="AB485" s="243"/>
      <c r="AC485" s="244" t="s">
        <v>5207</v>
      </c>
      <c r="AD485" s="244" t="s">
        <v>3910</v>
      </c>
      <c r="AE485" s="245">
        <v>0</v>
      </c>
      <c r="AF485" s="244" t="s">
        <v>4990</v>
      </c>
      <c r="AG485" s="239" t="str">
        <f>IFERROR(VLOOKUP(작성용!A:A,RM!A:D,4,0),"-")</f>
        <v>-</v>
      </c>
      <c r="AH485" s="235" t="s">
        <v>4767</v>
      </c>
      <c r="AI485" s="235" t="s">
        <v>4767</v>
      </c>
      <c r="AJ485" s="235" t="s">
        <v>4767</v>
      </c>
      <c r="AK485" s="235" t="s">
        <v>5208</v>
      </c>
      <c r="AL485" s="235">
        <v>484</v>
      </c>
    </row>
    <row r="486" spans="1:38" x14ac:dyDescent="0.3">
      <c r="A486" s="222">
        <v>6000793</v>
      </c>
      <c r="B486" s="222" t="s">
        <v>5434</v>
      </c>
      <c r="C486" s="241" t="s">
        <v>4778</v>
      </c>
      <c r="D486" s="237" t="s">
        <v>5432</v>
      </c>
      <c r="E486" s="236">
        <v>1358110307520</v>
      </c>
      <c r="F486" s="240" t="s">
        <v>4841</v>
      </c>
      <c r="G486" s="214">
        <v>0</v>
      </c>
      <c r="H486" s="231" t="s">
        <v>4767</v>
      </c>
      <c r="I486" s="231"/>
      <c r="J486" s="231"/>
      <c r="K486" s="231"/>
      <c r="L486" s="231"/>
      <c r="M486" s="231"/>
      <c r="N486" s="231" t="s">
        <v>4895</v>
      </c>
      <c r="O486" s="246"/>
      <c r="P486" s="246"/>
      <c r="Q486" s="225"/>
      <c r="R486" s="212" t="s">
        <v>4771</v>
      </c>
      <c r="S486" s="213" t="s">
        <v>4771</v>
      </c>
      <c r="T486" s="233" t="s">
        <v>5386</v>
      </c>
      <c r="U486" s="234" t="s">
        <v>3711</v>
      </c>
      <c r="V486" s="234">
        <v>45611</v>
      </c>
      <c r="W486" s="234" t="s">
        <v>4822</v>
      </c>
      <c r="X486" s="234" t="s">
        <v>2</v>
      </c>
      <c r="Y486" s="234"/>
      <c r="Z486" s="234"/>
      <c r="AA486" s="243">
        <v>202411</v>
      </c>
      <c r="AB486" s="243"/>
      <c r="AC486" s="244" t="s">
        <v>5210</v>
      </c>
      <c r="AD486" s="244" t="s">
        <v>3910</v>
      </c>
      <c r="AE486" s="245">
        <v>0</v>
      </c>
      <c r="AF486" s="244" t="s">
        <v>4990</v>
      </c>
      <c r="AG486" s="239" t="str">
        <f>IFERROR(VLOOKUP(작성용!A:A,RM!A:D,4,0),"-")</f>
        <v>-</v>
      </c>
      <c r="AH486" s="235" t="s">
        <v>4771</v>
      </c>
      <c r="AI486" s="235" t="s">
        <v>4767</v>
      </c>
      <c r="AJ486" s="235" t="s">
        <v>4771</v>
      </c>
      <c r="AK486" s="235" t="s">
        <v>5208</v>
      </c>
      <c r="AL486" s="235">
        <v>485</v>
      </c>
    </row>
    <row r="487" spans="1:38" x14ac:dyDescent="0.3">
      <c r="A487" s="222">
        <v>6000793</v>
      </c>
      <c r="B487" s="222" t="s">
        <v>5339</v>
      </c>
      <c r="C487" s="241" t="s">
        <v>3707</v>
      </c>
      <c r="D487" s="237" t="s">
        <v>4693</v>
      </c>
      <c r="E487" s="236">
        <v>1358110248964</v>
      </c>
      <c r="F487" s="240" t="s">
        <v>4854</v>
      </c>
      <c r="G487" s="214">
        <v>0</v>
      </c>
      <c r="H487" s="231" t="s">
        <v>3527</v>
      </c>
      <c r="I487" s="231"/>
      <c r="J487" s="231"/>
      <c r="K487" s="231"/>
      <c r="L487" s="231"/>
      <c r="M487" s="231"/>
      <c r="N487" s="231" t="s">
        <v>4881</v>
      </c>
      <c r="O487" s="246"/>
      <c r="P487" s="246"/>
      <c r="Q487" s="225"/>
      <c r="R487" s="212" t="s">
        <v>4771</v>
      </c>
      <c r="S487" s="213" t="s">
        <v>4771</v>
      </c>
      <c r="T487" s="233" t="s">
        <v>5386</v>
      </c>
      <c r="U487" s="234" t="s">
        <v>4871</v>
      </c>
      <c r="V487" s="234">
        <v>45611</v>
      </c>
      <c r="W487" s="234" t="s">
        <v>4877</v>
      </c>
      <c r="X487" s="234" t="s">
        <v>2</v>
      </c>
      <c r="Y487" s="234"/>
      <c r="Z487" s="234"/>
      <c r="AA487" s="243">
        <v>202411</v>
      </c>
      <c r="AB487" s="243"/>
      <c r="AC487" s="244" t="s">
        <v>5207</v>
      </c>
      <c r="AD487" s="244" t="s">
        <v>4860</v>
      </c>
      <c r="AE487" s="245">
        <v>0.6</v>
      </c>
      <c r="AF487" s="244" t="s">
        <v>4860</v>
      </c>
      <c r="AG487" s="239" t="str">
        <f>IFERROR(VLOOKUP(작성용!A:A,RM!A:D,4,0),"-")</f>
        <v>-</v>
      </c>
      <c r="AH487" s="235" t="s">
        <v>4771</v>
      </c>
      <c r="AI487" s="235" t="s">
        <v>4771</v>
      </c>
      <c r="AJ487" s="235" t="s">
        <v>4767</v>
      </c>
      <c r="AK487" s="235" t="s">
        <v>5208</v>
      </c>
      <c r="AL487" s="235">
        <v>486</v>
      </c>
    </row>
    <row r="488" spans="1:38" x14ac:dyDescent="0.3">
      <c r="A488" s="222">
        <v>6000793</v>
      </c>
      <c r="B488" s="222" t="s">
        <v>5339</v>
      </c>
      <c r="C488" s="241" t="s">
        <v>4765</v>
      </c>
      <c r="D488" s="237" t="s">
        <v>5435</v>
      </c>
      <c r="E488" s="236">
        <v>1101114411049</v>
      </c>
      <c r="F488" s="240" t="s">
        <v>4841</v>
      </c>
      <c r="G488" s="214">
        <v>2</v>
      </c>
      <c r="H488" s="231" t="s">
        <v>4771</v>
      </c>
      <c r="I488" s="231"/>
      <c r="J488" s="231"/>
      <c r="K488" s="231"/>
      <c r="L488" s="231"/>
      <c r="M488" s="231"/>
      <c r="N488" s="231" t="s">
        <v>4881</v>
      </c>
      <c r="O488" s="246"/>
      <c r="P488" s="246"/>
      <c r="Q488" s="225"/>
      <c r="R488" s="212" t="s">
        <v>4771</v>
      </c>
      <c r="S488" s="213" t="s">
        <v>4771</v>
      </c>
      <c r="T488" s="233" t="s">
        <v>5386</v>
      </c>
      <c r="U488" s="234" t="s">
        <v>4759</v>
      </c>
      <c r="V488" s="234">
        <v>45611</v>
      </c>
      <c r="W488" s="234" t="s">
        <v>4877</v>
      </c>
      <c r="X488" s="234" t="s">
        <v>2</v>
      </c>
      <c r="Y488" s="234"/>
      <c r="Z488" s="234"/>
      <c r="AA488" s="243">
        <v>202411</v>
      </c>
      <c r="AB488" s="243"/>
      <c r="AC488" s="244" t="s">
        <v>5210</v>
      </c>
      <c r="AD488" s="244" t="s">
        <v>4900</v>
      </c>
      <c r="AE488" s="245">
        <v>0.6</v>
      </c>
      <c r="AF488" s="244" t="s">
        <v>4900</v>
      </c>
      <c r="AG488" s="239" t="str">
        <f>IFERROR(VLOOKUP(작성용!A:A,RM!A:D,4,0),"-")</f>
        <v>-</v>
      </c>
      <c r="AH488" s="235" t="s">
        <v>4771</v>
      </c>
      <c r="AI488" s="235" t="s">
        <v>4771</v>
      </c>
      <c r="AJ488" s="235" t="s">
        <v>4771</v>
      </c>
      <c r="AK488" s="235" t="s">
        <v>5261</v>
      </c>
      <c r="AL488" s="235">
        <v>487</v>
      </c>
    </row>
    <row r="489" spans="1:38" x14ac:dyDescent="0.3">
      <c r="A489" s="222">
        <v>6000793</v>
      </c>
      <c r="B489" s="222" t="s">
        <v>5434</v>
      </c>
      <c r="C489" s="241" t="s">
        <v>4765</v>
      </c>
      <c r="D489" s="237" t="s">
        <v>5436</v>
      </c>
      <c r="E489" s="236">
        <v>1311110567990</v>
      </c>
      <c r="F489" s="240" t="s">
        <v>4850</v>
      </c>
      <c r="G489" s="214">
        <v>0</v>
      </c>
      <c r="H489" s="231" t="s">
        <v>4771</v>
      </c>
      <c r="I489" s="231"/>
      <c r="J489" s="231"/>
      <c r="K489" s="231"/>
      <c r="L489" s="231"/>
      <c r="M489" s="231"/>
      <c r="N489" s="231" t="s">
        <v>4895</v>
      </c>
      <c r="O489" s="246"/>
      <c r="P489" s="246"/>
      <c r="Q489" s="225"/>
      <c r="R489" s="212" t="s">
        <v>4771</v>
      </c>
      <c r="S489" s="213" t="s">
        <v>4771</v>
      </c>
      <c r="T489" s="233" t="s">
        <v>5386</v>
      </c>
      <c r="U489" s="234" t="s">
        <v>4759</v>
      </c>
      <c r="V489" s="234">
        <v>45611</v>
      </c>
      <c r="W489" s="234" t="s">
        <v>4877</v>
      </c>
      <c r="X489" s="234" t="s">
        <v>2</v>
      </c>
      <c r="Y489" s="234"/>
      <c r="Z489" s="234"/>
      <c r="AA489" s="243">
        <v>202411</v>
      </c>
      <c r="AB489" s="243"/>
      <c r="AC489" s="244" t="s">
        <v>5210</v>
      </c>
      <c r="AD489" s="244" t="s">
        <v>4933</v>
      </c>
      <c r="AE489" s="245">
        <v>0.6</v>
      </c>
      <c r="AF489" s="244" t="s">
        <v>4933</v>
      </c>
      <c r="AG489" s="239" t="str">
        <f>IFERROR(VLOOKUP(작성용!A:A,RM!A:D,4,0),"-")</f>
        <v>-</v>
      </c>
      <c r="AH489" s="235" t="s">
        <v>4771</v>
      </c>
      <c r="AI489" s="235" t="s">
        <v>4771</v>
      </c>
      <c r="AJ489" s="235" t="s">
        <v>4771</v>
      </c>
      <c r="AK489" s="235" t="s">
        <v>5208</v>
      </c>
      <c r="AL489" s="235">
        <v>488</v>
      </c>
    </row>
    <row r="490" spans="1:38" x14ac:dyDescent="0.3">
      <c r="A490" s="222">
        <v>6000793</v>
      </c>
      <c r="B490" s="222" t="s">
        <v>5339</v>
      </c>
      <c r="C490" s="241" t="s">
        <v>4778</v>
      </c>
      <c r="D490" s="237" t="s">
        <v>5436</v>
      </c>
      <c r="E490" s="236">
        <v>1311110567990</v>
      </c>
      <c r="F490" s="240" t="s">
        <v>4780</v>
      </c>
      <c r="G490" s="214">
        <v>0</v>
      </c>
      <c r="H490" s="231" t="s">
        <v>4771</v>
      </c>
      <c r="I490" s="231"/>
      <c r="J490" s="231"/>
      <c r="K490" s="231"/>
      <c r="L490" s="231"/>
      <c r="M490" s="231"/>
      <c r="N490" s="231" t="s">
        <v>4895</v>
      </c>
      <c r="O490" s="246"/>
      <c r="P490" s="246"/>
      <c r="Q490" s="225"/>
      <c r="R490" s="212" t="s">
        <v>4771</v>
      </c>
      <c r="S490" s="213" t="s">
        <v>4771</v>
      </c>
      <c r="T490" s="233" t="s">
        <v>5386</v>
      </c>
      <c r="U490" s="234" t="s">
        <v>4759</v>
      </c>
      <c r="V490" s="234">
        <v>45611</v>
      </c>
      <c r="W490" s="234" t="s">
        <v>4877</v>
      </c>
      <c r="X490" s="234" t="s">
        <v>2</v>
      </c>
      <c r="Y490" s="234"/>
      <c r="Z490" s="234"/>
      <c r="AA490" s="243">
        <v>202411</v>
      </c>
      <c r="AB490" s="243"/>
      <c r="AC490" s="244" t="s">
        <v>5210</v>
      </c>
      <c r="AD490" s="244" t="s">
        <v>4933</v>
      </c>
      <c r="AE490" s="245">
        <v>0</v>
      </c>
      <c r="AF490" s="244" t="s">
        <v>4933</v>
      </c>
      <c r="AG490" s="239" t="str">
        <f>IFERROR(VLOOKUP(작성용!A:A,RM!A:D,4,0),"-")</f>
        <v>-</v>
      </c>
      <c r="AH490" s="235" t="s">
        <v>4771</v>
      </c>
      <c r="AI490" s="235" t="s">
        <v>4771</v>
      </c>
      <c r="AJ490" s="235" t="s">
        <v>4771</v>
      </c>
      <c r="AK490" s="235" t="s">
        <v>5208</v>
      </c>
      <c r="AL490" s="235">
        <v>489</v>
      </c>
    </row>
    <row r="491" spans="1:38" x14ac:dyDescent="0.3">
      <c r="A491" s="222">
        <v>6000793</v>
      </c>
      <c r="B491" s="222" t="s">
        <v>5339</v>
      </c>
      <c r="C491" s="241" t="s">
        <v>4778</v>
      </c>
      <c r="D491" s="237" t="s">
        <v>5437</v>
      </c>
      <c r="E491" s="236">
        <v>1101114357110</v>
      </c>
      <c r="F491" s="240" t="s">
        <v>4854</v>
      </c>
      <c r="G491" s="214">
        <v>0</v>
      </c>
      <c r="H491" s="231" t="s">
        <v>4771</v>
      </c>
      <c r="I491" s="231"/>
      <c r="J491" s="231"/>
      <c r="K491" s="231"/>
      <c r="L491" s="231"/>
      <c r="M491" s="231"/>
      <c r="N491" s="231" t="s">
        <v>4895</v>
      </c>
      <c r="O491" s="246"/>
      <c r="P491" s="246"/>
      <c r="Q491" s="225"/>
      <c r="R491" s="212" t="s">
        <v>4771</v>
      </c>
      <c r="S491" s="213" t="s">
        <v>4771</v>
      </c>
      <c r="T491" s="233" t="s">
        <v>5386</v>
      </c>
      <c r="U491" s="234" t="s">
        <v>4759</v>
      </c>
      <c r="V491" s="234">
        <v>45611</v>
      </c>
      <c r="W491" s="234" t="s">
        <v>4877</v>
      </c>
      <c r="X491" s="234" t="s">
        <v>2</v>
      </c>
      <c r="Y491" s="234"/>
      <c r="Z491" s="234"/>
      <c r="AA491" s="243">
        <v>202411</v>
      </c>
      <c r="AB491" s="243"/>
      <c r="AC491" s="244" t="s">
        <v>5210</v>
      </c>
      <c r="AD491" s="244" t="s">
        <v>4856</v>
      </c>
      <c r="AE491" s="245">
        <v>0</v>
      </c>
      <c r="AF491" s="244" t="s">
        <v>4856</v>
      </c>
      <c r="AG491" s="239" t="str">
        <f>IFERROR(VLOOKUP(작성용!A:A,RM!A:D,4,0),"-")</f>
        <v>-</v>
      </c>
      <c r="AH491" s="235" t="s">
        <v>4771</v>
      </c>
      <c r="AI491" s="235" t="s">
        <v>4771</v>
      </c>
      <c r="AJ491" s="235" t="s">
        <v>4771</v>
      </c>
      <c r="AK491" s="235" t="s">
        <v>5208</v>
      </c>
      <c r="AL491" s="235">
        <v>490</v>
      </c>
    </row>
    <row r="492" spans="1:38" x14ac:dyDescent="0.3">
      <c r="A492" s="222">
        <v>6000793</v>
      </c>
      <c r="B492" s="222" t="s">
        <v>5339</v>
      </c>
      <c r="C492" s="241" t="s">
        <v>4778</v>
      </c>
      <c r="D492" s="237" t="s">
        <v>5438</v>
      </c>
      <c r="E492" s="236">
        <v>1101115449312</v>
      </c>
      <c r="F492" s="240" t="s">
        <v>4854</v>
      </c>
      <c r="G492" s="214">
        <v>0</v>
      </c>
      <c r="H492" s="231" t="s">
        <v>4771</v>
      </c>
      <c r="I492" s="231"/>
      <c r="J492" s="231"/>
      <c r="K492" s="231"/>
      <c r="L492" s="231"/>
      <c r="M492" s="231"/>
      <c r="N492" s="231" t="s">
        <v>4895</v>
      </c>
      <c r="O492" s="246"/>
      <c r="P492" s="246"/>
      <c r="Q492" s="225"/>
      <c r="R492" s="212" t="s">
        <v>4771</v>
      </c>
      <c r="S492" s="213" t="s">
        <v>4771</v>
      </c>
      <c r="T492" s="233" t="s">
        <v>5386</v>
      </c>
      <c r="U492" s="234" t="s">
        <v>4759</v>
      </c>
      <c r="V492" s="234">
        <v>45611</v>
      </c>
      <c r="W492" s="234" t="s">
        <v>4877</v>
      </c>
      <c r="X492" s="234" t="s">
        <v>2</v>
      </c>
      <c r="Y492" s="234"/>
      <c r="Z492" s="234"/>
      <c r="AA492" s="243">
        <v>202411</v>
      </c>
      <c r="AB492" s="243"/>
      <c r="AC492" s="244" t="s">
        <v>5210</v>
      </c>
      <c r="AD492" s="244" t="s">
        <v>4864</v>
      </c>
      <c r="AE492" s="245">
        <v>0.6</v>
      </c>
      <c r="AF492" s="244" t="s">
        <v>4864</v>
      </c>
      <c r="AG492" s="239" t="str">
        <f>IFERROR(VLOOKUP(작성용!A:A,RM!A:D,4,0),"-")</f>
        <v>-</v>
      </c>
      <c r="AH492" s="235" t="s">
        <v>4771</v>
      </c>
      <c r="AI492" s="235" t="s">
        <v>4771</v>
      </c>
      <c r="AJ492" s="235" t="s">
        <v>4771</v>
      </c>
      <c r="AK492" s="235" t="s">
        <v>5208</v>
      </c>
      <c r="AL492" s="235">
        <v>491</v>
      </c>
    </row>
    <row r="493" spans="1:38" x14ac:dyDescent="0.3">
      <c r="A493" s="229">
        <v>6000793</v>
      </c>
      <c r="B493" s="229" t="s">
        <v>5339</v>
      </c>
      <c r="C493" s="241" t="s">
        <v>4778</v>
      </c>
      <c r="D493" s="237" t="s">
        <v>5427</v>
      </c>
      <c r="E493" s="236">
        <v>1314110312464</v>
      </c>
      <c r="F493" s="240" t="s">
        <v>4850</v>
      </c>
      <c r="G493" s="214">
        <v>4</v>
      </c>
      <c r="H493" s="231" t="s">
        <v>4771</v>
      </c>
      <c r="I493" s="231"/>
      <c r="J493" s="231"/>
      <c r="K493" s="231"/>
      <c r="L493" s="231"/>
      <c r="M493" s="231"/>
      <c r="N493" s="231" t="s">
        <v>4895</v>
      </c>
      <c r="O493" s="246"/>
      <c r="P493" s="246"/>
      <c r="Q493" s="225"/>
      <c r="R493" s="212" t="s">
        <v>4771</v>
      </c>
      <c r="S493" s="213" t="s">
        <v>4771</v>
      </c>
      <c r="T493" s="233" t="s">
        <v>5386</v>
      </c>
      <c r="U493" s="234" t="s">
        <v>4759</v>
      </c>
      <c r="V493" s="234">
        <v>45611</v>
      </c>
      <c r="W493" s="234" t="s">
        <v>4877</v>
      </c>
      <c r="X493" s="234" t="s">
        <v>2</v>
      </c>
      <c r="Y493" s="234"/>
      <c r="Z493" s="234"/>
      <c r="AA493" s="243">
        <v>202411</v>
      </c>
      <c r="AB493" s="243"/>
      <c r="AC493" s="244" t="s">
        <v>4760</v>
      </c>
      <c r="AD493" s="244" t="s">
        <v>4860</v>
      </c>
      <c r="AE493" s="245">
        <v>0</v>
      </c>
      <c r="AF493" s="244" t="s">
        <v>4860</v>
      </c>
      <c r="AG493" s="239" t="str">
        <f>IFERROR(VLOOKUP(작성용!A:A,RM!A:D,4,0),"-")</f>
        <v>-</v>
      </c>
      <c r="AH493" s="235" t="s">
        <v>4771</v>
      </c>
      <c r="AI493" s="235" t="s">
        <v>4771</v>
      </c>
      <c r="AJ493" s="235" t="s">
        <v>4771</v>
      </c>
      <c r="AK493" s="235" t="s">
        <v>5208</v>
      </c>
      <c r="AL493" s="235">
        <v>492</v>
      </c>
    </row>
    <row r="494" spans="1:38" x14ac:dyDescent="0.3">
      <c r="A494" s="229">
        <v>6000809</v>
      </c>
      <c r="B494" s="229" t="s">
        <v>5342</v>
      </c>
      <c r="C494" s="241" t="s">
        <v>4778</v>
      </c>
      <c r="D494" s="237" t="s">
        <v>5439</v>
      </c>
      <c r="E494" s="236" t="s">
        <v>3920</v>
      </c>
      <c r="F494" s="240" t="s">
        <v>4894</v>
      </c>
      <c r="G494" s="214">
        <v>0</v>
      </c>
      <c r="H494" s="231" t="s">
        <v>4771</v>
      </c>
      <c r="I494" s="231"/>
      <c r="J494" s="231"/>
      <c r="K494" s="231"/>
      <c r="L494" s="231"/>
      <c r="M494" s="231"/>
      <c r="N494" s="231" t="s">
        <v>4895</v>
      </c>
      <c r="O494" s="246"/>
      <c r="P494" s="246"/>
      <c r="Q494" s="225"/>
      <c r="R494" s="212" t="s">
        <v>4771</v>
      </c>
      <c r="S494" s="213" t="s">
        <v>4771</v>
      </c>
      <c r="T494" s="233" t="s">
        <v>5386</v>
      </c>
      <c r="U494" s="234" t="s">
        <v>4759</v>
      </c>
      <c r="V494" s="234">
        <v>45611</v>
      </c>
      <c r="W494" s="234" t="s">
        <v>4877</v>
      </c>
      <c r="X494" s="234" t="s">
        <v>2</v>
      </c>
      <c r="Y494" s="234"/>
      <c r="Z494" s="234"/>
      <c r="AA494" s="243">
        <v>202411</v>
      </c>
      <c r="AB494" s="243"/>
      <c r="AC494" s="244" t="s">
        <v>5210</v>
      </c>
      <c r="AD494" s="244" t="s">
        <v>4858</v>
      </c>
      <c r="AE494" s="245">
        <v>0.6</v>
      </c>
      <c r="AF494" s="244" t="s">
        <v>4858</v>
      </c>
      <c r="AG494" s="239" t="str">
        <f>IFERROR(VLOOKUP(작성용!A:A,RM!A:D,4,0),"-")</f>
        <v>-</v>
      </c>
      <c r="AH494" s="235" t="s">
        <v>4771</v>
      </c>
      <c r="AI494" s="235" t="s">
        <v>4771</v>
      </c>
      <c r="AJ494" s="235" t="s">
        <v>4771</v>
      </c>
      <c r="AK494" s="235" t="s">
        <v>5208</v>
      </c>
      <c r="AL494" s="235">
        <v>493</v>
      </c>
    </row>
    <row r="495" spans="1:38" x14ac:dyDescent="0.3">
      <c r="A495" s="229">
        <v>6000809</v>
      </c>
      <c r="B495" s="229" t="s">
        <v>5342</v>
      </c>
      <c r="C495" s="241" t="s">
        <v>4778</v>
      </c>
      <c r="D495" s="237" t="s">
        <v>5440</v>
      </c>
      <c r="E495" s="236">
        <v>1101117455630</v>
      </c>
      <c r="F495" s="240" t="s">
        <v>4850</v>
      </c>
      <c r="G495" s="214">
        <v>0</v>
      </c>
      <c r="H495" s="231" t="s">
        <v>4771</v>
      </c>
      <c r="I495" s="231"/>
      <c r="J495" s="231"/>
      <c r="K495" s="231"/>
      <c r="L495" s="231"/>
      <c r="M495" s="231"/>
      <c r="N495" s="231" t="s">
        <v>4895</v>
      </c>
      <c r="O495" s="246"/>
      <c r="P495" s="246"/>
      <c r="Q495" s="225"/>
      <c r="R495" s="212" t="s">
        <v>4771</v>
      </c>
      <c r="S495" s="213" t="s">
        <v>4771</v>
      </c>
      <c r="T495" s="233" t="s">
        <v>5386</v>
      </c>
      <c r="U495" s="234" t="s">
        <v>4759</v>
      </c>
      <c r="V495" s="234">
        <v>45611</v>
      </c>
      <c r="W495" s="234" t="s">
        <v>4877</v>
      </c>
      <c r="X495" s="234" t="s">
        <v>2</v>
      </c>
      <c r="Y495" s="234"/>
      <c r="Z495" s="234"/>
      <c r="AA495" s="243">
        <v>202411</v>
      </c>
      <c r="AB495" s="243"/>
      <c r="AC495" s="244" t="s">
        <v>5210</v>
      </c>
      <c r="AD495" s="244" t="s">
        <v>4845</v>
      </c>
      <c r="AE495" s="245">
        <v>0</v>
      </c>
      <c r="AF495" s="244" t="s">
        <v>4845</v>
      </c>
      <c r="AG495" s="239" t="str">
        <f>IFERROR(VLOOKUP(작성용!A:A,RM!A:D,4,0),"-")</f>
        <v>-</v>
      </c>
      <c r="AH495" s="235" t="s">
        <v>4771</v>
      </c>
      <c r="AI495" s="235" t="s">
        <v>4771</v>
      </c>
      <c r="AJ495" s="235" t="s">
        <v>4771</v>
      </c>
      <c r="AK495" s="235" t="s">
        <v>5208</v>
      </c>
      <c r="AL495" s="235">
        <v>494</v>
      </c>
    </row>
    <row r="496" spans="1:38" x14ac:dyDescent="0.3">
      <c r="A496" s="229">
        <v>6000809</v>
      </c>
      <c r="B496" s="229" t="s">
        <v>5342</v>
      </c>
      <c r="C496" s="241" t="s">
        <v>4778</v>
      </c>
      <c r="D496" s="237" t="s">
        <v>5441</v>
      </c>
      <c r="E496" s="236" t="s">
        <v>4574</v>
      </c>
      <c r="F496" s="240" t="s">
        <v>4894</v>
      </c>
      <c r="G496" s="214">
        <v>0</v>
      </c>
      <c r="H496" s="231" t="s">
        <v>4771</v>
      </c>
      <c r="I496" s="231"/>
      <c r="J496" s="231"/>
      <c r="K496" s="231"/>
      <c r="L496" s="231"/>
      <c r="M496" s="231"/>
      <c r="N496" s="231" t="s">
        <v>4895</v>
      </c>
      <c r="O496" s="246"/>
      <c r="P496" s="246"/>
      <c r="Q496" s="225"/>
      <c r="R496" s="212" t="s">
        <v>4771</v>
      </c>
      <c r="S496" s="213" t="s">
        <v>4771</v>
      </c>
      <c r="T496" s="233" t="s">
        <v>5386</v>
      </c>
      <c r="U496" s="234" t="s">
        <v>4759</v>
      </c>
      <c r="V496" s="234">
        <v>45611</v>
      </c>
      <c r="W496" s="234" t="s">
        <v>4877</v>
      </c>
      <c r="X496" s="234" t="s">
        <v>2</v>
      </c>
      <c r="Y496" s="234"/>
      <c r="Z496" s="234"/>
      <c r="AA496" s="243">
        <v>202411</v>
      </c>
      <c r="AB496" s="243"/>
      <c r="AC496" s="244" t="s">
        <v>5210</v>
      </c>
      <c r="AD496" s="244" t="s">
        <v>4860</v>
      </c>
      <c r="AE496" s="245">
        <v>0</v>
      </c>
      <c r="AF496" s="244" t="s">
        <v>4860</v>
      </c>
      <c r="AG496" s="239" t="str">
        <f>IFERROR(VLOOKUP(작성용!A:A,RM!A:D,4,0),"-")</f>
        <v>-</v>
      </c>
      <c r="AH496" s="235" t="s">
        <v>4771</v>
      </c>
      <c r="AI496" s="235" t="s">
        <v>4771</v>
      </c>
      <c r="AJ496" s="235" t="s">
        <v>4771</v>
      </c>
      <c r="AK496" s="235" t="s">
        <v>5208</v>
      </c>
      <c r="AL496" s="235">
        <v>495</v>
      </c>
    </row>
    <row r="497" spans="1:38" x14ac:dyDescent="0.3">
      <c r="A497" s="229">
        <v>6000809</v>
      </c>
      <c r="B497" s="229" t="s">
        <v>5342</v>
      </c>
      <c r="C497" s="241" t="s">
        <v>4778</v>
      </c>
      <c r="D497" s="237" t="s">
        <v>5442</v>
      </c>
      <c r="E497" s="236" t="s">
        <v>4575</v>
      </c>
      <c r="F497" s="240" t="s">
        <v>4894</v>
      </c>
      <c r="G497" s="214">
        <v>0</v>
      </c>
      <c r="H497" s="231" t="s">
        <v>4771</v>
      </c>
      <c r="I497" s="231"/>
      <c r="J497" s="231"/>
      <c r="K497" s="231"/>
      <c r="L497" s="231"/>
      <c r="M497" s="231"/>
      <c r="N497" s="231" t="s">
        <v>4895</v>
      </c>
      <c r="O497" s="246"/>
      <c r="P497" s="246"/>
      <c r="Q497" s="225"/>
      <c r="R497" s="212" t="s">
        <v>4771</v>
      </c>
      <c r="S497" s="213" t="s">
        <v>4771</v>
      </c>
      <c r="T497" s="233" t="s">
        <v>5386</v>
      </c>
      <c r="U497" s="234" t="s">
        <v>4759</v>
      </c>
      <c r="V497" s="234">
        <v>45611</v>
      </c>
      <c r="W497" s="234" t="s">
        <v>4877</v>
      </c>
      <c r="X497" s="234" t="s">
        <v>2</v>
      </c>
      <c r="Y497" s="234"/>
      <c r="Z497" s="234"/>
      <c r="AA497" s="243">
        <v>202411</v>
      </c>
      <c r="AB497" s="243"/>
      <c r="AC497" s="244" t="s">
        <v>5210</v>
      </c>
      <c r="AD497" s="244" t="s">
        <v>4982</v>
      </c>
      <c r="AE497" s="245">
        <v>0</v>
      </c>
      <c r="AF497" s="244" t="s">
        <v>4982</v>
      </c>
      <c r="AG497" s="239" t="str">
        <f>IFERROR(VLOOKUP(작성용!A:A,RM!A:D,4,0),"-")</f>
        <v>-</v>
      </c>
      <c r="AH497" s="235" t="s">
        <v>4771</v>
      </c>
      <c r="AI497" s="235" t="s">
        <v>4771</v>
      </c>
      <c r="AJ497" s="235" t="s">
        <v>4771</v>
      </c>
      <c r="AK497" s="235" t="s">
        <v>5208</v>
      </c>
      <c r="AL497" s="235">
        <v>496</v>
      </c>
    </row>
    <row r="498" spans="1:38" x14ac:dyDescent="0.3">
      <c r="A498" s="229">
        <v>6000809</v>
      </c>
      <c r="B498" s="229" t="s">
        <v>5342</v>
      </c>
      <c r="C498" s="241" t="s">
        <v>4778</v>
      </c>
      <c r="D498" s="237" t="s">
        <v>5443</v>
      </c>
      <c r="E498" s="236" t="s">
        <v>4576</v>
      </c>
      <c r="F498" s="240" t="s">
        <v>4894</v>
      </c>
      <c r="G498" s="214">
        <v>0</v>
      </c>
      <c r="H498" s="231" t="s">
        <v>4771</v>
      </c>
      <c r="I498" s="231"/>
      <c r="J498" s="231"/>
      <c r="K498" s="231"/>
      <c r="L498" s="231"/>
      <c r="M498" s="231"/>
      <c r="N498" s="231" t="s">
        <v>4895</v>
      </c>
      <c r="O498" s="246"/>
      <c r="P498" s="246"/>
      <c r="Q498" s="225"/>
      <c r="R498" s="212" t="s">
        <v>4771</v>
      </c>
      <c r="S498" s="213" t="s">
        <v>4771</v>
      </c>
      <c r="T498" s="233" t="s">
        <v>5386</v>
      </c>
      <c r="U498" s="234" t="s">
        <v>4759</v>
      </c>
      <c r="V498" s="234">
        <v>45611</v>
      </c>
      <c r="W498" s="234" t="s">
        <v>4877</v>
      </c>
      <c r="X498" s="234" t="s">
        <v>2</v>
      </c>
      <c r="Y498" s="234"/>
      <c r="Z498" s="234"/>
      <c r="AA498" s="243">
        <v>202411</v>
      </c>
      <c r="AB498" s="243"/>
      <c r="AC498" s="244" t="s">
        <v>5210</v>
      </c>
      <c r="AD498" s="244" t="s">
        <v>4862</v>
      </c>
      <c r="AE498" s="245">
        <v>0</v>
      </c>
      <c r="AF498" s="244" t="s">
        <v>4862</v>
      </c>
      <c r="AG498" s="239" t="str">
        <f>IFERROR(VLOOKUP(작성용!A:A,RM!A:D,4,0),"-")</f>
        <v>-</v>
      </c>
      <c r="AH498" s="235" t="s">
        <v>4771</v>
      </c>
      <c r="AI498" s="235" t="s">
        <v>4771</v>
      </c>
      <c r="AJ498" s="235" t="s">
        <v>4771</v>
      </c>
      <c r="AK498" s="235" t="s">
        <v>5208</v>
      </c>
      <c r="AL498" s="235">
        <v>497</v>
      </c>
    </row>
    <row r="499" spans="1:38" x14ac:dyDescent="0.3">
      <c r="A499" s="229">
        <v>6000809</v>
      </c>
      <c r="B499" s="229" t="s">
        <v>5342</v>
      </c>
      <c r="C499" s="241" t="s">
        <v>4778</v>
      </c>
      <c r="D499" s="237" t="s">
        <v>5444</v>
      </c>
      <c r="E499" s="236" t="s">
        <v>4577</v>
      </c>
      <c r="F499" s="240" t="s">
        <v>4894</v>
      </c>
      <c r="G499" s="214">
        <v>0</v>
      </c>
      <c r="H499" s="231" t="s">
        <v>4771</v>
      </c>
      <c r="I499" s="231"/>
      <c r="J499" s="231"/>
      <c r="K499" s="231"/>
      <c r="L499" s="231"/>
      <c r="M499" s="231"/>
      <c r="N499" s="231" t="s">
        <v>4895</v>
      </c>
      <c r="O499" s="246"/>
      <c r="P499" s="246"/>
      <c r="Q499" s="225"/>
      <c r="R499" s="212" t="s">
        <v>4771</v>
      </c>
      <c r="S499" s="213" t="s">
        <v>4771</v>
      </c>
      <c r="T499" s="233" t="s">
        <v>5386</v>
      </c>
      <c r="U499" s="234" t="s">
        <v>4759</v>
      </c>
      <c r="V499" s="234">
        <v>45611</v>
      </c>
      <c r="W499" s="234" t="s">
        <v>4877</v>
      </c>
      <c r="X499" s="234" t="s">
        <v>2</v>
      </c>
      <c r="Y499" s="234"/>
      <c r="Z499" s="234"/>
      <c r="AA499" s="243">
        <v>202411</v>
      </c>
      <c r="AB499" s="243"/>
      <c r="AC499" s="244" t="s">
        <v>5210</v>
      </c>
      <c r="AD499" s="244" t="s">
        <v>4860</v>
      </c>
      <c r="AE499" s="245">
        <v>0</v>
      </c>
      <c r="AF499" s="244" t="s">
        <v>4860</v>
      </c>
      <c r="AG499" s="239" t="str">
        <f>IFERROR(VLOOKUP(작성용!A:A,RM!A:D,4,0),"-")</f>
        <v>-</v>
      </c>
      <c r="AH499" s="235" t="s">
        <v>4771</v>
      </c>
      <c r="AI499" s="235" t="s">
        <v>4771</v>
      </c>
      <c r="AJ499" s="235" t="s">
        <v>4771</v>
      </c>
      <c r="AK499" s="235" t="s">
        <v>5208</v>
      </c>
      <c r="AL499" s="235">
        <v>498</v>
      </c>
    </row>
    <row r="500" spans="1:38" x14ac:dyDescent="0.3">
      <c r="A500" s="229">
        <v>6000809</v>
      </c>
      <c r="B500" s="229" t="s">
        <v>5342</v>
      </c>
      <c r="C500" s="241" t="s">
        <v>4778</v>
      </c>
      <c r="D500" s="237" t="s">
        <v>5444</v>
      </c>
      <c r="E500" s="236" t="s">
        <v>4577</v>
      </c>
      <c r="F500" s="240" t="s">
        <v>4894</v>
      </c>
      <c r="G500" s="214">
        <v>0</v>
      </c>
      <c r="H500" s="231" t="s">
        <v>4771</v>
      </c>
      <c r="I500" s="231"/>
      <c r="J500" s="231"/>
      <c r="K500" s="231"/>
      <c r="L500" s="231"/>
      <c r="M500" s="231"/>
      <c r="N500" s="231" t="s">
        <v>4895</v>
      </c>
      <c r="O500" s="246"/>
      <c r="P500" s="246"/>
      <c r="Q500" s="225"/>
      <c r="R500" s="212" t="s">
        <v>4771</v>
      </c>
      <c r="S500" s="213" t="s">
        <v>4771</v>
      </c>
      <c r="T500" s="233" t="s">
        <v>5386</v>
      </c>
      <c r="U500" s="234" t="s">
        <v>4759</v>
      </c>
      <c r="V500" s="234">
        <v>45611</v>
      </c>
      <c r="W500" s="234" t="s">
        <v>4877</v>
      </c>
      <c r="X500" s="234" t="s">
        <v>2</v>
      </c>
      <c r="Y500" s="234"/>
      <c r="Z500" s="234"/>
      <c r="AA500" s="243">
        <v>202411</v>
      </c>
      <c r="AB500" s="243"/>
      <c r="AC500" s="244" t="s">
        <v>5210</v>
      </c>
      <c r="AD500" s="244" t="s">
        <v>4860</v>
      </c>
      <c r="AE500" s="245">
        <v>0</v>
      </c>
      <c r="AF500" s="244" t="s">
        <v>4860</v>
      </c>
      <c r="AG500" s="239" t="str">
        <f>IFERROR(VLOOKUP(작성용!A:A,RM!A:D,4,0),"-")</f>
        <v>-</v>
      </c>
      <c r="AH500" s="235" t="s">
        <v>4771</v>
      </c>
      <c r="AI500" s="235" t="s">
        <v>4771</v>
      </c>
      <c r="AJ500" s="235" t="s">
        <v>4771</v>
      </c>
      <c r="AK500" s="235" t="s">
        <v>5208</v>
      </c>
      <c r="AL500" s="235">
        <v>499</v>
      </c>
    </row>
    <row r="501" spans="1:38" x14ac:dyDescent="0.3">
      <c r="A501" s="229">
        <v>6000809</v>
      </c>
      <c r="B501" s="229" t="s">
        <v>5342</v>
      </c>
      <c r="C501" s="241" t="s">
        <v>4778</v>
      </c>
      <c r="D501" s="237" t="s">
        <v>5445</v>
      </c>
      <c r="E501" s="236">
        <v>1101116198570</v>
      </c>
      <c r="F501" s="240" t="s">
        <v>4854</v>
      </c>
      <c r="G501" s="214">
        <v>0</v>
      </c>
      <c r="H501" s="231" t="s">
        <v>4771</v>
      </c>
      <c r="I501" s="231"/>
      <c r="J501" s="231"/>
      <c r="K501" s="231"/>
      <c r="L501" s="231"/>
      <c r="M501" s="231"/>
      <c r="N501" s="231" t="s">
        <v>4895</v>
      </c>
      <c r="O501" s="246"/>
      <c r="P501" s="246"/>
      <c r="Q501" s="225"/>
      <c r="R501" s="212" t="s">
        <v>4771</v>
      </c>
      <c r="S501" s="213" t="s">
        <v>4771</v>
      </c>
      <c r="T501" s="233" t="s">
        <v>5386</v>
      </c>
      <c r="U501" s="234" t="s">
        <v>4759</v>
      </c>
      <c r="V501" s="234">
        <v>45611</v>
      </c>
      <c r="W501" s="234" t="s">
        <v>4877</v>
      </c>
      <c r="X501" s="234" t="s">
        <v>2</v>
      </c>
      <c r="Y501" s="234"/>
      <c r="Z501" s="234"/>
      <c r="AA501" s="243">
        <v>202411</v>
      </c>
      <c r="AB501" s="243"/>
      <c r="AC501" s="244" t="s">
        <v>5210</v>
      </c>
      <c r="AD501" s="244" t="s">
        <v>4761</v>
      </c>
      <c r="AE501" s="245">
        <v>0</v>
      </c>
      <c r="AF501" s="244" t="s">
        <v>4761</v>
      </c>
      <c r="AG501" s="239" t="str">
        <f>IFERROR(VLOOKUP(작성용!A:A,RM!A:D,4,0),"-")</f>
        <v>-</v>
      </c>
      <c r="AH501" s="235" t="s">
        <v>4771</v>
      </c>
      <c r="AI501" s="235" t="s">
        <v>4771</v>
      </c>
      <c r="AJ501" s="235" t="s">
        <v>4771</v>
      </c>
      <c r="AK501" s="235" t="s">
        <v>5208</v>
      </c>
      <c r="AL501" s="235">
        <v>500</v>
      </c>
    </row>
    <row r="502" spans="1:38" x14ac:dyDescent="0.3">
      <c r="A502" s="229">
        <v>6000809</v>
      </c>
      <c r="B502" s="229" t="s">
        <v>5342</v>
      </c>
      <c r="C502" s="241" t="s">
        <v>4778</v>
      </c>
      <c r="D502" s="237" t="s">
        <v>5445</v>
      </c>
      <c r="E502" s="236">
        <v>1101116198570</v>
      </c>
      <c r="F502" s="240" t="s">
        <v>4850</v>
      </c>
      <c r="G502" s="214">
        <v>0</v>
      </c>
      <c r="H502" s="231" t="s">
        <v>4771</v>
      </c>
      <c r="I502" s="231"/>
      <c r="J502" s="231"/>
      <c r="K502" s="231"/>
      <c r="L502" s="231"/>
      <c r="M502" s="231"/>
      <c r="N502" s="231" t="s">
        <v>4895</v>
      </c>
      <c r="O502" s="246"/>
      <c r="P502" s="246"/>
      <c r="Q502" s="225"/>
      <c r="R502" s="212" t="s">
        <v>4771</v>
      </c>
      <c r="S502" s="213" t="s">
        <v>4771</v>
      </c>
      <c r="T502" s="233" t="s">
        <v>5386</v>
      </c>
      <c r="U502" s="234" t="s">
        <v>4759</v>
      </c>
      <c r="V502" s="234">
        <v>45611</v>
      </c>
      <c r="W502" s="234" t="s">
        <v>4877</v>
      </c>
      <c r="X502" s="234" t="s">
        <v>2</v>
      </c>
      <c r="Y502" s="234"/>
      <c r="Z502" s="234"/>
      <c r="AA502" s="243">
        <v>202411</v>
      </c>
      <c r="AB502" s="243"/>
      <c r="AC502" s="244" t="s">
        <v>5210</v>
      </c>
      <c r="AD502" s="244" t="s">
        <v>4761</v>
      </c>
      <c r="AE502" s="245">
        <v>0</v>
      </c>
      <c r="AF502" s="244" t="s">
        <v>4761</v>
      </c>
      <c r="AG502" s="239" t="str">
        <f>IFERROR(VLOOKUP(작성용!A:A,RM!A:D,4,0),"-")</f>
        <v>-</v>
      </c>
      <c r="AH502" s="235" t="s">
        <v>4771</v>
      </c>
      <c r="AI502" s="235" t="s">
        <v>4771</v>
      </c>
      <c r="AJ502" s="235" t="s">
        <v>4771</v>
      </c>
      <c r="AK502" s="235" t="s">
        <v>5208</v>
      </c>
      <c r="AL502" s="235">
        <v>501</v>
      </c>
    </row>
    <row r="503" spans="1:38" x14ac:dyDescent="0.3">
      <c r="A503" s="229">
        <v>6000809</v>
      </c>
      <c r="B503" s="229" t="s">
        <v>5342</v>
      </c>
      <c r="C503" s="241" t="s">
        <v>4778</v>
      </c>
      <c r="D503" s="237" t="s">
        <v>5446</v>
      </c>
      <c r="E503" s="236">
        <v>1101115460087</v>
      </c>
      <c r="F503" s="240" t="s">
        <v>4894</v>
      </c>
      <c r="G503" s="214">
        <v>0</v>
      </c>
      <c r="H503" s="231" t="s">
        <v>4771</v>
      </c>
      <c r="I503" s="231"/>
      <c r="J503" s="231"/>
      <c r="K503" s="231"/>
      <c r="L503" s="231"/>
      <c r="M503" s="231"/>
      <c r="N503" s="231" t="s">
        <v>4895</v>
      </c>
      <c r="O503" s="246"/>
      <c r="P503" s="246"/>
      <c r="Q503" s="225"/>
      <c r="R503" s="212" t="s">
        <v>4771</v>
      </c>
      <c r="S503" s="213" t="s">
        <v>4771</v>
      </c>
      <c r="T503" s="233" t="s">
        <v>5386</v>
      </c>
      <c r="U503" s="234" t="s">
        <v>4759</v>
      </c>
      <c r="V503" s="234">
        <v>45611</v>
      </c>
      <c r="W503" s="234" t="s">
        <v>4877</v>
      </c>
      <c r="X503" s="234" t="s">
        <v>2</v>
      </c>
      <c r="Y503" s="234"/>
      <c r="Z503" s="234"/>
      <c r="AA503" s="243">
        <v>202411</v>
      </c>
      <c r="AB503" s="243"/>
      <c r="AC503" s="244" t="s">
        <v>5210</v>
      </c>
      <c r="AD503" s="244" t="s">
        <v>4897</v>
      </c>
      <c r="AE503" s="245">
        <v>0.6</v>
      </c>
      <c r="AF503" s="244" t="s">
        <v>4999</v>
      </c>
      <c r="AG503" s="239" t="str">
        <f>IFERROR(VLOOKUP(작성용!A:A,RM!A:D,4,0),"-")</f>
        <v>-</v>
      </c>
      <c r="AH503" s="235" t="s">
        <v>4767</v>
      </c>
      <c r="AI503" s="235" t="s">
        <v>4771</v>
      </c>
      <c r="AJ503" s="235" t="s">
        <v>4771</v>
      </c>
      <c r="AK503" s="235" t="s">
        <v>5208</v>
      </c>
      <c r="AL503" s="235">
        <v>502</v>
      </c>
    </row>
    <row r="504" spans="1:38" x14ac:dyDescent="0.3">
      <c r="A504" s="222">
        <v>6000799</v>
      </c>
      <c r="B504" s="222" t="s">
        <v>5343</v>
      </c>
      <c r="C504" s="241" t="s">
        <v>4765</v>
      </c>
      <c r="D504" s="237" t="s">
        <v>5447</v>
      </c>
      <c r="E504" s="236">
        <v>1311110601384</v>
      </c>
      <c r="F504" s="240" t="s">
        <v>4850</v>
      </c>
      <c r="G504" s="214">
        <v>3</v>
      </c>
      <c r="H504" s="231" t="s">
        <v>4771</v>
      </c>
      <c r="I504" s="231"/>
      <c r="J504" s="231"/>
      <c r="K504" s="231"/>
      <c r="L504" s="231"/>
      <c r="M504" s="231"/>
      <c r="N504" s="231" t="s">
        <v>4895</v>
      </c>
      <c r="O504" s="246"/>
      <c r="P504" s="246"/>
      <c r="Q504" s="225"/>
      <c r="R504" s="212" t="s">
        <v>4771</v>
      </c>
      <c r="S504" s="213" t="s">
        <v>4771</v>
      </c>
      <c r="T504" s="233" t="s">
        <v>5386</v>
      </c>
      <c r="U504" s="234" t="s">
        <v>4759</v>
      </c>
      <c r="V504" s="234">
        <v>45611</v>
      </c>
      <c r="W504" s="234" t="s">
        <v>4877</v>
      </c>
      <c r="X504" s="234" t="s">
        <v>2</v>
      </c>
      <c r="Y504" s="234"/>
      <c r="Z504" s="234"/>
      <c r="AA504" s="243">
        <v>202411</v>
      </c>
      <c r="AB504" s="243"/>
      <c r="AC504" s="244" t="s">
        <v>5210</v>
      </c>
      <c r="AD504" s="244" t="s">
        <v>4846</v>
      </c>
      <c r="AE504" s="245">
        <v>0</v>
      </c>
      <c r="AF504" s="244" t="s">
        <v>4846</v>
      </c>
      <c r="AG504" s="239" t="str">
        <f>IFERROR(VLOOKUP(작성용!A:A,RM!A:D,4,0),"-")</f>
        <v>-</v>
      </c>
      <c r="AH504" s="235" t="s">
        <v>4771</v>
      </c>
      <c r="AI504" s="235" t="s">
        <v>4771</v>
      </c>
      <c r="AJ504" s="235" t="s">
        <v>4771</v>
      </c>
      <c r="AK504" s="235" t="s">
        <v>5208</v>
      </c>
      <c r="AL504" s="235">
        <v>503</v>
      </c>
    </row>
    <row r="505" spans="1:38" x14ac:dyDescent="0.3">
      <c r="A505" s="222">
        <v>6000799</v>
      </c>
      <c r="B505" s="222" t="s">
        <v>5343</v>
      </c>
      <c r="C505" s="241" t="s">
        <v>4778</v>
      </c>
      <c r="D505" s="237" t="s">
        <v>5448</v>
      </c>
      <c r="E505" s="236">
        <v>1311110626481</v>
      </c>
      <c r="F505" s="240" t="s">
        <v>4854</v>
      </c>
      <c r="G505" s="214">
        <v>0</v>
      </c>
      <c r="H505" s="231" t="s">
        <v>4771</v>
      </c>
      <c r="I505" s="231"/>
      <c r="J505" s="231"/>
      <c r="K505" s="231"/>
      <c r="L505" s="231"/>
      <c r="M505" s="231"/>
      <c r="N505" s="231" t="s">
        <v>4895</v>
      </c>
      <c r="O505" s="246"/>
      <c r="P505" s="246"/>
      <c r="Q505" s="225"/>
      <c r="R505" s="212" t="s">
        <v>4771</v>
      </c>
      <c r="S505" s="213" t="s">
        <v>4771</v>
      </c>
      <c r="T505" s="233" t="s">
        <v>5386</v>
      </c>
      <c r="U505" s="234" t="s">
        <v>4759</v>
      </c>
      <c r="V505" s="234">
        <v>45611</v>
      </c>
      <c r="W505" s="234" t="s">
        <v>4877</v>
      </c>
      <c r="X505" s="234" t="s">
        <v>2</v>
      </c>
      <c r="Y505" s="234"/>
      <c r="Z505" s="234"/>
      <c r="AA505" s="243">
        <v>202411</v>
      </c>
      <c r="AB505" s="243"/>
      <c r="AC505" s="244" t="s">
        <v>5210</v>
      </c>
      <c r="AD505" s="244" t="s">
        <v>3646</v>
      </c>
      <c r="AE505" s="245">
        <v>0</v>
      </c>
      <c r="AF505" s="244" t="s">
        <v>5144</v>
      </c>
      <c r="AG505" s="239" t="str">
        <f>IFERROR(VLOOKUP(작성용!A:A,RM!A:D,4,0),"-")</f>
        <v>-</v>
      </c>
      <c r="AH505" s="235" t="s">
        <v>4771</v>
      </c>
      <c r="AI505" s="235" t="s">
        <v>4771</v>
      </c>
      <c r="AJ505" s="235" t="s">
        <v>4771</v>
      </c>
      <c r="AK505" s="235" t="s">
        <v>5208</v>
      </c>
      <c r="AL505" s="235">
        <v>504</v>
      </c>
    </row>
    <row r="506" spans="1:38" x14ac:dyDescent="0.3">
      <c r="A506" s="222">
        <v>6000799</v>
      </c>
      <c r="B506" s="222" t="s">
        <v>5343</v>
      </c>
      <c r="C506" s="241" t="s">
        <v>4778</v>
      </c>
      <c r="D506" s="237" t="s">
        <v>5449</v>
      </c>
      <c r="E506" s="236">
        <v>1101117031729</v>
      </c>
      <c r="F506" s="240" t="s">
        <v>4854</v>
      </c>
      <c r="G506" s="214">
        <v>0</v>
      </c>
      <c r="H506" s="231" t="s">
        <v>4771</v>
      </c>
      <c r="I506" s="231"/>
      <c r="J506" s="231"/>
      <c r="K506" s="231"/>
      <c r="L506" s="231"/>
      <c r="M506" s="231"/>
      <c r="N506" s="231" t="s">
        <v>4895</v>
      </c>
      <c r="O506" s="246"/>
      <c r="P506" s="246"/>
      <c r="Q506" s="225"/>
      <c r="R506" s="212" t="s">
        <v>4771</v>
      </c>
      <c r="S506" s="213" t="s">
        <v>4771</v>
      </c>
      <c r="T506" s="233" t="s">
        <v>5386</v>
      </c>
      <c r="U506" s="234" t="s">
        <v>4759</v>
      </c>
      <c r="V506" s="234">
        <v>45611</v>
      </c>
      <c r="W506" s="234" t="s">
        <v>4877</v>
      </c>
      <c r="X506" s="234" t="s">
        <v>2</v>
      </c>
      <c r="Y506" s="234"/>
      <c r="Z506" s="234"/>
      <c r="AA506" s="243">
        <v>202411</v>
      </c>
      <c r="AB506" s="243"/>
      <c r="AC506" s="244" t="s">
        <v>5210</v>
      </c>
      <c r="AD506" s="244" t="s">
        <v>4860</v>
      </c>
      <c r="AE506" s="245">
        <v>0</v>
      </c>
      <c r="AF506" s="244" t="s">
        <v>4860</v>
      </c>
      <c r="AG506" s="239" t="str">
        <f>IFERROR(VLOOKUP(작성용!A:A,RM!A:D,4,0),"-")</f>
        <v>-</v>
      </c>
      <c r="AH506" s="235" t="s">
        <v>4771</v>
      </c>
      <c r="AI506" s="235" t="s">
        <v>4771</v>
      </c>
      <c r="AJ506" s="235" t="s">
        <v>4771</v>
      </c>
      <c r="AK506" s="235" t="s">
        <v>5208</v>
      </c>
      <c r="AL506" s="235">
        <v>505</v>
      </c>
    </row>
    <row r="507" spans="1:38" x14ac:dyDescent="0.3">
      <c r="A507" s="222">
        <v>6000799</v>
      </c>
      <c r="B507" s="222" t="s">
        <v>5343</v>
      </c>
      <c r="C507" s="241" t="s">
        <v>4778</v>
      </c>
      <c r="D507" s="237" t="s">
        <v>5449</v>
      </c>
      <c r="E507" s="236">
        <v>1101117031729</v>
      </c>
      <c r="F507" s="240" t="s">
        <v>4850</v>
      </c>
      <c r="G507" s="214">
        <v>0</v>
      </c>
      <c r="H507" s="231" t="s">
        <v>4771</v>
      </c>
      <c r="I507" s="231"/>
      <c r="J507" s="231"/>
      <c r="K507" s="231"/>
      <c r="L507" s="231"/>
      <c r="M507" s="231"/>
      <c r="N507" s="231" t="s">
        <v>4895</v>
      </c>
      <c r="O507" s="246"/>
      <c r="P507" s="246"/>
      <c r="Q507" s="225"/>
      <c r="R507" s="212" t="s">
        <v>4771</v>
      </c>
      <c r="S507" s="213" t="s">
        <v>4771</v>
      </c>
      <c r="T507" s="233" t="s">
        <v>5386</v>
      </c>
      <c r="U507" s="234" t="s">
        <v>4759</v>
      </c>
      <c r="V507" s="234">
        <v>45611</v>
      </c>
      <c r="W507" s="234" t="s">
        <v>4877</v>
      </c>
      <c r="X507" s="234" t="s">
        <v>2</v>
      </c>
      <c r="Y507" s="234"/>
      <c r="Z507" s="234"/>
      <c r="AA507" s="243">
        <v>202411</v>
      </c>
      <c r="AB507" s="243"/>
      <c r="AC507" s="244" t="s">
        <v>5210</v>
      </c>
      <c r="AD507" s="244" t="s">
        <v>4860</v>
      </c>
      <c r="AE507" s="245">
        <v>0</v>
      </c>
      <c r="AF507" s="244" t="s">
        <v>4860</v>
      </c>
      <c r="AG507" s="239" t="str">
        <f>IFERROR(VLOOKUP(작성용!A:A,RM!A:D,4,0),"-")</f>
        <v>-</v>
      </c>
      <c r="AH507" s="235" t="s">
        <v>4771</v>
      </c>
      <c r="AI507" s="235" t="s">
        <v>4771</v>
      </c>
      <c r="AJ507" s="235" t="s">
        <v>4771</v>
      </c>
      <c r="AK507" s="235" t="s">
        <v>5208</v>
      </c>
      <c r="AL507" s="235">
        <v>506</v>
      </c>
    </row>
    <row r="508" spans="1:38" x14ac:dyDescent="0.3">
      <c r="A508" s="222">
        <v>6000799</v>
      </c>
      <c r="B508" s="222" t="s">
        <v>5343</v>
      </c>
      <c r="C508" s="241" t="s">
        <v>4778</v>
      </c>
      <c r="D508" s="237" t="s">
        <v>5450</v>
      </c>
      <c r="E508" s="236">
        <v>1101117537842</v>
      </c>
      <c r="F508" s="240" t="s">
        <v>4850</v>
      </c>
      <c r="G508" s="214">
        <v>0</v>
      </c>
      <c r="H508" s="231" t="s">
        <v>4771</v>
      </c>
      <c r="I508" s="231"/>
      <c r="J508" s="231"/>
      <c r="K508" s="231"/>
      <c r="L508" s="231"/>
      <c r="M508" s="231"/>
      <c r="N508" s="231" t="s">
        <v>4895</v>
      </c>
      <c r="O508" s="246"/>
      <c r="P508" s="246"/>
      <c r="Q508" s="225"/>
      <c r="R508" s="212" t="s">
        <v>4771</v>
      </c>
      <c r="S508" s="213" t="s">
        <v>4771</v>
      </c>
      <c r="T508" s="233" t="s">
        <v>5386</v>
      </c>
      <c r="U508" s="234" t="s">
        <v>4759</v>
      </c>
      <c r="V508" s="234">
        <v>45611</v>
      </c>
      <c r="W508" s="234" t="s">
        <v>4877</v>
      </c>
      <c r="X508" s="234" t="s">
        <v>2</v>
      </c>
      <c r="Y508" s="234"/>
      <c r="Z508" s="234"/>
      <c r="AA508" s="243">
        <v>202411</v>
      </c>
      <c r="AB508" s="243"/>
      <c r="AC508" s="244" t="s">
        <v>5210</v>
      </c>
      <c r="AD508" s="244" t="s">
        <v>5021</v>
      </c>
      <c r="AE508" s="245">
        <v>0.6</v>
      </c>
      <c r="AF508" s="244" t="s">
        <v>5021</v>
      </c>
      <c r="AG508" s="239" t="str">
        <f>IFERROR(VLOOKUP(작성용!A:A,RM!A:D,4,0),"-")</f>
        <v>-</v>
      </c>
      <c r="AH508" s="235" t="s">
        <v>4771</v>
      </c>
      <c r="AI508" s="235" t="s">
        <v>4771</v>
      </c>
      <c r="AJ508" s="235" t="s">
        <v>4771</v>
      </c>
      <c r="AK508" s="235" t="s">
        <v>5208</v>
      </c>
      <c r="AL508" s="235">
        <v>507</v>
      </c>
    </row>
    <row r="509" spans="1:38" x14ac:dyDescent="0.3">
      <c r="A509" s="222">
        <v>6000799</v>
      </c>
      <c r="B509" s="222" t="s">
        <v>5343</v>
      </c>
      <c r="C509" s="241" t="s">
        <v>4778</v>
      </c>
      <c r="D509" s="237" t="s">
        <v>5451</v>
      </c>
      <c r="E509" s="236">
        <v>1601110433518</v>
      </c>
      <c r="F509" s="240" t="s">
        <v>4854</v>
      </c>
      <c r="G509" s="214">
        <v>0</v>
      </c>
      <c r="H509" s="231" t="s">
        <v>4771</v>
      </c>
      <c r="I509" s="231"/>
      <c r="J509" s="231"/>
      <c r="K509" s="231"/>
      <c r="L509" s="231"/>
      <c r="M509" s="231"/>
      <c r="N509" s="231" t="s">
        <v>4895</v>
      </c>
      <c r="O509" s="246"/>
      <c r="P509" s="246"/>
      <c r="Q509" s="225"/>
      <c r="R509" s="212" t="s">
        <v>4771</v>
      </c>
      <c r="S509" s="213" t="s">
        <v>4771</v>
      </c>
      <c r="T509" s="233" t="s">
        <v>5386</v>
      </c>
      <c r="U509" s="234" t="s">
        <v>4759</v>
      </c>
      <c r="V509" s="234">
        <v>45611</v>
      </c>
      <c r="W509" s="234" t="s">
        <v>4877</v>
      </c>
      <c r="X509" s="234" t="s">
        <v>2</v>
      </c>
      <c r="Y509" s="234"/>
      <c r="Z509" s="234"/>
      <c r="AA509" s="243">
        <v>202411</v>
      </c>
      <c r="AB509" s="243"/>
      <c r="AC509" s="244" t="s">
        <v>5210</v>
      </c>
      <c r="AD509" s="244" t="s">
        <v>4947</v>
      </c>
      <c r="AE509" s="245">
        <v>0.6</v>
      </c>
      <c r="AF509" s="244" t="s">
        <v>4990</v>
      </c>
      <c r="AG509" s="239" t="str">
        <f>IFERROR(VLOOKUP(작성용!A:A,RM!A:D,4,0),"-")</f>
        <v>-</v>
      </c>
      <c r="AH509" s="235" t="s">
        <v>4771</v>
      </c>
      <c r="AI509" s="235" t="s">
        <v>4771</v>
      </c>
      <c r="AJ509" s="235" t="s">
        <v>4771</v>
      </c>
      <c r="AK509" s="235" t="s">
        <v>5208</v>
      </c>
      <c r="AL509" s="235">
        <v>508</v>
      </c>
    </row>
    <row r="510" spans="1:38" x14ac:dyDescent="0.3">
      <c r="A510" s="222">
        <v>6000799</v>
      </c>
      <c r="B510" s="222" t="s">
        <v>5343</v>
      </c>
      <c r="C510" s="241" t="s">
        <v>4778</v>
      </c>
      <c r="D510" s="237" t="s">
        <v>5452</v>
      </c>
      <c r="E510" s="236">
        <v>1101115894492</v>
      </c>
      <c r="F510" s="240" t="s">
        <v>4854</v>
      </c>
      <c r="G510" s="214">
        <v>0</v>
      </c>
      <c r="H510" s="231" t="s">
        <v>4771</v>
      </c>
      <c r="I510" s="231"/>
      <c r="J510" s="231"/>
      <c r="K510" s="231"/>
      <c r="L510" s="231"/>
      <c r="M510" s="231"/>
      <c r="N510" s="231" t="s">
        <v>4895</v>
      </c>
      <c r="O510" s="246"/>
      <c r="P510" s="246"/>
      <c r="Q510" s="225"/>
      <c r="R510" s="212" t="s">
        <v>4771</v>
      </c>
      <c r="S510" s="213" t="s">
        <v>4771</v>
      </c>
      <c r="T510" s="233" t="s">
        <v>5386</v>
      </c>
      <c r="U510" s="234" t="s">
        <v>4759</v>
      </c>
      <c r="V510" s="234">
        <v>45611</v>
      </c>
      <c r="W510" s="234" t="s">
        <v>4877</v>
      </c>
      <c r="X510" s="234" t="s">
        <v>2</v>
      </c>
      <c r="Y510" s="234"/>
      <c r="Z510" s="234"/>
      <c r="AA510" s="243">
        <v>202411</v>
      </c>
      <c r="AB510" s="243"/>
      <c r="AC510" s="244" t="s">
        <v>5210</v>
      </c>
      <c r="AD510" s="244" t="s">
        <v>4858</v>
      </c>
      <c r="AE510" s="245">
        <v>0.6</v>
      </c>
      <c r="AF510" s="244" t="s">
        <v>4858</v>
      </c>
      <c r="AG510" s="239" t="str">
        <f>IFERROR(VLOOKUP(작성용!A:A,RM!A:D,4,0),"-")</f>
        <v>-</v>
      </c>
      <c r="AH510" s="235" t="s">
        <v>4771</v>
      </c>
      <c r="AI510" s="235" t="s">
        <v>4771</v>
      </c>
      <c r="AJ510" s="235" t="s">
        <v>4771</v>
      </c>
      <c r="AK510" s="235" t="s">
        <v>5208</v>
      </c>
      <c r="AL510" s="235">
        <v>509</v>
      </c>
    </row>
    <row r="511" spans="1:38" x14ac:dyDescent="0.3">
      <c r="A511" s="222">
        <v>6000799</v>
      </c>
      <c r="B511" s="222" t="s">
        <v>4696</v>
      </c>
      <c r="C511" s="241" t="s">
        <v>4778</v>
      </c>
      <c r="D511" s="237" t="s">
        <v>5453</v>
      </c>
      <c r="E511" s="236">
        <v>1101116105872</v>
      </c>
      <c r="F511" s="240" t="s">
        <v>4850</v>
      </c>
      <c r="G511" s="214">
        <v>0</v>
      </c>
      <c r="H511" s="231" t="s">
        <v>4771</v>
      </c>
      <c r="I511" s="231"/>
      <c r="J511" s="231"/>
      <c r="K511" s="231"/>
      <c r="L511" s="231"/>
      <c r="M511" s="231"/>
      <c r="N511" s="231" t="s">
        <v>4895</v>
      </c>
      <c r="O511" s="246"/>
      <c r="P511" s="246"/>
      <c r="Q511" s="225"/>
      <c r="R511" s="212" t="s">
        <v>4771</v>
      </c>
      <c r="S511" s="213" t="s">
        <v>4771</v>
      </c>
      <c r="T511" s="233" t="s">
        <v>5386</v>
      </c>
      <c r="U511" s="234" t="s">
        <v>3711</v>
      </c>
      <c r="V511" s="234">
        <v>45611</v>
      </c>
      <c r="W511" s="234" t="s">
        <v>4023</v>
      </c>
      <c r="X511" s="234" t="s">
        <v>2</v>
      </c>
      <c r="Y511" s="234"/>
      <c r="Z511" s="234"/>
      <c r="AA511" s="243">
        <v>202411</v>
      </c>
      <c r="AB511" s="243"/>
      <c r="AC511" s="244" t="s">
        <v>5210</v>
      </c>
      <c r="AD511" s="244" t="s">
        <v>4864</v>
      </c>
      <c r="AE511" s="245">
        <v>0</v>
      </c>
      <c r="AF511" s="244" t="s">
        <v>3563</v>
      </c>
      <c r="AG511" s="239" t="str">
        <f>IFERROR(VLOOKUP(작성용!A:A,RM!A:D,4,0),"-")</f>
        <v>-</v>
      </c>
      <c r="AH511" s="235" t="s">
        <v>4771</v>
      </c>
      <c r="AI511" s="235" t="s">
        <v>4771</v>
      </c>
      <c r="AJ511" s="235" t="s">
        <v>4771</v>
      </c>
      <c r="AK511" s="235" t="s">
        <v>5208</v>
      </c>
      <c r="AL511" s="235">
        <v>510</v>
      </c>
    </row>
    <row r="512" spans="1:38" x14ac:dyDescent="0.3">
      <c r="A512" s="222">
        <v>6000799</v>
      </c>
      <c r="B512" s="222" t="s">
        <v>5343</v>
      </c>
      <c r="C512" s="241" t="s">
        <v>4778</v>
      </c>
      <c r="D512" s="237" t="s">
        <v>5454</v>
      </c>
      <c r="E512" s="236">
        <v>1101118075495</v>
      </c>
      <c r="F512" s="240" t="s">
        <v>4894</v>
      </c>
      <c r="G512" s="214">
        <v>0</v>
      </c>
      <c r="H512" s="231" t="s">
        <v>4771</v>
      </c>
      <c r="I512" s="231"/>
      <c r="J512" s="231"/>
      <c r="K512" s="231"/>
      <c r="L512" s="231"/>
      <c r="M512" s="231"/>
      <c r="N512" s="231" t="s">
        <v>4895</v>
      </c>
      <c r="O512" s="246"/>
      <c r="P512" s="246"/>
      <c r="Q512" s="225"/>
      <c r="R512" s="212" t="s">
        <v>4771</v>
      </c>
      <c r="S512" s="213" t="s">
        <v>3527</v>
      </c>
      <c r="T512" s="233" t="s">
        <v>5386</v>
      </c>
      <c r="U512" s="234" t="s">
        <v>4759</v>
      </c>
      <c r="V512" s="234">
        <v>45611</v>
      </c>
      <c r="W512" s="234" t="s">
        <v>4023</v>
      </c>
      <c r="X512" s="234" t="s">
        <v>2</v>
      </c>
      <c r="Y512" s="234"/>
      <c r="Z512" s="234"/>
      <c r="AA512" s="243">
        <v>202411</v>
      </c>
      <c r="AB512" s="243"/>
      <c r="AC512" s="244" t="s">
        <v>5210</v>
      </c>
      <c r="AD512" s="244" t="s">
        <v>4846</v>
      </c>
      <c r="AE512" s="245">
        <v>0</v>
      </c>
      <c r="AF512" s="244" t="s">
        <v>4872</v>
      </c>
      <c r="AG512" s="239" t="str">
        <f>IFERROR(VLOOKUP(작성용!A:A,RM!A:D,4,0),"-")</f>
        <v>-</v>
      </c>
      <c r="AH512" s="235" t="s">
        <v>3527</v>
      </c>
      <c r="AI512" s="235" t="s">
        <v>4771</v>
      </c>
      <c r="AJ512" s="235" t="s">
        <v>4771</v>
      </c>
      <c r="AK512" s="235" t="s">
        <v>5208</v>
      </c>
      <c r="AL512" s="235">
        <v>511</v>
      </c>
    </row>
    <row r="513" spans="1:38" x14ac:dyDescent="0.3">
      <c r="A513" s="222">
        <v>6000799</v>
      </c>
      <c r="B513" s="222" t="s">
        <v>4696</v>
      </c>
      <c r="C513" s="241" t="s">
        <v>4778</v>
      </c>
      <c r="D513" s="237" t="s">
        <v>5455</v>
      </c>
      <c r="E513" s="236">
        <v>1101116401684</v>
      </c>
      <c r="F513" s="240" t="s">
        <v>4850</v>
      </c>
      <c r="G513" s="214">
        <v>1</v>
      </c>
      <c r="H513" s="231" t="s">
        <v>4771</v>
      </c>
      <c r="I513" s="231"/>
      <c r="J513" s="231"/>
      <c r="K513" s="231"/>
      <c r="L513" s="231"/>
      <c r="M513" s="231"/>
      <c r="N513" s="231" t="s">
        <v>4895</v>
      </c>
      <c r="O513" s="246"/>
      <c r="P513" s="246"/>
      <c r="Q513" s="225"/>
      <c r="R513" s="212" t="s">
        <v>4771</v>
      </c>
      <c r="S513" s="213" t="s">
        <v>3527</v>
      </c>
      <c r="T513" s="233" t="s">
        <v>5386</v>
      </c>
      <c r="U513" s="234" t="s">
        <v>4759</v>
      </c>
      <c r="V513" s="234">
        <v>45611</v>
      </c>
      <c r="W513" s="234" t="s">
        <v>4877</v>
      </c>
      <c r="X513" s="234" t="s">
        <v>2</v>
      </c>
      <c r="Y513" s="234"/>
      <c r="Z513" s="234"/>
      <c r="AA513" s="243">
        <v>202411</v>
      </c>
      <c r="AB513" s="243"/>
      <c r="AC513" s="244" t="s">
        <v>5210</v>
      </c>
      <c r="AD513" s="244" t="s">
        <v>4980</v>
      </c>
      <c r="AE513" s="245">
        <v>0.6</v>
      </c>
      <c r="AF513" s="244" t="s">
        <v>4980</v>
      </c>
      <c r="AG513" s="239" t="str">
        <f>IFERROR(VLOOKUP(작성용!A:A,RM!A:D,4,0),"-")</f>
        <v>-</v>
      </c>
      <c r="AH513" s="235" t="s">
        <v>4771</v>
      </c>
      <c r="AI513" s="235" t="s">
        <v>4771</v>
      </c>
      <c r="AJ513" s="235" t="s">
        <v>4771</v>
      </c>
      <c r="AK513" s="235" t="s">
        <v>5208</v>
      </c>
      <c r="AL513" s="235">
        <v>512</v>
      </c>
    </row>
    <row r="514" spans="1:38" x14ac:dyDescent="0.3">
      <c r="A514" s="222">
        <v>6000799</v>
      </c>
      <c r="B514" s="222" t="s">
        <v>5343</v>
      </c>
      <c r="C514" s="241" t="s">
        <v>4778</v>
      </c>
      <c r="D514" s="237" t="s">
        <v>4979</v>
      </c>
      <c r="E514" s="236">
        <v>1101114834853</v>
      </c>
      <c r="F514" s="240" t="s">
        <v>4854</v>
      </c>
      <c r="G514" s="214">
        <v>0</v>
      </c>
      <c r="H514" s="231" t="s">
        <v>4771</v>
      </c>
      <c r="I514" s="231"/>
      <c r="J514" s="231"/>
      <c r="K514" s="231"/>
      <c r="L514" s="231"/>
      <c r="M514" s="231"/>
      <c r="N514" s="231" t="s">
        <v>4895</v>
      </c>
      <c r="O514" s="246"/>
      <c r="P514" s="246"/>
      <c r="Q514" s="225"/>
      <c r="R514" s="212" t="s">
        <v>4771</v>
      </c>
      <c r="S514" s="213" t="s">
        <v>4771</v>
      </c>
      <c r="T514" s="233" t="s">
        <v>5386</v>
      </c>
      <c r="U514" s="234" t="s">
        <v>4759</v>
      </c>
      <c r="V514" s="234">
        <v>45611</v>
      </c>
      <c r="W514" s="234" t="s">
        <v>4877</v>
      </c>
      <c r="X514" s="234" t="s">
        <v>2</v>
      </c>
      <c r="Y514" s="234"/>
      <c r="Z514" s="234"/>
      <c r="AA514" s="243">
        <v>202411</v>
      </c>
      <c r="AB514" s="243"/>
      <c r="AC514" s="244" t="s">
        <v>5210</v>
      </c>
      <c r="AD514" s="244" t="s">
        <v>4980</v>
      </c>
      <c r="AE514" s="245">
        <v>0</v>
      </c>
      <c r="AF514" s="244" t="s">
        <v>4980</v>
      </c>
      <c r="AG514" s="239" t="str">
        <f>IFERROR(VLOOKUP(작성용!A:A,RM!A:D,4,0),"-")</f>
        <v>-</v>
      </c>
      <c r="AH514" s="235" t="s">
        <v>4771</v>
      </c>
      <c r="AI514" s="235" t="s">
        <v>4771</v>
      </c>
      <c r="AJ514" s="235" t="s">
        <v>4771</v>
      </c>
      <c r="AK514" s="235" t="s">
        <v>5208</v>
      </c>
      <c r="AL514" s="235">
        <v>513</v>
      </c>
    </row>
    <row r="515" spans="1:38" x14ac:dyDescent="0.3">
      <c r="A515" s="222">
        <v>6000799</v>
      </c>
      <c r="B515" s="222" t="s">
        <v>5343</v>
      </c>
      <c r="C515" s="241" t="s">
        <v>4778</v>
      </c>
      <c r="D515" s="237" t="s">
        <v>5456</v>
      </c>
      <c r="E515" s="236">
        <v>1101115956482</v>
      </c>
      <c r="F515" s="240" t="s">
        <v>4850</v>
      </c>
      <c r="G515" s="214">
        <v>2</v>
      </c>
      <c r="H515" s="231" t="s">
        <v>4771</v>
      </c>
      <c r="I515" s="231"/>
      <c r="J515" s="231"/>
      <c r="K515" s="231"/>
      <c r="L515" s="231"/>
      <c r="M515" s="231"/>
      <c r="N515" s="231" t="s">
        <v>4895</v>
      </c>
      <c r="O515" s="246"/>
      <c r="P515" s="246"/>
      <c r="Q515" s="225"/>
      <c r="R515" s="212" t="s">
        <v>4771</v>
      </c>
      <c r="S515" s="213" t="s">
        <v>4771</v>
      </c>
      <c r="T515" s="233" t="s">
        <v>5386</v>
      </c>
      <c r="U515" s="234" t="s">
        <v>4759</v>
      </c>
      <c r="V515" s="234">
        <v>45611</v>
      </c>
      <c r="W515" s="234" t="s">
        <v>4877</v>
      </c>
      <c r="X515" s="234" t="s">
        <v>2</v>
      </c>
      <c r="Y515" s="234"/>
      <c r="Z515" s="234"/>
      <c r="AA515" s="243">
        <v>202411</v>
      </c>
      <c r="AB515" s="243"/>
      <c r="AC515" s="244" t="s">
        <v>5210</v>
      </c>
      <c r="AD515" s="244" t="s">
        <v>4980</v>
      </c>
      <c r="AE515" s="245">
        <v>0.6</v>
      </c>
      <c r="AF515" s="244" t="s">
        <v>4980</v>
      </c>
      <c r="AG515" s="239" t="str">
        <f>IFERROR(VLOOKUP(작성용!A:A,RM!A:D,4,0),"-")</f>
        <v>-</v>
      </c>
      <c r="AH515" s="235" t="s">
        <v>4771</v>
      </c>
      <c r="AI515" s="235" t="s">
        <v>4771</v>
      </c>
      <c r="AJ515" s="235" t="s">
        <v>4771</v>
      </c>
      <c r="AK515" s="235" t="s">
        <v>5208</v>
      </c>
      <c r="AL515" s="235">
        <v>514</v>
      </c>
    </row>
    <row r="516" spans="1:38" x14ac:dyDescent="0.3">
      <c r="A516" s="222">
        <v>6000799</v>
      </c>
      <c r="B516" s="222" t="s">
        <v>5343</v>
      </c>
      <c r="C516" s="241" t="s">
        <v>4778</v>
      </c>
      <c r="D516" s="237" t="s">
        <v>5457</v>
      </c>
      <c r="E516" s="236">
        <v>1601110577431</v>
      </c>
      <c r="F516" s="240" t="s">
        <v>4894</v>
      </c>
      <c r="G516" s="214">
        <v>0</v>
      </c>
      <c r="H516" s="231" t="s">
        <v>4771</v>
      </c>
      <c r="I516" s="231"/>
      <c r="J516" s="231"/>
      <c r="K516" s="231"/>
      <c r="L516" s="231"/>
      <c r="M516" s="231"/>
      <c r="N516" s="231" t="s">
        <v>4895</v>
      </c>
      <c r="O516" s="246"/>
      <c r="P516" s="246"/>
      <c r="Q516" s="225"/>
      <c r="R516" s="212" t="s">
        <v>4771</v>
      </c>
      <c r="S516" s="213" t="s">
        <v>4771</v>
      </c>
      <c r="T516" s="233" t="s">
        <v>5386</v>
      </c>
      <c r="U516" s="234" t="s">
        <v>4759</v>
      </c>
      <c r="V516" s="234">
        <v>45611</v>
      </c>
      <c r="W516" s="234" t="s">
        <v>4877</v>
      </c>
      <c r="X516" s="234" t="s">
        <v>2</v>
      </c>
      <c r="Y516" s="234"/>
      <c r="Z516" s="234"/>
      <c r="AA516" s="243">
        <v>202411</v>
      </c>
      <c r="AB516" s="243"/>
      <c r="AC516" s="244" t="s">
        <v>5210</v>
      </c>
      <c r="AD516" s="244" t="s">
        <v>4947</v>
      </c>
      <c r="AE516" s="245">
        <v>0</v>
      </c>
      <c r="AF516" s="244" t="s">
        <v>4900</v>
      </c>
      <c r="AG516" s="239" t="str">
        <f>IFERROR(VLOOKUP(작성용!A:A,RM!A:D,4,0),"-")</f>
        <v>-</v>
      </c>
      <c r="AH516" s="235" t="s">
        <v>4771</v>
      </c>
      <c r="AI516" s="235" t="s">
        <v>4771</v>
      </c>
      <c r="AJ516" s="235" t="s">
        <v>4771</v>
      </c>
      <c r="AK516" s="235" t="s">
        <v>5208</v>
      </c>
      <c r="AL516" s="235">
        <v>515</v>
      </c>
    </row>
    <row r="517" spans="1:38" x14ac:dyDescent="0.3">
      <c r="A517" s="222">
        <v>6000799</v>
      </c>
      <c r="B517" s="222" t="s">
        <v>5343</v>
      </c>
      <c r="C517" s="241" t="s">
        <v>4778</v>
      </c>
      <c r="D517" s="237" t="s">
        <v>5458</v>
      </c>
      <c r="E517" s="236">
        <v>1101117974151</v>
      </c>
      <c r="F517" s="240" t="s">
        <v>4850</v>
      </c>
      <c r="G517" s="214">
        <v>1</v>
      </c>
      <c r="H517" s="231" t="s">
        <v>4771</v>
      </c>
      <c r="I517" s="231"/>
      <c r="J517" s="231"/>
      <c r="K517" s="231"/>
      <c r="L517" s="231"/>
      <c r="M517" s="231"/>
      <c r="N517" s="231" t="s">
        <v>4895</v>
      </c>
      <c r="O517" s="246"/>
      <c r="P517" s="246"/>
      <c r="Q517" s="225"/>
      <c r="R517" s="212" t="s">
        <v>4771</v>
      </c>
      <c r="S517" s="213" t="s">
        <v>4771</v>
      </c>
      <c r="T517" s="233" t="s">
        <v>5386</v>
      </c>
      <c r="U517" s="234" t="s">
        <v>4759</v>
      </c>
      <c r="V517" s="234">
        <v>45611</v>
      </c>
      <c r="W517" s="234" t="s">
        <v>4877</v>
      </c>
      <c r="X517" s="234" t="s">
        <v>2</v>
      </c>
      <c r="Y517" s="234"/>
      <c r="Z517" s="234"/>
      <c r="AA517" s="243">
        <v>202411</v>
      </c>
      <c r="AB517" s="243"/>
      <c r="AC517" s="244" t="s">
        <v>5210</v>
      </c>
      <c r="AD517" s="244" t="s">
        <v>4900</v>
      </c>
      <c r="AE517" s="245">
        <v>0</v>
      </c>
      <c r="AF517" s="244" t="s">
        <v>4900</v>
      </c>
      <c r="AG517" s="239" t="str">
        <f>IFERROR(VLOOKUP(작성용!A:A,RM!A:D,4,0),"-")</f>
        <v>-</v>
      </c>
      <c r="AH517" s="235" t="s">
        <v>4771</v>
      </c>
      <c r="AI517" s="235" t="s">
        <v>4771</v>
      </c>
      <c r="AJ517" s="235" t="s">
        <v>4771</v>
      </c>
      <c r="AK517" s="235" t="s">
        <v>5208</v>
      </c>
      <c r="AL517" s="235">
        <v>516</v>
      </c>
    </row>
    <row r="518" spans="1:38" x14ac:dyDescent="0.3">
      <c r="A518" s="222">
        <v>6000799</v>
      </c>
      <c r="B518" s="222" t="s">
        <v>5459</v>
      </c>
      <c r="C518" s="241" t="s">
        <v>4765</v>
      </c>
      <c r="D518" s="237" t="s">
        <v>5460</v>
      </c>
      <c r="E518" s="236">
        <v>1348110433615</v>
      </c>
      <c r="F518" s="240" t="s">
        <v>4850</v>
      </c>
      <c r="G518" s="214">
        <v>0</v>
      </c>
      <c r="H518" s="231" t="s">
        <v>4767</v>
      </c>
      <c r="I518" s="231"/>
      <c r="J518" s="231"/>
      <c r="K518" s="231"/>
      <c r="L518" s="231"/>
      <c r="M518" s="231"/>
      <c r="N518" s="231" t="s">
        <v>4895</v>
      </c>
      <c r="O518" s="246"/>
      <c r="P518" s="246"/>
      <c r="Q518" s="225"/>
      <c r="R518" s="212" t="s">
        <v>4771</v>
      </c>
      <c r="S518" s="213" t="s">
        <v>4767</v>
      </c>
      <c r="T518" s="233" t="s">
        <v>5386</v>
      </c>
      <c r="U518" s="234" t="s">
        <v>4759</v>
      </c>
      <c r="V518" s="234">
        <v>45611</v>
      </c>
      <c r="W518" s="234" t="s">
        <v>4877</v>
      </c>
      <c r="X518" s="234" t="s">
        <v>2</v>
      </c>
      <c r="Y518" s="234"/>
      <c r="Z518" s="234"/>
      <c r="AA518" s="243">
        <v>202411</v>
      </c>
      <c r="AB518" s="243"/>
      <c r="AC518" s="244" t="s">
        <v>5210</v>
      </c>
      <c r="AD518" s="244" t="s">
        <v>4935</v>
      </c>
      <c r="AE518" s="245">
        <v>0</v>
      </c>
      <c r="AF518" s="244" t="s">
        <v>4935</v>
      </c>
      <c r="AG518" s="239" t="str">
        <f>IFERROR(VLOOKUP(작성용!A:A,RM!A:D,4,0),"-")</f>
        <v>-</v>
      </c>
      <c r="AH518" s="235" t="s">
        <v>4771</v>
      </c>
      <c r="AI518" s="235" t="s">
        <v>4771</v>
      </c>
      <c r="AJ518" s="235" t="s">
        <v>4771</v>
      </c>
      <c r="AK518" s="235" t="s">
        <v>5208</v>
      </c>
      <c r="AL518" s="235">
        <v>517</v>
      </c>
    </row>
    <row r="519" spans="1:38" x14ac:dyDescent="0.3">
      <c r="A519" s="222">
        <v>6000799</v>
      </c>
      <c r="B519" s="222" t="s">
        <v>5459</v>
      </c>
      <c r="C519" s="241" t="s">
        <v>4778</v>
      </c>
      <c r="D519" s="237" t="s">
        <v>5461</v>
      </c>
      <c r="E519" s="236">
        <v>1101116911352</v>
      </c>
      <c r="F519" s="240" t="s">
        <v>4894</v>
      </c>
      <c r="G519" s="214">
        <v>0</v>
      </c>
      <c r="H519" s="231" t="s">
        <v>4771</v>
      </c>
      <c r="I519" s="231"/>
      <c r="J519" s="231"/>
      <c r="K519" s="231"/>
      <c r="L519" s="231"/>
      <c r="M519" s="231"/>
      <c r="N519" s="231" t="s">
        <v>4895</v>
      </c>
      <c r="O519" s="246"/>
      <c r="P519" s="246"/>
      <c r="Q519" s="225"/>
      <c r="R519" s="212" t="s">
        <v>4771</v>
      </c>
      <c r="S519" s="213" t="s">
        <v>4771</v>
      </c>
      <c r="T519" s="233" t="s">
        <v>5386</v>
      </c>
      <c r="U519" s="234" t="s">
        <v>4759</v>
      </c>
      <c r="V519" s="234">
        <v>45611</v>
      </c>
      <c r="W519" s="234" t="s">
        <v>4822</v>
      </c>
      <c r="X519" s="234" t="s">
        <v>2</v>
      </c>
      <c r="Y519" s="234"/>
      <c r="Z519" s="234"/>
      <c r="AA519" s="243">
        <v>202411</v>
      </c>
      <c r="AB519" s="243"/>
      <c r="AC519" s="244" t="s">
        <v>5210</v>
      </c>
      <c r="AD519" s="244" t="s">
        <v>4945</v>
      </c>
      <c r="AE519" s="245">
        <v>0</v>
      </c>
      <c r="AF519" s="244" t="s">
        <v>4761</v>
      </c>
      <c r="AG519" s="239" t="str">
        <f>IFERROR(VLOOKUP(작성용!A:A,RM!A:D,4,0),"-")</f>
        <v>-</v>
      </c>
      <c r="AH519" s="235" t="s">
        <v>4771</v>
      </c>
      <c r="AI519" s="235" t="s">
        <v>5462</v>
      </c>
      <c r="AJ519" s="235" t="s">
        <v>4771</v>
      </c>
      <c r="AK519" s="235" t="s">
        <v>5208</v>
      </c>
      <c r="AL519" s="235">
        <v>518</v>
      </c>
    </row>
    <row r="520" spans="1:38" x14ac:dyDescent="0.3">
      <c r="A520" s="222">
        <v>6000799</v>
      </c>
      <c r="B520" s="222" t="s">
        <v>5343</v>
      </c>
      <c r="C520" s="241" t="s">
        <v>4778</v>
      </c>
      <c r="D520" s="237" t="s">
        <v>5463</v>
      </c>
      <c r="E520" s="236">
        <v>1311110596452</v>
      </c>
      <c r="F520" s="240" t="s">
        <v>4850</v>
      </c>
      <c r="G520" s="214">
        <v>0</v>
      </c>
      <c r="H520" s="231" t="s">
        <v>4771</v>
      </c>
      <c r="I520" s="231"/>
      <c r="J520" s="231"/>
      <c r="K520" s="231"/>
      <c r="L520" s="231"/>
      <c r="M520" s="231"/>
      <c r="N520" s="231" t="s">
        <v>4895</v>
      </c>
      <c r="O520" s="246"/>
      <c r="P520" s="246"/>
      <c r="Q520" s="225"/>
      <c r="R520" s="212" t="s">
        <v>4771</v>
      </c>
      <c r="S520" s="213" t="s">
        <v>4771</v>
      </c>
      <c r="T520" s="233" t="s">
        <v>5386</v>
      </c>
      <c r="U520" s="234" t="s">
        <v>4759</v>
      </c>
      <c r="V520" s="234">
        <v>45611</v>
      </c>
      <c r="W520" s="234" t="s">
        <v>4877</v>
      </c>
      <c r="X520" s="234" t="s">
        <v>2</v>
      </c>
      <c r="Y520" s="234"/>
      <c r="Z520" s="234"/>
      <c r="AA520" s="243">
        <v>202411</v>
      </c>
      <c r="AB520" s="243"/>
      <c r="AC520" s="244" t="s">
        <v>5210</v>
      </c>
      <c r="AD520" s="244" t="s">
        <v>4937</v>
      </c>
      <c r="AE520" s="245">
        <v>0</v>
      </c>
      <c r="AF520" s="244" t="s">
        <v>4937</v>
      </c>
      <c r="AG520" s="239" t="str">
        <f>IFERROR(VLOOKUP(작성용!A:A,RM!A:D,4,0),"-")</f>
        <v>-</v>
      </c>
      <c r="AH520" s="235" t="s">
        <v>4767</v>
      </c>
      <c r="AI520" s="235" t="s">
        <v>4771</v>
      </c>
      <c r="AJ520" s="235" t="s">
        <v>4771</v>
      </c>
      <c r="AK520" s="235" t="s">
        <v>5208</v>
      </c>
      <c r="AL520" s="235">
        <v>519</v>
      </c>
    </row>
    <row r="521" spans="1:38" x14ac:dyDescent="0.3">
      <c r="A521" s="222">
        <v>6000799</v>
      </c>
      <c r="B521" s="222" t="s">
        <v>5343</v>
      </c>
      <c r="C521" s="241" t="s">
        <v>4778</v>
      </c>
      <c r="D521" s="237" t="s">
        <v>5464</v>
      </c>
      <c r="E521" s="236" t="s">
        <v>4578</v>
      </c>
      <c r="F521" s="240" t="s">
        <v>4854</v>
      </c>
      <c r="G521" s="214">
        <v>0</v>
      </c>
      <c r="H521" s="231" t="s">
        <v>4771</v>
      </c>
      <c r="I521" s="231"/>
      <c r="J521" s="231"/>
      <c r="K521" s="231"/>
      <c r="L521" s="231"/>
      <c r="M521" s="231"/>
      <c r="N521" s="231" t="s">
        <v>4895</v>
      </c>
      <c r="O521" s="246"/>
      <c r="P521" s="246"/>
      <c r="Q521" s="225"/>
      <c r="R521" s="212" t="s">
        <v>4771</v>
      </c>
      <c r="S521" s="213" t="s">
        <v>4767</v>
      </c>
      <c r="T521" s="233" t="s">
        <v>5433</v>
      </c>
      <c r="U521" s="234" t="s">
        <v>4759</v>
      </c>
      <c r="V521" s="234">
        <v>45611</v>
      </c>
      <c r="W521" s="234" t="s">
        <v>4877</v>
      </c>
      <c r="X521" s="234" t="s">
        <v>2</v>
      </c>
      <c r="Y521" s="234"/>
      <c r="Z521" s="234"/>
      <c r="AA521" s="243">
        <v>202411</v>
      </c>
      <c r="AB521" s="243"/>
      <c r="AC521" s="244" t="s">
        <v>5210</v>
      </c>
      <c r="AD521" s="244" t="s">
        <v>4945</v>
      </c>
      <c r="AE521" s="245">
        <v>0</v>
      </c>
      <c r="AF521" s="244" t="s">
        <v>4990</v>
      </c>
      <c r="AG521" s="239" t="str">
        <f>IFERROR(VLOOKUP(작성용!A:A,RM!A:D,4,0),"-")</f>
        <v>-</v>
      </c>
      <c r="AH521" s="235" t="s">
        <v>4771</v>
      </c>
      <c r="AI521" s="235" t="s">
        <v>4771</v>
      </c>
      <c r="AJ521" s="235" t="s">
        <v>4771</v>
      </c>
      <c r="AK521" s="235" t="s">
        <v>5208</v>
      </c>
      <c r="AL521" s="235">
        <v>520</v>
      </c>
    </row>
    <row r="522" spans="1:38" x14ac:dyDescent="0.3">
      <c r="A522" s="222">
        <v>6000799</v>
      </c>
      <c r="B522" s="222" t="s">
        <v>5343</v>
      </c>
      <c r="C522" s="241" t="s">
        <v>4778</v>
      </c>
      <c r="D522" s="237" t="s">
        <v>5465</v>
      </c>
      <c r="E522" s="236" t="s">
        <v>3922</v>
      </c>
      <c r="F522" s="240" t="s">
        <v>4894</v>
      </c>
      <c r="G522" s="214">
        <v>6</v>
      </c>
      <c r="H522" s="231" t="s">
        <v>4771</v>
      </c>
      <c r="I522" s="231"/>
      <c r="J522" s="231"/>
      <c r="K522" s="231"/>
      <c r="L522" s="231"/>
      <c r="M522" s="231"/>
      <c r="N522" s="231" t="s">
        <v>4895</v>
      </c>
      <c r="O522" s="246"/>
      <c r="P522" s="246"/>
      <c r="Q522" s="225"/>
      <c r="R522" s="212" t="s">
        <v>4771</v>
      </c>
      <c r="S522" s="213" t="s">
        <v>4771</v>
      </c>
      <c r="T522" s="233" t="s">
        <v>5386</v>
      </c>
      <c r="U522" s="234" t="s">
        <v>4759</v>
      </c>
      <c r="V522" s="234">
        <v>45611</v>
      </c>
      <c r="W522" s="234" t="s">
        <v>4877</v>
      </c>
      <c r="X522" s="234" t="s">
        <v>2</v>
      </c>
      <c r="Y522" s="234"/>
      <c r="Z522" s="234"/>
      <c r="AA522" s="243">
        <v>202411</v>
      </c>
      <c r="AB522" s="243"/>
      <c r="AC522" s="244" t="s">
        <v>5210</v>
      </c>
      <c r="AD522" s="244" t="s">
        <v>4862</v>
      </c>
      <c r="AE522" s="245">
        <v>0.6</v>
      </c>
      <c r="AF522" s="244" t="s">
        <v>4862</v>
      </c>
      <c r="AG522" s="239" t="str">
        <f>IFERROR(VLOOKUP(작성용!A:A,RM!A:D,4,0),"-")</f>
        <v>-</v>
      </c>
      <c r="AH522" s="235" t="s">
        <v>4771</v>
      </c>
      <c r="AI522" s="235" t="s">
        <v>4771</v>
      </c>
      <c r="AJ522" s="235" t="s">
        <v>4771</v>
      </c>
      <c r="AK522" s="235" t="s">
        <v>5208</v>
      </c>
      <c r="AL522" s="235">
        <v>521</v>
      </c>
    </row>
    <row r="523" spans="1:38" x14ac:dyDescent="0.3">
      <c r="A523" s="222">
        <v>6000799</v>
      </c>
      <c r="B523" s="222" t="s">
        <v>5343</v>
      </c>
      <c r="C523" s="241" t="s">
        <v>4778</v>
      </c>
      <c r="D523" s="237" t="s">
        <v>5466</v>
      </c>
      <c r="E523" s="236">
        <v>1101117963641</v>
      </c>
      <c r="F523" s="240" t="s">
        <v>4850</v>
      </c>
      <c r="G523" s="214">
        <v>0</v>
      </c>
      <c r="H523" s="231" t="s">
        <v>4771</v>
      </c>
      <c r="I523" s="231"/>
      <c r="J523" s="231"/>
      <c r="K523" s="231"/>
      <c r="L523" s="231"/>
      <c r="M523" s="231"/>
      <c r="N523" s="231" t="s">
        <v>4895</v>
      </c>
      <c r="O523" s="246"/>
      <c r="P523" s="246"/>
      <c r="Q523" s="225"/>
      <c r="R523" s="212" t="s">
        <v>4771</v>
      </c>
      <c r="S523" s="213" t="s">
        <v>4771</v>
      </c>
      <c r="T523" s="233" t="s">
        <v>5386</v>
      </c>
      <c r="U523" s="234" t="s">
        <v>4759</v>
      </c>
      <c r="V523" s="234">
        <v>45611</v>
      </c>
      <c r="W523" s="234" t="s">
        <v>4877</v>
      </c>
      <c r="X523" s="234" t="s">
        <v>2</v>
      </c>
      <c r="Y523" s="234"/>
      <c r="Z523" s="234"/>
      <c r="AA523" s="243">
        <v>202411</v>
      </c>
      <c r="AB523" s="243"/>
      <c r="AC523" s="244" t="s">
        <v>5210</v>
      </c>
      <c r="AD523" s="244" t="s">
        <v>4900</v>
      </c>
      <c r="AE523" s="245">
        <v>0</v>
      </c>
      <c r="AF523" s="244" t="s">
        <v>4900</v>
      </c>
      <c r="AG523" s="239" t="str">
        <f>IFERROR(VLOOKUP(작성용!A:A,RM!A:D,4,0),"-")</f>
        <v>-</v>
      </c>
      <c r="AH523" s="235" t="s">
        <v>4771</v>
      </c>
      <c r="AI523" s="235" t="s">
        <v>4771</v>
      </c>
      <c r="AJ523" s="235" t="s">
        <v>4771</v>
      </c>
      <c r="AK523" s="235" t="s">
        <v>5208</v>
      </c>
      <c r="AL523" s="235">
        <v>522</v>
      </c>
    </row>
    <row r="524" spans="1:38" x14ac:dyDescent="0.3">
      <c r="A524" s="222">
        <v>6000799</v>
      </c>
      <c r="B524" s="222" t="s">
        <v>5343</v>
      </c>
      <c r="C524" s="241" t="s">
        <v>4778</v>
      </c>
      <c r="D524" s="237" t="s">
        <v>5467</v>
      </c>
      <c r="E524" s="236" t="s">
        <v>4579</v>
      </c>
      <c r="F524" s="240" t="s">
        <v>4780</v>
      </c>
      <c r="G524" s="214">
        <v>0</v>
      </c>
      <c r="H524" s="231" t="s">
        <v>4771</v>
      </c>
      <c r="I524" s="231"/>
      <c r="J524" s="231"/>
      <c r="K524" s="231"/>
      <c r="L524" s="231"/>
      <c r="M524" s="231"/>
      <c r="N524" s="231" t="s">
        <v>4895</v>
      </c>
      <c r="O524" s="246"/>
      <c r="P524" s="246"/>
      <c r="Q524" s="225"/>
      <c r="R524" s="212" t="s">
        <v>4771</v>
      </c>
      <c r="S524" s="213" t="s">
        <v>4771</v>
      </c>
      <c r="T524" s="233" t="s">
        <v>5386</v>
      </c>
      <c r="U524" s="234" t="s">
        <v>4759</v>
      </c>
      <c r="V524" s="234">
        <v>45611</v>
      </c>
      <c r="W524" s="234" t="s">
        <v>4877</v>
      </c>
      <c r="X524" s="234" t="s">
        <v>2</v>
      </c>
      <c r="Y524" s="234"/>
      <c r="Z524" s="234"/>
      <c r="AA524" s="243">
        <v>202411</v>
      </c>
      <c r="AB524" s="243"/>
      <c r="AC524" s="244" t="s">
        <v>5210</v>
      </c>
      <c r="AD524" s="244" t="s">
        <v>4935</v>
      </c>
      <c r="AE524" s="245">
        <v>0</v>
      </c>
      <c r="AF524" s="244" t="s">
        <v>4935</v>
      </c>
      <c r="AG524" s="239" t="str">
        <f>IFERROR(VLOOKUP(작성용!A:A,RM!A:D,4,0),"-")</f>
        <v>-</v>
      </c>
      <c r="AH524" s="235" t="s">
        <v>4771</v>
      </c>
      <c r="AI524" s="235" t="s">
        <v>4771</v>
      </c>
      <c r="AJ524" s="235" t="s">
        <v>4771</v>
      </c>
      <c r="AK524" s="235" t="s">
        <v>5208</v>
      </c>
      <c r="AL524" s="235">
        <v>523</v>
      </c>
    </row>
    <row r="525" spans="1:38" x14ac:dyDescent="0.3">
      <c r="A525" s="222">
        <v>6000799</v>
      </c>
      <c r="B525" s="222" t="s">
        <v>5343</v>
      </c>
      <c r="C525" s="241" t="s">
        <v>4778</v>
      </c>
      <c r="D525" s="237" t="s">
        <v>5468</v>
      </c>
      <c r="E525" s="236">
        <v>1601110447824</v>
      </c>
      <c r="F525" s="240" t="s">
        <v>4854</v>
      </c>
      <c r="G525" s="214">
        <v>0</v>
      </c>
      <c r="H525" s="231" t="s">
        <v>4771</v>
      </c>
      <c r="I525" s="231"/>
      <c r="J525" s="231"/>
      <c r="K525" s="231"/>
      <c r="L525" s="231"/>
      <c r="M525" s="231"/>
      <c r="N525" s="231" t="s">
        <v>4895</v>
      </c>
      <c r="O525" s="246"/>
      <c r="P525" s="246"/>
      <c r="Q525" s="225"/>
      <c r="R525" s="212" t="s">
        <v>4771</v>
      </c>
      <c r="S525" s="213" t="s">
        <v>4771</v>
      </c>
      <c r="T525" s="233" t="s">
        <v>5386</v>
      </c>
      <c r="U525" s="234" t="s">
        <v>4759</v>
      </c>
      <c r="V525" s="234">
        <v>45611</v>
      </c>
      <c r="W525" s="234" t="s">
        <v>4877</v>
      </c>
      <c r="X525" s="234" t="s">
        <v>2</v>
      </c>
      <c r="Y525" s="234"/>
      <c r="Z525" s="234"/>
      <c r="AA525" s="243">
        <v>202411</v>
      </c>
      <c r="AB525" s="243"/>
      <c r="AC525" s="244" t="s">
        <v>5210</v>
      </c>
      <c r="AD525" s="244" t="s">
        <v>4905</v>
      </c>
      <c r="AE525" s="245">
        <v>0.6</v>
      </c>
      <c r="AF525" s="244" t="s">
        <v>4905</v>
      </c>
      <c r="AG525" s="239" t="str">
        <f>IFERROR(VLOOKUP(작성용!A:A,RM!A:D,4,0),"-")</f>
        <v>-</v>
      </c>
      <c r="AH525" s="235" t="s">
        <v>4771</v>
      </c>
      <c r="AI525" s="235" t="s">
        <v>4771</v>
      </c>
      <c r="AJ525" s="235" t="s">
        <v>4771</v>
      </c>
      <c r="AK525" s="235" t="s">
        <v>5208</v>
      </c>
      <c r="AL525" s="235">
        <v>524</v>
      </c>
    </row>
    <row r="526" spans="1:38" x14ac:dyDescent="0.3">
      <c r="A526" s="222">
        <v>6000799</v>
      </c>
      <c r="B526" s="222" t="s">
        <v>5343</v>
      </c>
      <c r="C526" s="241" t="s">
        <v>4778</v>
      </c>
      <c r="D526" s="237" t="s">
        <v>5469</v>
      </c>
      <c r="E526" s="236">
        <v>1101116880151</v>
      </c>
      <c r="F526" s="240" t="s">
        <v>4894</v>
      </c>
      <c r="G526" s="214">
        <v>0</v>
      </c>
      <c r="H526" s="231" t="s">
        <v>4771</v>
      </c>
      <c r="I526" s="231"/>
      <c r="J526" s="231"/>
      <c r="K526" s="231"/>
      <c r="L526" s="231"/>
      <c r="M526" s="231"/>
      <c r="N526" s="231" t="s">
        <v>4895</v>
      </c>
      <c r="O526" s="246"/>
      <c r="P526" s="246"/>
      <c r="Q526" s="225"/>
      <c r="R526" s="212" t="s">
        <v>4771</v>
      </c>
      <c r="S526" s="213" t="s">
        <v>4771</v>
      </c>
      <c r="T526" s="233" t="s">
        <v>5386</v>
      </c>
      <c r="U526" s="234" t="s">
        <v>4759</v>
      </c>
      <c r="V526" s="234">
        <v>45611</v>
      </c>
      <c r="W526" s="234" t="s">
        <v>4877</v>
      </c>
      <c r="X526" s="234" t="s">
        <v>2</v>
      </c>
      <c r="Y526" s="234"/>
      <c r="Z526" s="234"/>
      <c r="AA526" s="243">
        <v>202411</v>
      </c>
      <c r="AB526" s="243"/>
      <c r="AC526" s="244" t="s">
        <v>5210</v>
      </c>
      <c r="AD526" s="244" t="s">
        <v>4858</v>
      </c>
      <c r="AE526" s="245">
        <v>0</v>
      </c>
      <c r="AF526" s="244" t="s">
        <v>4858</v>
      </c>
      <c r="AG526" s="239" t="str">
        <f>IFERROR(VLOOKUP(작성용!A:A,RM!A:D,4,0),"-")</f>
        <v>-</v>
      </c>
      <c r="AH526" s="235" t="s">
        <v>4771</v>
      </c>
      <c r="AI526" s="235" t="s">
        <v>4771</v>
      </c>
      <c r="AJ526" s="235" t="s">
        <v>4771</v>
      </c>
      <c r="AK526" s="235" t="s">
        <v>5208</v>
      </c>
      <c r="AL526" s="235">
        <v>525</v>
      </c>
    </row>
    <row r="527" spans="1:38" x14ac:dyDescent="0.3">
      <c r="A527" s="222">
        <v>6000799</v>
      </c>
      <c r="B527" s="222" t="s">
        <v>5343</v>
      </c>
      <c r="C527" s="241" t="s">
        <v>4778</v>
      </c>
      <c r="D527" s="237" t="s">
        <v>5455</v>
      </c>
      <c r="E527" s="236">
        <v>1101116401684</v>
      </c>
      <c r="F527" s="240" t="s">
        <v>4854</v>
      </c>
      <c r="G527" s="214">
        <v>0</v>
      </c>
      <c r="H527" s="231" t="s">
        <v>4771</v>
      </c>
      <c r="I527" s="231"/>
      <c r="J527" s="231"/>
      <c r="K527" s="231"/>
      <c r="L527" s="231"/>
      <c r="M527" s="231"/>
      <c r="N527" s="231" t="s">
        <v>4895</v>
      </c>
      <c r="O527" s="246"/>
      <c r="P527" s="246"/>
      <c r="Q527" s="225"/>
      <c r="R527" s="212" t="s">
        <v>4771</v>
      </c>
      <c r="S527" s="213" t="s">
        <v>4771</v>
      </c>
      <c r="T527" s="233" t="s">
        <v>5386</v>
      </c>
      <c r="U527" s="234" t="s">
        <v>4759</v>
      </c>
      <c r="V527" s="234">
        <v>45611</v>
      </c>
      <c r="W527" s="234" t="s">
        <v>4877</v>
      </c>
      <c r="X527" s="234" t="s">
        <v>2</v>
      </c>
      <c r="Y527" s="234"/>
      <c r="Z527" s="234"/>
      <c r="AA527" s="243">
        <v>202411</v>
      </c>
      <c r="AB527" s="243"/>
      <c r="AC527" s="244" t="s">
        <v>5210</v>
      </c>
      <c r="AD527" s="244" t="s">
        <v>4980</v>
      </c>
      <c r="AE527" s="245">
        <v>0</v>
      </c>
      <c r="AF527" s="244" t="s">
        <v>4980</v>
      </c>
      <c r="AG527" s="239" t="str">
        <f>IFERROR(VLOOKUP(작성용!A:A,RM!A:D,4,0),"-")</f>
        <v>-</v>
      </c>
      <c r="AH527" s="235" t="s">
        <v>4771</v>
      </c>
      <c r="AI527" s="235" t="s">
        <v>4771</v>
      </c>
      <c r="AJ527" s="235" t="s">
        <v>4771</v>
      </c>
      <c r="AK527" s="235" t="s">
        <v>5208</v>
      </c>
      <c r="AL527" s="235">
        <v>526</v>
      </c>
    </row>
    <row r="528" spans="1:38" x14ac:dyDescent="0.3">
      <c r="A528" s="222">
        <v>6000799</v>
      </c>
      <c r="B528" s="222" t="s">
        <v>5459</v>
      </c>
      <c r="C528" s="241" t="s">
        <v>4765</v>
      </c>
      <c r="D528" s="237" t="s">
        <v>5470</v>
      </c>
      <c r="E528" s="236">
        <v>1101118452445</v>
      </c>
      <c r="F528" s="240" t="s">
        <v>4794</v>
      </c>
      <c r="G528" s="214">
        <v>0</v>
      </c>
      <c r="H528" s="231" t="s">
        <v>4767</v>
      </c>
      <c r="I528" s="231"/>
      <c r="J528" s="231"/>
      <c r="K528" s="231"/>
      <c r="L528" s="231"/>
      <c r="M528" s="231"/>
      <c r="N528" s="231" t="s">
        <v>4881</v>
      </c>
      <c r="O528" s="246"/>
      <c r="P528" s="246"/>
      <c r="Q528" s="225"/>
      <c r="R528" s="212" t="s">
        <v>4767</v>
      </c>
      <c r="S528" s="213" t="s">
        <v>4771</v>
      </c>
      <c r="T528" s="233" t="s">
        <v>5386</v>
      </c>
      <c r="U528" s="234" t="s">
        <v>4871</v>
      </c>
      <c r="V528" s="234">
        <v>45611</v>
      </c>
      <c r="W528" s="234" t="s">
        <v>4877</v>
      </c>
      <c r="X528" s="234" t="s">
        <v>2</v>
      </c>
      <c r="Y528" s="234"/>
      <c r="Z528" s="234"/>
      <c r="AA528" s="243">
        <v>202411</v>
      </c>
      <c r="AB528" s="243"/>
      <c r="AC528" s="244" t="s">
        <v>5210</v>
      </c>
      <c r="AD528" s="244" t="s">
        <v>4846</v>
      </c>
      <c r="AE528" s="245">
        <v>0</v>
      </c>
      <c r="AF528" s="244" t="s">
        <v>4846</v>
      </c>
      <c r="AG528" s="239" t="str">
        <f>IFERROR(VLOOKUP(작성용!A:A,RM!A:D,4,0),"-")</f>
        <v>-</v>
      </c>
      <c r="AH528" s="235" t="s">
        <v>4767</v>
      </c>
      <c r="AI528" s="235" t="s">
        <v>4771</v>
      </c>
      <c r="AJ528" s="235" t="s">
        <v>4767</v>
      </c>
      <c r="AK528" s="235" t="s">
        <v>5208</v>
      </c>
      <c r="AL528" s="235">
        <v>527</v>
      </c>
    </row>
    <row r="529" spans="1:38" x14ac:dyDescent="0.3">
      <c r="A529" s="222">
        <v>6000799</v>
      </c>
      <c r="B529" s="222" t="s">
        <v>5343</v>
      </c>
      <c r="C529" s="241" t="s">
        <v>4778</v>
      </c>
      <c r="D529" s="237" t="s">
        <v>5471</v>
      </c>
      <c r="E529" s="236" t="s">
        <v>3717</v>
      </c>
      <c r="F529" s="240" t="s">
        <v>4894</v>
      </c>
      <c r="G529" s="214">
        <v>0</v>
      </c>
      <c r="H529" s="231" t="s">
        <v>4767</v>
      </c>
      <c r="I529" s="231"/>
      <c r="J529" s="231"/>
      <c r="K529" s="231"/>
      <c r="L529" s="231"/>
      <c r="M529" s="231"/>
      <c r="N529" s="231" t="s">
        <v>4895</v>
      </c>
      <c r="O529" s="246"/>
      <c r="P529" s="246"/>
      <c r="Q529" s="225"/>
      <c r="R529" s="212" t="s">
        <v>4771</v>
      </c>
      <c r="S529" s="213" t="s">
        <v>4771</v>
      </c>
      <c r="T529" s="233" t="s">
        <v>5386</v>
      </c>
      <c r="U529" s="234" t="s">
        <v>4759</v>
      </c>
      <c r="V529" s="234">
        <v>45611</v>
      </c>
      <c r="W529" s="234" t="s">
        <v>4877</v>
      </c>
      <c r="X529" s="234" t="s">
        <v>2</v>
      </c>
      <c r="Y529" s="234"/>
      <c r="Z529" s="234"/>
      <c r="AA529" s="243">
        <v>202411</v>
      </c>
      <c r="AB529" s="243"/>
      <c r="AC529" s="244" t="s">
        <v>5210</v>
      </c>
      <c r="AD529" s="244" t="s">
        <v>4761</v>
      </c>
      <c r="AE529" s="245">
        <v>0</v>
      </c>
      <c r="AF529" s="244" t="s">
        <v>4761</v>
      </c>
      <c r="AG529" s="239" t="str">
        <f>IFERROR(VLOOKUP(작성용!A:A,RM!A:D,4,0),"-")</f>
        <v>-</v>
      </c>
      <c r="AH529" s="235" t="s">
        <v>4767</v>
      </c>
      <c r="AI529" s="235" t="s">
        <v>4771</v>
      </c>
      <c r="AJ529" s="235" t="s">
        <v>4771</v>
      </c>
      <c r="AK529" s="235" t="s">
        <v>5208</v>
      </c>
      <c r="AL529" s="235">
        <v>528</v>
      </c>
    </row>
    <row r="530" spans="1:38" x14ac:dyDescent="0.3">
      <c r="A530" s="222">
        <v>6000791</v>
      </c>
      <c r="B530" s="222" t="s">
        <v>4580</v>
      </c>
      <c r="C530" s="241" t="s">
        <v>4778</v>
      </c>
      <c r="D530" s="237" t="s">
        <v>5472</v>
      </c>
      <c r="E530" s="236">
        <v>1101117852026</v>
      </c>
      <c r="F530" s="240" t="s">
        <v>4850</v>
      </c>
      <c r="G530" s="214">
        <v>0</v>
      </c>
      <c r="H530" s="231" t="s">
        <v>4771</v>
      </c>
      <c r="I530" s="231"/>
      <c r="J530" s="231"/>
      <c r="K530" s="231"/>
      <c r="L530" s="231"/>
      <c r="M530" s="231"/>
      <c r="N530" s="231" t="s">
        <v>4895</v>
      </c>
      <c r="O530" s="246"/>
      <c r="P530" s="246"/>
      <c r="Q530" s="225"/>
      <c r="R530" s="212" t="s">
        <v>2</v>
      </c>
      <c r="S530" s="213" t="s">
        <v>4771</v>
      </c>
      <c r="T530" s="233" t="s">
        <v>5386</v>
      </c>
      <c r="U530" s="234" t="s">
        <v>4759</v>
      </c>
      <c r="V530" s="234">
        <v>45611</v>
      </c>
      <c r="W530" s="234" t="s">
        <v>4822</v>
      </c>
      <c r="X530" s="234" t="s">
        <v>2</v>
      </c>
      <c r="Y530" s="234"/>
      <c r="Z530" s="234"/>
      <c r="AA530" s="243">
        <v>202411</v>
      </c>
      <c r="AB530" s="243"/>
      <c r="AC530" s="244" t="s">
        <v>5210</v>
      </c>
      <c r="AD530" s="244" t="s">
        <v>4761</v>
      </c>
      <c r="AE530" s="245">
        <v>0</v>
      </c>
      <c r="AF530" s="244" t="s">
        <v>4761</v>
      </c>
      <c r="AG530" s="239" t="str">
        <f>IFERROR(VLOOKUP(작성용!A:A,RM!A:D,4,0),"-")</f>
        <v>-</v>
      </c>
      <c r="AH530" s="9" t="s">
        <v>4771</v>
      </c>
      <c r="AI530" s="235" t="s">
        <v>4771</v>
      </c>
      <c r="AJ530" s="235" t="s">
        <v>2</v>
      </c>
      <c r="AK530" s="235" t="s">
        <v>5208</v>
      </c>
      <c r="AL530" s="235">
        <v>529</v>
      </c>
    </row>
    <row r="531" spans="1:38" x14ac:dyDescent="0.3">
      <c r="A531" s="222">
        <v>6000791</v>
      </c>
      <c r="B531" s="222" t="s">
        <v>4580</v>
      </c>
      <c r="C531" s="241" t="s">
        <v>4778</v>
      </c>
      <c r="D531" s="237" t="s">
        <v>5473</v>
      </c>
      <c r="E531" s="236">
        <v>1101115845221</v>
      </c>
      <c r="F531" s="240" t="s">
        <v>4850</v>
      </c>
      <c r="G531" s="214">
        <v>0</v>
      </c>
      <c r="H531" s="231" t="s">
        <v>4771</v>
      </c>
      <c r="I531" s="231"/>
      <c r="J531" s="231"/>
      <c r="K531" s="231"/>
      <c r="L531" s="231"/>
      <c r="M531" s="231"/>
      <c r="N531" s="231" t="s">
        <v>4895</v>
      </c>
      <c r="O531" s="246"/>
      <c r="P531" s="246"/>
      <c r="Q531" s="225"/>
      <c r="R531" s="212" t="s">
        <v>2</v>
      </c>
      <c r="S531" s="213" t="s">
        <v>4771</v>
      </c>
      <c r="T531" s="233" t="s">
        <v>5386</v>
      </c>
      <c r="U531" s="234" t="s">
        <v>4759</v>
      </c>
      <c r="V531" s="234">
        <v>45611</v>
      </c>
      <c r="W531" s="234" t="s">
        <v>4822</v>
      </c>
      <c r="X531" s="234" t="s">
        <v>2</v>
      </c>
      <c r="Y531" s="234"/>
      <c r="Z531" s="234"/>
      <c r="AA531" s="243">
        <v>202411</v>
      </c>
      <c r="AB531" s="243"/>
      <c r="AC531" s="244" t="s">
        <v>5210</v>
      </c>
      <c r="AD531" s="244" t="s">
        <v>4927</v>
      </c>
      <c r="AE531" s="245">
        <v>0</v>
      </c>
      <c r="AF531" s="244" t="s">
        <v>4927</v>
      </c>
      <c r="AG531" s="239" t="str">
        <f>IFERROR(VLOOKUP(작성용!A:A,RM!A:D,4,0),"-")</f>
        <v>-</v>
      </c>
      <c r="AH531" s="9" t="s">
        <v>4771</v>
      </c>
      <c r="AI531" s="235" t="s">
        <v>4771</v>
      </c>
      <c r="AJ531" s="235" t="s">
        <v>2</v>
      </c>
      <c r="AK531" s="235" t="s">
        <v>5208</v>
      </c>
      <c r="AL531" s="235">
        <v>530</v>
      </c>
    </row>
    <row r="532" spans="1:38" x14ac:dyDescent="0.3">
      <c r="A532" s="222">
        <v>6000791</v>
      </c>
      <c r="B532" s="222" t="s">
        <v>4580</v>
      </c>
      <c r="C532" s="241" t="s">
        <v>4778</v>
      </c>
      <c r="D532" s="237" t="s">
        <v>5474</v>
      </c>
      <c r="E532" s="236">
        <v>1101117233739</v>
      </c>
      <c r="F532" s="240" t="s">
        <v>4894</v>
      </c>
      <c r="G532" s="214">
        <v>0</v>
      </c>
      <c r="H532" s="231" t="s">
        <v>4771</v>
      </c>
      <c r="I532" s="231"/>
      <c r="J532" s="231"/>
      <c r="K532" s="231"/>
      <c r="L532" s="231"/>
      <c r="M532" s="231"/>
      <c r="N532" s="231" t="s">
        <v>4895</v>
      </c>
      <c r="O532" s="246"/>
      <c r="P532" s="246"/>
      <c r="Q532" s="225"/>
      <c r="R532" s="212" t="s">
        <v>2</v>
      </c>
      <c r="S532" s="213" t="s">
        <v>4767</v>
      </c>
      <c r="T532" s="233" t="s">
        <v>5386</v>
      </c>
      <c r="U532" s="234" t="s">
        <v>4759</v>
      </c>
      <c r="V532" s="234">
        <v>45611</v>
      </c>
      <c r="W532" s="234" t="s">
        <v>4877</v>
      </c>
      <c r="X532" s="234" t="s">
        <v>2</v>
      </c>
      <c r="Y532" s="234"/>
      <c r="Z532" s="234"/>
      <c r="AA532" s="243">
        <v>202411</v>
      </c>
      <c r="AB532" s="243"/>
      <c r="AC532" s="244" t="s">
        <v>5210</v>
      </c>
      <c r="AD532" s="244" t="s">
        <v>4915</v>
      </c>
      <c r="AE532" s="245">
        <v>0</v>
      </c>
      <c r="AF532" s="244" t="s">
        <v>4990</v>
      </c>
      <c r="AG532" s="239" t="str">
        <f>IFERROR(VLOOKUP(작성용!A:A,RM!A:D,4,0),"-")</f>
        <v>-</v>
      </c>
      <c r="AH532" s="9" t="s">
        <v>4771</v>
      </c>
      <c r="AI532" s="235" t="s">
        <v>4771</v>
      </c>
      <c r="AJ532" s="235" t="s">
        <v>2</v>
      </c>
      <c r="AK532" s="235" t="s">
        <v>5208</v>
      </c>
      <c r="AL532" s="235">
        <v>531</v>
      </c>
    </row>
    <row r="533" spans="1:38" x14ac:dyDescent="0.3">
      <c r="A533" s="222">
        <v>6000791</v>
      </c>
      <c r="B533" s="222" t="s">
        <v>4580</v>
      </c>
      <c r="C533" s="241" t="s">
        <v>4778</v>
      </c>
      <c r="D533" s="237" t="s">
        <v>5475</v>
      </c>
      <c r="E533" s="236">
        <v>1101116997617</v>
      </c>
      <c r="F533" s="240" t="s">
        <v>4850</v>
      </c>
      <c r="G533" s="214">
        <v>0</v>
      </c>
      <c r="H533" s="231" t="s">
        <v>4771</v>
      </c>
      <c r="I533" s="231"/>
      <c r="J533" s="231"/>
      <c r="K533" s="231"/>
      <c r="L533" s="231"/>
      <c r="M533" s="231"/>
      <c r="N533" s="231" t="s">
        <v>4895</v>
      </c>
      <c r="O533" s="246"/>
      <c r="P533" s="246"/>
      <c r="Q533" s="225"/>
      <c r="R533" s="212" t="s">
        <v>2</v>
      </c>
      <c r="S533" s="213" t="s">
        <v>4771</v>
      </c>
      <c r="T533" s="233" t="s">
        <v>5386</v>
      </c>
      <c r="U533" s="234" t="s">
        <v>4759</v>
      </c>
      <c r="V533" s="234">
        <v>45611</v>
      </c>
      <c r="W533" s="234" t="s">
        <v>4877</v>
      </c>
      <c r="X533" s="234" t="s">
        <v>2</v>
      </c>
      <c r="Y533" s="234"/>
      <c r="Z533" s="234"/>
      <c r="AA533" s="243">
        <v>202411</v>
      </c>
      <c r="AB533" s="243"/>
      <c r="AC533" s="244" t="s">
        <v>5210</v>
      </c>
      <c r="AD533" s="244" t="s">
        <v>4846</v>
      </c>
      <c r="AE533" s="245">
        <v>0</v>
      </c>
      <c r="AF533" s="244" t="s">
        <v>4846</v>
      </c>
      <c r="AG533" s="239" t="str">
        <f>IFERROR(VLOOKUP(작성용!A:A,RM!A:D,4,0),"-")</f>
        <v>-</v>
      </c>
      <c r="AH533" s="9" t="s">
        <v>4771</v>
      </c>
      <c r="AI533" s="235" t="s">
        <v>4771</v>
      </c>
      <c r="AJ533" s="235" t="s">
        <v>2</v>
      </c>
      <c r="AK533" s="235" t="s">
        <v>5208</v>
      </c>
      <c r="AL533" s="235">
        <v>532</v>
      </c>
    </row>
    <row r="534" spans="1:38" x14ac:dyDescent="0.3">
      <c r="A534" s="222">
        <v>6000791</v>
      </c>
      <c r="B534" s="222" t="s">
        <v>4580</v>
      </c>
      <c r="C534" s="241" t="s">
        <v>4778</v>
      </c>
      <c r="D534" s="237" t="s">
        <v>5476</v>
      </c>
      <c r="E534" s="236">
        <v>1101118272108</v>
      </c>
      <c r="F534" s="240" t="s">
        <v>4850</v>
      </c>
      <c r="G534" s="214">
        <v>0</v>
      </c>
      <c r="H534" s="231" t="s">
        <v>4771</v>
      </c>
      <c r="I534" s="231"/>
      <c r="J534" s="231"/>
      <c r="K534" s="231"/>
      <c r="L534" s="231"/>
      <c r="M534" s="231"/>
      <c r="N534" s="231" t="s">
        <v>4895</v>
      </c>
      <c r="O534" s="246"/>
      <c r="P534" s="246"/>
      <c r="Q534" s="225"/>
      <c r="R534" s="212" t="s">
        <v>2</v>
      </c>
      <c r="S534" s="213" t="s">
        <v>4771</v>
      </c>
      <c r="T534" s="233" t="s">
        <v>5386</v>
      </c>
      <c r="U534" s="234" t="s">
        <v>4759</v>
      </c>
      <c r="V534" s="234">
        <v>45611</v>
      </c>
      <c r="W534" s="234" t="s">
        <v>4877</v>
      </c>
      <c r="X534" s="234" t="s">
        <v>2</v>
      </c>
      <c r="Y534" s="234"/>
      <c r="Z534" s="234"/>
      <c r="AA534" s="243">
        <v>202411</v>
      </c>
      <c r="AB534" s="243"/>
      <c r="AC534" s="244" t="s">
        <v>5210</v>
      </c>
      <c r="AD534" s="244" t="s">
        <v>4935</v>
      </c>
      <c r="AE534" s="245">
        <v>0</v>
      </c>
      <c r="AF534" s="244" t="s">
        <v>4935</v>
      </c>
      <c r="AG534" s="239" t="str">
        <f>IFERROR(VLOOKUP(작성용!A:A,RM!A:D,4,0),"-")</f>
        <v>-</v>
      </c>
      <c r="AH534" s="9" t="s">
        <v>4771</v>
      </c>
      <c r="AI534" s="235" t="s">
        <v>4771</v>
      </c>
      <c r="AJ534" s="235" t="s">
        <v>2</v>
      </c>
      <c r="AK534" s="235" t="s">
        <v>5208</v>
      </c>
      <c r="AL534" s="235">
        <v>533</v>
      </c>
    </row>
    <row r="535" spans="1:38" x14ac:dyDescent="0.3">
      <c r="A535" s="222">
        <v>6000791</v>
      </c>
      <c r="B535" s="222" t="s">
        <v>4580</v>
      </c>
      <c r="C535" s="241" t="s">
        <v>4778</v>
      </c>
      <c r="D535" s="237" t="s">
        <v>5477</v>
      </c>
      <c r="E535" s="236">
        <v>1101115886275</v>
      </c>
      <c r="F535" s="240" t="s">
        <v>4854</v>
      </c>
      <c r="G535" s="214">
        <v>0</v>
      </c>
      <c r="H535" s="231" t="s">
        <v>4771</v>
      </c>
      <c r="I535" s="231"/>
      <c r="J535" s="231"/>
      <c r="K535" s="231"/>
      <c r="L535" s="231"/>
      <c r="M535" s="231"/>
      <c r="N535" s="231" t="s">
        <v>4895</v>
      </c>
      <c r="O535" s="246"/>
      <c r="P535" s="246"/>
      <c r="Q535" s="225"/>
      <c r="R535" s="212" t="s">
        <v>2</v>
      </c>
      <c r="S535" s="213" t="s">
        <v>4771</v>
      </c>
      <c r="T535" s="233" t="s">
        <v>5386</v>
      </c>
      <c r="U535" s="234" t="s">
        <v>4759</v>
      </c>
      <c r="V535" s="234">
        <v>45611</v>
      </c>
      <c r="W535" s="234" t="s">
        <v>4877</v>
      </c>
      <c r="X535" s="234" t="s">
        <v>2</v>
      </c>
      <c r="Y535" s="234"/>
      <c r="Z535" s="234"/>
      <c r="AA535" s="243">
        <v>202411</v>
      </c>
      <c r="AB535" s="243"/>
      <c r="AC535" s="244" t="s">
        <v>5210</v>
      </c>
      <c r="AD535" s="244" t="s">
        <v>4823</v>
      </c>
      <c r="AE535" s="245">
        <v>0</v>
      </c>
      <c r="AF535" s="244" t="s">
        <v>4990</v>
      </c>
      <c r="AG535" s="239" t="str">
        <f>IFERROR(VLOOKUP(작성용!A:A,RM!A:D,4,0),"-")</f>
        <v>-</v>
      </c>
      <c r="AH535" s="9" t="s">
        <v>4771</v>
      </c>
      <c r="AI535" s="235" t="s">
        <v>4771</v>
      </c>
      <c r="AJ535" s="235" t="s">
        <v>2</v>
      </c>
      <c r="AK535" s="235" t="s">
        <v>5208</v>
      </c>
      <c r="AL535" s="235">
        <v>534</v>
      </c>
    </row>
    <row r="536" spans="1:38" x14ac:dyDescent="0.3">
      <c r="A536" s="222">
        <v>6000791</v>
      </c>
      <c r="B536" s="222" t="s">
        <v>4580</v>
      </c>
      <c r="C536" s="241" t="s">
        <v>4778</v>
      </c>
      <c r="D536" s="237" t="s">
        <v>5478</v>
      </c>
      <c r="E536" s="236">
        <v>1101115886275</v>
      </c>
      <c r="F536" s="240" t="s">
        <v>4850</v>
      </c>
      <c r="G536" s="214">
        <v>0</v>
      </c>
      <c r="H536" s="231" t="s">
        <v>4771</v>
      </c>
      <c r="I536" s="231"/>
      <c r="J536" s="231"/>
      <c r="K536" s="231"/>
      <c r="L536" s="231"/>
      <c r="M536" s="231"/>
      <c r="N536" s="231" t="s">
        <v>4895</v>
      </c>
      <c r="O536" s="246"/>
      <c r="P536" s="246"/>
      <c r="Q536" s="225"/>
      <c r="R536" s="212" t="s">
        <v>2</v>
      </c>
      <c r="S536" s="213" t="s">
        <v>4771</v>
      </c>
      <c r="T536" s="233" t="s">
        <v>5386</v>
      </c>
      <c r="U536" s="234" t="s">
        <v>4759</v>
      </c>
      <c r="V536" s="234">
        <v>45611</v>
      </c>
      <c r="W536" s="234" t="s">
        <v>4877</v>
      </c>
      <c r="X536" s="234" t="s">
        <v>2</v>
      </c>
      <c r="Y536" s="234"/>
      <c r="Z536" s="234"/>
      <c r="AA536" s="243">
        <v>202411</v>
      </c>
      <c r="AB536" s="243"/>
      <c r="AC536" s="244" t="s">
        <v>5210</v>
      </c>
      <c r="AD536" s="244" t="s">
        <v>4823</v>
      </c>
      <c r="AE536" s="245">
        <v>0</v>
      </c>
      <c r="AF536" s="244" t="s">
        <v>4990</v>
      </c>
      <c r="AG536" s="239" t="str">
        <f>IFERROR(VLOOKUP(작성용!A:A,RM!A:D,4,0),"-")</f>
        <v>-</v>
      </c>
      <c r="AH536" s="9" t="s">
        <v>4771</v>
      </c>
      <c r="AI536" s="235" t="s">
        <v>4771</v>
      </c>
      <c r="AJ536" s="235" t="s">
        <v>2</v>
      </c>
      <c r="AK536" s="235" t="s">
        <v>5208</v>
      </c>
      <c r="AL536" s="235">
        <v>535</v>
      </c>
    </row>
    <row r="537" spans="1:38" x14ac:dyDescent="0.3">
      <c r="A537" s="222">
        <v>6000791</v>
      </c>
      <c r="B537" s="222" t="s">
        <v>4580</v>
      </c>
      <c r="C537" s="241" t="s">
        <v>4778</v>
      </c>
      <c r="D537" s="237" t="s">
        <v>5479</v>
      </c>
      <c r="E537" s="236">
        <v>1101118411574</v>
      </c>
      <c r="F537" s="240" t="s">
        <v>4894</v>
      </c>
      <c r="G537" s="214">
        <v>0</v>
      </c>
      <c r="H537" s="231" t="s">
        <v>4771</v>
      </c>
      <c r="I537" s="231"/>
      <c r="J537" s="231"/>
      <c r="K537" s="231"/>
      <c r="L537" s="231"/>
      <c r="M537" s="231"/>
      <c r="N537" s="231" t="s">
        <v>4895</v>
      </c>
      <c r="O537" s="246"/>
      <c r="P537" s="246"/>
      <c r="Q537" s="225"/>
      <c r="R537" s="212" t="s">
        <v>2</v>
      </c>
      <c r="S537" s="213" t="s">
        <v>4771</v>
      </c>
      <c r="T537" s="233" t="s">
        <v>5386</v>
      </c>
      <c r="U537" s="234" t="s">
        <v>4759</v>
      </c>
      <c r="V537" s="234">
        <v>45611</v>
      </c>
      <c r="W537" s="234" t="s">
        <v>4877</v>
      </c>
      <c r="X537" s="234" t="s">
        <v>2</v>
      </c>
      <c r="Y537" s="234"/>
      <c r="Z537" s="234"/>
      <c r="AA537" s="243">
        <v>202411</v>
      </c>
      <c r="AB537" s="243"/>
      <c r="AC537" s="244" t="s">
        <v>5210</v>
      </c>
      <c r="AD537" s="244" t="s">
        <v>4900</v>
      </c>
      <c r="AE537" s="245">
        <v>0</v>
      </c>
      <c r="AF537" s="244" t="s">
        <v>4900</v>
      </c>
      <c r="AG537" s="239" t="str">
        <f>IFERROR(VLOOKUP(작성용!A:A,RM!A:D,4,0),"-")</f>
        <v>-</v>
      </c>
      <c r="AH537" s="9" t="s">
        <v>4771</v>
      </c>
      <c r="AI537" s="235" t="s">
        <v>4771</v>
      </c>
      <c r="AJ537" s="235" t="s">
        <v>2</v>
      </c>
      <c r="AK537" s="235" t="s">
        <v>5208</v>
      </c>
      <c r="AL537" s="235">
        <v>536</v>
      </c>
    </row>
    <row r="538" spans="1:38" x14ac:dyDescent="0.3">
      <c r="A538" s="222">
        <v>6000791</v>
      </c>
      <c r="B538" s="222" t="s">
        <v>4580</v>
      </c>
      <c r="C538" s="241" t="s">
        <v>4778</v>
      </c>
      <c r="D538" s="237" t="s">
        <v>5480</v>
      </c>
      <c r="E538" s="236">
        <v>1101118484125</v>
      </c>
      <c r="F538" s="240" t="s">
        <v>4850</v>
      </c>
      <c r="G538" s="214">
        <v>0</v>
      </c>
      <c r="H538" s="231" t="s">
        <v>4771</v>
      </c>
      <c r="I538" s="231"/>
      <c r="J538" s="231"/>
      <c r="K538" s="231"/>
      <c r="L538" s="231"/>
      <c r="M538" s="231"/>
      <c r="N538" s="231" t="s">
        <v>4881</v>
      </c>
      <c r="O538" s="246"/>
      <c r="P538" s="246"/>
      <c r="Q538" s="225"/>
      <c r="R538" s="212" t="s">
        <v>2</v>
      </c>
      <c r="S538" s="213" t="s">
        <v>4771</v>
      </c>
      <c r="T538" s="233" t="s">
        <v>5386</v>
      </c>
      <c r="U538" s="234" t="s">
        <v>4759</v>
      </c>
      <c r="V538" s="234">
        <v>45611</v>
      </c>
      <c r="W538" s="234" t="s">
        <v>4877</v>
      </c>
      <c r="X538" s="234" t="s">
        <v>2</v>
      </c>
      <c r="Y538" s="234"/>
      <c r="Z538" s="234"/>
      <c r="AA538" s="243">
        <v>202411</v>
      </c>
      <c r="AB538" s="243"/>
      <c r="AC538" s="244" t="s">
        <v>5210</v>
      </c>
      <c r="AD538" s="244" t="s">
        <v>4858</v>
      </c>
      <c r="AE538" s="245">
        <v>0</v>
      </c>
      <c r="AF538" s="244" t="s">
        <v>4858</v>
      </c>
      <c r="AG538" s="239" t="str">
        <f>IFERROR(VLOOKUP(작성용!A:A,RM!A:D,4,0),"-")</f>
        <v>-</v>
      </c>
      <c r="AH538" s="9" t="s">
        <v>4771</v>
      </c>
      <c r="AI538" s="235" t="s">
        <v>4771</v>
      </c>
      <c r="AJ538" s="235" t="s">
        <v>2</v>
      </c>
      <c r="AK538" s="235" t="s">
        <v>5208</v>
      </c>
      <c r="AL538" s="235">
        <v>537</v>
      </c>
    </row>
    <row r="539" spans="1:38" x14ac:dyDescent="0.3">
      <c r="A539" s="222">
        <v>6000791</v>
      </c>
      <c r="B539" s="222" t="s">
        <v>4580</v>
      </c>
      <c r="C539" s="241" t="s">
        <v>4778</v>
      </c>
      <c r="D539" s="237" t="s">
        <v>5481</v>
      </c>
      <c r="E539" s="236">
        <v>1101117643128</v>
      </c>
      <c r="F539" s="240" t="s">
        <v>4850</v>
      </c>
      <c r="G539" s="214">
        <v>0</v>
      </c>
      <c r="H539" s="231" t="s">
        <v>4771</v>
      </c>
      <c r="I539" s="231"/>
      <c r="J539" s="231"/>
      <c r="K539" s="231"/>
      <c r="L539" s="231"/>
      <c r="M539" s="231"/>
      <c r="N539" s="231" t="s">
        <v>4895</v>
      </c>
      <c r="O539" s="246"/>
      <c r="P539" s="246"/>
      <c r="Q539" s="225"/>
      <c r="R539" s="212" t="s">
        <v>2</v>
      </c>
      <c r="S539" s="213" t="s">
        <v>4771</v>
      </c>
      <c r="T539" s="233" t="s">
        <v>5386</v>
      </c>
      <c r="U539" s="234" t="s">
        <v>4759</v>
      </c>
      <c r="V539" s="234">
        <v>45611</v>
      </c>
      <c r="W539" s="234" t="s">
        <v>4877</v>
      </c>
      <c r="X539" s="234" t="s">
        <v>2</v>
      </c>
      <c r="Y539" s="234"/>
      <c r="Z539" s="234"/>
      <c r="AA539" s="243">
        <v>202411</v>
      </c>
      <c r="AB539" s="243"/>
      <c r="AC539" s="244" t="s">
        <v>5210</v>
      </c>
      <c r="AD539" s="244" t="s">
        <v>4937</v>
      </c>
      <c r="AE539" s="245">
        <v>0</v>
      </c>
      <c r="AF539" s="244" t="s">
        <v>4937</v>
      </c>
      <c r="AG539" s="239" t="str">
        <f>IFERROR(VLOOKUP(작성용!A:A,RM!A:D,4,0),"-")</f>
        <v>-</v>
      </c>
      <c r="AH539" s="9" t="s">
        <v>4771</v>
      </c>
      <c r="AI539" s="235" t="s">
        <v>4771</v>
      </c>
      <c r="AJ539" s="235" t="s">
        <v>2</v>
      </c>
      <c r="AK539" s="235" t="s">
        <v>5208</v>
      </c>
      <c r="AL539" s="235">
        <v>538</v>
      </c>
    </row>
    <row r="540" spans="1:38" x14ac:dyDescent="0.3">
      <c r="A540" s="222">
        <v>6000791</v>
      </c>
      <c r="B540" s="222" t="s">
        <v>4580</v>
      </c>
      <c r="C540" s="241" t="s">
        <v>4778</v>
      </c>
      <c r="D540" s="237" t="s">
        <v>5481</v>
      </c>
      <c r="E540" s="236">
        <v>1101117643128</v>
      </c>
      <c r="F540" s="240" t="s">
        <v>4850</v>
      </c>
      <c r="G540" s="214">
        <v>1</v>
      </c>
      <c r="H540" s="231" t="s">
        <v>4771</v>
      </c>
      <c r="I540" s="231"/>
      <c r="J540" s="231"/>
      <c r="K540" s="231"/>
      <c r="L540" s="231"/>
      <c r="M540" s="231"/>
      <c r="N540" s="231" t="s">
        <v>4895</v>
      </c>
      <c r="O540" s="246"/>
      <c r="P540" s="246"/>
      <c r="Q540" s="225"/>
      <c r="R540" s="212" t="s">
        <v>2</v>
      </c>
      <c r="S540" s="213" t="s">
        <v>4771</v>
      </c>
      <c r="T540" s="233" t="s">
        <v>5386</v>
      </c>
      <c r="U540" s="234" t="s">
        <v>4759</v>
      </c>
      <c r="V540" s="234">
        <v>45611</v>
      </c>
      <c r="W540" s="234" t="s">
        <v>4877</v>
      </c>
      <c r="X540" s="234" t="s">
        <v>2</v>
      </c>
      <c r="Y540" s="234"/>
      <c r="Z540" s="234"/>
      <c r="AA540" s="243">
        <v>202411</v>
      </c>
      <c r="AB540" s="243"/>
      <c r="AC540" s="244" t="s">
        <v>5210</v>
      </c>
      <c r="AD540" s="244" t="s">
        <v>4937</v>
      </c>
      <c r="AE540" s="245">
        <v>0</v>
      </c>
      <c r="AF540" s="244" t="s">
        <v>4937</v>
      </c>
      <c r="AG540" s="239" t="str">
        <f>IFERROR(VLOOKUP(작성용!A:A,RM!A:D,4,0),"-")</f>
        <v>-</v>
      </c>
      <c r="AH540" s="9" t="s">
        <v>4771</v>
      </c>
      <c r="AI540" s="235" t="s">
        <v>4771</v>
      </c>
      <c r="AJ540" s="235" t="s">
        <v>2</v>
      </c>
      <c r="AK540" s="235" t="s">
        <v>5208</v>
      </c>
      <c r="AL540" s="235">
        <v>539</v>
      </c>
    </row>
    <row r="541" spans="1:38" x14ac:dyDescent="0.3">
      <c r="A541" s="222">
        <v>6000791</v>
      </c>
      <c r="B541" s="222" t="s">
        <v>4580</v>
      </c>
      <c r="C541" s="241" t="s">
        <v>4778</v>
      </c>
      <c r="D541" s="237" t="s">
        <v>5482</v>
      </c>
      <c r="E541" s="236">
        <v>1341110582838</v>
      </c>
      <c r="F541" s="240" t="s">
        <v>4850</v>
      </c>
      <c r="G541" s="214">
        <v>0</v>
      </c>
      <c r="H541" s="231" t="s">
        <v>4771</v>
      </c>
      <c r="I541" s="231"/>
      <c r="J541" s="231"/>
      <c r="K541" s="231"/>
      <c r="L541" s="231"/>
      <c r="M541" s="231"/>
      <c r="N541" s="231" t="s">
        <v>4895</v>
      </c>
      <c r="O541" s="246"/>
      <c r="P541" s="246"/>
      <c r="Q541" s="225"/>
      <c r="R541" s="212" t="s">
        <v>2</v>
      </c>
      <c r="S541" s="213" t="s">
        <v>4771</v>
      </c>
      <c r="T541" s="233" t="s">
        <v>5386</v>
      </c>
      <c r="U541" s="234" t="s">
        <v>4759</v>
      </c>
      <c r="V541" s="234">
        <v>45611</v>
      </c>
      <c r="W541" s="234" t="s">
        <v>4877</v>
      </c>
      <c r="X541" s="234" t="s">
        <v>2</v>
      </c>
      <c r="Y541" s="234"/>
      <c r="Z541" s="234"/>
      <c r="AA541" s="243">
        <v>202411</v>
      </c>
      <c r="AB541" s="243"/>
      <c r="AC541" s="244" t="s">
        <v>5210</v>
      </c>
      <c r="AD541" s="244" t="s">
        <v>4860</v>
      </c>
      <c r="AE541" s="245">
        <v>0</v>
      </c>
      <c r="AF541" s="244" t="s">
        <v>4860</v>
      </c>
      <c r="AG541" s="239" t="str">
        <f>IFERROR(VLOOKUP(작성용!A:A,RM!A:D,4,0),"-")</f>
        <v>-</v>
      </c>
      <c r="AH541" s="9" t="s">
        <v>4771</v>
      </c>
      <c r="AI541" s="235" t="s">
        <v>4771</v>
      </c>
      <c r="AJ541" s="235" t="s">
        <v>2</v>
      </c>
      <c r="AK541" s="235" t="s">
        <v>5208</v>
      </c>
      <c r="AL541" s="235">
        <v>540</v>
      </c>
    </row>
    <row r="542" spans="1:38" x14ac:dyDescent="0.3">
      <c r="A542" s="229">
        <v>6000802</v>
      </c>
      <c r="B542" s="229" t="s">
        <v>5349</v>
      </c>
      <c r="C542" s="241" t="s">
        <v>4778</v>
      </c>
      <c r="D542" s="237" t="s">
        <v>5483</v>
      </c>
      <c r="E542" s="236">
        <v>1348110506579</v>
      </c>
      <c r="F542" s="240" t="s">
        <v>4850</v>
      </c>
      <c r="G542" s="214">
        <v>1</v>
      </c>
      <c r="H542" s="231" t="s">
        <v>4771</v>
      </c>
      <c r="I542" s="231"/>
      <c r="J542" s="231"/>
      <c r="K542" s="231"/>
      <c r="L542" s="231"/>
      <c r="M542" s="231"/>
      <c r="N542" s="231" t="s">
        <v>4895</v>
      </c>
      <c r="O542" s="246"/>
      <c r="P542" s="246"/>
      <c r="Q542" s="225"/>
      <c r="R542" s="212" t="s">
        <v>2</v>
      </c>
      <c r="S542" s="213" t="s">
        <v>4771</v>
      </c>
      <c r="T542" s="233" t="s">
        <v>5386</v>
      </c>
      <c r="U542" s="234" t="s">
        <v>4759</v>
      </c>
      <c r="V542" s="234">
        <v>45611</v>
      </c>
      <c r="W542" s="233" t="s">
        <v>4877</v>
      </c>
      <c r="X542" s="234" t="s">
        <v>4771</v>
      </c>
      <c r="Y542" s="234"/>
      <c r="Z542" s="234"/>
      <c r="AA542" s="243">
        <v>202411</v>
      </c>
      <c r="AB542" s="243"/>
      <c r="AC542" s="233" t="s">
        <v>5210</v>
      </c>
      <c r="AD542" s="244" t="s">
        <v>4856</v>
      </c>
      <c r="AE542" s="245">
        <v>0</v>
      </c>
      <c r="AF542" s="244" t="s">
        <v>4856</v>
      </c>
      <c r="AG542" s="239" t="str">
        <f>IFERROR(VLOOKUP(작성용!A:A,RM!A:D,4,0),"-")</f>
        <v>-</v>
      </c>
      <c r="AH542" s="9" t="s">
        <v>4771</v>
      </c>
      <c r="AI542" s="235" t="s">
        <v>4771</v>
      </c>
      <c r="AJ542" s="235" t="s">
        <v>4771</v>
      </c>
      <c r="AK542" s="203" t="s">
        <v>5208</v>
      </c>
      <c r="AL542" s="235">
        <v>541</v>
      </c>
    </row>
    <row r="543" spans="1:38" x14ac:dyDescent="0.3">
      <c r="A543" s="229">
        <v>6000802</v>
      </c>
      <c r="B543" s="229" t="s">
        <v>5349</v>
      </c>
      <c r="C543" s="241" t="s">
        <v>4778</v>
      </c>
      <c r="D543" s="237" t="s">
        <v>5484</v>
      </c>
      <c r="E543" s="236">
        <v>1101116333019</v>
      </c>
      <c r="F543" s="240" t="s">
        <v>4850</v>
      </c>
      <c r="G543" s="214">
        <v>1</v>
      </c>
      <c r="H543" s="231" t="s">
        <v>4771</v>
      </c>
      <c r="I543" s="231"/>
      <c r="J543" s="231"/>
      <c r="K543" s="231"/>
      <c r="L543" s="231"/>
      <c r="M543" s="231"/>
      <c r="N543" s="231" t="s">
        <v>4895</v>
      </c>
      <c r="O543" s="246"/>
      <c r="P543" s="246"/>
      <c r="Q543" s="225"/>
      <c r="R543" s="212" t="s">
        <v>2</v>
      </c>
      <c r="S543" s="213" t="s">
        <v>4771</v>
      </c>
      <c r="T543" s="233" t="s">
        <v>5386</v>
      </c>
      <c r="U543" s="234" t="s">
        <v>4759</v>
      </c>
      <c r="V543" s="234">
        <v>45611</v>
      </c>
      <c r="W543" s="233" t="s">
        <v>4877</v>
      </c>
      <c r="X543" s="234" t="s">
        <v>4771</v>
      </c>
      <c r="Y543" s="234"/>
      <c r="Z543" s="234"/>
      <c r="AA543" s="243">
        <v>202411</v>
      </c>
      <c r="AB543" s="243"/>
      <c r="AC543" s="233" t="s">
        <v>5210</v>
      </c>
      <c r="AD543" s="244" t="s">
        <v>4856</v>
      </c>
      <c r="AE543" s="245">
        <v>0.6</v>
      </c>
      <c r="AF543" s="244" t="s">
        <v>4856</v>
      </c>
      <c r="AG543" s="239" t="str">
        <f>IFERROR(VLOOKUP(작성용!A:A,RM!A:D,4,0),"-")</f>
        <v>-</v>
      </c>
      <c r="AH543" s="9" t="s">
        <v>4771</v>
      </c>
      <c r="AI543" s="235" t="s">
        <v>4771</v>
      </c>
      <c r="AJ543" s="235" t="s">
        <v>4771</v>
      </c>
      <c r="AK543" s="203" t="s">
        <v>5208</v>
      </c>
      <c r="AL543" s="235">
        <v>542</v>
      </c>
    </row>
    <row r="544" spans="1:38" x14ac:dyDescent="0.3">
      <c r="A544" s="229">
        <v>6000802</v>
      </c>
      <c r="B544" s="229" t="s">
        <v>5349</v>
      </c>
      <c r="C544" s="241" t="s">
        <v>4778</v>
      </c>
      <c r="D544" s="237" t="s">
        <v>5485</v>
      </c>
      <c r="E544" s="236">
        <v>1101117884110</v>
      </c>
      <c r="F544" s="240" t="s">
        <v>4850</v>
      </c>
      <c r="G544" s="214">
        <v>1</v>
      </c>
      <c r="H544" s="231" t="s">
        <v>4771</v>
      </c>
      <c r="I544" s="231"/>
      <c r="J544" s="231"/>
      <c r="K544" s="231"/>
      <c r="L544" s="231"/>
      <c r="M544" s="231"/>
      <c r="N544" s="231" t="s">
        <v>4895</v>
      </c>
      <c r="O544" s="246"/>
      <c r="P544" s="246"/>
      <c r="Q544" s="225"/>
      <c r="R544" s="212" t="s">
        <v>2</v>
      </c>
      <c r="S544" s="213" t="s">
        <v>4771</v>
      </c>
      <c r="T544" s="233" t="s">
        <v>5386</v>
      </c>
      <c r="U544" s="234" t="s">
        <v>4759</v>
      </c>
      <c r="V544" s="234">
        <v>45611</v>
      </c>
      <c r="W544" s="233" t="s">
        <v>4877</v>
      </c>
      <c r="X544" s="234" t="s">
        <v>4771</v>
      </c>
      <c r="Y544" s="234"/>
      <c r="Z544" s="234"/>
      <c r="AA544" s="243">
        <v>202411</v>
      </c>
      <c r="AB544" s="243"/>
      <c r="AC544" s="233" t="s">
        <v>5210</v>
      </c>
      <c r="AD544" s="244" t="s">
        <v>4761</v>
      </c>
      <c r="AE544" s="245">
        <v>0</v>
      </c>
      <c r="AF544" s="244" t="s">
        <v>4761</v>
      </c>
      <c r="AG544" s="239" t="str">
        <f>IFERROR(VLOOKUP(작성용!A:A,RM!A:D,4,0),"-")</f>
        <v>-</v>
      </c>
      <c r="AH544" s="9" t="s">
        <v>4771</v>
      </c>
      <c r="AI544" s="235" t="s">
        <v>4771</v>
      </c>
      <c r="AJ544" s="235" t="s">
        <v>4771</v>
      </c>
      <c r="AK544" s="203" t="s">
        <v>5208</v>
      </c>
      <c r="AL544" s="235">
        <v>543</v>
      </c>
    </row>
    <row r="545" spans="1:38" x14ac:dyDescent="0.3">
      <c r="A545" s="229">
        <v>6000802</v>
      </c>
      <c r="B545" s="229" t="s">
        <v>5349</v>
      </c>
      <c r="C545" s="241" t="s">
        <v>4778</v>
      </c>
      <c r="D545" s="237" t="s">
        <v>5486</v>
      </c>
      <c r="E545" s="236">
        <v>1101117396248</v>
      </c>
      <c r="F545" s="240" t="s">
        <v>4850</v>
      </c>
      <c r="G545" s="214">
        <v>0</v>
      </c>
      <c r="H545" s="231" t="s">
        <v>4771</v>
      </c>
      <c r="I545" s="231"/>
      <c r="J545" s="231"/>
      <c r="K545" s="231"/>
      <c r="L545" s="231"/>
      <c r="M545" s="231"/>
      <c r="N545" s="231" t="s">
        <v>4895</v>
      </c>
      <c r="O545" s="246"/>
      <c r="P545" s="246"/>
      <c r="Q545" s="225"/>
      <c r="R545" s="212" t="s">
        <v>2</v>
      </c>
      <c r="S545" s="213" t="s">
        <v>4771</v>
      </c>
      <c r="T545" s="233" t="s">
        <v>5386</v>
      </c>
      <c r="U545" s="234" t="s">
        <v>4759</v>
      </c>
      <c r="V545" s="234">
        <v>45611</v>
      </c>
      <c r="W545" s="233" t="s">
        <v>4877</v>
      </c>
      <c r="X545" s="234" t="s">
        <v>4771</v>
      </c>
      <c r="Y545" s="234"/>
      <c r="Z545" s="234"/>
      <c r="AA545" s="243">
        <v>202411</v>
      </c>
      <c r="AB545" s="243"/>
      <c r="AC545" s="233" t="s">
        <v>5210</v>
      </c>
      <c r="AD545" s="244" t="s">
        <v>4856</v>
      </c>
      <c r="AE545" s="245">
        <v>0.6</v>
      </c>
      <c r="AF545" s="244" t="s">
        <v>4856</v>
      </c>
      <c r="AG545" s="239" t="str">
        <f>IFERROR(VLOOKUP(작성용!A:A,RM!A:D,4,0),"-")</f>
        <v>-</v>
      </c>
      <c r="AH545" s="9" t="s">
        <v>4771</v>
      </c>
      <c r="AI545" s="235" t="s">
        <v>4771</v>
      </c>
      <c r="AJ545" s="235" t="s">
        <v>4771</v>
      </c>
      <c r="AK545" s="203" t="s">
        <v>5208</v>
      </c>
      <c r="AL545" s="235">
        <v>544</v>
      </c>
    </row>
    <row r="546" spans="1:38" x14ac:dyDescent="0.3">
      <c r="A546" s="229">
        <v>6000802</v>
      </c>
      <c r="B546" s="229" t="s">
        <v>5349</v>
      </c>
      <c r="C546" s="241" t="s">
        <v>4778</v>
      </c>
      <c r="D546" s="237" t="s">
        <v>5457</v>
      </c>
      <c r="E546" s="236">
        <v>1601110577431</v>
      </c>
      <c r="F546" s="240" t="s">
        <v>4894</v>
      </c>
      <c r="G546" s="214">
        <v>1</v>
      </c>
      <c r="H546" s="231" t="s">
        <v>4771</v>
      </c>
      <c r="I546" s="231"/>
      <c r="J546" s="231"/>
      <c r="K546" s="231"/>
      <c r="L546" s="231"/>
      <c r="M546" s="231"/>
      <c r="N546" s="231" t="s">
        <v>4895</v>
      </c>
      <c r="O546" s="246"/>
      <c r="P546" s="246"/>
      <c r="Q546" s="225"/>
      <c r="R546" s="212" t="s">
        <v>2</v>
      </c>
      <c r="S546" s="213" t="s">
        <v>4771</v>
      </c>
      <c r="T546" s="233" t="s">
        <v>5386</v>
      </c>
      <c r="U546" s="234" t="s">
        <v>4759</v>
      </c>
      <c r="V546" s="234">
        <v>45611</v>
      </c>
      <c r="W546" s="233" t="s">
        <v>4877</v>
      </c>
      <c r="X546" s="234" t="s">
        <v>4771</v>
      </c>
      <c r="Y546" s="234"/>
      <c r="Z546" s="234"/>
      <c r="AA546" s="243">
        <v>202411</v>
      </c>
      <c r="AB546" s="243"/>
      <c r="AC546" s="233" t="s">
        <v>5210</v>
      </c>
      <c r="AD546" s="244" t="s">
        <v>4947</v>
      </c>
      <c r="AE546" s="245">
        <v>0</v>
      </c>
      <c r="AF546" s="244" t="s">
        <v>4947</v>
      </c>
      <c r="AG546" s="239" t="str">
        <f>IFERROR(VLOOKUP(작성용!A:A,RM!A:D,4,0),"-")</f>
        <v>-</v>
      </c>
      <c r="AH546" s="9" t="s">
        <v>4771</v>
      </c>
      <c r="AI546" s="235" t="s">
        <v>4771</v>
      </c>
      <c r="AJ546" s="235" t="s">
        <v>4771</v>
      </c>
      <c r="AK546" s="203" t="s">
        <v>5208</v>
      </c>
      <c r="AL546" s="235">
        <v>545</v>
      </c>
    </row>
    <row r="547" spans="1:38" x14ac:dyDescent="0.3">
      <c r="A547" s="229">
        <v>6000802</v>
      </c>
      <c r="B547" s="229" t="s">
        <v>5349</v>
      </c>
      <c r="C547" s="241" t="s">
        <v>4778</v>
      </c>
      <c r="D547" s="237" t="s">
        <v>5487</v>
      </c>
      <c r="E547" s="236">
        <v>1341110529715</v>
      </c>
      <c r="F547" s="240" t="s">
        <v>4850</v>
      </c>
      <c r="G547" s="214">
        <v>1</v>
      </c>
      <c r="H547" s="231" t="s">
        <v>4771</v>
      </c>
      <c r="I547" s="231"/>
      <c r="J547" s="231"/>
      <c r="K547" s="231"/>
      <c r="L547" s="231"/>
      <c r="M547" s="231"/>
      <c r="N547" s="231" t="s">
        <v>4895</v>
      </c>
      <c r="O547" s="246"/>
      <c r="P547" s="246"/>
      <c r="Q547" s="225"/>
      <c r="R547" s="212" t="s">
        <v>2</v>
      </c>
      <c r="S547" s="213" t="s">
        <v>4771</v>
      </c>
      <c r="T547" s="233" t="s">
        <v>5386</v>
      </c>
      <c r="U547" s="234" t="s">
        <v>4759</v>
      </c>
      <c r="V547" s="234">
        <v>45611</v>
      </c>
      <c r="W547" s="233" t="s">
        <v>4877</v>
      </c>
      <c r="X547" s="234" t="s">
        <v>4771</v>
      </c>
      <c r="Y547" s="234"/>
      <c r="Z547" s="234"/>
      <c r="AA547" s="243">
        <v>202411</v>
      </c>
      <c r="AB547" s="243"/>
      <c r="AC547" s="233" t="s">
        <v>5210</v>
      </c>
      <c r="AD547" s="244" t="s">
        <v>4845</v>
      </c>
      <c r="AE547" s="245">
        <v>0</v>
      </c>
      <c r="AF547" s="244" t="s">
        <v>4845</v>
      </c>
      <c r="AG547" s="239" t="str">
        <f>IFERROR(VLOOKUP(작성용!A:A,RM!A:D,4,0),"-")</f>
        <v>-</v>
      </c>
      <c r="AH547" s="9" t="s">
        <v>4771</v>
      </c>
      <c r="AI547" s="235" t="s">
        <v>4771</v>
      </c>
      <c r="AJ547" s="235" t="s">
        <v>4771</v>
      </c>
      <c r="AK547" s="203" t="s">
        <v>5208</v>
      </c>
      <c r="AL547" s="235">
        <v>546</v>
      </c>
    </row>
    <row r="548" spans="1:38" x14ac:dyDescent="0.3">
      <c r="A548" s="229">
        <v>6000802</v>
      </c>
      <c r="B548" s="229" t="s">
        <v>5349</v>
      </c>
      <c r="C548" s="241" t="s">
        <v>4778</v>
      </c>
      <c r="D548" s="237" t="s">
        <v>5488</v>
      </c>
      <c r="E548" s="236">
        <v>1101116391786</v>
      </c>
      <c r="F548" s="240" t="s">
        <v>4850</v>
      </c>
      <c r="G548" s="214">
        <v>1</v>
      </c>
      <c r="H548" s="231" t="s">
        <v>4771</v>
      </c>
      <c r="I548" s="231"/>
      <c r="J548" s="231"/>
      <c r="K548" s="231"/>
      <c r="L548" s="231"/>
      <c r="M548" s="231"/>
      <c r="N548" s="231" t="s">
        <v>4895</v>
      </c>
      <c r="O548" s="246"/>
      <c r="P548" s="246"/>
      <c r="Q548" s="225"/>
      <c r="R548" s="212" t="s">
        <v>2</v>
      </c>
      <c r="S548" s="213" t="s">
        <v>4771</v>
      </c>
      <c r="T548" s="233" t="s">
        <v>5386</v>
      </c>
      <c r="U548" s="234" t="s">
        <v>4759</v>
      </c>
      <c r="V548" s="234">
        <v>45611</v>
      </c>
      <c r="W548" s="233" t="s">
        <v>4877</v>
      </c>
      <c r="X548" s="234" t="s">
        <v>4771</v>
      </c>
      <c r="Y548" s="234"/>
      <c r="Z548" s="234"/>
      <c r="AA548" s="243">
        <v>202411</v>
      </c>
      <c r="AB548" s="243"/>
      <c r="AC548" s="233" t="s">
        <v>5210</v>
      </c>
      <c r="AD548" s="244" t="s">
        <v>4897</v>
      </c>
      <c r="AE548" s="245">
        <v>0</v>
      </c>
      <c r="AF548" s="244" t="s">
        <v>4897</v>
      </c>
      <c r="AG548" s="239" t="str">
        <f>IFERROR(VLOOKUP(작성용!A:A,RM!A:D,4,0),"-")</f>
        <v>-</v>
      </c>
      <c r="AH548" s="9" t="s">
        <v>4771</v>
      </c>
      <c r="AI548" s="235" t="s">
        <v>4771</v>
      </c>
      <c r="AJ548" s="235" t="s">
        <v>4771</v>
      </c>
      <c r="AK548" s="203" t="s">
        <v>5208</v>
      </c>
      <c r="AL548" s="235">
        <v>547</v>
      </c>
    </row>
    <row r="549" spans="1:38" x14ac:dyDescent="0.3">
      <c r="A549" s="229">
        <v>6000802</v>
      </c>
      <c r="B549" s="229" t="s">
        <v>5349</v>
      </c>
      <c r="C549" s="241" t="s">
        <v>4778</v>
      </c>
      <c r="D549" s="237" t="s">
        <v>5489</v>
      </c>
      <c r="E549" s="236">
        <v>1747110054283</v>
      </c>
      <c r="F549" s="240" t="s">
        <v>4850</v>
      </c>
      <c r="G549" s="214">
        <v>0</v>
      </c>
      <c r="H549" s="231" t="s">
        <v>4771</v>
      </c>
      <c r="I549" s="231"/>
      <c r="J549" s="231"/>
      <c r="K549" s="231"/>
      <c r="L549" s="231"/>
      <c r="M549" s="231"/>
      <c r="N549" s="231" t="s">
        <v>4895</v>
      </c>
      <c r="O549" s="246"/>
      <c r="P549" s="246"/>
      <c r="Q549" s="225"/>
      <c r="R549" s="212" t="s">
        <v>2</v>
      </c>
      <c r="S549" s="213" t="s">
        <v>4771</v>
      </c>
      <c r="T549" s="233" t="s">
        <v>5386</v>
      </c>
      <c r="U549" s="234" t="s">
        <v>4759</v>
      </c>
      <c r="V549" s="234">
        <v>45611</v>
      </c>
      <c r="W549" s="233" t="s">
        <v>4877</v>
      </c>
      <c r="X549" s="234" t="s">
        <v>4771</v>
      </c>
      <c r="Y549" s="234"/>
      <c r="Z549" s="234"/>
      <c r="AA549" s="243">
        <v>202411</v>
      </c>
      <c r="AB549" s="243"/>
      <c r="AC549" s="233" t="s">
        <v>5210</v>
      </c>
      <c r="AD549" s="244" t="s">
        <v>4761</v>
      </c>
      <c r="AE549" s="245">
        <v>0</v>
      </c>
      <c r="AF549" s="244" t="s">
        <v>4761</v>
      </c>
      <c r="AG549" s="239" t="str">
        <f>IFERROR(VLOOKUP(작성용!A:A,RM!A:D,4,0),"-")</f>
        <v>-</v>
      </c>
      <c r="AH549" s="9" t="s">
        <v>4771</v>
      </c>
      <c r="AI549" s="235" t="s">
        <v>4771</v>
      </c>
      <c r="AJ549" s="235" t="s">
        <v>4771</v>
      </c>
      <c r="AK549" s="203" t="s">
        <v>5208</v>
      </c>
      <c r="AL549" s="235">
        <v>548</v>
      </c>
    </row>
    <row r="550" spans="1:38" x14ac:dyDescent="0.3">
      <c r="A550" s="229">
        <v>6000802</v>
      </c>
      <c r="B550" s="229" t="s">
        <v>5349</v>
      </c>
      <c r="C550" s="241" t="s">
        <v>4778</v>
      </c>
      <c r="D550" s="237" t="s">
        <v>5490</v>
      </c>
      <c r="E550" s="236">
        <v>1648110014229</v>
      </c>
      <c r="F550" s="240" t="s">
        <v>4780</v>
      </c>
      <c r="G550" s="214">
        <v>0</v>
      </c>
      <c r="H550" s="231" t="s">
        <v>4771</v>
      </c>
      <c r="I550" s="231"/>
      <c r="J550" s="231"/>
      <c r="K550" s="231"/>
      <c r="L550" s="231"/>
      <c r="M550" s="231"/>
      <c r="N550" s="231" t="s">
        <v>4895</v>
      </c>
      <c r="O550" s="246"/>
      <c r="P550" s="246"/>
      <c r="Q550" s="225"/>
      <c r="R550" s="212" t="s">
        <v>2</v>
      </c>
      <c r="S550" s="213" t="s">
        <v>4771</v>
      </c>
      <c r="T550" s="233" t="s">
        <v>5386</v>
      </c>
      <c r="U550" s="234" t="s">
        <v>4759</v>
      </c>
      <c r="V550" s="234">
        <v>45611</v>
      </c>
      <c r="W550" s="233" t="s">
        <v>4877</v>
      </c>
      <c r="X550" s="234" t="s">
        <v>4771</v>
      </c>
      <c r="Y550" s="234"/>
      <c r="Z550" s="234"/>
      <c r="AA550" s="243">
        <v>202411</v>
      </c>
      <c r="AB550" s="243"/>
      <c r="AC550" s="233" t="s">
        <v>5210</v>
      </c>
      <c r="AD550" s="244" t="s">
        <v>4933</v>
      </c>
      <c r="AE550" s="245">
        <v>0.6</v>
      </c>
      <c r="AF550" s="244" t="s">
        <v>4933</v>
      </c>
      <c r="AG550" s="239" t="str">
        <f>IFERROR(VLOOKUP(작성용!A:A,RM!A:D,4,0),"-")</f>
        <v>-</v>
      </c>
      <c r="AH550" s="9" t="s">
        <v>4771</v>
      </c>
      <c r="AI550" s="235" t="s">
        <v>4771</v>
      </c>
      <c r="AJ550" s="235" t="s">
        <v>4771</v>
      </c>
      <c r="AK550" s="203" t="s">
        <v>5208</v>
      </c>
      <c r="AL550" s="235">
        <v>549</v>
      </c>
    </row>
    <row r="551" spans="1:38" x14ac:dyDescent="0.3">
      <c r="A551" s="229">
        <v>6000802</v>
      </c>
      <c r="B551" s="229" t="s">
        <v>5349</v>
      </c>
      <c r="C551" s="241" t="s">
        <v>4778</v>
      </c>
      <c r="D551" s="237" t="s">
        <v>5491</v>
      </c>
      <c r="E551" s="236">
        <v>1101117334355</v>
      </c>
      <c r="F551" s="240" t="s">
        <v>4850</v>
      </c>
      <c r="G551" s="214">
        <v>0</v>
      </c>
      <c r="H551" s="231" t="s">
        <v>4771</v>
      </c>
      <c r="I551" s="231"/>
      <c r="J551" s="231"/>
      <c r="K551" s="231"/>
      <c r="L551" s="231"/>
      <c r="M551" s="231"/>
      <c r="N551" s="231" t="s">
        <v>4895</v>
      </c>
      <c r="O551" s="246"/>
      <c r="P551" s="246"/>
      <c r="Q551" s="225"/>
      <c r="R551" s="212" t="s">
        <v>2</v>
      </c>
      <c r="S551" s="213" t="s">
        <v>4771</v>
      </c>
      <c r="T551" s="233" t="s">
        <v>5386</v>
      </c>
      <c r="U551" s="234" t="s">
        <v>4759</v>
      </c>
      <c r="V551" s="234">
        <v>45611</v>
      </c>
      <c r="W551" s="233" t="s">
        <v>4877</v>
      </c>
      <c r="X551" s="234" t="s">
        <v>4771</v>
      </c>
      <c r="Y551" s="234"/>
      <c r="Z551" s="234"/>
      <c r="AA551" s="243">
        <v>202411</v>
      </c>
      <c r="AB551" s="243"/>
      <c r="AC551" s="233" t="s">
        <v>5210</v>
      </c>
      <c r="AD551" s="228" t="s">
        <v>4541</v>
      </c>
      <c r="AE551" s="245">
        <v>0</v>
      </c>
      <c r="AF551" s="228" t="s">
        <v>4541</v>
      </c>
      <c r="AG551" s="239" t="str">
        <f>IFERROR(VLOOKUP(작성용!A:A,RM!A:D,4,0),"-")</f>
        <v>-</v>
      </c>
      <c r="AH551" s="9" t="s">
        <v>4771</v>
      </c>
      <c r="AI551" s="235" t="s">
        <v>4771</v>
      </c>
      <c r="AJ551" s="235" t="s">
        <v>4771</v>
      </c>
      <c r="AK551" s="203" t="s">
        <v>5208</v>
      </c>
      <c r="AL551" s="235">
        <v>550</v>
      </c>
    </row>
    <row r="552" spans="1:38" x14ac:dyDescent="0.3">
      <c r="A552" s="229">
        <v>6000802</v>
      </c>
      <c r="B552" s="229" t="s">
        <v>5349</v>
      </c>
      <c r="C552" s="241" t="s">
        <v>4778</v>
      </c>
      <c r="D552" s="237" t="s">
        <v>5492</v>
      </c>
      <c r="E552" s="236">
        <v>1101117616315</v>
      </c>
      <c r="F552" s="240" t="s">
        <v>4850</v>
      </c>
      <c r="G552" s="214">
        <v>0</v>
      </c>
      <c r="H552" s="231" t="s">
        <v>4771</v>
      </c>
      <c r="I552" s="231"/>
      <c r="J552" s="231"/>
      <c r="K552" s="231"/>
      <c r="L552" s="231"/>
      <c r="M552" s="231"/>
      <c r="N552" s="231" t="s">
        <v>4895</v>
      </c>
      <c r="O552" s="246"/>
      <c r="P552" s="246"/>
      <c r="Q552" s="225"/>
      <c r="R552" s="212" t="s">
        <v>2</v>
      </c>
      <c r="S552" s="213" t="s">
        <v>4771</v>
      </c>
      <c r="T552" s="233" t="s">
        <v>5386</v>
      </c>
      <c r="U552" s="234" t="s">
        <v>4759</v>
      </c>
      <c r="V552" s="234">
        <v>45611</v>
      </c>
      <c r="W552" s="233" t="s">
        <v>4877</v>
      </c>
      <c r="X552" s="234" t="s">
        <v>4771</v>
      </c>
      <c r="Y552" s="234"/>
      <c r="Z552" s="234"/>
      <c r="AA552" s="243">
        <v>202411</v>
      </c>
      <c r="AB552" s="243"/>
      <c r="AC552" s="233" t="s">
        <v>5210</v>
      </c>
      <c r="AD552" s="228" t="s">
        <v>4541</v>
      </c>
      <c r="AE552" s="245">
        <v>0</v>
      </c>
      <c r="AF552" s="228" t="s">
        <v>4541</v>
      </c>
      <c r="AG552" s="239" t="str">
        <f>IFERROR(VLOOKUP(작성용!A:A,RM!A:D,4,0),"-")</f>
        <v>-</v>
      </c>
      <c r="AH552" s="9" t="s">
        <v>4771</v>
      </c>
      <c r="AI552" s="235" t="s">
        <v>4771</v>
      </c>
      <c r="AJ552" s="235" t="s">
        <v>4771</v>
      </c>
      <c r="AK552" s="203" t="s">
        <v>5208</v>
      </c>
      <c r="AL552" s="235">
        <v>551</v>
      </c>
    </row>
    <row r="553" spans="1:38" x14ac:dyDescent="0.3">
      <c r="A553" s="222">
        <v>6000797</v>
      </c>
      <c r="B553" s="222" t="s">
        <v>5362</v>
      </c>
      <c r="C553" s="241" t="s">
        <v>4778</v>
      </c>
      <c r="D553" s="237" t="s">
        <v>5493</v>
      </c>
      <c r="E553" s="236">
        <v>1101118283957</v>
      </c>
      <c r="F553" s="240" t="s">
        <v>4850</v>
      </c>
      <c r="G553" s="214">
        <v>0</v>
      </c>
      <c r="H553" s="231" t="s">
        <v>4771</v>
      </c>
      <c r="I553" s="231"/>
      <c r="J553" s="231"/>
      <c r="K553" s="231"/>
      <c r="L553" s="231"/>
      <c r="M553" s="231"/>
      <c r="N553" s="231" t="s">
        <v>4895</v>
      </c>
      <c r="O553" s="246"/>
      <c r="P553" s="246"/>
      <c r="Q553" s="225"/>
      <c r="R553" s="212" t="s">
        <v>4771</v>
      </c>
      <c r="S553" s="213" t="s">
        <v>4771</v>
      </c>
      <c r="T553" s="233" t="s">
        <v>5386</v>
      </c>
      <c r="U553" s="234" t="s">
        <v>4759</v>
      </c>
      <c r="V553" s="234">
        <v>45611</v>
      </c>
      <c r="W553" s="234" t="s">
        <v>4877</v>
      </c>
      <c r="X553" s="234" t="s">
        <v>2</v>
      </c>
      <c r="Y553" s="234"/>
      <c r="Z553" s="234"/>
      <c r="AA553" s="243">
        <v>202411</v>
      </c>
      <c r="AB553" s="243"/>
      <c r="AC553" s="244" t="s">
        <v>5210</v>
      </c>
      <c r="AD553" s="244" t="s">
        <v>4982</v>
      </c>
      <c r="AE553" s="245">
        <v>0</v>
      </c>
      <c r="AF553" s="244" t="s">
        <v>4982</v>
      </c>
      <c r="AG553" s="239" t="str">
        <f>IFERROR(VLOOKUP(작성용!A:A,RM!A:D,4,0),"-")</f>
        <v>-</v>
      </c>
      <c r="AH553" s="235" t="s">
        <v>4771</v>
      </c>
      <c r="AI553" s="235" t="s">
        <v>4771</v>
      </c>
      <c r="AJ553" s="235" t="s">
        <v>4771</v>
      </c>
      <c r="AK553" s="235" t="s">
        <v>5208</v>
      </c>
      <c r="AL553" s="235">
        <v>552</v>
      </c>
    </row>
    <row r="554" spans="1:38" x14ac:dyDescent="0.3">
      <c r="A554" s="222">
        <v>6000797</v>
      </c>
      <c r="B554" s="222" t="s">
        <v>5362</v>
      </c>
      <c r="C554" s="241" t="s">
        <v>4778</v>
      </c>
      <c r="D554" s="237" t="s">
        <v>5494</v>
      </c>
      <c r="E554" s="236">
        <v>1311110601384</v>
      </c>
      <c r="F554" s="240" t="s">
        <v>4850</v>
      </c>
      <c r="G554" s="214">
        <v>0</v>
      </c>
      <c r="H554" s="231" t="s">
        <v>4771</v>
      </c>
      <c r="I554" s="231"/>
      <c r="J554" s="231"/>
      <c r="K554" s="231"/>
      <c r="L554" s="231"/>
      <c r="M554" s="231"/>
      <c r="N554" s="231" t="s">
        <v>4895</v>
      </c>
      <c r="O554" s="246"/>
      <c r="P554" s="246"/>
      <c r="Q554" s="225"/>
      <c r="R554" s="212" t="s">
        <v>4771</v>
      </c>
      <c r="S554" s="213" t="s">
        <v>4771</v>
      </c>
      <c r="T554" s="233" t="s">
        <v>5386</v>
      </c>
      <c r="U554" s="234" t="s">
        <v>4759</v>
      </c>
      <c r="V554" s="234">
        <v>45611</v>
      </c>
      <c r="W554" s="234" t="s">
        <v>4877</v>
      </c>
      <c r="X554" s="234" t="s">
        <v>2</v>
      </c>
      <c r="Y554" s="234"/>
      <c r="Z554" s="234"/>
      <c r="AA554" s="243">
        <v>202411</v>
      </c>
      <c r="AB554" s="243"/>
      <c r="AC554" s="244" t="s">
        <v>5210</v>
      </c>
      <c r="AD554" s="244" t="s">
        <v>4846</v>
      </c>
      <c r="AE554" s="245">
        <v>0.6</v>
      </c>
      <c r="AF554" s="244" t="s">
        <v>4846</v>
      </c>
      <c r="AG554" s="239" t="str">
        <f>IFERROR(VLOOKUP(작성용!A:A,RM!A:D,4,0),"-")</f>
        <v>-</v>
      </c>
      <c r="AH554" s="235" t="s">
        <v>4771</v>
      </c>
      <c r="AI554" s="235" t="s">
        <v>4771</v>
      </c>
      <c r="AJ554" s="235" t="s">
        <v>4771</v>
      </c>
      <c r="AK554" s="235" t="s">
        <v>5208</v>
      </c>
      <c r="AL554" s="235">
        <v>553</v>
      </c>
    </row>
    <row r="555" spans="1:38" x14ac:dyDescent="0.3">
      <c r="A555" s="222">
        <v>6000800</v>
      </c>
      <c r="B555" s="222" t="s">
        <v>5344</v>
      </c>
      <c r="C555" s="241" t="s">
        <v>4778</v>
      </c>
      <c r="D555" s="237" t="s">
        <v>5495</v>
      </c>
      <c r="E555" s="236" t="s">
        <v>4651</v>
      </c>
      <c r="F555" s="240" t="s">
        <v>4930</v>
      </c>
      <c r="G555" s="214">
        <v>0</v>
      </c>
      <c r="H555" s="231" t="s">
        <v>4771</v>
      </c>
      <c r="I555" s="231"/>
      <c r="J555" s="231"/>
      <c r="K555" s="231"/>
      <c r="L555" s="231"/>
      <c r="M555" s="231"/>
      <c r="N555" s="231" t="s">
        <v>4895</v>
      </c>
      <c r="O555" s="246"/>
      <c r="P555" s="246"/>
      <c r="Q555" s="225"/>
      <c r="R555" s="212" t="s">
        <v>4771</v>
      </c>
      <c r="S555" s="213" t="s">
        <v>4771</v>
      </c>
      <c r="T555" s="233" t="s">
        <v>5386</v>
      </c>
      <c r="U555" s="234" t="s">
        <v>4759</v>
      </c>
      <c r="V555" s="234">
        <v>45611</v>
      </c>
      <c r="W555" s="234" t="s">
        <v>4877</v>
      </c>
      <c r="X555" s="234" t="s">
        <v>2</v>
      </c>
      <c r="Y555" s="234"/>
      <c r="Z555" s="234"/>
      <c r="AA555" s="243">
        <v>202411</v>
      </c>
      <c r="AB555" s="243"/>
      <c r="AC555" s="244" t="s">
        <v>5210</v>
      </c>
      <c r="AD555" s="244" t="s">
        <v>4761</v>
      </c>
      <c r="AE555" s="245">
        <v>0</v>
      </c>
      <c r="AF555" s="244" t="s">
        <v>4761</v>
      </c>
      <c r="AG555" s="239" t="str">
        <f>IFERROR(VLOOKUP(작성용!A:A,RM!A:D,4,0),"-")</f>
        <v>-</v>
      </c>
      <c r="AH555" s="235" t="s">
        <v>4771</v>
      </c>
      <c r="AI555" s="235" t="s">
        <v>4771</v>
      </c>
      <c r="AJ555" s="235" t="s">
        <v>4771</v>
      </c>
      <c r="AK555" s="235" t="s">
        <v>5208</v>
      </c>
      <c r="AL555" s="235">
        <v>554</v>
      </c>
    </row>
    <row r="556" spans="1:38" x14ac:dyDescent="0.3">
      <c r="A556" s="222">
        <v>6000800</v>
      </c>
      <c r="B556" s="222" t="s">
        <v>5344</v>
      </c>
      <c r="C556" s="241" t="s">
        <v>4778</v>
      </c>
      <c r="D556" s="237" t="s">
        <v>5496</v>
      </c>
      <c r="E556" s="236" t="s">
        <v>4652</v>
      </c>
      <c r="F556" s="240" t="s">
        <v>5047</v>
      </c>
      <c r="G556" s="214">
        <v>0</v>
      </c>
      <c r="H556" s="231" t="s">
        <v>4771</v>
      </c>
      <c r="I556" s="231"/>
      <c r="J556" s="231"/>
      <c r="K556" s="231"/>
      <c r="L556" s="231"/>
      <c r="M556" s="231"/>
      <c r="N556" s="231" t="s">
        <v>4895</v>
      </c>
      <c r="O556" s="246"/>
      <c r="P556" s="246"/>
      <c r="Q556" s="225"/>
      <c r="R556" s="212" t="s">
        <v>4771</v>
      </c>
      <c r="S556" s="213" t="s">
        <v>4771</v>
      </c>
      <c r="T556" s="233" t="s">
        <v>5386</v>
      </c>
      <c r="U556" s="234" t="s">
        <v>4759</v>
      </c>
      <c r="V556" s="234">
        <v>45611</v>
      </c>
      <c r="W556" s="234" t="s">
        <v>4877</v>
      </c>
      <c r="X556" s="234" t="s">
        <v>2</v>
      </c>
      <c r="Y556" s="234"/>
      <c r="Z556" s="234"/>
      <c r="AA556" s="243">
        <v>202411</v>
      </c>
      <c r="AB556" s="243"/>
      <c r="AC556" s="244" t="s">
        <v>5210</v>
      </c>
      <c r="AD556" s="244" t="s">
        <v>4987</v>
      </c>
      <c r="AE556" s="245">
        <v>0</v>
      </c>
      <c r="AF556" s="244" t="s">
        <v>4872</v>
      </c>
      <c r="AG556" s="239" t="str">
        <f>IFERROR(VLOOKUP(작성용!A:A,RM!A:D,4,0),"-")</f>
        <v>-</v>
      </c>
      <c r="AH556" s="235" t="s">
        <v>4771</v>
      </c>
      <c r="AI556" s="235" t="s">
        <v>4771</v>
      </c>
      <c r="AJ556" s="235" t="s">
        <v>4771</v>
      </c>
      <c r="AK556" s="235" t="s">
        <v>5208</v>
      </c>
      <c r="AL556" s="235">
        <v>555</v>
      </c>
    </row>
    <row r="557" spans="1:38" x14ac:dyDescent="0.3">
      <c r="A557" s="222">
        <v>6000800</v>
      </c>
      <c r="B557" s="222" t="s">
        <v>5497</v>
      </c>
      <c r="C557" s="241" t="s">
        <v>4778</v>
      </c>
      <c r="D557" s="237" t="s">
        <v>5498</v>
      </c>
      <c r="E557" s="236" t="s">
        <v>5499</v>
      </c>
      <c r="F557" s="240" t="s">
        <v>4828</v>
      </c>
      <c r="G557" s="214">
        <v>0</v>
      </c>
      <c r="H557" s="231" t="s">
        <v>4771</v>
      </c>
      <c r="I557" s="231"/>
      <c r="J557" s="231"/>
      <c r="K557" s="231"/>
      <c r="L557" s="231"/>
      <c r="M557" s="231"/>
      <c r="N557" s="231" t="s">
        <v>4895</v>
      </c>
      <c r="O557" s="246"/>
      <c r="P557" s="246"/>
      <c r="Q557" s="225"/>
      <c r="R557" s="212" t="s">
        <v>4771</v>
      </c>
      <c r="S557" s="213" t="s">
        <v>4771</v>
      </c>
      <c r="T557" s="233" t="s">
        <v>5386</v>
      </c>
      <c r="U557" s="234" t="s">
        <v>4759</v>
      </c>
      <c r="V557" s="234">
        <v>45611</v>
      </c>
      <c r="W557" s="234" t="s">
        <v>4877</v>
      </c>
      <c r="X557" s="234" t="s">
        <v>2</v>
      </c>
      <c r="Y557" s="234"/>
      <c r="Z557" s="234"/>
      <c r="AA557" s="243">
        <v>202411</v>
      </c>
      <c r="AB557" s="243"/>
      <c r="AC557" s="244" t="s">
        <v>5210</v>
      </c>
      <c r="AD557" s="244" t="s">
        <v>4862</v>
      </c>
      <c r="AE557" s="245">
        <v>0</v>
      </c>
      <c r="AF557" s="244" t="s">
        <v>4862</v>
      </c>
      <c r="AG557" s="239" t="str">
        <f>IFERROR(VLOOKUP(작성용!A:A,RM!A:D,4,0),"-")</f>
        <v>-</v>
      </c>
      <c r="AH557" s="235" t="s">
        <v>4771</v>
      </c>
      <c r="AI557" s="235" t="s">
        <v>4771</v>
      </c>
      <c r="AJ557" s="235" t="s">
        <v>4771</v>
      </c>
      <c r="AK557" s="235" t="s">
        <v>5208</v>
      </c>
      <c r="AL557" s="235">
        <v>556</v>
      </c>
    </row>
    <row r="558" spans="1:38" x14ac:dyDescent="0.3">
      <c r="A558" s="222">
        <v>6000800</v>
      </c>
      <c r="B558" s="222" t="s">
        <v>5344</v>
      </c>
      <c r="C558" s="241" t="s">
        <v>4778</v>
      </c>
      <c r="D558" s="237" t="s">
        <v>5500</v>
      </c>
      <c r="E558" s="236">
        <v>1101116124666</v>
      </c>
      <c r="F558" s="240" t="s">
        <v>4854</v>
      </c>
      <c r="G558" s="214">
        <v>0</v>
      </c>
      <c r="H558" s="231" t="s">
        <v>4771</v>
      </c>
      <c r="I558" s="231"/>
      <c r="J558" s="231"/>
      <c r="K558" s="231"/>
      <c r="L558" s="231"/>
      <c r="M558" s="231"/>
      <c r="N558" s="231" t="s">
        <v>4895</v>
      </c>
      <c r="O558" s="246"/>
      <c r="P558" s="246"/>
      <c r="Q558" s="225"/>
      <c r="R558" s="212" t="s">
        <v>4771</v>
      </c>
      <c r="S558" s="213" t="s">
        <v>4771</v>
      </c>
      <c r="T558" s="233" t="s">
        <v>5386</v>
      </c>
      <c r="U558" s="234" t="s">
        <v>4759</v>
      </c>
      <c r="V558" s="234">
        <v>45611</v>
      </c>
      <c r="W558" s="234" t="s">
        <v>4877</v>
      </c>
      <c r="X558" s="234" t="s">
        <v>2</v>
      </c>
      <c r="Y558" s="234"/>
      <c r="Z558" s="234"/>
      <c r="AA558" s="243">
        <v>202411</v>
      </c>
      <c r="AB558" s="243"/>
      <c r="AC558" s="244" t="s">
        <v>5210</v>
      </c>
      <c r="AD558" s="244" t="s">
        <v>4980</v>
      </c>
      <c r="AE558" s="245">
        <v>0</v>
      </c>
      <c r="AF558" s="244" t="s">
        <v>4980</v>
      </c>
      <c r="AG558" s="239" t="str">
        <f>IFERROR(VLOOKUP(작성용!A:A,RM!A:D,4,0),"-")</f>
        <v>-</v>
      </c>
      <c r="AH558" s="235" t="s">
        <v>4771</v>
      </c>
      <c r="AI558" s="235" t="s">
        <v>4771</v>
      </c>
      <c r="AJ558" s="235" t="s">
        <v>4771</v>
      </c>
      <c r="AK558" s="235" t="s">
        <v>5208</v>
      </c>
      <c r="AL558" s="235">
        <v>557</v>
      </c>
    </row>
    <row r="559" spans="1:38" x14ac:dyDescent="0.3">
      <c r="A559" s="222">
        <v>6000800</v>
      </c>
      <c r="B559" s="222" t="s">
        <v>5344</v>
      </c>
      <c r="C559" s="241" t="s">
        <v>4778</v>
      </c>
      <c r="D559" s="237" t="s">
        <v>5501</v>
      </c>
      <c r="E559" s="236" t="s">
        <v>5502</v>
      </c>
      <c r="F559" s="240" t="s">
        <v>4854</v>
      </c>
      <c r="G559" s="214">
        <v>0</v>
      </c>
      <c r="H559" s="231" t="s">
        <v>4771</v>
      </c>
      <c r="I559" s="231"/>
      <c r="J559" s="231"/>
      <c r="K559" s="231"/>
      <c r="L559" s="231"/>
      <c r="M559" s="231"/>
      <c r="N559" s="231" t="s">
        <v>4895</v>
      </c>
      <c r="O559" s="246"/>
      <c r="P559" s="246"/>
      <c r="Q559" s="225"/>
      <c r="R559" s="212" t="s">
        <v>4771</v>
      </c>
      <c r="S559" s="213" t="s">
        <v>4771</v>
      </c>
      <c r="T559" s="233" t="s">
        <v>5386</v>
      </c>
      <c r="U559" s="234" t="s">
        <v>4759</v>
      </c>
      <c r="V559" s="234">
        <v>45611</v>
      </c>
      <c r="W559" s="234" t="s">
        <v>4877</v>
      </c>
      <c r="X559" s="234" t="s">
        <v>2</v>
      </c>
      <c r="Y559" s="234"/>
      <c r="Z559" s="234"/>
      <c r="AA559" s="243">
        <v>202411</v>
      </c>
      <c r="AB559" s="243"/>
      <c r="AC559" s="244" t="s">
        <v>5210</v>
      </c>
      <c r="AD559" s="244" t="s">
        <v>4982</v>
      </c>
      <c r="AE559" s="245">
        <v>0</v>
      </c>
      <c r="AF559" s="244" t="s">
        <v>4982</v>
      </c>
      <c r="AG559" s="239" t="str">
        <f>IFERROR(VLOOKUP(작성용!A:A,RM!A:D,4,0),"-")</f>
        <v>-</v>
      </c>
      <c r="AH559" s="235" t="s">
        <v>4771</v>
      </c>
      <c r="AI559" s="235" t="s">
        <v>4771</v>
      </c>
      <c r="AJ559" s="235" t="s">
        <v>4771</v>
      </c>
      <c r="AK559" s="235" t="s">
        <v>5208</v>
      </c>
      <c r="AL559" s="235">
        <v>558</v>
      </c>
    </row>
    <row r="560" spans="1:38" x14ac:dyDescent="0.3">
      <c r="A560" s="222">
        <v>6000800</v>
      </c>
      <c r="B560" s="222" t="s">
        <v>5344</v>
      </c>
      <c r="C560" s="241" t="s">
        <v>4778</v>
      </c>
      <c r="D560" s="237" t="s">
        <v>5503</v>
      </c>
      <c r="E560" s="236" t="s">
        <v>4653</v>
      </c>
      <c r="F560" s="240" t="s">
        <v>4930</v>
      </c>
      <c r="G560" s="214">
        <v>0</v>
      </c>
      <c r="H560" s="231" t="s">
        <v>4771</v>
      </c>
      <c r="I560" s="231"/>
      <c r="J560" s="231"/>
      <c r="K560" s="231"/>
      <c r="L560" s="231"/>
      <c r="M560" s="231"/>
      <c r="N560" s="231" t="s">
        <v>4895</v>
      </c>
      <c r="O560" s="246"/>
      <c r="P560" s="246"/>
      <c r="Q560" s="225"/>
      <c r="R560" s="212" t="s">
        <v>4771</v>
      </c>
      <c r="S560" s="213" t="s">
        <v>4771</v>
      </c>
      <c r="T560" s="233" t="s">
        <v>5386</v>
      </c>
      <c r="U560" s="234" t="s">
        <v>4759</v>
      </c>
      <c r="V560" s="234">
        <v>45611</v>
      </c>
      <c r="W560" s="234" t="s">
        <v>4877</v>
      </c>
      <c r="X560" s="234" t="s">
        <v>2</v>
      </c>
      <c r="Y560" s="234"/>
      <c r="Z560" s="234"/>
      <c r="AA560" s="243">
        <v>202411</v>
      </c>
      <c r="AB560" s="243"/>
      <c r="AC560" s="244" t="s">
        <v>5210</v>
      </c>
      <c r="AD560" s="244" t="s">
        <v>4860</v>
      </c>
      <c r="AE560" s="245">
        <v>0</v>
      </c>
      <c r="AF560" s="244" t="s">
        <v>4860</v>
      </c>
      <c r="AG560" s="239" t="str">
        <f>IFERROR(VLOOKUP(작성용!A:A,RM!A:D,4,0),"-")</f>
        <v>-</v>
      </c>
      <c r="AH560" s="235" t="s">
        <v>4771</v>
      </c>
      <c r="AI560" s="235" t="s">
        <v>4771</v>
      </c>
      <c r="AJ560" s="235" t="s">
        <v>4771</v>
      </c>
      <c r="AK560" s="235" t="s">
        <v>5208</v>
      </c>
      <c r="AL560" s="235">
        <v>559</v>
      </c>
    </row>
    <row r="561" spans="1:38" x14ac:dyDescent="0.3">
      <c r="A561" s="222">
        <v>6000800</v>
      </c>
      <c r="B561" s="222" t="s">
        <v>5344</v>
      </c>
      <c r="C561" s="241" t="s">
        <v>4778</v>
      </c>
      <c r="D561" s="237" t="s">
        <v>5504</v>
      </c>
      <c r="E561" s="236" t="s">
        <v>5505</v>
      </c>
      <c r="F561" s="240" t="s">
        <v>5047</v>
      </c>
      <c r="G561" s="214">
        <v>0</v>
      </c>
      <c r="H561" s="231" t="s">
        <v>4771</v>
      </c>
      <c r="I561" s="231"/>
      <c r="J561" s="231"/>
      <c r="K561" s="231"/>
      <c r="L561" s="231"/>
      <c r="M561" s="231"/>
      <c r="N561" s="231" t="s">
        <v>4895</v>
      </c>
      <c r="O561" s="246"/>
      <c r="P561" s="246"/>
      <c r="Q561" s="225"/>
      <c r="R561" s="212" t="s">
        <v>4771</v>
      </c>
      <c r="S561" s="213" t="s">
        <v>4771</v>
      </c>
      <c r="T561" s="233" t="s">
        <v>5386</v>
      </c>
      <c r="U561" s="234" t="s">
        <v>4759</v>
      </c>
      <c r="V561" s="234">
        <v>45611</v>
      </c>
      <c r="W561" s="234" t="s">
        <v>4877</v>
      </c>
      <c r="X561" s="234" t="s">
        <v>2</v>
      </c>
      <c r="Y561" s="234"/>
      <c r="Z561" s="234"/>
      <c r="AA561" s="243">
        <v>202411</v>
      </c>
      <c r="AB561" s="243"/>
      <c r="AC561" s="244" t="s">
        <v>5210</v>
      </c>
      <c r="AD561" s="244" t="s">
        <v>4937</v>
      </c>
      <c r="AE561" s="245">
        <v>0</v>
      </c>
      <c r="AF561" s="244" t="s">
        <v>4937</v>
      </c>
      <c r="AG561" s="239" t="str">
        <f>IFERROR(VLOOKUP(작성용!A:A,RM!A:D,4,0),"-")</f>
        <v>-</v>
      </c>
      <c r="AH561" s="235" t="s">
        <v>4771</v>
      </c>
      <c r="AI561" s="235" t="s">
        <v>4771</v>
      </c>
      <c r="AJ561" s="235" t="s">
        <v>4771</v>
      </c>
      <c r="AK561" s="235" t="s">
        <v>5208</v>
      </c>
      <c r="AL561" s="235">
        <v>560</v>
      </c>
    </row>
    <row r="562" spans="1:38" x14ac:dyDescent="0.3">
      <c r="A562" s="222">
        <v>6000800</v>
      </c>
      <c r="B562" s="222" t="s">
        <v>5344</v>
      </c>
      <c r="C562" s="241" t="s">
        <v>4778</v>
      </c>
      <c r="D562" s="237" t="s">
        <v>5506</v>
      </c>
      <c r="E562" s="236" t="s">
        <v>5507</v>
      </c>
      <c r="F562" s="240" t="s">
        <v>5047</v>
      </c>
      <c r="G562" s="214">
        <v>0</v>
      </c>
      <c r="H562" s="231" t="s">
        <v>4771</v>
      </c>
      <c r="I562" s="231"/>
      <c r="J562" s="231"/>
      <c r="K562" s="231"/>
      <c r="L562" s="231"/>
      <c r="M562" s="231"/>
      <c r="N562" s="231" t="s">
        <v>4895</v>
      </c>
      <c r="O562" s="246"/>
      <c r="P562" s="246"/>
      <c r="Q562" s="225"/>
      <c r="R562" s="212" t="s">
        <v>4771</v>
      </c>
      <c r="S562" s="213" t="s">
        <v>4771</v>
      </c>
      <c r="T562" s="233" t="s">
        <v>5386</v>
      </c>
      <c r="U562" s="234" t="s">
        <v>4759</v>
      </c>
      <c r="V562" s="234">
        <v>45611</v>
      </c>
      <c r="W562" s="234" t="s">
        <v>4877</v>
      </c>
      <c r="X562" s="234" t="s">
        <v>2</v>
      </c>
      <c r="Y562" s="234"/>
      <c r="Z562" s="234"/>
      <c r="AA562" s="243">
        <v>202411</v>
      </c>
      <c r="AB562" s="243"/>
      <c r="AC562" s="244" t="s">
        <v>5210</v>
      </c>
      <c r="AD562" s="244" t="s">
        <v>4947</v>
      </c>
      <c r="AE562" s="245">
        <v>0</v>
      </c>
      <c r="AF562" s="244" t="s">
        <v>5144</v>
      </c>
      <c r="AG562" s="239" t="str">
        <f>IFERROR(VLOOKUP(작성용!A:A,RM!A:D,4,0),"-")</f>
        <v>-</v>
      </c>
      <c r="AH562" s="235" t="s">
        <v>4771</v>
      </c>
      <c r="AI562" s="235" t="s">
        <v>4771</v>
      </c>
      <c r="AJ562" s="235" t="s">
        <v>4771</v>
      </c>
      <c r="AK562" s="235" t="s">
        <v>5208</v>
      </c>
      <c r="AL562" s="235">
        <v>561</v>
      </c>
    </row>
    <row r="563" spans="1:38" x14ac:dyDescent="0.3">
      <c r="A563" s="222">
        <v>6000800</v>
      </c>
      <c r="B563" s="222" t="s">
        <v>5344</v>
      </c>
      <c r="C563" s="241" t="s">
        <v>4778</v>
      </c>
      <c r="D563" s="237" t="s">
        <v>5508</v>
      </c>
      <c r="E563" s="236" t="s">
        <v>4013</v>
      </c>
      <c r="F563" s="240" t="s">
        <v>4930</v>
      </c>
      <c r="G563" s="214">
        <v>0</v>
      </c>
      <c r="H563" s="231" t="s">
        <v>4771</v>
      </c>
      <c r="I563" s="231"/>
      <c r="J563" s="231"/>
      <c r="K563" s="231"/>
      <c r="L563" s="231"/>
      <c r="M563" s="231"/>
      <c r="N563" s="231" t="s">
        <v>4895</v>
      </c>
      <c r="O563" s="246"/>
      <c r="P563" s="246"/>
      <c r="Q563" s="225"/>
      <c r="R563" s="212" t="s">
        <v>4771</v>
      </c>
      <c r="S563" s="213" t="s">
        <v>4771</v>
      </c>
      <c r="T563" s="233" t="s">
        <v>5386</v>
      </c>
      <c r="U563" s="234" t="s">
        <v>4759</v>
      </c>
      <c r="V563" s="234">
        <v>45611</v>
      </c>
      <c r="W563" s="234" t="s">
        <v>4877</v>
      </c>
      <c r="X563" s="234" t="s">
        <v>2</v>
      </c>
      <c r="Y563" s="234"/>
      <c r="Z563" s="234"/>
      <c r="AA563" s="243">
        <v>202411</v>
      </c>
      <c r="AB563" s="243"/>
      <c r="AC563" s="244" t="s">
        <v>5210</v>
      </c>
      <c r="AD563" s="244" t="s">
        <v>4900</v>
      </c>
      <c r="AE563" s="245">
        <v>0.6</v>
      </c>
      <c r="AF563" s="244" t="s">
        <v>4900</v>
      </c>
      <c r="AG563" s="239" t="str">
        <f>IFERROR(VLOOKUP(작성용!A:A,RM!A:D,4,0),"-")</f>
        <v>-</v>
      </c>
      <c r="AH563" s="235" t="s">
        <v>4771</v>
      </c>
      <c r="AI563" s="235" t="s">
        <v>4771</v>
      </c>
      <c r="AJ563" s="235" t="s">
        <v>4771</v>
      </c>
      <c r="AK563" s="235" t="s">
        <v>5208</v>
      </c>
      <c r="AL563" s="235">
        <v>562</v>
      </c>
    </row>
    <row r="564" spans="1:38" x14ac:dyDescent="0.3">
      <c r="A564" s="222">
        <v>6000800</v>
      </c>
      <c r="B564" s="222" t="s">
        <v>5344</v>
      </c>
      <c r="C564" s="241" t="s">
        <v>4778</v>
      </c>
      <c r="D564" s="237" t="s">
        <v>5509</v>
      </c>
      <c r="E564" s="236" t="s">
        <v>4654</v>
      </c>
      <c r="F564" s="240" t="s">
        <v>4930</v>
      </c>
      <c r="G564" s="214">
        <v>0</v>
      </c>
      <c r="H564" s="231" t="s">
        <v>4771</v>
      </c>
      <c r="I564" s="231"/>
      <c r="J564" s="231"/>
      <c r="K564" s="231"/>
      <c r="L564" s="231"/>
      <c r="M564" s="231"/>
      <c r="N564" s="231" t="s">
        <v>4895</v>
      </c>
      <c r="O564" s="246"/>
      <c r="P564" s="246"/>
      <c r="Q564" s="225"/>
      <c r="R564" s="212" t="s">
        <v>4771</v>
      </c>
      <c r="S564" s="213" t="s">
        <v>4771</v>
      </c>
      <c r="T564" s="233" t="s">
        <v>5386</v>
      </c>
      <c r="U564" s="234" t="s">
        <v>4759</v>
      </c>
      <c r="V564" s="234">
        <v>45611</v>
      </c>
      <c r="W564" s="234" t="s">
        <v>4877</v>
      </c>
      <c r="X564" s="234" t="s">
        <v>2</v>
      </c>
      <c r="Y564" s="234"/>
      <c r="Z564" s="234"/>
      <c r="AA564" s="243">
        <v>202411</v>
      </c>
      <c r="AB564" s="243"/>
      <c r="AC564" s="244" t="s">
        <v>5210</v>
      </c>
      <c r="AD564" s="244" t="s">
        <v>4856</v>
      </c>
      <c r="AE564" s="245">
        <v>0.6</v>
      </c>
      <c r="AF564" s="244" t="s">
        <v>4872</v>
      </c>
      <c r="AG564" s="239" t="str">
        <f>IFERROR(VLOOKUP(작성용!A:A,RM!A:D,4,0),"-")</f>
        <v>-</v>
      </c>
      <c r="AH564" s="235" t="s">
        <v>4771</v>
      </c>
      <c r="AI564" s="235" t="s">
        <v>4771</v>
      </c>
      <c r="AJ564" s="235" t="s">
        <v>4771</v>
      </c>
      <c r="AK564" s="235" t="s">
        <v>5208</v>
      </c>
      <c r="AL564" s="235">
        <v>563</v>
      </c>
    </row>
    <row r="565" spans="1:38" x14ac:dyDescent="0.3">
      <c r="A565" s="222">
        <v>6000800</v>
      </c>
      <c r="B565" s="222" t="s">
        <v>5344</v>
      </c>
      <c r="C565" s="241" t="s">
        <v>4778</v>
      </c>
      <c r="D565" s="237" t="s">
        <v>5510</v>
      </c>
      <c r="E565" s="236" t="s">
        <v>5511</v>
      </c>
      <c r="F565" s="240" t="s">
        <v>5047</v>
      </c>
      <c r="G565" s="214">
        <v>0</v>
      </c>
      <c r="H565" s="231" t="s">
        <v>4771</v>
      </c>
      <c r="I565" s="231"/>
      <c r="J565" s="231"/>
      <c r="K565" s="231"/>
      <c r="L565" s="231"/>
      <c r="M565" s="231"/>
      <c r="N565" s="231" t="s">
        <v>4895</v>
      </c>
      <c r="O565" s="246"/>
      <c r="P565" s="246"/>
      <c r="Q565" s="225"/>
      <c r="R565" s="212" t="s">
        <v>4771</v>
      </c>
      <c r="S565" s="213" t="s">
        <v>4771</v>
      </c>
      <c r="T565" s="233" t="s">
        <v>5386</v>
      </c>
      <c r="U565" s="234" t="s">
        <v>4759</v>
      </c>
      <c r="V565" s="234">
        <v>45611</v>
      </c>
      <c r="W565" s="234" t="s">
        <v>4877</v>
      </c>
      <c r="X565" s="234" t="s">
        <v>2</v>
      </c>
      <c r="Y565" s="234"/>
      <c r="Z565" s="234"/>
      <c r="AA565" s="243">
        <v>202411</v>
      </c>
      <c r="AB565" s="243"/>
      <c r="AC565" s="244" t="s">
        <v>5210</v>
      </c>
      <c r="AD565" s="244" t="s">
        <v>4900</v>
      </c>
      <c r="AE565" s="245">
        <v>0</v>
      </c>
      <c r="AF565" s="244" t="s">
        <v>4900</v>
      </c>
      <c r="AG565" s="239" t="str">
        <f>IFERROR(VLOOKUP(작성용!A:A,RM!A:D,4,0),"-")</f>
        <v>-</v>
      </c>
      <c r="AH565" s="235" t="s">
        <v>4771</v>
      </c>
      <c r="AI565" s="235" t="s">
        <v>4771</v>
      </c>
      <c r="AJ565" s="235" t="s">
        <v>4771</v>
      </c>
      <c r="AK565" s="235" t="s">
        <v>5208</v>
      </c>
      <c r="AL565" s="235">
        <v>564</v>
      </c>
    </row>
    <row r="566" spans="1:38" x14ac:dyDescent="0.3">
      <c r="A566" s="222">
        <v>6000800</v>
      </c>
      <c r="B566" s="222" t="s">
        <v>5344</v>
      </c>
      <c r="C566" s="241" t="s">
        <v>4778</v>
      </c>
      <c r="D566" s="237" t="s">
        <v>5512</v>
      </c>
      <c r="E566" s="236">
        <v>1101116472924</v>
      </c>
      <c r="F566" s="240" t="s">
        <v>4850</v>
      </c>
      <c r="G566" s="214">
        <v>4</v>
      </c>
      <c r="H566" s="231" t="s">
        <v>4771</v>
      </c>
      <c r="I566" s="231"/>
      <c r="J566" s="231"/>
      <c r="K566" s="231"/>
      <c r="L566" s="231"/>
      <c r="M566" s="231"/>
      <c r="N566" s="231" t="s">
        <v>4895</v>
      </c>
      <c r="O566" s="246"/>
      <c r="P566" s="246"/>
      <c r="Q566" s="225"/>
      <c r="R566" s="212" t="s">
        <v>4771</v>
      </c>
      <c r="S566" s="213" t="s">
        <v>4771</v>
      </c>
      <c r="T566" s="233" t="s">
        <v>5386</v>
      </c>
      <c r="U566" s="234" t="s">
        <v>4759</v>
      </c>
      <c r="V566" s="234">
        <v>45611</v>
      </c>
      <c r="W566" s="234" t="s">
        <v>4877</v>
      </c>
      <c r="X566" s="234" t="s">
        <v>2</v>
      </c>
      <c r="Y566" s="234"/>
      <c r="Z566" s="234"/>
      <c r="AA566" s="243">
        <v>202411</v>
      </c>
      <c r="AB566" s="243"/>
      <c r="AC566" s="244" t="s">
        <v>5210</v>
      </c>
      <c r="AD566" s="244" t="s">
        <v>4858</v>
      </c>
      <c r="AE566" s="245">
        <v>0.4</v>
      </c>
      <c r="AF566" s="244" t="s">
        <v>4858</v>
      </c>
      <c r="AG566" s="239" t="str">
        <f>IFERROR(VLOOKUP(작성용!A:A,RM!A:D,4,0),"-")</f>
        <v>-</v>
      </c>
      <c r="AH566" s="235" t="s">
        <v>4771</v>
      </c>
      <c r="AI566" s="235" t="s">
        <v>4771</v>
      </c>
      <c r="AJ566" s="235" t="s">
        <v>4771</v>
      </c>
      <c r="AK566" s="235" t="s">
        <v>5208</v>
      </c>
      <c r="AL566" s="235">
        <v>565</v>
      </c>
    </row>
    <row r="567" spans="1:38" x14ac:dyDescent="0.3">
      <c r="A567" s="222">
        <v>6000800</v>
      </c>
      <c r="B567" s="222" t="s">
        <v>5344</v>
      </c>
      <c r="C567" s="241" t="s">
        <v>4778</v>
      </c>
      <c r="D567" s="237" t="s">
        <v>5513</v>
      </c>
      <c r="E567" s="236">
        <v>1101117451993</v>
      </c>
      <c r="F567" s="240" t="s">
        <v>4930</v>
      </c>
      <c r="G567" s="214">
        <v>0</v>
      </c>
      <c r="H567" s="231" t="s">
        <v>4771</v>
      </c>
      <c r="I567" s="231"/>
      <c r="J567" s="231"/>
      <c r="K567" s="231"/>
      <c r="L567" s="231"/>
      <c r="M567" s="231"/>
      <c r="N567" s="231" t="s">
        <v>4895</v>
      </c>
      <c r="O567" s="246"/>
      <c r="P567" s="246"/>
      <c r="Q567" s="225"/>
      <c r="R567" s="212" t="s">
        <v>4771</v>
      </c>
      <c r="S567" s="213" t="s">
        <v>4771</v>
      </c>
      <c r="T567" s="233" t="s">
        <v>5386</v>
      </c>
      <c r="U567" s="234" t="s">
        <v>4759</v>
      </c>
      <c r="V567" s="234">
        <v>45611</v>
      </c>
      <c r="W567" s="234" t="s">
        <v>4877</v>
      </c>
      <c r="X567" s="234" t="s">
        <v>2</v>
      </c>
      <c r="Y567" s="234"/>
      <c r="Z567" s="234"/>
      <c r="AA567" s="243">
        <v>202411</v>
      </c>
      <c r="AB567" s="243"/>
      <c r="AC567" s="244" t="s">
        <v>5210</v>
      </c>
      <c r="AD567" s="244" t="s">
        <v>4761</v>
      </c>
      <c r="AE567" s="245">
        <v>0</v>
      </c>
      <c r="AF567" s="244" t="s">
        <v>4990</v>
      </c>
      <c r="AG567" s="239" t="str">
        <f>IFERROR(VLOOKUP(작성용!A:A,RM!A:D,4,0),"-")</f>
        <v>-</v>
      </c>
      <c r="AH567" s="235" t="s">
        <v>4771</v>
      </c>
      <c r="AI567" s="235" t="s">
        <v>4771</v>
      </c>
      <c r="AJ567" s="235" t="s">
        <v>4771</v>
      </c>
      <c r="AK567" s="235" t="s">
        <v>5208</v>
      </c>
      <c r="AL567" s="235">
        <v>566</v>
      </c>
    </row>
    <row r="568" spans="1:38" x14ac:dyDescent="0.3">
      <c r="A568" s="222">
        <v>6000800</v>
      </c>
      <c r="B568" s="222" t="s">
        <v>5344</v>
      </c>
      <c r="C568" s="241" t="s">
        <v>4778</v>
      </c>
      <c r="D568" s="237" t="s">
        <v>5514</v>
      </c>
      <c r="E568" s="236" t="s">
        <v>5515</v>
      </c>
      <c r="F568" s="240" t="s">
        <v>5047</v>
      </c>
      <c r="G568" s="214">
        <v>0</v>
      </c>
      <c r="H568" s="231" t="s">
        <v>4771</v>
      </c>
      <c r="I568" s="231"/>
      <c r="J568" s="231"/>
      <c r="K568" s="231"/>
      <c r="L568" s="231"/>
      <c r="M568" s="231"/>
      <c r="N568" s="231" t="s">
        <v>4895</v>
      </c>
      <c r="O568" s="246"/>
      <c r="P568" s="246"/>
      <c r="Q568" s="225"/>
      <c r="R568" s="212" t="s">
        <v>4771</v>
      </c>
      <c r="S568" s="213" t="s">
        <v>4771</v>
      </c>
      <c r="T568" s="233" t="s">
        <v>5386</v>
      </c>
      <c r="U568" s="234" t="s">
        <v>4759</v>
      </c>
      <c r="V568" s="234">
        <v>45611</v>
      </c>
      <c r="W568" s="234" t="s">
        <v>4877</v>
      </c>
      <c r="X568" s="234" t="s">
        <v>2</v>
      </c>
      <c r="Y568" s="234"/>
      <c r="Z568" s="234"/>
      <c r="AA568" s="243">
        <v>202411</v>
      </c>
      <c r="AB568" s="243"/>
      <c r="AC568" s="244" t="s">
        <v>5210</v>
      </c>
      <c r="AD568" s="244" t="s">
        <v>4846</v>
      </c>
      <c r="AE568" s="245">
        <v>0</v>
      </c>
      <c r="AF568" s="244" t="s">
        <v>4846</v>
      </c>
      <c r="AG568" s="239" t="str">
        <f>IFERROR(VLOOKUP(작성용!A:A,RM!A:D,4,0),"-")</f>
        <v>-</v>
      </c>
      <c r="AH568" s="235" t="s">
        <v>4771</v>
      </c>
      <c r="AI568" s="235" t="s">
        <v>4771</v>
      </c>
      <c r="AJ568" s="235" t="s">
        <v>4771</v>
      </c>
      <c r="AK568" s="235" t="s">
        <v>5208</v>
      </c>
      <c r="AL568" s="235">
        <v>567</v>
      </c>
    </row>
    <row r="569" spans="1:38" x14ac:dyDescent="0.3">
      <c r="A569" s="222">
        <v>6000800</v>
      </c>
      <c r="B569" s="222" t="s">
        <v>5344</v>
      </c>
      <c r="C569" s="241" t="s">
        <v>4778</v>
      </c>
      <c r="D569" s="237" t="s">
        <v>5516</v>
      </c>
      <c r="E569" s="236" t="s">
        <v>5517</v>
      </c>
      <c r="F569" s="240" t="s">
        <v>5047</v>
      </c>
      <c r="G569" s="214">
        <v>0</v>
      </c>
      <c r="H569" s="231" t="s">
        <v>4771</v>
      </c>
      <c r="I569" s="231"/>
      <c r="J569" s="231"/>
      <c r="K569" s="231"/>
      <c r="L569" s="231"/>
      <c r="M569" s="231"/>
      <c r="N569" s="231" t="s">
        <v>4895</v>
      </c>
      <c r="O569" s="246"/>
      <c r="P569" s="246"/>
      <c r="Q569" s="225"/>
      <c r="R569" s="212" t="s">
        <v>4771</v>
      </c>
      <c r="S569" s="213" t="s">
        <v>4771</v>
      </c>
      <c r="T569" s="233" t="s">
        <v>5386</v>
      </c>
      <c r="U569" s="234" t="s">
        <v>4759</v>
      </c>
      <c r="V569" s="234">
        <v>45611</v>
      </c>
      <c r="W569" s="234" t="s">
        <v>4877</v>
      </c>
      <c r="X569" s="234" t="s">
        <v>2</v>
      </c>
      <c r="Y569" s="234"/>
      <c r="Z569" s="234"/>
      <c r="AA569" s="243">
        <v>202411</v>
      </c>
      <c r="AB569" s="243"/>
      <c r="AC569" s="244" t="s">
        <v>5210</v>
      </c>
      <c r="AD569" s="244" t="s">
        <v>4918</v>
      </c>
      <c r="AE569" s="245">
        <v>0</v>
      </c>
      <c r="AF569" s="244" t="s">
        <v>4918</v>
      </c>
      <c r="AG569" s="239" t="str">
        <f>IFERROR(VLOOKUP(작성용!A:A,RM!A:D,4,0),"-")</f>
        <v>-</v>
      </c>
      <c r="AH569" s="235" t="s">
        <v>4771</v>
      </c>
      <c r="AI569" s="235" t="s">
        <v>4771</v>
      </c>
      <c r="AJ569" s="235" t="s">
        <v>4771</v>
      </c>
      <c r="AK569" s="235" t="s">
        <v>5208</v>
      </c>
      <c r="AL569" s="235">
        <v>568</v>
      </c>
    </row>
    <row r="570" spans="1:38" x14ac:dyDescent="0.3">
      <c r="A570" s="222">
        <v>6000800</v>
      </c>
      <c r="B570" s="222" t="s">
        <v>5344</v>
      </c>
      <c r="C570" s="241" t="s">
        <v>4778</v>
      </c>
      <c r="D570" s="237" t="s">
        <v>5518</v>
      </c>
      <c r="E570" s="236">
        <v>1101117938363</v>
      </c>
      <c r="F570" s="240" t="s">
        <v>4930</v>
      </c>
      <c r="G570" s="214">
        <v>0</v>
      </c>
      <c r="H570" s="231" t="s">
        <v>4771</v>
      </c>
      <c r="I570" s="231"/>
      <c r="J570" s="231"/>
      <c r="K570" s="231"/>
      <c r="L570" s="231"/>
      <c r="M570" s="231"/>
      <c r="N570" s="231" t="s">
        <v>4895</v>
      </c>
      <c r="O570" s="246"/>
      <c r="P570" s="246"/>
      <c r="Q570" s="225"/>
      <c r="R570" s="212" t="s">
        <v>4771</v>
      </c>
      <c r="S570" s="213" t="s">
        <v>4771</v>
      </c>
      <c r="T570" s="233" t="s">
        <v>5386</v>
      </c>
      <c r="U570" s="234" t="s">
        <v>4759</v>
      </c>
      <c r="V570" s="234">
        <v>45611</v>
      </c>
      <c r="W570" s="234" t="s">
        <v>4877</v>
      </c>
      <c r="X570" s="234" t="s">
        <v>2</v>
      </c>
      <c r="Y570" s="234"/>
      <c r="Z570" s="234"/>
      <c r="AA570" s="243">
        <v>202411</v>
      </c>
      <c r="AB570" s="243"/>
      <c r="AC570" s="244" t="s">
        <v>5210</v>
      </c>
      <c r="AD570" s="244" t="s">
        <v>4927</v>
      </c>
      <c r="AE570" s="245">
        <v>0</v>
      </c>
      <c r="AF570" s="244" t="s">
        <v>4927</v>
      </c>
      <c r="AG570" s="239" t="str">
        <f>IFERROR(VLOOKUP(작성용!A:A,RM!A:D,4,0),"-")</f>
        <v>-</v>
      </c>
      <c r="AH570" s="235" t="s">
        <v>4771</v>
      </c>
      <c r="AI570" s="235" t="s">
        <v>4771</v>
      </c>
      <c r="AJ570" s="235" t="s">
        <v>4771</v>
      </c>
      <c r="AK570" s="235" t="s">
        <v>5208</v>
      </c>
      <c r="AL570" s="235">
        <v>569</v>
      </c>
    </row>
    <row r="571" spans="1:38" x14ac:dyDescent="0.3">
      <c r="A571" s="222">
        <v>6000800</v>
      </c>
      <c r="B571" s="222" t="s">
        <v>5344</v>
      </c>
      <c r="C571" s="241" t="s">
        <v>4778</v>
      </c>
      <c r="D571" s="237" t="s">
        <v>5519</v>
      </c>
      <c r="E571" s="236">
        <v>1101118266359</v>
      </c>
      <c r="F571" s="240" t="s">
        <v>4894</v>
      </c>
      <c r="G571" s="214">
        <v>0</v>
      </c>
      <c r="H571" s="231" t="s">
        <v>4771</v>
      </c>
      <c r="I571" s="231"/>
      <c r="J571" s="231"/>
      <c r="K571" s="231"/>
      <c r="L571" s="231"/>
      <c r="M571" s="231"/>
      <c r="N571" s="231" t="s">
        <v>4895</v>
      </c>
      <c r="O571" s="246"/>
      <c r="P571" s="246"/>
      <c r="Q571" s="225"/>
      <c r="R571" s="212" t="s">
        <v>4771</v>
      </c>
      <c r="S571" s="213" t="s">
        <v>4771</v>
      </c>
      <c r="T571" s="233" t="s">
        <v>5386</v>
      </c>
      <c r="U571" s="234" t="s">
        <v>4759</v>
      </c>
      <c r="V571" s="234">
        <v>45611</v>
      </c>
      <c r="W571" s="234" t="s">
        <v>4877</v>
      </c>
      <c r="X571" s="234" t="s">
        <v>2</v>
      </c>
      <c r="Y571" s="234"/>
      <c r="Z571" s="234"/>
      <c r="AA571" s="243">
        <v>202411</v>
      </c>
      <c r="AB571" s="243"/>
      <c r="AC571" s="244" t="s">
        <v>5210</v>
      </c>
      <c r="AD571" s="244" t="s">
        <v>4823</v>
      </c>
      <c r="AE571" s="245">
        <v>0</v>
      </c>
      <c r="AF571" s="244" t="s">
        <v>4872</v>
      </c>
      <c r="AG571" s="239" t="str">
        <f>IFERROR(VLOOKUP(작성용!A:A,RM!A:D,4,0),"-")</f>
        <v>-</v>
      </c>
      <c r="AH571" s="235" t="s">
        <v>4771</v>
      </c>
      <c r="AI571" s="235" t="s">
        <v>4771</v>
      </c>
      <c r="AJ571" s="235" t="s">
        <v>4771</v>
      </c>
      <c r="AK571" s="235" t="s">
        <v>5208</v>
      </c>
      <c r="AL571" s="235">
        <v>570</v>
      </c>
    </row>
    <row r="572" spans="1:38" x14ac:dyDescent="0.3">
      <c r="A572" s="222">
        <v>6000800</v>
      </c>
      <c r="B572" s="222" t="s">
        <v>5344</v>
      </c>
      <c r="C572" s="241" t="s">
        <v>4778</v>
      </c>
      <c r="D572" s="237" t="s">
        <v>5520</v>
      </c>
      <c r="E572" s="236" t="s">
        <v>5521</v>
      </c>
      <c r="F572" s="240" t="s">
        <v>5047</v>
      </c>
      <c r="G572" s="214">
        <v>0</v>
      </c>
      <c r="H572" s="231" t="s">
        <v>4771</v>
      </c>
      <c r="I572" s="231"/>
      <c r="J572" s="231"/>
      <c r="K572" s="231"/>
      <c r="L572" s="231"/>
      <c r="M572" s="231"/>
      <c r="N572" s="231" t="s">
        <v>4895</v>
      </c>
      <c r="O572" s="246"/>
      <c r="P572" s="246"/>
      <c r="Q572" s="225"/>
      <c r="R572" s="212" t="s">
        <v>4771</v>
      </c>
      <c r="S572" s="213" t="s">
        <v>4771</v>
      </c>
      <c r="T572" s="233" t="s">
        <v>5386</v>
      </c>
      <c r="U572" s="234" t="s">
        <v>4759</v>
      </c>
      <c r="V572" s="234">
        <v>45611</v>
      </c>
      <c r="W572" s="234" t="s">
        <v>4877</v>
      </c>
      <c r="X572" s="234" t="s">
        <v>2</v>
      </c>
      <c r="Y572" s="234"/>
      <c r="Z572" s="234"/>
      <c r="AA572" s="243">
        <v>202411</v>
      </c>
      <c r="AB572" s="243"/>
      <c r="AC572" s="244" t="s">
        <v>5210</v>
      </c>
      <c r="AD572" s="244" t="s">
        <v>4845</v>
      </c>
      <c r="AE572" s="245">
        <v>0</v>
      </c>
      <c r="AF572" s="244" t="s">
        <v>4845</v>
      </c>
      <c r="AG572" s="239" t="str">
        <f>IFERROR(VLOOKUP(작성용!A:A,RM!A:D,4,0),"-")</f>
        <v>-</v>
      </c>
      <c r="AH572" s="235" t="s">
        <v>4771</v>
      </c>
      <c r="AI572" s="235" t="s">
        <v>4771</v>
      </c>
      <c r="AJ572" s="235" t="s">
        <v>4771</v>
      </c>
      <c r="AK572" s="235" t="s">
        <v>5208</v>
      </c>
      <c r="AL572" s="235">
        <v>571</v>
      </c>
    </row>
    <row r="573" spans="1:38" x14ac:dyDescent="0.3">
      <c r="A573" s="222">
        <v>6000800</v>
      </c>
      <c r="B573" s="222" t="s">
        <v>5344</v>
      </c>
      <c r="C573" s="241" t="s">
        <v>4778</v>
      </c>
      <c r="D573" s="237" t="s">
        <v>5522</v>
      </c>
      <c r="E573" s="236">
        <v>2850110418398</v>
      </c>
      <c r="F573" s="240" t="s">
        <v>4854</v>
      </c>
      <c r="G573" s="214">
        <v>0</v>
      </c>
      <c r="H573" s="231" t="s">
        <v>4771</v>
      </c>
      <c r="I573" s="231"/>
      <c r="J573" s="231"/>
      <c r="K573" s="231"/>
      <c r="L573" s="231"/>
      <c r="M573" s="231"/>
      <c r="N573" s="231" t="s">
        <v>4895</v>
      </c>
      <c r="O573" s="246"/>
      <c r="P573" s="246"/>
      <c r="Q573" s="225"/>
      <c r="R573" s="212" t="s">
        <v>4771</v>
      </c>
      <c r="S573" s="213" t="s">
        <v>4771</v>
      </c>
      <c r="T573" s="233" t="s">
        <v>5386</v>
      </c>
      <c r="U573" s="234" t="s">
        <v>4759</v>
      </c>
      <c r="V573" s="234">
        <v>45611</v>
      </c>
      <c r="W573" s="234" t="s">
        <v>4877</v>
      </c>
      <c r="X573" s="234" t="s">
        <v>2</v>
      </c>
      <c r="Y573" s="234"/>
      <c r="Z573" s="234"/>
      <c r="AA573" s="243">
        <v>202411</v>
      </c>
      <c r="AB573" s="243"/>
      <c r="AC573" s="244" t="s">
        <v>5210</v>
      </c>
      <c r="AD573" s="244" t="s">
        <v>4864</v>
      </c>
      <c r="AE573" s="245">
        <v>0</v>
      </c>
      <c r="AF573" s="244" t="s">
        <v>4864</v>
      </c>
      <c r="AG573" s="239" t="str">
        <f>IFERROR(VLOOKUP(작성용!A:A,RM!A:D,4,0),"-")</f>
        <v>-</v>
      </c>
      <c r="AH573" s="235" t="s">
        <v>4771</v>
      </c>
      <c r="AI573" s="235" t="s">
        <v>4771</v>
      </c>
      <c r="AJ573" s="235" t="s">
        <v>4771</v>
      </c>
      <c r="AK573" s="235" t="s">
        <v>5208</v>
      </c>
      <c r="AL573" s="235">
        <v>572</v>
      </c>
    </row>
    <row r="574" spans="1:38" x14ac:dyDescent="0.3">
      <c r="A574" s="222">
        <v>6000800</v>
      </c>
      <c r="B574" s="222" t="s">
        <v>5344</v>
      </c>
      <c r="C574" s="241" t="s">
        <v>4778</v>
      </c>
      <c r="D574" s="237" t="s">
        <v>5522</v>
      </c>
      <c r="E574" s="236">
        <v>2850110418398</v>
      </c>
      <c r="F574" s="240" t="s">
        <v>4894</v>
      </c>
      <c r="G574" s="214">
        <v>0</v>
      </c>
      <c r="H574" s="231" t="s">
        <v>4771</v>
      </c>
      <c r="I574" s="231"/>
      <c r="J574" s="231"/>
      <c r="K574" s="231"/>
      <c r="L574" s="231"/>
      <c r="M574" s="231"/>
      <c r="N574" s="231" t="s">
        <v>4895</v>
      </c>
      <c r="O574" s="246"/>
      <c r="P574" s="246"/>
      <c r="Q574" s="225"/>
      <c r="R574" s="212" t="s">
        <v>4771</v>
      </c>
      <c r="S574" s="213" t="s">
        <v>4771</v>
      </c>
      <c r="T574" s="233" t="s">
        <v>5386</v>
      </c>
      <c r="U574" s="234" t="s">
        <v>4759</v>
      </c>
      <c r="V574" s="234">
        <v>45611</v>
      </c>
      <c r="W574" s="234" t="s">
        <v>4877</v>
      </c>
      <c r="X574" s="234" t="s">
        <v>2</v>
      </c>
      <c r="Y574" s="234"/>
      <c r="Z574" s="234"/>
      <c r="AA574" s="243">
        <v>202411</v>
      </c>
      <c r="AB574" s="243"/>
      <c r="AC574" s="244" t="s">
        <v>5210</v>
      </c>
      <c r="AD574" s="244" t="s">
        <v>4864</v>
      </c>
      <c r="AE574" s="245">
        <v>0</v>
      </c>
      <c r="AF574" s="244" t="s">
        <v>4864</v>
      </c>
      <c r="AG574" s="239" t="str">
        <f>IFERROR(VLOOKUP(작성용!A:A,RM!A:D,4,0),"-")</f>
        <v>-</v>
      </c>
      <c r="AH574" s="235" t="s">
        <v>4771</v>
      </c>
      <c r="AI574" s="235" t="s">
        <v>4771</v>
      </c>
      <c r="AJ574" s="235" t="s">
        <v>4771</v>
      </c>
      <c r="AK574" s="235" t="s">
        <v>5208</v>
      </c>
      <c r="AL574" s="235">
        <v>573</v>
      </c>
    </row>
    <row r="575" spans="1:38" x14ac:dyDescent="0.3">
      <c r="A575" s="222">
        <v>6000800</v>
      </c>
      <c r="B575" s="222" t="s">
        <v>5344</v>
      </c>
      <c r="C575" s="241" t="s">
        <v>4778</v>
      </c>
      <c r="D575" s="237" t="s">
        <v>5523</v>
      </c>
      <c r="E575" s="236" t="s">
        <v>5524</v>
      </c>
      <c r="F575" s="240" t="s">
        <v>4854</v>
      </c>
      <c r="G575" s="214">
        <v>0</v>
      </c>
      <c r="H575" s="231" t="s">
        <v>4771</v>
      </c>
      <c r="I575" s="231"/>
      <c r="J575" s="231"/>
      <c r="K575" s="231"/>
      <c r="L575" s="231"/>
      <c r="M575" s="231"/>
      <c r="N575" s="231" t="s">
        <v>4895</v>
      </c>
      <c r="O575" s="246"/>
      <c r="P575" s="246"/>
      <c r="Q575" s="225"/>
      <c r="R575" s="212" t="s">
        <v>4771</v>
      </c>
      <c r="S575" s="213" t="s">
        <v>4771</v>
      </c>
      <c r="T575" s="233" t="s">
        <v>5386</v>
      </c>
      <c r="U575" s="234" t="s">
        <v>4759</v>
      </c>
      <c r="V575" s="234">
        <v>45611</v>
      </c>
      <c r="W575" s="234" t="s">
        <v>4877</v>
      </c>
      <c r="X575" s="234" t="s">
        <v>2</v>
      </c>
      <c r="Y575" s="234"/>
      <c r="Z575" s="234"/>
      <c r="AA575" s="243">
        <v>202411</v>
      </c>
      <c r="AB575" s="243"/>
      <c r="AC575" s="244" t="s">
        <v>5210</v>
      </c>
      <c r="AD575" s="244" t="s">
        <v>4864</v>
      </c>
      <c r="AE575" s="245">
        <v>0</v>
      </c>
      <c r="AF575" s="244" t="s">
        <v>4864</v>
      </c>
      <c r="AG575" s="239" t="str">
        <f>IFERROR(VLOOKUP(작성용!A:A,RM!A:D,4,0),"-")</f>
        <v>-</v>
      </c>
      <c r="AH575" s="235" t="s">
        <v>4771</v>
      </c>
      <c r="AI575" s="235" t="s">
        <v>4771</v>
      </c>
      <c r="AJ575" s="235" t="s">
        <v>4771</v>
      </c>
      <c r="AK575" s="235" t="s">
        <v>5208</v>
      </c>
      <c r="AL575" s="235">
        <v>574</v>
      </c>
    </row>
    <row r="576" spans="1:38" x14ac:dyDescent="0.3">
      <c r="A576" s="222">
        <v>6000800</v>
      </c>
      <c r="B576" s="222" t="s">
        <v>5344</v>
      </c>
      <c r="C576" s="241" t="s">
        <v>4778</v>
      </c>
      <c r="D576" s="237" t="s">
        <v>5523</v>
      </c>
      <c r="E576" s="236" t="s">
        <v>5524</v>
      </c>
      <c r="F576" s="240" t="s">
        <v>4930</v>
      </c>
      <c r="G576" s="214">
        <v>0</v>
      </c>
      <c r="H576" s="231" t="s">
        <v>4771</v>
      </c>
      <c r="I576" s="231"/>
      <c r="J576" s="231"/>
      <c r="K576" s="231"/>
      <c r="L576" s="231"/>
      <c r="M576" s="231"/>
      <c r="N576" s="231" t="s">
        <v>4895</v>
      </c>
      <c r="O576" s="246"/>
      <c r="P576" s="246"/>
      <c r="Q576" s="225"/>
      <c r="R576" s="212" t="s">
        <v>4771</v>
      </c>
      <c r="S576" s="213" t="s">
        <v>4771</v>
      </c>
      <c r="T576" s="233" t="s">
        <v>5386</v>
      </c>
      <c r="U576" s="234" t="s">
        <v>4759</v>
      </c>
      <c r="V576" s="234">
        <v>45611</v>
      </c>
      <c r="W576" s="234" t="s">
        <v>4877</v>
      </c>
      <c r="X576" s="234" t="s">
        <v>2</v>
      </c>
      <c r="Y576" s="234"/>
      <c r="Z576" s="234"/>
      <c r="AA576" s="243">
        <v>202411</v>
      </c>
      <c r="AB576" s="243"/>
      <c r="AC576" s="244" t="s">
        <v>5210</v>
      </c>
      <c r="AD576" s="244" t="s">
        <v>4864</v>
      </c>
      <c r="AE576" s="245">
        <v>0</v>
      </c>
      <c r="AF576" s="244" t="s">
        <v>4864</v>
      </c>
      <c r="AG576" s="239" t="str">
        <f>IFERROR(VLOOKUP(작성용!A:A,RM!A:D,4,0),"-")</f>
        <v>-</v>
      </c>
      <c r="AH576" s="235" t="s">
        <v>4771</v>
      </c>
      <c r="AI576" s="235" t="s">
        <v>4771</v>
      </c>
      <c r="AJ576" s="235" t="s">
        <v>4771</v>
      </c>
      <c r="AK576" s="235" t="s">
        <v>5208</v>
      </c>
      <c r="AL576" s="235">
        <v>575</v>
      </c>
    </row>
    <row r="577" spans="1:38" x14ac:dyDescent="0.3">
      <c r="A577" s="222">
        <v>6000800</v>
      </c>
      <c r="B577" s="222" t="s">
        <v>5344</v>
      </c>
      <c r="C577" s="241" t="s">
        <v>4778</v>
      </c>
      <c r="D577" s="237" t="s">
        <v>5525</v>
      </c>
      <c r="E577" s="236">
        <v>1452110024736</v>
      </c>
      <c r="F577" s="240" t="s">
        <v>4854</v>
      </c>
      <c r="G577" s="214">
        <v>0</v>
      </c>
      <c r="H577" s="231" t="s">
        <v>4771</v>
      </c>
      <c r="I577" s="231"/>
      <c r="J577" s="231"/>
      <c r="K577" s="231"/>
      <c r="L577" s="231"/>
      <c r="M577" s="231"/>
      <c r="N577" s="231" t="s">
        <v>4895</v>
      </c>
      <c r="O577" s="246"/>
      <c r="P577" s="246"/>
      <c r="Q577" s="225"/>
      <c r="R577" s="212" t="s">
        <v>4771</v>
      </c>
      <c r="S577" s="213" t="s">
        <v>4771</v>
      </c>
      <c r="T577" s="233" t="s">
        <v>5386</v>
      </c>
      <c r="U577" s="234" t="s">
        <v>4759</v>
      </c>
      <c r="V577" s="234">
        <v>45611</v>
      </c>
      <c r="W577" s="234" t="s">
        <v>4877</v>
      </c>
      <c r="X577" s="234" t="s">
        <v>2</v>
      </c>
      <c r="Y577" s="234"/>
      <c r="Z577" s="234"/>
      <c r="AA577" s="243">
        <v>202411</v>
      </c>
      <c r="AB577" s="243"/>
      <c r="AC577" s="244" t="s">
        <v>5210</v>
      </c>
      <c r="AD577" s="244" t="s">
        <v>4860</v>
      </c>
      <c r="AE577" s="245">
        <v>0</v>
      </c>
      <c r="AF577" s="244" t="s">
        <v>4860</v>
      </c>
      <c r="AG577" s="239" t="str">
        <f>IFERROR(VLOOKUP(작성용!A:A,RM!A:D,4,0),"-")</f>
        <v>-</v>
      </c>
      <c r="AH577" s="235" t="s">
        <v>4771</v>
      </c>
      <c r="AI577" s="235" t="s">
        <v>4771</v>
      </c>
      <c r="AJ577" s="235" t="s">
        <v>4771</v>
      </c>
      <c r="AK577" s="235" t="s">
        <v>5208</v>
      </c>
      <c r="AL577" s="235">
        <v>576</v>
      </c>
    </row>
    <row r="578" spans="1:38" x14ac:dyDescent="0.3">
      <c r="A578" s="222">
        <v>6000800</v>
      </c>
      <c r="B578" s="222" t="s">
        <v>5344</v>
      </c>
      <c r="C578" s="241" t="s">
        <v>4778</v>
      </c>
      <c r="D578" s="237" t="s">
        <v>5525</v>
      </c>
      <c r="E578" s="236">
        <v>1452110024736</v>
      </c>
      <c r="F578" s="240" t="s">
        <v>4894</v>
      </c>
      <c r="G578" s="214">
        <v>0</v>
      </c>
      <c r="H578" s="231" t="s">
        <v>4771</v>
      </c>
      <c r="I578" s="231"/>
      <c r="J578" s="231"/>
      <c r="K578" s="231"/>
      <c r="L578" s="231"/>
      <c r="M578" s="231"/>
      <c r="N578" s="231" t="s">
        <v>4895</v>
      </c>
      <c r="O578" s="246"/>
      <c r="P578" s="246"/>
      <c r="Q578" s="225"/>
      <c r="R578" s="212" t="s">
        <v>4771</v>
      </c>
      <c r="S578" s="213" t="s">
        <v>4771</v>
      </c>
      <c r="T578" s="233" t="s">
        <v>5386</v>
      </c>
      <c r="U578" s="234" t="s">
        <v>4759</v>
      </c>
      <c r="V578" s="234">
        <v>45611</v>
      </c>
      <c r="W578" s="234" t="s">
        <v>4877</v>
      </c>
      <c r="X578" s="234" t="s">
        <v>2</v>
      </c>
      <c r="Y578" s="234"/>
      <c r="Z578" s="234"/>
      <c r="AA578" s="243">
        <v>202411</v>
      </c>
      <c r="AB578" s="243"/>
      <c r="AC578" s="244" t="s">
        <v>5210</v>
      </c>
      <c r="AD578" s="244" t="s">
        <v>4860</v>
      </c>
      <c r="AE578" s="245">
        <v>0</v>
      </c>
      <c r="AF578" s="244" t="s">
        <v>4860</v>
      </c>
      <c r="AG578" s="239" t="str">
        <f>IFERROR(VLOOKUP(작성용!A:A,RM!A:D,4,0),"-")</f>
        <v>-</v>
      </c>
      <c r="AH578" s="235" t="s">
        <v>4771</v>
      </c>
      <c r="AI578" s="235" t="s">
        <v>4771</v>
      </c>
      <c r="AJ578" s="235" t="s">
        <v>4771</v>
      </c>
      <c r="AK578" s="235" t="s">
        <v>5208</v>
      </c>
      <c r="AL578" s="235">
        <v>577</v>
      </c>
    </row>
    <row r="579" spans="1:38" x14ac:dyDescent="0.3">
      <c r="A579" s="222">
        <v>6000800</v>
      </c>
      <c r="B579" s="222" t="s">
        <v>5344</v>
      </c>
      <c r="C579" s="241" t="s">
        <v>4778</v>
      </c>
      <c r="D579" s="237" t="s">
        <v>5526</v>
      </c>
      <c r="E579" s="236">
        <v>1101117769495</v>
      </c>
      <c r="F579" s="240" t="s">
        <v>4854</v>
      </c>
      <c r="G579" s="214">
        <v>0</v>
      </c>
      <c r="H579" s="231" t="s">
        <v>4771</v>
      </c>
      <c r="I579" s="231"/>
      <c r="J579" s="231"/>
      <c r="K579" s="231"/>
      <c r="L579" s="231"/>
      <c r="M579" s="231"/>
      <c r="N579" s="231" t="s">
        <v>4895</v>
      </c>
      <c r="O579" s="246"/>
      <c r="P579" s="246"/>
      <c r="Q579" s="225"/>
      <c r="R579" s="212" t="s">
        <v>4771</v>
      </c>
      <c r="S579" s="213" t="s">
        <v>4771</v>
      </c>
      <c r="T579" s="233" t="s">
        <v>5386</v>
      </c>
      <c r="U579" s="234" t="s">
        <v>4759</v>
      </c>
      <c r="V579" s="234">
        <v>45611</v>
      </c>
      <c r="W579" s="234" t="s">
        <v>4877</v>
      </c>
      <c r="X579" s="234" t="s">
        <v>2</v>
      </c>
      <c r="Y579" s="234"/>
      <c r="Z579" s="234"/>
      <c r="AA579" s="243">
        <v>202411</v>
      </c>
      <c r="AB579" s="243"/>
      <c r="AC579" s="244" t="s">
        <v>5210</v>
      </c>
      <c r="AD579" s="244" t="s">
        <v>4935</v>
      </c>
      <c r="AE579" s="245">
        <v>0</v>
      </c>
      <c r="AF579" s="244" t="s">
        <v>4935</v>
      </c>
      <c r="AG579" s="239" t="str">
        <f>IFERROR(VLOOKUP(작성용!A:A,RM!A:D,4,0),"-")</f>
        <v>-</v>
      </c>
      <c r="AH579" s="235" t="s">
        <v>4771</v>
      </c>
      <c r="AI579" s="235" t="s">
        <v>4771</v>
      </c>
      <c r="AJ579" s="235" t="s">
        <v>4771</v>
      </c>
      <c r="AK579" s="235" t="s">
        <v>5208</v>
      </c>
      <c r="AL579" s="235">
        <v>578</v>
      </c>
    </row>
    <row r="580" spans="1:38" x14ac:dyDescent="0.3">
      <c r="A580" s="222">
        <v>6000800</v>
      </c>
      <c r="B580" s="222" t="s">
        <v>5344</v>
      </c>
      <c r="C580" s="241" t="s">
        <v>4778</v>
      </c>
      <c r="D580" s="237" t="s">
        <v>5526</v>
      </c>
      <c r="E580" s="236">
        <v>1101117769495</v>
      </c>
      <c r="F580" s="240" t="s">
        <v>4894</v>
      </c>
      <c r="G580" s="214">
        <v>0</v>
      </c>
      <c r="H580" s="231" t="s">
        <v>4771</v>
      </c>
      <c r="I580" s="231"/>
      <c r="J580" s="231"/>
      <c r="K580" s="231"/>
      <c r="L580" s="231"/>
      <c r="M580" s="231"/>
      <c r="N580" s="231" t="s">
        <v>4895</v>
      </c>
      <c r="O580" s="246"/>
      <c r="P580" s="246"/>
      <c r="Q580" s="225"/>
      <c r="R580" s="212" t="s">
        <v>4771</v>
      </c>
      <c r="S580" s="213" t="s">
        <v>4771</v>
      </c>
      <c r="T580" s="233" t="s">
        <v>5386</v>
      </c>
      <c r="U580" s="234" t="s">
        <v>4759</v>
      </c>
      <c r="V580" s="234">
        <v>45611</v>
      </c>
      <c r="W580" s="234" t="s">
        <v>4877</v>
      </c>
      <c r="X580" s="234" t="s">
        <v>2</v>
      </c>
      <c r="Y580" s="234"/>
      <c r="Z580" s="234"/>
      <c r="AA580" s="243">
        <v>202411</v>
      </c>
      <c r="AB580" s="243"/>
      <c r="AC580" s="244" t="s">
        <v>5210</v>
      </c>
      <c r="AD580" s="244" t="s">
        <v>4935</v>
      </c>
      <c r="AE580" s="245">
        <v>0</v>
      </c>
      <c r="AF580" s="244" t="s">
        <v>4935</v>
      </c>
      <c r="AG580" s="239" t="str">
        <f>IFERROR(VLOOKUP(작성용!A:A,RM!A:D,4,0),"-")</f>
        <v>-</v>
      </c>
      <c r="AH580" s="235" t="s">
        <v>4771</v>
      </c>
      <c r="AI580" s="235" t="s">
        <v>4771</v>
      </c>
      <c r="AJ580" s="235" t="s">
        <v>4771</v>
      </c>
      <c r="AK580" s="235" t="s">
        <v>5208</v>
      </c>
      <c r="AL580" s="235">
        <v>579</v>
      </c>
    </row>
    <row r="581" spans="1:38" x14ac:dyDescent="0.3">
      <c r="A581" s="222">
        <v>6000800</v>
      </c>
      <c r="B581" s="222" t="s">
        <v>5344</v>
      </c>
      <c r="C581" s="241" t="s">
        <v>4778</v>
      </c>
      <c r="D581" s="237" t="s">
        <v>5527</v>
      </c>
      <c r="E581" s="236" t="s">
        <v>5528</v>
      </c>
      <c r="F581" s="240" t="s">
        <v>4930</v>
      </c>
      <c r="G581" s="214">
        <v>0</v>
      </c>
      <c r="H581" s="231" t="s">
        <v>4771</v>
      </c>
      <c r="I581" s="231"/>
      <c r="J581" s="231"/>
      <c r="K581" s="231"/>
      <c r="L581" s="231"/>
      <c r="M581" s="231"/>
      <c r="N581" s="231" t="s">
        <v>4895</v>
      </c>
      <c r="O581" s="246"/>
      <c r="P581" s="246"/>
      <c r="Q581" s="225"/>
      <c r="R581" s="212" t="s">
        <v>4771</v>
      </c>
      <c r="S581" s="213" t="s">
        <v>4771</v>
      </c>
      <c r="T581" s="233" t="s">
        <v>5386</v>
      </c>
      <c r="U581" s="234" t="s">
        <v>4759</v>
      </c>
      <c r="V581" s="234">
        <v>45611</v>
      </c>
      <c r="W581" s="234" t="s">
        <v>4877</v>
      </c>
      <c r="X581" s="234" t="s">
        <v>2</v>
      </c>
      <c r="Y581" s="234"/>
      <c r="Z581" s="234"/>
      <c r="AA581" s="243">
        <v>202411</v>
      </c>
      <c r="AB581" s="243"/>
      <c r="AC581" s="244" t="s">
        <v>5210</v>
      </c>
      <c r="AD581" s="244" t="s">
        <v>4862</v>
      </c>
      <c r="AE581" s="245">
        <v>0</v>
      </c>
      <c r="AF581" s="244" t="s">
        <v>4862</v>
      </c>
      <c r="AG581" s="239" t="str">
        <f>IFERROR(VLOOKUP(작성용!A:A,RM!A:D,4,0),"-")</f>
        <v>-</v>
      </c>
      <c r="AH581" s="235" t="s">
        <v>4771</v>
      </c>
      <c r="AI581" s="235" t="s">
        <v>4771</v>
      </c>
      <c r="AJ581" s="235" t="s">
        <v>4771</v>
      </c>
      <c r="AK581" s="235" t="s">
        <v>5208</v>
      </c>
      <c r="AL581" s="235">
        <v>580</v>
      </c>
    </row>
    <row r="582" spans="1:38" x14ac:dyDescent="0.3">
      <c r="A582" s="222">
        <v>6000800</v>
      </c>
      <c r="B582" s="222" t="s">
        <v>5344</v>
      </c>
      <c r="C582" s="241" t="s">
        <v>4778</v>
      </c>
      <c r="D582" s="237" t="s">
        <v>5529</v>
      </c>
      <c r="E582" s="236">
        <v>1101116872223</v>
      </c>
      <c r="F582" s="240" t="s">
        <v>4894</v>
      </c>
      <c r="G582" s="214">
        <v>0</v>
      </c>
      <c r="H582" s="231" t="s">
        <v>4771</v>
      </c>
      <c r="I582" s="231"/>
      <c r="J582" s="231"/>
      <c r="K582" s="231"/>
      <c r="L582" s="231"/>
      <c r="M582" s="231"/>
      <c r="N582" s="231" t="s">
        <v>4895</v>
      </c>
      <c r="O582" s="246"/>
      <c r="P582" s="246"/>
      <c r="Q582" s="225"/>
      <c r="R582" s="212" t="s">
        <v>4771</v>
      </c>
      <c r="S582" s="213" t="s">
        <v>4771</v>
      </c>
      <c r="T582" s="233" t="s">
        <v>5386</v>
      </c>
      <c r="U582" s="234" t="s">
        <v>4759</v>
      </c>
      <c r="V582" s="234">
        <v>45611</v>
      </c>
      <c r="W582" s="234" t="s">
        <v>4877</v>
      </c>
      <c r="X582" s="234" t="s">
        <v>2</v>
      </c>
      <c r="Y582" s="234"/>
      <c r="Z582" s="234"/>
      <c r="AA582" s="243">
        <v>202411</v>
      </c>
      <c r="AB582" s="243"/>
      <c r="AC582" s="244" t="s">
        <v>5210</v>
      </c>
      <c r="AD582" s="244" t="s">
        <v>4980</v>
      </c>
      <c r="AE582" s="245">
        <v>0</v>
      </c>
      <c r="AF582" s="244" t="s">
        <v>4980</v>
      </c>
      <c r="AG582" s="239" t="str">
        <f>IFERROR(VLOOKUP(작성용!A:A,RM!A:D,4,0),"-")</f>
        <v>-</v>
      </c>
      <c r="AH582" s="235" t="s">
        <v>4771</v>
      </c>
      <c r="AI582" s="235" t="s">
        <v>4771</v>
      </c>
      <c r="AJ582" s="235" t="s">
        <v>4771</v>
      </c>
      <c r="AK582" s="235" t="s">
        <v>5208</v>
      </c>
      <c r="AL582" s="235">
        <v>581</v>
      </c>
    </row>
    <row r="583" spans="1:38" x14ac:dyDescent="0.3">
      <c r="A583" s="222">
        <v>6000800</v>
      </c>
      <c r="B583" s="222" t="s">
        <v>5344</v>
      </c>
      <c r="C583" s="241" t="s">
        <v>4778</v>
      </c>
      <c r="D583" s="237" t="s">
        <v>5530</v>
      </c>
      <c r="E583" s="236">
        <v>1101117510046</v>
      </c>
      <c r="F583" s="240" t="s">
        <v>4850</v>
      </c>
      <c r="G583" s="214">
        <v>0</v>
      </c>
      <c r="H583" s="231" t="s">
        <v>4771</v>
      </c>
      <c r="I583" s="231"/>
      <c r="J583" s="231"/>
      <c r="K583" s="231"/>
      <c r="L583" s="231"/>
      <c r="M583" s="231"/>
      <c r="N583" s="231" t="s">
        <v>4895</v>
      </c>
      <c r="O583" s="246"/>
      <c r="P583" s="246"/>
      <c r="Q583" s="225"/>
      <c r="R583" s="212" t="s">
        <v>4771</v>
      </c>
      <c r="S583" s="213" t="s">
        <v>4771</v>
      </c>
      <c r="T583" s="233" t="s">
        <v>5386</v>
      </c>
      <c r="U583" s="234" t="s">
        <v>4759</v>
      </c>
      <c r="V583" s="234">
        <v>45611</v>
      </c>
      <c r="W583" s="234" t="s">
        <v>4877</v>
      </c>
      <c r="X583" s="234" t="s">
        <v>2</v>
      </c>
      <c r="Y583" s="234"/>
      <c r="Z583" s="234"/>
      <c r="AA583" s="243">
        <v>202411</v>
      </c>
      <c r="AB583" s="243"/>
      <c r="AC583" s="244" t="s">
        <v>5210</v>
      </c>
      <c r="AD583" s="244" t="s">
        <v>4927</v>
      </c>
      <c r="AE583" s="245">
        <v>0</v>
      </c>
      <c r="AF583" s="244" t="s">
        <v>4927</v>
      </c>
      <c r="AG583" s="239" t="str">
        <f>IFERROR(VLOOKUP(작성용!A:A,RM!A:D,4,0),"-")</f>
        <v>-</v>
      </c>
      <c r="AH583" s="235" t="s">
        <v>4771</v>
      </c>
      <c r="AI583" s="235" t="s">
        <v>4771</v>
      </c>
      <c r="AJ583" s="235" t="s">
        <v>4771</v>
      </c>
      <c r="AK583" s="235" t="s">
        <v>5208</v>
      </c>
      <c r="AL583" s="235">
        <v>582</v>
      </c>
    </row>
    <row r="584" spans="1:38" x14ac:dyDescent="0.3">
      <c r="A584" s="222">
        <v>6000800</v>
      </c>
      <c r="B584" s="222" t="s">
        <v>5344</v>
      </c>
      <c r="C584" s="241" t="s">
        <v>4778</v>
      </c>
      <c r="D584" s="237" t="s">
        <v>5531</v>
      </c>
      <c r="E584" s="236" t="s">
        <v>5532</v>
      </c>
      <c r="F584" s="240" t="s">
        <v>5047</v>
      </c>
      <c r="G584" s="214">
        <v>0</v>
      </c>
      <c r="H584" s="231" t="s">
        <v>4771</v>
      </c>
      <c r="I584" s="231"/>
      <c r="J584" s="231"/>
      <c r="K584" s="231"/>
      <c r="L584" s="231"/>
      <c r="M584" s="231"/>
      <c r="N584" s="231" t="s">
        <v>4895</v>
      </c>
      <c r="O584" s="246"/>
      <c r="P584" s="246"/>
      <c r="Q584" s="225"/>
      <c r="R584" s="212" t="s">
        <v>4771</v>
      </c>
      <c r="S584" s="213" t="s">
        <v>4771</v>
      </c>
      <c r="T584" s="233" t="s">
        <v>5386</v>
      </c>
      <c r="U584" s="234" t="s">
        <v>4759</v>
      </c>
      <c r="V584" s="234">
        <v>45611</v>
      </c>
      <c r="W584" s="234" t="s">
        <v>4877</v>
      </c>
      <c r="X584" s="234" t="s">
        <v>2</v>
      </c>
      <c r="Y584" s="234"/>
      <c r="Z584" s="234"/>
      <c r="AA584" s="243">
        <v>202411</v>
      </c>
      <c r="AB584" s="243"/>
      <c r="AC584" s="244" t="s">
        <v>5210</v>
      </c>
      <c r="AD584" s="244" t="s">
        <v>4982</v>
      </c>
      <c r="AE584" s="245">
        <v>0</v>
      </c>
      <c r="AF584" s="244" t="s">
        <v>4982</v>
      </c>
      <c r="AG584" s="239" t="str">
        <f>IFERROR(VLOOKUP(작성용!A:A,RM!A:D,4,0),"-")</f>
        <v>-</v>
      </c>
      <c r="AH584" s="235" t="s">
        <v>4771</v>
      </c>
      <c r="AI584" s="235" t="s">
        <v>4771</v>
      </c>
      <c r="AJ584" s="235" t="s">
        <v>4771</v>
      </c>
      <c r="AK584" s="235" t="s">
        <v>5208</v>
      </c>
      <c r="AL584" s="235">
        <v>583</v>
      </c>
    </row>
    <row r="585" spans="1:38" x14ac:dyDescent="0.3">
      <c r="A585" s="222">
        <v>6000800</v>
      </c>
      <c r="B585" s="222" t="s">
        <v>5344</v>
      </c>
      <c r="C585" s="241" t="s">
        <v>4778</v>
      </c>
      <c r="D585" s="237" t="s">
        <v>5533</v>
      </c>
      <c r="E585" s="236">
        <v>1101118128913</v>
      </c>
      <c r="F585" s="240" t="s">
        <v>4894</v>
      </c>
      <c r="G585" s="214">
        <v>0</v>
      </c>
      <c r="H585" s="231" t="s">
        <v>4771</v>
      </c>
      <c r="I585" s="231"/>
      <c r="J585" s="231"/>
      <c r="K585" s="231"/>
      <c r="L585" s="231"/>
      <c r="M585" s="231"/>
      <c r="N585" s="231" t="s">
        <v>4895</v>
      </c>
      <c r="O585" s="246"/>
      <c r="P585" s="246"/>
      <c r="Q585" s="225"/>
      <c r="R585" s="212" t="s">
        <v>4771</v>
      </c>
      <c r="S585" s="213" t="s">
        <v>4771</v>
      </c>
      <c r="T585" s="233" t="s">
        <v>5386</v>
      </c>
      <c r="U585" s="234" t="s">
        <v>4759</v>
      </c>
      <c r="V585" s="234">
        <v>45611</v>
      </c>
      <c r="W585" s="234" t="s">
        <v>4877</v>
      </c>
      <c r="X585" s="234" t="s">
        <v>2</v>
      </c>
      <c r="Y585" s="234"/>
      <c r="Z585" s="234"/>
      <c r="AA585" s="243">
        <v>202411</v>
      </c>
      <c r="AB585" s="243"/>
      <c r="AC585" s="244" t="s">
        <v>5210</v>
      </c>
      <c r="AD585" s="244" t="s">
        <v>4761</v>
      </c>
      <c r="AE585" s="245">
        <v>0</v>
      </c>
      <c r="AF585" s="244" t="s">
        <v>4761</v>
      </c>
      <c r="AG585" s="239" t="str">
        <f>IFERROR(VLOOKUP(작성용!A:A,RM!A:D,4,0),"-")</f>
        <v>-</v>
      </c>
      <c r="AH585" s="235" t="s">
        <v>4771</v>
      </c>
      <c r="AI585" s="235" t="s">
        <v>4771</v>
      </c>
      <c r="AJ585" s="235" t="s">
        <v>4771</v>
      </c>
      <c r="AK585" s="235" t="s">
        <v>5208</v>
      </c>
      <c r="AL585" s="235">
        <v>584</v>
      </c>
    </row>
    <row r="586" spans="1:38" x14ac:dyDescent="0.3">
      <c r="A586" s="222">
        <v>6000800</v>
      </c>
      <c r="B586" s="222" t="s">
        <v>5344</v>
      </c>
      <c r="C586" s="241" t="s">
        <v>4778</v>
      </c>
      <c r="D586" s="237" t="s">
        <v>5534</v>
      </c>
      <c r="E586" s="236">
        <v>1101117360417</v>
      </c>
      <c r="F586" s="240" t="s">
        <v>4850</v>
      </c>
      <c r="G586" s="214">
        <v>0</v>
      </c>
      <c r="H586" s="231" t="s">
        <v>4771</v>
      </c>
      <c r="I586" s="231"/>
      <c r="J586" s="231"/>
      <c r="K586" s="231"/>
      <c r="L586" s="231"/>
      <c r="M586" s="231"/>
      <c r="N586" s="231" t="s">
        <v>4895</v>
      </c>
      <c r="O586" s="246"/>
      <c r="P586" s="246"/>
      <c r="Q586" s="225"/>
      <c r="R586" s="212" t="s">
        <v>4771</v>
      </c>
      <c r="S586" s="213" t="s">
        <v>4771</v>
      </c>
      <c r="T586" s="233" t="s">
        <v>5386</v>
      </c>
      <c r="U586" s="234" t="s">
        <v>4759</v>
      </c>
      <c r="V586" s="234">
        <v>45611</v>
      </c>
      <c r="W586" s="234" t="s">
        <v>4877</v>
      </c>
      <c r="X586" s="234" t="s">
        <v>2</v>
      </c>
      <c r="Y586" s="234"/>
      <c r="Z586" s="234"/>
      <c r="AA586" s="243">
        <v>202411</v>
      </c>
      <c r="AB586" s="243"/>
      <c r="AC586" s="244" t="s">
        <v>5210</v>
      </c>
      <c r="AD586" s="244" t="s">
        <v>4937</v>
      </c>
      <c r="AE586" s="245">
        <v>0</v>
      </c>
      <c r="AF586" s="244" t="s">
        <v>4937</v>
      </c>
      <c r="AG586" s="239" t="str">
        <f>IFERROR(VLOOKUP(작성용!A:A,RM!A:D,4,0),"-")</f>
        <v>-</v>
      </c>
      <c r="AH586" s="235" t="s">
        <v>4771</v>
      </c>
      <c r="AI586" s="235" t="s">
        <v>4771</v>
      </c>
      <c r="AJ586" s="235" t="s">
        <v>4771</v>
      </c>
      <c r="AK586" s="235" t="s">
        <v>5208</v>
      </c>
      <c r="AL586" s="235">
        <v>585</v>
      </c>
    </row>
    <row r="587" spans="1:38" x14ac:dyDescent="0.3">
      <c r="A587" s="222">
        <v>6000800</v>
      </c>
      <c r="B587" s="222" t="s">
        <v>5344</v>
      </c>
      <c r="C587" s="241" t="s">
        <v>4778</v>
      </c>
      <c r="D587" s="237" t="s">
        <v>5535</v>
      </c>
      <c r="E587" s="236">
        <v>1101117508322</v>
      </c>
      <c r="F587" s="240" t="s">
        <v>4894</v>
      </c>
      <c r="G587" s="214">
        <v>0</v>
      </c>
      <c r="H587" s="231" t="s">
        <v>4771</v>
      </c>
      <c r="I587" s="231"/>
      <c r="J587" s="231"/>
      <c r="K587" s="231"/>
      <c r="L587" s="231"/>
      <c r="M587" s="231"/>
      <c r="N587" s="231" t="s">
        <v>4895</v>
      </c>
      <c r="O587" s="246"/>
      <c r="P587" s="246"/>
      <c r="Q587" s="225"/>
      <c r="R587" s="212" t="s">
        <v>4771</v>
      </c>
      <c r="S587" s="213" t="s">
        <v>4771</v>
      </c>
      <c r="T587" s="233" t="s">
        <v>5386</v>
      </c>
      <c r="U587" s="234" t="s">
        <v>4759</v>
      </c>
      <c r="V587" s="234">
        <v>45611</v>
      </c>
      <c r="W587" s="234" t="s">
        <v>4877</v>
      </c>
      <c r="X587" s="234" t="s">
        <v>2</v>
      </c>
      <c r="Y587" s="234"/>
      <c r="Z587" s="234"/>
      <c r="AA587" s="243">
        <v>202411</v>
      </c>
      <c r="AB587" s="243"/>
      <c r="AC587" s="244" t="s">
        <v>5210</v>
      </c>
      <c r="AD587" s="244" t="s">
        <v>4945</v>
      </c>
      <c r="AE587" s="245">
        <v>0</v>
      </c>
      <c r="AF587" s="244" t="s">
        <v>5144</v>
      </c>
      <c r="AG587" s="239" t="str">
        <f>IFERROR(VLOOKUP(작성용!A:A,RM!A:D,4,0),"-")</f>
        <v>-</v>
      </c>
      <c r="AH587" s="235" t="s">
        <v>4771</v>
      </c>
      <c r="AI587" s="235" t="s">
        <v>4771</v>
      </c>
      <c r="AJ587" s="235" t="s">
        <v>4771</v>
      </c>
      <c r="AK587" s="235" t="s">
        <v>5208</v>
      </c>
      <c r="AL587" s="235">
        <v>586</v>
      </c>
    </row>
    <row r="588" spans="1:38" x14ac:dyDescent="0.3">
      <c r="A588" s="222">
        <v>6000800</v>
      </c>
      <c r="B588" s="222" t="s">
        <v>5344</v>
      </c>
      <c r="C588" s="241" t="s">
        <v>4778</v>
      </c>
      <c r="D588" s="237" t="s">
        <v>5536</v>
      </c>
      <c r="E588" s="236">
        <v>1101117235925</v>
      </c>
      <c r="F588" s="240" t="s">
        <v>4894</v>
      </c>
      <c r="G588" s="214">
        <v>0</v>
      </c>
      <c r="H588" s="231" t="s">
        <v>4771</v>
      </c>
      <c r="I588" s="231"/>
      <c r="J588" s="231"/>
      <c r="K588" s="231"/>
      <c r="L588" s="231"/>
      <c r="M588" s="231"/>
      <c r="N588" s="231" t="s">
        <v>4895</v>
      </c>
      <c r="O588" s="246"/>
      <c r="P588" s="246"/>
      <c r="Q588" s="225"/>
      <c r="R588" s="212" t="s">
        <v>4771</v>
      </c>
      <c r="S588" s="213" t="s">
        <v>4771</v>
      </c>
      <c r="T588" s="233" t="s">
        <v>5386</v>
      </c>
      <c r="U588" s="234" t="s">
        <v>4759</v>
      </c>
      <c r="V588" s="234">
        <v>45611</v>
      </c>
      <c r="W588" s="234" t="s">
        <v>4877</v>
      </c>
      <c r="X588" s="234" t="s">
        <v>2</v>
      </c>
      <c r="Y588" s="234"/>
      <c r="Z588" s="234"/>
      <c r="AA588" s="243">
        <v>202411</v>
      </c>
      <c r="AB588" s="243"/>
      <c r="AC588" s="244" t="s">
        <v>5210</v>
      </c>
      <c r="AD588" s="244" t="s">
        <v>4900</v>
      </c>
      <c r="AE588" s="245">
        <v>0</v>
      </c>
      <c r="AF588" s="244" t="s">
        <v>4900</v>
      </c>
      <c r="AG588" s="239" t="str">
        <f>IFERROR(VLOOKUP(작성용!A:A,RM!A:D,4,0),"-")</f>
        <v>-</v>
      </c>
      <c r="AH588" s="235" t="s">
        <v>4771</v>
      </c>
      <c r="AI588" s="235" t="s">
        <v>4771</v>
      </c>
      <c r="AJ588" s="235" t="s">
        <v>4771</v>
      </c>
      <c r="AK588" s="235" t="s">
        <v>5208</v>
      </c>
      <c r="AL588" s="235">
        <v>587</v>
      </c>
    </row>
    <row r="589" spans="1:38" x14ac:dyDescent="0.3">
      <c r="A589" s="222">
        <v>6000800</v>
      </c>
      <c r="B589" s="222" t="s">
        <v>5344</v>
      </c>
      <c r="C589" s="241" t="s">
        <v>4778</v>
      </c>
      <c r="D589" s="237" t="s">
        <v>5537</v>
      </c>
      <c r="E589" s="236">
        <v>1349110113687</v>
      </c>
      <c r="F589" s="240" t="s">
        <v>4894</v>
      </c>
      <c r="G589" s="214">
        <v>0</v>
      </c>
      <c r="H589" s="231" t="s">
        <v>4771</v>
      </c>
      <c r="I589" s="231"/>
      <c r="J589" s="231"/>
      <c r="K589" s="231"/>
      <c r="L589" s="231"/>
      <c r="M589" s="231"/>
      <c r="N589" s="231" t="s">
        <v>4895</v>
      </c>
      <c r="O589" s="246"/>
      <c r="P589" s="246"/>
      <c r="Q589" s="225"/>
      <c r="R589" s="212" t="s">
        <v>4771</v>
      </c>
      <c r="S589" s="213" t="s">
        <v>4771</v>
      </c>
      <c r="T589" s="233" t="s">
        <v>5386</v>
      </c>
      <c r="U589" s="234" t="s">
        <v>4759</v>
      </c>
      <c r="V589" s="234">
        <v>45611</v>
      </c>
      <c r="W589" s="234" t="s">
        <v>4877</v>
      </c>
      <c r="X589" s="234" t="s">
        <v>2</v>
      </c>
      <c r="Y589" s="234"/>
      <c r="Z589" s="234"/>
      <c r="AA589" s="243">
        <v>202411</v>
      </c>
      <c r="AB589" s="243"/>
      <c r="AC589" s="244" t="s">
        <v>5210</v>
      </c>
      <c r="AD589" s="244" t="s">
        <v>4858</v>
      </c>
      <c r="AE589" s="245">
        <v>0</v>
      </c>
      <c r="AF589" s="244" t="s">
        <v>4858</v>
      </c>
      <c r="AG589" s="239" t="str">
        <f>IFERROR(VLOOKUP(작성용!A:A,RM!A:D,4,0),"-")</f>
        <v>-</v>
      </c>
      <c r="AH589" s="235" t="s">
        <v>4771</v>
      </c>
      <c r="AI589" s="235" t="s">
        <v>4771</v>
      </c>
      <c r="AJ589" s="235" t="s">
        <v>4771</v>
      </c>
      <c r="AK589" s="235" t="s">
        <v>5208</v>
      </c>
      <c r="AL589" s="235">
        <v>588</v>
      </c>
    </row>
    <row r="590" spans="1:38" x14ac:dyDescent="0.3">
      <c r="A590" s="222">
        <v>6000800</v>
      </c>
      <c r="B590" s="222" t="s">
        <v>5344</v>
      </c>
      <c r="C590" s="241" t="s">
        <v>4778</v>
      </c>
      <c r="D590" s="237" t="s">
        <v>5538</v>
      </c>
      <c r="E590" s="236">
        <v>1101117133062</v>
      </c>
      <c r="F590" s="240" t="s">
        <v>4894</v>
      </c>
      <c r="G590" s="214">
        <v>0</v>
      </c>
      <c r="H590" s="231" t="s">
        <v>4771</v>
      </c>
      <c r="I590" s="231"/>
      <c r="J590" s="231"/>
      <c r="K590" s="231"/>
      <c r="L590" s="231"/>
      <c r="M590" s="231"/>
      <c r="N590" s="231" t="s">
        <v>4895</v>
      </c>
      <c r="O590" s="246"/>
      <c r="P590" s="246"/>
      <c r="Q590" s="225"/>
      <c r="R590" s="212" t="s">
        <v>4771</v>
      </c>
      <c r="S590" s="213" t="s">
        <v>4771</v>
      </c>
      <c r="T590" s="233" t="s">
        <v>5386</v>
      </c>
      <c r="U590" s="234" t="s">
        <v>4759</v>
      </c>
      <c r="V590" s="234">
        <v>45611</v>
      </c>
      <c r="W590" s="234" t="s">
        <v>4877</v>
      </c>
      <c r="X590" s="234" t="s">
        <v>2</v>
      </c>
      <c r="Y590" s="234"/>
      <c r="Z590" s="234"/>
      <c r="AA590" s="243">
        <v>202411</v>
      </c>
      <c r="AB590" s="243"/>
      <c r="AC590" s="244" t="s">
        <v>5210</v>
      </c>
      <c r="AD590" s="244" t="s">
        <v>4918</v>
      </c>
      <c r="AE590" s="245">
        <v>0</v>
      </c>
      <c r="AF590" s="244" t="s">
        <v>4918</v>
      </c>
      <c r="AG590" s="239" t="str">
        <f>IFERROR(VLOOKUP(작성용!A:A,RM!A:D,4,0),"-")</f>
        <v>-</v>
      </c>
      <c r="AH590" s="235" t="s">
        <v>4771</v>
      </c>
      <c r="AI590" s="235" t="s">
        <v>4771</v>
      </c>
      <c r="AJ590" s="235" t="s">
        <v>4771</v>
      </c>
      <c r="AK590" s="235" t="s">
        <v>5208</v>
      </c>
      <c r="AL590" s="235">
        <v>589</v>
      </c>
    </row>
    <row r="591" spans="1:38" x14ac:dyDescent="0.3">
      <c r="A591" s="222">
        <v>6000800</v>
      </c>
      <c r="B591" s="222" t="s">
        <v>5344</v>
      </c>
      <c r="C591" s="241" t="s">
        <v>4778</v>
      </c>
      <c r="D591" s="237" t="s">
        <v>5539</v>
      </c>
      <c r="E591" s="236">
        <v>1101118267539</v>
      </c>
      <c r="F591" s="240" t="s">
        <v>4894</v>
      </c>
      <c r="G591" s="214">
        <v>0</v>
      </c>
      <c r="H591" s="231" t="s">
        <v>4771</v>
      </c>
      <c r="I591" s="231"/>
      <c r="J591" s="231"/>
      <c r="K591" s="231"/>
      <c r="L591" s="231"/>
      <c r="M591" s="231"/>
      <c r="N591" s="231" t="s">
        <v>4895</v>
      </c>
      <c r="O591" s="246"/>
      <c r="P591" s="246"/>
      <c r="Q591" s="225"/>
      <c r="R591" s="212" t="s">
        <v>4771</v>
      </c>
      <c r="S591" s="213" t="s">
        <v>4771</v>
      </c>
      <c r="T591" s="233" t="s">
        <v>5386</v>
      </c>
      <c r="U591" s="234" t="s">
        <v>4759</v>
      </c>
      <c r="V591" s="234">
        <v>45611</v>
      </c>
      <c r="W591" s="234" t="s">
        <v>4877</v>
      </c>
      <c r="X591" s="234" t="s">
        <v>2</v>
      </c>
      <c r="Y591" s="234"/>
      <c r="Z591" s="234"/>
      <c r="AA591" s="243">
        <v>202411</v>
      </c>
      <c r="AB591" s="243"/>
      <c r="AC591" s="244" t="s">
        <v>5210</v>
      </c>
      <c r="AD591" s="244" t="s">
        <v>4927</v>
      </c>
      <c r="AE591" s="245">
        <v>0</v>
      </c>
      <c r="AF591" s="244" t="s">
        <v>4927</v>
      </c>
      <c r="AG591" s="239" t="str">
        <f>IFERROR(VLOOKUP(작성용!A:A,RM!A:D,4,0),"-")</f>
        <v>-</v>
      </c>
      <c r="AH591" s="235" t="s">
        <v>4771</v>
      </c>
      <c r="AI591" s="235" t="s">
        <v>4771</v>
      </c>
      <c r="AJ591" s="235" t="s">
        <v>4771</v>
      </c>
      <c r="AK591" s="235" t="s">
        <v>5208</v>
      </c>
      <c r="AL591" s="235">
        <v>590</v>
      </c>
    </row>
    <row r="592" spans="1:38" x14ac:dyDescent="0.3">
      <c r="A592" s="222">
        <v>6000800</v>
      </c>
      <c r="B592" s="222" t="s">
        <v>5344</v>
      </c>
      <c r="C592" s="241" t="s">
        <v>4778</v>
      </c>
      <c r="D592" s="237" t="s">
        <v>5540</v>
      </c>
      <c r="E592" s="236">
        <v>1101117254933</v>
      </c>
      <c r="F592" s="240" t="s">
        <v>4894</v>
      </c>
      <c r="G592" s="214">
        <v>0</v>
      </c>
      <c r="H592" s="231" t="s">
        <v>4771</v>
      </c>
      <c r="I592" s="231"/>
      <c r="J592" s="231"/>
      <c r="K592" s="231"/>
      <c r="L592" s="231"/>
      <c r="M592" s="231"/>
      <c r="N592" s="231" t="s">
        <v>4895</v>
      </c>
      <c r="O592" s="246"/>
      <c r="P592" s="246"/>
      <c r="Q592" s="225"/>
      <c r="R592" s="212" t="s">
        <v>4771</v>
      </c>
      <c r="S592" s="213" t="s">
        <v>4771</v>
      </c>
      <c r="T592" s="233" t="s">
        <v>5386</v>
      </c>
      <c r="U592" s="234" t="s">
        <v>4759</v>
      </c>
      <c r="V592" s="234">
        <v>45611</v>
      </c>
      <c r="W592" s="234" t="s">
        <v>4877</v>
      </c>
      <c r="X592" s="234" t="s">
        <v>2</v>
      </c>
      <c r="Y592" s="234"/>
      <c r="Z592" s="234"/>
      <c r="AA592" s="243">
        <v>202411</v>
      </c>
      <c r="AB592" s="243"/>
      <c r="AC592" s="244" t="s">
        <v>5210</v>
      </c>
      <c r="AD592" s="244" t="s">
        <v>4897</v>
      </c>
      <c r="AE592" s="245">
        <v>0</v>
      </c>
      <c r="AF592" s="244" t="s">
        <v>4872</v>
      </c>
      <c r="AG592" s="239" t="str">
        <f>IFERROR(VLOOKUP(작성용!A:A,RM!A:D,4,0),"-")</f>
        <v>-</v>
      </c>
      <c r="AH592" s="235" t="s">
        <v>4771</v>
      </c>
      <c r="AI592" s="235" t="s">
        <v>4771</v>
      </c>
      <c r="AJ592" s="235" t="s">
        <v>4771</v>
      </c>
      <c r="AK592" s="235" t="s">
        <v>5208</v>
      </c>
      <c r="AL592" s="235">
        <v>591</v>
      </c>
    </row>
    <row r="593" spans="1:38" x14ac:dyDescent="0.3">
      <c r="A593" s="222">
        <v>6000800</v>
      </c>
      <c r="B593" s="222" t="s">
        <v>5344</v>
      </c>
      <c r="C593" s="241" t="s">
        <v>4778</v>
      </c>
      <c r="D593" s="237" t="s">
        <v>5541</v>
      </c>
      <c r="E593" s="236">
        <v>1101118450689</v>
      </c>
      <c r="F593" s="240" t="s">
        <v>5047</v>
      </c>
      <c r="G593" s="214">
        <v>0</v>
      </c>
      <c r="H593" s="231" t="s">
        <v>4771</v>
      </c>
      <c r="I593" s="231"/>
      <c r="J593" s="231"/>
      <c r="K593" s="231"/>
      <c r="L593" s="231"/>
      <c r="M593" s="231"/>
      <c r="N593" s="231" t="s">
        <v>4895</v>
      </c>
      <c r="O593" s="246"/>
      <c r="P593" s="246"/>
      <c r="Q593" s="225"/>
      <c r="R593" s="212" t="s">
        <v>4771</v>
      </c>
      <c r="S593" s="213" t="s">
        <v>4771</v>
      </c>
      <c r="T593" s="233" t="s">
        <v>5386</v>
      </c>
      <c r="U593" s="234" t="s">
        <v>4759</v>
      </c>
      <c r="V593" s="234">
        <v>45611</v>
      </c>
      <c r="W593" s="234" t="s">
        <v>4877</v>
      </c>
      <c r="X593" s="234" t="s">
        <v>2</v>
      </c>
      <c r="Y593" s="234"/>
      <c r="Z593" s="234"/>
      <c r="AA593" s="243">
        <v>202411</v>
      </c>
      <c r="AB593" s="243"/>
      <c r="AC593" s="244" t="s">
        <v>5210</v>
      </c>
      <c r="AD593" s="244" t="s">
        <v>4845</v>
      </c>
      <c r="AE593" s="245">
        <v>0</v>
      </c>
      <c r="AF593" s="244" t="s">
        <v>4845</v>
      </c>
      <c r="AG593" s="239" t="str">
        <f>IFERROR(VLOOKUP(작성용!A:A,RM!A:D,4,0),"-")</f>
        <v>-</v>
      </c>
      <c r="AH593" s="235" t="s">
        <v>4771</v>
      </c>
      <c r="AI593" s="235" t="s">
        <v>4771</v>
      </c>
      <c r="AJ593" s="235" t="s">
        <v>4771</v>
      </c>
      <c r="AK593" s="235" t="s">
        <v>5208</v>
      </c>
      <c r="AL593" s="235">
        <v>592</v>
      </c>
    </row>
    <row r="594" spans="1:38" x14ac:dyDescent="0.3">
      <c r="A594" s="222">
        <v>6000800</v>
      </c>
      <c r="B594" s="222" t="s">
        <v>5344</v>
      </c>
      <c r="C594" s="241" t="s">
        <v>4778</v>
      </c>
      <c r="D594" s="237" t="s">
        <v>5542</v>
      </c>
      <c r="E594" s="236">
        <v>1101115481132</v>
      </c>
      <c r="F594" s="240" t="s">
        <v>4850</v>
      </c>
      <c r="G594" s="214">
        <v>0</v>
      </c>
      <c r="H594" s="231" t="s">
        <v>4771</v>
      </c>
      <c r="I594" s="231"/>
      <c r="J594" s="231"/>
      <c r="K594" s="231"/>
      <c r="L594" s="231"/>
      <c r="M594" s="231"/>
      <c r="N594" s="231" t="s">
        <v>4895</v>
      </c>
      <c r="O594" s="246"/>
      <c r="P594" s="246"/>
      <c r="Q594" s="225"/>
      <c r="R594" s="212" t="s">
        <v>4771</v>
      </c>
      <c r="S594" s="213" t="s">
        <v>4771</v>
      </c>
      <c r="T594" s="233" t="s">
        <v>5386</v>
      </c>
      <c r="U594" s="234" t="s">
        <v>4759</v>
      </c>
      <c r="V594" s="234">
        <v>45611</v>
      </c>
      <c r="W594" s="234" t="s">
        <v>4877</v>
      </c>
      <c r="X594" s="234" t="s">
        <v>2</v>
      </c>
      <c r="Y594" s="234"/>
      <c r="Z594" s="234"/>
      <c r="AA594" s="243">
        <v>202411</v>
      </c>
      <c r="AB594" s="243"/>
      <c r="AC594" s="244" t="s">
        <v>5210</v>
      </c>
      <c r="AD594" s="244" t="s">
        <v>4864</v>
      </c>
      <c r="AE594" s="245">
        <v>0</v>
      </c>
      <c r="AF594" s="244" t="s">
        <v>4864</v>
      </c>
      <c r="AG594" s="239" t="str">
        <f>IFERROR(VLOOKUP(작성용!A:A,RM!A:D,4,0),"-")</f>
        <v>-</v>
      </c>
      <c r="AH594" s="235" t="s">
        <v>4771</v>
      </c>
      <c r="AI594" s="235" t="s">
        <v>4771</v>
      </c>
      <c r="AJ594" s="235" t="s">
        <v>4771</v>
      </c>
      <c r="AK594" s="235" t="s">
        <v>5208</v>
      </c>
      <c r="AL594" s="235">
        <v>593</v>
      </c>
    </row>
    <row r="595" spans="1:38" x14ac:dyDescent="0.3">
      <c r="A595" s="222">
        <v>6000800</v>
      </c>
      <c r="B595" s="222" t="s">
        <v>5344</v>
      </c>
      <c r="C595" s="241" t="s">
        <v>4778</v>
      </c>
      <c r="D595" s="237" t="s">
        <v>5543</v>
      </c>
      <c r="E595" s="236" t="s">
        <v>5544</v>
      </c>
      <c r="F595" s="240" t="s">
        <v>5047</v>
      </c>
      <c r="G595" s="214">
        <v>0</v>
      </c>
      <c r="H595" s="231" t="s">
        <v>4771</v>
      </c>
      <c r="I595" s="231"/>
      <c r="J595" s="231"/>
      <c r="K595" s="231"/>
      <c r="L595" s="231"/>
      <c r="M595" s="231"/>
      <c r="N595" s="231" t="s">
        <v>4895</v>
      </c>
      <c r="O595" s="246"/>
      <c r="P595" s="246"/>
      <c r="Q595" s="225"/>
      <c r="R595" s="212" t="s">
        <v>4771</v>
      </c>
      <c r="S595" s="213" t="s">
        <v>4771</v>
      </c>
      <c r="T595" s="233" t="s">
        <v>5386</v>
      </c>
      <c r="U595" s="234" t="s">
        <v>4759</v>
      </c>
      <c r="V595" s="234">
        <v>45611</v>
      </c>
      <c r="W595" s="234" t="s">
        <v>4877</v>
      </c>
      <c r="X595" s="234" t="s">
        <v>2</v>
      </c>
      <c r="Y595" s="234"/>
      <c r="Z595" s="234"/>
      <c r="AA595" s="243">
        <v>202411</v>
      </c>
      <c r="AB595" s="243"/>
      <c r="AC595" s="244" t="s">
        <v>5210</v>
      </c>
      <c r="AD595" s="244" t="s">
        <v>4860</v>
      </c>
      <c r="AE595" s="245">
        <v>0</v>
      </c>
      <c r="AF595" s="244" t="s">
        <v>4860</v>
      </c>
      <c r="AG595" s="239" t="str">
        <f>IFERROR(VLOOKUP(작성용!A:A,RM!A:D,4,0),"-")</f>
        <v>-</v>
      </c>
      <c r="AH595" s="235" t="s">
        <v>4771</v>
      </c>
      <c r="AI595" s="235" t="s">
        <v>4771</v>
      </c>
      <c r="AJ595" s="235" t="s">
        <v>4771</v>
      </c>
      <c r="AK595" s="235" t="s">
        <v>5208</v>
      </c>
      <c r="AL595" s="235">
        <v>594</v>
      </c>
    </row>
    <row r="596" spans="1:38" x14ac:dyDescent="0.3">
      <c r="A596" s="222">
        <v>6000800</v>
      </c>
      <c r="B596" s="222" t="s">
        <v>5344</v>
      </c>
      <c r="C596" s="241" t="s">
        <v>4778</v>
      </c>
      <c r="D596" s="237" t="s">
        <v>5545</v>
      </c>
      <c r="E596" s="236">
        <v>1101117470563</v>
      </c>
      <c r="F596" s="240" t="s">
        <v>4894</v>
      </c>
      <c r="G596" s="214">
        <v>0</v>
      </c>
      <c r="H596" s="231" t="s">
        <v>4771</v>
      </c>
      <c r="I596" s="231"/>
      <c r="J596" s="231"/>
      <c r="K596" s="231"/>
      <c r="L596" s="231"/>
      <c r="M596" s="231"/>
      <c r="N596" s="231" t="s">
        <v>4895</v>
      </c>
      <c r="O596" s="246"/>
      <c r="P596" s="246"/>
      <c r="Q596" s="225"/>
      <c r="R596" s="212" t="s">
        <v>4771</v>
      </c>
      <c r="S596" s="213" t="s">
        <v>4771</v>
      </c>
      <c r="T596" s="233" t="s">
        <v>5386</v>
      </c>
      <c r="U596" s="234" t="s">
        <v>4759</v>
      </c>
      <c r="V596" s="234">
        <v>45611</v>
      </c>
      <c r="W596" s="234" t="s">
        <v>4877</v>
      </c>
      <c r="X596" s="234" t="s">
        <v>2</v>
      </c>
      <c r="Y596" s="234"/>
      <c r="Z596" s="234"/>
      <c r="AA596" s="243">
        <v>202411</v>
      </c>
      <c r="AB596" s="243"/>
      <c r="AC596" s="244" t="s">
        <v>5210</v>
      </c>
      <c r="AD596" s="244" t="s">
        <v>4935</v>
      </c>
      <c r="AE596" s="245">
        <v>0</v>
      </c>
      <c r="AF596" s="244" t="s">
        <v>4935</v>
      </c>
      <c r="AG596" s="239" t="str">
        <f>IFERROR(VLOOKUP(작성용!A:A,RM!A:D,4,0),"-")</f>
        <v>-</v>
      </c>
      <c r="AH596" s="235" t="s">
        <v>4771</v>
      </c>
      <c r="AI596" s="235" t="s">
        <v>4771</v>
      </c>
      <c r="AJ596" s="235" t="s">
        <v>4771</v>
      </c>
      <c r="AK596" s="235" t="s">
        <v>5208</v>
      </c>
      <c r="AL596" s="235">
        <v>595</v>
      </c>
    </row>
    <row r="597" spans="1:38" x14ac:dyDescent="0.3">
      <c r="A597" s="222">
        <v>6000800</v>
      </c>
      <c r="B597" s="222" t="s">
        <v>5344</v>
      </c>
      <c r="C597" s="241" t="s">
        <v>4778</v>
      </c>
      <c r="D597" s="237" t="s">
        <v>5546</v>
      </c>
      <c r="E597" s="236" t="s">
        <v>5547</v>
      </c>
      <c r="F597" s="240" t="s">
        <v>5047</v>
      </c>
      <c r="G597" s="214">
        <v>0</v>
      </c>
      <c r="H597" s="231" t="s">
        <v>4771</v>
      </c>
      <c r="I597" s="231"/>
      <c r="J597" s="231"/>
      <c r="K597" s="231"/>
      <c r="L597" s="231"/>
      <c r="M597" s="231"/>
      <c r="N597" s="231" t="s">
        <v>4895</v>
      </c>
      <c r="O597" s="246"/>
      <c r="P597" s="246"/>
      <c r="Q597" s="225"/>
      <c r="R597" s="212" t="s">
        <v>4771</v>
      </c>
      <c r="S597" s="213" t="s">
        <v>4771</v>
      </c>
      <c r="T597" s="233" t="s">
        <v>5386</v>
      </c>
      <c r="U597" s="234" t="s">
        <v>4759</v>
      </c>
      <c r="V597" s="234">
        <v>45611</v>
      </c>
      <c r="W597" s="234" t="s">
        <v>4877</v>
      </c>
      <c r="X597" s="234" t="s">
        <v>2</v>
      </c>
      <c r="Y597" s="234"/>
      <c r="Z597" s="234"/>
      <c r="AA597" s="243">
        <v>202411</v>
      </c>
      <c r="AB597" s="243"/>
      <c r="AC597" s="244" t="s">
        <v>5210</v>
      </c>
      <c r="AD597" s="244" t="s">
        <v>4915</v>
      </c>
      <c r="AE597" s="245">
        <v>0</v>
      </c>
      <c r="AF597" s="244" t="s">
        <v>4990</v>
      </c>
      <c r="AG597" s="239" t="str">
        <f>IFERROR(VLOOKUP(작성용!A:A,RM!A:D,4,0),"-")</f>
        <v>-</v>
      </c>
      <c r="AH597" s="235" t="s">
        <v>4771</v>
      </c>
      <c r="AI597" s="235" t="s">
        <v>4771</v>
      </c>
      <c r="AJ597" s="235" t="s">
        <v>4771</v>
      </c>
      <c r="AK597" s="235" t="s">
        <v>5208</v>
      </c>
      <c r="AL597" s="235">
        <v>596</v>
      </c>
    </row>
    <row r="598" spans="1:38" x14ac:dyDescent="0.3">
      <c r="A598" s="222">
        <v>6000800</v>
      </c>
      <c r="B598" s="222" t="s">
        <v>5344</v>
      </c>
      <c r="C598" s="241" t="s">
        <v>4778</v>
      </c>
      <c r="D598" s="237" t="s">
        <v>5548</v>
      </c>
      <c r="E598" s="236">
        <v>1101118476841</v>
      </c>
      <c r="F598" s="240" t="s">
        <v>4894</v>
      </c>
      <c r="G598" s="214">
        <v>0</v>
      </c>
      <c r="H598" s="231" t="s">
        <v>4771</v>
      </c>
      <c r="I598" s="231"/>
      <c r="J598" s="231"/>
      <c r="K598" s="231"/>
      <c r="L598" s="231"/>
      <c r="M598" s="231"/>
      <c r="N598" s="231" t="s">
        <v>4895</v>
      </c>
      <c r="O598" s="246"/>
      <c r="P598" s="246"/>
      <c r="Q598" s="225"/>
      <c r="R598" s="212" t="s">
        <v>4771</v>
      </c>
      <c r="S598" s="213" t="s">
        <v>4771</v>
      </c>
      <c r="T598" s="233" t="s">
        <v>5386</v>
      </c>
      <c r="U598" s="234" t="s">
        <v>4759</v>
      </c>
      <c r="V598" s="234">
        <v>45611</v>
      </c>
      <c r="W598" s="234" t="s">
        <v>4877</v>
      </c>
      <c r="X598" s="234" t="s">
        <v>2</v>
      </c>
      <c r="Y598" s="234"/>
      <c r="Z598" s="234"/>
      <c r="AA598" s="243">
        <v>202411</v>
      </c>
      <c r="AB598" s="243"/>
      <c r="AC598" s="244" t="s">
        <v>5210</v>
      </c>
      <c r="AD598" s="244" t="s">
        <v>4846</v>
      </c>
      <c r="AE598" s="245">
        <v>0</v>
      </c>
      <c r="AF598" s="244" t="s">
        <v>4846</v>
      </c>
      <c r="AG598" s="239" t="str">
        <f>IFERROR(VLOOKUP(작성용!A:A,RM!A:D,4,0),"-")</f>
        <v>-</v>
      </c>
      <c r="AH598" s="235" t="s">
        <v>4771</v>
      </c>
      <c r="AI598" s="235" t="s">
        <v>4771</v>
      </c>
      <c r="AJ598" s="235" t="s">
        <v>4771</v>
      </c>
      <c r="AK598" s="235" t="s">
        <v>5208</v>
      </c>
      <c r="AL598" s="235">
        <v>597</v>
      </c>
    </row>
    <row r="599" spans="1:38" x14ac:dyDescent="0.3">
      <c r="A599" s="222">
        <v>6000800</v>
      </c>
      <c r="B599" s="222" t="s">
        <v>5344</v>
      </c>
      <c r="C599" s="241" t="s">
        <v>4778</v>
      </c>
      <c r="D599" s="237" t="s">
        <v>5549</v>
      </c>
      <c r="E599" s="236">
        <v>1101118517950</v>
      </c>
      <c r="F599" s="240" t="s">
        <v>5047</v>
      </c>
      <c r="G599" s="214">
        <v>0</v>
      </c>
      <c r="H599" s="231" t="s">
        <v>4771</v>
      </c>
      <c r="I599" s="231"/>
      <c r="J599" s="231"/>
      <c r="K599" s="231"/>
      <c r="L599" s="231"/>
      <c r="M599" s="231"/>
      <c r="N599" s="231" t="s">
        <v>4895</v>
      </c>
      <c r="O599" s="246"/>
      <c r="P599" s="246"/>
      <c r="Q599" s="225"/>
      <c r="R599" s="212" t="s">
        <v>4771</v>
      </c>
      <c r="S599" s="213" t="s">
        <v>4771</v>
      </c>
      <c r="T599" s="233" t="s">
        <v>5386</v>
      </c>
      <c r="U599" s="234" t="s">
        <v>4759</v>
      </c>
      <c r="V599" s="234">
        <v>45611</v>
      </c>
      <c r="W599" s="234" t="s">
        <v>4877</v>
      </c>
      <c r="X599" s="234" t="s">
        <v>2</v>
      </c>
      <c r="Y599" s="234"/>
      <c r="Z599" s="234"/>
      <c r="AA599" s="243">
        <v>202411</v>
      </c>
      <c r="AB599" s="243"/>
      <c r="AC599" s="244" t="s">
        <v>5210</v>
      </c>
      <c r="AD599" s="244" t="s">
        <v>4982</v>
      </c>
      <c r="AE599" s="245">
        <v>0</v>
      </c>
      <c r="AF599" s="244" t="s">
        <v>4982</v>
      </c>
      <c r="AG599" s="239" t="str">
        <f>IFERROR(VLOOKUP(작성용!A:A,RM!A:D,4,0),"-")</f>
        <v>-</v>
      </c>
      <c r="AH599" s="235" t="s">
        <v>4771</v>
      </c>
      <c r="AI599" s="235" t="s">
        <v>4771</v>
      </c>
      <c r="AJ599" s="235" t="s">
        <v>4771</v>
      </c>
      <c r="AK599" s="235" t="s">
        <v>5208</v>
      </c>
      <c r="AL599" s="235">
        <v>598</v>
      </c>
    </row>
    <row r="600" spans="1:38" x14ac:dyDescent="0.3">
      <c r="A600" s="222">
        <v>6000800</v>
      </c>
      <c r="B600" s="222" t="s">
        <v>5344</v>
      </c>
      <c r="C600" s="241" t="s">
        <v>4778</v>
      </c>
      <c r="D600" s="237" t="s">
        <v>5550</v>
      </c>
      <c r="E600" s="236">
        <v>1101117391058</v>
      </c>
      <c r="F600" s="240" t="s">
        <v>4894</v>
      </c>
      <c r="G600" s="214">
        <v>0</v>
      </c>
      <c r="H600" s="231" t="s">
        <v>4771</v>
      </c>
      <c r="I600" s="231"/>
      <c r="J600" s="231"/>
      <c r="K600" s="231"/>
      <c r="L600" s="231"/>
      <c r="M600" s="231"/>
      <c r="N600" s="231" t="s">
        <v>4895</v>
      </c>
      <c r="O600" s="246"/>
      <c r="P600" s="246"/>
      <c r="Q600" s="225"/>
      <c r="R600" s="212" t="s">
        <v>4771</v>
      </c>
      <c r="S600" s="213" t="s">
        <v>4771</v>
      </c>
      <c r="T600" s="233" t="s">
        <v>5386</v>
      </c>
      <c r="U600" s="234" t="s">
        <v>4759</v>
      </c>
      <c r="V600" s="234">
        <v>45611</v>
      </c>
      <c r="W600" s="234" t="s">
        <v>4877</v>
      </c>
      <c r="X600" s="234" t="s">
        <v>2</v>
      </c>
      <c r="Y600" s="234"/>
      <c r="Z600" s="234"/>
      <c r="AA600" s="243">
        <v>202411</v>
      </c>
      <c r="AB600" s="243"/>
      <c r="AC600" s="244" t="s">
        <v>5210</v>
      </c>
      <c r="AD600" s="244" t="s">
        <v>4858</v>
      </c>
      <c r="AE600" s="245">
        <v>0</v>
      </c>
      <c r="AF600" s="244" t="s">
        <v>4858</v>
      </c>
      <c r="AG600" s="239" t="str">
        <f>IFERROR(VLOOKUP(작성용!A:A,RM!A:D,4,0),"-")</f>
        <v>-</v>
      </c>
      <c r="AH600" s="235" t="s">
        <v>4771</v>
      </c>
      <c r="AI600" s="235" t="s">
        <v>4771</v>
      </c>
      <c r="AJ600" s="235" t="s">
        <v>4771</v>
      </c>
      <c r="AK600" s="235" t="s">
        <v>5208</v>
      </c>
      <c r="AL600" s="235">
        <v>599</v>
      </c>
    </row>
    <row r="601" spans="1:38" x14ac:dyDescent="0.3">
      <c r="A601" s="222">
        <v>6000800</v>
      </c>
      <c r="B601" s="222" t="s">
        <v>5344</v>
      </c>
      <c r="C601" s="241" t="s">
        <v>4778</v>
      </c>
      <c r="D601" s="237" t="s">
        <v>5551</v>
      </c>
      <c r="E601" s="236" t="s">
        <v>5552</v>
      </c>
      <c r="F601" s="240" t="s">
        <v>5047</v>
      </c>
      <c r="G601" s="214">
        <v>0</v>
      </c>
      <c r="H601" s="231" t="s">
        <v>4771</v>
      </c>
      <c r="I601" s="231"/>
      <c r="J601" s="231"/>
      <c r="K601" s="231"/>
      <c r="L601" s="231"/>
      <c r="M601" s="231"/>
      <c r="N601" s="231" t="s">
        <v>4895</v>
      </c>
      <c r="O601" s="246"/>
      <c r="P601" s="246"/>
      <c r="Q601" s="225"/>
      <c r="R601" s="212" t="s">
        <v>4771</v>
      </c>
      <c r="S601" s="213" t="s">
        <v>4771</v>
      </c>
      <c r="T601" s="233" t="s">
        <v>5386</v>
      </c>
      <c r="U601" s="234" t="s">
        <v>4759</v>
      </c>
      <c r="V601" s="234">
        <v>45611</v>
      </c>
      <c r="W601" s="234" t="s">
        <v>4877</v>
      </c>
      <c r="X601" s="234" t="s">
        <v>2</v>
      </c>
      <c r="Y601" s="234"/>
      <c r="Z601" s="234"/>
      <c r="AA601" s="243">
        <v>202411</v>
      </c>
      <c r="AB601" s="243"/>
      <c r="AC601" s="244" t="s">
        <v>5210</v>
      </c>
      <c r="AD601" s="244" t="s">
        <v>4900</v>
      </c>
      <c r="AE601" s="245">
        <v>0</v>
      </c>
      <c r="AF601" s="244" t="s">
        <v>4900</v>
      </c>
      <c r="AG601" s="239" t="str">
        <f>IFERROR(VLOOKUP(작성용!A:A,RM!A:D,4,0),"-")</f>
        <v>-</v>
      </c>
      <c r="AH601" s="235" t="s">
        <v>4771</v>
      </c>
      <c r="AI601" s="235" t="s">
        <v>4771</v>
      </c>
      <c r="AJ601" s="235" t="s">
        <v>4771</v>
      </c>
      <c r="AK601" s="235" t="s">
        <v>5208</v>
      </c>
      <c r="AL601" s="235">
        <v>600</v>
      </c>
    </row>
    <row r="602" spans="1:38" x14ac:dyDescent="0.3">
      <c r="A602" s="222">
        <v>6000800</v>
      </c>
      <c r="B602" s="222" t="s">
        <v>5344</v>
      </c>
      <c r="C602" s="241" t="s">
        <v>4778</v>
      </c>
      <c r="D602" s="237" t="s">
        <v>5553</v>
      </c>
      <c r="E602" s="236">
        <v>1101116969161</v>
      </c>
      <c r="F602" s="240" t="s">
        <v>4854</v>
      </c>
      <c r="G602" s="214">
        <v>0</v>
      </c>
      <c r="H602" s="231" t="s">
        <v>4771</v>
      </c>
      <c r="I602" s="231"/>
      <c r="J602" s="231"/>
      <c r="K602" s="231"/>
      <c r="L602" s="231"/>
      <c r="M602" s="231"/>
      <c r="N602" s="231" t="s">
        <v>4895</v>
      </c>
      <c r="O602" s="246"/>
      <c r="P602" s="246"/>
      <c r="Q602" s="225"/>
      <c r="R602" s="212" t="s">
        <v>4771</v>
      </c>
      <c r="S602" s="213" t="s">
        <v>4771</v>
      </c>
      <c r="T602" s="233" t="s">
        <v>5386</v>
      </c>
      <c r="U602" s="234" t="s">
        <v>4759</v>
      </c>
      <c r="V602" s="234">
        <v>45611</v>
      </c>
      <c r="W602" s="234" t="s">
        <v>4877</v>
      </c>
      <c r="X602" s="234" t="s">
        <v>2</v>
      </c>
      <c r="Y602" s="234"/>
      <c r="Z602" s="234"/>
      <c r="AA602" s="243">
        <v>202411</v>
      </c>
      <c r="AB602" s="243"/>
      <c r="AC602" s="244" t="s">
        <v>5210</v>
      </c>
      <c r="AD602" s="244" t="s">
        <v>4937</v>
      </c>
      <c r="AE602" s="245">
        <v>0</v>
      </c>
      <c r="AF602" s="244" t="s">
        <v>4937</v>
      </c>
      <c r="AG602" s="239" t="str">
        <f>IFERROR(VLOOKUP(작성용!A:A,RM!A:D,4,0),"-")</f>
        <v>-</v>
      </c>
      <c r="AH602" s="235" t="s">
        <v>4771</v>
      </c>
      <c r="AI602" s="235" t="s">
        <v>4771</v>
      </c>
      <c r="AJ602" s="235" t="s">
        <v>4771</v>
      </c>
      <c r="AK602" s="235" t="s">
        <v>5208</v>
      </c>
      <c r="AL602" s="235">
        <v>601</v>
      </c>
    </row>
    <row r="603" spans="1:38" x14ac:dyDescent="0.3">
      <c r="A603" s="222">
        <v>6000800</v>
      </c>
      <c r="B603" s="222" t="s">
        <v>5344</v>
      </c>
      <c r="C603" s="241" t="s">
        <v>4778</v>
      </c>
      <c r="D603" s="237" t="s">
        <v>5553</v>
      </c>
      <c r="E603" s="236">
        <v>1101116969161</v>
      </c>
      <c r="F603" s="240" t="s">
        <v>4894</v>
      </c>
      <c r="G603" s="214">
        <v>0</v>
      </c>
      <c r="H603" s="231" t="s">
        <v>4771</v>
      </c>
      <c r="I603" s="231"/>
      <c r="J603" s="231"/>
      <c r="K603" s="231"/>
      <c r="L603" s="231"/>
      <c r="M603" s="231"/>
      <c r="N603" s="231" t="s">
        <v>4895</v>
      </c>
      <c r="O603" s="246"/>
      <c r="P603" s="246"/>
      <c r="Q603" s="225"/>
      <c r="R603" s="212" t="s">
        <v>4771</v>
      </c>
      <c r="S603" s="213" t="s">
        <v>4771</v>
      </c>
      <c r="T603" s="233" t="s">
        <v>5386</v>
      </c>
      <c r="U603" s="234" t="s">
        <v>4759</v>
      </c>
      <c r="V603" s="234">
        <v>45611</v>
      </c>
      <c r="W603" s="234" t="s">
        <v>4877</v>
      </c>
      <c r="X603" s="234" t="s">
        <v>2</v>
      </c>
      <c r="Y603" s="234"/>
      <c r="Z603" s="234"/>
      <c r="AA603" s="243">
        <v>202411</v>
      </c>
      <c r="AB603" s="243"/>
      <c r="AC603" s="244" t="s">
        <v>5210</v>
      </c>
      <c r="AD603" s="244" t="s">
        <v>4937</v>
      </c>
      <c r="AE603" s="245">
        <v>0</v>
      </c>
      <c r="AF603" s="244" t="s">
        <v>4937</v>
      </c>
      <c r="AG603" s="239" t="str">
        <f>IFERROR(VLOOKUP(작성용!A:A,RM!A:D,4,0),"-")</f>
        <v>-</v>
      </c>
      <c r="AH603" s="235" t="s">
        <v>4771</v>
      </c>
      <c r="AI603" s="235" t="s">
        <v>4771</v>
      </c>
      <c r="AJ603" s="235" t="s">
        <v>4771</v>
      </c>
      <c r="AK603" s="235" t="s">
        <v>5208</v>
      </c>
      <c r="AL603" s="235">
        <v>602</v>
      </c>
    </row>
    <row r="604" spans="1:38" x14ac:dyDescent="0.3">
      <c r="A604" s="222">
        <v>6000800</v>
      </c>
      <c r="B604" s="222" t="s">
        <v>5344</v>
      </c>
      <c r="C604" s="241" t="s">
        <v>4778</v>
      </c>
      <c r="D604" s="237" t="s">
        <v>5554</v>
      </c>
      <c r="E604" s="236">
        <v>1101118251037</v>
      </c>
      <c r="F604" s="240" t="s">
        <v>4894</v>
      </c>
      <c r="G604" s="214">
        <v>0</v>
      </c>
      <c r="H604" s="231" t="s">
        <v>4771</v>
      </c>
      <c r="I604" s="231"/>
      <c r="J604" s="231"/>
      <c r="K604" s="231"/>
      <c r="L604" s="231"/>
      <c r="M604" s="231"/>
      <c r="N604" s="231" t="s">
        <v>4895</v>
      </c>
      <c r="O604" s="246"/>
      <c r="P604" s="246"/>
      <c r="Q604" s="225"/>
      <c r="R604" s="212" t="s">
        <v>4771</v>
      </c>
      <c r="S604" s="213" t="s">
        <v>4771</v>
      </c>
      <c r="T604" s="233" t="s">
        <v>5386</v>
      </c>
      <c r="U604" s="234" t="s">
        <v>4759</v>
      </c>
      <c r="V604" s="234">
        <v>45611</v>
      </c>
      <c r="W604" s="234" t="s">
        <v>4877</v>
      </c>
      <c r="X604" s="234" t="s">
        <v>2</v>
      </c>
      <c r="Y604" s="234"/>
      <c r="Z604" s="234"/>
      <c r="AA604" s="243">
        <v>202411</v>
      </c>
      <c r="AB604" s="243"/>
      <c r="AC604" s="244" t="s">
        <v>5210</v>
      </c>
      <c r="AD604" s="244" t="s">
        <v>4860</v>
      </c>
      <c r="AE604" s="245">
        <v>0</v>
      </c>
      <c r="AF604" s="244" t="s">
        <v>4860</v>
      </c>
      <c r="AG604" s="239" t="str">
        <f>IFERROR(VLOOKUP(작성용!A:A,RM!A:D,4,0),"-")</f>
        <v>-</v>
      </c>
      <c r="AH604" s="235" t="s">
        <v>4771</v>
      </c>
      <c r="AI604" s="235" t="s">
        <v>4771</v>
      </c>
      <c r="AJ604" s="235" t="s">
        <v>4771</v>
      </c>
      <c r="AK604" s="235" t="s">
        <v>5208</v>
      </c>
      <c r="AL604" s="235">
        <v>603</v>
      </c>
    </row>
    <row r="605" spans="1:38" x14ac:dyDescent="0.3">
      <c r="A605" s="222">
        <v>6000800</v>
      </c>
      <c r="B605" s="222" t="s">
        <v>5344</v>
      </c>
      <c r="C605" s="241" t="s">
        <v>4778</v>
      </c>
      <c r="D605" s="237" t="s">
        <v>5555</v>
      </c>
      <c r="E605" s="236">
        <v>1341110561072</v>
      </c>
      <c r="F605" s="240" t="s">
        <v>4850</v>
      </c>
      <c r="G605" s="214">
        <v>0</v>
      </c>
      <c r="H605" s="231" t="s">
        <v>4771</v>
      </c>
      <c r="I605" s="231"/>
      <c r="J605" s="231"/>
      <c r="K605" s="231"/>
      <c r="L605" s="231"/>
      <c r="M605" s="231"/>
      <c r="N605" s="231" t="s">
        <v>4895</v>
      </c>
      <c r="O605" s="246"/>
      <c r="P605" s="246"/>
      <c r="Q605" s="225"/>
      <c r="R605" s="212" t="s">
        <v>4771</v>
      </c>
      <c r="S605" s="213" t="s">
        <v>4771</v>
      </c>
      <c r="T605" s="233" t="s">
        <v>5386</v>
      </c>
      <c r="U605" s="234" t="s">
        <v>4759</v>
      </c>
      <c r="V605" s="234">
        <v>45611</v>
      </c>
      <c r="W605" s="234" t="s">
        <v>4877</v>
      </c>
      <c r="X605" s="234" t="s">
        <v>2</v>
      </c>
      <c r="Y605" s="234"/>
      <c r="Z605" s="234"/>
      <c r="AA605" s="243">
        <v>202411</v>
      </c>
      <c r="AB605" s="243"/>
      <c r="AC605" s="244" t="s">
        <v>5210</v>
      </c>
      <c r="AD605" s="244" t="s">
        <v>4935</v>
      </c>
      <c r="AE605" s="245">
        <v>0</v>
      </c>
      <c r="AF605" s="244" t="s">
        <v>4935</v>
      </c>
      <c r="AG605" s="239" t="str">
        <f>IFERROR(VLOOKUP(작성용!A:A,RM!A:D,4,0),"-")</f>
        <v>-</v>
      </c>
      <c r="AH605" s="235" t="s">
        <v>4771</v>
      </c>
      <c r="AI605" s="235" t="s">
        <v>4771</v>
      </c>
      <c r="AJ605" s="235" t="s">
        <v>4771</v>
      </c>
      <c r="AK605" s="235" t="s">
        <v>5208</v>
      </c>
      <c r="AL605" s="235">
        <v>604</v>
      </c>
    </row>
    <row r="606" spans="1:38" x14ac:dyDescent="0.3">
      <c r="A606" s="222">
        <v>6000800</v>
      </c>
      <c r="B606" s="222" t="s">
        <v>5344</v>
      </c>
      <c r="C606" s="241" t="s">
        <v>4778</v>
      </c>
      <c r="D606" s="237" t="s">
        <v>5556</v>
      </c>
      <c r="E606" s="236">
        <v>1101117727360</v>
      </c>
      <c r="F606" s="240" t="s">
        <v>4850</v>
      </c>
      <c r="G606" s="214">
        <v>0</v>
      </c>
      <c r="H606" s="231" t="s">
        <v>4771</v>
      </c>
      <c r="I606" s="231"/>
      <c r="J606" s="231"/>
      <c r="K606" s="231"/>
      <c r="L606" s="231"/>
      <c r="M606" s="231"/>
      <c r="N606" s="231" t="s">
        <v>4895</v>
      </c>
      <c r="O606" s="246"/>
      <c r="P606" s="246"/>
      <c r="Q606" s="225"/>
      <c r="R606" s="212" t="s">
        <v>4771</v>
      </c>
      <c r="S606" s="213" t="s">
        <v>4771</v>
      </c>
      <c r="T606" s="233" t="s">
        <v>5386</v>
      </c>
      <c r="U606" s="234" t="s">
        <v>4759</v>
      </c>
      <c r="V606" s="234">
        <v>45611</v>
      </c>
      <c r="W606" s="234" t="s">
        <v>4877</v>
      </c>
      <c r="X606" s="234" t="s">
        <v>2</v>
      </c>
      <c r="Y606" s="234"/>
      <c r="Z606" s="234"/>
      <c r="AA606" s="243">
        <v>202411</v>
      </c>
      <c r="AB606" s="243"/>
      <c r="AC606" s="244" t="s">
        <v>5210</v>
      </c>
      <c r="AD606" s="244" t="s">
        <v>4856</v>
      </c>
      <c r="AE606" s="245">
        <v>0</v>
      </c>
      <c r="AF606" s="244" t="s">
        <v>4990</v>
      </c>
      <c r="AG606" s="239" t="str">
        <f>IFERROR(VLOOKUP(작성용!A:A,RM!A:D,4,0),"-")</f>
        <v>-</v>
      </c>
      <c r="AH606" s="235" t="s">
        <v>4771</v>
      </c>
      <c r="AI606" s="235" t="s">
        <v>4771</v>
      </c>
      <c r="AJ606" s="235" t="s">
        <v>4771</v>
      </c>
      <c r="AK606" s="235" t="s">
        <v>5208</v>
      </c>
      <c r="AL606" s="235">
        <v>605</v>
      </c>
    </row>
    <row r="607" spans="1:38" x14ac:dyDescent="0.3">
      <c r="A607" s="222">
        <v>6000800</v>
      </c>
      <c r="B607" s="222" t="s">
        <v>5344</v>
      </c>
      <c r="C607" s="241" t="s">
        <v>4778</v>
      </c>
      <c r="D607" s="237" t="s">
        <v>5557</v>
      </c>
      <c r="E607" s="236">
        <v>1343110042250</v>
      </c>
      <c r="F607" s="240" t="s">
        <v>4894</v>
      </c>
      <c r="G607" s="214">
        <v>0</v>
      </c>
      <c r="H607" s="231" t="s">
        <v>4771</v>
      </c>
      <c r="I607" s="231"/>
      <c r="J607" s="231"/>
      <c r="K607" s="231"/>
      <c r="L607" s="231"/>
      <c r="M607" s="231"/>
      <c r="N607" s="231" t="s">
        <v>4895</v>
      </c>
      <c r="O607" s="246"/>
      <c r="P607" s="246"/>
      <c r="Q607" s="225"/>
      <c r="R607" s="212" t="s">
        <v>4771</v>
      </c>
      <c r="S607" s="213" t="s">
        <v>4771</v>
      </c>
      <c r="T607" s="233" t="s">
        <v>5386</v>
      </c>
      <c r="U607" s="234" t="s">
        <v>4759</v>
      </c>
      <c r="V607" s="234">
        <v>45611</v>
      </c>
      <c r="W607" s="234" t="s">
        <v>4877</v>
      </c>
      <c r="X607" s="234" t="s">
        <v>2</v>
      </c>
      <c r="Y607" s="234"/>
      <c r="Z607" s="234"/>
      <c r="AA607" s="243">
        <v>202411</v>
      </c>
      <c r="AB607" s="243"/>
      <c r="AC607" s="244" t="s">
        <v>5210</v>
      </c>
      <c r="AD607" s="244" t="s">
        <v>4761</v>
      </c>
      <c r="AE607" s="245">
        <v>0</v>
      </c>
      <c r="AF607" s="244" t="s">
        <v>4761</v>
      </c>
      <c r="AG607" s="239" t="str">
        <f>IFERROR(VLOOKUP(작성용!A:A,RM!A:D,4,0),"-")</f>
        <v>-</v>
      </c>
      <c r="AH607" s="235" t="s">
        <v>4771</v>
      </c>
      <c r="AI607" s="235" t="s">
        <v>4771</v>
      </c>
      <c r="AJ607" s="235" t="s">
        <v>4771</v>
      </c>
      <c r="AK607" s="235" t="s">
        <v>5208</v>
      </c>
      <c r="AL607" s="235">
        <v>606</v>
      </c>
    </row>
    <row r="608" spans="1:38" x14ac:dyDescent="0.3">
      <c r="A608" s="222">
        <v>6000800</v>
      </c>
      <c r="B608" s="222" t="s">
        <v>5344</v>
      </c>
      <c r="C608" s="241" t="s">
        <v>4778</v>
      </c>
      <c r="D608" s="237" t="s">
        <v>5558</v>
      </c>
      <c r="E608" s="236">
        <v>1101118239025</v>
      </c>
      <c r="F608" s="240" t="s">
        <v>4894</v>
      </c>
      <c r="G608" s="214">
        <v>0</v>
      </c>
      <c r="H608" s="231" t="s">
        <v>4771</v>
      </c>
      <c r="I608" s="231"/>
      <c r="J608" s="231"/>
      <c r="K608" s="231"/>
      <c r="L608" s="231"/>
      <c r="M608" s="231"/>
      <c r="N608" s="231" t="s">
        <v>4895</v>
      </c>
      <c r="O608" s="246"/>
      <c r="P608" s="246"/>
      <c r="Q608" s="225"/>
      <c r="R608" s="212" t="s">
        <v>4771</v>
      </c>
      <c r="S608" s="213" t="s">
        <v>4771</v>
      </c>
      <c r="T608" s="233" t="s">
        <v>5386</v>
      </c>
      <c r="U608" s="234" t="s">
        <v>4759</v>
      </c>
      <c r="V608" s="234">
        <v>45611</v>
      </c>
      <c r="W608" s="234" t="s">
        <v>4877</v>
      </c>
      <c r="X608" s="234" t="s">
        <v>2</v>
      </c>
      <c r="Y608" s="234"/>
      <c r="Z608" s="234"/>
      <c r="AA608" s="243">
        <v>202411</v>
      </c>
      <c r="AB608" s="243"/>
      <c r="AC608" s="244" t="s">
        <v>5210</v>
      </c>
      <c r="AD608" s="244" t="s">
        <v>4846</v>
      </c>
      <c r="AE608" s="245">
        <v>0</v>
      </c>
      <c r="AF608" s="244" t="s">
        <v>4846</v>
      </c>
      <c r="AG608" s="239" t="str">
        <f>IFERROR(VLOOKUP(작성용!A:A,RM!A:D,4,0),"-")</f>
        <v>-</v>
      </c>
      <c r="AH608" s="235" t="s">
        <v>4771</v>
      </c>
      <c r="AI608" s="235" t="s">
        <v>4771</v>
      </c>
      <c r="AJ608" s="235" t="s">
        <v>4771</v>
      </c>
      <c r="AK608" s="235" t="s">
        <v>5208</v>
      </c>
      <c r="AL608" s="235">
        <v>607</v>
      </c>
    </row>
    <row r="609" spans="1:38" x14ac:dyDescent="0.3">
      <c r="A609" s="222">
        <v>6000800</v>
      </c>
      <c r="B609" s="222" t="s">
        <v>5344</v>
      </c>
      <c r="C609" s="241" t="s">
        <v>4778</v>
      </c>
      <c r="D609" s="237" t="s">
        <v>5559</v>
      </c>
      <c r="E609" s="236">
        <v>1311110629906</v>
      </c>
      <c r="F609" s="240" t="s">
        <v>5047</v>
      </c>
      <c r="G609" s="214">
        <v>0</v>
      </c>
      <c r="H609" s="231" t="s">
        <v>4771</v>
      </c>
      <c r="I609" s="231"/>
      <c r="J609" s="231"/>
      <c r="K609" s="231"/>
      <c r="L609" s="231"/>
      <c r="M609" s="231"/>
      <c r="N609" s="231" t="s">
        <v>4895</v>
      </c>
      <c r="O609" s="246"/>
      <c r="P609" s="246"/>
      <c r="Q609" s="225"/>
      <c r="R609" s="212" t="s">
        <v>4771</v>
      </c>
      <c r="S609" s="213" t="s">
        <v>4771</v>
      </c>
      <c r="T609" s="233" t="s">
        <v>5386</v>
      </c>
      <c r="U609" s="234" t="s">
        <v>4759</v>
      </c>
      <c r="V609" s="234">
        <v>45611</v>
      </c>
      <c r="W609" s="234" t="s">
        <v>4877</v>
      </c>
      <c r="X609" s="234" t="s">
        <v>2</v>
      </c>
      <c r="Y609" s="234"/>
      <c r="Z609" s="234"/>
      <c r="AA609" s="243">
        <v>202411</v>
      </c>
      <c r="AB609" s="243"/>
      <c r="AC609" s="244" t="s">
        <v>5210</v>
      </c>
      <c r="AD609" s="244" t="s">
        <v>4947</v>
      </c>
      <c r="AE609" s="245">
        <v>0</v>
      </c>
      <c r="AF609" s="244" t="s">
        <v>4872</v>
      </c>
      <c r="AG609" s="239" t="str">
        <f>IFERROR(VLOOKUP(작성용!A:A,RM!A:D,4,0),"-")</f>
        <v>-</v>
      </c>
      <c r="AH609" s="235" t="s">
        <v>4771</v>
      </c>
      <c r="AI609" s="235" t="s">
        <v>4771</v>
      </c>
      <c r="AJ609" s="235" t="s">
        <v>4771</v>
      </c>
      <c r="AK609" s="235" t="s">
        <v>5208</v>
      </c>
      <c r="AL609" s="235">
        <v>608</v>
      </c>
    </row>
    <row r="610" spans="1:38" x14ac:dyDescent="0.3">
      <c r="A610" s="222">
        <v>6000800</v>
      </c>
      <c r="B610" s="222" t="s">
        <v>5344</v>
      </c>
      <c r="C610" s="241" t="s">
        <v>4778</v>
      </c>
      <c r="D610" s="237" t="s">
        <v>5560</v>
      </c>
      <c r="E610" s="236">
        <v>1314110516363</v>
      </c>
      <c r="F610" s="240" t="s">
        <v>4894</v>
      </c>
      <c r="G610" s="214">
        <v>0</v>
      </c>
      <c r="H610" s="231" t="s">
        <v>4771</v>
      </c>
      <c r="I610" s="231"/>
      <c r="J610" s="231"/>
      <c r="K610" s="231"/>
      <c r="L610" s="231"/>
      <c r="M610" s="231"/>
      <c r="N610" s="231" t="s">
        <v>4895</v>
      </c>
      <c r="O610" s="246"/>
      <c r="P610" s="246"/>
      <c r="Q610" s="225"/>
      <c r="R610" s="212" t="s">
        <v>4771</v>
      </c>
      <c r="S610" s="213" t="s">
        <v>4771</v>
      </c>
      <c r="T610" s="233" t="s">
        <v>5386</v>
      </c>
      <c r="U610" s="234" t="s">
        <v>4759</v>
      </c>
      <c r="V610" s="234">
        <v>45611</v>
      </c>
      <c r="W610" s="234" t="s">
        <v>4877</v>
      </c>
      <c r="X610" s="234" t="s">
        <v>2</v>
      </c>
      <c r="Y610" s="234"/>
      <c r="Z610" s="234"/>
      <c r="AA610" s="243">
        <v>202411</v>
      </c>
      <c r="AB610" s="243"/>
      <c r="AC610" s="244" t="s">
        <v>5210</v>
      </c>
      <c r="AD610" s="244" t="s">
        <v>4937</v>
      </c>
      <c r="AE610" s="245">
        <v>0</v>
      </c>
      <c r="AF610" s="244" t="s">
        <v>4937</v>
      </c>
      <c r="AG610" s="239" t="str">
        <f>IFERROR(VLOOKUP(작성용!A:A,RM!A:D,4,0),"-")</f>
        <v>-</v>
      </c>
      <c r="AH610" s="235" t="s">
        <v>4771</v>
      </c>
      <c r="AI610" s="235" t="s">
        <v>4771</v>
      </c>
      <c r="AJ610" s="235" t="s">
        <v>4771</v>
      </c>
      <c r="AK610" s="235" t="s">
        <v>5208</v>
      </c>
      <c r="AL610" s="235">
        <v>609</v>
      </c>
    </row>
    <row r="611" spans="1:38" x14ac:dyDescent="0.3">
      <c r="A611" s="222">
        <v>6000800</v>
      </c>
      <c r="B611" s="222" t="s">
        <v>5344</v>
      </c>
      <c r="C611" s="241" t="s">
        <v>4778</v>
      </c>
      <c r="D611" s="237" t="s">
        <v>5561</v>
      </c>
      <c r="E611" s="236">
        <v>1101118726999</v>
      </c>
      <c r="F611" s="240" t="s">
        <v>4894</v>
      </c>
      <c r="G611" s="214">
        <v>0</v>
      </c>
      <c r="H611" s="231" t="s">
        <v>4771</v>
      </c>
      <c r="I611" s="231"/>
      <c r="J611" s="231"/>
      <c r="K611" s="231"/>
      <c r="L611" s="231"/>
      <c r="M611" s="231"/>
      <c r="N611" s="231" t="s">
        <v>4895</v>
      </c>
      <c r="O611" s="246"/>
      <c r="P611" s="246"/>
      <c r="Q611" s="225"/>
      <c r="R611" s="212" t="s">
        <v>4771</v>
      </c>
      <c r="S611" s="213" t="s">
        <v>4771</v>
      </c>
      <c r="T611" s="233" t="s">
        <v>5386</v>
      </c>
      <c r="U611" s="234" t="s">
        <v>4759</v>
      </c>
      <c r="V611" s="234">
        <v>45611</v>
      </c>
      <c r="W611" s="234" t="s">
        <v>4877</v>
      </c>
      <c r="X611" s="234" t="s">
        <v>2</v>
      </c>
      <c r="Y611" s="234"/>
      <c r="Z611" s="234"/>
      <c r="AA611" s="243">
        <v>202411</v>
      </c>
      <c r="AB611" s="243"/>
      <c r="AC611" s="244" t="s">
        <v>5210</v>
      </c>
      <c r="AD611" s="244" t="s">
        <v>4987</v>
      </c>
      <c r="AE611" s="245">
        <v>0</v>
      </c>
      <c r="AF611" s="244" t="s">
        <v>5144</v>
      </c>
      <c r="AG611" s="239" t="str">
        <f>IFERROR(VLOOKUP(작성용!A:A,RM!A:D,4,0),"-")</f>
        <v>-</v>
      </c>
      <c r="AH611" s="235" t="s">
        <v>4771</v>
      </c>
      <c r="AI611" s="235" t="s">
        <v>4771</v>
      </c>
      <c r="AJ611" s="235" t="s">
        <v>4771</v>
      </c>
      <c r="AK611" s="235" t="s">
        <v>5208</v>
      </c>
      <c r="AL611" s="235">
        <v>610</v>
      </c>
    </row>
    <row r="612" spans="1:38" x14ac:dyDescent="0.3">
      <c r="A612" s="222">
        <v>6000800</v>
      </c>
      <c r="B612" s="222" t="s">
        <v>5344</v>
      </c>
      <c r="C612" s="241" t="s">
        <v>4778</v>
      </c>
      <c r="D612" s="237" t="s">
        <v>5562</v>
      </c>
      <c r="E612" s="236">
        <v>1101118205604</v>
      </c>
      <c r="F612" s="240" t="s">
        <v>4894</v>
      </c>
      <c r="G612" s="214">
        <v>0</v>
      </c>
      <c r="H612" s="231" t="s">
        <v>4771</v>
      </c>
      <c r="I612" s="231"/>
      <c r="J612" s="231"/>
      <c r="K612" s="231"/>
      <c r="L612" s="231"/>
      <c r="M612" s="231"/>
      <c r="N612" s="231" t="s">
        <v>4895</v>
      </c>
      <c r="O612" s="246"/>
      <c r="P612" s="246"/>
      <c r="Q612" s="225"/>
      <c r="R612" s="212" t="s">
        <v>4771</v>
      </c>
      <c r="S612" s="213" t="s">
        <v>4771</v>
      </c>
      <c r="T612" s="233" t="s">
        <v>5386</v>
      </c>
      <c r="U612" s="234" t="s">
        <v>4759</v>
      </c>
      <c r="V612" s="234">
        <v>45611</v>
      </c>
      <c r="W612" s="234" t="s">
        <v>4877</v>
      </c>
      <c r="X612" s="234" t="s">
        <v>2</v>
      </c>
      <c r="Y612" s="234"/>
      <c r="Z612" s="234"/>
      <c r="AA612" s="243">
        <v>202411</v>
      </c>
      <c r="AB612" s="243"/>
      <c r="AC612" s="244" t="s">
        <v>5210</v>
      </c>
      <c r="AD612" s="244" t="s">
        <v>4927</v>
      </c>
      <c r="AE612" s="245">
        <v>0</v>
      </c>
      <c r="AF612" s="244" t="s">
        <v>4927</v>
      </c>
      <c r="AG612" s="239" t="str">
        <f>IFERROR(VLOOKUP(작성용!A:A,RM!A:D,4,0),"-")</f>
        <v>-</v>
      </c>
      <c r="AH612" s="235" t="s">
        <v>4771</v>
      </c>
      <c r="AI612" s="235" t="s">
        <v>4771</v>
      </c>
      <c r="AJ612" s="235" t="s">
        <v>4771</v>
      </c>
      <c r="AK612" s="235" t="s">
        <v>5208</v>
      </c>
      <c r="AL612" s="235">
        <v>611</v>
      </c>
    </row>
    <row r="613" spans="1:38" x14ac:dyDescent="0.3">
      <c r="A613" s="222">
        <v>6000800</v>
      </c>
      <c r="B613" s="222" t="s">
        <v>5344</v>
      </c>
      <c r="C613" s="241" t="s">
        <v>4778</v>
      </c>
      <c r="D613" s="237" t="s">
        <v>5563</v>
      </c>
      <c r="E613" s="236">
        <v>1101118633772</v>
      </c>
      <c r="F613" s="240" t="s">
        <v>4894</v>
      </c>
      <c r="G613" s="214">
        <v>0</v>
      </c>
      <c r="H613" s="231" t="s">
        <v>4771</v>
      </c>
      <c r="I613" s="231"/>
      <c r="J613" s="231"/>
      <c r="K613" s="231"/>
      <c r="L613" s="231"/>
      <c r="M613" s="231"/>
      <c r="N613" s="231" t="s">
        <v>4895</v>
      </c>
      <c r="O613" s="246"/>
      <c r="P613" s="246"/>
      <c r="Q613" s="225"/>
      <c r="R613" s="212" t="s">
        <v>4771</v>
      </c>
      <c r="S613" s="213" t="s">
        <v>4771</v>
      </c>
      <c r="T613" s="233" t="s">
        <v>5386</v>
      </c>
      <c r="U613" s="234" t="s">
        <v>4759</v>
      </c>
      <c r="V613" s="234">
        <v>45611</v>
      </c>
      <c r="W613" s="234" t="s">
        <v>4877</v>
      </c>
      <c r="X613" s="234" t="s">
        <v>2</v>
      </c>
      <c r="Y613" s="234"/>
      <c r="Z613" s="234"/>
      <c r="AA613" s="243">
        <v>202411</v>
      </c>
      <c r="AB613" s="243"/>
      <c r="AC613" s="244" t="s">
        <v>5210</v>
      </c>
      <c r="AD613" s="244" t="s">
        <v>4845</v>
      </c>
      <c r="AE613" s="245">
        <v>0</v>
      </c>
      <c r="AF613" s="244" t="s">
        <v>4845</v>
      </c>
      <c r="AG613" s="239" t="str">
        <f>IFERROR(VLOOKUP(작성용!A:A,RM!A:D,4,0),"-")</f>
        <v>-</v>
      </c>
      <c r="AH613" s="235" t="s">
        <v>4771</v>
      </c>
      <c r="AI613" s="235" t="s">
        <v>4771</v>
      </c>
      <c r="AJ613" s="235" t="s">
        <v>4771</v>
      </c>
      <c r="AK613" s="235" t="s">
        <v>5208</v>
      </c>
      <c r="AL613" s="235">
        <v>612</v>
      </c>
    </row>
    <row r="614" spans="1:38" x14ac:dyDescent="0.3">
      <c r="A614" s="222" t="s">
        <v>2249</v>
      </c>
      <c r="B614" s="222" t="s">
        <v>5564</v>
      </c>
      <c r="C614" s="241" t="s">
        <v>4765</v>
      </c>
      <c r="D614" s="237" t="s">
        <v>5565</v>
      </c>
      <c r="E614" s="236">
        <v>1101117055638</v>
      </c>
      <c r="F614" s="240" t="s">
        <v>4854</v>
      </c>
      <c r="G614" s="214">
        <v>0</v>
      </c>
      <c r="H614" s="231" t="s">
        <v>4767</v>
      </c>
      <c r="I614" s="231"/>
      <c r="J614" s="231"/>
      <c r="K614" s="231"/>
      <c r="L614" s="231"/>
      <c r="M614" s="231"/>
      <c r="N614" s="231" t="s">
        <v>5566</v>
      </c>
      <c r="O614" s="246" t="s">
        <v>5567</v>
      </c>
      <c r="P614" s="246" t="s">
        <v>5568</v>
      </c>
      <c r="Q614" s="225" t="s">
        <v>5569</v>
      </c>
      <c r="R614" s="212" t="s">
        <v>2</v>
      </c>
      <c r="S614" s="213" t="s">
        <v>4771</v>
      </c>
      <c r="T614" s="233">
        <v>45579</v>
      </c>
      <c r="U614" s="234" t="s">
        <v>4759</v>
      </c>
      <c r="V614" s="234">
        <v>45608</v>
      </c>
      <c r="W614" s="233">
        <v>45611</v>
      </c>
      <c r="X614" s="234" t="s">
        <v>4771</v>
      </c>
      <c r="Y614" s="234"/>
      <c r="Z614" s="234" t="s">
        <v>5570</v>
      </c>
      <c r="AA614" s="224">
        <v>202411</v>
      </c>
      <c r="AB614" s="243"/>
      <c r="AC614" s="244" t="s">
        <v>4800</v>
      </c>
      <c r="AD614" s="244" t="s">
        <v>4937</v>
      </c>
      <c r="AE614" s="245">
        <v>1</v>
      </c>
      <c r="AF614" s="244" t="s">
        <v>4937</v>
      </c>
      <c r="AG614" s="239" t="str">
        <f>IFERROR(VLOOKUP(작성용!A:A,RM!A:D,4,0),"-")</f>
        <v>서경덕</v>
      </c>
      <c r="AH614" s="9" t="s">
        <v>4911</v>
      </c>
      <c r="AI614" s="235" t="s">
        <v>4771</v>
      </c>
      <c r="AJ614" s="235" t="s">
        <v>4920</v>
      </c>
      <c r="AK614" s="235" t="s">
        <v>4777</v>
      </c>
      <c r="AL614" s="235">
        <v>613</v>
      </c>
    </row>
    <row r="615" spans="1:38" x14ac:dyDescent="0.3">
      <c r="A615" s="222" t="s">
        <v>2249</v>
      </c>
      <c r="B615" s="222" t="s">
        <v>5571</v>
      </c>
      <c r="C615" s="241" t="s">
        <v>4778</v>
      </c>
      <c r="D615" s="237" t="s">
        <v>5572</v>
      </c>
      <c r="E615" s="236">
        <v>1101114613778</v>
      </c>
      <c r="F615" s="240" t="s">
        <v>4854</v>
      </c>
      <c r="G615" s="214">
        <v>0</v>
      </c>
      <c r="H615" s="231" t="s">
        <v>4771</v>
      </c>
      <c r="I615" s="231"/>
      <c r="J615" s="231"/>
      <c r="K615" s="231"/>
      <c r="L615" s="231"/>
      <c r="M615" s="231"/>
      <c r="N615" s="231" t="s">
        <v>5566</v>
      </c>
      <c r="O615" s="246" t="s">
        <v>5567</v>
      </c>
      <c r="P615" s="246" t="s">
        <v>5568</v>
      </c>
      <c r="Q615" s="225" t="s">
        <v>5569</v>
      </c>
      <c r="R615" s="212" t="s">
        <v>2</v>
      </c>
      <c r="S615" s="213" t="s">
        <v>4771</v>
      </c>
      <c r="T615" s="233">
        <v>45579</v>
      </c>
      <c r="U615" s="234" t="s">
        <v>4759</v>
      </c>
      <c r="V615" s="234">
        <v>45608</v>
      </c>
      <c r="W615" s="233">
        <v>45611</v>
      </c>
      <c r="X615" s="234" t="s">
        <v>4771</v>
      </c>
      <c r="Y615" s="234"/>
      <c r="Z615" s="234" t="s">
        <v>5570</v>
      </c>
      <c r="AA615" s="224">
        <v>202411</v>
      </c>
      <c r="AB615" s="243"/>
      <c r="AC615" s="244" t="s">
        <v>4800</v>
      </c>
      <c r="AD615" s="244" t="s">
        <v>4858</v>
      </c>
      <c r="AE615" s="245">
        <v>1</v>
      </c>
      <c r="AF615" s="244" t="s">
        <v>4858</v>
      </c>
      <c r="AG615" s="239" t="str">
        <f>IFERROR(VLOOKUP(작성용!A:A,RM!A:D,4,0),"-")</f>
        <v>서경덕</v>
      </c>
      <c r="AH615" s="9" t="s">
        <v>4911</v>
      </c>
      <c r="AI615" s="235" t="s">
        <v>4771</v>
      </c>
      <c r="AJ615" s="235" t="s">
        <v>4920</v>
      </c>
      <c r="AK615" s="235" t="s">
        <v>4777</v>
      </c>
      <c r="AL615" s="235">
        <v>614</v>
      </c>
    </row>
    <row r="616" spans="1:38" x14ac:dyDescent="0.3">
      <c r="A616" s="222" t="s">
        <v>2249</v>
      </c>
      <c r="B616" s="222" t="s">
        <v>5571</v>
      </c>
      <c r="C616" s="241" t="s">
        <v>4778</v>
      </c>
      <c r="D616" s="237" t="s">
        <v>5572</v>
      </c>
      <c r="E616" s="236">
        <v>1101114613778</v>
      </c>
      <c r="F616" s="240" t="s">
        <v>4850</v>
      </c>
      <c r="G616" s="214">
        <v>0</v>
      </c>
      <c r="H616" s="231" t="s">
        <v>4771</v>
      </c>
      <c r="I616" s="231"/>
      <c r="J616" s="231"/>
      <c r="K616" s="231"/>
      <c r="L616" s="231"/>
      <c r="M616" s="231"/>
      <c r="N616" s="231" t="s">
        <v>5566</v>
      </c>
      <c r="O616" s="246" t="s">
        <v>5567</v>
      </c>
      <c r="P616" s="246" t="s">
        <v>5568</v>
      </c>
      <c r="Q616" s="225" t="s">
        <v>5569</v>
      </c>
      <c r="R616" s="212" t="s">
        <v>2</v>
      </c>
      <c r="S616" s="213" t="s">
        <v>4771</v>
      </c>
      <c r="T616" s="233">
        <v>45579</v>
      </c>
      <c r="U616" s="234" t="s">
        <v>4759</v>
      </c>
      <c r="V616" s="234">
        <v>45608</v>
      </c>
      <c r="W616" s="233">
        <v>45611</v>
      </c>
      <c r="X616" s="234" t="s">
        <v>4771</v>
      </c>
      <c r="Y616" s="234"/>
      <c r="Z616" s="234" t="s">
        <v>5570</v>
      </c>
      <c r="AA616" s="224">
        <v>202411</v>
      </c>
      <c r="AB616" s="243"/>
      <c r="AC616" s="244" t="s">
        <v>4800</v>
      </c>
      <c r="AD616" s="244" t="s">
        <v>4858</v>
      </c>
      <c r="AE616" s="245">
        <v>0</v>
      </c>
      <c r="AF616" s="244" t="s">
        <v>4858</v>
      </c>
      <c r="AG616" s="239" t="str">
        <f>IFERROR(VLOOKUP(작성용!A:A,RM!A:D,4,0),"-")</f>
        <v>서경덕</v>
      </c>
      <c r="AH616" s="9" t="s">
        <v>4911</v>
      </c>
      <c r="AI616" s="235" t="s">
        <v>4771</v>
      </c>
      <c r="AJ616" s="235" t="s">
        <v>4920</v>
      </c>
      <c r="AK616" s="235" t="s">
        <v>4777</v>
      </c>
      <c r="AL616" s="235">
        <v>615</v>
      </c>
    </row>
    <row r="617" spans="1:38" x14ac:dyDescent="0.3">
      <c r="A617" s="222" t="s">
        <v>2249</v>
      </c>
      <c r="B617" s="222" t="s">
        <v>5571</v>
      </c>
      <c r="C617" s="241" t="s">
        <v>4778</v>
      </c>
      <c r="D617" s="237" t="s">
        <v>5573</v>
      </c>
      <c r="E617" s="236">
        <v>1942110225434</v>
      </c>
      <c r="F617" s="240" t="s">
        <v>4854</v>
      </c>
      <c r="G617" s="214">
        <v>0</v>
      </c>
      <c r="H617" s="231" t="s">
        <v>4771</v>
      </c>
      <c r="I617" s="231"/>
      <c r="J617" s="231"/>
      <c r="K617" s="231"/>
      <c r="L617" s="231"/>
      <c r="M617" s="231"/>
      <c r="N617" s="231" t="s">
        <v>5566</v>
      </c>
      <c r="O617" s="246" t="s">
        <v>5567</v>
      </c>
      <c r="P617" s="246" t="s">
        <v>5568</v>
      </c>
      <c r="Q617" s="225" t="s">
        <v>5569</v>
      </c>
      <c r="R617" s="212" t="s">
        <v>2</v>
      </c>
      <c r="S617" s="213" t="s">
        <v>4771</v>
      </c>
      <c r="T617" s="233">
        <v>45579</v>
      </c>
      <c r="U617" s="234" t="s">
        <v>4759</v>
      </c>
      <c r="V617" s="234">
        <v>45608</v>
      </c>
      <c r="W617" s="233">
        <v>45611</v>
      </c>
      <c r="X617" s="234" t="s">
        <v>4771</v>
      </c>
      <c r="Y617" s="234"/>
      <c r="Z617" s="234" t="s">
        <v>5570</v>
      </c>
      <c r="AA617" s="224">
        <v>202411</v>
      </c>
      <c r="AB617" s="243"/>
      <c r="AC617" s="244" t="s">
        <v>4800</v>
      </c>
      <c r="AD617" s="244" t="s">
        <v>4864</v>
      </c>
      <c r="AE617" s="245">
        <v>1</v>
      </c>
      <c r="AF617" s="244" t="s">
        <v>4864</v>
      </c>
      <c r="AG617" s="239" t="str">
        <f>IFERROR(VLOOKUP(작성용!A:A,RM!A:D,4,0),"-")</f>
        <v>서경덕</v>
      </c>
      <c r="AH617" s="9" t="s">
        <v>4911</v>
      </c>
      <c r="AI617" s="235" t="s">
        <v>4771</v>
      </c>
      <c r="AJ617" s="235" t="s">
        <v>4920</v>
      </c>
      <c r="AK617" s="235" t="s">
        <v>4777</v>
      </c>
      <c r="AL617" s="235">
        <v>616</v>
      </c>
    </row>
    <row r="618" spans="1:38" x14ac:dyDescent="0.3">
      <c r="A618" s="222" t="s">
        <v>2249</v>
      </c>
      <c r="B618" s="222" t="s">
        <v>5571</v>
      </c>
      <c r="C618" s="241" t="s">
        <v>4778</v>
      </c>
      <c r="D618" s="237" t="s">
        <v>5574</v>
      </c>
      <c r="E618" s="236">
        <v>1312110004403</v>
      </c>
      <c r="F618" s="240" t="s">
        <v>4926</v>
      </c>
      <c r="G618" s="214">
        <v>0</v>
      </c>
      <c r="H618" s="231" t="s">
        <v>4771</v>
      </c>
      <c r="I618" s="231"/>
      <c r="J618" s="231"/>
      <c r="K618" s="231"/>
      <c r="L618" s="231"/>
      <c r="M618" s="231"/>
      <c r="N618" s="231" t="s">
        <v>5566</v>
      </c>
      <c r="O618" s="246" t="s">
        <v>5567</v>
      </c>
      <c r="P618" s="246" t="s">
        <v>5568</v>
      </c>
      <c r="Q618" s="225" t="s">
        <v>5569</v>
      </c>
      <c r="R618" s="212" t="s">
        <v>2</v>
      </c>
      <c r="S618" s="213" t="s">
        <v>4771</v>
      </c>
      <c r="T618" s="233">
        <v>45579</v>
      </c>
      <c r="U618" s="234" t="s">
        <v>4759</v>
      </c>
      <c r="V618" s="234">
        <v>45608</v>
      </c>
      <c r="W618" s="233">
        <v>45611</v>
      </c>
      <c r="X618" s="234" t="s">
        <v>4771</v>
      </c>
      <c r="Y618" s="234"/>
      <c r="Z618" s="234" t="s">
        <v>5570</v>
      </c>
      <c r="AA618" s="224">
        <v>202411</v>
      </c>
      <c r="AB618" s="243"/>
      <c r="AC618" s="244" t="s">
        <v>4800</v>
      </c>
      <c r="AD618" s="244" t="s">
        <v>5575</v>
      </c>
      <c r="AE618" s="245">
        <v>0</v>
      </c>
      <c r="AF618" s="244" t="s">
        <v>5575</v>
      </c>
      <c r="AG618" s="239" t="str">
        <f>IFERROR(VLOOKUP(작성용!A:A,RM!A:D,4,0),"-")</f>
        <v>서경덕</v>
      </c>
      <c r="AH618" s="9" t="s">
        <v>4911</v>
      </c>
      <c r="AI618" s="235" t="s">
        <v>4771</v>
      </c>
      <c r="AJ618" s="235" t="s">
        <v>4920</v>
      </c>
      <c r="AK618" s="235" t="s">
        <v>4777</v>
      </c>
      <c r="AL618" s="235">
        <v>617</v>
      </c>
    </row>
    <row r="619" spans="1:38" x14ac:dyDescent="0.3">
      <c r="A619" s="222" t="s">
        <v>2249</v>
      </c>
      <c r="B619" s="222" t="s">
        <v>5571</v>
      </c>
      <c r="C619" s="241" t="s">
        <v>4778</v>
      </c>
      <c r="D619" s="237" t="s">
        <v>5574</v>
      </c>
      <c r="E619" s="236">
        <v>1312110004403</v>
      </c>
      <c r="F619" s="240" t="s">
        <v>4780</v>
      </c>
      <c r="G619" s="214">
        <v>0</v>
      </c>
      <c r="H619" s="231" t="s">
        <v>4771</v>
      </c>
      <c r="I619" s="231"/>
      <c r="J619" s="231"/>
      <c r="K619" s="231"/>
      <c r="L619" s="231"/>
      <c r="M619" s="231"/>
      <c r="N619" s="231" t="s">
        <v>5566</v>
      </c>
      <c r="O619" s="246" t="s">
        <v>5567</v>
      </c>
      <c r="P619" s="246" t="s">
        <v>5568</v>
      </c>
      <c r="Q619" s="225" t="s">
        <v>5569</v>
      </c>
      <c r="R619" s="212" t="s">
        <v>2</v>
      </c>
      <c r="S619" s="213" t="s">
        <v>4771</v>
      </c>
      <c r="T619" s="233">
        <v>45579</v>
      </c>
      <c r="U619" s="234" t="s">
        <v>4759</v>
      </c>
      <c r="V619" s="234">
        <v>45608</v>
      </c>
      <c r="W619" s="233">
        <v>45611</v>
      </c>
      <c r="X619" s="234" t="s">
        <v>4771</v>
      </c>
      <c r="Y619" s="234"/>
      <c r="Z619" s="234" t="s">
        <v>5570</v>
      </c>
      <c r="AA619" s="224">
        <v>202411</v>
      </c>
      <c r="AB619" s="243"/>
      <c r="AC619" s="244" t="s">
        <v>4800</v>
      </c>
      <c r="AD619" s="244" t="s">
        <v>5575</v>
      </c>
      <c r="AE619" s="245">
        <v>0</v>
      </c>
      <c r="AF619" s="244" t="s">
        <v>5575</v>
      </c>
      <c r="AG619" s="239" t="str">
        <f>IFERROR(VLOOKUP(작성용!A:A,RM!A:D,4,0),"-")</f>
        <v>서경덕</v>
      </c>
      <c r="AH619" s="9" t="s">
        <v>4911</v>
      </c>
      <c r="AI619" s="235" t="s">
        <v>4771</v>
      </c>
      <c r="AJ619" s="235" t="s">
        <v>4920</v>
      </c>
      <c r="AK619" s="235" t="s">
        <v>4777</v>
      </c>
      <c r="AL619" s="235">
        <v>618</v>
      </c>
    </row>
    <row r="620" spans="1:38" x14ac:dyDescent="0.3">
      <c r="A620" s="222" t="s">
        <v>2249</v>
      </c>
      <c r="B620" s="222" t="s">
        <v>5571</v>
      </c>
      <c r="C620" s="241" t="s">
        <v>4778</v>
      </c>
      <c r="D620" s="237" t="s">
        <v>5576</v>
      </c>
      <c r="E620" s="236">
        <v>1101115964469</v>
      </c>
      <c r="F620" s="240" t="s">
        <v>4854</v>
      </c>
      <c r="G620" s="214">
        <v>0</v>
      </c>
      <c r="H620" s="231" t="s">
        <v>4771</v>
      </c>
      <c r="I620" s="231"/>
      <c r="J620" s="231"/>
      <c r="K620" s="231"/>
      <c r="L620" s="231"/>
      <c r="M620" s="231"/>
      <c r="N620" s="231" t="s">
        <v>5566</v>
      </c>
      <c r="O620" s="246" t="s">
        <v>5567</v>
      </c>
      <c r="P620" s="246" t="s">
        <v>5568</v>
      </c>
      <c r="Q620" s="225" t="s">
        <v>5569</v>
      </c>
      <c r="R620" s="212" t="s">
        <v>2</v>
      </c>
      <c r="S620" s="213" t="s">
        <v>4771</v>
      </c>
      <c r="T620" s="233">
        <v>45579</v>
      </c>
      <c r="U620" s="234" t="s">
        <v>4759</v>
      </c>
      <c r="V620" s="234">
        <v>45608</v>
      </c>
      <c r="W620" s="233">
        <v>45611</v>
      </c>
      <c r="X620" s="234" t="s">
        <v>4771</v>
      </c>
      <c r="Y620" s="234"/>
      <c r="Z620" s="234" t="s">
        <v>5570</v>
      </c>
      <c r="AA620" s="224">
        <v>202411</v>
      </c>
      <c r="AB620" s="243"/>
      <c r="AC620" s="244" t="s">
        <v>4800</v>
      </c>
      <c r="AD620" s="244" t="s">
        <v>4933</v>
      </c>
      <c r="AE620" s="245">
        <v>1</v>
      </c>
      <c r="AF620" s="244" t="s">
        <v>4933</v>
      </c>
      <c r="AG620" s="239" t="str">
        <f>IFERROR(VLOOKUP(작성용!A:A,RM!A:D,4,0),"-")</f>
        <v>서경덕</v>
      </c>
      <c r="AH620" s="9" t="s">
        <v>4911</v>
      </c>
      <c r="AI620" s="235" t="s">
        <v>4771</v>
      </c>
      <c r="AJ620" s="235" t="s">
        <v>4920</v>
      </c>
      <c r="AK620" s="235" t="s">
        <v>4777</v>
      </c>
      <c r="AL620" s="235">
        <v>619</v>
      </c>
    </row>
    <row r="621" spans="1:38" x14ac:dyDescent="0.3">
      <c r="A621" s="222" t="s">
        <v>2249</v>
      </c>
      <c r="B621" s="222" t="s">
        <v>5571</v>
      </c>
      <c r="C621" s="241" t="s">
        <v>4778</v>
      </c>
      <c r="D621" s="237" t="s">
        <v>5577</v>
      </c>
      <c r="E621" s="236">
        <v>1101114299693</v>
      </c>
      <c r="F621" s="240" t="s">
        <v>4850</v>
      </c>
      <c r="G621" s="214">
        <v>0</v>
      </c>
      <c r="H621" s="231" t="s">
        <v>4771</v>
      </c>
      <c r="I621" s="231"/>
      <c r="J621" s="231"/>
      <c r="K621" s="231"/>
      <c r="L621" s="231"/>
      <c r="M621" s="231"/>
      <c r="N621" s="231" t="s">
        <v>5566</v>
      </c>
      <c r="O621" s="246" t="s">
        <v>5567</v>
      </c>
      <c r="P621" s="246" t="s">
        <v>5568</v>
      </c>
      <c r="Q621" s="225" t="s">
        <v>5569</v>
      </c>
      <c r="R621" s="212" t="s">
        <v>2</v>
      </c>
      <c r="S621" s="213" t="s">
        <v>4771</v>
      </c>
      <c r="T621" s="233">
        <v>45579</v>
      </c>
      <c r="U621" s="234" t="s">
        <v>4759</v>
      </c>
      <c r="V621" s="234">
        <v>45608</v>
      </c>
      <c r="W621" s="233">
        <v>45611</v>
      </c>
      <c r="X621" s="234" t="s">
        <v>4771</v>
      </c>
      <c r="Y621" s="234"/>
      <c r="Z621" s="234" t="s">
        <v>5570</v>
      </c>
      <c r="AA621" s="224">
        <v>202411</v>
      </c>
      <c r="AB621" s="243"/>
      <c r="AC621" s="244" t="s">
        <v>4800</v>
      </c>
      <c r="AD621" s="244" t="s">
        <v>4860</v>
      </c>
      <c r="AE621" s="245">
        <v>1</v>
      </c>
      <c r="AF621" s="244" t="s">
        <v>4860</v>
      </c>
      <c r="AG621" s="239" t="str">
        <f>IFERROR(VLOOKUP(작성용!A:A,RM!A:D,4,0),"-")</f>
        <v>서경덕</v>
      </c>
      <c r="AH621" s="9" t="s">
        <v>4911</v>
      </c>
      <c r="AI621" s="235" t="s">
        <v>4771</v>
      </c>
      <c r="AJ621" s="235" t="s">
        <v>4920</v>
      </c>
      <c r="AK621" s="235" t="s">
        <v>4777</v>
      </c>
      <c r="AL621" s="235">
        <v>620</v>
      </c>
    </row>
    <row r="622" spans="1:38" x14ac:dyDescent="0.3">
      <c r="A622" s="222" t="s">
        <v>2249</v>
      </c>
      <c r="B622" s="222" t="s">
        <v>5571</v>
      </c>
      <c r="C622" s="241" t="s">
        <v>4778</v>
      </c>
      <c r="D622" s="237" t="s">
        <v>5577</v>
      </c>
      <c r="E622" s="236">
        <v>1101114299693</v>
      </c>
      <c r="F622" s="240" t="s">
        <v>4780</v>
      </c>
      <c r="G622" s="214">
        <v>0</v>
      </c>
      <c r="H622" s="231" t="s">
        <v>4771</v>
      </c>
      <c r="I622" s="231"/>
      <c r="J622" s="231"/>
      <c r="K622" s="231"/>
      <c r="L622" s="231"/>
      <c r="M622" s="231"/>
      <c r="N622" s="231" t="s">
        <v>5566</v>
      </c>
      <c r="O622" s="246" t="s">
        <v>5567</v>
      </c>
      <c r="P622" s="246" t="s">
        <v>5568</v>
      </c>
      <c r="Q622" s="225" t="s">
        <v>5569</v>
      </c>
      <c r="R622" s="212" t="s">
        <v>2</v>
      </c>
      <c r="S622" s="213" t="s">
        <v>4771</v>
      </c>
      <c r="T622" s="233">
        <v>45579</v>
      </c>
      <c r="U622" s="234" t="s">
        <v>4759</v>
      </c>
      <c r="V622" s="234">
        <v>45608</v>
      </c>
      <c r="W622" s="233">
        <v>45611</v>
      </c>
      <c r="X622" s="234" t="s">
        <v>4771</v>
      </c>
      <c r="Y622" s="234"/>
      <c r="Z622" s="234" t="s">
        <v>5570</v>
      </c>
      <c r="AA622" s="224">
        <v>202411</v>
      </c>
      <c r="AB622" s="243"/>
      <c r="AC622" s="244" t="s">
        <v>4800</v>
      </c>
      <c r="AD622" s="244" t="s">
        <v>4860</v>
      </c>
      <c r="AE622" s="245">
        <v>0</v>
      </c>
      <c r="AF622" s="244" t="s">
        <v>4860</v>
      </c>
      <c r="AG622" s="239" t="str">
        <f>IFERROR(VLOOKUP(작성용!A:A,RM!A:D,4,0),"-")</f>
        <v>서경덕</v>
      </c>
      <c r="AH622" s="9" t="s">
        <v>4911</v>
      </c>
      <c r="AI622" s="235" t="s">
        <v>4771</v>
      </c>
      <c r="AJ622" s="235" t="s">
        <v>4920</v>
      </c>
      <c r="AK622" s="235" t="s">
        <v>4777</v>
      </c>
      <c r="AL622" s="235">
        <v>621</v>
      </c>
    </row>
    <row r="623" spans="1:38" x14ac:dyDescent="0.3">
      <c r="A623" s="222" t="s">
        <v>2249</v>
      </c>
      <c r="B623" s="222" t="s">
        <v>5571</v>
      </c>
      <c r="C623" s="241" t="s">
        <v>4778</v>
      </c>
      <c r="D623" s="237" t="s">
        <v>5577</v>
      </c>
      <c r="E623" s="236">
        <v>1101114299693</v>
      </c>
      <c r="F623" s="240" t="s">
        <v>4854</v>
      </c>
      <c r="G623" s="214">
        <v>0</v>
      </c>
      <c r="H623" s="231" t="s">
        <v>4771</v>
      </c>
      <c r="I623" s="231"/>
      <c r="J623" s="231"/>
      <c r="K623" s="231"/>
      <c r="L623" s="231"/>
      <c r="M623" s="231"/>
      <c r="N623" s="231" t="s">
        <v>5566</v>
      </c>
      <c r="O623" s="246" t="s">
        <v>5567</v>
      </c>
      <c r="P623" s="246" t="s">
        <v>5568</v>
      </c>
      <c r="Q623" s="225" t="s">
        <v>5569</v>
      </c>
      <c r="R623" s="212" t="s">
        <v>2</v>
      </c>
      <c r="S623" s="213" t="s">
        <v>4771</v>
      </c>
      <c r="T623" s="233">
        <v>45579</v>
      </c>
      <c r="U623" s="234" t="s">
        <v>4759</v>
      </c>
      <c r="V623" s="234">
        <v>45608</v>
      </c>
      <c r="W623" s="233">
        <v>45611</v>
      </c>
      <c r="X623" s="234" t="s">
        <v>4771</v>
      </c>
      <c r="Y623" s="234"/>
      <c r="Z623" s="234" t="s">
        <v>5570</v>
      </c>
      <c r="AA623" s="224">
        <v>202411</v>
      </c>
      <c r="AB623" s="243"/>
      <c r="AC623" s="244" t="s">
        <v>4800</v>
      </c>
      <c r="AD623" s="244" t="s">
        <v>4860</v>
      </c>
      <c r="AE623" s="245">
        <v>0</v>
      </c>
      <c r="AF623" s="244" t="s">
        <v>4860</v>
      </c>
      <c r="AG623" s="239" t="str">
        <f>IFERROR(VLOOKUP(작성용!A:A,RM!A:D,4,0),"-")</f>
        <v>서경덕</v>
      </c>
      <c r="AH623" s="9" t="s">
        <v>4911</v>
      </c>
      <c r="AI623" s="235" t="s">
        <v>4771</v>
      </c>
      <c r="AJ623" s="235" t="s">
        <v>4920</v>
      </c>
      <c r="AK623" s="235" t="s">
        <v>4777</v>
      </c>
      <c r="AL623" s="235">
        <v>622</v>
      </c>
    </row>
    <row r="624" spans="1:38" x14ac:dyDescent="0.3">
      <c r="A624" s="222" t="s">
        <v>2249</v>
      </c>
      <c r="B624" s="222" t="s">
        <v>5571</v>
      </c>
      <c r="C624" s="241" t="s">
        <v>4778</v>
      </c>
      <c r="D624" s="237" t="s">
        <v>5578</v>
      </c>
      <c r="E624" s="236">
        <v>1101115425312</v>
      </c>
      <c r="F624" s="240" t="s">
        <v>4894</v>
      </c>
      <c r="G624" s="214">
        <v>0</v>
      </c>
      <c r="H624" s="231" t="s">
        <v>4771</v>
      </c>
      <c r="I624" s="231"/>
      <c r="J624" s="231"/>
      <c r="K624" s="231"/>
      <c r="L624" s="231"/>
      <c r="M624" s="231"/>
      <c r="N624" s="231" t="s">
        <v>5566</v>
      </c>
      <c r="O624" s="246" t="s">
        <v>5567</v>
      </c>
      <c r="P624" s="246" t="s">
        <v>5568</v>
      </c>
      <c r="Q624" s="225" t="s">
        <v>5569</v>
      </c>
      <c r="R624" s="212" t="s">
        <v>2</v>
      </c>
      <c r="S624" s="213" t="s">
        <v>4771</v>
      </c>
      <c r="T624" s="233">
        <v>45579</v>
      </c>
      <c r="U624" s="234" t="s">
        <v>4759</v>
      </c>
      <c r="V624" s="234">
        <v>45608</v>
      </c>
      <c r="W624" s="233">
        <v>45611</v>
      </c>
      <c r="X624" s="234" t="s">
        <v>4771</v>
      </c>
      <c r="Y624" s="234"/>
      <c r="Z624" s="234" t="s">
        <v>5570</v>
      </c>
      <c r="AA624" s="224">
        <v>202411</v>
      </c>
      <c r="AB624" s="243"/>
      <c r="AC624" s="244" t="s">
        <v>4800</v>
      </c>
      <c r="AD624" s="244" t="s">
        <v>4911</v>
      </c>
      <c r="AE624" s="245">
        <v>1</v>
      </c>
      <c r="AF624" s="244" t="s">
        <v>4911</v>
      </c>
      <c r="AG624" s="239" t="str">
        <f>IFERROR(VLOOKUP(작성용!A:A,RM!A:D,4,0),"-")</f>
        <v>서경덕</v>
      </c>
      <c r="AH624" s="9" t="s">
        <v>4911</v>
      </c>
      <c r="AI624" s="235" t="s">
        <v>4771</v>
      </c>
      <c r="AJ624" s="235" t="s">
        <v>4920</v>
      </c>
      <c r="AK624" s="235" t="s">
        <v>4777</v>
      </c>
      <c r="AL624" s="235">
        <v>623</v>
      </c>
    </row>
    <row r="625" spans="1:38" x14ac:dyDescent="0.3">
      <c r="A625" s="222" t="s">
        <v>2249</v>
      </c>
      <c r="B625" s="222" t="s">
        <v>5571</v>
      </c>
      <c r="C625" s="241" t="s">
        <v>4778</v>
      </c>
      <c r="D625" s="237" t="s">
        <v>5579</v>
      </c>
      <c r="E625" s="236">
        <v>1301110045690</v>
      </c>
      <c r="F625" s="240" t="s">
        <v>4854</v>
      </c>
      <c r="G625" s="214">
        <v>0</v>
      </c>
      <c r="H625" s="231" t="s">
        <v>4771</v>
      </c>
      <c r="I625" s="231"/>
      <c r="J625" s="231"/>
      <c r="K625" s="231"/>
      <c r="L625" s="231"/>
      <c r="M625" s="231"/>
      <c r="N625" s="231" t="s">
        <v>5566</v>
      </c>
      <c r="O625" s="246" t="s">
        <v>5567</v>
      </c>
      <c r="P625" s="246" t="s">
        <v>5568</v>
      </c>
      <c r="Q625" s="225" t="s">
        <v>5569</v>
      </c>
      <c r="R625" s="212" t="s">
        <v>2</v>
      </c>
      <c r="S625" s="213" t="s">
        <v>4771</v>
      </c>
      <c r="T625" s="233">
        <v>45579</v>
      </c>
      <c r="U625" s="234" t="s">
        <v>4759</v>
      </c>
      <c r="V625" s="234">
        <v>45608</v>
      </c>
      <c r="W625" s="233">
        <v>45611</v>
      </c>
      <c r="X625" s="234" t="s">
        <v>4771</v>
      </c>
      <c r="Y625" s="234"/>
      <c r="Z625" s="234" t="s">
        <v>5570</v>
      </c>
      <c r="AA625" s="224">
        <v>202411</v>
      </c>
      <c r="AB625" s="243"/>
      <c r="AC625" s="244" t="s">
        <v>4800</v>
      </c>
      <c r="AD625" s="244" t="s">
        <v>4935</v>
      </c>
      <c r="AE625" s="245">
        <v>1</v>
      </c>
      <c r="AF625" s="244" t="s">
        <v>4935</v>
      </c>
      <c r="AG625" s="239" t="str">
        <f>IFERROR(VLOOKUP(작성용!A:A,RM!A:D,4,0),"-")</f>
        <v>서경덕</v>
      </c>
      <c r="AH625" s="9" t="s">
        <v>4911</v>
      </c>
      <c r="AI625" s="235" t="s">
        <v>4771</v>
      </c>
      <c r="AJ625" s="235" t="s">
        <v>4920</v>
      </c>
      <c r="AK625" s="235" t="s">
        <v>4777</v>
      </c>
      <c r="AL625" s="235">
        <v>624</v>
      </c>
    </row>
    <row r="626" spans="1:38" x14ac:dyDescent="0.3">
      <c r="A626" s="222" t="s">
        <v>2249</v>
      </c>
      <c r="B626" s="222" t="s">
        <v>5571</v>
      </c>
      <c r="C626" s="241" t="s">
        <v>4778</v>
      </c>
      <c r="D626" s="237" t="s">
        <v>5396</v>
      </c>
      <c r="E626" s="236" t="s">
        <v>4003</v>
      </c>
      <c r="F626" s="240" t="s">
        <v>4850</v>
      </c>
      <c r="G626" s="214">
        <v>0</v>
      </c>
      <c r="H626" s="231" t="s">
        <v>4771</v>
      </c>
      <c r="I626" s="231"/>
      <c r="J626" s="231"/>
      <c r="K626" s="231"/>
      <c r="L626" s="231"/>
      <c r="M626" s="231"/>
      <c r="N626" s="231" t="s">
        <v>5566</v>
      </c>
      <c r="O626" s="246" t="s">
        <v>5567</v>
      </c>
      <c r="P626" s="246" t="s">
        <v>5568</v>
      </c>
      <c r="Q626" s="225" t="s">
        <v>5569</v>
      </c>
      <c r="R626" s="212" t="s">
        <v>2</v>
      </c>
      <c r="S626" s="213" t="s">
        <v>4771</v>
      </c>
      <c r="T626" s="233">
        <v>45579</v>
      </c>
      <c r="U626" s="234" t="s">
        <v>4759</v>
      </c>
      <c r="V626" s="234">
        <v>45608</v>
      </c>
      <c r="W626" s="233">
        <v>45611</v>
      </c>
      <c r="X626" s="234" t="s">
        <v>4771</v>
      </c>
      <c r="Y626" s="234"/>
      <c r="Z626" s="234" t="s">
        <v>5570</v>
      </c>
      <c r="AA626" s="224">
        <v>202411</v>
      </c>
      <c r="AB626" s="243"/>
      <c r="AC626" s="244" t="s">
        <v>4800</v>
      </c>
      <c r="AD626" s="244" t="s">
        <v>4862</v>
      </c>
      <c r="AE626" s="245">
        <v>1</v>
      </c>
      <c r="AF626" s="244" t="s">
        <v>4862</v>
      </c>
      <c r="AG626" s="239" t="str">
        <f>IFERROR(VLOOKUP(작성용!A:A,RM!A:D,4,0),"-")</f>
        <v>서경덕</v>
      </c>
      <c r="AH626" s="9" t="s">
        <v>4911</v>
      </c>
      <c r="AI626" s="235" t="s">
        <v>4771</v>
      </c>
      <c r="AJ626" s="235" t="s">
        <v>4920</v>
      </c>
      <c r="AK626" s="235" t="s">
        <v>4777</v>
      </c>
      <c r="AL626" s="235">
        <v>625</v>
      </c>
    </row>
    <row r="627" spans="1:38" x14ac:dyDescent="0.3">
      <c r="A627" s="222" t="s">
        <v>2249</v>
      </c>
      <c r="B627" s="222" t="s">
        <v>5571</v>
      </c>
      <c r="C627" s="241" t="s">
        <v>4778</v>
      </c>
      <c r="D627" s="237" t="s">
        <v>5580</v>
      </c>
      <c r="E627" s="236">
        <v>1348110178873</v>
      </c>
      <c r="F627" s="240" t="s">
        <v>4894</v>
      </c>
      <c r="G627" s="214">
        <v>0</v>
      </c>
      <c r="H627" s="231" t="s">
        <v>4771</v>
      </c>
      <c r="I627" s="231"/>
      <c r="J627" s="231"/>
      <c r="K627" s="231"/>
      <c r="L627" s="231"/>
      <c r="M627" s="231"/>
      <c r="N627" s="231" t="s">
        <v>5566</v>
      </c>
      <c r="O627" s="246" t="s">
        <v>5567</v>
      </c>
      <c r="P627" s="246" t="s">
        <v>5568</v>
      </c>
      <c r="Q627" s="225" t="s">
        <v>5569</v>
      </c>
      <c r="R627" s="212" t="s">
        <v>2</v>
      </c>
      <c r="S627" s="213" t="s">
        <v>4771</v>
      </c>
      <c r="T627" s="233">
        <v>45579</v>
      </c>
      <c r="U627" s="234" t="s">
        <v>4759</v>
      </c>
      <c r="V627" s="234">
        <v>45608</v>
      </c>
      <c r="W627" s="233">
        <v>45611</v>
      </c>
      <c r="X627" s="234" t="s">
        <v>4771</v>
      </c>
      <c r="Y627" s="234"/>
      <c r="Z627" s="234" t="s">
        <v>5570</v>
      </c>
      <c r="AA627" s="224">
        <v>202411</v>
      </c>
      <c r="AB627" s="243"/>
      <c r="AC627" s="244" t="s">
        <v>4800</v>
      </c>
      <c r="AD627" s="244" t="s">
        <v>4774</v>
      </c>
      <c r="AE627" s="245">
        <v>0</v>
      </c>
      <c r="AF627" s="244" t="s">
        <v>4774</v>
      </c>
      <c r="AG627" s="239" t="str">
        <f>IFERROR(VLOOKUP(작성용!A:A,RM!A:D,4,0),"-")</f>
        <v>서경덕</v>
      </c>
      <c r="AH627" s="9" t="s">
        <v>4911</v>
      </c>
      <c r="AI627" s="235" t="s">
        <v>4771</v>
      </c>
      <c r="AJ627" s="235" t="s">
        <v>4920</v>
      </c>
      <c r="AK627" s="235" t="s">
        <v>4777</v>
      </c>
      <c r="AL627" s="235">
        <v>626</v>
      </c>
    </row>
    <row r="628" spans="1:38" x14ac:dyDescent="0.3">
      <c r="A628" s="222" t="s">
        <v>2249</v>
      </c>
      <c r="B628" s="222" t="s">
        <v>5571</v>
      </c>
      <c r="C628" s="241" t="s">
        <v>4778</v>
      </c>
      <c r="D628" s="237" t="s">
        <v>5581</v>
      </c>
      <c r="E628" s="236">
        <v>1501110282058</v>
      </c>
      <c r="F628" s="240" t="s">
        <v>4894</v>
      </c>
      <c r="G628" s="214">
        <v>1</v>
      </c>
      <c r="H628" s="231" t="s">
        <v>4771</v>
      </c>
      <c r="I628" s="231"/>
      <c r="J628" s="231"/>
      <c r="K628" s="231"/>
      <c r="L628" s="231"/>
      <c r="M628" s="231"/>
      <c r="N628" s="231" t="s">
        <v>5566</v>
      </c>
      <c r="O628" s="246" t="s">
        <v>5567</v>
      </c>
      <c r="P628" s="246" t="s">
        <v>5568</v>
      </c>
      <c r="Q628" s="225" t="s">
        <v>5569</v>
      </c>
      <c r="R628" s="212" t="s">
        <v>2</v>
      </c>
      <c r="S628" s="213" t="s">
        <v>4771</v>
      </c>
      <c r="T628" s="233">
        <v>45579</v>
      </c>
      <c r="U628" s="234" t="s">
        <v>4759</v>
      </c>
      <c r="V628" s="234">
        <v>45608</v>
      </c>
      <c r="W628" s="233">
        <v>45611</v>
      </c>
      <c r="X628" s="234" t="s">
        <v>4771</v>
      </c>
      <c r="Y628" s="234"/>
      <c r="Z628" s="234" t="s">
        <v>5570</v>
      </c>
      <c r="AA628" s="224">
        <v>202411</v>
      </c>
      <c r="AB628" s="243"/>
      <c r="AC628" s="244" t="s">
        <v>4800</v>
      </c>
      <c r="AD628" s="244" t="s">
        <v>4856</v>
      </c>
      <c r="AE628" s="245">
        <v>1</v>
      </c>
      <c r="AF628" s="244" t="s">
        <v>4856</v>
      </c>
      <c r="AG628" s="239" t="str">
        <f>IFERROR(VLOOKUP(작성용!A:A,RM!A:D,4,0),"-")</f>
        <v>서경덕</v>
      </c>
      <c r="AH628" s="9" t="s">
        <v>4911</v>
      </c>
      <c r="AI628" s="235" t="s">
        <v>4771</v>
      </c>
      <c r="AJ628" s="235" t="s">
        <v>4920</v>
      </c>
      <c r="AK628" s="235" t="s">
        <v>4777</v>
      </c>
      <c r="AL628" s="235">
        <v>627</v>
      </c>
    </row>
    <row r="629" spans="1:38" x14ac:dyDescent="0.3">
      <c r="A629" s="222" t="s">
        <v>2249</v>
      </c>
      <c r="B629" s="222" t="s">
        <v>5571</v>
      </c>
      <c r="C629" s="241" t="s">
        <v>4778</v>
      </c>
      <c r="D629" s="237" t="s">
        <v>5582</v>
      </c>
      <c r="E629" s="236">
        <v>1101117736957</v>
      </c>
      <c r="F629" s="240" t="s">
        <v>4780</v>
      </c>
      <c r="G629" s="214">
        <v>0</v>
      </c>
      <c r="H629" s="231" t="s">
        <v>4771</v>
      </c>
      <c r="I629" s="231"/>
      <c r="J629" s="231"/>
      <c r="K629" s="231"/>
      <c r="L629" s="231"/>
      <c r="M629" s="231"/>
      <c r="N629" s="231" t="s">
        <v>5566</v>
      </c>
      <c r="O629" s="246" t="s">
        <v>5567</v>
      </c>
      <c r="P629" s="246" t="s">
        <v>5568</v>
      </c>
      <c r="Q629" s="225" t="s">
        <v>5569</v>
      </c>
      <c r="R629" s="212" t="s">
        <v>2</v>
      </c>
      <c r="S629" s="213" t="s">
        <v>4771</v>
      </c>
      <c r="T629" s="233">
        <v>45579</v>
      </c>
      <c r="U629" s="234" t="s">
        <v>4759</v>
      </c>
      <c r="V629" s="234">
        <v>45608</v>
      </c>
      <c r="W629" s="233">
        <v>45611</v>
      </c>
      <c r="X629" s="234" t="s">
        <v>4771</v>
      </c>
      <c r="Y629" s="234"/>
      <c r="Z629" s="234" t="s">
        <v>5570</v>
      </c>
      <c r="AA629" s="224">
        <v>202411</v>
      </c>
      <c r="AB629" s="243"/>
      <c r="AC629" s="244" t="s">
        <v>4800</v>
      </c>
      <c r="AD629" s="244" t="s">
        <v>4864</v>
      </c>
      <c r="AE629" s="245">
        <v>1</v>
      </c>
      <c r="AF629" s="244" t="s">
        <v>5049</v>
      </c>
      <c r="AG629" s="239" t="str">
        <f>IFERROR(VLOOKUP(작성용!A:A,RM!A:D,4,0),"-")</f>
        <v>서경덕</v>
      </c>
      <c r="AH629" s="9" t="s">
        <v>4911</v>
      </c>
      <c r="AI629" s="235" t="s">
        <v>4771</v>
      </c>
      <c r="AJ629" s="235" t="s">
        <v>4920</v>
      </c>
      <c r="AK629" s="235" t="s">
        <v>4777</v>
      </c>
      <c r="AL629" s="235">
        <v>628</v>
      </c>
    </row>
    <row r="630" spans="1:38" x14ac:dyDescent="0.3">
      <c r="A630" s="222" t="s">
        <v>2249</v>
      </c>
      <c r="B630" s="222" t="s">
        <v>5571</v>
      </c>
      <c r="C630" s="241" t="s">
        <v>4778</v>
      </c>
      <c r="D630" s="237" t="s">
        <v>5583</v>
      </c>
      <c r="E630" s="236" t="s">
        <v>3942</v>
      </c>
      <c r="F630" s="240" t="s">
        <v>4854</v>
      </c>
      <c r="G630" s="214">
        <v>0</v>
      </c>
      <c r="H630" s="231" t="s">
        <v>4771</v>
      </c>
      <c r="I630" s="231"/>
      <c r="J630" s="231"/>
      <c r="K630" s="231"/>
      <c r="L630" s="231"/>
      <c r="M630" s="231"/>
      <c r="N630" s="231" t="s">
        <v>5566</v>
      </c>
      <c r="O630" s="246" t="s">
        <v>5567</v>
      </c>
      <c r="P630" s="246" t="s">
        <v>5568</v>
      </c>
      <c r="Q630" s="225" t="s">
        <v>5569</v>
      </c>
      <c r="R630" s="212" t="s">
        <v>2</v>
      </c>
      <c r="S630" s="213" t="s">
        <v>4771</v>
      </c>
      <c r="T630" s="233">
        <v>45579</v>
      </c>
      <c r="U630" s="234" t="s">
        <v>4759</v>
      </c>
      <c r="V630" s="234">
        <v>45608</v>
      </c>
      <c r="W630" s="233">
        <v>45611</v>
      </c>
      <c r="X630" s="234" t="s">
        <v>4771</v>
      </c>
      <c r="Y630" s="234"/>
      <c r="Z630" s="234" t="s">
        <v>5570</v>
      </c>
      <c r="AA630" s="224">
        <v>202411</v>
      </c>
      <c r="AB630" s="243"/>
      <c r="AC630" s="244" t="s">
        <v>4800</v>
      </c>
      <c r="AD630" s="244" t="s">
        <v>3714</v>
      </c>
      <c r="AE630" s="245">
        <v>1</v>
      </c>
      <c r="AF630" s="244" t="s">
        <v>3714</v>
      </c>
      <c r="AG630" s="239" t="str">
        <f>IFERROR(VLOOKUP(작성용!A:A,RM!A:D,4,0),"-")</f>
        <v>서경덕</v>
      </c>
      <c r="AH630" s="9" t="s">
        <v>4911</v>
      </c>
      <c r="AI630" s="235" t="s">
        <v>4771</v>
      </c>
      <c r="AJ630" s="235" t="s">
        <v>4920</v>
      </c>
      <c r="AK630" s="235" t="s">
        <v>4777</v>
      </c>
      <c r="AL630" s="235">
        <v>629</v>
      </c>
    </row>
    <row r="631" spans="1:38" x14ac:dyDescent="0.3">
      <c r="A631" s="222" t="s">
        <v>2249</v>
      </c>
      <c r="B631" s="222" t="s">
        <v>5571</v>
      </c>
      <c r="C631" s="241" t="s">
        <v>4778</v>
      </c>
      <c r="D631" s="237" t="s">
        <v>5584</v>
      </c>
      <c r="E631" s="236">
        <v>1348110407800</v>
      </c>
      <c r="F631" s="240" t="s">
        <v>4854</v>
      </c>
      <c r="G631" s="214">
        <v>0</v>
      </c>
      <c r="H631" s="231" t="s">
        <v>4771</v>
      </c>
      <c r="I631" s="231"/>
      <c r="J631" s="231"/>
      <c r="K631" s="231"/>
      <c r="L631" s="231"/>
      <c r="M631" s="231"/>
      <c r="N631" s="231" t="s">
        <v>5566</v>
      </c>
      <c r="O631" s="246" t="s">
        <v>5567</v>
      </c>
      <c r="P631" s="246" t="s">
        <v>5568</v>
      </c>
      <c r="Q631" s="225" t="s">
        <v>5569</v>
      </c>
      <c r="R631" s="212" t="s">
        <v>2</v>
      </c>
      <c r="S631" s="213" t="s">
        <v>4771</v>
      </c>
      <c r="T631" s="233">
        <v>45579</v>
      </c>
      <c r="U631" s="234" t="s">
        <v>4759</v>
      </c>
      <c r="V631" s="234">
        <v>45608</v>
      </c>
      <c r="W631" s="233">
        <v>45611</v>
      </c>
      <c r="X631" s="234" t="s">
        <v>4771</v>
      </c>
      <c r="Y631" s="234"/>
      <c r="Z631" s="234" t="s">
        <v>5570</v>
      </c>
      <c r="AA631" s="224">
        <v>202411</v>
      </c>
      <c r="AB631" s="243"/>
      <c r="AC631" s="244" t="s">
        <v>4800</v>
      </c>
      <c r="AD631" s="244" t="s">
        <v>4862</v>
      </c>
      <c r="AE631" s="245">
        <v>1</v>
      </c>
      <c r="AF631" s="244" t="s">
        <v>4862</v>
      </c>
      <c r="AG631" s="239" t="str">
        <f>IFERROR(VLOOKUP(작성용!A:A,RM!A:D,4,0),"-")</f>
        <v>서경덕</v>
      </c>
      <c r="AH631" s="9" t="s">
        <v>4911</v>
      </c>
      <c r="AI631" s="235" t="s">
        <v>4771</v>
      </c>
      <c r="AJ631" s="235" t="s">
        <v>4920</v>
      </c>
      <c r="AK631" s="235" t="s">
        <v>4777</v>
      </c>
      <c r="AL631" s="235">
        <v>630</v>
      </c>
    </row>
    <row r="632" spans="1:38" x14ac:dyDescent="0.3">
      <c r="A632" s="222" t="s">
        <v>2249</v>
      </c>
      <c r="B632" s="222" t="s">
        <v>5571</v>
      </c>
      <c r="C632" s="241" t="s">
        <v>4778</v>
      </c>
      <c r="D632" s="237" t="s">
        <v>5585</v>
      </c>
      <c r="E632" s="236">
        <v>1101113146746</v>
      </c>
      <c r="F632" s="240" t="s">
        <v>4854</v>
      </c>
      <c r="G632" s="214">
        <v>0</v>
      </c>
      <c r="H632" s="231" t="s">
        <v>4771</v>
      </c>
      <c r="I632" s="231"/>
      <c r="J632" s="231"/>
      <c r="K632" s="231"/>
      <c r="L632" s="231"/>
      <c r="M632" s="231"/>
      <c r="N632" s="231" t="s">
        <v>5566</v>
      </c>
      <c r="O632" s="246" t="s">
        <v>5567</v>
      </c>
      <c r="P632" s="246" t="s">
        <v>5568</v>
      </c>
      <c r="Q632" s="225" t="s">
        <v>5569</v>
      </c>
      <c r="R632" s="212" t="s">
        <v>2</v>
      </c>
      <c r="S632" s="213" t="s">
        <v>4771</v>
      </c>
      <c r="T632" s="233">
        <v>45579</v>
      </c>
      <c r="U632" s="234" t="s">
        <v>4759</v>
      </c>
      <c r="V632" s="234">
        <v>45608</v>
      </c>
      <c r="W632" s="233">
        <v>45611</v>
      </c>
      <c r="X632" s="234" t="s">
        <v>4771</v>
      </c>
      <c r="Y632" s="234"/>
      <c r="Z632" s="234" t="s">
        <v>5570</v>
      </c>
      <c r="AA632" s="224">
        <v>202411</v>
      </c>
      <c r="AB632" s="243"/>
      <c r="AC632" s="244" t="s">
        <v>4800</v>
      </c>
      <c r="AD632" s="244" t="s">
        <v>4915</v>
      </c>
      <c r="AE632" s="245">
        <v>1</v>
      </c>
      <c r="AF632" s="244" t="s">
        <v>4915</v>
      </c>
      <c r="AG632" s="239" t="str">
        <f>IFERROR(VLOOKUP(작성용!A:A,RM!A:D,4,0),"-")</f>
        <v>서경덕</v>
      </c>
      <c r="AH632" s="9" t="s">
        <v>4911</v>
      </c>
      <c r="AI632" s="235" t="s">
        <v>4771</v>
      </c>
      <c r="AJ632" s="235" t="s">
        <v>4920</v>
      </c>
      <c r="AK632" s="235" t="s">
        <v>4777</v>
      </c>
      <c r="AL632" s="235">
        <v>631</v>
      </c>
    </row>
    <row r="633" spans="1:38" x14ac:dyDescent="0.3">
      <c r="A633" s="222" t="s">
        <v>2249</v>
      </c>
      <c r="B633" s="222" t="s">
        <v>5571</v>
      </c>
      <c r="C633" s="241" t="s">
        <v>4778</v>
      </c>
      <c r="D633" s="237" t="s">
        <v>5586</v>
      </c>
      <c r="E633" s="236">
        <v>1311110093953</v>
      </c>
      <c r="F633" s="240" t="s">
        <v>4854</v>
      </c>
      <c r="G633" s="214">
        <v>0</v>
      </c>
      <c r="H633" s="231" t="s">
        <v>4771</v>
      </c>
      <c r="I633" s="231"/>
      <c r="J633" s="231"/>
      <c r="K633" s="231"/>
      <c r="L633" s="231"/>
      <c r="M633" s="231"/>
      <c r="N633" s="231" t="s">
        <v>5566</v>
      </c>
      <c r="O633" s="246" t="s">
        <v>5567</v>
      </c>
      <c r="P633" s="246" t="s">
        <v>5568</v>
      </c>
      <c r="Q633" s="225" t="s">
        <v>5569</v>
      </c>
      <c r="R633" s="212" t="s">
        <v>2</v>
      </c>
      <c r="S633" s="213" t="s">
        <v>4771</v>
      </c>
      <c r="T633" s="233">
        <v>45579</v>
      </c>
      <c r="U633" s="234" t="s">
        <v>4759</v>
      </c>
      <c r="V633" s="234">
        <v>45608</v>
      </c>
      <c r="W633" s="233">
        <v>45611</v>
      </c>
      <c r="X633" s="234" t="s">
        <v>4771</v>
      </c>
      <c r="Y633" s="234"/>
      <c r="Z633" s="234" t="s">
        <v>5570</v>
      </c>
      <c r="AA633" s="224">
        <v>202411</v>
      </c>
      <c r="AB633" s="243"/>
      <c r="AC633" s="244" t="s">
        <v>4800</v>
      </c>
      <c r="AD633" s="244" t="s">
        <v>4905</v>
      </c>
      <c r="AE633" s="245">
        <v>1</v>
      </c>
      <c r="AF633" s="244" t="s">
        <v>4905</v>
      </c>
      <c r="AG633" s="239" t="str">
        <f>IFERROR(VLOOKUP(작성용!A:A,RM!A:D,4,0),"-")</f>
        <v>서경덕</v>
      </c>
      <c r="AH633" s="9" t="s">
        <v>4911</v>
      </c>
      <c r="AI633" s="235" t="s">
        <v>4771</v>
      </c>
      <c r="AJ633" s="235" t="s">
        <v>4920</v>
      </c>
      <c r="AK633" s="235" t="s">
        <v>4777</v>
      </c>
      <c r="AL633" s="235">
        <v>632</v>
      </c>
    </row>
    <row r="634" spans="1:38" x14ac:dyDescent="0.3">
      <c r="A634" s="222" t="s">
        <v>2249</v>
      </c>
      <c r="B634" s="222" t="s">
        <v>5571</v>
      </c>
      <c r="C634" s="241" t="s">
        <v>4778</v>
      </c>
      <c r="D634" s="237" t="s">
        <v>5586</v>
      </c>
      <c r="E634" s="236">
        <v>1311110093953</v>
      </c>
      <c r="F634" s="240" t="s">
        <v>5587</v>
      </c>
      <c r="G634" s="214">
        <v>0</v>
      </c>
      <c r="H634" s="231" t="s">
        <v>4771</v>
      </c>
      <c r="I634" s="231"/>
      <c r="J634" s="231"/>
      <c r="K634" s="231"/>
      <c r="L634" s="231"/>
      <c r="M634" s="231"/>
      <c r="N634" s="231" t="s">
        <v>5566</v>
      </c>
      <c r="O634" s="246" t="s">
        <v>5567</v>
      </c>
      <c r="P634" s="246" t="s">
        <v>5568</v>
      </c>
      <c r="Q634" s="225" t="s">
        <v>5569</v>
      </c>
      <c r="R634" s="212" t="s">
        <v>2</v>
      </c>
      <c r="S634" s="213" t="s">
        <v>4771</v>
      </c>
      <c r="T634" s="233">
        <v>45579</v>
      </c>
      <c r="U634" s="234" t="s">
        <v>4759</v>
      </c>
      <c r="V634" s="234">
        <v>45608</v>
      </c>
      <c r="W634" s="233">
        <v>45611</v>
      </c>
      <c r="X634" s="234" t="s">
        <v>4771</v>
      </c>
      <c r="Y634" s="234"/>
      <c r="Z634" s="234" t="s">
        <v>5570</v>
      </c>
      <c r="AA634" s="224">
        <v>202411</v>
      </c>
      <c r="AB634" s="243"/>
      <c r="AC634" s="244" t="s">
        <v>4800</v>
      </c>
      <c r="AD634" s="244" t="s">
        <v>5358</v>
      </c>
      <c r="AE634" s="245">
        <v>0</v>
      </c>
      <c r="AF634" s="244" t="s">
        <v>5358</v>
      </c>
      <c r="AG634" s="239" t="str">
        <f>IFERROR(VLOOKUP(작성용!A:A,RM!A:D,4,0),"-")</f>
        <v>서경덕</v>
      </c>
      <c r="AH634" s="9" t="s">
        <v>4911</v>
      </c>
      <c r="AI634" s="235" t="s">
        <v>4771</v>
      </c>
      <c r="AJ634" s="235" t="s">
        <v>4920</v>
      </c>
      <c r="AK634" s="235" t="s">
        <v>4777</v>
      </c>
      <c r="AL634" s="235">
        <v>633</v>
      </c>
    </row>
    <row r="635" spans="1:38" x14ac:dyDescent="0.3">
      <c r="A635" s="222" t="s">
        <v>2249</v>
      </c>
      <c r="B635" s="222" t="s">
        <v>5571</v>
      </c>
      <c r="C635" s="241" t="s">
        <v>4778</v>
      </c>
      <c r="D635" s="237" t="s">
        <v>5588</v>
      </c>
      <c r="E635" s="236">
        <v>1101115534337</v>
      </c>
      <c r="F635" s="240" t="s">
        <v>4780</v>
      </c>
      <c r="G635" s="214">
        <v>0</v>
      </c>
      <c r="H635" s="231" t="s">
        <v>4771</v>
      </c>
      <c r="I635" s="231"/>
      <c r="J635" s="231"/>
      <c r="K635" s="231"/>
      <c r="L635" s="231"/>
      <c r="M635" s="231"/>
      <c r="N635" s="231" t="s">
        <v>5566</v>
      </c>
      <c r="O635" s="246" t="s">
        <v>5567</v>
      </c>
      <c r="P635" s="246" t="s">
        <v>5568</v>
      </c>
      <c r="Q635" s="225" t="s">
        <v>5569</v>
      </c>
      <c r="R635" s="212" t="s">
        <v>2</v>
      </c>
      <c r="S635" s="213" t="s">
        <v>4771</v>
      </c>
      <c r="T635" s="233">
        <v>45579</v>
      </c>
      <c r="U635" s="234" t="s">
        <v>4759</v>
      </c>
      <c r="V635" s="234">
        <v>45608</v>
      </c>
      <c r="W635" s="233">
        <v>45611</v>
      </c>
      <c r="X635" s="234" t="s">
        <v>4771</v>
      </c>
      <c r="Y635" s="234"/>
      <c r="Z635" s="234" t="s">
        <v>5570</v>
      </c>
      <c r="AA635" s="224">
        <v>202411</v>
      </c>
      <c r="AB635" s="243"/>
      <c r="AC635" s="244" t="s">
        <v>4800</v>
      </c>
      <c r="AD635" s="244" t="s">
        <v>4856</v>
      </c>
      <c r="AE635" s="245">
        <v>1</v>
      </c>
      <c r="AF635" s="244" t="s">
        <v>4856</v>
      </c>
      <c r="AG635" s="239" t="str">
        <f>IFERROR(VLOOKUP(작성용!A:A,RM!A:D,4,0),"-")</f>
        <v>서경덕</v>
      </c>
      <c r="AH635" s="9" t="s">
        <v>4911</v>
      </c>
      <c r="AI635" s="235" t="s">
        <v>4771</v>
      </c>
      <c r="AJ635" s="235" t="s">
        <v>4920</v>
      </c>
      <c r="AK635" s="235" t="s">
        <v>4777</v>
      </c>
      <c r="AL635" s="235">
        <v>634</v>
      </c>
    </row>
    <row r="636" spans="1:38" x14ac:dyDescent="0.3">
      <c r="A636" s="222" t="s">
        <v>2249</v>
      </c>
      <c r="B636" s="222" t="s">
        <v>5571</v>
      </c>
      <c r="C636" s="241" t="s">
        <v>4778</v>
      </c>
      <c r="D636" s="237" t="s">
        <v>5589</v>
      </c>
      <c r="E636" s="236">
        <v>2149110007099</v>
      </c>
      <c r="F636" s="240" t="s">
        <v>4854</v>
      </c>
      <c r="G636" s="214">
        <v>0</v>
      </c>
      <c r="H636" s="231" t="s">
        <v>4771</v>
      </c>
      <c r="I636" s="231"/>
      <c r="J636" s="231"/>
      <c r="K636" s="231"/>
      <c r="L636" s="231"/>
      <c r="M636" s="231"/>
      <c r="N636" s="231" t="s">
        <v>5566</v>
      </c>
      <c r="O636" s="246" t="s">
        <v>5567</v>
      </c>
      <c r="P636" s="246" t="s">
        <v>5568</v>
      </c>
      <c r="Q636" s="225" t="s">
        <v>5569</v>
      </c>
      <c r="R636" s="212" t="s">
        <v>2</v>
      </c>
      <c r="S636" s="213" t="s">
        <v>4771</v>
      </c>
      <c r="T636" s="233">
        <v>45579</v>
      </c>
      <c r="U636" s="234" t="s">
        <v>4759</v>
      </c>
      <c r="V636" s="234">
        <v>45608</v>
      </c>
      <c r="W636" s="233">
        <v>45611</v>
      </c>
      <c r="X636" s="234" t="s">
        <v>2</v>
      </c>
      <c r="Y636" s="234"/>
      <c r="Z636" s="234" t="s">
        <v>5570</v>
      </c>
      <c r="AA636" s="224">
        <v>202411</v>
      </c>
      <c r="AB636" s="243"/>
      <c r="AC636" s="244" t="s">
        <v>4800</v>
      </c>
      <c r="AD636" s="244" t="s">
        <v>4915</v>
      </c>
      <c r="AE636" s="245">
        <v>1</v>
      </c>
      <c r="AF636" s="244" t="s">
        <v>4915</v>
      </c>
      <c r="AG636" s="239" t="str">
        <f>IFERROR(VLOOKUP(작성용!A:A,RM!A:D,4,0),"-")</f>
        <v>서경덕</v>
      </c>
      <c r="AH636" s="9" t="s">
        <v>4911</v>
      </c>
      <c r="AI636" s="235" t="s">
        <v>4771</v>
      </c>
      <c r="AJ636" s="235" t="s">
        <v>4920</v>
      </c>
      <c r="AK636" s="235" t="s">
        <v>4777</v>
      </c>
      <c r="AL636" s="235">
        <v>635</v>
      </c>
    </row>
    <row r="637" spans="1:38" x14ac:dyDescent="0.3">
      <c r="A637" s="222" t="s">
        <v>2249</v>
      </c>
      <c r="B637" s="222" t="s">
        <v>5571</v>
      </c>
      <c r="C637" s="241" t="s">
        <v>4778</v>
      </c>
      <c r="D637" s="237" t="s">
        <v>5590</v>
      </c>
      <c r="E637" s="236">
        <v>2111110024216</v>
      </c>
      <c r="F637" s="240" t="s">
        <v>4854</v>
      </c>
      <c r="G637" s="214">
        <v>0</v>
      </c>
      <c r="H637" s="231" t="s">
        <v>4771</v>
      </c>
      <c r="I637" s="231"/>
      <c r="J637" s="231"/>
      <c r="K637" s="231"/>
      <c r="L637" s="231"/>
      <c r="M637" s="231"/>
      <c r="N637" s="231" t="s">
        <v>5566</v>
      </c>
      <c r="O637" s="246" t="s">
        <v>5567</v>
      </c>
      <c r="P637" s="246" t="s">
        <v>5568</v>
      </c>
      <c r="Q637" s="225" t="s">
        <v>5569</v>
      </c>
      <c r="R637" s="212" t="s">
        <v>2</v>
      </c>
      <c r="S637" s="213" t="s">
        <v>4771</v>
      </c>
      <c r="T637" s="233">
        <v>45579</v>
      </c>
      <c r="U637" s="234" t="s">
        <v>4759</v>
      </c>
      <c r="V637" s="234">
        <v>45608</v>
      </c>
      <c r="W637" s="233">
        <v>45611</v>
      </c>
      <c r="X637" s="234" t="s">
        <v>2</v>
      </c>
      <c r="Y637" s="234"/>
      <c r="Z637" s="234" t="s">
        <v>5570</v>
      </c>
      <c r="AA637" s="224">
        <v>202411</v>
      </c>
      <c r="AB637" s="243"/>
      <c r="AC637" s="244" t="s">
        <v>4800</v>
      </c>
      <c r="AD637" s="244" t="s">
        <v>4897</v>
      </c>
      <c r="AE637" s="245">
        <v>1</v>
      </c>
      <c r="AF637" s="244" t="s">
        <v>4897</v>
      </c>
      <c r="AG637" s="239" t="str">
        <f>IFERROR(VLOOKUP(작성용!A:A,RM!A:D,4,0),"-")</f>
        <v>서경덕</v>
      </c>
      <c r="AH637" s="9" t="s">
        <v>4911</v>
      </c>
      <c r="AI637" s="235" t="s">
        <v>4771</v>
      </c>
      <c r="AJ637" s="235" t="s">
        <v>4920</v>
      </c>
      <c r="AK637" s="235" t="s">
        <v>4777</v>
      </c>
      <c r="AL637" s="235">
        <v>636</v>
      </c>
    </row>
    <row r="638" spans="1:38" x14ac:dyDescent="0.3">
      <c r="A638" s="222" t="s">
        <v>2249</v>
      </c>
      <c r="B638" s="222" t="s">
        <v>5571</v>
      </c>
      <c r="C638" s="241" t="s">
        <v>4778</v>
      </c>
      <c r="D638" s="237" t="s">
        <v>5591</v>
      </c>
      <c r="E638" s="236">
        <v>1101140262771</v>
      </c>
      <c r="F638" s="240" t="s">
        <v>4854</v>
      </c>
      <c r="G638" s="214">
        <v>0</v>
      </c>
      <c r="H638" s="231" t="s">
        <v>4771</v>
      </c>
      <c r="I638" s="231"/>
      <c r="J638" s="231"/>
      <c r="K638" s="231"/>
      <c r="L638" s="231"/>
      <c r="M638" s="231"/>
      <c r="N638" s="231" t="s">
        <v>5566</v>
      </c>
      <c r="O638" s="246" t="s">
        <v>5567</v>
      </c>
      <c r="P638" s="246" t="s">
        <v>5568</v>
      </c>
      <c r="Q638" s="225" t="s">
        <v>5569</v>
      </c>
      <c r="R638" s="212" t="s">
        <v>2</v>
      </c>
      <c r="S638" s="213" t="s">
        <v>4771</v>
      </c>
      <c r="T638" s="233">
        <v>45579</v>
      </c>
      <c r="U638" s="234" t="s">
        <v>4772</v>
      </c>
      <c r="V638" s="234">
        <v>45663</v>
      </c>
      <c r="W638" s="234">
        <v>45663</v>
      </c>
      <c r="X638" s="234" t="s">
        <v>2</v>
      </c>
      <c r="Y638" s="234"/>
      <c r="Z638" s="234" t="s">
        <v>4657</v>
      </c>
      <c r="AA638" s="243">
        <v>202412</v>
      </c>
      <c r="AB638" s="243"/>
      <c r="AC638" s="244" t="s">
        <v>4800</v>
      </c>
      <c r="AD638" s="244" t="s">
        <v>4862</v>
      </c>
      <c r="AE638" s="245">
        <v>1</v>
      </c>
      <c r="AF638" s="244" t="s">
        <v>4862</v>
      </c>
      <c r="AG638" s="239" t="str">
        <f>IFERROR(VLOOKUP(작성용!A:A,RM!A:D,4,0),"-")</f>
        <v>서경덕</v>
      </c>
      <c r="AH638" s="9" t="s">
        <v>4911</v>
      </c>
      <c r="AI638" s="235" t="s">
        <v>5226</v>
      </c>
      <c r="AJ638" s="235" t="s">
        <v>4847</v>
      </c>
      <c r="AK638" s="235" t="s">
        <v>4777</v>
      </c>
      <c r="AL638" s="235">
        <v>637</v>
      </c>
    </row>
    <row r="639" spans="1:38" x14ac:dyDescent="0.3">
      <c r="A639" s="222" t="s">
        <v>2249</v>
      </c>
      <c r="B639" s="222" t="s">
        <v>5571</v>
      </c>
      <c r="C639" s="241" t="s">
        <v>4778</v>
      </c>
      <c r="D639" s="237" t="s">
        <v>5592</v>
      </c>
      <c r="E639" s="236">
        <v>1101118121727</v>
      </c>
      <c r="F639" s="240" t="s">
        <v>4850</v>
      </c>
      <c r="G639" s="214">
        <v>0</v>
      </c>
      <c r="H639" s="231" t="s">
        <v>4771</v>
      </c>
      <c r="I639" s="231"/>
      <c r="J639" s="231"/>
      <c r="K639" s="231"/>
      <c r="L639" s="231"/>
      <c r="M639" s="231"/>
      <c r="N639" s="231" t="s">
        <v>5566</v>
      </c>
      <c r="O639" s="246" t="s">
        <v>5567</v>
      </c>
      <c r="P639" s="246" t="s">
        <v>5568</v>
      </c>
      <c r="Q639" s="225" t="s">
        <v>5569</v>
      </c>
      <c r="R639" s="212" t="s">
        <v>2</v>
      </c>
      <c r="S639" s="213" t="s">
        <v>4771</v>
      </c>
      <c r="T639" s="233">
        <v>45579</v>
      </c>
      <c r="U639" s="234" t="s">
        <v>4772</v>
      </c>
      <c r="V639" s="234">
        <v>45663</v>
      </c>
      <c r="W639" s="234">
        <v>45663</v>
      </c>
      <c r="X639" s="234" t="s">
        <v>2</v>
      </c>
      <c r="Y639" s="234"/>
      <c r="Z639" s="234" t="s">
        <v>4657</v>
      </c>
      <c r="AA639" s="243">
        <v>202412</v>
      </c>
      <c r="AB639" s="243"/>
      <c r="AC639" s="244" t="s">
        <v>4800</v>
      </c>
      <c r="AD639" s="244" t="s">
        <v>4845</v>
      </c>
      <c r="AE639" s="245">
        <v>1</v>
      </c>
      <c r="AF639" s="244" t="s">
        <v>4845</v>
      </c>
      <c r="AG639" s="239" t="str">
        <f>IFERROR(VLOOKUP(작성용!A:A,RM!A:D,4,0),"-")</f>
        <v>서경덕</v>
      </c>
      <c r="AH639" s="9" t="s">
        <v>4911</v>
      </c>
      <c r="AI639" s="235" t="s">
        <v>5226</v>
      </c>
      <c r="AJ639" s="235" t="s">
        <v>4847</v>
      </c>
      <c r="AK639" s="235" t="s">
        <v>4777</v>
      </c>
      <c r="AL639" s="235">
        <v>638</v>
      </c>
    </row>
    <row r="640" spans="1:38" x14ac:dyDescent="0.3">
      <c r="A640" s="222" t="s">
        <v>2249</v>
      </c>
      <c r="B640" s="222" t="s">
        <v>2250</v>
      </c>
      <c r="C640" s="241" t="s">
        <v>4778</v>
      </c>
      <c r="D640" s="237" t="s">
        <v>5579</v>
      </c>
      <c r="E640" s="236">
        <v>1301110045690</v>
      </c>
      <c r="F640" s="240" t="s">
        <v>4854</v>
      </c>
      <c r="G640" s="214">
        <v>0</v>
      </c>
      <c r="H640" s="231" t="s">
        <v>4771</v>
      </c>
      <c r="I640" s="231"/>
      <c r="J640" s="231"/>
      <c r="K640" s="231"/>
      <c r="L640" s="231"/>
      <c r="M640" s="231"/>
      <c r="N640" s="231" t="s">
        <v>5566</v>
      </c>
      <c r="O640" s="246" t="s">
        <v>5567</v>
      </c>
      <c r="P640" s="246" t="s">
        <v>5568</v>
      </c>
      <c r="Q640" s="225" t="s">
        <v>5569</v>
      </c>
      <c r="R640" s="212" t="s">
        <v>2</v>
      </c>
      <c r="S640" s="213" t="s">
        <v>4771</v>
      </c>
      <c r="T640" s="233">
        <v>45579</v>
      </c>
      <c r="U640" s="234" t="s">
        <v>4772</v>
      </c>
      <c r="V640" s="234">
        <v>45663</v>
      </c>
      <c r="W640" s="234">
        <v>45663</v>
      </c>
      <c r="X640" s="234" t="s">
        <v>2</v>
      </c>
      <c r="Y640" s="234"/>
      <c r="Z640" s="234" t="s">
        <v>4657</v>
      </c>
      <c r="AA640" s="243">
        <v>202412</v>
      </c>
      <c r="AB640" s="243"/>
      <c r="AC640" s="244" t="s">
        <v>4800</v>
      </c>
      <c r="AD640" s="244" t="s">
        <v>4935</v>
      </c>
      <c r="AE640" s="245">
        <v>1</v>
      </c>
      <c r="AF640" s="244" t="s">
        <v>4935</v>
      </c>
      <c r="AG640" s="239" t="str">
        <f>IFERROR(VLOOKUP(작성용!A:A,RM!A:D,4,0),"-")</f>
        <v>서경덕</v>
      </c>
      <c r="AH640" s="9" t="s">
        <v>4911</v>
      </c>
      <c r="AI640" s="235" t="s">
        <v>4771</v>
      </c>
      <c r="AJ640" s="235" t="s">
        <v>4847</v>
      </c>
      <c r="AK640" s="235" t="s">
        <v>4777</v>
      </c>
      <c r="AL640" s="235">
        <v>639</v>
      </c>
    </row>
    <row r="641" spans="1:38" x14ac:dyDescent="0.3">
      <c r="A641" s="222" t="s">
        <v>2249</v>
      </c>
      <c r="B641" s="222" t="s">
        <v>2250</v>
      </c>
      <c r="C641" s="241" t="s">
        <v>4778</v>
      </c>
      <c r="D641" s="237" t="s">
        <v>5396</v>
      </c>
      <c r="E641" s="236" t="s">
        <v>4003</v>
      </c>
      <c r="F641" s="240" t="s">
        <v>4850</v>
      </c>
      <c r="G641" s="214">
        <v>0</v>
      </c>
      <c r="H641" s="231" t="s">
        <v>4771</v>
      </c>
      <c r="I641" s="231"/>
      <c r="J641" s="231"/>
      <c r="K641" s="231"/>
      <c r="L641" s="231"/>
      <c r="M641" s="231"/>
      <c r="N641" s="231" t="s">
        <v>5566</v>
      </c>
      <c r="O641" s="246" t="s">
        <v>5567</v>
      </c>
      <c r="P641" s="246" t="s">
        <v>5568</v>
      </c>
      <c r="Q641" s="225" t="s">
        <v>5569</v>
      </c>
      <c r="R641" s="212" t="s">
        <v>2</v>
      </c>
      <c r="S641" s="213" t="s">
        <v>4771</v>
      </c>
      <c r="T641" s="233">
        <v>45579</v>
      </c>
      <c r="U641" s="234" t="s">
        <v>4772</v>
      </c>
      <c r="V641" s="234">
        <v>45663</v>
      </c>
      <c r="W641" s="234">
        <v>45663</v>
      </c>
      <c r="X641" s="234" t="s">
        <v>2</v>
      </c>
      <c r="Y641" s="234"/>
      <c r="Z641" s="234" t="s">
        <v>4657</v>
      </c>
      <c r="AA641" s="243">
        <v>202412</v>
      </c>
      <c r="AB641" s="243"/>
      <c r="AC641" s="244" t="s">
        <v>4800</v>
      </c>
      <c r="AD641" s="244" t="s">
        <v>4862</v>
      </c>
      <c r="AE641" s="245">
        <v>1</v>
      </c>
      <c r="AF641" s="244" t="s">
        <v>4862</v>
      </c>
      <c r="AG641" s="239" t="str">
        <f>IFERROR(VLOOKUP(작성용!A:A,RM!A:D,4,0),"-")</f>
        <v>서경덕</v>
      </c>
      <c r="AH641" s="9" t="s">
        <v>4911</v>
      </c>
      <c r="AI641" s="235" t="s">
        <v>4771</v>
      </c>
      <c r="AJ641" s="235" t="s">
        <v>4847</v>
      </c>
      <c r="AK641" s="235" t="s">
        <v>4777</v>
      </c>
      <c r="AL641" s="235">
        <v>640</v>
      </c>
    </row>
    <row r="642" spans="1:38" x14ac:dyDescent="0.3">
      <c r="A642" s="222" t="s">
        <v>2249</v>
      </c>
      <c r="B642" s="222" t="s">
        <v>2250</v>
      </c>
      <c r="C642" s="241" t="s">
        <v>4778</v>
      </c>
      <c r="D642" s="237" t="s">
        <v>5580</v>
      </c>
      <c r="E642" s="236">
        <v>1348110178873</v>
      </c>
      <c r="F642" s="240" t="s">
        <v>4894</v>
      </c>
      <c r="G642" s="214">
        <v>0</v>
      </c>
      <c r="H642" s="231" t="s">
        <v>4771</v>
      </c>
      <c r="I642" s="231"/>
      <c r="J642" s="231"/>
      <c r="K642" s="231"/>
      <c r="L642" s="231"/>
      <c r="M642" s="231"/>
      <c r="N642" s="231" t="s">
        <v>5566</v>
      </c>
      <c r="O642" s="246" t="s">
        <v>5567</v>
      </c>
      <c r="P642" s="246" t="s">
        <v>5568</v>
      </c>
      <c r="Q642" s="225" t="s">
        <v>5569</v>
      </c>
      <c r="R642" s="212" t="s">
        <v>2</v>
      </c>
      <c r="S642" s="213" t="s">
        <v>4771</v>
      </c>
      <c r="T642" s="233">
        <v>45579</v>
      </c>
      <c r="U642" s="234" t="s">
        <v>4772</v>
      </c>
      <c r="V642" s="234">
        <v>45663</v>
      </c>
      <c r="W642" s="234">
        <v>45663</v>
      </c>
      <c r="X642" s="234" t="s">
        <v>2</v>
      </c>
      <c r="Y642" s="234"/>
      <c r="Z642" s="234" t="s">
        <v>4657</v>
      </c>
      <c r="AA642" s="243">
        <v>202412</v>
      </c>
      <c r="AB642" s="243"/>
      <c r="AC642" s="244" t="s">
        <v>4800</v>
      </c>
      <c r="AD642" s="244" t="s">
        <v>4774</v>
      </c>
      <c r="AE642" s="245">
        <v>0</v>
      </c>
      <c r="AF642" s="244" t="s">
        <v>4774</v>
      </c>
      <c r="AG642" s="239" t="str">
        <f>IFERROR(VLOOKUP(작성용!A:A,RM!A:D,4,0),"-")</f>
        <v>서경덕</v>
      </c>
      <c r="AH642" s="9" t="s">
        <v>4911</v>
      </c>
      <c r="AI642" s="235" t="s">
        <v>4771</v>
      </c>
      <c r="AJ642" s="235" t="s">
        <v>4847</v>
      </c>
      <c r="AK642" s="235" t="s">
        <v>4777</v>
      </c>
      <c r="AL642" s="235">
        <v>641</v>
      </c>
    </row>
    <row r="643" spans="1:38" x14ac:dyDescent="0.3">
      <c r="A643" s="222" t="s">
        <v>2249</v>
      </c>
      <c r="B643" s="222" t="s">
        <v>2250</v>
      </c>
      <c r="C643" s="241" t="s">
        <v>4778</v>
      </c>
      <c r="D643" s="237" t="s">
        <v>5581</v>
      </c>
      <c r="E643" s="236">
        <v>1501110282058</v>
      </c>
      <c r="F643" s="240" t="s">
        <v>4894</v>
      </c>
      <c r="G643" s="214">
        <v>0</v>
      </c>
      <c r="H643" s="231" t="s">
        <v>4771</v>
      </c>
      <c r="I643" s="231"/>
      <c r="J643" s="231"/>
      <c r="K643" s="231"/>
      <c r="L643" s="231"/>
      <c r="M643" s="231"/>
      <c r="N643" s="231" t="s">
        <v>5593</v>
      </c>
      <c r="O643" s="246" t="s">
        <v>5567</v>
      </c>
      <c r="P643" s="246" t="s">
        <v>5594</v>
      </c>
      <c r="Q643" s="225" t="s">
        <v>5595</v>
      </c>
      <c r="R643" s="212" t="s">
        <v>2</v>
      </c>
      <c r="S643" s="213" t="s">
        <v>4771</v>
      </c>
      <c r="T643" s="233">
        <v>45579</v>
      </c>
      <c r="U643" s="234" t="s">
        <v>4772</v>
      </c>
      <c r="V643" s="234">
        <v>45663</v>
      </c>
      <c r="W643" s="234">
        <v>45663</v>
      </c>
      <c r="X643" s="234" t="s">
        <v>2</v>
      </c>
      <c r="Y643" s="234"/>
      <c r="Z643" s="234" t="s">
        <v>4657</v>
      </c>
      <c r="AA643" s="243">
        <v>202412</v>
      </c>
      <c r="AB643" s="243"/>
      <c r="AC643" s="244" t="s">
        <v>4800</v>
      </c>
      <c r="AD643" s="244" t="s">
        <v>4856</v>
      </c>
      <c r="AE643" s="245">
        <v>1</v>
      </c>
      <c r="AF643" s="244" t="s">
        <v>5596</v>
      </c>
      <c r="AG643" s="239" t="str">
        <f>IFERROR(VLOOKUP(작성용!A:A,RM!A:D,4,0),"-")</f>
        <v>서경덕</v>
      </c>
      <c r="AH643" s="9" t="s">
        <v>4911</v>
      </c>
      <c r="AI643" s="235" t="s">
        <v>4771</v>
      </c>
      <c r="AJ643" s="235" t="s">
        <v>5597</v>
      </c>
      <c r="AK643" s="235" t="s">
        <v>4777</v>
      </c>
      <c r="AL643" s="235">
        <v>642</v>
      </c>
    </row>
    <row r="644" spans="1:38" x14ac:dyDescent="0.3">
      <c r="A644" s="222" t="s">
        <v>2249</v>
      </c>
      <c r="B644" s="222" t="s">
        <v>2250</v>
      </c>
      <c r="C644" s="241" t="s">
        <v>4778</v>
      </c>
      <c r="D644" s="237" t="s">
        <v>5588</v>
      </c>
      <c r="E644" s="236">
        <v>1101115534337</v>
      </c>
      <c r="F644" s="240" t="s">
        <v>4780</v>
      </c>
      <c r="G644" s="214">
        <v>0</v>
      </c>
      <c r="H644" s="231" t="s">
        <v>4771</v>
      </c>
      <c r="I644" s="231"/>
      <c r="J644" s="231"/>
      <c r="K644" s="231"/>
      <c r="L644" s="231"/>
      <c r="M644" s="231"/>
      <c r="N644" s="231" t="s">
        <v>5566</v>
      </c>
      <c r="O644" s="246" t="s">
        <v>5567</v>
      </c>
      <c r="P644" s="246" t="s">
        <v>5568</v>
      </c>
      <c r="Q644" s="225" t="s">
        <v>5595</v>
      </c>
      <c r="R644" s="212" t="s">
        <v>2</v>
      </c>
      <c r="S644" s="213" t="s">
        <v>4771</v>
      </c>
      <c r="T644" s="233">
        <v>45579</v>
      </c>
      <c r="U644" s="234" t="s">
        <v>4772</v>
      </c>
      <c r="V644" s="234">
        <v>45663</v>
      </c>
      <c r="W644" s="234">
        <v>45663</v>
      </c>
      <c r="X644" s="234" t="s">
        <v>2</v>
      </c>
      <c r="Y644" s="234"/>
      <c r="Z644" s="234" t="s">
        <v>4657</v>
      </c>
      <c r="AA644" s="243">
        <v>202412</v>
      </c>
      <c r="AB644" s="243"/>
      <c r="AC644" s="244" t="s">
        <v>4800</v>
      </c>
      <c r="AD644" s="244" t="s">
        <v>4856</v>
      </c>
      <c r="AE644" s="245">
        <v>1</v>
      </c>
      <c r="AF644" s="244" t="s">
        <v>4856</v>
      </c>
      <c r="AG644" s="239" t="str">
        <f>IFERROR(VLOOKUP(작성용!A:A,RM!A:D,4,0),"-")</f>
        <v>서경덕</v>
      </c>
      <c r="AH644" s="9" t="s">
        <v>4911</v>
      </c>
      <c r="AI644" s="235" t="s">
        <v>4771</v>
      </c>
      <c r="AJ644" s="235" t="s">
        <v>4847</v>
      </c>
      <c r="AK644" s="235" t="s">
        <v>4777</v>
      </c>
      <c r="AL644" s="235">
        <v>643</v>
      </c>
    </row>
    <row r="645" spans="1:38" x14ac:dyDescent="0.3">
      <c r="A645" s="222" t="s">
        <v>2249</v>
      </c>
      <c r="B645" s="222" t="s">
        <v>2250</v>
      </c>
      <c r="C645" s="241" t="s">
        <v>4778</v>
      </c>
      <c r="D645" s="237" t="s">
        <v>5582</v>
      </c>
      <c r="E645" s="236">
        <v>1101117736957</v>
      </c>
      <c r="F645" s="240" t="s">
        <v>4780</v>
      </c>
      <c r="G645" s="214">
        <v>0</v>
      </c>
      <c r="H645" s="231" t="s">
        <v>4771</v>
      </c>
      <c r="I645" s="231"/>
      <c r="J645" s="231"/>
      <c r="K645" s="231"/>
      <c r="L645" s="231"/>
      <c r="M645" s="231"/>
      <c r="N645" s="231" t="s">
        <v>5566</v>
      </c>
      <c r="O645" s="246" t="s">
        <v>5598</v>
      </c>
      <c r="P645" s="246" t="s">
        <v>5568</v>
      </c>
      <c r="Q645" s="225" t="s">
        <v>5595</v>
      </c>
      <c r="R645" s="212" t="s">
        <v>2</v>
      </c>
      <c r="S645" s="213" t="s">
        <v>4771</v>
      </c>
      <c r="T645" s="233">
        <v>45579</v>
      </c>
      <c r="U645" s="234" t="s">
        <v>4772</v>
      </c>
      <c r="V645" s="234">
        <v>45663</v>
      </c>
      <c r="W645" s="234">
        <v>45663</v>
      </c>
      <c r="X645" s="234" t="s">
        <v>4771</v>
      </c>
      <c r="Y645" s="234"/>
      <c r="Z645" s="234" t="s">
        <v>4657</v>
      </c>
      <c r="AA645" s="243">
        <v>202412</v>
      </c>
      <c r="AB645" s="243"/>
      <c r="AC645" s="244" t="s">
        <v>4800</v>
      </c>
      <c r="AD645" s="244" t="s">
        <v>4864</v>
      </c>
      <c r="AE645" s="245">
        <v>1</v>
      </c>
      <c r="AF645" s="244" t="s">
        <v>4864</v>
      </c>
      <c r="AG645" s="239" t="str">
        <f>IFERROR(VLOOKUP(작성용!A:A,RM!A:D,4,0),"-")</f>
        <v>서경덕</v>
      </c>
      <c r="AH645" s="9" t="s">
        <v>4911</v>
      </c>
      <c r="AI645" s="235" t="s">
        <v>4771</v>
      </c>
      <c r="AJ645" s="235" t="s">
        <v>4847</v>
      </c>
      <c r="AK645" s="235" t="s">
        <v>4777</v>
      </c>
      <c r="AL645" s="235">
        <v>644</v>
      </c>
    </row>
    <row r="646" spans="1:38" x14ac:dyDescent="0.3">
      <c r="A646" s="222" t="s">
        <v>2249</v>
      </c>
      <c r="B646" s="222" t="s">
        <v>2250</v>
      </c>
      <c r="C646" s="241" t="s">
        <v>4778</v>
      </c>
      <c r="D646" s="237" t="s">
        <v>5586</v>
      </c>
      <c r="E646" s="236">
        <v>1311110093953</v>
      </c>
      <c r="F646" s="240" t="s">
        <v>4854</v>
      </c>
      <c r="G646" s="214">
        <v>0</v>
      </c>
      <c r="H646" s="231" t="s">
        <v>4771</v>
      </c>
      <c r="I646" s="231"/>
      <c r="J646" s="231"/>
      <c r="K646" s="231"/>
      <c r="L646" s="231"/>
      <c r="M646" s="231"/>
      <c r="N646" s="231" t="s">
        <v>5566</v>
      </c>
      <c r="O646" s="246" t="s">
        <v>5567</v>
      </c>
      <c r="P646" s="246" t="s">
        <v>5568</v>
      </c>
      <c r="Q646" s="225" t="s">
        <v>5569</v>
      </c>
      <c r="R646" s="212" t="s">
        <v>2</v>
      </c>
      <c r="S646" s="213" t="s">
        <v>4771</v>
      </c>
      <c r="T646" s="233">
        <v>45579</v>
      </c>
      <c r="U646" s="234" t="s">
        <v>4772</v>
      </c>
      <c r="V646" s="234">
        <v>45663</v>
      </c>
      <c r="W646" s="234">
        <v>45663</v>
      </c>
      <c r="X646" s="234" t="s">
        <v>2</v>
      </c>
      <c r="Y646" s="234"/>
      <c r="Z646" s="234" t="s">
        <v>4657</v>
      </c>
      <c r="AA646" s="243">
        <v>202412</v>
      </c>
      <c r="AB646" s="243"/>
      <c r="AC646" s="244" t="s">
        <v>4800</v>
      </c>
      <c r="AD646" s="244" t="s">
        <v>4905</v>
      </c>
      <c r="AE646" s="245">
        <v>1</v>
      </c>
      <c r="AF646" s="244" t="s">
        <v>4905</v>
      </c>
      <c r="AG646" s="239" t="str">
        <f>IFERROR(VLOOKUP(작성용!A:A,RM!A:D,4,0),"-")</f>
        <v>서경덕</v>
      </c>
      <c r="AH646" s="9" t="s">
        <v>4911</v>
      </c>
      <c r="AI646" s="235" t="s">
        <v>4771</v>
      </c>
      <c r="AJ646" s="235" t="s">
        <v>4847</v>
      </c>
      <c r="AK646" s="235" t="s">
        <v>4777</v>
      </c>
      <c r="AL646" s="235">
        <v>645</v>
      </c>
    </row>
    <row r="647" spans="1:38" x14ac:dyDescent="0.3">
      <c r="A647" s="222" t="s">
        <v>2249</v>
      </c>
      <c r="B647" s="222" t="s">
        <v>2250</v>
      </c>
      <c r="C647" s="241" t="s">
        <v>4778</v>
      </c>
      <c r="D647" s="237" t="s">
        <v>5586</v>
      </c>
      <c r="E647" s="236">
        <v>1311110093953</v>
      </c>
      <c r="F647" s="240" t="s">
        <v>5587</v>
      </c>
      <c r="G647" s="214">
        <v>0</v>
      </c>
      <c r="H647" s="231" t="s">
        <v>4771</v>
      </c>
      <c r="I647" s="231"/>
      <c r="J647" s="231"/>
      <c r="K647" s="231"/>
      <c r="L647" s="231"/>
      <c r="M647" s="231"/>
      <c r="N647" s="231" t="s">
        <v>5566</v>
      </c>
      <c r="O647" s="246" t="s">
        <v>5567</v>
      </c>
      <c r="P647" s="246" t="s">
        <v>5568</v>
      </c>
      <c r="Q647" s="225" t="s">
        <v>5569</v>
      </c>
      <c r="R647" s="212" t="s">
        <v>2</v>
      </c>
      <c r="S647" s="213" t="s">
        <v>4771</v>
      </c>
      <c r="T647" s="233">
        <v>45579</v>
      </c>
      <c r="U647" s="234" t="s">
        <v>4772</v>
      </c>
      <c r="V647" s="234">
        <v>45663</v>
      </c>
      <c r="W647" s="234">
        <v>45663</v>
      </c>
      <c r="X647" s="234" t="s">
        <v>2</v>
      </c>
      <c r="Y647" s="234"/>
      <c r="Z647" s="234" t="s">
        <v>4657</v>
      </c>
      <c r="AA647" s="243">
        <v>202412</v>
      </c>
      <c r="AB647" s="243"/>
      <c r="AC647" s="244" t="s">
        <v>4800</v>
      </c>
      <c r="AD647" s="244" t="s">
        <v>5358</v>
      </c>
      <c r="AE647" s="245">
        <v>0</v>
      </c>
      <c r="AF647" s="244" t="s">
        <v>5358</v>
      </c>
      <c r="AG647" s="239" t="str">
        <f>IFERROR(VLOOKUP(작성용!A:A,RM!A:D,4,0),"-")</f>
        <v>서경덕</v>
      </c>
      <c r="AH647" s="9" t="s">
        <v>4911</v>
      </c>
      <c r="AI647" s="235" t="s">
        <v>4771</v>
      </c>
      <c r="AJ647" s="235" t="s">
        <v>4847</v>
      </c>
      <c r="AK647" s="235" t="s">
        <v>4777</v>
      </c>
      <c r="AL647" s="235">
        <v>646</v>
      </c>
    </row>
    <row r="648" spans="1:38" x14ac:dyDescent="0.3">
      <c r="A648" s="222" t="s">
        <v>2249</v>
      </c>
      <c r="B648" s="222" t="s">
        <v>2250</v>
      </c>
      <c r="C648" s="241" t="s">
        <v>4778</v>
      </c>
      <c r="D648" s="237" t="s">
        <v>5599</v>
      </c>
      <c r="E648" s="236">
        <v>1101140309961</v>
      </c>
      <c r="F648" s="240" t="s">
        <v>4854</v>
      </c>
      <c r="G648" s="214">
        <v>0</v>
      </c>
      <c r="H648" s="231" t="s">
        <v>4771</v>
      </c>
      <c r="I648" s="231"/>
      <c r="J648" s="231"/>
      <c r="K648" s="231"/>
      <c r="L648" s="231"/>
      <c r="M648" s="231"/>
      <c r="N648" s="231" t="s">
        <v>5566</v>
      </c>
      <c r="O648" s="246" t="s">
        <v>5567</v>
      </c>
      <c r="P648" s="246" t="s">
        <v>5568</v>
      </c>
      <c r="Q648" s="225" t="s">
        <v>5569</v>
      </c>
      <c r="R648" s="212" t="s">
        <v>2</v>
      </c>
      <c r="S648" s="213" t="s">
        <v>4771</v>
      </c>
      <c r="T648" s="233">
        <v>45579</v>
      </c>
      <c r="U648" s="234" t="s">
        <v>4772</v>
      </c>
      <c r="V648" s="234">
        <v>45663</v>
      </c>
      <c r="W648" s="234">
        <v>45663</v>
      </c>
      <c r="X648" s="234" t="s">
        <v>2</v>
      </c>
      <c r="Y648" s="234"/>
      <c r="Z648" s="234" t="s">
        <v>4657</v>
      </c>
      <c r="AA648" s="243">
        <v>202412</v>
      </c>
      <c r="AB648" s="243"/>
      <c r="AC648" s="244" t="s">
        <v>4800</v>
      </c>
      <c r="AD648" s="244" t="s">
        <v>4911</v>
      </c>
      <c r="AE648" s="245">
        <v>1</v>
      </c>
      <c r="AF648" s="244" t="s">
        <v>4911</v>
      </c>
      <c r="AG648" s="239" t="str">
        <f>IFERROR(VLOOKUP(작성용!A:A,RM!A:D,4,0),"-")</f>
        <v>서경덕</v>
      </c>
      <c r="AH648" s="9" t="s">
        <v>4911</v>
      </c>
      <c r="AI648" s="235" t="s">
        <v>5226</v>
      </c>
      <c r="AJ648" s="235" t="s">
        <v>4847</v>
      </c>
      <c r="AK648" s="235" t="s">
        <v>4777</v>
      </c>
      <c r="AL648" s="235">
        <v>647</v>
      </c>
    </row>
    <row r="649" spans="1:38" x14ac:dyDescent="0.3">
      <c r="A649" s="222" t="s">
        <v>2249</v>
      </c>
      <c r="B649" s="222" t="s">
        <v>2250</v>
      </c>
      <c r="C649" s="241" t="s">
        <v>4762</v>
      </c>
      <c r="D649" s="237" t="s">
        <v>5600</v>
      </c>
      <c r="E649" s="236" t="s">
        <v>4658</v>
      </c>
      <c r="F649" s="240" t="s">
        <v>4854</v>
      </c>
      <c r="G649" s="214">
        <v>0</v>
      </c>
      <c r="H649" s="231" t="s">
        <v>4771</v>
      </c>
      <c r="I649" s="231"/>
      <c r="J649" s="231"/>
      <c r="K649" s="231"/>
      <c r="L649" s="231"/>
      <c r="M649" s="231"/>
      <c r="N649" s="231" t="s">
        <v>5566</v>
      </c>
      <c r="O649" s="246" t="s">
        <v>5567</v>
      </c>
      <c r="P649" s="246" t="s">
        <v>5568</v>
      </c>
      <c r="Q649" s="225" t="s">
        <v>5569</v>
      </c>
      <c r="R649" s="212" t="s">
        <v>2</v>
      </c>
      <c r="S649" s="213" t="s">
        <v>4771</v>
      </c>
      <c r="T649" s="233">
        <v>45579</v>
      </c>
      <c r="U649" s="234" t="s">
        <v>4772</v>
      </c>
      <c r="V649" s="234">
        <v>45663</v>
      </c>
      <c r="W649" s="234">
        <v>45663</v>
      </c>
      <c r="X649" s="234" t="s">
        <v>2</v>
      </c>
      <c r="Y649" s="234"/>
      <c r="Z649" s="234" t="s">
        <v>4657</v>
      </c>
      <c r="AA649" s="243">
        <v>202412</v>
      </c>
      <c r="AB649" s="243"/>
      <c r="AC649" s="244" t="s">
        <v>4800</v>
      </c>
      <c r="AD649" s="244" t="s">
        <v>4897</v>
      </c>
      <c r="AE649" s="245">
        <v>1</v>
      </c>
      <c r="AF649" s="244" t="s">
        <v>4762</v>
      </c>
      <c r="AG649" s="239" t="str">
        <f>IFERROR(VLOOKUP(작성용!A:A,RM!A:D,4,0),"-")</f>
        <v>서경덕</v>
      </c>
      <c r="AH649" s="9" t="s">
        <v>4911</v>
      </c>
      <c r="AI649" s="235" t="s">
        <v>5226</v>
      </c>
      <c r="AJ649" s="235" t="s">
        <v>4847</v>
      </c>
      <c r="AK649" s="235" t="s">
        <v>4777</v>
      </c>
      <c r="AL649" s="235">
        <v>648</v>
      </c>
    </row>
    <row r="650" spans="1:38" x14ac:dyDescent="0.3">
      <c r="A650" s="222" t="s">
        <v>2249</v>
      </c>
      <c r="B650" s="222" t="s">
        <v>2250</v>
      </c>
      <c r="C650" s="241" t="s">
        <v>4778</v>
      </c>
      <c r="D650" s="237" t="s">
        <v>5601</v>
      </c>
      <c r="E650" s="236">
        <v>1101140309888</v>
      </c>
      <c r="F650" s="240" t="s">
        <v>4854</v>
      </c>
      <c r="G650" s="214">
        <v>0</v>
      </c>
      <c r="H650" s="231" t="s">
        <v>4771</v>
      </c>
      <c r="I650" s="231"/>
      <c r="J650" s="231"/>
      <c r="K650" s="231"/>
      <c r="L650" s="231"/>
      <c r="M650" s="231"/>
      <c r="N650" s="231" t="s">
        <v>5566</v>
      </c>
      <c r="O650" s="246" t="s">
        <v>5567</v>
      </c>
      <c r="P650" s="246" t="s">
        <v>5568</v>
      </c>
      <c r="Q650" s="225" t="s">
        <v>5569</v>
      </c>
      <c r="R650" s="212" t="s">
        <v>2</v>
      </c>
      <c r="S650" s="213" t="s">
        <v>4771</v>
      </c>
      <c r="T650" s="233">
        <v>45579</v>
      </c>
      <c r="U650" s="234" t="s">
        <v>4772</v>
      </c>
      <c r="V650" s="234">
        <v>45663</v>
      </c>
      <c r="W650" s="234">
        <v>45663</v>
      </c>
      <c r="X650" s="234" t="s">
        <v>2</v>
      </c>
      <c r="Y650" s="234"/>
      <c r="Z650" s="234" t="s">
        <v>4657</v>
      </c>
      <c r="AA650" s="243">
        <v>202412</v>
      </c>
      <c r="AB650" s="243"/>
      <c r="AC650" s="244" t="s">
        <v>4800</v>
      </c>
      <c r="AD650" s="244" t="s">
        <v>4911</v>
      </c>
      <c r="AE650" s="245">
        <v>1</v>
      </c>
      <c r="AF650" s="244" t="s">
        <v>4911</v>
      </c>
      <c r="AG650" s="239" t="str">
        <f>IFERROR(VLOOKUP(작성용!A:A,RM!A:D,4,0),"-")</f>
        <v>서경덕</v>
      </c>
      <c r="AH650" s="9" t="s">
        <v>4911</v>
      </c>
      <c r="AI650" s="235" t="s">
        <v>5226</v>
      </c>
      <c r="AJ650" s="235" t="s">
        <v>4847</v>
      </c>
      <c r="AK650" s="235" t="s">
        <v>4777</v>
      </c>
      <c r="AL650" s="235">
        <v>649</v>
      </c>
    </row>
    <row r="651" spans="1:38" x14ac:dyDescent="0.3">
      <c r="A651" s="222" t="s">
        <v>2249</v>
      </c>
      <c r="B651" s="222" t="s">
        <v>2250</v>
      </c>
      <c r="C651" s="241" t="s">
        <v>4778</v>
      </c>
      <c r="D651" s="237" t="s">
        <v>5589</v>
      </c>
      <c r="E651" s="236">
        <v>2149110007099</v>
      </c>
      <c r="F651" s="240" t="s">
        <v>4854</v>
      </c>
      <c r="G651" s="214">
        <v>0</v>
      </c>
      <c r="H651" s="231" t="s">
        <v>4771</v>
      </c>
      <c r="I651" s="231"/>
      <c r="J651" s="231"/>
      <c r="K651" s="231"/>
      <c r="L651" s="231"/>
      <c r="M651" s="231"/>
      <c r="N651" s="231" t="s">
        <v>5566</v>
      </c>
      <c r="O651" s="246" t="s">
        <v>5567</v>
      </c>
      <c r="P651" s="246" t="s">
        <v>5568</v>
      </c>
      <c r="Q651" s="225" t="s">
        <v>5569</v>
      </c>
      <c r="R651" s="212" t="s">
        <v>2</v>
      </c>
      <c r="S651" s="213" t="s">
        <v>4771</v>
      </c>
      <c r="T651" s="233">
        <v>45579</v>
      </c>
      <c r="U651" s="234" t="s">
        <v>4772</v>
      </c>
      <c r="V651" s="234">
        <v>45663</v>
      </c>
      <c r="W651" s="234">
        <v>45663</v>
      </c>
      <c r="X651" s="234" t="s">
        <v>2</v>
      </c>
      <c r="Y651" s="234"/>
      <c r="Z651" s="234" t="s">
        <v>4657</v>
      </c>
      <c r="AA651" s="243">
        <v>202412</v>
      </c>
      <c r="AB651" s="243"/>
      <c r="AC651" s="244" t="s">
        <v>4800</v>
      </c>
      <c r="AD651" s="244" t="s">
        <v>4915</v>
      </c>
      <c r="AE651" s="245">
        <v>1</v>
      </c>
      <c r="AF651" s="244" t="s">
        <v>4915</v>
      </c>
      <c r="AG651" s="239" t="str">
        <f>IFERROR(VLOOKUP(작성용!A:A,RM!A:D,4,0),"-")</f>
        <v>서경덕</v>
      </c>
      <c r="AH651" s="9" t="s">
        <v>4911</v>
      </c>
      <c r="AI651" s="235" t="s">
        <v>4771</v>
      </c>
      <c r="AJ651" s="235" t="s">
        <v>4847</v>
      </c>
      <c r="AK651" s="235" t="s">
        <v>4777</v>
      </c>
      <c r="AL651" s="235">
        <v>650</v>
      </c>
    </row>
    <row r="652" spans="1:38" x14ac:dyDescent="0.3">
      <c r="A652" s="222" t="s">
        <v>2249</v>
      </c>
      <c r="B652" s="222" t="s">
        <v>2250</v>
      </c>
      <c r="C652" s="241" t="s">
        <v>4778</v>
      </c>
      <c r="D652" s="237" t="s">
        <v>5590</v>
      </c>
      <c r="E652" s="236">
        <v>2111110024216</v>
      </c>
      <c r="F652" s="240" t="s">
        <v>4854</v>
      </c>
      <c r="G652" s="214">
        <v>0</v>
      </c>
      <c r="H652" s="231" t="s">
        <v>4771</v>
      </c>
      <c r="I652" s="231"/>
      <c r="J652" s="231"/>
      <c r="K652" s="231"/>
      <c r="L652" s="231"/>
      <c r="M652" s="231"/>
      <c r="N652" s="231" t="s">
        <v>5566</v>
      </c>
      <c r="O652" s="246" t="s">
        <v>5567</v>
      </c>
      <c r="P652" s="246" t="s">
        <v>5568</v>
      </c>
      <c r="Q652" s="225" t="s">
        <v>5569</v>
      </c>
      <c r="R652" s="212" t="s">
        <v>2</v>
      </c>
      <c r="S652" s="213" t="s">
        <v>4771</v>
      </c>
      <c r="T652" s="233">
        <v>45579</v>
      </c>
      <c r="U652" s="234" t="s">
        <v>4772</v>
      </c>
      <c r="V652" s="234">
        <v>45663</v>
      </c>
      <c r="W652" s="234">
        <v>45663</v>
      </c>
      <c r="X652" s="234" t="s">
        <v>2</v>
      </c>
      <c r="Y652" s="234"/>
      <c r="Z652" s="234" t="s">
        <v>4657</v>
      </c>
      <c r="AA652" s="243">
        <v>202412</v>
      </c>
      <c r="AB652" s="243"/>
      <c r="AC652" s="244" t="s">
        <v>4800</v>
      </c>
      <c r="AD652" s="244" t="s">
        <v>4897</v>
      </c>
      <c r="AE652" s="245">
        <v>1</v>
      </c>
      <c r="AF652" s="244" t="s">
        <v>4897</v>
      </c>
      <c r="AG652" s="239" t="str">
        <f>IFERROR(VLOOKUP(작성용!A:A,RM!A:D,4,0),"-")</f>
        <v>서경덕</v>
      </c>
      <c r="AH652" s="9" t="s">
        <v>4911</v>
      </c>
      <c r="AI652" s="235" t="s">
        <v>4771</v>
      </c>
      <c r="AJ652" s="235" t="s">
        <v>4847</v>
      </c>
      <c r="AK652" s="235" t="s">
        <v>4777</v>
      </c>
      <c r="AL652" s="235">
        <v>651</v>
      </c>
    </row>
    <row r="653" spans="1:38" x14ac:dyDescent="0.3">
      <c r="A653" s="222" t="s">
        <v>2249</v>
      </c>
      <c r="B653" s="222" t="s">
        <v>2250</v>
      </c>
      <c r="C653" s="241" t="s">
        <v>4762</v>
      </c>
      <c r="D653" s="237" t="s">
        <v>5602</v>
      </c>
      <c r="E653" s="236">
        <v>1101116515930</v>
      </c>
      <c r="F653" s="240" t="s">
        <v>4854</v>
      </c>
      <c r="G653" s="214">
        <v>0</v>
      </c>
      <c r="H653" s="231" t="s">
        <v>4771</v>
      </c>
      <c r="I653" s="231"/>
      <c r="J653" s="231"/>
      <c r="K653" s="231"/>
      <c r="L653" s="231"/>
      <c r="M653" s="231"/>
      <c r="N653" s="231" t="s">
        <v>5566</v>
      </c>
      <c r="O653" s="246" t="s">
        <v>5567</v>
      </c>
      <c r="P653" s="246" t="s">
        <v>5568</v>
      </c>
      <c r="Q653" s="225" t="s">
        <v>5569</v>
      </c>
      <c r="R653" s="212" t="s">
        <v>2</v>
      </c>
      <c r="S653" s="213" t="s">
        <v>4771</v>
      </c>
      <c r="T653" s="233">
        <v>45579</v>
      </c>
      <c r="U653" s="234" t="s">
        <v>4772</v>
      </c>
      <c r="V653" s="234">
        <v>45663</v>
      </c>
      <c r="W653" s="234">
        <v>45663</v>
      </c>
      <c r="X653" s="234" t="s">
        <v>2</v>
      </c>
      <c r="Y653" s="234"/>
      <c r="Z653" s="234" t="s">
        <v>4657</v>
      </c>
      <c r="AA653" s="243">
        <v>202412</v>
      </c>
      <c r="AB653" s="243"/>
      <c r="AC653" s="244" t="s">
        <v>4800</v>
      </c>
      <c r="AD653" s="244" t="s">
        <v>4846</v>
      </c>
      <c r="AE653" s="245">
        <v>1</v>
      </c>
      <c r="AF653" s="244" t="s">
        <v>4762</v>
      </c>
      <c r="AG653" s="239" t="str">
        <f>IFERROR(VLOOKUP(작성용!A:A,RM!A:D,4,0),"-")</f>
        <v>서경덕</v>
      </c>
      <c r="AH653" s="9" t="s">
        <v>4911</v>
      </c>
      <c r="AI653" s="235" t="s">
        <v>4771</v>
      </c>
      <c r="AJ653" s="235" t="s">
        <v>4847</v>
      </c>
      <c r="AK653" s="235" t="s">
        <v>4777</v>
      </c>
      <c r="AL653" s="235">
        <v>652</v>
      </c>
    </row>
    <row r="654" spans="1:38" x14ac:dyDescent="0.3">
      <c r="A654" s="222" t="s">
        <v>2249</v>
      </c>
      <c r="B654" s="222" t="s">
        <v>2250</v>
      </c>
      <c r="C654" s="241" t="s">
        <v>4762</v>
      </c>
      <c r="D654" s="237" t="s">
        <v>5602</v>
      </c>
      <c r="E654" s="236">
        <v>1101116515930</v>
      </c>
      <c r="F654" s="240" t="s">
        <v>4780</v>
      </c>
      <c r="G654" s="214">
        <v>0</v>
      </c>
      <c r="H654" s="231" t="s">
        <v>4771</v>
      </c>
      <c r="I654" s="231"/>
      <c r="J654" s="231"/>
      <c r="K654" s="231"/>
      <c r="L654" s="231"/>
      <c r="M654" s="231"/>
      <c r="N654" s="231" t="s">
        <v>5566</v>
      </c>
      <c r="O654" s="246" t="s">
        <v>5567</v>
      </c>
      <c r="P654" s="246" t="s">
        <v>5568</v>
      </c>
      <c r="Q654" s="225" t="s">
        <v>5569</v>
      </c>
      <c r="R654" s="212" t="s">
        <v>2</v>
      </c>
      <c r="S654" s="213" t="s">
        <v>4771</v>
      </c>
      <c r="T654" s="233">
        <v>45579</v>
      </c>
      <c r="U654" s="234" t="s">
        <v>4772</v>
      </c>
      <c r="V654" s="234">
        <v>45663</v>
      </c>
      <c r="W654" s="234">
        <v>45663</v>
      </c>
      <c r="X654" s="234" t="s">
        <v>2</v>
      </c>
      <c r="Y654" s="234"/>
      <c r="Z654" s="234" t="s">
        <v>4657</v>
      </c>
      <c r="AA654" s="243">
        <v>202412</v>
      </c>
      <c r="AB654" s="243"/>
      <c r="AC654" s="244" t="s">
        <v>4800</v>
      </c>
      <c r="AD654" s="244" t="s">
        <v>4846</v>
      </c>
      <c r="AE654" s="245">
        <v>0</v>
      </c>
      <c r="AF654" s="244" t="s">
        <v>4762</v>
      </c>
      <c r="AG654" s="239" t="str">
        <f>IFERROR(VLOOKUP(작성용!A:A,RM!A:D,4,0),"-")</f>
        <v>서경덕</v>
      </c>
      <c r="AH654" s="9" t="s">
        <v>4911</v>
      </c>
      <c r="AI654" s="235" t="s">
        <v>4771</v>
      </c>
      <c r="AJ654" s="235" t="s">
        <v>4847</v>
      </c>
      <c r="AK654" s="235" t="s">
        <v>4777</v>
      </c>
      <c r="AL654" s="235">
        <v>653</v>
      </c>
    </row>
    <row r="655" spans="1:38" x14ac:dyDescent="0.3">
      <c r="A655" s="222" t="s">
        <v>2249</v>
      </c>
      <c r="B655" s="222" t="s">
        <v>2250</v>
      </c>
      <c r="C655" s="241" t="s">
        <v>4762</v>
      </c>
      <c r="D655" s="237" t="s">
        <v>5603</v>
      </c>
      <c r="E655" s="236">
        <v>1846110031348</v>
      </c>
      <c r="F655" s="240" t="s">
        <v>4854</v>
      </c>
      <c r="G655" s="214">
        <v>0</v>
      </c>
      <c r="H655" s="231" t="s">
        <v>4771</v>
      </c>
      <c r="I655" s="231"/>
      <c r="J655" s="231"/>
      <c r="K655" s="231"/>
      <c r="L655" s="231"/>
      <c r="M655" s="231"/>
      <c r="N655" s="231" t="s">
        <v>5566</v>
      </c>
      <c r="O655" s="246" t="s">
        <v>5567</v>
      </c>
      <c r="P655" s="246" t="s">
        <v>5568</v>
      </c>
      <c r="Q655" s="225" t="s">
        <v>5569</v>
      </c>
      <c r="R655" s="212" t="s">
        <v>2</v>
      </c>
      <c r="S655" s="213" t="s">
        <v>4771</v>
      </c>
      <c r="T655" s="233">
        <v>45579</v>
      </c>
      <c r="U655" s="234" t="s">
        <v>4772</v>
      </c>
      <c r="V655" s="234">
        <v>45663</v>
      </c>
      <c r="W655" s="234">
        <v>45663</v>
      </c>
      <c r="X655" s="234" t="s">
        <v>2</v>
      </c>
      <c r="Y655" s="234"/>
      <c r="Z655" s="234" t="s">
        <v>4657</v>
      </c>
      <c r="AA655" s="243">
        <v>202412</v>
      </c>
      <c r="AB655" s="243"/>
      <c r="AC655" s="244" t="s">
        <v>4800</v>
      </c>
      <c r="AD655" s="244" t="s">
        <v>4909</v>
      </c>
      <c r="AE655" s="245">
        <v>1</v>
      </c>
      <c r="AF655" s="244" t="s">
        <v>4762</v>
      </c>
      <c r="AG655" s="239" t="str">
        <f>IFERROR(VLOOKUP(작성용!A:A,RM!A:D,4,0),"-")</f>
        <v>서경덕</v>
      </c>
      <c r="AH655" s="9" t="s">
        <v>4911</v>
      </c>
      <c r="AI655" s="235" t="s">
        <v>4771</v>
      </c>
      <c r="AJ655" s="235" t="s">
        <v>4847</v>
      </c>
      <c r="AK655" s="235" t="s">
        <v>4777</v>
      </c>
      <c r="AL655" s="235">
        <v>654</v>
      </c>
    </row>
    <row r="656" spans="1:38" x14ac:dyDescent="0.3">
      <c r="A656" s="222" t="s">
        <v>2249</v>
      </c>
      <c r="B656" s="222" t="s">
        <v>2250</v>
      </c>
      <c r="C656" s="241" t="s">
        <v>4762</v>
      </c>
      <c r="D656" s="237" t="s">
        <v>5604</v>
      </c>
      <c r="E656" s="236">
        <v>1101114216704</v>
      </c>
      <c r="F656" s="240" t="s">
        <v>4854</v>
      </c>
      <c r="G656" s="214">
        <v>0</v>
      </c>
      <c r="H656" s="231" t="s">
        <v>4771</v>
      </c>
      <c r="I656" s="231"/>
      <c r="J656" s="231"/>
      <c r="K656" s="231"/>
      <c r="L656" s="231"/>
      <c r="M656" s="231"/>
      <c r="N656" s="231" t="s">
        <v>5566</v>
      </c>
      <c r="O656" s="246" t="s">
        <v>5567</v>
      </c>
      <c r="P656" s="246" t="s">
        <v>5568</v>
      </c>
      <c r="Q656" s="225" t="s">
        <v>5569</v>
      </c>
      <c r="R656" s="212" t="s">
        <v>2</v>
      </c>
      <c r="S656" s="213" t="s">
        <v>4771</v>
      </c>
      <c r="T656" s="233">
        <v>45579</v>
      </c>
      <c r="U656" s="234" t="s">
        <v>4772</v>
      </c>
      <c r="V656" s="234">
        <v>45663</v>
      </c>
      <c r="W656" s="234">
        <v>45663</v>
      </c>
      <c r="X656" s="234" t="s">
        <v>2</v>
      </c>
      <c r="Y656" s="234"/>
      <c r="Z656" s="234" t="s">
        <v>4657</v>
      </c>
      <c r="AA656" s="243">
        <v>202412</v>
      </c>
      <c r="AB656" s="243"/>
      <c r="AC656" s="244" t="s">
        <v>4800</v>
      </c>
      <c r="AD656" s="244" t="s">
        <v>4823</v>
      </c>
      <c r="AE656" s="245">
        <v>1</v>
      </c>
      <c r="AF656" s="244" t="s">
        <v>4762</v>
      </c>
      <c r="AG656" s="239" t="str">
        <f>IFERROR(VLOOKUP(작성용!A:A,RM!A:D,4,0),"-")</f>
        <v>서경덕</v>
      </c>
      <c r="AH656" s="9" t="s">
        <v>4911</v>
      </c>
      <c r="AI656" s="235" t="s">
        <v>4771</v>
      </c>
      <c r="AJ656" s="235" t="s">
        <v>4847</v>
      </c>
      <c r="AK656" s="235" t="s">
        <v>4777</v>
      </c>
      <c r="AL656" s="235">
        <v>655</v>
      </c>
    </row>
    <row r="657" spans="1:38" x14ac:dyDescent="0.3">
      <c r="A657" s="222" t="s">
        <v>2249</v>
      </c>
      <c r="B657" s="222" t="s">
        <v>2250</v>
      </c>
      <c r="C657" s="241" t="s">
        <v>4762</v>
      </c>
      <c r="D657" s="237" t="s">
        <v>5604</v>
      </c>
      <c r="E657" s="236">
        <v>1101114216704</v>
      </c>
      <c r="F657" s="240" t="s">
        <v>4850</v>
      </c>
      <c r="G657" s="214">
        <v>0</v>
      </c>
      <c r="H657" s="231" t="s">
        <v>4771</v>
      </c>
      <c r="I657" s="231"/>
      <c r="J657" s="231"/>
      <c r="K657" s="231"/>
      <c r="L657" s="231"/>
      <c r="M657" s="231"/>
      <c r="N657" s="231" t="s">
        <v>5566</v>
      </c>
      <c r="O657" s="246" t="s">
        <v>5567</v>
      </c>
      <c r="P657" s="246" t="s">
        <v>5568</v>
      </c>
      <c r="Q657" s="225" t="s">
        <v>5569</v>
      </c>
      <c r="R657" s="212" t="s">
        <v>2</v>
      </c>
      <c r="S657" s="213" t="s">
        <v>4771</v>
      </c>
      <c r="T657" s="233">
        <v>45579</v>
      </c>
      <c r="U657" s="234" t="s">
        <v>4772</v>
      </c>
      <c r="V657" s="234">
        <v>45663</v>
      </c>
      <c r="W657" s="234">
        <v>45663</v>
      </c>
      <c r="X657" s="234" t="s">
        <v>2</v>
      </c>
      <c r="Y657" s="234"/>
      <c r="Z657" s="234" t="s">
        <v>4657</v>
      </c>
      <c r="AA657" s="243">
        <v>202412</v>
      </c>
      <c r="AB657" s="243"/>
      <c r="AC657" s="244" t="s">
        <v>4800</v>
      </c>
      <c r="AD657" s="244" t="s">
        <v>4823</v>
      </c>
      <c r="AE657" s="245">
        <v>0</v>
      </c>
      <c r="AF657" s="244" t="s">
        <v>4762</v>
      </c>
      <c r="AG657" s="239" t="str">
        <f>IFERROR(VLOOKUP(작성용!A:A,RM!A:D,4,0),"-")</f>
        <v>서경덕</v>
      </c>
      <c r="AH657" s="9" t="s">
        <v>4911</v>
      </c>
      <c r="AI657" s="235" t="s">
        <v>4771</v>
      </c>
      <c r="AJ657" s="235" t="s">
        <v>4847</v>
      </c>
      <c r="AK657" s="235" t="s">
        <v>4777</v>
      </c>
      <c r="AL657" s="235">
        <v>656</v>
      </c>
    </row>
    <row r="658" spans="1:38" x14ac:dyDescent="0.3">
      <c r="A658" s="229" t="s">
        <v>4660</v>
      </c>
      <c r="B658" s="229" t="s">
        <v>4661</v>
      </c>
      <c r="C658" s="249" t="s">
        <v>4778</v>
      </c>
      <c r="D658" s="237" t="s">
        <v>5605</v>
      </c>
      <c r="E658" s="236">
        <v>1101114472976</v>
      </c>
      <c r="F658" s="240" t="s">
        <v>4977</v>
      </c>
      <c r="G658" s="214">
        <v>0</v>
      </c>
      <c r="H658" s="231" t="s">
        <v>4771</v>
      </c>
      <c r="I658" s="231"/>
      <c r="J658" s="231"/>
      <c r="K658" s="231"/>
      <c r="L658" s="231"/>
      <c r="M658" s="231"/>
      <c r="N658" s="231" t="s">
        <v>4895</v>
      </c>
      <c r="O658" s="246" t="s">
        <v>5606</v>
      </c>
      <c r="P658" s="246" t="s">
        <v>5607</v>
      </c>
      <c r="Q658" s="225" t="s">
        <v>5608</v>
      </c>
      <c r="R658" s="212" t="s">
        <v>4771</v>
      </c>
      <c r="S658" s="213" t="s">
        <v>4771</v>
      </c>
      <c r="T658" s="233">
        <v>45580</v>
      </c>
      <c r="U658" s="234" t="s">
        <v>5609</v>
      </c>
      <c r="V658" s="234">
        <v>45624</v>
      </c>
      <c r="W658" s="234">
        <v>45631</v>
      </c>
      <c r="X658" s="234" t="s">
        <v>4771</v>
      </c>
      <c r="Y658" s="234"/>
      <c r="Z658" s="234" t="s">
        <v>5610</v>
      </c>
      <c r="AA658" s="243">
        <v>202410</v>
      </c>
      <c r="AB658" s="243"/>
      <c r="AC658" s="244" t="s">
        <v>4760</v>
      </c>
      <c r="AD658" s="244" t="s">
        <v>4945</v>
      </c>
      <c r="AE658" s="245">
        <v>0</v>
      </c>
      <c r="AF658" s="244" t="s">
        <v>5114</v>
      </c>
      <c r="AG658" s="239" t="str">
        <f>IFERROR(VLOOKUP(작성용!A:A,RM!A:D,4,0),"-")</f>
        <v>-</v>
      </c>
      <c r="AH658" s="9" t="s">
        <v>4771</v>
      </c>
      <c r="AI658" s="235" t="s">
        <v>4771</v>
      </c>
      <c r="AJ658" s="235" t="s">
        <v>4771</v>
      </c>
      <c r="AK658" s="235" t="s">
        <v>4777</v>
      </c>
      <c r="AL658" s="235">
        <v>657</v>
      </c>
    </row>
    <row r="659" spans="1:38" x14ac:dyDescent="0.3">
      <c r="A659" s="229" t="s">
        <v>4660</v>
      </c>
      <c r="B659" s="229" t="s">
        <v>4661</v>
      </c>
      <c r="C659" s="249" t="s">
        <v>4778</v>
      </c>
      <c r="D659" s="237" t="s">
        <v>5605</v>
      </c>
      <c r="E659" s="236">
        <v>1101114472976</v>
      </c>
      <c r="F659" s="240" t="s">
        <v>4850</v>
      </c>
      <c r="G659" s="214">
        <v>0</v>
      </c>
      <c r="H659" s="231" t="s">
        <v>4771</v>
      </c>
      <c r="I659" s="231"/>
      <c r="J659" s="231"/>
      <c r="K659" s="231"/>
      <c r="L659" s="231"/>
      <c r="M659" s="231"/>
      <c r="N659" s="231" t="s">
        <v>4895</v>
      </c>
      <c r="O659" s="246" t="s">
        <v>5606</v>
      </c>
      <c r="P659" s="246" t="s">
        <v>5607</v>
      </c>
      <c r="Q659" s="225" t="s">
        <v>5608</v>
      </c>
      <c r="R659" s="212" t="s">
        <v>4771</v>
      </c>
      <c r="S659" s="213" t="s">
        <v>4771</v>
      </c>
      <c r="T659" s="233">
        <v>45580</v>
      </c>
      <c r="U659" s="234" t="s">
        <v>5609</v>
      </c>
      <c r="V659" s="234">
        <v>45624</v>
      </c>
      <c r="W659" s="234">
        <v>45631</v>
      </c>
      <c r="X659" s="234" t="s">
        <v>4771</v>
      </c>
      <c r="Y659" s="234"/>
      <c r="Z659" s="234" t="s">
        <v>5610</v>
      </c>
      <c r="AA659" s="243">
        <v>202410</v>
      </c>
      <c r="AB659" s="243"/>
      <c r="AC659" s="244" t="s">
        <v>4760</v>
      </c>
      <c r="AD659" s="244" t="s">
        <v>4945</v>
      </c>
      <c r="AE659" s="245">
        <v>1</v>
      </c>
      <c r="AF659" s="244" t="s">
        <v>5114</v>
      </c>
      <c r="AG659" s="239" t="str">
        <f>IFERROR(VLOOKUP(작성용!A:A,RM!A:D,4,0),"-")</f>
        <v>-</v>
      </c>
      <c r="AH659" s="9" t="s">
        <v>4771</v>
      </c>
      <c r="AI659" s="235" t="s">
        <v>4771</v>
      </c>
      <c r="AJ659" s="235" t="s">
        <v>4771</v>
      </c>
      <c r="AK659" s="235" t="s">
        <v>4777</v>
      </c>
      <c r="AL659" s="235">
        <v>658</v>
      </c>
    </row>
    <row r="660" spans="1:38" s="198" customFormat="1" x14ac:dyDescent="0.3">
      <c r="A660" s="229" t="s">
        <v>1769</v>
      </c>
      <c r="B660" s="229" t="s">
        <v>1770</v>
      </c>
      <c r="C660" s="249" t="s">
        <v>4762</v>
      </c>
      <c r="D660" s="237" t="s">
        <v>5403</v>
      </c>
      <c r="E660" s="236">
        <v>1601110396112</v>
      </c>
      <c r="F660" s="240" t="s">
        <v>4854</v>
      </c>
      <c r="G660" s="214">
        <v>0</v>
      </c>
      <c r="H660" s="231" t="s">
        <v>4771</v>
      </c>
      <c r="I660" s="231"/>
      <c r="J660" s="231"/>
      <c r="K660" s="231"/>
      <c r="L660" s="231"/>
      <c r="M660" s="231"/>
      <c r="N660" s="231" t="s">
        <v>5035</v>
      </c>
      <c r="O660" s="246" t="s">
        <v>5611</v>
      </c>
      <c r="P660" s="246" t="s">
        <v>5612</v>
      </c>
      <c r="Q660" s="225" t="s">
        <v>5613</v>
      </c>
      <c r="R660" s="212" t="s">
        <v>4771</v>
      </c>
      <c r="S660" s="213" t="s">
        <v>4771</v>
      </c>
      <c r="T660" s="233">
        <v>45580</v>
      </c>
      <c r="U660" s="234" t="s">
        <v>4821</v>
      </c>
      <c r="V660" s="234">
        <v>45642</v>
      </c>
      <c r="W660" s="234">
        <v>45649</v>
      </c>
      <c r="X660" s="234" t="s">
        <v>4771</v>
      </c>
      <c r="Y660" s="234"/>
      <c r="Z660" s="234" t="s">
        <v>5614</v>
      </c>
      <c r="AA660" s="243">
        <v>202410</v>
      </c>
      <c r="AB660" s="243"/>
      <c r="AC660" s="244" t="s">
        <v>4760</v>
      </c>
      <c r="AD660" s="244" t="s">
        <v>4761</v>
      </c>
      <c r="AE660" s="245">
        <v>0</v>
      </c>
      <c r="AF660" s="244" t="s">
        <v>4761</v>
      </c>
      <c r="AG660" s="239" t="str">
        <f>IFERROR(VLOOKUP(작성용!A:A,RM!A:D,4,0),"-")</f>
        <v>백형진</v>
      </c>
      <c r="AH660" s="9" t="s">
        <v>3650</v>
      </c>
      <c r="AI660" s="235" t="s">
        <v>4771</v>
      </c>
      <c r="AJ660" s="235" t="s">
        <v>4776</v>
      </c>
      <c r="AK660" s="235" t="s">
        <v>4777</v>
      </c>
      <c r="AL660" s="235">
        <v>659</v>
      </c>
    </row>
    <row r="661" spans="1:38" s="198" customFormat="1" x14ac:dyDescent="0.3">
      <c r="A661" s="229" t="s">
        <v>1769</v>
      </c>
      <c r="B661" s="229" t="s">
        <v>1770</v>
      </c>
      <c r="C661" s="249" t="s">
        <v>4762</v>
      </c>
      <c r="D661" s="237" t="s">
        <v>5403</v>
      </c>
      <c r="E661" s="236">
        <v>1601110396112</v>
      </c>
      <c r="F661" s="240" t="s">
        <v>4850</v>
      </c>
      <c r="G661" s="214">
        <v>1</v>
      </c>
      <c r="H661" s="231" t="s">
        <v>4771</v>
      </c>
      <c r="I661" s="231"/>
      <c r="J661" s="231"/>
      <c r="K661" s="231"/>
      <c r="L661" s="231"/>
      <c r="M661" s="231"/>
      <c r="N661" s="231" t="s">
        <v>5035</v>
      </c>
      <c r="O661" s="246" t="s">
        <v>5611</v>
      </c>
      <c r="P661" s="246" t="s">
        <v>5612</v>
      </c>
      <c r="Q661" s="225" t="s">
        <v>5613</v>
      </c>
      <c r="R661" s="212" t="s">
        <v>4771</v>
      </c>
      <c r="S661" s="213" t="s">
        <v>4771</v>
      </c>
      <c r="T661" s="233">
        <v>45580</v>
      </c>
      <c r="U661" s="234" t="s">
        <v>4821</v>
      </c>
      <c r="V661" s="234">
        <v>45642</v>
      </c>
      <c r="W661" s="234">
        <v>45649</v>
      </c>
      <c r="X661" s="234" t="s">
        <v>4771</v>
      </c>
      <c r="Y661" s="234"/>
      <c r="Z661" s="234" t="s">
        <v>5614</v>
      </c>
      <c r="AA661" s="243">
        <v>202410</v>
      </c>
      <c r="AB661" s="243"/>
      <c r="AC661" s="244" t="s">
        <v>4760</v>
      </c>
      <c r="AD661" s="244" t="s">
        <v>4761</v>
      </c>
      <c r="AE661" s="245">
        <v>1</v>
      </c>
      <c r="AF661" s="244" t="s">
        <v>4761</v>
      </c>
      <c r="AG661" s="239" t="str">
        <f>IFERROR(VLOOKUP(작성용!A:A,RM!A:D,4,0),"-")</f>
        <v>백형진</v>
      </c>
      <c r="AH661" s="9" t="s">
        <v>3650</v>
      </c>
      <c r="AI661" s="235" t="s">
        <v>4771</v>
      </c>
      <c r="AJ661" s="235" t="s">
        <v>4776</v>
      </c>
      <c r="AK661" s="235" t="s">
        <v>4777</v>
      </c>
      <c r="AL661" s="235">
        <v>660</v>
      </c>
    </row>
    <row r="662" spans="1:38" x14ac:dyDescent="0.3">
      <c r="A662" s="229" t="s">
        <v>1769</v>
      </c>
      <c r="B662" s="229" t="s">
        <v>1770</v>
      </c>
      <c r="C662" s="249" t="s">
        <v>4778</v>
      </c>
      <c r="D662" s="237" t="s">
        <v>5615</v>
      </c>
      <c r="E662" s="236">
        <v>1101115615111</v>
      </c>
      <c r="F662" s="240" t="s">
        <v>4854</v>
      </c>
      <c r="G662" s="214">
        <v>0</v>
      </c>
      <c r="H662" s="231" t="s">
        <v>4771</v>
      </c>
      <c r="I662" s="231"/>
      <c r="J662" s="231"/>
      <c r="K662" s="231"/>
      <c r="L662" s="231"/>
      <c r="M662" s="231"/>
      <c r="N662" s="231" t="s">
        <v>5035</v>
      </c>
      <c r="O662" s="246" t="s">
        <v>5611</v>
      </c>
      <c r="P662" s="246" t="s">
        <v>5612</v>
      </c>
      <c r="Q662" s="225" t="s">
        <v>5613</v>
      </c>
      <c r="R662" s="212" t="s">
        <v>4771</v>
      </c>
      <c r="S662" s="213" t="s">
        <v>4771</v>
      </c>
      <c r="T662" s="233">
        <v>45580</v>
      </c>
      <c r="U662" s="234" t="s">
        <v>4821</v>
      </c>
      <c r="V662" s="234">
        <v>45642</v>
      </c>
      <c r="W662" s="234">
        <v>45649</v>
      </c>
      <c r="X662" s="234" t="s">
        <v>4771</v>
      </c>
      <c r="Y662" s="234"/>
      <c r="Z662" s="234" t="s">
        <v>5614</v>
      </c>
      <c r="AA662" s="243">
        <v>202410</v>
      </c>
      <c r="AB662" s="243"/>
      <c r="AC662" s="244" t="s">
        <v>4760</v>
      </c>
      <c r="AD662" s="244" t="s">
        <v>3647</v>
      </c>
      <c r="AE662" s="245">
        <v>0</v>
      </c>
      <c r="AF662" s="244" t="s">
        <v>3647</v>
      </c>
      <c r="AG662" s="239" t="str">
        <f>IFERROR(VLOOKUP(작성용!A:A,RM!A:D,4,0),"-")</f>
        <v>백형진</v>
      </c>
      <c r="AH662" s="9" t="s">
        <v>3650</v>
      </c>
      <c r="AI662" s="235" t="s">
        <v>4771</v>
      </c>
      <c r="AJ662" s="235" t="s">
        <v>4776</v>
      </c>
      <c r="AK662" s="235" t="s">
        <v>4777</v>
      </c>
      <c r="AL662" s="235">
        <v>661</v>
      </c>
    </row>
    <row r="663" spans="1:38" x14ac:dyDescent="0.3">
      <c r="A663" s="229" t="s">
        <v>1769</v>
      </c>
      <c r="B663" s="229" t="s">
        <v>1770</v>
      </c>
      <c r="C663" s="249" t="s">
        <v>4778</v>
      </c>
      <c r="D663" s="237" t="s">
        <v>5615</v>
      </c>
      <c r="E663" s="236">
        <v>1101115615111</v>
      </c>
      <c r="F663" s="240" t="s">
        <v>4850</v>
      </c>
      <c r="G663" s="214">
        <v>0</v>
      </c>
      <c r="H663" s="231" t="s">
        <v>4771</v>
      </c>
      <c r="I663" s="231"/>
      <c r="J663" s="231"/>
      <c r="K663" s="231"/>
      <c r="L663" s="231"/>
      <c r="M663" s="231"/>
      <c r="N663" s="231" t="s">
        <v>5035</v>
      </c>
      <c r="O663" s="246" t="s">
        <v>5611</v>
      </c>
      <c r="P663" s="246" t="s">
        <v>5612</v>
      </c>
      <c r="Q663" s="225" t="s">
        <v>5613</v>
      </c>
      <c r="R663" s="212" t="s">
        <v>4771</v>
      </c>
      <c r="S663" s="213" t="s">
        <v>4771</v>
      </c>
      <c r="T663" s="233">
        <v>45580</v>
      </c>
      <c r="U663" s="234" t="s">
        <v>4821</v>
      </c>
      <c r="V663" s="234">
        <v>45642</v>
      </c>
      <c r="W663" s="234">
        <v>45649</v>
      </c>
      <c r="X663" s="234" t="s">
        <v>4771</v>
      </c>
      <c r="Y663" s="234"/>
      <c r="Z663" s="234" t="s">
        <v>5614</v>
      </c>
      <c r="AA663" s="243">
        <v>202410</v>
      </c>
      <c r="AB663" s="243"/>
      <c r="AC663" s="244" t="s">
        <v>4760</v>
      </c>
      <c r="AD663" s="244" t="s">
        <v>3647</v>
      </c>
      <c r="AE663" s="245">
        <v>1</v>
      </c>
      <c r="AF663" s="244" t="s">
        <v>3647</v>
      </c>
      <c r="AG663" s="239" t="str">
        <f>IFERROR(VLOOKUP(작성용!A:A,RM!A:D,4,0),"-")</f>
        <v>백형진</v>
      </c>
      <c r="AH663" s="9" t="s">
        <v>3650</v>
      </c>
      <c r="AI663" s="235" t="s">
        <v>4771</v>
      </c>
      <c r="AJ663" s="235" t="s">
        <v>4776</v>
      </c>
      <c r="AK663" s="235" t="s">
        <v>4777</v>
      </c>
      <c r="AL663" s="235">
        <v>662</v>
      </c>
    </row>
    <row r="664" spans="1:38" x14ac:dyDescent="0.3">
      <c r="A664" s="222">
        <v>6000220</v>
      </c>
      <c r="B664" s="222" t="s">
        <v>4663</v>
      </c>
      <c r="C664" s="241" t="s">
        <v>4778</v>
      </c>
      <c r="D664" s="237" t="s">
        <v>5616</v>
      </c>
      <c r="E664" s="236">
        <v>1101118490792</v>
      </c>
      <c r="F664" s="240" t="s">
        <v>4854</v>
      </c>
      <c r="G664" s="214">
        <v>0</v>
      </c>
      <c r="H664" s="231" t="s">
        <v>4771</v>
      </c>
      <c r="I664" s="231"/>
      <c r="J664" s="231"/>
      <c r="K664" s="231"/>
      <c r="L664" s="231"/>
      <c r="M664" s="231"/>
      <c r="N664" s="231" t="s">
        <v>4895</v>
      </c>
      <c r="O664" s="246"/>
      <c r="P664" s="246"/>
      <c r="Q664" s="225"/>
      <c r="R664" s="212" t="s">
        <v>2</v>
      </c>
      <c r="S664" s="213" t="s">
        <v>4771</v>
      </c>
      <c r="T664" s="233" t="s">
        <v>5617</v>
      </c>
      <c r="U664" s="234" t="s">
        <v>4759</v>
      </c>
      <c r="V664" s="234">
        <v>45601</v>
      </c>
      <c r="W664" s="234" t="s">
        <v>4877</v>
      </c>
      <c r="X664" s="234" t="s">
        <v>2</v>
      </c>
      <c r="Y664" s="234"/>
      <c r="Z664" s="234"/>
      <c r="AA664" s="243">
        <v>202411</v>
      </c>
      <c r="AB664" s="243"/>
      <c r="AC664" s="244" t="s">
        <v>5210</v>
      </c>
      <c r="AD664" s="244" t="s">
        <v>3714</v>
      </c>
      <c r="AE664" s="245">
        <v>0.4</v>
      </c>
      <c r="AF664" s="244" t="s">
        <v>3714</v>
      </c>
      <c r="AG664" s="239" t="str">
        <f>IFERROR(VLOOKUP(작성용!A:A,RM!A:D,4,0),"-")</f>
        <v>-</v>
      </c>
      <c r="AH664" s="9" t="s">
        <v>2</v>
      </c>
      <c r="AI664" s="235" t="s">
        <v>2</v>
      </c>
      <c r="AJ664" s="235" t="s">
        <v>2</v>
      </c>
      <c r="AK664" s="235" t="s">
        <v>4544</v>
      </c>
      <c r="AL664" s="235">
        <v>663</v>
      </c>
    </row>
    <row r="665" spans="1:38" x14ac:dyDescent="0.3">
      <c r="A665" s="222">
        <v>6000220</v>
      </c>
      <c r="B665" s="222" t="s">
        <v>4663</v>
      </c>
      <c r="C665" s="241" t="s">
        <v>4778</v>
      </c>
      <c r="D665" s="237" t="s">
        <v>5616</v>
      </c>
      <c r="E665" s="236">
        <v>1101118490792</v>
      </c>
      <c r="F665" s="240" t="s">
        <v>4850</v>
      </c>
      <c r="G665" s="214">
        <v>0</v>
      </c>
      <c r="H665" s="231" t="s">
        <v>4771</v>
      </c>
      <c r="I665" s="231"/>
      <c r="J665" s="231"/>
      <c r="K665" s="231"/>
      <c r="L665" s="231"/>
      <c r="M665" s="231"/>
      <c r="N665" s="231" t="s">
        <v>4895</v>
      </c>
      <c r="O665" s="246"/>
      <c r="P665" s="246"/>
      <c r="Q665" s="225"/>
      <c r="R665" s="212" t="s">
        <v>2</v>
      </c>
      <c r="S665" s="213" t="s">
        <v>4771</v>
      </c>
      <c r="T665" s="233" t="s">
        <v>5617</v>
      </c>
      <c r="U665" s="234" t="s">
        <v>4759</v>
      </c>
      <c r="V665" s="234">
        <v>45601</v>
      </c>
      <c r="W665" s="234" t="s">
        <v>4877</v>
      </c>
      <c r="X665" s="234" t="s">
        <v>2</v>
      </c>
      <c r="Y665" s="234"/>
      <c r="Z665" s="234"/>
      <c r="AA665" s="243">
        <v>202411</v>
      </c>
      <c r="AB665" s="243"/>
      <c r="AC665" s="244" t="s">
        <v>5210</v>
      </c>
      <c r="AD665" s="244" t="s">
        <v>3714</v>
      </c>
      <c r="AE665" s="245">
        <v>0</v>
      </c>
      <c r="AF665" s="244" t="s">
        <v>3714</v>
      </c>
      <c r="AG665" s="239" t="str">
        <f>IFERROR(VLOOKUP(작성용!A:A,RM!A:D,4,0),"-")</f>
        <v>-</v>
      </c>
      <c r="AH665" s="9" t="s">
        <v>2</v>
      </c>
      <c r="AI665" s="235" t="s">
        <v>2</v>
      </c>
      <c r="AJ665" s="235" t="s">
        <v>2</v>
      </c>
      <c r="AK665" s="235" t="s">
        <v>4544</v>
      </c>
      <c r="AL665" s="235">
        <v>664</v>
      </c>
    </row>
    <row r="666" spans="1:38" s="198" customFormat="1" x14ac:dyDescent="0.3">
      <c r="A666" s="222" t="s">
        <v>3374</v>
      </c>
      <c r="B666" s="222" t="s">
        <v>3375</v>
      </c>
      <c r="C666" s="241" t="s">
        <v>4597</v>
      </c>
      <c r="D666" s="237" t="s">
        <v>5618</v>
      </c>
      <c r="E666" s="236" t="s">
        <v>4664</v>
      </c>
      <c r="F666" s="240" t="s">
        <v>4854</v>
      </c>
      <c r="G666" s="214">
        <v>0</v>
      </c>
      <c r="H666" s="231" t="s">
        <v>4771</v>
      </c>
      <c r="I666" s="231"/>
      <c r="J666" s="231"/>
      <c r="K666" s="231"/>
      <c r="L666" s="231"/>
      <c r="M666" s="231"/>
      <c r="N666" s="231" t="s">
        <v>4895</v>
      </c>
      <c r="O666" s="246" t="s">
        <v>5619</v>
      </c>
      <c r="P666" s="246" t="s">
        <v>5620</v>
      </c>
      <c r="Q666" s="225" t="s">
        <v>4665</v>
      </c>
      <c r="R666" s="212" t="s">
        <v>4771</v>
      </c>
      <c r="S666" s="213" t="s">
        <v>4771</v>
      </c>
      <c r="T666" s="233">
        <v>45580</v>
      </c>
      <c r="U666" s="234" t="s">
        <v>4759</v>
      </c>
      <c r="V666" s="234">
        <v>45614</v>
      </c>
      <c r="W666" s="234">
        <v>45616</v>
      </c>
      <c r="X666" s="234" t="s">
        <v>2</v>
      </c>
      <c r="Y666" s="234"/>
      <c r="Z666" s="234" t="s">
        <v>4666</v>
      </c>
      <c r="AA666" s="243">
        <v>202411</v>
      </c>
      <c r="AB666" s="243"/>
      <c r="AC666" s="244" t="s">
        <v>4800</v>
      </c>
      <c r="AD666" s="244" t="s">
        <v>4918</v>
      </c>
      <c r="AE666" s="245">
        <v>1</v>
      </c>
      <c r="AF666" s="244" t="s">
        <v>4918</v>
      </c>
      <c r="AG666" s="239" t="str">
        <f>IFERROR(VLOOKUP(작성용!A:A,RM!A:D,4,0),"-")</f>
        <v>조현우</v>
      </c>
      <c r="AH666" s="9" t="s">
        <v>4918</v>
      </c>
      <c r="AI666" s="235" t="s">
        <v>4771</v>
      </c>
      <c r="AJ666" s="235" t="s">
        <v>4920</v>
      </c>
      <c r="AK666" s="235" t="s">
        <v>4777</v>
      </c>
      <c r="AL666" s="235">
        <v>665</v>
      </c>
    </row>
    <row r="667" spans="1:38" s="198" customFormat="1" x14ac:dyDescent="0.3">
      <c r="A667" s="222" t="s">
        <v>3435</v>
      </c>
      <c r="B667" s="222" t="s">
        <v>3436</v>
      </c>
      <c r="C667" s="241" t="s">
        <v>4778</v>
      </c>
      <c r="D667" s="237" t="s">
        <v>5621</v>
      </c>
      <c r="E667" s="236">
        <v>1101115727396</v>
      </c>
      <c r="F667" s="240" t="s">
        <v>4854</v>
      </c>
      <c r="G667" s="214">
        <v>0</v>
      </c>
      <c r="H667" s="231" t="s">
        <v>4771</v>
      </c>
      <c r="I667" s="231"/>
      <c r="J667" s="231"/>
      <c r="K667" s="231"/>
      <c r="L667" s="231"/>
      <c r="M667" s="231"/>
      <c r="N667" s="231" t="s">
        <v>4881</v>
      </c>
      <c r="O667" s="246" t="s">
        <v>5622</v>
      </c>
      <c r="P667" s="246" t="s">
        <v>4667</v>
      </c>
      <c r="Q667" s="225" t="s">
        <v>4668</v>
      </c>
      <c r="R667" s="212" t="s">
        <v>2</v>
      </c>
      <c r="S667" s="213" t="s">
        <v>4771</v>
      </c>
      <c r="T667" s="233">
        <v>45580</v>
      </c>
      <c r="U667" s="234" t="s">
        <v>4871</v>
      </c>
      <c r="V667" s="234">
        <v>45611</v>
      </c>
      <c r="W667" s="234">
        <v>45615</v>
      </c>
      <c r="X667" s="234" t="s">
        <v>2</v>
      </c>
      <c r="Y667" s="234"/>
      <c r="Z667" s="234" t="s">
        <v>5623</v>
      </c>
      <c r="AA667" s="243">
        <v>202411</v>
      </c>
      <c r="AB667" s="243"/>
      <c r="AC667" s="243" t="s">
        <v>4037</v>
      </c>
      <c r="AD667" s="244" t="s">
        <v>4824</v>
      </c>
      <c r="AE667" s="245">
        <v>1</v>
      </c>
      <c r="AF667" s="244" t="s">
        <v>4990</v>
      </c>
      <c r="AG667" s="239" t="str">
        <f>IFERROR(VLOOKUP(작성용!A:A,RM!A:D,4,0),"-")</f>
        <v>오영석</v>
      </c>
      <c r="AH667" s="9" t="s">
        <v>4823</v>
      </c>
      <c r="AI667" s="235" t="s">
        <v>4771</v>
      </c>
      <c r="AJ667" s="235" t="s">
        <v>5009</v>
      </c>
      <c r="AK667" s="235" t="s">
        <v>4777</v>
      </c>
      <c r="AL667" s="235">
        <v>666</v>
      </c>
    </row>
    <row r="668" spans="1:38" s="198" customFormat="1" x14ac:dyDescent="0.3">
      <c r="A668" s="222" t="s">
        <v>5624</v>
      </c>
      <c r="B668" s="222" t="s">
        <v>5625</v>
      </c>
      <c r="C668" s="241" t="s">
        <v>4778</v>
      </c>
      <c r="D668" s="237" t="s">
        <v>5626</v>
      </c>
      <c r="E668" s="236">
        <v>1350110024823</v>
      </c>
      <c r="F668" s="240" t="s">
        <v>4780</v>
      </c>
      <c r="G668" s="214">
        <v>0</v>
      </c>
      <c r="H668" s="231" t="s">
        <v>4771</v>
      </c>
      <c r="I668" s="231"/>
      <c r="J668" s="231"/>
      <c r="K668" s="231"/>
      <c r="L668" s="231"/>
      <c r="M668" s="231"/>
      <c r="N668" s="231" t="s">
        <v>5566</v>
      </c>
      <c r="O668" s="246" t="s">
        <v>5627</v>
      </c>
      <c r="P668" s="246" t="s">
        <v>5628</v>
      </c>
      <c r="Q668" s="225" t="s">
        <v>4669</v>
      </c>
      <c r="R668" s="212" t="s">
        <v>4771</v>
      </c>
      <c r="S668" s="213" t="s">
        <v>4771</v>
      </c>
      <c r="T668" s="233">
        <v>45580</v>
      </c>
      <c r="U668" s="234" t="s">
        <v>4759</v>
      </c>
      <c r="V668" s="234">
        <v>45607</v>
      </c>
      <c r="W668" s="234">
        <v>45611</v>
      </c>
      <c r="X668" s="234" t="s">
        <v>2</v>
      </c>
      <c r="Y668" s="234"/>
      <c r="Z668" s="234" t="s">
        <v>4670</v>
      </c>
      <c r="AA668" s="243">
        <v>202411</v>
      </c>
      <c r="AB668" s="243"/>
      <c r="AC668" s="244" t="s">
        <v>4800</v>
      </c>
      <c r="AD668" s="244" t="s">
        <v>4845</v>
      </c>
      <c r="AE668" s="245">
        <v>1</v>
      </c>
      <c r="AF668" s="244" t="s">
        <v>4875</v>
      </c>
      <c r="AG668" s="239" t="str">
        <f>IFERROR(VLOOKUP(작성용!A:A,RM!A:D,4,0),"-")</f>
        <v>유재호</v>
      </c>
      <c r="AH668" s="9" t="s">
        <v>5153</v>
      </c>
      <c r="AI668" s="235" t="s">
        <v>4771</v>
      </c>
      <c r="AJ668" s="9" t="s">
        <v>4920</v>
      </c>
      <c r="AK668" s="235" t="s">
        <v>4777</v>
      </c>
      <c r="AL668" s="235">
        <v>667</v>
      </c>
    </row>
    <row r="669" spans="1:38" s="198" customFormat="1" x14ac:dyDescent="0.3">
      <c r="A669" s="222" t="s">
        <v>5624</v>
      </c>
      <c r="B669" s="222" t="s">
        <v>5625</v>
      </c>
      <c r="C669" s="241" t="s">
        <v>4778</v>
      </c>
      <c r="D669" s="237" t="s">
        <v>5629</v>
      </c>
      <c r="E669" s="236">
        <v>1348110034942</v>
      </c>
      <c r="F669" s="240" t="s">
        <v>4780</v>
      </c>
      <c r="G669" s="214">
        <v>0</v>
      </c>
      <c r="H669" s="231" t="s">
        <v>4771</v>
      </c>
      <c r="I669" s="231"/>
      <c r="J669" s="231"/>
      <c r="K669" s="231"/>
      <c r="L669" s="231"/>
      <c r="M669" s="231"/>
      <c r="N669" s="231" t="s">
        <v>5593</v>
      </c>
      <c r="O669" s="246" t="s">
        <v>5627</v>
      </c>
      <c r="P669" s="246" t="s">
        <v>5628</v>
      </c>
      <c r="Q669" s="225" t="s">
        <v>4669</v>
      </c>
      <c r="R669" s="212" t="s">
        <v>4771</v>
      </c>
      <c r="S669" s="213" t="s">
        <v>4771</v>
      </c>
      <c r="T669" s="233">
        <v>45580</v>
      </c>
      <c r="U669" s="234" t="s">
        <v>4759</v>
      </c>
      <c r="V669" s="234">
        <v>45607</v>
      </c>
      <c r="W669" s="234">
        <v>45611</v>
      </c>
      <c r="X669" s="234" t="s">
        <v>2</v>
      </c>
      <c r="Y669" s="234"/>
      <c r="Z669" s="234" t="s">
        <v>4670</v>
      </c>
      <c r="AA669" s="243">
        <v>202411</v>
      </c>
      <c r="AB669" s="243"/>
      <c r="AC669" s="244" t="s">
        <v>4800</v>
      </c>
      <c r="AD669" s="244" t="s">
        <v>4927</v>
      </c>
      <c r="AE669" s="245">
        <v>1</v>
      </c>
      <c r="AF669" s="244" t="s">
        <v>5033</v>
      </c>
      <c r="AG669" s="239" t="str">
        <f>IFERROR(VLOOKUP(작성용!A:A,RM!A:D,4,0),"-")</f>
        <v>유재호</v>
      </c>
      <c r="AH669" s="9" t="s">
        <v>5021</v>
      </c>
      <c r="AI669" s="235" t="s">
        <v>4771</v>
      </c>
      <c r="AJ669" s="9" t="s">
        <v>4920</v>
      </c>
      <c r="AK669" s="235" t="s">
        <v>4803</v>
      </c>
      <c r="AL669" s="235">
        <v>668</v>
      </c>
    </row>
    <row r="670" spans="1:38" x14ac:dyDescent="0.3">
      <c r="A670" s="222" t="s">
        <v>5630</v>
      </c>
      <c r="B670" s="222" t="s">
        <v>5625</v>
      </c>
      <c r="C670" s="241" t="s">
        <v>4778</v>
      </c>
      <c r="D670" s="237" t="s">
        <v>5631</v>
      </c>
      <c r="E670" s="236">
        <v>2047110003887</v>
      </c>
      <c r="F670" s="240" t="s">
        <v>4780</v>
      </c>
      <c r="G670" s="214">
        <v>2</v>
      </c>
      <c r="H670" s="231" t="s">
        <v>4771</v>
      </c>
      <c r="I670" s="231"/>
      <c r="J670" s="231"/>
      <c r="K670" s="231"/>
      <c r="L670" s="231"/>
      <c r="M670" s="231"/>
      <c r="N670" s="231" t="s">
        <v>5566</v>
      </c>
      <c r="O670" s="246" t="s">
        <v>5627</v>
      </c>
      <c r="P670" s="246" t="s">
        <v>5628</v>
      </c>
      <c r="Q670" s="225" t="s">
        <v>4669</v>
      </c>
      <c r="R670" s="212" t="s">
        <v>4771</v>
      </c>
      <c r="S670" s="213" t="s">
        <v>4771</v>
      </c>
      <c r="T670" s="233">
        <v>45580</v>
      </c>
      <c r="U670" s="234" t="s">
        <v>4759</v>
      </c>
      <c r="V670" s="234">
        <v>45607</v>
      </c>
      <c r="W670" s="234">
        <v>45611</v>
      </c>
      <c r="X670" s="234" t="s">
        <v>2</v>
      </c>
      <c r="Y670" s="234"/>
      <c r="Z670" s="234" t="s">
        <v>4670</v>
      </c>
      <c r="AA670" s="243">
        <v>202411</v>
      </c>
      <c r="AB670" s="243"/>
      <c r="AC670" s="244" t="s">
        <v>4800</v>
      </c>
      <c r="AD670" s="244" t="s">
        <v>4982</v>
      </c>
      <c r="AE670" s="245">
        <v>1</v>
      </c>
      <c r="AF670" s="244" t="s">
        <v>4982</v>
      </c>
      <c r="AG670" s="239" t="str">
        <f>IFERROR(VLOOKUP(작성용!A:A,RM!A:D,4,0),"-")</f>
        <v>유재호</v>
      </c>
      <c r="AH670" s="9" t="s">
        <v>5153</v>
      </c>
      <c r="AI670" s="235" t="s">
        <v>4771</v>
      </c>
      <c r="AJ670" s="9" t="s">
        <v>4920</v>
      </c>
      <c r="AK670" s="235" t="s">
        <v>4777</v>
      </c>
      <c r="AL670" s="235">
        <v>669</v>
      </c>
    </row>
    <row r="671" spans="1:38" x14ac:dyDescent="0.3">
      <c r="A671" s="222" t="s">
        <v>5624</v>
      </c>
      <c r="B671" s="222" t="s">
        <v>5625</v>
      </c>
      <c r="C671" s="241" t="s">
        <v>4778</v>
      </c>
      <c r="D671" s="237" t="s">
        <v>5632</v>
      </c>
      <c r="E671" s="236">
        <v>1311110351682</v>
      </c>
      <c r="F671" s="240" t="s">
        <v>4780</v>
      </c>
      <c r="G671" s="214">
        <v>0</v>
      </c>
      <c r="H671" s="231" t="s">
        <v>4767</v>
      </c>
      <c r="I671" s="231"/>
      <c r="J671" s="231"/>
      <c r="K671" s="231"/>
      <c r="L671" s="231"/>
      <c r="M671" s="231"/>
      <c r="N671" s="231" t="s">
        <v>5566</v>
      </c>
      <c r="O671" s="246" t="s">
        <v>5633</v>
      </c>
      <c r="P671" s="246" t="s">
        <v>5628</v>
      </c>
      <c r="Q671" s="225" t="s">
        <v>4669</v>
      </c>
      <c r="R671" s="212" t="s">
        <v>4771</v>
      </c>
      <c r="S671" s="213" t="s">
        <v>4767</v>
      </c>
      <c r="T671" s="233">
        <v>45580</v>
      </c>
      <c r="U671" s="234" t="s">
        <v>4871</v>
      </c>
      <c r="V671" s="234">
        <v>45607</v>
      </c>
      <c r="W671" s="234">
        <v>45611</v>
      </c>
      <c r="X671" s="234" t="s">
        <v>2</v>
      </c>
      <c r="Y671" s="234"/>
      <c r="Z671" s="234" t="s">
        <v>4670</v>
      </c>
      <c r="AA671" s="243">
        <v>202411</v>
      </c>
      <c r="AB671" s="243"/>
      <c r="AC671" s="244" t="s">
        <v>4800</v>
      </c>
      <c r="AD671" s="244" t="s">
        <v>4774</v>
      </c>
      <c r="AE671" s="245">
        <v>0</v>
      </c>
      <c r="AF671" s="244" t="s">
        <v>4774</v>
      </c>
      <c r="AG671" s="239" t="str">
        <f>IFERROR(VLOOKUP(작성용!A:A,RM!A:D,4,0),"-")</f>
        <v>유재호</v>
      </c>
      <c r="AH671" s="9" t="s">
        <v>5021</v>
      </c>
      <c r="AI671" s="235" t="s">
        <v>4771</v>
      </c>
      <c r="AJ671" s="9" t="s">
        <v>4920</v>
      </c>
      <c r="AK671" s="235" t="s">
        <v>4777</v>
      </c>
      <c r="AL671" s="235">
        <v>670</v>
      </c>
    </row>
    <row r="672" spans="1:38" x14ac:dyDescent="0.3">
      <c r="A672" s="222" t="s">
        <v>5624</v>
      </c>
      <c r="B672" s="222" t="s">
        <v>5625</v>
      </c>
      <c r="C672" s="241" t="s">
        <v>4778</v>
      </c>
      <c r="D672" s="237" t="s">
        <v>5634</v>
      </c>
      <c r="E672" s="236">
        <v>1101140297760</v>
      </c>
      <c r="F672" s="240" t="s">
        <v>4854</v>
      </c>
      <c r="G672" s="214">
        <v>0</v>
      </c>
      <c r="H672" s="231" t="s">
        <v>4771</v>
      </c>
      <c r="I672" s="231"/>
      <c r="J672" s="231"/>
      <c r="K672" s="231"/>
      <c r="L672" s="231"/>
      <c r="M672" s="231"/>
      <c r="N672" s="231" t="s">
        <v>5566</v>
      </c>
      <c r="O672" s="246" t="s">
        <v>5627</v>
      </c>
      <c r="P672" s="246" t="s">
        <v>5628</v>
      </c>
      <c r="Q672" s="225" t="s">
        <v>4669</v>
      </c>
      <c r="R672" s="212" t="s">
        <v>4771</v>
      </c>
      <c r="S672" s="213" t="s">
        <v>4771</v>
      </c>
      <c r="T672" s="233">
        <v>45580</v>
      </c>
      <c r="U672" s="234" t="s">
        <v>4759</v>
      </c>
      <c r="V672" s="234">
        <v>45607</v>
      </c>
      <c r="W672" s="234">
        <v>45611</v>
      </c>
      <c r="X672" s="234" t="s">
        <v>2</v>
      </c>
      <c r="Y672" s="234"/>
      <c r="Z672" s="234" t="s">
        <v>4670</v>
      </c>
      <c r="AA672" s="243">
        <v>202411</v>
      </c>
      <c r="AB672" s="243"/>
      <c r="AC672" s="244" t="s">
        <v>4800</v>
      </c>
      <c r="AD672" s="244" t="s">
        <v>4862</v>
      </c>
      <c r="AE672" s="245">
        <v>1</v>
      </c>
      <c r="AF672" s="244" t="s">
        <v>4862</v>
      </c>
      <c r="AG672" s="239" t="str">
        <f>IFERROR(VLOOKUP(작성용!A:A,RM!A:D,4,0),"-")</f>
        <v>유재호</v>
      </c>
      <c r="AH672" s="9" t="s">
        <v>5021</v>
      </c>
      <c r="AI672" s="235" t="s">
        <v>4771</v>
      </c>
      <c r="AJ672" s="9" t="s">
        <v>4920</v>
      </c>
      <c r="AK672" s="235" t="s">
        <v>4777</v>
      </c>
      <c r="AL672" s="235">
        <v>671</v>
      </c>
    </row>
    <row r="673" spans="1:38" x14ac:dyDescent="0.3">
      <c r="A673" s="222" t="s">
        <v>5624</v>
      </c>
      <c r="B673" s="222" t="s">
        <v>5625</v>
      </c>
      <c r="C673" s="241" t="s">
        <v>4778</v>
      </c>
      <c r="D673" s="237" t="s">
        <v>5176</v>
      </c>
      <c r="E673" s="236">
        <v>1801110991314</v>
      </c>
      <c r="F673" s="240" t="s">
        <v>4850</v>
      </c>
      <c r="G673" s="214">
        <v>0</v>
      </c>
      <c r="H673" s="231" t="s">
        <v>4771</v>
      </c>
      <c r="I673" s="231"/>
      <c r="J673" s="231"/>
      <c r="K673" s="231"/>
      <c r="L673" s="231"/>
      <c r="M673" s="231"/>
      <c r="N673" s="231" t="s">
        <v>5566</v>
      </c>
      <c r="O673" s="246" t="s">
        <v>5627</v>
      </c>
      <c r="P673" s="246" t="s">
        <v>5628</v>
      </c>
      <c r="Q673" s="225" t="s">
        <v>4669</v>
      </c>
      <c r="R673" s="212" t="s">
        <v>4771</v>
      </c>
      <c r="S673" s="213" t="s">
        <v>4771</v>
      </c>
      <c r="T673" s="233">
        <v>45580</v>
      </c>
      <c r="U673" s="234" t="s">
        <v>4759</v>
      </c>
      <c r="V673" s="234">
        <v>45607</v>
      </c>
      <c r="W673" s="234">
        <v>45611</v>
      </c>
      <c r="X673" s="234" t="s">
        <v>2</v>
      </c>
      <c r="Y673" s="234"/>
      <c r="Z673" s="234" t="s">
        <v>4670</v>
      </c>
      <c r="AA673" s="243">
        <v>202411</v>
      </c>
      <c r="AB673" s="243"/>
      <c r="AC673" s="244" t="s">
        <v>4800</v>
      </c>
      <c r="AD673" s="244" t="s">
        <v>4862</v>
      </c>
      <c r="AE673" s="245">
        <v>0</v>
      </c>
      <c r="AF673" s="244" t="s">
        <v>4862</v>
      </c>
      <c r="AG673" s="239" t="str">
        <f>IFERROR(VLOOKUP(작성용!A:A,RM!A:D,4,0),"-")</f>
        <v>유재호</v>
      </c>
      <c r="AH673" s="9" t="s">
        <v>5021</v>
      </c>
      <c r="AI673" s="235" t="s">
        <v>4771</v>
      </c>
      <c r="AJ673" s="9" t="s">
        <v>4920</v>
      </c>
      <c r="AK673" s="235" t="s">
        <v>4777</v>
      </c>
      <c r="AL673" s="235">
        <v>672</v>
      </c>
    </row>
    <row r="674" spans="1:38" x14ac:dyDescent="0.3">
      <c r="A674" s="222" t="s">
        <v>5624</v>
      </c>
      <c r="B674" s="222" t="s">
        <v>5625</v>
      </c>
      <c r="C674" s="241" t="s">
        <v>4778</v>
      </c>
      <c r="D674" s="237" t="s">
        <v>5631</v>
      </c>
      <c r="E674" s="236">
        <v>2047110003887</v>
      </c>
      <c r="F674" s="240" t="s">
        <v>4780</v>
      </c>
      <c r="G674" s="214">
        <v>3</v>
      </c>
      <c r="H674" s="231" t="s">
        <v>4771</v>
      </c>
      <c r="I674" s="231"/>
      <c r="J674" s="231"/>
      <c r="K674" s="231"/>
      <c r="L674" s="231"/>
      <c r="M674" s="231"/>
      <c r="N674" s="231" t="s">
        <v>5566</v>
      </c>
      <c r="O674" s="246" t="s">
        <v>5627</v>
      </c>
      <c r="P674" s="246" t="s">
        <v>5628</v>
      </c>
      <c r="Q674" s="225" t="s">
        <v>4669</v>
      </c>
      <c r="R674" s="212" t="s">
        <v>4771</v>
      </c>
      <c r="S674" s="213" t="s">
        <v>4771</v>
      </c>
      <c r="T674" s="233">
        <v>45580</v>
      </c>
      <c r="U674" s="234" t="s">
        <v>4759</v>
      </c>
      <c r="V674" s="234">
        <v>45607</v>
      </c>
      <c r="W674" s="234">
        <v>45611</v>
      </c>
      <c r="X674" s="234" t="s">
        <v>2</v>
      </c>
      <c r="Y674" s="234"/>
      <c r="Z674" s="234" t="s">
        <v>4670</v>
      </c>
      <c r="AA674" s="243">
        <v>202411</v>
      </c>
      <c r="AB674" s="243"/>
      <c r="AC674" s="244" t="s">
        <v>4800</v>
      </c>
      <c r="AD674" s="244" t="s">
        <v>4982</v>
      </c>
      <c r="AE674" s="245">
        <v>0</v>
      </c>
      <c r="AF674" s="244" t="s">
        <v>4982</v>
      </c>
      <c r="AG674" s="239" t="str">
        <f>IFERROR(VLOOKUP(작성용!A:A,RM!A:D,4,0),"-")</f>
        <v>유재호</v>
      </c>
      <c r="AH674" s="9" t="s">
        <v>5021</v>
      </c>
      <c r="AI674" s="235" t="s">
        <v>4771</v>
      </c>
      <c r="AJ674" s="9" t="s">
        <v>4920</v>
      </c>
      <c r="AK674" s="235" t="s">
        <v>4777</v>
      </c>
      <c r="AL674" s="235">
        <v>673</v>
      </c>
    </row>
    <row r="675" spans="1:38" x14ac:dyDescent="0.3">
      <c r="A675" s="222" t="s">
        <v>5624</v>
      </c>
      <c r="B675" s="222" t="s">
        <v>5625</v>
      </c>
      <c r="C675" s="241" t="s">
        <v>4778</v>
      </c>
      <c r="D675" s="237" t="s">
        <v>5635</v>
      </c>
      <c r="E675" s="236">
        <v>1355110118072</v>
      </c>
      <c r="F675" s="240" t="s">
        <v>4854</v>
      </c>
      <c r="G675" s="214">
        <v>0</v>
      </c>
      <c r="H675" s="231" t="s">
        <v>4771</v>
      </c>
      <c r="I675" s="231"/>
      <c r="J675" s="231"/>
      <c r="K675" s="231"/>
      <c r="L675" s="231"/>
      <c r="M675" s="231"/>
      <c r="N675" s="231" t="s">
        <v>5566</v>
      </c>
      <c r="O675" s="246" t="s">
        <v>5627</v>
      </c>
      <c r="P675" s="246" t="s">
        <v>5628</v>
      </c>
      <c r="Q675" s="225" t="s">
        <v>4669</v>
      </c>
      <c r="R675" s="212" t="s">
        <v>4771</v>
      </c>
      <c r="S675" s="213" t="s">
        <v>4771</v>
      </c>
      <c r="T675" s="233">
        <v>45580</v>
      </c>
      <c r="U675" s="234" t="s">
        <v>4759</v>
      </c>
      <c r="V675" s="234">
        <v>45607</v>
      </c>
      <c r="W675" s="234">
        <v>45611</v>
      </c>
      <c r="X675" s="234" t="s">
        <v>2</v>
      </c>
      <c r="Y675" s="234"/>
      <c r="Z675" s="234" t="s">
        <v>4670</v>
      </c>
      <c r="AA675" s="243">
        <v>202411</v>
      </c>
      <c r="AB675" s="243"/>
      <c r="AC675" s="244" t="s">
        <v>4800</v>
      </c>
      <c r="AD675" s="244" t="s">
        <v>4858</v>
      </c>
      <c r="AE675" s="245">
        <v>1</v>
      </c>
      <c r="AF675" s="244" t="s">
        <v>4858</v>
      </c>
      <c r="AG675" s="239" t="str">
        <f>IFERROR(VLOOKUP(작성용!A:A,RM!A:D,4,0),"-")</f>
        <v>유재호</v>
      </c>
      <c r="AH675" s="9" t="s">
        <v>5021</v>
      </c>
      <c r="AI675" s="235" t="s">
        <v>4771</v>
      </c>
      <c r="AJ675" s="9" t="s">
        <v>4920</v>
      </c>
      <c r="AK675" s="235" t="s">
        <v>4777</v>
      </c>
      <c r="AL675" s="235">
        <v>674</v>
      </c>
    </row>
    <row r="676" spans="1:38" x14ac:dyDescent="0.3">
      <c r="A676" s="222" t="s">
        <v>5624</v>
      </c>
      <c r="B676" s="222" t="s">
        <v>5625</v>
      </c>
      <c r="C676" s="241" t="s">
        <v>4778</v>
      </c>
      <c r="D676" s="237" t="s">
        <v>5119</v>
      </c>
      <c r="E676" s="236">
        <v>1101116803400</v>
      </c>
      <c r="F676" s="240" t="s">
        <v>4894</v>
      </c>
      <c r="G676" s="214">
        <v>5</v>
      </c>
      <c r="H676" s="231" t="s">
        <v>4771</v>
      </c>
      <c r="I676" s="231"/>
      <c r="J676" s="231"/>
      <c r="K676" s="231"/>
      <c r="L676" s="231"/>
      <c r="M676" s="231"/>
      <c r="N676" s="231" t="s">
        <v>5566</v>
      </c>
      <c r="O676" s="246" t="s">
        <v>5627</v>
      </c>
      <c r="P676" s="246" t="s">
        <v>5628</v>
      </c>
      <c r="Q676" s="225" t="s">
        <v>4669</v>
      </c>
      <c r="R676" s="212" t="s">
        <v>4771</v>
      </c>
      <c r="S676" s="213" t="s">
        <v>4771</v>
      </c>
      <c r="T676" s="233">
        <v>45580</v>
      </c>
      <c r="U676" s="234" t="s">
        <v>4759</v>
      </c>
      <c r="V676" s="234">
        <v>45607</v>
      </c>
      <c r="W676" s="234">
        <v>45611</v>
      </c>
      <c r="X676" s="234" t="s">
        <v>2</v>
      </c>
      <c r="Y676" s="234"/>
      <c r="Z676" s="234" t="s">
        <v>4670</v>
      </c>
      <c r="AA676" s="243">
        <v>202411</v>
      </c>
      <c r="AB676" s="243"/>
      <c r="AC676" s="244" t="s">
        <v>4800</v>
      </c>
      <c r="AD676" s="244" t="s">
        <v>4935</v>
      </c>
      <c r="AE676" s="245">
        <v>0</v>
      </c>
      <c r="AF676" s="244" t="s">
        <v>4935</v>
      </c>
      <c r="AG676" s="239" t="str">
        <f>IFERROR(VLOOKUP(작성용!A:A,RM!A:D,4,0),"-")</f>
        <v>유재호</v>
      </c>
      <c r="AH676" s="9" t="s">
        <v>5021</v>
      </c>
      <c r="AI676" s="235" t="s">
        <v>4771</v>
      </c>
      <c r="AJ676" s="9" t="s">
        <v>4920</v>
      </c>
      <c r="AK676" s="235" t="s">
        <v>4777</v>
      </c>
      <c r="AL676" s="235">
        <v>675</v>
      </c>
    </row>
    <row r="677" spans="1:38" x14ac:dyDescent="0.3">
      <c r="A677" s="222" t="s">
        <v>5624</v>
      </c>
      <c r="B677" s="222" t="s">
        <v>5625</v>
      </c>
      <c r="C677" s="241" t="s">
        <v>4778</v>
      </c>
      <c r="D677" s="237" t="s">
        <v>5636</v>
      </c>
      <c r="E677" s="236">
        <v>1101114188846</v>
      </c>
      <c r="F677" s="240" t="s">
        <v>4854</v>
      </c>
      <c r="G677" s="214">
        <v>0</v>
      </c>
      <c r="H677" s="231" t="s">
        <v>4771</v>
      </c>
      <c r="I677" s="231"/>
      <c r="J677" s="231"/>
      <c r="K677" s="231"/>
      <c r="L677" s="231"/>
      <c r="M677" s="231"/>
      <c r="N677" s="231" t="s">
        <v>5566</v>
      </c>
      <c r="O677" s="246" t="s">
        <v>5627</v>
      </c>
      <c r="P677" s="246" t="s">
        <v>5628</v>
      </c>
      <c r="Q677" s="225" t="s">
        <v>4669</v>
      </c>
      <c r="R677" s="212" t="s">
        <v>4771</v>
      </c>
      <c r="S677" s="213" t="s">
        <v>4771</v>
      </c>
      <c r="T677" s="233">
        <v>45580</v>
      </c>
      <c r="U677" s="234" t="s">
        <v>4759</v>
      </c>
      <c r="V677" s="234">
        <v>45607</v>
      </c>
      <c r="W677" s="234">
        <v>45611</v>
      </c>
      <c r="X677" s="234" t="s">
        <v>2</v>
      </c>
      <c r="Y677" s="234"/>
      <c r="Z677" s="234" t="s">
        <v>4670</v>
      </c>
      <c r="AA677" s="243">
        <v>202411</v>
      </c>
      <c r="AB677" s="243"/>
      <c r="AC677" s="244" t="s">
        <v>4800</v>
      </c>
      <c r="AD677" s="244" t="s">
        <v>4909</v>
      </c>
      <c r="AE677" s="245">
        <v>1</v>
      </c>
      <c r="AF677" s="244" t="s">
        <v>4909</v>
      </c>
      <c r="AG677" s="239" t="str">
        <f>IFERROR(VLOOKUP(작성용!A:A,RM!A:D,4,0),"-")</f>
        <v>유재호</v>
      </c>
      <c r="AH677" s="9" t="s">
        <v>5021</v>
      </c>
      <c r="AI677" s="235" t="s">
        <v>4771</v>
      </c>
      <c r="AJ677" s="9" t="s">
        <v>4920</v>
      </c>
      <c r="AK677" s="235" t="s">
        <v>4777</v>
      </c>
      <c r="AL677" s="235">
        <v>676</v>
      </c>
    </row>
    <row r="678" spans="1:38" x14ac:dyDescent="0.3">
      <c r="A678" s="222" t="s">
        <v>5624</v>
      </c>
      <c r="B678" s="222" t="s">
        <v>5625</v>
      </c>
      <c r="C678" s="241" t="s">
        <v>4778</v>
      </c>
      <c r="D678" s="237" t="s">
        <v>5636</v>
      </c>
      <c r="E678" s="236">
        <v>1101114188846</v>
      </c>
      <c r="F678" s="240" t="s">
        <v>4850</v>
      </c>
      <c r="G678" s="214">
        <v>1</v>
      </c>
      <c r="H678" s="231" t="s">
        <v>4771</v>
      </c>
      <c r="I678" s="231"/>
      <c r="J678" s="231"/>
      <c r="K678" s="231"/>
      <c r="L678" s="231"/>
      <c r="M678" s="231"/>
      <c r="N678" s="231" t="s">
        <v>5566</v>
      </c>
      <c r="O678" s="246" t="s">
        <v>5627</v>
      </c>
      <c r="P678" s="246" t="s">
        <v>5628</v>
      </c>
      <c r="Q678" s="225" t="s">
        <v>4669</v>
      </c>
      <c r="R678" s="212" t="s">
        <v>4771</v>
      </c>
      <c r="S678" s="213" t="s">
        <v>4771</v>
      </c>
      <c r="T678" s="233">
        <v>45580</v>
      </c>
      <c r="U678" s="234" t="s">
        <v>4759</v>
      </c>
      <c r="V678" s="234">
        <v>45607</v>
      </c>
      <c r="W678" s="234">
        <v>45611</v>
      </c>
      <c r="X678" s="234" t="s">
        <v>2</v>
      </c>
      <c r="Y678" s="234"/>
      <c r="Z678" s="234" t="s">
        <v>4670</v>
      </c>
      <c r="AA678" s="243">
        <v>202411</v>
      </c>
      <c r="AB678" s="243"/>
      <c r="AC678" s="244" t="s">
        <v>4800</v>
      </c>
      <c r="AD678" s="244" t="s">
        <v>4909</v>
      </c>
      <c r="AE678" s="245">
        <v>0</v>
      </c>
      <c r="AF678" s="244" t="s">
        <v>4909</v>
      </c>
      <c r="AG678" s="239" t="str">
        <f>IFERROR(VLOOKUP(작성용!A:A,RM!A:D,4,0),"-")</f>
        <v>유재호</v>
      </c>
      <c r="AH678" s="9" t="s">
        <v>5021</v>
      </c>
      <c r="AI678" s="235" t="s">
        <v>4771</v>
      </c>
      <c r="AJ678" s="9" t="s">
        <v>4920</v>
      </c>
      <c r="AK678" s="235" t="s">
        <v>4777</v>
      </c>
      <c r="AL678" s="235">
        <v>677</v>
      </c>
    </row>
    <row r="679" spans="1:38" x14ac:dyDescent="0.3">
      <c r="A679" s="222" t="s">
        <v>5624</v>
      </c>
      <c r="B679" s="222" t="s">
        <v>5625</v>
      </c>
      <c r="C679" s="241" t="s">
        <v>4778</v>
      </c>
      <c r="D679" s="237" t="s">
        <v>5636</v>
      </c>
      <c r="E679" s="236">
        <v>1101114188846</v>
      </c>
      <c r="F679" s="240" t="s">
        <v>4850</v>
      </c>
      <c r="G679" s="214">
        <v>2</v>
      </c>
      <c r="H679" s="231" t="s">
        <v>4771</v>
      </c>
      <c r="I679" s="231"/>
      <c r="J679" s="231"/>
      <c r="K679" s="231"/>
      <c r="L679" s="231"/>
      <c r="M679" s="231"/>
      <c r="N679" s="231" t="s">
        <v>5566</v>
      </c>
      <c r="O679" s="246" t="s">
        <v>5627</v>
      </c>
      <c r="P679" s="246" t="s">
        <v>5628</v>
      </c>
      <c r="Q679" s="225" t="s">
        <v>4669</v>
      </c>
      <c r="R679" s="212" t="s">
        <v>4771</v>
      </c>
      <c r="S679" s="213" t="s">
        <v>4771</v>
      </c>
      <c r="T679" s="233">
        <v>45580</v>
      </c>
      <c r="U679" s="234" t="s">
        <v>4759</v>
      </c>
      <c r="V679" s="234">
        <v>45607</v>
      </c>
      <c r="W679" s="234">
        <v>45611</v>
      </c>
      <c r="X679" s="234" t="s">
        <v>2</v>
      </c>
      <c r="Y679" s="234"/>
      <c r="Z679" s="234" t="s">
        <v>4670</v>
      </c>
      <c r="AA679" s="243">
        <v>202411</v>
      </c>
      <c r="AB679" s="243"/>
      <c r="AC679" s="244" t="s">
        <v>4800</v>
      </c>
      <c r="AD679" s="244" t="s">
        <v>4909</v>
      </c>
      <c r="AE679" s="245">
        <v>0</v>
      </c>
      <c r="AF679" s="244" t="s">
        <v>4909</v>
      </c>
      <c r="AG679" s="239" t="str">
        <f>IFERROR(VLOOKUP(작성용!A:A,RM!A:D,4,0),"-")</f>
        <v>유재호</v>
      </c>
      <c r="AH679" s="9" t="s">
        <v>5021</v>
      </c>
      <c r="AI679" s="235" t="s">
        <v>4771</v>
      </c>
      <c r="AJ679" s="9" t="s">
        <v>4920</v>
      </c>
      <c r="AK679" s="235" t="s">
        <v>4777</v>
      </c>
      <c r="AL679" s="235">
        <v>678</v>
      </c>
    </row>
    <row r="680" spans="1:38" x14ac:dyDescent="0.3">
      <c r="A680" s="222" t="s">
        <v>3198</v>
      </c>
      <c r="B680" s="222" t="s">
        <v>5637</v>
      </c>
      <c r="C680" s="241" t="s">
        <v>4778</v>
      </c>
      <c r="D680" s="237" t="s">
        <v>5638</v>
      </c>
      <c r="E680" s="236">
        <v>1543110017407</v>
      </c>
      <c r="F680" s="240" t="s">
        <v>4854</v>
      </c>
      <c r="G680" s="214">
        <v>0</v>
      </c>
      <c r="H680" s="231" t="s">
        <v>4771</v>
      </c>
      <c r="I680" s="231"/>
      <c r="J680" s="231"/>
      <c r="K680" s="231"/>
      <c r="L680" s="231"/>
      <c r="M680" s="231"/>
      <c r="N680" s="231" t="s">
        <v>4895</v>
      </c>
      <c r="O680" s="246" t="s">
        <v>5639</v>
      </c>
      <c r="P680" s="246" t="s">
        <v>5640</v>
      </c>
      <c r="Q680" s="225" t="s">
        <v>5641</v>
      </c>
      <c r="R680" s="212" t="s">
        <v>4771</v>
      </c>
      <c r="S680" s="213" t="s">
        <v>4771</v>
      </c>
      <c r="T680" s="233">
        <v>45581</v>
      </c>
      <c r="U680" s="234" t="s">
        <v>4759</v>
      </c>
      <c r="V680" s="234">
        <v>45604</v>
      </c>
      <c r="W680" s="234">
        <v>45609</v>
      </c>
      <c r="X680" s="234" t="s">
        <v>4771</v>
      </c>
      <c r="Y680" s="234"/>
      <c r="Z680" s="234" t="s">
        <v>4674</v>
      </c>
      <c r="AA680" s="224">
        <v>202411</v>
      </c>
      <c r="AB680" s="243"/>
      <c r="AC680" s="244" t="s">
        <v>4800</v>
      </c>
      <c r="AD680" s="244" t="s">
        <v>3644</v>
      </c>
      <c r="AE680" s="245">
        <v>1</v>
      </c>
      <c r="AF680" s="244" t="s">
        <v>3644</v>
      </c>
      <c r="AG680" s="239" t="str">
        <f>IFERROR(VLOOKUP(작성용!A:A,RM!A:D,4,0),"-")</f>
        <v>이문수</v>
      </c>
      <c r="AH680" s="235" t="s">
        <v>4937</v>
      </c>
      <c r="AI680" s="235" t="s">
        <v>4771</v>
      </c>
      <c r="AJ680" s="235" t="s">
        <v>4920</v>
      </c>
      <c r="AK680" s="235" t="s">
        <v>4777</v>
      </c>
      <c r="AL680" s="235">
        <v>679</v>
      </c>
    </row>
    <row r="681" spans="1:38" x14ac:dyDescent="0.3">
      <c r="A681" s="222" t="s">
        <v>3198</v>
      </c>
      <c r="B681" s="222" t="s">
        <v>5637</v>
      </c>
      <c r="C681" s="241" t="s">
        <v>4778</v>
      </c>
      <c r="D681" s="237" t="s">
        <v>5642</v>
      </c>
      <c r="E681" s="236">
        <v>1101116873809</v>
      </c>
      <c r="F681" s="240" t="s">
        <v>4854</v>
      </c>
      <c r="G681" s="214">
        <v>0</v>
      </c>
      <c r="H681" s="231" t="s">
        <v>4771</v>
      </c>
      <c r="I681" s="231"/>
      <c r="J681" s="231"/>
      <c r="K681" s="231"/>
      <c r="L681" s="231"/>
      <c r="M681" s="231"/>
      <c r="N681" s="231" t="s">
        <v>4895</v>
      </c>
      <c r="O681" s="246" t="s">
        <v>5639</v>
      </c>
      <c r="P681" s="246" t="s">
        <v>5640</v>
      </c>
      <c r="Q681" s="225" t="s">
        <v>5641</v>
      </c>
      <c r="R681" s="212" t="s">
        <v>4771</v>
      </c>
      <c r="S681" s="213" t="s">
        <v>4771</v>
      </c>
      <c r="T681" s="233">
        <v>45581</v>
      </c>
      <c r="U681" s="234" t="s">
        <v>4759</v>
      </c>
      <c r="V681" s="234">
        <v>45604</v>
      </c>
      <c r="W681" s="234">
        <v>45609</v>
      </c>
      <c r="X681" s="234" t="s">
        <v>4771</v>
      </c>
      <c r="Y681" s="234"/>
      <c r="Z681" s="234" t="s">
        <v>4674</v>
      </c>
      <c r="AA681" s="224">
        <v>202411</v>
      </c>
      <c r="AB681" s="243"/>
      <c r="AC681" s="244" t="s">
        <v>4800</v>
      </c>
      <c r="AD681" s="244" t="s">
        <v>4937</v>
      </c>
      <c r="AE681" s="245">
        <v>1</v>
      </c>
      <c r="AF681" s="244" t="s">
        <v>4672</v>
      </c>
      <c r="AG681" s="239" t="str">
        <f>IFERROR(VLOOKUP(작성용!A:A,RM!A:D,4,0),"-")</f>
        <v>이문수</v>
      </c>
      <c r="AH681" s="235" t="s">
        <v>4937</v>
      </c>
      <c r="AI681" s="235" t="s">
        <v>4771</v>
      </c>
      <c r="AJ681" s="235" t="s">
        <v>4920</v>
      </c>
      <c r="AK681" s="235" t="s">
        <v>4777</v>
      </c>
      <c r="AL681" s="235">
        <v>680</v>
      </c>
    </row>
    <row r="682" spans="1:38" x14ac:dyDescent="0.3">
      <c r="A682" s="222" t="s">
        <v>3198</v>
      </c>
      <c r="B682" s="222" t="s">
        <v>5637</v>
      </c>
      <c r="C682" s="241" t="s">
        <v>4778</v>
      </c>
      <c r="D682" s="237" t="s">
        <v>5643</v>
      </c>
      <c r="E682" s="236" t="s">
        <v>4673</v>
      </c>
      <c r="F682" s="240" t="s">
        <v>4854</v>
      </c>
      <c r="G682" s="214">
        <v>0</v>
      </c>
      <c r="H682" s="231" t="s">
        <v>4771</v>
      </c>
      <c r="I682" s="231"/>
      <c r="J682" s="231"/>
      <c r="K682" s="231"/>
      <c r="L682" s="231"/>
      <c r="M682" s="231"/>
      <c r="N682" s="231" t="s">
        <v>4895</v>
      </c>
      <c r="O682" s="246" t="s">
        <v>5639</v>
      </c>
      <c r="P682" s="246" t="s">
        <v>5640</v>
      </c>
      <c r="Q682" s="225" t="s">
        <v>5641</v>
      </c>
      <c r="R682" s="212" t="s">
        <v>4771</v>
      </c>
      <c r="S682" s="213" t="s">
        <v>4771</v>
      </c>
      <c r="T682" s="233">
        <v>45581</v>
      </c>
      <c r="U682" s="234" t="s">
        <v>4759</v>
      </c>
      <c r="V682" s="234">
        <v>45604</v>
      </c>
      <c r="W682" s="234">
        <v>45609</v>
      </c>
      <c r="X682" s="234" t="s">
        <v>4771</v>
      </c>
      <c r="Y682" s="234"/>
      <c r="Z682" s="234" t="s">
        <v>4674</v>
      </c>
      <c r="AA682" s="224">
        <v>202411</v>
      </c>
      <c r="AB682" s="243"/>
      <c r="AC682" s="244" t="s">
        <v>4800</v>
      </c>
      <c r="AD682" s="244" t="s">
        <v>3647</v>
      </c>
      <c r="AE682" s="245">
        <v>1</v>
      </c>
      <c r="AF682" s="244" t="s">
        <v>3647</v>
      </c>
      <c r="AG682" s="239" t="str">
        <f>IFERROR(VLOOKUP(작성용!A:A,RM!A:D,4,0),"-")</f>
        <v>이문수</v>
      </c>
      <c r="AH682" s="235" t="s">
        <v>4937</v>
      </c>
      <c r="AI682" s="235" t="s">
        <v>4771</v>
      </c>
      <c r="AJ682" s="235" t="s">
        <v>4920</v>
      </c>
      <c r="AK682" s="235" t="s">
        <v>4777</v>
      </c>
      <c r="AL682" s="235">
        <v>681</v>
      </c>
    </row>
    <row r="683" spans="1:38" x14ac:dyDescent="0.3">
      <c r="A683" s="222" t="s">
        <v>3198</v>
      </c>
      <c r="B683" s="222" t="s">
        <v>5637</v>
      </c>
      <c r="C683" s="241" t="s">
        <v>4778</v>
      </c>
      <c r="D683" s="237" t="s">
        <v>5644</v>
      </c>
      <c r="E683" s="236">
        <v>1101140297314</v>
      </c>
      <c r="F683" s="240" t="s">
        <v>4854</v>
      </c>
      <c r="G683" s="214">
        <v>0</v>
      </c>
      <c r="H683" s="231" t="s">
        <v>4771</v>
      </c>
      <c r="I683" s="231"/>
      <c r="J683" s="231"/>
      <c r="K683" s="231"/>
      <c r="L683" s="231"/>
      <c r="M683" s="231"/>
      <c r="N683" s="231" t="s">
        <v>4895</v>
      </c>
      <c r="O683" s="246" t="s">
        <v>5639</v>
      </c>
      <c r="P683" s="246" t="s">
        <v>5640</v>
      </c>
      <c r="Q683" s="225" t="s">
        <v>5641</v>
      </c>
      <c r="R683" s="212" t="s">
        <v>4771</v>
      </c>
      <c r="S683" s="213" t="s">
        <v>4771</v>
      </c>
      <c r="T683" s="233">
        <v>45581</v>
      </c>
      <c r="U683" s="234" t="s">
        <v>4759</v>
      </c>
      <c r="V683" s="234">
        <v>45604</v>
      </c>
      <c r="W683" s="234">
        <v>45609</v>
      </c>
      <c r="X683" s="234" t="s">
        <v>4771</v>
      </c>
      <c r="Y683" s="234"/>
      <c r="Z683" s="234" t="s">
        <v>4674</v>
      </c>
      <c r="AA683" s="224">
        <v>202411</v>
      </c>
      <c r="AB683" s="243"/>
      <c r="AC683" s="244" t="s">
        <v>4800</v>
      </c>
      <c r="AD683" s="244" t="s">
        <v>4945</v>
      </c>
      <c r="AE683" s="245">
        <v>1</v>
      </c>
      <c r="AF683" s="244" t="s">
        <v>4585</v>
      </c>
      <c r="AG683" s="239" t="str">
        <f>IFERROR(VLOOKUP(작성용!A:A,RM!A:D,4,0),"-")</f>
        <v>이문수</v>
      </c>
      <c r="AH683" s="235" t="s">
        <v>4937</v>
      </c>
      <c r="AI683" s="235" t="s">
        <v>4771</v>
      </c>
      <c r="AJ683" s="235" t="s">
        <v>4920</v>
      </c>
      <c r="AK683" s="235" t="s">
        <v>4777</v>
      </c>
      <c r="AL683" s="235">
        <v>682</v>
      </c>
    </row>
    <row r="684" spans="1:38" x14ac:dyDescent="0.3">
      <c r="A684" s="222" t="s">
        <v>3198</v>
      </c>
      <c r="B684" s="222" t="s">
        <v>5637</v>
      </c>
      <c r="C684" s="241" t="s">
        <v>4778</v>
      </c>
      <c r="D684" s="237" t="s">
        <v>5645</v>
      </c>
      <c r="E684" s="236">
        <v>1311110497816</v>
      </c>
      <c r="F684" s="240" t="s">
        <v>4894</v>
      </c>
      <c r="G684" s="214">
        <v>0</v>
      </c>
      <c r="H684" s="231" t="s">
        <v>4771</v>
      </c>
      <c r="I684" s="231"/>
      <c r="J684" s="231"/>
      <c r="K684" s="231"/>
      <c r="L684" s="231"/>
      <c r="M684" s="231"/>
      <c r="N684" s="231" t="s">
        <v>4895</v>
      </c>
      <c r="O684" s="246" t="s">
        <v>5639</v>
      </c>
      <c r="P684" s="246" t="s">
        <v>5640</v>
      </c>
      <c r="Q684" s="225" t="s">
        <v>5641</v>
      </c>
      <c r="R684" s="212" t="s">
        <v>4771</v>
      </c>
      <c r="S684" s="213" t="s">
        <v>4771</v>
      </c>
      <c r="T684" s="233">
        <v>45581</v>
      </c>
      <c r="U684" s="234" t="s">
        <v>4759</v>
      </c>
      <c r="V684" s="234">
        <v>45604</v>
      </c>
      <c r="W684" s="234">
        <v>45609</v>
      </c>
      <c r="X684" s="234" t="s">
        <v>4771</v>
      </c>
      <c r="Y684" s="234"/>
      <c r="Z684" s="234" t="s">
        <v>4674</v>
      </c>
      <c r="AA684" s="224">
        <v>202411</v>
      </c>
      <c r="AB684" s="243"/>
      <c r="AC684" s="244" t="s">
        <v>4800</v>
      </c>
      <c r="AD684" s="244" t="s">
        <v>3650</v>
      </c>
      <c r="AE684" s="245">
        <v>1</v>
      </c>
      <c r="AF684" s="244" t="s">
        <v>3650</v>
      </c>
      <c r="AG684" s="239" t="str">
        <f>IFERROR(VLOOKUP(작성용!A:A,RM!A:D,4,0),"-")</f>
        <v>이문수</v>
      </c>
      <c r="AH684" s="235" t="s">
        <v>4937</v>
      </c>
      <c r="AI684" s="235" t="s">
        <v>4771</v>
      </c>
      <c r="AJ684" s="235" t="s">
        <v>4920</v>
      </c>
      <c r="AK684" s="235" t="s">
        <v>4777</v>
      </c>
      <c r="AL684" s="235">
        <v>683</v>
      </c>
    </row>
    <row r="685" spans="1:38" x14ac:dyDescent="0.3">
      <c r="A685" s="222" t="s">
        <v>3198</v>
      </c>
      <c r="B685" s="222" t="s">
        <v>5637</v>
      </c>
      <c r="C685" s="241" t="s">
        <v>4762</v>
      </c>
      <c r="D685" s="237" t="s">
        <v>5646</v>
      </c>
      <c r="E685" s="236">
        <v>1101140312526</v>
      </c>
      <c r="F685" s="240" t="s">
        <v>4854</v>
      </c>
      <c r="G685" s="214">
        <v>0</v>
      </c>
      <c r="H685" s="231" t="s">
        <v>4771</v>
      </c>
      <c r="I685" s="231"/>
      <c r="J685" s="231"/>
      <c r="K685" s="231"/>
      <c r="L685" s="231"/>
      <c r="M685" s="231"/>
      <c r="N685" s="231" t="s">
        <v>4895</v>
      </c>
      <c r="O685" s="246" t="s">
        <v>5639</v>
      </c>
      <c r="P685" s="246" t="s">
        <v>5640</v>
      </c>
      <c r="Q685" s="225" t="s">
        <v>5641</v>
      </c>
      <c r="R685" s="212" t="s">
        <v>4771</v>
      </c>
      <c r="S685" s="213" t="s">
        <v>4771</v>
      </c>
      <c r="T685" s="233">
        <v>45581</v>
      </c>
      <c r="U685" s="234" t="s">
        <v>4759</v>
      </c>
      <c r="V685" s="234">
        <v>45604</v>
      </c>
      <c r="W685" s="234">
        <v>45609</v>
      </c>
      <c r="X685" s="234" t="s">
        <v>4771</v>
      </c>
      <c r="Y685" s="234"/>
      <c r="Z685" s="234" t="s">
        <v>4674</v>
      </c>
      <c r="AA685" s="224">
        <v>202411</v>
      </c>
      <c r="AB685" s="243"/>
      <c r="AC685" s="244" t="s">
        <v>4800</v>
      </c>
      <c r="AD685" s="244" t="s">
        <v>4947</v>
      </c>
      <c r="AE685" s="245">
        <v>1</v>
      </c>
      <c r="AF685" s="244" t="s">
        <v>4762</v>
      </c>
      <c r="AG685" s="239" t="str">
        <f>IFERROR(VLOOKUP(작성용!A:A,RM!A:D,4,0),"-")</f>
        <v>이문수</v>
      </c>
      <c r="AH685" s="235" t="s">
        <v>4937</v>
      </c>
      <c r="AI685" s="235" t="s">
        <v>4771</v>
      </c>
      <c r="AJ685" s="235" t="s">
        <v>4920</v>
      </c>
      <c r="AK685" s="235" t="s">
        <v>4777</v>
      </c>
      <c r="AL685" s="235">
        <v>684</v>
      </c>
    </row>
    <row r="686" spans="1:38" x14ac:dyDescent="0.3">
      <c r="A686" s="222" t="s">
        <v>3198</v>
      </c>
      <c r="B686" s="222" t="s">
        <v>5637</v>
      </c>
      <c r="C686" s="241" t="s">
        <v>4762</v>
      </c>
      <c r="D686" s="237" t="s">
        <v>5647</v>
      </c>
      <c r="E686" s="236">
        <v>1101140314100</v>
      </c>
      <c r="F686" s="240" t="s">
        <v>4854</v>
      </c>
      <c r="G686" s="214">
        <v>0</v>
      </c>
      <c r="H686" s="231" t="s">
        <v>4771</v>
      </c>
      <c r="I686" s="231"/>
      <c r="J686" s="231"/>
      <c r="K686" s="231"/>
      <c r="L686" s="231"/>
      <c r="M686" s="231"/>
      <c r="N686" s="231" t="s">
        <v>4895</v>
      </c>
      <c r="O686" s="246" t="s">
        <v>5639</v>
      </c>
      <c r="P686" s="246" t="s">
        <v>5640</v>
      </c>
      <c r="Q686" s="225" t="s">
        <v>5641</v>
      </c>
      <c r="R686" s="212" t="s">
        <v>4771</v>
      </c>
      <c r="S686" s="213" t="s">
        <v>4771</v>
      </c>
      <c r="T686" s="233">
        <v>45581</v>
      </c>
      <c r="U686" s="234" t="s">
        <v>4759</v>
      </c>
      <c r="V686" s="234">
        <v>45604</v>
      </c>
      <c r="W686" s="234">
        <v>45609</v>
      </c>
      <c r="X686" s="234" t="s">
        <v>4771</v>
      </c>
      <c r="Y686" s="234"/>
      <c r="Z686" s="234" t="s">
        <v>4674</v>
      </c>
      <c r="AA686" s="224">
        <v>202411</v>
      </c>
      <c r="AB686" s="243"/>
      <c r="AC686" s="244" t="s">
        <v>4800</v>
      </c>
      <c r="AD686" s="244" t="s">
        <v>4987</v>
      </c>
      <c r="AE686" s="245">
        <v>1</v>
      </c>
      <c r="AF686" s="244" t="s">
        <v>4762</v>
      </c>
      <c r="AG686" s="239" t="str">
        <f>IFERROR(VLOOKUP(작성용!A:A,RM!A:D,4,0),"-")</f>
        <v>이문수</v>
      </c>
      <c r="AH686" s="235" t="s">
        <v>4937</v>
      </c>
      <c r="AI686" s="235" t="s">
        <v>4771</v>
      </c>
      <c r="AJ686" s="235" t="s">
        <v>4920</v>
      </c>
      <c r="AK686" s="235" t="s">
        <v>4777</v>
      </c>
      <c r="AL686" s="235">
        <v>685</v>
      </c>
    </row>
    <row r="687" spans="1:38" x14ac:dyDescent="0.3">
      <c r="A687" s="222" t="s">
        <v>3198</v>
      </c>
      <c r="B687" s="222" t="s">
        <v>5637</v>
      </c>
      <c r="C687" s="241" t="s">
        <v>4762</v>
      </c>
      <c r="D687" s="237" t="s">
        <v>5231</v>
      </c>
      <c r="E687" s="236">
        <v>1501110219184</v>
      </c>
      <c r="F687" s="240" t="s">
        <v>4780</v>
      </c>
      <c r="G687" s="214">
        <v>0</v>
      </c>
      <c r="H687" s="231" t="s">
        <v>4771</v>
      </c>
      <c r="I687" s="231"/>
      <c r="J687" s="231"/>
      <c r="K687" s="231"/>
      <c r="L687" s="231"/>
      <c r="M687" s="231"/>
      <c r="N687" s="231" t="s">
        <v>4895</v>
      </c>
      <c r="O687" s="246" t="s">
        <v>5639</v>
      </c>
      <c r="P687" s="246" t="s">
        <v>5640</v>
      </c>
      <c r="Q687" s="225" t="s">
        <v>5641</v>
      </c>
      <c r="R687" s="212" t="s">
        <v>4771</v>
      </c>
      <c r="S687" s="213" t="s">
        <v>4771</v>
      </c>
      <c r="T687" s="233">
        <v>45581</v>
      </c>
      <c r="U687" s="234" t="s">
        <v>4759</v>
      </c>
      <c r="V687" s="234">
        <v>45604</v>
      </c>
      <c r="W687" s="234">
        <v>45609</v>
      </c>
      <c r="X687" s="234" t="s">
        <v>4771</v>
      </c>
      <c r="Y687" s="234"/>
      <c r="Z687" s="234" t="s">
        <v>4674</v>
      </c>
      <c r="AA687" s="224">
        <v>202411</v>
      </c>
      <c r="AB687" s="243"/>
      <c r="AC687" s="244" t="s">
        <v>4800</v>
      </c>
      <c r="AD687" s="244" t="s">
        <v>4774</v>
      </c>
      <c r="AE687" s="245">
        <v>0</v>
      </c>
      <c r="AF687" s="244" t="s">
        <v>4774</v>
      </c>
      <c r="AG687" s="239" t="str">
        <f>IFERROR(VLOOKUP(작성용!A:A,RM!A:D,4,0),"-")</f>
        <v>이문수</v>
      </c>
      <c r="AH687" s="235" t="s">
        <v>4937</v>
      </c>
      <c r="AI687" s="235" t="s">
        <v>4771</v>
      </c>
      <c r="AJ687" s="235" t="s">
        <v>4920</v>
      </c>
      <c r="AK687" s="235" t="s">
        <v>4777</v>
      </c>
      <c r="AL687" s="235">
        <v>686</v>
      </c>
    </row>
    <row r="688" spans="1:38" x14ac:dyDescent="0.3">
      <c r="A688" s="222" t="s">
        <v>3198</v>
      </c>
      <c r="B688" s="222" t="s">
        <v>5637</v>
      </c>
      <c r="C688" s="241" t="s">
        <v>4762</v>
      </c>
      <c r="D688" s="237" t="s">
        <v>5240</v>
      </c>
      <c r="E688" s="236">
        <v>1101113273698</v>
      </c>
      <c r="F688" s="240" t="s">
        <v>4854</v>
      </c>
      <c r="G688" s="214">
        <v>0</v>
      </c>
      <c r="H688" s="231" t="s">
        <v>4771</v>
      </c>
      <c r="I688" s="231"/>
      <c r="J688" s="231"/>
      <c r="K688" s="231"/>
      <c r="L688" s="231"/>
      <c r="M688" s="231"/>
      <c r="N688" s="231" t="s">
        <v>4895</v>
      </c>
      <c r="O688" s="246" t="s">
        <v>5639</v>
      </c>
      <c r="P688" s="246" t="s">
        <v>5640</v>
      </c>
      <c r="Q688" s="225" t="s">
        <v>5641</v>
      </c>
      <c r="R688" s="212" t="s">
        <v>4771</v>
      </c>
      <c r="S688" s="213" t="s">
        <v>4771</v>
      </c>
      <c r="T688" s="233">
        <v>45581</v>
      </c>
      <c r="U688" s="234" t="s">
        <v>4759</v>
      </c>
      <c r="V688" s="234">
        <v>45604</v>
      </c>
      <c r="W688" s="234">
        <v>45609</v>
      </c>
      <c r="X688" s="234" t="s">
        <v>4771</v>
      </c>
      <c r="Y688" s="234"/>
      <c r="Z688" s="234" t="s">
        <v>4674</v>
      </c>
      <c r="AA688" s="224">
        <v>202411</v>
      </c>
      <c r="AB688" s="243"/>
      <c r="AC688" s="244" t="s">
        <v>4800</v>
      </c>
      <c r="AD688" s="244" t="s">
        <v>4897</v>
      </c>
      <c r="AE688" s="245">
        <v>0</v>
      </c>
      <c r="AF688" s="244" t="s">
        <v>492</v>
      </c>
      <c r="AG688" s="239" t="str">
        <f>IFERROR(VLOOKUP(작성용!A:A,RM!A:D,4,0),"-")</f>
        <v>이문수</v>
      </c>
      <c r="AH688" s="235" t="s">
        <v>4937</v>
      </c>
      <c r="AI688" s="235" t="s">
        <v>4771</v>
      </c>
      <c r="AJ688" s="235" t="s">
        <v>4920</v>
      </c>
      <c r="AK688" s="235" t="s">
        <v>4777</v>
      </c>
      <c r="AL688" s="235">
        <v>687</v>
      </c>
    </row>
    <row r="689" spans="1:38" x14ac:dyDescent="0.3">
      <c r="A689" s="222" t="s">
        <v>3198</v>
      </c>
      <c r="B689" s="222" t="s">
        <v>5637</v>
      </c>
      <c r="C689" s="241" t="s">
        <v>4762</v>
      </c>
      <c r="D689" s="237" t="s">
        <v>5648</v>
      </c>
      <c r="E689" s="236">
        <v>1101117373098</v>
      </c>
      <c r="F689" s="240" t="s">
        <v>4854</v>
      </c>
      <c r="G689" s="214">
        <v>0</v>
      </c>
      <c r="H689" s="231" t="s">
        <v>4771</v>
      </c>
      <c r="I689" s="231"/>
      <c r="J689" s="231"/>
      <c r="K689" s="231"/>
      <c r="L689" s="231"/>
      <c r="M689" s="231"/>
      <c r="N689" s="231" t="s">
        <v>4895</v>
      </c>
      <c r="O689" s="246" t="s">
        <v>5639</v>
      </c>
      <c r="P689" s="246" t="s">
        <v>5640</v>
      </c>
      <c r="Q689" s="225" t="s">
        <v>5641</v>
      </c>
      <c r="R689" s="212" t="s">
        <v>4771</v>
      </c>
      <c r="S689" s="213" t="s">
        <v>4771</v>
      </c>
      <c r="T689" s="233">
        <v>45581</v>
      </c>
      <c r="U689" s="234" t="s">
        <v>4759</v>
      </c>
      <c r="V689" s="234">
        <v>45604</v>
      </c>
      <c r="W689" s="234">
        <v>45609</v>
      </c>
      <c r="X689" s="234" t="s">
        <v>4771</v>
      </c>
      <c r="Y689" s="234"/>
      <c r="Z689" s="234" t="s">
        <v>4674</v>
      </c>
      <c r="AA689" s="224">
        <v>202411</v>
      </c>
      <c r="AB689" s="243"/>
      <c r="AC689" s="244" t="s">
        <v>4800</v>
      </c>
      <c r="AD689" s="244" t="s">
        <v>4945</v>
      </c>
      <c r="AE689" s="245">
        <v>1</v>
      </c>
      <c r="AF689" s="244" t="s">
        <v>4762</v>
      </c>
      <c r="AG689" s="239" t="str">
        <f>IFERROR(VLOOKUP(작성용!A:A,RM!A:D,4,0),"-")</f>
        <v>이문수</v>
      </c>
      <c r="AH689" s="235" t="s">
        <v>4937</v>
      </c>
      <c r="AI689" s="235" t="s">
        <v>4771</v>
      </c>
      <c r="AJ689" s="235" t="s">
        <v>4920</v>
      </c>
      <c r="AK689" s="235" t="s">
        <v>4777</v>
      </c>
      <c r="AL689" s="235">
        <v>688</v>
      </c>
    </row>
    <row r="690" spans="1:38" x14ac:dyDescent="0.3">
      <c r="A690" s="222" t="s">
        <v>2236</v>
      </c>
      <c r="B690" s="222" t="s">
        <v>2237</v>
      </c>
      <c r="C690" s="241" t="s">
        <v>4778</v>
      </c>
      <c r="D690" s="237" t="s">
        <v>5649</v>
      </c>
      <c r="E690" s="236">
        <v>1601110398746</v>
      </c>
      <c r="F690" s="240" t="s">
        <v>4854</v>
      </c>
      <c r="G690" s="214">
        <v>0</v>
      </c>
      <c r="H690" s="231" t="s">
        <v>4771</v>
      </c>
      <c r="I690" s="231"/>
      <c r="J690" s="231"/>
      <c r="K690" s="231"/>
      <c r="L690" s="231"/>
      <c r="M690" s="231"/>
      <c r="N690" s="231" t="s">
        <v>5566</v>
      </c>
      <c r="O690" s="246" t="s">
        <v>5650</v>
      </c>
      <c r="P690" s="246" t="s">
        <v>4675</v>
      </c>
      <c r="Q690" s="225" t="s">
        <v>5651</v>
      </c>
      <c r="R690" s="212" t="s">
        <v>2</v>
      </c>
      <c r="S690" s="213" t="s">
        <v>4771</v>
      </c>
      <c r="T690" s="233">
        <v>45581</v>
      </c>
      <c r="U690" s="234" t="s">
        <v>4759</v>
      </c>
      <c r="V690" s="234">
        <v>45600</v>
      </c>
      <c r="W690" s="234">
        <v>45611</v>
      </c>
      <c r="X690" s="234" t="s">
        <v>2</v>
      </c>
      <c r="Y690" s="234"/>
      <c r="Z690" s="234" t="s">
        <v>5652</v>
      </c>
      <c r="AA690" s="238">
        <v>202411</v>
      </c>
      <c r="AB690" s="243"/>
      <c r="AC690" s="244" t="s">
        <v>4800</v>
      </c>
      <c r="AD690" s="244" t="s">
        <v>4845</v>
      </c>
      <c r="AE690" s="245">
        <v>1</v>
      </c>
      <c r="AF690" s="244" t="s">
        <v>4845</v>
      </c>
      <c r="AG690" s="239" t="str">
        <f>IFERROR(VLOOKUP(작성용!A:A,RM!A:D,4,0),"-")</f>
        <v>서동현</v>
      </c>
      <c r="AH690" s="235" t="s">
        <v>4862</v>
      </c>
      <c r="AI690" s="235" t="s">
        <v>4771</v>
      </c>
      <c r="AJ690" s="235" t="s">
        <v>4920</v>
      </c>
      <c r="AK690" s="235" t="s">
        <v>4777</v>
      </c>
      <c r="AL690" s="235">
        <v>689</v>
      </c>
    </row>
    <row r="691" spans="1:38" x14ac:dyDescent="0.3">
      <c r="A691" s="222" t="s">
        <v>2236</v>
      </c>
      <c r="B691" s="222" t="s">
        <v>2237</v>
      </c>
      <c r="C691" s="241" t="s">
        <v>4778</v>
      </c>
      <c r="D691" s="237" t="s">
        <v>5653</v>
      </c>
      <c r="E691" s="236" t="s">
        <v>4676</v>
      </c>
      <c r="F691" s="240" t="s">
        <v>4850</v>
      </c>
      <c r="G691" s="214">
        <v>0</v>
      </c>
      <c r="H691" s="231" t="s">
        <v>4771</v>
      </c>
      <c r="I691" s="231"/>
      <c r="J691" s="231"/>
      <c r="K691" s="231"/>
      <c r="L691" s="231"/>
      <c r="M691" s="231"/>
      <c r="N691" s="231" t="s">
        <v>5566</v>
      </c>
      <c r="O691" s="246" t="s">
        <v>5650</v>
      </c>
      <c r="P691" s="246" t="s">
        <v>4675</v>
      </c>
      <c r="Q691" s="225" t="s">
        <v>5651</v>
      </c>
      <c r="R691" s="212" t="s">
        <v>2</v>
      </c>
      <c r="S691" s="213" t="s">
        <v>4771</v>
      </c>
      <c r="T691" s="233">
        <v>45581</v>
      </c>
      <c r="U691" s="234" t="s">
        <v>4759</v>
      </c>
      <c r="V691" s="234">
        <v>45600</v>
      </c>
      <c r="W691" s="234">
        <v>45611</v>
      </c>
      <c r="X691" s="234" t="s">
        <v>2</v>
      </c>
      <c r="Y691" s="234"/>
      <c r="Z691" s="234" t="s">
        <v>5652</v>
      </c>
      <c r="AA691" s="238">
        <v>202411</v>
      </c>
      <c r="AB691" s="243"/>
      <c r="AC691" s="244" t="s">
        <v>4800</v>
      </c>
      <c r="AD691" s="244" t="s">
        <v>4862</v>
      </c>
      <c r="AE691" s="245">
        <v>1</v>
      </c>
      <c r="AF691" s="244" t="s">
        <v>4862</v>
      </c>
      <c r="AG691" s="239" t="str">
        <f>IFERROR(VLOOKUP(작성용!A:A,RM!A:D,4,0),"-")</f>
        <v>서동현</v>
      </c>
      <c r="AH691" s="235" t="s">
        <v>4862</v>
      </c>
      <c r="AI691" s="235" t="s">
        <v>4771</v>
      </c>
      <c r="AJ691" s="235" t="s">
        <v>4920</v>
      </c>
      <c r="AK691" s="235" t="s">
        <v>4777</v>
      </c>
      <c r="AL691" s="235">
        <v>690</v>
      </c>
    </row>
    <row r="692" spans="1:38" x14ac:dyDescent="0.3">
      <c r="A692" s="229" t="s">
        <v>2223</v>
      </c>
      <c r="B692" s="229" t="s">
        <v>5074</v>
      </c>
      <c r="C692" s="241" t="s">
        <v>4778</v>
      </c>
      <c r="D692" s="237" t="s">
        <v>5654</v>
      </c>
      <c r="E692" s="236">
        <v>1746110001046</v>
      </c>
      <c r="F692" s="240" t="s">
        <v>4854</v>
      </c>
      <c r="G692" s="214">
        <v>0</v>
      </c>
      <c r="H692" s="231" t="s">
        <v>4771</v>
      </c>
      <c r="I692" s="231"/>
      <c r="J692" s="231"/>
      <c r="K692" s="231"/>
      <c r="L692" s="231"/>
      <c r="M692" s="231"/>
      <c r="N692" s="231" t="s">
        <v>4806</v>
      </c>
      <c r="O692" s="246" t="s">
        <v>5076</v>
      </c>
      <c r="P692" s="246" t="s">
        <v>5077</v>
      </c>
      <c r="Q692" s="225" t="s">
        <v>5078</v>
      </c>
      <c r="R692" s="212" t="s">
        <v>2</v>
      </c>
      <c r="S692" s="213" t="s">
        <v>4771</v>
      </c>
      <c r="T692" s="233">
        <v>45581</v>
      </c>
      <c r="U692" s="234" t="s">
        <v>4759</v>
      </c>
      <c r="V692" s="233">
        <v>45610</v>
      </c>
      <c r="W692" s="233">
        <v>45614</v>
      </c>
      <c r="X692" s="234" t="s">
        <v>4771</v>
      </c>
      <c r="Y692" s="234"/>
      <c r="Z692" s="234" t="s">
        <v>5655</v>
      </c>
      <c r="AA692" s="238">
        <v>202411</v>
      </c>
      <c r="AB692" s="243"/>
      <c r="AC692" s="233" t="s">
        <v>4800</v>
      </c>
      <c r="AD692" s="244" t="s">
        <v>4927</v>
      </c>
      <c r="AE692" s="245">
        <v>1</v>
      </c>
      <c r="AF692" s="244" t="s">
        <v>4927</v>
      </c>
      <c r="AG692" s="239" t="str">
        <f>IFERROR(VLOOKUP(작성용!A:A,RM!A:D,4,0),"-")</f>
        <v>이문수</v>
      </c>
      <c r="AH692" s="9" t="s">
        <v>4937</v>
      </c>
      <c r="AI692" s="235" t="s">
        <v>4771</v>
      </c>
      <c r="AJ692" s="235" t="s">
        <v>4920</v>
      </c>
      <c r="AK692" s="235" t="s">
        <v>4777</v>
      </c>
      <c r="AL692" s="235">
        <v>691</v>
      </c>
    </row>
    <row r="693" spans="1:38" x14ac:dyDescent="0.3">
      <c r="A693" s="229" t="s">
        <v>2223</v>
      </c>
      <c r="B693" s="229" t="s">
        <v>5074</v>
      </c>
      <c r="C693" s="241" t="s">
        <v>4762</v>
      </c>
      <c r="D693" s="237" t="s">
        <v>5656</v>
      </c>
      <c r="E693" s="236">
        <v>2301110050490</v>
      </c>
      <c r="F693" s="240" t="s">
        <v>4854</v>
      </c>
      <c r="G693" s="214">
        <v>0</v>
      </c>
      <c r="H693" s="231" t="s">
        <v>4771</v>
      </c>
      <c r="I693" s="231"/>
      <c r="J693" s="231"/>
      <c r="K693" s="231"/>
      <c r="L693" s="231"/>
      <c r="M693" s="231"/>
      <c r="N693" s="231" t="s">
        <v>4806</v>
      </c>
      <c r="O693" s="246" t="s">
        <v>5076</v>
      </c>
      <c r="P693" s="246" t="s">
        <v>5077</v>
      </c>
      <c r="Q693" s="225" t="s">
        <v>5078</v>
      </c>
      <c r="R693" s="212" t="s">
        <v>2</v>
      </c>
      <c r="S693" s="213" t="s">
        <v>4771</v>
      </c>
      <c r="T693" s="233">
        <v>45581</v>
      </c>
      <c r="U693" s="234" t="s">
        <v>4759</v>
      </c>
      <c r="V693" s="233">
        <v>45610</v>
      </c>
      <c r="W693" s="233">
        <v>45614</v>
      </c>
      <c r="X693" s="234" t="s">
        <v>4771</v>
      </c>
      <c r="Y693" s="234"/>
      <c r="Z693" s="234" t="s">
        <v>5655</v>
      </c>
      <c r="AA693" s="238">
        <v>202411</v>
      </c>
      <c r="AB693" s="243"/>
      <c r="AC693" s="233" t="s">
        <v>4800</v>
      </c>
      <c r="AD693" s="244" t="s">
        <v>4947</v>
      </c>
      <c r="AE693" s="245">
        <v>1</v>
      </c>
      <c r="AF693" s="244" t="s">
        <v>4762</v>
      </c>
      <c r="AG693" s="239" t="str">
        <f>IFERROR(VLOOKUP(작성용!A:A,RM!A:D,4,0),"-")</f>
        <v>이문수</v>
      </c>
      <c r="AH693" s="9" t="s">
        <v>4937</v>
      </c>
      <c r="AI693" s="235" t="s">
        <v>4771</v>
      </c>
      <c r="AJ693" s="235" t="s">
        <v>4920</v>
      </c>
      <c r="AK693" s="235" t="s">
        <v>4777</v>
      </c>
      <c r="AL693" s="235">
        <v>692</v>
      </c>
    </row>
    <row r="694" spans="1:38" x14ac:dyDescent="0.3">
      <c r="A694" s="229" t="s">
        <v>2223</v>
      </c>
      <c r="B694" s="229" t="s">
        <v>5074</v>
      </c>
      <c r="C694" s="241" t="s">
        <v>4762</v>
      </c>
      <c r="D694" s="237" t="s">
        <v>5656</v>
      </c>
      <c r="E694" s="236">
        <v>2301110050490</v>
      </c>
      <c r="F694" s="240" t="s">
        <v>4780</v>
      </c>
      <c r="G694" s="214">
        <v>0</v>
      </c>
      <c r="H694" s="231" t="s">
        <v>4771</v>
      </c>
      <c r="I694" s="231"/>
      <c r="J694" s="231"/>
      <c r="K694" s="231"/>
      <c r="L694" s="231"/>
      <c r="M694" s="231"/>
      <c r="N694" s="231" t="s">
        <v>4806</v>
      </c>
      <c r="O694" s="246" t="s">
        <v>5076</v>
      </c>
      <c r="P694" s="246" t="s">
        <v>5077</v>
      </c>
      <c r="Q694" s="225" t="s">
        <v>5078</v>
      </c>
      <c r="R694" s="212" t="s">
        <v>2</v>
      </c>
      <c r="S694" s="213" t="s">
        <v>4771</v>
      </c>
      <c r="T694" s="233">
        <v>45581</v>
      </c>
      <c r="U694" s="234" t="s">
        <v>4759</v>
      </c>
      <c r="V694" s="233">
        <v>45610</v>
      </c>
      <c r="W694" s="233">
        <v>45614</v>
      </c>
      <c r="X694" s="234" t="s">
        <v>4771</v>
      </c>
      <c r="Y694" s="234"/>
      <c r="Z694" s="234" t="s">
        <v>5655</v>
      </c>
      <c r="AA694" s="238">
        <v>202411</v>
      </c>
      <c r="AB694" s="243"/>
      <c r="AC694" s="233" t="s">
        <v>4800</v>
      </c>
      <c r="AD694" s="244" t="s">
        <v>4947</v>
      </c>
      <c r="AE694" s="245">
        <v>0</v>
      </c>
      <c r="AF694" s="244" t="s">
        <v>4762</v>
      </c>
      <c r="AG694" s="239" t="str">
        <f>IFERROR(VLOOKUP(작성용!A:A,RM!A:D,4,0),"-")</f>
        <v>이문수</v>
      </c>
      <c r="AH694" s="9" t="s">
        <v>4937</v>
      </c>
      <c r="AI694" s="235" t="s">
        <v>4771</v>
      </c>
      <c r="AJ694" s="235" t="s">
        <v>4920</v>
      </c>
      <c r="AK694" s="235" t="s">
        <v>4777</v>
      </c>
      <c r="AL694" s="235">
        <v>693</v>
      </c>
    </row>
    <row r="695" spans="1:38" x14ac:dyDescent="0.3">
      <c r="A695" s="222" t="s">
        <v>3443</v>
      </c>
      <c r="B695" s="222" t="s">
        <v>4678</v>
      </c>
      <c r="C695" s="241" t="s">
        <v>4778</v>
      </c>
      <c r="D695" s="237" t="s">
        <v>5657</v>
      </c>
      <c r="E695" s="236">
        <v>1801111118553</v>
      </c>
      <c r="F695" s="240" t="s">
        <v>4850</v>
      </c>
      <c r="G695" s="214">
        <v>0</v>
      </c>
      <c r="H695" s="231" t="s">
        <v>4771</v>
      </c>
      <c r="I695" s="231"/>
      <c r="J695" s="231"/>
      <c r="K695" s="231"/>
      <c r="L695" s="231"/>
      <c r="M695" s="231"/>
      <c r="N695" s="231" t="s">
        <v>4895</v>
      </c>
      <c r="O695" s="246" t="s">
        <v>5658</v>
      </c>
      <c r="P695" s="246" t="s">
        <v>5659</v>
      </c>
      <c r="Q695" s="225" t="s">
        <v>4680</v>
      </c>
      <c r="R695" s="212" t="s">
        <v>4771</v>
      </c>
      <c r="S695" s="213" t="s">
        <v>4771</v>
      </c>
      <c r="T695" s="233">
        <v>45581</v>
      </c>
      <c r="U695" s="234" t="s">
        <v>4759</v>
      </c>
      <c r="V695" s="234">
        <v>45610</v>
      </c>
      <c r="W695" s="234">
        <v>45615</v>
      </c>
      <c r="X695" s="234" t="s">
        <v>2</v>
      </c>
      <c r="Y695" s="234"/>
      <c r="Z695" s="234" t="s">
        <v>4681</v>
      </c>
      <c r="AA695" s="243">
        <v>202411</v>
      </c>
      <c r="AB695" s="243"/>
      <c r="AC695" s="244" t="s">
        <v>4800</v>
      </c>
      <c r="AD695" s="244" t="s">
        <v>4915</v>
      </c>
      <c r="AE695" s="245">
        <v>1</v>
      </c>
      <c r="AF695" s="244" t="s">
        <v>5144</v>
      </c>
      <c r="AG695" s="239" t="str">
        <f>IFERROR(VLOOKUP(작성용!A:A,RM!A:D,4,0),"-")</f>
        <v>윤광일</v>
      </c>
      <c r="AH695" s="9" t="s">
        <v>4915</v>
      </c>
      <c r="AI695" s="235" t="s">
        <v>4771</v>
      </c>
      <c r="AJ695" s="235" t="s">
        <v>4920</v>
      </c>
      <c r="AK695" s="235" t="s">
        <v>4777</v>
      </c>
      <c r="AL695" s="235">
        <v>694</v>
      </c>
    </row>
    <row r="696" spans="1:38" x14ac:dyDescent="0.3">
      <c r="A696" s="222" t="s">
        <v>3443</v>
      </c>
      <c r="B696" s="222" t="s">
        <v>5660</v>
      </c>
      <c r="C696" s="241" t="s">
        <v>4778</v>
      </c>
      <c r="D696" s="237" t="s">
        <v>5661</v>
      </c>
      <c r="E696" s="236">
        <v>1348110382234</v>
      </c>
      <c r="F696" s="240" t="s">
        <v>4850</v>
      </c>
      <c r="G696" s="214">
        <v>0</v>
      </c>
      <c r="H696" s="231" t="s">
        <v>4771</v>
      </c>
      <c r="I696" s="231"/>
      <c r="J696" s="231"/>
      <c r="K696" s="231"/>
      <c r="L696" s="231"/>
      <c r="M696" s="231"/>
      <c r="N696" s="231" t="s">
        <v>4881</v>
      </c>
      <c r="O696" s="246" t="s">
        <v>5658</v>
      </c>
      <c r="P696" s="246" t="s">
        <v>5659</v>
      </c>
      <c r="Q696" s="225" t="s">
        <v>4680</v>
      </c>
      <c r="R696" s="212" t="s">
        <v>4767</v>
      </c>
      <c r="S696" s="213" t="s">
        <v>4771</v>
      </c>
      <c r="T696" s="233">
        <v>45581</v>
      </c>
      <c r="U696" s="234" t="s">
        <v>4759</v>
      </c>
      <c r="V696" s="234">
        <v>45610</v>
      </c>
      <c r="W696" s="234">
        <v>45615</v>
      </c>
      <c r="X696" s="234" t="s">
        <v>2</v>
      </c>
      <c r="Y696" s="234"/>
      <c r="Z696" s="234" t="s">
        <v>4681</v>
      </c>
      <c r="AA696" s="243">
        <v>202411</v>
      </c>
      <c r="AB696" s="243"/>
      <c r="AC696" s="244" t="s">
        <v>4878</v>
      </c>
      <c r="AD696" s="244" t="s">
        <v>4886</v>
      </c>
      <c r="AE696" s="245">
        <v>1</v>
      </c>
      <c r="AF696" s="244" t="s">
        <v>4886</v>
      </c>
      <c r="AG696" s="239" t="str">
        <f>IFERROR(VLOOKUP(작성용!A:A,RM!A:D,4,0),"-")</f>
        <v>윤광일</v>
      </c>
      <c r="AH696" s="9" t="s">
        <v>4915</v>
      </c>
      <c r="AI696" s="235" t="s">
        <v>4767</v>
      </c>
      <c r="AJ696" s="235" t="s">
        <v>4920</v>
      </c>
      <c r="AK696" s="235" t="s">
        <v>4777</v>
      </c>
      <c r="AL696" s="235">
        <v>695</v>
      </c>
    </row>
    <row r="697" spans="1:38" x14ac:dyDescent="0.3">
      <c r="A697" s="222" t="s">
        <v>3443</v>
      </c>
      <c r="B697" s="222" t="s">
        <v>5662</v>
      </c>
      <c r="C697" s="241" t="s">
        <v>4778</v>
      </c>
      <c r="D697" s="237" t="s">
        <v>5663</v>
      </c>
      <c r="E697" s="236">
        <v>1601110395354</v>
      </c>
      <c r="F697" s="240" t="s">
        <v>4869</v>
      </c>
      <c r="G697" s="214">
        <v>0</v>
      </c>
      <c r="H697" s="231" t="s">
        <v>4771</v>
      </c>
      <c r="I697" s="231"/>
      <c r="J697" s="231"/>
      <c r="K697" s="231"/>
      <c r="L697" s="231"/>
      <c r="M697" s="231"/>
      <c r="N697" s="231" t="s">
        <v>4881</v>
      </c>
      <c r="O697" s="246" t="s">
        <v>5658</v>
      </c>
      <c r="P697" s="246" t="s">
        <v>5659</v>
      </c>
      <c r="Q697" s="225" t="s">
        <v>4680</v>
      </c>
      <c r="R697" s="212" t="s">
        <v>4771</v>
      </c>
      <c r="S697" s="213" t="s">
        <v>4771</v>
      </c>
      <c r="T697" s="233">
        <v>45581</v>
      </c>
      <c r="U697" s="234" t="s">
        <v>4759</v>
      </c>
      <c r="V697" s="234">
        <v>45610</v>
      </c>
      <c r="W697" s="234">
        <v>45615</v>
      </c>
      <c r="X697" s="234" t="s">
        <v>2</v>
      </c>
      <c r="Y697" s="234"/>
      <c r="Z697" s="234" t="s">
        <v>4681</v>
      </c>
      <c r="AA697" s="243">
        <v>202411</v>
      </c>
      <c r="AB697" s="243"/>
      <c r="AC697" s="244" t="s">
        <v>4800</v>
      </c>
      <c r="AD697" s="244" t="s">
        <v>4905</v>
      </c>
      <c r="AE697" s="245">
        <v>1</v>
      </c>
      <c r="AF697" s="244" t="s">
        <v>4905</v>
      </c>
      <c r="AG697" s="239" t="str">
        <f>IFERROR(VLOOKUP(작성용!A:A,RM!A:D,4,0),"-")</f>
        <v>윤광일</v>
      </c>
      <c r="AH697" s="9" t="s">
        <v>4915</v>
      </c>
      <c r="AI697" s="235" t="s">
        <v>4771</v>
      </c>
      <c r="AJ697" s="235" t="s">
        <v>4920</v>
      </c>
      <c r="AK697" s="235" t="s">
        <v>4777</v>
      </c>
      <c r="AL697" s="235">
        <v>696</v>
      </c>
    </row>
    <row r="698" spans="1:38" x14ac:dyDescent="0.3">
      <c r="A698" s="222" t="s">
        <v>3443</v>
      </c>
      <c r="B698" s="222" t="s">
        <v>5662</v>
      </c>
      <c r="C698" s="241" t="s">
        <v>4778</v>
      </c>
      <c r="D698" s="237" t="s">
        <v>5664</v>
      </c>
      <c r="E698" s="236">
        <v>1348110277576</v>
      </c>
      <c r="F698" s="240" t="s">
        <v>4850</v>
      </c>
      <c r="G698" s="214">
        <v>0</v>
      </c>
      <c r="H698" s="231" t="s">
        <v>4771</v>
      </c>
      <c r="I698" s="231"/>
      <c r="J698" s="231"/>
      <c r="K698" s="231"/>
      <c r="L698" s="231"/>
      <c r="M698" s="231"/>
      <c r="N698" s="231" t="s">
        <v>4895</v>
      </c>
      <c r="O698" s="246" t="s">
        <v>5658</v>
      </c>
      <c r="P698" s="246" t="s">
        <v>5659</v>
      </c>
      <c r="Q698" s="225" t="s">
        <v>4680</v>
      </c>
      <c r="R698" s="212" t="s">
        <v>4771</v>
      </c>
      <c r="S698" s="213" t="s">
        <v>4771</v>
      </c>
      <c r="T698" s="233">
        <v>45581</v>
      </c>
      <c r="U698" s="234" t="s">
        <v>4759</v>
      </c>
      <c r="V698" s="234">
        <v>45610</v>
      </c>
      <c r="W698" s="234">
        <v>45615</v>
      </c>
      <c r="X698" s="234" t="s">
        <v>2</v>
      </c>
      <c r="Y698" s="234"/>
      <c r="Z698" s="234" t="s">
        <v>4681</v>
      </c>
      <c r="AA698" s="243">
        <v>202411</v>
      </c>
      <c r="AB698" s="243"/>
      <c r="AC698" s="244" t="s">
        <v>4800</v>
      </c>
      <c r="AD698" s="244" t="s">
        <v>4860</v>
      </c>
      <c r="AE698" s="245">
        <v>1</v>
      </c>
      <c r="AF698" s="244" t="s">
        <v>4860</v>
      </c>
      <c r="AG698" s="239" t="str">
        <f>IFERROR(VLOOKUP(작성용!A:A,RM!A:D,4,0),"-")</f>
        <v>윤광일</v>
      </c>
      <c r="AH698" s="9" t="s">
        <v>4915</v>
      </c>
      <c r="AI698" s="235" t="s">
        <v>4771</v>
      </c>
      <c r="AJ698" s="235" t="s">
        <v>4920</v>
      </c>
      <c r="AK698" s="235" t="s">
        <v>4777</v>
      </c>
      <c r="AL698" s="235">
        <v>697</v>
      </c>
    </row>
    <row r="699" spans="1:38" x14ac:dyDescent="0.3">
      <c r="A699" s="222" t="s">
        <v>3443</v>
      </c>
      <c r="B699" s="222" t="s">
        <v>5662</v>
      </c>
      <c r="C699" s="241" t="s">
        <v>4778</v>
      </c>
      <c r="D699" s="237" t="s">
        <v>5665</v>
      </c>
      <c r="E699" s="236">
        <v>1311110604148</v>
      </c>
      <c r="F699" s="240" t="s">
        <v>4850</v>
      </c>
      <c r="G699" s="214">
        <v>0</v>
      </c>
      <c r="H699" s="231" t="s">
        <v>4771</v>
      </c>
      <c r="I699" s="231"/>
      <c r="J699" s="231"/>
      <c r="K699" s="231"/>
      <c r="L699" s="231"/>
      <c r="M699" s="231"/>
      <c r="N699" s="231" t="s">
        <v>4895</v>
      </c>
      <c r="O699" s="246" t="s">
        <v>5658</v>
      </c>
      <c r="P699" s="246" t="s">
        <v>5659</v>
      </c>
      <c r="Q699" s="225" t="s">
        <v>4680</v>
      </c>
      <c r="R699" s="212" t="s">
        <v>4771</v>
      </c>
      <c r="S699" s="213" t="s">
        <v>4771</v>
      </c>
      <c r="T699" s="233">
        <v>45581</v>
      </c>
      <c r="U699" s="234" t="s">
        <v>4759</v>
      </c>
      <c r="V699" s="234">
        <v>45610</v>
      </c>
      <c r="W699" s="234">
        <v>45615</v>
      </c>
      <c r="X699" s="234" t="s">
        <v>2</v>
      </c>
      <c r="Y699" s="234"/>
      <c r="Z699" s="234" t="s">
        <v>4681</v>
      </c>
      <c r="AA699" s="243">
        <v>202411</v>
      </c>
      <c r="AB699" s="243"/>
      <c r="AC699" s="244" t="s">
        <v>4800</v>
      </c>
      <c r="AD699" s="244" t="s">
        <v>4909</v>
      </c>
      <c r="AE699" s="245">
        <v>1</v>
      </c>
      <c r="AF699" s="244" t="s">
        <v>4909</v>
      </c>
      <c r="AG699" s="239" t="str">
        <f>IFERROR(VLOOKUP(작성용!A:A,RM!A:D,4,0),"-")</f>
        <v>윤광일</v>
      </c>
      <c r="AH699" s="9" t="s">
        <v>4915</v>
      </c>
      <c r="AI699" s="235" t="s">
        <v>4771</v>
      </c>
      <c r="AJ699" s="235" t="s">
        <v>4920</v>
      </c>
      <c r="AK699" s="235" t="s">
        <v>4777</v>
      </c>
      <c r="AL699" s="235">
        <v>698</v>
      </c>
    </row>
    <row r="700" spans="1:38" x14ac:dyDescent="0.3">
      <c r="A700" s="222" t="s">
        <v>3443</v>
      </c>
      <c r="B700" s="222" t="s">
        <v>5662</v>
      </c>
      <c r="C700" s="241" t="s">
        <v>4778</v>
      </c>
      <c r="D700" s="237" t="s">
        <v>5666</v>
      </c>
      <c r="E700" s="236">
        <v>1101116197283</v>
      </c>
      <c r="F700" s="240" t="s">
        <v>4850</v>
      </c>
      <c r="G700" s="214">
        <v>0</v>
      </c>
      <c r="H700" s="231" t="s">
        <v>4771</v>
      </c>
      <c r="I700" s="231"/>
      <c r="J700" s="231"/>
      <c r="K700" s="231"/>
      <c r="L700" s="231"/>
      <c r="M700" s="231"/>
      <c r="N700" s="231" t="s">
        <v>4895</v>
      </c>
      <c r="O700" s="246" t="s">
        <v>5658</v>
      </c>
      <c r="P700" s="246" t="s">
        <v>5659</v>
      </c>
      <c r="Q700" s="225" t="s">
        <v>4680</v>
      </c>
      <c r="R700" s="212" t="s">
        <v>4771</v>
      </c>
      <c r="S700" s="213" t="s">
        <v>4771</v>
      </c>
      <c r="T700" s="233">
        <v>45581</v>
      </c>
      <c r="U700" s="234" t="s">
        <v>4759</v>
      </c>
      <c r="V700" s="234">
        <v>45610</v>
      </c>
      <c r="W700" s="234">
        <v>45615</v>
      </c>
      <c r="X700" s="234" t="s">
        <v>2</v>
      </c>
      <c r="Y700" s="234"/>
      <c r="Z700" s="234" t="s">
        <v>4681</v>
      </c>
      <c r="AA700" s="243">
        <v>202411</v>
      </c>
      <c r="AB700" s="243"/>
      <c r="AC700" s="244" t="s">
        <v>4800</v>
      </c>
      <c r="AD700" s="244" t="s">
        <v>4846</v>
      </c>
      <c r="AE700" s="245">
        <v>1</v>
      </c>
      <c r="AF700" s="244" t="s">
        <v>4999</v>
      </c>
      <c r="AG700" s="239" t="str">
        <f>IFERROR(VLOOKUP(작성용!A:A,RM!A:D,4,0),"-")</f>
        <v>윤광일</v>
      </c>
      <c r="AH700" s="9" t="s">
        <v>4915</v>
      </c>
      <c r="AI700" s="235" t="s">
        <v>4771</v>
      </c>
      <c r="AJ700" s="235" t="s">
        <v>4920</v>
      </c>
      <c r="AK700" s="235" t="s">
        <v>4777</v>
      </c>
      <c r="AL700" s="235">
        <v>699</v>
      </c>
    </row>
    <row r="701" spans="1:38" x14ac:dyDescent="0.3">
      <c r="A701" s="222" t="s">
        <v>3443</v>
      </c>
      <c r="B701" s="222" t="s">
        <v>5662</v>
      </c>
      <c r="C701" s="241" t="s">
        <v>4778</v>
      </c>
      <c r="D701" s="237" t="s">
        <v>5425</v>
      </c>
      <c r="E701" s="236">
        <v>1101115498137</v>
      </c>
      <c r="F701" s="240" t="s">
        <v>4850</v>
      </c>
      <c r="G701" s="214">
        <v>0</v>
      </c>
      <c r="H701" s="231" t="s">
        <v>4771</v>
      </c>
      <c r="I701" s="231"/>
      <c r="J701" s="231"/>
      <c r="K701" s="231"/>
      <c r="L701" s="231"/>
      <c r="M701" s="231"/>
      <c r="N701" s="231" t="s">
        <v>4895</v>
      </c>
      <c r="O701" s="246" t="s">
        <v>5658</v>
      </c>
      <c r="P701" s="246" t="s">
        <v>5659</v>
      </c>
      <c r="Q701" s="225" t="s">
        <v>4680</v>
      </c>
      <c r="R701" s="212" t="s">
        <v>4771</v>
      </c>
      <c r="S701" s="213" t="s">
        <v>4771</v>
      </c>
      <c r="T701" s="233">
        <v>45581</v>
      </c>
      <c r="U701" s="234" t="s">
        <v>4759</v>
      </c>
      <c r="V701" s="234">
        <v>45610</v>
      </c>
      <c r="W701" s="234">
        <v>45615</v>
      </c>
      <c r="X701" s="234" t="s">
        <v>2</v>
      </c>
      <c r="Y701" s="234"/>
      <c r="Z701" s="234" t="s">
        <v>4681</v>
      </c>
      <c r="AA701" s="243">
        <v>202411</v>
      </c>
      <c r="AB701" s="243"/>
      <c r="AC701" s="244" t="s">
        <v>4800</v>
      </c>
      <c r="AD701" s="244" t="s">
        <v>4909</v>
      </c>
      <c r="AE701" s="245">
        <v>1</v>
      </c>
      <c r="AF701" s="244" t="s">
        <v>4999</v>
      </c>
      <c r="AG701" s="239" t="str">
        <f>IFERROR(VLOOKUP(작성용!A:A,RM!A:D,4,0),"-")</f>
        <v>윤광일</v>
      </c>
      <c r="AH701" s="9" t="s">
        <v>4915</v>
      </c>
      <c r="AI701" s="235" t="s">
        <v>4771</v>
      </c>
      <c r="AJ701" s="235" t="s">
        <v>4920</v>
      </c>
      <c r="AK701" s="235" t="s">
        <v>4777</v>
      </c>
      <c r="AL701" s="235">
        <v>700</v>
      </c>
    </row>
    <row r="702" spans="1:38" x14ac:dyDescent="0.3">
      <c r="A702" s="222" t="s">
        <v>3443</v>
      </c>
      <c r="B702" s="222" t="s">
        <v>5662</v>
      </c>
      <c r="C702" s="241" t="s">
        <v>4778</v>
      </c>
      <c r="D702" s="237" t="s">
        <v>5667</v>
      </c>
      <c r="E702" s="236" t="s">
        <v>4002</v>
      </c>
      <c r="F702" s="240" t="s">
        <v>4894</v>
      </c>
      <c r="G702" s="214">
        <v>0</v>
      </c>
      <c r="H702" s="231" t="s">
        <v>4771</v>
      </c>
      <c r="I702" s="231"/>
      <c r="J702" s="231"/>
      <c r="K702" s="231"/>
      <c r="L702" s="231"/>
      <c r="M702" s="231"/>
      <c r="N702" s="231" t="s">
        <v>4895</v>
      </c>
      <c r="O702" s="246" t="s">
        <v>5658</v>
      </c>
      <c r="P702" s="246" t="s">
        <v>5659</v>
      </c>
      <c r="Q702" s="225" t="s">
        <v>4680</v>
      </c>
      <c r="R702" s="212" t="s">
        <v>4771</v>
      </c>
      <c r="S702" s="213" t="s">
        <v>4771</v>
      </c>
      <c r="T702" s="233">
        <v>45581</v>
      </c>
      <c r="U702" s="234" t="s">
        <v>4759</v>
      </c>
      <c r="V702" s="234">
        <v>45610</v>
      </c>
      <c r="W702" s="234">
        <v>45615</v>
      </c>
      <c r="X702" s="234" t="s">
        <v>2</v>
      </c>
      <c r="Y702" s="234"/>
      <c r="Z702" s="234" t="s">
        <v>4681</v>
      </c>
      <c r="AA702" s="243">
        <v>202411</v>
      </c>
      <c r="AB702" s="243"/>
      <c r="AC702" s="244" t="s">
        <v>4800</v>
      </c>
      <c r="AD702" s="244" t="s">
        <v>4918</v>
      </c>
      <c r="AE702" s="245">
        <v>1</v>
      </c>
      <c r="AF702" s="244" t="s">
        <v>4918</v>
      </c>
      <c r="AG702" s="239" t="str">
        <f>IFERROR(VLOOKUP(작성용!A:A,RM!A:D,4,0),"-")</f>
        <v>윤광일</v>
      </c>
      <c r="AH702" s="9" t="s">
        <v>4915</v>
      </c>
      <c r="AI702" s="235" t="s">
        <v>4771</v>
      </c>
      <c r="AJ702" s="235" t="s">
        <v>4920</v>
      </c>
      <c r="AK702" s="235" t="s">
        <v>4777</v>
      </c>
      <c r="AL702" s="235">
        <v>701</v>
      </c>
    </row>
    <row r="703" spans="1:38" x14ac:dyDescent="0.3">
      <c r="A703" s="222" t="s">
        <v>3443</v>
      </c>
      <c r="B703" s="222" t="s">
        <v>5662</v>
      </c>
      <c r="C703" s="241" t="s">
        <v>4778</v>
      </c>
      <c r="D703" s="237" t="s">
        <v>5668</v>
      </c>
      <c r="E703" s="236">
        <v>1348110421587</v>
      </c>
      <c r="F703" s="240" t="s">
        <v>4850</v>
      </c>
      <c r="G703" s="214">
        <v>0</v>
      </c>
      <c r="H703" s="231" t="s">
        <v>4771</v>
      </c>
      <c r="I703" s="231"/>
      <c r="J703" s="231"/>
      <c r="K703" s="231"/>
      <c r="L703" s="231"/>
      <c r="M703" s="231"/>
      <c r="N703" s="231" t="s">
        <v>4895</v>
      </c>
      <c r="O703" s="246" t="s">
        <v>5658</v>
      </c>
      <c r="P703" s="246" t="s">
        <v>5659</v>
      </c>
      <c r="Q703" s="225" t="s">
        <v>4680</v>
      </c>
      <c r="R703" s="212" t="s">
        <v>4771</v>
      </c>
      <c r="S703" s="213" t="s">
        <v>4771</v>
      </c>
      <c r="T703" s="233">
        <v>45581</v>
      </c>
      <c r="U703" s="234" t="s">
        <v>4759</v>
      </c>
      <c r="V703" s="234">
        <v>45610</v>
      </c>
      <c r="W703" s="234">
        <v>45615</v>
      </c>
      <c r="X703" s="234" t="s">
        <v>2</v>
      </c>
      <c r="Y703" s="234"/>
      <c r="Z703" s="234" t="s">
        <v>4681</v>
      </c>
      <c r="AA703" s="243">
        <v>202411</v>
      </c>
      <c r="AB703" s="243"/>
      <c r="AC703" s="244" t="s">
        <v>4800</v>
      </c>
      <c r="AD703" s="244" t="s">
        <v>4858</v>
      </c>
      <c r="AE703" s="245">
        <v>1</v>
      </c>
      <c r="AF703" s="244" t="s">
        <v>4858</v>
      </c>
      <c r="AG703" s="239" t="str">
        <f>IFERROR(VLOOKUP(작성용!A:A,RM!A:D,4,0),"-")</f>
        <v>윤광일</v>
      </c>
      <c r="AH703" s="9" t="s">
        <v>4915</v>
      </c>
      <c r="AI703" s="235" t="s">
        <v>4771</v>
      </c>
      <c r="AJ703" s="235" t="s">
        <v>4920</v>
      </c>
      <c r="AK703" s="235" t="s">
        <v>4777</v>
      </c>
      <c r="AL703" s="235">
        <v>702</v>
      </c>
    </row>
    <row r="704" spans="1:38" x14ac:dyDescent="0.3">
      <c r="A704" s="222" t="s">
        <v>3443</v>
      </c>
      <c r="B704" s="222" t="s">
        <v>5662</v>
      </c>
      <c r="C704" s="241" t="s">
        <v>4778</v>
      </c>
      <c r="D704" s="237" t="s">
        <v>5669</v>
      </c>
      <c r="E704" s="236">
        <v>1358110342790</v>
      </c>
      <c r="F704" s="240" t="s">
        <v>4850</v>
      </c>
      <c r="G704" s="214">
        <v>0</v>
      </c>
      <c r="H704" s="231" t="s">
        <v>4771</v>
      </c>
      <c r="I704" s="231"/>
      <c r="J704" s="231"/>
      <c r="K704" s="231"/>
      <c r="L704" s="231"/>
      <c r="M704" s="231"/>
      <c r="N704" s="231" t="s">
        <v>4895</v>
      </c>
      <c r="O704" s="246" t="s">
        <v>5658</v>
      </c>
      <c r="P704" s="246" t="s">
        <v>5659</v>
      </c>
      <c r="Q704" s="225" t="s">
        <v>4680</v>
      </c>
      <c r="R704" s="212" t="s">
        <v>4771</v>
      </c>
      <c r="S704" s="213" t="s">
        <v>4771</v>
      </c>
      <c r="T704" s="233">
        <v>45581</v>
      </c>
      <c r="U704" s="234" t="s">
        <v>4759</v>
      </c>
      <c r="V704" s="234">
        <v>45610</v>
      </c>
      <c r="W704" s="234">
        <v>45615</v>
      </c>
      <c r="X704" s="234" t="s">
        <v>2</v>
      </c>
      <c r="Y704" s="234"/>
      <c r="Z704" s="234" t="s">
        <v>4681</v>
      </c>
      <c r="AA704" s="243">
        <v>202411</v>
      </c>
      <c r="AB704" s="243"/>
      <c r="AC704" s="244" t="s">
        <v>4800</v>
      </c>
      <c r="AD704" s="244" t="s">
        <v>4900</v>
      </c>
      <c r="AE704" s="245">
        <v>1</v>
      </c>
      <c r="AF704" s="244" t="s">
        <v>4900</v>
      </c>
      <c r="AG704" s="239" t="str">
        <f>IFERROR(VLOOKUP(작성용!A:A,RM!A:D,4,0),"-")</f>
        <v>윤광일</v>
      </c>
      <c r="AH704" s="9" t="s">
        <v>4915</v>
      </c>
      <c r="AI704" s="235" t="s">
        <v>4771</v>
      </c>
      <c r="AJ704" s="235" t="s">
        <v>4920</v>
      </c>
      <c r="AK704" s="235" t="s">
        <v>4777</v>
      </c>
      <c r="AL704" s="235">
        <v>703</v>
      </c>
    </row>
    <row r="705" spans="1:38" x14ac:dyDescent="0.3">
      <c r="A705" s="222" t="s">
        <v>3443</v>
      </c>
      <c r="B705" s="222" t="s">
        <v>5662</v>
      </c>
      <c r="C705" s="241" t="s">
        <v>4778</v>
      </c>
      <c r="D705" s="237" t="s">
        <v>5670</v>
      </c>
      <c r="E705" s="236">
        <v>2301110289544</v>
      </c>
      <c r="F705" s="240" t="s">
        <v>4850</v>
      </c>
      <c r="G705" s="214">
        <v>0</v>
      </c>
      <c r="H705" s="231" t="s">
        <v>4771</v>
      </c>
      <c r="I705" s="231"/>
      <c r="J705" s="231"/>
      <c r="K705" s="231"/>
      <c r="L705" s="231"/>
      <c r="M705" s="231"/>
      <c r="N705" s="231" t="s">
        <v>4895</v>
      </c>
      <c r="O705" s="246" t="s">
        <v>5658</v>
      </c>
      <c r="P705" s="246" t="s">
        <v>5659</v>
      </c>
      <c r="Q705" s="225" t="s">
        <v>4680</v>
      </c>
      <c r="R705" s="212" t="s">
        <v>4771</v>
      </c>
      <c r="S705" s="213" t="s">
        <v>4771</v>
      </c>
      <c r="T705" s="233">
        <v>45581</v>
      </c>
      <c r="U705" s="234" t="s">
        <v>4759</v>
      </c>
      <c r="V705" s="234">
        <v>45610</v>
      </c>
      <c r="W705" s="234">
        <v>45615</v>
      </c>
      <c r="X705" s="234" t="s">
        <v>2</v>
      </c>
      <c r="Y705" s="234"/>
      <c r="Z705" s="234" t="s">
        <v>4681</v>
      </c>
      <c r="AA705" s="243">
        <v>202411</v>
      </c>
      <c r="AB705" s="243"/>
      <c r="AC705" s="244" t="s">
        <v>4800</v>
      </c>
      <c r="AD705" s="244" t="s">
        <v>4937</v>
      </c>
      <c r="AE705" s="245">
        <v>1</v>
      </c>
      <c r="AF705" s="244" t="s">
        <v>5001</v>
      </c>
      <c r="AG705" s="239" t="str">
        <f>IFERROR(VLOOKUP(작성용!A:A,RM!A:D,4,0),"-")</f>
        <v>윤광일</v>
      </c>
      <c r="AH705" s="9" t="s">
        <v>4915</v>
      </c>
      <c r="AI705" s="235" t="s">
        <v>4771</v>
      </c>
      <c r="AJ705" s="235" t="s">
        <v>4920</v>
      </c>
      <c r="AK705" s="235" t="s">
        <v>4777</v>
      </c>
      <c r="AL705" s="235">
        <v>704</v>
      </c>
    </row>
    <row r="706" spans="1:38" x14ac:dyDescent="0.3">
      <c r="A706" s="222" t="s">
        <v>3443</v>
      </c>
      <c r="B706" s="222" t="s">
        <v>5662</v>
      </c>
      <c r="C706" s="241" t="s">
        <v>4778</v>
      </c>
      <c r="D706" s="237" t="s">
        <v>5671</v>
      </c>
      <c r="E706" s="236">
        <v>2841110186126</v>
      </c>
      <c r="F706" s="240" t="s">
        <v>4850</v>
      </c>
      <c r="G706" s="214">
        <v>0</v>
      </c>
      <c r="H706" s="231" t="s">
        <v>4771</v>
      </c>
      <c r="I706" s="231"/>
      <c r="J706" s="231"/>
      <c r="K706" s="231"/>
      <c r="L706" s="231"/>
      <c r="M706" s="231"/>
      <c r="N706" s="231" t="s">
        <v>4895</v>
      </c>
      <c r="O706" s="246" t="s">
        <v>5658</v>
      </c>
      <c r="P706" s="246" t="s">
        <v>5659</v>
      </c>
      <c r="Q706" s="225" t="s">
        <v>4680</v>
      </c>
      <c r="R706" s="212" t="s">
        <v>4771</v>
      </c>
      <c r="S706" s="213" t="s">
        <v>4771</v>
      </c>
      <c r="T706" s="233">
        <v>45581</v>
      </c>
      <c r="U706" s="234" t="s">
        <v>4759</v>
      </c>
      <c r="V706" s="234">
        <v>45610</v>
      </c>
      <c r="W706" s="234">
        <v>45615</v>
      </c>
      <c r="X706" s="234" t="s">
        <v>2</v>
      </c>
      <c r="Y706" s="234"/>
      <c r="Z706" s="234" t="s">
        <v>4681</v>
      </c>
      <c r="AA706" s="243">
        <v>202411</v>
      </c>
      <c r="AB706" s="243"/>
      <c r="AC706" s="244" t="s">
        <v>4800</v>
      </c>
      <c r="AD706" s="244" t="s">
        <v>3910</v>
      </c>
      <c r="AE706" s="245">
        <v>1</v>
      </c>
      <c r="AF706" s="244" t="s">
        <v>5001</v>
      </c>
      <c r="AG706" s="239" t="str">
        <f>IFERROR(VLOOKUP(작성용!A:A,RM!A:D,4,0),"-")</f>
        <v>윤광일</v>
      </c>
      <c r="AH706" s="9" t="s">
        <v>4915</v>
      </c>
      <c r="AI706" s="235" t="s">
        <v>4771</v>
      </c>
      <c r="AJ706" s="235" t="s">
        <v>4920</v>
      </c>
      <c r="AK706" s="235" t="s">
        <v>4777</v>
      </c>
      <c r="AL706" s="235">
        <v>705</v>
      </c>
    </row>
    <row r="707" spans="1:38" x14ac:dyDescent="0.3">
      <c r="A707" s="222" t="s">
        <v>3443</v>
      </c>
      <c r="B707" s="222" t="s">
        <v>5662</v>
      </c>
      <c r="C707" s="241" t="s">
        <v>4778</v>
      </c>
      <c r="D707" s="237" t="s">
        <v>5672</v>
      </c>
      <c r="E707" s="236">
        <v>1101115370674</v>
      </c>
      <c r="F707" s="240" t="s">
        <v>4850</v>
      </c>
      <c r="G707" s="214">
        <v>0</v>
      </c>
      <c r="H707" s="231" t="s">
        <v>4771</v>
      </c>
      <c r="I707" s="231"/>
      <c r="J707" s="231"/>
      <c r="K707" s="231"/>
      <c r="L707" s="231"/>
      <c r="M707" s="231"/>
      <c r="N707" s="231" t="s">
        <v>4895</v>
      </c>
      <c r="O707" s="246" t="s">
        <v>5658</v>
      </c>
      <c r="P707" s="246" t="s">
        <v>5659</v>
      </c>
      <c r="Q707" s="225" t="s">
        <v>4680</v>
      </c>
      <c r="R707" s="212" t="s">
        <v>4771</v>
      </c>
      <c r="S707" s="213" t="s">
        <v>4771</v>
      </c>
      <c r="T707" s="233">
        <v>45581</v>
      </c>
      <c r="U707" s="234" t="s">
        <v>4759</v>
      </c>
      <c r="V707" s="234">
        <v>45610</v>
      </c>
      <c r="W707" s="234">
        <v>45615</v>
      </c>
      <c r="X707" s="234" t="s">
        <v>2</v>
      </c>
      <c r="Y707" s="234"/>
      <c r="Z707" s="234" t="s">
        <v>4681</v>
      </c>
      <c r="AA707" s="243">
        <v>202411</v>
      </c>
      <c r="AB707" s="243"/>
      <c r="AC707" s="244" t="s">
        <v>4800</v>
      </c>
      <c r="AD707" s="244" t="s">
        <v>4980</v>
      </c>
      <c r="AE707" s="245">
        <v>1</v>
      </c>
      <c r="AF707" s="244" t="s">
        <v>4980</v>
      </c>
      <c r="AG707" s="239" t="str">
        <f>IFERROR(VLOOKUP(작성용!A:A,RM!A:D,4,0),"-")</f>
        <v>윤광일</v>
      </c>
      <c r="AH707" s="9" t="s">
        <v>4915</v>
      </c>
      <c r="AI707" s="235" t="s">
        <v>4771</v>
      </c>
      <c r="AJ707" s="235" t="s">
        <v>4920</v>
      </c>
      <c r="AK707" s="235" t="s">
        <v>4777</v>
      </c>
      <c r="AL707" s="235">
        <v>706</v>
      </c>
    </row>
    <row r="708" spans="1:38" x14ac:dyDescent="0.3">
      <c r="A708" s="222" t="s">
        <v>3443</v>
      </c>
      <c r="B708" s="222" t="s">
        <v>5662</v>
      </c>
      <c r="C708" s="241" t="s">
        <v>4778</v>
      </c>
      <c r="D708" s="237" t="s">
        <v>5673</v>
      </c>
      <c r="E708" s="236">
        <v>1101117302831</v>
      </c>
      <c r="F708" s="240" t="s">
        <v>4850</v>
      </c>
      <c r="G708" s="214">
        <v>0</v>
      </c>
      <c r="H708" s="231" t="s">
        <v>4771</v>
      </c>
      <c r="I708" s="231"/>
      <c r="J708" s="231"/>
      <c r="K708" s="231"/>
      <c r="L708" s="231"/>
      <c r="M708" s="231"/>
      <c r="N708" s="231" t="s">
        <v>4895</v>
      </c>
      <c r="O708" s="246" t="s">
        <v>5658</v>
      </c>
      <c r="P708" s="246" t="s">
        <v>5659</v>
      </c>
      <c r="Q708" s="225" t="s">
        <v>4680</v>
      </c>
      <c r="R708" s="212" t="s">
        <v>4771</v>
      </c>
      <c r="S708" s="213" t="s">
        <v>4771</v>
      </c>
      <c r="T708" s="233">
        <v>45581</v>
      </c>
      <c r="U708" s="234" t="s">
        <v>4759</v>
      </c>
      <c r="V708" s="234">
        <v>45610</v>
      </c>
      <c r="W708" s="234">
        <v>45615</v>
      </c>
      <c r="X708" s="234" t="s">
        <v>2</v>
      </c>
      <c r="Y708" s="234"/>
      <c r="Z708" s="234" t="s">
        <v>4681</v>
      </c>
      <c r="AA708" s="243">
        <v>202411</v>
      </c>
      <c r="AB708" s="243"/>
      <c r="AC708" s="244" t="s">
        <v>4800</v>
      </c>
      <c r="AD708" s="244" t="s">
        <v>3713</v>
      </c>
      <c r="AE708" s="245">
        <v>1</v>
      </c>
      <c r="AF708" s="244" t="s">
        <v>4990</v>
      </c>
      <c r="AG708" s="239" t="str">
        <f>IFERROR(VLOOKUP(작성용!A:A,RM!A:D,4,0),"-")</f>
        <v>윤광일</v>
      </c>
      <c r="AH708" s="9" t="s">
        <v>4915</v>
      </c>
      <c r="AI708" s="235" t="s">
        <v>4771</v>
      </c>
      <c r="AJ708" s="235" t="s">
        <v>4920</v>
      </c>
      <c r="AK708" s="235" t="s">
        <v>4777</v>
      </c>
      <c r="AL708" s="235">
        <v>707</v>
      </c>
    </row>
    <row r="709" spans="1:38" x14ac:dyDescent="0.3">
      <c r="A709" s="222" t="s">
        <v>3443</v>
      </c>
      <c r="B709" s="222" t="s">
        <v>5662</v>
      </c>
      <c r="C709" s="241" t="s">
        <v>4778</v>
      </c>
      <c r="D709" s="237" t="s">
        <v>5674</v>
      </c>
      <c r="E709" s="236">
        <v>1311110573434</v>
      </c>
      <c r="F709" s="240" t="s">
        <v>4850</v>
      </c>
      <c r="G709" s="214">
        <v>0</v>
      </c>
      <c r="H709" s="231" t="s">
        <v>4771</v>
      </c>
      <c r="I709" s="231"/>
      <c r="J709" s="231"/>
      <c r="K709" s="231"/>
      <c r="L709" s="231"/>
      <c r="M709" s="231"/>
      <c r="N709" s="231" t="s">
        <v>4895</v>
      </c>
      <c r="O709" s="246" t="s">
        <v>5658</v>
      </c>
      <c r="P709" s="246" t="s">
        <v>5659</v>
      </c>
      <c r="Q709" s="225" t="s">
        <v>4680</v>
      </c>
      <c r="R709" s="212" t="s">
        <v>4771</v>
      </c>
      <c r="S709" s="213" t="s">
        <v>4771</v>
      </c>
      <c r="T709" s="233">
        <v>45581</v>
      </c>
      <c r="U709" s="234" t="s">
        <v>4759</v>
      </c>
      <c r="V709" s="234">
        <v>45610</v>
      </c>
      <c r="W709" s="234">
        <v>45615</v>
      </c>
      <c r="X709" s="234" t="s">
        <v>2</v>
      </c>
      <c r="Y709" s="234"/>
      <c r="Z709" s="234" t="s">
        <v>4681</v>
      </c>
      <c r="AA709" s="243">
        <v>202411</v>
      </c>
      <c r="AB709" s="243"/>
      <c r="AC709" s="244" t="s">
        <v>4800</v>
      </c>
      <c r="AD709" s="244" t="s">
        <v>4846</v>
      </c>
      <c r="AE709" s="245">
        <v>1</v>
      </c>
      <c r="AF709" s="244" t="s">
        <v>4846</v>
      </c>
      <c r="AG709" s="239" t="str">
        <f>IFERROR(VLOOKUP(작성용!A:A,RM!A:D,4,0),"-")</f>
        <v>윤광일</v>
      </c>
      <c r="AH709" s="9" t="s">
        <v>4915</v>
      </c>
      <c r="AI709" s="235" t="s">
        <v>4771</v>
      </c>
      <c r="AJ709" s="235" t="s">
        <v>4920</v>
      </c>
      <c r="AK709" s="235" t="s">
        <v>4777</v>
      </c>
      <c r="AL709" s="235">
        <v>708</v>
      </c>
    </row>
    <row r="710" spans="1:38" x14ac:dyDescent="0.3">
      <c r="A710" s="222" t="s">
        <v>3443</v>
      </c>
      <c r="B710" s="222" t="s">
        <v>5662</v>
      </c>
      <c r="C710" s="241" t="s">
        <v>4778</v>
      </c>
      <c r="D710" s="237" t="s">
        <v>5675</v>
      </c>
      <c r="E710" s="236">
        <v>1101117067336</v>
      </c>
      <c r="F710" s="240" t="s">
        <v>4850</v>
      </c>
      <c r="G710" s="214">
        <v>0</v>
      </c>
      <c r="H710" s="231" t="s">
        <v>4771</v>
      </c>
      <c r="I710" s="231"/>
      <c r="J710" s="231"/>
      <c r="K710" s="231"/>
      <c r="L710" s="231"/>
      <c r="M710" s="231"/>
      <c r="N710" s="231" t="s">
        <v>4895</v>
      </c>
      <c r="O710" s="246" t="s">
        <v>5658</v>
      </c>
      <c r="P710" s="246" t="s">
        <v>5659</v>
      </c>
      <c r="Q710" s="225" t="s">
        <v>4680</v>
      </c>
      <c r="R710" s="212" t="s">
        <v>4771</v>
      </c>
      <c r="S710" s="213" t="s">
        <v>4771</v>
      </c>
      <c r="T710" s="233">
        <v>45581</v>
      </c>
      <c r="U710" s="234" t="s">
        <v>4759</v>
      </c>
      <c r="V710" s="234">
        <v>45610</v>
      </c>
      <c r="W710" s="234">
        <v>45615</v>
      </c>
      <c r="X710" s="234" t="s">
        <v>2</v>
      </c>
      <c r="Y710" s="234"/>
      <c r="Z710" s="234" t="s">
        <v>4681</v>
      </c>
      <c r="AA710" s="243">
        <v>202411</v>
      </c>
      <c r="AB710" s="243"/>
      <c r="AC710" s="244" t="s">
        <v>4800</v>
      </c>
      <c r="AD710" s="244" t="s">
        <v>4845</v>
      </c>
      <c r="AE710" s="245">
        <v>1</v>
      </c>
      <c r="AF710" s="244" t="s">
        <v>4845</v>
      </c>
      <c r="AG710" s="239" t="str">
        <f>IFERROR(VLOOKUP(작성용!A:A,RM!A:D,4,0),"-")</f>
        <v>윤광일</v>
      </c>
      <c r="AH710" s="9" t="s">
        <v>4915</v>
      </c>
      <c r="AI710" s="235" t="s">
        <v>4771</v>
      </c>
      <c r="AJ710" s="235" t="s">
        <v>4920</v>
      </c>
      <c r="AK710" s="235" t="s">
        <v>4777</v>
      </c>
      <c r="AL710" s="235">
        <v>709</v>
      </c>
    </row>
    <row r="711" spans="1:38" x14ac:dyDescent="0.3">
      <c r="A711" s="222" t="s">
        <v>3443</v>
      </c>
      <c r="B711" s="222" t="s">
        <v>5662</v>
      </c>
      <c r="C711" s="241" t="s">
        <v>4778</v>
      </c>
      <c r="D711" s="237" t="s">
        <v>5676</v>
      </c>
      <c r="E711" s="236">
        <v>1601110594295</v>
      </c>
      <c r="F711" s="240" t="s">
        <v>4850</v>
      </c>
      <c r="G711" s="214">
        <v>0</v>
      </c>
      <c r="H711" s="231" t="s">
        <v>4771</v>
      </c>
      <c r="I711" s="231"/>
      <c r="J711" s="231"/>
      <c r="K711" s="231"/>
      <c r="L711" s="231"/>
      <c r="M711" s="231"/>
      <c r="N711" s="231" t="s">
        <v>4895</v>
      </c>
      <c r="O711" s="246" t="s">
        <v>5658</v>
      </c>
      <c r="P711" s="246" t="s">
        <v>5659</v>
      </c>
      <c r="Q711" s="225" t="s">
        <v>4680</v>
      </c>
      <c r="R711" s="212" t="s">
        <v>4771</v>
      </c>
      <c r="S711" s="213" t="s">
        <v>4771</v>
      </c>
      <c r="T711" s="233">
        <v>45581</v>
      </c>
      <c r="U711" s="234" t="s">
        <v>4759</v>
      </c>
      <c r="V711" s="234">
        <v>45610</v>
      </c>
      <c r="W711" s="234">
        <v>45615</v>
      </c>
      <c r="X711" s="234" t="s">
        <v>2</v>
      </c>
      <c r="Y711" s="234"/>
      <c r="Z711" s="234" t="s">
        <v>4681</v>
      </c>
      <c r="AA711" s="243">
        <v>202411</v>
      </c>
      <c r="AB711" s="243"/>
      <c r="AC711" s="244" t="s">
        <v>4800</v>
      </c>
      <c r="AD711" s="244" t="s">
        <v>4864</v>
      </c>
      <c r="AE711" s="245">
        <v>1</v>
      </c>
      <c r="AF711" s="244" t="s">
        <v>4864</v>
      </c>
      <c r="AG711" s="239" t="str">
        <f>IFERROR(VLOOKUP(작성용!A:A,RM!A:D,4,0),"-")</f>
        <v>윤광일</v>
      </c>
      <c r="AH711" s="9" t="s">
        <v>4915</v>
      </c>
      <c r="AI711" s="235" t="s">
        <v>4771</v>
      </c>
      <c r="AJ711" s="235" t="s">
        <v>4920</v>
      </c>
      <c r="AK711" s="235" t="s">
        <v>4777</v>
      </c>
      <c r="AL711" s="235">
        <v>710</v>
      </c>
    </row>
    <row r="712" spans="1:38" x14ac:dyDescent="0.3">
      <c r="A712" s="222" t="s">
        <v>3443</v>
      </c>
      <c r="B712" s="222" t="s">
        <v>5662</v>
      </c>
      <c r="C712" s="241" t="s">
        <v>4778</v>
      </c>
      <c r="D712" s="237" t="s">
        <v>5492</v>
      </c>
      <c r="E712" s="236">
        <v>1101117616315</v>
      </c>
      <c r="F712" s="240" t="s">
        <v>4850</v>
      </c>
      <c r="G712" s="214">
        <v>0</v>
      </c>
      <c r="H712" s="231" t="s">
        <v>4771</v>
      </c>
      <c r="I712" s="231"/>
      <c r="J712" s="231"/>
      <c r="K712" s="231"/>
      <c r="L712" s="231"/>
      <c r="M712" s="231"/>
      <c r="N712" s="231" t="s">
        <v>4895</v>
      </c>
      <c r="O712" s="246" t="s">
        <v>5658</v>
      </c>
      <c r="P712" s="246" t="s">
        <v>5659</v>
      </c>
      <c r="Q712" s="225" t="s">
        <v>4680</v>
      </c>
      <c r="R712" s="212" t="s">
        <v>4771</v>
      </c>
      <c r="S712" s="213" t="s">
        <v>4771</v>
      </c>
      <c r="T712" s="233">
        <v>45581</v>
      </c>
      <c r="U712" s="234" t="s">
        <v>4759</v>
      </c>
      <c r="V712" s="234">
        <v>45610</v>
      </c>
      <c r="W712" s="234">
        <v>45615</v>
      </c>
      <c r="X712" s="234" t="s">
        <v>2</v>
      </c>
      <c r="Y712" s="234"/>
      <c r="Z712" s="234" t="s">
        <v>4681</v>
      </c>
      <c r="AA712" s="243">
        <v>202411</v>
      </c>
      <c r="AB712" s="243"/>
      <c r="AC712" s="244" t="s">
        <v>4800</v>
      </c>
      <c r="AD712" s="244" t="s">
        <v>4947</v>
      </c>
      <c r="AE712" s="245">
        <v>1.5</v>
      </c>
      <c r="AF712" s="244" t="s">
        <v>4937</v>
      </c>
      <c r="AG712" s="239" t="str">
        <f>IFERROR(VLOOKUP(작성용!A:A,RM!A:D,4,0),"-")</f>
        <v>윤광일</v>
      </c>
      <c r="AH712" s="9" t="s">
        <v>4915</v>
      </c>
      <c r="AI712" s="235" t="s">
        <v>4771</v>
      </c>
      <c r="AJ712" s="235" t="s">
        <v>4920</v>
      </c>
      <c r="AK712" s="235" t="s">
        <v>4777</v>
      </c>
      <c r="AL712" s="235">
        <v>711</v>
      </c>
    </row>
    <row r="713" spans="1:38" x14ac:dyDescent="0.3">
      <c r="A713" s="222" t="s">
        <v>3443</v>
      </c>
      <c r="B713" s="222" t="s">
        <v>5662</v>
      </c>
      <c r="C713" s="241" t="s">
        <v>4778</v>
      </c>
      <c r="D713" s="237" t="s">
        <v>5677</v>
      </c>
      <c r="E713" s="236">
        <v>1101116795540</v>
      </c>
      <c r="F713" s="240" t="s">
        <v>4850</v>
      </c>
      <c r="G713" s="214">
        <v>0</v>
      </c>
      <c r="H713" s="231" t="s">
        <v>4771</v>
      </c>
      <c r="I713" s="231"/>
      <c r="J713" s="231"/>
      <c r="K713" s="231"/>
      <c r="L713" s="231"/>
      <c r="M713" s="231"/>
      <c r="N713" s="231" t="s">
        <v>4895</v>
      </c>
      <c r="O713" s="246" t="s">
        <v>5658</v>
      </c>
      <c r="P713" s="246" t="s">
        <v>5659</v>
      </c>
      <c r="Q713" s="225" t="s">
        <v>4680</v>
      </c>
      <c r="R713" s="212" t="s">
        <v>4771</v>
      </c>
      <c r="S713" s="213" t="s">
        <v>4771</v>
      </c>
      <c r="T713" s="233">
        <v>45581</v>
      </c>
      <c r="U713" s="234" t="s">
        <v>4759</v>
      </c>
      <c r="V713" s="234">
        <v>45610</v>
      </c>
      <c r="W713" s="234">
        <v>45615</v>
      </c>
      <c r="X713" s="234" t="s">
        <v>2</v>
      </c>
      <c r="Y713" s="234"/>
      <c r="Z713" s="234" t="s">
        <v>4681</v>
      </c>
      <c r="AA713" s="243">
        <v>202411</v>
      </c>
      <c r="AB713" s="243"/>
      <c r="AC713" s="244" t="s">
        <v>4800</v>
      </c>
      <c r="AD713" s="244" t="s">
        <v>4947</v>
      </c>
      <c r="AE713" s="245">
        <v>1</v>
      </c>
      <c r="AF713" s="244" t="s">
        <v>4937</v>
      </c>
      <c r="AG713" s="239" t="str">
        <f>IFERROR(VLOOKUP(작성용!A:A,RM!A:D,4,0),"-")</f>
        <v>윤광일</v>
      </c>
      <c r="AH713" s="9" t="s">
        <v>4915</v>
      </c>
      <c r="AI713" s="235" t="s">
        <v>4771</v>
      </c>
      <c r="AJ713" s="235" t="s">
        <v>4920</v>
      </c>
      <c r="AK713" s="235" t="s">
        <v>4777</v>
      </c>
      <c r="AL713" s="235">
        <v>712</v>
      </c>
    </row>
    <row r="714" spans="1:38" x14ac:dyDescent="0.3">
      <c r="A714" s="222" t="s">
        <v>3443</v>
      </c>
      <c r="B714" s="222" t="s">
        <v>5662</v>
      </c>
      <c r="C714" s="241" t="s">
        <v>4778</v>
      </c>
      <c r="D714" s="237" t="s">
        <v>5678</v>
      </c>
      <c r="E714" s="236">
        <v>1101114747254</v>
      </c>
      <c r="F714" s="240" t="s">
        <v>4850</v>
      </c>
      <c r="G714" s="214">
        <v>0</v>
      </c>
      <c r="H714" s="231" t="s">
        <v>4771</v>
      </c>
      <c r="I714" s="231"/>
      <c r="J714" s="231"/>
      <c r="K714" s="231"/>
      <c r="L714" s="231"/>
      <c r="M714" s="231"/>
      <c r="N714" s="231" t="s">
        <v>4895</v>
      </c>
      <c r="O714" s="246" t="s">
        <v>5658</v>
      </c>
      <c r="P714" s="246" t="s">
        <v>5659</v>
      </c>
      <c r="Q714" s="225" t="s">
        <v>4680</v>
      </c>
      <c r="R714" s="212" t="s">
        <v>4771</v>
      </c>
      <c r="S714" s="213" t="s">
        <v>4771</v>
      </c>
      <c r="T714" s="233">
        <v>45581</v>
      </c>
      <c r="U714" s="234" t="s">
        <v>4759</v>
      </c>
      <c r="V714" s="234">
        <v>45610</v>
      </c>
      <c r="W714" s="234">
        <v>45615</v>
      </c>
      <c r="X714" s="234" t="s">
        <v>2</v>
      </c>
      <c r="Y714" s="234"/>
      <c r="Z714" s="234" t="s">
        <v>4681</v>
      </c>
      <c r="AA714" s="243">
        <v>202411</v>
      </c>
      <c r="AB714" s="243"/>
      <c r="AC714" s="244" t="s">
        <v>4800</v>
      </c>
      <c r="AD714" s="244" t="s">
        <v>4846</v>
      </c>
      <c r="AE714" s="245">
        <v>1</v>
      </c>
      <c r="AF714" s="244" t="s">
        <v>4846</v>
      </c>
      <c r="AG714" s="239" t="str">
        <f>IFERROR(VLOOKUP(작성용!A:A,RM!A:D,4,0),"-")</f>
        <v>윤광일</v>
      </c>
      <c r="AH714" s="9" t="s">
        <v>4915</v>
      </c>
      <c r="AI714" s="235" t="s">
        <v>4771</v>
      </c>
      <c r="AJ714" s="235" t="s">
        <v>4920</v>
      </c>
      <c r="AK714" s="235" t="s">
        <v>4777</v>
      </c>
      <c r="AL714" s="235">
        <v>713</v>
      </c>
    </row>
    <row r="715" spans="1:38" x14ac:dyDescent="0.3">
      <c r="A715" s="222" t="s">
        <v>3443</v>
      </c>
      <c r="B715" s="222" t="s">
        <v>5662</v>
      </c>
      <c r="C715" s="241" t="s">
        <v>4778</v>
      </c>
      <c r="D715" s="237" t="s">
        <v>5679</v>
      </c>
      <c r="E715" s="236" t="s">
        <v>4679</v>
      </c>
      <c r="F715" s="240" t="s">
        <v>4894</v>
      </c>
      <c r="G715" s="214">
        <v>0</v>
      </c>
      <c r="H715" s="231" t="s">
        <v>4771</v>
      </c>
      <c r="I715" s="231"/>
      <c r="J715" s="231"/>
      <c r="K715" s="231"/>
      <c r="L715" s="231"/>
      <c r="M715" s="231"/>
      <c r="N715" s="231" t="s">
        <v>4895</v>
      </c>
      <c r="O715" s="246" t="s">
        <v>5658</v>
      </c>
      <c r="P715" s="246" t="s">
        <v>5659</v>
      </c>
      <c r="Q715" s="225" t="s">
        <v>4680</v>
      </c>
      <c r="R715" s="212" t="s">
        <v>4771</v>
      </c>
      <c r="S715" s="213" t="s">
        <v>4771</v>
      </c>
      <c r="T715" s="233">
        <v>45581</v>
      </c>
      <c r="U715" s="234" t="s">
        <v>4759</v>
      </c>
      <c r="V715" s="234">
        <v>45610</v>
      </c>
      <c r="W715" s="234">
        <v>45615</v>
      </c>
      <c r="X715" s="234" t="s">
        <v>2</v>
      </c>
      <c r="Y715" s="234"/>
      <c r="Z715" s="234" t="s">
        <v>4681</v>
      </c>
      <c r="AA715" s="243">
        <v>202411</v>
      </c>
      <c r="AB715" s="243"/>
      <c r="AC715" s="244" t="s">
        <v>4800</v>
      </c>
      <c r="AD715" s="244" t="s">
        <v>4761</v>
      </c>
      <c r="AE715" s="245">
        <v>1</v>
      </c>
      <c r="AF715" s="244" t="s">
        <v>4761</v>
      </c>
      <c r="AG715" s="239" t="str">
        <f>IFERROR(VLOOKUP(작성용!A:A,RM!A:D,4,0),"-")</f>
        <v>윤광일</v>
      </c>
      <c r="AH715" s="9" t="s">
        <v>4915</v>
      </c>
      <c r="AI715" s="235" t="s">
        <v>4771</v>
      </c>
      <c r="AJ715" s="235" t="s">
        <v>4920</v>
      </c>
      <c r="AK715" s="235" t="s">
        <v>4777</v>
      </c>
      <c r="AL715" s="235">
        <v>714</v>
      </c>
    </row>
    <row r="716" spans="1:38" x14ac:dyDescent="0.3">
      <c r="A716" s="222" t="s">
        <v>442</v>
      </c>
      <c r="B716" s="222" t="s">
        <v>5680</v>
      </c>
      <c r="C716" s="241" t="s">
        <v>4762</v>
      </c>
      <c r="D716" s="237" t="s">
        <v>5194</v>
      </c>
      <c r="E716" s="236">
        <v>1358110168906</v>
      </c>
      <c r="F716" s="240" t="s">
        <v>4780</v>
      </c>
      <c r="G716" s="214">
        <v>0</v>
      </c>
      <c r="H716" s="231" t="s">
        <v>4771</v>
      </c>
      <c r="I716" s="231"/>
      <c r="J716" s="231"/>
      <c r="K716" s="231"/>
      <c r="L716" s="231"/>
      <c r="M716" s="231"/>
      <c r="N716" s="231" t="s">
        <v>5035</v>
      </c>
      <c r="O716" s="246" t="s">
        <v>5681</v>
      </c>
      <c r="P716" s="246" t="s">
        <v>5682</v>
      </c>
      <c r="Q716" s="225" t="s">
        <v>5683</v>
      </c>
      <c r="R716" s="212" t="s">
        <v>4771</v>
      </c>
      <c r="S716" s="213" t="s">
        <v>4771</v>
      </c>
      <c r="T716" s="233">
        <v>45581</v>
      </c>
      <c r="U716" s="234" t="s">
        <v>4759</v>
      </c>
      <c r="V716" s="234">
        <v>45610</v>
      </c>
      <c r="W716" s="234">
        <v>45614</v>
      </c>
      <c r="X716" s="234" t="s">
        <v>2</v>
      </c>
      <c r="Y716" s="234"/>
      <c r="Z716" s="234" t="s">
        <v>4682</v>
      </c>
      <c r="AA716" s="243">
        <v>202411</v>
      </c>
      <c r="AB716" s="243"/>
      <c r="AC716" s="244" t="s">
        <v>4800</v>
      </c>
      <c r="AD716" s="244" t="s">
        <v>4774</v>
      </c>
      <c r="AE716" s="245">
        <v>0</v>
      </c>
      <c r="AF716" s="244" t="s">
        <v>4774</v>
      </c>
      <c r="AG716" s="239" t="str">
        <f>IFERROR(VLOOKUP(작성용!A:A,RM!A:D,4,0),"-")</f>
        <v>최수민</v>
      </c>
      <c r="AH716" s="9" t="s">
        <v>4933</v>
      </c>
      <c r="AI716" s="235" t="s">
        <v>4771</v>
      </c>
      <c r="AJ716" s="235" t="s">
        <v>4920</v>
      </c>
      <c r="AK716" s="235" t="s">
        <v>4777</v>
      </c>
      <c r="AL716" s="235">
        <v>715</v>
      </c>
    </row>
    <row r="717" spans="1:38" x14ac:dyDescent="0.3">
      <c r="A717" s="222" t="s">
        <v>442</v>
      </c>
      <c r="B717" s="222" t="s">
        <v>5680</v>
      </c>
      <c r="C717" s="241" t="s">
        <v>4762</v>
      </c>
      <c r="D717" s="237" t="s">
        <v>5684</v>
      </c>
      <c r="E717" s="236">
        <v>1101115599050</v>
      </c>
      <c r="F717" s="240" t="s">
        <v>4850</v>
      </c>
      <c r="G717" s="214">
        <v>0</v>
      </c>
      <c r="H717" s="231" t="s">
        <v>4771</v>
      </c>
      <c r="I717" s="231"/>
      <c r="J717" s="231"/>
      <c r="K717" s="231"/>
      <c r="L717" s="231"/>
      <c r="M717" s="231"/>
      <c r="N717" s="231" t="s">
        <v>5035</v>
      </c>
      <c r="O717" s="246" t="s">
        <v>5681</v>
      </c>
      <c r="P717" s="246" t="s">
        <v>5682</v>
      </c>
      <c r="Q717" s="225" t="s">
        <v>5683</v>
      </c>
      <c r="R717" s="212" t="s">
        <v>4771</v>
      </c>
      <c r="S717" s="213" t="s">
        <v>4771</v>
      </c>
      <c r="T717" s="233">
        <v>45581</v>
      </c>
      <c r="U717" s="234" t="s">
        <v>4759</v>
      </c>
      <c r="V717" s="234">
        <v>45610</v>
      </c>
      <c r="W717" s="234">
        <v>45614</v>
      </c>
      <c r="X717" s="234" t="s">
        <v>2</v>
      </c>
      <c r="Y717" s="234"/>
      <c r="Z717" s="234" t="s">
        <v>4682</v>
      </c>
      <c r="AA717" s="243">
        <v>202411</v>
      </c>
      <c r="AB717" s="243"/>
      <c r="AC717" s="244" t="s">
        <v>4800</v>
      </c>
      <c r="AD717" s="244" t="s">
        <v>4982</v>
      </c>
      <c r="AE717" s="245">
        <v>1</v>
      </c>
      <c r="AF717" s="244" t="s">
        <v>4982</v>
      </c>
      <c r="AG717" s="239" t="str">
        <f>IFERROR(VLOOKUP(작성용!A:A,RM!A:D,4,0),"-")</f>
        <v>최수민</v>
      </c>
      <c r="AH717" s="9" t="s">
        <v>4933</v>
      </c>
      <c r="AI717" s="235" t="s">
        <v>4771</v>
      </c>
      <c r="AJ717" s="235" t="s">
        <v>4920</v>
      </c>
      <c r="AK717" s="235" t="s">
        <v>4777</v>
      </c>
      <c r="AL717" s="235">
        <v>716</v>
      </c>
    </row>
    <row r="718" spans="1:38" s="198" customFormat="1" x14ac:dyDescent="0.3">
      <c r="A718" s="222" t="s">
        <v>442</v>
      </c>
      <c r="B718" s="222" t="s">
        <v>5680</v>
      </c>
      <c r="C718" s="241" t="s">
        <v>4762</v>
      </c>
      <c r="D718" s="237" t="s">
        <v>5684</v>
      </c>
      <c r="E718" s="236">
        <v>1101115599050</v>
      </c>
      <c r="F718" s="240" t="s">
        <v>4850</v>
      </c>
      <c r="G718" s="214">
        <v>1</v>
      </c>
      <c r="H718" s="231" t="s">
        <v>4771</v>
      </c>
      <c r="I718" s="231"/>
      <c r="J718" s="231"/>
      <c r="K718" s="231"/>
      <c r="L718" s="231"/>
      <c r="M718" s="231"/>
      <c r="N718" s="231" t="s">
        <v>5035</v>
      </c>
      <c r="O718" s="246" t="s">
        <v>5681</v>
      </c>
      <c r="P718" s="246" t="s">
        <v>5682</v>
      </c>
      <c r="Q718" s="225" t="s">
        <v>5683</v>
      </c>
      <c r="R718" s="212" t="s">
        <v>4771</v>
      </c>
      <c r="S718" s="213" t="s">
        <v>4771</v>
      </c>
      <c r="T718" s="233">
        <v>45581</v>
      </c>
      <c r="U718" s="234" t="s">
        <v>4759</v>
      </c>
      <c r="V718" s="234">
        <v>45610</v>
      </c>
      <c r="W718" s="234">
        <v>45614</v>
      </c>
      <c r="X718" s="234" t="s">
        <v>2</v>
      </c>
      <c r="Y718" s="234"/>
      <c r="Z718" s="234" t="s">
        <v>4682</v>
      </c>
      <c r="AA718" s="243">
        <v>202411</v>
      </c>
      <c r="AB718" s="243"/>
      <c r="AC718" s="244" t="s">
        <v>4800</v>
      </c>
      <c r="AD718" s="244" t="s">
        <v>4982</v>
      </c>
      <c r="AE718" s="245">
        <v>0</v>
      </c>
      <c r="AF718" s="244" t="s">
        <v>4982</v>
      </c>
      <c r="AG718" s="239" t="str">
        <f>IFERROR(VLOOKUP(작성용!A:A,RM!A:D,4,0),"-")</f>
        <v>최수민</v>
      </c>
      <c r="AH718" s="9" t="s">
        <v>4933</v>
      </c>
      <c r="AI718" s="235" t="s">
        <v>4771</v>
      </c>
      <c r="AJ718" s="235" t="s">
        <v>4920</v>
      </c>
      <c r="AK718" s="235" t="s">
        <v>4777</v>
      </c>
      <c r="AL718" s="235">
        <v>717</v>
      </c>
    </row>
    <row r="719" spans="1:38" s="198" customFormat="1" x14ac:dyDescent="0.3">
      <c r="A719" s="222" t="s">
        <v>442</v>
      </c>
      <c r="B719" s="222" t="s">
        <v>5680</v>
      </c>
      <c r="C719" s="241" t="s">
        <v>4762</v>
      </c>
      <c r="D719" s="237" t="s">
        <v>5685</v>
      </c>
      <c r="E719" s="236" t="s">
        <v>4683</v>
      </c>
      <c r="F719" s="240" t="s">
        <v>4894</v>
      </c>
      <c r="G719" s="214">
        <v>77</v>
      </c>
      <c r="H719" s="231" t="s">
        <v>4771</v>
      </c>
      <c r="I719" s="231"/>
      <c r="J719" s="231"/>
      <c r="K719" s="231"/>
      <c r="L719" s="231"/>
      <c r="M719" s="231"/>
      <c r="N719" s="231" t="s">
        <v>5035</v>
      </c>
      <c r="O719" s="246" t="s">
        <v>5681</v>
      </c>
      <c r="P719" s="246" t="s">
        <v>5682</v>
      </c>
      <c r="Q719" s="225" t="s">
        <v>5683</v>
      </c>
      <c r="R719" s="212" t="s">
        <v>4771</v>
      </c>
      <c r="S719" s="213" t="s">
        <v>4771</v>
      </c>
      <c r="T719" s="233">
        <v>45581</v>
      </c>
      <c r="U719" s="234" t="s">
        <v>4759</v>
      </c>
      <c r="V719" s="234">
        <v>45610</v>
      </c>
      <c r="W719" s="234">
        <v>45614</v>
      </c>
      <c r="X719" s="234" t="s">
        <v>2</v>
      </c>
      <c r="Y719" s="234"/>
      <c r="Z719" s="234" t="s">
        <v>4682</v>
      </c>
      <c r="AA719" s="243">
        <v>202411</v>
      </c>
      <c r="AB719" s="243"/>
      <c r="AC719" s="244" t="s">
        <v>4800</v>
      </c>
      <c r="AD719" s="244" t="s">
        <v>4933</v>
      </c>
      <c r="AE719" s="245">
        <v>1</v>
      </c>
      <c r="AF719" s="244" t="s">
        <v>4762</v>
      </c>
      <c r="AG719" s="239" t="str">
        <f>IFERROR(VLOOKUP(작성용!A:A,RM!A:D,4,0),"-")</f>
        <v>최수민</v>
      </c>
      <c r="AH719" s="9" t="s">
        <v>4933</v>
      </c>
      <c r="AI719" s="235" t="s">
        <v>4771</v>
      </c>
      <c r="AJ719" s="235" t="s">
        <v>4920</v>
      </c>
      <c r="AK719" s="235" t="s">
        <v>4777</v>
      </c>
      <c r="AL719" s="235">
        <v>718</v>
      </c>
    </row>
    <row r="720" spans="1:38" s="198" customFormat="1" x14ac:dyDescent="0.3">
      <c r="A720" s="222" t="s">
        <v>442</v>
      </c>
      <c r="B720" s="222" t="s">
        <v>5680</v>
      </c>
      <c r="C720" s="241" t="s">
        <v>4762</v>
      </c>
      <c r="D720" s="237" t="s">
        <v>5471</v>
      </c>
      <c r="E720" s="236" t="s">
        <v>3717</v>
      </c>
      <c r="F720" s="240" t="s">
        <v>4894</v>
      </c>
      <c r="G720" s="214">
        <v>0</v>
      </c>
      <c r="H720" s="231" t="s">
        <v>4771</v>
      </c>
      <c r="I720" s="231"/>
      <c r="J720" s="231"/>
      <c r="K720" s="231"/>
      <c r="L720" s="231"/>
      <c r="M720" s="231"/>
      <c r="N720" s="231" t="s">
        <v>5035</v>
      </c>
      <c r="O720" s="246" t="s">
        <v>5681</v>
      </c>
      <c r="P720" s="246" t="s">
        <v>5682</v>
      </c>
      <c r="Q720" s="225" t="s">
        <v>5683</v>
      </c>
      <c r="R720" s="212" t="s">
        <v>4771</v>
      </c>
      <c r="S720" s="213" t="s">
        <v>4771</v>
      </c>
      <c r="T720" s="233">
        <v>45581</v>
      </c>
      <c r="U720" s="234" t="s">
        <v>4759</v>
      </c>
      <c r="V720" s="234">
        <v>45610</v>
      </c>
      <c r="W720" s="234">
        <v>45614</v>
      </c>
      <c r="X720" s="234" t="s">
        <v>2</v>
      </c>
      <c r="Y720" s="234"/>
      <c r="Z720" s="234" t="s">
        <v>4682</v>
      </c>
      <c r="AA720" s="243">
        <v>202411</v>
      </c>
      <c r="AB720" s="243"/>
      <c r="AC720" s="244" t="s">
        <v>4800</v>
      </c>
      <c r="AD720" s="244" t="s">
        <v>4761</v>
      </c>
      <c r="AE720" s="245">
        <v>1</v>
      </c>
      <c r="AF720" s="244" t="s">
        <v>4761</v>
      </c>
      <c r="AG720" s="239" t="str">
        <f>IFERROR(VLOOKUP(작성용!A:A,RM!A:D,4,0),"-")</f>
        <v>최수민</v>
      </c>
      <c r="AH720" s="9" t="s">
        <v>4933</v>
      </c>
      <c r="AI720" s="235" t="s">
        <v>4771</v>
      </c>
      <c r="AJ720" s="235" t="s">
        <v>4920</v>
      </c>
      <c r="AK720" s="235" t="s">
        <v>4777</v>
      </c>
      <c r="AL720" s="235">
        <v>719</v>
      </c>
    </row>
    <row r="721" spans="1:38" s="198" customFormat="1" x14ac:dyDescent="0.3">
      <c r="A721" s="222" t="s">
        <v>2226</v>
      </c>
      <c r="B721" s="222" t="s">
        <v>5270</v>
      </c>
      <c r="C721" s="241" t="s">
        <v>4762</v>
      </c>
      <c r="D721" s="237" t="s">
        <v>5686</v>
      </c>
      <c r="E721" s="236">
        <v>1311110409481</v>
      </c>
      <c r="F721" s="240" t="s">
        <v>4780</v>
      </c>
      <c r="G721" s="214">
        <v>77</v>
      </c>
      <c r="H721" s="231" t="s">
        <v>4771</v>
      </c>
      <c r="I721" s="231"/>
      <c r="J721" s="231"/>
      <c r="K721" s="231"/>
      <c r="L721" s="231"/>
      <c r="M721" s="231"/>
      <c r="N721" s="231" t="s">
        <v>4895</v>
      </c>
      <c r="O721" s="246" t="s">
        <v>5272</v>
      </c>
      <c r="P721" s="246" t="s">
        <v>5273</v>
      </c>
      <c r="Q721" s="225" t="s">
        <v>5274</v>
      </c>
      <c r="R721" s="212" t="s">
        <v>2</v>
      </c>
      <c r="S721" s="213" t="s">
        <v>4771</v>
      </c>
      <c r="T721" s="233">
        <v>45582</v>
      </c>
      <c r="U721" s="234" t="s">
        <v>4759</v>
      </c>
      <c r="V721" s="234">
        <v>45607</v>
      </c>
      <c r="W721" s="234">
        <v>45609</v>
      </c>
      <c r="X721" s="234" t="s">
        <v>2</v>
      </c>
      <c r="Y721" s="234"/>
      <c r="Z721" s="234" t="s">
        <v>4649</v>
      </c>
      <c r="AA721" s="243">
        <v>202411</v>
      </c>
      <c r="AB721" s="243"/>
      <c r="AC721" s="244" t="s">
        <v>4800</v>
      </c>
      <c r="AD721" s="244" t="s">
        <v>4774</v>
      </c>
      <c r="AE721" s="245">
        <v>0</v>
      </c>
      <c r="AF721" s="244" t="s">
        <v>4774</v>
      </c>
      <c r="AG721" s="239" t="str">
        <f>IFERROR(VLOOKUP(작성용!A:A,RM!A:D,4,0),"-")</f>
        <v>오수현</v>
      </c>
      <c r="AH721" s="9" t="s">
        <v>3923</v>
      </c>
      <c r="AI721" s="235" t="s">
        <v>4771</v>
      </c>
      <c r="AJ721" s="235" t="s">
        <v>5275</v>
      </c>
      <c r="AK721" s="235" t="s">
        <v>4777</v>
      </c>
      <c r="AL721" s="235">
        <v>720</v>
      </c>
    </row>
    <row r="722" spans="1:38" s="198" customFormat="1" x14ac:dyDescent="0.3">
      <c r="A722" s="222" t="s">
        <v>2251</v>
      </c>
      <c r="B722" s="222" t="s">
        <v>5687</v>
      </c>
      <c r="C722" s="241" t="s">
        <v>4778</v>
      </c>
      <c r="D722" s="237" t="s">
        <v>5688</v>
      </c>
      <c r="E722" s="236">
        <v>1101113051284</v>
      </c>
      <c r="F722" s="240" t="s">
        <v>4780</v>
      </c>
      <c r="G722" s="214">
        <v>0</v>
      </c>
      <c r="H722" s="231" t="s">
        <v>4771</v>
      </c>
      <c r="I722" s="231"/>
      <c r="J722" s="231"/>
      <c r="K722" s="231"/>
      <c r="L722" s="231"/>
      <c r="M722" s="231"/>
      <c r="N722" s="231" t="s">
        <v>4895</v>
      </c>
      <c r="O722" s="246" t="s">
        <v>5689</v>
      </c>
      <c r="P722" s="246" t="s">
        <v>5690</v>
      </c>
      <c r="Q722" s="225" t="s">
        <v>5691</v>
      </c>
      <c r="R722" s="212" t="s">
        <v>2</v>
      </c>
      <c r="S722" s="213" t="s">
        <v>4771</v>
      </c>
      <c r="T722" s="233">
        <v>45582</v>
      </c>
      <c r="U722" s="234" t="s">
        <v>4759</v>
      </c>
      <c r="V722" s="234">
        <v>45610</v>
      </c>
      <c r="W722" s="234">
        <v>45615</v>
      </c>
      <c r="X722" s="234" t="s">
        <v>2</v>
      </c>
      <c r="Y722" s="234"/>
      <c r="Z722" s="234" t="s">
        <v>4684</v>
      </c>
      <c r="AA722" s="243">
        <v>202411</v>
      </c>
      <c r="AB722" s="243"/>
      <c r="AC722" s="244" t="s">
        <v>4800</v>
      </c>
      <c r="AD722" s="244" t="s">
        <v>4987</v>
      </c>
      <c r="AE722" s="245">
        <v>1</v>
      </c>
      <c r="AF722" s="244" t="s">
        <v>5114</v>
      </c>
      <c r="AG722" s="239" t="str">
        <f>IFERROR(VLOOKUP(작성용!A:A,RM!A:D,4,0),"-")</f>
        <v>서경덕</v>
      </c>
      <c r="AH722" s="9" t="s">
        <v>4911</v>
      </c>
      <c r="AI722" s="235" t="s">
        <v>4771</v>
      </c>
      <c r="AJ722" s="235" t="s">
        <v>4920</v>
      </c>
      <c r="AK722" s="235" t="s">
        <v>4777</v>
      </c>
      <c r="AL722" s="235">
        <v>721</v>
      </c>
    </row>
    <row r="723" spans="1:38" x14ac:dyDescent="0.3">
      <c r="A723" s="222" t="s">
        <v>2251</v>
      </c>
      <c r="B723" s="222" t="s">
        <v>5687</v>
      </c>
      <c r="C723" s="241" t="s">
        <v>4778</v>
      </c>
      <c r="D723" s="237" t="s">
        <v>4921</v>
      </c>
      <c r="E723" s="236">
        <v>1101112304171</v>
      </c>
      <c r="F723" s="240" t="s">
        <v>4850</v>
      </c>
      <c r="G723" s="214">
        <v>0</v>
      </c>
      <c r="H723" s="231" t="s">
        <v>4771</v>
      </c>
      <c r="I723" s="231"/>
      <c r="J723" s="231"/>
      <c r="K723" s="231"/>
      <c r="L723" s="231"/>
      <c r="M723" s="231"/>
      <c r="N723" s="231" t="s">
        <v>4895</v>
      </c>
      <c r="O723" s="246" t="s">
        <v>5689</v>
      </c>
      <c r="P723" s="246" t="s">
        <v>5690</v>
      </c>
      <c r="Q723" s="225" t="s">
        <v>5691</v>
      </c>
      <c r="R723" s="212" t="s">
        <v>2</v>
      </c>
      <c r="S723" s="213" t="s">
        <v>4771</v>
      </c>
      <c r="T723" s="233">
        <v>45582</v>
      </c>
      <c r="U723" s="234" t="s">
        <v>4759</v>
      </c>
      <c r="V723" s="234">
        <v>45610</v>
      </c>
      <c r="W723" s="234">
        <v>45615</v>
      </c>
      <c r="X723" s="234" t="s">
        <v>2</v>
      </c>
      <c r="Y723" s="234"/>
      <c r="Z723" s="234" t="s">
        <v>4684</v>
      </c>
      <c r="AA723" s="243">
        <v>202411</v>
      </c>
      <c r="AB723" s="243"/>
      <c r="AC723" s="244" t="s">
        <v>4800</v>
      </c>
      <c r="AD723" s="244" t="s">
        <v>492</v>
      </c>
      <c r="AE723" s="245">
        <v>0</v>
      </c>
      <c r="AF723" s="244" t="s">
        <v>4558</v>
      </c>
      <c r="AG723" s="239" t="str">
        <f>IFERROR(VLOOKUP(작성용!A:A,RM!A:D,4,0),"-")</f>
        <v>서경덕</v>
      </c>
      <c r="AH723" s="9" t="s">
        <v>4911</v>
      </c>
      <c r="AI723" s="235" t="s">
        <v>4771</v>
      </c>
      <c r="AJ723" s="235" t="s">
        <v>4920</v>
      </c>
      <c r="AK723" s="235" t="s">
        <v>4777</v>
      </c>
      <c r="AL723" s="235">
        <v>722</v>
      </c>
    </row>
    <row r="724" spans="1:38" x14ac:dyDescent="0.3">
      <c r="A724" s="222" t="s">
        <v>2251</v>
      </c>
      <c r="B724" s="222" t="s">
        <v>5687</v>
      </c>
      <c r="C724" s="241" t="s">
        <v>4778</v>
      </c>
      <c r="D724" s="237" t="s">
        <v>5460</v>
      </c>
      <c r="E724" s="236">
        <v>1348110433615</v>
      </c>
      <c r="F724" s="240" t="s">
        <v>4850</v>
      </c>
      <c r="G724" s="214">
        <v>0</v>
      </c>
      <c r="H724" s="231" t="s">
        <v>4771</v>
      </c>
      <c r="I724" s="231"/>
      <c r="J724" s="231"/>
      <c r="K724" s="231"/>
      <c r="L724" s="231"/>
      <c r="M724" s="231"/>
      <c r="N724" s="231" t="s">
        <v>4895</v>
      </c>
      <c r="O724" s="246" t="s">
        <v>5689</v>
      </c>
      <c r="P724" s="246" t="s">
        <v>5690</v>
      </c>
      <c r="Q724" s="225" t="s">
        <v>5691</v>
      </c>
      <c r="R724" s="212" t="s">
        <v>2</v>
      </c>
      <c r="S724" s="213" t="s">
        <v>4771</v>
      </c>
      <c r="T724" s="233">
        <v>45582</v>
      </c>
      <c r="U724" s="234" t="s">
        <v>4759</v>
      </c>
      <c r="V724" s="234">
        <v>45610</v>
      </c>
      <c r="W724" s="234">
        <v>45615</v>
      </c>
      <c r="X724" s="234" t="s">
        <v>2</v>
      </c>
      <c r="Y724" s="234"/>
      <c r="Z724" s="234" t="s">
        <v>4684</v>
      </c>
      <c r="AA724" s="243">
        <v>202411</v>
      </c>
      <c r="AB724" s="243"/>
      <c r="AC724" s="244" t="s">
        <v>4800</v>
      </c>
      <c r="AD724" s="244" t="s">
        <v>4935</v>
      </c>
      <c r="AE724" s="245">
        <v>1</v>
      </c>
      <c r="AF724" s="244" t="s">
        <v>4935</v>
      </c>
      <c r="AG724" s="239" t="str">
        <f>IFERROR(VLOOKUP(작성용!A:A,RM!A:D,4,0),"-")</f>
        <v>서경덕</v>
      </c>
      <c r="AH724" s="9" t="s">
        <v>4911</v>
      </c>
      <c r="AI724" s="235" t="s">
        <v>4771</v>
      </c>
      <c r="AJ724" s="235" t="s">
        <v>4920</v>
      </c>
      <c r="AK724" s="235" t="s">
        <v>4777</v>
      </c>
      <c r="AL724" s="235">
        <v>723</v>
      </c>
    </row>
    <row r="725" spans="1:38" x14ac:dyDescent="0.3">
      <c r="A725" s="222" t="s">
        <v>2251</v>
      </c>
      <c r="B725" s="222" t="s">
        <v>5687</v>
      </c>
      <c r="C725" s="241" t="s">
        <v>4778</v>
      </c>
      <c r="D725" s="237" t="s">
        <v>5692</v>
      </c>
      <c r="E725" s="236">
        <v>1101111006174</v>
      </c>
      <c r="F725" s="240" t="s">
        <v>4894</v>
      </c>
      <c r="G725" s="214">
        <v>0</v>
      </c>
      <c r="H725" s="231" t="s">
        <v>4771</v>
      </c>
      <c r="I725" s="231"/>
      <c r="J725" s="231"/>
      <c r="K725" s="231"/>
      <c r="L725" s="231"/>
      <c r="M725" s="231"/>
      <c r="N725" s="231" t="s">
        <v>4895</v>
      </c>
      <c r="O725" s="246" t="s">
        <v>5689</v>
      </c>
      <c r="P725" s="246" t="s">
        <v>5690</v>
      </c>
      <c r="Q725" s="225" t="s">
        <v>5691</v>
      </c>
      <c r="R725" s="212" t="s">
        <v>2</v>
      </c>
      <c r="S725" s="213" t="s">
        <v>4771</v>
      </c>
      <c r="T725" s="233">
        <v>45582</v>
      </c>
      <c r="U725" s="234" t="s">
        <v>4759</v>
      </c>
      <c r="V725" s="234">
        <v>45610</v>
      </c>
      <c r="W725" s="234">
        <v>45615</v>
      </c>
      <c r="X725" s="234" t="s">
        <v>2</v>
      </c>
      <c r="Y725" s="234"/>
      <c r="Z725" s="234" t="s">
        <v>4684</v>
      </c>
      <c r="AA725" s="243">
        <v>202411</v>
      </c>
      <c r="AB725" s="243"/>
      <c r="AC725" s="244" t="s">
        <v>4800</v>
      </c>
      <c r="AD725" s="244" t="s">
        <v>492</v>
      </c>
      <c r="AE725" s="245">
        <v>1</v>
      </c>
      <c r="AF725" s="244" t="s">
        <v>492</v>
      </c>
      <c r="AG725" s="239" t="str">
        <f>IFERROR(VLOOKUP(작성용!A:A,RM!A:D,4,0),"-")</f>
        <v>서경덕</v>
      </c>
      <c r="AH725" s="9" t="s">
        <v>4911</v>
      </c>
      <c r="AI725" s="235" t="s">
        <v>4771</v>
      </c>
      <c r="AJ725" s="235" t="s">
        <v>4920</v>
      </c>
      <c r="AK725" s="235" t="s">
        <v>4777</v>
      </c>
      <c r="AL725" s="235">
        <v>724</v>
      </c>
    </row>
    <row r="726" spans="1:38" x14ac:dyDescent="0.3">
      <c r="A726" s="222" t="s">
        <v>2251</v>
      </c>
      <c r="B726" s="222" t="s">
        <v>5687</v>
      </c>
      <c r="C726" s="241" t="s">
        <v>4778</v>
      </c>
      <c r="D726" s="237" t="s">
        <v>5578</v>
      </c>
      <c r="E726" s="236">
        <v>1101115425312</v>
      </c>
      <c r="F726" s="240" t="s">
        <v>4894</v>
      </c>
      <c r="G726" s="214">
        <v>0</v>
      </c>
      <c r="H726" s="231" t="s">
        <v>4771</v>
      </c>
      <c r="I726" s="231"/>
      <c r="J726" s="231"/>
      <c r="K726" s="231"/>
      <c r="L726" s="231"/>
      <c r="M726" s="231"/>
      <c r="N726" s="231" t="s">
        <v>4895</v>
      </c>
      <c r="O726" s="246" t="s">
        <v>5689</v>
      </c>
      <c r="P726" s="246" t="s">
        <v>5690</v>
      </c>
      <c r="Q726" s="225" t="s">
        <v>5691</v>
      </c>
      <c r="R726" s="212" t="s">
        <v>2</v>
      </c>
      <c r="S726" s="213" t="s">
        <v>4771</v>
      </c>
      <c r="T726" s="233">
        <v>45582</v>
      </c>
      <c r="U726" s="234" t="s">
        <v>4759</v>
      </c>
      <c r="V726" s="234">
        <v>45610</v>
      </c>
      <c r="W726" s="234">
        <v>45615</v>
      </c>
      <c r="X726" s="234" t="s">
        <v>2</v>
      </c>
      <c r="Y726" s="234"/>
      <c r="Z726" s="234" t="s">
        <v>4684</v>
      </c>
      <c r="AA726" s="243">
        <v>202411</v>
      </c>
      <c r="AB726" s="243"/>
      <c r="AC726" s="244" t="s">
        <v>4800</v>
      </c>
      <c r="AD726" s="244" t="s">
        <v>556</v>
      </c>
      <c r="AE726" s="245">
        <v>0</v>
      </c>
      <c r="AF726" s="244" t="s">
        <v>4990</v>
      </c>
      <c r="AG726" s="239" t="str">
        <f>IFERROR(VLOOKUP(작성용!A:A,RM!A:D,4,0),"-")</f>
        <v>서경덕</v>
      </c>
      <c r="AH726" s="9" t="s">
        <v>4911</v>
      </c>
      <c r="AI726" s="235" t="s">
        <v>4771</v>
      </c>
      <c r="AJ726" s="235" t="s">
        <v>4920</v>
      </c>
      <c r="AK726" s="235" t="s">
        <v>4777</v>
      </c>
      <c r="AL726" s="235">
        <v>725</v>
      </c>
    </row>
    <row r="727" spans="1:38" x14ac:dyDescent="0.3">
      <c r="A727" s="222" t="s">
        <v>2251</v>
      </c>
      <c r="B727" s="222" t="s">
        <v>5687</v>
      </c>
      <c r="C727" s="241" t="s">
        <v>4778</v>
      </c>
      <c r="D727" s="237" t="s">
        <v>5693</v>
      </c>
      <c r="E727" s="236">
        <v>1101117419074</v>
      </c>
      <c r="F727" s="240" t="s">
        <v>4850</v>
      </c>
      <c r="G727" s="214">
        <v>0</v>
      </c>
      <c r="H727" s="231" t="s">
        <v>4771</v>
      </c>
      <c r="I727" s="231"/>
      <c r="J727" s="231"/>
      <c r="K727" s="231"/>
      <c r="L727" s="231"/>
      <c r="M727" s="231"/>
      <c r="N727" s="231" t="s">
        <v>4895</v>
      </c>
      <c r="O727" s="246" t="s">
        <v>5689</v>
      </c>
      <c r="P727" s="246" t="s">
        <v>5690</v>
      </c>
      <c r="Q727" s="225" t="s">
        <v>5691</v>
      </c>
      <c r="R727" s="212" t="s">
        <v>2</v>
      </c>
      <c r="S727" s="213" t="s">
        <v>4771</v>
      </c>
      <c r="T727" s="233">
        <v>45582</v>
      </c>
      <c r="U727" s="234" t="s">
        <v>4759</v>
      </c>
      <c r="V727" s="234">
        <v>45610</v>
      </c>
      <c r="W727" s="234">
        <v>45615</v>
      </c>
      <c r="X727" s="234" t="s">
        <v>2</v>
      </c>
      <c r="Y727" s="234"/>
      <c r="Z727" s="234" t="s">
        <v>4684</v>
      </c>
      <c r="AA727" s="243">
        <v>202411</v>
      </c>
      <c r="AB727" s="243"/>
      <c r="AC727" s="244" t="s">
        <v>4800</v>
      </c>
      <c r="AD727" s="244" t="s">
        <v>3713</v>
      </c>
      <c r="AE727" s="245">
        <v>1</v>
      </c>
      <c r="AF727" s="244" t="s">
        <v>5001</v>
      </c>
      <c r="AG727" s="239" t="str">
        <f>IFERROR(VLOOKUP(작성용!A:A,RM!A:D,4,0),"-")</f>
        <v>서경덕</v>
      </c>
      <c r="AH727" s="9" t="s">
        <v>4911</v>
      </c>
      <c r="AI727" s="235" t="s">
        <v>4771</v>
      </c>
      <c r="AJ727" s="235" t="s">
        <v>4920</v>
      </c>
      <c r="AK727" s="235" t="s">
        <v>4777</v>
      </c>
      <c r="AL727" s="235">
        <v>726</v>
      </c>
    </row>
    <row r="728" spans="1:38" x14ac:dyDescent="0.3">
      <c r="A728" s="222" t="s">
        <v>2251</v>
      </c>
      <c r="B728" s="222" t="s">
        <v>5687</v>
      </c>
      <c r="C728" s="241" t="s">
        <v>4778</v>
      </c>
      <c r="D728" s="237" t="s">
        <v>5693</v>
      </c>
      <c r="E728" s="236">
        <v>1101117419074</v>
      </c>
      <c r="F728" s="240" t="s">
        <v>4780</v>
      </c>
      <c r="G728" s="214">
        <v>0</v>
      </c>
      <c r="H728" s="231" t="s">
        <v>4771</v>
      </c>
      <c r="I728" s="231"/>
      <c r="J728" s="231"/>
      <c r="K728" s="231"/>
      <c r="L728" s="231"/>
      <c r="M728" s="231"/>
      <c r="N728" s="231" t="s">
        <v>4895</v>
      </c>
      <c r="O728" s="246" t="s">
        <v>5689</v>
      </c>
      <c r="P728" s="246" t="s">
        <v>5690</v>
      </c>
      <c r="Q728" s="225" t="s">
        <v>5691</v>
      </c>
      <c r="R728" s="212" t="s">
        <v>2</v>
      </c>
      <c r="S728" s="213" t="s">
        <v>4771</v>
      </c>
      <c r="T728" s="233">
        <v>45582</v>
      </c>
      <c r="U728" s="234" t="s">
        <v>4759</v>
      </c>
      <c r="V728" s="234">
        <v>45610</v>
      </c>
      <c r="W728" s="234">
        <v>45615</v>
      </c>
      <c r="X728" s="234" t="s">
        <v>2</v>
      </c>
      <c r="Y728" s="234"/>
      <c r="Z728" s="234" t="s">
        <v>4684</v>
      </c>
      <c r="AA728" s="243">
        <v>202411</v>
      </c>
      <c r="AB728" s="243"/>
      <c r="AC728" s="244" t="s">
        <v>4800</v>
      </c>
      <c r="AD728" s="244" t="s">
        <v>3713</v>
      </c>
      <c r="AE728" s="245">
        <v>0</v>
      </c>
      <c r="AF728" s="244" t="s">
        <v>5001</v>
      </c>
      <c r="AG728" s="239" t="str">
        <f>IFERROR(VLOOKUP(작성용!A:A,RM!A:D,4,0),"-")</f>
        <v>서경덕</v>
      </c>
      <c r="AH728" s="9" t="s">
        <v>4911</v>
      </c>
      <c r="AI728" s="235" t="s">
        <v>4771</v>
      </c>
      <c r="AJ728" s="235" t="s">
        <v>4920</v>
      </c>
      <c r="AK728" s="235" t="s">
        <v>4777</v>
      </c>
      <c r="AL728" s="235">
        <v>727</v>
      </c>
    </row>
    <row r="729" spans="1:38" x14ac:dyDescent="0.3">
      <c r="A729" s="222" t="s">
        <v>2251</v>
      </c>
      <c r="B729" s="222" t="s">
        <v>5687</v>
      </c>
      <c r="C729" s="241" t="s">
        <v>4762</v>
      </c>
      <c r="D729" s="237" t="s">
        <v>5694</v>
      </c>
      <c r="E729" s="236">
        <v>1801110685321</v>
      </c>
      <c r="F729" s="240" t="s">
        <v>4854</v>
      </c>
      <c r="G729" s="214">
        <v>0</v>
      </c>
      <c r="H729" s="231" t="s">
        <v>4771</v>
      </c>
      <c r="I729" s="231"/>
      <c r="J729" s="231"/>
      <c r="K729" s="231"/>
      <c r="L729" s="231"/>
      <c r="M729" s="231"/>
      <c r="N729" s="231" t="s">
        <v>4895</v>
      </c>
      <c r="O729" s="246" t="s">
        <v>5689</v>
      </c>
      <c r="P729" s="246" t="s">
        <v>5690</v>
      </c>
      <c r="Q729" s="225" t="s">
        <v>5691</v>
      </c>
      <c r="R729" s="212" t="s">
        <v>2</v>
      </c>
      <c r="S729" s="213" t="s">
        <v>4771</v>
      </c>
      <c r="T729" s="233">
        <v>45582</v>
      </c>
      <c r="U729" s="234" t="s">
        <v>4759</v>
      </c>
      <c r="V729" s="234">
        <v>45610</v>
      </c>
      <c r="W729" s="234">
        <v>45615</v>
      </c>
      <c r="X729" s="234" t="s">
        <v>2</v>
      </c>
      <c r="Y729" s="234"/>
      <c r="Z729" s="234" t="s">
        <v>4684</v>
      </c>
      <c r="AA729" s="243">
        <v>202411</v>
      </c>
      <c r="AB729" s="243"/>
      <c r="AC729" s="244" t="s">
        <v>4800</v>
      </c>
      <c r="AD729" s="244" t="s">
        <v>4987</v>
      </c>
      <c r="AE729" s="245">
        <v>1</v>
      </c>
      <c r="AF729" s="244" t="s">
        <v>4987</v>
      </c>
      <c r="AG729" s="239" t="str">
        <f>IFERROR(VLOOKUP(작성용!A:A,RM!A:D,4,0),"-")</f>
        <v>서경덕</v>
      </c>
      <c r="AH729" s="9" t="s">
        <v>4911</v>
      </c>
      <c r="AI729" s="235" t="s">
        <v>4771</v>
      </c>
      <c r="AJ729" s="235" t="s">
        <v>4920</v>
      </c>
      <c r="AK729" s="235" t="s">
        <v>4777</v>
      </c>
      <c r="AL729" s="235">
        <v>728</v>
      </c>
    </row>
    <row r="730" spans="1:38" x14ac:dyDescent="0.3">
      <c r="A730" s="222" t="s">
        <v>2251</v>
      </c>
      <c r="B730" s="222" t="s">
        <v>5687</v>
      </c>
      <c r="C730" s="241" t="s">
        <v>4762</v>
      </c>
      <c r="D730" s="237" t="s">
        <v>5694</v>
      </c>
      <c r="E730" s="236">
        <v>1801110685321</v>
      </c>
      <c r="F730" s="240" t="s">
        <v>4850</v>
      </c>
      <c r="G730" s="214">
        <v>0</v>
      </c>
      <c r="H730" s="231" t="s">
        <v>4771</v>
      </c>
      <c r="I730" s="231"/>
      <c r="J730" s="231"/>
      <c r="K730" s="231"/>
      <c r="L730" s="231"/>
      <c r="M730" s="231"/>
      <c r="N730" s="231" t="s">
        <v>4895</v>
      </c>
      <c r="O730" s="246" t="s">
        <v>5689</v>
      </c>
      <c r="P730" s="246" t="s">
        <v>5690</v>
      </c>
      <c r="Q730" s="225" t="s">
        <v>5691</v>
      </c>
      <c r="R730" s="212" t="s">
        <v>2</v>
      </c>
      <c r="S730" s="213" t="s">
        <v>4771</v>
      </c>
      <c r="T730" s="233">
        <v>45582</v>
      </c>
      <c r="U730" s="234" t="s">
        <v>4759</v>
      </c>
      <c r="V730" s="234">
        <v>45610</v>
      </c>
      <c r="W730" s="234">
        <v>45615</v>
      </c>
      <c r="X730" s="234" t="s">
        <v>2</v>
      </c>
      <c r="Y730" s="234"/>
      <c r="Z730" s="234" t="s">
        <v>4684</v>
      </c>
      <c r="AA730" s="243">
        <v>202411</v>
      </c>
      <c r="AB730" s="243"/>
      <c r="AC730" s="244" t="s">
        <v>4800</v>
      </c>
      <c r="AD730" s="244" t="s">
        <v>4987</v>
      </c>
      <c r="AE730" s="245">
        <v>0</v>
      </c>
      <c r="AF730" s="244" t="s">
        <v>4987</v>
      </c>
      <c r="AG730" s="239" t="str">
        <f>IFERROR(VLOOKUP(작성용!A:A,RM!A:D,4,0),"-")</f>
        <v>서경덕</v>
      </c>
      <c r="AH730" s="9" t="s">
        <v>4911</v>
      </c>
      <c r="AI730" s="235" t="s">
        <v>4771</v>
      </c>
      <c r="AJ730" s="235" t="s">
        <v>4920</v>
      </c>
      <c r="AK730" s="235" t="s">
        <v>4777</v>
      </c>
      <c r="AL730" s="235">
        <v>729</v>
      </c>
    </row>
    <row r="731" spans="1:38" x14ac:dyDescent="0.3">
      <c r="A731" s="222" t="s">
        <v>2251</v>
      </c>
      <c r="B731" s="222" t="s">
        <v>5687</v>
      </c>
      <c r="C731" s="241" t="s">
        <v>4762</v>
      </c>
      <c r="D731" s="237" t="s">
        <v>5231</v>
      </c>
      <c r="E731" s="236">
        <v>1501110219184</v>
      </c>
      <c r="F731" s="240" t="s">
        <v>4780</v>
      </c>
      <c r="G731" s="214">
        <v>5</v>
      </c>
      <c r="H731" s="231" t="s">
        <v>4771</v>
      </c>
      <c r="I731" s="231"/>
      <c r="J731" s="231"/>
      <c r="K731" s="231"/>
      <c r="L731" s="231"/>
      <c r="M731" s="231"/>
      <c r="N731" s="231" t="s">
        <v>4895</v>
      </c>
      <c r="O731" s="246" t="s">
        <v>5689</v>
      </c>
      <c r="P731" s="246" t="s">
        <v>5690</v>
      </c>
      <c r="Q731" s="225" t="s">
        <v>5691</v>
      </c>
      <c r="R731" s="212" t="s">
        <v>2</v>
      </c>
      <c r="S731" s="213" t="s">
        <v>4771</v>
      </c>
      <c r="T731" s="233">
        <v>45582</v>
      </c>
      <c r="U731" s="234" t="s">
        <v>4759</v>
      </c>
      <c r="V731" s="234">
        <v>45610</v>
      </c>
      <c r="W731" s="234">
        <v>45615</v>
      </c>
      <c r="X731" s="234" t="s">
        <v>2</v>
      </c>
      <c r="Y731" s="234"/>
      <c r="Z731" s="234" t="s">
        <v>4684</v>
      </c>
      <c r="AA731" s="243">
        <v>202411</v>
      </c>
      <c r="AB731" s="243"/>
      <c r="AC731" s="244" t="s">
        <v>4800</v>
      </c>
      <c r="AD731" s="244" t="s">
        <v>4774</v>
      </c>
      <c r="AE731" s="245">
        <v>0</v>
      </c>
      <c r="AF731" s="244" t="s">
        <v>4774</v>
      </c>
      <c r="AG731" s="239" t="str">
        <f>IFERROR(VLOOKUP(작성용!A:A,RM!A:D,4,0),"-")</f>
        <v>서경덕</v>
      </c>
      <c r="AH731" s="9" t="s">
        <v>4911</v>
      </c>
      <c r="AI731" s="235" t="s">
        <v>4771</v>
      </c>
      <c r="AJ731" s="235" t="s">
        <v>4920</v>
      </c>
      <c r="AK731" s="235" t="s">
        <v>4777</v>
      </c>
      <c r="AL731" s="235">
        <v>730</v>
      </c>
    </row>
    <row r="732" spans="1:38" x14ac:dyDescent="0.3">
      <c r="A732" s="229" t="s">
        <v>4685</v>
      </c>
      <c r="B732" s="229" t="s">
        <v>4686</v>
      </c>
      <c r="C732" s="241" t="s">
        <v>4778</v>
      </c>
      <c r="D732" s="237" t="s">
        <v>5471</v>
      </c>
      <c r="E732" s="236" t="s">
        <v>3717</v>
      </c>
      <c r="F732" s="240" t="s">
        <v>4894</v>
      </c>
      <c r="G732" s="214">
        <v>1</v>
      </c>
      <c r="H732" s="231" t="s">
        <v>4771</v>
      </c>
      <c r="I732" s="231"/>
      <c r="J732" s="231"/>
      <c r="K732" s="231"/>
      <c r="L732" s="231"/>
      <c r="M732" s="231"/>
      <c r="N732" s="231" t="s">
        <v>4895</v>
      </c>
      <c r="O732" s="246"/>
      <c r="P732" s="246"/>
      <c r="Q732" s="225"/>
      <c r="R732" s="212" t="s">
        <v>2</v>
      </c>
      <c r="S732" s="213" t="s">
        <v>4771</v>
      </c>
      <c r="T732" s="233">
        <v>45582</v>
      </c>
      <c r="U732" s="234" t="s">
        <v>4759</v>
      </c>
      <c r="V732" s="233">
        <v>45610</v>
      </c>
      <c r="W732" s="233">
        <v>45614</v>
      </c>
      <c r="X732" s="234" t="s">
        <v>4771</v>
      </c>
      <c r="Y732" s="234"/>
      <c r="Z732" s="234" t="s">
        <v>4687</v>
      </c>
      <c r="AA732" s="243">
        <v>202411</v>
      </c>
      <c r="AB732" s="243"/>
      <c r="AC732" s="244" t="s">
        <v>4800</v>
      </c>
      <c r="AD732" s="244" t="s">
        <v>4761</v>
      </c>
      <c r="AE732" s="245">
        <v>0</v>
      </c>
      <c r="AF732" s="244" t="s">
        <v>4761</v>
      </c>
      <c r="AG732" s="239" t="str">
        <f>IFERROR(VLOOKUP(작성용!A:A,RM!A:D,4,0),"-")</f>
        <v>강승현</v>
      </c>
      <c r="AH732" s="9" t="s">
        <v>4860</v>
      </c>
      <c r="AI732" s="235" t="s">
        <v>4771</v>
      </c>
      <c r="AJ732" s="235" t="s">
        <v>4920</v>
      </c>
      <c r="AK732" s="235" t="s">
        <v>4777</v>
      </c>
      <c r="AL732" s="235">
        <v>731</v>
      </c>
    </row>
    <row r="733" spans="1:38" x14ac:dyDescent="0.3">
      <c r="A733" s="229" t="s">
        <v>4685</v>
      </c>
      <c r="B733" s="229" t="s">
        <v>4686</v>
      </c>
      <c r="C733" s="241" t="s">
        <v>4778</v>
      </c>
      <c r="D733" s="237" t="s">
        <v>5471</v>
      </c>
      <c r="E733" s="236" t="s">
        <v>3717</v>
      </c>
      <c r="F733" s="240" t="s">
        <v>4894</v>
      </c>
      <c r="G733" s="214">
        <v>2</v>
      </c>
      <c r="H733" s="231" t="s">
        <v>4771</v>
      </c>
      <c r="I733" s="231"/>
      <c r="J733" s="231"/>
      <c r="K733" s="231"/>
      <c r="L733" s="231"/>
      <c r="M733" s="231"/>
      <c r="N733" s="231" t="s">
        <v>4895</v>
      </c>
      <c r="O733" s="246"/>
      <c r="P733" s="246"/>
      <c r="Q733" s="225"/>
      <c r="R733" s="212" t="s">
        <v>2</v>
      </c>
      <c r="S733" s="213" t="s">
        <v>4771</v>
      </c>
      <c r="T733" s="233">
        <v>45582</v>
      </c>
      <c r="U733" s="234" t="s">
        <v>4759</v>
      </c>
      <c r="V733" s="233">
        <v>45610</v>
      </c>
      <c r="W733" s="233">
        <v>45614</v>
      </c>
      <c r="X733" s="234" t="s">
        <v>4771</v>
      </c>
      <c r="Y733" s="234"/>
      <c r="Z733" s="234" t="s">
        <v>4687</v>
      </c>
      <c r="AA733" s="243">
        <v>202411</v>
      </c>
      <c r="AB733" s="243"/>
      <c r="AC733" s="244" t="s">
        <v>4800</v>
      </c>
      <c r="AD733" s="244" t="s">
        <v>4761</v>
      </c>
      <c r="AE733" s="245">
        <v>0</v>
      </c>
      <c r="AF733" s="244" t="s">
        <v>4761</v>
      </c>
      <c r="AG733" s="239" t="str">
        <f>IFERROR(VLOOKUP(작성용!A:A,RM!A:D,4,0),"-")</f>
        <v>강승현</v>
      </c>
      <c r="AH733" s="9" t="s">
        <v>4860</v>
      </c>
      <c r="AI733" s="235" t="s">
        <v>4771</v>
      </c>
      <c r="AJ733" s="235" t="s">
        <v>4920</v>
      </c>
      <c r="AK733" s="235" t="s">
        <v>4777</v>
      </c>
      <c r="AL733" s="235">
        <v>732</v>
      </c>
    </row>
    <row r="734" spans="1:38" x14ac:dyDescent="0.3">
      <c r="A734" s="229" t="s">
        <v>4685</v>
      </c>
      <c r="B734" s="229" t="s">
        <v>4686</v>
      </c>
      <c r="C734" s="241" t="s">
        <v>4778</v>
      </c>
      <c r="D734" s="237" t="s">
        <v>5695</v>
      </c>
      <c r="E734" s="236" t="s">
        <v>3921</v>
      </c>
      <c r="F734" s="240" t="s">
        <v>4894</v>
      </c>
      <c r="G734" s="214">
        <v>0</v>
      </c>
      <c r="H734" s="231" t="s">
        <v>4771</v>
      </c>
      <c r="I734" s="231"/>
      <c r="J734" s="231"/>
      <c r="K734" s="231"/>
      <c r="L734" s="231"/>
      <c r="M734" s="231"/>
      <c r="N734" s="231" t="s">
        <v>4895</v>
      </c>
      <c r="O734" s="246"/>
      <c r="P734" s="246"/>
      <c r="Q734" s="225"/>
      <c r="R734" s="212" t="s">
        <v>2</v>
      </c>
      <c r="S734" s="213" t="s">
        <v>4771</v>
      </c>
      <c r="T734" s="233">
        <v>45582</v>
      </c>
      <c r="U734" s="234" t="s">
        <v>4759</v>
      </c>
      <c r="V734" s="233">
        <v>45610</v>
      </c>
      <c r="W734" s="233">
        <v>45614</v>
      </c>
      <c r="X734" s="234" t="s">
        <v>4771</v>
      </c>
      <c r="Y734" s="234"/>
      <c r="Z734" s="234" t="s">
        <v>4687</v>
      </c>
      <c r="AA734" s="243">
        <v>202411</v>
      </c>
      <c r="AB734" s="243"/>
      <c r="AC734" s="244" t="s">
        <v>4800</v>
      </c>
      <c r="AD734" s="244" t="s">
        <v>4761</v>
      </c>
      <c r="AE734" s="245">
        <v>1</v>
      </c>
      <c r="AF734" s="244" t="s">
        <v>4761</v>
      </c>
      <c r="AG734" s="239" t="str">
        <f>IFERROR(VLOOKUP(작성용!A:A,RM!A:D,4,0),"-")</f>
        <v>강승현</v>
      </c>
      <c r="AH734" s="9" t="s">
        <v>4860</v>
      </c>
      <c r="AI734" s="235" t="s">
        <v>4771</v>
      </c>
      <c r="AJ734" s="235" t="s">
        <v>4920</v>
      </c>
      <c r="AK734" s="235" t="s">
        <v>4777</v>
      </c>
      <c r="AL734" s="235">
        <v>733</v>
      </c>
    </row>
    <row r="735" spans="1:38" x14ac:dyDescent="0.3">
      <c r="A735" s="229" t="s">
        <v>4685</v>
      </c>
      <c r="B735" s="229" t="s">
        <v>4686</v>
      </c>
      <c r="C735" s="241" t="s">
        <v>4778</v>
      </c>
      <c r="D735" s="237" t="s">
        <v>5696</v>
      </c>
      <c r="E735" s="236">
        <v>1311110454965</v>
      </c>
      <c r="F735" s="240" t="s">
        <v>4854</v>
      </c>
      <c r="G735" s="214">
        <v>0</v>
      </c>
      <c r="H735" s="231" t="s">
        <v>4771</v>
      </c>
      <c r="I735" s="231"/>
      <c r="J735" s="231"/>
      <c r="K735" s="231"/>
      <c r="L735" s="231"/>
      <c r="M735" s="231"/>
      <c r="N735" s="231" t="s">
        <v>4895</v>
      </c>
      <c r="O735" s="246"/>
      <c r="P735" s="246"/>
      <c r="Q735" s="225"/>
      <c r="R735" s="212" t="s">
        <v>2</v>
      </c>
      <c r="S735" s="213" t="s">
        <v>4771</v>
      </c>
      <c r="T735" s="233">
        <v>45582</v>
      </c>
      <c r="U735" s="234" t="s">
        <v>4759</v>
      </c>
      <c r="V735" s="233">
        <v>45610</v>
      </c>
      <c r="W735" s="233">
        <v>45614</v>
      </c>
      <c r="X735" s="234" t="s">
        <v>4771</v>
      </c>
      <c r="Y735" s="234"/>
      <c r="Z735" s="234" t="s">
        <v>4687</v>
      </c>
      <c r="AA735" s="243">
        <v>202411</v>
      </c>
      <c r="AB735" s="243"/>
      <c r="AC735" s="244" t="s">
        <v>4800</v>
      </c>
      <c r="AD735" s="228" t="s">
        <v>4900</v>
      </c>
      <c r="AE735" s="245">
        <v>1</v>
      </c>
      <c r="AF735" s="228" t="s">
        <v>4900</v>
      </c>
      <c r="AG735" s="239" t="str">
        <f>IFERROR(VLOOKUP(작성용!A:A,RM!A:D,4,0),"-")</f>
        <v>강승현</v>
      </c>
      <c r="AH735" s="9" t="s">
        <v>4860</v>
      </c>
      <c r="AI735" s="235" t="s">
        <v>4771</v>
      </c>
      <c r="AJ735" s="235" t="s">
        <v>4920</v>
      </c>
      <c r="AK735" s="235" t="s">
        <v>4777</v>
      </c>
      <c r="AL735" s="235">
        <v>734</v>
      </c>
    </row>
    <row r="736" spans="1:38" x14ac:dyDescent="0.3">
      <c r="A736" s="229" t="s">
        <v>4685</v>
      </c>
      <c r="B736" s="229" t="s">
        <v>4686</v>
      </c>
      <c r="C736" s="241" t="s">
        <v>4778</v>
      </c>
      <c r="D736" s="237" t="s">
        <v>5697</v>
      </c>
      <c r="E736" s="236">
        <v>1101117849370</v>
      </c>
      <c r="F736" s="240" t="s">
        <v>4850</v>
      </c>
      <c r="G736" s="214">
        <v>0</v>
      </c>
      <c r="H736" s="231" t="s">
        <v>4771</v>
      </c>
      <c r="I736" s="231"/>
      <c r="J736" s="231"/>
      <c r="K736" s="231"/>
      <c r="L736" s="231"/>
      <c r="M736" s="231"/>
      <c r="N736" s="231" t="s">
        <v>4895</v>
      </c>
      <c r="O736" s="246"/>
      <c r="P736" s="246"/>
      <c r="Q736" s="225"/>
      <c r="R736" s="212" t="s">
        <v>2</v>
      </c>
      <c r="S736" s="213" t="s">
        <v>4771</v>
      </c>
      <c r="T736" s="233">
        <v>45582</v>
      </c>
      <c r="U736" s="234" t="s">
        <v>4759</v>
      </c>
      <c r="V736" s="233">
        <v>45610</v>
      </c>
      <c r="W736" s="233">
        <v>45614</v>
      </c>
      <c r="X736" s="234" t="s">
        <v>4771</v>
      </c>
      <c r="Y736" s="234"/>
      <c r="Z736" s="234" t="s">
        <v>4687</v>
      </c>
      <c r="AA736" s="243">
        <v>202411</v>
      </c>
      <c r="AB736" s="243"/>
      <c r="AC736" s="244" t="s">
        <v>4800</v>
      </c>
      <c r="AD736" s="244" t="s">
        <v>4845</v>
      </c>
      <c r="AE736" s="245">
        <v>1</v>
      </c>
      <c r="AF736" s="244" t="s">
        <v>4845</v>
      </c>
      <c r="AG736" s="239" t="str">
        <f>IFERROR(VLOOKUP(작성용!A:A,RM!A:D,4,0),"-")</f>
        <v>강승현</v>
      </c>
      <c r="AH736" s="9" t="s">
        <v>4860</v>
      </c>
      <c r="AI736" s="235" t="s">
        <v>4771</v>
      </c>
      <c r="AJ736" s="235" t="s">
        <v>4920</v>
      </c>
      <c r="AK736" s="235" t="s">
        <v>4777</v>
      </c>
      <c r="AL736" s="235">
        <v>735</v>
      </c>
    </row>
    <row r="737" spans="1:38" x14ac:dyDescent="0.3">
      <c r="A737" s="229" t="s">
        <v>4685</v>
      </c>
      <c r="B737" s="229" t="s">
        <v>4686</v>
      </c>
      <c r="C737" s="241" t="s">
        <v>4778</v>
      </c>
      <c r="D737" s="237" t="s">
        <v>5430</v>
      </c>
      <c r="E737" s="236">
        <v>1601110397409</v>
      </c>
      <c r="F737" s="240" t="s">
        <v>4850</v>
      </c>
      <c r="G737" s="214">
        <v>0</v>
      </c>
      <c r="H737" s="231" t="s">
        <v>4771</v>
      </c>
      <c r="I737" s="231"/>
      <c r="J737" s="231"/>
      <c r="K737" s="231"/>
      <c r="L737" s="231"/>
      <c r="M737" s="231"/>
      <c r="N737" s="231" t="s">
        <v>4895</v>
      </c>
      <c r="O737" s="246"/>
      <c r="P737" s="246"/>
      <c r="Q737" s="225"/>
      <c r="R737" s="212" t="s">
        <v>2</v>
      </c>
      <c r="S737" s="213" t="s">
        <v>4771</v>
      </c>
      <c r="T737" s="233">
        <v>45582</v>
      </c>
      <c r="U737" s="234" t="s">
        <v>4759</v>
      </c>
      <c r="V737" s="233">
        <v>45610</v>
      </c>
      <c r="W737" s="233">
        <v>45614</v>
      </c>
      <c r="X737" s="234" t="s">
        <v>4771</v>
      </c>
      <c r="Y737" s="234"/>
      <c r="Z737" s="234" t="s">
        <v>4687</v>
      </c>
      <c r="AA737" s="243">
        <v>202411</v>
      </c>
      <c r="AB737" s="243"/>
      <c r="AC737" s="244" t="s">
        <v>4800</v>
      </c>
      <c r="AD737" s="244" t="s">
        <v>4846</v>
      </c>
      <c r="AE737" s="245">
        <v>1</v>
      </c>
      <c r="AF737" s="244" t="s">
        <v>4846</v>
      </c>
      <c r="AG737" s="239" t="str">
        <f>IFERROR(VLOOKUP(작성용!A:A,RM!A:D,4,0),"-")</f>
        <v>강승현</v>
      </c>
      <c r="AH737" s="9" t="s">
        <v>4860</v>
      </c>
      <c r="AI737" s="235" t="s">
        <v>4771</v>
      </c>
      <c r="AJ737" s="235" t="s">
        <v>4920</v>
      </c>
      <c r="AK737" s="235" t="s">
        <v>4777</v>
      </c>
      <c r="AL737" s="235">
        <v>736</v>
      </c>
    </row>
    <row r="738" spans="1:38" x14ac:dyDescent="0.3">
      <c r="A738" s="229" t="s">
        <v>4685</v>
      </c>
      <c r="B738" s="229" t="s">
        <v>4686</v>
      </c>
      <c r="C738" s="241" t="s">
        <v>4778</v>
      </c>
      <c r="D738" s="237" t="s">
        <v>5698</v>
      </c>
      <c r="E738" s="236">
        <v>1311110580819</v>
      </c>
      <c r="F738" s="240" t="s">
        <v>4850</v>
      </c>
      <c r="G738" s="214">
        <v>0</v>
      </c>
      <c r="H738" s="231" t="s">
        <v>4771</v>
      </c>
      <c r="I738" s="231"/>
      <c r="J738" s="231"/>
      <c r="K738" s="231"/>
      <c r="L738" s="231"/>
      <c r="M738" s="231"/>
      <c r="N738" s="231" t="s">
        <v>4895</v>
      </c>
      <c r="O738" s="246"/>
      <c r="P738" s="246"/>
      <c r="Q738" s="225"/>
      <c r="R738" s="212" t="s">
        <v>2</v>
      </c>
      <c r="S738" s="213" t="s">
        <v>4771</v>
      </c>
      <c r="T738" s="233">
        <v>45582</v>
      </c>
      <c r="U738" s="234" t="s">
        <v>4759</v>
      </c>
      <c r="V738" s="233">
        <v>45610</v>
      </c>
      <c r="W738" s="233">
        <v>45614</v>
      </c>
      <c r="X738" s="234" t="s">
        <v>4771</v>
      </c>
      <c r="Y738" s="234"/>
      <c r="Z738" s="234" t="s">
        <v>4687</v>
      </c>
      <c r="AA738" s="243">
        <v>202411</v>
      </c>
      <c r="AB738" s="243"/>
      <c r="AC738" s="244" t="s">
        <v>4800</v>
      </c>
      <c r="AD738" s="244" t="s">
        <v>4860</v>
      </c>
      <c r="AE738" s="245">
        <v>1</v>
      </c>
      <c r="AF738" s="244" t="s">
        <v>4860</v>
      </c>
      <c r="AG738" s="239" t="str">
        <f>IFERROR(VLOOKUP(작성용!A:A,RM!A:D,4,0),"-")</f>
        <v>강승현</v>
      </c>
      <c r="AH738" s="9" t="s">
        <v>4860</v>
      </c>
      <c r="AI738" s="235" t="s">
        <v>4771</v>
      </c>
      <c r="AJ738" s="235" t="s">
        <v>4920</v>
      </c>
      <c r="AK738" s="235" t="s">
        <v>4777</v>
      </c>
      <c r="AL738" s="235">
        <v>737</v>
      </c>
    </row>
    <row r="739" spans="1:38" x14ac:dyDescent="0.3">
      <c r="A739" s="229" t="s">
        <v>4685</v>
      </c>
      <c r="B739" s="229" t="s">
        <v>4686</v>
      </c>
      <c r="C739" s="241" t="s">
        <v>4778</v>
      </c>
      <c r="D739" s="237" t="s">
        <v>5699</v>
      </c>
      <c r="E739" s="236">
        <v>1101117195947</v>
      </c>
      <c r="F739" s="240" t="s">
        <v>4850</v>
      </c>
      <c r="G739" s="214">
        <v>0</v>
      </c>
      <c r="H739" s="231" t="s">
        <v>4771</v>
      </c>
      <c r="I739" s="231"/>
      <c r="J739" s="231"/>
      <c r="K739" s="231"/>
      <c r="L739" s="231"/>
      <c r="M739" s="231"/>
      <c r="N739" s="231" t="s">
        <v>4895</v>
      </c>
      <c r="O739" s="246"/>
      <c r="P739" s="246"/>
      <c r="Q739" s="225"/>
      <c r="R739" s="212" t="s">
        <v>2</v>
      </c>
      <c r="S739" s="213" t="s">
        <v>4771</v>
      </c>
      <c r="T739" s="233">
        <v>45582</v>
      </c>
      <c r="U739" s="234" t="s">
        <v>4759</v>
      </c>
      <c r="V739" s="233">
        <v>45610</v>
      </c>
      <c r="W739" s="233">
        <v>45614</v>
      </c>
      <c r="X739" s="234" t="s">
        <v>4771</v>
      </c>
      <c r="Y739" s="234"/>
      <c r="Z739" s="234" t="s">
        <v>4687</v>
      </c>
      <c r="AA739" s="243">
        <v>202411</v>
      </c>
      <c r="AB739" s="243"/>
      <c r="AC739" s="244" t="s">
        <v>4800</v>
      </c>
      <c r="AD739" s="244" t="s">
        <v>4915</v>
      </c>
      <c r="AE739" s="245">
        <v>1</v>
      </c>
      <c r="AF739" s="244" t="s">
        <v>5021</v>
      </c>
      <c r="AG739" s="239" t="str">
        <f>IFERROR(VLOOKUP(작성용!A:A,RM!A:D,4,0),"-")</f>
        <v>강승현</v>
      </c>
      <c r="AH739" s="9" t="s">
        <v>4860</v>
      </c>
      <c r="AI739" s="235" t="s">
        <v>4771</v>
      </c>
      <c r="AJ739" s="235" t="s">
        <v>4920</v>
      </c>
      <c r="AK739" s="235" t="s">
        <v>4777</v>
      </c>
      <c r="AL739" s="235">
        <v>738</v>
      </c>
    </row>
    <row r="740" spans="1:38" x14ac:dyDescent="0.3">
      <c r="A740" s="229" t="s">
        <v>4685</v>
      </c>
      <c r="B740" s="229" t="s">
        <v>4686</v>
      </c>
      <c r="C740" s="241" t="s">
        <v>4778</v>
      </c>
      <c r="D740" s="237" t="s">
        <v>5700</v>
      </c>
      <c r="E740" s="236">
        <v>1101118011704</v>
      </c>
      <c r="F740" s="240" t="s">
        <v>4850</v>
      </c>
      <c r="G740" s="214">
        <v>0</v>
      </c>
      <c r="H740" s="231" t="s">
        <v>4771</v>
      </c>
      <c r="I740" s="231"/>
      <c r="J740" s="231"/>
      <c r="K740" s="231"/>
      <c r="L740" s="231"/>
      <c r="M740" s="231"/>
      <c r="N740" s="231" t="s">
        <v>4895</v>
      </c>
      <c r="O740" s="246"/>
      <c r="P740" s="246"/>
      <c r="Q740" s="225"/>
      <c r="R740" s="212" t="s">
        <v>2</v>
      </c>
      <c r="S740" s="213" t="s">
        <v>4771</v>
      </c>
      <c r="T740" s="233">
        <v>45582</v>
      </c>
      <c r="U740" s="234" t="s">
        <v>4759</v>
      </c>
      <c r="V740" s="233">
        <v>45610</v>
      </c>
      <c r="W740" s="233">
        <v>45614</v>
      </c>
      <c r="X740" s="234" t="s">
        <v>4771</v>
      </c>
      <c r="Y740" s="234"/>
      <c r="Z740" s="234" t="s">
        <v>4687</v>
      </c>
      <c r="AA740" s="243">
        <v>202411</v>
      </c>
      <c r="AB740" s="243"/>
      <c r="AC740" s="244" t="s">
        <v>4800</v>
      </c>
      <c r="AD740" s="244" t="s">
        <v>4761</v>
      </c>
      <c r="AE740" s="245">
        <v>1</v>
      </c>
      <c r="AF740" s="244" t="s">
        <v>4761</v>
      </c>
      <c r="AG740" s="239" t="str">
        <f>IFERROR(VLOOKUP(작성용!A:A,RM!A:D,4,0),"-")</f>
        <v>강승현</v>
      </c>
      <c r="AH740" s="9" t="s">
        <v>4860</v>
      </c>
      <c r="AI740" s="235" t="s">
        <v>4771</v>
      </c>
      <c r="AJ740" s="235" t="s">
        <v>4920</v>
      </c>
      <c r="AK740" s="235" t="s">
        <v>4777</v>
      </c>
      <c r="AL740" s="235">
        <v>739</v>
      </c>
    </row>
    <row r="741" spans="1:38" x14ac:dyDescent="0.3">
      <c r="A741" s="229" t="s">
        <v>4685</v>
      </c>
      <c r="B741" s="229" t="s">
        <v>4686</v>
      </c>
      <c r="C741" s="241" t="s">
        <v>4778</v>
      </c>
      <c r="D741" s="237" t="s">
        <v>5701</v>
      </c>
      <c r="E741" s="236">
        <v>1801111215474</v>
      </c>
      <c r="F741" s="240" t="s">
        <v>4850</v>
      </c>
      <c r="G741" s="214">
        <v>0</v>
      </c>
      <c r="H741" s="231" t="s">
        <v>4771</v>
      </c>
      <c r="I741" s="231"/>
      <c r="J741" s="231"/>
      <c r="K741" s="231"/>
      <c r="L741" s="231"/>
      <c r="M741" s="231"/>
      <c r="N741" s="231" t="s">
        <v>4895</v>
      </c>
      <c r="O741" s="246"/>
      <c r="P741" s="246"/>
      <c r="Q741" s="225"/>
      <c r="R741" s="212" t="s">
        <v>2</v>
      </c>
      <c r="S741" s="213" t="s">
        <v>4771</v>
      </c>
      <c r="T741" s="233">
        <v>45582</v>
      </c>
      <c r="U741" s="234" t="s">
        <v>4759</v>
      </c>
      <c r="V741" s="233">
        <v>45610</v>
      </c>
      <c r="W741" s="233">
        <v>45614</v>
      </c>
      <c r="X741" s="234" t="s">
        <v>4771</v>
      </c>
      <c r="Y741" s="234"/>
      <c r="Z741" s="234" t="s">
        <v>4687</v>
      </c>
      <c r="AA741" s="243">
        <v>202411</v>
      </c>
      <c r="AB741" s="243"/>
      <c r="AC741" s="244" t="s">
        <v>4800</v>
      </c>
      <c r="AD741" s="244" t="s">
        <v>4897</v>
      </c>
      <c r="AE741" s="245">
        <v>1</v>
      </c>
      <c r="AF741" s="244" t="s">
        <v>4860</v>
      </c>
      <c r="AG741" s="239" t="str">
        <f>IFERROR(VLOOKUP(작성용!A:A,RM!A:D,4,0),"-")</f>
        <v>강승현</v>
      </c>
      <c r="AH741" s="9" t="s">
        <v>4860</v>
      </c>
      <c r="AI741" s="235" t="s">
        <v>4771</v>
      </c>
      <c r="AJ741" s="235" t="s">
        <v>4920</v>
      </c>
      <c r="AK741" s="235" t="s">
        <v>4777</v>
      </c>
      <c r="AL741" s="235">
        <v>740</v>
      </c>
    </row>
    <row r="742" spans="1:38" x14ac:dyDescent="0.3">
      <c r="A742" s="229" t="s">
        <v>4685</v>
      </c>
      <c r="B742" s="229" t="s">
        <v>4686</v>
      </c>
      <c r="C742" s="241" t="s">
        <v>4778</v>
      </c>
      <c r="D742" s="237" t="s">
        <v>5702</v>
      </c>
      <c r="E742" s="236">
        <v>1101117036547</v>
      </c>
      <c r="F742" s="240" t="s">
        <v>4850</v>
      </c>
      <c r="G742" s="214">
        <v>0</v>
      </c>
      <c r="H742" s="231" t="s">
        <v>4771</v>
      </c>
      <c r="I742" s="231"/>
      <c r="J742" s="231"/>
      <c r="K742" s="231"/>
      <c r="L742" s="231"/>
      <c r="M742" s="231"/>
      <c r="N742" s="231" t="s">
        <v>4895</v>
      </c>
      <c r="O742" s="246"/>
      <c r="P742" s="246"/>
      <c r="Q742" s="225"/>
      <c r="R742" s="212" t="s">
        <v>2</v>
      </c>
      <c r="S742" s="213" t="s">
        <v>4771</v>
      </c>
      <c r="T742" s="233">
        <v>45582</v>
      </c>
      <c r="U742" s="234" t="s">
        <v>4759</v>
      </c>
      <c r="V742" s="233">
        <v>45610</v>
      </c>
      <c r="W742" s="233">
        <v>45614</v>
      </c>
      <c r="X742" s="234" t="s">
        <v>4771</v>
      </c>
      <c r="Y742" s="234"/>
      <c r="Z742" s="234" t="s">
        <v>4687</v>
      </c>
      <c r="AA742" s="243">
        <v>202411</v>
      </c>
      <c r="AB742" s="243"/>
      <c r="AC742" s="244" t="s">
        <v>4800</v>
      </c>
      <c r="AD742" s="228" t="s">
        <v>3663</v>
      </c>
      <c r="AE742" s="245">
        <v>1</v>
      </c>
      <c r="AF742" s="228" t="s">
        <v>3663</v>
      </c>
      <c r="AG742" s="239" t="str">
        <f>IFERROR(VLOOKUP(작성용!A:A,RM!A:D,4,0),"-")</f>
        <v>강승현</v>
      </c>
      <c r="AH742" s="9" t="s">
        <v>4860</v>
      </c>
      <c r="AI742" s="235" t="s">
        <v>4771</v>
      </c>
      <c r="AJ742" s="235" t="s">
        <v>4920</v>
      </c>
      <c r="AK742" s="235" t="s">
        <v>4777</v>
      </c>
      <c r="AL742" s="235">
        <v>741</v>
      </c>
    </row>
    <row r="743" spans="1:38" x14ac:dyDescent="0.3">
      <c r="A743" s="229" t="s">
        <v>4685</v>
      </c>
      <c r="B743" s="229" t="s">
        <v>4686</v>
      </c>
      <c r="C743" s="241" t="s">
        <v>4778</v>
      </c>
      <c r="D743" s="237" t="s">
        <v>4861</v>
      </c>
      <c r="E743" s="236">
        <v>1101114625385</v>
      </c>
      <c r="F743" s="240" t="s">
        <v>4850</v>
      </c>
      <c r="G743" s="214">
        <v>2</v>
      </c>
      <c r="H743" s="231" t="s">
        <v>4771</v>
      </c>
      <c r="I743" s="231"/>
      <c r="J743" s="231"/>
      <c r="K743" s="231"/>
      <c r="L743" s="231"/>
      <c r="M743" s="231"/>
      <c r="N743" s="231" t="s">
        <v>4895</v>
      </c>
      <c r="O743" s="246"/>
      <c r="P743" s="246"/>
      <c r="Q743" s="225"/>
      <c r="R743" s="212" t="s">
        <v>2</v>
      </c>
      <c r="S743" s="213" t="s">
        <v>4771</v>
      </c>
      <c r="T743" s="233">
        <v>45582</v>
      </c>
      <c r="U743" s="234" t="s">
        <v>4759</v>
      </c>
      <c r="V743" s="233">
        <v>45610</v>
      </c>
      <c r="W743" s="233">
        <v>45614</v>
      </c>
      <c r="X743" s="234" t="s">
        <v>4771</v>
      </c>
      <c r="Y743" s="234"/>
      <c r="Z743" s="234" t="s">
        <v>4687</v>
      </c>
      <c r="AA743" s="243">
        <v>202411</v>
      </c>
      <c r="AB743" s="243"/>
      <c r="AC743" s="244" t="s">
        <v>4800</v>
      </c>
      <c r="AD743" s="244" t="s">
        <v>4862</v>
      </c>
      <c r="AE743" s="245">
        <v>1</v>
      </c>
      <c r="AF743" s="244" t="s">
        <v>4862</v>
      </c>
      <c r="AG743" s="239" t="str">
        <f>IFERROR(VLOOKUP(작성용!A:A,RM!A:D,4,0),"-")</f>
        <v>강승현</v>
      </c>
      <c r="AH743" s="9" t="s">
        <v>4860</v>
      </c>
      <c r="AI743" s="235" t="s">
        <v>4771</v>
      </c>
      <c r="AJ743" s="235" t="s">
        <v>4920</v>
      </c>
      <c r="AK743" s="235" t="s">
        <v>4777</v>
      </c>
      <c r="AL743" s="235">
        <v>742</v>
      </c>
    </row>
    <row r="744" spans="1:38" x14ac:dyDescent="0.3">
      <c r="A744" s="229" t="s">
        <v>4685</v>
      </c>
      <c r="B744" s="229" t="s">
        <v>4686</v>
      </c>
      <c r="C744" s="241" t="s">
        <v>4778</v>
      </c>
      <c r="D744" s="237" t="s">
        <v>4861</v>
      </c>
      <c r="E744" s="236">
        <v>1101114625385</v>
      </c>
      <c r="F744" s="240" t="s">
        <v>4854</v>
      </c>
      <c r="G744" s="214">
        <v>0</v>
      </c>
      <c r="H744" s="231" t="s">
        <v>4771</v>
      </c>
      <c r="I744" s="231"/>
      <c r="J744" s="231"/>
      <c r="K744" s="231"/>
      <c r="L744" s="231"/>
      <c r="M744" s="231"/>
      <c r="N744" s="231" t="s">
        <v>4895</v>
      </c>
      <c r="O744" s="246"/>
      <c r="P744" s="246"/>
      <c r="Q744" s="225"/>
      <c r="R744" s="212" t="s">
        <v>2</v>
      </c>
      <c r="S744" s="213" t="s">
        <v>4771</v>
      </c>
      <c r="T744" s="233">
        <v>45582</v>
      </c>
      <c r="U744" s="234" t="s">
        <v>4759</v>
      </c>
      <c r="V744" s="233">
        <v>45610</v>
      </c>
      <c r="W744" s="233">
        <v>45614</v>
      </c>
      <c r="X744" s="234" t="s">
        <v>4771</v>
      </c>
      <c r="Y744" s="234"/>
      <c r="Z744" s="234" t="s">
        <v>4687</v>
      </c>
      <c r="AA744" s="243">
        <v>202411</v>
      </c>
      <c r="AB744" s="243"/>
      <c r="AC744" s="244" t="s">
        <v>4800</v>
      </c>
      <c r="AD744" s="244" t="s">
        <v>4862</v>
      </c>
      <c r="AE744" s="245">
        <v>0</v>
      </c>
      <c r="AF744" s="244" t="s">
        <v>4862</v>
      </c>
      <c r="AG744" s="239" t="str">
        <f>IFERROR(VLOOKUP(작성용!A:A,RM!A:D,4,0),"-")</f>
        <v>강승현</v>
      </c>
      <c r="AH744" s="9" t="s">
        <v>4860</v>
      </c>
      <c r="AI744" s="235" t="s">
        <v>4771</v>
      </c>
      <c r="AJ744" s="235" t="s">
        <v>4920</v>
      </c>
      <c r="AK744" s="235" t="s">
        <v>4777</v>
      </c>
      <c r="AL744" s="235">
        <v>743</v>
      </c>
    </row>
    <row r="745" spans="1:38" x14ac:dyDescent="0.3">
      <c r="A745" s="229" t="s">
        <v>4685</v>
      </c>
      <c r="B745" s="229" t="s">
        <v>4686</v>
      </c>
      <c r="C745" s="241" t="s">
        <v>4778</v>
      </c>
      <c r="D745" s="237" t="s">
        <v>5703</v>
      </c>
      <c r="E745" s="236">
        <v>1101117825247</v>
      </c>
      <c r="F745" s="240" t="s">
        <v>4850</v>
      </c>
      <c r="G745" s="214">
        <v>0</v>
      </c>
      <c r="H745" s="231" t="s">
        <v>4771</v>
      </c>
      <c r="I745" s="231"/>
      <c r="J745" s="231"/>
      <c r="K745" s="231"/>
      <c r="L745" s="231"/>
      <c r="M745" s="231"/>
      <c r="N745" s="231" t="s">
        <v>4895</v>
      </c>
      <c r="O745" s="246"/>
      <c r="P745" s="246"/>
      <c r="Q745" s="225"/>
      <c r="R745" s="212" t="s">
        <v>2</v>
      </c>
      <c r="S745" s="213" t="s">
        <v>4771</v>
      </c>
      <c r="T745" s="233">
        <v>45582</v>
      </c>
      <c r="U745" s="234" t="s">
        <v>4759</v>
      </c>
      <c r="V745" s="233">
        <v>45610</v>
      </c>
      <c r="W745" s="233">
        <v>45614</v>
      </c>
      <c r="X745" s="234" t="s">
        <v>4771</v>
      </c>
      <c r="Y745" s="234"/>
      <c r="Z745" s="234" t="s">
        <v>4687</v>
      </c>
      <c r="AA745" s="243">
        <v>202411</v>
      </c>
      <c r="AB745" s="243"/>
      <c r="AC745" s="244" t="s">
        <v>4800</v>
      </c>
      <c r="AD745" s="244" t="s">
        <v>4858</v>
      </c>
      <c r="AE745" s="245">
        <v>1</v>
      </c>
      <c r="AF745" s="244" t="s">
        <v>4858</v>
      </c>
      <c r="AG745" s="239" t="str">
        <f>IFERROR(VLOOKUP(작성용!A:A,RM!A:D,4,0),"-")</f>
        <v>강승현</v>
      </c>
      <c r="AH745" s="9" t="s">
        <v>4860</v>
      </c>
      <c r="AI745" s="235" t="s">
        <v>4771</v>
      </c>
      <c r="AJ745" s="235" t="s">
        <v>4920</v>
      </c>
      <c r="AK745" s="235" t="s">
        <v>4777</v>
      </c>
      <c r="AL745" s="235">
        <v>744</v>
      </c>
    </row>
    <row r="746" spans="1:38" x14ac:dyDescent="0.3">
      <c r="A746" s="229" t="s">
        <v>4685</v>
      </c>
      <c r="B746" s="229" t="s">
        <v>4686</v>
      </c>
      <c r="C746" s="241" t="s">
        <v>4778</v>
      </c>
      <c r="D746" s="237" t="s">
        <v>5704</v>
      </c>
      <c r="E746" s="236">
        <v>2001110591838</v>
      </c>
      <c r="F746" s="240" t="s">
        <v>4850</v>
      </c>
      <c r="G746" s="214">
        <v>0</v>
      </c>
      <c r="H746" s="231" t="s">
        <v>4771</v>
      </c>
      <c r="I746" s="231"/>
      <c r="J746" s="231"/>
      <c r="K746" s="231"/>
      <c r="L746" s="231"/>
      <c r="M746" s="231"/>
      <c r="N746" s="231" t="s">
        <v>4895</v>
      </c>
      <c r="O746" s="246"/>
      <c r="P746" s="246"/>
      <c r="Q746" s="225"/>
      <c r="R746" s="212" t="s">
        <v>2</v>
      </c>
      <c r="S746" s="213" t="s">
        <v>4771</v>
      </c>
      <c r="T746" s="233">
        <v>45582</v>
      </c>
      <c r="U746" s="234" t="s">
        <v>4759</v>
      </c>
      <c r="V746" s="233">
        <v>45610</v>
      </c>
      <c r="W746" s="233">
        <v>45614</v>
      </c>
      <c r="X746" s="234" t="s">
        <v>4771</v>
      </c>
      <c r="Y746" s="234"/>
      <c r="Z746" s="234" t="s">
        <v>4687</v>
      </c>
      <c r="AA746" s="243">
        <v>202411</v>
      </c>
      <c r="AB746" s="243"/>
      <c r="AC746" s="244" t="s">
        <v>4800</v>
      </c>
      <c r="AD746" s="244" t="s">
        <v>4982</v>
      </c>
      <c r="AE746" s="245">
        <v>1</v>
      </c>
      <c r="AF746" s="244" t="s">
        <v>4982</v>
      </c>
      <c r="AG746" s="239" t="str">
        <f>IFERROR(VLOOKUP(작성용!A:A,RM!A:D,4,0),"-")</f>
        <v>강승현</v>
      </c>
      <c r="AH746" s="9" t="s">
        <v>4860</v>
      </c>
      <c r="AI746" s="235" t="s">
        <v>4771</v>
      </c>
      <c r="AJ746" s="235" t="s">
        <v>4920</v>
      </c>
      <c r="AK746" s="235" t="s">
        <v>4777</v>
      </c>
      <c r="AL746" s="235">
        <v>745</v>
      </c>
    </row>
    <row r="747" spans="1:38" x14ac:dyDescent="0.3">
      <c r="A747" s="229" t="s">
        <v>4685</v>
      </c>
      <c r="B747" s="229" t="s">
        <v>4686</v>
      </c>
      <c r="C747" s="241" t="s">
        <v>4778</v>
      </c>
      <c r="D747" s="237" t="s">
        <v>5705</v>
      </c>
      <c r="E747" s="236">
        <v>1101117289956</v>
      </c>
      <c r="F747" s="240" t="s">
        <v>4850</v>
      </c>
      <c r="G747" s="214">
        <v>0</v>
      </c>
      <c r="H747" s="231" t="s">
        <v>4771</v>
      </c>
      <c r="I747" s="231"/>
      <c r="J747" s="231"/>
      <c r="K747" s="231"/>
      <c r="L747" s="231"/>
      <c r="M747" s="231"/>
      <c r="N747" s="231" t="s">
        <v>4895</v>
      </c>
      <c r="O747" s="246"/>
      <c r="P747" s="246"/>
      <c r="Q747" s="225"/>
      <c r="R747" s="212" t="s">
        <v>2</v>
      </c>
      <c r="S747" s="213" t="s">
        <v>4771</v>
      </c>
      <c r="T747" s="233">
        <v>45582</v>
      </c>
      <c r="U747" s="234" t="s">
        <v>4759</v>
      </c>
      <c r="V747" s="233">
        <v>45610</v>
      </c>
      <c r="W747" s="233">
        <v>45614</v>
      </c>
      <c r="X747" s="234" t="s">
        <v>4771</v>
      </c>
      <c r="Y747" s="234"/>
      <c r="Z747" s="234" t="s">
        <v>4687</v>
      </c>
      <c r="AA747" s="243">
        <v>202411</v>
      </c>
      <c r="AB747" s="243"/>
      <c r="AC747" s="244" t="s">
        <v>4800</v>
      </c>
      <c r="AD747" s="244" t="s">
        <v>4858</v>
      </c>
      <c r="AE747" s="245">
        <v>1</v>
      </c>
      <c r="AF747" s="244" t="s">
        <v>4858</v>
      </c>
      <c r="AG747" s="239" t="str">
        <f>IFERROR(VLOOKUP(작성용!A:A,RM!A:D,4,0),"-")</f>
        <v>강승현</v>
      </c>
      <c r="AH747" s="9" t="s">
        <v>4860</v>
      </c>
      <c r="AI747" s="235" t="s">
        <v>4771</v>
      </c>
      <c r="AJ747" s="235" t="s">
        <v>4920</v>
      </c>
      <c r="AK747" s="235" t="s">
        <v>4777</v>
      </c>
      <c r="AL747" s="235">
        <v>746</v>
      </c>
    </row>
    <row r="748" spans="1:38" x14ac:dyDescent="0.3">
      <c r="A748" s="229" t="s">
        <v>4685</v>
      </c>
      <c r="B748" s="229" t="s">
        <v>4686</v>
      </c>
      <c r="C748" s="241" t="s">
        <v>4778</v>
      </c>
      <c r="D748" s="237" t="s">
        <v>5706</v>
      </c>
      <c r="E748" s="236">
        <v>1101116370087</v>
      </c>
      <c r="F748" s="240" t="s">
        <v>4850</v>
      </c>
      <c r="G748" s="214">
        <v>2</v>
      </c>
      <c r="H748" s="231" t="s">
        <v>4771</v>
      </c>
      <c r="I748" s="231"/>
      <c r="J748" s="231"/>
      <c r="K748" s="231"/>
      <c r="L748" s="231"/>
      <c r="M748" s="231"/>
      <c r="N748" s="231" t="s">
        <v>4895</v>
      </c>
      <c r="O748" s="246"/>
      <c r="P748" s="246"/>
      <c r="Q748" s="225"/>
      <c r="R748" s="212" t="s">
        <v>2</v>
      </c>
      <c r="S748" s="213" t="s">
        <v>4771</v>
      </c>
      <c r="T748" s="233">
        <v>45582</v>
      </c>
      <c r="U748" s="234" t="s">
        <v>4759</v>
      </c>
      <c r="V748" s="233">
        <v>45610</v>
      </c>
      <c r="W748" s="233">
        <v>45614</v>
      </c>
      <c r="X748" s="234" t="s">
        <v>4771</v>
      </c>
      <c r="Y748" s="234"/>
      <c r="Z748" s="234" t="s">
        <v>4687</v>
      </c>
      <c r="AA748" s="243">
        <v>202411</v>
      </c>
      <c r="AB748" s="243"/>
      <c r="AC748" s="244" t="s">
        <v>4800</v>
      </c>
      <c r="AD748" s="228" t="s">
        <v>3645</v>
      </c>
      <c r="AE748" s="245">
        <v>1</v>
      </c>
      <c r="AF748" s="228" t="s">
        <v>3645</v>
      </c>
      <c r="AG748" s="239" t="str">
        <f>IFERROR(VLOOKUP(작성용!A:A,RM!A:D,4,0),"-")</f>
        <v>강승현</v>
      </c>
      <c r="AH748" s="9" t="s">
        <v>4860</v>
      </c>
      <c r="AI748" s="235" t="s">
        <v>4771</v>
      </c>
      <c r="AJ748" s="235" t="s">
        <v>4920</v>
      </c>
      <c r="AK748" s="235" t="s">
        <v>4777</v>
      </c>
      <c r="AL748" s="235">
        <v>747</v>
      </c>
    </row>
    <row r="749" spans="1:38" x14ac:dyDescent="0.3">
      <c r="A749" s="229" t="s">
        <v>4685</v>
      </c>
      <c r="B749" s="229" t="s">
        <v>4686</v>
      </c>
      <c r="C749" s="241" t="s">
        <v>4778</v>
      </c>
      <c r="D749" s="237" t="s">
        <v>5706</v>
      </c>
      <c r="E749" s="236">
        <v>1101116370087</v>
      </c>
      <c r="F749" s="240" t="s">
        <v>4854</v>
      </c>
      <c r="G749" s="214">
        <v>0</v>
      </c>
      <c r="H749" s="231" t="s">
        <v>4771</v>
      </c>
      <c r="I749" s="231"/>
      <c r="J749" s="231"/>
      <c r="K749" s="231"/>
      <c r="L749" s="231"/>
      <c r="M749" s="231"/>
      <c r="N749" s="231" t="s">
        <v>4895</v>
      </c>
      <c r="O749" s="246"/>
      <c r="P749" s="246"/>
      <c r="Q749" s="225"/>
      <c r="R749" s="212" t="s">
        <v>2</v>
      </c>
      <c r="S749" s="213" t="s">
        <v>4771</v>
      </c>
      <c r="T749" s="233">
        <v>45582</v>
      </c>
      <c r="U749" s="234" t="s">
        <v>4759</v>
      </c>
      <c r="V749" s="233">
        <v>45610</v>
      </c>
      <c r="W749" s="233">
        <v>45614</v>
      </c>
      <c r="X749" s="234" t="s">
        <v>4771</v>
      </c>
      <c r="Y749" s="234"/>
      <c r="Z749" s="234" t="s">
        <v>4687</v>
      </c>
      <c r="AA749" s="243">
        <v>202411</v>
      </c>
      <c r="AB749" s="243"/>
      <c r="AC749" s="244" t="s">
        <v>4800</v>
      </c>
      <c r="AD749" s="228" t="s">
        <v>3645</v>
      </c>
      <c r="AE749" s="245">
        <v>0</v>
      </c>
      <c r="AF749" s="228" t="s">
        <v>3645</v>
      </c>
      <c r="AG749" s="239" t="str">
        <f>IFERROR(VLOOKUP(작성용!A:A,RM!A:D,4,0),"-")</f>
        <v>강승현</v>
      </c>
      <c r="AH749" s="9" t="s">
        <v>4860</v>
      </c>
      <c r="AI749" s="235" t="s">
        <v>4771</v>
      </c>
      <c r="AJ749" s="235" t="s">
        <v>4920</v>
      </c>
      <c r="AK749" s="235" t="s">
        <v>4777</v>
      </c>
      <c r="AL749" s="235">
        <v>748</v>
      </c>
    </row>
    <row r="750" spans="1:38" x14ac:dyDescent="0.3">
      <c r="A750" s="229" t="s">
        <v>4685</v>
      </c>
      <c r="B750" s="229" t="s">
        <v>4686</v>
      </c>
      <c r="C750" s="241" t="s">
        <v>4778</v>
      </c>
      <c r="D750" s="237" t="s">
        <v>5368</v>
      </c>
      <c r="E750" s="236">
        <v>1101115004918</v>
      </c>
      <c r="F750" s="240" t="s">
        <v>4850</v>
      </c>
      <c r="G750" s="214">
        <v>2</v>
      </c>
      <c r="H750" s="231" t="s">
        <v>4771</v>
      </c>
      <c r="I750" s="231"/>
      <c r="J750" s="231"/>
      <c r="K750" s="231"/>
      <c r="L750" s="231"/>
      <c r="M750" s="231"/>
      <c r="N750" s="231" t="s">
        <v>4895</v>
      </c>
      <c r="O750" s="246"/>
      <c r="P750" s="246"/>
      <c r="Q750" s="225"/>
      <c r="R750" s="212" t="s">
        <v>2</v>
      </c>
      <c r="S750" s="213" t="s">
        <v>4771</v>
      </c>
      <c r="T750" s="233">
        <v>45582</v>
      </c>
      <c r="U750" s="234" t="s">
        <v>4759</v>
      </c>
      <c r="V750" s="233">
        <v>45610</v>
      </c>
      <c r="W750" s="233">
        <v>45614</v>
      </c>
      <c r="X750" s="234" t="s">
        <v>4771</v>
      </c>
      <c r="Y750" s="234"/>
      <c r="Z750" s="234" t="s">
        <v>4687</v>
      </c>
      <c r="AA750" s="243">
        <v>202411</v>
      </c>
      <c r="AB750" s="243"/>
      <c r="AC750" s="244" t="s">
        <v>4800</v>
      </c>
      <c r="AD750" s="244" t="s">
        <v>4862</v>
      </c>
      <c r="AE750" s="245">
        <v>0</v>
      </c>
      <c r="AF750" s="244" t="s">
        <v>4862</v>
      </c>
      <c r="AG750" s="239" t="str">
        <f>IFERROR(VLOOKUP(작성용!A:A,RM!A:D,4,0),"-")</f>
        <v>강승현</v>
      </c>
      <c r="AH750" s="9" t="s">
        <v>4860</v>
      </c>
      <c r="AI750" s="235" t="s">
        <v>4771</v>
      </c>
      <c r="AJ750" s="235" t="s">
        <v>4920</v>
      </c>
      <c r="AK750" s="235" t="s">
        <v>4777</v>
      </c>
      <c r="AL750" s="235">
        <v>749</v>
      </c>
    </row>
    <row r="751" spans="1:38" x14ac:dyDescent="0.3">
      <c r="A751" s="229" t="s">
        <v>4685</v>
      </c>
      <c r="B751" s="229" t="s">
        <v>4686</v>
      </c>
      <c r="C751" s="241" t="s">
        <v>4778</v>
      </c>
      <c r="D751" s="237" t="s">
        <v>5707</v>
      </c>
      <c r="E751" s="236">
        <v>1348110364951</v>
      </c>
      <c r="F751" s="240" t="s">
        <v>4850</v>
      </c>
      <c r="G751" s="214">
        <v>0</v>
      </c>
      <c r="H751" s="231" t="s">
        <v>4771</v>
      </c>
      <c r="I751" s="231"/>
      <c r="J751" s="231"/>
      <c r="K751" s="231"/>
      <c r="L751" s="231"/>
      <c r="M751" s="231"/>
      <c r="N751" s="231" t="s">
        <v>4895</v>
      </c>
      <c r="O751" s="246"/>
      <c r="P751" s="246"/>
      <c r="Q751" s="225"/>
      <c r="R751" s="212" t="s">
        <v>2</v>
      </c>
      <c r="S751" s="213" t="s">
        <v>4771</v>
      </c>
      <c r="T751" s="233">
        <v>45582</v>
      </c>
      <c r="U751" s="234" t="s">
        <v>4759</v>
      </c>
      <c r="V751" s="233">
        <v>45610</v>
      </c>
      <c r="W751" s="233">
        <v>45614</v>
      </c>
      <c r="X751" s="234" t="s">
        <v>4771</v>
      </c>
      <c r="Y751" s="234"/>
      <c r="Z751" s="234" t="s">
        <v>4687</v>
      </c>
      <c r="AA751" s="243">
        <v>202411</v>
      </c>
      <c r="AB751" s="243"/>
      <c r="AC751" s="244" t="s">
        <v>4800</v>
      </c>
      <c r="AD751" s="244" t="s">
        <v>4937</v>
      </c>
      <c r="AE751" s="245">
        <v>1</v>
      </c>
      <c r="AF751" s="244" t="s">
        <v>4937</v>
      </c>
      <c r="AG751" s="239" t="str">
        <f>IFERROR(VLOOKUP(작성용!A:A,RM!A:D,4,0),"-")</f>
        <v>강승현</v>
      </c>
      <c r="AH751" s="9" t="s">
        <v>4860</v>
      </c>
      <c r="AI751" s="235" t="s">
        <v>4771</v>
      </c>
      <c r="AJ751" s="235" t="s">
        <v>4920</v>
      </c>
      <c r="AK751" s="235" t="s">
        <v>4777</v>
      </c>
      <c r="AL751" s="235">
        <v>750</v>
      </c>
    </row>
    <row r="752" spans="1:38" x14ac:dyDescent="0.3">
      <c r="A752" s="229" t="s">
        <v>4685</v>
      </c>
      <c r="B752" s="229" t="s">
        <v>4686</v>
      </c>
      <c r="C752" s="241" t="s">
        <v>4778</v>
      </c>
      <c r="D752" s="237" t="s">
        <v>5708</v>
      </c>
      <c r="E752" s="236">
        <v>1314110475618</v>
      </c>
      <c r="F752" s="240" t="s">
        <v>4850</v>
      </c>
      <c r="G752" s="214">
        <v>0</v>
      </c>
      <c r="H752" s="231" t="s">
        <v>4771</v>
      </c>
      <c r="I752" s="231"/>
      <c r="J752" s="231"/>
      <c r="K752" s="231"/>
      <c r="L752" s="231"/>
      <c r="M752" s="231"/>
      <c r="N752" s="231" t="s">
        <v>4895</v>
      </c>
      <c r="O752" s="246"/>
      <c r="P752" s="246"/>
      <c r="Q752" s="225"/>
      <c r="R752" s="212" t="s">
        <v>2</v>
      </c>
      <c r="S752" s="213" t="s">
        <v>4771</v>
      </c>
      <c r="T752" s="233">
        <v>45582</v>
      </c>
      <c r="U752" s="234" t="s">
        <v>4759</v>
      </c>
      <c r="V752" s="233">
        <v>45610</v>
      </c>
      <c r="W752" s="233">
        <v>45614</v>
      </c>
      <c r="X752" s="234" t="s">
        <v>4771</v>
      </c>
      <c r="Y752" s="234"/>
      <c r="Z752" s="234" t="s">
        <v>4687</v>
      </c>
      <c r="AA752" s="243">
        <v>202411</v>
      </c>
      <c r="AB752" s="243"/>
      <c r="AC752" s="244" t="s">
        <v>4800</v>
      </c>
      <c r="AD752" s="244" t="s">
        <v>4909</v>
      </c>
      <c r="AE752" s="245">
        <v>1</v>
      </c>
      <c r="AF752" s="244" t="s">
        <v>4909</v>
      </c>
      <c r="AG752" s="239" t="str">
        <f>IFERROR(VLOOKUP(작성용!A:A,RM!A:D,4,0),"-")</f>
        <v>강승현</v>
      </c>
      <c r="AH752" s="9" t="s">
        <v>4860</v>
      </c>
      <c r="AI752" s="235" t="s">
        <v>4771</v>
      </c>
      <c r="AJ752" s="235" t="s">
        <v>4920</v>
      </c>
      <c r="AK752" s="235" t="s">
        <v>4777</v>
      </c>
      <c r="AL752" s="235">
        <v>751</v>
      </c>
    </row>
    <row r="753" spans="1:38" x14ac:dyDescent="0.3">
      <c r="A753" s="229" t="s">
        <v>4685</v>
      </c>
      <c r="B753" s="229" t="s">
        <v>4686</v>
      </c>
      <c r="C753" s="241" t="s">
        <v>4778</v>
      </c>
      <c r="D753" s="237" t="s">
        <v>5708</v>
      </c>
      <c r="E753" s="236">
        <v>1314110475618</v>
      </c>
      <c r="F753" s="240" t="s">
        <v>4850</v>
      </c>
      <c r="G753" s="214">
        <v>1</v>
      </c>
      <c r="H753" s="231" t="s">
        <v>4771</v>
      </c>
      <c r="I753" s="231"/>
      <c r="J753" s="231"/>
      <c r="K753" s="231"/>
      <c r="L753" s="231"/>
      <c r="M753" s="231"/>
      <c r="N753" s="231" t="s">
        <v>4895</v>
      </c>
      <c r="O753" s="246"/>
      <c r="P753" s="246"/>
      <c r="Q753" s="225"/>
      <c r="R753" s="212" t="s">
        <v>2</v>
      </c>
      <c r="S753" s="213" t="s">
        <v>4771</v>
      </c>
      <c r="T753" s="233">
        <v>45582</v>
      </c>
      <c r="U753" s="234" t="s">
        <v>4759</v>
      </c>
      <c r="V753" s="233">
        <v>45610</v>
      </c>
      <c r="W753" s="233">
        <v>45614</v>
      </c>
      <c r="X753" s="234" t="s">
        <v>4771</v>
      </c>
      <c r="Y753" s="234"/>
      <c r="Z753" s="234" t="s">
        <v>4687</v>
      </c>
      <c r="AA753" s="243">
        <v>202411</v>
      </c>
      <c r="AB753" s="243"/>
      <c r="AC753" s="244" t="s">
        <v>4800</v>
      </c>
      <c r="AD753" s="244" t="s">
        <v>4909</v>
      </c>
      <c r="AE753" s="245">
        <v>0</v>
      </c>
      <c r="AF753" s="244" t="s">
        <v>4909</v>
      </c>
      <c r="AG753" s="239" t="str">
        <f>IFERROR(VLOOKUP(작성용!A:A,RM!A:D,4,0),"-")</f>
        <v>강승현</v>
      </c>
      <c r="AH753" s="9" t="s">
        <v>4860</v>
      </c>
      <c r="AI753" s="235" t="s">
        <v>4771</v>
      </c>
      <c r="AJ753" s="235" t="s">
        <v>4920</v>
      </c>
      <c r="AK753" s="235" t="s">
        <v>4777</v>
      </c>
      <c r="AL753" s="235">
        <v>752</v>
      </c>
    </row>
    <row r="754" spans="1:38" x14ac:dyDescent="0.3">
      <c r="A754" s="229" t="s">
        <v>4685</v>
      </c>
      <c r="B754" s="229" t="s">
        <v>4686</v>
      </c>
      <c r="C754" s="241" t="s">
        <v>4778</v>
      </c>
      <c r="D754" s="237" t="s">
        <v>5473</v>
      </c>
      <c r="E754" s="236">
        <v>1101115845221</v>
      </c>
      <c r="F754" s="240" t="s">
        <v>4850</v>
      </c>
      <c r="G754" s="214">
        <v>0</v>
      </c>
      <c r="H754" s="231" t="s">
        <v>4771</v>
      </c>
      <c r="I754" s="231"/>
      <c r="J754" s="231"/>
      <c r="K754" s="231"/>
      <c r="L754" s="231"/>
      <c r="M754" s="231"/>
      <c r="N754" s="231" t="s">
        <v>4895</v>
      </c>
      <c r="O754" s="246"/>
      <c r="P754" s="246"/>
      <c r="Q754" s="225"/>
      <c r="R754" s="212" t="s">
        <v>2</v>
      </c>
      <c r="S754" s="213" t="s">
        <v>4771</v>
      </c>
      <c r="T754" s="233">
        <v>45582</v>
      </c>
      <c r="U754" s="234" t="s">
        <v>4759</v>
      </c>
      <c r="V754" s="233">
        <v>45610</v>
      </c>
      <c r="W754" s="233">
        <v>45614</v>
      </c>
      <c r="X754" s="234" t="s">
        <v>4771</v>
      </c>
      <c r="Y754" s="234"/>
      <c r="Z754" s="234" t="s">
        <v>4687</v>
      </c>
      <c r="AA754" s="243">
        <v>202411</v>
      </c>
      <c r="AB754" s="243"/>
      <c r="AC754" s="244" t="s">
        <v>4800</v>
      </c>
      <c r="AD754" s="244" t="s">
        <v>4927</v>
      </c>
      <c r="AE754" s="245">
        <v>1</v>
      </c>
      <c r="AF754" s="244" t="s">
        <v>4927</v>
      </c>
      <c r="AG754" s="239" t="str">
        <f>IFERROR(VLOOKUP(작성용!A:A,RM!A:D,4,0),"-")</f>
        <v>강승현</v>
      </c>
      <c r="AH754" s="9" t="s">
        <v>4860</v>
      </c>
      <c r="AI754" s="235" t="s">
        <v>4771</v>
      </c>
      <c r="AJ754" s="235" t="s">
        <v>4920</v>
      </c>
      <c r="AK754" s="235" t="s">
        <v>4777</v>
      </c>
      <c r="AL754" s="235">
        <v>753</v>
      </c>
    </row>
    <row r="755" spans="1:38" x14ac:dyDescent="0.3">
      <c r="A755" s="229" t="s">
        <v>4685</v>
      </c>
      <c r="B755" s="229" t="s">
        <v>4686</v>
      </c>
      <c r="C755" s="241" t="s">
        <v>4778</v>
      </c>
      <c r="D755" s="237" t="s">
        <v>5709</v>
      </c>
      <c r="E755" s="236">
        <v>1201110854639</v>
      </c>
      <c r="F755" s="240" t="s">
        <v>4850</v>
      </c>
      <c r="G755" s="214">
        <v>1</v>
      </c>
      <c r="H755" s="231" t="s">
        <v>4771</v>
      </c>
      <c r="I755" s="231"/>
      <c r="J755" s="231"/>
      <c r="K755" s="231"/>
      <c r="L755" s="231"/>
      <c r="M755" s="231"/>
      <c r="N755" s="231" t="s">
        <v>4895</v>
      </c>
      <c r="O755" s="246"/>
      <c r="P755" s="246"/>
      <c r="Q755" s="225"/>
      <c r="R755" s="212" t="s">
        <v>2</v>
      </c>
      <c r="S755" s="213" t="s">
        <v>4771</v>
      </c>
      <c r="T755" s="233">
        <v>45582</v>
      </c>
      <c r="U755" s="234" t="s">
        <v>4759</v>
      </c>
      <c r="V755" s="233">
        <v>45610</v>
      </c>
      <c r="W755" s="233">
        <v>45614</v>
      </c>
      <c r="X755" s="234" t="s">
        <v>4771</v>
      </c>
      <c r="Y755" s="234"/>
      <c r="Z755" s="234" t="s">
        <v>4687</v>
      </c>
      <c r="AA755" s="243">
        <v>202411</v>
      </c>
      <c r="AB755" s="243"/>
      <c r="AC755" s="244" t="s">
        <v>4800</v>
      </c>
      <c r="AD755" s="244" t="s">
        <v>4933</v>
      </c>
      <c r="AE755" s="245">
        <v>1</v>
      </c>
      <c r="AF755" s="244" t="s">
        <v>4933</v>
      </c>
      <c r="AG755" s="239" t="str">
        <f>IFERROR(VLOOKUP(작성용!A:A,RM!A:D,4,0),"-")</f>
        <v>강승현</v>
      </c>
      <c r="AH755" s="9" t="s">
        <v>4860</v>
      </c>
      <c r="AI755" s="235" t="s">
        <v>4771</v>
      </c>
      <c r="AJ755" s="235" t="s">
        <v>4920</v>
      </c>
      <c r="AK755" s="235" t="s">
        <v>4777</v>
      </c>
      <c r="AL755" s="235">
        <v>754</v>
      </c>
    </row>
    <row r="756" spans="1:38" x14ac:dyDescent="0.3">
      <c r="A756" s="229" t="s">
        <v>4685</v>
      </c>
      <c r="B756" s="229" t="s">
        <v>4686</v>
      </c>
      <c r="C756" s="241" t="s">
        <v>4778</v>
      </c>
      <c r="D756" s="237" t="s">
        <v>5710</v>
      </c>
      <c r="E756" s="236">
        <v>1717110143641</v>
      </c>
      <c r="F756" s="240" t="s">
        <v>4850</v>
      </c>
      <c r="G756" s="214">
        <v>0</v>
      </c>
      <c r="H756" s="231" t="s">
        <v>4771</v>
      </c>
      <c r="I756" s="231"/>
      <c r="J756" s="231"/>
      <c r="K756" s="231"/>
      <c r="L756" s="231"/>
      <c r="M756" s="231"/>
      <c r="N756" s="231" t="s">
        <v>4895</v>
      </c>
      <c r="O756" s="246"/>
      <c r="P756" s="246"/>
      <c r="Q756" s="225"/>
      <c r="R756" s="212" t="s">
        <v>2</v>
      </c>
      <c r="S756" s="213" t="s">
        <v>4771</v>
      </c>
      <c r="T756" s="233">
        <v>45582</v>
      </c>
      <c r="U756" s="234" t="s">
        <v>4759</v>
      </c>
      <c r="V756" s="233">
        <v>45610</v>
      </c>
      <c r="W756" s="233">
        <v>45614</v>
      </c>
      <c r="X756" s="234" t="s">
        <v>4771</v>
      </c>
      <c r="Y756" s="234"/>
      <c r="Z756" s="234" t="s">
        <v>4687</v>
      </c>
      <c r="AA756" s="243">
        <v>202411</v>
      </c>
      <c r="AB756" s="243"/>
      <c r="AC756" s="244" t="s">
        <v>4800</v>
      </c>
      <c r="AD756" s="244" t="s">
        <v>4900</v>
      </c>
      <c r="AE756" s="245">
        <v>1</v>
      </c>
      <c r="AF756" s="244" t="s">
        <v>4900</v>
      </c>
      <c r="AG756" s="239" t="str">
        <f>IFERROR(VLOOKUP(작성용!A:A,RM!A:D,4,0),"-")</f>
        <v>강승현</v>
      </c>
      <c r="AH756" s="9" t="s">
        <v>4860</v>
      </c>
      <c r="AI756" s="235" t="s">
        <v>4771</v>
      </c>
      <c r="AJ756" s="235" t="s">
        <v>4920</v>
      </c>
      <c r="AK756" s="235" t="s">
        <v>4777</v>
      </c>
      <c r="AL756" s="235">
        <v>755</v>
      </c>
    </row>
    <row r="757" spans="1:38" x14ac:dyDescent="0.3">
      <c r="A757" s="229" t="s">
        <v>4685</v>
      </c>
      <c r="B757" s="229" t="s">
        <v>4686</v>
      </c>
      <c r="C757" s="241" t="s">
        <v>4778</v>
      </c>
      <c r="D757" s="237" t="s">
        <v>5711</v>
      </c>
      <c r="E757" s="236">
        <v>1748110114621</v>
      </c>
      <c r="F757" s="240" t="s">
        <v>4850</v>
      </c>
      <c r="G757" s="214">
        <v>0</v>
      </c>
      <c r="H757" s="231" t="s">
        <v>4771</v>
      </c>
      <c r="I757" s="231"/>
      <c r="J757" s="231"/>
      <c r="K757" s="231"/>
      <c r="L757" s="231"/>
      <c r="M757" s="231"/>
      <c r="N757" s="231" t="s">
        <v>4895</v>
      </c>
      <c r="O757" s="246"/>
      <c r="P757" s="246"/>
      <c r="Q757" s="225"/>
      <c r="R757" s="212" t="s">
        <v>2</v>
      </c>
      <c r="S757" s="213" t="s">
        <v>4771</v>
      </c>
      <c r="T757" s="233">
        <v>45582</v>
      </c>
      <c r="U757" s="234" t="s">
        <v>4759</v>
      </c>
      <c r="V757" s="233">
        <v>45610</v>
      </c>
      <c r="W757" s="233">
        <v>45614</v>
      </c>
      <c r="X757" s="234" t="s">
        <v>4771</v>
      </c>
      <c r="Y757" s="234"/>
      <c r="Z757" s="234" t="s">
        <v>4687</v>
      </c>
      <c r="AA757" s="243">
        <v>202411</v>
      </c>
      <c r="AB757" s="243"/>
      <c r="AC757" s="244" t="s">
        <v>4800</v>
      </c>
      <c r="AD757" s="244" t="s">
        <v>4987</v>
      </c>
      <c r="AE757" s="245">
        <v>1</v>
      </c>
      <c r="AF757" s="244" t="s">
        <v>4987</v>
      </c>
      <c r="AG757" s="239" t="str">
        <f>IFERROR(VLOOKUP(작성용!A:A,RM!A:D,4,0),"-")</f>
        <v>강승현</v>
      </c>
      <c r="AH757" s="9" t="s">
        <v>4860</v>
      </c>
      <c r="AI757" s="235" t="s">
        <v>4771</v>
      </c>
      <c r="AJ757" s="235" t="s">
        <v>4920</v>
      </c>
      <c r="AK757" s="235" t="s">
        <v>4777</v>
      </c>
      <c r="AL757" s="235">
        <v>756</v>
      </c>
    </row>
    <row r="758" spans="1:38" x14ac:dyDescent="0.3">
      <c r="A758" s="229" t="s">
        <v>4685</v>
      </c>
      <c r="B758" s="229" t="s">
        <v>4686</v>
      </c>
      <c r="C758" s="241" t="s">
        <v>4778</v>
      </c>
      <c r="D758" s="237" t="s">
        <v>5712</v>
      </c>
      <c r="E758" s="236">
        <v>1101116571007</v>
      </c>
      <c r="F758" s="240" t="s">
        <v>4850</v>
      </c>
      <c r="G758" s="214">
        <v>0</v>
      </c>
      <c r="H758" s="231" t="s">
        <v>4771</v>
      </c>
      <c r="I758" s="231"/>
      <c r="J758" s="231"/>
      <c r="K758" s="231"/>
      <c r="L758" s="231"/>
      <c r="M758" s="231"/>
      <c r="N758" s="231" t="s">
        <v>4895</v>
      </c>
      <c r="O758" s="246"/>
      <c r="P758" s="246"/>
      <c r="Q758" s="225"/>
      <c r="R758" s="212" t="s">
        <v>2</v>
      </c>
      <c r="S758" s="213" t="s">
        <v>4771</v>
      </c>
      <c r="T758" s="233">
        <v>45582</v>
      </c>
      <c r="U758" s="234" t="s">
        <v>4759</v>
      </c>
      <c r="V758" s="233">
        <v>45610</v>
      </c>
      <c r="W758" s="233">
        <v>45614</v>
      </c>
      <c r="X758" s="234" t="s">
        <v>4771</v>
      </c>
      <c r="Y758" s="234"/>
      <c r="Z758" s="234" t="s">
        <v>4687</v>
      </c>
      <c r="AA758" s="243">
        <v>202411</v>
      </c>
      <c r="AB758" s="243"/>
      <c r="AC758" s="244" t="s">
        <v>4800</v>
      </c>
      <c r="AD758" s="244" t="s">
        <v>4927</v>
      </c>
      <c r="AE758" s="245">
        <v>1</v>
      </c>
      <c r="AF758" s="244" t="s">
        <v>4927</v>
      </c>
      <c r="AG758" s="239" t="str">
        <f>IFERROR(VLOOKUP(작성용!A:A,RM!A:D,4,0),"-")</f>
        <v>강승현</v>
      </c>
      <c r="AH758" s="9" t="s">
        <v>4860</v>
      </c>
      <c r="AI758" s="235" t="s">
        <v>4771</v>
      </c>
      <c r="AJ758" s="235" t="s">
        <v>4920</v>
      </c>
      <c r="AK758" s="235" t="s">
        <v>4777</v>
      </c>
      <c r="AL758" s="235">
        <v>757</v>
      </c>
    </row>
    <row r="759" spans="1:38" x14ac:dyDescent="0.3">
      <c r="A759" s="229" t="s">
        <v>4685</v>
      </c>
      <c r="B759" s="229" t="s">
        <v>4686</v>
      </c>
      <c r="C759" s="241" t="s">
        <v>4778</v>
      </c>
      <c r="D759" s="237" t="s">
        <v>5713</v>
      </c>
      <c r="E759" s="236">
        <v>1311110652527</v>
      </c>
      <c r="F759" s="240" t="s">
        <v>4850</v>
      </c>
      <c r="G759" s="214">
        <v>0</v>
      </c>
      <c r="H759" s="231" t="s">
        <v>4771</v>
      </c>
      <c r="I759" s="231"/>
      <c r="J759" s="231"/>
      <c r="K759" s="231"/>
      <c r="L759" s="231"/>
      <c r="M759" s="231"/>
      <c r="N759" s="231" t="s">
        <v>4895</v>
      </c>
      <c r="O759" s="246"/>
      <c r="P759" s="246"/>
      <c r="Q759" s="225"/>
      <c r="R759" s="212" t="s">
        <v>2</v>
      </c>
      <c r="S759" s="213" t="s">
        <v>4771</v>
      </c>
      <c r="T759" s="233">
        <v>45582</v>
      </c>
      <c r="U759" s="234" t="s">
        <v>4759</v>
      </c>
      <c r="V759" s="233">
        <v>45610</v>
      </c>
      <c r="W759" s="233">
        <v>45614</v>
      </c>
      <c r="X759" s="234" t="s">
        <v>4771</v>
      </c>
      <c r="Y759" s="234"/>
      <c r="Z759" s="234" t="s">
        <v>4687</v>
      </c>
      <c r="AA759" s="243">
        <v>202411</v>
      </c>
      <c r="AB759" s="243"/>
      <c r="AC759" s="244" t="s">
        <v>4800</v>
      </c>
      <c r="AD759" s="244" t="s">
        <v>4823</v>
      </c>
      <c r="AE759" s="245">
        <v>1</v>
      </c>
      <c r="AF759" s="244" t="s">
        <v>4860</v>
      </c>
      <c r="AG759" s="239" t="str">
        <f>IFERROR(VLOOKUP(작성용!A:A,RM!A:D,4,0),"-")</f>
        <v>강승현</v>
      </c>
      <c r="AH759" s="9" t="s">
        <v>4860</v>
      </c>
      <c r="AI759" s="235" t="s">
        <v>4771</v>
      </c>
      <c r="AJ759" s="235" t="s">
        <v>4920</v>
      </c>
      <c r="AK759" s="235" t="s">
        <v>4777</v>
      </c>
      <c r="AL759" s="235">
        <v>758</v>
      </c>
    </row>
    <row r="760" spans="1:38" x14ac:dyDescent="0.3">
      <c r="A760" s="229" t="s">
        <v>4685</v>
      </c>
      <c r="B760" s="229" t="s">
        <v>4686</v>
      </c>
      <c r="C760" s="241" t="s">
        <v>4778</v>
      </c>
      <c r="D760" s="237" t="s">
        <v>5714</v>
      </c>
      <c r="E760" s="236">
        <v>1101116227022</v>
      </c>
      <c r="F760" s="240" t="s">
        <v>4850</v>
      </c>
      <c r="G760" s="214">
        <v>0</v>
      </c>
      <c r="H760" s="231" t="s">
        <v>4771</v>
      </c>
      <c r="I760" s="231"/>
      <c r="J760" s="231"/>
      <c r="K760" s="231"/>
      <c r="L760" s="231"/>
      <c r="M760" s="231"/>
      <c r="N760" s="231" t="s">
        <v>4895</v>
      </c>
      <c r="O760" s="246"/>
      <c r="P760" s="246"/>
      <c r="Q760" s="225"/>
      <c r="R760" s="212" t="s">
        <v>2</v>
      </c>
      <c r="S760" s="213" t="s">
        <v>4771</v>
      </c>
      <c r="T760" s="233">
        <v>45582</v>
      </c>
      <c r="U760" s="234" t="s">
        <v>4759</v>
      </c>
      <c r="V760" s="233">
        <v>45610</v>
      </c>
      <c r="W760" s="233">
        <v>45614</v>
      </c>
      <c r="X760" s="234" t="s">
        <v>4771</v>
      </c>
      <c r="Y760" s="234"/>
      <c r="Z760" s="234" t="s">
        <v>4687</v>
      </c>
      <c r="AA760" s="243">
        <v>202411</v>
      </c>
      <c r="AB760" s="243"/>
      <c r="AC760" s="244" t="s">
        <v>4800</v>
      </c>
      <c r="AD760" s="228" t="s">
        <v>4947</v>
      </c>
      <c r="AE760" s="245">
        <v>1</v>
      </c>
      <c r="AF760" s="228" t="s">
        <v>4947</v>
      </c>
      <c r="AG760" s="239" t="str">
        <f>IFERROR(VLOOKUP(작성용!A:A,RM!A:D,4,0),"-")</f>
        <v>강승현</v>
      </c>
      <c r="AH760" s="9" t="s">
        <v>4860</v>
      </c>
      <c r="AI760" s="235" t="s">
        <v>4771</v>
      </c>
      <c r="AJ760" s="235" t="s">
        <v>4920</v>
      </c>
      <c r="AK760" s="235" t="s">
        <v>4777</v>
      </c>
      <c r="AL760" s="235">
        <v>759</v>
      </c>
    </row>
    <row r="761" spans="1:38" x14ac:dyDescent="0.3">
      <c r="A761" s="229" t="s">
        <v>4685</v>
      </c>
      <c r="B761" s="229" t="s">
        <v>4686</v>
      </c>
      <c r="C761" s="241" t="s">
        <v>4778</v>
      </c>
      <c r="D761" s="237" t="s">
        <v>5715</v>
      </c>
      <c r="E761" s="236">
        <v>1101116239407</v>
      </c>
      <c r="F761" s="240" t="s">
        <v>4850</v>
      </c>
      <c r="G761" s="214">
        <v>0</v>
      </c>
      <c r="H761" s="231" t="s">
        <v>4771</v>
      </c>
      <c r="I761" s="231"/>
      <c r="J761" s="231"/>
      <c r="K761" s="231"/>
      <c r="L761" s="231"/>
      <c r="M761" s="231"/>
      <c r="N761" s="231" t="s">
        <v>4895</v>
      </c>
      <c r="O761" s="246"/>
      <c r="P761" s="246"/>
      <c r="Q761" s="225"/>
      <c r="R761" s="212" t="s">
        <v>2</v>
      </c>
      <c r="S761" s="213" t="s">
        <v>4771</v>
      </c>
      <c r="T761" s="233">
        <v>45582</v>
      </c>
      <c r="U761" s="234" t="s">
        <v>4759</v>
      </c>
      <c r="V761" s="233">
        <v>45610</v>
      </c>
      <c r="W761" s="233">
        <v>45614</v>
      </c>
      <c r="X761" s="234" t="s">
        <v>4771</v>
      </c>
      <c r="Y761" s="234"/>
      <c r="Z761" s="234" t="s">
        <v>4687</v>
      </c>
      <c r="AA761" s="243">
        <v>202411</v>
      </c>
      <c r="AB761" s="243"/>
      <c r="AC761" s="244" t="s">
        <v>4800</v>
      </c>
      <c r="AD761" s="244" t="s">
        <v>4982</v>
      </c>
      <c r="AE761" s="245">
        <v>1</v>
      </c>
      <c r="AF761" s="244" t="s">
        <v>4982</v>
      </c>
      <c r="AG761" s="239" t="str">
        <f>IFERROR(VLOOKUP(작성용!A:A,RM!A:D,4,0),"-")</f>
        <v>강승현</v>
      </c>
      <c r="AH761" s="9" t="s">
        <v>4860</v>
      </c>
      <c r="AI761" s="235" t="s">
        <v>4771</v>
      </c>
      <c r="AJ761" s="235" t="s">
        <v>4920</v>
      </c>
      <c r="AK761" s="235" t="s">
        <v>4777</v>
      </c>
      <c r="AL761" s="235">
        <v>760</v>
      </c>
    </row>
    <row r="762" spans="1:38" x14ac:dyDescent="0.3">
      <c r="A762" s="229" t="s">
        <v>4685</v>
      </c>
      <c r="B762" s="229" t="s">
        <v>4686</v>
      </c>
      <c r="C762" s="241" t="s">
        <v>4778</v>
      </c>
      <c r="D762" s="237" t="s">
        <v>5715</v>
      </c>
      <c r="E762" s="236">
        <v>1101116239407</v>
      </c>
      <c r="F762" s="240" t="s">
        <v>4850</v>
      </c>
      <c r="G762" s="214">
        <v>1</v>
      </c>
      <c r="H762" s="231" t="s">
        <v>4771</v>
      </c>
      <c r="I762" s="231"/>
      <c r="J762" s="231"/>
      <c r="K762" s="231"/>
      <c r="L762" s="231"/>
      <c r="M762" s="231"/>
      <c r="N762" s="231" t="s">
        <v>4895</v>
      </c>
      <c r="O762" s="246"/>
      <c r="P762" s="246"/>
      <c r="Q762" s="225"/>
      <c r="R762" s="212" t="s">
        <v>2</v>
      </c>
      <c r="S762" s="213" t="s">
        <v>4771</v>
      </c>
      <c r="T762" s="233">
        <v>45582</v>
      </c>
      <c r="U762" s="234" t="s">
        <v>4759</v>
      </c>
      <c r="V762" s="233">
        <v>45610</v>
      </c>
      <c r="W762" s="233">
        <v>45614</v>
      </c>
      <c r="X762" s="234" t="s">
        <v>4771</v>
      </c>
      <c r="Y762" s="234"/>
      <c r="Z762" s="234" t="s">
        <v>4687</v>
      </c>
      <c r="AA762" s="243">
        <v>202411</v>
      </c>
      <c r="AB762" s="243"/>
      <c r="AC762" s="244" t="s">
        <v>4800</v>
      </c>
      <c r="AD762" s="244" t="s">
        <v>4982</v>
      </c>
      <c r="AE762" s="245">
        <v>0</v>
      </c>
      <c r="AF762" s="244" t="s">
        <v>4982</v>
      </c>
      <c r="AG762" s="239" t="str">
        <f>IFERROR(VLOOKUP(작성용!A:A,RM!A:D,4,0),"-")</f>
        <v>강승현</v>
      </c>
      <c r="AH762" s="9" t="s">
        <v>4860</v>
      </c>
      <c r="AI762" s="235" t="s">
        <v>4771</v>
      </c>
      <c r="AJ762" s="235" t="s">
        <v>4920</v>
      </c>
      <c r="AK762" s="235" t="s">
        <v>4777</v>
      </c>
      <c r="AL762" s="235">
        <v>761</v>
      </c>
    </row>
    <row r="763" spans="1:38" x14ac:dyDescent="0.3">
      <c r="A763" s="229" t="s">
        <v>4685</v>
      </c>
      <c r="B763" s="229" t="s">
        <v>4686</v>
      </c>
      <c r="C763" s="241" t="s">
        <v>4778</v>
      </c>
      <c r="D763" s="237" t="s">
        <v>5715</v>
      </c>
      <c r="E763" s="236">
        <v>1101116239407</v>
      </c>
      <c r="F763" s="240" t="s">
        <v>4850</v>
      </c>
      <c r="G763" s="214">
        <v>2</v>
      </c>
      <c r="H763" s="231" t="s">
        <v>4771</v>
      </c>
      <c r="I763" s="231"/>
      <c r="J763" s="231"/>
      <c r="K763" s="231"/>
      <c r="L763" s="231"/>
      <c r="M763" s="231"/>
      <c r="N763" s="231" t="s">
        <v>4895</v>
      </c>
      <c r="O763" s="246"/>
      <c r="P763" s="246"/>
      <c r="Q763" s="225"/>
      <c r="R763" s="212" t="s">
        <v>2</v>
      </c>
      <c r="S763" s="213" t="s">
        <v>4771</v>
      </c>
      <c r="T763" s="233">
        <v>45582</v>
      </c>
      <c r="U763" s="234" t="s">
        <v>4759</v>
      </c>
      <c r="V763" s="233">
        <v>45610</v>
      </c>
      <c r="W763" s="233">
        <v>45614</v>
      </c>
      <c r="X763" s="234" t="s">
        <v>4771</v>
      </c>
      <c r="Y763" s="234"/>
      <c r="Z763" s="234" t="s">
        <v>4687</v>
      </c>
      <c r="AA763" s="243">
        <v>202411</v>
      </c>
      <c r="AB763" s="243"/>
      <c r="AC763" s="244" t="s">
        <v>4800</v>
      </c>
      <c r="AD763" s="244" t="s">
        <v>4982</v>
      </c>
      <c r="AE763" s="245">
        <v>0</v>
      </c>
      <c r="AF763" s="244" t="s">
        <v>4982</v>
      </c>
      <c r="AG763" s="239" t="str">
        <f>IFERROR(VLOOKUP(작성용!A:A,RM!A:D,4,0),"-")</f>
        <v>강승현</v>
      </c>
      <c r="AH763" s="9" t="s">
        <v>4860</v>
      </c>
      <c r="AI763" s="235" t="s">
        <v>4771</v>
      </c>
      <c r="AJ763" s="235" t="s">
        <v>4920</v>
      </c>
      <c r="AK763" s="235" t="s">
        <v>4777</v>
      </c>
      <c r="AL763" s="235">
        <v>762</v>
      </c>
    </row>
    <row r="764" spans="1:38" x14ac:dyDescent="0.3">
      <c r="A764" s="229" t="s">
        <v>4685</v>
      </c>
      <c r="B764" s="229" t="s">
        <v>4686</v>
      </c>
      <c r="C764" s="241" t="s">
        <v>4778</v>
      </c>
      <c r="D764" s="237" t="s">
        <v>5716</v>
      </c>
      <c r="E764" s="236">
        <v>1345110431912</v>
      </c>
      <c r="F764" s="240" t="s">
        <v>4850</v>
      </c>
      <c r="G764" s="214">
        <v>0</v>
      </c>
      <c r="H764" s="231" t="s">
        <v>4771</v>
      </c>
      <c r="I764" s="231"/>
      <c r="J764" s="231"/>
      <c r="K764" s="231"/>
      <c r="L764" s="231"/>
      <c r="M764" s="231"/>
      <c r="N764" s="231" t="s">
        <v>4895</v>
      </c>
      <c r="O764" s="246"/>
      <c r="P764" s="246"/>
      <c r="Q764" s="225"/>
      <c r="R764" s="212" t="s">
        <v>2</v>
      </c>
      <c r="S764" s="213" t="s">
        <v>4771</v>
      </c>
      <c r="T764" s="233">
        <v>45582</v>
      </c>
      <c r="U764" s="234" t="s">
        <v>4759</v>
      </c>
      <c r="V764" s="233">
        <v>45610</v>
      </c>
      <c r="W764" s="233">
        <v>45614</v>
      </c>
      <c r="X764" s="234" t="s">
        <v>4771</v>
      </c>
      <c r="Y764" s="234"/>
      <c r="Z764" s="234" t="s">
        <v>4687</v>
      </c>
      <c r="AA764" s="243">
        <v>202411</v>
      </c>
      <c r="AB764" s="243"/>
      <c r="AC764" s="244" t="s">
        <v>4800</v>
      </c>
      <c r="AD764" s="244" t="s">
        <v>4935</v>
      </c>
      <c r="AE764" s="245">
        <v>1</v>
      </c>
      <c r="AF764" s="244" t="s">
        <v>4935</v>
      </c>
      <c r="AG764" s="239" t="str">
        <f>IFERROR(VLOOKUP(작성용!A:A,RM!A:D,4,0),"-")</f>
        <v>강승현</v>
      </c>
      <c r="AH764" s="9" t="s">
        <v>4860</v>
      </c>
      <c r="AI764" s="235" t="s">
        <v>4771</v>
      </c>
      <c r="AJ764" s="235" t="s">
        <v>4920</v>
      </c>
      <c r="AK764" s="235" t="s">
        <v>4777</v>
      </c>
      <c r="AL764" s="235">
        <v>763</v>
      </c>
    </row>
    <row r="765" spans="1:38" x14ac:dyDescent="0.3">
      <c r="A765" s="229" t="s">
        <v>4685</v>
      </c>
      <c r="B765" s="229" t="s">
        <v>4686</v>
      </c>
      <c r="C765" s="241" t="s">
        <v>4778</v>
      </c>
      <c r="D765" s="237" t="s">
        <v>5717</v>
      </c>
      <c r="E765" s="236">
        <v>1201110607690</v>
      </c>
      <c r="F765" s="240" t="s">
        <v>4850</v>
      </c>
      <c r="G765" s="214">
        <v>1</v>
      </c>
      <c r="H765" s="231" t="s">
        <v>4771</v>
      </c>
      <c r="I765" s="231"/>
      <c r="J765" s="231"/>
      <c r="K765" s="231"/>
      <c r="L765" s="231"/>
      <c r="M765" s="231"/>
      <c r="N765" s="231" t="s">
        <v>4895</v>
      </c>
      <c r="O765" s="246"/>
      <c r="P765" s="246"/>
      <c r="Q765" s="225"/>
      <c r="R765" s="212" t="s">
        <v>2</v>
      </c>
      <c r="S765" s="213" t="s">
        <v>4771</v>
      </c>
      <c r="T765" s="233">
        <v>45582</v>
      </c>
      <c r="U765" s="234" t="s">
        <v>4759</v>
      </c>
      <c r="V765" s="233">
        <v>45610</v>
      </c>
      <c r="W765" s="233">
        <v>45614</v>
      </c>
      <c r="X765" s="234" t="s">
        <v>4771</v>
      </c>
      <c r="Y765" s="234"/>
      <c r="Z765" s="234" t="s">
        <v>4687</v>
      </c>
      <c r="AA765" s="243">
        <v>202411</v>
      </c>
      <c r="AB765" s="243"/>
      <c r="AC765" s="244" t="s">
        <v>4800</v>
      </c>
      <c r="AD765" s="244" t="s">
        <v>4856</v>
      </c>
      <c r="AE765" s="245">
        <v>1</v>
      </c>
      <c r="AF765" s="244" t="s">
        <v>4856</v>
      </c>
      <c r="AG765" s="239" t="str">
        <f>IFERROR(VLOOKUP(작성용!A:A,RM!A:D,4,0),"-")</f>
        <v>강승현</v>
      </c>
      <c r="AH765" s="9" t="s">
        <v>4860</v>
      </c>
      <c r="AI765" s="235" t="s">
        <v>4771</v>
      </c>
      <c r="AJ765" s="235" t="s">
        <v>4920</v>
      </c>
      <c r="AK765" s="235" t="s">
        <v>4777</v>
      </c>
      <c r="AL765" s="235">
        <v>764</v>
      </c>
    </row>
    <row r="766" spans="1:38" x14ac:dyDescent="0.3">
      <c r="A766" s="229" t="s">
        <v>4685</v>
      </c>
      <c r="B766" s="229" t="s">
        <v>4686</v>
      </c>
      <c r="C766" s="241" t="s">
        <v>4778</v>
      </c>
      <c r="D766" s="237" t="s">
        <v>5717</v>
      </c>
      <c r="E766" s="236">
        <v>1201110607690</v>
      </c>
      <c r="F766" s="240" t="s">
        <v>4850</v>
      </c>
      <c r="G766" s="214">
        <v>2</v>
      </c>
      <c r="H766" s="231" t="s">
        <v>4771</v>
      </c>
      <c r="I766" s="231"/>
      <c r="J766" s="231"/>
      <c r="K766" s="231"/>
      <c r="L766" s="231"/>
      <c r="M766" s="231"/>
      <c r="N766" s="231" t="s">
        <v>4895</v>
      </c>
      <c r="O766" s="246"/>
      <c r="P766" s="246"/>
      <c r="Q766" s="225"/>
      <c r="R766" s="212" t="s">
        <v>2</v>
      </c>
      <c r="S766" s="213" t="s">
        <v>4771</v>
      </c>
      <c r="T766" s="233">
        <v>45582</v>
      </c>
      <c r="U766" s="234" t="s">
        <v>4759</v>
      </c>
      <c r="V766" s="233">
        <v>45610</v>
      </c>
      <c r="W766" s="233">
        <v>45614</v>
      </c>
      <c r="X766" s="234" t="s">
        <v>4771</v>
      </c>
      <c r="Y766" s="234"/>
      <c r="Z766" s="234" t="s">
        <v>4687</v>
      </c>
      <c r="AA766" s="243">
        <v>202411</v>
      </c>
      <c r="AB766" s="243"/>
      <c r="AC766" s="244" t="s">
        <v>4800</v>
      </c>
      <c r="AD766" s="244" t="s">
        <v>4856</v>
      </c>
      <c r="AE766" s="245">
        <v>0</v>
      </c>
      <c r="AF766" s="244" t="s">
        <v>4856</v>
      </c>
      <c r="AG766" s="239" t="str">
        <f>IFERROR(VLOOKUP(작성용!A:A,RM!A:D,4,0),"-")</f>
        <v>강승현</v>
      </c>
      <c r="AH766" s="9" t="s">
        <v>4860</v>
      </c>
      <c r="AI766" s="235" t="s">
        <v>4771</v>
      </c>
      <c r="AJ766" s="235" t="s">
        <v>4920</v>
      </c>
      <c r="AK766" s="235" t="s">
        <v>4777</v>
      </c>
      <c r="AL766" s="235">
        <v>765</v>
      </c>
    </row>
    <row r="767" spans="1:38" x14ac:dyDescent="0.3">
      <c r="A767" s="229" t="s">
        <v>4685</v>
      </c>
      <c r="B767" s="229" t="s">
        <v>4686</v>
      </c>
      <c r="C767" s="241" t="s">
        <v>4778</v>
      </c>
      <c r="D767" s="237" t="s">
        <v>5718</v>
      </c>
      <c r="E767" s="236">
        <v>1101116873750</v>
      </c>
      <c r="F767" s="240" t="s">
        <v>4850</v>
      </c>
      <c r="G767" s="214">
        <v>0</v>
      </c>
      <c r="H767" s="231" t="s">
        <v>4771</v>
      </c>
      <c r="I767" s="231"/>
      <c r="J767" s="231"/>
      <c r="K767" s="231"/>
      <c r="L767" s="231"/>
      <c r="M767" s="231"/>
      <c r="N767" s="231" t="s">
        <v>4895</v>
      </c>
      <c r="O767" s="246"/>
      <c r="P767" s="246"/>
      <c r="Q767" s="225"/>
      <c r="R767" s="212" t="s">
        <v>2</v>
      </c>
      <c r="S767" s="213" t="s">
        <v>4771</v>
      </c>
      <c r="T767" s="233">
        <v>45582</v>
      </c>
      <c r="U767" s="234" t="s">
        <v>4759</v>
      </c>
      <c r="V767" s="233">
        <v>45610</v>
      </c>
      <c r="W767" s="233">
        <v>45614</v>
      </c>
      <c r="X767" s="234" t="s">
        <v>4771</v>
      </c>
      <c r="Y767" s="234"/>
      <c r="Z767" s="234" t="s">
        <v>4687</v>
      </c>
      <c r="AA767" s="243">
        <v>202411</v>
      </c>
      <c r="AB767" s="243"/>
      <c r="AC767" s="244" t="s">
        <v>4800</v>
      </c>
      <c r="AD767" s="244" t="s">
        <v>4945</v>
      </c>
      <c r="AE767" s="245">
        <v>1</v>
      </c>
      <c r="AF767" s="244" t="s">
        <v>4945</v>
      </c>
      <c r="AG767" s="239" t="str">
        <f>IFERROR(VLOOKUP(작성용!A:A,RM!A:D,4,0),"-")</f>
        <v>강승현</v>
      </c>
      <c r="AH767" s="9" t="s">
        <v>4860</v>
      </c>
      <c r="AI767" s="235" t="s">
        <v>4771</v>
      </c>
      <c r="AJ767" s="235" t="s">
        <v>4920</v>
      </c>
      <c r="AK767" s="235" t="s">
        <v>4777</v>
      </c>
      <c r="AL767" s="235">
        <v>766</v>
      </c>
    </row>
    <row r="768" spans="1:38" x14ac:dyDescent="0.3">
      <c r="A768" s="229" t="s">
        <v>4685</v>
      </c>
      <c r="B768" s="229" t="s">
        <v>4686</v>
      </c>
      <c r="C768" s="241" t="s">
        <v>4778</v>
      </c>
      <c r="D768" s="237" t="s">
        <v>5719</v>
      </c>
      <c r="E768" s="236">
        <v>1101115890680</v>
      </c>
      <c r="F768" s="240" t="s">
        <v>4850</v>
      </c>
      <c r="G768" s="214">
        <v>0</v>
      </c>
      <c r="H768" s="231" t="s">
        <v>4771</v>
      </c>
      <c r="I768" s="231"/>
      <c r="J768" s="231"/>
      <c r="K768" s="231"/>
      <c r="L768" s="231"/>
      <c r="M768" s="231"/>
      <c r="N768" s="231" t="s">
        <v>4895</v>
      </c>
      <c r="O768" s="246"/>
      <c r="P768" s="246"/>
      <c r="Q768" s="225"/>
      <c r="R768" s="212" t="s">
        <v>2</v>
      </c>
      <c r="S768" s="213" t="s">
        <v>4771</v>
      </c>
      <c r="T768" s="233">
        <v>45582</v>
      </c>
      <c r="U768" s="234" t="s">
        <v>4759</v>
      </c>
      <c r="V768" s="233">
        <v>45610</v>
      </c>
      <c r="W768" s="233">
        <v>45614</v>
      </c>
      <c r="X768" s="234" t="s">
        <v>4771</v>
      </c>
      <c r="Y768" s="234"/>
      <c r="Z768" s="234" t="s">
        <v>4687</v>
      </c>
      <c r="AA768" s="243">
        <v>202411</v>
      </c>
      <c r="AB768" s="243"/>
      <c r="AC768" s="244" t="s">
        <v>4800</v>
      </c>
      <c r="AD768" s="244" t="s">
        <v>4761</v>
      </c>
      <c r="AE768" s="245">
        <v>1</v>
      </c>
      <c r="AF768" s="244" t="s">
        <v>4761</v>
      </c>
      <c r="AG768" s="239" t="str">
        <f>IFERROR(VLOOKUP(작성용!A:A,RM!A:D,4,0),"-")</f>
        <v>강승현</v>
      </c>
      <c r="AH768" s="9" t="s">
        <v>4860</v>
      </c>
      <c r="AI768" s="235" t="s">
        <v>4771</v>
      </c>
      <c r="AJ768" s="235" t="s">
        <v>4920</v>
      </c>
      <c r="AK768" s="235" t="s">
        <v>4777</v>
      </c>
      <c r="AL768" s="235">
        <v>767</v>
      </c>
    </row>
    <row r="769" spans="1:38" x14ac:dyDescent="0.3">
      <c r="A769" s="229" t="s">
        <v>4685</v>
      </c>
      <c r="B769" s="229" t="s">
        <v>4686</v>
      </c>
      <c r="C769" s="241" t="s">
        <v>4778</v>
      </c>
      <c r="D769" s="237" t="s">
        <v>5720</v>
      </c>
      <c r="E769" s="236">
        <v>1101118707626</v>
      </c>
      <c r="F769" s="240" t="s">
        <v>4850</v>
      </c>
      <c r="G769" s="214">
        <v>0</v>
      </c>
      <c r="H769" s="231" t="s">
        <v>4771</v>
      </c>
      <c r="I769" s="231"/>
      <c r="J769" s="231"/>
      <c r="K769" s="231"/>
      <c r="L769" s="231"/>
      <c r="M769" s="231"/>
      <c r="N769" s="231" t="s">
        <v>4895</v>
      </c>
      <c r="O769" s="246"/>
      <c r="P769" s="246"/>
      <c r="Q769" s="225"/>
      <c r="R769" s="212" t="s">
        <v>2</v>
      </c>
      <c r="S769" s="213" t="s">
        <v>4771</v>
      </c>
      <c r="T769" s="233">
        <v>45582</v>
      </c>
      <c r="U769" s="234" t="s">
        <v>4759</v>
      </c>
      <c r="V769" s="233">
        <v>45610</v>
      </c>
      <c r="W769" s="233">
        <v>45614</v>
      </c>
      <c r="X769" s="234" t="s">
        <v>4771</v>
      </c>
      <c r="Y769" s="234"/>
      <c r="Z769" s="234" t="s">
        <v>4687</v>
      </c>
      <c r="AA769" s="243">
        <v>202411</v>
      </c>
      <c r="AB769" s="243"/>
      <c r="AC769" s="244" t="s">
        <v>4800</v>
      </c>
      <c r="AD769" s="244" t="s">
        <v>4911</v>
      </c>
      <c r="AE769" s="245">
        <v>1</v>
      </c>
      <c r="AF769" s="244" t="s">
        <v>4911</v>
      </c>
      <c r="AG769" s="239" t="str">
        <f>IFERROR(VLOOKUP(작성용!A:A,RM!A:D,4,0),"-")</f>
        <v>강승현</v>
      </c>
      <c r="AH769" s="9" t="s">
        <v>4860</v>
      </c>
      <c r="AI769" s="235" t="s">
        <v>4771</v>
      </c>
      <c r="AJ769" s="235" t="s">
        <v>4920</v>
      </c>
      <c r="AK769" s="235" t="s">
        <v>4777</v>
      </c>
      <c r="AL769" s="235">
        <v>768</v>
      </c>
    </row>
    <row r="770" spans="1:38" x14ac:dyDescent="0.3">
      <c r="A770" s="229" t="s">
        <v>4685</v>
      </c>
      <c r="B770" s="229" t="s">
        <v>4686</v>
      </c>
      <c r="C770" s="241" t="s">
        <v>4778</v>
      </c>
      <c r="D770" s="237" t="s">
        <v>5319</v>
      </c>
      <c r="E770" s="236">
        <v>1101117478088</v>
      </c>
      <c r="F770" s="240" t="s">
        <v>4850</v>
      </c>
      <c r="G770" s="214">
        <v>0</v>
      </c>
      <c r="H770" s="231" t="s">
        <v>4771</v>
      </c>
      <c r="I770" s="231"/>
      <c r="J770" s="231"/>
      <c r="K770" s="231"/>
      <c r="L770" s="231"/>
      <c r="M770" s="231"/>
      <c r="N770" s="231" t="s">
        <v>4895</v>
      </c>
      <c r="O770" s="246"/>
      <c r="P770" s="246"/>
      <c r="Q770" s="225"/>
      <c r="R770" s="212" t="s">
        <v>2</v>
      </c>
      <c r="S770" s="213" t="s">
        <v>4771</v>
      </c>
      <c r="T770" s="233">
        <v>45582</v>
      </c>
      <c r="U770" s="234" t="s">
        <v>4759</v>
      </c>
      <c r="V770" s="233">
        <v>45610</v>
      </c>
      <c r="W770" s="233">
        <v>45614</v>
      </c>
      <c r="X770" s="234" t="s">
        <v>4771</v>
      </c>
      <c r="Y770" s="234"/>
      <c r="Z770" s="234" t="s">
        <v>4687</v>
      </c>
      <c r="AA770" s="243">
        <v>202411</v>
      </c>
      <c r="AB770" s="243"/>
      <c r="AC770" s="244" t="s">
        <v>4800</v>
      </c>
      <c r="AD770" s="244" t="s">
        <v>4947</v>
      </c>
      <c r="AE770" s="245">
        <v>0</v>
      </c>
      <c r="AF770" s="244" t="s">
        <v>4947</v>
      </c>
      <c r="AG770" s="239" t="str">
        <f>IFERROR(VLOOKUP(작성용!A:A,RM!A:D,4,0),"-")</f>
        <v>강승현</v>
      </c>
      <c r="AH770" s="9" t="s">
        <v>4860</v>
      </c>
      <c r="AI770" s="235" t="s">
        <v>4771</v>
      </c>
      <c r="AJ770" s="235" t="s">
        <v>4920</v>
      </c>
      <c r="AK770" s="235" t="s">
        <v>4777</v>
      </c>
      <c r="AL770" s="235">
        <v>769</v>
      </c>
    </row>
    <row r="771" spans="1:38" x14ac:dyDescent="0.3">
      <c r="A771" s="229" t="s">
        <v>4685</v>
      </c>
      <c r="B771" s="229" t="s">
        <v>4686</v>
      </c>
      <c r="C771" s="241" t="s">
        <v>4778</v>
      </c>
      <c r="D771" s="237" t="s">
        <v>5721</v>
      </c>
      <c r="E771" s="236">
        <v>1101116213683</v>
      </c>
      <c r="F771" s="240" t="s">
        <v>4850</v>
      </c>
      <c r="G771" s="214">
        <v>1</v>
      </c>
      <c r="H771" s="231" t="s">
        <v>4771</v>
      </c>
      <c r="I771" s="231"/>
      <c r="J771" s="231"/>
      <c r="K771" s="231"/>
      <c r="L771" s="231"/>
      <c r="M771" s="231"/>
      <c r="N771" s="231" t="s">
        <v>4895</v>
      </c>
      <c r="O771" s="246"/>
      <c r="P771" s="246"/>
      <c r="Q771" s="225"/>
      <c r="R771" s="212" t="s">
        <v>2</v>
      </c>
      <c r="S771" s="213" t="s">
        <v>4771</v>
      </c>
      <c r="T771" s="233">
        <v>45582</v>
      </c>
      <c r="U771" s="234" t="s">
        <v>4759</v>
      </c>
      <c r="V771" s="233">
        <v>45610</v>
      </c>
      <c r="W771" s="233">
        <v>45614</v>
      </c>
      <c r="X771" s="234" t="s">
        <v>4771</v>
      </c>
      <c r="Y771" s="234"/>
      <c r="Z771" s="234" t="s">
        <v>4687</v>
      </c>
      <c r="AA771" s="243">
        <v>202411</v>
      </c>
      <c r="AB771" s="243"/>
      <c r="AC771" s="244" t="s">
        <v>4800</v>
      </c>
      <c r="AD771" s="244" t="s">
        <v>4897</v>
      </c>
      <c r="AE771" s="245">
        <v>1</v>
      </c>
      <c r="AF771" s="244" t="s">
        <v>4897</v>
      </c>
      <c r="AG771" s="239" t="str">
        <f>IFERROR(VLOOKUP(작성용!A:A,RM!A:D,4,0),"-")</f>
        <v>강승현</v>
      </c>
      <c r="AH771" s="9" t="s">
        <v>4860</v>
      </c>
      <c r="AI771" s="235" t="s">
        <v>4771</v>
      </c>
      <c r="AJ771" s="235" t="s">
        <v>4920</v>
      </c>
      <c r="AK771" s="235" t="s">
        <v>4777</v>
      </c>
      <c r="AL771" s="235">
        <v>770</v>
      </c>
    </row>
    <row r="772" spans="1:38" x14ac:dyDescent="0.3">
      <c r="A772" s="229" t="s">
        <v>4685</v>
      </c>
      <c r="B772" s="229" t="s">
        <v>4686</v>
      </c>
      <c r="C772" s="241" t="s">
        <v>4778</v>
      </c>
      <c r="D772" s="237" t="s">
        <v>5722</v>
      </c>
      <c r="E772" s="236">
        <v>1101117754511</v>
      </c>
      <c r="F772" s="240" t="s">
        <v>4894</v>
      </c>
      <c r="G772" s="214">
        <v>0</v>
      </c>
      <c r="H772" s="231" t="s">
        <v>4771</v>
      </c>
      <c r="I772" s="231"/>
      <c r="J772" s="231"/>
      <c r="K772" s="231"/>
      <c r="L772" s="231"/>
      <c r="M772" s="231"/>
      <c r="N772" s="231" t="s">
        <v>4895</v>
      </c>
      <c r="O772" s="246"/>
      <c r="P772" s="246"/>
      <c r="Q772" s="225"/>
      <c r="R772" s="212" t="s">
        <v>2</v>
      </c>
      <c r="S772" s="213" t="s">
        <v>4771</v>
      </c>
      <c r="T772" s="233">
        <v>45582</v>
      </c>
      <c r="U772" s="234" t="s">
        <v>4759</v>
      </c>
      <c r="V772" s="233">
        <v>45610</v>
      </c>
      <c r="W772" s="233">
        <v>45614</v>
      </c>
      <c r="X772" s="234" t="s">
        <v>4771</v>
      </c>
      <c r="Y772" s="234"/>
      <c r="Z772" s="234" t="s">
        <v>4687</v>
      </c>
      <c r="AA772" s="243">
        <v>202411</v>
      </c>
      <c r="AB772" s="243"/>
      <c r="AC772" s="244" t="s">
        <v>4800</v>
      </c>
      <c r="AD772" s="228" t="s">
        <v>4536</v>
      </c>
      <c r="AE772" s="245">
        <v>1</v>
      </c>
      <c r="AF772" s="228" t="s">
        <v>4536</v>
      </c>
      <c r="AG772" s="239" t="str">
        <f>IFERROR(VLOOKUP(작성용!A:A,RM!A:D,4,0),"-")</f>
        <v>강승현</v>
      </c>
      <c r="AH772" s="9" t="s">
        <v>4860</v>
      </c>
      <c r="AI772" s="235" t="s">
        <v>4771</v>
      </c>
      <c r="AJ772" s="235" t="s">
        <v>4920</v>
      </c>
      <c r="AK772" s="235" t="s">
        <v>4777</v>
      </c>
      <c r="AL772" s="235">
        <v>771</v>
      </c>
    </row>
    <row r="773" spans="1:38" x14ac:dyDescent="0.3">
      <c r="A773" s="229" t="s">
        <v>4685</v>
      </c>
      <c r="B773" s="229" t="s">
        <v>4686</v>
      </c>
      <c r="C773" s="241" t="s">
        <v>4778</v>
      </c>
      <c r="D773" s="237" t="s">
        <v>5723</v>
      </c>
      <c r="E773" s="236">
        <v>1101115903219</v>
      </c>
      <c r="F773" s="240" t="s">
        <v>4850</v>
      </c>
      <c r="G773" s="214">
        <v>0</v>
      </c>
      <c r="H773" s="231" t="s">
        <v>4771</v>
      </c>
      <c r="I773" s="231"/>
      <c r="J773" s="231"/>
      <c r="K773" s="231"/>
      <c r="L773" s="231"/>
      <c r="M773" s="231"/>
      <c r="N773" s="231" t="s">
        <v>4895</v>
      </c>
      <c r="O773" s="246"/>
      <c r="P773" s="246"/>
      <c r="Q773" s="225"/>
      <c r="R773" s="212" t="s">
        <v>2</v>
      </c>
      <c r="S773" s="213" t="s">
        <v>4771</v>
      </c>
      <c r="T773" s="233">
        <v>45582</v>
      </c>
      <c r="U773" s="234" t="s">
        <v>4759</v>
      </c>
      <c r="V773" s="233">
        <v>45610</v>
      </c>
      <c r="W773" s="233">
        <v>45614</v>
      </c>
      <c r="X773" s="234" t="s">
        <v>4771</v>
      </c>
      <c r="Y773" s="234"/>
      <c r="Z773" s="234" t="s">
        <v>4687</v>
      </c>
      <c r="AA773" s="243">
        <v>202411</v>
      </c>
      <c r="AB773" s="243"/>
      <c r="AC773" s="244" t="s">
        <v>4800</v>
      </c>
      <c r="AD773" s="244" t="s">
        <v>4945</v>
      </c>
      <c r="AE773" s="245">
        <v>1</v>
      </c>
      <c r="AF773" s="244" t="s">
        <v>4945</v>
      </c>
      <c r="AG773" s="239" t="str">
        <f>IFERROR(VLOOKUP(작성용!A:A,RM!A:D,4,0),"-")</f>
        <v>강승현</v>
      </c>
      <c r="AH773" s="9" t="s">
        <v>4860</v>
      </c>
      <c r="AI773" s="235" t="s">
        <v>4771</v>
      </c>
      <c r="AJ773" s="235" t="s">
        <v>4920</v>
      </c>
      <c r="AK773" s="235" t="s">
        <v>4777</v>
      </c>
      <c r="AL773" s="235">
        <v>772</v>
      </c>
    </row>
    <row r="774" spans="1:38" x14ac:dyDescent="0.3">
      <c r="A774" s="229" t="s">
        <v>4685</v>
      </c>
      <c r="B774" s="229" t="s">
        <v>4686</v>
      </c>
      <c r="C774" s="241" t="s">
        <v>4778</v>
      </c>
      <c r="D774" s="237" t="s">
        <v>5723</v>
      </c>
      <c r="E774" s="236">
        <v>1101115903219</v>
      </c>
      <c r="F774" s="240" t="s">
        <v>4854</v>
      </c>
      <c r="G774" s="214">
        <v>0</v>
      </c>
      <c r="H774" s="231" t="s">
        <v>4771</v>
      </c>
      <c r="I774" s="231"/>
      <c r="J774" s="231"/>
      <c r="K774" s="231"/>
      <c r="L774" s="231"/>
      <c r="M774" s="231"/>
      <c r="N774" s="231" t="s">
        <v>4895</v>
      </c>
      <c r="O774" s="246"/>
      <c r="P774" s="246"/>
      <c r="Q774" s="225"/>
      <c r="R774" s="212" t="s">
        <v>2</v>
      </c>
      <c r="S774" s="213" t="s">
        <v>4771</v>
      </c>
      <c r="T774" s="233">
        <v>45582</v>
      </c>
      <c r="U774" s="234" t="s">
        <v>4759</v>
      </c>
      <c r="V774" s="233">
        <v>45610</v>
      </c>
      <c r="W774" s="233">
        <v>45614</v>
      </c>
      <c r="X774" s="234" t="s">
        <v>4771</v>
      </c>
      <c r="Y774" s="234"/>
      <c r="Z774" s="234" t="s">
        <v>4687</v>
      </c>
      <c r="AA774" s="243">
        <v>202411</v>
      </c>
      <c r="AB774" s="243"/>
      <c r="AC774" s="244" t="s">
        <v>4800</v>
      </c>
      <c r="AD774" s="244" t="s">
        <v>4945</v>
      </c>
      <c r="AE774" s="245">
        <v>0</v>
      </c>
      <c r="AF774" s="244" t="s">
        <v>4945</v>
      </c>
      <c r="AG774" s="239" t="str">
        <f>IFERROR(VLOOKUP(작성용!A:A,RM!A:D,4,0),"-")</f>
        <v>강승현</v>
      </c>
      <c r="AH774" s="9" t="s">
        <v>4860</v>
      </c>
      <c r="AI774" s="235" t="s">
        <v>4771</v>
      </c>
      <c r="AJ774" s="235" t="s">
        <v>4920</v>
      </c>
      <c r="AK774" s="235" t="s">
        <v>4777</v>
      </c>
      <c r="AL774" s="235">
        <v>773</v>
      </c>
    </row>
    <row r="775" spans="1:38" x14ac:dyDescent="0.3">
      <c r="A775" s="229" t="s">
        <v>4685</v>
      </c>
      <c r="B775" s="229" t="s">
        <v>4686</v>
      </c>
      <c r="C775" s="241" t="s">
        <v>4778</v>
      </c>
      <c r="D775" s="237" t="s">
        <v>5724</v>
      </c>
      <c r="E775" s="236">
        <v>1101116599843</v>
      </c>
      <c r="F775" s="240" t="s">
        <v>4850</v>
      </c>
      <c r="G775" s="214">
        <v>0</v>
      </c>
      <c r="H775" s="231" t="s">
        <v>4771</v>
      </c>
      <c r="I775" s="231"/>
      <c r="J775" s="231"/>
      <c r="K775" s="231"/>
      <c r="L775" s="231"/>
      <c r="M775" s="231"/>
      <c r="N775" s="231" t="s">
        <v>4895</v>
      </c>
      <c r="O775" s="246"/>
      <c r="P775" s="246"/>
      <c r="Q775" s="225"/>
      <c r="R775" s="212" t="s">
        <v>2</v>
      </c>
      <c r="S775" s="213" t="s">
        <v>4771</v>
      </c>
      <c r="T775" s="233">
        <v>45582</v>
      </c>
      <c r="U775" s="234" t="s">
        <v>4759</v>
      </c>
      <c r="V775" s="233">
        <v>45610</v>
      </c>
      <c r="W775" s="233">
        <v>45614</v>
      </c>
      <c r="X775" s="234" t="s">
        <v>4771</v>
      </c>
      <c r="Y775" s="234"/>
      <c r="Z775" s="234" t="s">
        <v>4687</v>
      </c>
      <c r="AA775" s="243">
        <v>202411</v>
      </c>
      <c r="AB775" s="243"/>
      <c r="AC775" s="244" t="s">
        <v>4800</v>
      </c>
      <c r="AD775" s="244" t="s">
        <v>5021</v>
      </c>
      <c r="AE775" s="245">
        <v>1</v>
      </c>
      <c r="AF775" s="244" t="s">
        <v>5021</v>
      </c>
      <c r="AG775" s="239" t="str">
        <f>IFERROR(VLOOKUP(작성용!A:A,RM!A:D,4,0),"-")</f>
        <v>강승현</v>
      </c>
      <c r="AH775" s="9" t="s">
        <v>4860</v>
      </c>
      <c r="AI775" s="235" t="s">
        <v>4771</v>
      </c>
      <c r="AJ775" s="235" t="s">
        <v>4920</v>
      </c>
      <c r="AK775" s="235" t="s">
        <v>4777</v>
      </c>
      <c r="AL775" s="235">
        <v>774</v>
      </c>
    </row>
    <row r="776" spans="1:38" x14ac:dyDescent="0.3">
      <c r="A776" s="229" t="s">
        <v>4685</v>
      </c>
      <c r="B776" s="229" t="s">
        <v>4686</v>
      </c>
      <c r="C776" s="241" t="s">
        <v>4778</v>
      </c>
      <c r="D776" s="237" t="s">
        <v>5725</v>
      </c>
      <c r="E776" s="236">
        <v>1801110940147</v>
      </c>
      <c r="F776" s="240" t="s">
        <v>4850</v>
      </c>
      <c r="G776" s="214">
        <v>0</v>
      </c>
      <c r="H776" s="231" t="s">
        <v>4771</v>
      </c>
      <c r="I776" s="231"/>
      <c r="J776" s="231"/>
      <c r="K776" s="231"/>
      <c r="L776" s="231"/>
      <c r="M776" s="231"/>
      <c r="N776" s="231" t="s">
        <v>4895</v>
      </c>
      <c r="O776" s="246"/>
      <c r="P776" s="246"/>
      <c r="Q776" s="225"/>
      <c r="R776" s="212" t="s">
        <v>2</v>
      </c>
      <c r="S776" s="213" t="s">
        <v>4771</v>
      </c>
      <c r="T776" s="233">
        <v>45582</v>
      </c>
      <c r="U776" s="234" t="s">
        <v>4759</v>
      </c>
      <c r="V776" s="233">
        <v>45610</v>
      </c>
      <c r="W776" s="233">
        <v>45614</v>
      </c>
      <c r="X776" s="234" t="s">
        <v>4771</v>
      </c>
      <c r="Y776" s="234"/>
      <c r="Z776" s="234" t="s">
        <v>4687</v>
      </c>
      <c r="AA776" s="243">
        <v>202411</v>
      </c>
      <c r="AB776" s="243"/>
      <c r="AC776" s="244" t="s">
        <v>4800</v>
      </c>
      <c r="AD776" s="244" t="s">
        <v>4937</v>
      </c>
      <c r="AE776" s="245">
        <v>1</v>
      </c>
      <c r="AF776" s="244" t="s">
        <v>4937</v>
      </c>
      <c r="AG776" s="239" t="str">
        <f>IFERROR(VLOOKUP(작성용!A:A,RM!A:D,4,0),"-")</f>
        <v>강승현</v>
      </c>
      <c r="AH776" s="9" t="s">
        <v>4860</v>
      </c>
      <c r="AI776" s="235" t="s">
        <v>4771</v>
      </c>
      <c r="AJ776" s="235" t="s">
        <v>4920</v>
      </c>
      <c r="AK776" s="235" t="s">
        <v>4777</v>
      </c>
      <c r="AL776" s="235">
        <v>775</v>
      </c>
    </row>
    <row r="777" spans="1:38" x14ac:dyDescent="0.3">
      <c r="A777" s="222" t="s">
        <v>3198</v>
      </c>
      <c r="B777" s="222" t="s">
        <v>5637</v>
      </c>
      <c r="C777" s="241" t="s">
        <v>4778</v>
      </c>
      <c r="D777" s="237" t="s">
        <v>5726</v>
      </c>
      <c r="E777" s="236">
        <v>1101110038805</v>
      </c>
      <c r="F777" s="240" t="s">
        <v>4854</v>
      </c>
      <c r="G777" s="214">
        <v>0</v>
      </c>
      <c r="H777" s="231" t="s">
        <v>4771</v>
      </c>
      <c r="I777" s="231"/>
      <c r="J777" s="231"/>
      <c r="K777" s="231"/>
      <c r="L777" s="231"/>
      <c r="M777" s="231"/>
      <c r="N777" s="231" t="s">
        <v>4895</v>
      </c>
      <c r="O777" s="246" t="s">
        <v>5639</v>
      </c>
      <c r="P777" s="246" t="s">
        <v>5640</v>
      </c>
      <c r="Q777" s="225" t="s">
        <v>5641</v>
      </c>
      <c r="R777" s="212" t="s">
        <v>4771</v>
      </c>
      <c r="S777" s="213" t="s">
        <v>4771</v>
      </c>
      <c r="T777" s="233">
        <v>45581</v>
      </c>
      <c r="U777" s="234" t="s">
        <v>4759</v>
      </c>
      <c r="V777" s="234">
        <v>45604</v>
      </c>
      <c r="W777" s="234" t="s">
        <v>4877</v>
      </c>
      <c r="X777" s="234" t="s">
        <v>4771</v>
      </c>
      <c r="Y777" s="234"/>
      <c r="Z777" s="234" t="s">
        <v>4674</v>
      </c>
      <c r="AA777" s="224">
        <v>202411</v>
      </c>
      <c r="AB777" s="243"/>
      <c r="AC777" s="244" t="s">
        <v>4800</v>
      </c>
      <c r="AD777" s="244" t="s">
        <v>5727</v>
      </c>
      <c r="AE777" s="245">
        <v>0.4</v>
      </c>
      <c r="AF777" s="244" t="s">
        <v>5727</v>
      </c>
      <c r="AG777" s="239" t="str">
        <f>IFERROR(VLOOKUP(작성용!A:A,RM!A:D,4,0),"-")</f>
        <v>이문수</v>
      </c>
      <c r="AH777" s="235" t="s">
        <v>4937</v>
      </c>
      <c r="AI777" s="235" t="s">
        <v>5728</v>
      </c>
      <c r="AJ777" s="235" t="s">
        <v>4920</v>
      </c>
      <c r="AK777" s="235" t="s">
        <v>4777</v>
      </c>
      <c r="AL777" s="235">
        <v>776</v>
      </c>
    </row>
    <row r="778" spans="1:38" x14ac:dyDescent="0.3">
      <c r="A778" s="222" t="s">
        <v>3198</v>
      </c>
      <c r="B778" s="222" t="s">
        <v>5637</v>
      </c>
      <c r="C778" s="241" t="s">
        <v>4778</v>
      </c>
      <c r="D778" s="237" t="s">
        <v>5726</v>
      </c>
      <c r="E778" s="236">
        <v>1101110038805</v>
      </c>
      <c r="F778" s="240" t="s">
        <v>4794</v>
      </c>
      <c r="G778" s="214">
        <v>0</v>
      </c>
      <c r="H778" s="231" t="s">
        <v>4771</v>
      </c>
      <c r="I778" s="231"/>
      <c r="J778" s="231"/>
      <c r="K778" s="231"/>
      <c r="L778" s="231"/>
      <c r="M778" s="231"/>
      <c r="N778" s="231" t="s">
        <v>4895</v>
      </c>
      <c r="O778" s="246" t="s">
        <v>5639</v>
      </c>
      <c r="P778" s="246" t="s">
        <v>5640</v>
      </c>
      <c r="Q778" s="225" t="s">
        <v>5641</v>
      </c>
      <c r="R778" s="212" t="s">
        <v>4771</v>
      </c>
      <c r="S778" s="213" t="s">
        <v>4771</v>
      </c>
      <c r="T778" s="233">
        <v>45581</v>
      </c>
      <c r="U778" s="234" t="s">
        <v>4759</v>
      </c>
      <c r="V778" s="234">
        <v>45604</v>
      </c>
      <c r="W778" s="234" t="s">
        <v>4877</v>
      </c>
      <c r="X778" s="234" t="s">
        <v>4767</v>
      </c>
      <c r="Y778" s="234"/>
      <c r="Z778" s="234" t="s">
        <v>4674</v>
      </c>
      <c r="AA778" s="224">
        <v>202411</v>
      </c>
      <c r="AB778" s="243"/>
      <c r="AC778" s="244" t="s">
        <v>4800</v>
      </c>
      <c r="AD778" s="244" t="s">
        <v>5727</v>
      </c>
      <c r="AE778" s="245">
        <v>0</v>
      </c>
      <c r="AF778" s="244" t="s">
        <v>5727</v>
      </c>
      <c r="AG778" s="239" t="str">
        <f>IFERROR(VLOOKUP(작성용!A:A,RM!A:D,4,0),"-")</f>
        <v>이문수</v>
      </c>
      <c r="AH778" s="235" t="s">
        <v>4937</v>
      </c>
      <c r="AI778" s="235" t="s">
        <v>5728</v>
      </c>
      <c r="AJ778" s="235" t="s">
        <v>4920</v>
      </c>
      <c r="AK778" s="235" t="s">
        <v>4777</v>
      </c>
      <c r="AL778" s="235">
        <v>777</v>
      </c>
    </row>
    <row r="779" spans="1:38" x14ac:dyDescent="0.3">
      <c r="A779" s="222" t="s">
        <v>2152</v>
      </c>
      <c r="B779" s="222" t="s">
        <v>5729</v>
      </c>
      <c r="C779" s="241" t="s">
        <v>4765</v>
      </c>
      <c r="D779" s="237" t="s">
        <v>5730</v>
      </c>
      <c r="E779" s="236" t="s">
        <v>4035</v>
      </c>
      <c r="F779" s="240" t="s">
        <v>4854</v>
      </c>
      <c r="G779" s="214">
        <v>0</v>
      </c>
      <c r="H779" s="231" t="s">
        <v>4771</v>
      </c>
      <c r="I779" s="231"/>
      <c r="J779" s="231"/>
      <c r="K779" s="231"/>
      <c r="L779" s="231"/>
      <c r="M779" s="231"/>
      <c r="N779" s="231" t="s">
        <v>4895</v>
      </c>
      <c r="O779" s="246" t="s">
        <v>5731</v>
      </c>
      <c r="P779" s="246" t="s">
        <v>5732</v>
      </c>
      <c r="Q779" s="225" t="s">
        <v>5733</v>
      </c>
      <c r="R779" s="212" t="s">
        <v>4771</v>
      </c>
      <c r="S779" s="213" t="s">
        <v>4771</v>
      </c>
      <c r="T779" s="233">
        <v>45582</v>
      </c>
      <c r="U779" s="234" t="s">
        <v>4759</v>
      </c>
      <c r="V779" s="234">
        <v>45614</v>
      </c>
      <c r="W779" s="234">
        <v>45616</v>
      </c>
      <c r="X779" s="234" t="s">
        <v>2</v>
      </c>
      <c r="Y779" s="234"/>
      <c r="Z779" s="234" t="s">
        <v>4691</v>
      </c>
      <c r="AA779" s="243">
        <v>202411</v>
      </c>
      <c r="AB779" s="243"/>
      <c r="AC779" s="244" t="s">
        <v>4800</v>
      </c>
      <c r="AD779" s="244" t="s">
        <v>3647</v>
      </c>
      <c r="AE779" s="245">
        <v>1</v>
      </c>
      <c r="AF779" s="244" t="s">
        <v>5001</v>
      </c>
      <c r="AG779" s="239" t="str">
        <f>IFERROR(VLOOKUP(작성용!A:A,RM!A:D,4,0),"-")</f>
        <v>서동현</v>
      </c>
      <c r="AH779" s="9" t="s">
        <v>4862</v>
      </c>
      <c r="AI779" s="235" t="s">
        <v>4771</v>
      </c>
      <c r="AJ779" s="235" t="s">
        <v>4920</v>
      </c>
      <c r="AK779" s="235" t="s">
        <v>4777</v>
      </c>
      <c r="AL779" s="235">
        <v>778</v>
      </c>
    </row>
    <row r="780" spans="1:38" x14ac:dyDescent="0.3">
      <c r="A780" s="222" t="s">
        <v>2152</v>
      </c>
      <c r="B780" s="222" t="s">
        <v>5729</v>
      </c>
      <c r="C780" s="241" t="s">
        <v>4778</v>
      </c>
      <c r="D780" s="237" t="s">
        <v>5734</v>
      </c>
      <c r="E780" s="236" t="s">
        <v>4036</v>
      </c>
      <c r="F780" s="240" t="s">
        <v>4894</v>
      </c>
      <c r="G780" s="214">
        <v>0</v>
      </c>
      <c r="H780" s="231" t="s">
        <v>4771</v>
      </c>
      <c r="I780" s="231"/>
      <c r="J780" s="231"/>
      <c r="K780" s="231"/>
      <c r="L780" s="231"/>
      <c r="M780" s="231"/>
      <c r="N780" s="231" t="s">
        <v>4881</v>
      </c>
      <c r="O780" s="246" t="s">
        <v>5731</v>
      </c>
      <c r="P780" s="246" t="s">
        <v>5732</v>
      </c>
      <c r="Q780" s="225" t="s">
        <v>5733</v>
      </c>
      <c r="R780" s="212" t="s">
        <v>4771</v>
      </c>
      <c r="S780" s="213" t="s">
        <v>4771</v>
      </c>
      <c r="T780" s="233">
        <v>45582</v>
      </c>
      <c r="U780" s="234" t="s">
        <v>4759</v>
      </c>
      <c r="V780" s="234">
        <v>45614</v>
      </c>
      <c r="W780" s="234">
        <v>45616</v>
      </c>
      <c r="X780" s="234" t="s">
        <v>2</v>
      </c>
      <c r="Y780" s="234"/>
      <c r="Z780" s="234" t="s">
        <v>4691</v>
      </c>
      <c r="AA780" s="243">
        <v>202411</v>
      </c>
      <c r="AB780" s="243"/>
      <c r="AC780" s="244" t="s">
        <v>4800</v>
      </c>
      <c r="AD780" s="244" t="s">
        <v>4862</v>
      </c>
      <c r="AE780" s="245">
        <v>1</v>
      </c>
      <c r="AF780" s="244" t="s">
        <v>4862</v>
      </c>
      <c r="AG780" s="239" t="str">
        <f>IFERROR(VLOOKUP(작성용!A:A,RM!A:D,4,0),"-")</f>
        <v>서동현</v>
      </c>
      <c r="AH780" s="9" t="s">
        <v>4862</v>
      </c>
      <c r="AI780" s="235" t="s">
        <v>4771</v>
      </c>
      <c r="AJ780" s="235" t="s">
        <v>4920</v>
      </c>
      <c r="AK780" s="235" t="s">
        <v>4777</v>
      </c>
      <c r="AL780" s="235">
        <v>779</v>
      </c>
    </row>
    <row r="781" spans="1:38" x14ac:dyDescent="0.3">
      <c r="A781" s="222" t="s">
        <v>2152</v>
      </c>
      <c r="B781" s="222" t="s">
        <v>5729</v>
      </c>
      <c r="C781" s="241" t="s">
        <v>4778</v>
      </c>
      <c r="D781" s="237" t="s">
        <v>5735</v>
      </c>
      <c r="E781" s="236">
        <v>1101115304756</v>
      </c>
      <c r="F781" s="240" t="s">
        <v>4854</v>
      </c>
      <c r="G781" s="214">
        <v>0</v>
      </c>
      <c r="H781" s="231" t="s">
        <v>4771</v>
      </c>
      <c r="I781" s="231"/>
      <c r="J781" s="231"/>
      <c r="K781" s="231"/>
      <c r="L781" s="231"/>
      <c r="M781" s="231"/>
      <c r="N781" s="231" t="s">
        <v>4895</v>
      </c>
      <c r="O781" s="246" t="s">
        <v>5731</v>
      </c>
      <c r="P781" s="246" t="s">
        <v>5732</v>
      </c>
      <c r="Q781" s="225" t="s">
        <v>5733</v>
      </c>
      <c r="R781" s="212" t="s">
        <v>4771</v>
      </c>
      <c r="S781" s="213" t="s">
        <v>4771</v>
      </c>
      <c r="T781" s="233">
        <v>45582</v>
      </c>
      <c r="U781" s="234" t="s">
        <v>4759</v>
      </c>
      <c r="V781" s="234">
        <v>45614</v>
      </c>
      <c r="W781" s="234">
        <v>45616</v>
      </c>
      <c r="X781" s="234" t="s">
        <v>2</v>
      </c>
      <c r="Y781" s="234"/>
      <c r="Z781" s="234" t="s">
        <v>4691</v>
      </c>
      <c r="AA781" s="243">
        <v>202411</v>
      </c>
      <c r="AB781" s="243"/>
      <c r="AC781" s="244" t="s">
        <v>4800</v>
      </c>
      <c r="AD781" s="244" t="s">
        <v>4980</v>
      </c>
      <c r="AE781" s="245">
        <v>1</v>
      </c>
      <c r="AF781" s="244" t="s">
        <v>4980</v>
      </c>
      <c r="AG781" s="239" t="str">
        <f>IFERROR(VLOOKUP(작성용!A:A,RM!A:D,4,0),"-")</f>
        <v>서동현</v>
      </c>
      <c r="AH781" s="9" t="s">
        <v>4862</v>
      </c>
      <c r="AI781" s="235" t="s">
        <v>4771</v>
      </c>
      <c r="AJ781" s="235" t="s">
        <v>4920</v>
      </c>
      <c r="AK781" s="235" t="s">
        <v>4777</v>
      </c>
      <c r="AL781" s="235">
        <v>780</v>
      </c>
    </row>
    <row r="782" spans="1:38" x14ac:dyDescent="0.3">
      <c r="A782" s="229" t="s">
        <v>1871</v>
      </c>
      <c r="B782" s="229" t="s">
        <v>5736</v>
      </c>
      <c r="C782" s="241" t="s">
        <v>4762</v>
      </c>
      <c r="D782" s="237" t="s">
        <v>5737</v>
      </c>
      <c r="E782" s="236">
        <v>1101118252126</v>
      </c>
      <c r="F782" s="240" t="s">
        <v>4854</v>
      </c>
      <c r="G782" s="214">
        <v>0</v>
      </c>
      <c r="H782" s="231" t="s">
        <v>4771</v>
      </c>
      <c r="I782" s="231"/>
      <c r="J782" s="231"/>
      <c r="K782" s="231"/>
      <c r="L782" s="231"/>
      <c r="M782" s="231"/>
      <c r="N782" s="231" t="s">
        <v>5035</v>
      </c>
      <c r="O782" s="246" t="s">
        <v>5738</v>
      </c>
      <c r="P782" s="246" t="s">
        <v>5739</v>
      </c>
      <c r="Q782" s="225" t="s">
        <v>5740</v>
      </c>
      <c r="R782" s="212" t="s">
        <v>4771</v>
      </c>
      <c r="S782" s="213" t="s">
        <v>4771</v>
      </c>
      <c r="T782" s="233">
        <v>45583</v>
      </c>
      <c r="U782" s="234" t="s">
        <v>4759</v>
      </c>
      <c r="V782" s="233">
        <v>45609</v>
      </c>
      <c r="W782" s="233">
        <v>45615</v>
      </c>
      <c r="X782" s="234" t="s">
        <v>4771</v>
      </c>
      <c r="Y782" s="234"/>
      <c r="Z782" s="234" t="s">
        <v>4697</v>
      </c>
      <c r="AA782" s="224">
        <v>202411</v>
      </c>
      <c r="AB782" s="243"/>
      <c r="AC782" s="233" t="s">
        <v>4760</v>
      </c>
      <c r="AD782" s="244" t="s">
        <v>4918</v>
      </c>
      <c r="AE782" s="245">
        <v>1</v>
      </c>
      <c r="AF782" s="244" t="s">
        <v>4762</v>
      </c>
      <c r="AG782" s="239" t="str">
        <f>IFERROR(VLOOKUP(작성용!A:A,RM!A:D,4,0),"-")</f>
        <v>조현우</v>
      </c>
      <c r="AH782" s="9" t="s">
        <v>4918</v>
      </c>
      <c r="AI782" s="235" t="s">
        <v>4771</v>
      </c>
      <c r="AJ782" s="235" t="s">
        <v>4920</v>
      </c>
      <c r="AK782" s="235" t="s">
        <v>4777</v>
      </c>
      <c r="AL782" s="235">
        <v>781</v>
      </c>
    </row>
    <row r="783" spans="1:38" x14ac:dyDescent="0.3">
      <c r="A783" s="229" t="s">
        <v>1871</v>
      </c>
      <c r="B783" s="229" t="s">
        <v>5736</v>
      </c>
      <c r="C783" s="241" t="s">
        <v>4762</v>
      </c>
      <c r="D783" s="237" t="s">
        <v>5737</v>
      </c>
      <c r="E783" s="236">
        <v>1101118252126</v>
      </c>
      <c r="F783" s="240" t="s">
        <v>4894</v>
      </c>
      <c r="G783" s="214">
        <v>0</v>
      </c>
      <c r="H783" s="231" t="s">
        <v>4771</v>
      </c>
      <c r="I783" s="231"/>
      <c r="J783" s="231"/>
      <c r="K783" s="231"/>
      <c r="L783" s="231"/>
      <c r="M783" s="231"/>
      <c r="N783" s="231" t="s">
        <v>5035</v>
      </c>
      <c r="O783" s="246" t="s">
        <v>5738</v>
      </c>
      <c r="P783" s="246" t="s">
        <v>5739</v>
      </c>
      <c r="Q783" s="225" t="s">
        <v>5740</v>
      </c>
      <c r="R783" s="212" t="s">
        <v>4771</v>
      </c>
      <c r="S783" s="213" t="s">
        <v>4771</v>
      </c>
      <c r="T783" s="233">
        <v>45583</v>
      </c>
      <c r="U783" s="234" t="s">
        <v>4759</v>
      </c>
      <c r="V783" s="233">
        <v>45609</v>
      </c>
      <c r="W783" s="233">
        <v>45615</v>
      </c>
      <c r="X783" s="234" t="s">
        <v>4771</v>
      </c>
      <c r="Y783" s="234"/>
      <c r="Z783" s="234" t="s">
        <v>4697</v>
      </c>
      <c r="AA783" s="224">
        <v>202411</v>
      </c>
      <c r="AB783" s="243"/>
      <c r="AC783" s="233" t="s">
        <v>4760</v>
      </c>
      <c r="AD783" s="244" t="s">
        <v>4918</v>
      </c>
      <c r="AE783" s="245">
        <v>0</v>
      </c>
      <c r="AF783" s="244" t="s">
        <v>4762</v>
      </c>
      <c r="AG783" s="239" t="str">
        <f>IFERROR(VLOOKUP(작성용!A:A,RM!A:D,4,0),"-")</f>
        <v>조현우</v>
      </c>
      <c r="AH783" s="9" t="s">
        <v>4918</v>
      </c>
      <c r="AI783" s="235" t="s">
        <v>4771</v>
      </c>
      <c r="AJ783" s="235" t="s">
        <v>4920</v>
      </c>
      <c r="AK783" s="235" t="s">
        <v>4777</v>
      </c>
      <c r="AL783" s="235">
        <v>782</v>
      </c>
    </row>
    <row r="784" spans="1:38" s="198" customFormat="1" x14ac:dyDescent="0.3">
      <c r="A784" s="222" t="s">
        <v>1786</v>
      </c>
      <c r="B784" s="222" t="s">
        <v>4643</v>
      </c>
      <c r="C784" s="241" t="s">
        <v>4778</v>
      </c>
      <c r="D784" s="237" t="s">
        <v>5741</v>
      </c>
      <c r="E784" s="236" t="s">
        <v>4698</v>
      </c>
      <c r="F784" s="240" t="s">
        <v>5742</v>
      </c>
      <c r="G784" s="214">
        <v>0</v>
      </c>
      <c r="H784" s="231" t="s">
        <v>4771</v>
      </c>
      <c r="I784" s="231"/>
      <c r="J784" s="231"/>
      <c r="K784" s="231"/>
      <c r="L784" s="231"/>
      <c r="M784" s="231"/>
      <c r="N784" s="231" t="s">
        <v>4895</v>
      </c>
      <c r="O784" s="246" t="s">
        <v>5242</v>
      </c>
      <c r="P784" s="246" t="s">
        <v>5243</v>
      </c>
      <c r="Q784" s="225" t="s">
        <v>5244</v>
      </c>
      <c r="R784" s="212" t="s">
        <v>2</v>
      </c>
      <c r="S784" s="213" t="s">
        <v>4771</v>
      </c>
      <c r="T784" s="233">
        <v>45573</v>
      </c>
      <c r="U784" s="234" t="s">
        <v>4759</v>
      </c>
      <c r="V784" s="234">
        <v>45608</v>
      </c>
      <c r="W784" s="234">
        <v>45615</v>
      </c>
      <c r="X784" s="234" t="s">
        <v>4771</v>
      </c>
      <c r="Y784" s="234"/>
      <c r="Z784" s="234" t="s">
        <v>4644</v>
      </c>
      <c r="AA784" s="243">
        <v>202411</v>
      </c>
      <c r="AB784" s="243"/>
      <c r="AC784" s="244" t="s">
        <v>4760</v>
      </c>
      <c r="AD784" s="244" t="s">
        <v>4918</v>
      </c>
      <c r="AE784" s="245">
        <v>1</v>
      </c>
      <c r="AF784" s="244" t="s">
        <v>4918</v>
      </c>
      <c r="AG784" s="239" t="str">
        <f>IFERROR(VLOOKUP(작성용!A:A,RM!A:D,4,0),"-")</f>
        <v>조현우</v>
      </c>
      <c r="AH784" s="9" t="s">
        <v>4918</v>
      </c>
      <c r="AI784" s="235" t="s">
        <v>5743</v>
      </c>
      <c r="AJ784" s="235" t="s">
        <v>4920</v>
      </c>
      <c r="AK784" s="235" t="s">
        <v>4777</v>
      </c>
      <c r="AL784" s="235">
        <v>783</v>
      </c>
    </row>
    <row r="785" spans="1:38" s="198" customFormat="1" x14ac:dyDescent="0.3">
      <c r="A785" s="222" t="s">
        <v>1786</v>
      </c>
      <c r="B785" s="222" t="s">
        <v>4643</v>
      </c>
      <c r="C785" s="241" t="s">
        <v>4778</v>
      </c>
      <c r="D785" s="237" t="s">
        <v>5744</v>
      </c>
      <c r="E785" s="236" t="s">
        <v>4699</v>
      </c>
      <c r="F785" s="240" t="s">
        <v>5742</v>
      </c>
      <c r="G785" s="214">
        <v>0</v>
      </c>
      <c r="H785" s="231" t="s">
        <v>4771</v>
      </c>
      <c r="I785" s="231"/>
      <c r="J785" s="231"/>
      <c r="K785" s="231"/>
      <c r="L785" s="231"/>
      <c r="M785" s="231"/>
      <c r="N785" s="231" t="s">
        <v>4895</v>
      </c>
      <c r="O785" s="246" t="s">
        <v>5242</v>
      </c>
      <c r="P785" s="246" t="s">
        <v>5243</v>
      </c>
      <c r="Q785" s="225" t="s">
        <v>5244</v>
      </c>
      <c r="R785" s="212" t="s">
        <v>2</v>
      </c>
      <c r="S785" s="213" t="s">
        <v>4771</v>
      </c>
      <c r="T785" s="233">
        <v>45573</v>
      </c>
      <c r="U785" s="234" t="s">
        <v>4759</v>
      </c>
      <c r="V785" s="234">
        <v>45608</v>
      </c>
      <c r="W785" s="234">
        <v>45615</v>
      </c>
      <c r="X785" s="234" t="s">
        <v>4771</v>
      </c>
      <c r="Y785" s="234"/>
      <c r="Z785" s="234" t="s">
        <v>4644</v>
      </c>
      <c r="AA785" s="243">
        <v>202411</v>
      </c>
      <c r="AB785" s="243"/>
      <c r="AC785" s="244" t="s">
        <v>4760</v>
      </c>
      <c r="AD785" s="244" t="s">
        <v>4918</v>
      </c>
      <c r="AE785" s="245">
        <v>1</v>
      </c>
      <c r="AF785" s="244" t="s">
        <v>4918</v>
      </c>
      <c r="AG785" s="239" t="str">
        <f>IFERROR(VLOOKUP(작성용!A:A,RM!A:D,4,0),"-")</f>
        <v>조현우</v>
      </c>
      <c r="AH785" s="9" t="s">
        <v>4918</v>
      </c>
      <c r="AI785" s="235" t="s">
        <v>5743</v>
      </c>
      <c r="AJ785" s="235" t="s">
        <v>4920</v>
      </c>
      <c r="AK785" s="235" t="s">
        <v>4777</v>
      </c>
      <c r="AL785" s="235">
        <v>784</v>
      </c>
    </row>
    <row r="786" spans="1:38" x14ac:dyDescent="0.3">
      <c r="A786" s="222" t="s">
        <v>2599</v>
      </c>
      <c r="B786" s="222" t="s">
        <v>2600</v>
      </c>
      <c r="C786" s="241" t="s">
        <v>4778</v>
      </c>
      <c r="D786" s="237" t="s">
        <v>5237</v>
      </c>
      <c r="E786" s="236">
        <v>1101114475300</v>
      </c>
      <c r="F786" s="240" t="s">
        <v>4854</v>
      </c>
      <c r="G786" s="242">
        <v>0</v>
      </c>
      <c r="H786" s="223" t="s">
        <v>4771</v>
      </c>
      <c r="I786" s="223"/>
      <c r="J786" s="223"/>
      <c r="K786" s="223"/>
      <c r="L786" s="223"/>
      <c r="M786" s="223"/>
      <c r="N786" s="240" t="s">
        <v>4895</v>
      </c>
      <c r="O786" s="240" t="s">
        <v>5745</v>
      </c>
      <c r="P786" s="240" t="s">
        <v>5746</v>
      </c>
      <c r="Q786" s="240" t="s">
        <v>4700</v>
      </c>
      <c r="R786" s="250" t="s">
        <v>2</v>
      </c>
      <c r="S786" s="250" t="s">
        <v>4771</v>
      </c>
      <c r="T786" s="233">
        <v>45583</v>
      </c>
      <c r="U786" s="234" t="s">
        <v>5609</v>
      </c>
      <c r="V786" s="234">
        <v>45610</v>
      </c>
      <c r="W786" s="234">
        <v>45611</v>
      </c>
      <c r="X786" s="234" t="s">
        <v>2</v>
      </c>
      <c r="Y786" s="234"/>
      <c r="Z786" s="234" t="s">
        <v>4702</v>
      </c>
      <c r="AA786" s="243">
        <v>202406</v>
      </c>
      <c r="AB786" s="243"/>
      <c r="AC786" s="244" t="s">
        <v>5747</v>
      </c>
      <c r="AD786" s="244" t="s">
        <v>4918</v>
      </c>
      <c r="AE786" s="245">
        <v>0</v>
      </c>
      <c r="AF786" s="244" t="s">
        <v>4918</v>
      </c>
      <c r="AG786" s="239" t="str">
        <f>IFERROR(VLOOKUP(작성용!A:A,RM!A:D,4,0),"-")</f>
        <v>조현우</v>
      </c>
      <c r="AH786" s="9" t="s">
        <v>4918</v>
      </c>
      <c r="AI786" s="235" t="s">
        <v>4771</v>
      </c>
      <c r="AJ786" s="235" t="s">
        <v>4802</v>
      </c>
      <c r="AK786" s="235" t="s">
        <v>4777</v>
      </c>
      <c r="AL786" s="235">
        <v>785</v>
      </c>
    </row>
    <row r="787" spans="1:38" x14ac:dyDescent="0.3">
      <c r="A787" s="222" t="s">
        <v>2599</v>
      </c>
      <c r="B787" s="222" t="s">
        <v>2600</v>
      </c>
      <c r="C787" s="241" t="s">
        <v>4778</v>
      </c>
      <c r="D787" s="237" t="s">
        <v>5748</v>
      </c>
      <c r="E787" s="236">
        <v>1801110209098</v>
      </c>
      <c r="F787" s="240" t="s">
        <v>4854</v>
      </c>
      <c r="G787" s="242">
        <v>0</v>
      </c>
      <c r="H787" s="223" t="s">
        <v>4771</v>
      </c>
      <c r="I787" s="223"/>
      <c r="J787" s="223"/>
      <c r="K787" s="223"/>
      <c r="L787" s="223"/>
      <c r="M787" s="223"/>
      <c r="N787" s="240" t="s">
        <v>4895</v>
      </c>
      <c r="O787" s="240" t="s">
        <v>5745</v>
      </c>
      <c r="P787" s="240" t="s">
        <v>5746</v>
      </c>
      <c r="Q787" s="240" t="s">
        <v>4700</v>
      </c>
      <c r="R787" s="250" t="s">
        <v>2</v>
      </c>
      <c r="S787" s="250" t="s">
        <v>4767</v>
      </c>
      <c r="T787" s="233">
        <v>45583</v>
      </c>
      <c r="U787" s="234" t="s">
        <v>5609</v>
      </c>
      <c r="V787" s="234">
        <v>45610</v>
      </c>
      <c r="W787" s="234">
        <v>45611</v>
      </c>
      <c r="X787" s="234" t="s">
        <v>2</v>
      </c>
      <c r="Y787" s="234"/>
      <c r="Z787" s="234" t="s">
        <v>4702</v>
      </c>
      <c r="AA787" s="243">
        <v>202406</v>
      </c>
      <c r="AB787" s="243"/>
      <c r="AC787" s="244" t="s">
        <v>5747</v>
      </c>
      <c r="AD787" s="244" t="s">
        <v>4905</v>
      </c>
      <c r="AE787" s="245">
        <v>0</v>
      </c>
      <c r="AF787" s="244" t="s">
        <v>4905</v>
      </c>
      <c r="AG787" s="239" t="str">
        <f>IFERROR(VLOOKUP(작성용!A:A,RM!A:D,4,0),"-")</f>
        <v>조현우</v>
      </c>
      <c r="AH787" s="9" t="s">
        <v>4918</v>
      </c>
      <c r="AI787" s="235" t="s">
        <v>4771</v>
      </c>
      <c r="AJ787" s="235" t="s">
        <v>4776</v>
      </c>
      <c r="AK787" s="235" t="s">
        <v>4777</v>
      </c>
      <c r="AL787" s="235">
        <v>786</v>
      </c>
    </row>
    <row r="788" spans="1:38" x14ac:dyDescent="0.3">
      <c r="A788" s="222" t="s">
        <v>2599</v>
      </c>
      <c r="B788" s="222" t="s">
        <v>2600</v>
      </c>
      <c r="C788" s="241" t="s">
        <v>4778</v>
      </c>
      <c r="D788" s="237" t="s">
        <v>5749</v>
      </c>
      <c r="E788" s="236">
        <v>2054110011398</v>
      </c>
      <c r="F788" s="240" t="s">
        <v>4854</v>
      </c>
      <c r="G788" s="242">
        <v>0</v>
      </c>
      <c r="H788" s="223" t="s">
        <v>4771</v>
      </c>
      <c r="I788" s="223"/>
      <c r="J788" s="223"/>
      <c r="K788" s="223"/>
      <c r="L788" s="223"/>
      <c r="M788" s="223"/>
      <c r="N788" s="240" t="s">
        <v>4895</v>
      </c>
      <c r="O788" s="240" t="s">
        <v>5745</v>
      </c>
      <c r="P788" s="240" t="s">
        <v>5746</v>
      </c>
      <c r="Q788" s="240" t="s">
        <v>4700</v>
      </c>
      <c r="R788" s="250" t="s">
        <v>2</v>
      </c>
      <c r="S788" s="250" t="s">
        <v>4771</v>
      </c>
      <c r="T788" s="233">
        <v>45583</v>
      </c>
      <c r="U788" s="234" t="s">
        <v>5609</v>
      </c>
      <c r="V788" s="234">
        <v>45610</v>
      </c>
      <c r="W788" s="234">
        <v>45611</v>
      </c>
      <c r="X788" s="234" t="s">
        <v>2</v>
      </c>
      <c r="Y788" s="234"/>
      <c r="Z788" s="234" t="s">
        <v>4702</v>
      </c>
      <c r="AA788" s="243">
        <v>202406</v>
      </c>
      <c r="AB788" s="243"/>
      <c r="AC788" s="244" t="s">
        <v>5747</v>
      </c>
      <c r="AD788" s="244" t="s">
        <v>4905</v>
      </c>
      <c r="AE788" s="245">
        <v>0</v>
      </c>
      <c r="AF788" s="244" t="s">
        <v>4905</v>
      </c>
      <c r="AG788" s="239" t="str">
        <f>IFERROR(VLOOKUP(작성용!A:A,RM!A:D,4,0),"-")</f>
        <v>조현우</v>
      </c>
      <c r="AH788" s="9" t="s">
        <v>4918</v>
      </c>
      <c r="AI788" s="235" t="s">
        <v>4771</v>
      </c>
      <c r="AJ788" s="235" t="s">
        <v>4776</v>
      </c>
      <c r="AK788" s="235" t="s">
        <v>4777</v>
      </c>
      <c r="AL788" s="235">
        <v>787</v>
      </c>
    </row>
    <row r="789" spans="1:38" x14ac:dyDescent="0.3">
      <c r="A789" s="222" t="s">
        <v>2599</v>
      </c>
      <c r="B789" s="222" t="s">
        <v>2600</v>
      </c>
      <c r="C789" s="241" t="s">
        <v>4778</v>
      </c>
      <c r="D789" s="237" t="s">
        <v>5750</v>
      </c>
      <c r="E789" s="236">
        <v>1311110363538</v>
      </c>
      <c r="F789" s="240" t="s">
        <v>4854</v>
      </c>
      <c r="G789" s="242">
        <v>0</v>
      </c>
      <c r="H789" s="223" t="s">
        <v>4771</v>
      </c>
      <c r="I789" s="223"/>
      <c r="J789" s="223"/>
      <c r="K789" s="223"/>
      <c r="L789" s="223"/>
      <c r="M789" s="223"/>
      <c r="N789" s="240" t="s">
        <v>4895</v>
      </c>
      <c r="O789" s="240" t="s">
        <v>5745</v>
      </c>
      <c r="P789" s="240" t="s">
        <v>5746</v>
      </c>
      <c r="Q789" s="240" t="s">
        <v>4700</v>
      </c>
      <c r="R789" s="250" t="s">
        <v>2</v>
      </c>
      <c r="S789" s="250" t="s">
        <v>4771</v>
      </c>
      <c r="T789" s="233">
        <v>45583</v>
      </c>
      <c r="U789" s="234" t="s">
        <v>5609</v>
      </c>
      <c r="V789" s="234">
        <v>45610</v>
      </c>
      <c r="W789" s="234">
        <v>45611</v>
      </c>
      <c r="X789" s="234" t="s">
        <v>2</v>
      </c>
      <c r="Y789" s="234"/>
      <c r="Z789" s="234" t="s">
        <v>4702</v>
      </c>
      <c r="AA789" s="243">
        <v>202406</v>
      </c>
      <c r="AB789" s="243"/>
      <c r="AC789" s="244" t="s">
        <v>5747</v>
      </c>
      <c r="AD789" s="244" t="s">
        <v>4909</v>
      </c>
      <c r="AE789" s="245">
        <v>0</v>
      </c>
      <c r="AF789" s="244" t="s">
        <v>4909</v>
      </c>
      <c r="AG789" s="239" t="str">
        <f>IFERROR(VLOOKUP(작성용!A:A,RM!A:D,4,0),"-")</f>
        <v>조현우</v>
      </c>
      <c r="AH789" s="9" t="s">
        <v>4918</v>
      </c>
      <c r="AI789" s="235" t="s">
        <v>4771</v>
      </c>
      <c r="AJ789" s="235" t="s">
        <v>4776</v>
      </c>
      <c r="AK789" s="235" t="s">
        <v>4777</v>
      </c>
      <c r="AL789" s="235">
        <v>788</v>
      </c>
    </row>
    <row r="790" spans="1:38" x14ac:dyDescent="0.3">
      <c r="A790" s="222" t="s">
        <v>2599</v>
      </c>
      <c r="B790" s="222" t="s">
        <v>2600</v>
      </c>
      <c r="C790" s="241" t="s">
        <v>4778</v>
      </c>
      <c r="D790" s="237" t="s">
        <v>5750</v>
      </c>
      <c r="E790" s="236">
        <v>1311110363538</v>
      </c>
      <c r="F790" s="240" t="s">
        <v>4850</v>
      </c>
      <c r="G790" s="242">
        <v>0</v>
      </c>
      <c r="H790" s="223" t="s">
        <v>4771</v>
      </c>
      <c r="I790" s="223"/>
      <c r="J790" s="223"/>
      <c r="K790" s="223"/>
      <c r="L790" s="223"/>
      <c r="M790" s="223"/>
      <c r="N790" s="240" t="s">
        <v>4895</v>
      </c>
      <c r="O790" s="240" t="s">
        <v>5745</v>
      </c>
      <c r="P790" s="240" t="s">
        <v>5746</v>
      </c>
      <c r="Q790" s="240" t="s">
        <v>4700</v>
      </c>
      <c r="R790" s="250" t="s">
        <v>2</v>
      </c>
      <c r="S790" s="250" t="s">
        <v>4767</v>
      </c>
      <c r="T790" s="233">
        <v>45583</v>
      </c>
      <c r="U790" s="234" t="s">
        <v>5751</v>
      </c>
      <c r="V790" s="234">
        <v>45610</v>
      </c>
      <c r="W790" s="234">
        <v>45611</v>
      </c>
      <c r="X790" s="234" t="s">
        <v>2</v>
      </c>
      <c r="Y790" s="234"/>
      <c r="Z790" s="234" t="s">
        <v>4702</v>
      </c>
      <c r="AA790" s="243">
        <v>202406</v>
      </c>
      <c r="AB790" s="243"/>
      <c r="AC790" s="244" t="s">
        <v>5747</v>
      </c>
      <c r="AD790" s="244" t="s">
        <v>4909</v>
      </c>
      <c r="AE790" s="245">
        <v>0</v>
      </c>
      <c r="AF790" s="244" t="s">
        <v>4909</v>
      </c>
      <c r="AG790" s="239" t="str">
        <f>IFERROR(VLOOKUP(작성용!A:A,RM!A:D,4,0),"-")</f>
        <v>조현우</v>
      </c>
      <c r="AH790" s="9" t="s">
        <v>4918</v>
      </c>
      <c r="AI790" s="235" t="s">
        <v>4771</v>
      </c>
      <c r="AJ790" s="235" t="s">
        <v>4776</v>
      </c>
      <c r="AK790" s="235" t="s">
        <v>4777</v>
      </c>
      <c r="AL790" s="235">
        <v>789</v>
      </c>
    </row>
    <row r="791" spans="1:38" x14ac:dyDescent="0.3">
      <c r="A791" s="222" t="s">
        <v>2599</v>
      </c>
      <c r="B791" s="222" t="s">
        <v>2600</v>
      </c>
      <c r="C791" s="241" t="s">
        <v>4778</v>
      </c>
      <c r="D791" s="237" t="s">
        <v>5752</v>
      </c>
      <c r="E791" s="236" t="s">
        <v>4701</v>
      </c>
      <c r="F791" s="240" t="s">
        <v>4854</v>
      </c>
      <c r="G791" s="242">
        <v>0</v>
      </c>
      <c r="H791" s="223" t="s">
        <v>4771</v>
      </c>
      <c r="I791" s="223"/>
      <c r="J791" s="223"/>
      <c r="K791" s="223"/>
      <c r="L791" s="223"/>
      <c r="M791" s="223"/>
      <c r="N791" s="240" t="s">
        <v>4895</v>
      </c>
      <c r="O791" s="240" t="s">
        <v>5745</v>
      </c>
      <c r="P791" s="240" t="s">
        <v>5746</v>
      </c>
      <c r="Q791" s="240" t="s">
        <v>4700</v>
      </c>
      <c r="R791" s="250" t="s">
        <v>2</v>
      </c>
      <c r="S791" s="250" t="s">
        <v>4771</v>
      </c>
      <c r="T791" s="233">
        <v>45583</v>
      </c>
      <c r="U791" s="234" t="s">
        <v>5609</v>
      </c>
      <c r="V791" s="234">
        <v>45610</v>
      </c>
      <c r="W791" s="234">
        <v>45611</v>
      </c>
      <c r="X791" s="234" t="s">
        <v>2</v>
      </c>
      <c r="Y791" s="234"/>
      <c r="Z791" s="234" t="s">
        <v>4702</v>
      </c>
      <c r="AA791" s="243">
        <v>202406</v>
      </c>
      <c r="AB791" s="243"/>
      <c r="AC791" s="244" t="s">
        <v>5747</v>
      </c>
      <c r="AD791" s="244" t="s">
        <v>3644</v>
      </c>
      <c r="AE791" s="245">
        <v>0</v>
      </c>
      <c r="AF791" s="244" t="s">
        <v>4558</v>
      </c>
      <c r="AG791" s="239" t="str">
        <f>IFERROR(VLOOKUP(작성용!A:A,RM!A:D,4,0),"-")</f>
        <v>조현우</v>
      </c>
      <c r="AH791" s="9" t="s">
        <v>4918</v>
      </c>
      <c r="AI791" s="235" t="s">
        <v>4771</v>
      </c>
      <c r="AJ791" s="235" t="s">
        <v>4802</v>
      </c>
      <c r="AK791" s="235" t="s">
        <v>4777</v>
      </c>
      <c r="AL791" s="235">
        <v>790</v>
      </c>
    </row>
    <row r="792" spans="1:38" x14ac:dyDescent="0.3">
      <c r="A792" s="222" t="s">
        <v>2599</v>
      </c>
      <c r="B792" s="222" t="s">
        <v>2600</v>
      </c>
      <c r="C792" s="241" t="s">
        <v>4778</v>
      </c>
      <c r="D792" s="237" t="s">
        <v>5752</v>
      </c>
      <c r="E792" s="236" t="s">
        <v>4701</v>
      </c>
      <c r="F792" s="240" t="s">
        <v>4894</v>
      </c>
      <c r="G792" s="242">
        <v>0</v>
      </c>
      <c r="H792" s="223" t="s">
        <v>4771</v>
      </c>
      <c r="I792" s="223"/>
      <c r="J792" s="223"/>
      <c r="K792" s="223"/>
      <c r="L792" s="223"/>
      <c r="M792" s="223"/>
      <c r="N792" s="240" t="s">
        <v>4895</v>
      </c>
      <c r="O792" s="240" t="s">
        <v>5745</v>
      </c>
      <c r="P792" s="240" t="s">
        <v>5753</v>
      </c>
      <c r="Q792" s="240" t="s">
        <v>4700</v>
      </c>
      <c r="R792" s="250" t="s">
        <v>2</v>
      </c>
      <c r="S792" s="250" t="s">
        <v>4771</v>
      </c>
      <c r="T792" s="233">
        <v>45583</v>
      </c>
      <c r="U792" s="234" t="s">
        <v>5609</v>
      </c>
      <c r="V792" s="234">
        <v>45610</v>
      </c>
      <c r="W792" s="234">
        <v>45611</v>
      </c>
      <c r="X792" s="234" t="s">
        <v>2</v>
      </c>
      <c r="Y792" s="234"/>
      <c r="Z792" s="234" t="s">
        <v>4702</v>
      </c>
      <c r="AA792" s="243">
        <v>202406</v>
      </c>
      <c r="AB792" s="243"/>
      <c r="AC792" s="244" t="s">
        <v>5747</v>
      </c>
      <c r="AD792" s="244" t="s">
        <v>3644</v>
      </c>
      <c r="AE792" s="245">
        <v>0</v>
      </c>
      <c r="AF792" s="244" t="s">
        <v>4558</v>
      </c>
      <c r="AG792" s="239" t="str">
        <f>IFERROR(VLOOKUP(작성용!A:A,RM!A:D,4,0),"-")</f>
        <v>조현우</v>
      </c>
      <c r="AH792" s="9" t="s">
        <v>4918</v>
      </c>
      <c r="AI792" s="235" t="s">
        <v>4771</v>
      </c>
      <c r="AJ792" s="235" t="s">
        <v>4776</v>
      </c>
      <c r="AK792" s="235" t="s">
        <v>4777</v>
      </c>
      <c r="AL792" s="235">
        <v>791</v>
      </c>
    </row>
    <row r="793" spans="1:38" x14ac:dyDescent="0.3">
      <c r="A793" s="222" t="s">
        <v>2599</v>
      </c>
      <c r="B793" s="222" t="s">
        <v>2600</v>
      </c>
      <c r="C793" s="241" t="s">
        <v>4778</v>
      </c>
      <c r="D793" s="237" t="s">
        <v>5754</v>
      </c>
      <c r="E793" s="236">
        <v>1244110207010</v>
      </c>
      <c r="F793" s="240" t="s">
        <v>4854</v>
      </c>
      <c r="G793" s="242">
        <v>0</v>
      </c>
      <c r="H793" s="223" t="s">
        <v>4771</v>
      </c>
      <c r="I793" s="223"/>
      <c r="J793" s="223"/>
      <c r="K793" s="223"/>
      <c r="L793" s="223"/>
      <c r="M793" s="223"/>
      <c r="N793" s="240" t="s">
        <v>4895</v>
      </c>
      <c r="O793" s="240" t="s">
        <v>5745</v>
      </c>
      <c r="P793" s="240" t="s">
        <v>5746</v>
      </c>
      <c r="Q793" s="240" t="s">
        <v>4700</v>
      </c>
      <c r="R793" s="250" t="s">
        <v>2</v>
      </c>
      <c r="S793" s="250" t="s">
        <v>4771</v>
      </c>
      <c r="T793" s="233">
        <v>45583</v>
      </c>
      <c r="U793" s="234" t="s">
        <v>5609</v>
      </c>
      <c r="V793" s="234">
        <v>45610</v>
      </c>
      <c r="W793" s="234">
        <v>45611</v>
      </c>
      <c r="X793" s="234" t="s">
        <v>2</v>
      </c>
      <c r="Y793" s="234"/>
      <c r="Z793" s="234" t="s">
        <v>4702</v>
      </c>
      <c r="AA793" s="243">
        <v>202406</v>
      </c>
      <c r="AB793" s="243"/>
      <c r="AC793" s="244" t="s">
        <v>5747</v>
      </c>
      <c r="AD793" s="244" t="s">
        <v>4915</v>
      </c>
      <c r="AE793" s="245">
        <v>0</v>
      </c>
      <c r="AF793" s="244" t="s">
        <v>4872</v>
      </c>
      <c r="AG793" s="239" t="str">
        <f>IFERROR(VLOOKUP(작성용!A:A,RM!A:D,4,0),"-")</f>
        <v>조현우</v>
      </c>
      <c r="AH793" s="9" t="s">
        <v>4918</v>
      </c>
      <c r="AI793" s="235" t="s">
        <v>4771</v>
      </c>
      <c r="AJ793" s="235" t="s">
        <v>4776</v>
      </c>
      <c r="AK793" s="235" t="s">
        <v>4777</v>
      </c>
      <c r="AL793" s="235">
        <v>792</v>
      </c>
    </row>
    <row r="794" spans="1:38" x14ac:dyDescent="0.3">
      <c r="A794" s="222" t="s">
        <v>2599</v>
      </c>
      <c r="B794" s="222" t="s">
        <v>2600</v>
      </c>
      <c r="C794" s="241" t="s">
        <v>4778</v>
      </c>
      <c r="D794" s="237" t="s">
        <v>5754</v>
      </c>
      <c r="E794" s="236">
        <v>1244110207010</v>
      </c>
      <c r="F794" s="240" t="s">
        <v>4850</v>
      </c>
      <c r="G794" s="242">
        <v>0</v>
      </c>
      <c r="H794" s="223" t="s">
        <v>4771</v>
      </c>
      <c r="I794" s="223"/>
      <c r="J794" s="223"/>
      <c r="K794" s="223"/>
      <c r="L794" s="223"/>
      <c r="M794" s="223"/>
      <c r="N794" s="240" t="s">
        <v>4895</v>
      </c>
      <c r="O794" s="240" t="s">
        <v>5745</v>
      </c>
      <c r="P794" s="240" t="s">
        <v>5746</v>
      </c>
      <c r="Q794" s="240" t="s">
        <v>4700</v>
      </c>
      <c r="R794" s="250" t="s">
        <v>2</v>
      </c>
      <c r="S794" s="250" t="s">
        <v>4771</v>
      </c>
      <c r="T794" s="233">
        <v>45583</v>
      </c>
      <c r="U794" s="234" t="s">
        <v>5751</v>
      </c>
      <c r="V794" s="234">
        <v>45610</v>
      </c>
      <c r="W794" s="234">
        <v>45611</v>
      </c>
      <c r="X794" s="234" t="s">
        <v>2</v>
      </c>
      <c r="Y794" s="234"/>
      <c r="Z794" s="234" t="s">
        <v>4702</v>
      </c>
      <c r="AA794" s="243">
        <v>202406</v>
      </c>
      <c r="AB794" s="243"/>
      <c r="AC794" s="244" t="s">
        <v>5747</v>
      </c>
      <c r="AD794" s="244" t="s">
        <v>4915</v>
      </c>
      <c r="AE794" s="245">
        <v>0</v>
      </c>
      <c r="AF794" s="244" t="s">
        <v>4872</v>
      </c>
      <c r="AG794" s="239" t="str">
        <f>IFERROR(VLOOKUP(작성용!A:A,RM!A:D,4,0),"-")</f>
        <v>조현우</v>
      </c>
      <c r="AH794" s="9" t="s">
        <v>4918</v>
      </c>
      <c r="AI794" s="235" t="s">
        <v>4771</v>
      </c>
      <c r="AJ794" s="235" t="s">
        <v>4776</v>
      </c>
      <c r="AK794" s="235" t="s">
        <v>4777</v>
      </c>
      <c r="AL794" s="235">
        <v>793</v>
      </c>
    </row>
    <row r="795" spans="1:38" x14ac:dyDescent="0.3">
      <c r="A795" s="222" t="s">
        <v>2599</v>
      </c>
      <c r="B795" s="222" t="s">
        <v>2600</v>
      </c>
      <c r="C795" s="241" t="s">
        <v>4778</v>
      </c>
      <c r="D795" s="237" t="s">
        <v>5754</v>
      </c>
      <c r="E795" s="236">
        <v>1244110207010</v>
      </c>
      <c r="F795" s="240" t="s">
        <v>4894</v>
      </c>
      <c r="G795" s="242">
        <v>0</v>
      </c>
      <c r="H795" s="223" t="s">
        <v>4771</v>
      </c>
      <c r="I795" s="223"/>
      <c r="J795" s="223"/>
      <c r="K795" s="223"/>
      <c r="L795" s="223"/>
      <c r="M795" s="223"/>
      <c r="N795" s="240" t="s">
        <v>4895</v>
      </c>
      <c r="O795" s="240" t="s">
        <v>5745</v>
      </c>
      <c r="P795" s="240" t="s">
        <v>5746</v>
      </c>
      <c r="Q795" s="240" t="s">
        <v>4700</v>
      </c>
      <c r="R795" s="250" t="s">
        <v>2</v>
      </c>
      <c r="S795" s="250" t="s">
        <v>4771</v>
      </c>
      <c r="T795" s="233">
        <v>45583</v>
      </c>
      <c r="U795" s="234" t="s">
        <v>5609</v>
      </c>
      <c r="V795" s="234">
        <v>45610</v>
      </c>
      <c r="W795" s="234">
        <v>45611</v>
      </c>
      <c r="X795" s="234" t="s">
        <v>2</v>
      </c>
      <c r="Y795" s="234"/>
      <c r="Z795" s="234" t="s">
        <v>4702</v>
      </c>
      <c r="AA795" s="243">
        <v>202406</v>
      </c>
      <c r="AB795" s="243"/>
      <c r="AC795" s="244" t="s">
        <v>5747</v>
      </c>
      <c r="AD795" s="244" t="s">
        <v>4915</v>
      </c>
      <c r="AE795" s="245">
        <v>0</v>
      </c>
      <c r="AF795" s="244" t="s">
        <v>4872</v>
      </c>
      <c r="AG795" s="239" t="str">
        <f>IFERROR(VLOOKUP(작성용!A:A,RM!A:D,4,0),"-")</f>
        <v>조현우</v>
      </c>
      <c r="AH795" s="9" t="s">
        <v>5082</v>
      </c>
      <c r="AI795" s="235" t="s">
        <v>4771</v>
      </c>
      <c r="AJ795" s="235" t="s">
        <v>4776</v>
      </c>
      <c r="AK795" s="235" t="s">
        <v>4777</v>
      </c>
      <c r="AL795" s="235">
        <v>794</v>
      </c>
    </row>
    <row r="796" spans="1:38" x14ac:dyDescent="0.3">
      <c r="A796" s="222" t="s">
        <v>2599</v>
      </c>
      <c r="B796" s="222" t="s">
        <v>2600</v>
      </c>
      <c r="C796" s="241" t="s">
        <v>4778</v>
      </c>
      <c r="D796" s="237" t="s">
        <v>5237</v>
      </c>
      <c r="E796" s="236">
        <v>1101114475300</v>
      </c>
      <c r="F796" s="240" t="s">
        <v>4854</v>
      </c>
      <c r="G796" s="242">
        <v>0</v>
      </c>
      <c r="H796" s="223" t="s">
        <v>4771</v>
      </c>
      <c r="I796" s="223"/>
      <c r="J796" s="223"/>
      <c r="K796" s="223"/>
      <c r="L796" s="223"/>
      <c r="M796" s="223"/>
      <c r="N796" s="240" t="s">
        <v>4881</v>
      </c>
      <c r="O796" s="240" t="s">
        <v>5745</v>
      </c>
      <c r="P796" s="240" t="s">
        <v>5746</v>
      </c>
      <c r="Q796" s="240" t="s">
        <v>4700</v>
      </c>
      <c r="R796" s="250" t="s">
        <v>2</v>
      </c>
      <c r="S796" s="250" t="s">
        <v>4771</v>
      </c>
      <c r="T796" s="233">
        <v>45583</v>
      </c>
      <c r="U796" s="234" t="s">
        <v>4759</v>
      </c>
      <c r="V796" s="234">
        <v>45610</v>
      </c>
      <c r="W796" s="234">
        <v>45611</v>
      </c>
      <c r="X796" s="234" t="s">
        <v>2</v>
      </c>
      <c r="Y796" s="234"/>
      <c r="Z796" s="234" t="s">
        <v>5755</v>
      </c>
      <c r="AA796" s="243">
        <v>202411</v>
      </c>
      <c r="AB796" s="243"/>
      <c r="AC796" s="244" t="s">
        <v>5747</v>
      </c>
      <c r="AD796" s="244" t="s">
        <v>4918</v>
      </c>
      <c r="AE796" s="245">
        <v>0</v>
      </c>
      <c r="AF796" s="244" t="s">
        <v>4918</v>
      </c>
      <c r="AG796" s="239" t="str">
        <f>IFERROR(VLOOKUP(작성용!A:A,RM!A:D,4,0),"-")</f>
        <v>조현우</v>
      </c>
      <c r="AH796" s="9" t="s">
        <v>4918</v>
      </c>
      <c r="AI796" s="235" t="s">
        <v>4771</v>
      </c>
      <c r="AJ796" s="235" t="s">
        <v>4920</v>
      </c>
      <c r="AK796" s="235" t="s">
        <v>4777</v>
      </c>
      <c r="AL796" s="235">
        <v>795</v>
      </c>
    </row>
    <row r="797" spans="1:38" x14ac:dyDescent="0.3">
      <c r="A797" s="222" t="s">
        <v>2599</v>
      </c>
      <c r="B797" s="222" t="s">
        <v>2600</v>
      </c>
      <c r="C797" s="241" t="s">
        <v>4778</v>
      </c>
      <c r="D797" s="237" t="s">
        <v>5748</v>
      </c>
      <c r="E797" s="236">
        <v>1801110209098</v>
      </c>
      <c r="F797" s="240" t="s">
        <v>4854</v>
      </c>
      <c r="G797" s="242">
        <v>0</v>
      </c>
      <c r="H797" s="223" t="s">
        <v>4771</v>
      </c>
      <c r="I797" s="223"/>
      <c r="J797" s="223"/>
      <c r="K797" s="223"/>
      <c r="L797" s="223"/>
      <c r="M797" s="223"/>
      <c r="N797" s="240" t="s">
        <v>4895</v>
      </c>
      <c r="O797" s="240" t="s">
        <v>5745</v>
      </c>
      <c r="P797" s="240" t="s">
        <v>5746</v>
      </c>
      <c r="Q797" s="240" t="s">
        <v>4700</v>
      </c>
      <c r="R797" s="250" t="s">
        <v>2</v>
      </c>
      <c r="S797" s="250" t="s">
        <v>4771</v>
      </c>
      <c r="T797" s="233">
        <v>45583</v>
      </c>
      <c r="U797" s="234" t="s">
        <v>4759</v>
      </c>
      <c r="V797" s="234">
        <v>45610</v>
      </c>
      <c r="W797" s="234">
        <v>45611</v>
      </c>
      <c r="X797" s="234" t="s">
        <v>2</v>
      </c>
      <c r="Y797" s="234"/>
      <c r="Z797" s="234" t="s">
        <v>5755</v>
      </c>
      <c r="AA797" s="243">
        <v>202411</v>
      </c>
      <c r="AB797" s="243"/>
      <c r="AC797" s="244" t="s">
        <v>5747</v>
      </c>
      <c r="AD797" s="244" t="s">
        <v>4905</v>
      </c>
      <c r="AE797" s="245">
        <v>1.5</v>
      </c>
      <c r="AF797" s="244" t="s">
        <v>4905</v>
      </c>
      <c r="AG797" s="239" t="str">
        <f>IFERROR(VLOOKUP(작성용!A:A,RM!A:D,4,0),"-")</f>
        <v>조현우</v>
      </c>
      <c r="AH797" s="9" t="s">
        <v>4918</v>
      </c>
      <c r="AI797" s="235" t="s">
        <v>4771</v>
      </c>
      <c r="AJ797" s="235" t="s">
        <v>4920</v>
      </c>
      <c r="AK797" s="235" t="s">
        <v>4777</v>
      </c>
      <c r="AL797" s="235">
        <v>796</v>
      </c>
    </row>
    <row r="798" spans="1:38" x14ac:dyDescent="0.3">
      <c r="A798" s="222" t="s">
        <v>2599</v>
      </c>
      <c r="B798" s="222" t="s">
        <v>2600</v>
      </c>
      <c r="C798" s="241" t="s">
        <v>4778</v>
      </c>
      <c r="D798" s="237" t="s">
        <v>5756</v>
      </c>
      <c r="E798" s="236">
        <v>2054110011398</v>
      </c>
      <c r="F798" s="240" t="s">
        <v>4854</v>
      </c>
      <c r="G798" s="242">
        <v>0</v>
      </c>
      <c r="H798" s="223" t="s">
        <v>4771</v>
      </c>
      <c r="I798" s="223"/>
      <c r="J798" s="223"/>
      <c r="K798" s="223"/>
      <c r="L798" s="223"/>
      <c r="M798" s="223"/>
      <c r="N798" s="240" t="s">
        <v>4895</v>
      </c>
      <c r="O798" s="240" t="s">
        <v>5745</v>
      </c>
      <c r="P798" s="240" t="s">
        <v>5746</v>
      </c>
      <c r="Q798" s="240" t="s">
        <v>4700</v>
      </c>
      <c r="R798" s="250" t="s">
        <v>2</v>
      </c>
      <c r="S798" s="250" t="s">
        <v>4771</v>
      </c>
      <c r="T798" s="233">
        <v>45583</v>
      </c>
      <c r="U798" s="234" t="s">
        <v>4759</v>
      </c>
      <c r="V798" s="234">
        <v>45610</v>
      </c>
      <c r="W798" s="234">
        <v>45611</v>
      </c>
      <c r="X798" s="234" t="s">
        <v>2</v>
      </c>
      <c r="Y798" s="234"/>
      <c r="Z798" s="234" t="s">
        <v>5755</v>
      </c>
      <c r="AA798" s="243">
        <v>202411</v>
      </c>
      <c r="AB798" s="243"/>
      <c r="AC798" s="244" t="s">
        <v>5747</v>
      </c>
      <c r="AD798" s="244" t="s">
        <v>4905</v>
      </c>
      <c r="AE798" s="245">
        <v>1.5</v>
      </c>
      <c r="AF798" s="244" t="s">
        <v>4905</v>
      </c>
      <c r="AG798" s="239" t="str">
        <f>IFERROR(VLOOKUP(작성용!A:A,RM!A:D,4,0),"-")</f>
        <v>조현우</v>
      </c>
      <c r="AH798" s="9" t="s">
        <v>4918</v>
      </c>
      <c r="AI798" s="235" t="s">
        <v>4771</v>
      </c>
      <c r="AJ798" s="235" t="s">
        <v>4920</v>
      </c>
      <c r="AK798" s="235" t="s">
        <v>4777</v>
      </c>
      <c r="AL798" s="235">
        <v>797</v>
      </c>
    </row>
    <row r="799" spans="1:38" x14ac:dyDescent="0.3">
      <c r="A799" s="222" t="s">
        <v>2599</v>
      </c>
      <c r="B799" s="222" t="s">
        <v>2600</v>
      </c>
      <c r="C799" s="241" t="s">
        <v>4778</v>
      </c>
      <c r="D799" s="237" t="s">
        <v>5750</v>
      </c>
      <c r="E799" s="236">
        <v>1311110363538</v>
      </c>
      <c r="F799" s="240" t="s">
        <v>4854</v>
      </c>
      <c r="G799" s="242">
        <v>0</v>
      </c>
      <c r="H799" s="223" t="s">
        <v>4771</v>
      </c>
      <c r="I799" s="223"/>
      <c r="J799" s="223"/>
      <c r="K799" s="223"/>
      <c r="L799" s="223"/>
      <c r="M799" s="223"/>
      <c r="N799" s="240" t="s">
        <v>4895</v>
      </c>
      <c r="O799" s="240" t="s">
        <v>5745</v>
      </c>
      <c r="P799" s="240" t="s">
        <v>5746</v>
      </c>
      <c r="Q799" s="240" t="s">
        <v>4700</v>
      </c>
      <c r="R799" s="250" t="s">
        <v>2</v>
      </c>
      <c r="S799" s="250" t="s">
        <v>4771</v>
      </c>
      <c r="T799" s="233">
        <v>45583</v>
      </c>
      <c r="U799" s="234" t="s">
        <v>4759</v>
      </c>
      <c r="V799" s="234">
        <v>45610</v>
      </c>
      <c r="W799" s="234">
        <v>45611</v>
      </c>
      <c r="X799" s="234" t="s">
        <v>2</v>
      </c>
      <c r="Y799" s="234"/>
      <c r="Z799" s="234" t="s">
        <v>5755</v>
      </c>
      <c r="AA799" s="243">
        <v>202411</v>
      </c>
      <c r="AB799" s="243"/>
      <c r="AC799" s="244" t="s">
        <v>5747</v>
      </c>
      <c r="AD799" s="244" t="s">
        <v>5757</v>
      </c>
      <c r="AE799" s="245">
        <v>1.5</v>
      </c>
      <c r="AF799" s="244" t="s">
        <v>4909</v>
      </c>
      <c r="AG799" s="239" t="str">
        <f>IFERROR(VLOOKUP(작성용!A:A,RM!A:D,4,0),"-")</f>
        <v>조현우</v>
      </c>
      <c r="AH799" s="9" t="s">
        <v>4918</v>
      </c>
      <c r="AI799" s="235" t="s">
        <v>4771</v>
      </c>
      <c r="AJ799" s="235" t="s">
        <v>4920</v>
      </c>
      <c r="AK799" s="235" t="s">
        <v>4777</v>
      </c>
      <c r="AL799" s="235">
        <v>798</v>
      </c>
    </row>
    <row r="800" spans="1:38" x14ac:dyDescent="0.3">
      <c r="A800" s="222" t="s">
        <v>2599</v>
      </c>
      <c r="B800" s="222" t="s">
        <v>2600</v>
      </c>
      <c r="C800" s="241" t="s">
        <v>4778</v>
      </c>
      <c r="D800" s="237" t="s">
        <v>5750</v>
      </c>
      <c r="E800" s="236">
        <v>1311110363538</v>
      </c>
      <c r="F800" s="240" t="s">
        <v>4850</v>
      </c>
      <c r="G800" s="242">
        <v>0</v>
      </c>
      <c r="H800" s="223" t="s">
        <v>4771</v>
      </c>
      <c r="I800" s="223"/>
      <c r="J800" s="223"/>
      <c r="K800" s="223"/>
      <c r="L800" s="223"/>
      <c r="M800" s="223"/>
      <c r="N800" s="240" t="s">
        <v>4895</v>
      </c>
      <c r="O800" s="240" t="s">
        <v>5745</v>
      </c>
      <c r="P800" s="240" t="s">
        <v>5746</v>
      </c>
      <c r="Q800" s="240" t="s">
        <v>4700</v>
      </c>
      <c r="R800" s="250" t="s">
        <v>2</v>
      </c>
      <c r="S800" s="250" t="s">
        <v>4771</v>
      </c>
      <c r="T800" s="233">
        <v>45583</v>
      </c>
      <c r="U800" s="234" t="s">
        <v>4759</v>
      </c>
      <c r="V800" s="234">
        <v>45610</v>
      </c>
      <c r="W800" s="234">
        <v>45611</v>
      </c>
      <c r="X800" s="234" t="s">
        <v>2</v>
      </c>
      <c r="Y800" s="234"/>
      <c r="Z800" s="234" t="s">
        <v>5755</v>
      </c>
      <c r="AA800" s="243">
        <v>202411</v>
      </c>
      <c r="AB800" s="243"/>
      <c r="AC800" s="244" t="s">
        <v>5747</v>
      </c>
      <c r="AD800" s="244" t="s">
        <v>4909</v>
      </c>
      <c r="AE800" s="245">
        <v>0</v>
      </c>
      <c r="AF800" s="244" t="s">
        <v>4909</v>
      </c>
      <c r="AG800" s="239" t="str">
        <f>IFERROR(VLOOKUP(작성용!A:A,RM!A:D,4,0),"-")</f>
        <v>조현우</v>
      </c>
      <c r="AH800" s="9" t="s">
        <v>4918</v>
      </c>
      <c r="AI800" s="235" t="s">
        <v>4771</v>
      </c>
      <c r="AJ800" s="235" t="s">
        <v>4920</v>
      </c>
      <c r="AK800" s="235" t="s">
        <v>4777</v>
      </c>
      <c r="AL800" s="235">
        <v>799</v>
      </c>
    </row>
    <row r="801" spans="1:38" x14ac:dyDescent="0.3">
      <c r="A801" s="222" t="s">
        <v>2599</v>
      </c>
      <c r="B801" s="222" t="s">
        <v>2600</v>
      </c>
      <c r="C801" s="241" t="s">
        <v>4778</v>
      </c>
      <c r="D801" s="237" t="s">
        <v>5752</v>
      </c>
      <c r="E801" s="236" t="s">
        <v>4701</v>
      </c>
      <c r="F801" s="240" t="s">
        <v>4854</v>
      </c>
      <c r="G801" s="242">
        <v>0</v>
      </c>
      <c r="H801" s="223" t="s">
        <v>4771</v>
      </c>
      <c r="I801" s="223"/>
      <c r="J801" s="223"/>
      <c r="K801" s="223"/>
      <c r="L801" s="223"/>
      <c r="M801" s="223"/>
      <c r="N801" s="240" t="s">
        <v>4895</v>
      </c>
      <c r="O801" s="240" t="s">
        <v>5745</v>
      </c>
      <c r="P801" s="240" t="s">
        <v>5746</v>
      </c>
      <c r="Q801" s="240" t="s">
        <v>4700</v>
      </c>
      <c r="R801" s="250" t="s">
        <v>2</v>
      </c>
      <c r="S801" s="250" t="s">
        <v>4771</v>
      </c>
      <c r="T801" s="233">
        <v>45583</v>
      </c>
      <c r="U801" s="234" t="s">
        <v>4759</v>
      </c>
      <c r="V801" s="234">
        <v>45610</v>
      </c>
      <c r="W801" s="234">
        <v>45611</v>
      </c>
      <c r="X801" s="234" t="s">
        <v>2</v>
      </c>
      <c r="Y801" s="234"/>
      <c r="Z801" s="234" t="s">
        <v>5755</v>
      </c>
      <c r="AA801" s="243">
        <v>202411</v>
      </c>
      <c r="AB801" s="243"/>
      <c r="AC801" s="244" t="s">
        <v>5747</v>
      </c>
      <c r="AD801" s="244" t="s">
        <v>4937</v>
      </c>
      <c r="AE801" s="245">
        <v>1.5</v>
      </c>
      <c r="AF801" s="244" t="s">
        <v>4558</v>
      </c>
      <c r="AG801" s="239" t="str">
        <f>IFERROR(VLOOKUP(작성용!A:A,RM!A:D,4,0),"-")</f>
        <v>조현우</v>
      </c>
      <c r="AH801" s="9" t="s">
        <v>4918</v>
      </c>
      <c r="AI801" s="235" t="s">
        <v>4771</v>
      </c>
      <c r="AJ801" s="235" t="s">
        <v>4920</v>
      </c>
      <c r="AK801" s="235" t="s">
        <v>4777</v>
      </c>
      <c r="AL801" s="235">
        <v>800</v>
      </c>
    </row>
    <row r="802" spans="1:38" x14ac:dyDescent="0.3">
      <c r="A802" s="222" t="s">
        <v>2599</v>
      </c>
      <c r="B802" s="222" t="s">
        <v>2600</v>
      </c>
      <c r="C802" s="241" t="s">
        <v>4778</v>
      </c>
      <c r="D802" s="237" t="s">
        <v>5752</v>
      </c>
      <c r="E802" s="236" t="s">
        <v>4701</v>
      </c>
      <c r="F802" s="240" t="s">
        <v>4794</v>
      </c>
      <c r="G802" s="242">
        <v>0</v>
      </c>
      <c r="H802" s="223" t="s">
        <v>4771</v>
      </c>
      <c r="I802" s="223"/>
      <c r="J802" s="223"/>
      <c r="K802" s="223"/>
      <c r="L802" s="223"/>
      <c r="M802" s="223"/>
      <c r="N802" s="240" t="s">
        <v>4895</v>
      </c>
      <c r="O802" s="240" t="s">
        <v>5745</v>
      </c>
      <c r="P802" s="240" t="s">
        <v>5746</v>
      </c>
      <c r="Q802" s="240" t="s">
        <v>4700</v>
      </c>
      <c r="R802" s="250" t="s">
        <v>2</v>
      </c>
      <c r="S802" s="250" t="s">
        <v>4771</v>
      </c>
      <c r="T802" s="233">
        <v>45583</v>
      </c>
      <c r="U802" s="234" t="s">
        <v>4759</v>
      </c>
      <c r="V802" s="234">
        <v>45610</v>
      </c>
      <c r="W802" s="234">
        <v>45611</v>
      </c>
      <c r="X802" s="234" t="s">
        <v>2</v>
      </c>
      <c r="Y802" s="234"/>
      <c r="Z802" s="234" t="s">
        <v>5755</v>
      </c>
      <c r="AA802" s="243">
        <v>202411</v>
      </c>
      <c r="AB802" s="243"/>
      <c r="AC802" s="244" t="s">
        <v>5747</v>
      </c>
      <c r="AD802" s="244" t="s">
        <v>4937</v>
      </c>
      <c r="AE802" s="245">
        <v>0</v>
      </c>
      <c r="AF802" s="244" t="s">
        <v>4558</v>
      </c>
      <c r="AG802" s="239" t="str">
        <f>IFERROR(VLOOKUP(작성용!A:A,RM!A:D,4,0),"-")</f>
        <v>조현우</v>
      </c>
      <c r="AH802" s="9" t="s">
        <v>4918</v>
      </c>
      <c r="AI802" s="235" t="s">
        <v>4771</v>
      </c>
      <c r="AJ802" s="235" t="s">
        <v>4920</v>
      </c>
      <c r="AK802" s="235" t="s">
        <v>4777</v>
      </c>
      <c r="AL802" s="235">
        <v>801</v>
      </c>
    </row>
    <row r="803" spans="1:38" x14ac:dyDescent="0.3">
      <c r="A803" s="222" t="s">
        <v>2599</v>
      </c>
      <c r="B803" s="222" t="s">
        <v>2600</v>
      </c>
      <c r="C803" s="241" t="s">
        <v>4778</v>
      </c>
      <c r="D803" s="237" t="s">
        <v>5754</v>
      </c>
      <c r="E803" s="236">
        <v>1244110207010</v>
      </c>
      <c r="F803" s="240" t="s">
        <v>4854</v>
      </c>
      <c r="G803" s="242">
        <v>0</v>
      </c>
      <c r="H803" s="223" t="s">
        <v>4771</v>
      </c>
      <c r="I803" s="223"/>
      <c r="J803" s="223"/>
      <c r="K803" s="223"/>
      <c r="L803" s="223"/>
      <c r="M803" s="223"/>
      <c r="N803" s="240" t="s">
        <v>4895</v>
      </c>
      <c r="O803" s="240" t="s">
        <v>5745</v>
      </c>
      <c r="P803" s="240" t="s">
        <v>5746</v>
      </c>
      <c r="Q803" s="240" t="s">
        <v>4700</v>
      </c>
      <c r="R803" s="250" t="s">
        <v>2</v>
      </c>
      <c r="S803" s="250" t="s">
        <v>4771</v>
      </c>
      <c r="T803" s="233">
        <v>45583</v>
      </c>
      <c r="U803" s="234" t="s">
        <v>4759</v>
      </c>
      <c r="V803" s="234">
        <v>45610</v>
      </c>
      <c r="W803" s="234">
        <v>45611</v>
      </c>
      <c r="X803" s="234" t="s">
        <v>2</v>
      </c>
      <c r="Y803" s="234"/>
      <c r="Z803" s="234" t="s">
        <v>5755</v>
      </c>
      <c r="AA803" s="243">
        <v>202411</v>
      </c>
      <c r="AB803" s="243"/>
      <c r="AC803" s="244" t="s">
        <v>5747</v>
      </c>
      <c r="AD803" s="244" t="s">
        <v>4915</v>
      </c>
      <c r="AE803" s="245">
        <v>1.5</v>
      </c>
      <c r="AF803" s="244" t="s">
        <v>4872</v>
      </c>
      <c r="AG803" s="239" t="str">
        <f>IFERROR(VLOOKUP(작성용!A:A,RM!A:D,4,0),"-")</f>
        <v>조현우</v>
      </c>
      <c r="AH803" s="9" t="s">
        <v>4918</v>
      </c>
      <c r="AI803" s="235" t="s">
        <v>4771</v>
      </c>
      <c r="AJ803" s="235" t="s">
        <v>4920</v>
      </c>
      <c r="AK803" s="235" t="s">
        <v>4777</v>
      </c>
      <c r="AL803" s="235">
        <v>802</v>
      </c>
    </row>
    <row r="804" spans="1:38" x14ac:dyDescent="0.3">
      <c r="A804" s="222" t="s">
        <v>2599</v>
      </c>
      <c r="B804" s="222" t="s">
        <v>2600</v>
      </c>
      <c r="C804" s="241" t="s">
        <v>4778</v>
      </c>
      <c r="D804" s="237" t="s">
        <v>5754</v>
      </c>
      <c r="E804" s="236">
        <v>1244110207010</v>
      </c>
      <c r="F804" s="240" t="s">
        <v>4850</v>
      </c>
      <c r="G804" s="242">
        <v>0</v>
      </c>
      <c r="H804" s="223" t="s">
        <v>4771</v>
      </c>
      <c r="I804" s="223"/>
      <c r="J804" s="223"/>
      <c r="K804" s="223"/>
      <c r="L804" s="223"/>
      <c r="M804" s="223"/>
      <c r="N804" s="240" t="s">
        <v>4895</v>
      </c>
      <c r="O804" s="240" t="s">
        <v>5745</v>
      </c>
      <c r="P804" s="240" t="s">
        <v>5746</v>
      </c>
      <c r="Q804" s="240" t="s">
        <v>4700</v>
      </c>
      <c r="R804" s="250" t="s">
        <v>2</v>
      </c>
      <c r="S804" s="250" t="s">
        <v>4771</v>
      </c>
      <c r="T804" s="233">
        <v>45583</v>
      </c>
      <c r="U804" s="234" t="s">
        <v>4759</v>
      </c>
      <c r="V804" s="234">
        <v>45610</v>
      </c>
      <c r="W804" s="234">
        <v>45611</v>
      </c>
      <c r="X804" s="234" t="s">
        <v>2</v>
      </c>
      <c r="Y804" s="234"/>
      <c r="Z804" s="234" t="s">
        <v>5755</v>
      </c>
      <c r="AA804" s="243">
        <v>202411</v>
      </c>
      <c r="AB804" s="243"/>
      <c r="AC804" s="244" t="s">
        <v>5747</v>
      </c>
      <c r="AD804" s="244" t="s">
        <v>4915</v>
      </c>
      <c r="AE804" s="245">
        <v>0</v>
      </c>
      <c r="AF804" s="244" t="s">
        <v>4872</v>
      </c>
      <c r="AG804" s="239" t="str">
        <f>IFERROR(VLOOKUP(작성용!A:A,RM!A:D,4,0),"-")</f>
        <v>조현우</v>
      </c>
      <c r="AH804" s="9" t="s">
        <v>4918</v>
      </c>
      <c r="AI804" s="235" t="s">
        <v>4771</v>
      </c>
      <c r="AJ804" s="235" t="s">
        <v>4920</v>
      </c>
      <c r="AK804" s="235" t="s">
        <v>4777</v>
      </c>
      <c r="AL804" s="235">
        <v>803</v>
      </c>
    </row>
    <row r="805" spans="1:38" x14ac:dyDescent="0.3">
      <c r="A805" s="222" t="s">
        <v>2599</v>
      </c>
      <c r="B805" s="222" t="s">
        <v>2600</v>
      </c>
      <c r="C805" s="241" t="s">
        <v>4778</v>
      </c>
      <c r="D805" s="237" t="s">
        <v>5754</v>
      </c>
      <c r="E805" s="236">
        <v>1244110207010</v>
      </c>
      <c r="F805" s="240" t="s">
        <v>4894</v>
      </c>
      <c r="G805" s="242">
        <v>0</v>
      </c>
      <c r="H805" s="223" t="s">
        <v>4771</v>
      </c>
      <c r="I805" s="223"/>
      <c r="J805" s="223"/>
      <c r="K805" s="223"/>
      <c r="L805" s="223"/>
      <c r="M805" s="223"/>
      <c r="N805" s="240" t="s">
        <v>4895</v>
      </c>
      <c r="O805" s="240" t="s">
        <v>5745</v>
      </c>
      <c r="P805" s="240" t="s">
        <v>5746</v>
      </c>
      <c r="Q805" s="240" t="s">
        <v>4700</v>
      </c>
      <c r="R805" s="250" t="s">
        <v>2</v>
      </c>
      <c r="S805" s="250" t="s">
        <v>4771</v>
      </c>
      <c r="T805" s="233">
        <v>45583</v>
      </c>
      <c r="U805" s="234" t="s">
        <v>4759</v>
      </c>
      <c r="V805" s="234">
        <v>45610</v>
      </c>
      <c r="W805" s="234">
        <v>45611</v>
      </c>
      <c r="X805" s="234" t="s">
        <v>2</v>
      </c>
      <c r="Y805" s="234"/>
      <c r="Z805" s="234" t="s">
        <v>5755</v>
      </c>
      <c r="AA805" s="243">
        <v>202411</v>
      </c>
      <c r="AB805" s="243"/>
      <c r="AC805" s="244" t="s">
        <v>5747</v>
      </c>
      <c r="AD805" s="244" t="s">
        <v>4915</v>
      </c>
      <c r="AE805" s="245">
        <v>0</v>
      </c>
      <c r="AF805" s="244" t="s">
        <v>4872</v>
      </c>
      <c r="AG805" s="239" t="str">
        <f>IFERROR(VLOOKUP(작성용!A:A,RM!A:D,4,0),"-")</f>
        <v>조현우</v>
      </c>
      <c r="AH805" s="9" t="s">
        <v>4918</v>
      </c>
      <c r="AI805" s="235" t="s">
        <v>4771</v>
      </c>
      <c r="AJ805" s="235" t="s">
        <v>4920</v>
      </c>
      <c r="AK805" s="235" t="s">
        <v>4777</v>
      </c>
      <c r="AL805" s="235">
        <v>804</v>
      </c>
    </row>
    <row r="806" spans="1:38" x14ac:dyDescent="0.3">
      <c r="A806" s="222">
        <v>6000799</v>
      </c>
      <c r="B806" s="222" t="s">
        <v>5343</v>
      </c>
      <c r="C806" s="237" t="s">
        <v>4762</v>
      </c>
      <c r="D806" s="237" t="s">
        <v>5758</v>
      </c>
      <c r="E806" s="236">
        <v>1101117174256</v>
      </c>
      <c r="F806" s="240" t="s">
        <v>4854</v>
      </c>
      <c r="G806" s="214">
        <v>0</v>
      </c>
      <c r="H806" s="231" t="s">
        <v>4771</v>
      </c>
      <c r="I806" s="231"/>
      <c r="J806" s="231"/>
      <c r="K806" s="231"/>
      <c r="L806" s="231"/>
      <c r="M806" s="231"/>
      <c r="N806" s="231" t="s">
        <v>4895</v>
      </c>
      <c r="O806" s="246"/>
      <c r="P806" s="246"/>
      <c r="Q806" s="225"/>
      <c r="R806" s="212" t="s">
        <v>4771</v>
      </c>
      <c r="S806" s="213" t="s">
        <v>4771</v>
      </c>
      <c r="T806" s="233" t="s">
        <v>5386</v>
      </c>
      <c r="U806" s="234" t="s">
        <v>4759</v>
      </c>
      <c r="V806" s="234">
        <v>45611</v>
      </c>
      <c r="W806" s="234" t="s">
        <v>4877</v>
      </c>
      <c r="X806" s="234" t="s">
        <v>2</v>
      </c>
      <c r="Y806" s="234"/>
      <c r="Z806" s="234"/>
      <c r="AA806" s="243">
        <v>202411</v>
      </c>
      <c r="AB806" s="243"/>
      <c r="AC806" s="244" t="s">
        <v>5210</v>
      </c>
      <c r="AD806" s="244" t="s">
        <v>3713</v>
      </c>
      <c r="AE806" s="245">
        <v>0</v>
      </c>
      <c r="AF806" s="244" t="s">
        <v>3713</v>
      </c>
      <c r="AG806" s="239" t="str">
        <f>IFERROR(VLOOKUP(작성용!A:A,RM!A:D,4,0),"-")</f>
        <v>-</v>
      </c>
      <c r="AH806" s="235" t="s">
        <v>4771</v>
      </c>
      <c r="AI806" s="235" t="s">
        <v>4771</v>
      </c>
      <c r="AJ806" s="235" t="s">
        <v>4771</v>
      </c>
      <c r="AK806" s="235" t="s">
        <v>5208</v>
      </c>
      <c r="AL806" s="235">
        <v>805</v>
      </c>
    </row>
    <row r="807" spans="1:38" x14ac:dyDescent="0.3">
      <c r="A807" s="222">
        <v>6000799</v>
      </c>
      <c r="B807" s="222" t="s">
        <v>5343</v>
      </c>
      <c r="C807" s="237" t="s">
        <v>4762</v>
      </c>
      <c r="D807" s="237" t="s">
        <v>5758</v>
      </c>
      <c r="E807" s="236">
        <v>1101117174256</v>
      </c>
      <c r="F807" s="240" t="s">
        <v>4850</v>
      </c>
      <c r="G807" s="214">
        <v>77</v>
      </c>
      <c r="H807" s="231" t="s">
        <v>4771</v>
      </c>
      <c r="I807" s="231"/>
      <c r="J807" s="231"/>
      <c r="K807" s="231"/>
      <c r="L807" s="231"/>
      <c r="M807" s="231"/>
      <c r="N807" s="231" t="s">
        <v>4895</v>
      </c>
      <c r="O807" s="246"/>
      <c r="P807" s="246"/>
      <c r="Q807" s="225"/>
      <c r="R807" s="212" t="s">
        <v>4771</v>
      </c>
      <c r="S807" s="213" t="s">
        <v>4771</v>
      </c>
      <c r="T807" s="233" t="s">
        <v>5386</v>
      </c>
      <c r="U807" s="234" t="s">
        <v>4759</v>
      </c>
      <c r="V807" s="234">
        <v>45611</v>
      </c>
      <c r="W807" s="234" t="s">
        <v>4877</v>
      </c>
      <c r="X807" s="234" t="s">
        <v>2</v>
      </c>
      <c r="Y807" s="234"/>
      <c r="Z807" s="234"/>
      <c r="AA807" s="243">
        <v>202411</v>
      </c>
      <c r="AB807" s="243"/>
      <c r="AC807" s="244" t="s">
        <v>5210</v>
      </c>
      <c r="AD807" s="244" t="s">
        <v>3713</v>
      </c>
      <c r="AE807" s="245">
        <v>0</v>
      </c>
      <c r="AF807" s="244" t="s">
        <v>3713</v>
      </c>
      <c r="AG807" s="239" t="str">
        <f>IFERROR(VLOOKUP(작성용!A:A,RM!A:D,4,0),"-")</f>
        <v>-</v>
      </c>
      <c r="AH807" s="235" t="s">
        <v>4771</v>
      </c>
      <c r="AI807" s="235" t="s">
        <v>4771</v>
      </c>
      <c r="AJ807" s="235" t="s">
        <v>4771</v>
      </c>
      <c r="AK807" s="235" t="s">
        <v>5208</v>
      </c>
      <c r="AL807" s="235">
        <v>806</v>
      </c>
    </row>
    <row r="808" spans="1:38" x14ac:dyDescent="0.3">
      <c r="A808" s="229" t="s">
        <v>1871</v>
      </c>
      <c r="B808" s="229" t="s">
        <v>5736</v>
      </c>
      <c r="C808" s="241" t="s">
        <v>4762</v>
      </c>
      <c r="D808" s="237" t="s">
        <v>5759</v>
      </c>
      <c r="E808" s="236">
        <v>1101114191815</v>
      </c>
      <c r="F808" s="240" t="s">
        <v>4854</v>
      </c>
      <c r="G808" s="214">
        <v>0</v>
      </c>
      <c r="H808" s="231" t="s">
        <v>4771</v>
      </c>
      <c r="I808" s="231"/>
      <c r="J808" s="231"/>
      <c r="K808" s="231"/>
      <c r="L808" s="231"/>
      <c r="M808" s="231"/>
      <c r="N808" s="231" t="s">
        <v>5035</v>
      </c>
      <c r="O808" s="246" t="s">
        <v>5738</v>
      </c>
      <c r="P808" s="246" t="s">
        <v>5739</v>
      </c>
      <c r="Q808" s="225" t="s">
        <v>5740</v>
      </c>
      <c r="R808" s="212" t="s">
        <v>4771</v>
      </c>
      <c r="S808" s="213" t="s">
        <v>4771</v>
      </c>
      <c r="T808" s="233">
        <v>45586</v>
      </c>
      <c r="U808" s="234" t="s">
        <v>4759</v>
      </c>
      <c r="V808" s="233">
        <v>45609</v>
      </c>
      <c r="W808" s="233">
        <v>45615</v>
      </c>
      <c r="X808" s="234" t="s">
        <v>4771</v>
      </c>
      <c r="Y808" s="234"/>
      <c r="Z808" s="234" t="s">
        <v>4697</v>
      </c>
      <c r="AA808" s="224">
        <v>202411</v>
      </c>
      <c r="AB808" s="243"/>
      <c r="AC808" s="233" t="s">
        <v>4760</v>
      </c>
      <c r="AD808" s="244" t="s">
        <v>4918</v>
      </c>
      <c r="AE808" s="245">
        <v>1</v>
      </c>
      <c r="AF808" s="244" t="s">
        <v>4918</v>
      </c>
      <c r="AG808" s="239" t="str">
        <f>IFERROR(VLOOKUP(작성용!A:A,RM!A:D,4,0),"-")</f>
        <v>조현우</v>
      </c>
      <c r="AH808" s="9" t="s">
        <v>4918</v>
      </c>
      <c r="AI808" s="235" t="s">
        <v>4771</v>
      </c>
      <c r="AJ808" s="235" t="s">
        <v>4920</v>
      </c>
      <c r="AK808" s="235" t="s">
        <v>4777</v>
      </c>
      <c r="AL808" s="235">
        <v>807</v>
      </c>
    </row>
    <row r="809" spans="1:38" x14ac:dyDescent="0.3">
      <c r="A809" s="222" t="s">
        <v>4703</v>
      </c>
      <c r="B809" s="222" t="s">
        <v>4704</v>
      </c>
      <c r="C809" s="241" t="s">
        <v>4778</v>
      </c>
      <c r="D809" s="237" t="s">
        <v>5760</v>
      </c>
      <c r="E809" s="236">
        <v>1101140275980</v>
      </c>
      <c r="F809" s="240" t="s">
        <v>4780</v>
      </c>
      <c r="G809" s="238">
        <v>0</v>
      </c>
      <c r="H809" s="223" t="s">
        <v>4771</v>
      </c>
      <c r="I809" s="223"/>
      <c r="J809" s="223"/>
      <c r="K809" s="223"/>
      <c r="L809" s="223"/>
      <c r="M809" s="223"/>
      <c r="N809" s="225" t="s">
        <v>4972</v>
      </c>
      <c r="O809" s="225" t="s">
        <v>5761</v>
      </c>
      <c r="P809" s="225" t="s">
        <v>5762</v>
      </c>
      <c r="Q809" s="240" t="s">
        <v>5763</v>
      </c>
      <c r="R809" s="250" t="s">
        <v>2</v>
      </c>
      <c r="S809" s="236" t="s">
        <v>4771</v>
      </c>
      <c r="T809" s="233">
        <v>45586</v>
      </c>
      <c r="U809" s="234" t="s">
        <v>4759</v>
      </c>
      <c r="V809" s="234">
        <v>45611</v>
      </c>
      <c r="W809" s="234">
        <v>45615</v>
      </c>
      <c r="X809" s="234" t="s">
        <v>2</v>
      </c>
      <c r="Y809" s="234"/>
      <c r="Z809" s="234" t="s">
        <v>5764</v>
      </c>
      <c r="AA809" s="243">
        <v>202411</v>
      </c>
      <c r="AB809" s="243"/>
      <c r="AC809" s="244" t="s">
        <v>4800</v>
      </c>
      <c r="AD809" s="244" t="s">
        <v>4915</v>
      </c>
      <c r="AE809" s="245">
        <v>1</v>
      </c>
      <c r="AF809" s="244" t="s">
        <v>5001</v>
      </c>
      <c r="AG809" s="239" t="str">
        <f>IFERROR(VLOOKUP(작성용!A:A,RM!A:D,4,0),"-")</f>
        <v>윤광일</v>
      </c>
      <c r="AH809" s="9" t="s">
        <v>4915</v>
      </c>
      <c r="AI809" s="235" t="s">
        <v>4771</v>
      </c>
      <c r="AJ809" s="235" t="s">
        <v>4920</v>
      </c>
      <c r="AK809" s="235" t="s">
        <v>4777</v>
      </c>
      <c r="AL809" s="235">
        <v>808</v>
      </c>
    </row>
    <row r="810" spans="1:38" x14ac:dyDescent="0.3">
      <c r="A810" s="222" t="s">
        <v>4703</v>
      </c>
      <c r="B810" s="222" t="s">
        <v>4704</v>
      </c>
      <c r="C810" s="241" t="s">
        <v>4778</v>
      </c>
      <c r="D810" s="237" t="s">
        <v>5765</v>
      </c>
      <c r="E810" s="236">
        <v>1101117980398</v>
      </c>
      <c r="F810" s="240" t="s">
        <v>4854</v>
      </c>
      <c r="G810" s="238">
        <v>0</v>
      </c>
      <c r="H810" s="223" t="s">
        <v>4771</v>
      </c>
      <c r="I810" s="223"/>
      <c r="J810" s="223"/>
      <c r="K810" s="223"/>
      <c r="L810" s="223"/>
      <c r="M810" s="223"/>
      <c r="N810" s="225" t="s">
        <v>4972</v>
      </c>
      <c r="O810" s="225" t="s">
        <v>5761</v>
      </c>
      <c r="P810" s="225" t="s">
        <v>5762</v>
      </c>
      <c r="Q810" s="240" t="s">
        <v>5763</v>
      </c>
      <c r="R810" s="250" t="s">
        <v>2</v>
      </c>
      <c r="S810" s="236" t="s">
        <v>4771</v>
      </c>
      <c r="T810" s="233">
        <v>45586</v>
      </c>
      <c r="U810" s="234" t="s">
        <v>4759</v>
      </c>
      <c r="V810" s="234">
        <v>45611</v>
      </c>
      <c r="W810" s="234">
        <v>45615</v>
      </c>
      <c r="X810" s="234" t="s">
        <v>2</v>
      </c>
      <c r="Y810" s="234"/>
      <c r="Z810" s="234" t="s">
        <v>5764</v>
      </c>
      <c r="AA810" s="243">
        <v>202411</v>
      </c>
      <c r="AB810" s="243"/>
      <c r="AC810" s="244" t="s">
        <v>4800</v>
      </c>
      <c r="AD810" s="244" t="s">
        <v>4858</v>
      </c>
      <c r="AE810" s="245">
        <v>1</v>
      </c>
      <c r="AF810" s="244" t="s">
        <v>4858</v>
      </c>
      <c r="AG810" s="239" t="str">
        <f>IFERROR(VLOOKUP(작성용!A:A,RM!A:D,4,0),"-")</f>
        <v>윤광일</v>
      </c>
      <c r="AH810" s="9" t="s">
        <v>4915</v>
      </c>
      <c r="AI810" s="235" t="s">
        <v>4771</v>
      </c>
      <c r="AJ810" s="235" t="s">
        <v>4920</v>
      </c>
      <c r="AK810" s="235" t="s">
        <v>4777</v>
      </c>
      <c r="AL810" s="235">
        <v>809</v>
      </c>
    </row>
    <row r="811" spans="1:38" x14ac:dyDescent="0.3">
      <c r="A811" s="222" t="s">
        <v>4703</v>
      </c>
      <c r="B811" s="222" t="s">
        <v>4704</v>
      </c>
      <c r="C811" s="241" t="s">
        <v>4778</v>
      </c>
      <c r="D811" s="237" t="s">
        <v>5766</v>
      </c>
      <c r="E811" s="236">
        <v>1101140289692</v>
      </c>
      <c r="F811" s="240" t="s">
        <v>4854</v>
      </c>
      <c r="G811" s="238">
        <v>0</v>
      </c>
      <c r="H811" s="223" t="s">
        <v>4771</v>
      </c>
      <c r="I811" s="223"/>
      <c r="J811" s="223"/>
      <c r="K811" s="223"/>
      <c r="L811" s="223"/>
      <c r="M811" s="223"/>
      <c r="N811" s="225" t="s">
        <v>4972</v>
      </c>
      <c r="O811" s="225" t="s">
        <v>5761</v>
      </c>
      <c r="P811" s="225" t="s">
        <v>5762</v>
      </c>
      <c r="Q811" s="240" t="s">
        <v>5763</v>
      </c>
      <c r="R811" s="250" t="s">
        <v>2</v>
      </c>
      <c r="S811" s="236" t="s">
        <v>4771</v>
      </c>
      <c r="T811" s="233">
        <v>45586</v>
      </c>
      <c r="U811" s="234" t="s">
        <v>4759</v>
      </c>
      <c r="V811" s="234">
        <v>45611</v>
      </c>
      <c r="W811" s="234">
        <v>45615</v>
      </c>
      <c r="X811" s="234" t="s">
        <v>2</v>
      </c>
      <c r="Y811" s="234"/>
      <c r="Z811" s="234" t="s">
        <v>5764</v>
      </c>
      <c r="AA811" s="243">
        <v>202411</v>
      </c>
      <c r="AB811" s="243"/>
      <c r="AC811" s="244" t="s">
        <v>4800</v>
      </c>
      <c r="AD811" s="244" t="s">
        <v>4900</v>
      </c>
      <c r="AE811" s="245">
        <v>1</v>
      </c>
      <c r="AF811" s="244" t="s">
        <v>4900</v>
      </c>
      <c r="AG811" s="239" t="str">
        <f>IFERROR(VLOOKUP(작성용!A:A,RM!A:D,4,0),"-")</f>
        <v>윤광일</v>
      </c>
      <c r="AH811" s="9" t="s">
        <v>4915</v>
      </c>
      <c r="AI811" s="235" t="s">
        <v>4771</v>
      </c>
      <c r="AJ811" s="235" t="s">
        <v>4920</v>
      </c>
      <c r="AK811" s="235" t="s">
        <v>4777</v>
      </c>
      <c r="AL811" s="235">
        <v>810</v>
      </c>
    </row>
    <row r="812" spans="1:38" x14ac:dyDescent="0.3">
      <c r="A812" s="222" t="s">
        <v>4703</v>
      </c>
      <c r="B812" s="222" t="s">
        <v>4704</v>
      </c>
      <c r="C812" s="241" t="s">
        <v>4778</v>
      </c>
      <c r="D812" s="237" t="s">
        <v>5767</v>
      </c>
      <c r="E812" s="236" t="s">
        <v>5768</v>
      </c>
      <c r="F812" s="240" t="s">
        <v>4894</v>
      </c>
      <c r="G812" s="238">
        <v>0</v>
      </c>
      <c r="H812" s="223" t="s">
        <v>4771</v>
      </c>
      <c r="I812" s="223"/>
      <c r="J812" s="223"/>
      <c r="K812" s="223"/>
      <c r="L812" s="223"/>
      <c r="M812" s="223"/>
      <c r="N812" s="225" t="s">
        <v>4972</v>
      </c>
      <c r="O812" s="225" t="s">
        <v>5761</v>
      </c>
      <c r="P812" s="225" t="s">
        <v>5762</v>
      </c>
      <c r="Q812" s="240" t="s">
        <v>5763</v>
      </c>
      <c r="R812" s="250" t="s">
        <v>2</v>
      </c>
      <c r="S812" s="236" t="s">
        <v>4771</v>
      </c>
      <c r="T812" s="233">
        <v>45590</v>
      </c>
      <c r="U812" s="234" t="s">
        <v>4759</v>
      </c>
      <c r="V812" s="234">
        <v>45611</v>
      </c>
      <c r="W812" s="234">
        <v>45615</v>
      </c>
      <c r="X812" s="234" t="s">
        <v>2</v>
      </c>
      <c r="Y812" s="234"/>
      <c r="Z812" s="234" t="s">
        <v>5764</v>
      </c>
      <c r="AA812" s="243">
        <v>202411</v>
      </c>
      <c r="AB812" s="243"/>
      <c r="AC812" s="244" t="s">
        <v>4800</v>
      </c>
      <c r="AD812" s="244" t="s">
        <v>3646</v>
      </c>
      <c r="AE812" s="245">
        <v>1</v>
      </c>
      <c r="AF812" s="243" t="s">
        <v>3646</v>
      </c>
      <c r="AG812" s="239" t="str">
        <f>IFERROR(VLOOKUP(작성용!A:A,RM!A:D,4,0),"-")</f>
        <v>윤광일</v>
      </c>
      <c r="AH812" s="9" t="s">
        <v>4915</v>
      </c>
      <c r="AI812" s="235" t="s">
        <v>4771</v>
      </c>
      <c r="AJ812" s="235" t="s">
        <v>4920</v>
      </c>
      <c r="AK812" s="235" t="s">
        <v>4777</v>
      </c>
      <c r="AL812" s="235">
        <v>811</v>
      </c>
    </row>
    <row r="813" spans="1:38" x14ac:dyDescent="0.3">
      <c r="A813" s="222" t="s">
        <v>5327</v>
      </c>
      <c r="B813" s="222" t="s">
        <v>5328</v>
      </c>
      <c r="C813" s="241" t="s">
        <v>4762</v>
      </c>
      <c r="D813" s="237" t="s">
        <v>5328</v>
      </c>
      <c r="E813" s="236">
        <v>1101110168404</v>
      </c>
      <c r="F813" s="240" t="s">
        <v>5047</v>
      </c>
      <c r="G813" s="214">
        <v>0</v>
      </c>
      <c r="H813" s="231" t="s">
        <v>4771</v>
      </c>
      <c r="I813" s="231"/>
      <c r="J813" s="231"/>
      <c r="K813" s="231"/>
      <c r="L813" s="231"/>
      <c r="M813" s="231"/>
      <c r="N813" s="231" t="s">
        <v>4895</v>
      </c>
      <c r="O813" s="246" t="s">
        <v>5331</v>
      </c>
      <c r="P813" s="246" t="s">
        <v>5332</v>
      </c>
      <c r="Q813" s="225" t="s">
        <v>5333</v>
      </c>
      <c r="R813" s="212" t="s">
        <v>4771</v>
      </c>
      <c r="S813" s="213" t="s">
        <v>4771</v>
      </c>
      <c r="T813" s="233">
        <v>45587</v>
      </c>
      <c r="U813" s="234" t="s">
        <v>4759</v>
      </c>
      <c r="V813" s="234">
        <v>45611</v>
      </c>
      <c r="W813" s="234">
        <v>45649</v>
      </c>
      <c r="X813" s="234" t="s">
        <v>2</v>
      </c>
      <c r="Y813" s="234"/>
      <c r="Z813" s="234" t="s">
        <v>5334</v>
      </c>
      <c r="AA813" s="243">
        <v>202411</v>
      </c>
      <c r="AB813" s="243"/>
      <c r="AC813" s="244" t="s">
        <v>4760</v>
      </c>
      <c r="AD813" s="244" t="s">
        <v>4774</v>
      </c>
      <c r="AE813" s="245">
        <v>0</v>
      </c>
      <c r="AF813" s="244" t="s">
        <v>4774</v>
      </c>
      <c r="AG813" s="239" t="str">
        <f>IFERROR(VLOOKUP(작성용!A:A,RM!A:D,4,0),"-")</f>
        <v>유재호</v>
      </c>
      <c r="AH813" s="203" t="s">
        <v>5021</v>
      </c>
      <c r="AI813" s="235" t="s">
        <v>5769</v>
      </c>
      <c r="AJ813" s="235" t="s">
        <v>5338</v>
      </c>
      <c r="AK813" s="235" t="s">
        <v>4777</v>
      </c>
      <c r="AL813" s="235">
        <v>812</v>
      </c>
    </row>
    <row r="814" spans="1:38" x14ac:dyDescent="0.3">
      <c r="A814" s="222">
        <v>6000910</v>
      </c>
      <c r="B814" s="222" t="s">
        <v>5345</v>
      </c>
      <c r="C814" s="241" t="s">
        <v>4762</v>
      </c>
      <c r="D814" s="237" t="s">
        <v>5770</v>
      </c>
      <c r="E814" s="236" t="s">
        <v>4721</v>
      </c>
      <c r="F814" s="240" t="s">
        <v>4894</v>
      </c>
      <c r="G814" s="214">
        <v>77</v>
      </c>
      <c r="H814" s="231" t="s">
        <v>4771</v>
      </c>
      <c r="I814" s="231"/>
      <c r="J814" s="231"/>
      <c r="K814" s="231"/>
      <c r="L814" s="231"/>
      <c r="M814" s="231"/>
      <c r="N814" s="231" t="s">
        <v>4895</v>
      </c>
      <c r="O814" s="246"/>
      <c r="P814" s="246"/>
      <c r="Q814" s="225"/>
      <c r="R814" s="212" t="s">
        <v>4771</v>
      </c>
      <c r="S814" s="213" t="s">
        <v>4771</v>
      </c>
      <c r="T814" s="233" t="s">
        <v>5386</v>
      </c>
      <c r="U814" s="234" t="s">
        <v>4759</v>
      </c>
      <c r="V814" s="234">
        <v>45611</v>
      </c>
      <c r="W814" s="234" t="s">
        <v>4877</v>
      </c>
      <c r="X814" s="234" t="s">
        <v>2</v>
      </c>
      <c r="Y814" s="234"/>
      <c r="Z814" s="234"/>
      <c r="AA814" s="243">
        <v>202411</v>
      </c>
      <c r="AB814" s="243"/>
      <c r="AC814" s="244" t="s">
        <v>5210</v>
      </c>
      <c r="AD814" s="228" t="s">
        <v>4945</v>
      </c>
      <c r="AE814" s="245">
        <v>0.6</v>
      </c>
      <c r="AF814" s="228" t="s">
        <v>4726</v>
      </c>
      <c r="AG814" s="239" t="str">
        <f>IFERROR(VLOOKUP(작성용!A:A,RM!A:D,4,0),"-")</f>
        <v>-</v>
      </c>
      <c r="AH814" s="235" t="s">
        <v>4771</v>
      </c>
      <c r="AI814" s="235" t="s">
        <v>4771</v>
      </c>
      <c r="AJ814" s="235" t="s">
        <v>4771</v>
      </c>
      <c r="AK814" s="235" t="s">
        <v>5208</v>
      </c>
      <c r="AL814" s="235">
        <v>813</v>
      </c>
    </row>
    <row r="815" spans="1:38" x14ac:dyDescent="0.3">
      <c r="A815" s="222">
        <v>6000910</v>
      </c>
      <c r="B815" s="222" t="s">
        <v>5345</v>
      </c>
      <c r="C815" s="241" t="s">
        <v>4762</v>
      </c>
      <c r="D815" s="237" t="s">
        <v>5771</v>
      </c>
      <c r="E815" s="236">
        <v>1345110333209</v>
      </c>
      <c r="F815" s="240" t="s">
        <v>4850</v>
      </c>
      <c r="G815" s="214">
        <v>77</v>
      </c>
      <c r="H815" s="231" t="s">
        <v>4771</v>
      </c>
      <c r="I815" s="231"/>
      <c r="J815" s="231"/>
      <c r="K815" s="231"/>
      <c r="L815" s="231"/>
      <c r="M815" s="231"/>
      <c r="N815" s="231" t="s">
        <v>4895</v>
      </c>
      <c r="O815" s="246"/>
      <c r="P815" s="246"/>
      <c r="Q815" s="225"/>
      <c r="R815" s="212" t="s">
        <v>4771</v>
      </c>
      <c r="S815" s="213" t="s">
        <v>4771</v>
      </c>
      <c r="T815" s="233" t="s">
        <v>5386</v>
      </c>
      <c r="U815" s="234" t="s">
        <v>4759</v>
      </c>
      <c r="V815" s="234">
        <v>45611</v>
      </c>
      <c r="W815" s="234" t="s">
        <v>4877</v>
      </c>
      <c r="X815" s="234" t="s">
        <v>2</v>
      </c>
      <c r="Y815" s="234"/>
      <c r="Z815" s="234"/>
      <c r="AA815" s="243">
        <v>202411</v>
      </c>
      <c r="AB815" s="243"/>
      <c r="AC815" s="244" t="s">
        <v>5210</v>
      </c>
      <c r="AD815" s="228" t="s">
        <v>556</v>
      </c>
      <c r="AE815" s="245">
        <v>0.6</v>
      </c>
      <c r="AF815" s="228" t="s">
        <v>556</v>
      </c>
      <c r="AG815" s="239" t="str">
        <f>IFERROR(VLOOKUP(작성용!A:A,RM!A:D,4,0),"-")</f>
        <v>-</v>
      </c>
      <c r="AH815" s="235" t="s">
        <v>4771</v>
      </c>
      <c r="AI815" s="235" t="s">
        <v>4771</v>
      </c>
      <c r="AJ815" s="235" t="s">
        <v>4771</v>
      </c>
      <c r="AK815" s="235" t="s">
        <v>5208</v>
      </c>
      <c r="AL815" s="235">
        <v>814</v>
      </c>
    </row>
    <row r="816" spans="1:38" s="198" customFormat="1" x14ac:dyDescent="0.3">
      <c r="A816" s="222">
        <v>6000910</v>
      </c>
      <c r="B816" s="222" t="s">
        <v>5345</v>
      </c>
      <c r="C816" s="241" t="s">
        <v>4762</v>
      </c>
      <c r="D816" s="237" t="s">
        <v>5772</v>
      </c>
      <c r="E816" s="236" t="s">
        <v>4722</v>
      </c>
      <c r="F816" s="240" t="s">
        <v>4894</v>
      </c>
      <c r="G816" s="214">
        <v>77</v>
      </c>
      <c r="H816" s="231" t="s">
        <v>4771</v>
      </c>
      <c r="I816" s="231"/>
      <c r="J816" s="231"/>
      <c r="K816" s="231"/>
      <c r="L816" s="231"/>
      <c r="M816" s="231"/>
      <c r="N816" s="231" t="s">
        <v>4895</v>
      </c>
      <c r="O816" s="246"/>
      <c r="P816" s="246"/>
      <c r="Q816" s="225"/>
      <c r="R816" s="212" t="s">
        <v>4771</v>
      </c>
      <c r="S816" s="213" t="s">
        <v>4771</v>
      </c>
      <c r="T816" s="233" t="s">
        <v>5386</v>
      </c>
      <c r="U816" s="234" t="s">
        <v>4759</v>
      </c>
      <c r="V816" s="234">
        <v>45611</v>
      </c>
      <c r="W816" s="234" t="s">
        <v>4877</v>
      </c>
      <c r="X816" s="234" t="s">
        <v>2</v>
      </c>
      <c r="Y816" s="234"/>
      <c r="Z816" s="234"/>
      <c r="AA816" s="243">
        <v>202411</v>
      </c>
      <c r="AB816" s="243"/>
      <c r="AC816" s="244" t="s">
        <v>5210</v>
      </c>
      <c r="AD816" s="228" t="s">
        <v>3716</v>
      </c>
      <c r="AE816" s="245">
        <v>0.6</v>
      </c>
      <c r="AF816" s="228" t="s">
        <v>3716</v>
      </c>
      <c r="AG816" s="239" t="str">
        <f>IFERROR(VLOOKUP(작성용!A:A,RM!A:D,4,0),"-")</f>
        <v>-</v>
      </c>
      <c r="AH816" s="235" t="s">
        <v>4771</v>
      </c>
      <c r="AI816" s="235" t="s">
        <v>4771</v>
      </c>
      <c r="AJ816" s="235" t="s">
        <v>4771</v>
      </c>
      <c r="AK816" s="235" t="s">
        <v>5208</v>
      </c>
      <c r="AL816" s="235">
        <v>815</v>
      </c>
    </row>
    <row r="817" spans="1:38" x14ac:dyDescent="0.3">
      <c r="A817" s="222">
        <v>6000910</v>
      </c>
      <c r="B817" s="222" t="s">
        <v>5345</v>
      </c>
      <c r="C817" s="241" t="s">
        <v>4762</v>
      </c>
      <c r="D817" s="237" t="s">
        <v>5773</v>
      </c>
      <c r="E817" s="236" t="s">
        <v>4723</v>
      </c>
      <c r="F817" s="240" t="s">
        <v>4894</v>
      </c>
      <c r="G817" s="214">
        <v>77</v>
      </c>
      <c r="H817" s="231" t="s">
        <v>4771</v>
      </c>
      <c r="I817" s="231"/>
      <c r="J817" s="231"/>
      <c r="K817" s="231"/>
      <c r="L817" s="231"/>
      <c r="M817" s="231"/>
      <c r="N817" s="231" t="s">
        <v>4895</v>
      </c>
      <c r="O817" s="246"/>
      <c r="P817" s="246"/>
      <c r="Q817" s="225"/>
      <c r="R817" s="212" t="s">
        <v>4771</v>
      </c>
      <c r="S817" s="213" t="s">
        <v>4771</v>
      </c>
      <c r="T817" s="233" t="s">
        <v>5386</v>
      </c>
      <c r="U817" s="234" t="s">
        <v>4759</v>
      </c>
      <c r="V817" s="234">
        <v>45611</v>
      </c>
      <c r="W817" s="234" t="s">
        <v>4877</v>
      </c>
      <c r="X817" s="234" t="s">
        <v>2</v>
      </c>
      <c r="Y817" s="234"/>
      <c r="Z817" s="234"/>
      <c r="AA817" s="243">
        <v>202411</v>
      </c>
      <c r="AB817" s="243"/>
      <c r="AC817" s="244" t="s">
        <v>5210</v>
      </c>
      <c r="AD817" s="228" t="s">
        <v>3923</v>
      </c>
      <c r="AE817" s="245">
        <v>0.6</v>
      </c>
      <c r="AF817" s="228" t="s">
        <v>3923</v>
      </c>
      <c r="AG817" s="239" t="str">
        <f>IFERROR(VLOOKUP(작성용!A:A,RM!A:D,4,0),"-")</f>
        <v>-</v>
      </c>
      <c r="AH817" s="235" t="s">
        <v>4771</v>
      </c>
      <c r="AI817" s="235" t="s">
        <v>4771</v>
      </c>
      <c r="AJ817" s="235" t="s">
        <v>4771</v>
      </c>
      <c r="AK817" s="235" t="s">
        <v>5208</v>
      </c>
      <c r="AL817" s="235">
        <v>816</v>
      </c>
    </row>
    <row r="818" spans="1:38" x14ac:dyDescent="0.3">
      <c r="A818" s="222">
        <v>6000910</v>
      </c>
      <c r="B818" s="222" t="s">
        <v>5345</v>
      </c>
      <c r="C818" s="241" t="s">
        <v>4762</v>
      </c>
      <c r="D818" s="237" t="s">
        <v>5774</v>
      </c>
      <c r="E818" s="236" t="s">
        <v>4724</v>
      </c>
      <c r="F818" s="240" t="s">
        <v>4894</v>
      </c>
      <c r="G818" s="214">
        <v>77</v>
      </c>
      <c r="H818" s="231" t="s">
        <v>4771</v>
      </c>
      <c r="I818" s="231"/>
      <c r="J818" s="231"/>
      <c r="K818" s="231"/>
      <c r="L818" s="231"/>
      <c r="M818" s="231"/>
      <c r="N818" s="231" t="s">
        <v>4895</v>
      </c>
      <c r="O818" s="246"/>
      <c r="P818" s="246"/>
      <c r="Q818" s="225"/>
      <c r="R818" s="212" t="s">
        <v>4771</v>
      </c>
      <c r="S818" s="213" t="s">
        <v>4771</v>
      </c>
      <c r="T818" s="233" t="s">
        <v>5386</v>
      </c>
      <c r="U818" s="234" t="s">
        <v>4759</v>
      </c>
      <c r="V818" s="234">
        <v>45611</v>
      </c>
      <c r="W818" s="234" t="s">
        <v>4877</v>
      </c>
      <c r="X818" s="234" t="s">
        <v>2</v>
      </c>
      <c r="Y818" s="234"/>
      <c r="Z818" s="234"/>
      <c r="AA818" s="243">
        <v>202411</v>
      </c>
      <c r="AB818" s="243"/>
      <c r="AC818" s="244" t="s">
        <v>5210</v>
      </c>
      <c r="AD818" s="228" t="s">
        <v>3663</v>
      </c>
      <c r="AE818" s="245">
        <v>0.6</v>
      </c>
      <c r="AF818" s="228" t="s">
        <v>3663</v>
      </c>
      <c r="AG818" s="239" t="str">
        <f>IFERROR(VLOOKUP(작성용!A:A,RM!A:D,4,0),"-")</f>
        <v>-</v>
      </c>
      <c r="AH818" s="235" t="s">
        <v>4771</v>
      </c>
      <c r="AI818" s="235" t="s">
        <v>4771</v>
      </c>
      <c r="AJ818" s="235" t="s">
        <v>4771</v>
      </c>
      <c r="AK818" s="235" t="s">
        <v>5208</v>
      </c>
      <c r="AL818" s="235">
        <v>817</v>
      </c>
    </row>
    <row r="819" spans="1:38" x14ac:dyDescent="0.3">
      <c r="A819" s="222">
        <v>6000910</v>
      </c>
      <c r="B819" s="222" t="s">
        <v>5775</v>
      </c>
      <c r="C819" s="241" t="s">
        <v>4762</v>
      </c>
      <c r="D819" s="237" t="s">
        <v>5776</v>
      </c>
      <c r="E819" s="236">
        <v>1311110463106</v>
      </c>
      <c r="F819" s="240" t="s">
        <v>4854</v>
      </c>
      <c r="G819" s="214">
        <v>0</v>
      </c>
      <c r="H819" s="231" t="s">
        <v>4771</v>
      </c>
      <c r="I819" s="231"/>
      <c r="J819" s="231"/>
      <c r="K819" s="231"/>
      <c r="L819" s="231"/>
      <c r="M819" s="231"/>
      <c r="N819" s="231" t="s">
        <v>4895</v>
      </c>
      <c r="O819" s="246"/>
      <c r="P819" s="246"/>
      <c r="Q819" s="225"/>
      <c r="R819" s="212" t="s">
        <v>4771</v>
      </c>
      <c r="S819" s="213" t="s">
        <v>4771</v>
      </c>
      <c r="T819" s="233" t="s">
        <v>5386</v>
      </c>
      <c r="U819" s="234" t="s">
        <v>4759</v>
      </c>
      <c r="V819" s="234">
        <v>45611</v>
      </c>
      <c r="W819" s="234" t="s">
        <v>4877</v>
      </c>
      <c r="X819" s="234" t="s">
        <v>2</v>
      </c>
      <c r="Y819" s="234"/>
      <c r="Z819" s="234"/>
      <c r="AA819" s="243">
        <v>202411</v>
      </c>
      <c r="AB819" s="243"/>
      <c r="AC819" s="244" t="s">
        <v>5210</v>
      </c>
      <c r="AD819" s="228" t="s">
        <v>4987</v>
      </c>
      <c r="AE819" s="245">
        <v>0.6</v>
      </c>
      <c r="AF819" s="228" t="s">
        <v>4727</v>
      </c>
      <c r="AG819" s="239" t="str">
        <f>IFERROR(VLOOKUP(작성용!A:A,RM!A:D,4,0),"-")</f>
        <v>-</v>
      </c>
      <c r="AH819" s="235" t="s">
        <v>4771</v>
      </c>
      <c r="AI819" s="235" t="s">
        <v>4771</v>
      </c>
      <c r="AJ819" s="235" t="s">
        <v>4771</v>
      </c>
      <c r="AK819" s="235" t="s">
        <v>5208</v>
      </c>
      <c r="AL819" s="235">
        <v>818</v>
      </c>
    </row>
    <row r="820" spans="1:38" x14ac:dyDescent="0.3">
      <c r="A820" s="222">
        <v>6000910</v>
      </c>
      <c r="B820" s="222" t="s">
        <v>5345</v>
      </c>
      <c r="C820" s="241" t="s">
        <v>4762</v>
      </c>
      <c r="D820" s="237" t="s">
        <v>5777</v>
      </c>
      <c r="E820" s="236">
        <v>1101115177830</v>
      </c>
      <c r="F820" s="240" t="s">
        <v>4850</v>
      </c>
      <c r="G820" s="214">
        <v>77</v>
      </c>
      <c r="H820" s="231" t="s">
        <v>4771</v>
      </c>
      <c r="I820" s="231"/>
      <c r="J820" s="231"/>
      <c r="K820" s="231"/>
      <c r="L820" s="231"/>
      <c r="M820" s="231"/>
      <c r="N820" s="231" t="s">
        <v>4895</v>
      </c>
      <c r="O820" s="246"/>
      <c r="P820" s="246"/>
      <c r="Q820" s="225"/>
      <c r="R820" s="212" t="s">
        <v>4771</v>
      </c>
      <c r="S820" s="213" t="s">
        <v>4771</v>
      </c>
      <c r="T820" s="233" t="s">
        <v>5386</v>
      </c>
      <c r="U820" s="234" t="s">
        <v>4759</v>
      </c>
      <c r="V820" s="234">
        <v>45611</v>
      </c>
      <c r="W820" s="234" t="s">
        <v>4877</v>
      </c>
      <c r="X820" s="234" t="s">
        <v>2</v>
      </c>
      <c r="Y820" s="234"/>
      <c r="Z820" s="234"/>
      <c r="AA820" s="243">
        <v>202411</v>
      </c>
      <c r="AB820" s="243"/>
      <c r="AC820" s="244" t="s">
        <v>5210</v>
      </c>
      <c r="AD820" s="228" t="s">
        <v>4897</v>
      </c>
      <c r="AE820" s="245">
        <v>0.6</v>
      </c>
      <c r="AF820" s="228" t="s">
        <v>4762</v>
      </c>
      <c r="AG820" s="239" t="str">
        <f>IFERROR(VLOOKUP(작성용!A:A,RM!A:D,4,0),"-")</f>
        <v>-</v>
      </c>
      <c r="AH820" s="235" t="s">
        <v>4771</v>
      </c>
      <c r="AI820" s="235" t="s">
        <v>4771</v>
      </c>
      <c r="AJ820" s="235" t="s">
        <v>4771</v>
      </c>
      <c r="AK820" s="235" t="s">
        <v>5208</v>
      </c>
      <c r="AL820" s="235">
        <v>819</v>
      </c>
    </row>
    <row r="821" spans="1:38" x14ac:dyDescent="0.3">
      <c r="A821" s="222">
        <v>6000910</v>
      </c>
      <c r="B821" s="222" t="s">
        <v>5345</v>
      </c>
      <c r="C821" s="241" t="s">
        <v>4762</v>
      </c>
      <c r="D821" s="237" t="s">
        <v>5778</v>
      </c>
      <c r="E821" s="236" t="s">
        <v>4725</v>
      </c>
      <c r="F821" s="240" t="s">
        <v>4894</v>
      </c>
      <c r="G821" s="214">
        <v>77</v>
      </c>
      <c r="H821" s="231" t="s">
        <v>4771</v>
      </c>
      <c r="I821" s="231"/>
      <c r="J821" s="231"/>
      <c r="K821" s="231"/>
      <c r="L821" s="231"/>
      <c r="M821" s="231"/>
      <c r="N821" s="231" t="s">
        <v>4895</v>
      </c>
      <c r="O821" s="246"/>
      <c r="P821" s="246"/>
      <c r="Q821" s="225"/>
      <c r="R821" s="212" t="s">
        <v>4771</v>
      </c>
      <c r="S821" s="213" t="s">
        <v>4771</v>
      </c>
      <c r="T821" s="233" t="s">
        <v>5386</v>
      </c>
      <c r="U821" s="234" t="s">
        <v>4759</v>
      </c>
      <c r="V821" s="234">
        <v>45611</v>
      </c>
      <c r="W821" s="234" t="s">
        <v>4877</v>
      </c>
      <c r="X821" s="234" t="s">
        <v>2</v>
      </c>
      <c r="Y821" s="234"/>
      <c r="Z821" s="234"/>
      <c r="AA821" s="243">
        <v>202411</v>
      </c>
      <c r="AB821" s="243"/>
      <c r="AC821" s="244" t="s">
        <v>5210</v>
      </c>
      <c r="AD821" s="228" t="s">
        <v>4980</v>
      </c>
      <c r="AE821" s="245">
        <v>0.6</v>
      </c>
      <c r="AF821" s="228" t="s">
        <v>4980</v>
      </c>
      <c r="AG821" s="239" t="str">
        <f>IFERROR(VLOOKUP(작성용!A:A,RM!A:D,4,0),"-")</f>
        <v>-</v>
      </c>
      <c r="AH821" s="235" t="s">
        <v>4771</v>
      </c>
      <c r="AI821" s="235" t="s">
        <v>4771</v>
      </c>
      <c r="AJ821" s="235" t="s">
        <v>4771</v>
      </c>
      <c r="AK821" s="235" t="s">
        <v>5208</v>
      </c>
      <c r="AL821" s="235">
        <v>820</v>
      </c>
    </row>
    <row r="822" spans="1:38" x14ac:dyDescent="0.3">
      <c r="A822" s="222">
        <v>6000910</v>
      </c>
      <c r="B822" s="222" t="s">
        <v>5345</v>
      </c>
      <c r="C822" s="241" t="s">
        <v>4762</v>
      </c>
      <c r="D822" s="237" t="s">
        <v>5779</v>
      </c>
      <c r="E822" s="236">
        <v>1345110418118</v>
      </c>
      <c r="F822" s="240" t="s">
        <v>4894</v>
      </c>
      <c r="G822" s="214">
        <v>77</v>
      </c>
      <c r="H822" s="231" t="s">
        <v>4771</v>
      </c>
      <c r="I822" s="231"/>
      <c r="J822" s="231"/>
      <c r="K822" s="231"/>
      <c r="L822" s="231"/>
      <c r="M822" s="231"/>
      <c r="N822" s="231" t="s">
        <v>4895</v>
      </c>
      <c r="O822" s="246"/>
      <c r="P822" s="246"/>
      <c r="Q822" s="225"/>
      <c r="R822" s="212" t="s">
        <v>4771</v>
      </c>
      <c r="S822" s="213" t="s">
        <v>4771</v>
      </c>
      <c r="T822" s="233" t="s">
        <v>5386</v>
      </c>
      <c r="U822" s="234" t="s">
        <v>4759</v>
      </c>
      <c r="V822" s="234">
        <v>45611</v>
      </c>
      <c r="W822" s="234" t="s">
        <v>4877</v>
      </c>
      <c r="X822" s="234" t="s">
        <v>2</v>
      </c>
      <c r="Y822" s="234"/>
      <c r="Z822" s="234"/>
      <c r="AA822" s="243">
        <v>202411</v>
      </c>
      <c r="AB822" s="243"/>
      <c r="AC822" s="244" t="s">
        <v>5210</v>
      </c>
      <c r="AD822" s="228" t="s">
        <v>4823</v>
      </c>
      <c r="AE822" s="245">
        <v>0.6</v>
      </c>
      <c r="AF822" s="228" t="s">
        <v>4538</v>
      </c>
      <c r="AG822" s="239" t="str">
        <f>IFERROR(VLOOKUP(작성용!A:A,RM!A:D,4,0),"-")</f>
        <v>-</v>
      </c>
      <c r="AH822" s="235" t="s">
        <v>4771</v>
      </c>
      <c r="AI822" s="235" t="s">
        <v>4771</v>
      </c>
      <c r="AJ822" s="235" t="s">
        <v>4771</v>
      </c>
      <c r="AK822" s="235" t="s">
        <v>5208</v>
      </c>
      <c r="AL822" s="235">
        <v>821</v>
      </c>
    </row>
    <row r="823" spans="1:38" x14ac:dyDescent="0.3">
      <c r="A823" s="229">
        <v>6000793</v>
      </c>
      <c r="B823" s="229" t="s">
        <v>5339</v>
      </c>
      <c r="C823" s="241" t="s">
        <v>4762</v>
      </c>
      <c r="D823" s="237" t="s">
        <v>5780</v>
      </c>
      <c r="E823" s="236">
        <v>1101115119080</v>
      </c>
      <c r="F823" s="240" t="s">
        <v>4894</v>
      </c>
      <c r="G823" s="214">
        <v>6</v>
      </c>
      <c r="H823" s="231" t="s">
        <v>4771</v>
      </c>
      <c r="I823" s="231"/>
      <c r="J823" s="231"/>
      <c r="K823" s="231"/>
      <c r="L823" s="231"/>
      <c r="M823" s="231"/>
      <c r="N823" s="231" t="s">
        <v>4895</v>
      </c>
      <c r="O823" s="246"/>
      <c r="P823" s="246"/>
      <c r="Q823" s="225"/>
      <c r="R823" s="212" t="s">
        <v>4771</v>
      </c>
      <c r="S823" s="213" t="s">
        <v>4771</v>
      </c>
      <c r="T823" s="233" t="s">
        <v>5386</v>
      </c>
      <c r="U823" s="234" t="s">
        <v>4759</v>
      </c>
      <c r="V823" s="234">
        <v>45611</v>
      </c>
      <c r="W823" s="234" t="s">
        <v>4877</v>
      </c>
      <c r="X823" s="234" t="s">
        <v>2</v>
      </c>
      <c r="Y823" s="234"/>
      <c r="Z823" s="234"/>
      <c r="AA823" s="243">
        <v>202411</v>
      </c>
      <c r="AB823" s="243"/>
      <c r="AC823" s="244" t="s">
        <v>4760</v>
      </c>
      <c r="AD823" s="228" t="s">
        <v>694</v>
      </c>
      <c r="AE823" s="245">
        <v>0</v>
      </c>
      <c r="AF823" s="228" t="s">
        <v>694</v>
      </c>
      <c r="AG823" s="239" t="str">
        <f>IFERROR(VLOOKUP(작성용!A:A,RM!A:D,4,0),"-")</f>
        <v>-</v>
      </c>
      <c r="AH823" s="235" t="s">
        <v>4771</v>
      </c>
      <c r="AI823" s="235" t="s">
        <v>4771</v>
      </c>
      <c r="AJ823" s="235" t="s">
        <v>4771</v>
      </c>
      <c r="AK823" s="235" t="s">
        <v>5208</v>
      </c>
      <c r="AL823" s="235">
        <v>822</v>
      </c>
    </row>
    <row r="824" spans="1:38" x14ac:dyDescent="0.3">
      <c r="A824" s="229">
        <v>6000793</v>
      </c>
      <c r="B824" s="229" t="s">
        <v>5339</v>
      </c>
      <c r="C824" s="241" t="s">
        <v>4898</v>
      </c>
      <c r="D824" s="237" t="s">
        <v>5414</v>
      </c>
      <c r="E824" s="236">
        <v>1101115686279</v>
      </c>
      <c r="F824" s="240" t="s">
        <v>4894</v>
      </c>
      <c r="G824" s="214">
        <v>1</v>
      </c>
      <c r="H824" s="231" t="s">
        <v>4771</v>
      </c>
      <c r="I824" s="231"/>
      <c r="J824" s="231"/>
      <c r="K824" s="231"/>
      <c r="L824" s="231"/>
      <c r="M824" s="231"/>
      <c r="N824" s="231" t="s">
        <v>4881</v>
      </c>
      <c r="O824" s="246"/>
      <c r="P824" s="246"/>
      <c r="Q824" s="225"/>
      <c r="R824" s="212" t="s">
        <v>4767</v>
      </c>
      <c r="S824" s="213" t="s">
        <v>4771</v>
      </c>
      <c r="T824" s="233" t="s">
        <v>5433</v>
      </c>
      <c r="U824" s="234" t="s">
        <v>4759</v>
      </c>
      <c r="V824" s="234">
        <v>45611</v>
      </c>
      <c r="W824" s="234" t="s">
        <v>4877</v>
      </c>
      <c r="X824" s="234" t="s">
        <v>2</v>
      </c>
      <c r="Y824" s="234"/>
      <c r="Z824" s="234"/>
      <c r="AA824" s="243">
        <v>202411</v>
      </c>
      <c r="AB824" s="243"/>
      <c r="AC824" s="244" t="s">
        <v>4760</v>
      </c>
      <c r="AD824" s="228" t="s">
        <v>3943</v>
      </c>
      <c r="AE824" s="245">
        <v>0</v>
      </c>
      <c r="AF824" s="228" t="s">
        <v>3943</v>
      </c>
      <c r="AG824" s="239" t="str">
        <f>IFERROR(VLOOKUP(작성용!A:A,RM!A:D,4,0),"-")</f>
        <v>-</v>
      </c>
      <c r="AH824" s="235" t="s">
        <v>4771</v>
      </c>
      <c r="AI824" s="235" t="s">
        <v>4771</v>
      </c>
      <c r="AJ824" s="235" t="s">
        <v>4771</v>
      </c>
      <c r="AK824" s="235" t="s">
        <v>5208</v>
      </c>
      <c r="AL824" s="235">
        <v>823</v>
      </c>
    </row>
    <row r="825" spans="1:38" x14ac:dyDescent="0.3">
      <c r="A825" s="229">
        <v>6000793</v>
      </c>
      <c r="B825" s="229" t="s">
        <v>5339</v>
      </c>
      <c r="C825" s="241" t="s">
        <v>4762</v>
      </c>
      <c r="D825" s="237" t="s">
        <v>5414</v>
      </c>
      <c r="E825" s="236">
        <v>1101115686279</v>
      </c>
      <c r="F825" s="240" t="s">
        <v>4854</v>
      </c>
      <c r="G825" s="214">
        <v>0</v>
      </c>
      <c r="H825" s="231" t="s">
        <v>4771</v>
      </c>
      <c r="I825" s="231"/>
      <c r="J825" s="231"/>
      <c r="K825" s="231"/>
      <c r="L825" s="231"/>
      <c r="M825" s="231"/>
      <c r="N825" s="231" t="s">
        <v>4895</v>
      </c>
      <c r="O825" s="246"/>
      <c r="P825" s="246"/>
      <c r="Q825" s="225"/>
      <c r="R825" s="212" t="s">
        <v>4771</v>
      </c>
      <c r="S825" s="213" t="s">
        <v>4771</v>
      </c>
      <c r="T825" s="233" t="s">
        <v>5386</v>
      </c>
      <c r="U825" s="234" t="s">
        <v>4759</v>
      </c>
      <c r="V825" s="234">
        <v>45611</v>
      </c>
      <c r="W825" s="234" t="s">
        <v>4877</v>
      </c>
      <c r="X825" s="234" t="s">
        <v>2</v>
      </c>
      <c r="Y825" s="234"/>
      <c r="Z825" s="234"/>
      <c r="AA825" s="243">
        <v>202411</v>
      </c>
      <c r="AB825" s="243"/>
      <c r="AC825" s="244" t="s">
        <v>4760</v>
      </c>
      <c r="AD825" s="228" t="s">
        <v>3943</v>
      </c>
      <c r="AE825" s="245">
        <v>0</v>
      </c>
      <c r="AF825" s="228" t="s">
        <v>3943</v>
      </c>
      <c r="AG825" s="239" t="str">
        <f>IFERROR(VLOOKUP(작성용!A:A,RM!A:D,4,0),"-")</f>
        <v>-</v>
      </c>
      <c r="AH825" s="235" t="s">
        <v>4771</v>
      </c>
      <c r="AI825" s="235" t="s">
        <v>4771</v>
      </c>
      <c r="AJ825" s="235" t="s">
        <v>4771</v>
      </c>
      <c r="AK825" s="235" t="s">
        <v>5208</v>
      </c>
      <c r="AL825" s="235">
        <v>824</v>
      </c>
    </row>
    <row r="826" spans="1:38" x14ac:dyDescent="0.3">
      <c r="A826" s="229">
        <v>6000793</v>
      </c>
      <c r="B826" s="229" t="s">
        <v>5339</v>
      </c>
      <c r="C826" s="241" t="s">
        <v>4762</v>
      </c>
      <c r="D826" s="237" t="s">
        <v>5414</v>
      </c>
      <c r="E826" s="236">
        <v>1101115686279</v>
      </c>
      <c r="F826" s="240" t="s">
        <v>4850</v>
      </c>
      <c r="G826" s="214">
        <v>10</v>
      </c>
      <c r="H826" s="231" t="s">
        <v>4771</v>
      </c>
      <c r="I826" s="231"/>
      <c r="J826" s="231"/>
      <c r="K826" s="231"/>
      <c r="L826" s="231"/>
      <c r="M826" s="231"/>
      <c r="N826" s="231" t="s">
        <v>4895</v>
      </c>
      <c r="O826" s="246"/>
      <c r="P826" s="246"/>
      <c r="Q826" s="225"/>
      <c r="R826" s="212" t="s">
        <v>4771</v>
      </c>
      <c r="S826" s="213" t="s">
        <v>4771</v>
      </c>
      <c r="T826" s="233" t="s">
        <v>5386</v>
      </c>
      <c r="U826" s="234" t="s">
        <v>4759</v>
      </c>
      <c r="V826" s="234">
        <v>45611</v>
      </c>
      <c r="W826" s="234" t="s">
        <v>4877</v>
      </c>
      <c r="X826" s="234" t="s">
        <v>2</v>
      </c>
      <c r="Y826" s="234"/>
      <c r="Z826" s="234"/>
      <c r="AA826" s="243">
        <v>202411</v>
      </c>
      <c r="AB826" s="243"/>
      <c r="AC826" s="244" t="s">
        <v>4760</v>
      </c>
      <c r="AD826" s="228" t="s">
        <v>3943</v>
      </c>
      <c r="AE826" s="245">
        <v>0</v>
      </c>
      <c r="AF826" s="228" t="s">
        <v>3943</v>
      </c>
      <c r="AG826" s="239" t="str">
        <f>IFERROR(VLOOKUP(작성용!A:A,RM!A:D,4,0),"-")</f>
        <v>-</v>
      </c>
      <c r="AH826" s="235" t="s">
        <v>4771</v>
      </c>
      <c r="AI826" s="235" t="s">
        <v>4771</v>
      </c>
      <c r="AJ826" s="235" t="s">
        <v>4771</v>
      </c>
      <c r="AK826" s="235" t="s">
        <v>5208</v>
      </c>
      <c r="AL826" s="235">
        <v>825</v>
      </c>
    </row>
    <row r="827" spans="1:38" x14ac:dyDescent="0.3">
      <c r="A827" s="229">
        <v>6000793</v>
      </c>
      <c r="B827" s="229" t="s">
        <v>5339</v>
      </c>
      <c r="C827" s="241" t="s">
        <v>4762</v>
      </c>
      <c r="D827" s="237" t="s">
        <v>5414</v>
      </c>
      <c r="E827" s="236">
        <v>1101115686279</v>
      </c>
      <c r="F827" s="240" t="s">
        <v>4850</v>
      </c>
      <c r="G827" s="214">
        <v>11</v>
      </c>
      <c r="H827" s="231" t="s">
        <v>4771</v>
      </c>
      <c r="I827" s="231"/>
      <c r="J827" s="231"/>
      <c r="K827" s="231"/>
      <c r="L827" s="231"/>
      <c r="M827" s="231"/>
      <c r="N827" s="231" t="s">
        <v>4895</v>
      </c>
      <c r="O827" s="246"/>
      <c r="P827" s="246"/>
      <c r="Q827" s="225"/>
      <c r="R827" s="212" t="s">
        <v>4771</v>
      </c>
      <c r="S827" s="213" t="s">
        <v>4771</v>
      </c>
      <c r="T827" s="233" t="s">
        <v>5386</v>
      </c>
      <c r="U827" s="234" t="s">
        <v>4759</v>
      </c>
      <c r="V827" s="234">
        <v>45611</v>
      </c>
      <c r="W827" s="234" t="s">
        <v>4877</v>
      </c>
      <c r="X827" s="234" t="s">
        <v>2</v>
      </c>
      <c r="Y827" s="234"/>
      <c r="Z827" s="234"/>
      <c r="AA827" s="243">
        <v>202411</v>
      </c>
      <c r="AB827" s="243"/>
      <c r="AC827" s="244" t="s">
        <v>4760</v>
      </c>
      <c r="AD827" s="228" t="s">
        <v>3943</v>
      </c>
      <c r="AE827" s="245">
        <v>0</v>
      </c>
      <c r="AF827" s="228" t="s">
        <v>3943</v>
      </c>
      <c r="AG827" s="239" t="str">
        <f>IFERROR(VLOOKUP(작성용!A:A,RM!A:D,4,0),"-")</f>
        <v>-</v>
      </c>
      <c r="AH827" s="235" t="s">
        <v>4771</v>
      </c>
      <c r="AI827" s="235" t="s">
        <v>4771</v>
      </c>
      <c r="AJ827" s="235" t="s">
        <v>4771</v>
      </c>
      <c r="AK827" s="235" t="s">
        <v>5208</v>
      </c>
      <c r="AL827" s="235">
        <v>826</v>
      </c>
    </row>
    <row r="828" spans="1:38" x14ac:dyDescent="0.3">
      <c r="A828" s="222">
        <v>6000911</v>
      </c>
      <c r="B828" s="222" t="s">
        <v>5353</v>
      </c>
      <c r="C828" s="241" t="s">
        <v>4762</v>
      </c>
      <c r="D828" s="237" t="s">
        <v>5451</v>
      </c>
      <c r="E828" s="236">
        <v>1601110433518</v>
      </c>
      <c r="F828" s="240" t="s">
        <v>4854</v>
      </c>
      <c r="G828" s="214">
        <v>0</v>
      </c>
      <c r="H828" s="231" t="s">
        <v>4771</v>
      </c>
      <c r="I828" s="231"/>
      <c r="J828" s="231"/>
      <c r="K828" s="231"/>
      <c r="L828" s="231"/>
      <c r="M828" s="231"/>
      <c r="N828" s="231" t="s">
        <v>4895</v>
      </c>
      <c r="O828" s="246"/>
      <c r="P828" s="246"/>
      <c r="Q828" s="225"/>
      <c r="R828" s="212" t="s">
        <v>4771</v>
      </c>
      <c r="S828" s="212" t="s">
        <v>4771</v>
      </c>
      <c r="T828" s="233" t="s">
        <v>5386</v>
      </c>
      <c r="U828" s="234" t="s">
        <v>4759</v>
      </c>
      <c r="V828" s="234">
        <v>45611</v>
      </c>
      <c r="W828" s="234" t="s">
        <v>4877</v>
      </c>
      <c r="X828" s="234" t="s">
        <v>2</v>
      </c>
      <c r="Y828" s="234"/>
      <c r="Z828" s="234"/>
      <c r="AA828" s="243">
        <v>202411</v>
      </c>
      <c r="AB828" s="243"/>
      <c r="AC828" s="244" t="s">
        <v>5210</v>
      </c>
      <c r="AD828" s="228" t="s">
        <v>4947</v>
      </c>
      <c r="AE828" s="245">
        <v>0</v>
      </c>
      <c r="AF828" s="228" t="s">
        <v>4947</v>
      </c>
      <c r="AG828" s="239" t="str">
        <f>IFERROR(VLOOKUP(작성용!A:A,RM!A:D,4,0),"-")</f>
        <v>-</v>
      </c>
      <c r="AH828" s="235" t="s">
        <v>4771</v>
      </c>
      <c r="AI828" s="235" t="s">
        <v>4771</v>
      </c>
      <c r="AJ828" s="235" t="s">
        <v>4771</v>
      </c>
      <c r="AK828" s="235" t="s">
        <v>5208</v>
      </c>
      <c r="AL828" s="235">
        <v>827</v>
      </c>
    </row>
    <row r="829" spans="1:38" x14ac:dyDescent="0.3">
      <c r="A829" s="222">
        <v>6000911</v>
      </c>
      <c r="B829" s="222" t="s">
        <v>5353</v>
      </c>
      <c r="C829" s="241" t="s">
        <v>4762</v>
      </c>
      <c r="D829" s="237" t="s">
        <v>5781</v>
      </c>
      <c r="E829" s="236">
        <v>1101117138559</v>
      </c>
      <c r="F829" s="240" t="s">
        <v>4850</v>
      </c>
      <c r="G829" s="214">
        <v>77</v>
      </c>
      <c r="H829" s="231" t="s">
        <v>4771</v>
      </c>
      <c r="I829" s="231"/>
      <c r="J829" s="231"/>
      <c r="K829" s="231"/>
      <c r="L829" s="231"/>
      <c r="M829" s="231"/>
      <c r="N829" s="231" t="s">
        <v>4895</v>
      </c>
      <c r="O829" s="246"/>
      <c r="P829" s="246"/>
      <c r="Q829" s="225"/>
      <c r="R829" s="212" t="s">
        <v>4771</v>
      </c>
      <c r="S829" s="212" t="s">
        <v>4771</v>
      </c>
      <c r="T829" s="233" t="s">
        <v>5386</v>
      </c>
      <c r="U829" s="234" t="s">
        <v>4759</v>
      </c>
      <c r="V829" s="234">
        <v>45611</v>
      </c>
      <c r="W829" s="234" t="s">
        <v>4877</v>
      </c>
      <c r="X829" s="234" t="s">
        <v>2</v>
      </c>
      <c r="Y829" s="234"/>
      <c r="Z829" s="234"/>
      <c r="AA829" s="243">
        <v>202411</v>
      </c>
      <c r="AB829" s="243"/>
      <c r="AC829" s="244" t="s">
        <v>5210</v>
      </c>
      <c r="AD829" s="228" t="s">
        <v>3663</v>
      </c>
      <c r="AE829" s="245">
        <v>0</v>
      </c>
      <c r="AF829" s="228" t="s">
        <v>3663</v>
      </c>
      <c r="AG829" s="239" t="str">
        <f>IFERROR(VLOOKUP(작성용!A:A,RM!A:D,4,0),"-")</f>
        <v>-</v>
      </c>
      <c r="AH829" s="235" t="s">
        <v>4771</v>
      </c>
      <c r="AI829" s="235" t="s">
        <v>4771</v>
      </c>
      <c r="AJ829" s="235" t="s">
        <v>4771</v>
      </c>
      <c r="AK829" s="235" t="s">
        <v>5208</v>
      </c>
      <c r="AL829" s="235">
        <v>828</v>
      </c>
    </row>
    <row r="830" spans="1:38" x14ac:dyDescent="0.3">
      <c r="A830" s="222">
        <v>6000911</v>
      </c>
      <c r="B830" s="222" t="s">
        <v>5353</v>
      </c>
      <c r="C830" s="241" t="s">
        <v>4762</v>
      </c>
      <c r="D830" s="237" t="s">
        <v>5782</v>
      </c>
      <c r="E830" s="236">
        <v>1101115328615</v>
      </c>
      <c r="F830" s="240" t="s">
        <v>4854</v>
      </c>
      <c r="G830" s="214">
        <v>0</v>
      </c>
      <c r="H830" s="231" t="s">
        <v>4771</v>
      </c>
      <c r="I830" s="231"/>
      <c r="J830" s="231"/>
      <c r="K830" s="231"/>
      <c r="L830" s="231"/>
      <c r="M830" s="231"/>
      <c r="N830" s="231" t="s">
        <v>4895</v>
      </c>
      <c r="O830" s="246"/>
      <c r="P830" s="246"/>
      <c r="Q830" s="225"/>
      <c r="R830" s="212" t="s">
        <v>4771</v>
      </c>
      <c r="S830" s="212" t="s">
        <v>4771</v>
      </c>
      <c r="T830" s="233" t="s">
        <v>5386</v>
      </c>
      <c r="U830" s="234" t="s">
        <v>4759</v>
      </c>
      <c r="V830" s="234">
        <v>45611</v>
      </c>
      <c r="W830" s="234" t="s">
        <v>4877</v>
      </c>
      <c r="X830" s="234" t="s">
        <v>2</v>
      </c>
      <c r="Y830" s="234"/>
      <c r="Z830" s="234"/>
      <c r="AA830" s="243">
        <v>202411</v>
      </c>
      <c r="AB830" s="243"/>
      <c r="AC830" s="244" t="s">
        <v>5210</v>
      </c>
      <c r="AD830" s="228" t="s">
        <v>640</v>
      </c>
      <c r="AE830" s="245">
        <v>0</v>
      </c>
      <c r="AF830" s="228" t="s">
        <v>640</v>
      </c>
      <c r="AG830" s="239" t="str">
        <f>IFERROR(VLOOKUP(작성용!A:A,RM!A:D,4,0),"-")</f>
        <v>-</v>
      </c>
      <c r="AH830" s="235" t="s">
        <v>4771</v>
      </c>
      <c r="AI830" s="235" t="s">
        <v>4771</v>
      </c>
      <c r="AJ830" s="235" t="s">
        <v>4771</v>
      </c>
      <c r="AK830" s="235" t="s">
        <v>5208</v>
      </c>
      <c r="AL830" s="235">
        <v>829</v>
      </c>
    </row>
    <row r="831" spans="1:38" x14ac:dyDescent="0.3">
      <c r="A831" s="222">
        <v>6000911</v>
      </c>
      <c r="B831" s="222" t="s">
        <v>5353</v>
      </c>
      <c r="C831" s="241" t="s">
        <v>4762</v>
      </c>
      <c r="D831" s="237" t="s">
        <v>5782</v>
      </c>
      <c r="E831" s="236">
        <v>1101115328615</v>
      </c>
      <c r="F831" s="240" t="s">
        <v>4854</v>
      </c>
      <c r="G831" s="214">
        <v>0</v>
      </c>
      <c r="H831" s="231" t="s">
        <v>4771</v>
      </c>
      <c r="I831" s="231"/>
      <c r="J831" s="231"/>
      <c r="K831" s="231"/>
      <c r="L831" s="231"/>
      <c r="M831" s="231"/>
      <c r="N831" s="231" t="s">
        <v>4895</v>
      </c>
      <c r="O831" s="246"/>
      <c r="P831" s="246"/>
      <c r="Q831" s="225"/>
      <c r="R831" s="212" t="s">
        <v>4771</v>
      </c>
      <c r="S831" s="212" t="s">
        <v>4771</v>
      </c>
      <c r="T831" s="233" t="s">
        <v>5386</v>
      </c>
      <c r="U831" s="234" t="s">
        <v>4759</v>
      </c>
      <c r="V831" s="234">
        <v>45611</v>
      </c>
      <c r="W831" s="234" t="s">
        <v>4877</v>
      </c>
      <c r="X831" s="234" t="s">
        <v>2</v>
      </c>
      <c r="Y831" s="234"/>
      <c r="Z831" s="234"/>
      <c r="AA831" s="243">
        <v>202411</v>
      </c>
      <c r="AB831" s="243"/>
      <c r="AC831" s="244" t="s">
        <v>5210</v>
      </c>
      <c r="AD831" s="228" t="s">
        <v>640</v>
      </c>
      <c r="AE831" s="245">
        <v>0</v>
      </c>
      <c r="AF831" s="228" t="s">
        <v>640</v>
      </c>
      <c r="AG831" s="239" t="str">
        <f>IFERROR(VLOOKUP(작성용!A:A,RM!A:D,4,0),"-")</f>
        <v>-</v>
      </c>
      <c r="AH831" s="235" t="s">
        <v>4771</v>
      </c>
      <c r="AI831" s="235" t="s">
        <v>4771</v>
      </c>
      <c r="AJ831" s="235" t="s">
        <v>4771</v>
      </c>
      <c r="AK831" s="235" t="s">
        <v>5208</v>
      </c>
      <c r="AL831" s="235">
        <v>830</v>
      </c>
    </row>
    <row r="832" spans="1:38" x14ac:dyDescent="0.3">
      <c r="A832" s="222">
        <v>6000911</v>
      </c>
      <c r="B832" s="222" t="s">
        <v>5353</v>
      </c>
      <c r="C832" s="241" t="s">
        <v>4762</v>
      </c>
      <c r="D832" s="237" t="s">
        <v>5263</v>
      </c>
      <c r="E832" s="236">
        <v>1101110778526</v>
      </c>
      <c r="F832" s="240" t="s">
        <v>4854</v>
      </c>
      <c r="G832" s="214">
        <v>0</v>
      </c>
      <c r="H832" s="231" t="s">
        <v>4771</v>
      </c>
      <c r="I832" s="231"/>
      <c r="J832" s="231"/>
      <c r="K832" s="231"/>
      <c r="L832" s="231"/>
      <c r="M832" s="231"/>
      <c r="N832" s="231" t="s">
        <v>4895</v>
      </c>
      <c r="O832" s="246"/>
      <c r="P832" s="246"/>
      <c r="Q832" s="225"/>
      <c r="R832" s="212" t="s">
        <v>4771</v>
      </c>
      <c r="S832" s="212" t="s">
        <v>4771</v>
      </c>
      <c r="T832" s="233" t="s">
        <v>5386</v>
      </c>
      <c r="U832" s="234" t="s">
        <v>4759</v>
      </c>
      <c r="V832" s="234">
        <v>45611</v>
      </c>
      <c r="W832" s="234" t="s">
        <v>4877</v>
      </c>
      <c r="X832" s="234" t="s">
        <v>2</v>
      </c>
      <c r="Y832" s="234"/>
      <c r="Z832" s="234"/>
      <c r="AA832" s="243">
        <v>202411</v>
      </c>
      <c r="AB832" s="243"/>
      <c r="AC832" s="244" t="s">
        <v>5210</v>
      </c>
      <c r="AD832" s="228" t="s">
        <v>3650</v>
      </c>
      <c r="AE832" s="245">
        <v>0</v>
      </c>
      <c r="AF832" s="228" t="s">
        <v>3650</v>
      </c>
      <c r="AG832" s="239" t="str">
        <f>IFERROR(VLOOKUP(작성용!A:A,RM!A:D,4,0),"-")</f>
        <v>-</v>
      </c>
      <c r="AH832" s="235" t="s">
        <v>4771</v>
      </c>
      <c r="AI832" s="235" t="s">
        <v>4771</v>
      </c>
      <c r="AJ832" s="235" t="s">
        <v>4771</v>
      </c>
      <c r="AK832" s="235" t="s">
        <v>5208</v>
      </c>
      <c r="AL832" s="235">
        <v>831</v>
      </c>
    </row>
    <row r="833" spans="1:39" x14ac:dyDescent="0.3">
      <c r="A833" s="222">
        <v>6000911</v>
      </c>
      <c r="B833" s="222" t="s">
        <v>5353</v>
      </c>
      <c r="C833" s="241" t="s">
        <v>4762</v>
      </c>
      <c r="D833" s="237" t="s">
        <v>5783</v>
      </c>
      <c r="E833" s="236">
        <v>1101118185567</v>
      </c>
      <c r="F833" s="240" t="s">
        <v>4854</v>
      </c>
      <c r="G833" s="214">
        <v>0</v>
      </c>
      <c r="H833" s="231" t="s">
        <v>4771</v>
      </c>
      <c r="I833" s="231"/>
      <c r="J833" s="231"/>
      <c r="K833" s="231"/>
      <c r="L833" s="231"/>
      <c r="M833" s="231"/>
      <c r="N833" s="231" t="s">
        <v>4895</v>
      </c>
      <c r="O833" s="246"/>
      <c r="P833" s="246"/>
      <c r="Q833" s="225"/>
      <c r="R833" s="212" t="s">
        <v>4771</v>
      </c>
      <c r="S833" s="212" t="s">
        <v>4771</v>
      </c>
      <c r="T833" s="233" t="s">
        <v>5386</v>
      </c>
      <c r="U833" s="234" t="s">
        <v>4759</v>
      </c>
      <c r="V833" s="234">
        <v>45611</v>
      </c>
      <c r="W833" s="234" t="s">
        <v>4877</v>
      </c>
      <c r="X833" s="234" t="s">
        <v>2</v>
      </c>
      <c r="Y833" s="234"/>
      <c r="Z833" s="234"/>
      <c r="AA833" s="243">
        <v>202411</v>
      </c>
      <c r="AB833" s="243"/>
      <c r="AC833" s="244" t="s">
        <v>5210</v>
      </c>
      <c r="AD833" s="228" t="s">
        <v>4987</v>
      </c>
      <c r="AE833" s="245">
        <v>0</v>
      </c>
      <c r="AF833" s="228" t="s">
        <v>4762</v>
      </c>
      <c r="AG833" s="239" t="str">
        <f>IFERROR(VLOOKUP(작성용!A:A,RM!A:D,4,0),"-")</f>
        <v>-</v>
      </c>
      <c r="AH833" s="235" t="s">
        <v>4771</v>
      </c>
      <c r="AI833" s="235" t="s">
        <v>4771</v>
      </c>
      <c r="AJ833" s="235" t="s">
        <v>4771</v>
      </c>
      <c r="AK833" s="235" t="s">
        <v>5208</v>
      </c>
      <c r="AL833" s="235">
        <v>832</v>
      </c>
    </row>
    <row r="834" spans="1:39" x14ac:dyDescent="0.3">
      <c r="A834" s="229" t="s">
        <v>4728</v>
      </c>
      <c r="B834" s="229" t="s">
        <v>5784</v>
      </c>
      <c r="C834" s="241" t="s">
        <v>4762</v>
      </c>
      <c r="D834" s="237" t="s">
        <v>5784</v>
      </c>
      <c r="E834" s="236">
        <v>1101117982526</v>
      </c>
      <c r="F834" s="240" t="s">
        <v>4854</v>
      </c>
      <c r="G834" s="214">
        <v>0</v>
      </c>
      <c r="H834" s="231" t="s">
        <v>4771</v>
      </c>
      <c r="I834" s="231"/>
      <c r="J834" s="231"/>
      <c r="K834" s="231"/>
      <c r="L834" s="231"/>
      <c r="M834" s="231"/>
      <c r="N834" s="231" t="s">
        <v>5035</v>
      </c>
      <c r="O834" s="246" t="s">
        <v>5785</v>
      </c>
      <c r="P834" s="246" t="s">
        <v>5786</v>
      </c>
      <c r="Q834" s="225" t="s">
        <v>5787</v>
      </c>
      <c r="R834" s="212" t="s">
        <v>4771</v>
      </c>
      <c r="S834" s="213" t="s">
        <v>4771</v>
      </c>
      <c r="T834" s="233">
        <v>45588</v>
      </c>
      <c r="U834" s="234" t="s">
        <v>4772</v>
      </c>
      <c r="V834" s="233">
        <v>45672</v>
      </c>
      <c r="W834" s="233">
        <v>45684</v>
      </c>
      <c r="X834" s="234" t="s">
        <v>4771</v>
      </c>
      <c r="Y834" s="234"/>
      <c r="Z834" s="234" t="s">
        <v>4729</v>
      </c>
      <c r="AA834" s="224">
        <v>202412</v>
      </c>
      <c r="AB834" s="243"/>
      <c r="AC834" s="233" t="s">
        <v>4760</v>
      </c>
      <c r="AD834" s="244" t="s">
        <v>4933</v>
      </c>
      <c r="AE834" s="245">
        <v>1</v>
      </c>
      <c r="AF834" s="244" t="s">
        <v>4933</v>
      </c>
      <c r="AG834" s="239" t="str">
        <f>IFERROR(VLOOKUP(작성용!A:A,RM!A:D,4,0),"-")</f>
        <v>최수민</v>
      </c>
      <c r="AH834" s="9" t="s">
        <v>4933</v>
      </c>
      <c r="AI834" s="235" t="s">
        <v>4771</v>
      </c>
      <c r="AJ834" s="235" t="s">
        <v>4776</v>
      </c>
      <c r="AK834" s="235" t="s">
        <v>4777</v>
      </c>
      <c r="AL834" s="235">
        <v>833</v>
      </c>
    </row>
    <row r="835" spans="1:39" x14ac:dyDescent="0.3">
      <c r="A835" s="229" t="s">
        <v>4728</v>
      </c>
      <c r="B835" s="229" t="s">
        <v>5784</v>
      </c>
      <c r="C835" s="241" t="s">
        <v>4762</v>
      </c>
      <c r="D835" s="237" t="s">
        <v>5784</v>
      </c>
      <c r="E835" s="236">
        <v>1101117982526</v>
      </c>
      <c r="F835" s="240" t="s">
        <v>4780</v>
      </c>
      <c r="G835" s="214">
        <v>1</v>
      </c>
      <c r="H835" s="231" t="s">
        <v>4771</v>
      </c>
      <c r="I835" s="231"/>
      <c r="J835" s="231"/>
      <c r="K835" s="231"/>
      <c r="L835" s="231"/>
      <c r="M835" s="231"/>
      <c r="N835" s="231" t="s">
        <v>5035</v>
      </c>
      <c r="O835" s="246" t="s">
        <v>5785</v>
      </c>
      <c r="P835" s="246" t="s">
        <v>5786</v>
      </c>
      <c r="Q835" s="225" t="s">
        <v>5787</v>
      </c>
      <c r="R835" s="212" t="s">
        <v>4771</v>
      </c>
      <c r="S835" s="213" t="s">
        <v>4771</v>
      </c>
      <c r="T835" s="233">
        <v>45588</v>
      </c>
      <c r="U835" s="234" t="s">
        <v>4772</v>
      </c>
      <c r="V835" s="233">
        <v>45672</v>
      </c>
      <c r="W835" s="233">
        <v>45684</v>
      </c>
      <c r="X835" s="234" t="s">
        <v>4771</v>
      </c>
      <c r="Y835" s="234"/>
      <c r="Z835" s="234" t="s">
        <v>4729</v>
      </c>
      <c r="AA835" s="224">
        <v>202412</v>
      </c>
      <c r="AB835" s="243"/>
      <c r="AC835" s="233" t="s">
        <v>4760</v>
      </c>
      <c r="AD835" s="244" t="s">
        <v>4933</v>
      </c>
      <c r="AE835" s="245">
        <v>0</v>
      </c>
      <c r="AF835" s="244" t="s">
        <v>4933</v>
      </c>
      <c r="AG835" s="239" t="str">
        <f>IFERROR(VLOOKUP(작성용!A:A,RM!A:D,4,0),"-")</f>
        <v>최수민</v>
      </c>
      <c r="AH835" s="9" t="s">
        <v>4933</v>
      </c>
      <c r="AI835" s="235" t="s">
        <v>4771</v>
      </c>
      <c r="AJ835" s="235" t="s">
        <v>4776</v>
      </c>
      <c r="AK835" s="235" t="s">
        <v>4777</v>
      </c>
      <c r="AL835" s="235">
        <v>834</v>
      </c>
    </row>
    <row r="836" spans="1:39" s="198" customFormat="1" x14ac:dyDescent="0.3">
      <c r="A836" s="229" t="s">
        <v>4728</v>
      </c>
      <c r="B836" s="229" t="s">
        <v>5784</v>
      </c>
      <c r="C836" s="241" t="s">
        <v>4762</v>
      </c>
      <c r="D836" s="237" t="s">
        <v>5784</v>
      </c>
      <c r="E836" s="236">
        <v>1101117982526</v>
      </c>
      <c r="F836" s="240" t="s">
        <v>4780</v>
      </c>
      <c r="G836" s="214">
        <v>2</v>
      </c>
      <c r="H836" s="231" t="s">
        <v>4771</v>
      </c>
      <c r="I836" s="231"/>
      <c r="J836" s="231"/>
      <c r="K836" s="231"/>
      <c r="L836" s="231"/>
      <c r="M836" s="231"/>
      <c r="N836" s="231" t="s">
        <v>5035</v>
      </c>
      <c r="O836" s="246" t="s">
        <v>5785</v>
      </c>
      <c r="P836" s="246" t="s">
        <v>5786</v>
      </c>
      <c r="Q836" s="225" t="s">
        <v>5787</v>
      </c>
      <c r="R836" s="212" t="s">
        <v>4771</v>
      </c>
      <c r="S836" s="213" t="s">
        <v>4771</v>
      </c>
      <c r="T836" s="233">
        <v>45588</v>
      </c>
      <c r="U836" s="234" t="s">
        <v>4772</v>
      </c>
      <c r="V836" s="233">
        <v>45672</v>
      </c>
      <c r="W836" s="233">
        <v>45684</v>
      </c>
      <c r="X836" s="234" t="s">
        <v>4771</v>
      </c>
      <c r="Y836" s="234"/>
      <c r="Z836" s="234" t="s">
        <v>4729</v>
      </c>
      <c r="AA836" s="224">
        <v>202412</v>
      </c>
      <c r="AB836" s="243"/>
      <c r="AC836" s="233" t="s">
        <v>4760</v>
      </c>
      <c r="AD836" s="244" t="s">
        <v>4933</v>
      </c>
      <c r="AE836" s="245">
        <v>0</v>
      </c>
      <c r="AF836" s="244" t="s">
        <v>4933</v>
      </c>
      <c r="AG836" s="239" t="str">
        <f>IFERROR(VLOOKUP(작성용!A:A,RM!A:D,4,0),"-")</f>
        <v>최수민</v>
      </c>
      <c r="AH836" s="9" t="s">
        <v>4933</v>
      </c>
      <c r="AI836" s="235" t="s">
        <v>4771</v>
      </c>
      <c r="AJ836" s="235" t="s">
        <v>4776</v>
      </c>
      <c r="AK836" s="235" t="s">
        <v>4777</v>
      </c>
      <c r="AL836" s="235">
        <v>835</v>
      </c>
    </row>
    <row r="837" spans="1:39" s="198" customFormat="1" x14ac:dyDescent="0.3">
      <c r="A837" s="229" t="s">
        <v>2223</v>
      </c>
      <c r="B837" s="229" t="s">
        <v>5074</v>
      </c>
      <c r="C837" s="241" t="s">
        <v>4778</v>
      </c>
      <c r="D837" s="237" t="s">
        <v>5788</v>
      </c>
      <c r="E837" s="236">
        <v>1101115938985</v>
      </c>
      <c r="F837" s="240" t="s">
        <v>4854</v>
      </c>
      <c r="G837" s="214">
        <v>0</v>
      </c>
      <c r="H837" s="231" t="s">
        <v>4771</v>
      </c>
      <c r="I837" s="231"/>
      <c r="J837" s="231"/>
      <c r="K837" s="231"/>
      <c r="L837" s="231"/>
      <c r="M837" s="231"/>
      <c r="N837" s="231" t="s">
        <v>4806</v>
      </c>
      <c r="O837" s="246" t="s">
        <v>5076</v>
      </c>
      <c r="P837" s="246" t="s">
        <v>5077</v>
      </c>
      <c r="Q837" s="225" t="s">
        <v>5078</v>
      </c>
      <c r="R837" s="212" t="s">
        <v>2</v>
      </c>
      <c r="S837" s="213" t="s">
        <v>4771</v>
      </c>
      <c r="T837" s="233">
        <v>45589</v>
      </c>
      <c r="U837" s="234" t="s">
        <v>4759</v>
      </c>
      <c r="V837" s="233">
        <v>45610</v>
      </c>
      <c r="W837" s="233">
        <v>45614</v>
      </c>
      <c r="X837" s="234" t="s">
        <v>4771</v>
      </c>
      <c r="Y837" s="234"/>
      <c r="Z837" s="234" t="s">
        <v>5085</v>
      </c>
      <c r="AA837" s="238">
        <v>202411</v>
      </c>
      <c r="AB837" s="243"/>
      <c r="AC837" s="233" t="s">
        <v>4800</v>
      </c>
      <c r="AD837" s="244" t="s">
        <v>5727</v>
      </c>
      <c r="AE837" s="245">
        <v>1</v>
      </c>
      <c r="AF837" s="244" t="s">
        <v>5727</v>
      </c>
      <c r="AG837" s="239" t="str">
        <f>IFERROR(VLOOKUP(작성용!A:A,RM!A:D,4,0),"-")</f>
        <v>이문수</v>
      </c>
      <c r="AH837" s="9" t="s">
        <v>4937</v>
      </c>
      <c r="AI837" s="235" t="s">
        <v>4771</v>
      </c>
      <c r="AJ837" s="235" t="s">
        <v>4920</v>
      </c>
      <c r="AK837" s="235" t="s">
        <v>4777</v>
      </c>
      <c r="AL837" s="235">
        <v>836</v>
      </c>
    </row>
    <row r="838" spans="1:39" s="198" customFormat="1" x14ac:dyDescent="0.3">
      <c r="A838" s="222" t="s">
        <v>1063</v>
      </c>
      <c r="B838" s="222" t="s">
        <v>5789</v>
      </c>
      <c r="C838" s="241" t="s">
        <v>4778</v>
      </c>
      <c r="D838" s="237" t="s">
        <v>5790</v>
      </c>
      <c r="E838" s="236">
        <v>1351110065750</v>
      </c>
      <c r="F838" s="240" t="s">
        <v>4780</v>
      </c>
      <c r="G838" s="214">
        <v>6</v>
      </c>
      <c r="H838" s="237" t="s">
        <v>4771</v>
      </c>
      <c r="I838" s="237"/>
      <c r="J838" s="231"/>
      <c r="K838" s="237"/>
      <c r="L838" s="237"/>
      <c r="M838" s="237"/>
      <c r="N838" s="240" t="s">
        <v>4730</v>
      </c>
      <c r="O838" s="256" t="s">
        <v>5791</v>
      </c>
      <c r="P838" s="256" t="s">
        <v>5792</v>
      </c>
      <c r="Q838" s="225" t="s">
        <v>5793</v>
      </c>
      <c r="R838" s="213" t="s">
        <v>2</v>
      </c>
      <c r="S838" s="213" t="s">
        <v>4771</v>
      </c>
      <c r="T838" s="233">
        <v>45589</v>
      </c>
      <c r="U838" s="234" t="s">
        <v>5794</v>
      </c>
      <c r="V838" s="234">
        <v>45602</v>
      </c>
      <c r="W838" s="234">
        <v>45608</v>
      </c>
      <c r="X838" s="234" t="s">
        <v>2</v>
      </c>
      <c r="Y838" s="234"/>
      <c r="Z838" s="243" t="s">
        <v>5795</v>
      </c>
      <c r="AA838" s="243">
        <v>202410</v>
      </c>
      <c r="AB838" s="243"/>
      <c r="AC838" s="244" t="s">
        <v>4786</v>
      </c>
      <c r="AD838" s="244" t="s">
        <v>4774</v>
      </c>
      <c r="AE838" s="245">
        <v>0</v>
      </c>
      <c r="AF838" s="244" t="s">
        <v>4774</v>
      </c>
      <c r="AG838" s="239" t="str">
        <f>IFERROR(VLOOKUP(작성용!A:A,RM!A:D,4,0),"-")</f>
        <v>메자닌평가팀</v>
      </c>
      <c r="AH838" s="9" t="s">
        <v>4775</v>
      </c>
      <c r="AI838" s="235" t="s">
        <v>4771</v>
      </c>
      <c r="AJ838" s="235" t="s">
        <v>4776</v>
      </c>
      <c r="AK838" s="235" t="s">
        <v>4128</v>
      </c>
      <c r="AL838" s="235">
        <v>837</v>
      </c>
    </row>
    <row r="839" spans="1:39" x14ac:dyDescent="0.3">
      <c r="A839" s="229" t="s">
        <v>7</v>
      </c>
      <c r="B839" s="229" t="s">
        <v>8</v>
      </c>
      <c r="C839" s="241" t="s">
        <v>4765</v>
      </c>
      <c r="D839" s="237" t="s">
        <v>5796</v>
      </c>
      <c r="E839" s="236">
        <v>1101112405896</v>
      </c>
      <c r="F839" s="240" t="s">
        <v>4780</v>
      </c>
      <c r="G839" s="214">
        <v>0</v>
      </c>
      <c r="H839" s="231" t="s">
        <v>4771</v>
      </c>
      <c r="I839" s="231"/>
      <c r="J839" s="231"/>
      <c r="K839" s="231"/>
      <c r="L839" s="231"/>
      <c r="M839" s="231"/>
      <c r="N839" s="231" t="s">
        <v>5797</v>
      </c>
      <c r="O839" s="246" t="s">
        <v>5798</v>
      </c>
      <c r="P839" s="246" t="s">
        <v>5799</v>
      </c>
      <c r="Q839" s="225" t="s">
        <v>4820</v>
      </c>
      <c r="R839" s="212" t="s">
        <v>2</v>
      </c>
      <c r="S839" s="213" t="s">
        <v>4771</v>
      </c>
      <c r="T839" s="233">
        <v>45589</v>
      </c>
      <c r="U839" s="234" t="s">
        <v>4772</v>
      </c>
      <c r="V839" s="233">
        <v>45659</v>
      </c>
      <c r="W839" s="233">
        <v>45666</v>
      </c>
      <c r="X839" s="234" t="s">
        <v>4771</v>
      </c>
      <c r="Y839" s="234"/>
      <c r="Z839" s="234" t="s">
        <v>4557</v>
      </c>
      <c r="AA839" s="238">
        <v>202412</v>
      </c>
      <c r="AB839" s="243"/>
      <c r="AC839" s="233" t="s">
        <v>4786</v>
      </c>
      <c r="AD839" s="244" t="s">
        <v>4774</v>
      </c>
      <c r="AE839" s="245">
        <v>0</v>
      </c>
      <c r="AF839" s="244" t="s">
        <v>4774</v>
      </c>
      <c r="AG839" s="239" t="str">
        <f>IFERROR(VLOOKUP(작성용!A:A,RM!A:D,4,0),"-")</f>
        <v>메자닌평가팀</v>
      </c>
      <c r="AH839" s="239" t="s">
        <v>4787</v>
      </c>
      <c r="AI839" s="235" t="s">
        <v>4771</v>
      </c>
      <c r="AJ839" s="235" t="s">
        <v>4776</v>
      </c>
      <c r="AK839" s="235" t="s">
        <v>4777</v>
      </c>
      <c r="AL839" s="235">
        <v>838</v>
      </c>
    </row>
    <row r="840" spans="1:39" x14ac:dyDescent="0.3">
      <c r="A840" s="229" t="s">
        <v>4731</v>
      </c>
      <c r="B840" s="229" t="s">
        <v>4732</v>
      </c>
      <c r="C840" s="249" t="s">
        <v>4765</v>
      </c>
      <c r="D840" s="237" t="s">
        <v>5800</v>
      </c>
      <c r="E840" s="236">
        <v>2301110157353</v>
      </c>
      <c r="F840" s="240" t="s">
        <v>4850</v>
      </c>
      <c r="G840" s="214">
        <v>0</v>
      </c>
      <c r="H840" s="231" t="s">
        <v>4771</v>
      </c>
      <c r="I840" s="231"/>
      <c r="J840" s="231"/>
      <c r="K840" s="231"/>
      <c r="L840" s="231"/>
      <c r="M840" s="231"/>
      <c r="N840" s="230" t="s">
        <v>4895</v>
      </c>
      <c r="O840" s="230" t="s">
        <v>5801</v>
      </c>
      <c r="P840" s="230" t="s">
        <v>5802</v>
      </c>
      <c r="Q840" s="225" t="s">
        <v>5803</v>
      </c>
      <c r="R840" s="232" t="s">
        <v>4771</v>
      </c>
      <c r="S840" s="232" t="s">
        <v>4771</v>
      </c>
      <c r="T840" s="233">
        <v>45589</v>
      </c>
      <c r="U840" s="234" t="s">
        <v>4821</v>
      </c>
      <c r="V840" s="234">
        <v>45615</v>
      </c>
      <c r="W840" s="234">
        <v>45622</v>
      </c>
      <c r="X840" s="234" t="s">
        <v>2</v>
      </c>
      <c r="Y840" s="234"/>
      <c r="Z840" s="234" t="s">
        <v>5804</v>
      </c>
      <c r="AA840" s="243">
        <v>202410</v>
      </c>
      <c r="AB840" s="243"/>
      <c r="AC840" s="244" t="s">
        <v>4760</v>
      </c>
      <c r="AD840" s="244" t="s">
        <v>4846</v>
      </c>
      <c r="AE840" s="245">
        <v>1</v>
      </c>
      <c r="AF840" s="244" t="s">
        <v>4846</v>
      </c>
      <c r="AG840" s="239" t="str">
        <f>IFERROR(VLOOKUP(작성용!A:A,RM!A:D,4,0),"-")</f>
        <v>이상민</v>
      </c>
      <c r="AH840" s="9" t="s">
        <v>4947</v>
      </c>
      <c r="AI840" s="235" t="s">
        <v>4771</v>
      </c>
      <c r="AJ840" s="235" t="s">
        <v>4776</v>
      </c>
      <c r="AK840" s="235" t="s">
        <v>4128</v>
      </c>
      <c r="AL840" s="235">
        <v>839</v>
      </c>
    </row>
    <row r="841" spans="1:39" x14ac:dyDescent="0.3">
      <c r="A841" s="229" t="s">
        <v>4731</v>
      </c>
      <c r="B841" s="229" t="s">
        <v>4732</v>
      </c>
      <c r="C841" s="249" t="s">
        <v>4778</v>
      </c>
      <c r="D841" s="237" t="s">
        <v>5424</v>
      </c>
      <c r="E841" s="236">
        <v>1101115714757</v>
      </c>
      <c r="F841" s="240" t="s">
        <v>4850</v>
      </c>
      <c r="G841" s="214">
        <v>0</v>
      </c>
      <c r="H841" s="231" t="s">
        <v>4771</v>
      </c>
      <c r="I841" s="231"/>
      <c r="J841" s="231"/>
      <c r="K841" s="231"/>
      <c r="L841" s="231"/>
      <c r="M841" s="231"/>
      <c r="N841" s="230" t="s">
        <v>4895</v>
      </c>
      <c r="O841" s="230" t="s">
        <v>5801</v>
      </c>
      <c r="P841" s="230" t="s">
        <v>5802</v>
      </c>
      <c r="Q841" s="225" t="s">
        <v>5803</v>
      </c>
      <c r="R841" s="232" t="s">
        <v>4771</v>
      </c>
      <c r="S841" s="232" t="s">
        <v>4771</v>
      </c>
      <c r="T841" s="233">
        <v>45589</v>
      </c>
      <c r="U841" s="234" t="s">
        <v>4821</v>
      </c>
      <c r="V841" s="234">
        <v>45615</v>
      </c>
      <c r="W841" s="234">
        <v>45622</v>
      </c>
      <c r="X841" s="234" t="s">
        <v>2</v>
      </c>
      <c r="Y841" s="234"/>
      <c r="Z841" s="234" t="s">
        <v>5804</v>
      </c>
      <c r="AA841" s="243">
        <v>202410</v>
      </c>
      <c r="AB841" s="243"/>
      <c r="AC841" s="244" t="s">
        <v>4760</v>
      </c>
      <c r="AD841" s="244" t="s">
        <v>4947</v>
      </c>
      <c r="AE841" s="245">
        <v>1</v>
      </c>
      <c r="AF841" s="244" t="s">
        <v>4918</v>
      </c>
      <c r="AG841" s="239" t="str">
        <f>IFERROR(VLOOKUP(작성용!A:A,RM!A:D,4,0),"-")</f>
        <v>이상민</v>
      </c>
      <c r="AH841" s="9" t="s">
        <v>4947</v>
      </c>
      <c r="AI841" s="235" t="s">
        <v>4771</v>
      </c>
      <c r="AJ841" s="235" t="s">
        <v>4776</v>
      </c>
      <c r="AK841" s="235" t="s">
        <v>4128</v>
      </c>
      <c r="AL841" s="235">
        <v>840</v>
      </c>
    </row>
    <row r="842" spans="1:39" x14ac:dyDescent="0.3">
      <c r="A842" s="229" t="s">
        <v>4731</v>
      </c>
      <c r="B842" s="229" t="s">
        <v>4732</v>
      </c>
      <c r="C842" s="249" t="s">
        <v>4778</v>
      </c>
      <c r="D842" s="237" t="s">
        <v>5805</v>
      </c>
      <c r="E842" s="236">
        <v>1101114963058</v>
      </c>
      <c r="F842" s="240" t="s">
        <v>4850</v>
      </c>
      <c r="G842" s="214">
        <v>2</v>
      </c>
      <c r="H842" s="231" t="s">
        <v>4771</v>
      </c>
      <c r="I842" s="231"/>
      <c r="J842" s="231"/>
      <c r="K842" s="231"/>
      <c r="L842" s="231"/>
      <c r="M842" s="231"/>
      <c r="N842" s="230" t="s">
        <v>4895</v>
      </c>
      <c r="O842" s="230" t="s">
        <v>5801</v>
      </c>
      <c r="P842" s="230" t="s">
        <v>5802</v>
      </c>
      <c r="Q842" s="225" t="s">
        <v>5803</v>
      </c>
      <c r="R842" s="232" t="s">
        <v>4771</v>
      </c>
      <c r="S842" s="232" t="s">
        <v>4771</v>
      </c>
      <c r="T842" s="233">
        <v>45589</v>
      </c>
      <c r="U842" s="234" t="s">
        <v>4821</v>
      </c>
      <c r="V842" s="234">
        <v>45615</v>
      </c>
      <c r="W842" s="234">
        <v>45622</v>
      </c>
      <c r="X842" s="234" t="s">
        <v>2</v>
      </c>
      <c r="Y842" s="234"/>
      <c r="Z842" s="234" t="s">
        <v>5804</v>
      </c>
      <c r="AA842" s="243">
        <v>202410</v>
      </c>
      <c r="AB842" s="243"/>
      <c r="AC842" s="244" t="s">
        <v>4760</v>
      </c>
      <c r="AD842" s="244" t="s">
        <v>4980</v>
      </c>
      <c r="AE842" s="245">
        <v>1</v>
      </c>
      <c r="AF842" s="244" t="s">
        <v>4980</v>
      </c>
      <c r="AG842" s="239" t="str">
        <f>IFERROR(VLOOKUP(작성용!A:A,RM!A:D,4,0),"-")</f>
        <v>이상민</v>
      </c>
      <c r="AH842" s="9" t="s">
        <v>5095</v>
      </c>
      <c r="AI842" s="235" t="s">
        <v>4771</v>
      </c>
      <c r="AJ842" s="235" t="s">
        <v>4776</v>
      </c>
      <c r="AK842" s="235" t="s">
        <v>4128</v>
      </c>
      <c r="AL842" s="235">
        <v>841</v>
      </c>
      <c r="AM842" s="198"/>
    </row>
    <row r="843" spans="1:39" x14ac:dyDescent="0.3">
      <c r="A843" s="229" t="s">
        <v>4731</v>
      </c>
      <c r="B843" s="229" t="s">
        <v>4732</v>
      </c>
      <c r="C843" s="249" t="s">
        <v>4778</v>
      </c>
      <c r="D843" s="237" t="s">
        <v>5806</v>
      </c>
      <c r="E843" s="236">
        <v>1601110411407</v>
      </c>
      <c r="F843" s="240" t="s">
        <v>4894</v>
      </c>
      <c r="G843" s="214">
        <v>0</v>
      </c>
      <c r="H843" s="231" t="s">
        <v>4771</v>
      </c>
      <c r="I843" s="231"/>
      <c r="J843" s="231"/>
      <c r="K843" s="231"/>
      <c r="L843" s="231"/>
      <c r="M843" s="231"/>
      <c r="N843" s="230" t="s">
        <v>4895</v>
      </c>
      <c r="O843" s="230" t="s">
        <v>5801</v>
      </c>
      <c r="P843" s="230" t="s">
        <v>5802</v>
      </c>
      <c r="Q843" s="225" t="s">
        <v>5807</v>
      </c>
      <c r="R843" s="232" t="s">
        <v>4771</v>
      </c>
      <c r="S843" s="232" t="s">
        <v>4771</v>
      </c>
      <c r="T843" s="233">
        <v>45589</v>
      </c>
      <c r="U843" s="234" t="s">
        <v>4821</v>
      </c>
      <c r="V843" s="234">
        <v>45615</v>
      </c>
      <c r="W843" s="234">
        <v>45622</v>
      </c>
      <c r="X843" s="234" t="s">
        <v>2</v>
      </c>
      <c r="Y843" s="234"/>
      <c r="Z843" s="234" t="s">
        <v>5804</v>
      </c>
      <c r="AA843" s="243">
        <v>202410</v>
      </c>
      <c r="AB843" s="243"/>
      <c r="AC843" s="244" t="s">
        <v>4760</v>
      </c>
      <c r="AD843" s="244" t="s">
        <v>4864</v>
      </c>
      <c r="AE843" s="245">
        <v>1</v>
      </c>
      <c r="AF843" s="244" t="s">
        <v>4864</v>
      </c>
      <c r="AG843" s="239" t="str">
        <f>IFERROR(VLOOKUP(작성용!A:A,RM!A:D,4,0),"-")</f>
        <v>이상민</v>
      </c>
      <c r="AH843" s="9" t="s">
        <v>4947</v>
      </c>
      <c r="AI843" s="235" t="s">
        <v>4771</v>
      </c>
      <c r="AJ843" s="235" t="s">
        <v>4776</v>
      </c>
      <c r="AK843" s="235" t="s">
        <v>4128</v>
      </c>
      <c r="AL843" s="235">
        <v>842</v>
      </c>
      <c r="AM843" s="198"/>
    </row>
    <row r="844" spans="1:39" x14ac:dyDescent="0.3">
      <c r="A844" s="229" t="s">
        <v>4731</v>
      </c>
      <c r="B844" s="229" t="s">
        <v>4732</v>
      </c>
      <c r="C844" s="249" t="s">
        <v>4762</v>
      </c>
      <c r="D844" s="237" t="s">
        <v>5808</v>
      </c>
      <c r="E844" s="236">
        <v>1601110406789</v>
      </c>
      <c r="F844" s="240" t="s">
        <v>4850</v>
      </c>
      <c r="G844" s="214">
        <v>77</v>
      </c>
      <c r="H844" s="231" t="s">
        <v>4771</v>
      </c>
      <c r="I844" s="231"/>
      <c r="J844" s="231"/>
      <c r="K844" s="231"/>
      <c r="L844" s="231"/>
      <c r="M844" s="231"/>
      <c r="N844" s="230" t="s">
        <v>4895</v>
      </c>
      <c r="O844" s="230" t="s">
        <v>5801</v>
      </c>
      <c r="P844" s="230" t="s">
        <v>5802</v>
      </c>
      <c r="Q844" s="225" t="s">
        <v>5803</v>
      </c>
      <c r="R844" s="232" t="s">
        <v>4771</v>
      </c>
      <c r="S844" s="232" t="s">
        <v>4771</v>
      </c>
      <c r="T844" s="233">
        <v>45589</v>
      </c>
      <c r="U844" s="234" t="s">
        <v>5809</v>
      </c>
      <c r="V844" s="234">
        <v>45702</v>
      </c>
      <c r="W844" s="234">
        <v>45709</v>
      </c>
      <c r="X844" s="234" t="s">
        <v>2</v>
      </c>
      <c r="Y844" s="234"/>
      <c r="Z844" s="234" t="s">
        <v>5804</v>
      </c>
      <c r="AA844" s="243">
        <v>202501</v>
      </c>
      <c r="AB844" s="243"/>
      <c r="AC844" s="244" t="s">
        <v>4760</v>
      </c>
      <c r="AD844" s="244" t="s">
        <v>3644</v>
      </c>
      <c r="AE844" s="245">
        <v>1</v>
      </c>
      <c r="AF844" s="244" t="s">
        <v>3644</v>
      </c>
      <c r="AG844" s="239" t="str">
        <f>IFERROR(VLOOKUP(작성용!A:A,RM!A:D,4,0),"-")</f>
        <v>이상민</v>
      </c>
      <c r="AH844" s="9" t="s">
        <v>4947</v>
      </c>
      <c r="AI844" s="235" t="s">
        <v>4771</v>
      </c>
      <c r="AJ844" s="235" t="s">
        <v>4776</v>
      </c>
      <c r="AK844" s="235" t="s">
        <v>4128</v>
      </c>
      <c r="AL844" s="235">
        <v>843</v>
      </c>
      <c r="AM844" s="198"/>
    </row>
    <row r="845" spans="1:39" x14ac:dyDescent="0.3">
      <c r="A845" s="229" t="s">
        <v>3744</v>
      </c>
      <c r="B845" s="229" t="s">
        <v>3768</v>
      </c>
      <c r="C845" s="241" t="s">
        <v>4778</v>
      </c>
      <c r="D845" s="237" t="s">
        <v>5810</v>
      </c>
      <c r="E845" s="236">
        <v>1911110000104</v>
      </c>
      <c r="F845" s="240" t="s">
        <v>4894</v>
      </c>
      <c r="G845" s="214">
        <v>0</v>
      </c>
      <c r="H845" s="231" t="s">
        <v>4771</v>
      </c>
      <c r="I845" s="231"/>
      <c r="J845" s="231"/>
      <c r="K845" s="231"/>
      <c r="L845" s="231"/>
      <c r="M845" s="231"/>
      <c r="N845" s="231" t="s">
        <v>4806</v>
      </c>
      <c r="O845" s="246" t="s">
        <v>5811</v>
      </c>
      <c r="P845" s="246" t="s">
        <v>5812</v>
      </c>
      <c r="Q845" s="225" t="s">
        <v>5813</v>
      </c>
      <c r="R845" s="212" t="s">
        <v>2</v>
      </c>
      <c r="S845" s="213" t="s">
        <v>4771</v>
      </c>
      <c r="T845" s="233" t="s">
        <v>4833</v>
      </c>
      <c r="U845" s="234" t="s">
        <v>4821</v>
      </c>
      <c r="V845" s="233">
        <v>45597</v>
      </c>
      <c r="W845" s="233" t="s">
        <v>4877</v>
      </c>
      <c r="X845" s="234" t="s">
        <v>4771</v>
      </c>
      <c r="Y845" s="234"/>
      <c r="Z845" s="234" t="s">
        <v>5035</v>
      </c>
      <c r="AA845" s="238">
        <v>202410</v>
      </c>
      <c r="AB845" s="243"/>
      <c r="AC845" s="233" t="s">
        <v>4786</v>
      </c>
      <c r="AD845" s="244" t="s">
        <v>4774</v>
      </c>
      <c r="AE845" s="245">
        <v>0</v>
      </c>
      <c r="AF845" s="244" t="s">
        <v>4774</v>
      </c>
      <c r="AG845" s="239" t="str">
        <f>IFERROR(VLOOKUP(작성용!A:A,RM!A:D,4,0),"-")</f>
        <v>메자닌평가팀</v>
      </c>
      <c r="AH845" s="9" t="s">
        <v>4775</v>
      </c>
      <c r="AI845" s="235" t="s">
        <v>4771</v>
      </c>
      <c r="AJ845" s="235" t="s">
        <v>4776</v>
      </c>
      <c r="AK845" s="235" t="s">
        <v>4777</v>
      </c>
      <c r="AL845" s="235">
        <v>844</v>
      </c>
      <c r="AM845" s="198"/>
    </row>
    <row r="846" spans="1:39" x14ac:dyDescent="0.3">
      <c r="A846" s="229" t="s">
        <v>3744</v>
      </c>
      <c r="B846" s="229" t="s">
        <v>3768</v>
      </c>
      <c r="C846" s="241" t="s">
        <v>4778</v>
      </c>
      <c r="D846" s="237" t="s">
        <v>5814</v>
      </c>
      <c r="E846" s="236">
        <v>1243110009781</v>
      </c>
      <c r="F846" s="240" t="s">
        <v>5068</v>
      </c>
      <c r="G846" s="214">
        <v>9</v>
      </c>
      <c r="H846" s="231" t="s">
        <v>4771</v>
      </c>
      <c r="I846" s="231"/>
      <c r="J846" s="231"/>
      <c r="K846" s="231"/>
      <c r="L846" s="231"/>
      <c r="M846" s="231"/>
      <c r="N846" s="231" t="s">
        <v>4806</v>
      </c>
      <c r="O846" s="246" t="s">
        <v>5811</v>
      </c>
      <c r="P846" s="246" t="s">
        <v>5812</v>
      </c>
      <c r="Q846" s="225" t="s">
        <v>5813</v>
      </c>
      <c r="R846" s="212" t="s">
        <v>2</v>
      </c>
      <c r="S846" s="213" t="s">
        <v>4771</v>
      </c>
      <c r="T846" s="233" t="s">
        <v>4833</v>
      </c>
      <c r="U846" s="234" t="s">
        <v>4821</v>
      </c>
      <c r="V846" s="233">
        <v>45597</v>
      </c>
      <c r="W846" s="233" t="s">
        <v>4877</v>
      </c>
      <c r="X846" s="234" t="s">
        <v>4771</v>
      </c>
      <c r="Y846" s="234"/>
      <c r="Z846" s="234" t="s">
        <v>5035</v>
      </c>
      <c r="AA846" s="238">
        <v>202410</v>
      </c>
      <c r="AB846" s="243"/>
      <c r="AC846" s="233" t="s">
        <v>4786</v>
      </c>
      <c r="AD846" s="244" t="s">
        <v>4774</v>
      </c>
      <c r="AE846" s="245">
        <v>0</v>
      </c>
      <c r="AF846" s="244" t="s">
        <v>4774</v>
      </c>
      <c r="AG846" s="239" t="str">
        <f>IFERROR(VLOOKUP(작성용!A:A,RM!A:D,4,0),"-")</f>
        <v>메자닌평가팀</v>
      </c>
      <c r="AH846" s="9" t="s">
        <v>4775</v>
      </c>
      <c r="AI846" s="235" t="s">
        <v>4771</v>
      </c>
      <c r="AJ846" s="235" t="s">
        <v>4776</v>
      </c>
      <c r="AK846" s="235" t="s">
        <v>4777</v>
      </c>
      <c r="AL846" s="235">
        <v>845</v>
      </c>
      <c r="AM846" s="198"/>
    </row>
    <row r="847" spans="1:39" x14ac:dyDescent="0.3">
      <c r="A847" s="229" t="s">
        <v>3744</v>
      </c>
      <c r="B847" s="229" t="s">
        <v>3768</v>
      </c>
      <c r="C847" s="241" t="s">
        <v>4778</v>
      </c>
      <c r="D847" s="237" t="s">
        <v>5815</v>
      </c>
      <c r="E847" s="236">
        <v>1311110496206</v>
      </c>
      <c r="F847" s="240" t="s">
        <v>4780</v>
      </c>
      <c r="G847" s="214">
        <v>1</v>
      </c>
      <c r="H847" s="231" t="s">
        <v>4771</v>
      </c>
      <c r="I847" s="231"/>
      <c r="J847" s="231"/>
      <c r="K847" s="231"/>
      <c r="L847" s="231"/>
      <c r="M847" s="231"/>
      <c r="N847" s="231" t="s">
        <v>4806</v>
      </c>
      <c r="O847" s="246" t="s">
        <v>5811</v>
      </c>
      <c r="P847" s="246" t="s">
        <v>5812</v>
      </c>
      <c r="Q847" s="225" t="s">
        <v>5813</v>
      </c>
      <c r="R847" s="212" t="s">
        <v>2</v>
      </c>
      <c r="S847" s="213" t="s">
        <v>4771</v>
      </c>
      <c r="T847" s="233" t="s">
        <v>4833</v>
      </c>
      <c r="U847" s="234" t="s">
        <v>4821</v>
      </c>
      <c r="V847" s="233">
        <v>45597</v>
      </c>
      <c r="W847" s="233" t="s">
        <v>4877</v>
      </c>
      <c r="X847" s="234" t="s">
        <v>4771</v>
      </c>
      <c r="Y847" s="234"/>
      <c r="Z847" s="234" t="s">
        <v>5035</v>
      </c>
      <c r="AA847" s="238">
        <v>202410</v>
      </c>
      <c r="AB847" s="243"/>
      <c r="AC847" s="233" t="s">
        <v>4786</v>
      </c>
      <c r="AD847" s="244" t="s">
        <v>4774</v>
      </c>
      <c r="AE847" s="245">
        <v>0</v>
      </c>
      <c r="AF847" s="244" t="s">
        <v>4774</v>
      </c>
      <c r="AG847" s="239" t="str">
        <f>IFERROR(VLOOKUP(작성용!A:A,RM!A:D,4,0),"-")</f>
        <v>메자닌평가팀</v>
      </c>
      <c r="AH847" s="9" t="s">
        <v>4775</v>
      </c>
      <c r="AI847" s="235" t="s">
        <v>4771</v>
      </c>
      <c r="AJ847" s="235" t="s">
        <v>4776</v>
      </c>
      <c r="AK847" s="235" t="s">
        <v>4777</v>
      </c>
      <c r="AL847" s="235">
        <v>846</v>
      </c>
    </row>
    <row r="848" spans="1:39" x14ac:dyDescent="0.3">
      <c r="A848" s="229" t="s">
        <v>3744</v>
      </c>
      <c r="B848" s="229" t="s">
        <v>3768</v>
      </c>
      <c r="C848" s="241" t="s">
        <v>4778</v>
      </c>
      <c r="D848" s="237" t="s">
        <v>5816</v>
      </c>
      <c r="E848" s="236">
        <v>1601110354045</v>
      </c>
      <c r="F848" s="240" t="s">
        <v>4780</v>
      </c>
      <c r="G848" s="214">
        <v>0</v>
      </c>
      <c r="H848" s="231" t="s">
        <v>4771</v>
      </c>
      <c r="I848" s="231"/>
      <c r="J848" s="231"/>
      <c r="K848" s="231"/>
      <c r="L848" s="231"/>
      <c r="M848" s="231"/>
      <c r="N848" s="231" t="s">
        <v>4806</v>
      </c>
      <c r="O848" s="246" t="s">
        <v>5811</v>
      </c>
      <c r="P848" s="246" t="s">
        <v>5812</v>
      </c>
      <c r="Q848" s="225" t="s">
        <v>5813</v>
      </c>
      <c r="R848" s="212" t="s">
        <v>2</v>
      </c>
      <c r="S848" s="213" t="s">
        <v>4771</v>
      </c>
      <c r="T848" s="233" t="s">
        <v>4833</v>
      </c>
      <c r="U848" s="234" t="s">
        <v>4821</v>
      </c>
      <c r="V848" s="233">
        <v>45597</v>
      </c>
      <c r="W848" s="233" t="s">
        <v>4877</v>
      </c>
      <c r="X848" s="234" t="s">
        <v>4771</v>
      </c>
      <c r="Y848" s="234"/>
      <c r="Z848" s="234" t="s">
        <v>5035</v>
      </c>
      <c r="AA848" s="238">
        <v>202410</v>
      </c>
      <c r="AB848" s="243"/>
      <c r="AC848" s="233" t="s">
        <v>4786</v>
      </c>
      <c r="AD848" s="244" t="s">
        <v>4836</v>
      </c>
      <c r="AE848" s="245">
        <v>0</v>
      </c>
      <c r="AF848" s="244" t="s">
        <v>4774</v>
      </c>
      <c r="AG848" s="239" t="str">
        <f>IFERROR(VLOOKUP(작성용!A:A,RM!A:D,4,0),"-")</f>
        <v>메자닌평가팀</v>
      </c>
      <c r="AH848" s="9" t="s">
        <v>4775</v>
      </c>
      <c r="AI848" s="235" t="s">
        <v>4771</v>
      </c>
      <c r="AJ848" s="235" t="s">
        <v>4776</v>
      </c>
      <c r="AK848" s="235" t="s">
        <v>4777</v>
      </c>
      <c r="AL848" s="235">
        <v>847</v>
      </c>
    </row>
    <row r="849" spans="1:38" x14ac:dyDescent="0.3">
      <c r="A849" s="229" t="s">
        <v>3744</v>
      </c>
      <c r="B849" s="229" t="s">
        <v>3768</v>
      </c>
      <c r="C849" s="241" t="s">
        <v>4778</v>
      </c>
      <c r="D849" s="237" t="s">
        <v>5817</v>
      </c>
      <c r="E849" s="236">
        <v>1350110115846</v>
      </c>
      <c r="F849" s="240" t="s">
        <v>4780</v>
      </c>
      <c r="G849" s="214">
        <v>8</v>
      </c>
      <c r="H849" s="231" t="s">
        <v>4771</v>
      </c>
      <c r="I849" s="231"/>
      <c r="J849" s="231"/>
      <c r="K849" s="231"/>
      <c r="L849" s="231"/>
      <c r="M849" s="231"/>
      <c r="N849" s="231" t="s">
        <v>4806</v>
      </c>
      <c r="O849" s="246" t="s">
        <v>5811</v>
      </c>
      <c r="P849" s="246" t="s">
        <v>5812</v>
      </c>
      <c r="Q849" s="225" t="s">
        <v>5813</v>
      </c>
      <c r="R849" s="212" t="s">
        <v>2</v>
      </c>
      <c r="S849" s="213" t="s">
        <v>4771</v>
      </c>
      <c r="T849" s="233" t="s">
        <v>4833</v>
      </c>
      <c r="U849" s="234" t="s">
        <v>4821</v>
      </c>
      <c r="V849" s="233">
        <v>45597</v>
      </c>
      <c r="W849" s="233" t="s">
        <v>4877</v>
      </c>
      <c r="X849" s="234" t="s">
        <v>4771</v>
      </c>
      <c r="Y849" s="234"/>
      <c r="Z849" s="234" t="s">
        <v>5035</v>
      </c>
      <c r="AA849" s="238">
        <v>202410</v>
      </c>
      <c r="AB849" s="243"/>
      <c r="AC849" s="233" t="s">
        <v>4786</v>
      </c>
      <c r="AD849" s="244" t="s">
        <v>4774</v>
      </c>
      <c r="AE849" s="245">
        <v>0</v>
      </c>
      <c r="AF849" s="244" t="s">
        <v>4774</v>
      </c>
      <c r="AG849" s="239" t="str">
        <f>IFERROR(VLOOKUP(작성용!A:A,RM!A:D,4,0),"-")</f>
        <v>메자닌평가팀</v>
      </c>
      <c r="AH849" s="9" t="s">
        <v>4775</v>
      </c>
      <c r="AI849" s="235" t="s">
        <v>4771</v>
      </c>
      <c r="AJ849" s="235" t="s">
        <v>4776</v>
      </c>
      <c r="AK849" s="235" t="s">
        <v>4777</v>
      </c>
      <c r="AL849" s="235">
        <v>848</v>
      </c>
    </row>
    <row r="850" spans="1:38" x14ac:dyDescent="0.3">
      <c r="A850" s="229" t="s">
        <v>3744</v>
      </c>
      <c r="B850" s="229" t="s">
        <v>3768</v>
      </c>
      <c r="C850" s="241" t="s">
        <v>4778</v>
      </c>
      <c r="D850" s="237" t="s">
        <v>5818</v>
      </c>
      <c r="E850" s="236">
        <v>1501110205802</v>
      </c>
      <c r="F850" s="240" t="s">
        <v>4780</v>
      </c>
      <c r="G850" s="214">
        <v>4</v>
      </c>
      <c r="H850" s="231" t="s">
        <v>4771</v>
      </c>
      <c r="I850" s="231"/>
      <c r="J850" s="231"/>
      <c r="K850" s="231"/>
      <c r="L850" s="231"/>
      <c r="M850" s="231"/>
      <c r="N850" s="231" t="s">
        <v>4806</v>
      </c>
      <c r="O850" s="246" t="s">
        <v>5811</v>
      </c>
      <c r="P850" s="246" t="s">
        <v>5812</v>
      </c>
      <c r="Q850" s="225" t="s">
        <v>5813</v>
      </c>
      <c r="R850" s="212" t="s">
        <v>2</v>
      </c>
      <c r="S850" s="213" t="s">
        <v>4771</v>
      </c>
      <c r="T850" s="233" t="s">
        <v>4833</v>
      </c>
      <c r="U850" s="234" t="s">
        <v>4821</v>
      </c>
      <c r="V850" s="233">
        <v>45597</v>
      </c>
      <c r="W850" s="233" t="s">
        <v>4877</v>
      </c>
      <c r="X850" s="234" t="s">
        <v>4771</v>
      </c>
      <c r="Y850" s="234"/>
      <c r="Z850" s="234" t="s">
        <v>5035</v>
      </c>
      <c r="AA850" s="238">
        <v>202410</v>
      </c>
      <c r="AB850" s="243"/>
      <c r="AC850" s="233" t="s">
        <v>4786</v>
      </c>
      <c r="AD850" s="244" t="s">
        <v>4774</v>
      </c>
      <c r="AE850" s="245">
        <v>0</v>
      </c>
      <c r="AF850" s="244" t="s">
        <v>4774</v>
      </c>
      <c r="AG850" s="239" t="str">
        <f>IFERROR(VLOOKUP(작성용!A:A,RM!A:D,4,0),"-")</f>
        <v>메자닌평가팀</v>
      </c>
      <c r="AH850" s="9" t="s">
        <v>4775</v>
      </c>
      <c r="AI850" s="235" t="s">
        <v>4771</v>
      </c>
      <c r="AJ850" s="235" t="s">
        <v>4776</v>
      </c>
      <c r="AK850" s="235" t="s">
        <v>4777</v>
      </c>
      <c r="AL850" s="235">
        <v>849</v>
      </c>
    </row>
    <row r="851" spans="1:38" x14ac:dyDescent="0.3">
      <c r="A851" s="229" t="s">
        <v>3744</v>
      </c>
      <c r="B851" s="229" t="s">
        <v>3768</v>
      </c>
      <c r="C851" s="241" t="s">
        <v>4778</v>
      </c>
      <c r="D851" s="237" t="s">
        <v>5819</v>
      </c>
      <c r="E851" s="236">
        <v>1812110008538</v>
      </c>
      <c r="F851" s="240" t="s">
        <v>4780</v>
      </c>
      <c r="G851" s="214">
        <v>4</v>
      </c>
      <c r="H851" s="231" t="s">
        <v>4771</v>
      </c>
      <c r="I851" s="231"/>
      <c r="J851" s="231"/>
      <c r="K851" s="231"/>
      <c r="L851" s="231"/>
      <c r="M851" s="231"/>
      <c r="N851" s="231" t="s">
        <v>4806</v>
      </c>
      <c r="O851" s="246" t="s">
        <v>5811</v>
      </c>
      <c r="P851" s="246" t="s">
        <v>5812</v>
      </c>
      <c r="Q851" s="225" t="s">
        <v>5813</v>
      </c>
      <c r="R851" s="212" t="s">
        <v>2</v>
      </c>
      <c r="S851" s="213" t="s">
        <v>4771</v>
      </c>
      <c r="T851" s="233" t="s">
        <v>4833</v>
      </c>
      <c r="U851" s="234" t="s">
        <v>4821</v>
      </c>
      <c r="V851" s="233">
        <v>45597</v>
      </c>
      <c r="W851" s="233" t="s">
        <v>4877</v>
      </c>
      <c r="X851" s="234" t="s">
        <v>4771</v>
      </c>
      <c r="Y851" s="234"/>
      <c r="Z851" s="234" t="s">
        <v>5035</v>
      </c>
      <c r="AA851" s="238">
        <v>202410</v>
      </c>
      <c r="AB851" s="243"/>
      <c r="AC851" s="233" t="s">
        <v>4786</v>
      </c>
      <c r="AD851" s="244" t="s">
        <v>4774</v>
      </c>
      <c r="AE851" s="245">
        <v>0</v>
      </c>
      <c r="AF851" s="244" t="s">
        <v>4774</v>
      </c>
      <c r="AG851" s="239" t="str">
        <f>IFERROR(VLOOKUP(작성용!A:A,RM!A:D,4,0),"-")</f>
        <v>메자닌평가팀</v>
      </c>
      <c r="AH851" s="9" t="s">
        <v>4775</v>
      </c>
      <c r="AI851" s="235" t="s">
        <v>4771</v>
      </c>
      <c r="AJ851" s="235" t="s">
        <v>4776</v>
      </c>
      <c r="AK851" s="235" t="s">
        <v>4777</v>
      </c>
      <c r="AL851" s="235">
        <v>850</v>
      </c>
    </row>
    <row r="852" spans="1:38" x14ac:dyDescent="0.3">
      <c r="A852" s="229" t="s">
        <v>3744</v>
      </c>
      <c r="B852" s="229" t="s">
        <v>3768</v>
      </c>
      <c r="C852" s="241" t="s">
        <v>4778</v>
      </c>
      <c r="D852" s="237" t="s">
        <v>5818</v>
      </c>
      <c r="E852" s="236">
        <v>1501110205802</v>
      </c>
      <c r="F852" s="240" t="s">
        <v>5047</v>
      </c>
      <c r="G852" s="214">
        <v>4</v>
      </c>
      <c r="H852" s="231" t="s">
        <v>4771</v>
      </c>
      <c r="I852" s="231"/>
      <c r="J852" s="231"/>
      <c r="K852" s="231"/>
      <c r="L852" s="231"/>
      <c r="M852" s="231"/>
      <c r="N852" s="231" t="s">
        <v>4806</v>
      </c>
      <c r="O852" s="246" t="s">
        <v>5811</v>
      </c>
      <c r="P852" s="246" t="s">
        <v>5812</v>
      </c>
      <c r="Q852" s="225" t="s">
        <v>5813</v>
      </c>
      <c r="R852" s="212" t="s">
        <v>2</v>
      </c>
      <c r="S852" s="213" t="s">
        <v>4771</v>
      </c>
      <c r="T852" s="233" t="s">
        <v>4833</v>
      </c>
      <c r="U852" s="234" t="s">
        <v>4821</v>
      </c>
      <c r="V852" s="233">
        <v>45597</v>
      </c>
      <c r="W852" s="233" t="s">
        <v>4877</v>
      </c>
      <c r="X852" s="234" t="s">
        <v>4771</v>
      </c>
      <c r="Y852" s="234"/>
      <c r="Z852" s="234" t="s">
        <v>5035</v>
      </c>
      <c r="AA852" s="238">
        <v>202410</v>
      </c>
      <c r="AB852" s="243"/>
      <c r="AC852" s="233" t="s">
        <v>4786</v>
      </c>
      <c r="AD852" s="244" t="s">
        <v>4774</v>
      </c>
      <c r="AE852" s="245">
        <v>0</v>
      </c>
      <c r="AF852" s="244" t="s">
        <v>4774</v>
      </c>
      <c r="AG852" s="239" t="str">
        <f>IFERROR(VLOOKUP(작성용!A:A,RM!A:D,4,0),"-")</f>
        <v>메자닌평가팀</v>
      </c>
      <c r="AH852" s="9" t="s">
        <v>4775</v>
      </c>
      <c r="AI852" s="235" t="s">
        <v>4771</v>
      </c>
      <c r="AJ852" s="235" t="s">
        <v>4776</v>
      </c>
      <c r="AK852" s="235" t="s">
        <v>4777</v>
      </c>
      <c r="AL852" s="235">
        <v>851</v>
      </c>
    </row>
    <row r="853" spans="1:38" x14ac:dyDescent="0.3">
      <c r="A853" s="229" t="s">
        <v>3744</v>
      </c>
      <c r="B853" s="229" t="s">
        <v>3768</v>
      </c>
      <c r="C853" s="241" t="s">
        <v>4778</v>
      </c>
      <c r="D853" s="237" t="s">
        <v>5820</v>
      </c>
      <c r="E853" s="236">
        <v>1101110145519</v>
      </c>
      <c r="F853" s="240" t="s">
        <v>5068</v>
      </c>
      <c r="G853" s="214">
        <v>75</v>
      </c>
      <c r="H853" s="231" t="s">
        <v>4771</v>
      </c>
      <c r="I853" s="231"/>
      <c r="J853" s="231"/>
      <c r="K853" s="231"/>
      <c r="L853" s="231"/>
      <c r="M853" s="231"/>
      <c r="N853" s="231" t="s">
        <v>4806</v>
      </c>
      <c r="O853" s="246" t="s">
        <v>5811</v>
      </c>
      <c r="P853" s="246" t="s">
        <v>5812</v>
      </c>
      <c r="Q853" s="225" t="s">
        <v>5813</v>
      </c>
      <c r="R853" s="212" t="s">
        <v>2</v>
      </c>
      <c r="S853" s="213" t="s">
        <v>4771</v>
      </c>
      <c r="T853" s="233" t="s">
        <v>4833</v>
      </c>
      <c r="U853" s="234" t="s">
        <v>4834</v>
      </c>
      <c r="V853" s="233">
        <v>45597</v>
      </c>
      <c r="W853" s="233" t="s">
        <v>4877</v>
      </c>
      <c r="X853" s="234" t="s">
        <v>4771</v>
      </c>
      <c r="Y853" s="234"/>
      <c r="Z853" s="234" t="s">
        <v>5035</v>
      </c>
      <c r="AA853" s="238">
        <v>202410</v>
      </c>
      <c r="AB853" s="243"/>
      <c r="AC853" s="233" t="s">
        <v>4786</v>
      </c>
      <c r="AD853" s="244" t="s">
        <v>4774</v>
      </c>
      <c r="AE853" s="245">
        <v>0</v>
      </c>
      <c r="AF853" s="244" t="s">
        <v>4774</v>
      </c>
      <c r="AG853" s="239" t="str">
        <f>IFERROR(VLOOKUP(작성용!A:A,RM!A:D,4,0),"-")</f>
        <v>메자닌평가팀</v>
      </c>
      <c r="AH853" s="9" t="s">
        <v>4775</v>
      </c>
      <c r="AI853" s="235" t="s">
        <v>4771</v>
      </c>
      <c r="AJ853" s="235" t="s">
        <v>4776</v>
      </c>
      <c r="AK853" s="235" t="s">
        <v>4777</v>
      </c>
      <c r="AL853" s="235">
        <v>852</v>
      </c>
    </row>
    <row r="854" spans="1:38" x14ac:dyDescent="0.3">
      <c r="A854" s="229" t="s">
        <v>3744</v>
      </c>
      <c r="B854" s="229" t="s">
        <v>3768</v>
      </c>
      <c r="C854" s="241" t="s">
        <v>4778</v>
      </c>
      <c r="D854" s="237" t="s">
        <v>5821</v>
      </c>
      <c r="E854" s="236">
        <v>1101110057574</v>
      </c>
      <c r="F854" s="240" t="s">
        <v>5068</v>
      </c>
      <c r="G854" s="214">
        <v>13</v>
      </c>
      <c r="H854" s="231" t="s">
        <v>4771</v>
      </c>
      <c r="I854" s="231"/>
      <c r="J854" s="231"/>
      <c r="K854" s="231"/>
      <c r="L854" s="231"/>
      <c r="M854" s="231"/>
      <c r="N854" s="231" t="s">
        <v>4806</v>
      </c>
      <c r="O854" s="246" t="s">
        <v>5811</v>
      </c>
      <c r="P854" s="246" t="s">
        <v>5812</v>
      </c>
      <c r="Q854" s="225" t="s">
        <v>5813</v>
      </c>
      <c r="R854" s="212" t="s">
        <v>2</v>
      </c>
      <c r="S854" s="213" t="s">
        <v>4771</v>
      </c>
      <c r="T854" s="233" t="s">
        <v>4833</v>
      </c>
      <c r="U854" s="234" t="s">
        <v>4821</v>
      </c>
      <c r="V854" s="233">
        <v>45597</v>
      </c>
      <c r="W854" s="233" t="s">
        <v>4877</v>
      </c>
      <c r="X854" s="234" t="s">
        <v>4771</v>
      </c>
      <c r="Y854" s="234"/>
      <c r="Z854" s="234" t="s">
        <v>5035</v>
      </c>
      <c r="AA854" s="238">
        <v>202410</v>
      </c>
      <c r="AB854" s="243"/>
      <c r="AC854" s="233" t="s">
        <v>4786</v>
      </c>
      <c r="AD854" s="244" t="s">
        <v>4774</v>
      </c>
      <c r="AE854" s="245">
        <v>0</v>
      </c>
      <c r="AF854" s="244" t="s">
        <v>4774</v>
      </c>
      <c r="AG854" s="239" t="str">
        <f>IFERROR(VLOOKUP(작성용!A:A,RM!A:D,4,0),"-")</f>
        <v>메자닌평가팀</v>
      </c>
      <c r="AH854" s="9" t="s">
        <v>4775</v>
      </c>
      <c r="AI854" s="235" t="s">
        <v>4771</v>
      </c>
      <c r="AJ854" s="235" t="s">
        <v>4776</v>
      </c>
      <c r="AK854" s="235" t="s">
        <v>4777</v>
      </c>
      <c r="AL854" s="235">
        <v>853</v>
      </c>
    </row>
    <row r="855" spans="1:38" x14ac:dyDescent="0.3">
      <c r="A855" s="229" t="s">
        <v>3744</v>
      </c>
      <c r="B855" s="229" t="s">
        <v>3768</v>
      </c>
      <c r="C855" s="241" t="s">
        <v>4778</v>
      </c>
      <c r="D855" s="237" t="s">
        <v>5810</v>
      </c>
      <c r="E855" s="236">
        <v>1911110000104</v>
      </c>
      <c r="F855" s="240" t="s">
        <v>4894</v>
      </c>
      <c r="G855" s="214">
        <v>0</v>
      </c>
      <c r="H855" s="231" t="s">
        <v>4771</v>
      </c>
      <c r="I855" s="231"/>
      <c r="J855" s="231"/>
      <c r="K855" s="231"/>
      <c r="L855" s="231"/>
      <c r="M855" s="231"/>
      <c r="N855" s="231" t="s">
        <v>4806</v>
      </c>
      <c r="O855" s="246" t="s">
        <v>5811</v>
      </c>
      <c r="P855" s="246" t="s">
        <v>5812</v>
      </c>
      <c r="Q855" s="225" t="s">
        <v>5813</v>
      </c>
      <c r="R855" s="212" t="s">
        <v>2</v>
      </c>
      <c r="S855" s="213" t="s">
        <v>4771</v>
      </c>
      <c r="T855" s="233" t="s">
        <v>4833</v>
      </c>
      <c r="U855" s="234" t="s">
        <v>5822</v>
      </c>
      <c r="V855" s="233">
        <v>45628</v>
      </c>
      <c r="W855" s="233" t="s">
        <v>4877</v>
      </c>
      <c r="X855" s="234" t="s">
        <v>4771</v>
      </c>
      <c r="Y855" s="234"/>
      <c r="Z855" s="234" t="s">
        <v>5035</v>
      </c>
      <c r="AA855" s="238">
        <v>202411</v>
      </c>
      <c r="AB855" s="243"/>
      <c r="AC855" s="233" t="s">
        <v>4786</v>
      </c>
      <c r="AD855" s="244" t="s">
        <v>4774</v>
      </c>
      <c r="AE855" s="245">
        <v>0</v>
      </c>
      <c r="AF855" s="244" t="s">
        <v>4774</v>
      </c>
      <c r="AG855" s="239" t="str">
        <f>IFERROR(VLOOKUP(작성용!A:A,RM!A:D,4,0),"-")</f>
        <v>메자닌평가팀</v>
      </c>
      <c r="AH855" s="9" t="s">
        <v>4775</v>
      </c>
      <c r="AI855" s="235" t="s">
        <v>4771</v>
      </c>
      <c r="AJ855" s="235" t="s">
        <v>4776</v>
      </c>
      <c r="AK855" s="235" t="s">
        <v>4777</v>
      </c>
      <c r="AL855" s="235">
        <v>854</v>
      </c>
    </row>
    <row r="856" spans="1:38" x14ac:dyDescent="0.3">
      <c r="A856" s="229" t="s">
        <v>3744</v>
      </c>
      <c r="B856" s="229" t="s">
        <v>3768</v>
      </c>
      <c r="C856" s="241" t="s">
        <v>4778</v>
      </c>
      <c r="D856" s="237" t="s">
        <v>5814</v>
      </c>
      <c r="E856" s="236">
        <v>1243110009781</v>
      </c>
      <c r="F856" s="240" t="s">
        <v>5068</v>
      </c>
      <c r="G856" s="214">
        <v>9</v>
      </c>
      <c r="H856" s="231" t="s">
        <v>4771</v>
      </c>
      <c r="I856" s="231"/>
      <c r="J856" s="231"/>
      <c r="K856" s="231"/>
      <c r="L856" s="231"/>
      <c r="M856" s="231"/>
      <c r="N856" s="231" t="s">
        <v>4806</v>
      </c>
      <c r="O856" s="246" t="s">
        <v>5811</v>
      </c>
      <c r="P856" s="246" t="s">
        <v>5812</v>
      </c>
      <c r="Q856" s="225" t="s">
        <v>5813</v>
      </c>
      <c r="R856" s="212" t="s">
        <v>2</v>
      </c>
      <c r="S856" s="213" t="s">
        <v>4771</v>
      </c>
      <c r="T856" s="233" t="s">
        <v>4833</v>
      </c>
      <c r="U856" s="234" t="s">
        <v>5822</v>
      </c>
      <c r="V856" s="233">
        <v>45628</v>
      </c>
      <c r="W856" s="233" t="s">
        <v>4877</v>
      </c>
      <c r="X856" s="234" t="s">
        <v>4771</v>
      </c>
      <c r="Y856" s="234"/>
      <c r="Z856" s="234" t="s">
        <v>5035</v>
      </c>
      <c r="AA856" s="238">
        <v>202411</v>
      </c>
      <c r="AB856" s="243"/>
      <c r="AC856" s="233" t="s">
        <v>4786</v>
      </c>
      <c r="AD856" s="244" t="s">
        <v>4774</v>
      </c>
      <c r="AE856" s="245">
        <v>0</v>
      </c>
      <c r="AF856" s="244" t="s">
        <v>4774</v>
      </c>
      <c r="AG856" s="239" t="str">
        <f>IFERROR(VLOOKUP(작성용!A:A,RM!A:D,4,0),"-")</f>
        <v>메자닌평가팀</v>
      </c>
      <c r="AH856" s="9" t="s">
        <v>4775</v>
      </c>
      <c r="AI856" s="235" t="s">
        <v>4771</v>
      </c>
      <c r="AJ856" s="235" t="s">
        <v>4776</v>
      </c>
      <c r="AK856" s="235" t="s">
        <v>4777</v>
      </c>
      <c r="AL856" s="235">
        <v>855</v>
      </c>
    </row>
    <row r="857" spans="1:38" x14ac:dyDescent="0.3">
      <c r="A857" s="229" t="s">
        <v>3744</v>
      </c>
      <c r="B857" s="229" t="s">
        <v>3768</v>
      </c>
      <c r="C857" s="241" t="s">
        <v>4778</v>
      </c>
      <c r="D857" s="237" t="s">
        <v>5815</v>
      </c>
      <c r="E857" s="236">
        <v>1311110496206</v>
      </c>
      <c r="F857" s="240" t="s">
        <v>4780</v>
      </c>
      <c r="G857" s="214">
        <v>1</v>
      </c>
      <c r="H857" s="231" t="s">
        <v>4771</v>
      </c>
      <c r="I857" s="231"/>
      <c r="J857" s="231"/>
      <c r="K857" s="231"/>
      <c r="L857" s="231"/>
      <c r="M857" s="231"/>
      <c r="N857" s="231" t="s">
        <v>4806</v>
      </c>
      <c r="O857" s="246" t="s">
        <v>5811</v>
      </c>
      <c r="P857" s="246" t="s">
        <v>5812</v>
      </c>
      <c r="Q857" s="225" t="s">
        <v>5813</v>
      </c>
      <c r="R857" s="212" t="s">
        <v>2</v>
      </c>
      <c r="S857" s="213" t="s">
        <v>4771</v>
      </c>
      <c r="T857" s="233" t="s">
        <v>4833</v>
      </c>
      <c r="U857" s="234" t="s">
        <v>5822</v>
      </c>
      <c r="V857" s="233">
        <v>45628</v>
      </c>
      <c r="W857" s="233" t="s">
        <v>4877</v>
      </c>
      <c r="X857" s="234" t="s">
        <v>4771</v>
      </c>
      <c r="Y857" s="234"/>
      <c r="Z857" s="234" t="s">
        <v>5035</v>
      </c>
      <c r="AA857" s="238">
        <v>202411</v>
      </c>
      <c r="AB857" s="243"/>
      <c r="AC857" s="233" t="s">
        <v>4786</v>
      </c>
      <c r="AD857" s="244" t="s">
        <v>4774</v>
      </c>
      <c r="AE857" s="245">
        <v>0</v>
      </c>
      <c r="AF857" s="244" t="s">
        <v>4774</v>
      </c>
      <c r="AG857" s="239" t="str">
        <f>IFERROR(VLOOKUP(작성용!A:A,RM!A:D,4,0),"-")</f>
        <v>메자닌평가팀</v>
      </c>
      <c r="AH857" s="9" t="s">
        <v>4775</v>
      </c>
      <c r="AI857" s="235" t="s">
        <v>4771</v>
      </c>
      <c r="AJ857" s="235" t="s">
        <v>4776</v>
      </c>
      <c r="AK857" s="235" t="s">
        <v>4777</v>
      </c>
      <c r="AL857" s="235">
        <v>856</v>
      </c>
    </row>
    <row r="858" spans="1:38" x14ac:dyDescent="0.3">
      <c r="A858" s="229" t="s">
        <v>3744</v>
      </c>
      <c r="B858" s="229" t="s">
        <v>3768</v>
      </c>
      <c r="C858" s="241" t="s">
        <v>4778</v>
      </c>
      <c r="D858" s="237" t="s">
        <v>5823</v>
      </c>
      <c r="E858" s="236">
        <v>1601110354045</v>
      </c>
      <c r="F858" s="240" t="s">
        <v>4780</v>
      </c>
      <c r="G858" s="214">
        <v>0</v>
      </c>
      <c r="H858" s="231" t="s">
        <v>4771</v>
      </c>
      <c r="I858" s="231"/>
      <c r="J858" s="231"/>
      <c r="K858" s="231"/>
      <c r="L858" s="231"/>
      <c r="M858" s="231"/>
      <c r="N858" s="231" t="s">
        <v>4806</v>
      </c>
      <c r="O858" s="246" t="s">
        <v>5811</v>
      </c>
      <c r="P858" s="246" t="s">
        <v>5812</v>
      </c>
      <c r="Q858" s="225" t="s">
        <v>5813</v>
      </c>
      <c r="R858" s="212" t="s">
        <v>2</v>
      </c>
      <c r="S858" s="213" t="s">
        <v>4771</v>
      </c>
      <c r="T858" s="233" t="s">
        <v>4833</v>
      </c>
      <c r="U858" s="234" t="s">
        <v>5822</v>
      </c>
      <c r="V858" s="233">
        <v>45628</v>
      </c>
      <c r="W858" s="233" t="s">
        <v>4877</v>
      </c>
      <c r="X858" s="234" t="s">
        <v>4771</v>
      </c>
      <c r="Y858" s="234"/>
      <c r="Z858" s="234" t="s">
        <v>5035</v>
      </c>
      <c r="AA858" s="238">
        <v>202411</v>
      </c>
      <c r="AB858" s="243"/>
      <c r="AC858" s="233" t="s">
        <v>4786</v>
      </c>
      <c r="AD858" s="244" t="s">
        <v>4774</v>
      </c>
      <c r="AE858" s="245">
        <v>0</v>
      </c>
      <c r="AF858" s="244" t="s">
        <v>4774</v>
      </c>
      <c r="AG858" s="239" t="str">
        <f>IFERROR(VLOOKUP(작성용!A:A,RM!A:D,4,0),"-")</f>
        <v>메자닌평가팀</v>
      </c>
      <c r="AH858" s="9" t="s">
        <v>4775</v>
      </c>
      <c r="AI858" s="235" t="s">
        <v>4771</v>
      </c>
      <c r="AJ858" s="235" t="s">
        <v>4776</v>
      </c>
      <c r="AK858" s="235" t="s">
        <v>4777</v>
      </c>
      <c r="AL858" s="235">
        <v>857</v>
      </c>
    </row>
    <row r="859" spans="1:38" x14ac:dyDescent="0.3">
      <c r="A859" s="229" t="s">
        <v>3744</v>
      </c>
      <c r="B859" s="229" t="s">
        <v>3768</v>
      </c>
      <c r="C859" s="241" t="s">
        <v>4778</v>
      </c>
      <c r="D859" s="237" t="s">
        <v>5817</v>
      </c>
      <c r="E859" s="236">
        <v>1350110115846</v>
      </c>
      <c r="F859" s="240" t="s">
        <v>4780</v>
      </c>
      <c r="G859" s="214">
        <v>8</v>
      </c>
      <c r="H859" s="231" t="s">
        <v>4771</v>
      </c>
      <c r="I859" s="231"/>
      <c r="J859" s="231"/>
      <c r="K859" s="231"/>
      <c r="L859" s="231"/>
      <c r="M859" s="231"/>
      <c r="N859" s="231" t="s">
        <v>4806</v>
      </c>
      <c r="O859" s="246" t="s">
        <v>5811</v>
      </c>
      <c r="P859" s="246" t="s">
        <v>5812</v>
      </c>
      <c r="Q859" s="225" t="s">
        <v>5813</v>
      </c>
      <c r="R859" s="212" t="s">
        <v>2</v>
      </c>
      <c r="S859" s="213" t="s">
        <v>4771</v>
      </c>
      <c r="T859" s="233" t="s">
        <v>4833</v>
      </c>
      <c r="U859" s="234" t="s">
        <v>5822</v>
      </c>
      <c r="V859" s="233">
        <v>45628</v>
      </c>
      <c r="W859" s="233" t="s">
        <v>4877</v>
      </c>
      <c r="X859" s="234" t="s">
        <v>4771</v>
      </c>
      <c r="Y859" s="234"/>
      <c r="Z859" s="234" t="s">
        <v>5035</v>
      </c>
      <c r="AA859" s="238">
        <v>202411</v>
      </c>
      <c r="AB859" s="243"/>
      <c r="AC859" s="233" t="s">
        <v>4786</v>
      </c>
      <c r="AD859" s="244" t="s">
        <v>4774</v>
      </c>
      <c r="AE859" s="245">
        <v>0</v>
      </c>
      <c r="AF859" s="244" t="s">
        <v>4774</v>
      </c>
      <c r="AG859" s="239" t="str">
        <f>IFERROR(VLOOKUP(작성용!A:A,RM!A:D,4,0),"-")</f>
        <v>메자닌평가팀</v>
      </c>
      <c r="AH859" s="9" t="s">
        <v>4775</v>
      </c>
      <c r="AI859" s="235" t="s">
        <v>4771</v>
      </c>
      <c r="AJ859" s="235" t="s">
        <v>4776</v>
      </c>
      <c r="AK859" s="235" t="s">
        <v>4777</v>
      </c>
      <c r="AL859" s="235">
        <v>858</v>
      </c>
    </row>
    <row r="860" spans="1:38" x14ac:dyDescent="0.3">
      <c r="A860" s="229" t="s">
        <v>3744</v>
      </c>
      <c r="B860" s="229" t="s">
        <v>3768</v>
      </c>
      <c r="C860" s="241" t="s">
        <v>4778</v>
      </c>
      <c r="D860" s="237" t="s">
        <v>5818</v>
      </c>
      <c r="E860" s="236">
        <v>1501110205802</v>
      </c>
      <c r="F860" s="240" t="s">
        <v>4780</v>
      </c>
      <c r="G860" s="214">
        <v>4</v>
      </c>
      <c r="H860" s="231" t="s">
        <v>4771</v>
      </c>
      <c r="I860" s="231"/>
      <c r="J860" s="231"/>
      <c r="K860" s="231"/>
      <c r="L860" s="231"/>
      <c r="M860" s="231"/>
      <c r="N860" s="231" t="s">
        <v>4806</v>
      </c>
      <c r="O860" s="246" t="s">
        <v>5811</v>
      </c>
      <c r="P860" s="246" t="s">
        <v>5812</v>
      </c>
      <c r="Q860" s="225" t="s">
        <v>5813</v>
      </c>
      <c r="R860" s="212" t="s">
        <v>2</v>
      </c>
      <c r="S860" s="213" t="s">
        <v>4771</v>
      </c>
      <c r="T860" s="233" t="s">
        <v>4833</v>
      </c>
      <c r="U860" s="234" t="s">
        <v>5822</v>
      </c>
      <c r="V860" s="233">
        <v>45628</v>
      </c>
      <c r="W860" s="233" t="s">
        <v>4877</v>
      </c>
      <c r="X860" s="234" t="s">
        <v>4771</v>
      </c>
      <c r="Y860" s="234"/>
      <c r="Z860" s="234" t="s">
        <v>5035</v>
      </c>
      <c r="AA860" s="238">
        <v>202411</v>
      </c>
      <c r="AB860" s="243"/>
      <c r="AC860" s="233" t="s">
        <v>4786</v>
      </c>
      <c r="AD860" s="244" t="s">
        <v>4774</v>
      </c>
      <c r="AE860" s="245">
        <v>0</v>
      </c>
      <c r="AF860" s="244" t="s">
        <v>4774</v>
      </c>
      <c r="AG860" s="239" t="str">
        <f>IFERROR(VLOOKUP(작성용!A:A,RM!A:D,4,0),"-")</f>
        <v>메자닌평가팀</v>
      </c>
      <c r="AH860" s="9" t="s">
        <v>4775</v>
      </c>
      <c r="AI860" s="235" t="s">
        <v>4771</v>
      </c>
      <c r="AJ860" s="235" t="s">
        <v>4776</v>
      </c>
      <c r="AK860" s="235" t="s">
        <v>4777</v>
      </c>
      <c r="AL860" s="235">
        <v>859</v>
      </c>
    </row>
    <row r="861" spans="1:38" x14ac:dyDescent="0.3">
      <c r="A861" s="229" t="s">
        <v>3744</v>
      </c>
      <c r="B861" s="229" t="s">
        <v>3768</v>
      </c>
      <c r="C861" s="241" t="s">
        <v>4778</v>
      </c>
      <c r="D861" s="237" t="s">
        <v>5819</v>
      </c>
      <c r="E861" s="236">
        <v>1812110008538</v>
      </c>
      <c r="F861" s="240" t="s">
        <v>4780</v>
      </c>
      <c r="G861" s="214">
        <v>4</v>
      </c>
      <c r="H861" s="231" t="s">
        <v>4771</v>
      </c>
      <c r="I861" s="231"/>
      <c r="J861" s="231"/>
      <c r="K861" s="231"/>
      <c r="L861" s="231"/>
      <c r="M861" s="231"/>
      <c r="N861" s="231" t="s">
        <v>4806</v>
      </c>
      <c r="O861" s="246" t="s">
        <v>5811</v>
      </c>
      <c r="P861" s="246" t="s">
        <v>5812</v>
      </c>
      <c r="Q861" s="225" t="s">
        <v>5813</v>
      </c>
      <c r="R861" s="212" t="s">
        <v>2</v>
      </c>
      <c r="S861" s="213" t="s">
        <v>4771</v>
      </c>
      <c r="T861" s="233" t="s">
        <v>4833</v>
      </c>
      <c r="U861" s="234" t="s">
        <v>5822</v>
      </c>
      <c r="V861" s="233">
        <v>45628</v>
      </c>
      <c r="W861" s="233" t="s">
        <v>4877</v>
      </c>
      <c r="X861" s="234" t="s">
        <v>4771</v>
      </c>
      <c r="Y861" s="234"/>
      <c r="Z861" s="234" t="s">
        <v>5035</v>
      </c>
      <c r="AA861" s="238">
        <v>202411</v>
      </c>
      <c r="AB861" s="243"/>
      <c r="AC861" s="233" t="s">
        <v>4786</v>
      </c>
      <c r="AD861" s="244" t="s">
        <v>4774</v>
      </c>
      <c r="AE861" s="245">
        <v>0</v>
      </c>
      <c r="AF861" s="244" t="s">
        <v>4774</v>
      </c>
      <c r="AG861" s="239" t="str">
        <f>IFERROR(VLOOKUP(작성용!A:A,RM!A:D,4,0),"-")</f>
        <v>메자닌평가팀</v>
      </c>
      <c r="AH861" s="9" t="s">
        <v>4775</v>
      </c>
      <c r="AI861" s="235" t="s">
        <v>4771</v>
      </c>
      <c r="AJ861" s="235" t="s">
        <v>4776</v>
      </c>
      <c r="AK861" s="235" t="s">
        <v>4777</v>
      </c>
      <c r="AL861" s="235">
        <v>860</v>
      </c>
    </row>
    <row r="862" spans="1:38" x14ac:dyDescent="0.3">
      <c r="A862" s="229" t="s">
        <v>3744</v>
      </c>
      <c r="B862" s="229" t="s">
        <v>3768</v>
      </c>
      <c r="C862" s="241" t="s">
        <v>4778</v>
      </c>
      <c r="D862" s="237" t="s">
        <v>5818</v>
      </c>
      <c r="E862" s="236">
        <v>1501110205802</v>
      </c>
      <c r="F862" s="240" t="s">
        <v>5047</v>
      </c>
      <c r="G862" s="214">
        <v>4</v>
      </c>
      <c r="H862" s="231" t="s">
        <v>4771</v>
      </c>
      <c r="I862" s="231"/>
      <c r="J862" s="231"/>
      <c r="K862" s="231"/>
      <c r="L862" s="231"/>
      <c r="M862" s="231"/>
      <c r="N862" s="231" t="s">
        <v>4806</v>
      </c>
      <c r="O862" s="246" t="s">
        <v>5811</v>
      </c>
      <c r="P862" s="246" t="s">
        <v>5812</v>
      </c>
      <c r="Q862" s="225" t="s">
        <v>5813</v>
      </c>
      <c r="R862" s="212" t="s">
        <v>2</v>
      </c>
      <c r="S862" s="213" t="s">
        <v>4771</v>
      </c>
      <c r="T862" s="233" t="s">
        <v>4833</v>
      </c>
      <c r="U862" s="234" t="s">
        <v>5822</v>
      </c>
      <c r="V862" s="233">
        <v>45628</v>
      </c>
      <c r="W862" s="233" t="s">
        <v>4877</v>
      </c>
      <c r="X862" s="234" t="s">
        <v>4771</v>
      </c>
      <c r="Y862" s="234"/>
      <c r="Z862" s="234" t="s">
        <v>5035</v>
      </c>
      <c r="AA862" s="238">
        <v>202411</v>
      </c>
      <c r="AB862" s="243"/>
      <c r="AC862" s="233" t="s">
        <v>4786</v>
      </c>
      <c r="AD862" s="244" t="s">
        <v>4774</v>
      </c>
      <c r="AE862" s="245">
        <v>0</v>
      </c>
      <c r="AF862" s="244" t="s">
        <v>4774</v>
      </c>
      <c r="AG862" s="239" t="str">
        <f>IFERROR(VLOOKUP(작성용!A:A,RM!A:D,4,0),"-")</f>
        <v>메자닌평가팀</v>
      </c>
      <c r="AH862" s="9" t="s">
        <v>4775</v>
      </c>
      <c r="AI862" s="235" t="s">
        <v>4771</v>
      </c>
      <c r="AJ862" s="235" t="s">
        <v>4776</v>
      </c>
      <c r="AK862" s="235" t="s">
        <v>4777</v>
      </c>
      <c r="AL862" s="235">
        <v>861</v>
      </c>
    </row>
    <row r="863" spans="1:38" x14ac:dyDescent="0.3">
      <c r="A863" s="229" t="s">
        <v>3744</v>
      </c>
      <c r="B863" s="229" t="s">
        <v>3768</v>
      </c>
      <c r="C863" s="241" t="s">
        <v>4778</v>
      </c>
      <c r="D863" s="237" t="s">
        <v>5820</v>
      </c>
      <c r="E863" s="236">
        <v>1101110145519</v>
      </c>
      <c r="F863" s="240" t="s">
        <v>5068</v>
      </c>
      <c r="G863" s="214">
        <v>75</v>
      </c>
      <c r="H863" s="231" t="s">
        <v>4771</v>
      </c>
      <c r="I863" s="231"/>
      <c r="J863" s="231"/>
      <c r="K863" s="231"/>
      <c r="L863" s="231"/>
      <c r="M863" s="231"/>
      <c r="N863" s="231" t="s">
        <v>4806</v>
      </c>
      <c r="O863" s="246" t="s">
        <v>5811</v>
      </c>
      <c r="P863" s="246" t="s">
        <v>5812</v>
      </c>
      <c r="Q863" s="225" t="s">
        <v>5813</v>
      </c>
      <c r="R863" s="212" t="s">
        <v>2</v>
      </c>
      <c r="S863" s="213" t="s">
        <v>4771</v>
      </c>
      <c r="T863" s="233" t="s">
        <v>4833</v>
      </c>
      <c r="U863" s="234" t="s">
        <v>5822</v>
      </c>
      <c r="V863" s="233">
        <v>45628</v>
      </c>
      <c r="W863" s="233" t="s">
        <v>4877</v>
      </c>
      <c r="X863" s="234" t="s">
        <v>4771</v>
      </c>
      <c r="Y863" s="234"/>
      <c r="Z863" s="234" t="s">
        <v>5035</v>
      </c>
      <c r="AA863" s="238">
        <v>202411</v>
      </c>
      <c r="AB863" s="243"/>
      <c r="AC863" s="233" t="s">
        <v>4786</v>
      </c>
      <c r="AD863" s="244" t="s">
        <v>4774</v>
      </c>
      <c r="AE863" s="245">
        <v>0</v>
      </c>
      <c r="AF863" s="244" t="s">
        <v>4774</v>
      </c>
      <c r="AG863" s="239" t="str">
        <f>IFERROR(VLOOKUP(작성용!A:A,RM!A:D,4,0),"-")</f>
        <v>메자닌평가팀</v>
      </c>
      <c r="AH863" s="9" t="s">
        <v>4775</v>
      </c>
      <c r="AI863" s="235" t="s">
        <v>4771</v>
      </c>
      <c r="AJ863" s="235" t="s">
        <v>4776</v>
      </c>
      <c r="AK863" s="235" t="s">
        <v>4777</v>
      </c>
      <c r="AL863" s="235">
        <v>862</v>
      </c>
    </row>
    <row r="864" spans="1:38" x14ac:dyDescent="0.3">
      <c r="A864" s="229" t="s">
        <v>3744</v>
      </c>
      <c r="B864" s="229" t="s">
        <v>3768</v>
      </c>
      <c r="C864" s="241" t="s">
        <v>4778</v>
      </c>
      <c r="D864" s="237" t="s">
        <v>5821</v>
      </c>
      <c r="E864" s="236">
        <v>1101110057574</v>
      </c>
      <c r="F864" s="240" t="s">
        <v>5068</v>
      </c>
      <c r="G864" s="214">
        <v>13</v>
      </c>
      <c r="H864" s="231" t="s">
        <v>4771</v>
      </c>
      <c r="I864" s="231"/>
      <c r="J864" s="231"/>
      <c r="K864" s="231"/>
      <c r="L864" s="231"/>
      <c r="M864" s="231"/>
      <c r="N864" s="231" t="s">
        <v>4806</v>
      </c>
      <c r="O864" s="246" t="s">
        <v>5811</v>
      </c>
      <c r="P864" s="246" t="s">
        <v>5812</v>
      </c>
      <c r="Q864" s="225" t="s">
        <v>5813</v>
      </c>
      <c r="R864" s="212" t="s">
        <v>2</v>
      </c>
      <c r="S864" s="213" t="s">
        <v>4771</v>
      </c>
      <c r="T864" s="233" t="s">
        <v>4833</v>
      </c>
      <c r="U864" s="234" t="s">
        <v>5822</v>
      </c>
      <c r="V864" s="233">
        <v>45628</v>
      </c>
      <c r="W864" s="233" t="s">
        <v>4877</v>
      </c>
      <c r="X864" s="234" t="s">
        <v>4771</v>
      </c>
      <c r="Y864" s="234"/>
      <c r="Z864" s="234" t="s">
        <v>5035</v>
      </c>
      <c r="AA864" s="238">
        <v>202411</v>
      </c>
      <c r="AB864" s="243"/>
      <c r="AC864" s="233" t="s">
        <v>4786</v>
      </c>
      <c r="AD864" s="244" t="s">
        <v>4774</v>
      </c>
      <c r="AE864" s="245">
        <v>0</v>
      </c>
      <c r="AF864" s="244" t="s">
        <v>4774</v>
      </c>
      <c r="AG864" s="239" t="str">
        <f>IFERROR(VLOOKUP(작성용!A:A,RM!A:D,4,0),"-")</f>
        <v>메자닌평가팀</v>
      </c>
      <c r="AH864" s="9" t="s">
        <v>4775</v>
      </c>
      <c r="AI864" s="235" t="s">
        <v>4771</v>
      </c>
      <c r="AJ864" s="235" t="s">
        <v>4776</v>
      </c>
      <c r="AK864" s="235" t="s">
        <v>4777</v>
      </c>
      <c r="AL864" s="235">
        <v>863</v>
      </c>
    </row>
    <row r="865" spans="1:38" x14ac:dyDescent="0.3">
      <c r="A865" s="222" t="s">
        <v>4703</v>
      </c>
      <c r="B865" s="222" t="s">
        <v>4704</v>
      </c>
      <c r="C865" s="241" t="s">
        <v>4762</v>
      </c>
      <c r="D865" s="237" t="s">
        <v>5824</v>
      </c>
      <c r="E865" s="236" t="s">
        <v>5825</v>
      </c>
      <c r="F865" s="240" t="s">
        <v>4854</v>
      </c>
      <c r="G865" s="238">
        <v>0</v>
      </c>
      <c r="H865" s="223" t="s">
        <v>4771</v>
      </c>
      <c r="I865" s="223"/>
      <c r="J865" s="223"/>
      <c r="K865" s="223"/>
      <c r="L865" s="223"/>
      <c r="M865" s="223"/>
      <c r="N865" s="225" t="s">
        <v>4972</v>
      </c>
      <c r="O865" s="225" t="s">
        <v>5761</v>
      </c>
      <c r="P865" s="225" t="s">
        <v>5762</v>
      </c>
      <c r="Q865" s="240" t="s">
        <v>5763</v>
      </c>
      <c r="R865" s="250" t="s">
        <v>2</v>
      </c>
      <c r="S865" s="236" t="s">
        <v>4771</v>
      </c>
      <c r="T865" s="233">
        <v>45590</v>
      </c>
      <c r="U865" s="234" t="s">
        <v>4759</v>
      </c>
      <c r="V865" s="234">
        <v>45611</v>
      </c>
      <c r="W865" s="234">
        <v>45615</v>
      </c>
      <c r="X865" s="234" t="s">
        <v>2</v>
      </c>
      <c r="Y865" s="234"/>
      <c r="Z865" s="234" t="s">
        <v>5764</v>
      </c>
      <c r="AA865" s="243">
        <v>202411</v>
      </c>
      <c r="AB865" s="243"/>
      <c r="AC865" s="244" t="s">
        <v>4800</v>
      </c>
      <c r="AD865" s="244" t="s">
        <v>3757</v>
      </c>
      <c r="AE865" s="245">
        <v>1</v>
      </c>
      <c r="AF865" s="243" t="s">
        <v>3757</v>
      </c>
      <c r="AG865" s="239" t="str">
        <f>IFERROR(VLOOKUP(작성용!A:A,RM!A:D,4,0),"-")</f>
        <v>윤광일</v>
      </c>
      <c r="AH865" s="9" t="s">
        <v>4915</v>
      </c>
      <c r="AI865" s="235" t="s">
        <v>5826</v>
      </c>
      <c r="AJ865" s="235" t="s">
        <v>4920</v>
      </c>
      <c r="AK865" s="235" t="s">
        <v>4777</v>
      </c>
      <c r="AL865" s="235">
        <v>864</v>
      </c>
    </row>
    <row r="866" spans="1:38" x14ac:dyDescent="0.3">
      <c r="A866" s="222" t="s">
        <v>4703</v>
      </c>
      <c r="B866" s="222" t="s">
        <v>4704</v>
      </c>
      <c r="C866" s="241" t="s">
        <v>4762</v>
      </c>
      <c r="D866" s="237" t="s">
        <v>5827</v>
      </c>
      <c r="E866" s="236">
        <v>1101118486105</v>
      </c>
      <c r="F866" s="240" t="s">
        <v>4854</v>
      </c>
      <c r="G866" s="238">
        <v>0</v>
      </c>
      <c r="H866" s="223" t="s">
        <v>4771</v>
      </c>
      <c r="I866" s="223"/>
      <c r="J866" s="223"/>
      <c r="K866" s="223"/>
      <c r="L866" s="223"/>
      <c r="M866" s="223"/>
      <c r="N866" s="225" t="s">
        <v>4972</v>
      </c>
      <c r="O866" s="225" t="s">
        <v>5828</v>
      </c>
      <c r="P866" s="225" t="s">
        <v>5829</v>
      </c>
      <c r="Q866" s="240" t="s">
        <v>5830</v>
      </c>
      <c r="R866" s="250" t="s">
        <v>2</v>
      </c>
      <c r="S866" s="236" t="s">
        <v>4771</v>
      </c>
      <c r="T866" s="233">
        <v>45590</v>
      </c>
      <c r="U866" s="234" t="s">
        <v>4759</v>
      </c>
      <c r="V866" s="234">
        <v>45611</v>
      </c>
      <c r="W866" s="234">
        <v>45617</v>
      </c>
      <c r="X866" s="234" t="s">
        <v>2</v>
      </c>
      <c r="Y866" s="234"/>
      <c r="Z866" s="234" t="s">
        <v>5831</v>
      </c>
      <c r="AA866" s="243">
        <v>202411</v>
      </c>
      <c r="AB866" s="243"/>
      <c r="AC866" s="244" t="s">
        <v>4800</v>
      </c>
      <c r="AD866" s="244" t="s">
        <v>4987</v>
      </c>
      <c r="AE866" s="245">
        <v>1</v>
      </c>
      <c r="AF866" s="244" t="s">
        <v>4762</v>
      </c>
      <c r="AG866" s="239" t="str">
        <f>IFERROR(VLOOKUP(작성용!A:A,RM!A:D,4,0),"-")</f>
        <v>윤광일</v>
      </c>
      <c r="AH866" s="9" t="s">
        <v>4915</v>
      </c>
      <c r="AI866" s="235" t="s">
        <v>4771</v>
      </c>
      <c r="AJ866" s="235" t="s">
        <v>5832</v>
      </c>
      <c r="AK866" s="235" t="s">
        <v>4777</v>
      </c>
      <c r="AL866" s="235">
        <v>865</v>
      </c>
    </row>
    <row r="867" spans="1:38" x14ac:dyDescent="0.3">
      <c r="A867" s="222" t="s">
        <v>4703</v>
      </c>
      <c r="B867" s="222" t="s">
        <v>4704</v>
      </c>
      <c r="C867" s="241" t="s">
        <v>4762</v>
      </c>
      <c r="D867" s="237" t="s">
        <v>5833</v>
      </c>
      <c r="E867" s="236">
        <v>1101118496279</v>
      </c>
      <c r="F867" s="240" t="s">
        <v>4894</v>
      </c>
      <c r="G867" s="238">
        <v>0</v>
      </c>
      <c r="H867" s="223" t="s">
        <v>4771</v>
      </c>
      <c r="I867" s="223"/>
      <c r="J867" s="223"/>
      <c r="K867" s="223"/>
      <c r="L867" s="223"/>
      <c r="M867" s="223"/>
      <c r="N867" s="225" t="s">
        <v>4972</v>
      </c>
      <c r="O867" s="225" t="s">
        <v>5828</v>
      </c>
      <c r="P867" s="225" t="s">
        <v>5829</v>
      </c>
      <c r="Q867" s="240" t="s">
        <v>5830</v>
      </c>
      <c r="R867" s="250" t="s">
        <v>2</v>
      </c>
      <c r="S867" s="236" t="s">
        <v>4771</v>
      </c>
      <c r="T867" s="233">
        <v>45590</v>
      </c>
      <c r="U867" s="234" t="s">
        <v>4759</v>
      </c>
      <c r="V867" s="234">
        <v>45611</v>
      </c>
      <c r="W867" s="234">
        <v>45617</v>
      </c>
      <c r="X867" s="234" t="s">
        <v>2</v>
      </c>
      <c r="Y867" s="234"/>
      <c r="Z867" s="234" t="s">
        <v>5831</v>
      </c>
      <c r="AA867" s="243">
        <v>202411</v>
      </c>
      <c r="AB867" s="243"/>
      <c r="AC867" s="244" t="s">
        <v>4800</v>
      </c>
      <c r="AD867" s="244" t="s">
        <v>4945</v>
      </c>
      <c r="AE867" s="245">
        <v>1</v>
      </c>
      <c r="AF867" s="244" t="s">
        <v>4762</v>
      </c>
      <c r="AG867" s="239" t="str">
        <f>IFERROR(VLOOKUP(작성용!A:A,RM!A:D,4,0),"-")</f>
        <v>윤광일</v>
      </c>
      <c r="AH867" s="9" t="s">
        <v>4915</v>
      </c>
      <c r="AI867" s="235" t="s">
        <v>4771</v>
      </c>
      <c r="AJ867" s="235" t="s">
        <v>5832</v>
      </c>
      <c r="AK867" s="235" t="s">
        <v>4777</v>
      </c>
      <c r="AL867" s="235">
        <v>866</v>
      </c>
    </row>
    <row r="868" spans="1:38" x14ac:dyDescent="0.3">
      <c r="A868" s="222" t="s">
        <v>4703</v>
      </c>
      <c r="B868" s="222" t="s">
        <v>4704</v>
      </c>
      <c r="C868" s="241" t="s">
        <v>4762</v>
      </c>
      <c r="D868" s="237" t="s">
        <v>5833</v>
      </c>
      <c r="E868" s="236">
        <v>1101118496279</v>
      </c>
      <c r="F868" s="240" t="s">
        <v>4894</v>
      </c>
      <c r="G868" s="238">
        <v>2</v>
      </c>
      <c r="H868" s="223" t="s">
        <v>4771</v>
      </c>
      <c r="I868" s="223"/>
      <c r="J868" s="223"/>
      <c r="K868" s="223"/>
      <c r="L868" s="223"/>
      <c r="M868" s="223"/>
      <c r="N868" s="225" t="s">
        <v>4972</v>
      </c>
      <c r="O868" s="225" t="s">
        <v>5828</v>
      </c>
      <c r="P868" s="225" t="s">
        <v>5829</v>
      </c>
      <c r="Q868" s="240" t="s">
        <v>5830</v>
      </c>
      <c r="R868" s="250" t="s">
        <v>2</v>
      </c>
      <c r="S868" s="236" t="s">
        <v>4771</v>
      </c>
      <c r="T868" s="233">
        <v>45590</v>
      </c>
      <c r="U868" s="234" t="s">
        <v>4759</v>
      </c>
      <c r="V868" s="234">
        <v>45611</v>
      </c>
      <c r="W868" s="234">
        <v>45617</v>
      </c>
      <c r="X868" s="234" t="s">
        <v>2</v>
      </c>
      <c r="Y868" s="234"/>
      <c r="Z868" s="234" t="s">
        <v>5831</v>
      </c>
      <c r="AA868" s="243">
        <v>202411</v>
      </c>
      <c r="AB868" s="243"/>
      <c r="AC868" s="244" t="s">
        <v>4800</v>
      </c>
      <c r="AD868" s="244" t="s">
        <v>4945</v>
      </c>
      <c r="AE868" s="245">
        <v>0</v>
      </c>
      <c r="AF868" s="244" t="s">
        <v>4762</v>
      </c>
      <c r="AG868" s="239" t="str">
        <f>IFERROR(VLOOKUP(작성용!A:A,RM!A:D,4,0),"-")</f>
        <v>윤광일</v>
      </c>
      <c r="AH868" s="9" t="s">
        <v>4915</v>
      </c>
      <c r="AI868" s="235" t="s">
        <v>5834</v>
      </c>
      <c r="AJ868" s="235" t="s">
        <v>5832</v>
      </c>
      <c r="AK868" s="235" t="s">
        <v>4777</v>
      </c>
      <c r="AL868" s="235">
        <v>867</v>
      </c>
    </row>
    <row r="869" spans="1:38" x14ac:dyDescent="0.3">
      <c r="A869" s="222" t="s">
        <v>4703</v>
      </c>
      <c r="B869" s="222" t="s">
        <v>4704</v>
      </c>
      <c r="C869" s="241" t="s">
        <v>4762</v>
      </c>
      <c r="D869" s="237" t="s">
        <v>5835</v>
      </c>
      <c r="E869" s="236">
        <v>1101140325826</v>
      </c>
      <c r="F869" s="240" t="s">
        <v>4854</v>
      </c>
      <c r="G869" s="238">
        <v>0</v>
      </c>
      <c r="H869" s="223" t="s">
        <v>4771</v>
      </c>
      <c r="I869" s="223"/>
      <c r="J869" s="223"/>
      <c r="K869" s="223"/>
      <c r="L869" s="223"/>
      <c r="M869" s="223"/>
      <c r="N869" s="225" t="s">
        <v>4972</v>
      </c>
      <c r="O869" s="225" t="s">
        <v>5828</v>
      </c>
      <c r="P869" s="225" t="s">
        <v>5829</v>
      </c>
      <c r="Q869" s="240" t="s">
        <v>5830</v>
      </c>
      <c r="R869" s="250" t="s">
        <v>2</v>
      </c>
      <c r="S869" s="236" t="s">
        <v>4771</v>
      </c>
      <c r="T869" s="233">
        <v>45590</v>
      </c>
      <c r="U869" s="234" t="s">
        <v>4759</v>
      </c>
      <c r="V869" s="234">
        <v>45611</v>
      </c>
      <c r="W869" s="234">
        <v>45617</v>
      </c>
      <c r="X869" s="234" t="s">
        <v>2</v>
      </c>
      <c r="Y869" s="234"/>
      <c r="Z869" s="234" t="s">
        <v>5831</v>
      </c>
      <c r="AA869" s="243">
        <v>202411</v>
      </c>
      <c r="AB869" s="243"/>
      <c r="AC869" s="244" t="s">
        <v>4800</v>
      </c>
      <c r="AD869" s="244" t="s">
        <v>4915</v>
      </c>
      <c r="AE869" s="245">
        <v>1</v>
      </c>
      <c r="AF869" s="244" t="s">
        <v>4762</v>
      </c>
      <c r="AG869" s="239" t="str">
        <f>IFERROR(VLOOKUP(작성용!A:A,RM!A:D,4,0),"-")</f>
        <v>윤광일</v>
      </c>
      <c r="AH869" s="9" t="s">
        <v>4915</v>
      </c>
      <c r="AI869" s="235" t="s">
        <v>4771</v>
      </c>
      <c r="AJ869" s="235" t="s">
        <v>5832</v>
      </c>
      <c r="AK869" s="235" t="s">
        <v>4777</v>
      </c>
      <c r="AL869" s="235">
        <v>868</v>
      </c>
    </row>
    <row r="870" spans="1:38" x14ac:dyDescent="0.3">
      <c r="A870" s="222" t="s">
        <v>4703</v>
      </c>
      <c r="B870" s="222" t="s">
        <v>4704</v>
      </c>
      <c r="C870" s="241" t="s">
        <v>4762</v>
      </c>
      <c r="D870" s="237" t="s">
        <v>5265</v>
      </c>
      <c r="E870" s="236">
        <v>1801111241388</v>
      </c>
      <c r="F870" s="240" t="s">
        <v>4780</v>
      </c>
      <c r="G870" s="238">
        <v>0</v>
      </c>
      <c r="H870" s="223" t="s">
        <v>4771</v>
      </c>
      <c r="I870" s="223"/>
      <c r="J870" s="223"/>
      <c r="K870" s="223"/>
      <c r="L870" s="223"/>
      <c r="M870" s="223"/>
      <c r="N870" s="225" t="s">
        <v>4972</v>
      </c>
      <c r="O870" s="225" t="s">
        <v>5828</v>
      </c>
      <c r="P870" s="225" t="s">
        <v>5829</v>
      </c>
      <c r="Q870" s="240" t="s">
        <v>5830</v>
      </c>
      <c r="R870" s="250" t="s">
        <v>2</v>
      </c>
      <c r="S870" s="236" t="s">
        <v>4771</v>
      </c>
      <c r="T870" s="233">
        <v>45590</v>
      </c>
      <c r="U870" s="234" t="s">
        <v>4759</v>
      </c>
      <c r="V870" s="234">
        <v>45611</v>
      </c>
      <c r="W870" s="234">
        <v>45617</v>
      </c>
      <c r="X870" s="234" t="s">
        <v>2</v>
      </c>
      <c r="Y870" s="234"/>
      <c r="Z870" s="234" t="s">
        <v>5831</v>
      </c>
      <c r="AA870" s="243">
        <v>202411</v>
      </c>
      <c r="AB870" s="243"/>
      <c r="AC870" s="244" t="s">
        <v>4800</v>
      </c>
      <c r="AD870" s="244" t="s">
        <v>3910</v>
      </c>
      <c r="AE870" s="245">
        <v>0</v>
      </c>
      <c r="AF870" s="244" t="s">
        <v>3910</v>
      </c>
      <c r="AG870" s="239" t="str">
        <f>IFERROR(VLOOKUP(작성용!A:A,RM!A:D,4,0),"-")</f>
        <v>윤광일</v>
      </c>
      <c r="AH870" s="9" t="s">
        <v>4915</v>
      </c>
      <c r="AI870" s="235" t="s">
        <v>4771</v>
      </c>
      <c r="AJ870" s="235" t="s">
        <v>5832</v>
      </c>
      <c r="AK870" s="235" t="s">
        <v>4777</v>
      </c>
      <c r="AL870" s="235">
        <v>869</v>
      </c>
    </row>
    <row r="871" spans="1:38" x14ac:dyDescent="0.3">
      <c r="A871" s="222" t="s">
        <v>4703</v>
      </c>
      <c r="B871" s="222" t="s">
        <v>4704</v>
      </c>
      <c r="C871" s="241" t="s">
        <v>4778</v>
      </c>
      <c r="D871" s="237" t="s">
        <v>5836</v>
      </c>
      <c r="E871" s="236">
        <v>1101110545751</v>
      </c>
      <c r="F871" s="240" t="s">
        <v>4780</v>
      </c>
      <c r="G871" s="238">
        <v>0</v>
      </c>
      <c r="H871" s="223" t="s">
        <v>4771</v>
      </c>
      <c r="I871" s="223"/>
      <c r="J871" s="223"/>
      <c r="K871" s="223"/>
      <c r="L871" s="223"/>
      <c r="M871" s="223"/>
      <c r="N871" s="225" t="s">
        <v>4972</v>
      </c>
      <c r="O871" s="225" t="s">
        <v>5761</v>
      </c>
      <c r="P871" s="225" t="s">
        <v>5762</v>
      </c>
      <c r="Q871" s="240" t="s">
        <v>5763</v>
      </c>
      <c r="R871" s="250" t="s">
        <v>2</v>
      </c>
      <c r="S871" s="236" t="s">
        <v>4771</v>
      </c>
      <c r="T871" s="233">
        <v>45590</v>
      </c>
      <c r="U871" s="234" t="s">
        <v>4759</v>
      </c>
      <c r="V871" s="234">
        <v>45611</v>
      </c>
      <c r="W871" s="234">
        <v>45615</v>
      </c>
      <c r="X871" s="234" t="s">
        <v>2</v>
      </c>
      <c r="Y871" s="234"/>
      <c r="Z871" s="234" t="s">
        <v>5764</v>
      </c>
      <c r="AA871" s="243">
        <v>202411</v>
      </c>
      <c r="AB871" s="243"/>
      <c r="AC871" s="244" t="s">
        <v>4800</v>
      </c>
      <c r="AD871" s="244" t="s">
        <v>4774</v>
      </c>
      <c r="AE871" s="245">
        <v>0</v>
      </c>
      <c r="AF871" s="244" t="s">
        <v>4774</v>
      </c>
      <c r="AG871" s="239" t="str">
        <f>IFERROR(VLOOKUP(작성용!A:A,RM!A:D,4,0),"-")</f>
        <v>윤광일</v>
      </c>
      <c r="AH871" s="9" t="s">
        <v>4915</v>
      </c>
      <c r="AI871" s="235" t="s">
        <v>4771</v>
      </c>
      <c r="AJ871" s="235" t="s">
        <v>4920</v>
      </c>
      <c r="AK871" s="235" t="s">
        <v>4777</v>
      </c>
      <c r="AL871" s="235">
        <v>870</v>
      </c>
    </row>
    <row r="872" spans="1:38" x14ac:dyDescent="0.3">
      <c r="A872" s="222" t="s">
        <v>4703</v>
      </c>
      <c r="B872" s="222" t="s">
        <v>4704</v>
      </c>
      <c r="C872" s="241" t="s">
        <v>4778</v>
      </c>
      <c r="D872" s="237" t="s">
        <v>5081</v>
      </c>
      <c r="E872" s="236">
        <v>1101115378842</v>
      </c>
      <c r="F872" s="240" t="s">
        <v>4850</v>
      </c>
      <c r="G872" s="238">
        <v>4</v>
      </c>
      <c r="H872" s="223" t="s">
        <v>4771</v>
      </c>
      <c r="I872" s="223"/>
      <c r="J872" s="223"/>
      <c r="K872" s="223"/>
      <c r="L872" s="223"/>
      <c r="M872" s="223"/>
      <c r="N872" s="225" t="s">
        <v>4972</v>
      </c>
      <c r="O872" s="225" t="s">
        <v>5761</v>
      </c>
      <c r="P872" s="225" t="s">
        <v>5762</v>
      </c>
      <c r="Q872" s="240" t="s">
        <v>5763</v>
      </c>
      <c r="R872" s="250" t="s">
        <v>2</v>
      </c>
      <c r="S872" s="236" t="s">
        <v>4771</v>
      </c>
      <c r="T872" s="233">
        <v>45590</v>
      </c>
      <c r="U872" s="234" t="s">
        <v>4759</v>
      </c>
      <c r="V872" s="234">
        <v>45611</v>
      </c>
      <c r="W872" s="234">
        <v>45615</v>
      </c>
      <c r="X872" s="234" t="s">
        <v>2</v>
      </c>
      <c r="Y872" s="234"/>
      <c r="Z872" s="234" t="s">
        <v>5764</v>
      </c>
      <c r="AA872" s="243">
        <v>202411</v>
      </c>
      <c r="AB872" s="243"/>
      <c r="AC872" s="244" t="s">
        <v>4800</v>
      </c>
      <c r="AD872" s="244" t="s">
        <v>4918</v>
      </c>
      <c r="AE872" s="245">
        <v>0</v>
      </c>
      <c r="AF872" s="244" t="s">
        <v>4918</v>
      </c>
      <c r="AG872" s="239" t="str">
        <f>IFERROR(VLOOKUP(작성용!A:A,RM!A:D,4,0),"-")</f>
        <v>윤광일</v>
      </c>
      <c r="AH872" s="9" t="s">
        <v>4915</v>
      </c>
      <c r="AI872" s="235" t="s">
        <v>4771</v>
      </c>
      <c r="AJ872" s="235" t="s">
        <v>4920</v>
      </c>
      <c r="AK872" s="235" t="s">
        <v>4777</v>
      </c>
      <c r="AL872" s="235">
        <v>871</v>
      </c>
    </row>
    <row r="873" spans="1:38" x14ac:dyDescent="0.3">
      <c r="A873" s="222" t="s">
        <v>2043</v>
      </c>
      <c r="B873" s="222" t="s">
        <v>2044</v>
      </c>
      <c r="C873" s="241" t="s">
        <v>4778</v>
      </c>
      <c r="D873" s="237" t="s">
        <v>5837</v>
      </c>
      <c r="E873" s="236">
        <v>1911110002085</v>
      </c>
      <c r="F873" s="240" t="s">
        <v>4854</v>
      </c>
      <c r="G873" s="238">
        <v>0</v>
      </c>
      <c r="H873" s="223" t="s">
        <v>4771</v>
      </c>
      <c r="I873" s="223"/>
      <c r="J873" s="223"/>
      <c r="K873" s="223"/>
      <c r="L873" s="223"/>
      <c r="M873" s="223"/>
      <c r="N873" s="225" t="s">
        <v>5028</v>
      </c>
      <c r="O873" s="225" t="s">
        <v>5838</v>
      </c>
      <c r="P873" s="240" t="s">
        <v>5839</v>
      </c>
      <c r="Q873" s="240" t="s">
        <v>5840</v>
      </c>
      <c r="R873" s="250" t="s">
        <v>2</v>
      </c>
      <c r="S873" s="236" t="s">
        <v>4771</v>
      </c>
      <c r="T873" s="233">
        <v>45590</v>
      </c>
      <c r="U873" s="234" t="s">
        <v>4772</v>
      </c>
      <c r="V873" s="234">
        <v>45672</v>
      </c>
      <c r="W873" s="234">
        <v>45677</v>
      </c>
      <c r="X873" s="234" t="s">
        <v>2</v>
      </c>
      <c r="Y873" s="234"/>
      <c r="Z873" s="234" t="s">
        <v>5841</v>
      </c>
      <c r="AA873" s="243">
        <v>202412</v>
      </c>
      <c r="AB873" s="243"/>
      <c r="AC873" s="244" t="s">
        <v>4760</v>
      </c>
      <c r="AD873" s="244" t="s">
        <v>4761</v>
      </c>
      <c r="AE873" s="245">
        <v>1</v>
      </c>
      <c r="AF873" s="244" t="s">
        <v>4761</v>
      </c>
      <c r="AG873" s="239" t="str">
        <f>IFERROR(VLOOKUP(작성용!A:A,RM!A:D,4,0),"-")</f>
        <v>원정우</v>
      </c>
      <c r="AH873" s="9" t="s">
        <v>4987</v>
      </c>
      <c r="AI873" s="235" t="s">
        <v>4771</v>
      </c>
      <c r="AJ873" s="235" t="s">
        <v>4776</v>
      </c>
      <c r="AK873" s="235" t="s">
        <v>4777</v>
      </c>
      <c r="AL873" s="235">
        <v>872</v>
      </c>
    </row>
    <row r="874" spans="1:38" x14ac:dyDescent="0.3">
      <c r="A874" s="222" t="s">
        <v>2043</v>
      </c>
      <c r="B874" s="222" t="s">
        <v>2044</v>
      </c>
      <c r="C874" s="241" t="s">
        <v>4778</v>
      </c>
      <c r="D874" s="237" t="s">
        <v>5842</v>
      </c>
      <c r="E874" s="236">
        <v>1948110000877</v>
      </c>
      <c r="F874" s="240" t="s">
        <v>4854</v>
      </c>
      <c r="G874" s="238">
        <v>0</v>
      </c>
      <c r="H874" s="223" t="s">
        <v>4771</v>
      </c>
      <c r="I874" s="223"/>
      <c r="J874" s="223"/>
      <c r="K874" s="223"/>
      <c r="L874" s="223"/>
      <c r="M874" s="223"/>
      <c r="N874" s="225" t="s">
        <v>5028</v>
      </c>
      <c r="O874" s="225" t="s">
        <v>5838</v>
      </c>
      <c r="P874" s="240" t="s">
        <v>5839</v>
      </c>
      <c r="Q874" s="240" t="s">
        <v>5840</v>
      </c>
      <c r="R874" s="250" t="s">
        <v>2</v>
      </c>
      <c r="S874" s="236" t="s">
        <v>4771</v>
      </c>
      <c r="T874" s="233">
        <v>45590</v>
      </c>
      <c r="U874" s="234" t="s">
        <v>4772</v>
      </c>
      <c r="V874" s="234">
        <v>45672</v>
      </c>
      <c r="W874" s="234">
        <v>45677</v>
      </c>
      <c r="X874" s="234" t="s">
        <v>2</v>
      </c>
      <c r="Y874" s="234"/>
      <c r="Z874" s="234" t="s">
        <v>5841</v>
      </c>
      <c r="AA874" s="243">
        <v>202412</v>
      </c>
      <c r="AB874" s="243"/>
      <c r="AC874" s="244" t="s">
        <v>4760</v>
      </c>
      <c r="AD874" s="244" t="s">
        <v>4987</v>
      </c>
      <c r="AE874" s="245">
        <v>1</v>
      </c>
      <c r="AF874" s="244" t="s">
        <v>4987</v>
      </c>
      <c r="AG874" s="239" t="str">
        <f>IFERROR(VLOOKUP(작성용!A:A,RM!A:D,4,0),"-")</f>
        <v>원정우</v>
      </c>
      <c r="AH874" s="9" t="s">
        <v>4987</v>
      </c>
      <c r="AI874" s="235" t="s">
        <v>4771</v>
      </c>
      <c r="AJ874" s="235" t="s">
        <v>4776</v>
      </c>
      <c r="AK874" s="235" t="s">
        <v>4777</v>
      </c>
      <c r="AL874" s="235">
        <v>873</v>
      </c>
    </row>
    <row r="875" spans="1:38" x14ac:dyDescent="0.3">
      <c r="A875" s="222" t="s">
        <v>461</v>
      </c>
      <c r="B875" s="222" t="s">
        <v>462</v>
      </c>
      <c r="C875" s="241" t="s">
        <v>4762</v>
      </c>
      <c r="D875" s="237" t="s">
        <v>5843</v>
      </c>
      <c r="E875" s="236">
        <v>1101110018443</v>
      </c>
      <c r="F875" s="240" t="s">
        <v>4854</v>
      </c>
      <c r="G875" s="238">
        <v>0</v>
      </c>
      <c r="H875" s="223" t="s">
        <v>4771</v>
      </c>
      <c r="I875" s="223"/>
      <c r="J875" s="223"/>
      <c r="K875" s="223"/>
      <c r="L875" s="223"/>
      <c r="M875" s="223"/>
      <c r="N875" s="225" t="s">
        <v>5035</v>
      </c>
      <c r="O875" s="225" t="s">
        <v>5844</v>
      </c>
      <c r="P875" s="240" t="s">
        <v>5845</v>
      </c>
      <c r="Q875" s="240" t="s">
        <v>5846</v>
      </c>
      <c r="R875" s="250" t="s">
        <v>2</v>
      </c>
      <c r="S875" s="236" t="s">
        <v>4771</v>
      </c>
      <c r="T875" s="233">
        <v>45590</v>
      </c>
      <c r="U875" s="234" t="s">
        <v>4759</v>
      </c>
      <c r="V875" s="234">
        <v>45603</v>
      </c>
      <c r="W875" s="234">
        <v>45603</v>
      </c>
      <c r="X875" s="234" t="s">
        <v>2</v>
      </c>
      <c r="Y875" s="234"/>
      <c r="Z875" s="234" t="s">
        <v>5847</v>
      </c>
      <c r="AA875" s="243">
        <v>202411</v>
      </c>
      <c r="AB875" s="243"/>
      <c r="AC875" s="244" t="s">
        <v>4800</v>
      </c>
      <c r="AD875" s="244" t="s">
        <v>4900</v>
      </c>
      <c r="AE875" s="245">
        <v>1</v>
      </c>
      <c r="AF875" s="244" t="s">
        <v>4762</v>
      </c>
      <c r="AG875" s="239" t="str">
        <f>IFERROR(VLOOKUP(작성용!A:A,RM!A:D,4,0),"-")</f>
        <v>정재형</v>
      </c>
      <c r="AH875" s="9" t="s">
        <v>4900</v>
      </c>
      <c r="AI875" s="235" t="s">
        <v>4771</v>
      </c>
      <c r="AJ875" s="235" t="s">
        <v>5848</v>
      </c>
      <c r="AK875" s="235" t="s">
        <v>4777</v>
      </c>
      <c r="AL875" s="235">
        <v>874</v>
      </c>
    </row>
    <row r="876" spans="1:38" x14ac:dyDescent="0.3">
      <c r="A876" s="222" t="s">
        <v>2712</v>
      </c>
      <c r="B876" s="222" t="s">
        <v>2713</v>
      </c>
      <c r="C876" s="241" t="s">
        <v>4778</v>
      </c>
      <c r="D876" s="237" t="s">
        <v>5849</v>
      </c>
      <c r="E876" s="236" t="s">
        <v>4733</v>
      </c>
      <c r="F876" s="240" t="s">
        <v>5355</v>
      </c>
      <c r="G876" s="238">
        <v>0</v>
      </c>
      <c r="H876" s="223" t="s">
        <v>4771</v>
      </c>
      <c r="I876" s="223"/>
      <c r="J876" s="223"/>
      <c r="K876" s="223"/>
      <c r="L876" s="223"/>
      <c r="M876" s="223"/>
      <c r="N876" s="225" t="s">
        <v>4972</v>
      </c>
      <c r="O876" s="225" t="s">
        <v>5850</v>
      </c>
      <c r="P876" s="240" t="s">
        <v>5851</v>
      </c>
      <c r="Q876" s="240" t="s">
        <v>5852</v>
      </c>
      <c r="R876" s="250" t="s">
        <v>2</v>
      </c>
      <c r="S876" s="236" t="s">
        <v>4771</v>
      </c>
      <c r="T876" s="233">
        <v>45590</v>
      </c>
      <c r="U876" s="234" t="s">
        <v>4772</v>
      </c>
      <c r="V876" s="234">
        <v>45670</v>
      </c>
      <c r="W876" s="234">
        <v>45677</v>
      </c>
      <c r="X876" s="234" t="s">
        <v>2</v>
      </c>
      <c r="Y876" s="234"/>
      <c r="Z876" s="234" t="s">
        <v>5853</v>
      </c>
      <c r="AA876" s="243">
        <v>202412</v>
      </c>
      <c r="AB876" s="243"/>
      <c r="AC876" s="244" t="s">
        <v>5357</v>
      </c>
      <c r="AD876" s="244" t="s">
        <v>5358</v>
      </c>
      <c r="AE876" s="245">
        <v>0</v>
      </c>
      <c r="AF876" s="244" t="s">
        <v>5358</v>
      </c>
      <c r="AG876" s="239" t="str">
        <f>IFERROR(VLOOKUP(작성용!A:A,RM!A:D,4,0),"-")</f>
        <v>박태호</v>
      </c>
      <c r="AH876" s="9" t="s">
        <v>5854</v>
      </c>
      <c r="AI876" s="235" t="s">
        <v>4771</v>
      </c>
      <c r="AJ876" s="235" t="s">
        <v>4776</v>
      </c>
      <c r="AK876" s="235" t="s">
        <v>4777</v>
      </c>
      <c r="AL876" s="235">
        <v>875</v>
      </c>
    </row>
    <row r="877" spans="1:38" s="198" customFormat="1" x14ac:dyDescent="0.3">
      <c r="A877" s="222" t="s">
        <v>2712</v>
      </c>
      <c r="B877" s="222" t="s">
        <v>2713</v>
      </c>
      <c r="C877" s="241" t="s">
        <v>4762</v>
      </c>
      <c r="D877" s="237" t="s">
        <v>5855</v>
      </c>
      <c r="E877" s="236" t="s">
        <v>4735</v>
      </c>
      <c r="F877" s="240" t="s">
        <v>5355</v>
      </c>
      <c r="G877" s="238">
        <v>0</v>
      </c>
      <c r="H877" s="223" t="s">
        <v>4771</v>
      </c>
      <c r="I877" s="223"/>
      <c r="J877" s="223"/>
      <c r="K877" s="223"/>
      <c r="L877" s="223"/>
      <c r="M877" s="223"/>
      <c r="N877" s="225" t="s">
        <v>4972</v>
      </c>
      <c r="O877" s="225" t="s">
        <v>5850</v>
      </c>
      <c r="P877" s="240" t="s">
        <v>5851</v>
      </c>
      <c r="Q877" s="240" t="s">
        <v>5852</v>
      </c>
      <c r="R877" s="250" t="s">
        <v>2</v>
      </c>
      <c r="S877" s="236" t="s">
        <v>4771</v>
      </c>
      <c r="T877" s="233">
        <v>45590</v>
      </c>
      <c r="U877" s="234" t="s">
        <v>4772</v>
      </c>
      <c r="V877" s="234">
        <v>45670</v>
      </c>
      <c r="W877" s="234">
        <v>45677</v>
      </c>
      <c r="X877" s="234" t="s">
        <v>2</v>
      </c>
      <c r="Y877" s="234"/>
      <c r="Z877" s="234" t="s">
        <v>5853</v>
      </c>
      <c r="AA877" s="243">
        <v>202412</v>
      </c>
      <c r="AB877" s="243"/>
      <c r="AC877" s="244" t="s">
        <v>5357</v>
      </c>
      <c r="AD877" s="244" t="s">
        <v>5358</v>
      </c>
      <c r="AE877" s="245">
        <v>0</v>
      </c>
      <c r="AF877" s="244" t="s">
        <v>5358</v>
      </c>
      <c r="AG877" s="239" t="str">
        <f>IFERROR(VLOOKUP(작성용!A:A,RM!A:D,4,0),"-")</f>
        <v>박태호</v>
      </c>
      <c r="AH877" s="9" t="s">
        <v>5854</v>
      </c>
      <c r="AI877" s="235" t="s">
        <v>4771</v>
      </c>
      <c r="AJ877" s="235" t="s">
        <v>4776</v>
      </c>
      <c r="AK877" s="235" t="s">
        <v>4777</v>
      </c>
      <c r="AL877" s="235">
        <v>876</v>
      </c>
    </row>
    <row r="878" spans="1:38" s="198" customFormat="1" x14ac:dyDescent="0.3">
      <c r="A878" s="222" t="s">
        <v>2712</v>
      </c>
      <c r="B878" s="222" t="s">
        <v>2713</v>
      </c>
      <c r="C878" s="241" t="s">
        <v>4778</v>
      </c>
      <c r="D878" s="237" t="s">
        <v>5856</v>
      </c>
      <c r="E878" s="236" t="s">
        <v>4734</v>
      </c>
      <c r="F878" s="240" t="s">
        <v>5355</v>
      </c>
      <c r="G878" s="238">
        <v>0</v>
      </c>
      <c r="H878" s="223" t="s">
        <v>4771</v>
      </c>
      <c r="I878" s="223"/>
      <c r="J878" s="223"/>
      <c r="K878" s="223"/>
      <c r="L878" s="223"/>
      <c r="M878" s="223"/>
      <c r="N878" s="225" t="s">
        <v>4972</v>
      </c>
      <c r="O878" s="225" t="s">
        <v>5850</v>
      </c>
      <c r="P878" s="240" t="s">
        <v>5851</v>
      </c>
      <c r="Q878" s="240" t="s">
        <v>5852</v>
      </c>
      <c r="R878" s="250" t="s">
        <v>2</v>
      </c>
      <c r="S878" s="236" t="s">
        <v>4771</v>
      </c>
      <c r="T878" s="233">
        <v>45590</v>
      </c>
      <c r="U878" s="234" t="s">
        <v>4772</v>
      </c>
      <c r="V878" s="234">
        <v>45670</v>
      </c>
      <c r="W878" s="234">
        <v>45677</v>
      </c>
      <c r="X878" s="234" t="s">
        <v>2</v>
      </c>
      <c r="Y878" s="234"/>
      <c r="Z878" s="234" t="s">
        <v>5853</v>
      </c>
      <c r="AA878" s="243">
        <v>202412</v>
      </c>
      <c r="AB878" s="243"/>
      <c r="AC878" s="244" t="s">
        <v>5357</v>
      </c>
      <c r="AD878" s="244" t="s">
        <v>5358</v>
      </c>
      <c r="AE878" s="245">
        <v>0</v>
      </c>
      <c r="AF878" s="244" t="s">
        <v>5358</v>
      </c>
      <c r="AG878" s="239" t="str">
        <f>IFERROR(VLOOKUP(작성용!A:A,RM!A:D,4,0),"-")</f>
        <v>박태호</v>
      </c>
      <c r="AH878" s="9" t="s">
        <v>5854</v>
      </c>
      <c r="AI878" s="235" t="s">
        <v>4771</v>
      </c>
      <c r="AJ878" s="235" t="s">
        <v>4776</v>
      </c>
      <c r="AK878" s="235" t="s">
        <v>4777</v>
      </c>
      <c r="AL878" s="235">
        <v>877</v>
      </c>
    </row>
    <row r="879" spans="1:38" s="198" customFormat="1" x14ac:dyDescent="0.3">
      <c r="A879" s="222" t="s">
        <v>2712</v>
      </c>
      <c r="B879" s="222" t="s">
        <v>2713</v>
      </c>
      <c r="C879" s="241" t="s">
        <v>4762</v>
      </c>
      <c r="D879" s="237" t="s">
        <v>5857</v>
      </c>
      <c r="E879" s="236" t="s">
        <v>4736</v>
      </c>
      <c r="F879" s="240" t="s">
        <v>5355</v>
      </c>
      <c r="G879" s="238">
        <v>0</v>
      </c>
      <c r="H879" s="223" t="s">
        <v>4771</v>
      </c>
      <c r="I879" s="223"/>
      <c r="J879" s="223"/>
      <c r="K879" s="223"/>
      <c r="L879" s="223"/>
      <c r="M879" s="223"/>
      <c r="N879" s="225" t="s">
        <v>4972</v>
      </c>
      <c r="O879" s="225" t="s">
        <v>5850</v>
      </c>
      <c r="P879" s="240" t="s">
        <v>5851</v>
      </c>
      <c r="Q879" s="240" t="s">
        <v>5852</v>
      </c>
      <c r="R879" s="250" t="s">
        <v>2</v>
      </c>
      <c r="S879" s="236" t="s">
        <v>4771</v>
      </c>
      <c r="T879" s="233">
        <v>45590</v>
      </c>
      <c r="U879" s="234" t="s">
        <v>4772</v>
      </c>
      <c r="V879" s="234">
        <v>45670</v>
      </c>
      <c r="W879" s="234">
        <v>45677</v>
      </c>
      <c r="X879" s="234" t="s">
        <v>2</v>
      </c>
      <c r="Y879" s="234"/>
      <c r="Z879" s="234" t="s">
        <v>5853</v>
      </c>
      <c r="AA879" s="243">
        <v>202412</v>
      </c>
      <c r="AB879" s="243"/>
      <c r="AC879" s="244" t="s">
        <v>5357</v>
      </c>
      <c r="AD879" s="244" t="s">
        <v>5358</v>
      </c>
      <c r="AE879" s="245">
        <v>0</v>
      </c>
      <c r="AF879" s="244" t="s">
        <v>5358</v>
      </c>
      <c r="AG879" s="239" t="str">
        <f>IFERROR(VLOOKUP(작성용!A:A,RM!A:D,4,0),"-")</f>
        <v>박태호</v>
      </c>
      <c r="AH879" s="9" t="s">
        <v>5854</v>
      </c>
      <c r="AI879" s="235" t="s">
        <v>4771</v>
      </c>
      <c r="AJ879" s="235" t="s">
        <v>4776</v>
      </c>
      <c r="AK879" s="235" t="s">
        <v>4777</v>
      </c>
      <c r="AL879" s="235">
        <v>878</v>
      </c>
    </row>
    <row r="880" spans="1:38" s="198" customFormat="1" x14ac:dyDescent="0.3">
      <c r="A880" s="222" t="s">
        <v>2712</v>
      </c>
      <c r="B880" s="222" t="s">
        <v>2713</v>
      </c>
      <c r="C880" s="241" t="s">
        <v>4762</v>
      </c>
      <c r="D880" s="237" t="s">
        <v>5858</v>
      </c>
      <c r="E880" s="236">
        <v>1101116239308</v>
      </c>
      <c r="F880" s="240" t="s">
        <v>5859</v>
      </c>
      <c r="G880" s="238">
        <v>0</v>
      </c>
      <c r="H880" s="223" t="s">
        <v>4771</v>
      </c>
      <c r="I880" s="223"/>
      <c r="J880" s="223"/>
      <c r="K880" s="223"/>
      <c r="L880" s="223"/>
      <c r="M880" s="223"/>
      <c r="N880" s="225" t="s">
        <v>4972</v>
      </c>
      <c r="O880" s="225" t="s">
        <v>5850</v>
      </c>
      <c r="P880" s="240" t="s">
        <v>5851</v>
      </c>
      <c r="Q880" s="240" t="s">
        <v>5852</v>
      </c>
      <c r="R880" s="250" t="s">
        <v>2</v>
      </c>
      <c r="S880" s="236" t="s">
        <v>4771</v>
      </c>
      <c r="T880" s="233">
        <v>45590</v>
      </c>
      <c r="U880" s="234" t="s">
        <v>4772</v>
      </c>
      <c r="V880" s="234">
        <v>45670</v>
      </c>
      <c r="W880" s="234">
        <v>45677</v>
      </c>
      <c r="X880" s="234" t="s">
        <v>2</v>
      </c>
      <c r="Y880" s="234"/>
      <c r="Z880" s="234" t="s">
        <v>5853</v>
      </c>
      <c r="AA880" s="243">
        <v>202412</v>
      </c>
      <c r="AB880" s="243"/>
      <c r="AC880" s="244" t="s">
        <v>5357</v>
      </c>
      <c r="AD880" s="244" t="s">
        <v>4823</v>
      </c>
      <c r="AE880" s="245">
        <v>1</v>
      </c>
      <c r="AF880" s="244" t="s">
        <v>5727</v>
      </c>
      <c r="AG880" s="239" t="str">
        <f>IFERROR(VLOOKUP(작성용!A:A,RM!A:D,4,0),"-")</f>
        <v>박태호</v>
      </c>
      <c r="AH880" s="9" t="s">
        <v>5854</v>
      </c>
      <c r="AI880" s="235" t="s">
        <v>4771</v>
      </c>
      <c r="AJ880" s="235" t="s">
        <v>4776</v>
      </c>
      <c r="AK880" s="235" t="s">
        <v>4777</v>
      </c>
      <c r="AL880" s="235">
        <v>879</v>
      </c>
    </row>
    <row r="881" spans="1:38" s="198" customFormat="1" x14ac:dyDescent="0.3">
      <c r="A881" s="222" t="s">
        <v>4703</v>
      </c>
      <c r="B881" s="222" t="s">
        <v>4704</v>
      </c>
      <c r="C881" s="241" t="s">
        <v>4778</v>
      </c>
      <c r="D881" s="237" t="s">
        <v>5081</v>
      </c>
      <c r="E881" s="236">
        <v>1101115378842</v>
      </c>
      <c r="F881" s="240" t="s">
        <v>4850</v>
      </c>
      <c r="G881" s="238">
        <v>5</v>
      </c>
      <c r="H881" s="223" t="s">
        <v>4771</v>
      </c>
      <c r="I881" s="223"/>
      <c r="J881" s="223"/>
      <c r="K881" s="223"/>
      <c r="L881" s="223"/>
      <c r="M881" s="223"/>
      <c r="N881" s="225" t="s">
        <v>4972</v>
      </c>
      <c r="O881" s="225" t="s">
        <v>5761</v>
      </c>
      <c r="P881" s="225" t="s">
        <v>5762</v>
      </c>
      <c r="Q881" s="240" t="s">
        <v>5763</v>
      </c>
      <c r="R881" s="250" t="s">
        <v>2</v>
      </c>
      <c r="S881" s="236" t="s">
        <v>4771</v>
      </c>
      <c r="T881" s="233">
        <v>45590</v>
      </c>
      <c r="U881" s="234" t="s">
        <v>4759</v>
      </c>
      <c r="V881" s="234">
        <v>45611</v>
      </c>
      <c r="W881" s="234">
        <v>45615</v>
      </c>
      <c r="X881" s="234" t="s">
        <v>2</v>
      </c>
      <c r="Y881" s="234"/>
      <c r="Z881" s="234" t="s">
        <v>5764</v>
      </c>
      <c r="AA881" s="243">
        <v>202411</v>
      </c>
      <c r="AB881" s="243"/>
      <c r="AC881" s="244" t="s">
        <v>4800</v>
      </c>
      <c r="AD881" s="244" t="s">
        <v>4918</v>
      </c>
      <c r="AE881" s="245">
        <v>0</v>
      </c>
      <c r="AF881" s="244" t="s">
        <v>4918</v>
      </c>
      <c r="AG881" s="239" t="str">
        <f>IFERROR(VLOOKUP(작성용!A:A,RM!A:D,4,0),"-")</f>
        <v>윤광일</v>
      </c>
      <c r="AH881" s="9" t="s">
        <v>4915</v>
      </c>
      <c r="AI881" s="235" t="s">
        <v>4771</v>
      </c>
      <c r="AJ881" s="235" t="s">
        <v>4920</v>
      </c>
      <c r="AK881" s="235" t="s">
        <v>4777</v>
      </c>
      <c r="AL881" s="235">
        <v>880</v>
      </c>
    </row>
    <row r="882" spans="1:38" s="198" customFormat="1" x14ac:dyDescent="0.3">
      <c r="A882" s="229" t="s">
        <v>2336</v>
      </c>
      <c r="B882" s="229" t="s">
        <v>4848</v>
      </c>
      <c r="C882" s="241" t="s">
        <v>4762</v>
      </c>
      <c r="D882" s="237" t="s">
        <v>5396</v>
      </c>
      <c r="E882" s="236" t="s">
        <v>4003</v>
      </c>
      <c r="F882" s="240" t="s">
        <v>4850</v>
      </c>
      <c r="G882" s="214">
        <v>77</v>
      </c>
      <c r="H882" s="231" t="s">
        <v>4771</v>
      </c>
      <c r="I882" s="231"/>
      <c r="J882" s="231"/>
      <c r="K882" s="231"/>
      <c r="L882" s="231"/>
      <c r="M882" s="231"/>
      <c r="N882" s="231" t="s">
        <v>4806</v>
      </c>
      <c r="O882" s="246" t="s">
        <v>5860</v>
      </c>
      <c r="P882" s="246" t="s">
        <v>5861</v>
      </c>
      <c r="Q882" s="225" t="s">
        <v>5862</v>
      </c>
      <c r="R882" s="212" t="s">
        <v>2</v>
      </c>
      <c r="S882" s="213" t="s">
        <v>4771</v>
      </c>
      <c r="T882" s="233">
        <v>45593</v>
      </c>
      <c r="U882" s="234" t="s">
        <v>4759</v>
      </c>
      <c r="V882" s="233">
        <v>45610</v>
      </c>
      <c r="W882" s="233">
        <v>45615</v>
      </c>
      <c r="X882" s="234" t="s">
        <v>2</v>
      </c>
      <c r="Y882" s="234"/>
      <c r="Z882" s="234" t="s">
        <v>5863</v>
      </c>
      <c r="AA882" s="238">
        <v>202411</v>
      </c>
      <c r="AB882" s="243"/>
      <c r="AC882" s="233" t="s">
        <v>4800</v>
      </c>
      <c r="AD882" s="244" t="s">
        <v>640</v>
      </c>
      <c r="AE882" s="245">
        <v>0</v>
      </c>
      <c r="AF882" s="244" t="s">
        <v>640</v>
      </c>
      <c r="AG882" s="239" t="str">
        <f>IFERROR(VLOOKUP(작성용!A:A,RM!A:D,4,0),"-")</f>
        <v>채동우</v>
      </c>
      <c r="AH882" s="9" t="s">
        <v>4846</v>
      </c>
      <c r="AI882" s="235" t="s">
        <v>4771</v>
      </c>
      <c r="AJ882" s="235" t="s">
        <v>4920</v>
      </c>
      <c r="AK882" s="235" t="s">
        <v>4777</v>
      </c>
      <c r="AL882" s="235">
        <v>881</v>
      </c>
    </row>
    <row r="883" spans="1:38" x14ac:dyDescent="0.3">
      <c r="A883" s="229" t="s">
        <v>2336</v>
      </c>
      <c r="B883" s="229" t="s">
        <v>4848</v>
      </c>
      <c r="C883" s="241" t="s">
        <v>4762</v>
      </c>
      <c r="D883" s="237" t="s">
        <v>5864</v>
      </c>
      <c r="E883" s="236">
        <v>1101116329381</v>
      </c>
      <c r="F883" s="240" t="s">
        <v>4850</v>
      </c>
      <c r="G883" s="214">
        <v>77</v>
      </c>
      <c r="H883" s="231" t="s">
        <v>4771</v>
      </c>
      <c r="I883" s="231"/>
      <c r="J883" s="231"/>
      <c r="K883" s="231"/>
      <c r="L883" s="231"/>
      <c r="M883" s="231"/>
      <c r="N883" s="231" t="s">
        <v>4806</v>
      </c>
      <c r="O883" s="246" t="s">
        <v>5860</v>
      </c>
      <c r="P883" s="246" t="s">
        <v>5861</v>
      </c>
      <c r="Q883" s="225" t="s">
        <v>5862</v>
      </c>
      <c r="R883" s="212" t="s">
        <v>2</v>
      </c>
      <c r="S883" s="213" t="s">
        <v>4771</v>
      </c>
      <c r="T883" s="233">
        <v>45593</v>
      </c>
      <c r="U883" s="234" t="s">
        <v>4759</v>
      </c>
      <c r="V883" s="233">
        <v>45610</v>
      </c>
      <c r="W883" s="233">
        <v>45615</v>
      </c>
      <c r="X883" s="234" t="s">
        <v>2</v>
      </c>
      <c r="Y883" s="234"/>
      <c r="Z883" s="234" t="s">
        <v>5863</v>
      </c>
      <c r="AA883" s="238">
        <v>202411</v>
      </c>
      <c r="AB883" s="243"/>
      <c r="AC883" s="233" t="s">
        <v>4800</v>
      </c>
      <c r="AD883" s="244" t="s">
        <v>694</v>
      </c>
      <c r="AE883" s="245">
        <v>1</v>
      </c>
      <c r="AF883" s="244" t="s">
        <v>694</v>
      </c>
      <c r="AG883" s="239" t="str">
        <f>IFERROR(VLOOKUP(작성용!A:A,RM!A:D,4,0),"-")</f>
        <v>채동우</v>
      </c>
      <c r="AH883" s="9" t="s">
        <v>4846</v>
      </c>
      <c r="AI883" s="235" t="s">
        <v>4771</v>
      </c>
      <c r="AJ883" s="235" t="s">
        <v>4920</v>
      </c>
      <c r="AK883" s="235" t="s">
        <v>4777</v>
      </c>
      <c r="AL883" s="235">
        <v>882</v>
      </c>
    </row>
    <row r="884" spans="1:38" x14ac:dyDescent="0.3">
      <c r="A884" s="229" t="s">
        <v>2336</v>
      </c>
      <c r="B884" s="229" t="s">
        <v>4848</v>
      </c>
      <c r="C884" s="241" t="s">
        <v>4762</v>
      </c>
      <c r="D884" s="237" t="s">
        <v>5865</v>
      </c>
      <c r="E884" s="236">
        <v>1314110350589</v>
      </c>
      <c r="F884" s="240" t="s">
        <v>4854</v>
      </c>
      <c r="G884" s="214">
        <v>0</v>
      </c>
      <c r="H884" s="231" t="s">
        <v>4771</v>
      </c>
      <c r="I884" s="231"/>
      <c r="J884" s="231"/>
      <c r="K884" s="231"/>
      <c r="L884" s="231"/>
      <c r="M884" s="231"/>
      <c r="N884" s="231" t="s">
        <v>4806</v>
      </c>
      <c r="O884" s="246" t="s">
        <v>5860</v>
      </c>
      <c r="P884" s="246" t="s">
        <v>5861</v>
      </c>
      <c r="Q884" s="225" t="s">
        <v>5862</v>
      </c>
      <c r="R884" s="212" t="s">
        <v>2</v>
      </c>
      <c r="S884" s="213" t="s">
        <v>4771</v>
      </c>
      <c r="T884" s="233">
        <v>45593</v>
      </c>
      <c r="U884" s="234" t="s">
        <v>4759</v>
      </c>
      <c r="V884" s="233">
        <v>45610</v>
      </c>
      <c r="W884" s="233">
        <v>45615</v>
      </c>
      <c r="X884" s="234" t="s">
        <v>2</v>
      </c>
      <c r="Y884" s="234"/>
      <c r="Z884" s="234" t="s">
        <v>5863</v>
      </c>
      <c r="AA884" s="238">
        <v>202411</v>
      </c>
      <c r="AB884" s="243"/>
      <c r="AC884" s="233" t="s">
        <v>4800</v>
      </c>
      <c r="AD884" s="244" t="s">
        <v>3644</v>
      </c>
      <c r="AE884" s="245">
        <v>1</v>
      </c>
      <c r="AF884" s="244" t="s">
        <v>3644</v>
      </c>
      <c r="AG884" s="239" t="str">
        <f>IFERROR(VLOOKUP(작성용!A:A,RM!A:D,4,0),"-")</f>
        <v>채동우</v>
      </c>
      <c r="AH884" s="9" t="s">
        <v>4846</v>
      </c>
      <c r="AI884" s="235" t="s">
        <v>4771</v>
      </c>
      <c r="AJ884" s="235" t="s">
        <v>4920</v>
      </c>
      <c r="AK884" s="235" t="s">
        <v>4777</v>
      </c>
      <c r="AL884" s="235">
        <v>883</v>
      </c>
    </row>
    <row r="885" spans="1:38" x14ac:dyDescent="0.3">
      <c r="A885" s="229" t="s">
        <v>2336</v>
      </c>
      <c r="B885" s="229" t="s">
        <v>4848</v>
      </c>
      <c r="C885" s="241" t="s">
        <v>4762</v>
      </c>
      <c r="D885" s="237" t="s">
        <v>5866</v>
      </c>
      <c r="E885" s="236">
        <v>1717110095230</v>
      </c>
      <c r="F885" s="240" t="s">
        <v>4850</v>
      </c>
      <c r="G885" s="214">
        <v>77</v>
      </c>
      <c r="H885" s="231" t="s">
        <v>4771</v>
      </c>
      <c r="I885" s="231"/>
      <c r="J885" s="231"/>
      <c r="K885" s="231"/>
      <c r="L885" s="231"/>
      <c r="M885" s="231"/>
      <c r="N885" s="231" t="s">
        <v>4806</v>
      </c>
      <c r="O885" s="246" t="s">
        <v>5860</v>
      </c>
      <c r="P885" s="246" t="s">
        <v>5861</v>
      </c>
      <c r="Q885" s="225" t="s">
        <v>5862</v>
      </c>
      <c r="R885" s="212" t="s">
        <v>2</v>
      </c>
      <c r="S885" s="213" t="s">
        <v>4771</v>
      </c>
      <c r="T885" s="233">
        <v>45593</v>
      </c>
      <c r="U885" s="234" t="s">
        <v>4759</v>
      </c>
      <c r="V885" s="233">
        <v>45610</v>
      </c>
      <c r="W885" s="233">
        <v>45615</v>
      </c>
      <c r="X885" s="234" t="s">
        <v>2</v>
      </c>
      <c r="Y885" s="234"/>
      <c r="Z885" s="234" t="s">
        <v>5863</v>
      </c>
      <c r="AA885" s="238">
        <v>202411</v>
      </c>
      <c r="AB885" s="243"/>
      <c r="AC885" s="233" t="s">
        <v>4800</v>
      </c>
      <c r="AD885" s="244" t="s">
        <v>1652</v>
      </c>
      <c r="AE885" s="245">
        <v>1</v>
      </c>
      <c r="AF885" s="244" t="s">
        <v>1652</v>
      </c>
      <c r="AG885" s="239" t="str">
        <f>IFERROR(VLOOKUP(작성용!A:A,RM!A:D,4,0),"-")</f>
        <v>채동우</v>
      </c>
      <c r="AH885" s="9" t="s">
        <v>4846</v>
      </c>
      <c r="AI885" s="235" t="s">
        <v>4771</v>
      </c>
      <c r="AJ885" s="235" t="s">
        <v>4920</v>
      </c>
      <c r="AK885" s="235" t="s">
        <v>4777</v>
      </c>
      <c r="AL885" s="235">
        <v>884</v>
      </c>
    </row>
    <row r="886" spans="1:38" x14ac:dyDescent="0.3">
      <c r="A886" s="229" t="s">
        <v>2336</v>
      </c>
      <c r="B886" s="229" t="s">
        <v>4848</v>
      </c>
      <c r="C886" s="241" t="s">
        <v>4762</v>
      </c>
      <c r="D886" s="237" t="s">
        <v>5867</v>
      </c>
      <c r="E886" s="236">
        <v>1101114943555</v>
      </c>
      <c r="F886" s="240" t="s">
        <v>4894</v>
      </c>
      <c r="G886" s="214">
        <v>77</v>
      </c>
      <c r="H886" s="231" t="s">
        <v>4771</v>
      </c>
      <c r="I886" s="231"/>
      <c r="J886" s="231"/>
      <c r="K886" s="231"/>
      <c r="L886" s="231"/>
      <c r="M886" s="231"/>
      <c r="N886" s="231" t="s">
        <v>4806</v>
      </c>
      <c r="O886" s="246" t="s">
        <v>5860</v>
      </c>
      <c r="P886" s="246" t="s">
        <v>5861</v>
      </c>
      <c r="Q886" s="225" t="s">
        <v>5862</v>
      </c>
      <c r="R886" s="212" t="s">
        <v>2</v>
      </c>
      <c r="S886" s="213" t="s">
        <v>4771</v>
      </c>
      <c r="T886" s="233">
        <v>45593</v>
      </c>
      <c r="U886" s="234" t="s">
        <v>4759</v>
      </c>
      <c r="V886" s="233">
        <v>45610</v>
      </c>
      <c r="W886" s="233">
        <v>45615</v>
      </c>
      <c r="X886" s="234" t="s">
        <v>2</v>
      </c>
      <c r="Y886" s="234"/>
      <c r="Z886" s="234" t="s">
        <v>5863</v>
      </c>
      <c r="AA886" s="238">
        <v>202411</v>
      </c>
      <c r="AB886" s="243"/>
      <c r="AC886" s="233" t="s">
        <v>4800</v>
      </c>
      <c r="AD886" s="244" t="s">
        <v>4897</v>
      </c>
      <c r="AE886" s="245">
        <v>1</v>
      </c>
      <c r="AF886" s="244" t="s">
        <v>4897</v>
      </c>
      <c r="AG886" s="239" t="str">
        <f>IFERROR(VLOOKUP(작성용!A:A,RM!A:D,4,0),"-")</f>
        <v>채동우</v>
      </c>
      <c r="AH886" s="9" t="s">
        <v>4846</v>
      </c>
      <c r="AI886" s="235" t="s">
        <v>4771</v>
      </c>
      <c r="AJ886" s="235" t="s">
        <v>4920</v>
      </c>
      <c r="AK886" s="235" t="s">
        <v>4777</v>
      </c>
      <c r="AL886" s="235">
        <v>885</v>
      </c>
    </row>
    <row r="887" spans="1:38" x14ac:dyDescent="0.3">
      <c r="A887" s="229" t="s">
        <v>2336</v>
      </c>
      <c r="B887" s="229" t="s">
        <v>4848</v>
      </c>
      <c r="C887" s="241" t="s">
        <v>4762</v>
      </c>
      <c r="D887" s="237" t="s">
        <v>5867</v>
      </c>
      <c r="E887" s="236">
        <v>1101114943555</v>
      </c>
      <c r="F887" s="240" t="s">
        <v>4894</v>
      </c>
      <c r="G887" s="214">
        <v>771</v>
      </c>
      <c r="H887" s="231" t="s">
        <v>4771</v>
      </c>
      <c r="I887" s="231"/>
      <c r="J887" s="231"/>
      <c r="K887" s="231"/>
      <c r="L887" s="231"/>
      <c r="M887" s="231"/>
      <c r="N887" s="231" t="s">
        <v>4806</v>
      </c>
      <c r="O887" s="246" t="s">
        <v>5860</v>
      </c>
      <c r="P887" s="246" t="s">
        <v>5861</v>
      </c>
      <c r="Q887" s="225" t="s">
        <v>5862</v>
      </c>
      <c r="R887" s="212" t="s">
        <v>2</v>
      </c>
      <c r="S887" s="213" t="s">
        <v>4771</v>
      </c>
      <c r="T887" s="233">
        <v>45593</v>
      </c>
      <c r="U887" s="234" t="s">
        <v>4759</v>
      </c>
      <c r="V887" s="233">
        <v>45610</v>
      </c>
      <c r="W887" s="233">
        <v>45615</v>
      </c>
      <c r="X887" s="234" t="s">
        <v>2</v>
      </c>
      <c r="Y887" s="234"/>
      <c r="Z887" s="234" t="s">
        <v>5863</v>
      </c>
      <c r="AA887" s="238">
        <v>202411</v>
      </c>
      <c r="AB887" s="243"/>
      <c r="AC887" s="233" t="s">
        <v>4800</v>
      </c>
      <c r="AD887" s="244" t="s">
        <v>4897</v>
      </c>
      <c r="AE887" s="245">
        <v>0</v>
      </c>
      <c r="AF887" s="244" t="s">
        <v>4897</v>
      </c>
      <c r="AG887" s="239" t="str">
        <f>IFERROR(VLOOKUP(작성용!A:A,RM!A:D,4,0),"-")</f>
        <v>채동우</v>
      </c>
      <c r="AH887" s="9" t="s">
        <v>4846</v>
      </c>
      <c r="AI887" s="235" t="s">
        <v>4771</v>
      </c>
      <c r="AJ887" s="235" t="s">
        <v>4920</v>
      </c>
      <c r="AK887" s="235" t="s">
        <v>4777</v>
      </c>
      <c r="AL887" s="235">
        <v>886</v>
      </c>
    </row>
    <row r="888" spans="1:38" x14ac:dyDescent="0.3">
      <c r="A888" s="229" t="s">
        <v>2336</v>
      </c>
      <c r="B888" s="229" t="s">
        <v>4848</v>
      </c>
      <c r="C888" s="241" t="s">
        <v>4762</v>
      </c>
      <c r="D888" s="237" t="s">
        <v>5868</v>
      </c>
      <c r="E888" s="236">
        <v>1101115558585</v>
      </c>
      <c r="F888" s="240" t="s">
        <v>4850</v>
      </c>
      <c r="G888" s="214">
        <v>77</v>
      </c>
      <c r="H888" s="231" t="s">
        <v>4771</v>
      </c>
      <c r="I888" s="231"/>
      <c r="J888" s="231"/>
      <c r="K888" s="231"/>
      <c r="L888" s="231"/>
      <c r="M888" s="231"/>
      <c r="N888" s="231" t="s">
        <v>4806</v>
      </c>
      <c r="O888" s="246" t="s">
        <v>5860</v>
      </c>
      <c r="P888" s="246" t="s">
        <v>5861</v>
      </c>
      <c r="Q888" s="225" t="s">
        <v>5862</v>
      </c>
      <c r="R888" s="212" t="s">
        <v>2</v>
      </c>
      <c r="S888" s="213" t="s">
        <v>4771</v>
      </c>
      <c r="T888" s="233">
        <v>45593</v>
      </c>
      <c r="U888" s="234" t="s">
        <v>4759</v>
      </c>
      <c r="V888" s="233">
        <v>45610</v>
      </c>
      <c r="W888" s="233">
        <v>45615</v>
      </c>
      <c r="X888" s="234" t="s">
        <v>2</v>
      </c>
      <c r="Y888" s="234"/>
      <c r="Z888" s="234" t="s">
        <v>5863</v>
      </c>
      <c r="AA888" s="238">
        <v>202411</v>
      </c>
      <c r="AB888" s="243"/>
      <c r="AC888" s="233" t="s">
        <v>4800</v>
      </c>
      <c r="AD888" s="244" t="s">
        <v>3644</v>
      </c>
      <c r="AE888" s="245">
        <v>1</v>
      </c>
      <c r="AF888" s="244" t="s">
        <v>3644</v>
      </c>
      <c r="AG888" s="239" t="str">
        <f>IFERROR(VLOOKUP(작성용!A:A,RM!A:D,4,0),"-")</f>
        <v>채동우</v>
      </c>
      <c r="AH888" s="9" t="s">
        <v>4846</v>
      </c>
      <c r="AI888" s="235" t="s">
        <v>4771</v>
      </c>
      <c r="AJ888" s="235" t="s">
        <v>4920</v>
      </c>
      <c r="AK888" s="235" t="s">
        <v>4777</v>
      </c>
      <c r="AL888" s="235">
        <v>887</v>
      </c>
    </row>
    <row r="889" spans="1:38" x14ac:dyDescent="0.3">
      <c r="A889" s="229" t="s">
        <v>2336</v>
      </c>
      <c r="B889" s="229" t="s">
        <v>4848</v>
      </c>
      <c r="C889" s="241" t="s">
        <v>4762</v>
      </c>
      <c r="D889" s="237" t="s">
        <v>5868</v>
      </c>
      <c r="E889" s="236">
        <v>1101115558585</v>
      </c>
      <c r="F889" s="240" t="s">
        <v>4850</v>
      </c>
      <c r="G889" s="214">
        <v>771</v>
      </c>
      <c r="H889" s="231" t="s">
        <v>4771</v>
      </c>
      <c r="I889" s="231"/>
      <c r="J889" s="231"/>
      <c r="K889" s="231"/>
      <c r="L889" s="231"/>
      <c r="M889" s="231"/>
      <c r="N889" s="231" t="s">
        <v>4806</v>
      </c>
      <c r="O889" s="246" t="s">
        <v>5860</v>
      </c>
      <c r="P889" s="246" t="s">
        <v>5861</v>
      </c>
      <c r="Q889" s="225" t="s">
        <v>5862</v>
      </c>
      <c r="R889" s="212" t="s">
        <v>2</v>
      </c>
      <c r="S889" s="213" t="s">
        <v>4771</v>
      </c>
      <c r="T889" s="233">
        <v>45593</v>
      </c>
      <c r="U889" s="234" t="s">
        <v>4759</v>
      </c>
      <c r="V889" s="233">
        <v>45610</v>
      </c>
      <c r="W889" s="233">
        <v>45615</v>
      </c>
      <c r="X889" s="234" t="s">
        <v>2</v>
      </c>
      <c r="Y889" s="234"/>
      <c r="Z889" s="234" t="s">
        <v>5863</v>
      </c>
      <c r="AA889" s="238">
        <v>202411</v>
      </c>
      <c r="AB889" s="243"/>
      <c r="AC889" s="233" t="s">
        <v>4800</v>
      </c>
      <c r="AD889" s="244" t="s">
        <v>3644</v>
      </c>
      <c r="AE889" s="245">
        <v>0</v>
      </c>
      <c r="AF889" s="244" t="s">
        <v>3644</v>
      </c>
      <c r="AG889" s="239" t="str">
        <f>IFERROR(VLOOKUP(작성용!A:A,RM!A:D,4,0),"-")</f>
        <v>채동우</v>
      </c>
      <c r="AH889" s="9" t="s">
        <v>4846</v>
      </c>
      <c r="AI889" s="235" t="s">
        <v>4771</v>
      </c>
      <c r="AJ889" s="235" t="s">
        <v>4920</v>
      </c>
      <c r="AK889" s="235" t="s">
        <v>4777</v>
      </c>
      <c r="AL889" s="235">
        <v>888</v>
      </c>
    </row>
    <row r="890" spans="1:38" x14ac:dyDescent="0.3">
      <c r="A890" s="229" t="s">
        <v>2336</v>
      </c>
      <c r="B890" s="229" t="s">
        <v>4848</v>
      </c>
      <c r="C890" s="241" t="s">
        <v>4762</v>
      </c>
      <c r="D890" s="237" t="s">
        <v>5869</v>
      </c>
      <c r="E890" s="236">
        <v>1701110075540</v>
      </c>
      <c r="F890" s="240" t="s">
        <v>4854</v>
      </c>
      <c r="G890" s="214">
        <v>0</v>
      </c>
      <c r="H890" s="231" t="s">
        <v>4771</v>
      </c>
      <c r="I890" s="231"/>
      <c r="J890" s="231"/>
      <c r="K890" s="231"/>
      <c r="L890" s="231"/>
      <c r="M890" s="231"/>
      <c r="N890" s="231" t="s">
        <v>4806</v>
      </c>
      <c r="O890" s="246" t="s">
        <v>5860</v>
      </c>
      <c r="P890" s="246" t="s">
        <v>5861</v>
      </c>
      <c r="Q890" s="225" t="s">
        <v>5862</v>
      </c>
      <c r="R890" s="212" t="s">
        <v>2</v>
      </c>
      <c r="S890" s="213" t="s">
        <v>4771</v>
      </c>
      <c r="T890" s="233">
        <v>45593</v>
      </c>
      <c r="U890" s="234" t="s">
        <v>4759</v>
      </c>
      <c r="V890" s="233">
        <v>45610</v>
      </c>
      <c r="W890" s="233">
        <v>45615</v>
      </c>
      <c r="X890" s="234" t="s">
        <v>2</v>
      </c>
      <c r="Y890" s="234"/>
      <c r="Z890" s="234" t="s">
        <v>5863</v>
      </c>
      <c r="AA890" s="238">
        <v>202411</v>
      </c>
      <c r="AB890" s="243"/>
      <c r="AC890" s="233" t="s">
        <v>4800</v>
      </c>
      <c r="AD890" s="244" t="s">
        <v>1652</v>
      </c>
      <c r="AE890" s="245">
        <v>1</v>
      </c>
      <c r="AF890" s="244" t="s">
        <v>1652</v>
      </c>
      <c r="AG890" s="239" t="str">
        <f>IFERROR(VLOOKUP(작성용!A:A,RM!A:D,4,0),"-")</f>
        <v>채동우</v>
      </c>
      <c r="AH890" s="9" t="s">
        <v>4846</v>
      </c>
      <c r="AI890" s="235" t="s">
        <v>4771</v>
      </c>
      <c r="AJ890" s="235" t="s">
        <v>4920</v>
      </c>
      <c r="AK890" s="235" t="s">
        <v>4777</v>
      </c>
      <c r="AL890" s="235">
        <v>889</v>
      </c>
    </row>
    <row r="891" spans="1:38" x14ac:dyDescent="0.3">
      <c r="A891" s="229" t="s">
        <v>2336</v>
      </c>
      <c r="B891" s="229" t="s">
        <v>4848</v>
      </c>
      <c r="C891" s="241" t="s">
        <v>4762</v>
      </c>
      <c r="D891" s="237" t="s">
        <v>5870</v>
      </c>
      <c r="E891" s="236">
        <v>1615110214422</v>
      </c>
      <c r="F891" s="240" t="s">
        <v>4850</v>
      </c>
      <c r="G891" s="214">
        <v>77</v>
      </c>
      <c r="H891" s="231" t="s">
        <v>4771</v>
      </c>
      <c r="I891" s="231"/>
      <c r="J891" s="231"/>
      <c r="K891" s="231"/>
      <c r="L891" s="231"/>
      <c r="M891" s="231"/>
      <c r="N891" s="231" t="s">
        <v>4806</v>
      </c>
      <c r="O891" s="246" t="s">
        <v>5860</v>
      </c>
      <c r="P891" s="246" t="s">
        <v>5861</v>
      </c>
      <c r="Q891" s="225" t="s">
        <v>5862</v>
      </c>
      <c r="R891" s="212" t="s">
        <v>2</v>
      </c>
      <c r="S891" s="213" t="s">
        <v>4771</v>
      </c>
      <c r="T891" s="233">
        <v>45593</v>
      </c>
      <c r="U891" s="234" t="s">
        <v>4759</v>
      </c>
      <c r="V891" s="233">
        <v>45610</v>
      </c>
      <c r="W891" s="233">
        <v>45615</v>
      </c>
      <c r="X891" s="234" t="s">
        <v>2</v>
      </c>
      <c r="Y891" s="234"/>
      <c r="Z891" s="234" t="s">
        <v>5863</v>
      </c>
      <c r="AA891" s="238">
        <v>202411</v>
      </c>
      <c r="AB891" s="243"/>
      <c r="AC891" s="233" t="s">
        <v>4800</v>
      </c>
      <c r="AD891" s="244" t="s">
        <v>4987</v>
      </c>
      <c r="AE891" s="245">
        <v>1</v>
      </c>
      <c r="AF891" s="244" t="s">
        <v>4762</v>
      </c>
      <c r="AG891" s="239" t="str">
        <f>IFERROR(VLOOKUP(작성용!A:A,RM!A:D,4,0),"-")</f>
        <v>채동우</v>
      </c>
      <c r="AH891" s="9" t="s">
        <v>4846</v>
      </c>
      <c r="AI891" s="235" t="s">
        <v>4771</v>
      </c>
      <c r="AJ891" s="235" t="s">
        <v>4920</v>
      </c>
      <c r="AK891" s="235" t="s">
        <v>4777</v>
      </c>
      <c r="AL891" s="235">
        <v>890</v>
      </c>
    </row>
    <row r="892" spans="1:38" x14ac:dyDescent="0.3">
      <c r="A892" s="229" t="s">
        <v>3441</v>
      </c>
      <c r="B892" s="229" t="s">
        <v>5871</v>
      </c>
      <c r="C892" s="241" t="s">
        <v>4778</v>
      </c>
      <c r="D892" s="237" t="s">
        <v>5872</v>
      </c>
      <c r="E892" s="236">
        <v>1101116020533</v>
      </c>
      <c r="F892" s="240" t="s">
        <v>4894</v>
      </c>
      <c r="G892" s="214">
        <v>0</v>
      </c>
      <c r="H892" s="231" t="s">
        <v>4771</v>
      </c>
      <c r="I892" s="231"/>
      <c r="J892" s="231"/>
      <c r="K892" s="231"/>
      <c r="L892" s="231"/>
      <c r="M892" s="231"/>
      <c r="N892" s="231" t="s">
        <v>4895</v>
      </c>
      <c r="O892" s="246" t="s">
        <v>5873</v>
      </c>
      <c r="P892" s="246" t="s">
        <v>5874</v>
      </c>
      <c r="Q892" s="246" t="s">
        <v>5875</v>
      </c>
      <c r="R892" s="212" t="s">
        <v>2</v>
      </c>
      <c r="S892" s="213" t="s">
        <v>4771</v>
      </c>
      <c r="T892" s="233">
        <v>45593</v>
      </c>
      <c r="U892" s="234" t="s">
        <v>4759</v>
      </c>
      <c r="V892" s="233">
        <v>45611</v>
      </c>
      <c r="W892" s="233">
        <v>45615</v>
      </c>
      <c r="X892" s="234" t="s">
        <v>2</v>
      </c>
      <c r="Y892" s="234"/>
      <c r="Z892" s="234" t="s">
        <v>5876</v>
      </c>
      <c r="AA892" s="238">
        <v>202411</v>
      </c>
      <c r="AB892" s="243"/>
      <c r="AC892" s="233" t="s">
        <v>4800</v>
      </c>
      <c r="AD892" s="244" t="s">
        <v>4856</v>
      </c>
      <c r="AE892" s="245">
        <v>1</v>
      </c>
      <c r="AF892" s="244" t="s">
        <v>4856</v>
      </c>
      <c r="AG892" s="239" t="str">
        <f>IFERROR(VLOOKUP(작성용!A:A,RM!A:D,4,0),"-")</f>
        <v>김에스더</v>
      </c>
      <c r="AH892" s="9" t="s">
        <v>4897</v>
      </c>
      <c r="AI892" s="235" t="s">
        <v>4771</v>
      </c>
      <c r="AJ892" s="235" t="s">
        <v>4920</v>
      </c>
      <c r="AK892" s="235" t="s">
        <v>4777</v>
      </c>
      <c r="AL892" s="235">
        <v>891</v>
      </c>
    </row>
    <row r="893" spans="1:38" x14ac:dyDescent="0.3">
      <c r="A893" s="229" t="s">
        <v>3441</v>
      </c>
      <c r="B893" s="229" t="s">
        <v>5871</v>
      </c>
      <c r="C893" s="241" t="s">
        <v>4778</v>
      </c>
      <c r="D893" s="237" t="s">
        <v>5872</v>
      </c>
      <c r="E893" s="236">
        <v>1101116020533</v>
      </c>
      <c r="F893" s="240" t="s">
        <v>4850</v>
      </c>
      <c r="G893" s="214">
        <v>0</v>
      </c>
      <c r="H893" s="231" t="s">
        <v>4771</v>
      </c>
      <c r="I893" s="231"/>
      <c r="J893" s="231"/>
      <c r="K893" s="231"/>
      <c r="L893" s="231"/>
      <c r="M893" s="231"/>
      <c r="N893" s="231" t="s">
        <v>4895</v>
      </c>
      <c r="O893" s="246" t="s">
        <v>5873</v>
      </c>
      <c r="P893" s="246" t="s">
        <v>5874</v>
      </c>
      <c r="Q893" s="246" t="s">
        <v>5875</v>
      </c>
      <c r="R893" s="212" t="s">
        <v>2</v>
      </c>
      <c r="S893" s="213" t="s">
        <v>4771</v>
      </c>
      <c r="T893" s="233">
        <v>45593</v>
      </c>
      <c r="U893" s="234" t="s">
        <v>4759</v>
      </c>
      <c r="V893" s="233">
        <v>45611</v>
      </c>
      <c r="W893" s="233">
        <v>45615</v>
      </c>
      <c r="X893" s="234" t="s">
        <v>2</v>
      </c>
      <c r="Y893" s="234"/>
      <c r="Z893" s="234" t="s">
        <v>5876</v>
      </c>
      <c r="AA893" s="238">
        <v>202411</v>
      </c>
      <c r="AB893" s="243"/>
      <c r="AC893" s="233" t="s">
        <v>4800</v>
      </c>
      <c r="AD893" s="244" t="s">
        <v>4856</v>
      </c>
      <c r="AE893" s="245">
        <v>0</v>
      </c>
      <c r="AF893" s="244" t="s">
        <v>4856</v>
      </c>
      <c r="AG893" s="239" t="str">
        <f>IFERROR(VLOOKUP(작성용!A:A,RM!A:D,4,0),"-")</f>
        <v>김에스더</v>
      </c>
      <c r="AH893" s="9" t="s">
        <v>4897</v>
      </c>
      <c r="AI893" s="235" t="s">
        <v>4771</v>
      </c>
      <c r="AJ893" s="235" t="s">
        <v>4920</v>
      </c>
      <c r="AK893" s="235" t="s">
        <v>4777</v>
      </c>
      <c r="AL893" s="235">
        <v>892</v>
      </c>
    </row>
    <row r="894" spans="1:38" s="198" customFormat="1" x14ac:dyDescent="0.3">
      <c r="A894" s="229" t="s">
        <v>3441</v>
      </c>
      <c r="B894" s="229" t="s">
        <v>5871</v>
      </c>
      <c r="C894" s="241" t="s">
        <v>4778</v>
      </c>
      <c r="D894" s="237" t="s">
        <v>5877</v>
      </c>
      <c r="E894" s="236">
        <v>1101113876327</v>
      </c>
      <c r="F894" s="240" t="s">
        <v>4850</v>
      </c>
      <c r="G894" s="214">
        <v>0</v>
      </c>
      <c r="H894" s="231" t="s">
        <v>4771</v>
      </c>
      <c r="I894" s="231"/>
      <c r="J894" s="231"/>
      <c r="K894" s="231"/>
      <c r="L894" s="231"/>
      <c r="M894" s="231"/>
      <c r="N894" s="231" t="s">
        <v>4895</v>
      </c>
      <c r="O894" s="246" t="s">
        <v>5873</v>
      </c>
      <c r="P894" s="246" t="s">
        <v>5874</v>
      </c>
      <c r="Q894" s="246" t="s">
        <v>5875</v>
      </c>
      <c r="R894" s="212" t="s">
        <v>2</v>
      </c>
      <c r="S894" s="213" t="s">
        <v>4771</v>
      </c>
      <c r="T894" s="233">
        <v>45593</v>
      </c>
      <c r="U894" s="234" t="s">
        <v>4759</v>
      </c>
      <c r="V894" s="233">
        <v>45611</v>
      </c>
      <c r="W894" s="233">
        <v>45615</v>
      </c>
      <c r="X894" s="234" t="s">
        <v>2</v>
      </c>
      <c r="Y894" s="234"/>
      <c r="Z894" s="234" t="s">
        <v>5876</v>
      </c>
      <c r="AA894" s="238">
        <v>202411</v>
      </c>
      <c r="AB894" s="243"/>
      <c r="AC894" s="233" t="s">
        <v>4800</v>
      </c>
      <c r="AD894" s="244" t="s">
        <v>3714</v>
      </c>
      <c r="AE894" s="245">
        <v>1</v>
      </c>
      <c r="AF894" s="244" t="s">
        <v>3714</v>
      </c>
      <c r="AG894" s="239" t="str">
        <f>IFERROR(VLOOKUP(작성용!A:A,RM!A:D,4,0),"-")</f>
        <v>김에스더</v>
      </c>
      <c r="AH894" s="9" t="s">
        <v>4897</v>
      </c>
      <c r="AI894" s="235" t="s">
        <v>4771</v>
      </c>
      <c r="AJ894" s="235" t="s">
        <v>4920</v>
      </c>
      <c r="AK894" s="235" t="s">
        <v>4777</v>
      </c>
      <c r="AL894" s="235">
        <v>893</v>
      </c>
    </row>
    <row r="895" spans="1:38" x14ac:dyDescent="0.3">
      <c r="A895" s="229" t="s">
        <v>3441</v>
      </c>
      <c r="B895" s="229" t="s">
        <v>5871</v>
      </c>
      <c r="C895" s="241" t="s">
        <v>4778</v>
      </c>
      <c r="D895" s="237" t="s">
        <v>5878</v>
      </c>
      <c r="E895" s="236">
        <v>1101114170778</v>
      </c>
      <c r="F895" s="240" t="s">
        <v>4854</v>
      </c>
      <c r="G895" s="214">
        <v>0</v>
      </c>
      <c r="H895" s="231" t="s">
        <v>4771</v>
      </c>
      <c r="I895" s="231"/>
      <c r="J895" s="231"/>
      <c r="K895" s="231"/>
      <c r="L895" s="231"/>
      <c r="M895" s="231"/>
      <c r="N895" s="231" t="s">
        <v>4895</v>
      </c>
      <c r="O895" s="246" t="s">
        <v>5873</v>
      </c>
      <c r="P895" s="246" t="s">
        <v>5874</v>
      </c>
      <c r="Q895" s="246" t="s">
        <v>5875</v>
      </c>
      <c r="R895" s="212" t="s">
        <v>2</v>
      </c>
      <c r="S895" s="213" t="s">
        <v>4771</v>
      </c>
      <c r="T895" s="233">
        <v>45593</v>
      </c>
      <c r="U895" s="234" t="s">
        <v>4759</v>
      </c>
      <c r="V895" s="233">
        <v>45611</v>
      </c>
      <c r="W895" s="233">
        <v>45615</v>
      </c>
      <c r="X895" s="234" t="s">
        <v>2</v>
      </c>
      <c r="Y895" s="234"/>
      <c r="Z895" s="234" t="s">
        <v>5876</v>
      </c>
      <c r="AA895" s="238">
        <v>202411</v>
      </c>
      <c r="AB895" s="243"/>
      <c r="AC895" s="233" t="s">
        <v>4800</v>
      </c>
      <c r="AD895" s="244" t="s">
        <v>3943</v>
      </c>
      <c r="AE895" s="245">
        <v>1</v>
      </c>
      <c r="AF895" s="244" t="s">
        <v>3943</v>
      </c>
      <c r="AG895" s="239" t="str">
        <f>IFERROR(VLOOKUP(작성용!A:A,RM!A:D,4,0),"-")</f>
        <v>김에스더</v>
      </c>
      <c r="AH895" s="9" t="s">
        <v>4897</v>
      </c>
      <c r="AI895" s="235" t="s">
        <v>4771</v>
      </c>
      <c r="AJ895" s="235" t="s">
        <v>4920</v>
      </c>
      <c r="AK895" s="235" t="s">
        <v>4777</v>
      </c>
      <c r="AL895" s="235">
        <v>894</v>
      </c>
    </row>
    <row r="896" spans="1:38" x14ac:dyDescent="0.3">
      <c r="A896" s="229" t="s">
        <v>3441</v>
      </c>
      <c r="B896" s="229" t="s">
        <v>5871</v>
      </c>
      <c r="C896" s="241" t="s">
        <v>4778</v>
      </c>
      <c r="D896" s="237" t="s">
        <v>5879</v>
      </c>
      <c r="E896" s="236">
        <v>1101118214142</v>
      </c>
      <c r="F896" s="240" t="s">
        <v>4854</v>
      </c>
      <c r="G896" s="214">
        <v>0</v>
      </c>
      <c r="H896" s="231" t="s">
        <v>4771</v>
      </c>
      <c r="I896" s="231"/>
      <c r="J896" s="231"/>
      <c r="K896" s="231"/>
      <c r="L896" s="231"/>
      <c r="M896" s="231"/>
      <c r="N896" s="231" t="s">
        <v>4895</v>
      </c>
      <c r="O896" s="246" t="s">
        <v>5873</v>
      </c>
      <c r="P896" s="246" t="s">
        <v>5874</v>
      </c>
      <c r="Q896" s="246" t="s">
        <v>5875</v>
      </c>
      <c r="R896" s="212" t="s">
        <v>2</v>
      </c>
      <c r="S896" s="213" t="s">
        <v>4771</v>
      </c>
      <c r="T896" s="233">
        <v>45593</v>
      </c>
      <c r="U896" s="234" t="s">
        <v>4759</v>
      </c>
      <c r="V896" s="233">
        <v>45611</v>
      </c>
      <c r="W896" s="233">
        <v>45615</v>
      </c>
      <c r="X896" s="234" t="s">
        <v>2</v>
      </c>
      <c r="Y896" s="234"/>
      <c r="Z896" s="234" t="s">
        <v>5876</v>
      </c>
      <c r="AA896" s="238">
        <v>202411</v>
      </c>
      <c r="AB896" s="243"/>
      <c r="AC896" s="233" t="s">
        <v>4800</v>
      </c>
      <c r="AD896" s="244" t="s">
        <v>4858</v>
      </c>
      <c r="AE896" s="245">
        <v>1</v>
      </c>
      <c r="AF896" s="244" t="s">
        <v>4858</v>
      </c>
      <c r="AG896" s="239" t="str">
        <f>IFERROR(VLOOKUP(작성용!A:A,RM!A:D,4,0),"-")</f>
        <v>김에스더</v>
      </c>
      <c r="AH896" s="9" t="s">
        <v>4897</v>
      </c>
      <c r="AI896" s="235" t="s">
        <v>5226</v>
      </c>
      <c r="AJ896" s="235" t="s">
        <v>4920</v>
      </c>
      <c r="AK896" s="235" t="s">
        <v>4777</v>
      </c>
      <c r="AL896" s="235">
        <v>895</v>
      </c>
    </row>
    <row r="897" spans="1:38" x14ac:dyDescent="0.3">
      <c r="A897" s="229" t="s">
        <v>3441</v>
      </c>
      <c r="B897" s="229" t="s">
        <v>5871</v>
      </c>
      <c r="C897" s="241" t="s">
        <v>4778</v>
      </c>
      <c r="D897" s="237" t="s">
        <v>5880</v>
      </c>
      <c r="E897" s="236" t="s">
        <v>3938</v>
      </c>
      <c r="F897" s="240" t="s">
        <v>4854</v>
      </c>
      <c r="G897" s="214">
        <v>0</v>
      </c>
      <c r="H897" s="231" t="s">
        <v>4771</v>
      </c>
      <c r="I897" s="231"/>
      <c r="J897" s="231"/>
      <c r="K897" s="231"/>
      <c r="L897" s="231"/>
      <c r="M897" s="231"/>
      <c r="N897" s="231" t="s">
        <v>4895</v>
      </c>
      <c r="O897" s="246" t="s">
        <v>5873</v>
      </c>
      <c r="P897" s="246" t="s">
        <v>5874</v>
      </c>
      <c r="Q897" s="246" t="s">
        <v>5875</v>
      </c>
      <c r="R897" s="212" t="s">
        <v>2</v>
      </c>
      <c r="S897" s="213" t="s">
        <v>4771</v>
      </c>
      <c r="T897" s="233">
        <v>45593</v>
      </c>
      <c r="U897" s="234" t="s">
        <v>4759</v>
      </c>
      <c r="V897" s="233">
        <v>45611</v>
      </c>
      <c r="W897" s="233" t="s">
        <v>4877</v>
      </c>
      <c r="X897" s="234" t="s">
        <v>2</v>
      </c>
      <c r="Y897" s="234"/>
      <c r="Z897" s="234" t="s">
        <v>5876</v>
      </c>
      <c r="AA897" s="238">
        <v>202411</v>
      </c>
      <c r="AB897" s="243"/>
      <c r="AC897" s="233" t="s">
        <v>4800</v>
      </c>
      <c r="AD897" s="244" t="s">
        <v>4858</v>
      </c>
      <c r="AE897" s="245">
        <v>0.4</v>
      </c>
      <c r="AF897" s="244" t="s">
        <v>4858</v>
      </c>
      <c r="AG897" s="239" t="str">
        <f>IFERROR(VLOOKUP(작성용!A:A,RM!A:D,4,0),"-")</f>
        <v>김에스더</v>
      </c>
      <c r="AH897" s="9" t="s">
        <v>4897</v>
      </c>
      <c r="AI897" s="235" t="s">
        <v>5881</v>
      </c>
      <c r="AJ897" s="235" t="s">
        <v>4920</v>
      </c>
      <c r="AK897" s="235" t="s">
        <v>4777</v>
      </c>
      <c r="AL897" s="235">
        <v>896</v>
      </c>
    </row>
    <row r="898" spans="1:38" x14ac:dyDescent="0.3">
      <c r="A898" s="222">
        <v>6000800</v>
      </c>
      <c r="B898" s="222" t="s">
        <v>5344</v>
      </c>
      <c r="C898" s="241" t="s">
        <v>4778</v>
      </c>
      <c r="D898" s="237" t="s">
        <v>5512</v>
      </c>
      <c r="E898" s="236">
        <v>1101116472924</v>
      </c>
      <c r="F898" s="240" t="s">
        <v>4850</v>
      </c>
      <c r="G898" s="214">
        <v>5</v>
      </c>
      <c r="H898" s="231" t="s">
        <v>4771</v>
      </c>
      <c r="I898" s="231"/>
      <c r="J898" s="231"/>
      <c r="K898" s="231"/>
      <c r="L898" s="231"/>
      <c r="M898" s="231"/>
      <c r="N898" s="231" t="s">
        <v>4895</v>
      </c>
      <c r="O898" s="246"/>
      <c r="P898" s="246"/>
      <c r="Q898" s="225"/>
      <c r="R898" s="212" t="s">
        <v>4771</v>
      </c>
      <c r="S898" s="213" t="s">
        <v>4771</v>
      </c>
      <c r="T898" s="233" t="s">
        <v>5386</v>
      </c>
      <c r="U898" s="234" t="s">
        <v>4759</v>
      </c>
      <c r="V898" s="234">
        <v>45611</v>
      </c>
      <c r="W898" s="234" t="s">
        <v>4877</v>
      </c>
      <c r="X898" s="234" t="s">
        <v>2</v>
      </c>
      <c r="Y898" s="234"/>
      <c r="Z898" s="234"/>
      <c r="AA898" s="243">
        <v>202411</v>
      </c>
      <c r="AB898" s="243"/>
      <c r="AC898" s="244" t="s">
        <v>5210</v>
      </c>
      <c r="AD898" s="244" t="s">
        <v>4858</v>
      </c>
      <c r="AE898" s="245">
        <v>0</v>
      </c>
      <c r="AF898" s="244" t="s">
        <v>4858</v>
      </c>
      <c r="AG898" s="239" t="str">
        <f>IFERROR(VLOOKUP(작성용!A:A,RM!A:D,4,0),"-")</f>
        <v>-</v>
      </c>
      <c r="AH898" s="235" t="s">
        <v>4771</v>
      </c>
      <c r="AI898" s="235" t="s">
        <v>4771</v>
      </c>
      <c r="AJ898" s="235" t="s">
        <v>4771</v>
      </c>
      <c r="AK898" s="235" t="s">
        <v>5208</v>
      </c>
      <c r="AL898" s="235">
        <v>897</v>
      </c>
    </row>
    <row r="899" spans="1:38" x14ac:dyDescent="0.3">
      <c r="A899" s="222">
        <v>6000800</v>
      </c>
      <c r="B899" s="222" t="s">
        <v>5344</v>
      </c>
      <c r="C899" s="241" t="s">
        <v>4778</v>
      </c>
      <c r="D899" s="237" t="s">
        <v>5512</v>
      </c>
      <c r="E899" s="236">
        <v>1101116472924</v>
      </c>
      <c r="F899" s="240" t="s">
        <v>4850</v>
      </c>
      <c r="G899" s="214">
        <v>7</v>
      </c>
      <c r="H899" s="231" t="s">
        <v>4771</v>
      </c>
      <c r="I899" s="231"/>
      <c r="J899" s="231"/>
      <c r="K899" s="231"/>
      <c r="L899" s="231"/>
      <c r="M899" s="231"/>
      <c r="N899" s="231" t="s">
        <v>4895</v>
      </c>
      <c r="O899" s="246"/>
      <c r="P899" s="246"/>
      <c r="Q899" s="225"/>
      <c r="R899" s="212" t="s">
        <v>4771</v>
      </c>
      <c r="S899" s="213" t="s">
        <v>4771</v>
      </c>
      <c r="T899" s="233" t="s">
        <v>5386</v>
      </c>
      <c r="U899" s="234" t="s">
        <v>4759</v>
      </c>
      <c r="V899" s="234">
        <v>45611</v>
      </c>
      <c r="W899" s="234" t="s">
        <v>4877</v>
      </c>
      <c r="X899" s="234" t="s">
        <v>2</v>
      </c>
      <c r="Y899" s="234"/>
      <c r="Z899" s="234"/>
      <c r="AA899" s="243">
        <v>202411</v>
      </c>
      <c r="AB899" s="243"/>
      <c r="AC899" s="244" t="s">
        <v>5210</v>
      </c>
      <c r="AD899" s="244" t="s">
        <v>4858</v>
      </c>
      <c r="AE899" s="245">
        <v>0</v>
      </c>
      <c r="AF899" s="244" t="s">
        <v>4858</v>
      </c>
      <c r="AG899" s="239" t="str">
        <f>IFERROR(VLOOKUP(작성용!A:A,RM!A:D,4,0),"-")</f>
        <v>-</v>
      </c>
      <c r="AH899" s="235" t="s">
        <v>4771</v>
      </c>
      <c r="AI899" s="235" t="s">
        <v>4771</v>
      </c>
      <c r="AJ899" s="235" t="s">
        <v>4771</v>
      </c>
      <c r="AK899" s="235" t="s">
        <v>5208</v>
      </c>
      <c r="AL899" s="235">
        <v>898</v>
      </c>
    </row>
    <row r="900" spans="1:38" x14ac:dyDescent="0.3">
      <c r="A900" s="222" t="s">
        <v>3205</v>
      </c>
      <c r="B900" s="222" t="s">
        <v>5882</v>
      </c>
      <c r="C900" s="241" t="s">
        <v>4778</v>
      </c>
      <c r="D900" s="237" t="s">
        <v>5883</v>
      </c>
      <c r="E900" s="236">
        <v>1101116162202</v>
      </c>
      <c r="F900" s="240" t="s">
        <v>4850</v>
      </c>
      <c r="G900" s="242">
        <v>0</v>
      </c>
      <c r="H900" s="223" t="s">
        <v>4771</v>
      </c>
      <c r="I900" s="223"/>
      <c r="J900" s="223"/>
      <c r="K900" s="223"/>
      <c r="L900" s="223"/>
      <c r="M900" s="223"/>
      <c r="N900" s="225" t="s">
        <v>5028</v>
      </c>
      <c r="O900" s="225" t="s">
        <v>5884</v>
      </c>
      <c r="P900" s="225" t="s">
        <v>5885</v>
      </c>
      <c r="Q900" s="240" t="s">
        <v>5886</v>
      </c>
      <c r="R900" s="250" t="s">
        <v>2</v>
      </c>
      <c r="S900" s="236" t="s">
        <v>4771</v>
      </c>
      <c r="T900" s="233">
        <v>45594</v>
      </c>
      <c r="U900" s="234" t="s">
        <v>4772</v>
      </c>
      <c r="V900" s="234">
        <v>45660</v>
      </c>
      <c r="W900" s="234">
        <v>45660</v>
      </c>
      <c r="X900" s="234" t="s">
        <v>2</v>
      </c>
      <c r="Y900" s="234"/>
      <c r="Z900" s="234" t="s">
        <v>5887</v>
      </c>
      <c r="AA900" s="243">
        <v>202412</v>
      </c>
      <c r="AB900" s="243"/>
      <c r="AC900" s="244" t="s">
        <v>4800</v>
      </c>
      <c r="AD900" s="244" t="s">
        <v>4860</v>
      </c>
      <c r="AE900" s="245">
        <v>1</v>
      </c>
      <c r="AF900" s="244" t="s">
        <v>4860</v>
      </c>
      <c r="AG900" s="239" t="str">
        <f>IFERROR(VLOOKUP(작성용!A:A,RM!A:D,4,0),"-")</f>
        <v>이문수</v>
      </c>
      <c r="AH900" s="9" t="s">
        <v>4937</v>
      </c>
      <c r="AI900" s="235" t="s">
        <v>4771</v>
      </c>
      <c r="AJ900" s="235" t="s">
        <v>4776</v>
      </c>
      <c r="AK900" s="235" t="s">
        <v>4777</v>
      </c>
      <c r="AL900" s="235">
        <v>899</v>
      </c>
    </row>
    <row r="901" spans="1:38" x14ac:dyDescent="0.3">
      <c r="A901" s="222" t="s">
        <v>3205</v>
      </c>
      <c r="B901" s="222" t="s">
        <v>5882</v>
      </c>
      <c r="C901" s="241" t="s">
        <v>4778</v>
      </c>
      <c r="D901" s="237" t="s">
        <v>5888</v>
      </c>
      <c r="E901" s="236">
        <v>1101115362267</v>
      </c>
      <c r="F901" s="240" t="s">
        <v>4850</v>
      </c>
      <c r="G901" s="242">
        <v>0</v>
      </c>
      <c r="H901" s="223" t="s">
        <v>4771</v>
      </c>
      <c r="I901" s="223"/>
      <c r="J901" s="223"/>
      <c r="K901" s="223"/>
      <c r="L901" s="223"/>
      <c r="M901" s="223"/>
      <c r="N901" s="225" t="s">
        <v>5028</v>
      </c>
      <c r="O901" s="225" t="s">
        <v>5884</v>
      </c>
      <c r="P901" s="225" t="s">
        <v>5885</v>
      </c>
      <c r="Q901" s="240" t="s">
        <v>5886</v>
      </c>
      <c r="R901" s="250" t="s">
        <v>2</v>
      </c>
      <c r="S901" s="236" t="s">
        <v>4771</v>
      </c>
      <c r="T901" s="233">
        <v>45594</v>
      </c>
      <c r="U901" s="234" t="s">
        <v>4772</v>
      </c>
      <c r="V901" s="234">
        <v>45660</v>
      </c>
      <c r="W901" s="234">
        <v>45660</v>
      </c>
      <c r="X901" s="234" t="s">
        <v>2</v>
      </c>
      <c r="Y901" s="234"/>
      <c r="Z901" s="234" t="s">
        <v>5887</v>
      </c>
      <c r="AA901" s="243">
        <v>202412</v>
      </c>
      <c r="AB901" s="243"/>
      <c r="AC901" s="244" t="s">
        <v>4800</v>
      </c>
      <c r="AD901" s="244" t="s">
        <v>4918</v>
      </c>
      <c r="AE901" s="245">
        <v>1</v>
      </c>
      <c r="AF901" s="244" t="s">
        <v>4918</v>
      </c>
      <c r="AG901" s="239" t="str">
        <f>IFERROR(VLOOKUP(작성용!A:A,RM!A:D,4,0),"-")</f>
        <v>이문수</v>
      </c>
      <c r="AH901" s="9" t="s">
        <v>4937</v>
      </c>
      <c r="AI901" s="235" t="s">
        <v>4771</v>
      </c>
      <c r="AJ901" s="235" t="s">
        <v>4776</v>
      </c>
      <c r="AK901" s="235" t="s">
        <v>4777</v>
      </c>
      <c r="AL901" s="235">
        <v>900</v>
      </c>
    </row>
    <row r="902" spans="1:38" s="198" customFormat="1" x14ac:dyDescent="0.3">
      <c r="A902" s="222" t="s">
        <v>3205</v>
      </c>
      <c r="B902" s="222" t="s">
        <v>5882</v>
      </c>
      <c r="C902" s="241" t="s">
        <v>4778</v>
      </c>
      <c r="D902" s="237" t="s">
        <v>5889</v>
      </c>
      <c r="E902" s="236">
        <v>1101115780625</v>
      </c>
      <c r="F902" s="240" t="s">
        <v>4850</v>
      </c>
      <c r="G902" s="242">
        <v>0</v>
      </c>
      <c r="H902" s="223" t="s">
        <v>4771</v>
      </c>
      <c r="I902" s="223"/>
      <c r="J902" s="223"/>
      <c r="K902" s="223"/>
      <c r="L902" s="223"/>
      <c r="M902" s="223"/>
      <c r="N902" s="225" t="s">
        <v>5028</v>
      </c>
      <c r="O902" s="225" t="s">
        <v>5884</v>
      </c>
      <c r="P902" s="225" t="s">
        <v>5885</v>
      </c>
      <c r="Q902" s="240" t="s">
        <v>5886</v>
      </c>
      <c r="R902" s="250" t="s">
        <v>2</v>
      </c>
      <c r="S902" s="236" t="s">
        <v>4771</v>
      </c>
      <c r="T902" s="233">
        <v>45594</v>
      </c>
      <c r="U902" s="234" t="s">
        <v>4772</v>
      </c>
      <c r="V902" s="234">
        <v>45660</v>
      </c>
      <c r="W902" s="234">
        <v>45660</v>
      </c>
      <c r="X902" s="234" t="s">
        <v>2</v>
      </c>
      <c r="Y902" s="234"/>
      <c r="Z902" s="234" t="s">
        <v>5887</v>
      </c>
      <c r="AA902" s="243">
        <v>202412</v>
      </c>
      <c r="AB902" s="243"/>
      <c r="AC902" s="244" t="s">
        <v>4800</v>
      </c>
      <c r="AD902" s="244" t="s">
        <v>4937</v>
      </c>
      <c r="AE902" s="245">
        <v>1</v>
      </c>
      <c r="AF902" s="244" t="s">
        <v>4937</v>
      </c>
      <c r="AG902" s="239" t="str">
        <f>IFERROR(VLOOKUP(작성용!A:A,RM!A:D,4,0),"-")</f>
        <v>이문수</v>
      </c>
      <c r="AH902" s="9" t="s">
        <v>4937</v>
      </c>
      <c r="AI902" s="235" t="s">
        <v>4771</v>
      </c>
      <c r="AJ902" s="235" t="s">
        <v>4776</v>
      </c>
      <c r="AK902" s="235" t="s">
        <v>4777</v>
      </c>
      <c r="AL902" s="235">
        <v>901</v>
      </c>
    </row>
    <row r="903" spans="1:38" s="198" customFormat="1" x14ac:dyDescent="0.3">
      <c r="A903" s="222" t="s">
        <v>3205</v>
      </c>
      <c r="B903" s="222" t="s">
        <v>5882</v>
      </c>
      <c r="C903" s="241" t="s">
        <v>4778</v>
      </c>
      <c r="D903" s="237" t="s">
        <v>5890</v>
      </c>
      <c r="E903" s="236">
        <v>1801111095537</v>
      </c>
      <c r="F903" s="240" t="s">
        <v>4850</v>
      </c>
      <c r="G903" s="242">
        <v>0</v>
      </c>
      <c r="H903" s="223" t="s">
        <v>4771</v>
      </c>
      <c r="I903" s="223"/>
      <c r="J903" s="223"/>
      <c r="K903" s="223"/>
      <c r="L903" s="223"/>
      <c r="M903" s="223"/>
      <c r="N903" s="225" t="s">
        <v>5028</v>
      </c>
      <c r="O903" s="225" t="s">
        <v>5884</v>
      </c>
      <c r="P903" s="225" t="s">
        <v>5885</v>
      </c>
      <c r="Q903" s="240" t="s">
        <v>5886</v>
      </c>
      <c r="R903" s="250" t="s">
        <v>2</v>
      </c>
      <c r="S903" s="236" t="s">
        <v>4771</v>
      </c>
      <c r="T903" s="233">
        <v>45594</v>
      </c>
      <c r="U903" s="234" t="s">
        <v>4772</v>
      </c>
      <c r="V903" s="234">
        <v>45660</v>
      </c>
      <c r="W903" s="234">
        <v>45660</v>
      </c>
      <c r="X903" s="234" t="s">
        <v>2</v>
      </c>
      <c r="Y903" s="234"/>
      <c r="Z903" s="234" t="s">
        <v>5887</v>
      </c>
      <c r="AA903" s="243">
        <v>202412</v>
      </c>
      <c r="AB903" s="243"/>
      <c r="AC903" s="244" t="s">
        <v>4800</v>
      </c>
      <c r="AD903" s="244" t="s">
        <v>4864</v>
      </c>
      <c r="AE903" s="245">
        <v>1</v>
      </c>
      <c r="AF903" s="244" t="s">
        <v>4864</v>
      </c>
      <c r="AG903" s="239" t="str">
        <f>IFERROR(VLOOKUP(작성용!A:A,RM!A:D,4,0),"-")</f>
        <v>이문수</v>
      </c>
      <c r="AH903" s="9" t="s">
        <v>4937</v>
      </c>
      <c r="AI903" s="235" t="s">
        <v>4771</v>
      </c>
      <c r="AJ903" s="235" t="s">
        <v>4776</v>
      </c>
      <c r="AK903" s="235" t="s">
        <v>4777</v>
      </c>
      <c r="AL903" s="235">
        <v>902</v>
      </c>
    </row>
    <row r="904" spans="1:38" s="198" customFormat="1" x14ac:dyDescent="0.3">
      <c r="A904" s="222" t="s">
        <v>3205</v>
      </c>
      <c r="B904" s="222" t="s">
        <v>5882</v>
      </c>
      <c r="C904" s="241" t="s">
        <v>4778</v>
      </c>
      <c r="D904" s="237" t="s">
        <v>5891</v>
      </c>
      <c r="E904" s="236">
        <v>1101116581915</v>
      </c>
      <c r="F904" s="240" t="s">
        <v>4850</v>
      </c>
      <c r="G904" s="242">
        <v>0</v>
      </c>
      <c r="H904" s="223" t="s">
        <v>4771</v>
      </c>
      <c r="I904" s="223"/>
      <c r="J904" s="223"/>
      <c r="K904" s="223"/>
      <c r="L904" s="223"/>
      <c r="M904" s="223"/>
      <c r="N904" s="225" t="s">
        <v>5028</v>
      </c>
      <c r="O904" s="225" t="s">
        <v>5884</v>
      </c>
      <c r="P904" s="225" t="s">
        <v>5885</v>
      </c>
      <c r="Q904" s="240" t="s">
        <v>5886</v>
      </c>
      <c r="R904" s="250" t="s">
        <v>2</v>
      </c>
      <c r="S904" s="236" t="s">
        <v>4771</v>
      </c>
      <c r="T904" s="233">
        <v>45594</v>
      </c>
      <c r="U904" s="234" t="s">
        <v>4772</v>
      </c>
      <c r="V904" s="234">
        <v>45660</v>
      </c>
      <c r="W904" s="234">
        <v>45660</v>
      </c>
      <c r="X904" s="234" t="s">
        <v>2</v>
      </c>
      <c r="Y904" s="234"/>
      <c r="Z904" s="234" t="s">
        <v>5887</v>
      </c>
      <c r="AA904" s="243">
        <v>202412</v>
      </c>
      <c r="AB904" s="243"/>
      <c r="AC904" s="244" t="s">
        <v>4800</v>
      </c>
      <c r="AD904" s="244" t="s">
        <v>4980</v>
      </c>
      <c r="AE904" s="245">
        <v>1</v>
      </c>
      <c r="AF904" s="244" t="s">
        <v>4980</v>
      </c>
      <c r="AG904" s="239" t="str">
        <f>IFERROR(VLOOKUP(작성용!A:A,RM!A:D,4,0),"-")</f>
        <v>이문수</v>
      </c>
      <c r="AH904" s="9" t="s">
        <v>4937</v>
      </c>
      <c r="AI904" s="235" t="s">
        <v>4771</v>
      </c>
      <c r="AJ904" s="235" t="s">
        <v>4776</v>
      </c>
      <c r="AK904" s="235" t="s">
        <v>4777</v>
      </c>
      <c r="AL904" s="235">
        <v>903</v>
      </c>
    </row>
    <row r="905" spans="1:38" s="198" customFormat="1" x14ac:dyDescent="0.3">
      <c r="A905" s="222" t="s">
        <v>3205</v>
      </c>
      <c r="B905" s="222" t="s">
        <v>5882</v>
      </c>
      <c r="C905" s="241" t="s">
        <v>4778</v>
      </c>
      <c r="D905" s="237" t="s">
        <v>5892</v>
      </c>
      <c r="E905" s="236">
        <v>1101117501508</v>
      </c>
      <c r="F905" s="240" t="s">
        <v>4854</v>
      </c>
      <c r="G905" s="242">
        <v>0</v>
      </c>
      <c r="H905" s="223" t="s">
        <v>4771</v>
      </c>
      <c r="I905" s="223"/>
      <c r="J905" s="223"/>
      <c r="K905" s="223"/>
      <c r="L905" s="223"/>
      <c r="M905" s="223"/>
      <c r="N905" s="225" t="s">
        <v>5028</v>
      </c>
      <c r="O905" s="225" t="s">
        <v>5884</v>
      </c>
      <c r="P905" s="225" t="s">
        <v>5885</v>
      </c>
      <c r="Q905" s="240" t="s">
        <v>5886</v>
      </c>
      <c r="R905" s="250" t="s">
        <v>2</v>
      </c>
      <c r="S905" s="236" t="s">
        <v>4771</v>
      </c>
      <c r="T905" s="233">
        <v>45594</v>
      </c>
      <c r="U905" s="234" t="s">
        <v>4772</v>
      </c>
      <c r="V905" s="234">
        <v>45660</v>
      </c>
      <c r="W905" s="234">
        <v>45660</v>
      </c>
      <c r="X905" s="234" t="s">
        <v>2</v>
      </c>
      <c r="Y905" s="234"/>
      <c r="Z905" s="234" t="s">
        <v>5887</v>
      </c>
      <c r="AA905" s="243">
        <v>202412</v>
      </c>
      <c r="AB905" s="243"/>
      <c r="AC905" s="244" t="s">
        <v>4800</v>
      </c>
      <c r="AD905" s="244" t="s">
        <v>4980</v>
      </c>
      <c r="AE905" s="245">
        <v>1</v>
      </c>
      <c r="AF905" s="244" t="s">
        <v>4980</v>
      </c>
      <c r="AG905" s="239" t="str">
        <f>IFERROR(VLOOKUP(작성용!A:A,RM!A:D,4,0),"-")</f>
        <v>이문수</v>
      </c>
      <c r="AH905" s="9" t="s">
        <v>4937</v>
      </c>
      <c r="AI905" s="235" t="s">
        <v>4771</v>
      </c>
      <c r="AJ905" s="235" t="s">
        <v>4776</v>
      </c>
      <c r="AK905" s="235" t="s">
        <v>4777</v>
      </c>
      <c r="AL905" s="235">
        <v>904</v>
      </c>
    </row>
    <row r="906" spans="1:38" s="198" customFormat="1" x14ac:dyDescent="0.3">
      <c r="A906" s="222" t="s">
        <v>3205</v>
      </c>
      <c r="B906" s="222" t="s">
        <v>5882</v>
      </c>
      <c r="C906" s="241" t="s">
        <v>4778</v>
      </c>
      <c r="D906" s="237" t="s">
        <v>5893</v>
      </c>
      <c r="E906" s="236">
        <v>1801111163459</v>
      </c>
      <c r="F906" s="240" t="s">
        <v>4850</v>
      </c>
      <c r="G906" s="242">
        <v>0</v>
      </c>
      <c r="H906" s="223" t="s">
        <v>4771</v>
      </c>
      <c r="I906" s="223"/>
      <c r="J906" s="223"/>
      <c r="K906" s="223"/>
      <c r="L906" s="223"/>
      <c r="M906" s="223"/>
      <c r="N906" s="225" t="s">
        <v>5028</v>
      </c>
      <c r="O906" s="225" t="s">
        <v>5884</v>
      </c>
      <c r="P906" s="225" t="s">
        <v>5885</v>
      </c>
      <c r="Q906" s="240" t="s">
        <v>5886</v>
      </c>
      <c r="R906" s="250" t="s">
        <v>2</v>
      </c>
      <c r="S906" s="236" t="s">
        <v>4771</v>
      </c>
      <c r="T906" s="233">
        <v>45594</v>
      </c>
      <c r="U906" s="234" t="s">
        <v>4772</v>
      </c>
      <c r="V906" s="234">
        <v>45660</v>
      </c>
      <c r="W906" s="234">
        <v>45660</v>
      </c>
      <c r="X906" s="234" t="s">
        <v>2</v>
      </c>
      <c r="Y906" s="234"/>
      <c r="Z906" s="234" t="s">
        <v>5887</v>
      </c>
      <c r="AA906" s="243">
        <v>202412</v>
      </c>
      <c r="AB906" s="243"/>
      <c r="AC906" s="244" t="s">
        <v>4800</v>
      </c>
      <c r="AD906" s="244" t="s">
        <v>4945</v>
      </c>
      <c r="AE906" s="245">
        <v>1</v>
      </c>
      <c r="AF906" s="244" t="s">
        <v>5144</v>
      </c>
      <c r="AG906" s="239" t="str">
        <f>IFERROR(VLOOKUP(작성용!A:A,RM!A:D,4,0),"-")</f>
        <v>이문수</v>
      </c>
      <c r="AH906" s="9" t="s">
        <v>4937</v>
      </c>
      <c r="AI906" s="235" t="s">
        <v>4771</v>
      </c>
      <c r="AJ906" s="235" t="s">
        <v>4776</v>
      </c>
      <c r="AK906" s="235" t="s">
        <v>4777</v>
      </c>
      <c r="AL906" s="235">
        <v>905</v>
      </c>
    </row>
    <row r="907" spans="1:38" s="198" customFormat="1" x14ac:dyDescent="0.3">
      <c r="A907" s="222" t="s">
        <v>3205</v>
      </c>
      <c r="B907" s="222" t="s">
        <v>5882</v>
      </c>
      <c r="C907" s="241" t="s">
        <v>4778</v>
      </c>
      <c r="D907" s="237" t="s">
        <v>5671</v>
      </c>
      <c r="E907" s="236">
        <v>2841110186126</v>
      </c>
      <c r="F907" s="240" t="s">
        <v>4850</v>
      </c>
      <c r="G907" s="242">
        <v>2</v>
      </c>
      <c r="H907" s="223" t="s">
        <v>4771</v>
      </c>
      <c r="I907" s="223"/>
      <c r="J907" s="223"/>
      <c r="K907" s="223"/>
      <c r="L907" s="223"/>
      <c r="M907" s="223"/>
      <c r="N907" s="225" t="s">
        <v>5028</v>
      </c>
      <c r="O907" s="225" t="s">
        <v>5884</v>
      </c>
      <c r="P907" s="225" t="s">
        <v>5885</v>
      </c>
      <c r="Q907" s="240" t="s">
        <v>5886</v>
      </c>
      <c r="R907" s="250" t="s">
        <v>2</v>
      </c>
      <c r="S907" s="236" t="s">
        <v>4771</v>
      </c>
      <c r="T907" s="233">
        <v>45594</v>
      </c>
      <c r="U907" s="234" t="s">
        <v>4772</v>
      </c>
      <c r="V907" s="234">
        <v>45660</v>
      </c>
      <c r="W907" s="234">
        <v>45660</v>
      </c>
      <c r="X907" s="234" t="s">
        <v>2</v>
      </c>
      <c r="Y907" s="234"/>
      <c r="Z907" s="234" t="s">
        <v>5887</v>
      </c>
      <c r="AA907" s="243">
        <v>202412</v>
      </c>
      <c r="AB907" s="243"/>
      <c r="AC907" s="244" t="s">
        <v>4800</v>
      </c>
      <c r="AD907" s="244" t="s">
        <v>3910</v>
      </c>
      <c r="AE907" s="245">
        <v>1</v>
      </c>
      <c r="AF907" s="244" t="s">
        <v>4872</v>
      </c>
      <c r="AG907" s="239" t="str">
        <f>IFERROR(VLOOKUP(작성용!A:A,RM!A:D,4,0),"-")</f>
        <v>이문수</v>
      </c>
      <c r="AH907" s="9" t="s">
        <v>4937</v>
      </c>
      <c r="AI907" s="235" t="s">
        <v>4771</v>
      </c>
      <c r="AJ907" s="235" t="s">
        <v>4776</v>
      </c>
      <c r="AK907" s="235" t="s">
        <v>4777</v>
      </c>
      <c r="AL907" s="235">
        <v>906</v>
      </c>
    </row>
    <row r="908" spans="1:38" s="198" customFormat="1" x14ac:dyDescent="0.3">
      <c r="A908" s="222" t="s">
        <v>3205</v>
      </c>
      <c r="B908" s="222" t="s">
        <v>5882</v>
      </c>
      <c r="C908" s="241" t="s">
        <v>4778</v>
      </c>
      <c r="D908" s="237" t="s">
        <v>5894</v>
      </c>
      <c r="E908" s="236">
        <v>1101116613726</v>
      </c>
      <c r="F908" s="240" t="s">
        <v>4850</v>
      </c>
      <c r="G908" s="242">
        <v>0</v>
      </c>
      <c r="H908" s="223" t="s">
        <v>4771</v>
      </c>
      <c r="I908" s="223"/>
      <c r="J908" s="223"/>
      <c r="K908" s="223"/>
      <c r="L908" s="223"/>
      <c r="M908" s="223"/>
      <c r="N908" s="225" t="s">
        <v>5028</v>
      </c>
      <c r="O908" s="225" t="s">
        <v>5884</v>
      </c>
      <c r="P908" s="225" t="s">
        <v>5885</v>
      </c>
      <c r="Q908" s="240" t="s">
        <v>5886</v>
      </c>
      <c r="R908" s="250" t="s">
        <v>2</v>
      </c>
      <c r="S908" s="236" t="s">
        <v>4771</v>
      </c>
      <c r="T908" s="233">
        <v>45594</v>
      </c>
      <c r="U908" s="234" t="s">
        <v>4772</v>
      </c>
      <c r="V908" s="234">
        <v>45660</v>
      </c>
      <c r="W908" s="234">
        <v>45660</v>
      </c>
      <c r="X908" s="234" t="s">
        <v>2</v>
      </c>
      <c r="Y908" s="234"/>
      <c r="Z908" s="234" t="s">
        <v>5887</v>
      </c>
      <c r="AA908" s="243">
        <v>202412</v>
      </c>
      <c r="AB908" s="243"/>
      <c r="AC908" s="244" t="s">
        <v>4800</v>
      </c>
      <c r="AD908" s="244" t="s">
        <v>4937</v>
      </c>
      <c r="AE908" s="245">
        <v>1</v>
      </c>
      <c r="AF908" s="244" t="s">
        <v>4937</v>
      </c>
      <c r="AG908" s="239" t="str">
        <f>IFERROR(VLOOKUP(작성용!A:A,RM!A:D,4,0),"-")</f>
        <v>이문수</v>
      </c>
      <c r="AH908" s="9" t="s">
        <v>4937</v>
      </c>
      <c r="AI908" s="235" t="s">
        <v>4771</v>
      </c>
      <c r="AJ908" s="235" t="s">
        <v>4776</v>
      </c>
      <c r="AK908" s="235" t="s">
        <v>4777</v>
      </c>
      <c r="AL908" s="235">
        <v>907</v>
      </c>
    </row>
    <row r="909" spans="1:38" s="198" customFormat="1" x14ac:dyDescent="0.3">
      <c r="A909" s="222" t="s">
        <v>2144</v>
      </c>
      <c r="B909" s="222" t="s">
        <v>2145</v>
      </c>
      <c r="C909" s="241" t="s">
        <v>4778</v>
      </c>
      <c r="D909" s="237" t="s">
        <v>5895</v>
      </c>
      <c r="E909" s="236">
        <v>1101130018811</v>
      </c>
      <c r="F909" s="240" t="s">
        <v>5200</v>
      </c>
      <c r="G909" s="242">
        <v>0</v>
      </c>
      <c r="H909" s="223" t="s">
        <v>4771</v>
      </c>
      <c r="I909" s="223"/>
      <c r="J909" s="231"/>
      <c r="K909" s="223"/>
      <c r="L909" s="223"/>
      <c r="M909" s="223"/>
      <c r="N909" s="240" t="s">
        <v>5566</v>
      </c>
      <c r="O909" s="225" t="s">
        <v>5896</v>
      </c>
      <c r="P909" s="225" t="s">
        <v>5897</v>
      </c>
      <c r="Q909" s="225" t="s">
        <v>5898</v>
      </c>
      <c r="R909" s="212" t="s">
        <v>2</v>
      </c>
      <c r="S909" s="213" t="s">
        <v>4771</v>
      </c>
      <c r="T909" s="233">
        <v>45594</v>
      </c>
      <c r="U909" s="234" t="s">
        <v>5822</v>
      </c>
      <c r="V909" s="234">
        <v>45632</v>
      </c>
      <c r="W909" s="234">
        <v>45639</v>
      </c>
      <c r="X909" s="234" t="s">
        <v>2</v>
      </c>
      <c r="Y909" s="224"/>
      <c r="Z909" s="224" t="s">
        <v>5035</v>
      </c>
      <c r="AA909" s="243">
        <v>202411</v>
      </c>
      <c r="AB909" s="243"/>
      <c r="AC909" s="244" t="s">
        <v>4800</v>
      </c>
      <c r="AD909" s="244" t="s">
        <v>4858</v>
      </c>
      <c r="AE909" s="245">
        <v>1</v>
      </c>
      <c r="AF909" s="244" t="s">
        <v>4858</v>
      </c>
      <c r="AG909" s="239" t="str">
        <f>IFERROR(VLOOKUP(작성용!A:A,RM!A:D,4,0),"-")</f>
        <v>조현우</v>
      </c>
      <c r="AH909" s="9" t="s">
        <v>4918</v>
      </c>
      <c r="AI909" s="235" t="s">
        <v>5899</v>
      </c>
      <c r="AJ909" s="235" t="s">
        <v>2</v>
      </c>
      <c r="AK909" s="235" t="s">
        <v>4777</v>
      </c>
      <c r="AL909" s="235">
        <v>908</v>
      </c>
    </row>
    <row r="910" spans="1:38" s="198" customFormat="1" x14ac:dyDescent="0.3">
      <c r="A910" s="222" t="s">
        <v>2144</v>
      </c>
      <c r="B910" s="222" t="s">
        <v>2145</v>
      </c>
      <c r="C910" s="241" t="s">
        <v>4778</v>
      </c>
      <c r="D910" s="237" t="s">
        <v>5900</v>
      </c>
      <c r="E910" s="236">
        <v>1311130025316</v>
      </c>
      <c r="F910" s="240" t="s">
        <v>5200</v>
      </c>
      <c r="G910" s="242">
        <v>0</v>
      </c>
      <c r="H910" s="223" t="s">
        <v>4771</v>
      </c>
      <c r="I910" s="223"/>
      <c r="J910" s="231"/>
      <c r="K910" s="223"/>
      <c r="L910" s="223"/>
      <c r="M910" s="223"/>
      <c r="N910" s="240" t="s">
        <v>5566</v>
      </c>
      <c r="O910" s="225" t="s">
        <v>5896</v>
      </c>
      <c r="P910" s="225" t="s">
        <v>5897</v>
      </c>
      <c r="Q910" s="225" t="s">
        <v>5898</v>
      </c>
      <c r="R910" s="212" t="s">
        <v>2</v>
      </c>
      <c r="S910" s="213" t="s">
        <v>4771</v>
      </c>
      <c r="T910" s="233">
        <v>45594</v>
      </c>
      <c r="U910" s="234" t="s">
        <v>5822</v>
      </c>
      <c r="V910" s="234">
        <v>45632</v>
      </c>
      <c r="W910" s="234">
        <v>45639</v>
      </c>
      <c r="X910" s="234" t="s">
        <v>2</v>
      </c>
      <c r="Y910" s="224"/>
      <c r="Z910" s="224" t="s">
        <v>5035</v>
      </c>
      <c r="AA910" s="243">
        <v>202411</v>
      </c>
      <c r="AB910" s="243"/>
      <c r="AC910" s="244" t="s">
        <v>4800</v>
      </c>
      <c r="AD910" s="244" t="s">
        <v>4860</v>
      </c>
      <c r="AE910" s="245">
        <v>1</v>
      </c>
      <c r="AF910" s="244" t="s">
        <v>4860</v>
      </c>
      <c r="AG910" s="239" t="str">
        <f>IFERROR(VLOOKUP(작성용!A:A,RM!A:D,4,0),"-")</f>
        <v>조현우</v>
      </c>
      <c r="AH910" s="9" t="s">
        <v>4918</v>
      </c>
      <c r="AI910" s="235" t="s">
        <v>4737</v>
      </c>
      <c r="AJ910" s="235" t="s">
        <v>2</v>
      </c>
      <c r="AK910" s="235" t="s">
        <v>4777</v>
      </c>
      <c r="AL910" s="235">
        <v>909</v>
      </c>
    </row>
    <row r="911" spans="1:38" x14ac:dyDescent="0.3">
      <c r="A911" s="222" t="s">
        <v>2144</v>
      </c>
      <c r="B911" s="222" t="s">
        <v>2145</v>
      </c>
      <c r="C911" s="241" t="s">
        <v>4778</v>
      </c>
      <c r="D911" s="237" t="s">
        <v>5901</v>
      </c>
      <c r="E911" s="236">
        <v>1101130019968</v>
      </c>
      <c r="F911" s="240" t="s">
        <v>5200</v>
      </c>
      <c r="G911" s="242">
        <v>0</v>
      </c>
      <c r="H911" s="223" t="s">
        <v>4771</v>
      </c>
      <c r="I911" s="223"/>
      <c r="J911" s="231"/>
      <c r="K911" s="223"/>
      <c r="L911" s="223"/>
      <c r="M911" s="223"/>
      <c r="N911" s="240" t="s">
        <v>5566</v>
      </c>
      <c r="O911" s="225" t="s">
        <v>5896</v>
      </c>
      <c r="P911" s="225" t="s">
        <v>5897</v>
      </c>
      <c r="Q911" s="225" t="s">
        <v>5898</v>
      </c>
      <c r="R911" s="212" t="s">
        <v>2</v>
      </c>
      <c r="S911" s="213" t="s">
        <v>4771</v>
      </c>
      <c r="T911" s="233">
        <v>45594</v>
      </c>
      <c r="U911" s="234" t="s">
        <v>5822</v>
      </c>
      <c r="V911" s="234">
        <v>45632</v>
      </c>
      <c r="W911" s="234">
        <v>45639</v>
      </c>
      <c r="X911" s="234" t="s">
        <v>2</v>
      </c>
      <c r="Y911" s="224"/>
      <c r="Z911" s="224" t="s">
        <v>5035</v>
      </c>
      <c r="AA911" s="243">
        <v>202411</v>
      </c>
      <c r="AB911" s="243"/>
      <c r="AC911" s="244" t="s">
        <v>4800</v>
      </c>
      <c r="AD911" s="244" t="s">
        <v>4845</v>
      </c>
      <c r="AE911" s="245">
        <v>1</v>
      </c>
      <c r="AF911" s="244" t="s">
        <v>4845</v>
      </c>
      <c r="AG911" s="239" t="str">
        <f>IFERROR(VLOOKUP(작성용!A:A,RM!A:D,4,0),"-")</f>
        <v>조현우</v>
      </c>
      <c r="AH911" s="9" t="s">
        <v>4918</v>
      </c>
      <c r="AI911" s="235" t="s">
        <v>4737</v>
      </c>
      <c r="AJ911" s="235" t="s">
        <v>2</v>
      </c>
      <c r="AK911" s="235" t="s">
        <v>4777</v>
      </c>
      <c r="AL911" s="235">
        <v>910</v>
      </c>
    </row>
    <row r="912" spans="1:38" x14ac:dyDescent="0.3">
      <c r="A912" s="222" t="s">
        <v>2144</v>
      </c>
      <c r="B912" s="222" t="s">
        <v>2145</v>
      </c>
      <c r="C912" s="241" t="s">
        <v>4778</v>
      </c>
      <c r="D912" s="237" t="s">
        <v>5902</v>
      </c>
      <c r="E912" s="236">
        <v>1101130020254</v>
      </c>
      <c r="F912" s="240" t="s">
        <v>5200</v>
      </c>
      <c r="G912" s="242">
        <v>0</v>
      </c>
      <c r="H912" s="223" t="s">
        <v>4771</v>
      </c>
      <c r="I912" s="223"/>
      <c r="J912" s="231"/>
      <c r="K912" s="223"/>
      <c r="L912" s="223"/>
      <c r="M912" s="223"/>
      <c r="N912" s="240" t="s">
        <v>5566</v>
      </c>
      <c r="O912" s="225" t="s">
        <v>5896</v>
      </c>
      <c r="P912" s="225" t="s">
        <v>5897</v>
      </c>
      <c r="Q912" s="225" t="s">
        <v>5898</v>
      </c>
      <c r="R912" s="212" t="s">
        <v>2</v>
      </c>
      <c r="S912" s="213" t="s">
        <v>4771</v>
      </c>
      <c r="T912" s="233">
        <v>45594</v>
      </c>
      <c r="U912" s="234" t="s">
        <v>5822</v>
      </c>
      <c r="V912" s="234">
        <v>45632</v>
      </c>
      <c r="W912" s="234">
        <v>45639</v>
      </c>
      <c r="X912" s="234" t="s">
        <v>2</v>
      </c>
      <c r="Y912" s="224"/>
      <c r="Z912" s="224" t="s">
        <v>5035</v>
      </c>
      <c r="AA912" s="243">
        <v>202411</v>
      </c>
      <c r="AB912" s="243"/>
      <c r="AC912" s="244" t="s">
        <v>4800</v>
      </c>
      <c r="AD912" s="244" t="s">
        <v>5021</v>
      </c>
      <c r="AE912" s="245">
        <v>1</v>
      </c>
      <c r="AF912" s="244" t="s">
        <v>5021</v>
      </c>
      <c r="AG912" s="239" t="str">
        <f>IFERROR(VLOOKUP(작성용!A:A,RM!A:D,4,0),"-")</f>
        <v>조현우</v>
      </c>
      <c r="AH912" s="9" t="s">
        <v>4918</v>
      </c>
      <c r="AI912" s="235" t="s">
        <v>4737</v>
      </c>
      <c r="AJ912" s="235" t="s">
        <v>2</v>
      </c>
      <c r="AK912" s="235" t="s">
        <v>4777</v>
      </c>
      <c r="AL912" s="235">
        <v>911</v>
      </c>
    </row>
    <row r="913" spans="1:38" x14ac:dyDescent="0.3">
      <c r="A913" s="229" t="s">
        <v>2144</v>
      </c>
      <c r="B913" s="229" t="s">
        <v>5903</v>
      </c>
      <c r="C913" s="241" t="s">
        <v>4778</v>
      </c>
      <c r="D913" s="237" t="s">
        <v>5904</v>
      </c>
      <c r="E913" s="236">
        <v>1101130018829</v>
      </c>
      <c r="F913" s="240" t="s">
        <v>5200</v>
      </c>
      <c r="G913" s="242">
        <v>0</v>
      </c>
      <c r="H913" s="231" t="s">
        <v>4771</v>
      </c>
      <c r="I913" s="231"/>
      <c r="J913" s="231"/>
      <c r="K913" s="231"/>
      <c r="L913" s="231"/>
      <c r="M913" s="231"/>
      <c r="N913" s="240" t="s">
        <v>5566</v>
      </c>
      <c r="O913" s="225" t="s">
        <v>5896</v>
      </c>
      <c r="P913" s="225" t="s">
        <v>5897</v>
      </c>
      <c r="Q913" s="225" t="s">
        <v>5898</v>
      </c>
      <c r="R913" s="212" t="s">
        <v>2</v>
      </c>
      <c r="S913" s="213" t="s">
        <v>4771</v>
      </c>
      <c r="T913" s="233">
        <v>45594</v>
      </c>
      <c r="U913" s="234" t="s">
        <v>5822</v>
      </c>
      <c r="V913" s="234">
        <v>45632</v>
      </c>
      <c r="W913" s="234">
        <v>45639</v>
      </c>
      <c r="X913" s="234" t="s">
        <v>2</v>
      </c>
      <c r="Y913" s="224"/>
      <c r="Z913" s="224" t="s">
        <v>5035</v>
      </c>
      <c r="AA913" s="243">
        <v>202411</v>
      </c>
      <c r="AB913" s="243"/>
      <c r="AC913" s="244" t="s">
        <v>4800</v>
      </c>
      <c r="AD913" s="244" t="s">
        <v>4761</v>
      </c>
      <c r="AE913" s="245">
        <v>1</v>
      </c>
      <c r="AF913" s="244" t="s">
        <v>4761</v>
      </c>
      <c r="AG913" s="239" t="str">
        <f>IFERROR(VLOOKUP(작성용!A:A,RM!A:D,4,0),"-")</f>
        <v>조현우</v>
      </c>
      <c r="AH913" s="9" t="s">
        <v>4918</v>
      </c>
      <c r="AI913" s="235" t="s">
        <v>4737</v>
      </c>
      <c r="AJ913" s="235" t="s">
        <v>2</v>
      </c>
      <c r="AK913" s="235" t="s">
        <v>4777</v>
      </c>
      <c r="AL913" s="235">
        <v>912</v>
      </c>
    </row>
    <row r="914" spans="1:38" x14ac:dyDescent="0.3">
      <c r="A914" s="222" t="s">
        <v>2144</v>
      </c>
      <c r="B914" s="222" t="s">
        <v>2145</v>
      </c>
      <c r="C914" s="241" t="s">
        <v>4778</v>
      </c>
      <c r="D914" s="237" t="s">
        <v>5905</v>
      </c>
      <c r="E914" s="236">
        <v>1101130022276</v>
      </c>
      <c r="F914" s="240" t="s">
        <v>5200</v>
      </c>
      <c r="G914" s="242">
        <v>0</v>
      </c>
      <c r="H914" s="223" t="s">
        <v>4771</v>
      </c>
      <c r="I914" s="223"/>
      <c r="J914" s="231"/>
      <c r="K914" s="223"/>
      <c r="L914" s="223"/>
      <c r="M914" s="223"/>
      <c r="N914" s="240" t="s">
        <v>5566</v>
      </c>
      <c r="O914" s="225" t="s">
        <v>5896</v>
      </c>
      <c r="P914" s="225" t="s">
        <v>5897</v>
      </c>
      <c r="Q914" s="225" t="s">
        <v>5898</v>
      </c>
      <c r="R914" s="212" t="s">
        <v>2</v>
      </c>
      <c r="S914" s="213" t="s">
        <v>4771</v>
      </c>
      <c r="T914" s="233">
        <v>45594</v>
      </c>
      <c r="U914" s="234" t="s">
        <v>5822</v>
      </c>
      <c r="V914" s="234">
        <v>45632</v>
      </c>
      <c r="W914" s="234">
        <v>45639</v>
      </c>
      <c r="X914" s="234" t="s">
        <v>2</v>
      </c>
      <c r="Y914" s="224"/>
      <c r="Z914" s="224" t="s">
        <v>5035</v>
      </c>
      <c r="AA914" s="243">
        <v>202411</v>
      </c>
      <c r="AB914" s="243"/>
      <c r="AC914" s="244" t="s">
        <v>4800</v>
      </c>
      <c r="AD914" s="244" t="s">
        <v>3757</v>
      </c>
      <c r="AE914" s="245">
        <v>1</v>
      </c>
      <c r="AF914" s="244" t="s">
        <v>3757</v>
      </c>
      <c r="AG914" s="239" t="str">
        <f>IFERROR(VLOOKUP(작성용!A:A,RM!A:D,4,0),"-")</f>
        <v>조현우</v>
      </c>
      <c r="AH914" s="9" t="s">
        <v>4918</v>
      </c>
      <c r="AI914" s="235" t="s">
        <v>4737</v>
      </c>
      <c r="AJ914" s="235" t="s">
        <v>2</v>
      </c>
      <c r="AK914" s="235" t="s">
        <v>4777</v>
      </c>
      <c r="AL914" s="235">
        <v>913</v>
      </c>
    </row>
    <row r="915" spans="1:38" x14ac:dyDescent="0.3">
      <c r="A915" s="222" t="s">
        <v>2144</v>
      </c>
      <c r="B915" s="222" t="s">
        <v>2145</v>
      </c>
      <c r="C915" s="241" t="s">
        <v>4778</v>
      </c>
      <c r="D915" s="237" t="s">
        <v>5906</v>
      </c>
      <c r="E915" s="236">
        <v>1615130003095</v>
      </c>
      <c r="F915" s="240" t="s">
        <v>5200</v>
      </c>
      <c r="G915" s="242">
        <v>0</v>
      </c>
      <c r="H915" s="223" t="s">
        <v>4771</v>
      </c>
      <c r="I915" s="223"/>
      <c r="J915" s="231"/>
      <c r="K915" s="223"/>
      <c r="L915" s="223"/>
      <c r="M915" s="223"/>
      <c r="N915" s="240" t="s">
        <v>5566</v>
      </c>
      <c r="O915" s="225" t="s">
        <v>5896</v>
      </c>
      <c r="P915" s="225" t="s">
        <v>5897</v>
      </c>
      <c r="Q915" s="225" t="s">
        <v>5898</v>
      </c>
      <c r="R915" s="212" t="s">
        <v>2</v>
      </c>
      <c r="S915" s="213" t="s">
        <v>4771</v>
      </c>
      <c r="T915" s="233">
        <v>45594</v>
      </c>
      <c r="U915" s="234" t="s">
        <v>5822</v>
      </c>
      <c r="V915" s="234">
        <v>45632</v>
      </c>
      <c r="W915" s="234">
        <v>45639</v>
      </c>
      <c r="X915" s="234" t="s">
        <v>2</v>
      </c>
      <c r="Y915" s="224"/>
      <c r="Z915" s="224" t="s">
        <v>5035</v>
      </c>
      <c r="AA915" s="243">
        <v>202411</v>
      </c>
      <c r="AB915" s="243"/>
      <c r="AC915" s="244" t="s">
        <v>4800</v>
      </c>
      <c r="AD915" s="244" t="s">
        <v>4856</v>
      </c>
      <c r="AE915" s="245">
        <v>1</v>
      </c>
      <c r="AF915" s="244" t="s">
        <v>4856</v>
      </c>
      <c r="AG915" s="239" t="str">
        <f>IFERROR(VLOOKUP(작성용!A:A,RM!A:D,4,0),"-")</f>
        <v>조현우</v>
      </c>
      <c r="AH915" s="9" t="s">
        <v>4918</v>
      </c>
      <c r="AI915" s="235" t="s">
        <v>4737</v>
      </c>
      <c r="AJ915" s="235" t="s">
        <v>2</v>
      </c>
      <c r="AK915" s="235" t="s">
        <v>4777</v>
      </c>
      <c r="AL915" s="235">
        <v>914</v>
      </c>
    </row>
    <row r="916" spans="1:38" x14ac:dyDescent="0.3">
      <c r="A916" s="222" t="s">
        <v>2144</v>
      </c>
      <c r="B916" s="222" t="s">
        <v>2145</v>
      </c>
      <c r="C916" s="241" t="s">
        <v>4778</v>
      </c>
      <c r="D916" s="237" t="s">
        <v>5907</v>
      </c>
      <c r="E916" s="236">
        <v>1101130023919</v>
      </c>
      <c r="F916" s="240" t="s">
        <v>5200</v>
      </c>
      <c r="G916" s="242">
        <v>0</v>
      </c>
      <c r="H916" s="223" t="s">
        <v>4771</v>
      </c>
      <c r="I916" s="223"/>
      <c r="J916" s="231"/>
      <c r="K916" s="223"/>
      <c r="L916" s="223"/>
      <c r="M916" s="223"/>
      <c r="N916" s="240" t="s">
        <v>5566</v>
      </c>
      <c r="O916" s="225" t="s">
        <v>5896</v>
      </c>
      <c r="P916" s="225" t="s">
        <v>5897</v>
      </c>
      <c r="Q916" s="225" t="s">
        <v>5898</v>
      </c>
      <c r="R916" s="212" t="s">
        <v>2</v>
      </c>
      <c r="S916" s="213" t="s">
        <v>4771</v>
      </c>
      <c r="T916" s="233">
        <v>45594</v>
      </c>
      <c r="U916" s="234" t="s">
        <v>5822</v>
      </c>
      <c r="V916" s="234">
        <v>45632</v>
      </c>
      <c r="W916" s="234">
        <v>45639</v>
      </c>
      <c r="X916" s="234" t="s">
        <v>2</v>
      </c>
      <c r="Y916" s="224"/>
      <c r="Z916" s="224" t="s">
        <v>5035</v>
      </c>
      <c r="AA916" s="243">
        <v>202411</v>
      </c>
      <c r="AB916" s="243"/>
      <c r="AC916" s="244" t="s">
        <v>4800</v>
      </c>
      <c r="AD916" s="244" t="s">
        <v>4918</v>
      </c>
      <c r="AE916" s="245">
        <v>1</v>
      </c>
      <c r="AF916" s="244" t="s">
        <v>4918</v>
      </c>
      <c r="AG916" s="239" t="str">
        <f>IFERROR(VLOOKUP(작성용!A:A,RM!A:D,4,0),"-")</f>
        <v>조현우</v>
      </c>
      <c r="AH916" s="9" t="s">
        <v>4918</v>
      </c>
      <c r="AI916" s="235" t="s">
        <v>4737</v>
      </c>
      <c r="AJ916" s="235" t="s">
        <v>2</v>
      </c>
      <c r="AK916" s="235" t="s">
        <v>4777</v>
      </c>
      <c r="AL916" s="235">
        <v>915</v>
      </c>
    </row>
    <row r="917" spans="1:38" x14ac:dyDescent="0.3">
      <c r="A917" s="222" t="s">
        <v>2144</v>
      </c>
      <c r="B917" s="222" t="s">
        <v>2145</v>
      </c>
      <c r="C917" s="241" t="s">
        <v>4778</v>
      </c>
      <c r="D917" s="237" t="s">
        <v>5908</v>
      </c>
      <c r="E917" s="236">
        <v>1101130024090</v>
      </c>
      <c r="F917" s="240" t="s">
        <v>5200</v>
      </c>
      <c r="G917" s="242">
        <v>0</v>
      </c>
      <c r="H917" s="223" t="s">
        <v>4771</v>
      </c>
      <c r="I917" s="223"/>
      <c r="J917" s="231"/>
      <c r="K917" s="223"/>
      <c r="L917" s="223"/>
      <c r="M917" s="223"/>
      <c r="N917" s="240" t="s">
        <v>5566</v>
      </c>
      <c r="O917" s="225" t="s">
        <v>5896</v>
      </c>
      <c r="P917" s="225" t="s">
        <v>5897</v>
      </c>
      <c r="Q917" s="225" t="s">
        <v>5898</v>
      </c>
      <c r="R917" s="212" t="s">
        <v>2</v>
      </c>
      <c r="S917" s="213" t="s">
        <v>4771</v>
      </c>
      <c r="T917" s="233">
        <v>45594</v>
      </c>
      <c r="U917" s="234" t="s">
        <v>5822</v>
      </c>
      <c r="V917" s="234">
        <v>45632</v>
      </c>
      <c r="W917" s="234">
        <v>45639</v>
      </c>
      <c r="X917" s="234" t="s">
        <v>2</v>
      </c>
      <c r="Y917" s="224"/>
      <c r="Z917" s="224" t="s">
        <v>5035</v>
      </c>
      <c r="AA917" s="243">
        <v>202411</v>
      </c>
      <c r="AB917" s="243"/>
      <c r="AC917" s="244" t="s">
        <v>4800</v>
      </c>
      <c r="AD917" s="244" t="s">
        <v>4864</v>
      </c>
      <c r="AE917" s="245">
        <v>1</v>
      </c>
      <c r="AF917" s="244" t="s">
        <v>4864</v>
      </c>
      <c r="AG917" s="239" t="str">
        <f>IFERROR(VLOOKUP(작성용!A:A,RM!A:D,4,0),"-")</f>
        <v>조현우</v>
      </c>
      <c r="AH917" s="9" t="s">
        <v>4918</v>
      </c>
      <c r="AI917" s="235" t="s">
        <v>4737</v>
      </c>
      <c r="AJ917" s="235" t="s">
        <v>2</v>
      </c>
      <c r="AK917" s="235" t="s">
        <v>4777</v>
      </c>
      <c r="AL917" s="235">
        <v>916</v>
      </c>
    </row>
    <row r="918" spans="1:38" x14ac:dyDescent="0.3">
      <c r="A918" s="229" t="s">
        <v>2144</v>
      </c>
      <c r="B918" s="229" t="s">
        <v>5903</v>
      </c>
      <c r="C918" s="241" t="s">
        <v>4778</v>
      </c>
      <c r="D918" s="237" t="s">
        <v>5909</v>
      </c>
      <c r="E918" s="236">
        <v>1101130020931</v>
      </c>
      <c r="F918" s="240" t="s">
        <v>5200</v>
      </c>
      <c r="G918" s="242">
        <v>0</v>
      </c>
      <c r="H918" s="231" t="s">
        <v>4771</v>
      </c>
      <c r="I918" s="231"/>
      <c r="J918" s="231"/>
      <c r="K918" s="231"/>
      <c r="L918" s="231"/>
      <c r="M918" s="231"/>
      <c r="N918" s="240" t="s">
        <v>5566</v>
      </c>
      <c r="O918" s="225" t="s">
        <v>5896</v>
      </c>
      <c r="P918" s="225" t="s">
        <v>5897</v>
      </c>
      <c r="Q918" s="225" t="s">
        <v>5898</v>
      </c>
      <c r="R918" s="212" t="s">
        <v>2</v>
      </c>
      <c r="S918" s="213" t="s">
        <v>4771</v>
      </c>
      <c r="T918" s="233">
        <v>45594</v>
      </c>
      <c r="U918" s="234" t="s">
        <v>5822</v>
      </c>
      <c r="V918" s="234">
        <v>45632</v>
      </c>
      <c r="W918" s="234">
        <v>45639</v>
      </c>
      <c r="X918" s="234" t="s">
        <v>2</v>
      </c>
      <c r="Y918" s="224"/>
      <c r="Z918" s="224" t="s">
        <v>5035</v>
      </c>
      <c r="AA918" s="243">
        <v>202411</v>
      </c>
      <c r="AB918" s="243"/>
      <c r="AC918" s="244" t="s">
        <v>4800</v>
      </c>
      <c r="AD918" s="244" t="s">
        <v>4846</v>
      </c>
      <c r="AE918" s="245">
        <v>1</v>
      </c>
      <c r="AF918" s="244" t="s">
        <v>4846</v>
      </c>
      <c r="AG918" s="239" t="str">
        <f>IFERROR(VLOOKUP(작성용!A:A,RM!A:D,4,0),"-")</f>
        <v>조현우</v>
      </c>
      <c r="AH918" s="9" t="s">
        <v>4918</v>
      </c>
      <c r="AI918" s="235" t="s">
        <v>4737</v>
      </c>
      <c r="AJ918" s="235" t="s">
        <v>2</v>
      </c>
      <c r="AK918" s="235" t="s">
        <v>4777</v>
      </c>
      <c r="AL918" s="235">
        <v>917</v>
      </c>
    </row>
    <row r="919" spans="1:38" x14ac:dyDescent="0.3">
      <c r="A919" s="222" t="s">
        <v>2144</v>
      </c>
      <c r="B919" s="222" t="s">
        <v>2145</v>
      </c>
      <c r="C919" s="241" t="s">
        <v>4778</v>
      </c>
      <c r="D919" s="237" t="s">
        <v>5910</v>
      </c>
      <c r="E919" s="236">
        <v>1101130024561</v>
      </c>
      <c r="F919" s="240" t="s">
        <v>5200</v>
      </c>
      <c r="G919" s="242">
        <v>0</v>
      </c>
      <c r="H919" s="223" t="s">
        <v>4771</v>
      </c>
      <c r="I919" s="223"/>
      <c r="J919" s="231"/>
      <c r="K919" s="223"/>
      <c r="L919" s="223"/>
      <c r="M919" s="223"/>
      <c r="N919" s="240" t="s">
        <v>5566</v>
      </c>
      <c r="O919" s="225" t="s">
        <v>5896</v>
      </c>
      <c r="P919" s="225" t="s">
        <v>5897</v>
      </c>
      <c r="Q919" s="225" t="s">
        <v>5898</v>
      </c>
      <c r="R919" s="212" t="s">
        <v>2</v>
      </c>
      <c r="S919" s="213" t="s">
        <v>4771</v>
      </c>
      <c r="T919" s="233">
        <v>45594</v>
      </c>
      <c r="U919" s="234" t="s">
        <v>5822</v>
      </c>
      <c r="V919" s="234">
        <v>45632</v>
      </c>
      <c r="W919" s="234">
        <v>45639</v>
      </c>
      <c r="X919" s="234" t="s">
        <v>2</v>
      </c>
      <c r="Y919" s="224"/>
      <c r="Z919" s="224" t="s">
        <v>5035</v>
      </c>
      <c r="AA919" s="243">
        <v>202411</v>
      </c>
      <c r="AB919" s="243"/>
      <c r="AC919" s="244" t="s">
        <v>4800</v>
      </c>
      <c r="AD919" s="244" t="s">
        <v>4900</v>
      </c>
      <c r="AE919" s="245">
        <v>1</v>
      </c>
      <c r="AF919" s="244" t="s">
        <v>4900</v>
      </c>
      <c r="AG919" s="239" t="str">
        <f>IFERROR(VLOOKUP(작성용!A:A,RM!A:D,4,0),"-")</f>
        <v>조현우</v>
      </c>
      <c r="AH919" s="9" t="s">
        <v>4918</v>
      </c>
      <c r="AI919" s="235" t="s">
        <v>4737</v>
      </c>
      <c r="AJ919" s="235" t="s">
        <v>2</v>
      </c>
      <c r="AK919" s="235" t="s">
        <v>4777</v>
      </c>
      <c r="AL919" s="235">
        <v>918</v>
      </c>
    </row>
    <row r="920" spans="1:38" x14ac:dyDescent="0.3">
      <c r="A920" s="222" t="s">
        <v>2144</v>
      </c>
      <c r="B920" s="222" t="s">
        <v>2145</v>
      </c>
      <c r="C920" s="241" t="s">
        <v>4778</v>
      </c>
      <c r="D920" s="237" t="s">
        <v>5911</v>
      </c>
      <c r="E920" s="236">
        <v>1101130024470</v>
      </c>
      <c r="F920" s="240" t="s">
        <v>5200</v>
      </c>
      <c r="G920" s="242">
        <v>0</v>
      </c>
      <c r="H920" s="223" t="s">
        <v>4771</v>
      </c>
      <c r="I920" s="223"/>
      <c r="J920" s="231"/>
      <c r="K920" s="223"/>
      <c r="L920" s="223"/>
      <c r="M920" s="223"/>
      <c r="N920" s="240" t="s">
        <v>5566</v>
      </c>
      <c r="O920" s="225" t="s">
        <v>5896</v>
      </c>
      <c r="P920" s="225" t="s">
        <v>5897</v>
      </c>
      <c r="Q920" s="225" t="s">
        <v>5898</v>
      </c>
      <c r="R920" s="212" t="s">
        <v>2</v>
      </c>
      <c r="S920" s="213" t="s">
        <v>4771</v>
      </c>
      <c r="T920" s="233">
        <v>45594</v>
      </c>
      <c r="U920" s="234" t="s">
        <v>5822</v>
      </c>
      <c r="V920" s="234">
        <v>45632</v>
      </c>
      <c r="W920" s="234">
        <v>45639</v>
      </c>
      <c r="X920" s="234" t="s">
        <v>2</v>
      </c>
      <c r="Y920" s="224"/>
      <c r="Z920" s="224" t="s">
        <v>5035</v>
      </c>
      <c r="AA920" s="243">
        <v>202411</v>
      </c>
      <c r="AB920" s="243"/>
      <c r="AC920" s="244" t="s">
        <v>4800</v>
      </c>
      <c r="AD920" s="244" t="s">
        <v>4947</v>
      </c>
      <c r="AE920" s="245">
        <v>1</v>
      </c>
      <c r="AF920" s="244" t="s">
        <v>4947</v>
      </c>
      <c r="AG920" s="239" t="str">
        <f>IFERROR(VLOOKUP(작성용!A:A,RM!A:D,4,0),"-")</f>
        <v>조현우</v>
      </c>
      <c r="AH920" s="9" t="s">
        <v>4918</v>
      </c>
      <c r="AI920" s="235" t="s">
        <v>4737</v>
      </c>
      <c r="AJ920" s="235" t="s">
        <v>2</v>
      </c>
      <c r="AK920" s="235" t="s">
        <v>4777</v>
      </c>
      <c r="AL920" s="235">
        <v>919</v>
      </c>
    </row>
    <row r="921" spans="1:38" x14ac:dyDescent="0.3">
      <c r="A921" s="222" t="s">
        <v>2144</v>
      </c>
      <c r="B921" s="222" t="s">
        <v>2145</v>
      </c>
      <c r="C921" s="241" t="s">
        <v>4778</v>
      </c>
      <c r="D921" s="237" t="s">
        <v>5912</v>
      </c>
      <c r="E921" s="236">
        <v>1101130026301</v>
      </c>
      <c r="F921" s="240" t="s">
        <v>5200</v>
      </c>
      <c r="G921" s="242">
        <v>0</v>
      </c>
      <c r="H921" s="223" t="s">
        <v>4771</v>
      </c>
      <c r="I921" s="223"/>
      <c r="J921" s="231"/>
      <c r="K921" s="223"/>
      <c r="L921" s="223"/>
      <c r="M921" s="223"/>
      <c r="N921" s="240" t="s">
        <v>5566</v>
      </c>
      <c r="O921" s="225" t="s">
        <v>5896</v>
      </c>
      <c r="P921" s="225" t="s">
        <v>5897</v>
      </c>
      <c r="Q921" s="225" t="s">
        <v>5898</v>
      </c>
      <c r="R921" s="212" t="s">
        <v>2</v>
      </c>
      <c r="S921" s="213" t="s">
        <v>4771</v>
      </c>
      <c r="T921" s="233">
        <v>45594</v>
      </c>
      <c r="U921" s="234" t="s">
        <v>5822</v>
      </c>
      <c r="V921" s="234">
        <v>45632</v>
      </c>
      <c r="W921" s="234">
        <v>45639</v>
      </c>
      <c r="X921" s="234" t="s">
        <v>2</v>
      </c>
      <c r="Y921" s="224"/>
      <c r="Z921" s="224" t="s">
        <v>5035</v>
      </c>
      <c r="AA921" s="243">
        <v>202411</v>
      </c>
      <c r="AB921" s="243"/>
      <c r="AC921" s="244" t="s">
        <v>4800</v>
      </c>
      <c r="AD921" s="244" t="s">
        <v>4918</v>
      </c>
      <c r="AE921" s="245">
        <v>1</v>
      </c>
      <c r="AF921" s="244" t="s">
        <v>4918</v>
      </c>
      <c r="AG921" s="239" t="str">
        <f>IFERROR(VLOOKUP(작성용!A:A,RM!A:D,4,0),"-")</f>
        <v>조현우</v>
      </c>
      <c r="AH921" s="9" t="s">
        <v>4918</v>
      </c>
      <c r="AI921" s="235" t="s">
        <v>4737</v>
      </c>
      <c r="AJ921" s="235" t="s">
        <v>2</v>
      </c>
      <c r="AK921" s="235" t="s">
        <v>4777</v>
      </c>
      <c r="AL921" s="235">
        <v>920</v>
      </c>
    </row>
    <row r="922" spans="1:38" x14ac:dyDescent="0.3">
      <c r="A922" s="222" t="s">
        <v>2144</v>
      </c>
      <c r="B922" s="222" t="s">
        <v>2145</v>
      </c>
      <c r="C922" s="241" t="s">
        <v>4778</v>
      </c>
      <c r="D922" s="237" t="s">
        <v>5913</v>
      </c>
      <c r="E922" s="236">
        <v>1101130026377</v>
      </c>
      <c r="F922" s="240" t="s">
        <v>5200</v>
      </c>
      <c r="G922" s="242">
        <v>0</v>
      </c>
      <c r="H922" s="223" t="s">
        <v>4771</v>
      </c>
      <c r="I922" s="223"/>
      <c r="J922" s="231"/>
      <c r="K922" s="223"/>
      <c r="L922" s="223"/>
      <c r="M922" s="223"/>
      <c r="N922" s="240" t="s">
        <v>5566</v>
      </c>
      <c r="O922" s="225" t="s">
        <v>5896</v>
      </c>
      <c r="P922" s="225" t="s">
        <v>5897</v>
      </c>
      <c r="Q922" s="225" t="s">
        <v>5898</v>
      </c>
      <c r="R922" s="212" t="s">
        <v>2</v>
      </c>
      <c r="S922" s="213" t="s">
        <v>4771</v>
      </c>
      <c r="T922" s="233">
        <v>45594</v>
      </c>
      <c r="U922" s="234" t="s">
        <v>5822</v>
      </c>
      <c r="V922" s="234">
        <v>45632</v>
      </c>
      <c r="W922" s="234">
        <v>45639</v>
      </c>
      <c r="X922" s="234" t="s">
        <v>2</v>
      </c>
      <c r="Y922" s="224"/>
      <c r="Z922" s="224" t="s">
        <v>5035</v>
      </c>
      <c r="AA922" s="243">
        <v>202411</v>
      </c>
      <c r="AB922" s="243"/>
      <c r="AC922" s="244" t="s">
        <v>4800</v>
      </c>
      <c r="AD922" s="244" t="s">
        <v>4858</v>
      </c>
      <c r="AE922" s="245">
        <v>1</v>
      </c>
      <c r="AF922" s="244" t="s">
        <v>4858</v>
      </c>
      <c r="AG922" s="239" t="str">
        <f>IFERROR(VLOOKUP(작성용!A:A,RM!A:D,4,0),"-")</f>
        <v>조현우</v>
      </c>
      <c r="AH922" s="9" t="s">
        <v>4918</v>
      </c>
      <c r="AI922" s="235" t="s">
        <v>4737</v>
      </c>
      <c r="AJ922" s="235" t="s">
        <v>2</v>
      </c>
      <c r="AK922" s="235" t="s">
        <v>4777</v>
      </c>
      <c r="AL922" s="235">
        <v>921</v>
      </c>
    </row>
    <row r="923" spans="1:38" x14ac:dyDescent="0.3">
      <c r="A923" s="222" t="s">
        <v>2144</v>
      </c>
      <c r="B923" s="222" t="s">
        <v>2145</v>
      </c>
      <c r="C923" s="241" t="s">
        <v>4778</v>
      </c>
      <c r="D923" s="237" t="s">
        <v>5914</v>
      </c>
      <c r="E923" s="236">
        <v>1101130026864</v>
      </c>
      <c r="F923" s="240" t="s">
        <v>5200</v>
      </c>
      <c r="G923" s="242">
        <v>0</v>
      </c>
      <c r="H923" s="223" t="s">
        <v>4771</v>
      </c>
      <c r="I923" s="223"/>
      <c r="J923" s="231"/>
      <c r="K923" s="223"/>
      <c r="L923" s="223"/>
      <c r="M923" s="223"/>
      <c r="N923" s="240" t="s">
        <v>5566</v>
      </c>
      <c r="O923" s="225" t="s">
        <v>5896</v>
      </c>
      <c r="P923" s="225" t="s">
        <v>5897</v>
      </c>
      <c r="Q923" s="225" t="s">
        <v>5898</v>
      </c>
      <c r="R923" s="212" t="s">
        <v>2</v>
      </c>
      <c r="S923" s="213" t="s">
        <v>4771</v>
      </c>
      <c r="T923" s="233">
        <v>45594</v>
      </c>
      <c r="U923" s="234" t="s">
        <v>5822</v>
      </c>
      <c r="V923" s="234">
        <v>45632</v>
      </c>
      <c r="W923" s="234">
        <v>45639</v>
      </c>
      <c r="X923" s="234" t="s">
        <v>2</v>
      </c>
      <c r="Y923" s="224"/>
      <c r="Z923" s="224" t="s">
        <v>5035</v>
      </c>
      <c r="AA923" s="243">
        <v>202411</v>
      </c>
      <c r="AB923" s="243"/>
      <c r="AC923" s="244" t="s">
        <v>4800</v>
      </c>
      <c r="AD923" s="244" t="s">
        <v>4860</v>
      </c>
      <c r="AE923" s="245">
        <v>1</v>
      </c>
      <c r="AF923" s="244" t="s">
        <v>4860</v>
      </c>
      <c r="AG923" s="239" t="str">
        <f>IFERROR(VLOOKUP(작성용!A:A,RM!A:D,4,0),"-")</f>
        <v>조현우</v>
      </c>
      <c r="AH923" s="9" t="s">
        <v>4918</v>
      </c>
      <c r="AI923" s="235" t="s">
        <v>4737</v>
      </c>
      <c r="AJ923" s="235" t="s">
        <v>2</v>
      </c>
      <c r="AK923" s="235" t="s">
        <v>4777</v>
      </c>
      <c r="AL923" s="235">
        <v>922</v>
      </c>
    </row>
    <row r="924" spans="1:38" x14ac:dyDescent="0.3">
      <c r="A924" s="222" t="s">
        <v>2144</v>
      </c>
      <c r="B924" s="222" t="s">
        <v>2145</v>
      </c>
      <c r="C924" s="241" t="s">
        <v>4778</v>
      </c>
      <c r="D924" s="237" t="s">
        <v>5915</v>
      </c>
      <c r="E924" s="236" t="s">
        <v>4738</v>
      </c>
      <c r="F924" s="240" t="s">
        <v>5200</v>
      </c>
      <c r="G924" s="242">
        <v>0</v>
      </c>
      <c r="H924" s="223" t="s">
        <v>4771</v>
      </c>
      <c r="I924" s="223"/>
      <c r="J924" s="231"/>
      <c r="K924" s="223"/>
      <c r="L924" s="223"/>
      <c r="M924" s="223"/>
      <c r="N924" s="240" t="s">
        <v>5566</v>
      </c>
      <c r="O924" s="225" t="s">
        <v>5896</v>
      </c>
      <c r="P924" s="225" t="s">
        <v>5897</v>
      </c>
      <c r="Q924" s="225" t="s">
        <v>5898</v>
      </c>
      <c r="R924" s="212" t="s">
        <v>2</v>
      </c>
      <c r="S924" s="213" t="s">
        <v>4771</v>
      </c>
      <c r="T924" s="233">
        <v>45594</v>
      </c>
      <c r="U924" s="234" t="s">
        <v>5822</v>
      </c>
      <c r="V924" s="234">
        <v>45632</v>
      </c>
      <c r="W924" s="234">
        <v>45639</v>
      </c>
      <c r="X924" s="234" t="s">
        <v>2</v>
      </c>
      <c r="Y924" s="224"/>
      <c r="Z924" s="224" t="s">
        <v>5035</v>
      </c>
      <c r="AA924" s="243">
        <v>202411</v>
      </c>
      <c r="AB924" s="243"/>
      <c r="AC924" s="244" t="s">
        <v>4800</v>
      </c>
      <c r="AD924" s="244" t="s">
        <v>4980</v>
      </c>
      <c r="AE924" s="245">
        <v>1</v>
      </c>
      <c r="AF924" s="244" t="s">
        <v>4980</v>
      </c>
      <c r="AG924" s="239" t="str">
        <f>IFERROR(VLOOKUP(작성용!A:A,RM!A:D,4,0),"-")</f>
        <v>조현우</v>
      </c>
      <c r="AH924" s="9" t="s">
        <v>4918</v>
      </c>
      <c r="AI924" s="235" t="s">
        <v>4737</v>
      </c>
      <c r="AJ924" s="235" t="s">
        <v>2</v>
      </c>
      <c r="AK924" s="235" t="s">
        <v>4777</v>
      </c>
      <c r="AL924" s="235">
        <v>923</v>
      </c>
    </row>
    <row r="925" spans="1:38" x14ac:dyDescent="0.3">
      <c r="A925" s="222" t="s">
        <v>2144</v>
      </c>
      <c r="B925" s="222" t="s">
        <v>2145</v>
      </c>
      <c r="C925" s="241" t="s">
        <v>4778</v>
      </c>
      <c r="D925" s="237" t="s">
        <v>5916</v>
      </c>
      <c r="E925" s="236" t="s">
        <v>4739</v>
      </c>
      <c r="F925" s="240" t="s">
        <v>5200</v>
      </c>
      <c r="G925" s="242">
        <v>0</v>
      </c>
      <c r="H925" s="223" t="s">
        <v>4771</v>
      </c>
      <c r="I925" s="223"/>
      <c r="J925" s="231"/>
      <c r="K925" s="223"/>
      <c r="L925" s="223"/>
      <c r="M925" s="223"/>
      <c r="N925" s="240" t="s">
        <v>5566</v>
      </c>
      <c r="O925" s="225" t="s">
        <v>5896</v>
      </c>
      <c r="P925" s="225" t="s">
        <v>5897</v>
      </c>
      <c r="Q925" s="225" t="s">
        <v>5898</v>
      </c>
      <c r="R925" s="212" t="s">
        <v>2</v>
      </c>
      <c r="S925" s="213" t="s">
        <v>4771</v>
      </c>
      <c r="T925" s="233">
        <v>45594</v>
      </c>
      <c r="U925" s="234" t="s">
        <v>5822</v>
      </c>
      <c r="V925" s="234">
        <v>45632</v>
      </c>
      <c r="W925" s="234">
        <v>45639</v>
      </c>
      <c r="X925" s="234" t="s">
        <v>2</v>
      </c>
      <c r="Y925" s="224"/>
      <c r="Z925" s="224" t="s">
        <v>5035</v>
      </c>
      <c r="AA925" s="243">
        <v>202411</v>
      </c>
      <c r="AB925" s="243"/>
      <c r="AC925" s="244" t="s">
        <v>4800</v>
      </c>
      <c r="AD925" s="244" t="s">
        <v>4862</v>
      </c>
      <c r="AE925" s="245">
        <v>1</v>
      </c>
      <c r="AF925" s="244" t="s">
        <v>4862</v>
      </c>
      <c r="AG925" s="239" t="str">
        <f>IFERROR(VLOOKUP(작성용!A:A,RM!A:D,4,0),"-")</f>
        <v>조현우</v>
      </c>
      <c r="AH925" s="9" t="s">
        <v>4918</v>
      </c>
      <c r="AI925" s="235" t="s">
        <v>4737</v>
      </c>
      <c r="AJ925" s="235" t="s">
        <v>2</v>
      </c>
      <c r="AK925" s="235" t="s">
        <v>4777</v>
      </c>
      <c r="AL925" s="235">
        <v>924</v>
      </c>
    </row>
    <row r="926" spans="1:38" x14ac:dyDescent="0.3">
      <c r="A926" s="222" t="s">
        <v>2144</v>
      </c>
      <c r="B926" s="222" t="s">
        <v>2145</v>
      </c>
      <c r="C926" s="241" t="s">
        <v>4778</v>
      </c>
      <c r="D926" s="237" t="s">
        <v>5917</v>
      </c>
      <c r="E926" s="236">
        <v>1101130027755</v>
      </c>
      <c r="F926" s="240" t="s">
        <v>5200</v>
      </c>
      <c r="G926" s="242">
        <v>0</v>
      </c>
      <c r="H926" s="223" t="s">
        <v>4771</v>
      </c>
      <c r="I926" s="223"/>
      <c r="J926" s="231"/>
      <c r="K926" s="223"/>
      <c r="L926" s="223"/>
      <c r="M926" s="223"/>
      <c r="N926" s="240" t="s">
        <v>5566</v>
      </c>
      <c r="O926" s="225" t="s">
        <v>5896</v>
      </c>
      <c r="P926" s="225" t="s">
        <v>5897</v>
      </c>
      <c r="Q926" s="225" t="s">
        <v>5898</v>
      </c>
      <c r="R926" s="212" t="s">
        <v>2</v>
      </c>
      <c r="S926" s="213" t="s">
        <v>4771</v>
      </c>
      <c r="T926" s="233">
        <v>45594</v>
      </c>
      <c r="U926" s="234" t="s">
        <v>5822</v>
      </c>
      <c r="V926" s="234">
        <v>45632</v>
      </c>
      <c r="W926" s="234">
        <v>45639</v>
      </c>
      <c r="X926" s="234" t="s">
        <v>2</v>
      </c>
      <c r="Y926" s="224"/>
      <c r="Z926" s="224" t="s">
        <v>5035</v>
      </c>
      <c r="AA926" s="243">
        <v>202411</v>
      </c>
      <c r="AB926" s="243"/>
      <c r="AC926" s="244" t="s">
        <v>4800</v>
      </c>
      <c r="AD926" s="244" t="s">
        <v>4856</v>
      </c>
      <c r="AE926" s="245">
        <v>1</v>
      </c>
      <c r="AF926" s="244" t="s">
        <v>4856</v>
      </c>
      <c r="AG926" s="239" t="str">
        <f>IFERROR(VLOOKUP(작성용!A:A,RM!A:D,4,0),"-")</f>
        <v>조현우</v>
      </c>
      <c r="AH926" s="9" t="s">
        <v>4918</v>
      </c>
      <c r="AI926" s="235" t="s">
        <v>4737</v>
      </c>
      <c r="AJ926" s="235" t="s">
        <v>2</v>
      </c>
      <c r="AK926" s="235" t="s">
        <v>4777</v>
      </c>
      <c r="AL926" s="235">
        <v>925</v>
      </c>
    </row>
    <row r="927" spans="1:38" x14ac:dyDescent="0.3">
      <c r="A927" s="222" t="s">
        <v>2144</v>
      </c>
      <c r="B927" s="222" t="s">
        <v>2145</v>
      </c>
      <c r="C927" s="241" t="s">
        <v>4778</v>
      </c>
      <c r="D927" s="237" t="s">
        <v>5918</v>
      </c>
      <c r="E927" s="236">
        <v>1101130028349</v>
      </c>
      <c r="F927" s="240" t="s">
        <v>5200</v>
      </c>
      <c r="G927" s="242">
        <v>0</v>
      </c>
      <c r="H927" s="223" t="s">
        <v>4771</v>
      </c>
      <c r="I927" s="223"/>
      <c r="J927" s="231"/>
      <c r="K927" s="223"/>
      <c r="L927" s="223"/>
      <c r="M927" s="223"/>
      <c r="N927" s="240" t="s">
        <v>5566</v>
      </c>
      <c r="O927" s="225" t="s">
        <v>5896</v>
      </c>
      <c r="P927" s="225" t="s">
        <v>5897</v>
      </c>
      <c r="Q927" s="225" t="s">
        <v>5898</v>
      </c>
      <c r="R927" s="212" t="s">
        <v>2</v>
      </c>
      <c r="S927" s="213" t="s">
        <v>4771</v>
      </c>
      <c r="T927" s="233">
        <v>45594</v>
      </c>
      <c r="U927" s="234" t="s">
        <v>5822</v>
      </c>
      <c r="V927" s="234">
        <v>45632</v>
      </c>
      <c r="W927" s="234">
        <v>45639</v>
      </c>
      <c r="X927" s="234" t="s">
        <v>2</v>
      </c>
      <c r="Y927" s="224"/>
      <c r="Z927" s="224" t="s">
        <v>5035</v>
      </c>
      <c r="AA927" s="243">
        <v>202411</v>
      </c>
      <c r="AB927" s="243"/>
      <c r="AC927" s="244" t="s">
        <v>4800</v>
      </c>
      <c r="AD927" s="244" t="s">
        <v>4864</v>
      </c>
      <c r="AE927" s="245">
        <v>1</v>
      </c>
      <c r="AF927" s="244" t="s">
        <v>4864</v>
      </c>
      <c r="AG927" s="239" t="str">
        <f>IFERROR(VLOOKUP(작성용!A:A,RM!A:D,4,0),"-")</f>
        <v>조현우</v>
      </c>
      <c r="AH927" s="9" t="s">
        <v>4918</v>
      </c>
      <c r="AI927" s="235" t="s">
        <v>4737</v>
      </c>
      <c r="AJ927" s="235" t="s">
        <v>2</v>
      </c>
      <c r="AK927" s="235" t="s">
        <v>4777</v>
      </c>
      <c r="AL927" s="235">
        <v>926</v>
      </c>
    </row>
    <row r="928" spans="1:38" x14ac:dyDescent="0.3">
      <c r="A928" s="222" t="s">
        <v>2144</v>
      </c>
      <c r="B928" s="222" t="s">
        <v>2145</v>
      </c>
      <c r="C928" s="241" t="s">
        <v>4778</v>
      </c>
      <c r="D928" s="237" t="s">
        <v>5919</v>
      </c>
      <c r="E928" s="236">
        <v>1101130028365</v>
      </c>
      <c r="F928" s="240" t="s">
        <v>5200</v>
      </c>
      <c r="G928" s="242">
        <v>0</v>
      </c>
      <c r="H928" s="223" t="s">
        <v>4771</v>
      </c>
      <c r="I928" s="223"/>
      <c r="J928" s="231"/>
      <c r="K928" s="223"/>
      <c r="L928" s="223"/>
      <c r="M928" s="223"/>
      <c r="N928" s="240" t="s">
        <v>5566</v>
      </c>
      <c r="O928" s="225" t="s">
        <v>5896</v>
      </c>
      <c r="P928" s="225" t="s">
        <v>5897</v>
      </c>
      <c r="Q928" s="225" t="s">
        <v>5898</v>
      </c>
      <c r="R928" s="212" t="s">
        <v>2</v>
      </c>
      <c r="S928" s="213" t="s">
        <v>4771</v>
      </c>
      <c r="T928" s="233">
        <v>45594</v>
      </c>
      <c r="U928" s="234" t="s">
        <v>5822</v>
      </c>
      <c r="V928" s="234">
        <v>45632</v>
      </c>
      <c r="W928" s="234">
        <v>45639</v>
      </c>
      <c r="X928" s="234" t="s">
        <v>2</v>
      </c>
      <c r="Y928" s="224"/>
      <c r="Z928" s="224" t="s">
        <v>5035</v>
      </c>
      <c r="AA928" s="243">
        <v>202411</v>
      </c>
      <c r="AB928" s="243"/>
      <c r="AC928" s="244" t="s">
        <v>4800</v>
      </c>
      <c r="AD928" s="244" t="s">
        <v>4900</v>
      </c>
      <c r="AE928" s="245">
        <v>1</v>
      </c>
      <c r="AF928" s="244" t="s">
        <v>4900</v>
      </c>
      <c r="AG928" s="239" t="str">
        <f>IFERROR(VLOOKUP(작성용!A:A,RM!A:D,4,0),"-")</f>
        <v>조현우</v>
      </c>
      <c r="AH928" s="9" t="s">
        <v>4918</v>
      </c>
      <c r="AI928" s="235" t="s">
        <v>4737</v>
      </c>
      <c r="AJ928" s="235" t="s">
        <v>2</v>
      </c>
      <c r="AK928" s="235" t="s">
        <v>4777</v>
      </c>
      <c r="AL928" s="235">
        <v>927</v>
      </c>
    </row>
    <row r="929" spans="1:38" x14ac:dyDescent="0.3">
      <c r="A929" s="222" t="s">
        <v>2144</v>
      </c>
      <c r="B929" s="222" t="s">
        <v>2145</v>
      </c>
      <c r="C929" s="241" t="s">
        <v>4778</v>
      </c>
      <c r="D929" s="237" t="s">
        <v>5920</v>
      </c>
      <c r="E929" s="236">
        <v>1101130028539</v>
      </c>
      <c r="F929" s="240" t="s">
        <v>5200</v>
      </c>
      <c r="G929" s="242">
        <v>0</v>
      </c>
      <c r="H929" s="223" t="s">
        <v>4771</v>
      </c>
      <c r="I929" s="223"/>
      <c r="J929" s="231"/>
      <c r="K929" s="223"/>
      <c r="L929" s="223"/>
      <c r="M929" s="223"/>
      <c r="N929" s="240" t="s">
        <v>5566</v>
      </c>
      <c r="O929" s="225" t="s">
        <v>5896</v>
      </c>
      <c r="P929" s="225" t="s">
        <v>5897</v>
      </c>
      <c r="Q929" s="225" t="s">
        <v>5898</v>
      </c>
      <c r="R929" s="212" t="s">
        <v>2</v>
      </c>
      <c r="S929" s="213" t="s">
        <v>4771</v>
      </c>
      <c r="T929" s="233">
        <v>45594</v>
      </c>
      <c r="U929" s="234" t="s">
        <v>5822</v>
      </c>
      <c r="V929" s="234">
        <v>45632</v>
      </c>
      <c r="W929" s="234">
        <v>45639</v>
      </c>
      <c r="X929" s="234" t="s">
        <v>2</v>
      </c>
      <c r="Y929" s="224"/>
      <c r="Z929" s="224" t="s">
        <v>5035</v>
      </c>
      <c r="AA929" s="243">
        <v>202411</v>
      </c>
      <c r="AB929" s="243"/>
      <c r="AC929" s="244" t="s">
        <v>4800</v>
      </c>
      <c r="AD929" s="244" t="s">
        <v>4860</v>
      </c>
      <c r="AE929" s="245">
        <v>1</v>
      </c>
      <c r="AF929" s="244" t="s">
        <v>4860</v>
      </c>
      <c r="AG929" s="239" t="str">
        <f>IFERROR(VLOOKUP(작성용!A:A,RM!A:D,4,0),"-")</f>
        <v>조현우</v>
      </c>
      <c r="AH929" s="9" t="s">
        <v>4918</v>
      </c>
      <c r="AI929" s="235" t="s">
        <v>4737</v>
      </c>
      <c r="AJ929" s="235" t="s">
        <v>2</v>
      </c>
      <c r="AK929" s="235" t="s">
        <v>4777</v>
      </c>
      <c r="AL929" s="235">
        <v>928</v>
      </c>
    </row>
    <row r="930" spans="1:38" x14ac:dyDescent="0.3">
      <c r="A930" s="222" t="s">
        <v>2144</v>
      </c>
      <c r="B930" s="222" t="s">
        <v>2145</v>
      </c>
      <c r="C930" s="241" t="s">
        <v>4778</v>
      </c>
      <c r="D930" s="237" t="s">
        <v>5921</v>
      </c>
      <c r="E930" s="236">
        <v>1101130029355</v>
      </c>
      <c r="F930" s="240" t="s">
        <v>5200</v>
      </c>
      <c r="G930" s="242">
        <v>0</v>
      </c>
      <c r="H930" s="223" t="s">
        <v>4771</v>
      </c>
      <c r="I930" s="223"/>
      <c r="J930" s="231"/>
      <c r="K930" s="223"/>
      <c r="L930" s="223"/>
      <c r="M930" s="223"/>
      <c r="N930" s="240" t="s">
        <v>5566</v>
      </c>
      <c r="O930" s="225" t="s">
        <v>5896</v>
      </c>
      <c r="P930" s="225" t="s">
        <v>5897</v>
      </c>
      <c r="Q930" s="225" t="s">
        <v>5898</v>
      </c>
      <c r="R930" s="212" t="s">
        <v>2</v>
      </c>
      <c r="S930" s="213" t="s">
        <v>4771</v>
      </c>
      <c r="T930" s="233">
        <v>45594</v>
      </c>
      <c r="U930" s="234" t="s">
        <v>5822</v>
      </c>
      <c r="V930" s="234">
        <v>45632</v>
      </c>
      <c r="W930" s="234">
        <v>45639</v>
      </c>
      <c r="X930" s="234" t="s">
        <v>2</v>
      </c>
      <c r="Y930" s="224"/>
      <c r="Z930" s="224" t="s">
        <v>5035</v>
      </c>
      <c r="AA930" s="243">
        <v>202411</v>
      </c>
      <c r="AB930" s="243"/>
      <c r="AC930" s="244" t="s">
        <v>4800</v>
      </c>
      <c r="AD930" s="244" t="s">
        <v>4915</v>
      </c>
      <c r="AE930" s="245">
        <v>1</v>
      </c>
      <c r="AF930" s="244" t="s">
        <v>4915</v>
      </c>
      <c r="AG930" s="239" t="str">
        <f>IFERROR(VLOOKUP(작성용!A:A,RM!A:D,4,0),"-")</f>
        <v>조현우</v>
      </c>
      <c r="AH930" s="9" t="s">
        <v>4918</v>
      </c>
      <c r="AI930" s="235" t="s">
        <v>4737</v>
      </c>
      <c r="AJ930" s="235" t="s">
        <v>2</v>
      </c>
      <c r="AK930" s="235" t="s">
        <v>4777</v>
      </c>
      <c r="AL930" s="235">
        <v>929</v>
      </c>
    </row>
    <row r="931" spans="1:38" x14ac:dyDescent="0.3">
      <c r="A931" s="222" t="s">
        <v>2144</v>
      </c>
      <c r="B931" s="222" t="s">
        <v>2145</v>
      </c>
      <c r="C931" s="241" t="s">
        <v>4778</v>
      </c>
      <c r="D931" s="237" t="s">
        <v>5922</v>
      </c>
      <c r="E931" s="236">
        <v>1101130029016</v>
      </c>
      <c r="F931" s="240" t="s">
        <v>5200</v>
      </c>
      <c r="G931" s="242">
        <v>0</v>
      </c>
      <c r="H931" s="223" t="s">
        <v>4771</v>
      </c>
      <c r="I931" s="223"/>
      <c r="J931" s="231"/>
      <c r="K931" s="223"/>
      <c r="L931" s="223"/>
      <c r="M931" s="223"/>
      <c r="N931" s="240" t="s">
        <v>5566</v>
      </c>
      <c r="O931" s="225" t="s">
        <v>5896</v>
      </c>
      <c r="P931" s="225" t="s">
        <v>5897</v>
      </c>
      <c r="Q931" s="225" t="s">
        <v>5898</v>
      </c>
      <c r="R931" s="212" t="s">
        <v>2</v>
      </c>
      <c r="S931" s="213" t="s">
        <v>4771</v>
      </c>
      <c r="T931" s="233">
        <v>45594</v>
      </c>
      <c r="U931" s="234" t="s">
        <v>5822</v>
      </c>
      <c r="V931" s="234">
        <v>45632</v>
      </c>
      <c r="W931" s="234">
        <v>45639</v>
      </c>
      <c r="X931" s="234" t="s">
        <v>2</v>
      </c>
      <c r="Y931" s="224"/>
      <c r="Z931" s="224" t="s">
        <v>5035</v>
      </c>
      <c r="AA931" s="243">
        <v>202411</v>
      </c>
      <c r="AB931" s="243"/>
      <c r="AC931" s="244" t="s">
        <v>4800</v>
      </c>
      <c r="AD931" s="244" t="s">
        <v>4897</v>
      </c>
      <c r="AE931" s="245">
        <v>1</v>
      </c>
      <c r="AF931" s="244" t="s">
        <v>4897</v>
      </c>
      <c r="AG931" s="239" t="str">
        <f>IFERROR(VLOOKUP(작성용!A:A,RM!A:D,4,0),"-")</f>
        <v>조현우</v>
      </c>
      <c r="AH931" s="9" t="s">
        <v>4918</v>
      </c>
      <c r="AI931" s="235" t="s">
        <v>4737</v>
      </c>
      <c r="AJ931" s="235" t="s">
        <v>2</v>
      </c>
      <c r="AK931" s="235" t="s">
        <v>4777</v>
      </c>
      <c r="AL931" s="235">
        <v>930</v>
      </c>
    </row>
    <row r="932" spans="1:38" x14ac:dyDescent="0.3">
      <c r="A932" s="222" t="s">
        <v>2144</v>
      </c>
      <c r="B932" s="222" t="s">
        <v>2145</v>
      </c>
      <c r="C932" s="241" t="s">
        <v>4778</v>
      </c>
      <c r="D932" s="237" t="s">
        <v>5923</v>
      </c>
      <c r="E932" s="236">
        <v>1101130029917</v>
      </c>
      <c r="F932" s="240" t="s">
        <v>5200</v>
      </c>
      <c r="G932" s="242">
        <v>0</v>
      </c>
      <c r="H932" s="223" t="s">
        <v>4771</v>
      </c>
      <c r="I932" s="223"/>
      <c r="J932" s="231"/>
      <c r="K932" s="223"/>
      <c r="L932" s="223"/>
      <c r="M932" s="223"/>
      <c r="N932" s="240" t="s">
        <v>5566</v>
      </c>
      <c r="O932" s="225" t="s">
        <v>5896</v>
      </c>
      <c r="P932" s="225" t="s">
        <v>5897</v>
      </c>
      <c r="Q932" s="225" t="s">
        <v>5898</v>
      </c>
      <c r="R932" s="212" t="s">
        <v>2</v>
      </c>
      <c r="S932" s="213" t="s">
        <v>4771</v>
      </c>
      <c r="T932" s="233">
        <v>45594</v>
      </c>
      <c r="U932" s="234" t="s">
        <v>5822</v>
      </c>
      <c r="V932" s="234">
        <v>45632</v>
      </c>
      <c r="W932" s="234">
        <v>45639</v>
      </c>
      <c r="X932" s="234" t="s">
        <v>2</v>
      </c>
      <c r="Y932" s="224"/>
      <c r="Z932" s="224" t="s">
        <v>5035</v>
      </c>
      <c r="AA932" s="243">
        <v>202411</v>
      </c>
      <c r="AB932" s="243"/>
      <c r="AC932" s="244" t="s">
        <v>4800</v>
      </c>
      <c r="AD932" s="244" t="s">
        <v>4937</v>
      </c>
      <c r="AE932" s="245">
        <v>1</v>
      </c>
      <c r="AF932" s="244" t="s">
        <v>4937</v>
      </c>
      <c r="AG932" s="239" t="str">
        <f>IFERROR(VLOOKUP(작성용!A:A,RM!A:D,4,0),"-")</f>
        <v>조현우</v>
      </c>
      <c r="AH932" s="9" t="s">
        <v>4918</v>
      </c>
      <c r="AI932" s="235" t="s">
        <v>4737</v>
      </c>
      <c r="AJ932" s="235" t="s">
        <v>2</v>
      </c>
      <c r="AK932" s="235" t="s">
        <v>4777</v>
      </c>
      <c r="AL932" s="235">
        <v>931</v>
      </c>
    </row>
    <row r="933" spans="1:38" x14ac:dyDescent="0.3">
      <c r="A933" s="222" t="s">
        <v>2144</v>
      </c>
      <c r="B933" s="222" t="s">
        <v>2145</v>
      </c>
      <c r="C933" s="241" t="s">
        <v>4778</v>
      </c>
      <c r="D933" s="237" t="s">
        <v>5924</v>
      </c>
      <c r="E933" s="236">
        <v>1101130030005</v>
      </c>
      <c r="F933" s="240" t="s">
        <v>5200</v>
      </c>
      <c r="G933" s="242">
        <v>0</v>
      </c>
      <c r="H933" s="223" t="s">
        <v>4771</v>
      </c>
      <c r="I933" s="223"/>
      <c r="J933" s="231"/>
      <c r="K933" s="223"/>
      <c r="L933" s="223"/>
      <c r="M933" s="223"/>
      <c r="N933" s="240" t="s">
        <v>5566</v>
      </c>
      <c r="O933" s="225" t="s">
        <v>5896</v>
      </c>
      <c r="P933" s="225" t="s">
        <v>5897</v>
      </c>
      <c r="Q933" s="225" t="s">
        <v>5898</v>
      </c>
      <c r="R933" s="212" t="s">
        <v>2</v>
      </c>
      <c r="S933" s="213" t="s">
        <v>4771</v>
      </c>
      <c r="T933" s="233">
        <v>45594</v>
      </c>
      <c r="U933" s="234" t="s">
        <v>5822</v>
      </c>
      <c r="V933" s="234">
        <v>45632</v>
      </c>
      <c r="W933" s="234">
        <v>45639</v>
      </c>
      <c r="X933" s="234" t="s">
        <v>2</v>
      </c>
      <c r="Y933" s="224"/>
      <c r="Z933" s="224" t="s">
        <v>5035</v>
      </c>
      <c r="AA933" s="243">
        <v>202411</v>
      </c>
      <c r="AB933" s="243"/>
      <c r="AC933" s="244" t="s">
        <v>4800</v>
      </c>
      <c r="AD933" s="244" t="s">
        <v>4947</v>
      </c>
      <c r="AE933" s="245">
        <v>1</v>
      </c>
      <c r="AF933" s="244" t="s">
        <v>4947</v>
      </c>
      <c r="AG933" s="239" t="str">
        <f>IFERROR(VLOOKUP(작성용!A:A,RM!A:D,4,0),"-")</f>
        <v>조현우</v>
      </c>
      <c r="AH933" s="9" t="s">
        <v>4918</v>
      </c>
      <c r="AI933" s="235" t="s">
        <v>4737</v>
      </c>
      <c r="AJ933" s="235" t="s">
        <v>2</v>
      </c>
      <c r="AK933" s="235" t="s">
        <v>4777</v>
      </c>
      <c r="AL933" s="235">
        <v>932</v>
      </c>
    </row>
    <row r="934" spans="1:38" x14ac:dyDescent="0.3">
      <c r="A934" s="222" t="s">
        <v>2144</v>
      </c>
      <c r="B934" s="222" t="s">
        <v>2145</v>
      </c>
      <c r="C934" s="241" t="s">
        <v>4778</v>
      </c>
      <c r="D934" s="237" t="s">
        <v>5925</v>
      </c>
      <c r="E934" s="236">
        <v>1101130030120</v>
      </c>
      <c r="F934" s="240" t="s">
        <v>5200</v>
      </c>
      <c r="G934" s="242">
        <v>0</v>
      </c>
      <c r="H934" s="223" t="s">
        <v>4771</v>
      </c>
      <c r="I934" s="223"/>
      <c r="J934" s="231"/>
      <c r="K934" s="223"/>
      <c r="L934" s="223"/>
      <c r="M934" s="223"/>
      <c r="N934" s="240" t="s">
        <v>5566</v>
      </c>
      <c r="O934" s="225" t="s">
        <v>5896</v>
      </c>
      <c r="P934" s="225" t="s">
        <v>5897</v>
      </c>
      <c r="Q934" s="225" t="s">
        <v>5898</v>
      </c>
      <c r="R934" s="212" t="s">
        <v>2</v>
      </c>
      <c r="S934" s="213" t="s">
        <v>4771</v>
      </c>
      <c r="T934" s="233">
        <v>45594</v>
      </c>
      <c r="U934" s="234" t="s">
        <v>5822</v>
      </c>
      <c r="V934" s="234">
        <v>45632</v>
      </c>
      <c r="W934" s="234">
        <v>45639</v>
      </c>
      <c r="X934" s="234" t="s">
        <v>2</v>
      </c>
      <c r="Y934" s="224"/>
      <c r="Z934" s="224" t="s">
        <v>5035</v>
      </c>
      <c r="AA934" s="243">
        <v>202411</v>
      </c>
      <c r="AB934" s="243"/>
      <c r="AC934" s="244" t="s">
        <v>4800</v>
      </c>
      <c r="AD934" s="244" t="s">
        <v>4935</v>
      </c>
      <c r="AE934" s="245">
        <v>1</v>
      </c>
      <c r="AF934" s="244" t="s">
        <v>4935</v>
      </c>
      <c r="AG934" s="239" t="str">
        <f>IFERROR(VLOOKUP(작성용!A:A,RM!A:D,4,0),"-")</f>
        <v>조현우</v>
      </c>
      <c r="AH934" s="9" t="s">
        <v>4918</v>
      </c>
      <c r="AI934" s="235" t="s">
        <v>4737</v>
      </c>
      <c r="AJ934" s="235" t="s">
        <v>2</v>
      </c>
      <c r="AK934" s="235" t="s">
        <v>4777</v>
      </c>
      <c r="AL934" s="235">
        <v>933</v>
      </c>
    </row>
    <row r="935" spans="1:38" x14ac:dyDescent="0.3">
      <c r="A935" s="222" t="s">
        <v>2144</v>
      </c>
      <c r="B935" s="222" t="s">
        <v>2145</v>
      </c>
      <c r="C935" s="241" t="s">
        <v>4778</v>
      </c>
      <c r="D935" s="237" t="s">
        <v>5926</v>
      </c>
      <c r="E935" s="236">
        <v>1101130028935</v>
      </c>
      <c r="F935" s="240" t="s">
        <v>5200</v>
      </c>
      <c r="G935" s="242">
        <v>0</v>
      </c>
      <c r="H935" s="223" t="s">
        <v>4771</v>
      </c>
      <c r="I935" s="223"/>
      <c r="J935" s="231"/>
      <c r="K935" s="223"/>
      <c r="L935" s="223"/>
      <c r="M935" s="223"/>
      <c r="N935" s="240" t="s">
        <v>5566</v>
      </c>
      <c r="O935" s="225" t="s">
        <v>5896</v>
      </c>
      <c r="P935" s="225" t="s">
        <v>5897</v>
      </c>
      <c r="Q935" s="225" t="s">
        <v>5898</v>
      </c>
      <c r="R935" s="212" t="s">
        <v>2</v>
      </c>
      <c r="S935" s="213" t="s">
        <v>4771</v>
      </c>
      <c r="T935" s="233">
        <v>45594</v>
      </c>
      <c r="U935" s="234" t="s">
        <v>5822</v>
      </c>
      <c r="V935" s="234">
        <v>45632</v>
      </c>
      <c r="W935" s="234">
        <v>45639</v>
      </c>
      <c r="X935" s="234" t="s">
        <v>2</v>
      </c>
      <c r="Y935" s="224"/>
      <c r="Z935" s="224" t="s">
        <v>5035</v>
      </c>
      <c r="AA935" s="243">
        <v>202411</v>
      </c>
      <c r="AB935" s="243"/>
      <c r="AC935" s="244" t="s">
        <v>4800</v>
      </c>
      <c r="AD935" s="244" t="s">
        <v>4846</v>
      </c>
      <c r="AE935" s="245">
        <v>1</v>
      </c>
      <c r="AF935" s="244" t="s">
        <v>4846</v>
      </c>
      <c r="AG935" s="239" t="str">
        <f>IFERROR(VLOOKUP(작성용!A:A,RM!A:D,4,0),"-")</f>
        <v>조현우</v>
      </c>
      <c r="AH935" s="9" t="s">
        <v>4918</v>
      </c>
      <c r="AI935" s="235" t="s">
        <v>4737</v>
      </c>
      <c r="AJ935" s="235" t="s">
        <v>2</v>
      </c>
      <c r="AK935" s="235" t="s">
        <v>4777</v>
      </c>
      <c r="AL935" s="235">
        <v>934</v>
      </c>
    </row>
    <row r="936" spans="1:38" x14ac:dyDescent="0.3">
      <c r="A936" s="222" t="s">
        <v>2144</v>
      </c>
      <c r="B936" s="222" t="s">
        <v>2145</v>
      </c>
      <c r="C936" s="241" t="s">
        <v>4778</v>
      </c>
      <c r="D936" s="237" t="s">
        <v>5927</v>
      </c>
      <c r="E936" s="236">
        <v>1101130030617</v>
      </c>
      <c r="F936" s="240" t="s">
        <v>5200</v>
      </c>
      <c r="G936" s="242">
        <v>0</v>
      </c>
      <c r="H936" s="223" t="s">
        <v>4771</v>
      </c>
      <c r="I936" s="223"/>
      <c r="J936" s="231"/>
      <c r="K936" s="223"/>
      <c r="L936" s="223"/>
      <c r="M936" s="223"/>
      <c r="N936" s="240" t="s">
        <v>5566</v>
      </c>
      <c r="O936" s="225" t="s">
        <v>5896</v>
      </c>
      <c r="P936" s="225" t="s">
        <v>5897</v>
      </c>
      <c r="Q936" s="225" t="s">
        <v>5898</v>
      </c>
      <c r="R936" s="212" t="s">
        <v>2</v>
      </c>
      <c r="S936" s="213" t="s">
        <v>4771</v>
      </c>
      <c r="T936" s="233">
        <v>45594</v>
      </c>
      <c r="U936" s="234" t="s">
        <v>5822</v>
      </c>
      <c r="V936" s="234">
        <v>45632</v>
      </c>
      <c r="W936" s="234">
        <v>45639</v>
      </c>
      <c r="X936" s="234" t="s">
        <v>2</v>
      </c>
      <c r="Y936" s="224"/>
      <c r="Z936" s="224" t="s">
        <v>5035</v>
      </c>
      <c r="AA936" s="243">
        <v>202411</v>
      </c>
      <c r="AB936" s="243"/>
      <c r="AC936" s="244" t="s">
        <v>4800</v>
      </c>
      <c r="AD936" s="244" t="s">
        <v>4937</v>
      </c>
      <c r="AE936" s="245">
        <v>1</v>
      </c>
      <c r="AF936" s="244" t="s">
        <v>4937</v>
      </c>
      <c r="AG936" s="239" t="str">
        <f>IFERROR(VLOOKUP(작성용!A:A,RM!A:D,4,0),"-")</f>
        <v>조현우</v>
      </c>
      <c r="AH936" s="9" t="s">
        <v>4918</v>
      </c>
      <c r="AI936" s="235" t="s">
        <v>4737</v>
      </c>
      <c r="AJ936" s="235" t="s">
        <v>2</v>
      </c>
      <c r="AK936" s="235" t="s">
        <v>4777</v>
      </c>
      <c r="AL936" s="235">
        <v>935</v>
      </c>
    </row>
    <row r="937" spans="1:38" x14ac:dyDescent="0.3">
      <c r="A937" s="222" t="s">
        <v>2144</v>
      </c>
      <c r="B937" s="222" t="s">
        <v>2145</v>
      </c>
      <c r="C937" s="241" t="s">
        <v>4778</v>
      </c>
      <c r="D937" s="237" t="s">
        <v>5928</v>
      </c>
      <c r="E937" s="236">
        <v>1101130031714</v>
      </c>
      <c r="F937" s="240" t="s">
        <v>5200</v>
      </c>
      <c r="G937" s="242">
        <v>0</v>
      </c>
      <c r="H937" s="223" t="s">
        <v>4771</v>
      </c>
      <c r="I937" s="223"/>
      <c r="J937" s="231"/>
      <c r="K937" s="223"/>
      <c r="L937" s="223"/>
      <c r="M937" s="223"/>
      <c r="N937" s="240" t="s">
        <v>5566</v>
      </c>
      <c r="O937" s="225" t="s">
        <v>5896</v>
      </c>
      <c r="P937" s="225" t="s">
        <v>5897</v>
      </c>
      <c r="Q937" s="225" t="s">
        <v>5898</v>
      </c>
      <c r="R937" s="212" t="s">
        <v>2</v>
      </c>
      <c r="S937" s="213" t="s">
        <v>4771</v>
      </c>
      <c r="T937" s="233">
        <v>45594</v>
      </c>
      <c r="U937" s="234" t="s">
        <v>5822</v>
      </c>
      <c r="V937" s="234">
        <v>45632</v>
      </c>
      <c r="W937" s="234">
        <v>45639</v>
      </c>
      <c r="X937" s="234" t="s">
        <v>2</v>
      </c>
      <c r="Y937" s="224"/>
      <c r="Z937" s="224" t="s">
        <v>5035</v>
      </c>
      <c r="AA937" s="243">
        <v>202411</v>
      </c>
      <c r="AB937" s="243"/>
      <c r="AC937" s="244" t="s">
        <v>4800</v>
      </c>
      <c r="AD937" s="244" t="s">
        <v>4856</v>
      </c>
      <c r="AE937" s="245">
        <v>1</v>
      </c>
      <c r="AF937" s="244" t="s">
        <v>4856</v>
      </c>
      <c r="AG937" s="239" t="str">
        <f>IFERROR(VLOOKUP(작성용!A:A,RM!A:D,4,0),"-")</f>
        <v>조현우</v>
      </c>
      <c r="AH937" s="9" t="s">
        <v>4918</v>
      </c>
      <c r="AI937" s="235" t="s">
        <v>4737</v>
      </c>
      <c r="AJ937" s="235" t="s">
        <v>2</v>
      </c>
      <c r="AK937" s="235" t="s">
        <v>4777</v>
      </c>
      <c r="AL937" s="235">
        <v>936</v>
      </c>
    </row>
    <row r="938" spans="1:38" x14ac:dyDescent="0.3">
      <c r="A938" s="222" t="s">
        <v>2144</v>
      </c>
      <c r="B938" s="222" t="s">
        <v>2145</v>
      </c>
      <c r="C938" s="241" t="s">
        <v>4778</v>
      </c>
      <c r="D938" s="237" t="s">
        <v>5929</v>
      </c>
      <c r="E938" s="236">
        <v>1101130031558</v>
      </c>
      <c r="F938" s="240" t="s">
        <v>5200</v>
      </c>
      <c r="G938" s="242">
        <v>0</v>
      </c>
      <c r="H938" s="223" t="s">
        <v>4771</v>
      </c>
      <c r="I938" s="223"/>
      <c r="J938" s="231"/>
      <c r="K938" s="223"/>
      <c r="L938" s="223"/>
      <c r="M938" s="223"/>
      <c r="N938" s="240" t="s">
        <v>5566</v>
      </c>
      <c r="O938" s="225" t="s">
        <v>5896</v>
      </c>
      <c r="P938" s="225" t="s">
        <v>5897</v>
      </c>
      <c r="Q938" s="225" t="s">
        <v>5898</v>
      </c>
      <c r="R938" s="212" t="s">
        <v>2</v>
      </c>
      <c r="S938" s="213" t="s">
        <v>4771</v>
      </c>
      <c r="T938" s="233">
        <v>45594</v>
      </c>
      <c r="U938" s="234" t="s">
        <v>4772</v>
      </c>
      <c r="V938" s="234">
        <v>45664</v>
      </c>
      <c r="W938" s="234">
        <v>45671</v>
      </c>
      <c r="X938" s="234" t="s">
        <v>2</v>
      </c>
      <c r="Y938" s="224"/>
      <c r="Z938" s="224" t="s">
        <v>5035</v>
      </c>
      <c r="AA938" s="243">
        <v>202411</v>
      </c>
      <c r="AB938" s="243"/>
      <c r="AC938" s="244" t="s">
        <v>4800</v>
      </c>
      <c r="AD938" s="244" t="s">
        <v>4845</v>
      </c>
      <c r="AE938" s="245">
        <v>1</v>
      </c>
      <c r="AF938" s="244" t="s">
        <v>4845</v>
      </c>
      <c r="AG938" s="239" t="str">
        <f>IFERROR(VLOOKUP(작성용!A:A,RM!A:D,4,0),"-")</f>
        <v>조현우</v>
      </c>
      <c r="AH938" s="9" t="s">
        <v>4918</v>
      </c>
      <c r="AI938" s="235" t="s">
        <v>4737</v>
      </c>
      <c r="AJ938" s="235" t="s">
        <v>2</v>
      </c>
      <c r="AK938" s="235" t="s">
        <v>4777</v>
      </c>
      <c r="AL938" s="235">
        <v>937</v>
      </c>
    </row>
    <row r="939" spans="1:38" x14ac:dyDescent="0.3">
      <c r="A939" s="222" t="s">
        <v>2144</v>
      </c>
      <c r="B939" s="222" t="s">
        <v>2145</v>
      </c>
      <c r="C939" s="241" t="s">
        <v>4778</v>
      </c>
      <c r="D939" s="237" t="s">
        <v>5930</v>
      </c>
      <c r="E939" s="236">
        <v>1101130031996</v>
      </c>
      <c r="F939" s="240" t="s">
        <v>5200</v>
      </c>
      <c r="G939" s="242">
        <v>0</v>
      </c>
      <c r="H939" s="223" t="s">
        <v>4771</v>
      </c>
      <c r="I939" s="223"/>
      <c r="J939" s="231"/>
      <c r="K939" s="223"/>
      <c r="L939" s="223"/>
      <c r="M939" s="223"/>
      <c r="N939" s="240" t="s">
        <v>5566</v>
      </c>
      <c r="O939" s="225" t="s">
        <v>5896</v>
      </c>
      <c r="P939" s="225" t="s">
        <v>5897</v>
      </c>
      <c r="Q939" s="225" t="s">
        <v>5898</v>
      </c>
      <c r="R939" s="212" t="s">
        <v>2</v>
      </c>
      <c r="S939" s="213" t="s">
        <v>4771</v>
      </c>
      <c r="T939" s="233">
        <v>45594</v>
      </c>
      <c r="U939" s="234" t="s">
        <v>5822</v>
      </c>
      <c r="V939" s="234">
        <v>45632</v>
      </c>
      <c r="W939" s="234">
        <v>45639</v>
      </c>
      <c r="X939" s="234" t="s">
        <v>2</v>
      </c>
      <c r="Y939" s="224"/>
      <c r="Z939" s="224" t="s">
        <v>5035</v>
      </c>
      <c r="AA939" s="243">
        <v>202411</v>
      </c>
      <c r="AB939" s="243"/>
      <c r="AC939" s="244" t="s">
        <v>4800</v>
      </c>
      <c r="AD939" s="244" t="s">
        <v>4845</v>
      </c>
      <c r="AE939" s="245">
        <v>1</v>
      </c>
      <c r="AF939" s="244" t="s">
        <v>4845</v>
      </c>
      <c r="AG939" s="239" t="str">
        <f>IFERROR(VLOOKUP(작성용!A:A,RM!A:D,4,0),"-")</f>
        <v>조현우</v>
      </c>
      <c r="AH939" s="9" t="s">
        <v>4918</v>
      </c>
      <c r="AI939" s="235" t="s">
        <v>4737</v>
      </c>
      <c r="AJ939" s="235" t="s">
        <v>2</v>
      </c>
      <c r="AK939" s="235" t="s">
        <v>4777</v>
      </c>
      <c r="AL939" s="235">
        <v>938</v>
      </c>
    </row>
    <row r="940" spans="1:38" x14ac:dyDescent="0.3">
      <c r="A940" s="222" t="s">
        <v>2144</v>
      </c>
      <c r="B940" s="222" t="s">
        <v>2145</v>
      </c>
      <c r="C940" s="241" t="s">
        <v>4778</v>
      </c>
      <c r="D940" s="237" t="s">
        <v>5931</v>
      </c>
      <c r="E940" s="236">
        <v>1101130032530</v>
      </c>
      <c r="F940" s="240" t="s">
        <v>5200</v>
      </c>
      <c r="G940" s="242">
        <v>0</v>
      </c>
      <c r="H940" s="223" t="s">
        <v>4771</v>
      </c>
      <c r="I940" s="223"/>
      <c r="J940" s="231"/>
      <c r="K940" s="223"/>
      <c r="L940" s="223"/>
      <c r="M940" s="223"/>
      <c r="N940" s="240" t="s">
        <v>5566</v>
      </c>
      <c r="O940" s="225" t="s">
        <v>5896</v>
      </c>
      <c r="P940" s="225" t="s">
        <v>5897</v>
      </c>
      <c r="Q940" s="225" t="s">
        <v>5898</v>
      </c>
      <c r="R940" s="212" t="s">
        <v>2</v>
      </c>
      <c r="S940" s="213" t="s">
        <v>4771</v>
      </c>
      <c r="T940" s="233">
        <v>45594</v>
      </c>
      <c r="U940" s="234" t="s">
        <v>5822</v>
      </c>
      <c r="V940" s="234">
        <v>45632</v>
      </c>
      <c r="W940" s="234">
        <v>45639</v>
      </c>
      <c r="X940" s="234" t="s">
        <v>2</v>
      </c>
      <c r="Y940" s="224"/>
      <c r="Z940" s="224" t="s">
        <v>5035</v>
      </c>
      <c r="AA940" s="243">
        <v>202411</v>
      </c>
      <c r="AB940" s="243"/>
      <c r="AC940" s="244" t="s">
        <v>4800</v>
      </c>
      <c r="AD940" s="244" t="s">
        <v>4918</v>
      </c>
      <c r="AE940" s="245">
        <v>1</v>
      </c>
      <c r="AF940" s="244" t="s">
        <v>4918</v>
      </c>
      <c r="AG940" s="239" t="str">
        <f>IFERROR(VLOOKUP(작성용!A:A,RM!A:D,4,0),"-")</f>
        <v>조현우</v>
      </c>
      <c r="AH940" s="9" t="s">
        <v>4918</v>
      </c>
      <c r="AI940" s="235" t="s">
        <v>5932</v>
      </c>
      <c r="AJ940" s="235" t="s">
        <v>2</v>
      </c>
      <c r="AK940" s="235" t="s">
        <v>4777</v>
      </c>
      <c r="AL940" s="235">
        <v>939</v>
      </c>
    </row>
    <row r="941" spans="1:38" x14ac:dyDescent="0.3">
      <c r="A941" s="222" t="s">
        <v>2144</v>
      </c>
      <c r="B941" s="222" t="s">
        <v>2145</v>
      </c>
      <c r="C941" s="241" t="s">
        <v>4778</v>
      </c>
      <c r="D941" s="237" t="s">
        <v>5933</v>
      </c>
      <c r="E941" s="236">
        <v>1101130032548</v>
      </c>
      <c r="F941" s="240" t="s">
        <v>5200</v>
      </c>
      <c r="G941" s="242">
        <v>0</v>
      </c>
      <c r="H941" s="223" t="s">
        <v>4771</v>
      </c>
      <c r="I941" s="223"/>
      <c r="J941" s="231"/>
      <c r="K941" s="223"/>
      <c r="L941" s="223"/>
      <c r="M941" s="223"/>
      <c r="N941" s="240" t="s">
        <v>5566</v>
      </c>
      <c r="O941" s="225" t="s">
        <v>5896</v>
      </c>
      <c r="P941" s="225" t="s">
        <v>5897</v>
      </c>
      <c r="Q941" s="225" t="s">
        <v>5898</v>
      </c>
      <c r="R941" s="212" t="s">
        <v>2</v>
      </c>
      <c r="S941" s="213" t="s">
        <v>4771</v>
      </c>
      <c r="T941" s="233">
        <v>45594</v>
      </c>
      <c r="U941" s="234" t="s">
        <v>5822</v>
      </c>
      <c r="V941" s="234">
        <v>45632</v>
      </c>
      <c r="W941" s="234">
        <v>45639</v>
      </c>
      <c r="X941" s="234" t="s">
        <v>2</v>
      </c>
      <c r="Y941" s="224"/>
      <c r="Z941" s="224" t="s">
        <v>5035</v>
      </c>
      <c r="AA941" s="243">
        <v>202411</v>
      </c>
      <c r="AB941" s="243"/>
      <c r="AC941" s="244" t="s">
        <v>4800</v>
      </c>
      <c r="AD941" s="244" t="s">
        <v>4980</v>
      </c>
      <c r="AE941" s="245">
        <v>1</v>
      </c>
      <c r="AF941" s="244" t="s">
        <v>4980</v>
      </c>
      <c r="AG941" s="239" t="str">
        <f>IFERROR(VLOOKUP(작성용!A:A,RM!A:D,4,0),"-")</f>
        <v>조현우</v>
      </c>
      <c r="AH941" s="9" t="s">
        <v>4918</v>
      </c>
      <c r="AI941" s="235" t="s">
        <v>4737</v>
      </c>
      <c r="AJ941" s="235" t="s">
        <v>2</v>
      </c>
      <c r="AK941" s="235" t="s">
        <v>4777</v>
      </c>
      <c r="AL941" s="235">
        <v>940</v>
      </c>
    </row>
    <row r="942" spans="1:38" x14ac:dyDescent="0.3">
      <c r="A942" s="222" t="s">
        <v>2144</v>
      </c>
      <c r="B942" s="222" t="s">
        <v>2145</v>
      </c>
      <c r="C942" s="241" t="s">
        <v>4778</v>
      </c>
      <c r="D942" s="237" t="s">
        <v>5934</v>
      </c>
      <c r="E942" s="236">
        <v>1101130032697</v>
      </c>
      <c r="F942" s="240" t="s">
        <v>5200</v>
      </c>
      <c r="G942" s="242">
        <v>0</v>
      </c>
      <c r="H942" s="223" t="s">
        <v>4771</v>
      </c>
      <c r="I942" s="223"/>
      <c r="J942" s="231"/>
      <c r="K942" s="223"/>
      <c r="L942" s="223"/>
      <c r="M942" s="223"/>
      <c r="N942" s="240" t="s">
        <v>5566</v>
      </c>
      <c r="O942" s="225" t="s">
        <v>5896</v>
      </c>
      <c r="P942" s="225" t="s">
        <v>5897</v>
      </c>
      <c r="Q942" s="225" t="s">
        <v>5898</v>
      </c>
      <c r="R942" s="212" t="s">
        <v>2</v>
      </c>
      <c r="S942" s="213" t="s">
        <v>4771</v>
      </c>
      <c r="T942" s="233">
        <v>45594</v>
      </c>
      <c r="U942" s="234" t="s">
        <v>5822</v>
      </c>
      <c r="V942" s="234">
        <v>45632</v>
      </c>
      <c r="W942" s="234">
        <v>45639</v>
      </c>
      <c r="X942" s="234" t="s">
        <v>2</v>
      </c>
      <c r="Y942" s="224"/>
      <c r="Z942" s="224" t="s">
        <v>5035</v>
      </c>
      <c r="AA942" s="243">
        <v>202411</v>
      </c>
      <c r="AB942" s="243"/>
      <c r="AC942" s="244" t="s">
        <v>4800</v>
      </c>
      <c r="AD942" s="244" t="s">
        <v>4980</v>
      </c>
      <c r="AE942" s="245">
        <v>1</v>
      </c>
      <c r="AF942" s="244" t="s">
        <v>4980</v>
      </c>
      <c r="AG942" s="239" t="str">
        <f>IFERROR(VLOOKUP(작성용!A:A,RM!A:D,4,0),"-")</f>
        <v>조현우</v>
      </c>
      <c r="AH942" s="9" t="s">
        <v>4918</v>
      </c>
      <c r="AI942" s="235" t="s">
        <v>4737</v>
      </c>
      <c r="AJ942" s="235" t="s">
        <v>2</v>
      </c>
      <c r="AK942" s="235" t="s">
        <v>4777</v>
      </c>
      <c r="AL942" s="235">
        <v>941</v>
      </c>
    </row>
    <row r="943" spans="1:38" x14ac:dyDescent="0.3">
      <c r="A943" s="222" t="s">
        <v>2144</v>
      </c>
      <c r="B943" s="222" t="s">
        <v>2145</v>
      </c>
      <c r="C943" s="241" t="s">
        <v>4778</v>
      </c>
      <c r="D943" s="237" t="s">
        <v>5935</v>
      </c>
      <c r="E943" s="236">
        <v>1101130032689</v>
      </c>
      <c r="F943" s="240" t="s">
        <v>5200</v>
      </c>
      <c r="G943" s="242">
        <v>0</v>
      </c>
      <c r="H943" s="223" t="s">
        <v>4771</v>
      </c>
      <c r="I943" s="223"/>
      <c r="J943" s="231"/>
      <c r="K943" s="223"/>
      <c r="L943" s="223"/>
      <c r="M943" s="223"/>
      <c r="N943" s="240" t="s">
        <v>5566</v>
      </c>
      <c r="O943" s="225" t="s">
        <v>5896</v>
      </c>
      <c r="P943" s="225" t="s">
        <v>5897</v>
      </c>
      <c r="Q943" s="225" t="s">
        <v>5898</v>
      </c>
      <c r="R943" s="212" t="s">
        <v>2</v>
      </c>
      <c r="S943" s="213" t="s">
        <v>4771</v>
      </c>
      <c r="T943" s="233">
        <v>45594</v>
      </c>
      <c r="U943" s="234" t="s">
        <v>5822</v>
      </c>
      <c r="V943" s="234">
        <v>45632</v>
      </c>
      <c r="W943" s="234">
        <v>45639</v>
      </c>
      <c r="X943" s="234" t="s">
        <v>2</v>
      </c>
      <c r="Y943" s="224"/>
      <c r="Z943" s="224" t="s">
        <v>5035</v>
      </c>
      <c r="AA943" s="243">
        <v>202411</v>
      </c>
      <c r="AB943" s="243"/>
      <c r="AC943" s="244" t="s">
        <v>4800</v>
      </c>
      <c r="AD943" s="244" t="s">
        <v>5021</v>
      </c>
      <c r="AE943" s="245">
        <v>1</v>
      </c>
      <c r="AF943" s="244" t="s">
        <v>5021</v>
      </c>
      <c r="AG943" s="239" t="str">
        <f>IFERROR(VLOOKUP(작성용!A:A,RM!A:D,4,0),"-")</f>
        <v>조현우</v>
      </c>
      <c r="AH943" s="9" t="s">
        <v>4918</v>
      </c>
      <c r="AI943" s="235" t="s">
        <v>4737</v>
      </c>
      <c r="AJ943" s="235" t="s">
        <v>2</v>
      </c>
      <c r="AK943" s="235" t="s">
        <v>4777</v>
      </c>
      <c r="AL943" s="235">
        <v>942</v>
      </c>
    </row>
    <row r="944" spans="1:38" x14ac:dyDescent="0.3">
      <c r="A944" s="222" t="s">
        <v>2144</v>
      </c>
      <c r="B944" s="222" t="s">
        <v>2145</v>
      </c>
      <c r="C944" s="241" t="s">
        <v>4778</v>
      </c>
      <c r="D944" s="237" t="s">
        <v>5936</v>
      </c>
      <c r="E944" s="236">
        <v>1101130032738</v>
      </c>
      <c r="F944" s="240" t="s">
        <v>5200</v>
      </c>
      <c r="G944" s="242">
        <v>0</v>
      </c>
      <c r="H944" s="223" t="s">
        <v>4771</v>
      </c>
      <c r="I944" s="223"/>
      <c r="J944" s="231"/>
      <c r="K944" s="223"/>
      <c r="L944" s="223"/>
      <c r="M944" s="223"/>
      <c r="N944" s="240" t="s">
        <v>5566</v>
      </c>
      <c r="O944" s="225" t="s">
        <v>5896</v>
      </c>
      <c r="P944" s="225" t="s">
        <v>5897</v>
      </c>
      <c r="Q944" s="225" t="s">
        <v>5898</v>
      </c>
      <c r="R944" s="212" t="s">
        <v>2</v>
      </c>
      <c r="S944" s="213" t="s">
        <v>4771</v>
      </c>
      <c r="T944" s="233">
        <v>45594</v>
      </c>
      <c r="U944" s="234" t="s">
        <v>5822</v>
      </c>
      <c r="V944" s="234">
        <v>45632</v>
      </c>
      <c r="W944" s="234">
        <v>45639</v>
      </c>
      <c r="X944" s="234" t="s">
        <v>2</v>
      </c>
      <c r="Y944" s="224"/>
      <c r="Z944" s="224" t="s">
        <v>5035</v>
      </c>
      <c r="AA944" s="243">
        <v>202411</v>
      </c>
      <c r="AB944" s="243"/>
      <c r="AC944" s="244" t="s">
        <v>4800</v>
      </c>
      <c r="AD944" s="244" t="s">
        <v>4909</v>
      </c>
      <c r="AE944" s="245">
        <v>1</v>
      </c>
      <c r="AF944" s="244" t="s">
        <v>4909</v>
      </c>
      <c r="AG944" s="239" t="str">
        <f>IFERROR(VLOOKUP(작성용!A:A,RM!A:D,4,0),"-")</f>
        <v>조현우</v>
      </c>
      <c r="AH944" s="9" t="s">
        <v>4918</v>
      </c>
      <c r="AI944" s="235" t="s">
        <v>4737</v>
      </c>
      <c r="AJ944" s="235" t="s">
        <v>2</v>
      </c>
      <c r="AK944" s="235" t="s">
        <v>4777</v>
      </c>
      <c r="AL944" s="235">
        <v>943</v>
      </c>
    </row>
    <row r="945" spans="1:38" x14ac:dyDescent="0.3">
      <c r="A945" s="222" t="s">
        <v>2144</v>
      </c>
      <c r="B945" s="222" t="s">
        <v>2145</v>
      </c>
      <c r="C945" s="241" t="s">
        <v>4778</v>
      </c>
      <c r="D945" s="237" t="s">
        <v>5937</v>
      </c>
      <c r="E945" s="236">
        <v>1101130032788</v>
      </c>
      <c r="F945" s="240" t="s">
        <v>5200</v>
      </c>
      <c r="G945" s="242">
        <v>0</v>
      </c>
      <c r="H945" s="223" t="s">
        <v>4771</v>
      </c>
      <c r="I945" s="223"/>
      <c r="J945" s="231"/>
      <c r="K945" s="223"/>
      <c r="L945" s="223"/>
      <c r="M945" s="223"/>
      <c r="N945" s="240" t="s">
        <v>5566</v>
      </c>
      <c r="O945" s="225" t="s">
        <v>5896</v>
      </c>
      <c r="P945" s="225" t="s">
        <v>5897</v>
      </c>
      <c r="Q945" s="225" t="s">
        <v>5898</v>
      </c>
      <c r="R945" s="212" t="s">
        <v>2</v>
      </c>
      <c r="S945" s="213" t="s">
        <v>4771</v>
      </c>
      <c r="T945" s="233">
        <v>45594</v>
      </c>
      <c r="U945" s="234" t="s">
        <v>5822</v>
      </c>
      <c r="V945" s="234">
        <v>45632</v>
      </c>
      <c r="W945" s="234">
        <v>45639</v>
      </c>
      <c r="X945" s="234" t="s">
        <v>2</v>
      </c>
      <c r="Y945" s="224"/>
      <c r="Z945" s="224" t="s">
        <v>5035</v>
      </c>
      <c r="AA945" s="243">
        <v>202411</v>
      </c>
      <c r="AB945" s="243"/>
      <c r="AC945" s="244" t="s">
        <v>4800</v>
      </c>
      <c r="AD945" s="244" t="s">
        <v>4945</v>
      </c>
      <c r="AE945" s="245">
        <v>1</v>
      </c>
      <c r="AF945" s="244" t="s">
        <v>4945</v>
      </c>
      <c r="AG945" s="239" t="str">
        <f>IFERROR(VLOOKUP(작성용!A:A,RM!A:D,4,0),"-")</f>
        <v>조현우</v>
      </c>
      <c r="AH945" s="9" t="s">
        <v>4918</v>
      </c>
      <c r="AI945" s="235" t="s">
        <v>4737</v>
      </c>
      <c r="AJ945" s="235" t="s">
        <v>2</v>
      </c>
      <c r="AK945" s="235" t="s">
        <v>4777</v>
      </c>
      <c r="AL945" s="235">
        <v>944</v>
      </c>
    </row>
    <row r="946" spans="1:38" x14ac:dyDescent="0.3">
      <c r="A946" s="222" t="s">
        <v>2144</v>
      </c>
      <c r="B946" s="222" t="s">
        <v>2145</v>
      </c>
      <c r="C946" s="241" t="s">
        <v>4778</v>
      </c>
      <c r="D946" s="237" t="s">
        <v>5938</v>
      </c>
      <c r="E946" s="236">
        <v>1101130032861</v>
      </c>
      <c r="F946" s="240" t="s">
        <v>5200</v>
      </c>
      <c r="G946" s="242">
        <v>0</v>
      </c>
      <c r="H946" s="223" t="s">
        <v>4771</v>
      </c>
      <c r="I946" s="223"/>
      <c r="J946" s="231"/>
      <c r="K946" s="223"/>
      <c r="L946" s="223"/>
      <c r="M946" s="223"/>
      <c r="N946" s="240" t="s">
        <v>5566</v>
      </c>
      <c r="O946" s="225" t="s">
        <v>5896</v>
      </c>
      <c r="P946" s="225" t="s">
        <v>5897</v>
      </c>
      <c r="Q946" s="225" t="s">
        <v>5898</v>
      </c>
      <c r="R946" s="212" t="s">
        <v>2</v>
      </c>
      <c r="S946" s="213" t="s">
        <v>4771</v>
      </c>
      <c r="T946" s="233">
        <v>45594</v>
      </c>
      <c r="U946" s="234" t="s">
        <v>5822</v>
      </c>
      <c r="V946" s="234">
        <v>45632</v>
      </c>
      <c r="W946" s="234">
        <v>45639</v>
      </c>
      <c r="X946" s="234" t="s">
        <v>2</v>
      </c>
      <c r="Y946" s="224"/>
      <c r="Z946" s="224" t="s">
        <v>5035</v>
      </c>
      <c r="AA946" s="243">
        <v>202411</v>
      </c>
      <c r="AB946" s="243"/>
      <c r="AC946" s="244" t="s">
        <v>4800</v>
      </c>
      <c r="AD946" s="244" t="s">
        <v>4987</v>
      </c>
      <c r="AE946" s="245">
        <v>1</v>
      </c>
      <c r="AF946" s="244" t="s">
        <v>4987</v>
      </c>
      <c r="AG946" s="239" t="str">
        <f>IFERROR(VLOOKUP(작성용!A:A,RM!A:D,4,0),"-")</f>
        <v>조현우</v>
      </c>
      <c r="AH946" s="9" t="s">
        <v>4918</v>
      </c>
      <c r="AI946" s="235" t="s">
        <v>4737</v>
      </c>
      <c r="AJ946" s="235" t="s">
        <v>2</v>
      </c>
      <c r="AK946" s="235" t="s">
        <v>4777</v>
      </c>
      <c r="AL946" s="235">
        <v>945</v>
      </c>
    </row>
    <row r="947" spans="1:38" x14ac:dyDescent="0.3">
      <c r="A947" s="222" t="s">
        <v>2144</v>
      </c>
      <c r="B947" s="222" t="s">
        <v>2145</v>
      </c>
      <c r="C947" s="241" t="s">
        <v>4778</v>
      </c>
      <c r="D947" s="237" t="s">
        <v>5939</v>
      </c>
      <c r="E947" s="236">
        <v>1101130032811</v>
      </c>
      <c r="F947" s="240" t="s">
        <v>5200</v>
      </c>
      <c r="G947" s="242">
        <v>0</v>
      </c>
      <c r="H947" s="223" t="s">
        <v>4771</v>
      </c>
      <c r="I947" s="223"/>
      <c r="J947" s="231"/>
      <c r="K947" s="223"/>
      <c r="L947" s="223"/>
      <c r="M947" s="223"/>
      <c r="N947" s="240" t="s">
        <v>5566</v>
      </c>
      <c r="O947" s="225" t="s">
        <v>5896</v>
      </c>
      <c r="P947" s="225" t="s">
        <v>5897</v>
      </c>
      <c r="Q947" s="225" t="s">
        <v>5898</v>
      </c>
      <c r="R947" s="212" t="s">
        <v>2</v>
      </c>
      <c r="S947" s="213" t="s">
        <v>4771</v>
      </c>
      <c r="T947" s="233">
        <v>45594</v>
      </c>
      <c r="U947" s="234" t="s">
        <v>5822</v>
      </c>
      <c r="V947" s="234">
        <v>45632</v>
      </c>
      <c r="W947" s="234">
        <v>45639</v>
      </c>
      <c r="X947" s="234" t="s">
        <v>2</v>
      </c>
      <c r="Y947" s="224"/>
      <c r="Z947" s="224" t="s">
        <v>5035</v>
      </c>
      <c r="AA947" s="243">
        <v>202411</v>
      </c>
      <c r="AB947" s="243"/>
      <c r="AC947" s="244" t="s">
        <v>4800</v>
      </c>
      <c r="AD947" s="244" t="s">
        <v>4915</v>
      </c>
      <c r="AE947" s="245">
        <v>1</v>
      </c>
      <c r="AF947" s="244" t="s">
        <v>4915</v>
      </c>
      <c r="AG947" s="239" t="str">
        <f>IFERROR(VLOOKUP(작성용!A:A,RM!A:D,4,0),"-")</f>
        <v>조현우</v>
      </c>
      <c r="AH947" s="9" t="s">
        <v>4918</v>
      </c>
      <c r="AI947" s="235" t="s">
        <v>4737</v>
      </c>
      <c r="AJ947" s="235" t="s">
        <v>2</v>
      </c>
      <c r="AK947" s="235" t="s">
        <v>4777</v>
      </c>
      <c r="AL947" s="235">
        <v>946</v>
      </c>
    </row>
    <row r="948" spans="1:38" x14ac:dyDescent="0.3">
      <c r="A948" s="222" t="s">
        <v>2144</v>
      </c>
      <c r="B948" s="222" t="s">
        <v>2145</v>
      </c>
      <c r="C948" s="241" t="s">
        <v>4778</v>
      </c>
      <c r="D948" s="237" t="s">
        <v>5940</v>
      </c>
      <c r="E948" s="236">
        <v>1101130032944</v>
      </c>
      <c r="F948" s="240" t="s">
        <v>5200</v>
      </c>
      <c r="G948" s="242">
        <v>0</v>
      </c>
      <c r="H948" s="223" t="s">
        <v>4771</v>
      </c>
      <c r="I948" s="223"/>
      <c r="J948" s="231"/>
      <c r="K948" s="223"/>
      <c r="L948" s="223"/>
      <c r="M948" s="223"/>
      <c r="N948" s="240" t="s">
        <v>5566</v>
      </c>
      <c r="O948" s="225" t="s">
        <v>5896</v>
      </c>
      <c r="P948" s="225" t="s">
        <v>5897</v>
      </c>
      <c r="Q948" s="225" t="s">
        <v>5898</v>
      </c>
      <c r="R948" s="212" t="s">
        <v>2</v>
      </c>
      <c r="S948" s="213" t="s">
        <v>4771</v>
      </c>
      <c r="T948" s="233">
        <v>45594</v>
      </c>
      <c r="U948" s="234" t="s">
        <v>5822</v>
      </c>
      <c r="V948" s="234">
        <v>45632</v>
      </c>
      <c r="W948" s="234">
        <v>45639</v>
      </c>
      <c r="X948" s="234" t="s">
        <v>2</v>
      </c>
      <c r="Y948" s="224"/>
      <c r="Z948" s="224" t="s">
        <v>5035</v>
      </c>
      <c r="AA948" s="243">
        <v>202411</v>
      </c>
      <c r="AB948" s="243"/>
      <c r="AC948" s="244" t="s">
        <v>4800</v>
      </c>
      <c r="AD948" s="244" t="s">
        <v>4927</v>
      </c>
      <c r="AE948" s="245">
        <v>1</v>
      </c>
      <c r="AF948" s="244" t="s">
        <v>4927</v>
      </c>
      <c r="AG948" s="239" t="str">
        <f>IFERROR(VLOOKUP(작성용!A:A,RM!A:D,4,0),"-")</f>
        <v>조현우</v>
      </c>
      <c r="AH948" s="9" t="s">
        <v>4918</v>
      </c>
      <c r="AI948" s="235" t="s">
        <v>4737</v>
      </c>
      <c r="AJ948" s="235" t="s">
        <v>2</v>
      </c>
      <c r="AK948" s="235" t="s">
        <v>4777</v>
      </c>
      <c r="AL948" s="235">
        <v>947</v>
      </c>
    </row>
    <row r="949" spans="1:38" x14ac:dyDescent="0.3">
      <c r="A949" s="222" t="s">
        <v>2144</v>
      </c>
      <c r="B949" s="222" t="s">
        <v>2145</v>
      </c>
      <c r="C949" s="241" t="s">
        <v>4778</v>
      </c>
      <c r="D949" s="237" t="s">
        <v>5941</v>
      </c>
      <c r="E949" s="236">
        <v>1101130032770</v>
      </c>
      <c r="F949" s="240" t="s">
        <v>5200</v>
      </c>
      <c r="G949" s="242">
        <v>0</v>
      </c>
      <c r="H949" s="223" t="s">
        <v>4771</v>
      </c>
      <c r="I949" s="223"/>
      <c r="J949" s="231"/>
      <c r="K949" s="223"/>
      <c r="L949" s="223"/>
      <c r="M949" s="223"/>
      <c r="N949" s="240" t="s">
        <v>5566</v>
      </c>
      <c r="O949" s="225" t="s">
        <v>5896</v>
      </c>
      <c r="P949" s="225" t="s">
        <v>5897</v>
      </c>
      <c r="Q949" s="225" t="s">
        <v>5898</v>
      </c>
      <c r="R949" s="212" t="s">
        <v>2</v>
      </c>
      <c r="S949" s="213" t="s">
        <v>4771</v>
      </c>
      <c r="T949" s="233">
        <v>45594</v>
      </c>
      <c r="U949" s="234" t="s">
        <v>5822</v>
      </c>
      <c r="V949" s="234">
        <v>45632</v>
      </c>
      <c r="W949" s="234">
        <v>45639</v>
      </c>
      <c r="X949" s="234" t="s">
        <v>2</v>
      </c>
      <c r="Y949" s="224"/>
      <c r="Z949" s="224" t="s">
        <v>5035</v>
      </c>
      <c r="AA949" s="243">
        <v>202411</v>
      </c>
      <c r="AB949" s="243"/>
      <c r="AC949" s="244" t="s">
        <v>4800</v>
      </c>
      <c r="AD949" s="244" t="s">
        <v>4947</v>
      </c>
      <c r="AE949" s="245">
        <v>1</v>
      </c>
      <c r="AF949" s="244" t="s">
        <v>4872</v>
      </c>
      <c r="AG949" s="239" t="str">
        <f>IFERROR(VLOOKUP(작성용!A:A,RM!A:D,4,0),"-")</f>
        <v>조현우</v>
      </c>
      <c r="AH949" s="9" t="s">
        <v>4918</v>
      </c>
      <c r="AI949" s="235" t="s">
        <v>4737</v>
      </c>
      <c r="AJ949" s="235" t="s">
        <v>2</v>
      </c>
      <c r="AK949" s="235" t="s">
        <v>4777</v>
      </c>
      <c r="AL949" s="235">
        <v>948</v>
      </c>
    </row>
    <row r="950" spans="1:38" x14ac:dyDescent="0.3">
      <c r="A950" s="222" t="s">
        <v>2144</v>
      </c>
      <c r="B950" s="222" t="s">
        <v>2145</v>
      </c>
      <c r="C950" s="241" t="s">
        <v>4778</v>
      </c>
      <c r="D950" s="237" t="s">
        <v>5942</v>
      </c>
      <c r="E950" s="236">
        <v>1101130035047</v>
      </c>
      <c r="F950" s="240" t="s">
        <v>5200</v>
      </c>
      <c r="G950" s="242">
        <v>0</v>
      </c>
      <c r="H950" s="223" t="s">
        <v>4771</v>
      </c>
      <c r="I950" s="223"/>
      <c r="J950" s="231"/>
      <c r="K950" s="223"/>
      <c r="L950" s="223"/>
      <c r="M950" s="223"/>
      <c r="N950" s="240" t="s">
        <v>5566</v>
      </c>
      <c r="O950" s="225" t="s">
        <v>5896</v>
      </c>
      <c r="P950" s="225" t="s">
        <v>5897</v>
      </c>
      <c r="Q950" s="225" t="s">
        <v>5898</v>
      </c>
      <c r="R950" s="212" t="s">
        <v>2</v>
      </c>
      <c r="S950" s="213" t="s">
        <v>4771</v>
      </c>
      <c r="T950" s="233">
        <v>45594</v>
      </c>
      <c r="U950" s="234" t="s">
        <v>5822</v>
      </c>
      <c r="V950" s="234">
        <v>45632</v>
      </c>
      <c r="W950" s="234">
        <v>45639</v>
      </c>
      <c r="X950" s="234" t="s">
        <v>2</v>
      </c>
      <c r="Y950" s="224"/>
      <c r="Z950" s="224" t="s">
        <v>5035</v>
      </c>
      <c r="AA950" s="243">
        <v>202411</v>
      </c>
      <c r="AB950" s="243"/>
      <c r="AC950" s="244" t="s">
        <v>4800</v>
      </c>
      <c r="AD950" s="244" t="s">
        <v>4761</v>
      </c>
      <c r="AE950" s="245">
        <v>1</v>
      </c>
      <c r="AF950" s="244" t="s">
        <v>4761</v>
      </c>
      <c r="AG950" s="239" t="str">
        <f>IFERROR(VLOOKUP(작성용!A:A,RM!A:D,4,0),"-")</f>
        <v>조현우</v>
      </c>
      <c r="AH950" s="9" t="s">
        <v>4918</v>
      </c>
      <c r="AI950" s="235" t="s">
        <v>4737</v>
      </c>
      <c r="AJ950" s="235" t="s">
        <v>2</v>
      </c>
      <c r="AK950" s="235" t="s">
        <v>4777</v>
      </c>
      <c r="AL950" s="235">
        <v>949</v>
      </c>
    </row>
    <row r="951" spans="1:38" x14ac:dyDescent="0.3">
      <c r="A951" s="229" t="s">
        <v>2144</v>
      </c>
      <c r="B951" s="229" t="s">
        <v>5903</v>
      </c>
      <c r="C951" s="241" t="s">
        <v>4778</v>
      </c>
      <c r="D951" s="237" t="s">
        <v>5943</v>
      </c>
      <c r="E951" s="236">
        <v>1101130035245</v>
      </c>
      <c r="F951" s="240" t="s">
        <v>5200</v>
      </c>
      <c r="G951" s="242">
        <v>0</v>
      </c>
      <c r="H951" s="231" t="s">
        <v>4771</v>
      </c>
      <c r="I951" s="231"/>
      <c r="J951" s="231"/>
      <c r="K951" s="231"/>
      <c r="L951" s="231"/>
      <c r="M951" s="231"/>
      <c r="N951" s="240" t="s">
        <v>5566</v>
      </c>
      <c r="O951" s="225" t="s">
        <v>5896</v>
      </c>
      <c r="P951" s="225" t="s">
        <v>5897</v>
      </c>
      <c r="Q951" s="225" t="s">
        <v>5898</v>
      </c>
      <c r="R951" s="212" t="s">
        <v>2</v>
      </c>
      <c r="S951" s="213" t="s">
        <v>4771</v>
      </c>
      <c r="T951" s="233">
        <v>45594</v>
      </c>
      <c r="U951" s="234" t="s">
        <v>5822</v>
      </c>
      <c r="V951" s="234">
        <v>45632</v>
      </c>
      <c r="W951" s="234">
        <v>45639</v>
      </c>
      <c r="X951" s="234" t="s">
        <v>2</v>
      </c>
      <c r="Y951" s="224"/>
      <c r="Z951" s="224" t="s">
        <v>5035</v>
      </c>
      <c r="AA951" s="243">
        <v>202411</v>
      </c>
      <c r="AB951" s="243"/>
      <c r="AC951" s="244" t="s">
        <v>4800</v>
      </c>
      <c r="AD951" s="244" t="s">
        <v>4761</v>
      </c>
      <c r="AE951" s="245">
        <v>1</v>
      </c>
      <c r="AF951" s="244" t="s">
        <v>4761</v>
      </c>
      <c r="AG951" s="239" t="str">
        <f>IFERROR(VLOOKUP(작성용!A:A,RM!A:D,4,0),"-")</f>
        <v>조현우</v>
      </c>
      <c r="AH951" s="9" t="s">
        <v>4918</v>
      </c>
      <c r="AI951" s="235" t="s">
        <v>4737</v>
      </c>
      <c r="AJ951" s="235" t="s">
        <v>2</v>
      </c>
      <c r="AK951" s="235" t="s">
        <v>4777</v>
      </c>
      <c r="AL951" s="235">
        <v>950</v>
      </c>
    </row>
    <row r="952" spans="1:38" x14ac:dyDescent="0.3">
      <c r="A952" s="229" t="s">
        <v>2144</v>
      </c>
      <c r="B952" s="229" t="s">
        <v>5903</v>
      </c>
      <c r="C952" s="241" t="s">
        <v>4778</v>
      </c>
      <c r="D952" s="237" t="s">
        <v>5944</v>
      </c>
      <c r="E952" s="236">
        <v>1101130035675</v>
      </c>
      <c r="F952" s="240" t="s">
        <v>5200</v>
      </c>
      <c r="G952" s="242">
        <v>0</v>
      </c>
      <c r="H952" s="231" t="s">
        <v>4771</v>
      </c>
      <c r="I952" s="231"/>
      <c r="J952" s="231"/>
      <c r="K952" s="231"/>
      <c r="L952" s="231"/>
      <c r="M952" s="231"/>
      <c r="N952" s="240" t="s">
        <v>5566</v>
      </c>
      <c r="O952" s="225" t="s">
        <v>5896</v>
      </c>
      <c r="P952" s="225" t="s">
        <v>5897</v>
      </c>
      <c r="Q952" s="225" t="s">
        <v>5898</v>
      </c>
      <c r="R952" s="212" t="s">
        <v>2</v>
      </c>
      <c r="S952" s="213" t="s">
        <v>4771</v>
      </c>
      <c r="T952" s="233">
        <v>45594</v>
      </c>
      <c r="U952" s="234" t="s">
        <v>5822</v>
      </c>
      <c r="V952" s="234">
        <v>45632</v>
      </c>
      <c r="W952" s="234">
        <v>45639</v>
      </c>
      <c r="X952" s="234" t="s">
        <v>2</v>
      </c>
      <c r="Y952" s="224"/>
      <c r="Z952" s="224" t="s">
        <v>5035</v>
      </c>
      <c r="AA952" s="243">
        <v>202411</v>
      </c>
      <c r="AB952" s="243"/>
      <c r="AC952" s="244" t="s">
        <v>4800</v>
      </c>
      <c r="AD952" s="244" t="s">
        <v>4897</v>
      </c>
      <c r="AE952" s="245">
        <v>1</v>
      </c>
      <c r="AF952" s="244" t="s">
        <v>4897</v>
      </c>
      <c r="AG952" s="239" t="str">
        <f>IFERROR(VLOOKUP(작성용!A:A,RM!A:D,4,0),"-")</f>
        <v>조현우</v>
      </c>
      <c r="AH952" s="9" t="s">
        <v>4918</v>
      </c>
      <c r="AI952" s="235" t="s">
        <v>4737</v>
      </c>
      <c r="AJ952" s="235" t="s">
        <v>2</v>
      </c>
      <c r="AK952" s="235" t="s">
        <v>4777</v>
      </c>
      <c r="AL952" s="235">
        <v>951</v>
      </c>
    </row>
    <row r="953" spans="1:38" x14ac:dyDescent="0.3">
      <c r="A953" s="229" t="s">
        <v>2144</v>
      </c>
      <c r="B953" s="229" t="s">
        <v>5903</v>
      </c>
      <c r="C953" s="241" t="s">
        <v>4778</v>
      </c>
      <c r="D953" s="237" t="s">
        <v>5945</v>
      </c>
      <c r="E953" s="236">
        <v>1101130036235</v>
      </c>
      <c r="F953" s="240" t="s">
        <v>5200</v>
      </c>
      <c r="G953" s="242">
        <v>0</v>
      </c>
      <c r="H953" s="231" t="s">
        <v>4771</v>
      </c>
      <c r="I953" s="231"/>
      <c r="J953" s="231"/>
      <c r="K953" s="231"/>
      <c r="L953" s="231"/>
      <c r="M953" s="231"/>
      <c r="N953" s="230" t="s">
        <v>5566</v>
      </c>
      <c r="O953" s="225" t="s">
        <v>5896</v>
      </c>
      <c r="P953" s="225" t="s">
        <v>5897</v>
      </c>
      <c r="Q953" s="225" t="s">
        <v>5898</v>
      </c>
      <c r="R953" s="212" t="s">
        <v>2</v>
      </c>
      <c r="S953" s="212" t="s">
        <v>4771</v>
      </c>
      <c r="T953" s="233">
        <v>45594</v>
      </c>
      <c r="U953" s="234" t="s">
        <v>5822</v>
      </c>
      <c r="V953" s="234">
        <v>45632</v>
      </c>
      <c r="W953" s="234">
        <v>45639</v>
      </c>
      <c r="X953" s="234" t="s">
        <v>2</v>
      </c>
      <c r="Y953" s="224"/>
      <c r="Z953" s="224" t="s">
        <v>5035</v>
      </c>
      <c r="AA953" s="243">
        <v>202411</v>
      </c>
      <c r="AB953" s="243"/>
      <c r="AC953" s="244" t="s">
        <v>4800</v>
      </c>
      <c r="AD953" s="244" t="s">
        <v>4823</v>
      </c>
      <c r="AE953" s="245">
        <v>1</v>
      </c>
      <c r="AF953" s="244" t="s">
        <v>4823</v>
      </c>
      <c r="AG953" s="239" t="str">
        <f>IFERROR(VLOOKUP(작성용!A:A,RM!A:D,4,0),"-")</f>
        <v>조현우</v>
      </c>
      <c r="AH953" s="9" t="s">
        <v>4918</v>
      </c>
      <c r="AI953" s="235" t="s">
        <v>5946</v>
      </c>
      <c r="AJ953" s="235" t="s">
        <v>4771</v>
      </c>
      <c r="AK953" s="235" t="s">
        <v>4777</v>
      </c>
      <c r="AL953" s="235">
        <v>952</v>
      </c>
    </row>
    <row r="954" spans="1:38" x14ac:dyDescent="0.3">
      <c r="A954" s="229" t="s">
        <v>2144</v>
      </c>
      <c r="B954" s="229" t="s">
        <v>5903</v>
      </c>
      <c r="C954" s="241" t="s">
        <v>4762</v>
      </c>
      <c r="D954" s="237" t="s">
        <v>5947</v>
      </c>
      <c r="E954" s="236">
        <v>1101130036491</v>
      </c>
      <c r="F954" s="240" t="s">
        <v>5200</v>
      </c>
      <c r="G954" s="242">
        <v>0</v>
      </c>
      <c r="H954" s="231" t="s">
        <v>4771</v>
      </c>
      <c r="I954" s="231"/>
      <c r="J954" s="231"/>
      <c r="K954" s="231"/>
      <c r="L954" s="231"/>
      <c r="M954" s="231"/>
      <c r="N954" s="230" t="s">
        <v>5566</v>
      </c>
      <c r="O954" s="225" t="s">
        <v>5896</v>
      </c>
      <c r="P954" s="225" t="s">
        <v>5897</v>
      </c>
      <c r="Q954" s="225" t="s">
        <v>5898</v>
      </c>
      <c r="R954" s="212" t="s">
        <v>2</v>
      </c>
      <c r="S954" s="212" t="s">
        <v>4771</v>
      </c>
      <c r="T954" s="233">
        <v>45594</v>
      </c>
      <c r="U954" s="234" t="s">
        <v>5822</v>
      </c>
      <c r="V954" s="234">
        <v>45632</v>
      </c>
      <c r="W954" s="234">
        <v>45639</v>
      </c>
      <c r="X954" s="234" t="s">
        <v>2</v>
      </c>
      <c r="Y954" s="224"/>
      <c r="Z954" s="224" t="s">
        <v>5035</v>
      </c>
      <c r="AA954" s="243">
        <v>202411</v>
      </c>
      <c r="AB954" s="243"/>
      <c r="AC954" s="244" t="s">
        <v>4800</v>
      </c>
      <c r="AD954" s="244" t="s">
        <v>4933</v>
      </c>
      <c r="AE954" s="245">
        <v>1</v>
      </c>
      <c r="AF954" s="244" t="s">
        <v>4762</v>
      </c>
      <c r="AG954" s="239" t="str">
        <f>IFERROR(VLOOKUP(작성용!A:A,RM!A:D,4,0),"-")</f>
        <v>조현우</v>
      </c>
      <c r="AH954" s="9" t="s">
        <v>4918</v>
      </c>
      <c r="AI954" s="235" t="s">
        <v>5946</v>
      </c>
      <c r="AJ954" s="235" t="s">
        <v>4771</v>
      </c>
      <c r="AK954" s="235" t="s">
        <v>4777</v>
      </c>
      <c r="AL954" s="235">
        <v>953</v>
      </c>
    </row>
    <row r="955" spans="1:38" x14ac:dyDescent="0.3">
      <c r="A955" s="229">
        <v>6000590</v>
      </c>
      <c r="B955" s="229" t="s">
        <v>5933</v>
      </c>
      <c r="C955" s="241" t="s">
        <v>4778</v>
      </c>
      <c r="D955" s="237" t="s">
        <v>5948</v>
      </c>
      <c r="E955" s="236">
        <v>1313110277420</v>
      </c>
      <c r="F955" s="240" t="s">
        <v>4854</v>
      </c>
      <c r="G955" s="214">
        <v>0</v>
      </c>
      <c r="H955" s="231" t="s">
        <v>4771</v>
      </c>
      <c r="I955" s="231"/>
      <c r="J955" s="231"/>
      <c r="K955" s="231"/>
      <c r="L955" s="231"/>
      <c r="M955" s="231"/>
      <c r="N955" s="231" t="s">
        <v>4806</v>
      </c>
      <c r="O955" s="246"/>
      <c r="P955" s="246"/>
      <c r="Q955" s="225"/>
      <c r="R955" s="212" t="s">
        <v>2</v>
      </c>
      <c r="S955" s="213" t="s">
        <v>4771</v>
      </c>
      <c r="T955" s="233" t="s">
        <v>5949</v>
      </c>
      <c r="U955" s="234" t="s">
        <v>5822</v>
      </c>
      <c r="V955" s="234">
        <v>45632</v>
      </c>
      <c r="W955" s="233" t="s">
        <v>4877</v>
      </c>
      <c r="X955" s="234" t="s">
        <v>4771</v>
      </c>
      <c r="Y955" s="234"/>
      <c r="Z955" s="234"/>
      <c r="AA955" s="243">
        <v>202411</v>
      </c>
      <c r="AB955" s="243"/>
      <c r="AC955" s="233" t="s">
        <v>5210</v>
      </c>
      <c r="AD955" s="244" t="s">
        <v>4980</v>
      </c>
      <c r="AE955" s="245">
        <v>0</v>
      </c>
      <c r="AF955" s="244" t="s">
        <v>4980</v>
      </c>
      <c r="AG955" s="239" t="str">
        <f>IFERROR(VLOOKUP(작성용!A:A,RM!A:D,4,0),"-")</f>
        <v>-</v>
      </c>
      <c r="AH955" s="9" t="s">
        <v>4771</v>
      </c>
      <c r="AI955" s="235" t="s">
        <v>4771</v>
      </c>
      <c r="AJ955" s="235" t="s">
        <v>4771</v>
      </c>
      <c r="AK955" s="235" t="s">
        <v>5208</v>
      </c>
      <c r="AL955" s="235">
        <v>954</v>
      </c>
    </row>
    <row r="956" spans="1:38" x14ac:dyDescent="0.3">
      <c r="A956" s="229">
        <v>6000590</v>
      </c>
      <c r="B956" s="229" t="s">
        <v>5933</v>
      </c>
      <c r="C956" s="241" t="s">
        <v>4778</v>
      </c>
      <c r="D956" s="237" t="s">
        <v>5948</v>
      </c>
      <c r="E956" s="236">
        <v>1313110277420</v>
      </c>
      <c r="F956" s="240" t="s">
        <v>4780</v>
      </c>
      <c r="G956" s="214">
        <v>0</v>
      </c>
      <c r="H956" s="231" t="s">
        <v>4771</v>
      </c>
      <c r="I956" s="231"/>
      <c r="J956" s="231"/>
      <c r="K956" s="231"/>
      <c r="L956" s="231"/>
      <c r="M956" s="231"/>
      <c r="N956" s="231" t="s">
        <v>4806</v>
      </c>
      <c r="O956" s="246"/>
      <c r="P956" s="246"/>
      <c r="Q956" s="225"/>
      <c r="R956" s="212" t="s">
        <v>2</v>
      </c>
      <c r="S956" s="213" t="s">
        <v>4771</v>
      </c>
      <c r="T956" s="233" t="s">
        <v>5949</v>
      </c>
      <c r="U956" s="234" t="s">
        <v>5822</v>
      </c>
      <c r="V956" s="234">
        <v>45632</v>
      </c>
      <c r="W956" s="233" t="s">
        <v>4877</v>
      </c>
      <c r="X956" s="234" t="s">
        <v>4771</v>
      </c>
      <c r="Y956" s="234"/>
      <c r="Z956" s="234"/>
      <c r="AA956" s="243">
        <v>202411</v>
      </c>
      <c r="AB956" s="243"/>
      <c r="AC956" s="233" t="s">
        <v>5210</v>
      </c>
      <c r="AD956" s="244" t="s">
        <v>4980</v>
      </c>
      <c r="AE956" s="245">
        <v>0</v>
      </c>
      <c r="AF956" s="244" t="s">
        <v>4980</v>
      </c>
      <c r="AG956" s="239" t="str">
        <f>IFERROR(VLOOKUP(작성용!A:A,RM!A:D,4,0),"-")</f>
        <v>-</v>
      </c>
      <c r="AH956" s="9" t="s">
        <v>4771</v>
      </c>
      <c r="AI956" s="235" t="s">
        <v>4771</v>
      </c>
      <c r="AJ956" s="235" t="s">
        <v>4771</v>
      </c>
      <c r="AK956" s="235" t="s">
        <v>5208</v>
      </c>
      <c r="AL956" s="235">
        <v>955</v>
      </c>
    </row>
    <row r="957" spans="1:38" x14ac:dyDescent="0.3">
      <c r="A957" s="222">
        <v>6000083</v>
      </c>
      <c r="B957" s="222" t="s">
        <v>5900</v>
      </c>
      <c r="C957" s="241" t="s">
        <v>4778</v>
      </c>
      <c r="D957" s="237" t="s">
        <v>5950</v>
      </c>
      <c r="E957" s="236">
        <v>1101111352741</v>
      </c>
      <c r="F957" s="240" t="s">
        <v>4854</v>
      </c>
      <c r="G957" s="242">
        <v>0</v>
      </c>
      <c r="H957" s="223" t="s">
        <v>4771</v>
      </c>
      <c r="I957" s="223"/>
      <c r="J957" s="231"/>
      <c r="K957" s="223"/>
      <c r="L957" s="223"/>
      <c r="M957" s="223"/>
      <c r="N957" s="240" t="s">
        <v>5566</v>
      </c>
      <c r="O957" s="225"/>
      <c r="P957" s="225"/>
      <c r="Q957" s="225"/>
      <c r="R957" s="212" t="s">
        <v>2</v>
      </c>
      <c r="S957" s="213" t="s">
        <v>4771</v>
      </c>
      <c r="T957" s="233" t="s">
        <v>5949</v>
      </c>
      <c r="U957" s="234" t="s">
        <v>5822</v>
      </c>
      <c r="V957" s="234">
        <v>45632</v>
      </c>
      <c r="W957" s="234" t="s">
        <v>4877</v>
      </c>
      <c r="X957" s="234" t="s">
        <v>4771</v>
      </c>
      <c r="Y957" s="234"/>
      <c r="Z957" s="234"/>
      <c r="AA957" s="243">
        <v>202411</v>
      </c>
      <c r="AB957" s="243"/>
      <c r="AC957" s="244" t="s">
        <v>5210</v>
      </c>
      <c r="AD957" s="244" t="s">
        <v>4911</v>
      </c>
      <c r="AE957" s="245">
        <v>0.4</v>
      </c>
      <c r="AF957" s="244" t="s">
        <v>4911</v>
      </c>
      <c r="AG957" s="239" t="str">
        <f>IFERROR(VLOOKUP(작성용!A:A,RM!A:D,4,0),"-")</f>
        <v>-</v>
      </c>
      <c r="AH957" s="251" t="s">
        <v>4771</v>
      </c>
      <c r="AI957" s="235" t="s">
        <v>4771</v>
      </c>
      <c r="AJ957" s="235" t="s">
        <v>4771</v>
      </c>
      <c r="AK957" s="235" t="s">
        <v>5208</v>
      </c>
      <c r="AL957" s="235">
        <v>956</v>
      </c>
    </row>
    <row r="958" spans="1:38" x14ac:dyDescent="0.3">
      <c r="A958" s="229">
        <v>6000098</v>
      </c>
      <c r="B958" s="229" t="s">
        <v>5904</v>
      </c>
      <c r="C958" s="241" t="s">
        <v>4778</v>
      </c>
      <c r="D958" s="237" t="s">
        <v>5951</v>
      </c>
      <c r="E958" s="236">
        <v>1101113843673</v>
      </c>
      <c r="F958" s="240" t="s">
        <v>4854</v>
      </c>
      <c r="G958" s="242">
        <v>0</v>
      </c>
      <c r="H958" s="231" t="s">
        <v>4771</v>
      </c>
      <c r="I958" s="231"/>
      <c r="J958" s="231"/>
      <c r="K958" s="231"/>
      <c r="L958" s="231"/>
      <c r="M958" s="231"/>
      <c r="N958" s="240" t="s">
        <v>5566</v>
      </c>
      <c r="O958" s="225"/>
      <c r="P958" s="225"/>
      <c r="Q958" s="225"/>
      <c r="R958" s="212" t="s">
        <v>2</v>
      </c>
      <c r="S958" s="213" t="s">
        <v>4771</v>
      </c>
      <c r="T958" s="233" t="s">
        <v>5949</v>
      </c>
      <c r="U958" s="234" t="s">
        <v>5822</v>
      </c>
      <c r="V958" s="234">
        <v>45632</v>
      </c>
      <c r="W958" s="234" t="s">
        <v>4877</v>
      </c>
      <c r="X958" s="234" t="s">
        <v>2</v>
      </c>
      <c r="Y958" s="224"/>
      <c r="Z958" s="224"/>
      <c r="AA958" s="243">
        <v>202411</v>
      </c>
      <c r="AB958" s="243"/>
      <c r="AC958" s="244" t="s">
        <v>5210</v>
      </c>
      <c r="AD958" s="244" t="s">
        <v>4982</v>
      </c>
      <c r="AE958" s="245">
        <v>0.4</v>
      </c>
      <c r="AF958" s="244" t="s">
        <v>4982</v>
      </c>
      <c r="AG958" s="239" t="str">
        <f>IFERROR(VLOOKUP(작성용!A:A,RM!A:D,4,0),"-")</f>
        <v>-</v>
      </c>
      <c r="AH958" s="9" t="s">
        <v>4771</v>
      </c>
      <c r="AI958" s="235" t="s">
        <v>4771</v>
      </c>
      <c r="AJ958" s="235" t="s">
        <v>4771</v>
      </c>
      <c r="AK958" s="235" t="s">
        <v>5208</v>
      </c>
      <c r="AL958" s="235">
        <v>957</v>
      </c>
    </row>
    <row r="959" spans="1:38" x14ac:dyDescent="0.3">
      <c r="A959" s="222">
        <v>6000107</v>
      </c>
      <c r="B959" s="222" t="s">
        <v>5895</v>
      </c>
      <c r="C959" s="241" t="s">
        <v>4778</v>
      </c>
      <c r="D959" s="237" t="s">
        <v>5952</v>
      </c>
      <c r="E959" s="236">
        <v>1801110694934</v>
      </c>
      <c r="F959" s="240" t="s">
        <v>4854</v>
      </c>
      <c r="G959" s="242">
        <v>0</v>
      </c>
      <c r="H959" s="223" t="s">
        <v>4771</v>
      </c>
      <c r="I959" s="223"/>
      <c r="J959" s="231"/>
      <c r="K959" s="223"/>
      <c r="L959" s="223"/>
      <c r="M959" s="223"/>
      <c r="N959" s="240" t="s">
        <v>5566</v>
      </c>
      <c r="O959" s="225"/>
      <c r="P959" s="225"/>
      <c r="Q959" s="225"/>
      <c r="R959" s="212" t="s">
        <v>2</v>
      </c>
      <c r="S959" s="213" t="s">
        <v>4771</v>
      </c>
      <c r="T959" s="233" t="s">
        <v>5949</v>
      </c>
      <c r="U959" s="234" t="s">
        <v>5822</v>
      </c>
      <c r="V959" s="234">
        <v>45632</v>
      </c>
      <c r="W959" s="234" t="s">
        <v>4877</v>
      </c>
      <c r="X959" s="234" t="s">
        <v>2</v>
      </c>
      <c r="Y959" s="224"/>
      <c r="Z959" s="224"/>
      <c r="AA959" s="243">
        <v>202411</v>
      </c>
      <c r="AB959" s="243"/>
      <c r="AC959" s="244" t="s">
        <v>5210</v>
      </c>
      <c r="AD959" s="244" t="s">
        <v>4858</v>
      </c>
      <c r="AE959" s="245">
        <v>0.4</v>
      </c>
      <c r="AF959" s="244" t="s">
        <v>4858</v>
      </c>
      <c r="AG959" s="239" t="str">
        <f>IFERROR(VLOOKUP(작성용!A:A,RM!A:D,4,0),"-")</f>
        <v>-</v>
      </c>
      <c r="AH959" s="9" t="s">
        <v>4771</v>
      </c>
      <c r="AI959" s="235" t="s">
        <v>4771</v>
      </c>
      <c r="AJ959" s="235" t="s">
        <v>2</v>
      </c>
      <c r="AK959" s="235" t="s">
        <v>5208</v>
      </c>
      <c r="AL959" s="235">
        <v>958</v>
      </c>
    </row>
    <row r="960" spans="1:38" x14ac:dyDescent="0.3">
      <c r="A960" s="222">
        <v>6000107</v>
      </c>
      <c r="B960" s="222" t="s">
        <v>5895</v>
      </c>
      <c r="C960" s="241" t="s">
        <v>4778</v>
      </c>
      <c r="D960" s="237" t="s">
        <v>5952</v>
      </c>
      <c r="E960" s="236">
        <v>1801110694934</v>
      </c>
      <c r="F960" s="240" t="s">
        <v>4850</v>
      </c>
      <c r="G960" s="242">
        <v>0</v>
      </c>
      <c r="H960" s="223" t="s">
        <v>4771</v>
      </c>
      <c r="I960" s="223"/>
      <c r="J960" s="231"/>
      <c r="K960" s="223"/>
      <c r="L960" s="223"/>
      <c r="M960" s="223"/>
      <c r="N960" s="240" t="s">
        <v>5566</v>
      </c>
      <c r="O960" s="225"/>
      <c r="P960" s="225"/>
      <c r="Q960" s="225"/>
      <c r="R960" s="212" t="s">
        <v>2</v>
      </c>
      <c r="S960" s="213" t="s">
        <v>4771</v>
      </c>
      <c r="T960" s="233" t="s">
        <v>5949</v>
      </c>
      <c r="U960" s="234" t="s">
        <v>5822</v>
      </c>
      <c r="V960" s="234">
        <v>45632</v>
      </c>
      <c r="W960" s="234" t="s">
        <v>4877</v>
      </c>
      <c r="X960" s="234" t="s">
        <v>2</v>
      </c>
      <c r="Y960" s="224"/>
      <c r="Z960" s="224"/>
      <c r="AA960" s="243">
        <v>202411</v>
      </c>
      <c r="AB960" s="243"/>
      <c r="AC960" s="244" t="s">
        <v>5210</v>
      </c>
      <c r="AD960" s="244" t="s">
        <v>4858</v>
      </c>
      <c r="AE960" s="245">
        <v>0</v>
      </c>
      <c r="AF960" s="244" t="s">
        <v>4858</v>
      </c>
      <c r="AG960" s="239" t="str">
        <f>IFERROR(VLOOKUP(작성용!A:A,RM!A:D,4,0),"-")</f>
        <v>-</v>
      </c>
      <c r="AH960" s="9" t="s">
        <v>4771</v>
      </c>
      <c r="AI960" s="235" t="s">
        <v>4771</v>
      </c>
      <c r="AJ960" s="235" t="s">
        <v>2</v>
      </c>
      <c r="AK960" s="235" t="s">
        <v>5208</v>
      </c>
      <c r="AL960" s="235">
        <v>959</v>
      </c>
    </row>
    <row r="961" spans="1:38" x14ac:dyDescent="0.3">
      <c r="A961" s="222">
        <v>6000174</v>
      </c>
      <c r="B961" s="222" t="s">
        <v>5902</v>
      </c>
      <c r="C961" s="241" t="s">
        <v>4778</v>
      </c>
      <c r="D961" s="237" t="s">
        <v>5108</v>
      </c>
      <c r="E961" s="236">
        <v>1201110579253</v>
      </c>
      <c r="F961" s="240" t="s">
        <v>4854</v>
      </c>
      <c r="G961" s="242">
        <v>0</v>
      </c>
      <c r="H961" s="223" t="s">
        <v>4771</v>
      </c>
      <c r="I961" s="223"/>
      <c r="J961" s="231"/>
      <c r="K961" s="223"/>
      <c r="L961" s="223"/>
      <c r="M961" s="223"/>
      <c r="N961" s="225" t="s">
        <v>5566</v>
      </c>
      <c r="O961" s="225"/>
      <c r="P961" s="225"/>
      <c r="Q961" s="225"/>
      <c r="R961" s="212" t="s">
        <v>2</v>
      </c>
      <c r="S961" s="212" t="s">
        <v>4771</v>
      </c>
      <c r="T961" s="233" t="s">
        <v>5949</v>
      </c>
      <c r="U961" s="234" t="s">
        <v>5822</v>
      </c>
      <c r="V961" s="234">
        <v>45632</v>
      </c>
      <c r="W961" s="234" t="s">
        <v>4877</v>
      </c>
      <c r="X961" s="234" t="s">
        <v>4771</v>
      </c>
      <c r="Y961" s="234"/>
      <c r="Z961" s="234"/>
      <c r="AA961" s="243">
        <v>202411</v>
      </c>
      <c r="AB961" s="243"/>
      <c r="AC961" s="244" t="s">
        <v>5210</v>
      </c>
      <c r="AD961" s="244" t="s">
        <v>4935</v>
      </c>
      <c r="AE961" s="245">
        <v>0</v>
      </c>
      <c r="AF961" s="244" t="s">
        <v>4935</v>
      </c>
      <c r="AG961" s="239" t="str">
        <f>IFERROR(VLOOKUP(작성용!A:A,RM!A:D,4,0),"-")</f>
        <v>-</v>
      </c>
      <c r="AH961" s="251" t="s">
        <v>4771</v>
      </c>
      <c r="AI961" s="235" t="s">
        <v>4771</v>
      </c>
      <c r="AJ961" s="235" t="s">
        <v>4771</v>
      </c>
      <c r="AK961" s="235" t="s">
        <v>5208</v>
      </c>
      <c r="AL961" s="235">
        <v>960</v>
      </c>
    </row>
    <row r="962" spans="1:38" x14ac:dyDescent="0.3">
      <c r="A962" s="222">
        <v>6000174</v>
      </c>
      <c r="B962" s="222" t="s">
        <v>5902</v>
      </c>
      <c r="C962" s="241" t="s">
        <v>4778</v>
      </c>
      <c r="D962" s="237" t="s">
        <v>5953</v>
      </c>
      <c r="E962" s="236">
        <v>1101114897679</v>
      </c>
      <c r="F962" s="240" t="s">
        <v>4926</v>
      </c>
      <c r="G962" s="242">
        <v>0</v>
      </c>
      <c r="H962" s="223" t="s">
        <v>4771</v>
      </c>
      <c r="I962" s="223"/>
      <c r="J962" s="231"/>
      <c r="K962" s="223"/>
      <c r="L962" s="223"/>
      <c r="M962" s="223"/>
      <c r="N962" s="225" t="s">
        <v>5566</v>
      </c>
      <c r="O962" s="225"/>
      <c r="P962" s="225"/>
      <c r="Q962" s="225"/>
      <c r="R962" s="212" t="s">
        <v>2</v>
      </c>
      <c r="S962" s="212" t="s">
        <v>4771</v>
      </c>
      <c r="T962" s="233" t="s">
        <v>5949</v>
      </c>
      <c r="U962" s="234" t="s">
        <v>5822</v>
      </c>
      <c r="V962" s="234">
        <v>45632</v>
      </c>
      <c r="W962" s="234" t="s">
        <v>4877</v>
      </c>
      <c r="X962" s="234" t="s">
        <v>4771</v>
      </c>
      <c r="Y962" s="234"/>
      <c r="Z962" s="234"/>
      <c r="AA962" s="243">
        <v>202411</v>
      </c>
      <c r="AB962" s="243"/>
      <c r="AC962" s="244" t="s">
        <v>5210</v>
      </c>
      <c r="AD962" s="244" t="s">
        <v>5021</v>
      </c>
      <c r="AE962" s="245">
        <v>0</v>
      </c>
      <c r="AF962" s="244" t="s">
        <v>5021</v>
      </c>
      <c r="AG962" s="239" t="str">
        <f>IFERROR(VLOOKUP(작성용!A:A,RM!A:D,4,0),"-")</f>
        <v>-</v>
      </c>
      <c r="AH962" s="251" t="s">
        <v>4771</v>
      </c>
      <c r="AI962" s="235" t="s">
        <v>4771</v>
      </c>
      <c r="AJ962" s="235" t="s">
        <v>4771</v>
      </c>
      <c r="AK962" s="235" t="s">
        <v>5208</v>
      </c>
      <c r="AL962" s="235">
        <v>961</v>
      </c>
    </row>
    <row r="963" spans="1:38" x14ac:dyDescent="0.3">
      <c r="A963" s="222">
        <v>6000266</v>
      </c>
      <c r="B963" s="222" t="s">
        <v>5910</v>
      </c>
      <c r="C963" s="241" t="s">
        <v>4778</v>
      </c>
      <c r="D963" s="237" t="s">
        <v>5954</v>
      </c>
      <c r="E963" s="236" t="s">
        <v>4740</v>
      </c>
      <c r="F963" s="240" t="s">
        <v>4854</v>
      </c>
      <c r="G963" s="242">
        <v>0</v>
      </c>
      <c r="H963" s="223" t="s">
        <v>4771</v>
      </c>
      <c r="I963" s="223"/>
      <c r="J963" s="231"/>
      <c r="K963" s="223"/>
      <c r="L963" s="223"/>
      <c r="M963" s="223"/>
      <c r="N963" s="240" t="s">
        <v>5566</v>
      </c>
      <c r="O963" s="225"/>
      <c r="P963" s="225"/>
      <c r="Q963" s="225"/>
      <c r="R963" s="212" t="s">
        <v>2</v>
      </c>
      <c r="S963" s="213" t="s">
        <v>4771</v>
      </c>
      <c r="T963" s="233" t="s">
        <v>5949</v>
      </c>
      <c r="U963" s="234" t="s">
        <v>5822</v>
      </c>
      <c r="V963" s="234">
        <v>45632</v>
      </c>
      <c r="W963" s="234" t="s">
        <v>4877</v>
      </c>
      <c r="X963" s="234" t="s">
        <v>2</v>
      </c>
      <c r="Y963" s="224"/>
      <c r="Z963" s="224"/>
      <c r="AA963" s="243">
        <v>202411</v>
      </c>
      <c r="AB963" s="243"/>
      <c r="AC963" s="244" t="s">
        <v>5210</v>
      </c>
      <c r="AD963" s="244" t="s">
        <v>4761</v>
      </c>
      <c r="AE963" s="245">
        <v>0</v>
      </c>
      <c r="AF963" s="244" t="s">
        <v>4761</v>
      </c>
      <c r="AG963" s="239" t="str">
        <f>IFERROR(VLOOKUP(작성용!A:A,RM!A:D,4,0),"-")</f>
        <v>-</v>
      </c>
      <c r="AH963" s="9" t="s">
        <v>4771</v>
      </c>
      <c r="AI963" s="235" t="s">
        <v>5955</v>
      </c>
      <c r="AJ963" s="235" t="s">
        <v>2</v>
      </c>
      <c r="AK963" s="235" t="s">
        <v>5208</v>
      </c>
      <c r="AL963" s="235">
        <v>962</v>
      </c>
    </row>
    <row r="964" spans="1:38" x14ac:dyDescent="0.3">
      <c r="A964" s="222">
        <v>6000266</v>
      </c>
      <c r="B964" s="222" t="s">
        <v>5910</v>
      </c>
      <c r="C964" s="241" t="s">
        <v>4778</v>
      </c>
      <c r="D964" s="237" t="s">
        <v>5954</v>
      </c>
      <c r="E964" s="236" t="s">
        <v>4740</v>
      </c>
      <c r="F964" s="240" t="s">
        <v>4850</v>
      </c>
      <c r="G964" s="242">
        <v>0</v>
      </c>
      <c r="H964" s="223" t="s">
        <v>4771</v>
      </c>
      <c r="I964" s="223"/>
      <c r="J964" s="231"/>
      <c r="K964" s="223"/>
      <c r="L964" s="223"/>
      <c r="M964" s="223"/>
      <c r="N964" s="240" t="s">
        <v>5566</v>
      </c>
      <c r="O964" s="225"/>
      <c r="P964" s="225"/>
      <c r="Q964" s="225"/>
      <c r="R964" s="212" t="s">
        <v>2</v>
      </c>
      <c r="S964" s="213" t="s">
        <v>4771</v>
      </c>
      <c r="T964" s="233" t="s">
        <v>5949</v>
      </c>
      <c r="U964" s="234" t="s">
        <v>5822</v>
      </c>
      <c r="V964" s="234">
        <v>45632</v>
      </c>
      <c r="W964" s="234" t="s">
        <v>4877</v>
      </c>
      <c r="X964" s="234" t="s">
        <v>2</v>
      </c>
      <c r="Y964" s="224"/>
      <c r="Z964" s="224"/>
      <c r="AA964" s="243">
        <v>202411</v>
      </c>
      <c r="AB964" s="243"/>
      <c r="AC964" s="244" t="s">
        <v>5210</v>
      </c>
      <c r="AD964" s="244" t="s">
        <v>4761</v>
      </c>
      <c r="AE964" s="245">
        <v>0</v>
      </c>
      <c r="AF964" s="244" t="s">
        <v>4761</v>
      </c>
      <c r="AG964" s="239" t="str">
        <f>IFERROR(VLOOKUP(작성용!A:A,RM!A:D,4,0),"-")</f>
        <v>-</v>
      </c>
      <c r="AH964" s="9" t="s">
        <v>4771</v>
      </c>
      <c r="AI964" s="235" t="s">
        <v>5955</v>
      </c>
      <c r="AJ964" s="235" t="s">
        <v>2</v>
      </c>
      <c r="AK964" s="235" t="s">
        <v>5208</v>
      </c>
      <c r="AL964" s="235">
        <v>963</v>
      </c>
    </row>
    <row r="965" spans="1:38" x14ac:dyDescent="0.3">
      <c r="A965" s="222">
        <v>6000298</v>
      </c>
      <c r="B965" s="222" t="s">
        <v>5905</v>
      </c>
      <c r="C965" s="241" t="s">
        <v>4778</v>
      </c>
      <c r="D965" s="237" t="s">
        <v>5956</v>
      </c>
      <c r="E965" s="236">
        <v>1752110032189</v>
      </c>
      <c r="F965" s="240" t="s">
        <v>4854</v>
      </c>
      <c r="G965" s="242">
        <v>0</v>
      </c>
      <c r="H965" s="223" t="s">
        <v>4771</v>
      </c>
      <c r="I965" s="223"/>
      <c r="J965" s="231"/>
      <c r="K965" s="223"/>
      <c r="L965" s="223"/>
      <c r="M965" s="223"/>
      <c r="N965" s="240" t="s">
        <v>5566</v>
      </c>
      <c r="O965" s="225"/>
      <c r="P965" s="225"/>
      <c r="Q965" s="225"/>
      <c r="R965" s="212" t="s">
        <v>2</v>
      </c>
      <c r="S965" s="213" t="s">
        <v>4771</v>
      </c>
      <c r="T965" s="233" t="s">
        <v>5949</v>
      </c>
      <c r="U965" s="234" t="s">
        <v>5822</v>
      </c>
      <c r="V965" s="234">
        <v>45632</v>
      </c>
      <c r="W965" s="234" t="s">
        <v>4877</v>
      </c>
      <c r="X965" s="234" t="s">
        <v>2</v>
      </c>
      <c r="Y965" s="224"/>
      <c r="Z965" s="224"/>
      <c r="AA965" s="243">
        <v>202411</v>
      </c>
      <c r="AB965" s="243"/>
      <c r="AC965" s="234" t="s">
        <v>5210</v>
      </c>
      <c r="AD965" s="244" t="s">
        <v>4897</v>
      </c>
      <c r="AE965" s="245">
        <v>0.4</v>
      </c>
      <c r="AF965" s="244" t="s">
        <v>4897</v>
      </c>
      <c r="AG965" s="239" t="str">
        <f>IFERROR(VLOOKUP(작성용!A:A,RM!A:D,4,0),"-")</f>
        <v>-</v>
      </c>
      <c r="AH965" s="251" t="s">
        <v>4771</v>
      </c>
      <c r="AI965" s="235" t="s">
        <v>4771</v>
      </c>
      <c r="AJ965" s="235" t="s">
        <v>4771</v>
      </c>
      <c r="AK965" s="235" t="s">
        <v>5208</v>
      </c>
      <c r="AL965" s="235">
        <v>964</v>
      </c>
    </row>
    <row r="966" spans="1:38" x14ac:dyDescent="0.3">
      <c r="A966" s="229">
        <v>6000302</v>
      </c>
      <c r="B966" s="229" t="s">
        <v>5908</v>
      </c>
      <c r="C966" s="241" t="s">
        <v>4778</v>
      </c>
      <c r="D966" s="237" t="s">
        <v>5957</v>
      </c>
      <c r="E966" s="236">
        <v>1355110169405</v>
      </c>
      <c r="F966" s="240" t="s">
        <v>4854</v>
      </c>
      <c r="G966" s="214">
        <v>0</v>
      </c>
      <c r="H966" s="260" t="s">
        <v>4771</v>
      </c>
      <c r="I966" s="260"/>
      <c r="J966" s="231"/>
      <c r="K966" s="260"/>
      <c r="L966" s="260"/>
      <c r="M966" s="260"/>
      <c r="N966" s="240" t="s">
        <v>5566</v>
      </c>
      <c r="O966" s="256"/>
      <c r="P966" s="256"/>
      <c r="Q966" s="225"/>
      <c r="R966" s="212" t="s">
        <v>2</v>
      </c>
      <c r="S966" s="213" t="s">
        <v>4771</v>
      </c>
      <c r="T966" s="233" t="s">
        <v>5949</v>
      </c>
      <c r="U966" s="234" t="s">
        <v>5822</v>
      </c>
      <c r="V966" s="234">
        <v>45632</v>
      </c>
      <c r="W966" s="234" t="s">
        <v>4877</v>
      </c>
      <c r="X966" s="234" t="s">
        <v>2</v>
      </c>
      <c r="Y966" s="234"/>
      <c r="Z966" s="234"/>
      <c r="AA966" s="243">
        <v>202411</v>
      </c>
      <c r="AB966" s="243"/>
      <c r="AC966" s="244" t="s">
        <v>5210</v>
      </c>
      <c r="AD966" s="244" t="s">
        <v>4864</v>
      </c>
      <c r="AE966" s="245">
        <v>0.4</v>
      </c>
      <c r="AF966" s="244" t="s">
        <v>4864</v>
      </c>
      <c r="AG966" s="239" t="str">
        <f>IFERROR(VLOOKUP(작성용!A:A,RM!A:D,4,0),"-")</f>
        <v>-</v>
      </c>
      <c r="AH966" s="9" t="s">
        <v>4771</v>
      </c>
      <c r="AI966" s="235" t="s">
        <v>4771</v>
      </c>
      <c r="AJ966" s="9" t="s">
        <v>4771</v>
      </c>
      <c r="AK966" s="235" t="s">
        <v>5208</v>
      </c>
      <c r="AL966" s="235">
        <v>965</v>
      </c>
    </row>
    <row r="967" spans="1:38" x14ac:dyDescent="0.3">
      <c r="A967" s="229">
        <v>6000302</v>
      </c>
      <c r="B967" s="229" t="s">
        <v>5908</v>
      </c>
      <c r="C967" s="241" t="s">
        <v>4778</v>
      </c>
      <c r="D967" s="237" t="s">
        <v>5958</v>
      </c>
      <c r="E967" s="236">
        <v>1101140237229</v>
      </c>
      <c r="F967" s="240" t="s">
        <v>4854</v>
      </c>
      <c r="G967" s="214">
        <v>0</v>
      </c>
      <c r="H967" s="260" t="s">
        <v>4771</v>
      </c>
      <c r="I967" s="260"/>
      <c r="J967" s="231"/>
      <c r="K967" s="260"/>
      <c r="L967" s="260"/>
      <c r="M967" s="260"/>
      <c r="N967" s="240" t="s">
        <v>5566</v>
      </c>
      <c r="O967" s="256"/>
      <c r="P967" s="256"/>
      <c r="Q967" s="225"/>
      <c r="R967" s="212" t="s">
        <v>2</v>
      </c>
      <c r="S967" s="213" t="s">
        <v>4771</v>
      </c>
      <c r="T967" s="233" t="s">
        <v>5949</v>
      </c>
      <c r="U967" s="234" t="s">
        <v>5822</v>
      </c>
      <c r="V967" s="234">
        <v>45632</v>
      </c>
      <c r="W967" s="234" t="s">
        <v>4877</v>
      </c>
      <c r="X967" s="234" t="s">
        <v>2</v>
      </c>
      <c r="Y967" s="234"/>
      <c r="Z967" s="234"/>
      <c r="AA967" s="243">
        <v>202411</v>
      </c>
      <c r="AB967" s="243"/>
      <c r="AC967" s="244" t="s">
        <v>5210</v>
      </c>
      <c r="AD967" s="244" t="s">
        <v>4864</v>
      </c>
      <c r="AE967" s="245">
        <v>0.4</v>
      </c>
      <c r="AF967" s="244" t="s">
        <v>4864</v>
      </c>
      <c r="AG967" s="239" t="str">
        <f>IFERROR(VLOOKUP(작성용!A:A,RM!A:D,4,0),"-")</f>
        <v>-</v>
      </c>
      <c r="AH967" s="9" t="s">
        <v>4771</v>
      </c>
      <c r="AI967" s="235" t="s">
        <v>4771</v>
      </c>
      <c r="AJ967" s="9" t="s">
        <v>4771</v>
      </c>
      <c r="AK967" s="235" t="s">
        <v>5208</v>
      </c>
      <c r="AL967" s="235">
        <v>966</v>
      </c>
    </row>
    <row r="968" spans="1:38" x14ac:dyDescent="0.3">
      <c r="A968" s="222">
        <v>6000347</v>
      </c>
      <c r="B968" s="222" t="s">
        <v>5912</v>
      </c>
      <c r="C968" s="241" t="s">
        <v>4778</v>
      </c>
      <c r="D968" s="237" t="s">
        <v>5959</v>
      </c>
      <c r="E968" s="236" t="s">
        <v>4741</v>
      </c>
      <c r="F968" s="240" t="s">
        <v>4894</v>
      </c>
      <c r="G968" s="242">
        <v>0</v>
      </c>
      <c r="H968" s="223" t="s">
        <v>4771</v>
      </c>
      <c r="I968" s="223"/>
      <c r="J968" s="231"/>
      <c r="K968" s="223"/>
      <c r="L968" s="223"/>
      <c r="M968" s="223"/>
      <c r="N968" s="240" t="s">
        <v>5566</v>
      </c>
      <c r="O968" s="225"/>
      <c r="P968" s="225"/>
      <c r="Q968" s="225"/>
      <c r="R968" s="212" t="s">
        <v>2</v>
      </c>
      <c r="S968" s="213" t="s">
        <v>4771</v>
      </c>
      <c r="T968" s="233" t="s">
        <v>5949</v>
      </c>
      <c r="U968" s="234" t="s">
        <v>5822</v>
      </c>
      <c r="V968" s="234">
        <v>45632</v>
      </c>
      <c r="W968" s="234" t="s">
        <v>4877</v>
      </c>
      <c r="X968" s="234" t="s">
        <v>2</v>
      </c>
      <c r="Y968" s="234"/>
      <c r="Z968" s="234"/>
      <c r="AA968" s="243">
        <v>202411</v>
      </c>
      <c r="AB968" s="243"/>
      <c r="AC968" s="244" t="s">
        <v>5210</v>
      </c>
      <c r="AD968" s="244" t="s">
        <v>4918</v>
      </c>
      <c r="AE968" s="245">
        <v>0.4</v>
      </c>
      <c r="AF968" s="244" t="s">
        <v>4918</v>
      </c>
      <c r="AG968" s="239" t="str">
        <f>IFERROR(VLOOKUP(작성용!A:A,RM!A:D,4,0),"-")</f>
        <v>-</v>
      </c>
      <c r="AH968" s="9" t="s">
        <v>4771</v>
      </c>
      <c r="AI968" s="235" t="s">
        <v>4771</v>
      </c>
      <c r="AJ968" s="235" t="s">
        <v>2</v>
      </c>
      <c r="AK968" s="235" t="s">
        <v>5208</v>
      </c>
      <c r="AL968" s="235">
        <v>967</v>
      </c>
    </row>
    <row r="969" spans="1:38" x14ac:dyDescent="0.3">
      <c r="A969" s="222">
        <v>6000409</v>
      </c>
      <c r="B969" s="222" t="s">
        <v>5916</v>
      </c>
      <c r="C969" s="241" t="s">
        <v>4778</v>
      </c>
      <c r="D969" s="237" t="s">
        <v>5960</v>
      </c>
      <c r="E969" s="236">
        <v>1914110005116</v>
      </c>
      <c r="F969" s="240" t="s">
        <v>4854</v>
      </c>
      <c r="G969" s="242">
        <v>0</v>
      </c>
      <c r="H969" s="223" t="s">
        <v>4771</v>
      </c>
      <c r="I969" s="223"/>
      <c r="J969" s="231"/>
      <c r="K969" s="223"/>
      <c r="L969" s="223"/>
      <c r="M969" s="223"/>
      <c r="N969" s="240" t="s">
        <v>5566</v>
      </c>
      <c r="O969" s="225"/>
      <c r="P969" s="225"/>
      <c r="Q969" s="225"/>
      <c r="R969" s="212" t="s">
        <v>2</v>
      </c>
      <c r="S969" s="213" t="s">
        <v>4771</v>
      </c>
      <c r="T969" s="233" t="s">
        <v>5949</v>
      </c>
      <c r="U969" s="234" t="s">
        <v>5822</v>
      </c>
      <c r="V969" s="234">
        <v>45632</v>
      </c>
      <c r="W969" s="234" t="s">
        <v>4877</v>
      </c>
      <c r="X969" s="234" t="s">
        <v>2</v>
      </c>
      <c r="Y969" s="234"/>
      <c r="Z969" s="234"/>
      <c r="AA969" s="243">
        <v>202411</v>
      </c>
      <c r="AB969" s="243"/>
      <c r="AC969" s="244" t="s">
        <v>5210</v>
      </c>
      <c r="AD969" s="244" t="s">
        <v>4918</v>
      </c>
      <c r="AE969" s="245">
        <v>0.4</v>
      </c>
      <c r="AF969" s="244" t="s">
        <v>4918</v>
      </c>
      <c r="AG969" s="239" t="str">
        <f>IFERROR(VLOOKUP(작성용!A:A,RM!A:D,4,0),"-")</f>
        <v>-</v>
      </c>
      <c r="AH969" s="9" t="s">
        <v>4771</v>
      </c>
      <c r="AI969" s="235" t="s">
        <v>4771</v>
      </c>
      <c r="AJ969" s="235" t="s">
        <v>2</v>
      </c>
      <c r="AK969" s="235" t="s">
        <v>5208</v>
      </c>
      <c r="AL969" s="235">
        <v>968</v>
      </c>
    </row>
    <row r="970" spans="1:38" x14ac:dyDescent="0.3">
      <c r="A970" s="222">
        <v>6000411</v>
      </c>
      <c r="B970" s="222" t="s">
        <v>5917</v>
      </c>
      <c r="C970" s="241" t="s">
        <v>4778</v>
      </c>
      <c r="D970" s="237" t="s">
        <v>5961</v>
      </c>
      <c r="E970" s="236">
        <v>1942110280230</v>
      </c>
      <c r="F970" s="240" t="s">
        <v>4854</v>
      </c>
      <c r="G970" s="242">
        <v>0</v>
      </c>
      <c r="H970" s="223" t="s">
        <v>4771</v>
      </c>
      <c r="I970" s="223"/>
      <c r="J970" s="231"/>
      <c r="K970" s="223"/>
      <c r="L970" s="223"/>
      <c r="M970" s="223"/>
      <c r="N970" s="240" t="s">
        <v>5566</v>
      </c>
      <c r="O970" s="225"/>
      <c r="P970" s="225"/>
      <c r="Q970" s="225"/>
      <c r="R970" s="212" t="s">
        <v>2</v>
      </c>
      <c r="S970" s="213" t="s">
        <v>4771</v>
      </c>
      <c r="T970" s="233" t="s">
        <v>5949</v>
      </c>
      <c r="U970" s="234" t="s">
        <v>5822</v>
      </c>
      <c r="V970" s="234">
        <v>45632</v>
      </c>
      <c r="W970" s="234" t="s">
        <v>4877</v>
      </c>
      <c r="X970" s="234" t="s">
        <v>2</v>
      </c>
      <c r="Y970" s="234"/>
      <c r="Z970" s="234"/>
      <c r="AA970" s="243">
        <v>202411</v>
      </c>
      <c r="AB970" s="243"/>
      <c r="AC970" s="244" t="s">
        <v>5210</v>
      </c>
      <c r="AD970" s="244" t="s">
        <v>4945</v>
      </c>
      <c r="AE970" s="245">
        <v>0.4</v>
      </c>
      <c r="AF970" s="244" t="s">
        <v>4872</v>
      </c>
      <c r="AG970" s="239" t="str">
        <f>IFERROR(VLOOKUP(작성용!A:A,RM!A:D,4,0),"-")</f>
        <v>-</v>
      </c>
      <c r="AH970" s="9" t="s">
        <v>4771</v>
      </c>
      <c r="AI970" s="235" t="s">
        <v>4771</v>
      </c>
      <c r="AJ970" s="235" t="s">
        <v>2</v>
      </c>
      <c r="AK970" s="235" t="s">
        <v>5208</v>
      </c>
      <c r="AL970" s="235">
        <v>969</v>
      </c>
    </row>
    <row r="971" spans="1:38" x14ac:dyDescent="0.3">
      <c r="A971" s="222">
        <v>6000411</v>
      </c>
      <c r="B971" s="222" t="s">
        <v>5917</v>
      </c>
      <c r="C971" s="241" t="s">
        <v>4778</v>
      </c>
      <c r="D971" s="237" t="s">
        <v>5961</v>
      </c>
      <c r="E971" s="236">
        <v>1942110280230</v>
      </c>
      <c r="F971" s="240" t="s">
        <v>4850</v>
      </c>
      <c r="G971" s="242">
        <v>0</v>
      </c>
      <c r="H971" s="223" t="s">
        <v>4771</v>
      </c>
      <c r="I971" s="223"/>
      <c r="J971" s="231"/>
      <c r="K971" s="223"/>
      <c r="L971" s="223"/>
      <c r="M971" s="223"/>
      <c r="N971" s="240" t="s">
        <v>5566</v>
      </c>
      <c r="O971" s="225"/>
      <c r="P971" s="225"/>
      <c r="Q971" s="225"/>
      <c r="R971" s="212" t="s">
        <v>2</v>
      </c>
      <c r="S971" s="213" t="s">
        <v>4771</v>
      </c>
      <c r="T971" s="233" t="s">
        <v>5949</v>
      </c>
      <c r="U971" s="234" t="s">
        <v>5822</v>
      </c>
      <c r="V971" s="234">
        <v>45632</v>
      </c>
      <c r="W971" s="234" t="s">
        <v>4877</v>
      </c>
      <c r="X971" s="234" t="s">
        <v>2</v>
      </c>
      <c r="Y971" s="234"/>
      <c r="Z971" s="234"/>
      <c r="AA971" s="243">
        <v>202411</v>
      </c>
      <c r="AB971" s="243"/>
      <c r="AC971" s="244" t="s">
        <v>5210</v>
      </c>
      <c r="AD971" s="244" t="s">
        <v>4945</v>
      </c>
      <c r="AE971" s="245">
        <v>0</v>
      </c>
      <c r="AF971" s="244" t="s">
        <v>4872</v>
      </c>
      <c r="AG971" s="239" t="str">
        <f>IFERROR(VLOOKUP(작성용!A:A,RM!A:D,4,0),"-")</f>
        <v>-</v>
      </c>
      <c r="AH971" s="9" t="s">
        <v>4771</v>
      </c>
      <c r="AI971" s="235" t="s">
        <v>4771</v>
      </c>
      <c r="AJ971" s="235" t="s">
        <v>2</v>
      </c>
      <c r="AK971" s="235" t="s">
        <v>5208</v>
      </c>
      <c r="AL971" s="235">
        <v>970</v>
      </c>
    </row>
    <row r="972" spans="1:38" x14ac:dyDescent="0.3">
      <c r="A972" s="222">
        <v>6000427</v>
      </c>
      <c r="B972" s="222" t="s">
        <v>5915</v>
      </c>
      <c r="C972" s="241" t="s">
        <v>4778</v>
      </c>
      <c r="D972" s="237" t="s">
        <v>5962</v>
      </c>
      <c r="E972" s="236">
        <v>1201111041582</v>
      </c>
      <c r="F972" s="240" t="s">
        <v>4854</v>
      </c>
      <c r="G972" s="242">
        <v>0</v>
      </c>
      <c r="H972" s="223" t="s">
        <v>4771</v>
      </c>
      <c r="I972" s="223"/>
      <c r="J972" s="231"/>
      <c r="K972" s="223"/>
      <c r="L972" s="223"/>
      <c r="M972" s="223"/>
      <c r="N972" s="240" t="s">
        <v>5566</v>
      </c>
      <c r="O972" s="225"/>
      <c r="P972" s="225"/>
      <c r="Q972" s="225"/>
      <c r="R972" s="212" t="s">
        <v>2</v>
      </c>
      <c r="S972" s="213" t="s">
        <v>4771</v>
      </c>
      <c r="T972" s="233" t="s">
        <v>5949</v>
      </c>
      <c r="U972" s="234" t="s">
        <v>5822</v>
      </c>
      <c r="V972" s="234">
        <v>45632</v>
      </c>
      <c r="W972" s="234" t="s">
        <v>4877</v>
      </c>
      <c r="X972" s="234" t="s">
        <v>4771</v>
      </c>
      <c r="Y972" s="234"/>
      <c r="Z972" s="234"/>
      <c r="AA972" s="243">
        <v>202411</v>
      </c>
      <c r="AB972" s="243"/>
      <c r="AC972" s="244" t="s">
        <v>5210</v>
      </c>
      <c r="AD972" s="244" t="s">
        <v>4980</v>
      </c>
      <c r="AE972" s="245">
        <v>0.4</v>
      </c>
      <c r="AF972" s="244" t="s">
        <v>4980</v>
      </c>
      <c r="AG972" s="239" t="str">
        <f>IFERROR(VLOOKUP(작성용!A:A,RM!A:D,4,0),"-")</f>
        <v>-</v>
      </c>
      <c r="AH972" s="9" t="s">
        <v>4771</v>
      </c>
      <c r="AI972" s="235" t="s">
        <v>4771</v>
      </c>
      <c r="AJ972" s="235" t="s">
        <v>4771</v>
      </c>
      <c r="AK972" s="235" t="s">
        <v>5208</v>
      </c>
      <c r="AL972" s="235">
        <v>971</v>
      </c>
    </row>
    <row r="973" spans="1:38" x14ac:dyDescent="0.3">
      <c r="A973" s="222">
        <v>6000427</v>
      </c>
      <c r="B973" s="222" t="s">
        <v>5915</v>
      </c>
      <c r="C973" s="241" t="s">
        <v>4778</v>
      </c>
      <c r="D973" s="237" t="s">
        <v>5963</v>
      </c>
      <c r="E973" s="236">
        <v>1201110233312</v>
      </c>
      <c r="F973" s="240" t="s">
        <v>4854</v>
      </c>
      <c r="G973" s="242">
        <v>0</v>
      </c>
      <c r="H973" s="223" t="s">
        <v>4771</v>
      </c>
      <c r="I973" s="223"/>
      <c r="J973" s="231"/>
      <c r="K973" s="223"/>
      <c r="L973" s="223"/>
      <c r="M973" s="223"/>
      <c r="N973" s="240" t="s">
        <v>5566</v>
      </c>
      <c r="O973" s="225"/>
      <c r="P973" s="225"/>
      <c r="Q973" s="225"/>
      <c r="R973" s="212" t="s">
        <v>2</v>
      </c>
      <c r="S973" s="213" t="s">
        <v>4771</v>
      </c>
      <c r="T973" s="233" t="s">
        <v>5949</v>
      </c>
      <c r="U973" s="234" t="s">
        <v>5822</v>
      </c>
      <c r="V973" s="234">
        <v>45632</v>
      </c>
      <c r="W973" s="234" t="s">
        <v>4877</v>
      </c>
      <c r="X973" s="234" t="s">
        <v>4771</v>
      </c>
      <c r="Y973" s="234"/>
      <c r="Z973" s="234"/>
      <c r="AA973" s="243">
        <v>202411</v>
      </c>
      <c r="AB973" s="243"/>
      <c r="AC973" s="244" t="s">
        <v>5210</v>
      </c>
      <c r="AD973" s="244" t="s">
        <v>4980</v>
      </c>
      <c r="AE973" s="245">
        <v>0.4</v>
      </c>
      <c r="AF973" s="244" t="s">
        <v>4980</v>
      </c>
      <c r="AG973" s="239" t="str">
        <f>IFERROR(VLOOKUP(작성용!A:A,RM!A:D,4,0),"-")</f>
        <v>-</v>
      </c>
      <c r="AH973" s="9" t="s">
        <v>4771</v>
      </c>
      <c r="AI973" s="235" t="s">
        <v>4771</v>
      </c>
      <c r="AJ973" s="235" t="s">
        <v>4771</v>
      </c>
      <c r="AK973" s="235" t="s">
        <v>5208</v>
      </c>
      <c r="AL973" s="235">
        <v>972</v>
      </c>
    </row>
    <row r="974" spans="1:38" x14ac:dyDescent="0.3">
      <c r="A974" s="222">
        <v>6000427</v>
      </c>
      <c r="B974" s="222" t="s">
        <v>5915</v>
      </c>
      <c r="C974" s="241" t="s">
        <v>4778</v>
      </c>
      <c r="D974" s="237" t="s">
        <v>5964</v>
      </c>
      <c r="E974" s="236">
        <v>1201110297730</v>
      </c>
      <c r="F974" s="240" t="s">
        <v>4854</v>
      </c>
      <c r="G974" s="242">
        <v>0</v>
      </c>
      <c r="H974" s="223" t="s">
        <v>4771</v>
      </c>
      <c r="I974" s="223"/>
      <c r="J974" s="231"/>
      <c r="K974" s="223"/>
      <c r="L974" s="223"/>
      <c r="M974" s="223"/>
      <c r="N974" s="240" t="s">
        <v>5566</v>
      </c>
      <c r="O974" s="225"/>
      <c r="P974" s="225"/>
      <c r="Q974" s="225"/>
      <c r="R974" s="212" t="s">
        <v>2</v>
      </c>
      <c r="S974" s="213" t="s">
        <v>4771</v>
      </c>
      <c r="T974" s="233" t="s">
        <v>5949</v>
      </c>
      <c r="U974" s="234" t="s">
        <v>5822</v>
      </c>
      <c r="V974" s="234">
        <v>45632</v>
      </c>
      <c r="W974" s="234" t="s">
        <v>4877</v>
      </c>
      <c r="X974" s="234" t="s">
        <v>4771</v>
      </c>
      <c r="Y974" s="234"/>
      <c r="Z974" s="234"/>
      <c r="AA974" s="243">
        <v>202411</v>
      </c>
      <c r="AB974" s="243"/>
      <c r="AC974" s="244" t="s">
        <v>5210</v>
      </c>
      <c r="AD974" s="244" t="s">
        <v>4900</v>
      </c>
      <c r="AE974" s="245">
        <v>0.4</v>
      </c>
      <c r="AF974" s="244" t="s">
        <v>4900</v>
      </c>
      <c r="AG974" s="239" t="str">
        <f>IFERROR(VLOOKUP(작성용!A:A,RM!A:D,4,0),"-")</f>
        <v>-</v>
      </c>
      <c r="AH974" s="9" t="s">
        <v>4771</v>
      </c>
      <c r="AI974" s="235" t="s">
        <v>4771</v>
      </c>
      <c r="AJ974" s="235" t="s">
        <v>4771</v>
      </c>
      <c r="AK974" s="235" t="s">
        <v>5208</v>
      </c>
      <c r="AL974" s="235">
        <v>973</v>
      </c>
    </row>
    <row r="975" spans="1:38" x14ac:dyDescent="0.3">
      <c r="A975" s="222">
        <v>6000427</v>
      </c>
      <c r="B975" s="222" t="s">
        <v>5915</v>
      </c>
      <c r="C975" s="241" t="s">
        <v>4778</v>
      </c>
      <c r="D975" s="237" t="s">
        <v>5965</v>
      </c>
      <c r="E975" s="236">
        <v>1701110295586</v>
      </c>
      <c r="F975" s="240" t="s">
        <v>4854</v>
      </c>
      <c r="G975" s="242">
        <v>0</v>
      </c>
      <c r="H975" s="223" t="s">
        <v>4771</v>
      </c>
      <c r="I975" s="223"/>
      <c r="J975" s="231"/>
      <c r="K975" s="223"/>
      <c r="L975" s="223"/>
      <c r="M975" s="223"/>
      <c r="N975" s="240" t="s">
        <v>5566</v>
      </c>
      <c r="O975" s="225"/>
      <c r="P975" s="225"/>
      <c r="Q975" s="225"/>
      <c r="R975" s="212" t="s">
        <v>2</v>
      </c>
      <c r="S975" s="213" t="s">
        <v>4771</v>
      </c>
      <c r="T975" s="233" t="s">
        <v>5949</v>
      </c>
      <c r="U975" s="234" t="s">
        <v>5822</v>
      </c>
      <c r="V975" s="234">
        <v>45632</v>
      </c>
      <c r="W975" s="234" t="s">
        <v>4877</v>
      </c>
      <c r="X975" s="234" t="s">
        <v>4771</v>
      </c>
      <c r="Y975" s="234"/>
      <c r="Z975" s="234"/>
      <c r="AA975" s="243">
        <v>202411</v>
      </c>
      <c r="AB975" s="243"/>
      <c r="AC975" s="244" t="s">
        <v>5210</v>
      </c>
      <c r="AD975" s="244" t="s">
        <v>4897</v>
      </c>
      <c r="AE975" s="245">
        <v>0.4</v>
      </c>
      <c r="AF975" s="244" t="s">
        <v>4897</v>
      </c>
      <c r="AG975" s="239" t="str">
        <f>IFERROR(VLOOKUP(작성용!A:A,RM!A:D,4,0),"-")</f>
        <v>-</v>
      </c>
      <c r="AH975" s="9" t="s">
        <v>4771</v>
      </c>
      <c r="AI975" s="235" t="s">
        <v>4771</v>
      </c>
      <c r="AJ975" s="235" t="s">
        <v>4771</v>
      </c>
      <c r="AK975" s="235" t="s">
        <v>5208</v>
      </c>
      <c r="AL975" s="235">
        <v>974</v>
      </c>
    </row>
    <row r="976" spans="1:38" x14ac:dyDescent="0.3">
      <c r="A976" s="222">
        <v>6000427</v>
      </c>
      <c r="B976" s="222" t="s">
        <v>5915</v>
      </c>
      <c r="C976" s="241" t="s">
        <v>4778</v>
      </c>
      <c r="D976" s="237" t="s">
        <v>5966</v>
      </c>
      <c r="E976" s="236">
        <v>1801110501593</v>
      </c>
      <c r="F976" s="240" t="s">
        <v>4854</v>
      </c>
      <c r="G976" s="242">
        <v>0</v>
      </c>
      <c r="H976" s="223" t="s">
        <v>4771</v>
      </c>
      <c r="I976" s="223"/>
      <c r="J976" s="231"/>
      <c r="K976" s="223"/>
      <c r="L976" s="223"/>
      <c r="M976" s="223"/>
      <c r="N976" s="240" t="s">
        <v>5566</v>
      </c>
      <c r="O976" s="225"/>
      <c r="P976" s="225"/>
      <c r="Q976" s="225"/>
      <c r="R976" s="212" t="s">
        <v>2</v>
      </c>
      <c r="S976" s="213" t="s">
        <v>4771</v>
      </c>
      <c r="T976" s="233" t="s">
        <v>5949</v>
      </c>
      <c r="U976" s="234" t="s">
        <v>5822</v>
      </c>
      <c r="V976" s="234">
        <v>45632</v>
      </c>
      <c r="W976" s="234" t="s">
        <v>4877</v>
      </c>
      <c r="X976" s="234" t="s">
        <v>4771</v>
      </c>
      <c r="Y976" s="234"/>
      <c r="Z976" s="234"/>
      <c r="AA976" s="243">
        <v>202411</v>
      </c>
      <c r="AB976" s="243"/>
      <c r="AC976" s="244" t="s">
        <v>5210</v>
      </c>
      <c r="AD976" s="244" t="s">
        <v>4897</v>
      </c>
      <c r="AE976" s="245">
        <v>0.4</v>
      </c>
      <c r="AF976" s="244" t="s">
        <v>4897</v>
      </c>
      <c r="AG976" s="239" t="str">
        <f>IFERROR(VLOOKUP(작성용!A:A,RM!A:D,4,0),"-")</f>
        <v>-</v>
      </c>
      <c r="AH976" s="9" t="s">
        <v>4771</v>
      </c>
      <c r="AI976" s="235" t="s">
        <v>4771</v>
      </c>
      <c r="AJ976" s="235" t="s">
        <v>4771</v>
      </c>
      <c r="AK976" s="235" t="s">
        <v>5208</v>
      </c>
      <c r="AL976" s="235">
        <v>975</v>
      </c>
    </row>
    <row r="977" spans="1:38" x14ac:dyDescent="0.3">
      <c r="A977" s="222">
        <v>6000427</v>
      </c>
      <c r="B977" s="222" t="s">
        <v>5915</v>
      </c>
      <c r="C977" s="241" t="s">
        <v>4778</v>
      </c>
      <c r="D977" s="237" t="s">
        <v>5967</v>
      </c>
      <c r="E977" s="236">
        <v>1101113851923</v>
      </c>
      <c r="F977" s="240" t="s">
        <v>4854</v>
      </c>
      <c r="G977" s="242">
        <v>0</v>
      </c>
      <c r="H977" s="223" t="s">
        <v>4771</v>
      </c>
      <c r="I977" s="223"/>
      <c r="J977" s="231"/>
      <c r="K977" s="223"/>
      <c r="L977" s="223"/>
      <c r="M977" s="223"/>
      <c r="N977" s="240" t="s">
        <v>5566</v>
      </c>
      <c r="O977" s="225"/>
      <c r="P977" s="225"/>
      <c r="Q977" s="225"/>
      <c r="R977" s="212" t="s">
        <v>2</v>
      </c>
      <c r="S977" s="213" t="s">
        <v>4771</v>
      </c>
      <c r="T977" s="233" t="s">
        <v>5949</v>
      </c>
      <c r="U977" s="234" t="s">
        <v>5822</v>
      </c>
      <c r="V977" s="234">
        <v>45632</v>
      </c>
      <c r="W977" s="234" t="s">
        <v>4877</v>
      </c>
      <c r="X977" s="234" t="s">
        <v>4771</v>
      </c>
      <c r="Y977" s="234"/>
      <c r="Z977" s="234"/>
      <c r="AA977" s="243">
        <v>202411</v>
      </c>
      <c r="AB977" s="243"/>
      <c r="AC977" s="244" t="s">
        <v>5210</v>
      </c>
      <c r="AD977" s="244" t="s">
        <v>4935</v>
      </c>
      <c r="AE977" s="245">
        <v>0.4</v>
      </c>
      <c r="AF977" s="244" t="s">
        <v>4935</v>
      </c>
      <c r="AG977" s="239" t="str">
        <f>IFERROR(VLOOKUP(작성용!A:A,RM!A:D,4,0),"-")</f>
        <v>-</v>
      </c>
      <c r="AH977" s="9" t="s">
        <v>4771</v>
      </c>
      <c r="AI977" s="235" t="s">
        <v>4771</v>
      </c>
      <c r="AJ977" s="235" t="s">
        <v>4771</v>
      </c>
      <c r="AK977" s="235" t="s">
        <v>5208</v>
      </c>
      <c r="AL977" s="235">
        <v>976</v>
      </c>
    </row>
    <row r="978" spans="1:38" x14ac:dyDescent="0.3">
      <c r="A978" s="222">
        <v>6000427</v>
      </c>
      <c r="B978" s="222" t="s">
        <v>5915</v>
      </c>
      <c r="C978" s="241" t="s">
        <v>4778</v>
      </c>
      <c r="D978" s="237" t="s">
        <v>5968</v>
      </c>
      <c r="E978" s="236">
        <v>1648110131031</v>
      </c>
      <c r="F978" s="240" t="s">
        <v>4854</v>
      </c>
      <c r="G978" s="242">
        <v>0</v>
      </c>
      <c r="H978" s="223" t="s">
        <v>4771</v>
      </c>
      <c r="I978" s="223"/>
      <c r="J978" s="231"/>
      <c r="K978" s="223"/>
      <c r="L978" s="223"/>
      <c r="M978" s="223"/>
      <c r="N978" s="240" t="s">
        <v>5566</v>
      </c>
      <c r="O978" s="225"/>
      <c r="P978" s="225"/>
      <c r="Q978" s="225"/>
      <c r="R978" s="212" t="s">
        <v>2</v>
      </c>
      <c r="S978" s="213" t="s">
        <v>4771</v>
      </c>
      <c r="T978" s="233" t="s">
        <v>5949</v>
      </c>
      <c r="U978" s="234" t="s">
        <v>5822</v>
      </c>
      <c r="V978" s="234">
        <v>45632</v>
      </c>
      <c r="W978" s="234" t="s">
        <v>4877</v>
      </c>
      <c r="X978" s="234" t="s">
        <v>4771</v>
      </c>
      <c r="Y978" s="234"/>
      <c r="Z978" s="234"/>
      <c r="AA978" s="243">
        <v>202411</v>
      </c>
      <c r="AB978" s="243"/>
      <c r="AC978" s="244" t="s">
        <v>5210</v>
      </c>
      <c r="AD978" s="244" t="s">
        <v>4947</v>
      </c>
      <c r="AE978" s="245">
        <v>0</v>
      </c>
      <c r="AF978" s="244" t="s">
        <v>4947</v>
      </c>
      <c r="AG978" s="239" t="str">
        <f>IFERROR(VLOOKUP(작성용!A:A,RM!A:D,4,0),"-")</f>
        <v>-</v>
      </c>
      <c r="AH978" s="9" t="s">
        <v>4771</v>
      </c>
      <c r="AI978" s="235" t="s">
        <v>4771</v>
      </c>
      <c r="AJ978" s="235" t="s">
        <v>4771</v>
      </c>
      <c r="AK978" s="235" t="s">
        <v>5208</v>
      </c>
      <c r="AL978" s="235">
        <v>977</v>
      </c>
    </row>
    <row r="979" spans="1:38" x14ac:dyDescent="0.3">
      <c r="A979" s="222">
        <v>6000457</v>
      </c>
      <c r="B979" s="222" t="s">
        <v>5925</v>
      </c>
      <c r="C979" s="241" t="s">
        <v>4778</v>
      </c>
      <c r="D979" s="237" t="s">
        <v>5969</v>
      </c>
      <c r="E979" s="236">
        <v>1101117931896</v>
      </c>
      <c r="F979" s="240" t="s">
        <v>4854</v>
      </c>
      <c r="G979" s="242">
        <v>0</v>
      </c>
      <c r="H979" s="223" t="s">
        <v>4771</v>
      </c>
      <c r="I979" s="223"/>
      <c r="J979" s="231"/>
      <c r="K979" s="223"/>
      <c r="L979" s="223"/>
      <c r="M979" s="223"/>
      <c r="N979" s="240" t="s">
        <v>5566</v>
      </c>
      <c r="O979" s="225"/>
      <c r="P979" s="225"/>
      <c r="Q979" s="225"/>
      <c r="R979" s="212" t="s">
        <v>2</v>
      </c>
      <c r="S979" s="213" t="s">
        <v>4771</v>
      </c>
      <c r="T979" s="233" t="s">
        <v>5949</v>
      </c>
      <c r="U979" s="234" t="s">
        <v>5822</v>
      </c>
      <c r="V979" s="234">
        <v>45632</v>
      </c>
      <c r="W979" s="234" t="s">
        <v>4877</v>
      </c>
      <c r="X979" s="234" t="s">
        <v>2</v>
      </c>
      <c r="Y979" s="234"/>
      <c r="Z979" s="234"/>
      <c r="AA979" s="243">
        <v>202411</v>
      </c>
      <c r="AB979" s="243"/>
      <c r="AC979" s="244" t="s">
        <v>5210</v>
      </c>
      <c r="AD979" s="244" t="s">
        <v>4935</v>
      </c>
      <c r="AE979" s="245">
        <v>0</v>
      </c>
      <c r="AF979" s="244" t="s">
        <v>4935</v>
      </c>
      <c r="AG979" s="239" t="str">
        <f>IFERROR(VLOOKUP(작성용!A:A,RM!A:D,4,0),"-")</f>
        <v>-</v>
      </c>
      <c r="AH979" s="9" t="s">
        <v>4771</v>
      </c>
      <c r="AI979" s="235" t="s">
        <v>4771</v>
      </c>
      <c r="AJ979" s="235" t="s">
        <v>2</v>
      </c>
      <c r="AK979" s="235" t="s">
        <v>5208</v>
      </c>
      <c r="AL979" s="235">
        <v>978</v>
      </c>
    </row>
    <row r="980" spans="1:38" x14ac:dyDescent="0.3">
      <c r="A980" s="222">
        <v>6000469</v>
      </c>
      <c r="B980" s="222" t="s">
        <v>5911</v>
      </c>
      <c r="C980" s="241" t="s">
        <v>4778</v>
      </c>
      <c r="D980" s="237" t="s">
        <v>5970</v>
      </c>
      <c r="E980" s="236">
        <v>1101113585704</v>
      </c>
      <c r="F980" s="240" t="s">
        <v>4854</v>
      </c>
      <c r="G980" s="242">
        <v>1</v>
      </c>
      <c r="H980" s="223" t="s">
        <v>4771</v>
      </c>
      <c r="I980" s="237"/>
      <c r="J980" s="231"/>
      <c r="K980" s="237"/>
      <c r="L980" s="237"/>
      <c r="M980" s="237"/>
      <c r="N980" s="240" t="s">
        <v>5566</v>
      </c>
      <c r="O980" s="256"/>
      <c r="P980" s="256"/>
      <c r="Q980" s="225"/>
      <c r="R980" s="212" t="s">
        <v>2</v>
      </c>
      <c r="S980" s="213" t="s">
        <v>4771</v>
      </c>
      <c r="T980" s="233" t="s">
        <v>5949</v>
      </c>
      <c r="U980" s="234" t="s">
        <v>5822</v>
      </c>
      <c r="V980" s="234">
        <v>45632</v>
      </c>
      <c r="W980" s="234" t="s">
        <v>4877</v>
      </c>
      <c r="X980" s="234" t="s">
        <v>2</v>
      </c>
      <c r="Y980" s="234"/>
      <c r="Z980" s="234"/>
      <c r="AA980" s="243">
        <v>202411</v>
      </c>
      <c r="AB980" s="243"/>
      <c r="AC980" s="244" t="s">
        <v>5210</v>
      </c>
      <c r="AD980" s="244" t="s">
        <v>4900</v>
      </c>
      <c r="AE980" s="245">
        <v>0.4</v>
      </c>
      <c r="AF980" s="244" t="s">
        <v>4900</v>
      </c>
      <c r="AG980" s="239" t="str">
        <f>IFERROR(VLOOKUP(작성용!A:A,RM!A:D,4,0),"-")</f>
        <v>-</v>
      </c>
      <c r="AH980" s="9" t="s">
        <v>4771</v>
      </c>
      <c r="AI980" s="235" t="s">
        <v>4771</v>
      </c>
      <c r="AJ980" s="9" t="s">
        <v>2</v>
      </c>
      <c r="AK980" s="235" t="s">
        <v>5208</v>
      </c>
      <c r="AL980" s="235">
        <v>979</v>
      </c>
    </row>
    <row r="981" spans="1:38" x14ac:dyDescent="0.3">
      <c r="A981" s="222">
        <v>6000567</v>
      </c>
      <c r="B981" s="222" t="s">
        <v>5931</v>
      </c>
      <c r="C981" s="241" t="s">
        <v>4778</v>
      </c>
      <c r="D981" s="237" t="s">
        <v>5081</v>
      </c>
      <c r="E981" s="236">
        <v>1101115378842</v>
      </c>
      <c r="F981" s="240" t="s">
        <v>4850</v>
      </c>
      <c r="G981" s="242">
        <v>2</v>
      </c>
      <c r="H981" s="223" t="s">
        <v>4771</v>
      </c>
      <c r="I981" s="223"/>
      <c r="J981" s="231"/>
      <c r="K981" s="223"/>
      <c r="L981" s="223"/>
      <c r="M981" s="223"/>
      <c r="N981" s="240" t="s">
        <v>5566</v>
      </c>
      <c r="O981" s="225"/>
      <c r="P981" s="225"/>
      <c r="Q981" s="225"/>
      <c r="R981" s="212" t="s">
        <v>2</v>
      </c>
      <c r="S981" s="213" t="s">
        <v>4771</v>
      </c>
      <c r="T981" s="233" t="s">
        <v>5949</v>
      </c>
      <c r="U981" s="234" t="s">
        <v>5822</v>
      </c>
      <c r="V981" s="234">
        <v>45632</v>
      </c>
      <c r="W981" s="234" t="s">
        <v>4877</v>
      </c>
      <c r="X981" s="234" t="s">
        <v>2</v>
      </c>
      <c r="Y981" s="234"/>
      <c r="Z981" s="234"/>
      <c r="AA981" s="243">
        <v>202411</v>
      </c>
      <c r="AB981" s="243"/>
      <c r="AC981" s="244" t="s">
        <v>5210</v>
      </c>
      <c r="AD981" s="244" t="s">
        <v>4918</v>
      </c>
      <c r="AE981" s="245">
        <v>0</v>
      </c>
      <c r="AF981" s="244" t="s">
        <v>4918</v>
      </c>
      <c r="AG981" s="239" t="str">
        <f>IFERROR(VLOOKUP(작성용!A:A,RM!A:D,4,0),"-")</f>
        <v>-</v>
      </c>
      <c r="AH981" s="251" t="s">
        <v>4771</v>
      </c>
      <c r="AI981" s="235" t="s">
        <v>4771</v>
      </c>
      <c r="AJ981" s="235" t="s">
        <v>4771</v>
      </c>
      <c r="AK981" s="235" t="s">
        <v>5208</v>
      </c>
      <c r="AL981" s="235">
        <v>980</v>
      </c>
    </row>
    <row r="982" spans="1:38" x14ac:dyDescent="0.3">
      <c r="A982" s="222">
        <v>6000567</v>
      </c>
      <c r="B982" s="222" t="s">
        <v>5931</v>
      </c>
      <c r="C982" s="241" t="s">
        <v>4778</v>
      </c>
      <c r="D982" s="237" t="s">
        <v>5081</v>
      </c>
      <c r="E982" s="236">
        <v>1101115378842</v>
      </c>
      <c r="F982" s="240" t="s">
        <v>4850</v>
      </c>
      <c r="G982" s="242">
        <v>3</v>
      </c>
      <c r="H982" s="223" t="s">
        <v>4771</v>
      </c>
      <c r="I982" s="223"/>
      <c r="J982" s="231"/>
      <c r="K982" s="223"/>
      <c r="L982" s="223"/>
      <c r="M982" s="223"/>
      <c r="N982" s="240" t="s">
        <v>5566</v>
      </c>
      <c r="O982" s="225"/>
      <c r="P982" s="225"/>
      <c r="Q982" s="225"/>
      <c r="R982" s="212" t="s">
        <v>2</v>
      </c>
      <c r="S982" s="213" t="s">
        <v>4771</v>
      </c>
      <c r="T982" s="233" t="s">
        <v>5949</v>
      </c>
      <c r="U982" s="234" t="s">
        <v>5822</v>
      </c>
      <c r="V982" s="234">
        <v>45632</v>
      </c>
      <c r="W982" s="234" t="s">
        <v>4877</v>
      </c>
      <c r="X982" s="234" t="s">
        <v>2</v>
      </c>
      <c r="Y982" s="234"/>
      <c r="Z982" s="234"/>
      <c r="AA982" s="243">
        <v>202411</v>
      </c>
      <c r="AB982" s="243"/>
      <c r="AC982" s="244" t="s">
        <v>5210</v>
      </c>
      <c r="AD982" s="244" t="s">
        <v>4918</v>
      </c>
      <c r="AE982" s="245">
        <v>0</v>
      </c>
      <c r="AF982" s="244" t="s">
        <v>4918</v>
      </c>
      <c r="AG982" s="239" t="str">
        <f>IFERROR(VLOOKUP(작성용!A:A,RM!A:D,4,0),"-")</f>
        <v>-</v>
      </c>
      <c r="AH982" s="251" t="s">
        <v>4771</v>
      </c>
      <c r="AI982" s="235" t="s">
        <v>4771</v>
      </c>
      <c r="AJ982" s="235" t="s">
        <v>4771</v>
      </c>
      <c r="AK982" s="235" t="s">
        <v>5208</v>
      </c>
      <c r="AL982" s="235">
        <v>981</v>
      </c>
    </row>
    <row r="983" spans="1:38" x14ac:dyDescent="0.3">
      <c r="A983" s="222">
        <v>6000583</v>
      </c>
      <c r="B983" s="222" t="s">
        <v>5934</v>
      </c>
      <c r="C983" s="241" t="s">
        <v>4778</v>
      </c>
      <c r="D983" s="237" t="s">
        <v>5971</v>
      </c>
      <c r="E983" s="236">
        <v>2055110059817</v>
      </c>
      <c r="F983" s="240" t="s">
        <v>4850</v>
      </c>
      <c r="G983" s="242">
        <v>0</v>
      </c>
      <c r="H983" s="223" t="s">
        <v>4771</v>
      </c>
      <c r="I983" s="223"/>
      <c r="J983" s="231"/>
      <c r="K983" s="223"/>
      <c r="L983" s="223"/>
      <c r="M983" s="223"/>
      <c r="N983" s="240" t="s">
        <v>5566</v>
      </c>
      <c r="O983" s="225"/>
      <c r="P983" s="225"/>
      <c r="Q983" s="225"/>
      <c r="R983" s="212" t="s">
        <v>2</v>
      </c>
      <c r="S983" s="213" t="s">
        <v>4771</v>
      </c>
      <c r="T983" s="233" t="s">
        <v>5949</v>
      </c>
      <c r="U983" s="234" t="s">
        <v>5822</v>
      </c>
      <c r="V983" s="234">
        <v>45632</v>
      </c>
      <c r="W983" s="234" t="s">
        <v>4877</v>
      </c>
      <c r="X983" s="234" t="s">
        <v>2</v>
      </c>
      <c r="Y983" s="234"/>
      <c r="Z983" s="234"/>
      <c r="AA983" s="243">
        <v>202411</v>
      </c>
      <c r="AB983" s="243"/>
      <c r="AC983" s="244" t="s">
        <v>5210</v>
      </c>
      <c r="AD983" s="244" t="s">
        <v>4858</v>
      </c>
      <c r="AE983" s="245">
        <v>0.4</v>
      </c>
      <c r="AF983" s="244" t="s">
        <v>4858</v>
      </c>
      <c r="AG983" s="239" t="str">
        <f>IFERROR(VLOOKUP(작성용!A:A,RM!A:D,4,0),"-")</f>
        <v>-</v>
      </c>
      <c r="AH983" s="251" t="s">
        <v>4771</v>
      </c>
      <c r="AI983" s="235" t="s">
        <v>4771</v>
      </c>
      <c r="AJ983" s="235" t="s">
        <v>4771</v>
      </c>
      <c r="AK983" s="235" t="s">
        <v>5208</v>
      </c>
      <c r="AL983" s="235">
        <v>982</v>
      </c>
    </row>
    <row r="984" spans="1:38" x14ac:dyDescent="0.3">
      <c r="A984" s="222">
        <v>6000583</v>
      </c>
      <c r="B984" s="222" t="s">
        <v>5934</v>
      </c>
      <c r="C984" s="241" t="s">
        <v>4778</v>
      </c>
      <c r="D984" s="237" t="s">
        <v>5971</v>
      </c>
      <c r="E984" s="236">
        <v>2055110059817</v>
      </c>
      <c r="F984" s="240" t="s">
        <v>4780</v>
      </c>
      <c r="G984" s="242">
        <v>1</v>
      </c>
      <c r="H984" s="223" t="s">
        <v>4771</v>
      </c>
      <c r="I984" s="223"/>
      <c r="J984" s="231"/>
      <c r="K984" s="223"/>
      <c r="L984" s="223"/>
      <c r="M984" s="223"/>
      <c r="N984" s="240" t="s">
        <v>5566</v>
      </c>
      <c r="O984" s="225"/>
      <c r="P984" s="225"/>
      <c r="Q984" s="225"/>
      <c r="R984" s="212" t="s">
        <v>2</v>
      </c>
      <c r="S984" s="213" t="s">
        <v>4771</v>
      </c>
      <c r="T984" s="233" t="s">
        <v>5949</v>
      </c>
      <c r="U984" s="234" t="s">
        <v>5822</v>
      </c>
      <c r="V984" s="234">
        <v>45632</v>
      </c>
      <c r="W984" s="234" t="s">
        <v>4877</v>
      </c>
      <c r="X984" s="234" t="s">
        <v>2</v>
      </c>
      <c r="Y984" s="234"/>
      <c r="Z984" s="234"/>
      <c r="AA984" s="243">
        <v>202411</v>
      </c>
      <c r="AB984" s="243"/>
      <c r="AC984" s="244" t="s">
        <v>5210</v>
      </c>
      <c r="AD984" s="244" t="s">
        <v>4858</v>
      </c>
      <c r="AE984" s="245">
        <v>0</v>
      </c>
      <c r="AF984" s="244" t="s">
        <v>4858</v>
      </c>
      <c r="AG984" s="239" t="str">
        <f>IFERROR(VLOOKUP(작성용!A:A,RM!A:D,4,0),"-")</f>
        <v>-</v>
      </c>
      <c r="AH984" s="251" t="s">
        <v>4771</v>
      </c>
      <c r="AI984" s="235" t="s">
        <v>4771</v>
      </c>
      <c r="AJ984" s="235" t="s">
        <v>4771</v>
      </c>
      <c r="AK984" s="235" t="s">
        <v>5208</v>
      </c>
      <c r="AL984" s="235">
        <v>983</v>
      </c>
    </row>
    <row r="985" spans="1:38" x14ac:dyDescent="0.3">
      <c r="A985" s="222">
        <v>6000594</v>
      </c>
      <c r="B985" s="222" t="s">
        <v>5941</v>
      </c>
      <c r="C985" s="241" t="s">
        <v>4778</v>
      </c>
      <c r="D985" s="237" t="s">
        <v>5972</v>
      </c>
      <c r="E985" s="236">
        <v>1244110047002</v>
      </c>
      <c r="F985" s="240" t="s">
        <v>4780</v>
      </c>
      <c r="G985" s="242">
        <v>0</v>
      </c>
      <c r="H985" s="223" t="s">
        <v>4771</v>
      </c>
      <c r="I985" s="223"/>
      <c r="J985" s="231"/>
      <c r="K985" s="223"/>
      <c r="L985" s="223"/>
      <c r="M985" s="223"/>
      <c r="N985" s="240" t="s">
        <v>5566</v>
      </c>
      <c r="O985" s="225"/>
      <c r="P985" s="225"/>
      <c r="Q985" s="225"/>
      <c r="R985" s="212" t="s">
        <v>2</v>
      </c>
      <c r="S985" s="213" t="s">
        <v>4771</v>
      </c>
      <c r="T985" s="233" t="s">
        <v>5949</v>
      </c>
      <c r="U985" s="234" t="s">
        <v>5822</v>
      </c>
      <c r="V985" s="234">
        <v>45632</v>
      </c>
      <c r="W985" s="234" t="s">
        <v>4877</v>
      </c>
      <c r="X985" s="234" t="s">
        <v>2</v>
      </c>
      <c r="Y985" s="234"/>
      <c r="Z985" s="234"/>
      <c r="AA985" s="243">
        <v>202411</v>
      </c>
      <c r="AB985" s="243"/>
      <c r="AC985" s="244" t="s">
        <v>5210</v>
      </c>
      <c r="AD985" s="244" t="s">
        <v>4900</v>
      </c>
      <c r="AE985" s="245">
        <v>0.4</v>
      </c>
      <c r="AF985" s="244" t="s">
        <v>4900</v>
      </c>
      <c r="AG985" s="239" t="str">
        <f>IFERROR(VLOOKUP(작성용!A:A,RM!A:D,4,0),"-")</f>
        <v>-</v>
      </c>
      <c r="AH985" s="251" t="s">
        <v>4771</v>
      </c>
      <c r="AI985" s="235" t="s">
        <v>4771</v>
      </c>
      <c r="AJ985" s="235" t="s">
        <v>4771</v>
      </c>
      <c r="AK985" s="235" t="s">
        <v>5208</v>
      </c>
      <c r="AL985" s="235">
        <v>984</v>
      </c>
    </row>
    <row r="986" spans="1:38" x14ac:dyDescent="0.3">
      <c r="A986" s="222">
        <v>6000595</v>
      </c>
      <c r="B986" s="222" t="s">
        <v>5938</v>
      </c>
      <c r="C986" s="241" t="s">
        <v>4778</v>
      </c>
      <c r="D986" s="237" t="s">
        <v>5973</v>
      </c>
      <c r="E986" s="236">
        <v>1311110282738</v>
      </c>
      <c r="F986" s="240" t="s">
        <v>4850</v>
      </c>
      <c r="G986" s="242">
        <v>4</v>
      </c>
      <c r="H986" s="223" t="s">
        <v>4771</v>
      </c>
      <c r="I986" s="223"/>
      <c r="J986" s="231"/>
      <c r="K986" s="223"/>
      <c r="L986" s="223"/>
      <c r="M986" s="223"/>
      <c r="N986" s="240" t="s">
        <v>5566</v>
      </c>
      <c r="O986" s="225"/>
      <c r="P986" s="225"/>
      <c r="Q986" s="225"/>
      <c r="R986" s="212" t="s">
        <v>2</v>
      </c>
      <c r="S986" s="213" t="s">
        <v>4771</v>
      </c>
      <c r="T986" s="233" t="s">
        <v>5949</v>
      </c>
      <c r="U986" s="234" t="s">
        <v>5822</v>
      </c>
      <c r="V986" s="234">
        <v>45632</v>
      </c>
      <c r="W986" s="234" t="s">
        <v>4877</v>
      </c>
      <c r="X986" s="234" t="s">
        <v>2</v>
      </c>
      <c r="Y986" s="234"/>
      <c r="Z986" s="234"/>
      <c r="AA986" s="243">
        <v>202411</v>
      </c>
      <c r="AB986" s="243"/>
      <c r="AC986" s="244" t="s">
        <v>5210</v>
      </c>
      <c r="AD986" s="244" t="s">
        <v>4918</v>
      </c>
      <c r="AE986" s="245">
        <v>0.4</v>
      </c>
      <c r="AF986" s="244" t="s">
        <v>4918</v>
      </c>
      <c r="AG986" s="239" t="str">
        <f>IFERROR(VLOOKUP(작성용!A:A,RM!A:D,4,0),"-")</f>
        <v>-</v>
      </c>
      <c r="AH986" s="251" t="s">
        <v>4771</v>
      </c>
      <c r="AI986" s="235" t="s">
        <v>4771</v>
      </c>
      <c r="AJ986" s="235" t="s">
        <v>4771</v>
      </c>
      <c r="AK986" s="235" t="s">
        <v>5208</v>
      </c>
      <c r="AL986" s="235">
        <v>985</v>
      </c>
    </row>
    <row r="987" spans="1:38" x14ac:dyDescent="0.3">
      <c r="A987" s="222">
        <v>6000595</v>
      </c>
      <c r="B987" s="222" t="s">
        <v>5938</v>
      </c>
      <c r="C987" s="241" t="s">
        <v>4778</v>
      </c>
      <c r="D987" s="237" t="s">
        <v>5973</v>
      </c>
      <c r="E987" s="236">
        <v>1311110282738</v>
      </c>
      <c r="F987" s="240" t="s">
        <v>4850</v>
      </c>
      <c r="G987" s="242">
        <v>10</v>
      </c>
      <c r="H987" s="223" t="s">
        <v>4771</v>
      </c>
      <c r="I987" s="223"/>
      <c r="J987" s="231"/>
      <c r="K987" s="223"/>
      <c r="L987" s="223"/>
      <c r="M987" s="223"/>
      <c r="N987" s="240" t="s">
        <v>5566</v>
      </c>
      <c r="O987" s="225"/>
      <c r="P987" s="225"/>
      <c r="Q987" s="225"/>
      <c r="R987" s="212" t="s">
        <v>2</v>
      </c>
      <c r="S987" s="213" t="s">
        <v>4771</v>
      </c>
      <c r="T987" s="233" t="s">
        <v>5949</v>
      </c>
      <c r="U987" s="234" t="s">
        <v>5822</v>
      </c>
      <c r="V987" s="234">
        <v>45632</v>
      </c>
      <c r="W987" s="234" t="s">
        <v>4877</v>
      </c>
      <c r="X987" s="234" t="s">
        <v>2</v>
      </c>
      <c r="Y987" s="234"/>
      <c r="Z987" s="234"/>
      <c r="AA987" s="243">
        <v>202411</v>
      </c>
      <c r="AB987" s="243"/>
      <c r="AC987" s="244" t="s">
        <v>5210</v>
      </c>
      <c r="AD987" s="244" t="s">
        <v>4918</v>
      </c>
      <c r="AE987" s="245">
        <v>0</v>
      </c>
      <c r="AF987" s="244" t="s">
        <v>4918</v>
      </c>
      <c r="AG987" s="239" t="str">
        <f>IFERROR(VLOOKUP(작성용!A:A,RM!A:D,4,0),"-")</f>
        <v>-</v>
      </c>
      <c r="AH987" s="251" t="s">
        <v>4771</v>
      </c>
      <c r="AI987" s="235" t="s">
        <v>4771</v>
      </c>
      <c r="AJ987" s="235" t="s">
        <v>4771</v>
      </c>
      <c r="AK987" s="235" t="s">
        <v>5208</v>
      </c>
      <c r="AL987" s="235">
        <v>986</v>
      </c>
    </row>
    <row r="988" spans="1:38" x14ac:dyDescent="0.3">
      <c r="A988" s="222">
        <v>6000595</v>
      </c>
      <c r="B988" s="222" t="s">
        <v>5938</v>
      </c>
      <c r="C988" s="241" t="s">
        <v>4778</v>
      </c>
      <c r="D988" s="237" t="s">
        <v>5973</v>
      </c>
      <c r="E988" s="236">
        <v>1311110282738</v>
      </c>
      <c r="F988" s="240" t="s">
        <v>4854</v>
      </c>
      <c r="G988" s="242">
        <v>0</v>
      </c>
      <c r="H988" s="223" t="s">
        <v>4771</v>
      </c>
      <c r="I988" s="223"/>
      <c r="J988" s="231"/>
      <c r="K988" s="223"/>
      <c r="L988" s="223"/>
      <c r="M988" s="223"/>
      <c r="N988" s="240" t="s">
        <v>5566</v>
      </c>
      <c r="O988" s="225"/>
      <c r="P988" s="225"/>
      <c r="Q988" s="225"/>
      <c r="R988" s="212" t="s">
        <v>2</v>
      </c>
      <c r="S988" s="212" t="s">
        <v>4771</v>
      </c>
      <c r="T988" s="233" t="s">
        <v>5949</v>
      </c>
      <c r="U988" s="234" t="s">
        <v>5822</v>
      </c>
      <c r="V988" s="234">
        <v>45632</v>
      </c>
      <c r="W988" s="234" t="s">
        <v>4877</v>
      </c>
      <c r="X988" s="234" t="s">
        <v>2</v>
      </c>
      <c r="Y988" s="234"/>
      <c r="Z988" s="234"/>
      <c r="AA988" s="243">
        <v>202411</v>
      </c>
      <c r="AB988" s="243"/>
      <c r="AC988" s="244" t="s">
        <v>5210</v>
      </c>
      <c r="AD988" s="244" t="s">
        <v>4918</v>
      </c>
      <c r="AE988" s="245">
        <v>0</v>
      </c>
      <c r="AF988" s="244" t="s">
        <v>4918</v>
      </c>
      <c r="AG988" s="239" t="str">
        <f>IFERROR(VLOOKUP(작성용!A:A,RM!A:D,4,0),"-")</f>
        <v>-</v>
      </c>
      <c r="AH988" s="251" t="s">
        <v>4771</v>
      </c>
      <c r="AI988" s="235" t="s">
        <v>4771</v>
      </c>
      <c r="AJ988" s="235" t="s">
        <v>4771</v>
      </c>
      <c r="AK988" s="235" t="s">
        <v>5208</v>
      </c>
      <c r="AL988" s="235">
        <v>987</v>
      </c>
    </row>
    <row r="989" spans="1:38" x14ac:dyDescent="0.3">
      <c r="A989" s="222">
        <v>6000658</v>
      </c>
      <c r="B989" s="222" t="s">
        <v>5937</v>
      </c>
      <c r="C989" s="241" t="s">
        <v>4778</v>
      </c>
      <c r="D989" s="237" t="s">
        <v>5974</v>
      </c>
      <c r="E989" s="236">
        <v>1341110069894</v>
      </c>
      <c r="F989" s="240" t="s">
        <v>4780</v>
      </c>
      <c r="G989" s="242">
        <v>0</v>
      </c>
      <c r="H989" s="223" t="s">
        <v>4771</v>
      </c>
      <c r="I989" s="223"/>
      <c r="J989" s="231"/>
      <c r="K989" s="223"/>
      <c r="L989" s="223"/>
      <c r="M989" s="223"/>
      <c r="N989" s="240" t="s">
        <v>5566</v>
      </c>
      <c r="O989" s="225"/>
      <c r="P989" s="225"/>
      <c r="Q989" s="225"/>
      <c r="R989" s="212" t="s">
        <v>2</v>
      </c>
      <c r="S989" s="213" t="s">
        <v>4771</v>
      </c>
      <c r="T989" s="233" t="s">
        <v>5949</v>
      </c>
      <c r="U989" s="234" t="s">
        <v>5822</v>
      </c>
      <c r="V989" s="234">
        <v>45632</v>
      </c>
      <c r="W989" s="234" t="s">
        <v>4877</v>
      </c>
      <c r="X989" s="234" t="s">
        <v>2</v>
      </c>
      <c r="Y989" s="234"/>
      <c r="Z989" s="234"/>
      <c r="AA989" s="243">
        <v>202411</v>
      </c>
      <c r="AB989" s="243"/>
      <c r="AC989" s="244" t="s">
        <v>5210</v>
      </c>
      <c r="AD989" s="244" t="s">
        <v>4856</v>
      </c>
      <c r="AE989" s="245">
        <v>0.4</v>
      </c>
      <c r="AF989" s="244" t="s">
        <v>4856</v>
      </c>
      <c r="AG989" s="239" t="str">
        <f>IFERROR(VLOOKUP(작성용!A:A,RM!A:D,4,0),"-")</f>
        <v>-</v>
      </c>
      <c r="AH989" s="9" t="s">
        <v>4771</v>
      </c>
      <c r="AI989" s="235" t="s">
        <v>4771</v>
      </c>
      <c r="AJ989" s="235" t="s">
        <v>4771</v>
      </c>
      <c r="AK989" s="235" t="s">
        <v>5208</v>
      </c>
      <c r="AL989" s="235">
        <v>988</v>
      </c>
    </row>
    <row r="990" spans="1:38" x14ac:dyDescent="0.3">
      <c r="A990" s="222">
        <v>6000658</v>
      </c>
      <c r="B990" s="222" t="s">
        <v>5937</v>
      </c>
      <c r="C990" s="241" t="s">
        <v>4778</v>
      </c>
      <c r="D990" s="237" t="s">
        <v>5974</v>
      </c>
      <c r="E990" s="236">
        <v>1341110069894</v>
      </c>
      <c r="F990" s="240" t="s">
        <v>4854</v>
      </c>
      <c r="G990" s="242">
        <v>0</v>
      </c>
      <c r="H990" s="223" t="s">
        <v>4771</v>
      </c>
      <c r="I990" s="223"/>
      <c r="J990" s="231"/>
      <c r="K990" s="223"/>
      <c r="L990" s="223"/>
      <c r="M990" s="223"/>
      <c r="N990" s="240" t="s">
        <v>5566</v>
      </c>
      <c r="O990" s="225"/>
      <c r="P990" s="225"/>
      <c r="Q990" s="225"/>
      <c r="R990" s="212" t="s">
        <v>2</v>
      </c>
      <c r="S990" s="213" t="s">
        <v>4771</v>
      </c>
      <c r="T990" s="233" t="s">
        <v>5949</v>
      </c>
      <c r="U990" s="234" t="s">
        <v>5822</v>
      </c>
      <c r="V990" s="234">
        <v>45632</v>
      </c>
      <c r="W990" s="234" t="s">
        <v>4877</v>
      </c>
      <c r="X990" s="234" t="s">
        <v>2</v>
      </c>
      <c r="Y990" s="234"/>
      <c r="Z990" s="234"/>
      <c r="AA990" s="243">
        <v>202411</v>
      </c>
      <c r="AB990" s="243"/>
      <c r="AC990" s="244" t="s">
        <v>5210</v>
      </c>
      <c r="AD990" s="244" t="s">
        <v>4856</v>
      </c>
      <c r="AE990" s="245">
        <v>0</v>
      </c>
      <c r="AF990" s="244" t="s">
        <v>4856</v>
      </c>
      <c r="AG990" s="239" t="str">
        <f>IFERROR(VLOOKUP(작성용!A:A,RM!A:D,4,0),"-")</f>
        <v>-</v>
      </c>
      <c r="AH990" s="9" t="s">
        <v>4771</v>
      </c>
      <c r="AI990" s="235" t="s">
        <v>4771</v>
      </c>
      <c r="AJ990" s="235" t="s">
        <v>4771</v>
      </c>
      <c r="AK990" s="235" t="s">
        <v>5208</v>
      </c>
      <c r="AL990" s="235">
        <v>989</v>
      </c>
    </row>
    <row r="991" spans="1:38" x14ac:dyDescent="0.3">
      <c r="A991" s="222">
        <v>6000669</v>
      </c>
      <c r="B991" s="222" t="s">
        <v>5939</v>
      </c>
      <c r="C991" s="241" t="s">
        <v>4778</v>
      </c>
      <c r="D991" s="237" t="s">
        <v>5975</v>
      </c>
      <c r="E991" s="236">
        <v>1211110270488</v>
      </c>
      <c r="F991" s="240" t="s">
        <v>4850</v>
      </c>
      <c r="G991" s="242">
        <v>0</v>
      </c>
      <c r="H991" s="223" t="s">
        <v>4771</v>
      </c>
      <c r="I991" s="223"/>
      <c r="J991" s="231"/>
      <c r="K991" s="223"/>
      <c r="L991" s="223"/>
      <c r="M991" s="223"/>
      <c r="N991" s="240" t="s">
        <v>5566</v>
      </c>
      <c r="O991" s="225"/>
      <c r="P991" s="225"/>
      <c r="Q991" s="225"/>
      <c r="R991" s="212" t="s">
        <v>2</v>
      </c>
      <c r="S991" s="213" t="s">
        <v>4771</v>
      </c>
      <c r="T991" s="233" t="s">
        <v>5949</v>
      </c>
      <c r="U991" s="234" t="s">
        <v>5822</v>
      </c>
      <c r="V991" s="234">
        <v>45632</v>
      </c>
      <c r="W991" s="234" t="s">
        <v>4877</v>
      </c>
      <c r="X991" s="234" t="s">
        <v>2</v>
      </c>
      <c r="Y991" s="234"/>
      <c r="Z991" s="234"/>
      <c r="AA991" s="243">
        <v>202411</v>
      </c>
      <c r="AB991" s="243"/>
      <c r="AC991" s="244" t="s">
        <v>5210</v>
      </c>
      <c r="AD991" s="244" t="s">
        <v>4846</v>
      </c>
      <c r="AE991" s="245">
        <v>0.4</v>
      </c>
      <c r="AF991" s="244" t="s">
        <v>4846</v>
      </c>
      <c r="AG991" s="239" t="str">
        <f>IFERROR(VLOOKUP(작성용!A:A,RM!A:D,4,0),"-")</f>
        <v>-</v>
      </c>
      <c r="AH991" s="235" t="s">
        <v>4771</v>
      </c>
      <c r="AI991" s="235" t="s">
        <v>4771</v>
      </c>
      <c r="AJ991" s="235" t="s">
        <v>4771</v>
      </c>
      <c r="AK991" s="235" t="s">
        <v>5208</v>
      </c>
      <c r="AL991" s="235">
        <v>990</v>
      </c>
    </row>
    <row r="992" spans="1:38" x14ac:dyDescent="0.3">
      <c r="A992" s="222">
        <v>6000725</v>
      </c>
      <c r="B992" s="222" t="s">
        <v>5918</v>
      </c>
      <c r="C992" s="241" t="s">
        <v>4778</v>
      </c>
      <c r="D992" s="237" t="s">
        <v>5976</v>
      </c>
      <c r="E992" s="236">
        <v>1311110083235</v>
      </c>
      <c r="F992" s="240" t="s">
        <v>4894</v>
      </c>
      <c r="G992" s="242">
        <v>0</v>
      </c>
      <c r="H992" s="223" t="s">
        <v>4771</v>
      </c>
      <c r="I992" s="223"/>
      <c r="J992" s="231"/>
      <c r="K992" s="223"/>
      <c r="L992" s="223"/>
      <c r="M992" s="223"/>
      <c r="N992" s="240" t="s">
        <v>5566</v>
      </c>
      <c r="O992" s="225"/>
      <c r="P992" s="225"/>
      <c r="Q992" s="225"/>
      <c r="R992" s="212" t="s">
        <v>2</v>
      </c>
      <c r="S992" s="213" t="s">
        <v>4771</v>
      </c>
      <c r="T992" s="233" t="s">
        <v>5949</v>
      </c>
      <c r="U992" s="234" t="s">
        <v>5822</v>
      </c>
      <c r="V992" s="234">
        <v>45632</v>
      </c>
      <c r="W992" s="234" t="s">
        <v>4877</v>
      </c>
      <c r="X992" s="234" t="s">
        <v>2</v>
      </c>
      <c r="Y992" s="224"/>
      <c r="Z992" s="224"/>
      <c r="AA992" s="243">
        <v>202411</v>
      </c>
      <c r="AB992" s="243"/>
      <c r="AC992" s="244" t="s">
        <v>5210</v>
      </c>
      <c r="AD992" s="244" t="s">
        <v>4982</v>
      </c>
      <c r="AE992" s="245">
        <v>0.4</v>
      </c>
      <c r="AF992" s="244" t="s">
        <v>4982</v>
      </c>
      <c r="AG992" s="239" t="str">
        <f>IFERROR(VLOOKUP(작성용!A:A,RM!A:D,4,0),"-")</f>
        <v>-</v>
      </c>
      <c r="AH992" s="9" t="s">
        <v>4771</v>
      </c>
      <c r="AI992" s="235" t="s">
        <v>4771</v>
      </c>
      <c r="AJ992" s="235" t="s">
        <v>2</v>
      </c>
      <c r="AK992" s="235" t="s">
        <v>5208</v>
      </c>
      <c r="AL992" s="235">
        <v>991</v>
      </c>
    </row>
    <row r="993" spans="1:38" x14ac:dyDescent="0.3">
      <c r="A993" s="222">
        <v>6000728</v>
      </c>
      <c r="B993" s="222" t="s">
        <v>5901</v>
      </c>
      <c r="C993" s="241" t="s">
        <v>4778</v>
      </c>
      <c r="D993" s="237" t="s">
        <v>5977</v>
      </c>
      <c r="E993" s="236">
        <v>1101113157298</v>
      </c>
      <c r="F993" s="240" t="s">
        <v>4854</v>
      </c>
      <c r="G993" s="242">
        <v>0</v>
      </c>
      <c r="H993" s="223" t="s">
        <v>4771</v>
      </c>
      <c r="I993" s="223"/>
      <c r="J993" s="231"/>
      <c r="K993" s="223"/>
      <c r="L993" s="223"/>
      <c r="M993" s="223"/>
      <c r="N993" s="240" t="s">
        <v>5566</v>
      </c>
      <c r="O993" s="225"/>
      <c r="P993" s="225"/>
      <c r="Q993" s="225"/>
      <c r="R993" s="212" t="s">
        <v>2</v>
      </c>
      <c r="S993" s="213" t="s">
        <v>4771</v>
      </c>
      <c r="T993" s="233" t="s">
        <v>5949</v>
      </c>
      <c r="U993" s="234" t="s">
        <v>5822</v>
      </c>
      <c r="V993" s="234">
        <v>45632</v>
      </c>
      <c r="W993" s="234" t="s">
        <v>4877</v>
      </c>
      <c r="X993" s="234" t="s">
        <v>2</v>
      </c>
      <c r="Y993" s="224"/>
      <c r="Z993" s="224"/>
      <c r="AA993" s="243">
        <v>202411</v>
      </c>
      <c r="AB993" s="243"/>
      <c r="AC993" s="244" t="s">
        <v>5210</v>
      </c>
      <c r="AD993" s="244" t="s">
        <v>4761</v>
      </c>
      <c r="AE993" s="245">
        <v>0.4</v>
      </c>
      <c r="AF993" s="244" t="s">
        <v>4761</v>
      </c>
      <c r="AG993" s="239" t="str">
        <f>IFERROR(VLOOKUP(작성용!A:A,RM!A:D,4,0),"-")</f>
        <v>-</v>
      </c>
      <c r="AH993" s="9" t="s">
        <v>4771</v>
      </c>
      <c r="AI993" s="235" t="s">
        <v>4771</v>
      </c>
      <c r="AJ993" s="235" t="s">
        <v>2</v>
      </c>
      <c r="AK993" s="235" t="s">
        <v>5208</v>
      </c>
      <c r="AL993" s="235">
        <v>992</v>
      </c>
    </row>
    <row r="994" spans="1:38" x14ac:dyDescent="0.3">
      <c r="A994" s="222">
        <v>6000729</v>
      </c>
      <c r="B994" s="222" t="s">
        <v>5907</v>
      </c>
      <c r="C994" s="241" t="s">
        <v>4778</v>
      </c>
      <c r="D994" s="237" t="s">
        <v>5978</v>
      </c>
      <c r="E994" s="236">
        <v>1358110146548</v>
      </c>
      <c r="F994" s="240" t="s">
        <v>4854</v>
      </c>
      <c r="G994" s="242">
        <v>0</v>
      </c>
      <c r="H994" s="223" t="s">
        <v>4771</v>
      </c>
      <c r="I994" s="223"/>
      <c r="J994" s="231"/>
      <c r="K994" s="223"/>
      <c r="L994" s="223"/>
      <c r="M994" s="223"/>
      <c r="N994" s="240" t="s">
        <v>5566</v>
      </c>
      <c r="O994" s="225"/>
      <c r="P994" s="225"/>
      <c r="Q994" s="225"/>
      <c r="R994" s="212" t="s">
        <v>2</v>
      </c>
      <c r="S994" s="213" t="s">
        <v>4771</v>
      </c>
      <c r="T994" s="233" t="s">
        <v>5949</v>
      </c>
      <c r="U994" s="234" t="s">
        <v>5822</v>
      </c>
      <c r="V994" s="234">
        <v>45632</v>
      </c>
      <c r="W994" s="234" t="s">
        <v>4877</v>
      </c>
      <c r="X994" s="234" t="s">
        <v>2</v>
      </c>
      <c r="Y994" s="224"/>
      <c r="Z994" s="224"/>
      <c r="AA994" s="243">
        <v>202411</v>
      </c>
      <c r="AB994" s="243"/>
      <c r="AC994" s="244" t="s">
        <v>5210</v>
      </c>
      <c r="AD994" s="244" t="s">
        <v>4918</v>
      </c>
      <c r="AE994" s="245">
        <v>0.4</v>
      </c>
      <c r="AF994" s="244" t="s">
        <v>4918</v>
      </c>
      <c r="AG994" s="239" t="str">
        <f>IFERROR(VLOOKUP(작성용!A:A,RM!A:D,4,0),"-")</f>
        <v>-</v>
      </c>
      <c r="AH994" s="9" t="s">
        <v>4771</v>
      </c>
      <c r="AI994" s="235" t="s">
        <v>4771</v>
      </c>
      <c r="AJ994" s="235" t="s">
        <v>2</v>
      </c>
      <c r="AK994" s="235" t="s">
        <v>5208</v>
      </c>
      <c r="AL994" s="235">
        <v>993</v>
      </c>
    </row>
    <row r="995" spans="1:38" x14ac:dyDescent="0.3">
      <c r="A995" s="222">
        <v>6000731</v>
      </c>
      <c r="B995" s="222" t="s">
        <v>5926</v>
      </c>
      <c r="C995" s="241" t="s">
        <v>4778</v>
      </c>
      <c r="D995" s="237" t="s">
        <v>5979</v>
      </c>
      <c r="E995" s="236">
        <v>1101117644986</v>
      </c>
      <c r="F995" s="240" t="s">
        <v>4850</v>
      </c>
      <c r="G995" s="242">
        <v>0</v>
      </c>
      <c r="H995" s="223" t="s">
        <v>4771</v>
      </c>
      <c r="I995" s="223"/>
      <c r="J995" s="231"/>
      <c r="K995" s="223"/>
      <c r="L995" s="223"/>
      <c r="M995" s="223"/>
      <c r="N995" s="240" t="s">
        <v>5566</v>
      </c>
      <c r="O995" s="225"/>
      <c r="P995" s="225"/>
      <c r="Q995" s="225"/>
      <c r="R995" s="212" t="s">
        <v>2</v>
      </c>
      <c r="S995" s="213" t="s">
        <v>4771</v>
      </c>
      <c r="T995" s="233" t="s">
        <v>5949</v>
      </c>
      <c r="U995" s="234" t="s">
        <v>5822</v>
      </c>
      <c r="V995" s="234">
        <v>45632</v>
      </c>
      <c r="W995" s="234" t="s">
        <v>4877</v>
      </c>
      <c r="X995" s="234" t="s">
        <v>2</v>
      </c>
      <c r="Y995" s="224"/>
      <c r="Z995" s="224"/>
      <c r="AA995" s="243">
        <v>202411</v>
      </c>
      <c r="AB995" s="243"/>
      <c r="AC995" s="244" t="s">
        <v>5210</v>
      </c>
      <c r="AD995" s="244" t="s">
        <v>4982</v>
      </c>
      <c r="AE995" s="245">
        <v>0.4</v>
      </c>
      <c r="AF995" s="244" t="s">
        <v>4982</v>
      </c>
      <c r="AG995" s="239" t="str">
        <f>IFERROR(VLOOKUP(작성용!A:A,RM!A:D,4,0),"-")</f>
        <v>-</v>
      </c>
      <c r="AH995" s="9" t="s">
        <v>4771</v>
      </c>
      <c r="AI995" s="235" t="s">
        <v>4771</v>
      </c>
      <c r="AJ995" s="235" t="s">
        <v>4771</v>
      </c>
      <c r="AK995" s="235" t="s">
        <v>5208</v>
      </c>
      <c r="AL995" s="235">
        <v>994</v>
      </c>
    </row>
    <row r="996" spans="1:38" x14ac:dyDescent="0.3">
      <c r="A996" s="222">
        <v>6000731</v>
      </c>
      <c r="B996" s="222" t="s">
        <v>5926</v>
      </c>
      <c r="C996" s="241" t="s">
        <v>4778</v>
      </c>
      <c r="D996" s="237" t="s">
        <v>5979</v>
      </c>
      <c r="E996" s="236">
        <v>1101117644986</v>
      </c>
      <c r="F996" s="240" t="s">
        <v>4850</v>
      </c>
      <c r="G996" s="242">
        <v>1</v>
      </c>
      <c r="H996" s="223" t="s">
        <v>4771</v>
      </c>
      <c r="I996" s="223"/>
      <c r="J996" s="231"/>
      <c r="K996" s="223"/>
      <c r="L996" s="223"/>
      <c r="M996" s="223"/>
      <c r="N996" s="240" t="s">
        <v>5566</v>
      </c>
      <c r="O996" s="225"/>
      <c r="P996" s="225"/>
      <c r="Q996" s="225"/>
      <c r="R996" s="212" t="s">
        <v>2</v>
      </c>
      <c r="S996" s="213" t="s">
        <v>4771</v>
      </c>
      <c r="T996" s="233" t="s">
        <v>5949</v>
      </c>
      <c r="U996" s="234" t="s">
        <v>5822</v>
      </c>
      <c r="V996" s="234">
        <v>45632</v>
      </c>
      <c r="W996" s="234" t="s">
        <v>4877</v>
      </c>
      <c r="X996" s="234" t="s">
        <v>2</v>
      </c>
      <c r="Y996" s="224"/>
      <c r="Z996" s="224"/>
      <c r="AA996" s="243">
        <v>202411</v>
      </c>
      <c r="AB996" s="243"/>
      <c r="AC996" s="244" t="s">
        <v>5210</v>
      </c>
      <c r="AD996" s="244" t="s">
        <v>4982</v>
      </c>
      <c r="AE996" s="245">
        <v>0</v>
      </c>
      <c r="AF996" s="244" t="s">
        <v>4982</v>
      </c>
      <c r="AG996" s="239" t="str">
        <f>IFERROR(VLOOKUP(작성용!A:A,RM!A:D,4,0),"-")</f>
        <v>-</v>
      </c>
      <c r="AH996" s="9" t="s">
        <v>4771</v>
      </c>
      <c r="AI996" s="235" t="s">
        <v>4771</v>
      </c>
      <c r="AJ996" s="235" t="s">
        <v>4771</v>
      </c>
      <c r="AK996" s="235" t="s">
        <v>5208</v>
      </c>
      <c r="AL996" s="235">
        <v>995</v>
      </c>
    </row>
    <row r="997" spans="1:38" x14ac:dyDescent="0.3">
      <c r="A997" s="222">
        <v>6000732</v>
      </c>
      <c r="B997" s="222" t="s">
        <v>5919</v>
      </c>
      <c r="C997" s="241" t="s">
        <v>4778</v>
      </c>
      <c r="D997" s="237" t="s">
        <v>5980</v>
      </c>
      <c r="E997" s="236">
        <v>1346110046496</v>
      </c>
      <c r="F997" s="240" t="s">
        <v>4850</v>
      </c>
      <c r="G997" s="242">
        <v>0</v>
      </c>
      <c r="H997" s="223" t="s">
        <v>4771</v>
      </c>
      <c r="I997" s="223"/>
      <c r="J997" s="231"/>
      <c r="K997" s="223"/>
      <c r="L997" s="223"/>
      <c r="M997" s="223"/>
      <c r="N997" s="240" t="s">
        <v>5566</v>
      </c>
      <c r="O997" s="225"/>
      <c r="P997" s="225"/>
      <c r="Q997" s="225"/>
      <c r="R997" s="212" t="s">
        <v>2</v>
      </c>
      <c r="S997" s="213" t="s">
        <v>4771</v>
      </c>
      <c r="T997" s="233" t="s">
        <v>5949</v>
      </c>
      <c r="U997" s="234" t="s">
        <v>5822</v>
      </c>
      <c r="V997" s="234">
        <v>45632</v>
      </c>
      <c r="W997" s="234" t="s">
        <v>4877</v>
      </c>
      <c r="X997" s="234" t="s">
        <v>2</v>
      </c>
      <c r="Y997" s="224"/>
      <c r="Z997" s="224"/>
      <c r="AA997" s="243">
        <v>202411</v>
      </c>
      <c r="AB997" s="243"/>
      <c r="AC997" s="244" t="s">
        <v>5210</v>
      </c>
      <c r="AD997" s="244" t="s">
        <v>4915</v>
      </c>
      <c r="AE997" s="245">
        <v>0.4</v>
      </c>
      <c r="AF997" s="244" t="s">
        <v>4915</v>
      </c>
      <c r="AG997" s="239" t="str">
        <f>IFERROR(VLOOKUP(작성용!A:A,RM!A:D,4,0),"-")</f>
        <v>-</v>
      </c>
      <c r="AH997" s="9" t="s">
        <v>4771</v>
      </c>
      <c r="AI997" s="235" t="s">
        <v>4771</v>
      </c>
      <c r="AJ997" s="235" t="s">
        <v>4771</v>
      </c>
      <c r="AK997" s="235" t="s">
        <v>5208</v>
      </c>
      <c r="AL997" s="235">
        <v>996</v>
      </c>
    </row>
    <row r="998" spans="1:38" x14ac:dyDescent="0.3">
      <c r="A998" s="222">
        <v>6000733</v>
      </c>
      <c r="B998" s="222" t="s">
        <v>5927</v>
      </c>
      <c r="C998" s="241" t="s">
        <v>4778</v>
      </c>
      <c r="D998" s="237" t="s">
        <v>5981</v>
      </c>
      <c r="E998" s="236">
        <v>1201110581919</v>
      </c>
      <c r="F998" s="240" t="s">
        <v>4854</v>
      </c>
      <c r="G998" s="242">
        <v>0</v>
      </c>
      <c r="H998" s="223" t="s">
        <v>4771</v>
      </c>
      <c r="I998" s="223"/>
      <c r="J998" s="231"/>
      <c r="K998" s="223"/>
      <c r="L998" s="223"/>
      <c r="M998" s="223"/>
      <c r="N998" s="240" t="s">
        <v>5566</v>
      </c>
      <c r="O998" s="225"/>
      <c r="P998" s="225"/>
      <c r="Q998" s="225"/>
      <c r="R998" s="212" t="s">
        <v>2</v>
      </c>
      <c r="S998" s="213" t="s">
        <v>4771</v>
      </c>
      <c r="T998" s="233" t="s">
        <v>5949</v>
      </c>
      <c r="U998" s="234" t="s">
        <v>5822</v>
      </c>
      <c r="V998" s="234">
        <v>45632</v>
      </c>
      <c r="W998" s="234" t="s">
        <v>4877</v>
      </c>
      <c r="X998" s="234" t="s">
        <v>2</v>
      </c>
      <c r="Y998" s="224"/>
      <c r="Z998" s="224"/>
      <c r="AA998" s="243">
        <v>202411</v>
      </c>
      <c r="AB998" s="243"/>
      <c r="AC998" s="244" t="s">
        <v>5210</v>
      </c>
      <c r="AD998" s="244" t="s">
        <v>4900</v>
      </c>
      <c r="AE998" s="245">
        <v>0.4</v>
      </c>
      <c r="AF998" s="244" t="s">
        <v>4900</v>
      </c>
      <c r="AG998" s="239" t="str">
        <f>IFERROR(VLOOKUP(작성용!A:A,RM!A:D,4,0),"-")</f>
        <v>-</v>
      </c>
      <c r="AH998" s="9" t="s">
        <v>4771</v>
      </c>
      <c r="AI998" s="235" t="s">
        <v>4771</v>
      </c>
      <c r="AJ998" s="235" t="s">
        <v>4771</v>
      </c>
      <c r="AK998" s="235" t="s">
        <v>5208</v>
      </c>
      <c r="AL998" s="235">
        <v>997</v>
      </c>
    </row>
    <row r="999" spans="1:38" x14ac:dyDescent="0.3">
      <c r="A999" s="222">
        <v>6000733</v>
      </c>
      <c r="B999" s="222" t="s">
        <v>5927</v>
      </c>
      <c r="C999" s="241" t="s">
        <v>4778</v>
      </c>
      <c r="D999" s="237" t="s">
        <v>5981</v>
      </c>
      <c r="E999" s="236">
        <v>1201110581919</v>
      </c>
      <c r="F999" s="240" t="s">
        <v>4850</v>
      </c>
      <c r="G999" s="242">
        <v>0</v>
      </c>
      <c r="H999" s="223" t="s">
        <v>4771</v>
      </c>
      <c r="I999" s="223"/>
      <c r="J999" s="231"/>
      <c r="K999" s="223"/>
      <c r="L999" s="223"/>
      <c r="M999" s="223"/>
      <c r="N999" s="240" t="s">
        <v>5566</v>
      </c>
      <c r="O999" s="225"/>
      <c r="P999" s="225"/>
      <c r="Q999" s="225"/>
      <c r="R999" s="212" t="s">
        <v>2</v>
      </c>
      <c r="S999" s="213" t="s">
        <v>4771</v>
      </c>
      <c r="T999" s="233" t="s">
        <v>5949</v>
      </c>
      <c r="U999" s="234" t="s">
        <v>5822</v>
      </c>
      <c r="V999" s="234">
        <v>45632</v>
      </c>
      <c r="W999" s="234" t="s">
        <v>4877</v>
      </c>
      <c r="X999" s="234" t="s">
        <v>2</v>
      </c>
      <c r="Y999" s="224"/>
      <c r="Z999" s="224"/>
      <c r="AA999" s="243">
        <v>202411</v>
      </c>
      <c r="AB999" s="243"/>
      <c r="AC999" s="244" t="s">
        <v>5210</v>
      </c>
      <c r="AD999" s="244" t="s">
        <v>4900</v>
      </c>
      <c r="AE999" s="245">
        <v>0</v>
      </c>
      <c r="AF999" s="244" t="s">
        <v>4900</v>
      </c>
      <c r="AG999" s="239" t="str">
        <f>IFERROR(VLOOKUP(작성용!A:A,RM!A:D,4,0),"-")</f>
        <v>-</v>
      </c>
      <c r="AH999" s="9" t="s">
        <v>4771</v>
      </c>
      <c r="AI999" s="235" t="s">
        <v>4771</v>
      </c>
      <c r="AJ999" s="235" t="s">
        <v>4771</v>
      </c>
      <c r="AK999" s="235" t="s">
        <v>5208</v>
      </c>
      <c r="AL999" s="235">
        <v>998</v>
      </c>
    </row>
    <row r="1000" spans="1:38" x14ac:dyDescent="0.3">
      <c r="A1000" s="222">
        <v>6000734</v>
      </c>
      <c r="B1000" s="222" t="s">
        <v>5922</v>
      </c>
      <c r="C1000" s="241" t="s">
        <v>4778</v>
      </c>
      <c r="D1000" s="237" t="s">
        <v>5982</v>
      </c>
      <c r="E1000" s="236">
        <v>1347110017065</v>
      </c>
      <c r="F1000" s="240" t="s">
        <v>4854</v>
      </c>
      <c r="G1000" s="242">
        <v>0</v>
      </c>
      <c r="H1000" s="223" t="s">
        <v>4771</v>
      </c>
      <c r="I1000" s="223"/>
      <c r="J1000" s="231"/>
      <c r="K1000" s="223"/>
      <c r="L1000" s="223"/>
      <c r="M1000" s="223"/>
      <c r="N1000" s="240" t="s">
        <v>5566</v>
      </c>
      <c r="O1000" s="225"/>
      <c r="P1000" s="225"/>
      <c r="Q1000" s="225"/>
      <c r="R1000" s="212" t="s">
        <v>2</v>
      </c>
      <c r="S1000" s="213" t="s">
        <v>4771</v>
      </c>
      <c r="T1000" s="233" t="s">
        <v>5949</v>
      </c>
      <c r="U1000" s="234" t="s">
        <v>5822</v>
      </c>
      <c r="V1000" s="234">
        <v>45632</v>
      </c>
      <c r="W1000" s="234" t="s">
        <v>4877</v>
      </c>
      <c r="X1000" s="234" t="s">
        <v>2</v>
      </c>
      <c r="Y1000" s="224"/>
      <c r="Z1000" s="224"/>
      <c r="AA1000" s="243">
        <v>202411</v>
      </c>
      <c r="AB1000" s="243"/>
      <c r="AC1000" s="244" t="s">
        <v>5210</v>
      </c>
      <c r="AD1000" s="244" t="s">
        <v>4862</v>
      </c>
      <c r="AE1000" s="245">
        <v>0.4</v>
      </c>
      <c r="AF1000" s="244" t="s">
        <v>4862</v>
      </c>
      <c r="AG1000" s="239" t="str">
        <f>IFERROR(VLOOKUP(작성용!A:A,RM!A:D,4,0),"-")</f>
        <v>-</v>
      </c>
      <c r="AH1000" s="9" t="s">
        <v>4771</v>
      </c>
      <c r="AI1000" s="235" t="s">
        <v>4771</v>
      </c>
      <c r="AJ1000" s="235" t="s">
        <v>2</v>
      </c>
      <c r="AK1000" s="235" t="s">
        <v>5208</v>
      </c>
      <c r="AL1000" s="235">
        <v>999</v>
      </c>
    </row>
    <row r="1001" spans="1:38" x14ac:dyDescent="0.3">
      <c r="A1001" s="222">
        <v>6000736</v>
      </c>
      <c r="B1001" s="222" t="s">
        <v>5914</v>
      </c>
      <c r="C1001" s="241" t="s">
        <v>4778</v>
      </c>
      <c r="D1001" s="237" t="s">
        <v>4967</v>
      </c>
      <c r="E1001" s="236">
        <v>1101111841009</v>
      </c>
      <c r="F1001" s="240" t="s">
        <v>4854</v>
      </c>
      <c r="G1001" s="242">
        <v>0</v>
      </c>
      <c r="H1001" s="223" t="s">
        <v>4771</v>
      </c>
      <c r="I1001" s="223"/>
      <c r="J1001" s="231"/>
      <c r="K1001" s="223"/>
      <c r="L1001" s="223"/>
      <c r="M1001" s="223"/>
      <c r="N1001" s="240" t="s">
        <v>5566</v>
      </c>
      <c r="O1001" s="225"/>
      <c r="P1001" s="225"/>
      <c r="Q1001" s="225"/>
      <c r="R1001" s="212" t="s">
        <v>2</v>
      </c>
      <c r="S1001" s="213" t="s">
        <v>4771</v>
      </c>
      <c r="T1001" s="233" t="s">
        <v>5949</v>
      </c>
      <c r="U1001" s="234" t="s">
        <v>5822</v>
      </c>
      <c r="V1001" s="234">
        <v>45632</v>
      </c>
      <c r="W1001" s="234" t="s">
        <v>4877</v>
      </c>
      <c r="X1001" s="234" t="s">
        <v>2</v>
      </c>
      <c r="Y1001" s="224"/>
      <c r="Z1001" s="224"/>
      <c r="AA1001" s="243">
        <v>202411</v>
      </c>
      <c r="AB1001" s="243"/>
      <c r="AC1001" s="244" t="s">
        <v>5210</v>
      </c>
      <c r="AD1001" s="244" t="s">
        <v>4909</v>
      </c>
      <c r="AE1001" s="245">
        <v>0</v>
      </c>
      <c r="AF1001" s="244" t="s">
        <v>4909</v>
      </c>
      <c r="AG1001" s="239" t="str">
        <f>IFERROR(VLOOKUP(작성용!A:A,RM!A:D,4,0),"-")</f>
        <v>-</v>
      </c>
      <c r="AH1001" s="9" t="s">
        <v>4771</v>
      </c>
      <c r="AI1001" s="235" t="s">
        <v>4771</v>
      </c>
      <c r="AJ1001" s="235" t="s">
        <v>2</v>
      </c>
      <c r="AK1001" s="235" t="s">
        <v>5208</v>
      </c>
      <c r="AL1001" s="235">
        <v>1000</v>
      </c>
    </row>
    <row r="1002" spans="1:38" x14ac:dyDescent="0.3">
      <c r="A1002" s="222">
        <v>6000736</v>
      </c>
      <c r="B1002" s="222" t="s">
        <v>5914</v>
      </c>
      <c r="C1002" s="241" t="s">
        <v>4778</v>
      </c>
      <c r="D1002" s="237" t="s">
        <v>4969</v>
      </c>
      <c r="E1002" s="236">
        <v>1101118113881</v>
      </c>
      <c r="F1002" s="240" t="s">
        <v>4854</v>
      </c>
      <c r="G1002" s="242">
        <v>0</v>
      </c>
      <c r="H1002" s="223" t="s">
        <v>4771</v>
      </c>
      <c r="I1002" s="223"/>
      <c r="J1002" s="231"/>
      <c r="K1002" s="223"/>
      <c r="L1002" s="223"/>
      <c r="M1002" s="223"/>
      <c r="N1002" s="240" t="s">
        <v>5566</v>
      </c>
      <c r="O1002" s="225"/>
      <c r="P1002" s="225"/>
      <c r="Q1002" s="225"/>
      <c r="R1002" s="212" t="s">
        <v>2</v>
      </c>
      <c r="S1002" s="213" t="s">
        <v>4771</v>
      </c>
      <c r="T1002" s="233" t="s">
        <v>5949</v>
      </c>
      <c r="U1002" s="234" t="s">
        <v>5822</v>
      </c>
      <c r="V1002" s="234">
        <v>45632</v>
      </c>
      <c r="W1002" s="234" t="s">
        <v>4877</v>
      </c>
      <c r="X1002" s="234" t="s">
        <v>2</v>
      </c>
      <c r="Y1002" s="224"/>
      <c r="Z1002" s="224"/>
      <c r="AA1002" s="243">
        <v>202411</v>
      </c>
      <c r="AB1002" s="243"/>
      <c r="AC1002" s="244" t="s">
        <v>5210</v>
      </c>
      <c r="AD1002" s="244" t="s">
        <v>4937</v>
      </c>
      <c r="AE1002" s="245">
        <v>0</v>
      </c>
      <c r="AF1002" s="244" t="s">
        <v>4937</v>
      </c>
      <c r="AG1002" s="239" t="str">
        <f>IFERROR(VLOOKUP(작성용!A:A,RM!A:D,4,0),"-")</f>
        <v>-</v>
      </c>
      <c r="AH1002" s="9" t="s">
        <v>4771</v>
      </c>
      <c r="AI1002" s="235" t="s">
        <v>4771</v>
      </c>
      <c r="AJ1002" s="235" t="s">
        <v>2</v>
      </c>
      <c r="AK1002" s="235" t="s">
        <v>5208</v>
      </c>
      <c r="AL1002" s="235">
        <v>1001</v>
      </c>
    </row>
    <row r="1003" spans="1:38" x14ac:dyDescent="0.3">
      <c r="A1003" s="222">
        <v>6000737</v>
      </c>
      <c r="B1003" s="222" t="s">
        <v>5923</v>
      </c>
      <c r="C1003" s="241" t="s">
        <v>4778</v>
      </c>
      <c r="D1003" s="237" t="s">
        <v>5983</v>
      </c>
      <c r="E1003" s="236">
        <v>1101114702729</v>
      </c>
      <c r="F1003" s="240" t="s">
        <v>4854</v>
      </c>
      <c r="G1003" s="242">
        <v>1</v>
      </c>
      <c r="H1003" s="223" t="s">
        <v>4771</v>
      </c>
      <c r="I1003" s="223"/>
      <c r="J1003" s="231"/>
      <c r="K1003" s="223"/>
      <c r="L1003" s="223"/>
      <c r="M1003" s="223"/>
      <c r="N1003" s="240" t="s">
        <v>5566</v>
      </c>
      <c r="O1003" s="225"/>
      <c r="P1003" s="225"/>
      <c r="Q1003" s="225"/>
      <c r="R1003" s="212" t="s">
        <v>2</v>
      </c>
      <c r="S1003" s="213" t="s">
        <v>4771</v>
      </c>
      <c r="T1003" s="233" t="s">
        <v>5949</v>
      </c>
      <c r="U1003" s="234" t="s">
        <v>5822</v>
      </c>
      <c r="V1003" s="234">
        <v>45632</v>
      </c>
      <c r="W1003" s="234" t="s">
        <v>4877</v>
      </c>
      <c r="X1003" s="234" t="s">
        <v>2</v>
      </c>
      <c r="Y1003" s="224"/>
      <c r="Z1003" s="224"/>
      <c r="AA1003" s="243">
        <v>202411</v>
      </c>
      <c r="AB1003" s="243"/>
      <c r="AC1003" s="244" t="s">
        <v>5210</v>
      </c>
      <c r="AD1003" s="244" t="s">
        <v>4937</v>
      </c>
      <c r="AE1003" s="245">
        <v>0.4</v>
      </c>
      <c r="AF1003" s="244" t="s">
        <v>4937</v>
      </c>
      <c r="AG1003" s="239" t="str">
        <f>IFERROR(VLOOKUP(작성용!A:A,RM!A:D,4,0),"-")</f>
        <v>-</v>
      </c>
      <c r="AH1003" s="9" t="s">
        <v>4771</v>
      </c>
      <c r="AI1003" s="235" t="s">
        <v>4771</v>
      </c>
      <c r="AJ1003" s="235" t="s">
        <v>4771</v>
      </c>
      <c r="AK1003" s="235" t="s">
        <v>5208</v>
      </c>
      <c r="AL1003" s="235">
        <v>1002</v>
      </c>
    </row>
    <row r="1004" spans="1:38" x14ac:dyDescent="0.3">
      <c r="A1004" s="222">
        <v>6000738</v>
      </c>
      <c r="B1004" s="222" t="s">
        <v>5920</v>
      </c>
      <c r="C1004" s="241" t="s">
        <v>4778</v>
      </c>
      <c r="D1004" s="237" t="s">
        <v>5984</v>
      </c>
      <c r="E1004" s="236">
        <v>1948110004787</v>
      </c>
      <c r="F1004" s="240" t="s">
        <v>4854</v>
      </c>
      <c r="G1004" s="242">
        <v>0</v>
      </c>
      <c r="H1004" s="223" t="s">
        <v>4771</v>
      </c>
      <c r="I1004" s="223"/>
      <c r="J1004" s="231"/>
      <c r="K1004" s="223"/>
      <c r="L1004" s="223"/>
      <c r="M1004" s="223"/>
      <c r="N1004" s="240" t="s">
        <v>5566</v>
      </c>
      <c r="O1004" s="225"/>
      <c r="P1004" s="225"/>
      <c r="Q1004" s="225"/>
      <c r="R1004" s="212" t="s">
        <v>2</v>
      </c>
      <c r="S1004" s="213" t="s">
        <v>4771</v>
      </c>
      <c r="T1004" s="233" t="s">
        <v>5949</v>
      </c>
      <c r="U1004" s="234" t="s">
        <v>5822</v>
      </c>
      <c r="V1004" s="234">
        <v>45632</v>
      </c>
      <c r="W1004" s="234" t="s">
        <v>4877</v>
      </c>
      <c r="X1004" s="234" t="s">
        <v>2</v>
      </c>
      <c r="Y1004" s="224"/>
      <c r="Z1004" s="224"/>
      <c r="AA1004" s="243">
        <v>202411</v>
      </c>
      <c r="AB1004" s="243"/>
      <c r="AC1004" s="244" t="s">
        <v>5210</v>
      </c>
      <c r="AD1004" s="244" t="s">
        <v>4862</v>
      </c>
      <c r="AE1004" s="245">
        <v>0.4</v>
      </c>
      <c r="AF1004" s="244" t="s">
        <v>4862</v>
      </c>
      <c r="AG1004" s="239" t="str">
        <f>IFERROR(VLOOKUP(작성용!A:A,RM!A:D,4,0),"-")</f>
        <v>-</v>
      </c>
      <c r="AH1004" s="9" t="s">
        <v>4771</v>
      </c>
      <c r="AI1004" s="235" t="s">
        <v>4771</v>
      </c>
      <c r="AJ1004" s="235" t="s">
        <v>2</v>
      </c>
      <c r="AK1004" s="235" t="s">
        <v>5208</v>
      </c>
      <c r="AL1004" s="235">
        <v>1003</v>
      </c>
    </row>
    <row r="1005" spans="1:38" x14ac:dyDescent="0.3">
      <c r="A1005" s="222">
        <v>6000740</v>
      </c>
      <c r="B1005" s="222" t="s">
        <v>5921</v>
      </c>
      <c r="C1005" s="241" t="s">
        <v>4778</v>
      </c>
      <c r="D1005" s="237" t="s">
        <v>5985</v>
      </c>
      <c r="E1005" s="236">
        <v>1648110141197</v>
      </c>
      <c r="F1005" s="240" t="s">
        <v>4894</v>
      </c>
      <c r="G1005" s="242">
        <v>2</v>
      </c>
      <c r="H1005" s="223" t="s">
        <v>4771</v>
      </c>
      <c r="I1005" s="223"/>
      <c r="J1005" s="231"/>
      <c r="K1005" s="223"/>
      <c r="L1005" s="223"/>
      <c r="M1005" s="223"/>
      <c r="N1005" s="240" t="s">
        <v>5566</v>
      </c>
      <c r="O1005" s="225"/>
      <c r="P1005" s="225"/>
      <c r="Q1005" s="225"/>
      <c r="R1005" s="212" t="s">
        <v>2</v>
      </c>
      <c r="S1005" s="213" t="s">
        <v>4771</v>
      </c>
      <c r="T1005" s="233" t="s">
        <v>5949</v>
      </c>
      <c r="U1005" s="234" t="s">
        <v>5822</v>
      </c>
      <c r="V1005" s="234">
        <v>45632</v>
      </c>
      <c r="W1005" s="234" t="s">
        <v>4877</v>
      </c>
      <c r="X1005" s="234" t="s">
        <v>2</v>
      </c>
      <c r="Y1005" s="224"/>
      <c r="Z1005" s="224"/>
      <c r="AA1005" s="243">
        <v>202411</v>
      </c>
      <c r="AB1005" s="243"/>
      <c r="AC1005" s="244" t="s">
        <v>5210</v>
      </c>
      <c r="AD1005" s="244" t="s">
        <v>4823</v>
      </c>
      <c r="AE1005" s="245">
        <v>0.4</v>
      </c>
      <c r="AF1005" s="244" t="s">
        <v>4823</v>
      </c>
      <c r="AG1005" s="239" t="str">
        <f>IFERROR(VLOOKUP(작성용!A:A,RM!A:D,4,0),"-")</f>
        <v>-</v>
      </c>
      <c r="AH1005" s="9" t="s">
        <v>4771</v>
      </c>
      <c r="AI1005" s="235" t="s">
        <v>4771</v>
      </c>
      <c r="AJ1005" s="235" t="s">
        <v>2</v>
      </c>
      <c r="AK1005" s="235" t="s">
        <v>5208</v>
      </c>
      <c r="AL1005" s="235">
        <v>1004</v>
      </c>
    </row>
    <row r="1006" spans="1:38" x14ac:dyDescent="0.3">
      <c r="A1006" s="222">
        <v>6000740</v>
      </c>
      <c r="B1006" s="222" t="s">
        <v>5921</v>
      </c>
      <c r="C1006" s="241" t="s">
        <v>4778</v>
      </c>
      <c r="D1006" s="237" t="s">
        <v>5985</v>
      </c>
      <c r="E1006" s="236">
        <v>1648110141197</v>
      </c>
      <c r="F1006" s="240" t="s">
        <v>4894</v>
      </c>
      <c r="G1006" s="242">
        <v>3</v>
      </c>
      <c r="H1006" s="223" t="s">
        <v>4771</v>
      </c>
      <c r="I1006" s="223"/>
      <c r="J1006" s="231"/>
      <c r="K1006" s="223"/>
      <c r="L1006" s="223"/>
      <c r="M1006" s="223"/>
      <c r="N1006" s="240" t="s">
        <v>5566</v>
      </c>
      <c r="O1006" s="225"/>
      <c r="P1006" s="225"/>
      <c r="Q1006" s="225"/>
      <c r="R1006" s="212" t="s">
        <v>2</v>
      </c>
      <c r="S1006" s="213" t="s">
        <v>4771</v>
      </c>
      <c r="T1006" s="233" t="s">
        <v>5949</v>
      </c>
      <c r="U1006" s="234" t="s">
        <v>5822</v>
      </c>
      <c r="V1006" s="234">
        <v>45632</v>
      </c>
      <c r="W1006" s="234" t="s">
        <v>4877</v>
      </c>
      <c r="X1006" s="234" t="s">
        <v>2</v>
      </c>
      <c r="Y1006" s="224"/>
      <c r="Z1006" s="224"/>
      <c r="AA1006" s="243">
        <v>202411</v>
      </c>
      <c r="AB1006" s="243"/>
      <c r="AC1006" s="244" t="s">
        <v>5210</v>
      </c>
      <c r="AD1006" s="244" t="s">
        <v>4823</v>
      </c>
      <c r="AE1006" s="245">
        <v>0</v>
      </c>
      <c r="AF1006" s="244" t="s">
        <v>4823</v>
      </c>
      <c r="AG1006" s="239" t="str">
        <f>IFERROR(VLOOKUP(작성용!A:A,RM!A:D,4,0),"-")</f>
        <v>-</v>
      </c>
      <c r="AH1006" s="9" t="s">
        <v>4771</v>
      </c>
      <c r="AI1006" s="235" t="s">
        <v>4771</v>
      </c>
      <c r="AJ1006" s="235" t="s">
        <v>2</v>
      </c>
      <c r="AK1006" s="235" t="s">
        <v>5208</v>
      </c>
      <c r="AL1006" s="235">
        <v>1005</v>
      </c>
    </row>
    <row r="1007" spans="1:38" x14ac:dyDescent="0.3">
      <c r="A1007" s="222">
        <v>6000742</v>
      </c>
      <c r="B1007" s="222" t="s">
        <v>5930</v>
      </c>
      <c r="C1007" s="241" t="s">
        <v>4778</v>
      </c>
      <c r="D1007" s="237" t="s">
        <v>5986</v>
      </c>
      <c r="E1007" s="236">
        <v>1611110002693</v>
      </c>
      <c r="F1007" s="240" t="s">
        <v>4854</v>
      </c>
      <c r="G1007" s="242">
        <v>0</v>
      </c>
      <c r="H1007" s="223" t="s">
        <v>4771</v>
      </c>
      <c r="I1007" s="223"/>
      <c r="J1007" s="231"/>
      <c r="K1007" s="223"/>
      <c r="L1007" s="223"/>
      <c r="M1007" s="223"/>
      <c r="N1007" s="240" t="s">
        <v>5566</v>
      </c>
      <c r="O1007" s="225"/>
      <c r="P1007" s="225"/>
      <c r="Q1007" s="225"/>
      <c r="R1007" s="212" t="s">
        <v>2</v>
      </c>
      <c r="S1007" s="213" t="s">
        <v>4771</v>
      </c>
      <c r="T1007" s="233" t="s">
        <v>5949</v>
      </c>
      <c r="U1007" s="234" t="s">
        <v>5822</v>
      </c>
      <c r="V1007" s="234">
        <v>45632</v>
      </c>
      <c r="W1007" s="234" t="s">
        <v>4877</v>
      </c>
      <c r="X1007" s="234" t="s">
        <v>2</v>
      </c>
      <c r="Y1007" s="224"/>
      <c r="Z1007" s="224"/>
      <c r="AA1007" s="243">
        <v>202411</v>
      </c>
      <c r="AB1007" s="243"/>
      <c r="AC1007" s="244" t="s">
        <v>5210</v>
      </c>
      <c r="AD1007" s="244" t="s">
        <v>4846</v>
      </c>
      <c r="AE1007" s="245">
        <v>0.4</v>
      </c>
      <c r="AF1007" s="244" t="s">
        <v>4846</v>
      </c>
      <c r="AG1007" s="239" t="str">
        <f>IFERROR(VLOOKUP(작성용!A:A,RM!A:D,4,0),"-")</f>
        <v>-</v>
      </c>
      <c r="AH1007" s="9" t="s">
        <v>4771</v>
      </c>
      <c r="AI1007" s="235" t="s">
        <v>4771</v>
      </c>
      <c r="AJ1007" s="235" t="s">
        <v>2</v>
      </c>
      <c r="AK1007" s="235" t="s">
        <v>5208</v>
      </c>
      <c r="AL1007" s="235">
        <v>1006</v>
      </c>
    </row>
    <row r="1008" spans="1:38" x14ac:dyDescent="0.3">
      <c r="A1008" s="222">
        <v>6000742</v>
      </c>
      <c r="B1008" s="222" t="s">
        <v>5930</v>
      </c>
      <c r="C1008" s="241" t="s">
        <v>4778</v>
      </c>
      <c r="D1008" s="237" t="s">
        <v>5987</v>
      </c>
      <c r="E1008" s="236">
        <v>2849110082451</v>
      </c>
      <c r="F1008" s="240" t="s">
        <v>4854</v>
      </c>
      <c r="G1008" s="242">
        <v>0</v>
      </c>
      <c r="H1008" s="223" t="s">
        <v>4771</v>
      </c>
      <c r="I1008" s="223"/>
      <c r="J1008" s="231"/>
      <c r="K1008" s="223"/>
      <c r="L1008" s="223"/>
      <c r="M1008" s="223"/>
      <c r="N1008" s="240" t="s">
        <v>5566</v>
      </c>
      <c r="O1008" s="225"/>
      <c r="P1008" s="225"/>
      <c r="Q1008" s="225"/>
      <c r="R1008" s="212" t="s">
        <v>2</v>
      </c>
      <c r="S1008" s="213" t="s">
        <v>4771</v>
      </c>
      <c r="T1008" s="233" t="s">
        <v>5949</v>
      </c>
      <c r="U1008" s="234" t="s">
        <v>5822</v>
      </c>
      <c r="V1008" s="234">
        <v>45632</v>
      </c>
      <c r="W1008" s="234" t="s">
        <v>4877</v>
      </c>
      <c r="X1008" s="234" t="s">
        <v>2</v>
      </c>
      <c r="Y1008" s="224"/>
      <c r="Z1008" s="224"/>
      <c r="AA1008" s="243">
        <v>202411</v>
      </c>
      <c r="AB1008" s="243"/>
      <c r="AC1008" s="244" t="s">
        <v>5210</v>
      </c>
      <c r="AD1008" s="244" t="s">
        <v>4858</v>
      </c>
      <c r="AE1008" s="245">
        <v>0</v>
      </c>
      <c r="AF1008" s="244" t="s">
        <v>4858</v>
      </c>
      <c r="AG1008" s="239" t="str">
        <f>IFERROR(VLOOKUP(작성용!A:A,RM!A:D,4,0),"-")</f>
        <v>-</v>
      </c>
      <c r="AH1008" s="9" t="s">
        <v>4771</v>
      </c>
      <c r="AI1008" s="235" t="s">
        <v>4771</v>
      </c>
      <c r="AJ1008" s="235" t="s">
        <v>2</v>
      </c>
      <c r="AK1008" s="235" t="s">
        <v>5208</v>
      </c>
      <c r="AL1008" s="235">
        <v>1007</v>
      </c>
    </row>
    <row r="1009" spans="1:38" x14ac:dyDescent="0.3">
      <c r="A1009" s="222">
        <v>6000743</v>
      </c>
      <c r="B1009" s="222" t="s">
        <v>5913</v>
      </c>
      <c r="C1009" s="241" t="s">
        <v>4778</v>
      </c>
      <c r="D1009" s="237" t="s">
        <v>5988</v>
      </c>
      <c r="E1009" s="236">
        <v>1101112833584</v>
      </c>
      <c r="F1009" s="240" t="s">
        <v>4850</v>
      </c>
      <c r="G1009" s="242">
        <v>1</v>
      </c>
      <c r="H1009" s="223" t="s">
        <v>4771</v>
      </c>
      <c r="I1009" s="223"/>
      <c r="J1009" s="231"/>
      <c r="K1009" s="223"/>
      <c r="L1009" s="223"/>
      <c r="M1009" s="223"/>
      <c r="N1009" s="240" t="s">
        <v>5566</v>
      </c>
      <c r="O1009" s="225"/>
      <c r="P1009" s="225"/>
      <c r="Q1009" s="225"/>
      <c r="R1009" s="212" t="s">
        <v>2</v>
      </c>
      <c r="S1009" s="213" t="s">
        <v>4771</v>
      </c>
      <c r="T1009" s="233" t="s">
        <v>5949</v>
      </c>
      <c r="U1009" s="234" t="s">
        <v>5822</v>
      </c>
      <c r="V1009" s="234">
        <v>45632</v>
      </c>
      <c r="W1009" s="234" t="s">
        <v>4877</v>
      </c>
      <c r="X1009" s="234" t="s">
        <v>2</v>
      </c>
      <c r="Y1009" s="224"/>
      <c r="Z1009" s="224"/>
      <c r="AA1009" s="243">
        <v>202411</v>
      </c>
      <c r="AB1009" s="243"/>
      <c r="AC1009" s="244" t="s">
        <v>5210</v>
      </c>
      <c r="AD1009" s="244" t="s">
        <v>4860</v>
      </c>
      <c r="AE1009" s="245">
        <v>0.4</v>
      </c>
      <c r="AF1009" s="244" t="s">
        <v>4860</v>
      </c>
      <c r="AG1009" s="239" t="str">
        <f>IFERROR(VLOOKUP(작성용!A:A,RM!A:D,4,0),"-")</f>
        <v>-</v>
      </c>
      <c r="AH1009" s="9" t="s">
        <v>4771</v>
      </c>
      <c r="AI1009" s="235" t="s">
        <v>4771</v>
      </c>
      <c r="AJ1009" s="235" t="s">
        <v>2</v>
      </c>
      <c r="AK1009" s="235" t="s">
        <v>5208</v>
      </c>
      <c r="AL1009" s="235">
        <v>1008</v>
      </c>
    </row>
    <row r="1010" spans="1:38" x14ac:dyDescent="0.3">
      <c r="A1010" s="222">
        <v>6000744</v>
      </c>
      <c r="B1010" s="222" t="s">
        <v>5924</v>
      </c>
      <c r="C1010" s="241" t="s">
        <v>4778</v>
      </c>
      <c r="D1010" s="237" t="s">
        <v>5989</v>
      </c>
      <c r="E1010" s="236">
        <v>1501110066923</v>
      </c>
      <c r="F1010" s="240" t="s">
        <v>4854</v>
      </c>
      <c r="G1010" s="242">
        <v>0</v>
      </c>
      <c r="H1010" s="223" t="s">
        <v>4771</v>
      </c>
      <c r="I1010" s="223"/>
      <c r="J1010" s="231"/>
      <c r="K1010" s="223"/>
      <c r="L1010" s="223"/>
      <c r="M1010" s="223"/>
      <c r="N1010" s="240" t="s">
        <v>5566</v>
      </c>
      <c r="O1010" s="225"/>
      <c r="P1010" s="225"/>
      <c r="Q1010" s="225"/>
      <c r="R1010" s="212" t="s">
        <v>2</v>
      </c>
      <c r="S1010" s="213" t="s">
        <v>4771</v>
      </c>
      <c r="T1010" s="233" t="s">
        <v>5949</v>
      </c>
      <c r="U1010" s="234" t="s">
        <v>5822</v>
      </c>
      <c r="V1010" s="234">
        <v>45632</v>
      </c>
      <c r="W1010" s="234" t="s">
        <v>4877</v>
      </c>
      <c r="X1010" s="234" t="s">
        <v>2</v>
      </c>
      <c r="Y1010" s="224"/>
      <c r="Z1010" s="224"/>
      <c r="AA1010" s="243">
        <v>202411</v>
      </c>
      <c r="AB1010" s="243"/>
      <c r="AC1010" s="244" t="s">
        <v>5210</v>
      </c>
      <c r="AD1010" s="244" t="s">
        <v>4915</v>
      </c>
      <c r="AE1010" s="245">
        <v>0.4</v>
      </c>
      <c r="AF1010" s="244" t="s">
        <v>4915</v>
      </c>
      <c r="AG1010" s="239" t="str">
        <f>IFERROR(VLOOKUP(작성용!A:A,RM!A:D,4,0),"-")</f>
        <v>-</v>
      </c>
      <c r="AH1010" s="9" t="s">
        <v>4771</v>
      </c>
      <c r="AI1010" s="235" t="s">
        <v>4771</v>
      </c>
      <c r="AJ1010" s="235" t="s">
        <v>2</v>
      </c>
      <c r="AK1010" s="235" t="s">
        <v>5208</v>
      </c>
      <c r="AL1010" s="235">
        <v>1009</v>
      </c>
    </row>
    <row r="1011" spans="1:38" x14ac:dyDescent="0.3">
      <c r="A1011" s="229">
        <v>6000745</v>
      </c>
      <c r="B1011" s="229" t="s">
        <v>5909</v>
      </c>
      <c r="C1011" s="241" t="s">
        <v>4778</v>
      </c>
      <c r="D1011" s="237" t="s">
        <v>5990</v>
      </c>
      <c r="E1011" s="236">
        <v>1348110002098</v>
      </c>
      <c r="F1011" s="240" t="s">
        <v>4854</v>
      </c>
      <c r="G1011" s="242">
        <v>0</v>
      </c>
      <c r="H1011" s="231" t="s">
        <v>4771</v>
      </c>
      <c r="I1011" s="231"/>
      <c r="J1011" s="231"/>
      <c r="K1011" s="231"/>
      <c r="L1011" s="231"/>
      <c r="M1011" s="231"/>
      <c r="N1011" s="240" t="s">
        <v>5566</v>
      </c>
      <c r="O1011" s="225"/>
      <c r="P1011" s="225"/>
      <c r="Q1011" s="225"/>
      <c r="R1011" s="212" t="s">
        <v>2</v>
      </c>
      <c r="S1011" s="213" t="s">
        <v>4771</v>
      </c>
      <c r="T1011" s="233" t="s">
        <v>5949</v>
      </c>
      <c r="U1011" s="234" t="s">
        <v>5822</v>
      </c>
      <c r="V1011" s="234">
        <v>45632</v>
      </c>
      <c r="W1011" s="234" t="s">
        <v>4877</v>
      </c>
      <c r="X1011" s="234" t="s">
        <v>2</v>
      </c>
      <c r="Y1011" s="224"/>
      <c r="Z1011" s="224"/>
      <c r="AA1011" s="243">
        <v>202411</v>
      </c>
      <c r="AB1011" s="243"/>
      <c r="AC1011" s="244" t="s">
        <v>5210</v>
      </c>
      <c r="AD1011" s="244" t="s">
        <v>4933</v>
      </c>
      <c r="AE1011" s="245">
        <v>0.4</v>
      </c>
      <c r="AF1011" s="244" t="s">
        <v>4933</v>
      </c>
      <c r="AG1011" s="239" t="str">
        <f>IFERROR(VLOOKUP(작성용!A:A,RM!A:D,4,0),"-")</f>
        <v>-</v>
      </c>
      <c r="AH1011" s="9" t="s">
        <v>4771</v>
      </c>
      <c r="AI1011" s="235" t="s">
        <v>4771</v>
      </c>
      <c r="AJ1011" s="235" t="s">
        <v>4771</v>
      </c>
      <c r="AK1011" s="235" t="s">
        <v>5208</v>
      </c>
      <c r="AL1011" s="235">
        <v>1010</v>
      </c>
    </row>
    <row r="1012" spans="1:38" x14ac:dyDescent="0.3">
      <c r="A1012" s="229">
        <v>6000745</v>
      </c>
      <c r="B1012" s="229" t="s">
        <v>5909</v>
      </c>
      <c r="C1012" s="241" t="s">
        <v>4778</v>
      </c>
      <c r="D1012" s="237" t="s">
        <v>5990</v>
      </c>
      <c r="E1012" s="236">
        <v>1348110002098</v>
      </c>
      <c r="F1012" s="240" t="s">
        <v>5587</v>
      </c>
      <c r="G1012" s="242">
        <v>0</v>
      </c>
      <c r="H1012" s="231" t="s">
        <v>4771</v>
      </c>
      <c r="I1012" s="231"/>
      <c r="J1012" s="231"/>
      <c r="K1012" s="231"/>
      <c r="L1012" s="231"/>
      <c r="M1012" s="231"/>
      <c r="N1012" s="240" t="s">
        <v>5566</v>
      </c>
      <c r="O1012" s="225"/>
      <c r="P1012" s="225"/>
      <c r="Q1012" s="225"/>
      <c r="R1012" s="212" t="s">
        <v>2</v>
      </c>
      <c r="S1012" s="213" t="s">
        <v>4771</v>
      </c>
      <c r="T1012" s="233" t="s">
        <v>5949</v>
      </c>
      <c r="U1012" s="234" t="s">
        <v>5822</v>
      </c>
      <c r="V1012" s="234">
        <v>45632</v>
      </c>
      <c r="W1012" s="234" t="s">
        <v>4877</v>
      </c>
      <c r="X1012" s="234" t="s">
        <v>2</v>
      </c>
      <c r="Y1012" s="224"/>
      <c r="Z1012" s="224"/>
      <c r="AA1012" s="243">
        <v>202411</v>
      </c>
      <c r="AB1012" s="243"/>
      <c r="AC1012" s="244" t="s">
        <v>5210</v>
      </c>
      <c r="AD1012" s="244" t="s">
        <v>4933</v>
      </c>
      <c r="AE1012" s="245">
        <v>0</v>
      </c>
      <c r="AF1012" s="244" t="s">
        <v>4933</v>
      </c>
      <c r="AG1012" s="239" t="str">
        <f>IFERROR(VLOOKUP(작성용!A:A,RM!A:D,4,0),"-")</f>
        <v>-</v>
      </c>
      <c r="AH1012" s="9" t="s">
        <v>4771</v>
      </c>
      <c r="AI1012" s="235" t="s">
        <v>4771</v>
      </c>
      <c r="AJ1012" s="235" t="s">
        <v>4771</v>
      </c>
      <c r="AK1012" s="235" t="s">
        <v>5208</v>
      </c>
      <c r="AL1012" s="235">
        <v>1011</v>
      </c>
    </row>
    <row r="1013" spans="1:38" x14ac:dyDescent="0.3">
      <c r="A1013" s="229">
        <v>6000745</v>
      </c>
      <c r="B1013" s="229" t="s">
        <v>5909</v>
      </c>
      <c r="C1013" s="241" t="s">
        <v>4778</v>
      </c>
      <c r="D1013" s="237" t="s">
        <v>5991</v>
      </c>
      <c r="E1013" s="236">
        <v>1812110029998</v>
      </c>
      <c r="F1013" s="240" t="s">
        <v>4854</v>
      </c>
      <c r="G1013" s="242">
        <v>0</v>
      </c>
      <c r="H1013" s="231" t="s">
        <v>4771</v>
      </c>
      <c r="I1013" s="231"/>
      <c r="J1013" s="231"/>
      <c r="K1013" s="231"/>
      <c r="L1013" s="231"/>
      <c r="M1013" s="231"/>
      <c r="N1013" s="240" t="s">
        <v>5566</v>
      </c>
      <c r="O1013" s="225"/>
      <c r="P1013" s="225"/>
      <c r="Q1013" s="225"/>
      <c r="R1013" s="212" t="s">
        <v>2</v>
      </c>
      <c r="S1013" s="213" t="s">
        <v>4771</v>
      </c>
      <c r="T1013" s="233" t="s">
        <v>5949</v>
      </c>
      <c r="U1013" s="234" t="s">
        <v>5822</v>
      </c>
      <c r="V1013" s="234">
        <v>45632</v>
      </c>
      <c r="W1013" s="234" t="s">
        <v>4877</v>
      </c>
      <c r="X1013" s="234" t="s">
        <v>2</v>
      </c>
      <c r="Y1013" s="224"/>
      <c r="Z1013" s="224"/>
      <c r="AA1013" s="243">
        <v>202411</v>
      </c>
      <c r="AB1013" s="243"/>
      <c r="AC1013" s="244" t="s">
        <v>5210</v>
      </c>
      <c r="AD1013" s="244" t="s">
        <v>4846</v>
      </c>
      <c r="AE1013" s="245">
        <v>0.4</v>
      </c>
      <c r="AF1013" s="244" t="s">
        <v>4846</v>
      </c>
      <c r="AG1013" s="239" t="str">
        <f>IFERROR(VLOOKUP(작성용!A:A,RM!A:D,4,0),"-")</f>
        <v>-</v>
      </c>
      <c r="AH1013" s="9" t="s">
        <v>4771</v>
      </c>
      <c r="AI1013" s="235" t="s">
        <v>4771</v>
      </c>
      <c r="AJ1013" s="235" t="s">
        <v>4771</v>
      </c>
      <c r="AK1013" s="235" t="s">
        <v>5208</v>
      </c>
      <c r="AL1013" s="235">
        <v>1012</v>
      </c>
    </row>
    <row r="1014" spans="1:38" x14ac:dyDescent="0.3">
      <c r="A1014" s="229">
        <v>6000745</v>
      </c>
      <c r="B1014" s="229" t="s">
        <v>5909</v>
      </c>
      <c r="C1014" s="241" t="s">
        <v>4778</v>
      </c>
      <c r="D1014" s="237" t="s">
        <v>5991</v>
      </c>
      <c r="E1014" s="236">
        <v>1812110029998</v>
      </c>
      <c r="F1014" s="240" t="s">
        <v>5587</v>
      </c>
      <c r="G1014" s="242">
        <v>0</v>
      </c>
      <c r="H1014" s="231" t="s">
        <v>4771</v>
      </c>
      <c r="I1014" s="231"/>
      <c r="J1014" s="231"/>
      <c r="K1014" s="231"/>
      <c r="L1014" s="231"/>
      <c r="M1014" s="231"/>
      <c r="N1014" s="240" t="s">
        <v>5566</v>
      </c>
      <c r="O1014" s="225"/>
      <c r="P1014" s="225"/>
      <c r="Q1014" s="225"/>
      <c r="R1014" s="212" t="s">
        <v>2</v>
      </c>
      <c r="S1014" s="213" t="s">
        <v>4771</v>
      </c>
      <c r="T1014" s="233" t="s">
        <v>5949</v>
      </c>
      <c r="U1014" s="234" t="s">
        <v>5822</v>
      </c>
      <c r="V1014" s="234">
        <v>45632</v>
      </c>
      <c r="W1014" s="234" t="s">
        <v>4877</v>
      </c>
      <c r="X1014" s="234" t="s">
        <v>2</v>
      </c>
      <c r="Y1014" s="224"/>
      <c r="Z1014" s="224"/>
      <c r="AA1014" s="243">
        <v>202411</v>
      </c>
      <c r="AB1014" s="243"/>
      <c r="AC1014" s="244" t="s">
        <v>5210</v>
      </c>
      <c r="AD1014" s="244" t="s">
        <v>4846</v>
      </c>
      <c r="AE1014" s="245">
        <v>0</v>
      </c>
      <c r="AF1014" s="244" t="s">
        <v>4846</v>
      </c>
      <c r="AG1014" s="239" t="str">
        <f>IFERROR(VLOOKUP(작성용!A:A,RM!A:D,4,0),"-")</f>
        <v>-</v>
      </c>
      <c r="AH1014" s="9" t="s">
        <v>4771</v>
      </c>
      <c r="AI1014" s="235" t="s">
        <v>4771</v>
      </c>
      <c r="AJ1014" s="235" t="s">
        <v>4771</v>
      </c>
      <c r="AK1014" s="235" t="s">
        <v>5208</v>
      </c>
      <c r="AL1014" s="235">
        <v>1013</v>
      </c>
    </row>
    <row r="1015" spans="1:38" x14ac:dyDescent="0.3">
      <c r="A1015" s="229">
        <v>6000745</v>
      </c>
      <c r="B1015" s="229" t="s">
        <v>5909</v>
      </c>
      <c r="C1015" s="241" t="s">
        <v>4778</v>
      </c>
      <c r="D1015" s="237" t="s">
        <v>5992</v>
      </c>
      <c r="E1015" s="236">
        <v>1601110005375</v>
      </c>
      <c r="F1015" s="240" t="s">
        <v>4854</v>
      </c>
      <c r="G1015" s="242">
        <v>0</v>
      </c>
      <c r="H1015" s="231" t="s">
        <v>4771</v>
      </c>
      <c r="I1015" s="231"/>
      <c r="J1015" s="231"/>
      <c r="K1015" s="231"/>
      <c r="L1015" s="231"/>
      <c r="M1015" s="231"/>
      <c r="N1015" s="240" t="s">
        <v>5566</v>
      </c>
      <c r="O1015" s="225"/>
      <c r="P1015" s="225"/>
      <c r="Q1015" s="225"/>
      <c r="R1015" s="212" t="s">
        <v>2</v>
      </c>
      <c r="S1015" s="213" t="s">
        <v>4771</v>
      </c>
      <c r="T1015" s="233" t="s">
        <v>5949</v>
      </c>
      <c r="U1015" s="234" t="s">
        <v>5822</v>
      </c>
      <c r="V1015" s="234">
        <v>45632</v>
      </c>
      <c r="W1015" s="234" t="s">
        <v>4877</v>
      </c>
      <c r="X1015" s="234" t="s">
        <v>2</v>
      </c>
      <c r="Y1015" s="224"/>
      <c r="Z1015" s="224"/>
      <c r="AA1015" s="243">
        <v>202411</v>
      </c>
      <c r="AB1015" s="243"/>
      <c r="AC1015" s="244" t="s">
        <v>5210</v>
      </c>
      <c r="AD1015" s="244" t="s">
        <v>4761</v>
      </c>
      <c r="AE1015" s="245">
        <v>0.4</v>
      </c>
      <c r="AF1015" s="244" t="s">
        <v>4761</v>
      </c>
      <c r="AG1015" s="239" t="str">
        <f>IFERROR(VLOOKUP(작성용!A:A,RM!A:D,4,0),"-")</f>
        <v>-</v>
      </c>
      <c r="AH1015" s="9" t="s">
        <v>4771</v>
      </c>
      <c r="AI1015" s="235" t="s">
        <v>4771</v>
      </c>
      <c r="AJ1015" s="235" t="s">
        <v>4771</v>
      </c>
      <c r="AK1015" s="235" t="s">
        <v>5208</v>
      </c>
      <c r="AL1015" s="235">
        <v>1014</v>
      </c>
    </row>
    <row r="1016" spans="1:38" x14ac:dyDescent="0.3">
      <c r="A1016" s="222">
        <v>6000746</v>
      </c>
      <c r="B1016" s="222" t="s">
        <v>4742</v>
      </c>
      <c r="C1016" s="241" t="s">
        <v>4778</v>
      </c>
      <c r="D1016" s="237" t="s">
        <v>5993</v>
      </c>
      <c r="E1016" s="236">
        <v>1615110225651</v>
      </c>
      <c r="F1016" s="240" t="s">
        <v>4854</v>
      </c>
      <c r="G1016" s="242">
        <v>0</v>
      </c>
      <c r="H1016" s="223" t="s">
        <v>4771</v>
      </c>
      <c r="I1016" s="223"/>
      <c r="J1016" s="231"/>
      <c r="K1016" s="223"/>
      <c r="L1016" s="223"/>
      <c r="M1016" s="223"/>
      <c r="N1016" s="240" t="s">
        <v>5566</v>
      </c>
      <c r="O1016" s="225"/>
      <c r="P1016" s="225"/>
      <c r="Q1016" s="225"/>
      <c r="R1016" s="212" t="s">
        <v>2</v>
      </c>
      <c r="S1016" s="212" t="s">
        <v>4771</v>
      </c>
      <c r="T1016" s="233" t="s">
        <v>5949</v>
      </c>
      <c r="U1016" s="234" t="s">
        <v>5822</v>
      </c>
      <c r="V1016" s="234">
        <v>45632</v>
      </c>
      <c r="W1016" s="234" t="s">
        <v>4877</v>
      </c>
      <c r="X1016" s="234" t="s">
        <v>2</v>
      </c>
      <c r="Y1016" s="224"/>
      <c r="Z1016" s="224"/>
      <c r="AA1016" s="243">
        <v>202411</v>
      </c>
      <c r="AB1016" s="243"/>
      <c r="AC1016" s="244" t="s">
        <v>5210</v>
      </c>
      <c r="AD1016" s="244" t="s">
        <v>4987</v>
      </c>
      <c r="AE1016" s="245">
        <v>0.4</v>
      </c>
      <c r="AF1016" s="244" t="s">
        <v>4987</v>
      </c>
      <c r="AG1016" s="239" t="str">
        <f>IFERROR(VLOOKUP(작성용!A:A,RM!A:D,4,0),"-")</f>
        <v>-</v>
      </c>
      <c r="AH1016" s="9" t="s">
        <v>4771</v>
      </c>
      <c r="AI1016" s="235" t="s">
        <v>2</v>
      </c>
      <c r="AJ1016" s="235" t="s">
        <v>2</v>
      </c>
      <c r="AK1016" s="235" t="s">
        <v>5208</v>
      </c>
      <c r="AL1016" s="235">
        <v>1015</v>
      </c>
    </row>
    <row r="1017" spans="1:38" x14ac:dyDescent="0.3">
      <c r="A1017" s="229">
        <v>6000810</v>
      </c>
      <c r="B1017" s="229" t="s">
        <v>5942</v>
      </c>
      <c r="C1017" s="241" t="s">
        <v>4778</v>
      </c>
      <c r="D1017" s="237" t="s">
        <v>5994</v>
      </c>
      <c r="E1017" s="236">
        <v>1760110007078</v>
      </c>
      <c r="F1017" s="240" t="s">
        <v>4854</v>
      </c>
      <c r="G1017" s="242">
        <v>0</v>
      </c>
      <c r="H1017" s="231" t="s">
        <v>4771</v>
      </c>
      <c r="I1017" s="231"/>
      <c r="J1017" s="231"/>
      <c r="K1017" s="231"/>
      <c r="L1017" s="231"/>
      <c r="M1017" s="231"/>
      <c r="N1017" s="240" t="s">
        <v>5566</v>
      </c>
      <c r="O1017" s="225"/>
      <c r="P1017" s="225"/>
      <c r="Q1017" s="225"/>
      <c r="R1017" s="212" t="s">
        <v>2</v>
      </c>
      <c r="S1017" s="213" t="s">
        <v>4771</v>
      </c>
      <c r="T1017" s="233" t="s">
        <v>5949</v>
      </c>
      <c r="U1017" s="234" t="s">
        <v>5822</v>
      </c>
      <c r="V1017" s="234">
        <v>45632</v>
      </c>
      <c r="W1017" s="234" t="s">
        <v>4877</v>
      </c>
      <c r="X1017" s="234" t="s">
        <v>2</v>
      </c>
      <c r="Y1017" s="224"/>
      <c r="Z1017" s="224"/>
      <c r="AA1017" s="243">
        <v>202411</v>
      </c>
      <c r="AB1017" s="243"/>
      <c r="AC1017" s="244" t="s">
        <v>5210</v>
      </c>
      <c r="AD1017" s="244" t="s">
        <v>4982</v>
      </c>
      <c r="AE1017" s="245">
        <v>0</v>
      </c>
      <c r="AF1017" s="244" t="s">
        <v>4982</v>
      </c>
      <c r="AG1017" s="239" t="str">
        <f>IFERROR(VLOOKUP(작성용!A:A,RM!A:D,4,0),"-")</f>
        <v>-</v>
      </c>
      <c r="AH1017" s="9" t="s">
        <v>4771</v>
      </c>
      <c r="AI1017" s="235" t="s">
        <v>4771</v>
      </c>
      <c r="AJ1017" s="235" t="s">
        <v>4771</v>
      </c>
      <c r="AK1017" s="235" t="s">
        <v>5208</v>
      </c>
      <c r="AL1017" s="235">
        <v>1016</v>
      </c>
    </row>
    <row r="1018" spans="1:38" x14ac:dyDescent="0.3">
      <c r="A1018" s="222">
        <v>6000860</v>
      </c>
      <c r="B1018" s="222" t="s">
        <v>5928</v>
      </c>
      <c r="C1018" s="241" t="s">
        <v>4778</v>
      </c>
      <c r="D1018" s="237" t="s">
        <v>5995</v>
      </c>
      <c r="E1018" s="236">
        <v>1342110013469</v>
      </c>
      <c r="F1018" s="240" t="s">
        <v>4854</v>
      </c>
      <c r="G1018" s="242">
        <v>0</v>
      </c>
      <c r="H1018" s="223" t="s">
        <v>4771</v>
      </c>
      <c r="I1018" s="223"/>
      <c r="J1018" s="231"/>
      <c r="K1018" s="223"/>
      <c r="L1018" s="223"/>
      <c r="M1018" s="223"/>
      <c r="N1018" s="240" t="s">
        <v>5566</v>
      </c>
      <c r="O1018" s="225"/>
      <c r="P1018" s="225"/>
      <c r="Q1018" s="225"/>
      <c r="R1018" s="212" t="s">
        <v>2</v>
      </c>
      <c r="S1018" s="213" t="s">
        <v>4771</v>
      </c>
      <c r="T1018" s="233" t="s">
        <v>5949</v>
      </c>
      <c r="U1018" s="234" t="s">
        <v>5822</v>
      </c>
      <c r="V1018" s="234">
        <v>45632</v>
      </c>
      <c r="W1018" s="234" t="s">
        <v>4877</v>
      </c>
      <c r="X1018" s="234" t="s">
        <v>2</v>
      </c>
      <c r="Y1018" s="234"/>
      <c r="Z1018" s="234"/>
      <c r="AA1018" s="243">
        <v>202411</v>
      </c>
      <c r="AB1018" s="243"/>
      <c r="AC1018" s="244" t="s">
        <v>5210</v>
      </c>
      <c r="AD1018" s="244" t="s">
        <v>4935</v>
      </c>
      <c r="AE1018" s="245">
        <v>0.4</v>
      </c>
      <c r="AF1018" s="244" t="s">
        <v>4935</v>
      </c>
      <c r="AG1018" s="239" t="str">
        <f>IFERROR(VLOOKUP(작성용!A:A,RM!A:D,4,0),"-")</f>
        <v>-</v>
      </c>
      <c r="AH1018" s="9" t="s">
        <v>4771</v>
      </c>
      <c r="AI1018" s="235" t="s">
        <v>4771</v>
      </c>
      <c r="AJ1018" s="235" t="s">
        <v>4771</v>
      </c>
      <c r="AK1018" s="235" t="s">
        <v>5208</v>
      </c>
      <c r="AL1018" s="235">
        <v>1017</v>
      </c>
    </row>
    <row r="1019" spans="1:38" x14ac:dyDescent="0.3">
      <c r="A1019" s="222">
        <v>6000860</v>
      </c>
      <c r="B1019" s="222" t="s">
        <v>5928</v>
      </c>
      <c r="C1019" s="241" t="s">
        <v>4778</v>
      </c>
      <c r="D1019" s="237" t="s">
        <v>5995</v>
      </c>
      <c r="E1019" s="236">
        <v>1342110013469</v>
      </c>
      <c r="F1019" s="240" t="s">
        <v>4780</v>
      </c>
      <c r="G1019" s="242">
        <v>0</v>
      </c>
      <c r="H1019" s="223" t="s">
        <v>4771</v>
      </c>
      <c r="I1019" s="223"/>
      <c r="J1019" s="231"/>
      <c r="K1019" s="223"/>
      <c r="L1019" s="223"/>
      <c r="M1019" s="223"/>
      <c r="N1019" s="240" t="s">
        <v>5566</v>
      </c>
      <c r="O1019" s="225"/>
      <c r="P1019" s="225"/>
      <c r="Q1019" s="225"/>
      <c r="R1019" s="212" t="s">
        <v>2</v>
      </c>
      <c r="S1019" s="213" t="s">
        <v>4771</v>
      </c>
      <c r="T1019" s="233" t="s">
        <v>5949</v>
      </c>
      <c r="U1019" s="234" t="s">
        <v>5822</v>
      </c>
      <c r="V1019" s="234">
        <v>45632</v>
      </c>
      <c r="W1019" s="234" t="s">
        <v>4877</v>
      </c>
      <c r="X1019" s="234" t="s">
        <v>2</v>
      </c>
      <c r="Y1019" s="234"/>
      <c r="Z1019" s="234"/>
      <c r="AA1019" s="243">
        <v>202411</v>
      </c>
      <c r="AB1019" s="243"/>
      <c r="AC1019" s="244" t="s">
        <v>5210</v>
      </c>
      <c r="AD1019" s="244" t="s">
        <v>4935</v>
      </c>
      <c r="AE1019" s="245">
        <v>0</v>
      </c>
      <c r="AF1019" s="244" t="s">
        <v>4935</v>
      </c>
      <c r="AG1019" s="239" t="str">
        <f>IFERROR(VLOOKUP(작성용!A:A,RM!A:D,4,0),"-")</f>
        <v>-</v>
      </c>
      <c r="AH1019" s="9" t="s">
        <v>4771</v>
      </c>
      <c r="AI1019" s="235" t="s">
        <v>4771</v>
      </c>
      <c r="AJ1019" s="235" t="s">
        <v>4771</v>
      </c>
      <c r="AK1019" s="235" t="s">
        <v>5208</v>
      </c>
      <c r="AL1019" s="235">
        <v>1018</v>
      </c>
    </row>
    <row r="1020" spans="1:38" x14ac:dyDescent="0.3">
      <c r="A1020" s="222">
        <v>6000874</v>
      </c>
      <c r="B1020" s="222" t="s">
        <v>5936</v>
      </c>
      <c r="C1020" s="241" t="s">
        <v>4778</v>
      </c>
      <c r="D1020" s="237" t="s">
        <v>5996</v>
      </c>
      <c r="E1020" s="236">
        <v>1341110165915</v>
      </c>
      <c r="F1020" s="240" t="s">
        <v>4850</v>
      </c>
      <c r="G1020" s="242">
        <v>0</v>
      </c>
      <c r="H1020" s="223" t="s">
        <v>4771</v>
      </c>
      <c r="I1020" s="223"/>
      <c r="J1020" s="231"/>
      <c r="K1020" s="223"/>
      <c r="L1020" s="223"/>
      <c r="M1020" s="223"/>
      <c r="N1020" s="240" t="s">
        <v>5566</v>
      </c>
      <c r="O1020" s="225"/>
      <c r="P1020" s="225"/>
      <c r="Q1020" s="225"/>
      <c r="R1020" s="212" t="s">
        <v>2</v>
      </c>
      <c r="S1020" s="213" t="s">
        <v>4771</v>
      </c>
      <c r="T1020" s="233" t="s">
        <v>5949</v>
      </c>
      <c r="U1020" s="234" t="s">
        <v>5822</v>
      </c>
      <c r="V1020" s="234">
        <v>45632</v>
      </c>
      <c r="W1020" s="234" t="s">
        <v>4877</v>
      </c>
      <c r="X1020" s="234" t="s">
        <v>2</v>
      </c>
      <c r="Y1020" s="224"/>
      <c r="Z1020" s="224"/>
      <c r="AA1020" s="243">
        <v>202411</v>
      </c>
      <c r="AB1020" s="243"/>
      <c r="AC1020" s="244" t="s">
        <v>5210</v>
      </c>
      <c r="AD1020" s="244" t="s">
        <v>4897</v>
      </c>
      <c r="AE1020" s="245">
        <v>0.4</v>
      </c>
      <c r="AF1020" s="244" t="s">
        <v>4897</v>
      </c>
      <c r="AG1020" s="239" t="str">
        <f>IFERROR(VLOOKUP(작성용!A:A,RM!A:D,4,0),"-")</f>
        <v>-</v>
      </c>
      <c r="AH1020" s="9" t="s">
        <v>4771</v>
      </c>
      <c r="AI1020" s="235" t="s">
        <v>2</v>
      </c>
      <c r="AJ1020" s="235" t="s">
        <v>2</v>
      </c>
      <c r="AK1020" s="235" t="s">
        <v>5208</v>
      </c>
      <c r="AL1020" s="235">
        <v>1019</v>
      </c>
    </row>
    <row r="1021" spans="1:38" x14ac:dyDescent="0.3">
      <c r="A1021" s="229">
        <v>6000875</v>
      </c>
      <c r="B1021" s="229" t="s">
        <v>5944</v>
      </c>
      <c r="C1021" s="241" t="s">
        <v>4778</v>
      </c>
      <c r="D1021" s="237" t="s">
        <v>5997</v>
      </c>
      <c r="E1021" s="236">
        <v>1501110007092</v>
      </c>
      <c r="F1021" s="240" t="s">
        <v>4854</v>
      </c>
      <c r="G1021" s="242">
        <v>0</v>
      </c>
      <c r="H1021" s="231" t="s">
        <v>4771</v>
      </c>
      <c r="I1021" s="231"/>
      <c r="J1021" s="231"/>
      <c r="K1021" s="231"/>
      <c r="L1021" s="231"/>
      <c r="M1021" s="231"/>
      <c r="N1021" s="240" t="s">
        <v>5566</v>
      </c>
      <c r="O1021" s="225"/>
      <c r="P1021" s="225"/>
      <c r="Q1021" s="225"/>
      <c r="R1021" s="212" t="s">
        <v>2</v>
      </c>
      <c r="S1021" s="212" t="s">
        <v>4771</v>
      </c>
      <c r="T1021" s="233" t="s">
        <v>5949</v>
      </c>
      <c r="U1021" s="234" t="s">
        <v>5822</v>
      </c>
      <c r="V1021" s="234">
        <v>45632</v>
      </c>
      <c r="W1021" s="234" t="s">
        <v>4877</v>
      </c>
      <c r="X1021" s="234" t="s">
        <v>2</v>
      </c>
      <c r="Y1021" s="224"/>
      <c r="Z1021" s="224"/>
      <c r="AA1021" s="243">
        <v>202411</v>
      </c>
      <c r="AB1021" s="243"/>
      <c r="AC1021" s="244" t="s">
        <v>5210</v>
      </c>
      <c r="AD1021" s="244" t="s">
        <v>4897</v>
      </c>
      <c r="AE1021" s="245">
        <v>0</v>
      </c>
      <c r="AF1021" s="244" t="s">
        <v>4897</v>
      </c>
      <c r="AG1021" s="239" t="str">
        <f>IFERROR(VLOOKUP(작성용!A:A,RM!A:D,4,0),"-")</f>
        <v>-</v>
      </c>
      <c r="AH1021" s="9" t="s">
        <v>4771</v>
      </c>
      <c r="AI1021" s="235" t="s">
        <v>4771</v>
      </c>
      <c r="AJ1021" s="235" t="s">
        <v>4771</v>
      </c>
      <c r="AK1021" s="235" t="s">
        <v>5208</v>
      </c>
      <c r="AL1021" s="235">
        <v>1020</v>
      </c>
    </row>
    <row r="1022" spans="1:38" x14ac:dyDescent="0.3">
      <c r="A1022" s="229">
        <v>6000875</v>
      </c>
      <c r="B1022" s="229" t="s">
        <v>5944</v>
      </c>
      <c r="C1022" s="241" t="s">
        <v>4778</v>
      </c>
      <c r="D1022" s="237" t="s">
        <v>5998</v>
      </c>
      <c r="E1022" s="236">
        <v>1101112324252</v>
      </c>
      <c r="F1022" s="240" t="s">
        <v>4854</v>
      </c>
      <c r="G1022" s="242">
        <v>0</v>
      </c>
      <c r="H1022" s="231" t="s">
        <v>4771</v>
      </c>
      <c r="I1022" s="231"/>
      <c r="J1022" s="231"/>
      <c r="K1022" s="231"/>
      <c r="L1022" s="231"/>
      <c r="M1022" s="231"/>
      <c r="N1022" s="240" t="s">
        <v>5566</v>
      </c>
      <c r="O1022" s="225"/>
      <c r="P1022" s="225"/>
      <c r="Q1022" s="225"/>
      <c r="R1022" s="212" t="s">
        <v>2</v>
      </c>
      <c r="S1022" s="212" t="s">
        <v>4771</v>
      </c>
      <c r="T1022" s="233" t="s">
        <v>5949</v>
      </c>
      <c r="U1022" s="234" t="s">
        <v>5822</v>
      </c>
      <c r="V1022" s="234">
        <v>45632</v>
      </c>
      <c r="W1022" s="234" t="s">
        <v>4877</v>
      </c>
      <c r="X1022" s="234" t="s">
        <v>2</v>
      </c>
      <c r="Y1022" s="224"/>
      <c r="Z1022" s="224"/>
      <c r="AA1022" s="243">
        <v>202411</v>
      </c>
      <c r="AB1022" s="243"/>
      <c r="AC1022" s="244" t="s">
        <v>5210</v>
      </c>
      <c r="AD1022" s="244" t="s">
        <v>4987</v>
      </c>
      <c r="AE1022" s="245">
        <v>0</v>
      </c>
      <c r="AF1022" s="244" t="s">
        <v>4987</v>
      </c>
      <c r="AG1022" s="239" t="str">
        <f>IFERROR(VLOOKUP(작성용!A:A,RM!A:D,4,0),"-")</f>
        <v>-</v>
      </c>
      <c r="AH1022" s="9" t="s">
        <v>4771</v>
      </c>
      <c r="AI1022" s="235" t="s">
        <v>4771</v>
      </c>
      <c r="AJ1022" s="235" t="s">
        <v>4771</v>
      </c>
      <c r="AK1022" s="235" t="s">
        <v>5208</v>
      </c>
      <c r="AL1022" s="235">
        <v>1021</v>
      </c>
    </row>
    <row r="1023" spans="1:38" x14ac:dyDescent="0.3">
      <c r="A1023" s="222">
        <v>6000876</v>
      </c>
      <c r="B1023" s="222" t="s">
        <v>4743</v>
      </c>
      <c r="C1023" s="241" t="s">
        <v>4778</v>
      </c>
      <c r="D1023" s="237" t="s">
        <v>5999</v>
      </c>
      <c r="E1023" s="236">
        <v>1101111349532</v>
      </c>
      <c r="F1023" s="240" t="s">
        <v>4854</v>
      </c>
      <c r="G1023" s="242">
        <v>0</v>
      </c>
      <c r="H1023" s="223" t="s">
        <v>4771</v>
      </c>
      <c r="I1023" s="223"/>
      <c r="J1023" s="231"/>
      <c r="K1023" s="223"/>
      <c r="L1023" s="223"/>
      <c r="M1023" s="223"/>
      <c r="N1023" s="240" t="s">
        <v>5566</v>
      </c>
      <c r="O1023" s="225"/>
      <c r="P1023" s="225"/>
      <c r="Q1023" s="225"/>
      <c r="R1023" s="212" t="s">
        <v>2</v>
      </c>
      <c r="S1023" s="212" t="s">
        <v>4771</v>
      </c>
      <c r="T1023" s="233" t="s">
        <v>5949</v>
      </c>
      <c r="U1023" s="234" t="s">
        <v>5822</v>
      </c>
      <c r="V1023" s="234">
        <v>45632</v>
      </c>
      <c r="W1023" s="234" t="s">
        <v>4877</v>
      </c>
      <c r="X1023" s="234" t="s">
        <v>2</v>
      </c>
      <c r="Y1023" s="224"/>
      <c r="Z1023" s="224"/>
      <c r="AA1023" s="243">
        <v>202411</v>
      </c>
      <c r="AB1023" s="243"/>
      <c r="AC1023" s="244" t="s">
        <v>5210</v>
      </c>
      <c r="AD1023" s="244" t="s">
        <v>4915</v>
      </c>
      <c r="AE1023" s="245">
        <v>0.4</v>
      </c>
      <c r="AF1023" s="244" t="s">
        <v>4915</v>
      </c>
      <c r="AG1023" s="239" t="str">
        <f>IFERROR(VLOOKUP(작성용!A:A,RM!A:D,4,0),"-")</f>
        <v>-</v>
      </c>
      <c r="AH1023" s="9" t="s">
        <v>4771</v>
      </c>
      <c r="AI1023" s="235" t="s">
        <v>2</v>
      </c>
      <c r="AJ1023" s="235" t="s">
        <v>2</v>
      </c>
      <c r="AK1023" s="235" t="s">
        <v>5208</v>
      </c>
      <c r="AL1023" s="235">
        <v>1022</v>
      </c>
    </row>
    <row r="1024" spans="1:38" x14ac:dyDescent="0.3">
      <c r="A1024" s="229">
        <v>6000892</v>
      </c>
      <c r="B1024" s="229" t="s">
        <v>4744</v>
      </c>
      <c r="C1024" s="241" t="s">
        <v>4778</v>
      </c>
      <c r="D1024" s="237" t="s">
        <v>6000</v>
      </c>
      <c r="E1024" s="236">
        <v>1311110713064</v>
      </c>
      <c r="F1024" s="240" t="s">
        <v>4850</v>
      </c>
      <c r="G1024" s="242">
        <v>0</v>
      </c>
      <c r="H1024" s="231" t="s">
        <v>4771</v>
      </c>
      <c r="I1024" s="231"/>
      <c r="J1024" s="231"/>
      <c r="K1024" s="231"/>
      <c r="L1024" s="231"/>
      <c r="M1024" s="231"/>
      <c r="N1024" s="230" t="s">
        <v>5566</v>
      </c>
      <c r="O1024" s="225"/>
      <c r="P1024" s="225"/>
      <c r="Q1024" s="225"/>
      <c r="R1024" s="212" t="s">
        <v>2</v>
      </c>
      <c r="S1024" s="212" t="s">
        <v>4771</v>
      </c>
      <c r="T1024" s="233" t="s">
        <v>5949</v>
      </c>
      <c r="U1024" s="234" t="s">
        <v>5822</v>
      </c>
      <c r="V1024" s="234">
        <v>45632</v>
      </c>
      <c r="W1024" s="234" t="s">
        <v>4877</v>
      </c>
      <c r="X1024" s="234" t="s">
        <v>2</v>
      </c>
      <c r="Y1024" s="224"/>
      <c r="Z1024" s="224"/>
      <c r="AA1024" s="243">
        <v>202411</v>
      </c>
      <c r="AB1024" s="243"/>
      <c r="AC1024" s="244" t="s">
        <v>5210</v>
      </c>
      <c r="AD1024" s="244" t="s">
        <v>4823</v>
      </c>
      <c r="AE1024" s="245">
        <v>0</v>
      </c>
      <c r="AF1024" s="244" t="s">
        <v>4823</v>
      </c>
      <c r="AG1024" s="239" t="str">
        <f>IFERROR(VLOOKUP(작성용!A:A,RM!A:D,4,0),"-")</f>
        <v>-</v>
      </c>
      <c r="AH1024" s="9" t="s">
        <v>4771</v>
      </c>
      <c r="AI1024" s="235" t="s">
        <v>6001</v>
      </c>
      <c r="AJ1024" s="235" t="s">
        <v>4771</v>
      </c>
      <c r="AK1024" s="235" t="s">
        <v>5208</v>
      </c>
      <c r="AL1024" s="235">
        <v>1023</v>
      </c>
    </row>
    <row r="1025" spans="1:38" x14ac:dyDescent="0.3">
      <c r="A1025" s="222" t="s">
        <v>3204</v>
      </c>
      <c r="B1025" s="222" t="s">
        <v>6002</v>
      </c>
      <c r="C1025" s="241" t="s">
        <v>4778</v>
      </c>
      <c r="D1025" s="237" t="s">
        <v>6003</v>
      </c>
      <c r="E1025" s="236">
        <v>1812110007663</v>
      </c>
      <c r="F1025" s="240" t="s">
        <v>4854</v>
      </c>
      <c r="G1025" s="242">
        <v>0</v>
      </c>
      <c r="H1025" s="223" t="s">
        <v>4771</v>
      </c>
      <c r="I1025" s="223"/>
      <c r="J1025" s="223"/>
      <c r="K1025" s="223"/>
      <c r="L1025" s="223"/>
      <c r="M1025" s="223"/>
      <c r="N1025" s="240" t="s">
        <v>4972</v>
      </c>
      <c r="O1025" s="240" t="s">
        <v>6004</v>
      </c>
      <c r="P1025" s="240" t="s">
        <v>6005</v>
      </c>
      <c r="Q1025" s="225" t="s">
        <v>6006</v>
      </c>
      <c r="R1025" s="250" t="s">
        <v>4771</v>
      </c>
      <c r="S1025" s="250" t="s">
        <v>4771</v>
      </c>
      <c r="T1025" s="233">
        <v>45594</v>
      </c>
      <c r="U1025" s="234" t="s">
        <v>4772</v>
      </c>
      <c r="V1025" s="234">
        <v>45663</v>
      </c>
      <c r="W1025" s="234">
        <v>45663</v>
      </c>
      <c r="X1025" s="234" t="s">
        <v>2</v>
      </c>
      <c r="Y1025" s="234"/>
      <c r="Z1025" s="234" t="s">
        <v>6007</v>
      </c>
      <c r="AA1025" s="243">
        <v>202412</v>
      </c>
      <c r="AB1025" s="243"/>
      <c r="AC1025" s="244" t="s">
        <v>4998</v>
      </c>
      <c r="AD1025" s="244" t="s">
        <v>4927</v>
      </c>
      <c r="AE1025" s="245">
        <v>0</v>
      </c>
      <c r="AF1025" s="244" t="s">
        <v>4927</v>
      </c>
      <c r="AG1025" s="239" t="str">
        <f>IFERROR(VLOOKUP(작성용!A:A,RM!A:D,4,0),"-")</f>
        <v>김예림</v>
      </c>
      <c r="AH1025" s="9" t="s">
        <v>4927</v>
      </c>
      <c r="AI1025" s="235" t="s">
        <v>4771</v>
      </c>
      <c r="AJ1025" s="235" t="s">
        <v>4776</v>
      </c>
      <c r="AK1025" s="235" t="s">
        <v>4128</v>
      </c>
      <c r="AL1025" s="235">
        <v>1024</v>
      </c>
    </row>
    <row r="1026" spans="1:38" x14ac:dyDescent="0.3">
      <c r="A1026" s="222" t="s">
        <v>769</v>
      </c>
      <c r="B1026" s="222" t="s">
        <v>770</v>
      </c>
      <c r="C1026" s="241" t="s">
        <v>4778</v>
      </c>
      <c r="D1026" s="237" t="s">
        <v>6008</v>
      </c>
      <c r="E1026" s="236" t="s">
        <v>4746</v>
      </c>
      <c r="F1026" s="240" t="s">
        <v>4854</v>
      </c>
      <c r="G1026" s="242">
        <v>0</v>
      </c>
      <c r="H1026" s="223" t="s">
        <v>4837</v>
      </c>
      <c r="I1026" s="223"/>
      <c r="J1026" s="223"/>
      <c r="K1026" s="223"/>
      <c r="L1026" s="223"/>
      <c r="M1026" s="223"/>
      <c r="N1026" s="240" t="s">
        <v>4972</v>
      </c>
      <c r="O1026" s="240" t="s">
        <v>6009</v>
      </c>
      <c r="P1026" s="240" t="s">
        <v>6010</v>
      </c>
      <c r="Q1026" s="240" t="s">
        <v>6011</v>
      </c>
      <c r="R1026" s="250" t="s">
        <v>4771</v>
      </c>
      <c r="S1026" s="250" t="s">
        <v>4771</v>
      </c>
      <c r="T1026" s="233">
        <v>45594</v>
      </c>
      <c r="U1026" s="234" t="s">
        <v>4772</v>
      </c>
      <c r="V1026" s="234">
        <v>45663</v>
      </c>
      <c r="W1026" s="234">
        <v>45670</v>
      </c>
      <c r="X1026" s="234" t="s">
        <v>2</v>
      </c>
      <c r="Y1026" s="234"/>
      <c r="Z1026" s="234" t="s">
        <v>6012</v>
      </c>
      <c r="AA1026" s="243">
        <v>202412</v>
      </c>
      <c r="AB1026" s="243"/>
      <c r="AC1026" s="244" t="s">
        <v>5051</v>
      </c>
      <c r="AD1026" s="244" t="s">
        <v>4860</v>
      </c>
      <c r="AE1026" s="245">
        <v>1</v>
      </c>
      <c r="AF1026" s="244" t="s">
        <v>4860</v>
      </c>
      <c r="AG1026" s="239" t="str">
        <f>IFERROR(VLOOKUP(작성용!A:A,RM!A:D,4,0),"-")</f>
        <v>강승현</v>
      </c>
      <c r="AH1026" s="9" t="s">
        <v>4860</v>
      </c>
      <c r="AI1026" s="235" t="s">
        <v>4771</v>
      </c>
      <c r="AJ1026" s="235" t="s">
        <v>4776</v>
      </c>
      <c r="AK1026" s="235" t="s">
        <v>4777</v>
      </c>
      <c r="AL1026" s="235">
        <v>1025</v>
      </c>
    </row>
    <row r="1027" spans="1:38" x14ac:dyDescent="0.3">
      <c r="A1027" s="229" t="s">
        <v>2441</v>
      </c>
      <c r="B1027" s="229" t="s">
        <v>4888</v>
      </c>
      <c r="C1027" s="249" t="s">
        <v>4762</v>
      </c>
      <c r="D1027" s="237" t="s">
        <v>6013</v>
      </c>
      <c r="E1027" s="236">
        <v>1101116635639</v>
      </c>
      <c r="F1027" s="240" t="s">
        <v>4854</v>
      </c>
      <c r="G1027" s="214">
        <v>0</v>
      </c>
      <c r="H1027" s="231" t="s">
        <v>4771</v>
      </c>
      <c r="I1027" s="231"/>
      <c r="J1027" s="231"/>
      <c r="K1027" s="231"/>
      <c r="L1027" s="231"/>
      <c r="M1027" s="231"/>
      <c r="N1027" s="230" t="s">
        <v>4895</v>
      </c>
      <c r="O1027" s="230" t="s">
        <v>4747</v>
      </c>
      <c r="P1027" s="230" t="s">
        <v>6014</v>
      </c>
      <c r="Q1027" s="230" t="s">
        <v>6015</v>
      </c>
      <c r="R1027" s="232" t="s">
        <v>4771</v>
      </c>
      <c r="S1027" s="232" t="s">
        <v>4771</v>
      </c>
      <c r="T1027" s="233">
        <v>45594</v>
      </c>
      <c r="U1027" s="234" t="s">
        <v>4759</v>
      </c>
      <c r="V1027" s="234">
        <v>45616</v>
      </c>
      <c r="W1027" s="234">
        <v>45624</v>
      </c>
      <c r="X1027" s="234" t="s">
        <v>2</v>
      </c>
      <c r="Y1027" s="234"/>
      <c r="Z1027" s="234" t="s">
        <v>4748</v>
      </c>
      <c r="AA1027" s="243">
        <v>202411</v>
      </c>
      <c r="AB1027" s="243"/>
      <c r="AC1027" s="244" t="s">
        <v>4760</v>
      </c>
      <c r="AD1027" s="244" t="s">
        <v>4945</v>
      </c>
      <c r="AE1027" s="245">
        <v>1</v>
      </c>
      <c r="AF1027" s="244" t="s">
        <v>4762</v>
      </c>
      <c r="AG1027" s="239" t="str">
        <f>IFERROR(VLOOKUP(작성용!A:A,RM!A:D,4,0),"-")</f>
        <v>강승현</v>
      </c>
      <c r="AH1027" s="9" t="s">
        <v>4860</v>
      </c>
      <c r="AI1027" s="235" t="s">
        <v>6255</v>
      </c>
      <c r="AJ1027" s="235" t="s">
        <v>6016</v>
      </c>
      <c r="AK1027" s="235" t="s">
        <v>4128</v>
      </c>
      <c r="AL1027" s="235">
        <v>1026</v>
      </c>
    </row>
    <row r="1028" spans="1:38" x14ac:dyDescent="0.3">
      <c r="A1028" s="229" t="s">
        <v>2441</v>
      </c>
      <c r="B1028" s="229" t="s">
        <v>4888</v>
      </c>
      <c r="C1028" s="249" t="s">
        <v>4762</v>
      </c>
      <c r="D1028" s="237" t="s">
        <v>6017</v>
      </c>
      <c r="E1028" s="236">
        <v>1101118207767</v>
      </c>
      <c r="F1028" s="240" t="s">
        <v>4854</v>
      </c>
      <c r="G1028" s="214">
        <v>0</v>
      </c>
      <c r="H1028" s="231" t="s">
        <v>4771</v>
      </c>
      <c r="I1028" s="231"/>
      <c r="J1028" s="231"/>
      <c r="K1028" s="231"/>
      <c r="L1028" s="231"/>
      <c r="M1028" s="231"/>
      <c r="N1028" s="230" t="s">
        <v>4895</v>
      </c>
      <c r="O1028" s="230" t="s">
        <v>4747</v>
      </c>
      <c r="P1028" s="230" t="s">
        <v>6014</v>
      </c>
      <c r="Q1028" s="230" t="s">
        <v>6015</v>
      </c>
      <c r="R1028" s="232" t="s">
        <v>4771</v>
      </c>
      <c r="S1028" s="232" t="s">
        <v>4771</v>
      </c>
      <c r="T1028" s="233">
        <v>45594</v>
      </c>
      <c r="U1028" s="234" t="s">
        <v>4759</v>
      </c>
      <c r="V1028" s="234">
        <v>45616</v>
      </c>
      <c r="W1028" s="234">
        <v>45624</v>
      </c>
      <c r="X1028" s="234" t="s">
        <v>2</v>
      </c>
      <c r="Y1028" s="234"/>
      <c r="Z1028" s="234" t="s">
        <v>4748</v>
      </c>
      <c r="AA1028" s="243">
        <v>202411</v>
      </c>
      <c r="AB1028" s="243"/>
      <c r="AC1028" s="244" t="s">
        <v>4760</v>
      </c>
      <c r="AD1028" s="244" t="s">
        <v>3757</v>
      </c>
      <c r="AE1028" s="245">
        <v>1</v>
      </c>
      <c r="AF1028" s="244" t="s">
        <v>3757</v>
      </c>
      <c r="AG1028" s="239" t="str">
        <f>IFERROR(VLOOKUP(작성용!A:A,RM!A:D,4,0),"-")</f>
        <v>강승현</v>
      </c>
      <c r="AH1028" s="9" t="s">
        <v>4860</v>
      </c>
      <c r="AI1028" s="235" t="s">
        <v>6255</v>
      </c>
      <c r="AJ1028" s="235" t="s">
        <v>6016</v>
      </c>
      <c r="AK1028" s="235" t="s">
        <v>4128</v>
      </c>
      <c r="AL1028" s="235">
        <v>1027</v>
      </c>
    </row>
    <row r="1029" spans="1:38" x14ac:dyDescent="0.3">
      <c r="A1029" s="229" t="s">
        <v>2441</v>
      </c>
      <c r="B1029" s="229" t="s">
        <v>4888</v>
      </c>
      <c r="C1029" s="249" t="s">
        <v>4762</v>
      </c>
      <c r="D1029" s="237" t="s">
        <v>6018</v>
      </c>
      <c r="E1029" s="236">
        <v>1101111531303</v>
      </c>
      <c r="F1029" s="240" t="s">
        <v>4854</v>
      </c>
      <c r="G1029" s="214">
        <v>0</v>
      </c>
      <c r="H1029" s="231" t="s">
        <v>4771</v>
      </c>
      <c r="I1029" s="231"/>
      <c r="J1029" s="231"/>
      <c r="K1029" s="231"/>
      <c r="L1029" s="231"/>
      <c r="M1029" s="231"/>
      <c r="N1029" s="230" t="s">
        <v>4895</v>
      </c>
      <c r="O1029" s="230" t="s">
        <v>4747</v>
      </c>
      <c r="P1029" s="230" t="s">
        <v>6014</v>
      </c>
      <c r="Q1029" s="230" t="s">
        <v>6015</v>
      </c>
      <c r="R1029" s="232" t="s">
        <v>4771</v>
      </c>
      <c r="S1029" s="232" t="s">
        <v>4771</v>
      </c>
      <c r="T1029" s="233">
        <v>45594</v>
      </c>
      <c r="U1029" s="234" t="s">
        <v>4759</v>
      </c>
      <c r="V1029" s="234">
        <v>45616</v>
      </c>
      <c r="W1029" s="234">
        <v>45624</v>
      </c>
      <c r="X1029" s="234" t="s">
        <v>2</v>
      </c>
      <c r="Y1029" s="234"/>
      <c r="Z1029" s="234" t="s">
        <v>4748</v>
      </c>
      <c r="AA1029" s="243">
        <v>202411</v>
      </c>
      <c r="AB1029" s="243"/>
      <c r="AC1029" s="244" t="s">
        <v>4760</v>
      </c>
      <c r="AD1029" s="244" t="s">
        <v>4823</v>
      </c>
      <c r="AE1029" s="245">
        <v>1</v>
      </c>
      <c r="AF1029" s="244" t="s">
        <v>4762</v>
      </c>
      <c r="AG1029" s="239" t="str">
        <f>IFERROR(VLOOKUP(작성용!A:A,RM!A:D,4,0),"-")</f>
        <v>강승현</v>
      </c>
      <c r="AH1029" s="9" t="s">
        <v>4860</v>
      </c>
      <c r="AI1029" s="235" t="s">
        <v>6255</v>
      </c>
      <c r="AJ1029" s="235" t="s">
        <v>6016</v>
      </c>
      <c r="AK1029" s="235" t="s">
        <v>4128</v>
      </c>
      <c r="AL1029" s="235">
        <v>1028</v>
      </c>
    </row>
    <row r="1030" spans="1:38" x14ac:dyDescent="0.3">
      <c r="A1030" s="229" t="s">
        <v>2441</v>
      </c>
      <c r="B1030" s="229" t="s">
        <v>4888</v>
      </c>
      <c r="C1030" s="249" t="s">
        <v>4762</v>
      </c>
      <c r="D1030" s="237" t="s">
        <v>4893</v>
      </c>
      <c r="E1030" s="236">
        <v>1101117412862</v>
      </c>
      <c r="F1030" s="240" t="s">
        <v>4850</v>
      </c>
      <c r="G1030" s="214">
        <v>77</v>
      </c>
      <c r="H1030" s="231" t="s">
        <v>4771</v>
      </c>
      <c r="I1030" s="231"/>
      <c r="J1030" s="231"/>
      <c r="K1030" s="231"/>
      <c r="L1030" s="231"/>
      <c r="M1030" s="231"/>
      <c r="N1030" s="230" t="s">
        <v>4895</v>
      </c>
      <c r="O1030" s="230" t="s">
        <v>4747</v>
      </c>
      <c r="P1030" s="230" t="s">
        <v>6014</v>
      </c>
      <c r="Q1030" s="230" t="s">
        <v>6015</v>
      </c>
      <c r="R1030" s="232" t="s">
        <v>4771</v>
      </c>
      <c r="S1030" s="232" t="s">
        <v>4771</v>
      </c>
      <c r="T1030" s="233">
        <v>45594</v>
      </c>
      <c r="U1030" s="234" t="s">
        <v>4759</v>
      </c>
      <c r="V1030" s="234">
        <v>45616</v>
      </c>
      <c r="W1030" s="234">
        <v>45624</v>
      </c>
      <c r="X1030" s="234" t="s">
        <v>2</v>
      </c>
      <c r="Y1030" s="234"/>
      <c r="Z1030" s="234" t="s">
        <v>4748</v>
      </c>
      <c r="AA1030" s="243">
        <v>202411</v>
      </c>
      <c r="AB1030" s="243"/>
      <c r="AC1030" s="244" t="s">
        <v>4760</v>
      </c>
      <c r="AD1030" s="244" t="s">
        <v>3716</v>
      </c>
      <c r="AE1030" s="245">
        <v>0</v>
      </c>
      <c r="AF1030" s="244" t="s">
        <v>3716</v>
      </c>
      <c r="AG1030" s="239" t="str">
        <f>IFERROR(VLOOKUP(작성용!A:A,RM!A:D,4,0),"-")</f>
        <v>강승현</v>
      </c>
      <c r="AH1030" s="9" t="s">
        <v>4860</v>
      </c>
      <c r="AI1030" s="235" t="s">
        <v>6255</v>
      </c>
      <c r="AJ1030" s="235" t="s">
        <v>6016</v>
      </c>
      <c r="AK1030" s="235" t="s">
        <v>4128</v>
      </c>
      <c r="AL1030" s="235">
        <v>1029</v>
      </c>
    </row>
    <row r="1031" spans="1:38" x14ac:dyDescent="0.3">
      <c r="A1031" s="229" t="s">
        <v>2441</v>
      </c>
      <c r="B1031" s="229" t="s">
        <v>4888</v>
      </c>
      <c r="C1031" s="249" t="s">
        <v>4762</v>
      </c>
      <c r="D1031" s="237" t="s">
        <v>6019</v>
      </c>
      <c r="E1031" s="236">
        <v>1101118172704</v>
      </c>
      <c r="F1031" s="240" t="s">
        <v>4854</v>
      </c>
      <c r="G1031" s="214">
        <v>0</v>
      </c>
      <c r="H1031" s="231" t="s">
        <v>4771</v>
      </c>
      <c r="I1031" s="231"/>
      <c r="J1031" s="231"/>
      <c r="K1031" s="231"/>
      <c r="L1031" s="231"/>
      <c r="M1031" s="231"/>
      <c r="N1031" s="230" t="s">
        <v>4895</v>
      </c>
      <c r="O1031" s="230" t="s">
        <v>4747</v>
      </c>
      <c r="P1031" s="230" t="s">
        <v>6014</v>
      </c>
      <c r="Q1031" s="230" t="s">
        <v>6015</v>
      </c>
      <c r="R1031" s="232" t="s">
        <v>4771</v>
      </c>
      <c r="S1031" s="232" t="s">
        <v>4771</v>
      </c>
      <c r="T1031" s="233">
        <v>45594</v>
      </c>
      <c r="U1031" s="234" t="s">
        <v>4759</v>
      </c>
      <c r="V1031" s="234">
        <v>45616</v>
      </c>
      <c r="W1031" s="234">
        <v>45624</v>
      </c>
      <c r="X1031" s="234" t="s">
        <v>2</v>
      </c>
      <c r="Y1031" s="234"/>
      <c r="Z1031" s="234" t="s">
        <v>4748</v>
      </c>
      <c r="AA1031" s="243">
        <v>202411</v>
      </c>
      <c r="AB1031" s="243"/>
      <c r="AC1031" s="244" t="s">
        <v>4760</v>
      </c>
      <c r="AD1031" s="244" t="s">
        <v>4846</v>
      </c>
      <c r="AE1031" s="245">
        <v>1</v>
      </c>
      <c r="AF1031" s="244" t="s">
        <v>4762</v>
      </c>
      <c r="AG1031" s="239" t="str">
        <f>IFERROR(VLOOKUP(작성용!A:A,RM!A:D,4,0),"-")</f>
        <v>강승현</v>
      </c>
      <c r="AH1031" s="9" t="s">
        <v>4860</v>
      </c>
      <c r="AI1031" s="235" t="s">
        <v>6255</v>
      </c>
      <c r="AJ1031" s="235" t="s">
        <v>6016</v>
      </c>
      <c r="AK1031" s="235" t="s">
        <v>4128</v>
      </c>
      <c r="AL1031" s="235">
        <v>1030</v>
      </c>
    </row>
    <row r="1032" spans="1:38" x14ac:dyDescent="0.3">
      <c r="A1032" s="229" t="s">
        <v>2441</v>
      </c>
      <c r="B1032" s="229" t="s">
        <v>4888</v>
      </c>
      <c r="C1032" s="249" t="s">
        <v>4762</v>
      </c>
      <c r="D1032" s="237" t="s">
        <v>6020</v>
      </c>
      <c r="E1032" s="236">
        <v>1101118404321</v>
      </c>
      <c r="F1032" s="240" t="s">
        <v>4854</v>
      </c>
      <c r="G1032" s="214">
        <v>0</v>
      </c>
      <c r="H1032" s="231" t="s">
        <v>4771</v>
      </c>
      <c r="I1032" s="231"/>
      <c r="J1032" s="231"/>
      <c r="K1032" s="231"/>
      <c r="L1032" s="231"/>
      <c r="M1032" s="231"/>
      <c r="N1032" s="230" t="s">
        <v>4895</v>
      </c>
      <c r="O1032" s="230" t="s">
        <v>4747</v>
      </c>
      <c r="P1032" s="230" t="s">
        <v>6014</v>
      </c>
      <c r="Q1032" s="230" t="s">
        <v>6015</v>
      </c>
      <c r="R1032" s="232" t="s">
        <v>4771</v>
      </c>
      <c r="S1032" s="232" t="s">
        <v>4771</v>
      </c>
      <c r="T1032" s="233">
        <v>45594</v>
      </c>
      <c r="U1032" s="234" t="s">
        <v>4759</v>
      </c>
      <c r="V1032" s="234">
        <v>45616</v>
      </c>
      <c r="W1032" s="234">
        <v>45624</v>
      </c>
      <c r="X1032" s="234" t="s">
        <v>2</v>
      </c>
      <c r="Y1032" s="234"/>
      <c r="Z1032" s="234" t="s">
        <v>4748</v>
      </c>
      <c r="AA1032" s="243">
        <v>202411</v>
      </c>
      <c r="AB1032" s="243"/>
      <c r="AC1032" s="244" t="s">
        <v>4760</v>
      </c>
      <c r="AD1032" s="244" t="s">
        <v>4935</v>
      </c>
      <c r="AE1032" s="245">
        <v>1</v>
      </c>
      <c r="AF1032" s="244" t="s">
        <v>4762</v>
      </c>
      <c r="AG1032" s="239" t="str">
        <f>IFERROR(VLOOKUP(작성용!A:A,RM!A:D,4,0),"-")</f>
        <v>강승현</v>
      </c>
      <c r="AH1032" s="9" t="s">
        <v>4860</v>
      </c>
      <c r="AI1032" s="235" t="s">
        <v>6255</v>
      </c>
      <c r="AJ1032" s="235" t="s">
        <v>6016</v>
      </c>
      <c r="AK1032" s="235" t="s">
        <v>4128</v>
      </c>
      <c r="AL1032" s="235">
        <v>1031</v>
      </c>
    </row>
    <row r="1033" spans="1:38" x14ac:dyDescent="0.3">
      <c r="A1033" s="222" t="s">
        <v>3198</v>
      </c>
      <c r="B1033" s="222" t="s">
        <v>5637</v>
      </c>
      <c r="C1033" s="241" t="s">
        <v>4762</v>
      </c>
      <c r="D1033" s="237" t="s">
        <v>6021</v>
      </c>
      <c r="E1033" s="236">
        <v>1542110016740</v>
      </c>
      <c r="F1033" s="240" t="s">
        <v>4854</v>
      </c>
      <c r="G1033" s="214">
        <v>0</v>
      </c>
      <c r="H1033" s="231" t="s">
        <v>4771</v>
      </c>
      <c r="I1033" s="231"/>
      <c r="J1033" s="231"/>
      <c r="K1033" s="231"/>
      <c r="L1033" s="231"/>
      <c r="M1033" s="231"/>
      <c r="N1033" s="231" t="s">
        <v>4895</v>
      </c>
      <c r="O1033" s="246" t="s">
        <v>5639</v>
      </c>
      <c r="P1033" s="246" t="s">
        <v>5640</v>
      </c>
      <c r="Q1033" s="225" t="s">
        <v>5641</v>
      </c>
      <c r="R1033" s="212" t="s">
        <v>4771</v>
      </c>
      <c r="S1033" s="213" t="s">
        <v>4771</v>
      </c>
      <c r="T1033" s="233">
        <v>45581</v>
      </c>
      <c r="U1033" s="234" t="s">
        <v>4759</v>
      </c>
      <c r="V1033" s="234">
        <v>45604</v>
      </c>
      <c r="W1033" s="234" t="s">
        <v>4877</v>
      </c>
      <c r="X1033" s="234" t="s">
        <v>4771</v>
      </c>
      <c r="Y1033" s="234"/>
      <c r="Z1033" s="234" t="s">
        <v>4674</v>
      </c>
      <c r="AA1033" s="224">
        <v>202411</v>
      </c>
      <c r="AB1033" s="243"/>
      <c r="AC1033" s="244" t="s">
        <v>4800</v>
      </c>
      <c r="AD1033" s="244" t="s">
        <v>4987</v>
      </c>
      <c r="AE1033" s="245">
        <v>0.4</v>
      </c>
      <c r="AF1033" s="244" t="s">
        <v>4762</v>
      </c>
      <c r="AG1033" s="239" t="str">
        <f>IFERROR(VLOOKUP(작성용!A:A,RM!A:D,4,0),"-")</f>
        <v>이문수</v>
      </c>
      <c r="AH1033" s="235" t="s">
        <v>4937</v>
      </c>
      <c r="AI1033" s="235" t="s">
        <v>6022</v>
      </c>
      <c r="AJ1033" s="235" t="s">
        <v>4920</v>
      </c>
      <c r="AK1033" s="235" t="s">
        <v>4777</v>
      </c>
      <c r="AL1033" s="235">
        <v>1032</v>
      </c>
    </row>
    <row r="1034" spans="1:38" x14ac:dyDescent="0.3">
      <c r="A1034" s="222" t="s">
        <v>3198</v>
      </c>
      <c r="B1034" s="222" t="s">
        <v>5637</v>
      </c>
      <c r="C1034" s="241" t="s">
        <v>4762</v>
      </c>
      <c r="D1034" s="237" t="s">
        <v>6021</v>
      </c>
      <c r="E1034" s="236">
        <v>1542110016740</v>
      </c>
      <c r="F1034" s="240" t="s">
        <v>4780</v>
      </c>
      <c r="G1034" s="214">
        <v>0</v>
      </c>
      <c r="H1034" s="231" t="s">
        <v>4771</v>
      </c>
      <c r="I1034" s="231"/>
      <c r="J1034" s="231"/>
      <c r="K1034" s="231"/>
      <c r="L1034" s="231"/>
      <c r="M1034" s="231"/>
      <c r="N1034" s="231" t="s">
        <v>4895</v>
      </c>
      <c r="O1034" s="246" t="s">
        <v>5639</v>
      </c>
      <c r="P1034" s="246" t="s">
        <v>5640</v>
      </c>
      <c r="Q1034" s="225" t="s">
        <v>5641</v>
      </c>
      <c r="R1034" s="212" t="s">
        <v>4771</v>
      </c>
      <c r="S1034" s="213" t="s">
        <v>4771</v>
      </c>
      <c r="T1034" s="233">
        <v>45581</v>
      </c>
      <c r="U1034" s="234" t="s">
        <v>4759</v>
      </c>
      <c r="V1034" s="234">
        <v>45604</v>
      </c>
      <c r="W1034" s="234" t="s">
        <v>4877</v>
      </c>
      <c r="X1034" s="234" t="s">
        <v>4771</v>
      </c>
      <c r="Y1034" s="234"/>
      <c r="Z1034" s="234" t="s">
        <v>4674</v>
      </c>
      <c r="AA1034" s="224">
        <v>202411</v>
      </c>
      <c r="AB1034" s="243"/>
      <c r="AC1034" s="244" t="s">
        <v>4800</v>
      </c>
      <c r="AD1034" s="244" t="s">
        <v>4987</v>
      </c>
      <c r="AE1034" s="245">
        <v>0</v>
      </c>
      <c r="AF1034" s="244" t="s">
        <v>4762</v>
      </c>
      <c r="AG1034" s="239" t="str">
        <f>IFERROR(VLOOKUP(작성용!A:A,RM!A:D,4,0),"-")</f>
        <v>이문수</v>
      </c>
      <c r="AH1034" s="235" t="s">
        <v>4937</v>
      </c>
      <c r="AI1034" s="235" t="s">
        <v>6022</v>
      </c>
      <c r="AJ1034" s="235" t="s">
        <v>4920</v>
      </c>
      <c r="AK1034" s="235" t="s">
        <v>4777</v>
      </c>
      <c r="AL1034" s="235">
        <v>1033</v>
      </c>
    </row>
    <row r="1035" spans="1:38" x14ac:dyDescent="0.3">
      <c r="A1035" s="222" t="s">
        <v>3198</v>
      </c>
      <c r="B1035" s="222" t="s">
        <v>5637</v>
      </c>
      <c r="C1035" s="241" t="s">
        <v>4762</v>
      </c>
      <c r="D1035" s="237" t="s">
        <v>5439</v>
      </c>
      <c r="E1035" s="236" t="s">
        <v>3920</v>
      </c>
      <c r="F1035" s="240" t="s">
        <v>4894</v>
      </c>
      <c r="G1035" s="214">
        <v>0</v>
      </c>
      <c r="H1035" s="231" t="s">
        <v>4771</v>
      </c>
      <c r="I1035" s="231"/>
      <c r="J1035" s="231"/>
      <c r="K1035" s="231"/>
      <c r="L1035" s="231"/>
      <c r="M1035" s="231"/>
      <c r="N1035" s="231" t="s">
        <v>4895</v>
      </c>
      <c r="O1035" s="246" t="s">
        <v>5639</v>
      </c>
      <c r="P1035" s="246" t="s">
        <v>5640</v>
      </c>
      <c r="Q1035" s="225" t="s">
        <v>5641</v>
      </c>
      <c r="R1035" s="212" t="s">
        <v>4771</v>
      </c>
      <c r="S1035" s="213" t="s">
        <v>4771</v>
      </c>
      <c r="T1035" s="233">
        <v>45581</v>
      </c>
      <c r="U1035" s="234" t="s">
        <v>4759</v>
      </c>
      <c r="V1035" s="234">
        <v>45604</v>
      </c>
      <c r="W1035" s="234" t="s">
        <v>4877</v>
      </c>
      <c r="X1035" s="234" t="s">
        <v>4771</v>
      </c>
      <c r="Y1035" s="234"/>
      <c r="Z1035" s="234" t="s">
        <v>4674</v>
      </c>
      <c r="AA1035" s="224">
        <v>202411</v>
      </c>
      <c r="AB1035" s="243"/>
      <c r="AC1035" s="244" t="s">
        <v>4800</v>
      </c>
      <c r="AD1035" s="244" t="s">
        <v>4858</v>
      </c>
      <c r="AE1035" s="245">
        <v>0</v>
      </c>
      <c r="AF1035" s="244" t="s">
        <v>4858</v>
      </c>
      <c r="AG1035" s="239" t="str">
        <f>IFERROR(VLOOKUP(작성용!A:A,RM!A:D,4,0),"-")</f>
        <v>이문수</v>
      </c>
      <c r="AH1035" s="235" t="s">
        <v>4937</v>
      </c>
      <c r="AI1035" s="235" t="s">
        <v>6023</v>
      </c>
      <c r="AJ1035" s="235" t="s">
        <v>4920</v>
      </c>
      <c r="AK1035" s="235" t="s">
        <v>4777</v>
      </c>
      <c r="AL1035" s="235">
        <v>1034</v>
      </c>
    </row>
    <row r="1036" spans="1:38" x14ac:dyDescent="0.3">
      <c r="A1036" s="222">
        <v>6000797</v>
      </c>
      <c r="B1036" s="222" t="s">
        <v>5362</v>
      </c>
      <c r="C1036" s="241" t="s">
        <v>4762</v>
      </c>
      <c r="D1036" s="237" t="s">
        <v>6024</v>
      </c>
      <c r="E1036" s="236">
        <v>1101118011184</v>
      </c>
      <c r="F1036" s="240" t="s">
        <v>4850</v>
      </c>
      <c r="G1036" s="214">
        <v>0</v>
      </c>
      <c r="H1036" s="231" t="s">
        <v>4771</v>
      </c>
      <c r="I1036" s="231"/>
      <c r="J1036" s="231"/>
      <c r="K1036" s="231"/>
      <c r="L1036" s="231"/>
      <c r="M1036" s="231"/>
      <c r="N1036" s="231" t="s">
        <v>4895</v>
      </c>
      <c r="O1036" s="246"/>
      <c r="P1036" s="246"/>
      <c r="Q1036" s="225"/>
      <c r="R1036" s="212" t="s">
        <v>4771</v>
      </c>
      <c r="S1036" s="213" t="s">
        <v>4771</v>
      </c>
      <c r="T1036" s="233" t="s">
        <v>5386</v>
      </c>
      <c r="U1036" s="234" t="s">
        <v>4759</v>
      </c>
      <c r="V1036" s="234">
        <v>45611</v>
      </c>
      <c r="W1036" s="234" t="s">
        <v>4877</v>
      </c>
      <c r="X1036" s="234" t="s">
        <v>2</v>
      </c>
      <c r="Y1036" s="234"/>
      <c r="Z1036" s="234"/>
      <c r="AA1036" s="243">
        <v>202411</v>
      </c>
      <c r="AB1036" s="243"/>
      <c r="AC1036" s="244" t="s">
        <v>5210</v>
      </c>
      <c r="AD1036" s="228" t="s">
        <v>3647</v>
      </c>
      <c r="AE1036" s="245">
        <v>0.6</v>
      </c>
      <c r="AF1036" s="228" t="s">
        <v>3647</v>
      </c>
      <c r="AG1036" s="239" t="str">
        <f>IFERROR(VLOOKUP(작성용!A:A,RM!A:D,4,0),"-")</f>
        <v>-</v>
      </c>
      <c r="AH1036" s="235" t="s">
        <v>4771</v>
      </c>
      <c r="AI1036" s="235" t="s">
        <v>4771</v>
      </c>
      <c r="AJ1036" s="235" t="s">
        <v>4771</v>
      </c>
      <c r="AK1036" s="235" t="s">
        <v>5208</v>
      </c>
      <c r="AL1036" s="235">
        <v>1035</v>
      </c>
    </row>
    <row r="1037" spans="1:38" x14ac:dyDescent="0.3">
      <c r="A1037" s="222">
        <v>6000797</v>
      </c>
      <c r="B1037" s="222" t="s">
        <v>5362</v>
      </c>
      <c r="C1037" s="241" t="s">
        <v>4762</v>
      </c>
      <c r="D1037" s="237" t="s">
        <v>6025</v>
      </c>
      <c r="E1037" s="236">
        <v>1101116914413</v>
      </c>
      <c r="F1037" s="240" t="s">
        <v>4850</v>
      </c>
      <c r="G1037" s="214">
        <v>0</v>
      </c>
      <c r="H1037" s="231" t="s">
        <v>4771</v>
      </c>
      <c r="I1037" s="231"/>
      <c r="J1037" s="231"/>
      <c r="K1037" s="231"/>
      <c r="L1037" s="231"/>
      <c r="M1037" s="231"/>
      <c r="N1037" s="231" t="s">
        <v>4895</v>
      </c>
      <c r="O1037" s="246"/>
      <c r="P1037" s="246"/>
      <c r="Q1037" s="225"/>
      <c r="R1037" s="212" t="s">
        <v>4771</v>
      </c>
      <c r="S1037" s="213" t="s">
        <v>4771</v>
      </c>
      <c r="T1037" s="233" t="s">
        <v>5386</v>
      </c>
      <c r="U1037" s="234" t="s">
        <v>4759</v>
      </c>
      <c r="V1037" s="234">
        <v>45611</v>
      </c>
      <c r="W1037" s="234" t="s">
        <v>4877</v>
      </c>
      <c r="X1037" s="234" t="s">
        <v>2</v>
      </c>
      <c r="Y1037" s="234"/>
      <c r="Z1037" s="234"/>
      <c r="AA1037" s="243">
        <v>202411</v>
      </c>
      <c r="AB1037" s="243"/>
      <c r="AC1037" s="244" t="s">
        <v>5210</v>
      </c>
      <c r="AD1037" s="228" t="s">
        <v>3650</v>
      </c>
      <c r="AE1037" s="245">
        <v>0.6</v>
      </c>
      <c r="AF1037" s="228" t="s">
        <v>3650</v>
      </c>
      <c r="AG1037" s="239" t="str">
        <f>IFERROR(VLOOKUP(작성용!A:A,RM!A:D,4,0),"-")</f>
        <v>-</v>
      </c>
      <c r="AH1037" s="235" t="s">
        <v>4771</v>
      </c>
      <c r="AI1037" s="235" t="s">
        <v>4771</v>
      </c>
      <c r="AJ1037" s="235" t="s">
        <v>4771</v>
      </c>
      <c r="AK1037" s="235" t="s">
        <v>5208</v>
      </c>
      <c r="AL1037" s="235">
        <v>1036</v>
      </c>
    </row>
    <row r="1038" spans="1:38" x14ac:dyDescent="0.3">
      <c r="A1038" s="229" t="s">
        <v>6026</v>
      </c>
      <c r="B1038" s="229" t="s">
        <v>6027</v>
      </c>
      <c r="C1038" s="241" t="s">
        <v>4762</v>
      </c>
      <c r="D1038" s="237" t="s">
        <v>6028</v>
      </c>
      <c r="E1038" s="236" t="s">
        <v>4751</v>
      </c>
      <c r="F1038" s="240" t="s">
        <v>6029</v>
      </c>
      <c r="G1038" s="214">
        <v>0</v>
      </c>
      <c r="H1038" s="231" t="s">
        <v>4771</v>
      </c>
      <c r="I1038" s="231"/>
      <c r="J1038" s="231"/>
      <c r="K1038" s="231"/>
      <c r="L1038" s="231"/>
      <c r="M1038" s="231"/>
      <c r="N1038" s="231" t="s">
        <v>5035</v>
      </c>
      <c r="O1038" s="246" t="s">
        <v>6030</v>
      </c>
      <c r="P1038" s="246" t="s">
        <v>6031</v>
      </c>
      <c r="Q1038" s="225" t="s">
        <v>4613</v>
      </c>
      <c r="R1038" s="212" t="s">
        <v>2</v>
      </c>
      <c r="S1038" s="213" t="s">
        <v>4771</v>
      </c>
      <c r="T1038" s="233">
        <v>45594</v>
      </c>
      <c r="U1038" s="234" t="s">
        <v>4759</v>
      </c>
      <c r="V1038" s="233">
        <v>45601</v>
      </c>
      <c r="W1038" s="233" t="s">
        <v>6032</v>
      </c>
      <c r="X1038" s="234" t="s">
        <v>4771</v>
      </c>
      <c r="Y1038" s="234"/>
      <c r="Z1038" s="234"/>
      <c r="AA1038" s="224">
        <v>202409</v>
      </c>
      <c r="AB1038" s="243"/>
      <c r="AC1038" s="233" t="s">
        <v>4800</v>
      </c>
      <c r="AD1038" s="244" t="s">
        <v>4933</v>
      </c>
      <c r="AE1038" s="245">
        <v>1</v>
      </c>
      <c r="AF1038" s="244" t="s">
        <v>4762</v>
      </c>
      <c r="AG1038" s="239" t="str">
        <f>IFERROR(VLOOKUP(작성용!A:A,RM!A:D,4,0),"-")</f>
        <v>-</v>
      </c>
      <c r="AH1038" s="9" t="s">
        <v>4771</v>
      </c>
      <c r="AI1038" s="235" t="s">
        <v>4771</v>
      </c>
      <c r="AJ1038" s="235" t="s">
        <v>4771</v>
      </c>
      <c r="AK1038" s="235" t="s">
        <v>4777</v>
      </c>
      <c r="AL1038" s="235">
        <v>1037</v>
      </c>
    </row>
    <row r="1039" spans="1:38" x14ac:dyDescent="0.3">
      <c r="A1039" s="222" t="s">
        <v>2611</v>
      </c>
      <c r="B1039" s="222" t="s">
        <v>6033</v>
      </c>
      <c r="C1039" s="241" t="s">
        <v>4778</v>
      </c>
      <c r="D1039" s="237" t="s">
        <v>6034</v>
      </c>
      <c r="E1039" s="236">
        <v>1942110250564</v>
      </c>
      <c r="F1039" s="240" t="s">
        <v>4850</v>
      </c>
      <c r="G1039" s="221">
        <v>0</v>
      </c>
      <c r="H1039" s="223" t="s">
        <v>4767</v>
      </c>
      <c r="I1039" s="223"/>
      <c r="J1039" s="223"/>
      <c r="K1039" s="223"/>
      <c r="L1039" s="223"/>
      <c r="M1039" s="223"/>
      <c r="N1039" s="225" t="s">
        <v>5028</v>
      </c>
      <c r="O1039" s="240" t="s">
        <v>6035</v>
      </c>
      <c r="P1039" s="240" t="s">
        <v>6036</v>
      </c>
      <c r="Q1039" s="240" t="s">
        <v>6037</v>
      </c>
      <c r="R1039" s="250" t="s">
        <v>4771</v>
      </c>
      <c r="S1039" s="212" t="s">
        <v>4771</v>
      </c>
      <c r="T1039" s="233">
        <v>45595</v>
      </c>
      <c r="U1039" s="234" t="s">
        <v>4772</v>
      </c>
      <c r="V1039" s="234">
        <v>45644</v>
      </c>
      <c r="W1039" s="234">
        <v>45649</v>
      </c>
      <c r="X1039" s="234" t="s">
        <v>2</v>
      </c>
      <c r="Y1039" s="234"/>
      <c r="Z1039" s="234" t="s">
        <v>6038</v>
      </c>
      <c r="AA1039" s="243">
        <v>202412</v>
      </c>
      <c r="AB1039" s="243"/>
      <c r="AC1039" s="244" t="s">
        <v>4760</v>
      </c>
      <c r="AD1039" s="244" t="s">
        <v>4987</v>
      </c>
      <c r="AE1039" s="245">
        <v>1</v>
      </c>
      <c r="AF1039" s="244" t="s">
        <v>5596</v>
      </c>
      <c r="AG1039" s="239" t="str">
        <f>IFERROR(VLOOKUP(작성용!A:A,RM!A:D,4,0),"-")</f>
        <v>원정우</v>
      </c>
      <c r="AH1039" s="9" t="s">
        <v>4987</v>
      </c>
      <c r="AI1039" s="235" t="s">
        <v>4771</v>
      </c>
      <c r="AJ1039" s="235" t="s">
        <v>4802</v>
      </c>
      <c r="AK1039" s="235" t="s">
        <v>4803</v>
      </c>
      <c r="AL1039" s="235">
        <v>1038</v>
      </c>
    </row>
    <row r="1040" spans="1:38" x14ac:dyDescent="0.3">
      <c r="A1040" s="222" t="s">
        <v>791</v>
      </c>
      <c r="B1040" s="222" t="s">
        <v>792</v>
      </c>
      <c r="C1040" s="241" t="s">
        <v>4778</v>
      </c>
      <c r="D1040" s="237" t="s">
        <v>6039</v>
      </c>
      <c r="E1040" s="236">
        <v>1201110651514</v>
      </c>
      <c r="F1040" s="240" t="s">
        <v>4854</v>
      </c>
      <c r="G1040" s="242">
        <v>0</v>
      </c>
      <c r="H1040" s="223" t="s">
        <v>4771</v>
      </c>
      <c r="I1040" s="223"/>
      <c r="J1040" s="223"/>
      <c r="K1040" s="223"/>
      <c r="L1040" s="223"/>
      <c r="M1040" s="223"/>
      <c r="N1040" s="240" t="s">
        <v>4972</v>
      </c>
      <c r="O1040" s="240" t="s">
        <v>6040</v>
      </c>
      <c r="P1040" s="240" t="s">
        <v>6041</v>
      </c>
      <c r="Q1040" s="225" t="s">
        <v>6042</v>
      </c>
      <c r="R1040" s="250" t="s">
        <v>4771</v>
      </c>
      <c r="S1040" s="250" t="s">
        <v>4771</v>
      </c>
      <c r="T1040" s="233">
        <v>45595</v>
      </c>
      <c r="U1040" s="234" t="s">
        <v>4772</v>
      </c>
      <c r="V1040" s="234">
        <v>45643</v>
      </c>
      <c r="W1040" s="234">
        <v>45650</v>
      </c>
      <c r="X1040" s="234" t="s">
        <v>2</v>
      </c>
      <c r="Y1040" s="234"/>
      <c r="Z1040" s="234" t="s">
        <v>6043</v>
      </c>
      <c r="AA1040" s="243">
        <v>202412</v>
      </c>
      <c r="AB1040" s="243"/>
      <c r="AC1040" s="244" t="s">
        <v>4998</v>
      </c>
      <c r="AD1040" s="244" t="s">
        <v>4909</v>
      </c>
      <c r="AE1040" s="245">
        <v>1</v>
      </c>
      <c r="AF1040" s="244" t="s">
        <v>4909</v>
      </c>
      <c r="AG1040" s="239" t="str">
        <f>IFERROR(VLOOKUP(작성용!A:A,RM!A:D,4,0),"-")</f>
        <v>김영하</v>
      </c>
      <c r="AH1040" s="9" t="s">
        <v>4909</v>
      </c>
      <c r="AI1040" s="235" t="s">
        <v>6044</v>
      </c>
      <c r="AJ1040" s="235" t="s">
        <v>4776</v>
      </c>
      <c r="AK1040" s="235" t="s">
        <v>4128</v>
      </c>
      <c r="AL1040" s="235">
        <v>1039</v>
      </c>
    </row>
    <row r="1041" spans="1:38" x14ac:dyDescent="0.3">
      <c r="A1041" s="222">
        <v>6000793</v>
      </c>
      <c r="B1041" s="222" t="s">
        <v>5434</v>
      </c>
      <c r="C1041" s="241" t="s">
        <v>4778</v>
      </c>
      <c r="D1041" s="237" t="s">
        <v>5424</v>
      </c>
      <c r="E1041" s="236">
        <v>1101115714757</v>
      </c>
      <c r="F1041" s="240" t="s">
        <v>4850</v>
      </c>
      <c r="G1041" s="214">
        <v>4</v>
      </c>
      <c r="H1041" s="231" t="s">
        <v>4771</v>
      </c>
      <c r="I1041" s="231"/>
      <c r="J1041" s="231"/>
      <c r="K1041" s="231"/>
      <c r="L1041" s="231"/>
      <c r="M1041" s="231"/>
      <c r="N1041" s="231" t="s">
        <v>4895</v>
      </c>
      <c r="O1041" s="246"/>
      <c r="P1041" s="246"/>
      <c r="Q1041" s="225"/>
      <c r="R1041" s="212" t="s">
        <v>4771</v>
      </c>
      <c r="S1041" s="213" t="s">
        <v>4771</v>
      </c>
      <c r="T1041" s="233" t="s">
        <v>5386</v>
      </c>
      <c r="U1041" s="234" t="s">
        <v>4759</v>
      </c>
      <c r="V1041" s="234">
        <v>45611</v>
      </c>
      <c r="W1041" s="234" t="s">
        <v>4877</v>
      </c>
      <c r="X1041" s="234" t="s">
        <v>2</v>
      </c>
      <c r="Y1041" s="234"/>
      <c r="Z1041" s="234"/>
      <c r="AA1041" s="243">
        <v>202411</v>
      </c>
      <c r="AB1041" s="243"/>
      <c r="AC1041" s="244" t="s">
        <v>4760</v>
      </c>
      <c r="AD1041" s="244" t="s">
        <v>4947</v>
      </c>
      <c r="AE1041" s="245">
        <v>0</v>
      </c>
      <c r="AF1041" s="244" t="s">
        <v>4918</v>
      </c>
      <c r="AG1041" s="239" t="str">
        <f>IFERROR(VLOOKUP(작성용!A:A,RM!A:D,4,0),"-")</f>
        <v>-</v>
      </c>
      <c r="AH1041" s="235" t="s">
        <v>4771</v>
      </c>
      <c r="AI1041" s="235" t="s">
        <v>4771</v>
      </c>
      <c r="AJ1041" s="235" t="s">
        <v>4767</v>
      </c>
      <c r="AK1041" s="235" t="s">
        <v>5208</v>
      </c>
      <c r="AL1041" s="235">
        <v>1040</v>
      </c>
    </row>
    <row r="1042" spans="1:38" x14ac:dyDescent="0.3">
      <c r="A1042" s="229" t="s">
        <v>1634</v>
      </c>
      <c r="B1042" s="229" t="s">
        <v>6045</v>
      </c>
      <c r="C1042" s="241" t="s">
        <v>4778</v>
      </c>
      <c r="D1042" s="237" t="s">
        <v>6046</v>
      </c>
      <c r="E1042" s="236">
        <v>1101114574540</v>
      </c>
      <c r="F1042" s="240" t="s">
        <v>4854</v>
      </c>
      <c r="G1042" s="242">
        <v>0</v>
      </c>
      <c r="H1042" s="231" t="s">
        <v>4771</v>
      </c>
      <c r="I1042" s="231"/>
      <c r="J1042" s="231"/>
      <c r="K1042" s="231"/>
      <c r="L1042" s="231"/>
      <c r="M1042" s="231"/>
      <c r="N1042" s="230" t="s">
        <v>5028</v>
      </c>
      <c r="O1042" s="230" t="s">
        <v>6047</v>
      </c>
      <c r="P1042" s="230" t="s">
        <v>6048</v>
      </c>
      <c r="Q1042" s="230" t="s">
        <v>6049</v>
      </c>
      <c r="R1042" s="232" t="s">
        <v>4771</v>
      </c>
      <c r="S1042" s="232" t="s">
        <v>4771</v>
      </c>
      <c r="T1042" s="233">
        <v>45596</v>
      </c>
      <c r="U1042" s="234" t="s">
        <v>4772</v>
      </c>
      <c r="V1042" s="234">
        <v>45670</v>
      </c>
      <c r="W1042" s="234">
        <v>45670</v>
      </c>
      <c r="X1042" s="234" t="s">
        <v>2</v>
      </c>
      <c r="Y1042" s="234"/>
      <c r="Z1042" s="234" t="s">
        <v>6050</v>
      </c>
      <c r="AA1042" s="243">
        <v>202412</v>
      </c>
      <c r="AB1042" s="243"/>
      <c r="AC1042" s="244" t="s">
        <v>4760</v>
      </c>
      <c r="AD1042" s="244" t="s">
        <v>4911</v>
      </c>
      <c r="AE1042" s="245">
        <v>1</v>
      </c>
      <c r="AF1042" s="244" t="s">
        <v>4911</v>
      </c>
      <c r="AG1042" s="239" t="str">
        <f>IFERROR(VLOOKUP(작성용!A:A,RM!A:D,4,0),"-")</f>
        <v>서경덕</v>
      </c>
      <c r="AH1042" s="9" t="s">
        <v>4911</v>
      </c>
      <c r="AI1042" s="235" t="s">
        <v>4771</v>
      </c>
      <c r="AJ1042" s="235" t="s">
        <v>4776</v>
      </c>
      <c r="AK1042" s="235" t="s">
        <v>4777</v>
      </c>
      <c r="AL1042" s="235">
        <v>1041</v>
      </c>
    </row>
    <row r="1043" spans="1:38" x14ac:dyDescent="0.3">
      <c r="A1043" s="222" t="s">
        <v>2202</v>
      </c>
      <c r="B1043" s="222" t="s">
        <v>2203</v>
      </c>
      <c r="C1043" s="241" t="s">
        <v>4778</v>
      </c>
      <c r="D1043" s="237" t="s">
        <v>6051</v>
      </c>
      <c r="E1043" s="236">
        <v>1101115395747</v>
      </c>
      <c r="F1043" s="240" t="s">
        <v>4854</v>
      </c>
      <c r="G1043" s="214">
        <v>0</v>
      </c>
      <c r="H1043" s="231" t="s">
        <v>4771</v>
      </c>
      <c r="I1043" s="231"/>
      <c r="J1043" s="231"/>
      <c r="K1043" s="231"/>
      <c r="L1043" s="231"/>
      <c r="M1043" s="231"/>
      <c r="N1043" s="231" t="s">
        <v>4806</v>
      </c>
      <c r="O1043" s="246" t="s">
        <v>6052</v>
      </c>
      <c r="P1043" s="246" t="s">
        <v>6053</v>
      </c>
      <c r="Q1043" s="225" t="s">
        <v>6054</v>
      </c>
      <c r="R1043" s="212" t="s">
        <v>2</v>
      </c>
      <c r="S1043" s="213" t="s">
        <v>4771</v>
      </c>
      <c r="T1043" s="233">
        <v>45596</v>
      </c>
      <c r="U1043" s="234" t="s">
        <v>4772</v>
      </c>
      <c r="V1043" s="234">
        <v>45660</v>
      </c>
      <c r="W1043" s="234">
        <v>45661</v>
      </c>
      <c r="X1043" s="234" t="s">
        <v>2</v>
      </c>
      <c r="Y1043" s="234"/>
      <c r="Z1043" s="234" t="s">
        <v>5035</v>
      </c>
      <c r="AA1043" s="224">
        <v>202412</v>
      </c>
      <c r="AB1043" s="243"/>
      <c r="AC1043" s="244" t="s">
        <v>4800</v>
      </c>
      <c r="AD1043" s="244" t="s">
        <v>4905</v>
      </c>
      <c r="AE1043" s="245">
        <v>1</v>
      </c>
      <c r="AF1043" s="244" t="s">
        <v>4902</v>
      </c>
      <c r="AG1043" s="239" t="str">
        <f>IFERROR(VLOOKUP(작성용!A:A,RM!A:D,4,0),"-")</f>
        <v>강승현</v>
      </c>
      <c r="AH1043" s="9" t="s">
        <v>4860</v>
      </c>
      <c r="AI1043" s="235" t="s">
        <v>4771</v>
      </c>
      <c r="AJ1043" s="235" t="s">
        <v>4776</v>
      </c>
      <c r="AK1043" s="235" t="s">
        <v>4128</v>
      </c>
      <c r="AL1043" s="235">
        <v>1042</v>
      </c>
    </row>
    <row r="1044" spans="1:38" x14ac:dyDescent="0.3">
      <c r="A1044" s="222" t="s">
        <v>2202</v>
      </c>
      <c r="B1044" s="222" t="s">
        <v>2203</v>
      </c>
      <c r="C1044" s="241" t="s">
        <v>4778</v>
      </c>
      <c r="D1044" s="237" t="s">
        <v>6051</v>
      </c>
      <c r="E1044" s="236">
        <v>1101115395747</v>
      </c>
      <c r="F1044" s="240" t="s">
        <v>4850</v>
      </c>
      <c r="G1044" s="214">
        <v>0</v>
      </c>
      <c r="H1044" s="231" t="s">
        <v>4771</v>
      </c>
      <c r="I1044" s="231"/>
      <c r="J1044" s="231"/>
      <c r="K1044" s="231"/>
      <c r="L1044" s="231"/>
      <c r="M1044" s="231"/>
      <c r="N1044" s="231" t="s">
        <v>4806</v>
      </c>
      <c r="O1044" s="246" t="s">
        <v>6052</v>
      </c>
      <c r="P1044" s="246" t="s">
        <v>6053</v>
      </c>
      <c r="Q1044" s="225" t="s">
        <v>6054</v>
      </c>
      <c r="R1044" s="212" t="s">
        <v>2</v>
      </c>
      <c r="S1044" s="213" t="s">
        <v>4771</v>
      </c>
      <c r="T1044" s="233">
        <v>45596</v>
      </c>
      <c r="U1044" s="234" t="s">
        <v>4772</v>
      </c>
      <c r="V1044" s="234">
        <v>45660</v>
      </c>
      <c r="W1044" s="234">
        <v>45661</v>
      </c>
      <c r="X1044" s="234" t="s">
        <v>2</v>
      </c>
      <c r="Y1044" s="234"/>
      <c r="Z1044" s="234" t="s">
        <v>5035</v>
      </c>
      <c r="AA1044" s="224">
        <v>202412</v>
      </c>
      <c r="AB1044" s="243"/>
      <c r="AC1044" s="244" t="s">
        <v>4800</v>
      </c>
      <c r="AD1044" s="244" t="s">
        <v>4905</v>
      </c>
      <c r="AE1044" s="245">
        <v>0</v>
      </c>
      <c r="AF1044" s="244" t="s">
        <v>4905</v>
      </c>
      <c r="AG1044" s="239" t="str">
        <f>IFERROR(VLOOKUP(작성용!A:A,RM!A:D,4,0),"-")</f>
        <v>강승현</v>
      </c>
      <c r="AH1044" s="9" t="s">
        <v>4860</v>
      </c>
      <c r="AI1044" s="235" t="s">
        <v>4771</v>
      </c>
      <c r="AJ1044" s="235" t="s">
        <v>4776</v>
      </c>
      <c r="AK1044" s="235" t="s">
        <v>4128</v>
      </c>
      <c r="AL1044" s="235">
        <v>1043</v>
      </c>
    </row>
    <row r="1045" spans="1:38" x14ac:dyDescent="0.3">
      <c r="A1045" s="222" t="s">
        <v>2202</v>
      </c>
      <c r="B1045" s="222" t="s">
        <v>2203</v>
      </c>
      <c r="C1045" s="241" t="s">
        <v>4778</v>
      </c>
      <c r="D1045" s="237" t="s">
        <v>4906</v>
      </c>
      <c r="E1045" s="236">
        <v>1348110310730</v>
      </c>
      <c r="F1045" s="240" t="s">
        <v>4854</v>
      </c>
      <c r="G1045" s="214">
        <v>0</v>
      </c>
      <c r="H1045" s="231" t="s">
        <v>4771</v>
      </c>
      <c r="I1045" s="231"/>
      <c r="J1045" s="231"/>
      <c r="K1045" s="231"/>
      <c r="L1045" s="231"/>
      <c r="M1045" s="231"/>
      <c r="N1045" s="231" t="s">
        <v>4806</v>
      </c>
      <c r="O1045" s="246" t="s">
        <v>6052</v>
      </c>
      <c r="P1045" s="246" t="s">
        <v>6053</v>
      </c>
      <c r="Q1045" s="225" t="s">
        <v>6054</v>
      </c>
      <c r="R1045" s="212" t="s">
        <v>2</v>
      </c>
      <c r="S1045" s="213" t="s">
        <v>4771</v>
      </c>
      <c r="T1045" s="233">
        <v>45596</v>
      </c>
      <c r="U1045" s="234" t="s">
        <v>4772</v>
      </c>
      <c r="V1045" s="234">
        <v>45660</v>
      </c>
      <c r="W1045" s="234">
        <v>45661</v>
      </c>
      <c r="X1045" s="234" t="s">
        <v>2</v>
      </c>
      <c r="Y1045" s="234"/>
      <c r="Z1045" s="234" t="s">
        <v>5035</v>
      </c>
      <c r="AA1045" s="224">
        <v>202412</v>
      </c>
      <c r="AB1045" s="243"/>
      <c r="AC1045" s="244" t="s">
        <v>4800</v>
      </c>
      <c r="AD1045" s="244" t="s">
        <v>4864</v>
      </c>
      <c r="AE1045" s="245">
        <v>1</v>
      </c>
      <c r="AF1045" s="244" t="s">
        <v>4864</v>
      </c>
      <c r="AG1045" s="239" t="str">
        <f>IFERROR(VLOOKUP(작성용!A:A,RM!A:D,4,0),"-")</f>
        <v>강승현</v>
      </c>
      <c r="AH1045" s="9" t="s">
        <v>4860</v>
      </c>
      <c r="AI1045" s="235" t="s">
        <v>4767</v>
      </c>
      <c r="AJ1045" s="235" t="s">
        <v>4776</v>
      </c>
      <c r="AK1045" s="235" t="s">
        <v>4128</v>
      </c>
      <c r="AL1045" s="235">
        <v>1044</v>
      </c>
    </row>
    <row r="1046" spans="1:38" x14ac:dyDescent="0.3">
      <c r="A1046" s="222" t="s">
        <v>2202</v>
      </c>
      <c r="B1046" s="222" t="s">
        <v>2203</v>
      </c>
      <c r="C1046" s="241" t="s">
        <v>4778</v>
      </c>
      <c r="D1046" s="237" t="s">
        <v>4906</v>
      </c>
      <c r="E1046" s="236">
        <v>1348110310730</v>
      </c>
      <c r="F1046" s="240" t="s">
        <v>4780</v>
      </c>
      <c r="G1046" s="214">
        <v>1</v>
      </c>
      <c r="H1046" s="231" t="s">
        <v>4771</v>
      </c>
      <c r="I1046" s="231"/>
      <c r="J1046" s="231"/>
      <c r="K1046" s="231"/>
      <c r="L1046" s="231"/>
      <c r="M1046" s="231"/>
      <c r="N1046" s="231" t="s">
        <v>4806</v>
      </c>
      <c r="O1046" s="246" t="s">
        <v>6052</v>
      </c>
      <c r="P1046" s="246" t="s">
        <v>6053</v>
      </c>
      <c r="Q1046" s="225" t="s">
        <v>6054</v>
      </c>
      <c r="R1046" s="212" t="s">
        <v>2</v>
      </c>
      <c r="S1046" s="213" t="s">
        <v>4771</v>
      </c>
      <c r="T1046" s="233">
        <v>45596</v>
      </c>
      <c r="U1046" s="234" t="s">
        <v>4772</v>
      </c>
      <c r="V1046" s="234">
        <v>45660</v>
      </c>
      <c r="W1046" s="234">
        <v>45661</v>
      </c>
      <c r="X1046" s="234" t="s">
        <v>2</v>
      </c>
      <c r="Y1046" s="234"/>
      <c r="Z1046" s="234" t="s">
        <v>5035</v>
      </c>
      <c r="AA1046" s="224">
        <v>202412</v>
      </c>
      <c r="AB1046" s="243"/>
      <c r="AC1046" s="244" t="s">
        <v>4800</v>
      </c>
      <c r="AD1046" s="244" t="s">
        <v>4864</v>
      </c>
      <c r="AE1046" s="245">
        <v>0</v>
      </c>
      <c r="AF1046" s="244" t="s">
        <v>4864</v>
      </c>
      <c r="AG1046" s="239" t="str">
        <f>IFERROR(VLOOKUP(작성용!A:A,RM!A:D,4,0),"-")</f>
        <v>강승현</v>
      </c>
      <c r="AH1046" s="9" t="s">
        <v>4860</v>
      </c>
      <c r="AI1046" s="235" t="s">
        <v>4771</v>
      </c>
      <c r="AJ1046" s="235" t="s">
        <v>4776</v>
      </c>
      <c r="AK1046" s="235" t="s">
        <v>4128</v>
      </c>
      <c r="AL1046" s="235">
        <v>1045</v>
      </c>
    </row>
    <row r="1047" spans="1:38" x14ac:dyDescent="0.3">
      <c r="A1047" s="222" t="s">
        <v>2202</v>
      </c>
      <c r="B1047" s="222" t="s">
        <v>2203</v>
      </c>
      <c r="C1047" s="241" t="s">
        <v>4778</v>
      </c>
      <c r="D1047" s="237" t="s">
        <v>4906</v>
      </c>
      <c r="E1047" s="236">
        <v>1348110310730</v>
      </c>
      <c r="F1047" s="240" t="s">
        <v>4780</v>
      </c>
      <c r="G1047" s="214">
        <v>2</v>
      </c>
      <c r="H1047" s="231" t="s">
        <v>4771</v>
      </c>
      <c r="I1047" s="231"/>
      <c r="J1047" s="231"/>
      <c r="K1047" s="231"/>
      <c r="L1047" s="231"/>
      <c r="M1047" s="231"/>
      <c r="N1047" s="231" t="s">
        <v>4806</v>
      </c>
      <c r="O1047" s="246" t="s">
        <v>6052</v>
      </c>
      <c r="P1047" s="246" t="s">
        <v>6053</v>
      </c>
      <c r="Q1047" s="225" t="s">
        <v>6054</v>
      </c>
      <c r="R1047" s="212" t="s">
        <v>2</v>
      </c>
      <c r="S1047" s="213" t="s">
        <v>4771</v>
      </c>
      <c r="T1047" s="233">
        <v>45596</v>
      </c>
      <c r="U1047" s="234" t="s">
        <v>4772</v>
      </c>
      <c r="V1047" s="234">
        <v>45660</v>
      </c>
      <c r="W1047" s="234">
        <v>45661</v>
      </c>
      <c r="X1047" s="234" t="s">
        <v>2</v>
      </c>
      <c r="Y1047" s="234"/>
      <c r="Z1047" s="234" t="s">
        <v>5035</v>
      </c>
      <c r="AA1047" s="224">
        <v>202412</v>
      </c>
      <c r="AB1047" s="243"/>
      <c r="AC1047" s="244" t="s">
        <v>4800</v>
      </c>
      <c r="AD1047" s="244" t="s">
        <v>4864</v>
      </c>
      <c r="AE1047" s="245">
        <v>0</v>
      </c>
      <c r="AF1047" s="244" t="s">
        <v>4864</v>
      </c>
      <c r="AG1047" s="239" t="str">
        <f>IFERROR(VLOOKUP(작성용!A:A,RM!A:D,4,0),"-")</f>
        <v>강승현</v>
      </c>
      <c r="AH1047" s="9" t="s">
        <v>4860</v>
      </c>
      <c r="AI1047" s="235" t="s">
        <v>4771</v>
      </c>
      <c r="AJ1047" s="235" t="s">
        <v>4776</v>
      </c>
      <c r="AK1047" s="235" t="s">
        <v>4128</v>
      </c>
      <c r="AL1047" s="235">
        <v>1046</v>
      </c>
    </row>
    <row r="1048" spans="1:38" x14ac:dyDescent="0.3">
      <c r="A1048" s="222" t="s">
        <v>2202</v>
      </c>
      <c r="B1048" s="222" t="s">
        <v>2203</v>
      </c>
      <c r="C1048" s="241" t="s">
        <v>4778</v>
      </c>
      <c r="D1048" s="237" t="s">
        <v>4906</v>
      </c>
      <c r="E1048" s="236">
        <v>1348110310730</v>
      </c>
      <c r="F1048" s="240" t="s">
        <v>4780</v>
      </c>
      <c r="G1048" s="214">
        <v>3</v>
      </c>
      <c r="H1048" s="231" t="s">
        <v>4771</v>
      </c>
      <c r="I1048" s="231"/>
      <c r="J1048" s="231"/>
      <c r="K1048" s="231"/>
      <c r="L1048" s="231"/>
      <c r="M1048" s="231"/>
      <c r="N1048" s="231" t="s">
        <v>4806</v>
      </c>
      <c r="O1048" s="246" t="s">
        <v>6052</v>
      </c>
      <c r="P1048" s="246" t="s">
        <v>6053</v>
      </c>
      <c r="Q1048" s="225" t="s">
        <v>6054</v>
      </c>
      <c r="R1048" s="212" t="s">
        <v>2</v>
      </c>
      <c r="S1048" s="213" t="s">
        <v>4771</v>
      </c>
      <c r="T1048" s="233">
        <v>45596</v>
      </c>
      <c r="U1048" s="234" t="s">
        <v>4772</v>
      </c>
      <c r="V1048" s="234">
        <v>45660</v>
      </c>
      <c r="W1048" s="234">
        <v>45661</v>
      </c>
      <c r="X1048" s="234" t="s">
        <v>2</v>
      </c>
      <c r="Y1048" s="234"/>
      <c r="Z1048" s="234" t="s">
        <v>5035</v>
      </c>
      <c r="AA1048" s="224">
        <v>202412</v>
      </c>
      <c r="AB1048" s="243"/>
      <c r="AC1048" s="244" t="s">
        <v>4800</v>
      </c>
      <c r="AD1048" s="244" t="s">
        <v>4864</v>
      </c>
      <c r="AE1048" s="245">
        <v>0</v>
      </c>
      <c r="AF1048" s="244" t="s">
        <v>4864</v>
      </c>
      <c r="AG1048" s="239" t="str">
        <f>IFERROR(VLOOKUP(작성용!A:A,RM!A:D,4,0),"-")</f>
        <v>강승현</v>
      </c>
      <c r="AH1048" s="9" t="s">
        <v>4860</v>
      </c>
      <c r="AI1048" s="235" t="s">
        <v>4771</v>
      </c>
      <c r="AJ1048" s="235" t="s">
        <v>4776</v>
      </c>
      <c r="AK1048" s="235" t="s">
        <v>4128</v>
      </c>
      <c r="AL1048" s="235">
        <v>1047</v>
      </c>
    </row>
    <row r="1049" spans="1:38" x14ac:dyDescent="0.3">
      <c r="A1049" s="222" t="s">
        <v>2202</v>
      </c>
      <c r="B1049" s="222" t="s">
        <v>2203</v>
      </c>
      <c r="C1049" s="241" t="s">
        <v>4778</v>
      </c>
      <c r="D1049" s="237" t="s">
        <v>4908</v>
      </c>
      <c r="E1049" s="236">
        <v>1311110553113</v>
      </c>
      <c r="F1049" s="240" t="s">
        <v>4854</v>
      </c>
      <c r="G1049" s="214">
        <v>0</v>
      </c>
      <c r="H1049" s="231" t="s">
        <v>4771</v>
      </c>
      <c r="I1049" s="231"/>
      <c r="J1049" s="231"/>
      <c r="K1049" s="231"/>
      <c r="L1049" s="231"/>
      <c r="M1049" s="231"/>
      <c r="N1049" s="231" t="s">
        <v>4806</v>
      </c>
      <c r="O1049" s="246" t="s">
        <v>6052</v>
      </c>
      <c r="P1049" s="246" t="s">
        <v>6053</v>
      </c>
      <c r="Q1049" s="225" t="s">
        <v>6054</v>
      </c>
      <c r="R1049" s="212" t="s">
        <v>2</v>
      </c>
      <c r="S1049" s="213" t="s">
        <v>4771</v>
      </c>
      <c r="T1049" s="233">
        <v>45596</v>
      </c>
      <c r="U1049" s="234" t="s">
        <v>4772</v>
      </c>
      <c r="V1049" s="234">
        <v>45660</v>
      </c>
      <c r="W1049" s="234">
        <v>45661</v>
      </c>
      <c r="X1049" s="234" t="s">
        <v>2</v>
      </c>
      <c r="Y1049" s="234"/>
      <c r="Z1049" s="234" t="s">
        <v>5035</v>
      </c>
      <c r="AA1049" s="224">
        <v>202412</v>
      </c>
      <c r="AB1049" s="243"/>
      <c r="AC1049" s="244" t="s">
        <v>4800</v>
      </c>
      <c r="AD1049" s="244" t="s">
        <v>4909</v>
      </c>
      <c r="AE1049" s="245">
        <v>1</v>
      </c>
      <c r="AF1049" s="244" t="s">
        <v>4909</v>
      </c>
      <c r="AG1049" s="239" t="str">
        <f>IFERROR(VLOOKUP(작성용!A:A,RM!A:D,4,0),"-")</f>
        <v>강승현</v>
      </c>
      <c r="AH1049" s="9" t="s">
        <v>4860</v>
      </c>
      <c r="AI1049" s="235" t="s">
        <v>4771</v>
      </c>
      <c r="AJ1049" s="235" t="s">
        <v>4776</v>
      </c>
      <c r="AK1049" s="235" t="s">
        <v>4128</v>
      </c>
      <c r="AL1049" s="235">
        <v>1048</v>
      </c>
    </row>
    <row r="1050" spans="1:38" x14ac:dyDescent="0.3">
      <c r="A1050" s="222" t="s">
        <v>2202</v>
      </c>
      <c r="B1050" s="222" t="s">
        <v>2203</v>
      </c>
      <c r="C1050" s="241" t="s">
        <v>4778</v>
      </c>
      <c r="D1050" s="237" t="s">
        <v>4908</v>
      </c>
      <c r="E1050" s="236">
        <v>1311110553113</v>
      </c>
      <c r="F1050" s="240" t="s">
        <v>4894</v>
      </c>
      <c r="G1050" s="214">
        <v>0</v>
      </c>
      <c r="H1050" s="231" t="s">
        <v>4771</v>
      </c>
      <c r="I1050" s="231"/>
      <c r="J1050" s="231"/>
      <c r="K1050" s="231"/>
      <c r="L1050" s="231"/>
      <c r="M1050" s="231"/>
      <c r="N1050" s="231" t="s">
        <v>4806</v>
      </c>
      <c r="O1050" s="246" t="s">
        <v>6052</v>
      </c>
      <c r="P1050" s="246" t="s">
        <v>6053</v>
      </c>
      <c r="Q1050" s="225" t="s">
        <v>6054</v>
      </c>
      <c r="R1050" s="212" t="s">
        <v>2</v>
      </c>
      <c r="S1050" s="213" t="s">
        <v>4771</v>
      </c>
      <c r="T1050" s="233">
        <v>45596</v>
      </c>
      <c r="U1050" s="234" t="s">
        <v>4772</v>
      </c>
      <c r="V1050" s="234">
        <v>45660</v>
      </c>
      <c r="W1050" s="234">
        <v>45661</v>
      </c>
      <c r="X1050" s="234" t="s">
        <v>2</v>
      </c>
      <c r="Y1050" s="234"/>
      <c r="Z1050" s="234" t="s">
        <v>5035</v>
      </c>
      <c r="AA1050" s="224">
        <v>202412</v>
      </c>
      <c r="AB1050" s="243"/>
      <c r="AC1050" s="244" t="s">
        <v>4800</v>
      </c>
      <c r="AD1050" s="244" t="s">
        <v>4909</v>
      </c>
      <c r="AE1050" s="245">
        <v>0</v>
      </c>
      <c r="AF1050" s="244" t="s">
        <v>4909</v>
      </c>
      <c r="AG1050" s="239" t="str">
        <f>IFERROR(VLOOKUP(작성용!A:A,RM!A:D,4,0),"-")</f>
        <v>강승현</v>
      </c>
      <c r="AH1050" s="9" t="s">
        <v>4860</v>
      </c>
      <c r="AI1050" s="235" t="s">
        <v>4771</v>
      </c>
      <c r="AJ1050" s="235" t="s">
        <v>4802</v>
      </c>
      <c r="AK1050" s="235" t="s">
        <v>4128</v>
      </c>
      <c r="AL1050" s="235">
        <v>1049</v>
      </c>
    </row>
    <row r="1051" spans="1:38" x14ac:dyDescent="0.3">
      <c r="A1051" s="222" t="s">
        <v>2202</v>
      </c>
      <c r="B1051" s="222" t="s">
        <v>2203</v>
      </c>
      <c r="C1051" s="241" t="s">
        <v>4778</v>
      </c>
      <c r="D1051" s="237" t="s">
        <v>4908</v>
      </c>
      <c r="E1051" s="236">
        <v>1311110553113</v>
      </c>
      <c r="F1051" s="240" t="s">
        <v>4780</v>
      </c>
      <c r="G1051" s="214">
        <v>0</v>
      </c>
      <c r="H1051" s="231" t="s">
        <v>4771</v>
      </c>
      <c r="I1051" s="231"/>
      <c r="J1051" s="231"/>
      <c r="K1051" s="231"/>
      <c r="L1051" s="231"/>
      <c r="M1051" s="231"/>
      <c r="N1051" s="231" t="s">
        <v>4806</v>
      </c>
      <c r="O1051" s="246" t="s">
        <v>6052</v>
      </c>
      <c r="P1051" s="246" t="s">
        <v>6053</v>
      </c>
      <c r="Q1051" s="225" t="s">
        <v>6054</v>
      </c>
      <c r="R1051" s="212" t="s">
        <v>2</v>
      </c>
      <c r="S1051" s="213" t="s">
        <v>4771</v>
      </c>
      <c r="T1051" s="233">
        <v>45596</v>
      </c>
      <c r="U1051" s="234" t="s">
        <v>4772</v>
      </c>
      <c r="V1051" s="234">
        <v>45660</v>
      </c>
      <c r="W1051" s="234">
        <v>45661</v>
      </c>
      <c r="X1051" s="234" t="s">
        <v>2</v>
      </c>
      <c r="Y1051" s="234"/>
      <c r="Z1051" s="234" t="s">
        <v>5035</v>
      </c>
      <c r="AA1051" s="224">
        <v>202412</v>
      </c>
      <c r="AB1051" s="243"/>
      <c r="AC1051" s="244" t="s">
        <v>4800</v>
      </c>
      <c r="AD1051" s="244" t="s">
        <v>4909</v>
      </c>
      <c r="AE1051" s="245">
        <v>0</v>
      </c>
      <c r="AF1051" s="244" t="s">
        <v>4909</v>
      </c>
      <c r="AG1051" s="239" t="str">
        <f>IFERROR(VLOOKUP(작성용!A:A,RM!A:D,4,0),"-")</f>
        <v>강승현</v>
      </c>
      <c r="AH1051" s="9" t="s">
        <v>4860</v>
      </c>
      <c r="AI1051" s="235" t="s">
        <v>4771</v>
      </c>
      <c r="AJ1051" s="235" t="s">
        <v>4776</v>
      </c>
      <c r="AK1051" s="235" t="s">
        <v>4128</v>
      </c>
      <c r="AL1051" s="235">
        <v>1050</v>
      </c>
    </row>
    <row r="1052" spans="1:38" x14ac:dyDescent="0.3">
      <c r="A1052" s="222" t="s">
        <v>2202</v>
      </c>
      <c r="B1052" s="222" t="s">
        <v>2203</v>
      </c>
      <c r="C1052" s="241" t="s">
        <v>4778</v>
      </c>
      <c r="D1052" s="237" t="s">
        <v>4910</v>
      </c>
      <c r="E1052" s="236">
        <v>1101115120946</v>
      </c>
      <c r="F1052" s="240" t="s">
        <v>4854</v>
      </c>
      <c r="G1052" s="214">
        <v>0</v>
      </c>
      <c r="H1052" s="231" t="s">
        <v>4767</v>
      </c>
      <c r="I1052" s="231"/>
      <c r="J1052" s="231"/>
      <c r="K1052" s="231"/>
      <c r="L1052" s="231"/>
      <c r="M1052" s="231"/>
      <c r="N1052" s="231" t="s">
        <v>4806</v>
      </c>
      <c r="O1052" s="246" t="s">
        <v>6052</v>
      </c>
      <c r="P1052" s="246" t="s">
        <v>6053</v>
      </c>
      <c r="Q1052" s="225" t="s">
        <v>6054</v>
      </c>
      <c r="R1052" s="212" t="s">
        <v>2</v>
      </c>
      <c r="S1052" s="213" t="s">
        <v>4771</v>
      </c>
      <c r="T1052" s="233">
        <v>45596</v>
      </c>
      <c r="U1052" s="234" t="s">
        <v>4772</v>
      </c>
      <c r="V1052" s="234">
        <v>45660</v>
      </c>
      <c r="W1052" s="234">
        <v>45661</v>
      </c>
      <c r="X1052" s="234" t="s">
        <v>2</v>
      </c>
      <c r="Y1052" s="234"/>
      <c r="Z1052" s="234" t="s">
        <v>5035</v>
      </c>
      <c r="AA1052" s="224">
        <v>202412</v>
      </c>
      <c r="AB1052" s="243"/>
      <c r="AC1052" s="244" t="s">
        <v>4800</v>
      </c>
      <c r="AD1052" s="244" t="s">
        <v>4911</v>
      </c>
      <c r="AE1052" s="245">
        <v>1</v>
      </c>
      <c r="AF1052" s="244" t="s">
        <v>4911</v>
      </c>
      <c r="AG1052" s="239" t="str">
        <f>IFERROR(VLOOKUP(작성용!A:A,RM!A:D,4,0),"-")</f>
        <v>강승현</v>
      </c>
      <c r="AH1052" s="9" t="s">
        <v>4860</v>
      </c>
      <c r="AI1052" s="235" t="s">
        <v>4771</v>
      </c>
      <c r="AJ1052" s="235" t="s">
        <v>4776</v>
      </c>
      <c r="AK1052" s="235" t="s">
        <v>4128</v>
      </c>
      <c r="AL1052" s="235">
        <v>1051</v>
      </c>
    </row>
    <row r="1053" spans="1:38" x14ac:dyDescent="0.3">
      <c r="A1053" s="222" t="s">
        <v>2202</v>
      </c>
      <c r="B1053" s="222" t="s">
        <v>2203</v>
      </c>
      <c r="C1053" s="241" t="s">
        <v>4778</v>
      </c>
      <c r="D1053" s="237" t="s">
        <v>4910</v>
      </c>
      <c r="E1053" s="236">
        <v>1101115120946</v>
      </c>
      <c r="F1053" s="240" t="s">
        <v>4850</v>
      </c>
      <c r="G1053" s="214">
        <v>1</v>
      </c>
      <c r="H1053" s="231" t="s">
        <v>4771</v>
      </c>
      <c r="I1053" s="231"/>
      <c r="J1053" s="231"/>
      <c r="K1053" s="231"/>
      <c r="L1053" s="231"/>
      <c r="M1053" s="231"/>
      <c r="N1053" s="231" t="s">
        <v>4806</v>
      </c>
      <c r="O1053" s="246" t="s">
        <v>6052</v>
      </c>
      <c r="P1053" s="246" t="s">
        <v>6053</v>
      </c>
      <c r="Q1053" s="225" t="s">
        <v>6054</v>
      </c>
      <c r="R1053" s="212" t="s">
        <v>2</v>
      </c>
      <c r="S1053" s="213" t="s">
        <v>4771</v>
      </c>
      <c r="T1053" s="233">
        <v>45596</v>
      </c>
      <c r="U1053" s="234" t="s">
        <v>4772</v>
      </c>
      <c r="V1053" s="234">
        <v>45660</v>
      </c>
      <c r="W1053" s="234">
        <v>45661</v>
      </c>
      <c r="X1053" s="234" t="s">
        <v>2</v>
      </c>
      <c r="Y1053" s="234"/>
      <c r="Z1053" s="234" t="s">
        <v>5035</v>
      </c>
      <c r="AA1053" s="224">
        <v>202412</v>
      </c>
      <c r="AB1053" s="243"/>
      <c r="AC1053" s="244" t="s">
        <v>4800</v>
      </c>
      <c r="AD1053" s="244" t="s">
        <v>4911</v>
      </c>
      <c r="AE1053" s="245">
        <v>0</v>
      </c>
      <c r="AF1053" s="244" t="s">
        <v>4911</v>
      </c>
      <c r="AG1053" s="239" t="str">
        <f>IFERROR(VLOOKUP(작성용!A:A,RM!A:D,4,0),"-")</f>
        <v>강승현</v>
      </c>
      <c r="AH1053" s="9" t="s">
        <v>4860</v>
      </c>
      <c r="AI1053" s="235" t="s">
        <v>4771</v>
      </c>
      <c r="AJ1053" s="235" t="s">
        <v>4776</v>
      </c>
      <c r="AK1053" s="235" t="s">
        <v>4128</v>
      </c>
      <c r="AL1053" s="235">
        <v>1052</v>
      </c>
    </row>
    <row r="1054" spans="1:38" x14ac:dyDescent="0.3">
      <c r="A1054" s="222" t="s">
        <v>2202</v>
      </c>
      <c r="B1054" s="222" t="s">
        <v>2203</v>
      </c>
      <c r="C1054" s="241" t="s">
        <v>4778</v>
      </c>
      <c r="D1054" s="237" t="s">
        <v>4910</v>
      </c>
      <c r="E1054" s="236">
        <v>1101115120946</v>
      </c>
      <c r="F1054" s="240" t="s">
        <v>4850</v>
      </c>
      <c r="G1054" s="214">
        <v>2</v>
      </c>
      <c r="H1054" s="231" t="s">
        <v>4771</v>
      </c>
      <c r="I1054" s="231"/>
      <c r="J1054" s="231"/>
      <c r="K1054" s="231"/>
      <c r="L1054" s="231"/>
      <c r="M1054" s="231"/>
      <c r="N1054" s="231" t="s">
        <v>4806</v>
      </c>
      <c r="O1054" s="246" t="s">
        <v>6055</v>
      </c>
      <c r="P1054" s="246" t="s">
        <v>6053</v>
      </c>
      <c r="Q1054" s="225" t="s">
        <v>6054</v>
      </c>
      <c r="R1054" s="212" t="s">
        <v>2</v>
      </c>
      <c r="S1054" s="213" t="s">
        <v>4771</v>
      </c>
      <c r="T1054" s="233">
        <v>45596</v>
      </c>
      <c r="U1054" s="234" t="s">
        <v>4772</v>
      </c>
      <c r="V1054" s="234">
        <v>45660</v>
      </c>
      <c r="W1054" s="234">
        <v>45661</v>
      </c>
      <c r="X1054" s="234" t="s">
        <v>2</v>
      </c>
      <c r="Y1054" s="234"/>
      <c r="Z1054" s="234" t="s">
        <v>5035</v>
      </c>
      <c r="AA1054" s="224">
        <v>202412</v>
      </c>
      <c r="AB1054" s="243"/>
      <c r="AC1054" s="244" t="s">
        <v>4800</v>
      </c>
      <c r="AD1054" s="244" t="s">
        <v>4911</v>
      </c>
      <c r="AE1054" s="245">
        <v>0</v>
      </c>
      <c r="AF1054" s="244" t="s">
        <v>4911</v>
      </c>
      <c r="AG1054" s="239" t="str">
        <f>IFERROR(VLOOKUP(작성용!A:A,RM!A:D,4,0),"-")</f>
        <v>강승현</v>
      </c>
      <c r="AH1054" s="9" t="s">
        <v>4860</v>
      </c>
      <c r="AI1054" s="235" t="s">
        <v>4771</v>
      </c>
      <c r="AJ1054" s="235" t="s">
        <v>4776</v>
      </c>
      <c r="AK1054" s="235" t="s">
        <v>4128</v>
      </c>
      <c r="AL1054" s="235">
        <v>1053</v>
      </c>
    </row>
    <row r="1055" spans="1:38" x14ac:dyDescent="0.3">
      <c r="A1055" s="222" t="s">
        <v>2202</v>
      </c>
      <c r="B1055" s="222" t="s">
        <v>2203</v>
      </c>
      <c r="C1055" s="241" t="s">
        <v>4778</v>
      </c>
      <c r="D1055" s="237" t="s">
        <v>4910</v>
      </c>
      <c r="E1055" s="236">
        <v>1101115120946</v>
      </c>
      <c r="F1055" s="240" t="s">
        <v>4850</v>
      </c>
      <c r="G1055" s="214">
        <v>3</v>
      </c>
      <c r="H1055" s="231" t="s">
        <v>4771</v>
      </c>
      <c r="I1055" s="231"/>
      <c r="J1055" s="231"/>
      <c r="K1055" s="231"/>
      <c r="L1055" s="231"/>
      <c r="M1055" s="231"/>
      <c r="N1055" s="231" t="s">
        <v>4806</v>
      </c>
      <c r="O1055" s="246" t="s">
        <v>6052</v>
      </c>
      <c r="P1055" s="246" t="s">
        <v>6053</v>
      </c>
      <c r="Q1055" s="225" t="s">
        <v>6054</v>
      </c>
      <c r="R1055" s="212" t="s">
        <v>2</v>
      </c>
      <c r="S1055" s="213" t="s">
        <v>4771</v>
      </c>
      <c r="T1055" s="233">
        <v>45596</v>
      </c>
      <c r="U1055" s="234" t="s">
        <v>4772</v>
      </c>
      <c r="V1055" s="234">
        <v>45660</v>
      </c>
      <c r="W1055" s="234">
        <v>45661</v>
      </c>
      <c r="X1055" s="234" t="s">
        <v>2</v>
      </c>
      <c r="Y1055" s="234"/>
      <c r="Z1055" s="234" t="s">
        <v>5035</v>
      </c>
      <c r="AA1055" s="224">
        <v>202412</v>
      </c>
      <c r="AB1055" s="243"/>
      <c r="AC1055" s="244" t="s">
        <v>4800</v>
      </c>
      <c r="AD1055" s="244" t="s">
        <v>4911</v>
      </c>
      <c r="AE1055" s="245">
        <v>0</v>
      </c>
      <c r="AF1055" s="244" t="s">
        <v>4911</v>
      </c>
      <c r="AG1055" s="239" t="str">
        <f>IFERROR(VLOOKUP(작성용!A:A,RM!A:D,4,0),"-")</f>
        <v>강승현</v>
      </c>
      <c r="AH1055" s="9" t="s">
        <v>4860</v>
      </c>
      <c r="AI1055" s="235" t="s">
        <v>4771</v>
      </c>
      <c r="AJ1055" s="235" t="s">
        <v>4776</v>
      </c>
      <c r="AK1055" s="235" t="s">
        <v>4128</v>
      </c>
      <c r="AL1055" s="235">
        <v>1054</v>
      </c>
    </row>
    <row r="1056" spans="1:38" x14ac:dyDescent="0.3">
      <c r="A1056" s="229" t="s">
        <v>2202</v>
      </c>
      <c r="B1056" s="229" t="s">
        <v>2203</v>
      </c>
      <c r="C1056" s="249" t="s">
        <v>4597</v>
      </c>
      <c r="D1056" s="260" t="s">
        <v>6056</v>
      </c>
      <c r="E1056" s="263">
        <v>1101140275039</v>
      </c>
      <c r="F1056" s="230" t="s">
        <v>4854</v>
      </c>
      <c r="G1056" s="214">
        <v>0</v>
      </c>
      <c r="H1056" s="231" t="s">
        <v>2</v>
      </c>
      <c r="I1056" s="231"/>
      <c r="J1056" s="231"/>
      <c r="K1056" s="231"/>
      <c r="L1056" s="231"/>
      <c r="M1056" s="231"/>
      <c r="N1056" s="225" t="s">
        <v>5566</v>
      </c>
      <c r="O1056" s="246" t="s">
        <v>6052</v>
      </c>
      <c r="P1056" s="246" t="s">
        <v>6053</v>
      </c>
      <c r="Q1056" s="225" t="s">
        <v>6054</v>
      </c>
      <c r="R1056" s="232" t="s">
        <v>2</v>
      </c>
      <c r="S1056" s="232" t="s">
        <v>4771</v>
      </c>
      <c r="T1056" s="233">
        <v>45596</v>
      </c>
      <c r="U1056" s="234" t="s">
        <v>4772</v>
      </c>
      <c r="V1056" s="234">
        <v>45660</v>
      </c>
      <c r="W1056" s="234">
        <v>45661</v>
      </c>
      <c r="X1056" s="234" t="s">
        <v>2</v>
      </c>
      <c r="Y1056" s="234"/>
      <c r="Z1056" s="234" t="s">
        <v>5035</v>
      </c>
      <c r="AA1056" s="224">
        <v>202412</v>
      </c>
      <c r="AB1056" s="243"/>
      <c r="AC1056" s="244" t="s">
        <v>4800</v>
      </c>
      <c r="AD1056" s="244" t="s">
        <v>4937</v>
      </c>
      <c r="AE1056" s="245">
        <v>1</v>
      </c>
      <c r="AF1056" s="244" t="s">
        <v>4937</v>
      </c>
      <c r="AG1056" s="239" t="str">
        <f>IFERROR(VLOOKUP(작성용!A:A,RM!A:D,4,0),"-")</f>
        <v>강승현</v>
      </c>
      <c r="AH1056" s="9" t="s">
        <v>4860</v>
      </c>
      <c r="AI1056" s="235" t="s">
        <v>4771</v>
      </c>
      <c r="AJ1056" s="235" t="s">
        <v>4776</v>
      </c>
      <c r="AK1056" s="235" t="s">
        <v>4128</v>
      </c>
      <c r="AL1056" s="235">
        <v>1055</v>
      </c>
    </row>
    <row r="1057" spans="1:38" x14ac:dyDescent="0.3">
      <c r="A1057" s="222" t="s">
        <v>2202</v>
      </c>
      <c r="B1057" s="222" t="s">
        <v>2203</v>
      </c>
      <c r="C1057" s="241" t="s">
        <v>4778</v>
      </c>
      <c r="D1057" s="237" t="s">
        <v>4912</v>
      </c>
      <c r="E1057" s="236">
        <v>1246110267276</v>
      </c>
      <c r="F1057" s="240" t="s">
        <v>4854</v>
      </c>
      <c r="G1057" s="214">
        <v>0</v>
      </c>
      <c r="H1057" s="231" t="s">
        <v>4771</v>
      </c>
      <c r="I1057" s="231"/>
      <c r="J1057" s="231"/>
      <c r="K1057" s="231"/>
      <c r="L1057" s="231"/>
      <c r="M1057" s="231"/>
      <c r="N1057" s="231" t="s">
        <v>4806</v>
      </c>
      <c r="O1057" s="246" t="s">
        <v>6052</v>
      </c>
      <c r="P1057" s="246" t="s">
        <v>6053</v>
      </c>
      <c r="Q1057" s="225" t="s">
        <v>6054</v>
      </c>
      <c r="R1057" s="212" t="s">
        <v>2</v>
      </c>
      <c r="S1057" s="213" t="s">
        <v>4771</v>
      </c>
      <c r="T1057" s="233">
        <v>45596</v>
      </c>
      <c r="U1057" s="234" t="s">
        <v>4772</v>
      </c>
      <c r="V1057" s="234">
        <v>45660</v>
      </c>
      <c r="W1057" s="234">
        <v>45661</v>
      </c>
      <c r="X1057" s="234" t="s">
        <v>2</v>
      </c>
      <c r="Y1057" s="234"/>
      <c r="Z1057" s="234" t="s">
        <v>5035</v>
      </c>
      <c r="AA1057" s="224">
        <v>202412</v>
      </c>
      <c r="AB1057" s="243"/>
      <c r="AC1057" s="244" t="s">
        <v>4800</v>
      </c>
      <c r="AD1057" s="244" t="s">
        <v>4845</v>
      </c>
      <c r="AE1057" s="245">
        <v>1</v>
      </c>
      <c r="AF1057" s="244" t="s">
        <v>4845</v>
      </c>
      <c r="AG1057" s="239" t="str">
        <f>IFERROR(VLOOKUP(작성용!A:A,RM!A:D,4,0),"-")</f>
        <v>강승현</v>
      </c>
      <c r="AH1057" s="9" t="s">
        <v>4860</v>
      </c>
      <c r="AI1057" s="235" t="s">
        <v>4771</v>
      </c>
      <c r="AJ1057" s="235" t="s">
        <v>4776</v>
      </c>
      <c r="AK1057" s="235" t="s">
        <v>4128</v>
      </c>
      <c r="AL1057" s="235">
        <v>1056</v>
      </c>
    </row>
    <row r="1058" spans="1:38" x14ac:dyDescent="0.3">
      <c r="A1058" s="222" t="s">
        <v>2202</v>
      </c>
      <c r="B1058" s="222" t="s">
        <v>2203</v>
      </c>
      <c r="C1058" s="241" t="s">
        <v>4778</v>
      </c>
      <c r="D1058" s="237" t="s">
        <v>4913</v>
      </c>
      <c r="E1058" s="236">
        <v>1101117391727</v>
      </c>
      <c r="F1058" s="240" t="s">
        <v>4854</v>
      </c>
      <c r="G1058" s="214">
        <v>0</v>
      </c>
      <c r="H1058" s="231" t="s">
        <v>4771</v>
      </c>
      <c r="I1058" s="231"/>
      <c r="J1058" s="231"/>
      <c r="K1058" s="231"/>
      <c r="L1058" s="231"/>
      <c r="M1058" s="231"/>
      <c r="N1058" s="231" t="s">
        <v>4806</v>
      </c>
      <c r="O1058" s="246" t="s">
        <v>6052</v>
      </c>
      <c r="P1058" s="246" t="s">
        <v>6053</v>
      </c>
      <c r="Q1058" s="225" t="s">
        <v>6054</v>
      </c>
      <c r="R1058" s="212" t="s">
        <v>2</v>
      </c>
      <c r="S1058" s="213" t="s">
        <v>4771</v>
      </c>
      <c r="T1058" s="233">
        <v>45596</v>
      </c>
      <c r="U1058" s="234" t="s">
        <v>4772</v>
      </c>
      <c r="V1058" s="234">
        <v>45660</v>
      </c>
      <c r="W1058" s="234">
        <v>45661</v>
      </c>
      <c r="X1058" s="234" t="s">
        <v>2</v>
      </c>
      <c r="Y1058" s="234"/>
      <c r="Z1058" s="234" t="s">
        <v>5035</v>
      </c>
      <c r="AA1058" s="224">
        <v>202412</v>
      </c>
      <c r="AB1058" s="243"/>
      <c r="AC1058" s="244" t="s">
        <v>4800</v>
      </c>
      <c r="AD1058" s="244" t="s">
        <v>4860</v>
      </c>
      <c r="AE1058" s="245">
        <v>1</v>
      </c>
      <c r="AF1058" s="244" t="s">
        <v>4860</v>
      </c>
      <c r="AG1058" s="239" t="str">
        <f>IFERROR(VLOOKUP(작성용!A:A,RM!A:D,4,0),"-")</f>
        <v>강승현</v>
      </c>
      <c r="AH1058" s="9" t="s">
        <v>4860</v>
      </c>
      <c r="AI1058" s="235" t="s">
        <v>4771</v>
      </c>
      <c r="AJ1058" s="235" t="s">
        <v>4776</v>
      </c>
      <c r="AK1058" s="235" t="s">
        <v>4128</v>
      </c>
      <c r="AL1058" s="235">
        <v>1057</v>
      </c>
    </row>
    <row r="1059" spans="1:38" x14ac:dyDescent="0.3">
      <c r="A1059" s="222" t="s">
        <v>2202</v>
      </c>
      <c r="B1059" s="222" t="s">
        <v>2203</v>
      </c>
      <c r="C1059" s="241" t="s">
        <v>4778</v>
      </c>
      <c r="D1059" s="237" t="s">
        <v>4913</v>
      </c>
      <c r="E1059" s="236">
        <v>1101117391727</v>
      </c>
      <c r="F1059" s="240" t="s">
        <v>4780</v>
      </c>
      <c r="G1059" s="214">
        <v>1</v>
      </c>
      <c r="H1059" s="231" t="s">
        <v>4771</v>
      </c>
      <c r="I1059" s="231"/>
      <c r="J1059" s="231"/>
      <c r="K1059" s="231"/>
      <c r="L1059" s="231"/>
      <c r="M1059" s="231"/>
      <c r="N1059" s="231" t="s">
        <v>4806</v>
      </c>
      <c r="O1059" s="246" t="s">
        <v>6052</v>
      </c>
      <c r="P1059" s="246" t="s">
        <v>6053</v>
      </c>
      <c r="Q1059" s="225" t="s">
        <v>6054</v>
      </c>
      <c r="R1059" s="212" t="s">
        <v>2</v>
      </c>
      <c r="S1059" s="213" t="s">
        <v>4771</v>
      </c>
      <c r="T1059" s="233">
        <v>45596</v>
      </c>
      <c r="U1059" s="234" t="s">
        <v>4772</v>
      </c>
      <c r="V1059" s="234">
        <v>45660</v>
      </c>
      <c r="W1059" s="234">
        <v>45661</v>
      </c>
      <c r="X1059" s="234" t="s">
        <v>2</v>
      </c>
      <c r="Y1059" s="234"/>
      <c r="Z1059" s="234" t="s">
        <v>5035</v>
      </c>
      <c r="AA1059" s="224">
        <v>202412</v>
      </c>
      <c r="AB1059" s="243"/>
      <c r="AC1059" s="244" t="s">
        <v>4800</v>
      </c>
      <c r="AD1059" s="244" t="s">
        <v>4860</v>
      </c>
      <c r="AE1059" s="245">
        <v>0</v>
      </c>
      <c r="AF1059" s="244" t="s">
        <v>4860</v>
      </c>
      <c r="AG1059" s="239" t="str">
        <f>IFERROR(VLOOKUP(작성용!A:A,RM!A:D,4,0),"-")</f>
        <v>강승현</v>
      </c>
      <c r="AH1059" s="9" t="s">
        <v>4860</v>
      </c>
      <c r="AI1059" s="235" t="s">
        <v>4771</v>
      </c>
      <c r="AJ1059" s="235" t="s">
        <v>4776</v>
      </c>
      <c r="AK1059" s="235" t="s">
        <v>4128</v>
      </c>
      <c r="AL1059" s="235">
        <v>1058</v>
      </c>
    </row>
    <row r="1060" spans="1:38" x14ac:dyDescent="0.3">
      <c r="A1060" s="222" t="s">
        <v>2202</v>
      </c>
      <c r="B1060" s="222" t="s">
        <v>2203</v>
      </c>
      <c r="C1060" s="241" t="s">
        <v>4778</v>
      </c>
      <c r="D1060" s="237" t="s">
        <v>4913</v>
      </c>
      <c r="E1060" s="236">
        <v>1101117391727</v>
      </c>
      <c r="F1060" s="240" t="s">
        <v>4850</v>
      </c>
      <c r="G1060" s="214">
        <v>0</v>
      </c>
      <c r="H1060" s="231" t="s">
        <v>4771</v>
      </c>
      <c r="I1060" s="231"/>
      <c r="J1060" s="231"/>
      <c r="K1060" s="231"/>
      <c r="L1060" s="231"/>
      <c r="M1060" s="231"/>
      <c r="N1060" s="231" t="s">
        <v>4806</v>
      </c>
      <c r="O1060" s="246" t="s">
        <v>6052</v>
      </c>
      <c r="P1060" s="246" t="s">
        <v>6053</v>
      </c>
      <c r="Q1060" s="225" t="s">
        <v>6054</v>
      </c>
      <c r="R1060" s="212" t="s">
        <v>2</v>
      </c>
      <c r="S1060" s="213" t="s">
        <v>4771</v>
      </c>
      <c r="T1060" s="233">
        <v>45596</v>
      </c>
      <c r="U1060" s="234" t="s">
        <v>4772</v>
      </c>
      <c r="V1060" s="234">
        <v>45660</v>
      </c>
      <c r="W1060" s="234">
        <v>45661</v>
      </c>
      <c r="X1060" s="234" t="s">
        <v>2</v>
      </c>
      <c r="Y1060" s="234"/>
      <c r="Z1060" s="234" t="s">
        <v>5035</v>
      </c>
      <c r="AA1060" s="224">
        <v>202412</v>
      </c>
      <c r="AB1060" s="243"/>
      <c r="AC1060" s="244" t="s">
        <v>4800</v>
      </c>
      <c r="AD1060" s="244" t="s">
        <v>4860</v>
      </c>
      <c r="AE1060" s="245">
        <v>0</v>
      </c>
      <c r="AF1060" s="244" t="s">
        <v>4860</v>
      </c>
      <c r="AG1060" s="239" t="str">
        <f>IFERROR(VLOOKUP(작성용!A:A,RM!A:D,4,0),"-")</f>
        <v>강승현</v>
      </c>
      <c r="AH1060" s="9" t="s">
        <v>4860</v>
      </c>
      <c r="AI1060" s="235" t="s">
        <v>4771</v>
      </c>
      <c r="AJ1060" s="235" t="s">
        <v>4776</v>
      </c>
      <c r="AK1060" s="235" t="s">
        <v>4128</v>
      </c>
      <c r="AL1060" s="235">
        <v>1059</v>
      </c>
    </row>
    <row r="1061" spans="1:38" x14ac:dyDescent="0.3">
      <c r="A1061" s="222" t="s">
        <v>2202</v>
      </c>
      <c r="B1061" s="222" t="s">
        <v>2203</v>
      </c>
      <c r="C1061" s="241" t="s">
        <v>4778</v>
      </c>
      <c r="D1061" s="237" t="s">
        <v>4914</v>
      </c>
      <c r="E1061" s="236">
        <v>1311110511715</v>
      </c>
      <c r="F1061" s="240" t="s">
        <v>4854</v>
      </c>
      <c r="G1061" s="214">
        <v>0</v>
      </c>
      <c r="H1061" s="231" t="s">
        <v>4771</v>
      </c>
      <c r="I1061" s="231"/>
      <c r="J1061" s="231"/>
      <c r="K1061" s="231"/>
      <c r="L1061" s="231"/>
      <c r="M1061" s="231"/>
      <c r="N1061" s="231" t="s">
        <v>4806</v>
      </c>
      <c r="O1061" s="246" t="s">
        <v>6052</v>
      </c>
      <c r="P1061" s="246" t="s">
        <v>6053</v>
      </c>
      <c r="Q1061" s="225" t="s">
        <v>6054</v>
      </c>
      <c r="R1061" s="212" t="s">
        <v>2</v>
      </c>
      <c r="S1061" s="213" t="s">
        <v>4771</v>
      </c>
      <c r="T1061" s="233">
        <v>45596</v>
      </c>
      <c r="U1061" s="234" t="s">
        <v>4772</v>
      </c>
      <c r="V1061" s="234">
        <v>45660</v>
      </c>
      <c r="W1061" s="234">
        <v>45661</v>
      </c>
      <c r="X1061" s="234" t="s">
        <v>2</v>
      </c>
      <c r="Y1061" s="234"/>
      <c r="Z1061" s="234" t="s">
        <v>5035</v>
      </c>
      <c r="AA1061" s="224">
        <v>202412</v>
      </c>
      <c r="AB1061" s="243"/>
      <c r="AC1061" s="244" t="s">
        <v>4800</v>
      </c>
      <c r="AD1061" s="244" t="s">
        <v>4915</v>
      </c>
      <c r="AE1061" s="245">
        <v>1</v>
      </c>
      <c r="AF1061" s="244" t="s">
        <v>4915</v>
      </c>
      <c r="AG1061" s="239" t="str">
        <f>IFERROR(VLOOKUP(작성용!A:A,RM!A:D,4,0),"-")</f>
        <v>강승현</v>
      </c>
      <c r="AH1061" s="9" t="s">
        <v>4860</v>
      </c>
      <c r="AI1061" s="235" t="s">
        <v>4771</v>
      </c>
      <c r="AJ1061" s="235" t="s">
        <v>4776</v>
      </c>
      <c r="AK1061" s="235" t="s">
        <v>4128</v>
      </c>
      <c r="AL1061" s="235">
        <v>1060</v>
      </c>
    </row>
    <row r="1062" spans="1:38" x14ac:dyDescent="0.3">
      <c r="A1062" s="222" t="s">
        <v>2202</v>
      </c>
      <c r="B1062" s="222" t="s">
        <v>6057</v>
      </c>
      <c r="C1062" s="241" t="s">
        <v>4778</v>
      </c>
      <c r="D1062" s="237" t="s">
        <v>6058</v>
      </c>
      <c r="E1062" s="236">
        <v>1101116358851</v>
      </c>
      <c r="F1062" s="240" t="s">
        <v>4780</v>
      </c>
      <c r="G1062" s="242">
        <v>1</v>
      </c>
      <c r="H1062" s="223" t="s">
        <v>4771</v>
      </c>
      <c r="I1062" s="223"/>
      <c r="J1062" s="223"/>
      <c r="K1062" s="223"/>
      <c r="L1062" s="223"/>
      <c r="M1062" s="223"/>
      <c r="N1062" s="225" t="s">
        <v>5566</v>
      </c>
      <c r="O1062" s="246" t="s">
        <v>6052</v>
      </c>
      <c r="P1062" s="246" t="s">
        <v>6053</v>
      </c>
      <c r="Q1062" s="225" t="s">
        <v>6054</v>
      </c>
      <c r="R1062" s="250" t="s">
        <v>2</v>
      </c>
      <c r="S1062" s="250" t="s">
        <v>4771</v>
      </c>
      <c r="T1062" s="233">
        <v>45596</v>
      </c>
      <c r="U1062" s="234" t="s">
        <v>4772</v>
      </c>
      <c r="V1062" s="234">
        <v>45660</v>
      </c>
      <c r="W1062" s="234">
        <v>45661</v>
      </c>
      <c r="X1062" s="234" t="s">
        <v>2</v>
      </c>
      <c r="Y1062" s="234"/>
      <c r="Z1062" s="234" t="s">
        <v>5035</v>
      </c>
      <c r="AA1062" s="224">
        <v>202412</v>
      </c>
      <c r="AB1062" s="243"/>
      <c r="AC1062" s="244" t="s">
        <v>4800</v>
      </c>
      <c r="AD1062" s="244" t="s">
        <v>4864</v>
      </c>
      <c r="AE1062" s="245">
        <v>1</v>
      </c>
      <c r="AF1062" s="244" t="s">
        <v>4864</v>
      </c>
      <c r="AG1062" s="239" t="str">
        <f>IFERROR(VLOOKUP(작성용!A:A,RM!A:D,4,0),"-")</f>
        <v>강승현</v>
      </c>
      <c r="AH1062" s="9" t="s">
        <v>4860</v>
      </c>
      <c r="AI1062" s="235" t="s">
        <v>4771</v>
      </c>
      <c r="AJ1062" s="235" t="s">
        <v>4776</v>
      </c>
      <c r="AK1062" s="235" t="s">
        <v>4128</v>
      </c>
      <c r="AL1062" s="235">
        <v>1061</v>
      </c>
    </row>
    <row r="1063" spans="1:38" x14ac:dyDescent="0.3">
      <c r="A1063" s="222" t="s">
        <v>767</v>
      </c>
      <c r="B1063" s="222" t="s">
        <v>768</v>
      </c>
      <c r="C1063" s="241" t="s">
        <v>4778</v>
      </c>
      <c r="D1063" s="237" t="s">
        <v>6059</v>
      </c>
      <c r="E1063" s="236">
        <v>1101110766670</v>
      </c>
      <c r="F1063" s="240" t="s">
        <v>4854</v>
      </c>
      <c r="G1063" s="242">
        <v>0</v>
      </c>
      <c r="H1063" s="223" t="s">
        <v>4771</v>
      </c>
      <c r="I1063" s="223"/>
      <c r="J1063" s="223"/>
      <c r="K1063" s="223"/>
      <c r="L1063" s="223"/>
      <c r="M1063" s="223"/>
      <c r="N1063" s="240" t="s">
        <v>4972</v>
      </c>
      <c r="O1063" s="240" t="s">
        <v>6060</v>
      </c>
      <c r="P1063" s="240" t="s">
        <v>6061</v>
      </c>
      <c r="Q1063" s="240" t="s">
        <v>6062</v>
      </c>
      <c r="R1063" s="250" t="s">
        <v>4771</v>
      </c>
      <c r="S1063" s="250" t="s">
        <v>4771</v>
      </c>
      <c r="T1063" s="233">
        <v>45596</v>
      </c>
      <c r="U1063" s="234" t="s">
        <v>4772</v>
      </c>
      <c r="V1063" s="234">
        <v>45660</v>
      </c>
      <c r="W1063" s="234">
        <v>45667</v>
      </c>
      <c r="X1063" s="234" t="s">
        <v>2</v>
      </c>
      <c r="Y1063" s="234"/>
      <c r="Z1063" s="234" t="s">
        <v>6063</v>
      </c>
      <c r="AA1063" s="243">
        <v>202412</v>
      </c>
      <c r="AB1063" s="243"/>
      <c r="AC1063" s="244" t="s">
        <v>5051</v>
      </c>
      <c r="AD1063" s="244" t="s">
        <v>4937</v>
      </c>
      <c r="AE1063" s="245">
        <v>1</v>
      </c>
      <c r="AF1063" s="244" t="s">
        <v>4937</v>
      </c>
      <c r="AG1063" s="239" t="str">
        <f>IFERROR(VLOOKUP(작성용!A:A,RM!A:D,4,0),"-")</f>
        <v>이문수</v>
      </c>
      <c r="AH1063" s="251" t="s">
        <v>4937</v>
      </c>
      <c r="AI1063" s="235" t="s">
        <v>4771</v>
      </c>
      <c r="AJ1063" s="235" t="s">
        <v>4776</v>
      </c>
      <c r="AK1063" s="235" t="s">
        <v>4128</v>
      </c>
      <c r="AL1063" s="235">
        <v>1062</v>
      </c>
    </row>
    <row r="1064" spans="1:38" x14ac:dyDescent="0.3">
      <c r="A1064" s="222" t="s">
        <v>767</v>
      </c>
      <c r="B1064" s="222" t="s">
        <v>768</v>
      </c>
      <c r="C1064" s="241" t="s">
        <v>4778</v>
      </c>
      <c r="D1064" s="237" t="s">
        <v>6064</v>
      </c>
      <c r="E1064" s="236">
        <v>1101111785538</v>
      </c>
      <c r="F1064" s="240" t="s">
        <v>4854</v>
      </c>
      <c r="G1064" s="242">
        <v>0</v>
      </c>
      <c r="H1064" s="223" t="s">
        <v>4771</v>
      </c>
      <c r="I1064" s="223"/>
      <c r="J1064" s="223"/>
      <c r="K1064" s="223"/>
      <c r="L1064" s="223"/>
      <c r="M1064" s="223"/>
      <c r="N1064" s="240" t="s">
        <v>4972</v>
      </c>
      <c r="O1064" s="240" t="s">
        <v>6060</v>
      </c>
      <c r="P1064" s="240" t="s">
        <v>6061</v>
      </c>
      <c r="Q1064" s="240" t="s">
        <v>6062</v>
      </c>
      <c r="R1064" s="250" t="s">
        <v>4771</v>
      </c>
      <c r="S1064" s="250" t="s">
        <v>4771</v>
      </c>
      <c r="T1064" s="233">
        <v>45596</v>
      </c>
      <c r="U1064" s="234" t="s">
        <v>4772</v>
      </c>
      <c r="V1064" s="234">
        <v>45660</v>
      </c>
      <c r="W1064" s="234">
        <v>45667</v>
      </c>
      <c r="X1064" s="234" t="s">
        <v>2</v>
      </c>
      <c r="Y1064" s="234"/>
      <c r="Z1064" s="234" t="s">
        <v>6063</v>
      </c>
      <c r="AA1064" s="243">
        <v>202412</v>
      </c>
      <c r="AB1064" s="243"/>
      <c r="AC1064" s="244" t="s">
        <v>5051</v>
      </c>
      <c r="AD1064" s="244" t="s">
        <v>4927</v>
      </c>
      <c r="AE1064" s="245">
        <v>1</v>
      </c>
      <c r="AF1064" s="244" t="s">
        <v>4927</v>
      </c>
      <c r="AG1064" s="239" t="str">
        <f>IFERROR(VLOOKUP(작성용!A:A,RM!A:D,4,0),"-")</f>
        <v>이문수</v>
      </c>
      <c r="AH1064" s="251" t="s">
        <v>4937</v>
      </c>
      <c r="AI1064" s="235" t="s">
        <v>4771</v>
      </c>
      <c r="AJ1064" s="235" t="s">
        <v>4776</v>
      </c>
      <c r="AK1064" s="235" t="s">
        <v>4128</v>
      </c>
      <c r="AL1064" s="235">
        <v>1063</v>
      </c>
    </row>
    <row r="1065" spans="1:38" x14ac:dyDescent="0.3">
      <c r="A1065" s="222" t="s">
        <v>735</v>
      </c>
      <c r="B1065" s="222" t="s">
        <v>6065</v>
      </c>
      <c r="C1065" s="241" t="s">
        <v>4778</v>
      </c>
      <c r="D1065" s="237" t="s">
        <v>6066</v>
      </c>
      <c r="E1065" s="236">
        <v>1345110344826</v>
      </c>
      <c r="F1065" s="240" t="s">
        <v>4854</v>
      </c>
      <c r="G1065" s="238">
        <v>0</v>
      </c>
      <c r="H1065" s="223" t="s">
        <v>4771</v>
      </c>
      <c r="I1065" s="231"/>
      <c r="J1065" s="231"/>
      <c r="K1065" s="231"/>
      <c r="L1065" s="231"/>
      <c r="M1065" s="231"/>
      <c r="N1065" s="225" t="s">
        <v>5566</v>
      </c>
      <c r="O1065" s="225" t="s">
        <v>6067</v>
      </c>
      <c r="P1065" s="225" t="s">
        <v>6068</v>
      </c>
      <c r="Q1065" s="230" t="s">
        <v>6069</v>
      </c>
      <c r="R1065" s="232" t="s">
        <v>4771</v>
      </c>
      <c r="S1065" s="263" t="s">
        <v>4771</v>
      </c>
      <c r="T1065" s="233">
        <v>45596</v>
      </c>
      <c r="U1065" s="234" t="s">
        <v>4772</v>
      </c>
      <c r="V1065" s="234">
        <v>45665</v>
      </c>
      <c r="W1065" s="234">
        <v>45672</v>
      </c>
      <c r="X1065" s="234" t="s">
        <v>4771</v>
      </c>
      <c r="Y1065" s="234"/>
      <c r="Z1065" s="234" t="s">
        <v>6070</v>
      </c>
      <c r="AA1065" s="224">
        <v>202412</v>
      </c>
      <c r="AB1065" s="243"/>
      <c r="AC1065" s="244" t="s">
        <v>6071</v>
      </c>
      <c r="AD1065" s="244" t="s">
        <v>4761</v>
      </c>
      <c r="AE1065" s="245">
        <v>1</v>
      </c>
      <c r="AF1065" s="244" t="s">
        <v>4761</v>
      </c>
      <c r="AG1065" s="239" t="str">
        <f>IFERROR(VLOOKUP(작성용!A:A,RM!A:D,4,0),"-")</f>
        <v>백형진</v>
      </c>
      <c r="AH1065" s="9" t="s">
        <v>4761</v>
      </c>
      <c r="AI1065" s="235" t="s">
        <v>4771</v>
      </c>
      <c r="AJ1065" s="235" t="s">
        <v>4776</v>
      </c>
      <c r="AK1065" s="235" t="s">
        <v>4777</v>
      </c>
      <c r="AL1065" s="235">
        <v>1064</v>
      </c>
    </row>
    <row r="1066" spans="1:38" x14ac:dyDescent="0.3">
      <c r="A1066" s="222" t="s">
        <v>6072</v>
      </c>
      <c r="B1066" s="222" t="s">
        <v>6073</v>
      </c>
      <c r="C1066" s="241" t="s">
        <v>4778</v>
      </c>
      <c r="D1066" s="221" t="s">
        <v>6074</v>
      </c>
      <c r="E1066" s="236">
        <v>1101115199595</v>
      </c>
      <c r="F1066" s="225" t="s">
        <v>4854</v>
      </c>
      <c r="G1066" s="238">
        <v>0</v>
      </c>
      <c r="H1066" s="223" t="s">
        <v>4771</v>
      </c>
      <c r="I1066" s="223"/>
      <c r="J1066" s="223"/>
      <c r="K1066" s="223"/>
      <c r="L1066" s="223"/>
      <c r="M1066" s="223"/>
      <c r="N1066" s="225" t="s">
        <v>5566</v>
      </c>
      <c r="O1066" s="225" t="s">
        <v>6075</v>
      </c>
      <c r="P1066" s="225" t="s">
        <v>6076</v>
      </c>
      <c r="Q1066" s="240" t="s">
        <v>6077</v>
      </c>
      <c r="R1066" s="250" t="s">
        <v>2</v>
      </c>
      <c r="S1066" s="236" t="s">
        <v>4771</v>
      </c>
      <c r="T1066" s="233">
        <v>45596</v>
      </c>
      <c r="U1066" s="234" t="s">
        <v>4759</v>
      </c>
      <c r="V1066" s="234">
        <v>45665</v>
      </c>
      <c r="W1066" s="234">
        <v>45672</v>
      </c>
      <c r="X1066" s="234" t="s">
        <v>4771</v>
      </c>
      <c r="Y1066" s="234"/>
      <c r="Z1066" s="234" t="s">
        <v>6078</v>
      </c>
      <c r="AA1066" s="224">
        <v>202411</v>
      </c>
      <c r="AB1066" s="243"/>
      <c r="AC1066" s="244" t="s">
        <v>6071</v>
      </c>
      <c r="AD1066" s="244" t="s">
        <v>4862</v>
      </c>
      <c r="AE1066" s="245">
        <v>1</v>
      </c>
      <c r="AF1066" s="244" t="s">
        <v>4862</v>
      </c>
      <c r="AG1066" s="239" t="str">
        <f>IFERROR(VLOOKUP(작성용!A:A,RM!A:D,4,0),"-")</f>
        <v>서동현</v>
      </c>
      <c r="AH1066" s="9" t="s">
        <v>4862</v>
      </c>
      <c r="AI1066" s="235" t="s">
        <v>4771</v>
      </c>
      <c r="AJ1066" s="235" t="s">
        <v>4776</v>
      </c>
      <c r="AK1066" s="235" t="s">
        <v>4777</v>
      </c>
      <c r="AL1066" s="235">
        <v>1065</v>
      </c>
    </row>
    <row r="1067" spans="1:38" x14ac:dyDescent="0.3">
      <c r="A1067" s="222" t="s">
        <v>705</v>
      </c>
      <c r="B1067" s="222" t="s">
        <v>6079</v>
      </c>
      <c r="C1067" s="241" t="s">
        <v>4762</v>
      </c>
      <c r="D1067" s="221" t="s">
        <v>6080</v>
      </c>
      <c r="E1067" s="236">
        <v>1101116362323</v>
      </c>
      <c r="F1067" s="225" t="s">
        <v>4854</v>
      </c>
      <c r="G1067" s="238">
        <v>0</v>
      </c>
      <c r="H1067" s="223" t="s">
        <v>4771</v>
      </c>
      <c r="I1067" s="223"/>
      <c r="J1067" s="223"/>
      <c r="K1067" s="223"/>
      <c r="L1067" s="223"/>
      <c r="M1067" s="223"/>
      <c r="N1067" s="225" t="s">
        <v>5566</v>
      </c>
      <c r="O1067" s="225" t="s">
        <v>6081</v>
      </c>
      <c r="P1067" s="225" t="s">
        <v>6082</v>
      </c>
      <c r="Q1067" s="240" t="s">
        <v>6083</v>
      </c>
      <c r="R1067" s="250" t="s">
        <v>2</v>
      </c>
      <c r="S1067" s="236" t="s">
        <v>4771</v>
      </c>
      <c r="T1067" s="233">
        <v>45596</v>
      </c>
      <c r="U1067" s="234" t="s">
        <v>4759</v>
      </c>
      <c r="V1067" s="234">
        <v>45618</v>
      </c>
      <c r="W1067" s="234">
        <v>45635</v>
      </c>
      <c r="X1067" s="234" t="s">
        <v>4771</v>
      </c>
      <c r="Y1067" s="234"/>
      <c r="Z1067" s="234" t="s">
        <v>5035</v>
      </c>
      <c r="AA1067" s="224">
        <v>202411</v>
      </c>
      <c r="AB1067" s="243"/>
      <c r="AC1067" s="244" t="s">
        <v>6071</v>
      </c>
      <c r="AD1067" s="244" t="s">
        <v>4536</v>
      </c>
      <c r="AE1067" s="245">
        <v>1</v>
      </c>
      <c r="AF1067" s="244" t="s">
        <v>4536</v>
      </c>
      <c r="AG1067" s="239" t="str">
        <f>IFERROR(VLOOKUP(작성용!A:A,RM!A:D,4,0),"-")</f>
        <v>원정우</v>
      </c>
      <c r="AH1067" s="9" t="s">
        <v>4987</v>
      </c>
      <c r="AI1067" s="235" t="s">
        <v>6084</v>
      </c>
      <c r="AJ1067" s="235" t="s">
        <v>4776</v>
      </c>
      <c r="AK1067" s="235" t="s">
        <v>4777</v>
      </c>
      <c r="AL1067" s="235">
        <v>1066</v>
      </c>
    </row>
    <row r="1068" spans="1:38" x14ac:dyDescent="0.3">
      <c r="A1068" s="222" t="s">
        <v>705</v>
      </c>
      <c r="B1068" s="222" t="s">
        <v>6079</v>
      </c>
      <c r="C1068" s="241" t="s">
        <v>4762</v>
      </c>
      <c r="D1068" s="221" t="s">
        <v>6080</v>
      </c>
      <c r="E1068" s="236">
        <v>1101116362323</v>
      </c>
      <c r="F1068" s="225" t="s">
        <v>4850</v>
      </c>
      <c r="G1068" s="238">
        <v>0</v>
      </c>
      <c r="H1068" s="223" t="s">
        <v>4771</v>
      </c>
      <c r="I1068" s="223"/>
      <c r="J1068" s="223"/>
      <c r="K1068" s="223"/>
      <c r="L1068" s="223"/>
      <c r="M1068" s="223"/>
      <c r="N1068" s="225" t="s">
        <v>5566</v>
      </c>
      <c r="O1068" s="225" t="s">
        <v>6081</v>
      </c>
      <c r="P1068" s="225" t="s">
        <v>6082</v>
      </c>
      <c r="Q1068" s="240" t="s">
        <v>6083</v>
      </c>
      <c r="R1068" s="250" t="s">
        <v>2</v>
      </c>
      <c r="S1068" s="236" t="s">
        <v>4771</v>
      </c>
      <c r="T1068" s="233">
        <v>45596</v>
      </c>
      <c r="U1068" s="234" t="s">
        <v>4759</v>
      </c>
      <c r="V1068" s="234">
        <v>45618</v>
      </c>
      <c r="W1068" s="234">
        <v>45635</v>
      </c>
      <c r="X1068" s="234" t="s">
        <v>4771</v>
      </c>
      <c r="Y1068" s="234"/>
      <c r="Z1068" s="234" t="s">
        <v>5035</v>
      </c>
      <c r="AA1068" s="224">
        <v>202411</v>
      </c>
      <c r="AB1068" s="243"/>
      <c r="AC1068" s="244" t="s">
        <v>6071</v>
      </c>
      <c r="AD1068" s="244" t="s">
        <v>4536</v>
      </c>
      <c r="AE1068" s="245">
        <v>0</v>
      </c>
      <c r="AF1068" s="244" t="s">
        <v>4536</v>
      </c>
      <c r="AG1068" s="239" t="str">
        <f>IFERROR(VLOOKUP(작성용!A:A,RM!A:D,4,0),"-")</f>
        <v>원정우</v>
      </c>
      <c r="AH1068" s="9" t="s">
        <v>4987</v>
      </c>
      <c r="AI1068" s="235" t="s">
        <v>6084</v>
      </c>
      <c r="AJ1068" s="235" t="s">
        <v>4776</v>
      </c>
      <c r="AK1068" s="235" t="s">
        <v>4777</v>
      </c>
      <c r="AL1068" s="235">
        <v>1067</v>
      </c>
    </row>
    <row r="1069" spans="1:38" x14ac:dyDescent="0.3">
      <c r="A1069" s="222" t="s">
        <v>705</v>
      </c>
      <c r="B1069" s="222" t="s">
        <v>6079</v>
      </c>
      <c r="C1069" s="241" t="s">
        <v>4762</v>
      </c>
      <c r="D1069" s="221" t="s">
        <v>6085</v>
      </c>
      <c r="E1069" s="236" t="s">
        <v>6086</v>
      </c>
      <c r="F1069" s="225" t="s">
        <v>5200</v>
      </c>
      <c r="G1069" s="238">
        <v>0</v>
      </c>
      <c r="H1069" s="223" t="s">
        <v>4771</v>
      </c>
      <c r="I1069" s="223"/>
      <c r="J1069" s="223"/>
      <c r="K1069" s="223"/>
      <c r="L1069" s="223"/>
      <c r="M1069" s="223"/>
      <c r="N1069" s="225" t="s">
        <v>5566</v>
      </c>
      <c r="O1069" s="225" t="s">
        <v>6081</v>
      </c>
      <c r="P1069" s="225" t="s">
        <v>6082</v>
      </c>
      <c r="Q1069" s="240" t="s">
        <v>6083</v>
      </c>
      <c r="R1069" s="250" t="s">
        <v>2</v>
      </c>
      <c r="S1069" s="236" t="s">
        <v>4771</v>
      </c>
      <c r="T1069" s="233">
        <v>45596</v>
      </c>
      <c r="U1069" s="234" t="s">
        <v>4759</v>
      </c>
      <c r="V1069" s="234">
        <v>45618</v>
      </c>
      <c r="W1069" s="234">
        <v>45635</v>
      </c>
      <c r="X1069" s="234" t="s">
        <v>4771</v>
      </c>
      <c r="Y1069" s="234"/>
      <c r="Z1069" s="234" t="s">
        <v>5035</v>
      </c>
      <c r="AA1069" s="224">
        <v>202411</v>
      </c>
      <c r="AB1069" s="243"/>
      <c r="AC1069" s="244" t="s">
        <v>6071</v>
      </c>
      <c r="AD1069" s="244" t="s">
        <v>3647</v>
      </c>
      <c r="AE1069" s="245">
        <v>1</v>
      </c>
      <c r="AF1069" s="244" t="s">
        <v>3647</v>
      </c>
      <c r="AG1069" s="239" t="str">
        <f>IFERROR(VLOOKUP(작성용!A:A,RM!A:D,4,0),"-")</f>
        <v>원정우</v>
      </c>
      <c r="AH1069" s="9" t="s">
        <v>4987</v>
      </c>
      <c r="AI1069" s="235" t="s">
        <v>6084</v>
      </c>
      <c r="AJ1069" s="235" t="s">
        <v>4776</v>
      </c>
      <c r="AK1069" s="235" t="s">
        <v>4777</v>
      </c>
      <c r="AL1069" s="235">
        <v>1068</v>
      </c>
    </row>
    <row r="1070" spans="1:38" x14ac:dyDescent="0.3">
      <c r="A1070" s="222" t="s">
        <v>705</v>
      </c>
      <c r="B1070" s="222" t="s">
        <v>6079</v>
      </c>
      <c r="C1070" s="241" t="s">
        <v>4762</v>
      </c>
      <c r="D1070" s="221" t="s">
        <v>6087</v>
      </c>
      <c r="E1070" s="236" t="s">
        <v>6088</v>
      </c>
      <c r="F1070" s="225" t="s">
        <v>5200</v>
      </c>
      <c r="G1070" s="238">
        <v>0</v>
      </c>
      <c r="H1070" s="223" t="s">
        <v>4771</v>
      </c>
      <c r="I1070" s="223"/>
      <c r="J1070" s="223"/>
      <c r="K1070" s="223"/>
      <c r="L1070" s="223"/>
      <c r="M1070" s="223"/>
      <c r="N1070" s="225" t="s">
        <v>5566</v>
      </c>
      <c r="O1070" s="225" t="s">
        <v>6081</v>
      </c>
      <c r="P1070" s="225" t="s">
        <v>6082</v>
      </c>
      <c r="Q1070" s="240" t="s">
        <v>6083</v>
      </c>
      <c r="R1070" s="250" t="s">
        <v>2</v>
      </c>
      <c r="S1070" s="236" t="s">
        <v>4771</v>
      </c>
      <c r="T1070" s="233">
        <v>45596</v>
      </c>
      <c r="U1070" s="234" t="s">
        <v>4759</v>
      </c>
      <c r="V1070" s="234">
        <v>45618</v>
      </c>
      <c r="W1070" s="234">
        <v>45635</v>
      </c>
      <c r="X1070" s="234" t="s">
        <v>4771</v>
      </c>
      <c r="Y1070" s="234"/>
      <c r="Z1070" s="234" t="s">
        <v>5035</v>
      </c>
      <c r="AA1070" s="224">
        <v>202411</v>
      </c>
      <c r="AB1070" s="243"/>
      <c r="AC1070" s="244" t="s">
        <v>6071</v>
      </c>
      <c r="AD1070" s="244" t="s">
        <v>4935</v>
      </c>
      <c r="AE1070" s="245">
        <v>1</v>
      </c>
      <c r="AF1070" s="244" t="s">
        <v>4762</v>
      </c>
      <c r="AG1070" s="239" t="str">
        <f>IFERROR(VLOOKUP(작성용!A:A,RM!A:D,4,0),"-")</f>
        <v>원정우</v>
      </c>
      <c r="AH1070" s="9" t="s">
        <v>4987</v>
      </c>
      <c r="AI1070" s="235" t="s">
        <v>6084</v>
      </c>
      <c r="AJ1070" s="235" t="s">
        <v>4776</v>
      </c>
      <c r="AK1070" s="235" t="s">
        <v>4777</v>
      </c>
      <c r="AL1070" s="235">
        <v>1069</v>
      </c>
    </row>
    <row r="1071" spans="1:38" x14ac:dyDescent="0.3">
      <c r="A1071" s="222" t="s">
        <v>705</v>
      </c>
      <c r="B1071" s="222" t="s">
        <v>6079</v>
      </c>
      <c r="C1071" s="241" t="s">
        <v>4762</v>
      </c>
      <c r="D1071" s="221" t="s">
        <v>6089</v>
      </c>
      <c r="E1071" s="236" t="s">
        <v>6090</v>
      </c>
      <c r="F1071" s="225" t="s">
        <v>5200</v>
      </c>
      <c r="G1071" s="238">
        <v>0</v>
      </c>
      <c r="H1071" s="223" t="s">
        <v>4771</v>
      </c>
      <c r="I1071" s="223"/>
      <c r="J1071" s="223"/>
      <c r="K1071" s="223"/>
      <c r="L1071" s="223"/>
      <c r="M1071" s="223"/>
      <c r="N1071" s="225" t="s">
        <v>5566</v>
      </c>
      <c r="O1071" s="225" t="s">
        <v>6081</v>
      </c>
      <c r="P1071" s="225" t="s">
        <v>6082</v>
      </c>
      <c r="Q1071" s="240" t="s">
        <v>6083</v>
      </c>
      <c r="R1071" s="250" t="s">
        <v>2</v>
      </c>
      <c r="S1071" s="236" t="s">
        <v>4771</v>
      </c>
      <c r="T1071" s="233">
        <v>45596</v>
      </c>
      <c r="U1071" s="234" t="s">
        <v>4759</v>
      </c>
      <c r="V1071" s="234">
        <v>45618</v>
      </c>
      <c r="W1071" s="234">
        <v>45635</v>
      </c>
      <c r="X1071" s="234" t="s">
        <v>4771</v>
      </c>
      <c r="Y1071" s="234"/>
      <c r="Z1071" s="234" t="s">
        <v>5035</v>
      </c>
      <c r="AA1071" s="224">
        <v>202411</v>
      </c>
      <c r="AB1071" s="243"/>
      <c r="AC1071" s="244" t="s">
        <v>6071</v>
      </c>
      <c r="AD1071" s="244" t="s">
        <v>4982</v>
      </c>
      <c r="AE1071" s="245">
        <v>1</v>
      </c>
      <c r="AF1071" s="244" t="s">
        <v>4762</v>
      </c>
      <c r="AG1071" s="239" t="str">
        <f>IFERROR(VLOOKUP(작성용!A:A,RM!A:D,4,0),"-")</f>
        <v>원정우</v>
      </c>
      <c r="AH1071" s="9" t="s">
        <v>4987</v>
      </c>
      <c r="AI1071" s="235" t="s">
        <v>6084</v>
      </c>
      <c r="AJ1071" s="235" t="s">
        <v>4776</v>
      </c>
      <c r="AK1071" s="235" t="s">
        <v>4777</v>
      </c>
      <c r="AL1071" s="235">
        <v>1070</v>
      </c>
    </row>
    <row r="1072" spans="1:38" x14ac:dyDescent="0.3">
      <c r="A1072" s="222" t="s">
        <v>705</v>
      </c>
      <c r="B1072" s="222" t="s">
        <v>6079</v>
      </c>
      <c r="C1072" s="241" t="s">
        <v>4762</v>
      </c>
      <c r="D1072" s="221" t="s">
        <v>6091</v>
      </c>
      <c r="E1072" s="236" t="s">
        <v>6092</v>
      </c>
      <c r="F1072" s="225" t="s">
        <v>5200</v>
      </c>
      <c r="G1072" s="238">
        <v>0</v>
      </c>
      <c r="H1072" s="223" t="s">
        <v>4771</v>
      </c>
      <c r="I1072" s="223"/>
      <c r="J1072" s="223"/>
      <c r="K1072" s="223"/>
      <c r="L1072" s="223"/>
      <c r="M1072" s="223"/>
      <c r="N1072" s="225" t="s">
        <v>5566</v>
      </c>
      <c r="O1072" s="225" t="s">
        <v>6081</v>
      </c>
      <c r="P1072" s="225" t="s">
        <v>6082</v>
      </c>
      <c r="Q1072" s="240" t="s">
        <v>6083</v>
      </c>
      <c r="R1072" s="250" t="s">
        <v>2</v>
      </c>
      <c r="S1072" s="236" t="s">
        <v>4771</v>
      </c>
      <c r="T1072" s="233">
        <v>45596</v>
      </c>
      <c r="U1072" s="234" t="s">
        <v>4759</v>
      </c>
      <c r="V1072" s="234">
        <v>45618</v>
      </c>
      <c r="W1072" s="234">
        <v>45635</v>
      </c>
      <c r="X1072" s="234" t="s">
        <v>4771</v>
      </c>
      <c r="Y1072" s="234"/>
      <c r="Z1072" s="234" t="s">
        <v>5035</v>
      </c>
      <c r="AA1072" s="224">
        <v>202411</v>
      </c>
      <c r="AB1072" s="243"/>
      <c r="AC1072" s="244" t="s">
        <v>6071</v>
      </c>
      <c r="AD1072" s="244" t="s">
        <v>4945</v>
      </c>
      <c r="AE1072" s="245">
        <v>1</v>
      </c>
      <c r="AF1072" s="244" t="s">
        <v>4762</v>
      </c>
      <c r="AG1072" s="239" t="str">
        <f>IFERROR(VLOOKUP(작성용!A:A,RM!A:D,4,0),"-")</f>
        <v>원정우</v>
      </c>
      <c r="AH1072" s="9" t="s">
        <v>4987</v>
      </c>
      <c r="AI1072" s="235" t="s">
        <v>6084</v>
      </c>
      <c r="AJ1072" s="235" t="s">
        <v>4776</v>
      </c>
      <c r="AK1072" s="235" t="s">
        <v>4777</v>
      </c>
      <c r="AL1072" s="235">
        <v>1071</v>
      </c>
    </row>
    <row r="1073" spans="1:38" x14ac:dyDescent="0.3">
      <c r="A1073" s="222" t="s">
        <v>3069</v>
      </c>
      <c r="B1073" s="222" t="s">
        <v>6093</v>
      </c>
      <c r="C1073" s="241" t="s">
        <v>4778</v>
      </c>
      <c r="D1073" s="237" t="s">
        <v>6094</v>
      </c>
      <c r="E1073" s="236" t="s">
        <v>6095</v>
      </c>
      <c r="F1073" s="240" t="s">
        <v>5355</v>
      </c>
      <c r="G1073" s="238">
        <v>0</v>
      </c>
      <c r="H1073" s="223" t="s">
        <v>4771</v>
      </c>
      <c r="I1073" s="231"/>
      <c r="J1073" s="231"/>
      <c r="K1073" s="231"/>
      <c r="L1073" s="231"/>
      <c r="M1073" s="231"/>
      <c r="N1073" s="225" t="s">
        <v>4781</v>
      </c>
      <c r="O1073" s="225" t="s">
        <v>6096</v>
      </c>
      <c r="P1073" s="225" t="s">
        <v>6097</v>
      </c>
      <c r="Q1073" s="230" t="s">
        <v>6098</v>
      </c>
      <c r="R1073" s="232" t="s">
        <v>4771</v>
      </c>
      <c r="S1073" s="263" t="s">
        <v>4771</v>
      </c>
      <c r="T1073" s="233">
        <v>45596</v>
      </c>
      <c r="U1073" s="234" t="s">
        <v>4772</v>
      </c>
      <c r="V1073" s="234">
        <v>45665</v>
      </c>
      <c r="W1073" s="234">
        <v>45672</v>
      </c>
      <c r="X1073" s="234" t="s">
        <v>4771</v>
      </c>
      <c r="Y1073" s="234"/>
      <c r="Z1073" s="234" t="s">
        <v>6099</v>
      </c>
      <c r="AA1073" s="224">
        <v>202412</v>
      </c>
      <c r="AB1073" s="243"/>
      <c r="AC1073" s="244" t="s">
        <v>5357</v>
      </c>
      <c r="AD1073" s="244" t="s">
        <v>5358</v>
      </c>
      <c r="AE1073" s="245">
        <v>0</v>
      </c>
      <c r="AF1073" s="244" t="s">
        <v>5358</v>
      </c>
      <c r="AG1073" s="239" t="str">
        <f>IFERROR(VLOOKUP(작성용!A:A,RM!A:D,4,0),"-")</f>
        <v>윤광일</v>
      </c>
      <c r="AH1073" s="9" t="s">
        <v>4915</v>
      </c>
      <c r="AI1073" s="235" t="s">
        <v>4771</v>
      </c>
      <c r="AJ1073" s="235" t="s">
        <v>4776</v>
      </c>
      <c r="AK1073" s="235" t="s">
        <v>4777</v>
      </c>
      <c r="AL1073" s="235">
        <v>1072</v>
      </c>
    </row>
    <row r="1074" spans="1:38" x14ac:dyDescent="0.3">
      <c r="A1074" s="222" t="s">
        <v>3069</v>
      </c>
      <c r="B1074" s="222" t="s">
        <v>6093</v>
      </c>
      <c r="C1074" s="241" t="s">
        <v>4778</v>
      </c>
      <c r="D1074" s="237" t="s">
        <v>6100</v>
      </c>
      <c r="E1074" s="236">
        <v>1101117869930</v>
      </c>
      <c r="F1074" s="240" t="s">
        <v>5859</v>
      </c>
      <c r="G1074" s="238">
        <v>0</v>
      </c>
      <c r="H1074" s="223" t="s">
        <v>4771</v>
      </c>
      <c r="I1074" s="231"/>
      <c r="J1074" s="231"/>
      <c r="K1074" s="231"/>
      <c r="L1074" s="231"/>
      <c r="M1074" s="231"/>
      <c r="N1074" s="225" t="s">
        <v>4781</v>
      </c>
      <c r="O1074" s="225" t="s">
        <v>6096</v>
      </c>
      <c r="P1074" s="225" t="s">
        <v>6097</v>
      </c>
      <c r="Q1074" s="230" t="s">
        <v>6098</v>
      </c>
      <c r="R1074" s="232" t="s">
        <v>4771</v>
      </c>
      <c r="S1074" s="263" t="s">
        <v>4771</v>
      </c>
      <c r="T1074" s="233">
        <v>45596</v>
      </c>
      <c r="U1074" s="234" t="s">
        <v>4772</v>
      </c>
      <c r="V1074" s="234">
        <v>45665</v>
      </c>
      <c r="W1074" s="234">
        <v>45672</v>
      </c>
      <c r="X1074" s="234" t="s">
        <v>4771</v>
      </c>
      <c r="Y1074" s="234"/>
      <c r="Z1074" s="234" t="s">
        <v>6099</v>
      </c>
      <c r="AA1074" s="224">
        <v>202412</v>
      </c>
      <c r="AB1074" s="243"/>
      <c r="AC1074" s="244" t="s">
        <v>5357</v>
      </c>
      <c r="AD1074" s="244" t="s">
        <v>4980</v>
      </c>
      <c r="AE1074" s="245">
        <v>1</v>
      </c>
      <c r="AF1074" s="244" t="s">
        <v>4980</v>
      </c>
      <c r="AG1074" s="239" t="str">
        <f>IFERROR(VLOOKUP(작성용!A:A,RM!A:D,4,0),"-")</f>
        <v>윤광일</v>
      </c>
      <c r="AH1074" s="9" t="s">
        <v>4915</v>
      </c>
      <c r="AI1074" s="235" t="s">
        <v>4771</v>
      </c>
      <c r="AJ1074" s="235" t="s">
        <v>4776</v>
      </c>
      <c r="AK1074" s="235" t="s">
        <v>4777</v>
      </c>
      <c r="AL1074" s="235">
        <v>1073</v>
      </c>
    </row>
    <row r="1075" spans="1:38" x14ac:dyDescent="0.3">
      <c r="A1075" s="222" t="s">
        <v>3069</v>
      </c>
      <c r="B1075" s="222" t="s">
        <v>6093</v>
      </c>
      <c r="C1075" s="241" t="s">
        <v>4778</v>
      </c>
      <c r="D1075" s="237" t="s">
        <v>6101</v>
      </c>
      <c r="E1075" s="236">
        <v>1101118229589</v>
      </c>
      <c r="F1075" s="240" t="s">
        <v>5859</v>
      </c>
      <c r="G1075" s="238">
        <v>0</v>
      </c>
      <c r="H1075" s="223" t="s">
        <v>4771</v>
      </c>
      <c r="I1075" s="231"/>
      <c r="J1075" s="231"/>
      <c r="K1075" s="231"/>
      <c r="L1075" s="231"/>
      <c r="M1075" s="231"/>
      <c r="N1075" s="225" t="s">
        <v>4781</v>
      </c>
      <c r="O1075" s="225" t="s">
        <v>6096</v>
      </c>
      <c r="P1075" s="225" t="s">
        <v>6097</v>
      </c>
      <c r="Q1075" s="230" t="s">
        <v>6098</v>
      </c>
      <c r="R1075" s="232" t="s">
        <v>4771</v>
      </c>
      <c r="S1075" s="263" t="s">
        <v>4771</v>
      </c>
      <c r="T1075" s="233">
        <v>45596</v>
      </c>
      <c r="U1075" s="234" t="s">
        <v>4772</v>
      </c>
      <c r="V1075" s="234">
        <v>45665</v>
      </c>
      <c r="W1075" s="234">
        <v>45672</v>
      </c>
      <c r="X1075" s="234" t="s">
        <v>4771</v>
      </c>
      <c r="Y1075" s="234"/>
      <c r="Z1075" s="234" t="s">
        <v>6099</v>
      </c>
      <c r="AA1075" s="224">
        <v>202412</v>
      </c>
      <c r="AB1075" s="243"/>
      <c r="AC1075" s="244" t="s">
        <v>5357</v>
      </c>
      <c r="AD1075" s="244" t="s">
        <v>4858</v>
      </c>
      <c r="AE1075" s="245">
        <v>1</v>
      </c>
      <c r="AF1075" s="244" t="s">
        <v>4858</v>
      </c>
      <c r="AG1075" s="239" t="str">
        <f>IFERROR(VLOOKUP(작성용!A:A,RM!A:D,4,0),"-")</f>
        <v>윤광일</v>
      </c>
      <c r="AH1075" s="9" t="s">
        <v>4915</v>
      </c>
      <c r="AI1075" s="235" t="s">
        <v>4771</v>
      </c>
      <c r="AJ1075" s="235" t="s">
        <v>4776</v>
      </c>
      <c r="AK1075" s="235" t="s">
        <v>4777</v>
      </c>
      <c r="AL1075" s="235">
        <v>1074</v>
      </c>
    </row>
    <row r="1076" spans="1:38" x14ac:dyDescent="0.3">
      <c r="A1076" s="222" t="s">
        <v>3069</v>
      </c>
      <c r="B1076" s="222" t="s">
        <v>6093</v>
      </c>
      <c r="C1076" s="241" t="s">
        <v>4778</v>
      </c>
      <c r="D1076" s="237" t="s">
        <v>6102</v>
      </c>
      <c r="E1076" s="236" t="s">
        <v>6103</v>
      </c>
      <c r="F1076" s="240" t="s">
        <v>5355</v>
      </c>
      <c r="G1076" s="238">
        <v>0</v>
      </c>
      <c r="H1076" s="223" t="s">
        <v>4771</v>
      </c>
      <c r="I1076" s="231"/>
      <c r="J1076" s="231"/>
      <c r="K1076" s="231"/>
      <c r="L1076" s="231"/>
      <c r="M1076" s="231"/>
      <c r="N1076" s="225" t="s">
        <v>4781</v>
      </c>
      <c r="O1076" s="225" t="s">
        <v>6096</v>
      </c>
      <c r="P1076" s="225" t="s">
        <v>6097</v>
      </c>
      <c r="Q1076" s="230" t="s">
        <v>6098</v>
      </c>
      <c r="R1076" s="232" t="s">
        <v>4771</v>
      </c>
      <c r="S1076" s="263" t="s">
        <v>4771</v>
      </c>
      <c r="T1076" s="233">
        <v>45596</v>
      </c>
      <c r="U1076" s="234" t="s">
        <v>4772</v>
      </c>
      <c r="V1076" s="234">
        <v>45665</v>
      </c>
      <c r="W1076" s="234">
        <v>45672</v>
      </c>
      <c r="X1076" s="234" t="s">
        <v>4771</v>
      </c>
      <c r="Y1076" s="234"/>
      <c r="Z1076" s="234" t="s">
        <v>6099</v>
      </c>
      <c r="AA1076" s="224">
        <v>202412</v>
      </c>
      <c r="AB1076" s="243"/>
      <c r="AC1076" s="244" t="s">
        <v>5357</v>
      </c>
      <c r="AD1076" s="244" t="s">
        <v>5358</v>
      </c>
      <c r="AE1076" s="245">
        <v>0</v>
      </c>
      <c r="AF1076" s="244" t="s">
        <v>5358</v>
      </c>
      <c r="AG1076" s="239" t="str">
        <f>IFERROR(VLOOKUP(작성용!A:A,RM!A:D,4,0),"-")</f>
        <v>윤광일</v>
      </c>
      <c r="AH1076" s="9" t="s">
        <v>4915</v>
      </c>
      <c r="AI1076" s="235" t="s">
        <v>4771</v>
      </c>
      <c r="AJ1076" s="235" t="s">
        <v>4776</v>
      </c>
      <c r="AK1076" s="235" t="s">
        <v>4777</v>
      </c>
      <c r="AL1076" s="235">
        <v>1075</v>
      </c>
    </row>
    <row r="1077" spans="1:38" x14ac:dyDescent="0.3">
      <c r="A1077" s="222" t="s">
        <v>3069</v>
      </c>
      <c r="B1077" s="222" t="s">
        <v>6093</v>
      </c>
      <c r="C1077" s="241" t="s">
        <v>4778</v>
      </c>
      <c r="D1077" s="237" t="s">
        <v>6104</v>
      </c>
      <c r="E1077" s="236">
        <v>1101117921334</v>
      </c>
      <c r="F1077" s="240" t="s">
        <v>5859</v>
      </c>
      <c r="G1077" s="238">
        <v>0</v>
      </c>
      <c r="H1077" s="223" t="s">
        <v>4771</v>
      </c>
      <c r="I1077" s="231"/>
      <c r="J1077" s="231"/>
      <c r="K1077" s="231"/>
      <c r="L1077" s="231"/>
      <c r="M1077" s="231"/>
      <c r="N1077" s="225" t="s">
        <v>4781</v>
      </c>
      <c r="O1077" s="225" t="s">
        <v>6096</v>
      </c>
      <c r="P1077" s="225" t="s">
        <v>6097</v>
      </c>
      <c r="Q1077" s="230" t="s">
        <v>6098</v>
      </c>
      <c r="R1077" s="232" t="s">
        <v>4771</v>
      </c>
      <c r="S1077" s="263" t="s">
        <v>4771</v>
      </c>
      <c r="T1077" s="233">
        <v>45596</v>
      </c>
      <c r="U1077" s="234" t="s">
        <v>4772</v>
      </c>
      <c r="V1077" s="234">
        <v>45665</v>
      </c>
      <c r="W1077" s="234">
        <v>45672</v>
      </c>
      <c r="X1077" s="234" t="s">
        <v>4771</v>
      </c>
      <c r="Y1077" s="234"/>
      <c r="Z1077" s="234" t="s">
        <v>6099</v>
      </c>
      <c r="AA1077" s="224">
        <v>202412</v>
      </c>
      <c r="AB1077" s="243"/>
      <c r="AC1077" s="244" t="s">
        <v>5357</v>
      </c>
      <c r="AD1077" s="244" t="s">
        <v>4915</v>
      </c>
      <c r="AE1077" s="245">
        <v>1</v>
      </c>
      <c r="AF1077" s="244" t="s">
        <v>4918</v>
      </c>
      <c r="AG1077" s="239" t="str">
        <f>IFERROR(VLOOKUP(작성용!A:A,RM!A:D,4,0),"-")</f>
        <v>윤광일</v>
      </c>
      <c r="AH1077" s="9" t="s">
        <v>4915</v>
      </c>
      <c r="AI1077" s="235" t="s">
        <v>4771</v>
      </c>
      <c r="AJ1077" s="235" t="s">
        <v>4776</v>
      </c>
      <c r="AK1077" s="235" t="s">
        <v>4777</v>
      </c>
      <c r="AL1077" s="235">
        <v>1076</v>
      </c>
    </row>
    <row r="1078" spans="1:38" x14ac:dyDescent="0.3">
      <c r="A1078" s="222" t="s">
        <v>3069</v>
      </c>
      <c r="B1078" s="222" t="s">
        <v>6093</v>
      </c>
      <c r="C1078" s="241" t="s">
        <v>4778</v>
      </c>
      <c r="D1078" s="237" t="s">
        <v>6105</v>
      </c>
      <c r="E1078" s="236">
        <v>1101116142121</v>
      </c>
      <c r="F1078" s="240" t="s">
        <v>5859</v>
      </c>
      <c r="G1078" s="238">
        <v>0</v>
      </c>
      <c r="H1078" s="223" t="s">
        <v>4771</v>
      </c>
      <c r="I1078" s="231"/>
      <c r="J1078" s="231"/>
      <c r="K1078" s="231"/>
      <c r="L1078" s="231"/>
      <c r="M1078" s="231"/>
      <c r="N1078" s="225" t="s">
        <v>4781</v>
      </c>
      <c r="O1078" s="225" t="s">
        <v>6096</v>
      </c>
      <c r="P1078" s="225" t="s">
        <v>6097</v>
      </c>
      <c r="Q1078" s="230" t="s">
        <v>6098</v>
      </c>
      <c r="R1078" s="232" t="s">
        <v>4771</v>
      </c>
      <c r="S1078" s="263" t="s">
        <v>4771</v>
      </c>
      <c r="T1078" s="233">
        <v>45596</v>
      </c>
      <c r="U1078" s="234" t="s">
        <v>4772</v>
      </c>
      <c r="V1078" s="234">
        <v>45665</v>
      </c>
      <c r="W1078" s="234">
        <v>45672</v>
      </c>
      <c r="X1078" s="234" t="s">
        <v>4771</v>
      </c>
      <c r="Y1078" s="234"/>
      <c r="Z1078" s="234" t="s">
        <v>6099</v>
      </c>
      <c r="AA1078" s="224">
        <v>202412</v>
      </c>
      <c r="AB1078" s="243"/>
      <c r="AC1078" s="244" t="s">
        <v>5357</v>
      </c>
      <c r="AD1078" s="244" t="s">
        <v>4823</v>
      </c>
      <c r="AE1078" s="245">
        <v>1</v>
      </c>
      <c r="AF1078" s="244" t="s">
        <v>4918</v>
      </c>
      <c r="AG1078" s="239" t="str">
        <f>IFERROR(VLOOKUP(작성용!A:A,RM!A:D,4,0),"-")</f>
        <v>윤광일</v>
      </c>
      <c r="AH1078" s="9" t="s">
        <v>4915</v>
      </c>
      <c r="AI1078" s="235" t="s">
        <v>4771</v>
      </c>
      <c r="AJ1078" s="235" t="s">
        <v>4776</v>
      </c>
      <c r="AK1078" s="235" t="s">
        <v>4777</v>
      </c>
      <c r="AL1078" s="235">
        <v>1077</v>
      </c>
    </row>
    <row r="1079" spans="1:38" x14ac:dyDescent="0.3">
      <c r="A1079" s="222" t="s">
        <v>3069</v>
      </c>
      <c r="B1079" s="222" t="s">
        <v>6093</v>
      </c>
      <c r="C1079" s="241" t="s">
        <v>4778</v>
      </c>
      <c r="D1079" s="237" t="s">
        <v>6106</v>
      </c>
      <c r="E1079" s="236">
        <v>1101116904935</v>
      </c>
      <c r="F1079" s="240" t="s">
        <v>5859</v>
      </c>
      <c r="G1079" s="238">
        <v>1</v>
      </c>
      <c r="H1079" s="223" t="s">
        <v>4771</v>
      </c>
      <c r="I1079" s="231"/>
      <c r="J1079" s="231"/>
      <c r="K1079" s="231"/>
      <c r="L1079" s="231"/>
      <c r="M1079" s="231"/>
      <c r="N1079" s="225" t="s">
        <v>4781</v>
      </c>
      <c r="O1079" s="225" t="s">
        <v>6096</v>
      </c>
      <c r="P1079" s="225" t="s">
        <v>6097</v>
      </c>
      <c r="Q1079" s="230" t="s">
        <v>6098</v>
      </c>
      <c r="R1079" s="232" t="s">
        <v>4771</v>
      </c>
      <c r="S1079" s="263" t="s">
        <v>4771</v>
      </c>
      <c r="T1079" s="233">
        <v>45596</v>
      </c>
      <c r="U1079" s="234" t="s">
        <v>4772</v>
      </c>
      <c r="V1079" s="234">
        <v>45665</v>
      </c>
      <c r="W1079" s="234">
        <v>45672</v>
      </c>
      <c r="X1079" s="234" t="s">
        <v>4771</v>
      </c>
      <c r="Y1079" s="234"/>
      <c r="Z1079" s="234" t="s">
        <v>6099</v>
      </c>
      <c r="AA1079" s="224">
        <v>202412</v>
      </c>
      <c r="AB1079" s="243"/>
      <c r="AC1079" s="244" t="s">
        <v>5357</v>
      </c>
      <c r="AD1079" s="244" t="s">
        <v>4858</v>
      </c>
      <c r="AE1079" s="245">
        <v>1</v>
      </c>
      <c r="AF1079" s="244" t="s">
        <v>4858</v>
      </c>
      <c r="AG1079" s="239" t="str">
        <f>IFERROR(VLOOKUP(작성용!A:A,RM!A:D,4,0),"-")</f>
        <v>윤광일</v>
      </c>
      <c r="AH1079" s="9" t="s">
        <v>4915</v>
      </c>
      <c r="AI1079" s="235" t="s">
        <v>4771</v>
      </c>
      <c r="AJ1079" s="235" t="s">
        <v>4776</v>
      </c>
      <c r="AK1079" s="235" t="s">
        <v>4777</v>
      </c>
      <c r="AL1079" s="235">
        <v>1078</v>
      </c>
    </row>
    <row r="1080" spans="1:38" x14ac:dyDescent="0.3">
      <c r="A1080" s="222" t="s">
        <v>3069</v>
      </c>
      <c r="B1080" s="222" t="s">
        <v>6093</v>
      </c>
      <c r="C1080" s="241" t="s">
        <v>4778</v>
      </c>
      <c r="D1080" s="237" t="s">
        <v>6107</v>
      </c>
      <c r="E1080" s="236">
        <v>1101118777372</v>
      </c>
      <c r="F1080" s="240" t="s">
        <v>5859</v>
      </c>
      <c r="G1080" s="238">
        <v>0</v>
      </c>
      <c r="H1080" s="223" t="s">
        <v>4771</v>
      </c>
      <c r="I1080" s="231"/>
      <c r="J1080" s="231"/>
      <c r="K1080" s="231"/>
      <c r="L1080" s="231"/>
      <c r="M1080" s="231"/>
      <c r="N1080" s="225" t="s">
        <v>4781</v>
      </c>
      <c r="O1080" s="225" t="s">
        <v>6096</v>
      </c>
      <c r="P1080" s="225" t="s">
        <v>6097</v>
      </c>
      <c r="Q1080" s="230" t="s">
        <v>6098</v>
      </c>
      <c r="R1080" s="232" t="s">
        <v>4771</v>
      </c>
      <c r="S1080" s="263" t="s">
        <v>4771</v>
      </c>
      <c r="T1080" s="233">
        <v>45596</v>
      </c>
      <c r="U1080" s="234" t="s">
        <v>4772</v>
      </c>
      <c r="V1080" s="234">
        <v>45665</v>
      </c>
      <c r="W1080" s="234">
        <v>45672</v>
      </c>
      <c r="X1080" s="234" t="s">
        <v>4771</v>
      </c>
      <c r="Y1080" s="234"/>
      <c r="Z1080" s="234" t="s">
        <v>6099</v>
      </c>
      <c r="AA1080" s="224">
        <v>202412</v>
      </c>
      <c r="AB1080" s="243"/>
      <c r="AC1080" s="244" t="s">
        <v>5357</v>
      </c>
      <c r="AD1080" s="244" t="s">
        <v>4947</v>
      </c>
      <c r="AE1080" s="245">
        <v>1</v>
      </c>
      <c r="AF1080" s="244" t="s">
        <v>4947</v>
      </c>
      <c r="AG1080" s="239" t="str">
        <f>IFERROR(VLOOKUP(작성용!A:A,RM!A:D,4,0),"-")</f>
        <v>윤광일</v>
      </c>
      <c r="AH1080" s="9" t="s">
        <v>4915</v>
      </c>
      <c r="AI1080" s="235" t="s">
        <v>4771</v>
      </c>
      <c r="AJ1080" s="235" t="s">
        <v>4776</v>
      </c>
      <c r="AK1080" s="235" t="s">
        <v>4777</v>
      </c>
      <c r="AL1080" s="235">
        <v>1079</v>
      </c>
    </row>
    <row r="1081" spans="1:38" x14ac:dyDescent="0.3">
      <c r="A1081" s="222" t="s">
        <v>6108</v>
      </c>
      <c r="B1081" s="222" t="s">
        <v>6109</v>
      </c>
      <c r="C1081" s="241" t="s">
        <v>4762</v>
      </c>
      <c r="D1081" s="236" t="s">
        <v>6110</v>
      </c>
      <c r="E1081" s="236">
        <v>1314110367683</v>
      </c>
      <c r="F1081" s="238" t="s">
        <v>6111</v>
      </c>
      <c r="G1081" s="238">
        <v>77</v>
      </c>
      <c r="H1081" s="223" t="s">
        <v>4771</v>
      </c>
      <c r="I1081" s="231"/>
      <c r="J1081" s="231"/>
      <c r="K1081" s="231"/>
      <c r="L1081" s="231"/>
      <c r="M1081" s="231"/>
      <c r="N1081" s="225" t="s">
        <v>5035</v>
      </c>
      <c r="O1081" s="225" t="s">
        <v>6112</v>
      </c>
      <c r="P1081" s="225" t="s">
        <v>6113</v>
      </c>
      <c r="Q1081" s="230" t="s">
        <v>6114</v>
      </c>
      <c r="R1081" s="232" t="s">
        <v>4771</v>
      </c>
      <c r="S1081" s="263" t="s">
        <v>4771</v>
      </c>
      <c r="T1081" s="233">
        <v>45596</v>
      </c>
      <c r="U1081" s="234" t="s">
        <v>4759</v>
      </c>
      <c r="V1081" s="234">
        <v>45609</v>
      </c>
      <c r="W1081" s="234">
        <v>45616</v>
      </c>
      <c r="X1081" s="234" t="s">
        <v>4771</v>
      </c>
      <c r="Y1081" s="234"/>
      <c r="Z1081" s="234" t="s">
        <v>6115</v>
      </c>
      <c r="AA1081" s="224">
        <v>202411</v>
      </c>
      <c r="AB1081" s="243"/>
      <c r="AC1081" s="244" t="s">
        <v>4800</v>
      </c>
      <c r="AD1081" s="244" t="s">
        <v>4935</v>
      </c>
      <c r="AE1081" s="245">
        <v>1</v>
      </c>
      <c r="AF1081" s="244" t="s">
        <v>4762</v>
      </c>
      <c r="AG1081" s="239" t="str">
        <f>IFERROR(VLOOKUP(작성용!A:A,RM!A:D,4,0),"-")</f>
        <v>오영석</v>
      </c>
      <c r="AH1081" s="9" t="s">
        <v>4823</v>
      </c>
      <c r="AI1081" s="235" t="s">
        <v>4771</v>
      </c>
      <c r="AJ1081" s="235" t="s">
        <v>4920</v>
      </c>
      <c r="AK1081" s="235" t="s">
        <v>4777</v>
      </c>
      <c r="AL1081" s="235">
        <v>1080</v>
      </c>
    </row>
    <row r="1082" spans="1:38" x14ac:dyDescent="0.3">
      <c r="A1082" s="222" t="s">
        <v>6108</v>
      </c>
      <c r="B1082" s="222" t="s">
        <v>6109</v>
      </c>
      <c r="C1082" s="241" t="s">
        <v>4762</v>
      </c>
      <c r="D1082" s="236" t="s">
        <v>6116</v>
      </c>
      <c r="E1082" s="236">
        <v>1311110237379</v>
      </c>
      <c r="F1082" s="238" t="s">
        <v>6111</v>
      </c>
      <c r="G1082" s="238">
        <v>77</v>
      </c>
      <c r="H1082" s="223" t="s">
        <v>4771</v>
      </c>
      <c r="I1082" s="231"/>
      <c r="J1082" s="231"/>
      <c r="K1082" s="231"/>
      <c r="L1082" s="231"/>
      <c r="M1082" s="231"/>
      <c r="N1082" s="225" t="s">
        <v>5035</v>
      </c>
      <c r="O1082" s="225" t="s">
        <v>6112</v>
      </c>
      <c r="P1082" s="225" t="s">
        <v>6113</v>
      </c>
      <c r="Q1082" s="230" t="s">
        <v>6114</v>
      </c>
      <c r="R1082" s="232" t="s">
        <v>4771</v>
      </c>
      <c r="S1082" s="263" t="s">
        <v>4771</v>
      </c>
      <c r="T1082" s="233">
        <v>45596</v>
      </c>
      <c r="U1082" s="234" t="s">
        <v>4759</v>
      </c>
      <c r="V1082" s="234">
        <v>45609</v>
      </c>
      <c r="W1082" s="234">
        <v>45616</v>
      </c>
      <c r="X1082" s="234" t="s">
        <v>4771</v>
      </c>
      <c r="Y1082" s="234"/>
      <c r="Z1082" s="234" t="s">
        <v>6115</v>
      </c>
      <c r="AA1082" s="224">
        <v>202411</v>
      </c>
      <c r="AB1082" s="243"/>
      <c r="AC1082" s="244" t="s">
        <v>4800</v>
      </c>
      <c r="AD1082" s="244" t="s">
        <v>3645</v>
      </c>
      <c r="AE1082" s="245">
        <v>1</v>
      </c>
      <c r="AF1082" s="244" t="s">
        <v>4762</v>
      </c>
      <c r="AG1082" s="239" t="str">
        <f>IFERROR(VLOOKUP(작성용!A:A,RM!A:D,4,0),"-")</f>
        <v>오영석</v>
      </c>
      <c r="AH1082" s="9" t="s">
        <v>4823</v>
      </c>
      <c r="AI1082" s="235" t="s">
        <v>4771</v>
      </c>
      <c r="AJ1082" s="235" t="s">
        <v>4920</v>
      </c>
      <c r="AK1082" s="235" t="s">
        <v>4777</v>
      </c>
      <c r="AL1082" s="235">
        <v>1081</v>
      </c>
    </row>
    <row r="1083" spans="1:38" x14ac:dyDescent="0.3">
      <c r="A1083" s="222" t="s">
        <v>6108</v>
      </c>
      <c r="B1083" s="222" t="s">
        <v>6109</v>
      </c>
      <c r="C1083" s="241" t="s">
        <v>4762</v>
      </c>
      <c r="D1083" s="236" t="s">
        <v>6117</v>
      </c>
      <c r="E1083" s="236">
        <v>1311110496157</v>
      </c>
      <c r="F1083" s="238" t="s">
        <v>6111</v>
      </c>
      <c r="G1083" s="238">
        <v>77</v>
      </c>
      <c r="H1083" s="223" t="s">
        <v>4771</v>
      </c>
      <c r="I1083" s="231"/>
      <c r="J1083" s="231"/>
      <c r="K1083" s="231"/>
      <c r="L1083" s="231"/>
      <c r="M1083" s="231"/>
      <c r="N1083" s="225" t="s">
        <v>5035</v>
      </c>
      <c r="O1083" s="225" t="s">
        <v>6112</v>
      </c>
      <c r="P1083" s="225" t="s">
        <v>6113</v>
      </c>
      <c r="Q1083" s="230" t="s">
        <v>6114</v>
      </c>
      <c r="R1083" s="232" t="s">
        <v>4771</v>
      </c>
      <c r="S1083" s="263" t="s">
        <v>4771</v>
      </c>
      <c r="T1083" s="233">
        <v>45596</v>
      </c>
      <c r="U1083" s="234" t="s">
        <v>4759</v>
      </c>
      <c r="V1083" s="234">
        <v>45609</v>
      </c>
      <c r="W1083" s="234">
        <v>45616</v>
      </c>
      <c r="X1083" s="234" t="s">
        <v>4771</v>
      </c>
      <c r="Y1083" s="234"/>
      <c r="Z1083" s="234" t="s">
        <v>6115</v>
      </c>
      <c r="AA1083" s="224">
        <v>202411</v>
      </c>
      <c r="AB1083" s="243"/>
      <c r="AC1083" s="244" t="s">
        <v>4800</v>
      </c>
      <c r="AD1083" s="244" t="s">
        <v>4933</v>
      </c>
      <c r="AE1083" s="245">
        <v>1</v>
      </c>
      <c r="AF1083" s="244" t="s">
        <v>6118</v>
      </c>
      <c r="AG1083" s="239" t="str">
        <f>IFERROR(VLOOKUP(작성용!A:A,RM!A:D,4,0),"-")</f>
        <v>오영석</v>
      </c>
      <c r="AH1083" s="9" t="s">
        <v>4823</v>
      </c>
      <c r="AI1083" s="235" t="s">
        <v>4771</v>
      </c>
      <c r="AJ1083" s="235" t="s">
        <v>4920</v>
      </c>
      <c r="AK1083" s="235" t="s">
        <v>4777</v>
      </c>
      <c r="AL1083" s="235">
        <v>1082</v>
      </c>
    </row>
    <row r="1084" spans="1:38" x14ac:dyDescent="0.3">
      <c r="A1084" s="222" t="s">
        <v>6108</v>
      </c>
      <c r="B1084" s="222" t="s">
        <v>6109</v>
      </c>
      <c r="C1084" s="241" t="s">
        <v>4762</v>
      </c>
      <c r="D1084" s="236" t="s">
        <v>6119</v>
      </c>
      <c r="E1084" s="236">
        <v>1101117302261</v>
      </c>
      <c r="F1084" s="238" t="s">
        <v>6111</v>
      </c>
      <c r="G1084" s="238">
        <v>77</v>
      </c>
      <c r="H1084" s="223" t="s">
        <v>4771</v>
      </c>
      <c r="I1084" s="231"/>
      <c r="J1084" s="231"/>
      <c r="K1084" s="231"/>
      <c r="L1084" s="231"/>
      <c r="M1084" s="231"/>
      <c r="N1084" s="225" t="s">
        <v>5035</v>
      </c>
      <c r="O1084" s="225" t="s">
        <v>6112</v>
      </c>
      <c r="P1084" s="225" t="s">
        <v>6113</v>
      </c>
      <c r="Q1084" s="230" t="s">
        <v>6114</v>
      </c>
      <c r="R1084" s="232" t="s">
        <v>4771</v>
      </c>
      <c r="S1084" s="263" t="s">
        <v>4771</v>
      </c>
      <c r="T1084" s="233">
        <v>45596</v>
      </c>
      <c r="U1084" s="234" t="s">
        <v>4759</v>
      </c>
      <c r="V1084" s="234">
        <v>45609</v>
      </c>
      <c r="W1084" s="234">
        <v>45616</v>
      </c>
      <c r="X1084" s="234" t="s">
        <v>4771</v>
      </c>
      <c r="Y1084" s="234"/>
      <c r="Z1084" s="234" t="s">
        <v>6115</v>
      </c>
      <c r="AA1084" s="224">
        <v>202411</v>
      </c>
      <c r="AB1084" s="243"/>
      <c r="AC1084" s="244" t="s">
        <v>4800</v>
      </c>
      <c r="AD1084" s="244" t="s">
        <v>4897</v>
      </c>
      <c r="AE1084" s="245">
        <v>1</v>
      </c>
      <c r="AF1084" s="244" t="s">
        <v>4762</v>
      </c>
      <c r="AG1084" s="239" t="str">
        <f>IFERROR(VLOOKUP(작성용!A:A,RM!A:D,4,0),"-")</f>
        <v>오영석</v>
      </c>
      <c r="AH1084" s="9" t="s">
        <v>4823</v>
      </c>
      <c r="AI1084" s="235" t="s">
        <v>4771</v>
      </c>
      <c r="AJ1084" s="235" t="s">
        <v>4920</v>
      </c>
      <c r="AK1084" s="235" t="s">
        <v>4777</v>
      </c>
      <c r="AL1084" s="235">
        <v>1083</v>
      </c>
    </row>
    <row r="1085" spans="1:38" x14ac:dyDescent="0.3">
      <c r="A1085" s="222" t="s">
        <v>6108</v>
      </c>
      <c r="B1085" s="222" t="s">
        <v>6109</v>
      </c>
      <c r="C1085" s="241" t="s">
        <v>4762</v>
      </c>
      <c r="D1085" s="236" t="s">
        <v>6119</v>
      </c>
      <c r="E1085" s="236">
        <v>1101117302261</v>
      </c>
      <c r="F1085" s="238" t="s">
        <v>6120</v>
      </c>
      <c r="G1085" s="238">
        <v>0</v>
      </c>
      <c r="H1085" s="223" t="s">
        <v>4771</v>
      </c>
      <c r="I1085" s="231"/>
      <c r="J1085" s="231"/>
      <c r="K1085" s="231"/>
      <c r="L1085" s="231"/>
      <c r="M1085" s="231"/>
      <c r="N1085" s="225" t="s">
        <v>5035</v>
      </c>
      <c r="O1085" s="225" t="s">
        <v>6112</v>
      </c>
      <c r="P1085" s="225" t="s">
        <v>6113</v>
      </c>
      <c r="Q1085" s="230" t="s">
        <v>6114</v>
      </c>
      <c r="R1085" s="232" t="s">
        <v>4771</v>
      </c>
      <c r="S1085" s="263" t="s">
        <v>4771</v>
      </c>
      <c r="T1085" s="233">
        <v>45596</v>
      </c>
      <c r="U1085" s="234" t="s">
        <v>4759</v>
      </c>
      <c r="V1085" s="234">
        <v>45609</v>
      </c>
      <c r="W1085" s="234">
        <v>45616</v>
      </c>
      <c r="X1085" s="234" t="s">
        <v>4771</v>
      </c>
      <c r="Y1085" s="234"/>
      <c r="Z1085" s="234" t="s">
        <v>6115</v>
      </c>
      <c r="AA1085" s="224">
        <v>202411</v>
      </c>
      <c r="AB1085" s="243"/>
      <c r="AC1085" s="244" t="s">
        <v>4800</v>
      </c>
      <c r="AD1085" s="244" t="s">
        <v>4897</v>
      </c>
      <c r="AE1085" s="245">
        <v>0</v>
      </c>
      <c r="AF1085" s="244" t="s">
        <v>4762</v>
      </c>
      <c r="AG1085" s="239" t="str">
        <f>IFERROR(VLOOKUP(작성용!A:A,RM!A:D,4,0),"-")</f>
        <v>오영석</v>
      </c>
      <c r="AH1085" s="9" t="s">
        <v>4823</v>
      </c>
      <c r="AI1085" s="235" t="s">
        <v>4771</v>
      </c>
      <c r="AJ1085" s="235" t="s">
        <v>4920</v>
      </c>
      <c r="AK1085" s="235" t="s">
        <v>4777</v>
      </c>
      <c r="AL1085" s="235">
        <v>1084</v>
      </c>
    </row>
    <row r="1086" spans="1:38" x14ac:dyDescent="0.3">
      <c r="A1086" s="222" t="s">
        <v>6108</v>
      </c>
      <c r="B1086" s="222" t="s">
        <v>6109</v>
      </c>
      <c r="C1086" s="241" t="s">
        <v>4762</v>
      </c>
      <c r="D1086" s="236" t="s">
        <v>6121</v>
      </c>
      <c r="E1086" s="236" t="s">
        <v>6122</v>
      </c>
      <c r="F1086" s="238" t="s">
        <v>6123</v>
      </c>
      <c r="G1086" s="238">
        <v>77</v>
      </c>
      <c r="H1086" s="223" t="s">
        <v>4771</v>
      </c>
      <c r="I1086" s="231"/>
      <c r="J1086" s="231"/>
      <c r="K1086" s="231"/>
      <c r="L1086" s="231"/>
      <c r="M1086" s="231"/>
      <c r="N1086" s="225" t="s">
        <v>5035</v>
      </c>
      <c r="O1086" s="225" t="s">
        <v>6112</v>
      </c>
      <c r="P1086" s="225" t="s">
        <v>6113</v>
      </c>
      <c r="Q1086" s="230" t="s">
        <v>6114</v>
      </c>
      <c r="R1086" s="232" t="s">
        <v>4771</v>
      </c>
      <c r="S1086" s="263" t="s">
        <v>4771</v>
      </c>
      <c r="T1086" s="233">
        <v>45596</v>
      </c>
      <c r="U1086" s="234" t="s">
        <v>4759</v>
      </c>
      <c r="V1086" s="234">
        <v>45609</v>
      </c>
      <c r="W1086" s="234">
        <v>45616</v>
      </c>
      <c r="X1086" s="234" t="s">
        <v>4771</v>
      </c>
      <c r="Y1086" s="234"/>
      <c r="Z1086" s="234" t="s">
        <v>6115</v>
      </c>
      <c r="AA1086" s="224">
        <v>202411</v>
      </c>
      <c r="AB1086" s="243"/>
      <c r="AC1086" s="244" t="s">
        <v>4800</v>
      </c>
      <c r="AD1086" s="244" t="s">
        <v>4823</v>
      </c>
      <c r="AE1086" s="245">
        <v>1</v>
      </c>
      <c r="AF1086" s="244" t="s">
        <v>4762</v>
      </c>
      <c r="AG1086" s="239" t="str">
        <f>IFERROR(VLOOKUP(작성용!A:A,RM!A:D,4,0),"-")</f>
        <v>오영석</v>
      </c>
      <c r="AH1086" s="9" t="s">
        <v>4823</v>
      </c>
      <c r="AI1086" s="235" t="s">
        <v>4771</v>
      </c>
      <c r="AJ1086" s="235" t="s">
        <v>4920</v>
      </c>
      <c r="AK1086" s="235" t="s">
        <v>4777</v>
      </c>
      <c r="AL1086" s="235">
        <v>1085</v>
      </c>
    </row>
    <row r="1087" spans="1:38" x14ac:dyDescent="0.3">
      <c r="A1087" s="222" t="s">
        <v>6108</v>
      </c>
      <c r="B1087" s="222" t="s">
        <v>6109</v>
      </c>
      <c r="C1087" s="241" t="s">
        <v>4762</v>
      </c>
      <c r="D1087" s="236" t="s">
        <v>6124</v>
      </c>
      <c r="E1087" s="236">
        <v>1345110479615</v>
      </c>
      <c r="F1087" s="238" t="s">
        <v>6111</v>
      </c>
      <c r="G1087" s="238">
        <v>77</v>
      </c>
      <c r="H1087" s="223" t="s">
        <v>4771</v>
      </c>
      <c r="I1087" s="231"/>
      <c r="J1087" s="231"/>
      <c r="K1087" s="231"/>
      <c r="L1087" s="231"/>
      <c r="M1087" s="231"/>
      <c r="N1087" s="225" t="s">
        <v>5035</v>
      </c>
      <c r="O1087" s="225" t="s">
        <v>6112</v>
      </c>
      <c r="P1087" s="225" t="s">
        <v>6113</v>
      </c>
      <c r="Q1087" s="230" t="s">
        <v>6114</v>
      </c>
      <c r="R1087" s="232" t="s">
        <v>4771</v>
      </c>
      <c r="S1087" s="263" t="s">
        <v>4771</v>
      </c>
      <c r="T1087" s="233">
        <v>45596</v>
      </c>
      <c r="U1087" s="234" t="s">
        <v>4759</v>
      </c>
      <c r="V1087" s="234">
        <v>45609</v>
      </c>
      <c r="W1087" s="234">
        <v>45616</v>
      </c>
      <c r="X1087" s="234" t="s">
        <v>4771</v>
      </c>
      <c r="Y1087" s="234"/>
      <c r="Z1087" s="234" t="s">
        <v>6115</v>
      </c>
      <c r="AA1087" s="224">
        <v>202411</v>
      </c>
      <c r="AB1087" s="243"/>
      <c r="AC1087" s="244" t="s">
        <v>4800</v>
      </c>
      <c r="AD1087" s="244" t="s">
        <v>4987</v>
      </c>
      <c r="AE1087" s="245">
        <v>1</v>
      </c>
      <c r="AF1087" s="244" t="s">
        <v>4762</v>
      </c>
      <c r="AG1087" s="239" t="str">
        <f>IFERROR(VLOOKUP(작성용!A:A,RM!A:D,4,0),"-")</f>
        <v>오영석</v>
      </c>
      <c r="AH1087" s="9" t="s">
        <v>4823</v>
      </c>
      <c r="AI1087" s="235" t="s">
        <v>4771</v>
      </c>
      <c r="AJ1087" s="235" t="s">
        <v>4920</v>
      </c>
      <c r="AK1087" s="235" t="s">
        <v>4777</v>
      </c>
      <c r="AL1087" s="235">
        <v>1086</v>
      </c>
    </row>
    <row r="1088" spans="1:38" x14ac:dyDescent="0.3">
      <c r="A1088" s="222" t="s">
        <v>6108</v>
      </c>
      <c r="B1088" s="222" t="s">
        <v>6109</v>
      </c>
      <c r="C1088" s="241" t="s">
        <v>4762</v>
      </c>
      <c r="D1088" s="236" t="s">
        <v>6125</v>
      </c>
      <c r="E1088" s="236">
        <v>1101117828192</v>
      </c>
      <c r="F1088" s="238" t="s">
        <v>6111</v>
      </c>
      <c r="G1088" s="238">
        <v>77</v>
      </c>
      <c r="H1088" s="223" t="s">
        <v>4771</v>
      </c>
      <c r="I1088" s="231"/>
      <c r="J1088" s="231"/>
      <c r="K1088" s="231"/>
      <c r="L1088" s="231"/>
      <c r="M1088" s="231"/>
      <c r="N1088" s="225" t="s">
        <v>5035</v>
      </c>
      <c r="O1088" s="225" t="s">
        <v>6112</v>
      </c>
      <c r="P1088" s="225" t="s">
        <v>6113</v>
      </c>
      <c r="Q1088" s="230" t="s">
        <v>6114</v>
      </c>
      <c r="R1088" s="232" t="s">
        <v>4771</v>
      </c>
      <c r="S1088" s="263" t="s">
        <v>4771</v>
      </c>
      <c r="T1088" s="233">
        <v>45596</v>
      </c>
      <c r="U1088" s="234" t="s">
        <v>4759</v>
      </c>
      <c r="V1088" s="234">
        <v>45609</v>
      </c>
      <c r="W1088" s="234">
        <v>45616</v>
      </c>
      <c r="X1088" s="234" t="s">
        <v>4771</v>
      </c>
      <c r="Y1088" s="234"/>
      <c r="Z1088" s="234" t="s">
        <v>6115</v>
      </c>
      <c r="AA1088" s="224">
        <v>202411</v>
      </c>
      <c r="AB1088" s="243"/>
      <c r="AC1088" s="244" t="s">
        <v>4800</v>
      </c>
      <c r="AD1088" s="244" t="s">
        <v>4846</v>
      </c>
      <c r="AE1088" s="245">
        <v>1</v>
      </c>
      <c r="AF1088" s="244" t="s">
        <v>4762</v>
      </c>
      <c r="AG1088" s="239" t="str">
        <f>IFERROR(VLOOKUP(작성용!A:A,RM!A:D,4,0),"-")</f>
        <v>오영석</v>
      </c>
      <c r="AH1088" s="9" t="s">
        <v>4823</v>
      </c>
      <c r="AI1088" s="235" t="s">
        <v>4771</v>
      </c>
      <c r="AJ1088" s="235" t="s">
        <v>4920</v>
      </c>
      <c r="AK1088" s="235" t="s">
        <v>4777</v>
      </c>
      <c r="AL1088" s="235">
        <v>1087</v>
      </c>
    </row>
    <row r="1089" spans="1:38" x14ac:dyDescent="0.3">
      <c r="A1089" s="222" t="s">
        <v>6108</v>
      </c>
      <c r="B1089" s="222" t="s">
        <v>6109</v>
      </c>
      <c r="C1089" s="241" t="s">
        <v>4762</v>
      </c>
      <c r="D1089" s="236" t="s">
        <v>6126</v>
      </c>
      <c r="E1089" s="236">
        <v>1101118247002</v>
      </c>
      <c r="F1089" s="238" t="s">
        <v>5047</v>
      </c>
      <c r="G1089" s="238">
        <v>77</v>
      </c>
      <c r="H1089" s="223" t="s">
        <v>4771</v>
      </c>
      <c r="I1089" s="231"/>
      <c r="J1089" s="231"/>
      <c r="K1089" s="231"/>
      <c r="L1089" s="231"/>
      <c r="M1089" s="231"/>
      <c r="N1089" s="225" t="s">
        <v>5035</v>
      </c>
      <c r="O1089" s="225" t="s">
        <v>6112</v>
      </c>
      <c r="P1089" s="225" t="s">
        <v>6113</v>
      </c>
      <c r="Q1089" s="230" t="s">
        <v>6114</v>
      </c>
      <c r="R1089" s="232" t="s">
        <v>4771</v>
      </c>
      <c r="S1089" s="263" t="s">
        <v>4771</v>
      </c>
      <c r="T1089" s="233">
        <v>45596</v>
      </c>
      <c r="U1089" s="234" t="s">
        <v>4759</v>
      </c>
      <c r="V1089" s="234">
        <v>45609</v>
      </c>
      <c r="W1089" s="234">
        <v>45616</v>
      </c>
      <c r="X1089" s="234" t="s">
        <v>4771</v>
      </c>
      <c r="Y1089" s="234"/>
      <c r="Z1089" s="234" t="s">
        <v>6115</v>
      </c>
      <c r="AA1089" s="224">
        <v>202411</v>
      </c>
      <c r="AB1089" s="243"/>
      <c r="AC1089" s="244" t="s">
        <v>4800</v>
      </c>
      <c r="AD1089" s="244" t="s">
        <v>4900</v>
      </c>
      <c r="AE1089" s="245">
        <v>1</v>
      </c>
      <c r="AF1089" s="244" t="s">
        <v>4762</v>
      </c>
      <c r="AG1089" s="239" t="str">
        <f>IFERROR(VLOOKUP(작성용!A:A,RM!A:D,4,0),"-")</f>
        <v>오영석</v>
      </c>
      <c r="AH1089" s="9" t="s">
        <v>4823</v>
      </c>
      <c r="AI1089" s="235" t="s">
        <v>4771</v>
      </c>
      <c r="AJ1089" s="235" t="s">
        <v>4920</v>
      </c>
      <c r="AK1089" s="235" t="s">
        <v>4777</v>
      </c>
      <c r="AL1089" s="235">
        <v>1088</v>
      </c>
    </row>
    <row r="1090" spans="1:38" x14ac:dyDescent="0.3">
      <c r="A1090" s="222" t="s">
        <v>6108</v>
      </c>
      <c r="B1090" s="222" t="s">
        <v>6109</v>
      </c>
      <c r="C1090" s="241" t="s">
        <v>4762</v>
      </c>
      <c r="D1090" s="236" t="s">
        <v>6127</v>
      </c>
      <c r="E1090" s="236">
        <v>1717110129302</v>
      </c>
      <c r="F1090" s="238" t="s">
        <v>6111</v>
      </c>
      <c r="G1090" s="238">
        <v>77</v>
      </c>
      <c r="H1090" s="223" t="s">
        <v>4771</v>
      </c>
      <c r="I1090" s="231"/>
      <c r="J1090" s="231"/>
      <c r="K1090" s="231"/>
      <c r="L1090" s="231"/>
      <c r="M1090" s="231"/>
      <c r="N1090" s="225" t="s">
        <v>5035</v>
      </c>
      <c r="O1090" s="225" t="s">
        <v>6112</v>
      </c>
      <c r="P1090" s="225" t="s">
        <v>6113</v>
      </c>
      <c r="Q1090" s="230" t="s">
        <v>6114</v>
      </c>
      <c r="R1090" s="232" t="s">
        <v>4771</v>
      </c>
      <c r="S1090" s="263" t="s">
        <v>4771</v>
      </c>
      <c r="T1090" s="233">
        <v>45596</v>
      </c>
      <c r="U1090" s="234" t="s">
        <v>4759</v>
      </c>
      <c r="V1090" s="234">
        <v>45609</v>
      </c>
      <c r="W1090" s="234">
        <v>45616</v>
      </c>
      <c r="X1090" s="234" t="s">
        <v>4771</v>
      </c>
      <c r="Y1090" s="234"/>
      <c r="Z1090" s="234" t="s">
        <v>6115</v>
      </c>
      <c r="AA1090" s="224">
        <v>202411</v>
      </c>
      <c r="AB1090" s="243"/>
      <c r="AC1090" s="244" t="s">
        <v>4800</v>
      </c>
      <c r="AD1090" s="244" t="s">
        <v>4982</v>
      </c>
      <c r="AE1090" s="245">
        <v>1</v>
      </c>
      <c r="AF1090" s="244" t="s">
        <v>4762</v>
      </c>
      <c r="AG1090" s="239" t="str">
        <f>IFERROR(VLOOKUP(작성용!A:A,RM!A:D,4,0),"-")</f>
        <v>오영석</v>
      </c>
      <c r="AH1090" s="9" t="s">
        <v>4823</v>
      </c>
      <c r="AI1090" s="235" t="s">
        <v>4771</v>
      </c>
      <c r="AJ1090" s="235" t="s">
        <v>4920</v>
      </c>
      <c r="AK1090" s="235" t="s">
        <v>4777</v>
      </c>
      <c r="AL1090" s="235">
        <v>1089</v>
      </c>
    </row>
    <row r="1091" spans="1:38" x14ac:dyDescent="0.3">
      <c r="A1091" s="222" t="s">
        <v>6108</v>
      </c>
      <c r="B1091" s="222" t="s">
        <v>6109</v>
      </c>
      <c r="C1091" s="241" t="s">
        <v>4762</v>
      </c>
      <c r="D1091" s="236" t="s">
        <v>6128</v>
      </c>
      <c r="E1091" s="236" t="s">
        <v>6129</v>
      </c>
      <c r="F1091" s="238" t="s">
        <v>6123</v>
      </c>
      <c r="G1091" s="238">
        <v>77</v>
      </c>
      <c r="H1091" s="223" t="s">
        <v>4771</v>
      </c>
      <c r="I1091" s="231"/>
      <c r="J1091" s="231"/>
      <c r="K1091" s="231"/>
      <c r="L1091" s="231"/>
      <c r="M1091" s="231"/>
      <c r="N1091" s="225" t="s">
        <v>5035</v>
      </c>
      <c r="O1091" s="225" t="s">
        <v>6112</v>
      </c>
      <c r="P1091" s="225" t="s">
        <v>6113</v>
      </c>
      <c r="Q1091" s="230" t="s">
        <v>6114</v>
      </c>
      <c r="R1091" s="232" t="s">
        <v>4771</v>
      </c>
      <c r="S1091" s="263" t="s">
        <v>4771</v>
      </c>
      <c r="T1091" s="233">
        <v>45596</v>
      </c>
      <c r="U1091" s="234" t="s">
        <v>4759</v>
      </c>
      <c r="V1091" s="234">
        <v>45609</v>
      </c>
      <c r="W1091" s="234">
        <v>45616</v>
      </c>
      <c r="X1091" s="234" t="s">
        <v>4771</v>
      </c>
      <c r="Y1091" s="234"/>
      <c r="Z1091" s="234" t="s">
        <v>6115</v>
      </c>
      <c r="AA1091" s="224">
        <v>202411</v>
      </c>
      <c r="AB1091" s="243"/>
      <c r="AC1091" s="244" t="s">
        <v>4800</v>
      </c>
      <c r="AD1091" s="244" t="s">
        <v>4915</v>
      </c>
      <c r="AE1091" s="245">
        <v>1</v>
      </c>
      <c r="AF1091" s="244" t="s">
        <v>4762</v>
      </c>
      <c r="AG1091" s="239" t="str">
        <f>IFERROR(VLOOKUP(작성용!A:A,RM!A:D,4,0),"-")</f>
        <v>오영석</v>
      </c>
      <c r="AH1091" s="9" t="s">
        <v>4823</v>
      </c>
      <c r="AI1091" s="235" t="s">
        <v>4771</v>
      </c>
      <c r="AJ1091" s="235" t="s">
        <v>4920</v>
      </c>
      <c r="AK1091" s="235" t="s">
        <v>4777</v>
      </c>
      <c r="AL1091" s="235">
        <v>1090</v>
      </c>
    </row>
    <row r="1092" spans="1:38" x14ac:dyDescent="0.3">
      <c r="A1092" s="222" t="s">
        <v>6108</v>
      </c>
      <c r="B1092" s="222" t="s">
        <v>6109</v>
      </c>
      <c r="C1092" s="241" t="s">
        <v>4762</v>
      </c>
      <c r="D1092" s="236" t="s">
        <v>6130</v>
      </c>
      <c r="E1092" s="236">
        <v>1601110533318</v>
      </c>
      <c r="F1092" s="238" t="s">
        <v>6111</v>
      </c>
      <c r="G1092" s="238">
        <v>77</v>
      </c>
      <c r="H1092" s="223" t="s">
        <v>4771</v>
      </c>
      <c r="I1092" s="231"/>
      <c r="J1092" s="231"/>
      <c r="K1092" s="231"/>
      <c r="L1092" s="231"/>
      <c r="M1092" s="231"/>
      <c r="N1092" s="225" t="s">
        <v>5035</v>
      </c>
      <c r="O1092" s="225" t="s">
        <v>6112</v>
      </c>
      <c r="P1092" s="225" t="s">
        <v>6113</v>
      </c>
      <c r="Q1092" s="230" t="s">
        <v>6114</v>
      </c>
      <c r="R1092" s="232" t="s">
        <v>4771</v>
      </c>
      <c r="S1092" s="263" t="s">
        <v>4771</v>
      </c>
      <c r="T1092" s="233">
        <v>45596</v>
      </c>
      <c r="U1092" s="234" t="s">
        <v>4759</v>
      </c>
      <c r="V1092" s="234">
        <v>45609</v>
      </c>
      <c r="W1092" s="234">
        <v>45616</v>
      </c>
      <c r="X1092" s="234" t="s">
        <v>4771</v>
      </c>
      <c r="Y1092" s="234"/>
      <c r="Z1092" s="234" t="s">
        <v>6115</v>
      </c>
      <c r="AA1092" s="224">
        <v>202411</v>
      </c>
      <c r="AB1092" s="243"/>
      <c r="AC1092" s="244" t="s">
        <v>4800</v>
      </c>
      <c r="AD1092" s="244" t="s">
        <v>4897</v>
      </c>
      <c r="AE1092" s="245">
        <v>1</v>
      </c>
      <c r="AF1092" s="244" t="s">
        <v>4762</v>
      </c>
      <c r="AG1092" s="239" t="str">
        <f>IFERROR(VLOOKUP(작성용!A:A,RM!A:D,4,0),"-")</f>
        <v>오영석</v>
      </c>
      <c r="AH1092" s="9" t="s">
        <v>4823</v>
      </c>
      <c r="AI1092" s="235" t="s">
        <v>4771</v>
      </c>
      <c r="AJ1092" s="235" t="s">
        <v>4920</v>
      </c>
      <c r="AK1092" s="235" t="s">
        <v>4777</v>
      </c>
      <c r="AL1092" s="235">
        <v>1091</v>
      </c>
    </row>
    <row r="1093" spans="1:38" x14ac:dyDescent="0.3">
      <c r="A1093" s="222" t="s">
        <v>6108</v>
      </c>
      <c r="B1093" s="222" t="s">
        <v>6109</v>
      </c>
      <c r="C1093" s="241" t="s">
        <v>4762</v>
      </c>
      <c r="D1093" s="236" t="s">
        <v>6131</v>
      </c>
      <c r="E1093" s="236">
        <v>1101117572145</v>
      </c>
      <c r="F1093" s="238" t="s">
        <v>6120</v>
      </c>
      <c r="G1093" s="238">
        <v>0</v>
      </c>
      <c r="H1093" s="223" t="s">
        <v>4771</v>
      </c>
      <c r="I1093" s="231"/>
      <c r="J1093" s="231"/>
      <c r="K1093" s="231"/>
      <c r="L1093" s="231"/>
      <c r="M1093" s="231"/>
      <c r="N1093" s="225" t="s">
        <v>5035</v>
      </c>
      <c r="O1093" s="225" t="s">
        <v>6112</v>
      </c>
      <c r="P1093" s="225" t="s">
        <v>6113</v>
      </c>
      <c r="Q1093" s="230" t="s">
        <v>6114</v>
      </c>
      <c r="R1093" s="232" t="s">
        <v>4771</v>
      </c>
      <c r="S1093" s="263" t="s">
        <v>4771</v>
      </c>
      <c r="T1093" s="233">
        <v>45596</v>
      </c>
      <c r="U1093" s="234" t="s">
        <v>4759</v>
      </c>
      <c r="V1093" s="234">
        <v>45609</v>
      </c>
      <c r="W1093" s="234">
        <v>45616</v>
      </c>
      <c r="X1093" s="234" t="s">
        <v>4771</v>
      </c>
      <c r="Y1093" s="234"/>
      <c r="Z1093" s="234" t="s">
        <v>6115</v>
      </c>
      <c r="AA1093" s="224">
        <v>202411</v>
      </c>
      <c r="AB1093" s="243"/>
      <c r="AC1093" s="244" t="s">
        <v>4800</v>
      </c>
      <c r="AD1093" s="244" t="s">
        <v>4535</v>
      </c>
      <c r="AE1093" s="245">
        <v>1</v>
      </c>
      <c r="AF1093" s="244" t="s">
        <v>4762</v>
      </c>
      <c r="AG1093" s="239" t="str">
        <f>IFERROR(VLOOKUP(작성용!A:A,RM!A:D,4,0),"-")</f>
        <v>오영석</v>
      </c>
      <c r="AH1093" s="9" t="s">
        <v>4823</v>
      </c>
      <c r="AI1093" s="235" t="s">
        <v>4771</v>
      </c>
      <c r="AJ1093" s="235" t="s">
        <v>4920</v>
      </c>
      <c r="AK1093" s="235" t="s">
        <v>4777</v>
      </c>
      <c r="AL1093" s="235">
        <v>1092</v>
      </c>
    </row>
    <row r="1094" spans="1:38" x14ac:dyDescent="0.3">
      <c r="A1094" s="222" t="s">
        <v>6108</v>
      </c>
      <c r="B1094" s="222" t="s">
        <v>6109</v>
      </c>
      <c r="C1094" s="241" t="s">
        <v>4762</v>
      </c>
      <c r="D1094" s="236" t="s">
        <v>6131</v>
      </c>
      <c r="E1094" s="236">
        <v>1101117572145</v>
      </c>
      <c r="F1094" s="238" t="s">
        <v>6111</v>
      </c>
      <c r="G1094" s="238">
        <v>77</v>
      </c>
      <c r="H1094" s="223" t="s">
        <v>4771</v>
      </c>
      <c r="I1094" s="231"/>
      <c r="J1094" s="231"/>
      <c r="K1094" s="231"/>
      <c r="L1094" s="231"/>
      <c r="M1094" s="231"/>
      <c r="N1094" s="225" t="s">
        <v>5035</v>
      </c>
      <c r="O1094" s="225" t="s">
        <v>6112</v>
      </c>
      <c r="P1094" s="225" t="s">
        <v>6113</v>
      </c>
      <c r="Q1094" s="230" t="s">
        <v>6114</v>
      </c>
      <c r="R1094" s="232" t="s">
        <v>4771</v>
      </c>
      <c r="S1094" s="263" t="s">
        <v>4771</v>
      </c>
      <c r="T1094" s="233">
        <v>45596</v>
      </c>
      <c r="U1094" s="234" t="s">
        <v>4759</v>
      </c>
      <c r="V1094" s="234">
        <v>45609</v>
      </c>
      <c r="W1094" s="234">
        <v>45616</v>
      </c>
      <c r="X1094" s="234" t="s">
        <v>4771</v>
      </c>
      <c r="Y1094" s="234"/>
      <c r="Z1094" s="234" t="s">
        <v>6115</v>
      </c>
      <c r="AA1094" s="224">
        <v>202411</v>
      </c>
      <c r="AB1094" s="243"/>
      <c r="AC1094" s="244" t="s">
        <v>4800</v>
      </c>
      <c r="AD1094" s="244" t="s">
        <v>4535</v>
      </c>
      <c r="AE1094" s="245">
        <v>0</v>
      </c>
      <c r="AF1094" s="244" t="s">
        <v>4762</v>
      </c>
      <c r="AG1094" s="239" t="str">
        <f>IFERROR(VLOOKUP(작성용!A:A,RM!A:D,4,0),"-")</f>
        <v>오영석</v>
      </c>
      <c r="AH1094" s="9" t="s">
        <v>4823</v>
      </c>
      <c r="AI1094" s="235" t="s">
        <v>4771</v>
      </c>
      <c r="AJ1094" s="235" t="s">
        <v>4920</v>
      </c>
      <c r="AK1094" s="235" t="s">
        <v>4777</v>
      </c>
      <c r="AL1094" s="235">
        <v>1093</v>
      </c>
    </row>
    <row r="1095" spans="1:38" x14ac:dyDescent="0.3">
      <c r="A1095" s="222" t="s">
        <v>6108</v>
      </c>
      <c r="B1095" s="222" t="s">
        <v>6109</v>
      </c>
      <c r="C1095" s="241" t="s">
        <v>4762</v>
      </c>
      <c r="D1095" s="236" t="s">
        <v>6132</v>
      </c>
      <c r="E1095" s="236">
        <v>1358110365396</v>
      </c>
      <c r="F1095" s="238" t="s">
        <v>6111</v>
      </c>
      <c r="G1095" s="238">
        <v>77</v>
      </c>
      <c r="H1095" s="223" t="s">
        <v>4771</v>
      </c>
      <c r="I1095" s="231"/>
      <c r="J1095" s="231"/>
      <c r="K1095" s="231"/>
      <c r="L1095" s="231"/>
      <c r="M1095" s="231"/>
      <c r="N1095" s="225" t="s">
        <v>5035</v>
      </c>
      <c r="O1095" s="225" t="s">
        <v>6112</v>
      </c>
      <c r="P1095" s="225" t="s">
        <v>6113</v>
      </c>
      <c r="Q1095" s="230" t="s">
        <v>6114</v>
      </c>
      <c r="R1095" s="232" t="s">
        <v>4771</v>
      </c>
      <c r="S1095" s="263" t="s">
        <v>4771</v>
      </c>
      <c r="T1095" s="233">
        <v>45596</v>
      </c>
      <c r="U1095" s="234" t="s">
        <v>4759</v>
      </c>
      <c r="V1095" s="234">
        <v>45609</v>
      </c>
      <c r="W1095" s="234">
        <v>45616</v>
      </c>
      <c r="X1095" s="234" t="s">
        <v>4771</v>
      </c>
      <c r="Y1095" s="234"/>
      <c r="Z1095" s="234" t="s">
        <v>6115</v>
      </c>
      <c r="AA1095" s="224">
        <v>202411</v>
      </c>
      <c r="AB1095" s="243"/>
      <c r="AC1095" s="244" t="s">
        <v>4800</v>
      </c>
      <c r="AD1095" s="244" t="s">
        <v>4945</v>
      </c>
      <c r="AE1095" s="245">
        <v>1</v>
      </c>
      <c r="AF1095" s="244" t="s">
        <v>4762</v>
      </c>
      <c r="AG1095" s="239" t="str">
        <f>IFERROR(VLOOKUP(작성용!A:A,RM!A:D,4,0),"-")</f>
        <v>오영석</v>
      </c>
      <c r="AH1095" s="9" t="s">
        <v>4823</v>
      </c>
      <c r="AI1095" s="235" t="s">
        <v>4771</v>
      </c>
      <c r="AJ1095" s="235" t="s">
        <v>4920</v>
      </c>
      <c r="AK1095" s="235" t="s">
        <v>4777</v>
      </c>
      <c r="AL1095" s="235">
        <v>1094</v>
      </c>
    </row>
    <row r="1096" spans="1:38" x14ac:dyDescent="0.3">
      <c r="A1096" s="222" t="s">
        <v>6108</v>
      </c>
      <c r="B1096" s="222" t="s">
        <v>6109</v>
      </c>
      <c r="C1096" s="241" t="s">
        <v>4762</v>
      </c>
      <c r="D1096" s="236" t="s">
        <v>6133</v>
      </c>
      <c r="E1096" s="236" t="s">
        <v>6134</v>
      </c>
      <c r="F1096" s="238" t="s">
        <v>6111</v>
      </c>
      <c r="G1096" s="238">
        <v>77</v>
      </c>
      <c r="H1096" s="223" t="s">
        <v>4771</v>
      </c>
      <c r="I1096" s="231"/>
      <c r="J1096" s="231"/>
      <c r="K1096" s="231"/>
      <c r="L1096" s="231"/>
      <c r="M1096" s="231"/>
      <c r="N1096" s="225" t="s">
        <v>5035</v>
      </c>
      <c r="O1096" s="225" t="s">
        <v>6112</v>
      </c>
      <c r="P1096" s="225" t="s">
        <v>6113</v>
      </c>
      <c r="Q1096" s="230" t="s">
        <v>6114</v>
      </c>
      <c r="R1096" s="232" t="s">
        <v>4771</v>
      </c>
      <c r="S1096" s="263" t="s">
        <v>4771</v>
      </c>
      <c r="T1096" s="233">
        <v>45596</v>
      </c>
      <c r="U1096" s="234" t="s">
        <v>4759</v>
      </c>
      <c r="V1096" s="234">
        <v>45609</v>
      </c>
      <c r="W1096" s="234">
        <v>45616</v>
      </c>
      <c r="X1096" s="234" t="s">
        <v>4771</v>
      </c>
      <c r="Y1096" s="234"/>
      <c r="Z1096" s="234" t="s">
        <v>6115</v>
      </c>
      <c r="AA1096" s="224">
        <v>202411</v>
      </c>
      <c r="AB1096" s="243"/>
      <c r="AC1096" s="244" t="s">
        <v>4800</v>
      </c>
      <c r="AD1096" s="244" t="s">
        <v>4856</v>
      </c>
      <c r="AE1096" s="245">
        <v>1</v>
      </c>
      <c r="AF1096" s="244" t="s">
        <v>4762</v>
      </c>
      <c r="AG1096" s="239" t="str">
        <f>IFERROR(VLOOKUP(작성용!A:A,RM!A:D,4,0),"-")</f>
        <v>오영석</v>
      </c>
      <c r="AH1096" s="9" t="s">
        <v>4823</v>
      </c>
      <c r="AI1096" s="235" t="s">
        <v>4771</v>
      </c>
      <c r="AJ1096" s="235" t="s">
        <v>4920</v>
      </c>
      <c r="AK1096" s="235" t="s">
        <v>4777</v>
      </c>
      <c r="AL1096" s="235">
        <v>1095</v>
      </c>
    </row>
    <row r="1097" spans="1:38" x14ac:dyDescent="0.3">
      <c r="A1097" s="222" t="s">
        <v>6108</v>
      </c>
      <c r="B1097" s="222" t="s">
        <v>6109</v>
      </c>
      <c r="C1097" s="241" t="s">
        <v>4762</v>
      </c>
      <c r="D1097" s="236" t="s">
        <v>6135</v>
      </c>
      <c r="E1097" s="236" t="s">
        <v>6136</v>
      </c>
      <c r="F1097" s="238" t="s">
        <v>6123</v>
      </c>
      <c r="G1097" s="238">
        <v>77</v>
      </c>
      <c r="H1097" s="223" t="s">
        <v>4771</v>
      </c>
      <c r="I1097" s="231"/>
      <c r="J1097" s="231"/>
      <c r="K1097" s="231"/>
      <c r="L1097" s="231"/>
      <c r="M1097" s="231"/>
      <c r="N1097" s="225" t="s">
        <v>5035</v>
      </c>
      <c r="O1097" s="225" t="s">
        <v>6112</v>
      </c>
      <c r="P1097" s="225" t="s">
        <v>6113</v>
      </c>
      <c r="Q1097" s="230" t="s">
        <v>6114</v>
      </c>
      <c r="R1097" s="232" t="s">
        <v>4771</v>
      </c>
      <c r="S1097" s="263" t="s">
        <v>4771</v>
      </c>
      <c r="T1097" s="233">
        <v>45596</v>
      </c>
      <c r="U1097" s="234" t="s">
        <v>4759</v>
      </c>
      <c r="V1097" s="234">
        <v>45609</v>
      </c>
      <c r="W1097" s="234">
        <v>45616</v>
      </c>
      <c r="X1097" s="234" t="s">
        <v>4771</v>
      </c>
      <c r="Y1097" s="234"/>
      <c r="Z1097" s="234" t="s">
        <v>6115</v>
      </c>
      <c r="AA1097" s="224">
        <v>202411</v>
      </c>
      <c r="AB1097" s="243"/>
      <c r="AC1097" s="244" t="s">
        <v>4800</v>
      </c>
      <c r="AD1097" s="244" t="s">
        <v>4761</v>
      </c>
      <c r="AE1097" s="245">
        <v>1</v>
      </c>
      <c r="AF1097" s="244" t="s">
        <v>4762</v>
      </c>
      <c r="AG1097" s="239" t="str">
        <f>IFERROR(VLOOKUP(작성용!A:A,RM!A:D,4,0),"-")</f>
        <v>오영석</v>
      </c>
      <c r="AH1097" s="9" t="s">
        <v>4823</v>
      </c>
      <c r="AI1097" s="235" t="s">
        <v>4771</v>
      </c>
      <c r="AJ1097" s="235" t="s">
        <v>4920</v>
      </c>
      <c r="AK1097" s="235" t="s">
        <v>4777</v>
      </c>
      <c r="AL1097" s="235">
        <v>1096</v>
      </c>
    </row>
    <row r="1098" spans="1:38" x14ac:dyDescent="0.3">
      <c r="A1098" s="222" t="s">
        <v>6108</v>
      </c>
      <c r="B1098" s="222" t="s">
        <v>6109</v>
      </c>
      <c r="C1098" s="241" t="s">
        <v>4762</v>
      </c>
      <c r="D1098" s="236" t="s">
        <v>6137</v>
      </c>
      <c r="E1098" s="236" t="s">
        <v>6138</v>
      </c>
      <c r="F1098" s="238" t="s">
        <v>6111</v>
      </c>
      <c r="G1098" s="238">
        <v>77</v>
      </c>
      <c r="H1098" s="223" t="s">
        <v>4771</v>
      </c>
      <c r="I1098" s="231"/>
      <c r="J1098" s="231"/>
      <c r="K1098" s="231"/>
      <c r="L1098" s="231"/>
      <c r="M1098" s="231"/>
      <c r="N1098" s="225" t="s">
        <v>5035</v>
      </c>
      <c r="O1098" s="225" t="s">
        <v>6112</v>
      </c>
      <c r="P1098" s="225" t="s">
        <v>6113</v>
      </c>
      <c r="Q1098" s="230" t="s">
        <v>6114</v>
      </c>
      <c r="R1098" s="232" t="s">
        <v>4771</v>
      </c>
      <c r="S1098" s="263" t="s">
        <v>4771</v>
      </c>
      <c r="T1098" s="233">
        <v>45596</v>
      </c>
      <c r="U1098" s="234" t="s">
        <v>4759</v>
      </c>
      <c r="V1098" s="234">
        <v>45609</v>
      </c>
      <c r="W1098" s="234">
        <v>45616</v>
      </c>
      <c r="X1098" s="234" t="s">
        <v>4771</v>
      </c>
      <c r="Y1098" s="234"/>
      <c r="Z1098" s="234" t="s">
        <v>6115</v>
      </c>
      <c r="AA1098" s="224">
        <v>202411</v>
      </c>
      <c r="AB1098" s="243"/>
      <c r="AC1098" s="244" t="s">
        <v>4800</v>
      </c>
      <c r="AD1098" s="244" t="s">
        <v>4945</v>
      </c>
      <c r="AE1098" s="245">
        <v>1</v>
      </c>
      <c r="AF1098" s="244" t="s">
        <v>4762</v>
      </c>
      <c r="AG1098" s="239" t="str">
        <f>IFERROR(VLOOKUP(작성용!A:A,RM!A:D,4,0),"-")</f>
        <v>오영석</v>
      </c>
      <c r="AH1098" s="9" t="s">
        <v>4823</v>
      </c>
      <c r="AI1098" s="235" t="s">
        <v>4771</v>
      </c>
      <c r="AJ1098" s="235" t="s">
        <v>4920</v>
      </c>
      <c r="AK1098" s="235" t="s">
        <v>4777</v>
      </c>
      <c r="AL1098" s="235">
        <v>1097</v>
      </c>
    </row>
    <row r="1099" spans="1:38" x14ac:dyDescent="0.3">
      <c r="A1099" s="222" t="s">
        <v>6108</v>
      </c>
      <c r="B1099" s="222" t="s">
        <v>6109</v>
      </c>
      <c r="C1099" s="241" t="s">
        <v>4762</v>
      </c>
      <c r="D1099" s="236" t="s">
        <v>6139</v>
      </c>
      <c r="E1099" s="236" t="s">
        <v>6140</v>
      </c>
      <c r="F1099" s="238" t="s">
        <v>6120</v>
      </c>
      <c r="G1099" s="238">
        <v>0</v>
      </c>
      <c r="H1099" s="223" t="s">
        <v>4771</v>
      </c>
      <c r="I1099" s="231"/>
      <c r="J1099" s="231"/>
      <c r="K1099" s="231"/>
      <c r="L1099" s="231"/>
      <c r="M1099" s="231"/>
      <c r="N1099" s="225" t="s">
        <v>5035</v>
      </c>
      <c r="O1099" s="225" t="s">
        <v>6112</v>
      </c>
      <c r="P1099" s="225" t="s">
        <v>6113</v>
      </c>
      <c r="Q1099" s="230" t="s">
        <v>6114</v>
      </c>
      <c r="R1099" s="232" t="s">
        <v>4771</v>
      </c>
      <c r="S1099" s="263" t="s">
        <v>4771</v>
      </c>
      <c r="T1099" s="233">
        <v>45596</v>
      </c>
      <c r="U1099" s="234" t="s">
        <v>4759</v>
      </c>
      <c r="V1099" s="234">
        <v>45609</v>
      </c>
      <c r="W1099" s="234">
        <v>45616</v>
      </c>
      <c r="X1099" s="234" t="s">
        <v>4771</v>
      </c>
      <c r="Y1099" s="234"/>
      <c r="Z1099" s="234" t="s">
        <v>6115</v>
      </c>
      <c r="AA1099" s="224">
        <v>202411</v>
      </c>
      <c r="AB1099" s="243"/>
      <c r="AC1099" s="244" t="s">
        <v>4800</v>
      </c>
      <c r="AD1099" s="244" t="s">
        <v>4947</v>
      </c>
      <c r="AE1099" s="245">
        <v>1</v>
      </c>
      <c r="AF1099" s="244" t="s">
        <v>4762</v>
      </c>
      <c r="AG1099" s="239" t="str">
        <f>IFERROR(VLOOKUP(작성용!A:A,RM!A:D,4,0),"-")</f>
        <v>오영석</v>
      </c>
      <c r="AH1099" s="9" t="s">
        <v>4823</v>
      </c>
      <c r="AI1099" s="235" t="s">
        <v>4771</v>
      </c>
      <c r="AJ1099" s="235" t="s">
        <v>4920</v>
      </c>
      <c r="AK1099" s="235" t="s">
        <v>4777</v>
      </c>
      <c r="AL1099" s="235">
        <v>1098</v>
      </c>
    </row>
    <row r="1100" spans="1:38" x14ac:dyDescent="0.3">
      <c r="A1100" s="222" t="s">
        <v>6108</v>
      </c>
      <c r="B1100" s="222" t="s">
        <v>6109</v>
      </c>
      <c r="C1100" s="241" t="s">
        <v>4762</v>
      </c>
      <c r="D1100" s="236" t="s">
        <v>6139</v>
      </c>
      <c r="E1100" s="236" t="s">
        <v>6140</v>
      </c>
      <c r="F1100" s="238" t="s">
        <v>6111</v>
      </c>
      <c r="G1100" s="238">
        <v>77</v>
      </c>
      <c r="H1100" s="223" t="s">
        <v>4771</v>
      </c>
      <c r="I1100" s="231"/>
      <c r="J1100" s="231"/>
      <c r="K1100" s="231"/>
      <c r="L1100" s="231"/>
      <c r="M1100" s="231"/>
      <c r="N1100" s="225" t="s">
        <v>5035</v>
      </c>
      <c r="O1100" s="225" t="s">
        <v>6112</v>
      </c>
      <c r="P1100" s="225" t="s">
        <v>6113</v>
      </c>
      <c r="Q1100" s="230" t="s">
        <v>6114</v>
      </c>
      <c r="R1100" s="232" t="s">
        <v>4771</v>
      </c>
      <c r="S1100" s="263" t="s">
        <v>4771</v>
      </c>
      <c r="T1100" s="233">
        <v>45596</v>
      </c>
      <c r="U1100" s="234" t="s">
        <v>4759</v>
      </c>
      <c r="V1100" s="234">
        <v>45609</v>
      </c>
      <c r="W1100" s="234">
        <v>45616</v>
      </c>
      <c r="X1100" s="234" t="s">
        <v>4771</v>
      </c>
      <c r="Y1100" s="234"/>
      <c r="Z1100" s="234" t="s">
        <v>6115</v>
      </c>
      <c r="AA1100" s="224">
        <v>202411</v>
      </c>
      <c r="AB1100" s="243"/>
      <c r="AC1100" s="244" t="s">
        <v>4800</v>
      </c>
      <c r="AD1100" s="244" t="s">
        <v>4947</v>
      </c>
      <c r="AE1100" s="245">
        <v>0</v>
      </c>
      <c r="AF1100" s="244" t="s">
        <v>4762</v>
      </c>
      <c r="AG1100" s="239" t="str">
        <f>IFERROR(VLOOKUP(작성용!A:A,RM!A:D,4,0),"-")</f>
        <v>오영석</v>
      </c>
      <c r="AH1100" s="9" t="s">
        <v>4823</v>
      </c>
      <c r="AI1100" s="235" t="s">
        <v>4771</v>
      </c>
      <c r="AJ1100" s="235" t="s">
        <v>4920</v>
      </c>
      <c r="AK1100" s="235" t="s">
        <v>4777</v>
      </c>
      <c r="AL1100" s="235">
        <v>1099</v>
      </c>
    </row>
    <row r="1101" spans="1:38" x14ac:dyDescent="0.3">
      <c r="A1101" s="222" t="s">
        <v>6108</v>
      </c>
      <c r="B1101" s="222" t="s">
        <v>6109</v>
      </c>
      <c r="C1101" s="241" t="s">
        <v>4762</v>
      </c>
      <c r="D1101" s="236" t="s">
        <v>6141</v>
      </c>
      <c r="E1101" s="236">
        <v>2841110111983</v>
      </c>
      <c r="F1101" s="238" t="s">
        <v>6120</v>
      </c>
      <c r="G1101" s="238">
        <v>0</v>
      </c>
      <c r="H1101" s="223" t="s">
        <v>4771</v>
      </c>
      <c r="I1101" s="231"/>
      <c r="J1101" s="231"/>
      <c r="K1101" s="231"/>
      <c r="L1101" s="231"/>
      <c r="M1101" s="231"/>
      <c r="N1101" s="225" t="s">
        <v>5035</v>
      </c>
      <c r="O1101" s="225" t="s">
        <v>6112</v>
      </c>
      <c r="P1101" s="225" t="s">
        <v>6113</v>
      </c>
      <c r="Q1101" s="230" t="s">
        <v>6114</v>
      </c>
      <c r="R1101" s="232" t="s">
        <v>4771</v>
      </c>
      <c r="S1101" s="263" t="s">
        <v>4771</v>
      </c>
      <c r="T1101" s="233">
        <v>45596</v>
      </c>
      <c r="U1101" s="234" t="s">
        <v>4759</v>
      </c>
      <c r="V1101" s="234">
        <v>45609</v>
      </c>
      <c r="W1101" s="234">
        <v>45616</v>
      </c>
      <c r="X1101" s="234" t="s">
        <v>4771</v>
      </c>
      <c r="Y1101" s="234"/>
      <c r="Z1101" s="234" t="s">
        <v>6115</v>
      </c>
      <c r="AA1101" s="224">
        <v>202411</v>
      </c>
      <c r="AB1101" s="243"/>
      <c r="AC1101" s="244" t="s">
        <v>4800</v>
      </c>
      <c r="AD1101" s="244" t="s">
        <v>6142</v>
      </c>
      <c r="AE1101" s="245">
        <v>1</v>
      </c>
      <c r="AF1101" s="244" t="s">
        <v>4762</v>
      </c>
      <c r="AG1101" s="239" t="str">
        <f>IFERROR(VLOOKUP(작성용!A:A,RM!A:D,4,0),"-")</f>
        <v>오영석</v>
      </c>
      <c r="AH1101" s="9" t="s">
        <v>4823</v>
      </c>
      <c r="AI1101" s="235" t="s">
        <v>4771</v>
      </c>
      <c r="AJ1101" s="235" t="s">
        <v>4920</v>
      </c>
      <c r="AK1101" s="235" t="s">
        <v>4777</v>
      </c>
      <c r="AL1101" s="235">
        <v>1100</v>
      </c>
    </row>
    <row r="1102" spans="1:38" x14ac:dyDescent="0.3">
      <c r="A1102" s="222" t="s">
        <v>6108</v>
      </c>
      <c r="B1102" s="222" t="s">
        <v>6109</v>
      </c>
      <c r="C1102" s="241" t="s">
        <v>4762</v>
      </c>
      <c r="D1102" s="236" t="s">
        <v>6141</v>
      </c>
      <c r="E1102" s="236">
        <v>2841110111983</v>
      </c>
      <c r="F1102" s="238" t="s">
        <v>6111</v>
      </c>
      <c r="G1102" s="238">
        <v>77</v>
      </c>
      <c r="H1102" s="223" t="s">
        <v>4771</v>
      </c>
      <c r="I1102" s="231"/>
      <c r="J1102" s="231"/>
      <c r="K1102" s="231"/>
      <c r="L1102" s="231"/>
      <c r="M1102" s="231"/>
      <c r="N1102" s="225" t="s">
        <v>5035</v>
      </c>
      <c r="O1102" s="225" t="s">
        <v>6112</v>
      </c>
      <c r="P1102" s="225" t="s">
        <v>6113</v>
      </c>
      <c r="Q1102" s="230" t="s">
        <v>6114</v>
      </c>
      <c r="R1102" s="232" t="s">
        <v>4771</v>
      </c>
      <c r="S1102" s="263" t="s">
        <v>4771</v>
      </c>
      <c r="T1102" s="233">
        <v>45596</v>
      </c>
      <c r="U1102" s="234" t="s">
        <v>4759</v>
      </c>
      <c r="V1102" s="234">
        <v>45609</v>
      </c>
      <c r="W1102" s="234">
        <v>45616</v>
      </c>
      <c r="X1102" s="234" t="s">
        <v>4771</v>
      </c>
      <c r="Y1102" s="234"/>
      <c r="Z1102" s="234" t="s">
        <v>6115</v>
      </c>
      <c r="AA1102" s="224">
        <v>202411</v>
      </c>
      <c r="AB1102" s="243"/>
      <c r="AC1102" s="244" t="s">
        <v>4800</v>
      </c>
      <c r="AD1102" s="244" t="s">
        <v>6142</v>
      </c>
      <c r="AE1102" s="245">
        <v>0</v>
      </c>
      <c r="AF1102" s="244" t="s">
        <v>4762</v>
      </c>
      <c r="AG1102" s="239" t="str">
        <f>IFERROR(VLOOKUP(작성용!A:A,RM!A:D,4,0),"-")</f>
        <v>오영석</v>
      </c>
      <c r="AH1102" s="9" t="s">
        <v>4823</v>
      </c>
      <c r="AI1102" s="235" t="s">
        <v>4771</v>
      </c>
      <c r="AJ1102" s="235" t="s">
        <v>4920</v>
      </c>
      <c r="AK1102" s="235" t="s">
        <v>4777</v>
      </c>
      <c r="AL1102" s="235">
        <v>1101</v>
      </c>
    </row>
    <row r="1103" spans="1:38" x14ac:dyDescent="0.3">
      <c r="A1103" s="222" t="s">
        <v>6108</v>
      </c>
      <c r="B1103" s="222" t="s">
        <v>6109</v>
      </c>
      <c r="C1103" s="241" t="s">
        <v>4762</v>
      </c>
      <c r="D1103" s="236" t="s">
        <v>6143</v>
      </c>
      <c r="E1103" s="236">
        <v>1101117064457</v>
      </c>
      <c r="F1103" s="238" t="s">
        <v>6111</v>
      </c>
      <c r="G1103" s="238">
        <v>77</v>
      </c>
      <c r="H1103" s="223" t="s">
        <v>4771</v>
      </c>
      <c r="I1103" s="231"/>
      <c r="J1103" s="231"/>
      <c r="K1103" s="231"/>
      <c r="L1103" s="231"/>
      <c r="M1103" s="231"/>
      <c r="N1103" s="225" t="s">
        <v>5035</v>
      </c>
      <c r="O1103" s="225" t="s">
        <v>6112</v>
      </c>
      <c r="P1103" s="225" t="s">
        <v>6113</v>
      </c>
      <c r="Q1103" s="230" t="s">
        <v>6114</v>
      </c>
      <c r="R1103" s="232" t="s">
        <v>4771</v>
      </c>
      <c r="S1103" s="263" t="s">
        <v>4771</v>
      </c>
      <c r="T1103" s="233">
        <v>45596</v>
      </c>
      <c r="U1103" s="234" t="s">
        <v>4759</v>
      </c>
      <c r="V1103" s="234">
        <v>45609</v>
      </c>
      <c r="W1103" s="234">
        <v>45616</v>
      </c>
      <c r="X1103" s="234" t="s">
        <v>4771</v>
      </c>
      <c r="Y1103" s="234"/>
      <c r="Z1103" s="234" t="s">
        <v>6115</v>
      </c>
      <c r="AA1103" s="224">
        <v>202411</v>
      </c>
      <c r="AB1103" s="243"/>
      <c r="AC1103" s="244" t="s">
        <v>4800</v>
      </c>
      <c r="AD1103" s="244" t="s">
        <v>4947</v>
      </c>
      <c r="AE1103" s="245">
        <v>1</v>
      </c>
      <c r="AF1103" s="244" t="s">
        <v>4762</v>
      </c>
      <c r="AG1103" s="239" t="str">
        <f>IFERROR(VLOOKUP(작성용!A:A,RM!A:D,4,0),"-")</f>
        <v>오영석</v>
      </c>
      <c r="AH1103" s="9" t="s">
        <v>4823</v>
      </c>
      <c r="AI1103" s="235" t="s">
        <v>4771</v>
      </c>
      <c r="AJ1103" s="235" t="s">
        <v>4920</v>
      </c>
      <c r="AK1103" s="235" t="s">
        <v>4777</v>
      </c>
      <c r="AL1103" s="235">
        <v>1102</v>
      </c>
    </row>
    <row r="1104" spans="1:38" x14ac:dyDescent="0.3">
      <c r="A1104" s="222" t="s">
        <v>6108</v>
      </c>
      <c r="B1104" s="222" t="s">
        <v>6109</v>
      </c>
      <c r="C1104" s="241" t="s">
        <v>4762</v>
      </c>
      <c r="D1104" s="236" t="s">
        <v>6144</v>
      </c>
      <c r="E1104" s="236">
        <v>1101117850541</v>
      </c>
      <c r="F1104" s="238" t="s">
        <v>6111</v>
      </c>
      <c r="G1104" s="238">
        <v>77</v>
      </c>
      <c r="H1104" s="223" t="s">
        <v>4771</v>
      </c>
      <c r="I1104" s="231"/>
      <c r="J1104" s="231"/>
      <c r="K1104" s="231"/>
      <c r="L1104" s="231"/>
      <c r="M1104" s="231"/>
      <c r="N1104" s="225" t="s">
        <v>5035</v>
      </c>
      <c r="O1104" s="225" t="s">
        <v>6112</v>
      </c>
      <c r="P1104" s="225" t="s">
        <v>6113</v>
      </c>
      <c r="Q1104" s="230" t="s">
        <v>6114</v>
      </c>
      <c r="R1104" s="232" t="s">
        <v>4771</v>
      </c>
      <c r="S1104" s="263" t="s">
        <v>4771</v>
      </c>
      <c r="T1104" s="233">
        <v>45596</v>
      </c>
      <c r="U1104" s="234" t="s">
        <v>4759</v>
      </c>
      <c r="V1104" s="234">
        <v>45609</v>
      </c>
      <c r="W1104" s="234">
        <v>45616</v>
      </c>
      <c r="X1104" s="234" t="s">
        <v>4771</v>
      </c>
      <c r="Y1104" s="234"/>
      <c r="Z1104" s="234" t="s">
        <v>6115</v>
      </c>
      <c r="AA1104" s="224">
        <v>202411</v>
      </c>
      <c r="AB1104" s="243"/>
      <c r="AC1104" s="244" t="s">
        <v>4800</v>
      </c>
      <c r="AD1104" s="244" t="s">
        <v>4911</v>
      </c>
      <c r="AE1104" s="245">
        <v>1</v>
      </c>
      <c r="AF1104" s="244" t="s">
        <v>4762</v>
      </c>
      <c r="AG1104" s="239" t="str">
        <f>IFERROR(VLOOKUP(작성용!A:A,RM!A:D,4,0),"-")</f>
        <v>오영석</v>
      </c>
      <c r="AH1104" s="9" t="s">
        <v>4823</v>
      </c>
      <c r="AI1104" s="235" t="s">
        <v>4771</v>
      </c>
      <c r="AJ1104" s="235" t="s">
        <v>4920</v>
      </c>
      <c r="AK1104" s="235" t="s">
        <v>4777</v>
      </c>
      <c r="AL1104" s="235">
        <v>1103</v>
      </c>
    </row>
    <row r="1105" spans="1:38" x14ac:dyDescent="0.3">
      <c r="A1105" s="222" t="s">
        <v>6108</v>
      </c>
      <c r="B1105" s="222" t="s">
        <v>6109</v>
      </c>
      <c r="C1105" s="241" t="s">
        <v>4762</v>
      </c>
      <c r="D1105" s="236" t="s">
        <v>6145</v>
      </c>
      <c r="E1105" s="236">
        <v>1101115075141</v>
      </c>
      <c r="F1105" s="238" t="s">
        <v>6111</v>
      </c>
      <c r="G1105" s="238">
        <v>77</v>
      </c>
      <c r="H1105" s="223" t="s">
        <v>4771</v>
      </c>
      <c r="I1105" s="231"/>
      <c r="J1105" s="231"/>
      <c r="K1105" s="231"/>
      <c r="L1105" s="231"/>
      <c r="M1105" s="231"/>
      <c r="N1105" s="225" t="s">
        <v>5035</v>
      </c>
      <c r="O1105" s="225" t="s">
        <v>6112</v>
      </c>
      <c r="P1105" s="225" t="s">
        <v>6113</v>
      </c>
      <c r="Q1105" s="230" t="s">
        <v>6114</v>
      </c>
      <c r="R1105" s="232" t="s">
        <v>4771</v>
      </c>
      <c r="S1105" s="263" t="s">
        <v>4771</v>
      </c>
      <c r="T1105" s="233">
        <v>45596</v>
      </c>
      <c r="U1105" s="234" t="s">
        <v>4759</v>
      </c>
      <c r="V1105" s="234">
        <v>45609</v>
      </c>
      <c r="W1105" s="234">
        <v>45616</v>
      </c>
      <c r="X1105" s="234" t="s">
        <v>4771</v>
      </c>
      <c r="Y1105" s="234"/>
      <c r="Z1105" s="234" t="s">
        <v>6115</v>
      </c>
      <c r="AA1105" s="224">
        <v>202411</v>
      </c>
      <c r="AB1105" s="243"/>
      <c r="AC1105" s="244" t="s">
        <v>4800</v>
      </c>
      <c r="AD1105" s="244" t="s">
        <v>4915</v>
      </c>
      <c r="AE1105" s="245">
        <v>1</v>
      </c>
      <c r="AF1105" s="244" t="s">
        <v>4762</v>
      </c>
      <c r="AG1105" s="239" t="str">
        <f>IFERROR(VLOOKUP(작성용!A:A,RM!A:D,4,0),"-")</f>
        <v>오영석</v>
      </c>
      <c r="AH1105" s="9" t="s">
        <v>4823</v>
      </c>
      <c r="AI1105" s="235" t="s">
        <v>4771</v>
      </c>
      <c r="AJ1105" s="235" t="s">
        <v>4920</v>
      </c>
      <c r="AK1105" s="235" t="s">
        <v>4777</v>
      </c>
      <c r="AL1105" s="235">
        <v>1104</v>
      </c>
    </row>
    <row r="1106" spans="1:38" x14ac:dyDescent="0.3">
      <c r="A1106" s="222" t="s">
        <v>6108</v>
      </c>
      <c r="B1106" s="222" t="s">
        <v>6109</v>
      </c>
      <c r="C1106" s="241" t="s">
        <v>4762</v>
      </c>
      <c r="D1106" s="236" t="s">
        <v>6145</v>
      </c>
      <c r="E1106" s="236">
        <v>1101115075141</v>
      </c>
      <c r="F1106" s="238" t="s">
        <v>6111</v>
      </c>
      <c r="G1106" s="238">
        <v>771</v>
      </c>
      <c r="H1106" s="223" t="s">
        <v>4771</v>
      </c>
      <c r="I1106" s="231"/>
      <c r="J1106" s="231"/>
      <c r="K1106" s="231"/>
      <c r="L1106" s="231"/>
      <c r="M1106" s="231"/>
      <c r="N1106" s="225" t="s">
        <v>5035</v>
      </c>
      <c r="O1106" s="225" t="s">
        <v>6112</v>
      </c>
      <c r="P1106" s="225" t="s">
        <v>6113</v>
      </c>
      <c r="Q1106" s="230" t="s">
        <v>6114</v>
      </c>
      <c r="R1106" s="232" t="s">
        <v>4771</v>
      </c>
      <c r="S1106" s="263" t="s">
        <v>4771</v>
      </c>
      <c r="T1106" s="233">
        <v>45596</v>
      </c>
      <c r="U1106" s="234" t="s">
        <v>4759</v>
      </c>
      <c r="V1106" s="234">
        <v>45609</v>
      </c>
      <c r="W1106" s="234">
        <v>45616</v>
      </c>
      <c r="X1106" s="234" t="s">
        <v>4771</v>
      </c>
      <c r="Y1106" s="234"/>
      <c r="Z1106" s="234" t="s">
        <v>6115</v>
      </c>
      <c r="AA1106" s="224">
        <v>202411</v>
      </c>
      <c r="AB1106" s="243"/>
      <c r="AC1106" s="244" t="s">
        <v>4800</v>
      </c>
      <c r="AD1106" s="244" t="s">
        <v>4915</v>
      </c>
      <c r="AE1106" s="245">
        <v>0</v>
      </c>
      <c r="AF1106" s="244" t="s">
        <v>4762</v>
      </c>
      <c r="AG1106" s="239" t="str">
        <f>IFERROR(VLOOKUP(작성용!A:A,RM!A:D,4,0),"-")</f>
        <v>오영석</v>
      </c>
      <c r="AH1106" s="9" t="s">
        <v>4823</v>
      </c>
      <c r="AI1106" s="235" t="s">
        <v>4771</v>
      </c>
      <c r="AJ1106" s="235" t="s">
        <v>4920</v>
      </c>
      <c r="AK1106" s="235" t="s">
        <v>4777</v>
      </c>
      <c r="AL1106" s="235">
        <v>1105</v>
      </c>
    </row>
    <row r="1107" spans="1:38" x14ac:dyDescent="0.3">
      <c r="A1107" s="222" t="s">
        <v>6108</v>
      </c>
      <c r="B1107" s="222" t="s">
        <v>6109</v>
      </c>
      <c r="C1107" s="241" t="s">
        <v>4762</v>
      </c>
      <c r="D1107" s="236" t="s">
        <v>6146</v>
      </c>
      <c r="E1107" s="236" t="s">
        <v>6147</v>
      </c>
      <c r="F1107" s="238" t="s">
        <v>6123</v>
      </c>
      <c r="G1107" s="238">
        <v>77</v>
      </c>
      <c r="H1107" s="223" t="s">
        <v>4771</v>
      </c>
      <c r="I1107" s="231"/>
      <c r="J1107" s="231"/>
      <c r="K1107" s="231"/>
      <c r="L1107" s="231"/>
      <c r="M1107" s="231"/>
      <c r="N1107" s="225" t="s">
        <v>5035</v>
      </c>
      <c r="O1107" s="225" t="s">
        <v>6112</v>
      </c>
      <c r="P1107" s="225" t="s">
        <v>6113</v>
      </c>
      <c r="Q1107" s="230" t="s">
        <v>6114</v>
      </c>
      <c r="R1107" s="232" t="s">
        <v>4771</v>
      </c>
      <c r="S1107" s="263" t="s">
        <v>4771</v>
      </c>
      <c r="T1107" s="233">
        <v>45596</v>
      </c>
      <c r="U1107" s="234" t="s">
        <v>4759</v>
      </c>
      <c r="V1107" s="234">
        <v>45609</v>
      </c>
      <c r="W1107" s="234">
        <v>45616</v>
      </c>
      <c r="X1107" s="234" t="s">
        <v>4771</v>
      </c>
      <c r="Y1107" s="234"/>
      <c r="Z1107" s="234" t="s">
        <v>6115</v>
      </c>
      <c r="AA1107" s="224">
        <v>202411</v>
      </c>
      <c r="AB1107" s="243"/>
      <c r="AC1107" s="244" t="s">
        <v>4800</v>
      </c>
      <c r="AD1107" s="244" t="s">
        <v>4933</v>
      </c>
      <c r="AE1107" s="245">
        <v>1</v>
      </c>
      <c r="AF1107" s="244" t="s">
        <v>4762</v>
      </c>
      <c r="AG1107" s="239" t="str">
        <f>IFERROR(VLOOKUP(작성용!A:A,RM!A:D,4,0),"-")</f>
        <v>오영석</v>
      </c>
      <c r="AH1107" s="9" t="s">
        <v>4823</v>
      </c>
      <c r="AI1107" s="235" t="s">
        <v>4771</v>
      </c>
      <c r="AJ1107" s="235" t="s">
        <v>4920</v>
      </c>
      <c r="AK1107" s="235" t="s">
        <v>4777</v>
      </c>
      <c r="AL1107" s="235">
        <v>1106</v>
      </c>
    </row>
    <row r="1108" spans="1:38" x14ac:dyDescent="0.3">
      <c r="A1108" s="222" t="s">
        <v>3461</v>
      </c>
      <c r="B1108" s="222" t="s">
        <v>6148</v>
      </c>
      <c r="C1108" s="249" t="s">
        <v>6149</v>
      </c>
      <c r="D1108" s="221" t="s">
        <v>6150</v>
      </c>
      <c r="E1108" s="263">
        <v>1101116821139</v>
      </c>
      <c r="F1108" s="225" t="s">
        <v>6151</v>
      </c>
      <c r="G1108" s="238">
        <v>0</v>
      </c>
      <c r="H1108" s="223" t="s">
        <v>6152</v>
      </c>
      <c r="I1108" s="231"/>
      <c r="J1108" s="231"/>
      <c r="K1108" s="231"/>
      <c r="L1108" s="231"/>
      <c r="M1108" s="231"/>
      <c r="N1108" s="225" t="s">
        <v>6153</v>
      </c>
      <c r="O1108" s="225" t="s">
        <v>6154</v>
      </c>
      <c r="P1108" s="225" t="s">
        <v>6155</v>
      </c>
      <c r="Q1108" s="230" t="s">
        <v>6156</v>
      </c>
      <c r="R1108" s="232" t="s">
        <v>2</v>
      </c>
      <c r="S1108" s="263" t="s">
        <v>6157</v>
      </c>
      <c r="T1108" s="233">
        <v>45597</v>
      </c>
      <c r="U1108" s="234" t="s">
        <v>6158</v>
      </c>
      <c r="V1108" s="234">
        <v>45625</v>
      </c>
      <c r="W1108" s="234">
        <v>45632</v>
      </c>
      <c r="X1108" s="234" t="s">
        <v>4771</v>
      </c>
      <c r="Y1108" s="234"/>
      <c r="Z1108" s="234" t="s">
        <v>6159</v>
      </c>
      <c r="AA1108" s="243">
        <v>202411</v>
      </c>
      <c r="AB1108" s="243"/>
      <c r="AC1108" s="244" t="s">
        <v>6160</v>
      </c>
      <c r="AD1108" s="243" t="s">
        <v>6161</v>
      </c>
      <c r="AE1108" s="245">
        <v>1</v>
      </c>
      <c r="AF1108" s="243" t="s">
        <v>6162</v>
      </c>
      <c r="AG1108" s="239" t="str">
        <f>IFERROR(VLOOKUP(작성용!A:A,RM!A:D,4,0),"-")</f>
        <v>서동현</v>
      </c>
      <c r="AH1108" s="9" t="s">
        <v>6163</v>
      </c>
      <c r="AI1108" s="235" t="s">
        <v>6152</v>
      </c>
      <c r="AJ1108" s="235" t="s">
        <v>6152</v>
      </c>
      <c r="AK1108" s="235" t="s">
        <v>6164</v>
      </c>
      <c r="AL1108" s="235">
        <v>1107</v>
      </c>
    </row>
    <row r="1109" spans="1:38" x14ac:dyDescent="0.3">
      <c r="A1109" s="222" t="s">
        <v>6165</v>
      </c>
      <c r="B1109" s="222" t="s">
        <v>6166</v>
      </c>
      <c r="C1109" s="249" t="s">
        <v>6167</v>
      </c>
      <c r="D1109" s="221" t="s">
        <v>6168</v>
      </c>
      <c r="E1109" s="263" t="s">
        <v>6169</v>
      </c>
      <c r="F1109" s="225" t="s">
        <v>6170</v>
      </c>
      <c r="G1109" s="238">
        <v>0</v>
      </c>
      <c r="H1109" s="223" t="s">
        <v>6152</v>
      </c>
      <c r="I1109" s="231"/>
      <c r="J1109" s="231"/>
      <c r="K1109" s="231"/>
      <c r="L1109" s="231"/>
      <c r="M1109" s="231"/>
      <c r="N1109" s="225" t="s">
        <v>6153</v>
      </c>
      <c r="O1109" s="225" t="s">
        <v>6154</v>
      </c>
      <c r="P1109" s="225" t="s">
        <v>6155</v>
      </c>
      <c r="Q1109" s="230" t="s">
        <v>6156</v>
      </c>
      <c r="R1109" s="232" t="s">
        <v>2</v>
      </c>
      <c r="S1109" s="263" t="s">
        <v>6157</v>
      </c>
      <c r="T1109" s="233">
        <v>45597</v>
      </c>
      <c r="U1109" s="234" t="s">
        <v>6158</v>
      </c>
      <c r="V1109" s="234">
        <v>45625</v>
      </c>
      <c r="W1109" s="234">
        <v>45632</v>
      </c>
      <c r="X1109" s="234" t="s">
        <v>4771</v>
      </c>
      <c r="Y1109" s="234"/>
      <c r="Z1109" s="234" t="s">
        <v>6159</v>
      </c>
      <c r="AA1109" s="243">
        <v>202411</v>
      </c>
      <c r="AB1109" s="243"/>
      <c r="AC1109" s="244" t="s">
        <v>6171</v>
      </c>
      <c r="AD1109" s="243" t="s">
        <v>6172</v>
      </c>
      <c r="AE1109" s="245">
        <v>0</v>
      </c>
      <c r="AF1109" s="243" t="s">
        <v>6173</v>
      </c>
      <c r="AG1109" s="239" t="str">
        <f>IFERROR(VLOOKUP(작성용!A:A,RM!A:D,4,0),"-")</f>
        <v>서동현</v>
      </c>
      <c r="AH1109" s="9" t="s">
        <v>6163</v>
      </c>
      <c r="AI1109" s="235" t="s">
        <v>6152</v>
      </c>
      <c r="AJ1109" s="235" t="s">
        <v>6152</v>
      </c>
      <c r="AK1109" s="235" t="s">
        <v>6164</v>
      </c>
      <c r="AL1109" s="235">
        <v>1108</v>
      </c>
    </row>
    <row r="1110" spans="1:38" x14ac:dyDescent="0.3">
      <c r="A1110" s="222" t="s">
        <v>6165</v>
      </c>
      <c r="B1110" s="222" t="s">
        <v>6166</v>
      </c>
      <c r="C1110" s="249" t="s">
        <v>6167</v>
      </c>
      <c r="D1110" s="221" t="s">
        <v>6174</v>
      </c>
      <c r="E1110" s="263" t="s">
        <v>6175</v>
      </c>
      <c r="F1110" s="225" t="s">
        <v>6170</v>
      </c>
      <c r="G1110" s="238">
        <v>0</v>
      </c>
      <c r="H1110" s="223" t="s">
        <v>6152</v>
      </c>
      <c r="I1110" s="231"/>
      <c r="J1110" s="231"/>
      <c r="K1110" s="231"/>
      <c r="L1110" s="231"/>
      <c r="M1110" s="231"/>
      <c r="N1110" s="225" t="s">
        <v>6153</v>
      </c>
      <c r="O1110" s="225" t="s">
        <v>6154</v>
      </c>
      <c r="P1110" s="225" t="s">
        <v>6155</v>
      </c>
      <c r="Q1110" s="230" t="s">
        <v>6156</v>
      </c>
      <c r="R1110" s="232" t="s">
        <v>2</v>
      </c>
      <c r="S1110" s="263" t="s">
        <v>6157</v>
      </c>
      <c r="T1110" s="233">
        <v>45597</v>
      </c>
      <c r="U1110" s="234" t="s">
        <v>6158</v>
      </c>
      <c r="V1110" s="234">
        <v>45625</v>
      </c>
      <c r="W1110" s="234">
        <v>45632</v>
      </c>
      <c r="X1110" s="234" t="s">
        <v>4771</v>
      </c>
      <c r="Y1110" s="234"/>
      <c r="Z1110" s="234" t="s">
        <v>6159</v>
      </c>
      <c r="AA1110" s="243">
        <v>202411</v>
      </c>
      <c r="AB1110" s="243"/>
      <c r="AC1110" s="244" t="s">
        <v>6171</v>
      </c>
      <c r="AD1110" s="243" t="s">
        <v>6172</v>
      </c>
      <c r="AE1110" s="245">
        <v>0</v>
      </c>
      <c r="AF1110" s="243" t="s">
        <v>6173</v>
      </c>
      <c r="AG1110" s="239" t="str">
        <f>IFERROR(VLOOKUP(작성용!A:A,RM!A:D,4,0),"-")</f>
        <v>서동현</v>
      </c>
      <c r="AH1110" s="9" t="s">
        <v>6163</v>
      </c>
      <c r="AI1110" s="235" t="s">
        <v>6152</v>
      </c>
      <c r="AJ1110" s="235" t="s">
        <v>6152</v>
      </c>
      <c r="AK1110" s="235" t="s">
        <v>6164</v>
      </c>
      <c r="AL1110" s="235">
        <v>1109</v>
      </c>
    </row>
    <row r="1111" spans="1:38" x14ac:dyDescent="0.3">
      <c r="A1111" s="222" t="s">
        <v>3461</v>
      </c>
      <c r="B1111" s="222" t="s">
        <v>6148</v>
      </c>
      <c r="C1111" s="249" t="s">
        <v>6167</v>
      </c>
      <c r="D1111" s="221" t="s">
        <v>6176</v>
      </c>
      <c r="E1111" s="263" t="s">
        <v>6177</v>
      </c>
      <c r="F1111" s="225" t="s">
        <v>6178</v>
      </c>
      <c r="G1111" s="238">
        <v>0</v>
      </c>
      <c r="H1111" s="223" t="s">
        <v>6152</v>
      </c>
      <c r="I1111" s="231"/>
      <c r="J1111" s="231"/>
      <c r="K1111" s="231"/>
      <c r="L1111" s="231"/>
      <c r="M1111" s="231"/>
      <c r="N1111" s="225" t="s">
        <v>6153</v>
      </c>
      <c r="O1111" s="225" t="s">
        <v>6154</v>
      </c>
      <c r="P1111" s="225" t="s">
        <v>6155</v>
      </c>
      <c r="Q1111" s="230" t="s">
        <v>6156</v>
      </c>
      <c r="R1111" s="232" t="s">
        <v>2</v>
      </c>
      <c r="S1111" s="263" t="s">
        <v>6157</v>
      </c>
      <c r="T1111" s="233">
        <v>45597</v>
      </c>
      <c r="U1111" s="234" t="s">
        <v>6158</v>
      </c>
      <c r="V1111" s="234">
        <v>45625</v>
      </c>
      <c r="W1111" s="234">
        <v>45632</v>
      </c>
      <c r="X1111" s="234" t="s">
        <v>4771</v>
      </c>
      <c r="Y1111" s="234"/>
      <c r="Z1111" s="234" t="s">
        <v>6159</v>
      </c>
      <c r="AA1111" s="243">
        <v>202411</v>
      </c>
      <c r="AB1111" s="243"/>
      <c r="AC1111" s="244" t="s">
        <v>6160</v>
      </c>
      <c r="AD1111" s="243" t="s">
        <v>6179</v>
      </c>
      <c r="AE1111" s="245">
        <v>1</v>
      </c>
      <c r="AF1111" s="243" t="s">
        <v>6162</v>
      </c>
      <c r="AG1111" s="239" t="str">
        <f>IFERROR(VLOOKUP(작성용!A:A,RM!A:D,4,0),"-")</f>
        <v>서동현</v>
      </c>
      <c r="AH1111" s="9" t="s">
        <v>6163</v>
      </c>
      <c r="AI1111" s="235" t="s">
        <v>6152</v>
      </c>
      <c r="AJ1111" s="235" t="s">
        <v>6152</v>
      </c>
      <c r="AK1111" s="235" t="s">
        <v>6164</v>
      </c>
      <c r="AL1111" s="235">
        <v>1110</v>
      </c>
    </row>
    <row r="1112" spans="1:38" x14ac:dyDescent="0.3">
      <c r="A1112" s="222" t="s">
        <v>3461</v>
      </c>
      <c r="B1112" s="222" t="s">
        <v>6148</v>
      </c>
      <c r="C1112" s="249" t="s">
        <v>6149</v>
      </c>
      <c r="D1112" s="221" t="s">
        <v>6180</v>
      </c>
      <c r="E1112" s="263" t="s">
        <v>6181</v>
      </c>
      <c r="F1112" s="225" t="s">
        <v>6151</v>
      </c>
      <c r="G1112" s="238">
        <v>0</v>
      </c>
      <c r="H1112" s="223" t="s">
        <v>6152</v>
      </c>
      <c r="I1112" s="231"/>
      <c r="J1112" s="231"/>
      <c r="K1112" s="231"/>
      <c r="L1112" s="231"/>
      <c r="M1112" s="231"/>
      <c r="N1112" s="225" t="s">
        <v>6153</v>
      </c>
      <c r="O1112" s="225" t="s">
        <v>6154</v>
      </c>
      <c r="P1112" s="225" t="s">
        <v>6155</v>
      </c>
      <c r="Q1112" s="230" t="s">
        <v>6156</v>
      </c>
      <c r="R1112" s="232" t="s">
        <v>2</v>
      </c>
      <c r="S1112" s="263" t="s">
        <v>6157</v>
      </c>
      <c r="T1112" s="233">
        <v>45597</v>
      </c>
      <c r="U1112" s="234" t="s">
        <v>6158</v>
      </c>
      <c r="V1112" s="234">
        <v>45625</v>
      </c>
      <c r="W1112" s="234">
        <v>45632</v>
      </c>
      <c r="X1112" s="234" t="s">
        <v>4771</v>
      </c>
      <c r="Y1112" s="234"/>
      <c r="Z1112" s="234" t="s">
        <v>6159</v>
      </c>
      <c r="AA1112" s="243">
        <v>202411</v>
      </c>
      <c r="AB1112" s="243"/>
      <c r="AC1112" s="244" t="s">
        <v>6160</v>
      </c>
      <c r="AD1112" s="274" t="s">
        <v>6256</v>
      </c>
      <c r="AE1112" s="245">
        <v>1</v>
      </c>
      <c r="AF1112" s="243" t="s">
        <v>6162</v>
      </c>
      <c r="AG1112" s="239" t="str">
        <f>IFERROR(VLOOKUP(작성용!A:A,RM!A:D,4,0),"-")</f>
        <v>서동현</v>
      </c>
      <c r="AH1112" s="9" t="s">
        <v>6163</v>
      </c>
      <c r="AI1112" s="235" t="s">
        <v>6152</v>
      </c>
      <c r="AJ1112" s="235" t="s">
        <v>6152</v>
      </c>
      <c r="AK1112" s="235" t="s">
        <v>6164</v>
      </c>
      <c r="AL1112" s="235">
        <v>1111</v>
      </c>
    </row>
    <row r="1113" spans="1:38" x14ac:dyDescent="0.3">
      <c r="A1113" s="222" t="s">
        <v>3461</v>
      </c>
      <c r="B1113" s="222" t="s">
        <v>6148</v>
      </c>
      <c r="C1113" s="249" t="s">
        <v>6149</v>
      </c>
      <c r="D1113" s="221" t="s">
        <v>6182</v>
      </c>
      <c r="E1113" s="263" t="s">
        <v>6183</v>
      </c>
      <c r="F1113" s="225" t="s">
        <v>5200</v>
      </c>
      <c r="G1113" s="238">
        <v>0</v>
      </c>
      <c r="H1113" s="223" t="s">
        <v>6152</v>
      </c>
      <c r="I1113" s="231"/>
      <c r="J1113" s="231"/>
      <c r="K1113" s="231"/>
      <c r="L1113" s="231"/>
      <c r="M1113" s="231"/>
      <c r="N1113" s="225" t="s">
        <v>6153</v>
      </c>
      <c r="O1113" s="225" t="s">
        <v>6154</v>
      </c>
      <c r="P1113" s="225" t="s">
        <v>6155</v>
      </c>
      <c r="Q1113" s="230" t="s">
        <v>6156</v>
      </c>
      <c r="R1113" s="232" t="s">
        <v>2</v>
      </c>
      <c r="S1113" s="263" t="s">
        <v>6157</v>
      </c>
      <c r="T1113" s="233">
        <v>45597</v>
      </c>
      <c r="U1113" s="234" t="s">
        <v>6158</v>
      </c>
      <c r="V1113" s="234">
        <v>45625</v>
      </c>
      <c r="W1113" s="234">
        <v>45632</v>
      </c>
      <c r="X1113" s="234" t="s">
        <v>4771</v>
      </c>
      <c r="Y1113" s="234"/>
      <c r="Z1113" s="234" t="s">
        <v>6159</v>
      </c>
      <c r="AA1113" s="243">
        <v>202411</v>
      </c>
      <c r="AB1113" s="243"/>
      <c r="AC1113" s="244" t="s">
        <v>6160</v>
      </c>
      <c r="AD1113" s="274" t="s">
        <v>6254</v>
      </c>
      <c r="AE1113" s="245">
        <v>1</v>
      </c>
      <c r="AF1113" s="243" t="s">
        <v>6162</v>
      </c>
      <c r="AG1113" s="239" t="str">
        <f>IFERROR(VLOOKUP(작성용!A:A,RM!A:D,4,0),"-")</f>
        <v>서동현</v>
      </c>
      <c r="AH1113" s="9" t="s">
        <v>6163</v>
      </c>
      <c r="AI1113" s="235" t="s">
        <v>6152</v>
      </c>
      <c r="AJ1113" s="235" t="s">
        <v>6152</v>
      </c>
      <c r="AK1113" s="235" t="s">
        <v>6164</v>
      </c>
      <c r="AL1113" s="235">
        <v>1112</v>
      </c>
    </row>
    <row r="1114" spans="1:38" x14ac:dyDescent="0.3">
      <c r="A1114" s="222" t="s">
        <v>3461</v>
      </c>
      <c r="B1114" s="222" t="s">
        <v>6148</v>
      </c>
      <c r="C1114" s="249" t="s">
        <v>6149</v>
      </c>
      <c r="D1114" s="221" t="s">
        <v>6184</v>
      </c>
      <c r="E1114" s="263" t="s">
        <v>6185</v>
      </c>
      <c r="F1114" s="225" t="s">
        <v>5200</v>
      </c>
      <c r="G1114" s="238">
        <v>0</v>
      </c>
      <c r="H1114" s="223" t="s">
        <v>6152</v>
      </c>
      <c r="I1114" s="231"/>
      <c r="J1114" s="231"/>
      <c r="K1114" s="231"/>
      <c r="L1114" s="231"/>
      <c r="M1114" s="231"/>
      <c r="N1114" s="225" t="s">
        <v>6153</v>
      </c>
      <c r="O1114" s="225" t="s">
        <v>6154</v>
      </c>
      <c r="P1114" s="225" t="s">
        <v>6155</v>
      </c>
      <c r="Q1114" s="230" t="s">
        <v>6156</v>
      </c>
      <c r="R1114" s="232" t="s">
        <v>2</v>
      </c>
      <c r="S1114" s="263" t="s">
        <v>6157</v>
      </c>
      <c r="T1114" s="233">
        <v>45597</v>
      </c>
      <c r="U1114" s="234" t="s">
        <v>6158</v>
      </c>
      <c r="V1114" s="234">
        <v>45625</v>
      </c>
      <c r="W1114" s="234">
        <v>45632</v>
      </c>
      <c r="X1114" s="234" t="s">
        <v>4771</v>
      </c>
      <c r="Y1114" s="234"/>
      <c r="Z1114" s="234" t="s">
        <v>6159</v>
      </c>
      <c r="AA1114" s="243">
        <v>202411</v>
      </c>
      <c r="AB1114" s="243"/>
      <c r="AC1114" s="244" t="s">
        <v>6160</v>
      </c>
      <c r="AD1114" s="274" t="s">
        <v>4030</v>
      </c>
      <c r="AE1114" s="245">
        <v>1</v>
      </c>
      <c r="AF1114" s="243" t="s">
        <v>6162</v>
      </c>
      <c r="AG1114" s="239" t="str">
        <f>IFERROR(VLOOKUP(작성용!A:A,RM!A:D,4,0),"-")</f>
        <v>서동현</v>
      </c>
      <c r="AH1114" s="9" t="s">
        <v>6163</v>
      </c>
      <c r="AI1114" s="235" t="s">
        <v>6152</v>
      </c>
      <c r="AJ1114" s="235" t="s">
        <v>6152</v>
      </c>
      <c r="AK1114" s="235" t="s">
        <v>6164</v>
      </c>
      <c r="AL1114" s="235">
        <v>1113</v>
      </c>
    </row>
    <row r="1115" spans="1:38" x14ac:dyDescent="0.3">
      <c r="A1115" s="222" t="s">
        <v>3461</v>
      </c>
      <c r="B1115" s="222" t="s">
        <v>6148</v>
      </c>
      <c r="C1115" s="249" t="s">
        <v>6149</v>
      </c>
      <c r="D1115" s="221" t="s">
        <v>6186</v>
      </c>
      <c r="E1115" s="263" t="s">
        <v>6187</v>
      </c>
      <c r="F1115" s="225" t="s">
        <v>5200</v>
      </c>
      <c r="G1115" s="238">
        <v>0</v>
      </c>
      <c r="H1115" s="223" t="s">
        <v>6152</v>
      </c>
      <c r="I1115" s="231"/>
      <c r="J1115" s="231"/>
      <c r="K1115" s="231"/>
      <c r="L1115" s="231"/>
      <c r="M1115" s="231"/>
      <c r="N1115" s="225" t="s">
        <v>6153</v>
      </c>
      <c r="O1115" s="225" t="s">
        <v>6154</v>
      </c>
      <c r="P1115" s="225" t="s">
        <v>6155</v>
      </c>
      <c r="Q1115" s="230" t="s">
        <v>6156</v>
      </c>
      <c r="R1115" s="232" t="s">
        <v>2</v>
      </c>
      <c r="S1115" s="263" t="s">
        <v>6157</v>
      </c>
      <c r="T1115" s="233">
        <v>45597</v>
      </c>
      <c r="U1115" s="234" t="s">
        <v>6158</v>
      </c>
      <c r="V1115" s="234">
        <v>45625</v>
      </c>
      <c r="W1115" s="234">
        <v>45632</v>
      </c>
      <c r="X1115" s="234" t="s">
        <v>4771</v>
      </c>
      <c r="Y1115" s="234"/>
      <c r="Z1115" s="234" t="s">
        <v>6159</v>
      </c>
      <c r="AA1115" s="243">
        <v>202411</v>
      </c>
      <c r="AB1115" s="243"/>
      <c r="AC1115" s="244" t="s">
        <v>6160</v>
      </c>
      <c r="AD1115" s="274" t="s">
        <v>6257</v>
      </c>
      <c r="AE1115" s="245">
        <v>1</v>
      </c>
      <c r="AF1115" s="243" t="s">
        <v>6162</v>
      </c>
      <c r="AG1115" s="239" t="str">
        <f>IFERROR(VLOOKUP(작성용!A:A,RM!A:D,4,0),"-")</f>
        <v>서동현</v>
      </c>
      <c r="AH1115" s="9" t="s">
        <v>6163</v>
      </c>
      <c r="AI1115" s="235" t="s">
        <v>6152</v>
      </c>
      <c r="AJ1115" s="235" t="s">
        <v>6152</v>
      </c>
      <c r="AK1115" s="235" t="s">
        <v>6164</v>
      </c>
      <c r="AL1115" s="235">
        <v>1114</v>
      </c>
    </row>
    <row r="1116" spans="1:38" x14ac:dyDescent="0.3">
      <c r="A1116" s="222" t="s">
        <v>3461</v>
      </c>
      <c r="B1116" s="222" t="s">
        <v>6148</v>
      </c>
      <c r="C1116" s="249" t="s">
        <v>6149</v>
      </c>
      <c r="D1116" s="221" t="s">
        <v>6188</v>
      </c>
      <c r="E1116" s="263" t="s">
        <v>6189</v>
      </c>
      <c r="F1116" s="225" t="s">
        <v>5200</v>
      </c>
      <c r="G1116" s="238">
        <v>0</v>
      </c>
      <c r="H1116" s="223" t="s">
        <v>6152</v>
      </c>
      <c r="I1116" s="231"/>
      <c r="J1116" s="231"/>
      <c r="K1116" s="231"/>
      <c r="L1116" s="231"/>
      <c r="M1116" s="231"/>
      <c r="N1116" s="225" t="s">
        <v>6153</v>
      </c>
      <c r="O1116" s="225" t="s">
        <v>6154</v>
      </c>
      <c r="P1116" s="225" t="s">
        <v>6155</v>
      </c>
      <c r="Q1116" s="230" t="s">
        <v>6156</v>
      </c>
      <c r="R1116" s="232" t="s">
        <v>2</v>
      </c>
      <c r="S1116" s="263" t="s">
        <v>6157</v>
      </c>
      <c r="T1116" s="233">
        <v>45597</v>
      </c>
      <c r="U1116" s="234" t="s">
        <v>6158</v>
      </c>
      <c r="V1116" s="234">
        <v>45625</v>
      </c>
      <c r="W1116" s="234">
        <v>45632</v>
      </c>
      <c r="X1116" s="234" t="s">
        <v>4771</v>
      </c>
      <c r="Y1116" s="234"/>
      <c r="Z1116" s="234" t="s">
        <v>6159</v>
      </c>
      <c r="AA1116" s="243">
        <v>202411</v>
      </c>
      <c r="AB1116" s="243"/>
      <c r="AC1116" s="244" t="s">
        <v>6160</v>
      </c>
      <c r="AD1116" s="274" t="s">
        <v>4029</v>
      </c>
      <c r="AE1116" s="245">
        <v>1</v>
      </c>
      <c r="AF1116" s="243" t="s">
        <v>6162</v>
      </c>
      <c r="AG1116" s="239" t="str">
        <f>IFERROR(VLOOKUP(작성용!A:A,RM!A:D,4,0),"-")</f>
        <v>서동현</v>
      </c>
      <c r="AH1116" s="9" t="s">
        <v>6163</v>
      </c>
      <c r="AI1116" s="235" t="s">
        <v>6152</v>
      </c>
      <c r="AJ1116" s="235" t="s">
        <v>6152</v>
      </c>
      <c r="AK1116" s="235" t="s">
        <v>6164</v>
      </c>
      <c r="AL1116" s="235">
        <v>1115</v>
      </c>
    </row>
    <row r="1117" spans="1:38" x14ac:dyDescent="0.3">
      <c r="A1117" s="222" t="s">
        <v>3461</v>
      </c>
      <c r="B1117" s="222" t="s">
        <v>6148</v>
      </c>
      <c r="C1117" s="249" t="s">
        <v>6149</v>
      </c>
      <c r="D1117" s="221" t="s">
        <v>6190</v>
      </c>
      <c r="E1117" s="263" t="s">
        <v>6191</v>
      </c>
      <c r="F1117" s="225" t="s">
        <v>5200</v>
      </c>
      <c r="G1117" s="238">
        <v>0</v>
      </c>
      <c r="H1117" s="223" t="s">
        <v>6152</v>
      </c>
      <c r="I1117" s="231"/>
      <c r="J1117" s="231"/>
      <c r="K1117" s="231"/>
      <c r="L1117" s="231"/>
      <c r="M1117" s="231"/>
      <c r="N1117" s="225" t="s">
        <v>6153</v>
      </c>
      <c r="O1117" s="225" t="s">
        <v>6154</v>
      </c>
      <c r="P1117" s="225" t="s">
        <v>6155</v>
      </c>
      <c r="Q1117" s="230" t="s">
        <v>6156</v>
      </c>
      <c r="R1117" s="232" t="s">
        <v>2</v>
      </c>
      <c r="S1117" s="263" t="s">
        <v>6157</v>
      </c>
      <c r="T1117" s="233">
        <v>45597</v>
      </c>
      <c r="U1117" s="234" t="s">
        <v>6158</v>
      </c>
      <c r="V1117" s="234">
        <v>45625</v>
      </c>
      <c r="W1117" s="234">
        <v>45632</v>
      </c>
      <c r="X1117" s="234" t="s">
        <v>4771</v>
      </c>
      <c r="Y1117" s="234"/>
      <c r="Z1117" s="234" t="s">
        <v>6159</v>
      </c>
      <c r="AA1117" s="243">
        <v>202411</v>
      </c>
      <c r="AB1117" s="243"/>
      <c r="AC1117" s="244" t="s">
        <v>6160</v>
      </c>
      <c r="AD1117" s="274" t="s">
        <v>161</v>
      </c>
      <c r="AE1117" s="245">
        <v>1</v>
      </c>
      <c r="AF1117" s="243" t="s">
        <v>6162</v>
      </c>
      <c r="AG1117" s="239" t="str">
        <f>IFERROR(VLOOKUP(작성용!A:A,RM!A:D,4,0),"-")</f>
        <v>서동현</v>
      </c>
      <c r="AH1117" s="9" t="s">
        <v>6163</v>
      </c>
      <c r="AI1117" s="235" t="s">
        <v>6152</v>
      </c>
      <c r="AJ1117" s="235" t="s">
        <v>6152</v>
      </c>
      <c r="AK1117" s="235" t="s">
        <v>6164</v>
      </c>
      <c r="AL1117" s="235">
        <v>1116</v>
      </c>
    </row>
    <row r="1118" spans="1:38" x14ac:dyDescent="0.3">
      <c r="A1118" s="222" t="s">
        <v>6192</v>
      </c>
      <c r="B1118" s="222" t="s">
        <v>6193</v>
      </c>
      <c r="C1118" s="249" t="s">
        <v>6149</v>
      </c>
      <c r="D1118" s="221" t="s">
        <v>6194</v>
      </c>
      <c r="E1118" s="263">
        <v>1101130031318</v>
      </c>
      <c r="F1118" s="225" t="s">
        <v>5200</v>
      </c>
      <c r="G1118" s="238">
        <v>0</v>
      </c>
      <c r="H1118" s="223" t="s">
        <v>6152</v>
      </c>
      <c r="I1118" s="231"/>
      <c r="J1118" s="231"/>
      <c r="K1118" s="231"/>
      <c r="L1118" s="231"/>
      <c r="M1118" s="231"/>
      <c r="N1118" s="225" t="s">
        <v>6153</v>
      </c>
      <c r="O1118" s="225" t="s">
        <v>6154</v>
      </c>
      <c r="P1118" s="225" t="s">
        <v>6155</v>
      </c>
      <c r="Q1118" s="230" t="s">
        <v>6156</v>
      </c>
      <c r="R1118" s="232" t="s">
        <v>2</v>
      </c>
      <c r="S1118" s="263" t="s">
        <v>6157</v>
      </c>
      <c r="T1118" s="233">
        <v>45597</v>
      </c>
      <c r="U1118" s="234" t="s">
        <v>6158</v>
      </c>
      <c r="V1118" s="234">
        <v>45625</v>
      </c>
      <c r="W1118" s="234">
        <v>45632</v>
      </c>
      <c r="X1118" s="234" t="s">
        <v>4771</v>
      </c>
      <c r="Y1118" s="234"/>
      <c r="Z1118" s="234" t="s">
        <v>6159</v>
      </c>
      <c r="AA1118" s="243">
        <v>202411</v>
      </c>
      <c r="AB1118" s="243"/>
      <c r="AC1118" s="244" t="s">
        <v>6160</v>
      </c>
      <c r="AD1118" s="274" t="s">
        <v>6258</v>
      </c>
      <c r="AE1118" s="245">
        <v>1</v>
      </c>
      <c r="AF1118" s="243" t="s">
        <v>6195</v>
      </c>
      <c r="AG1118" s="239" t="str">
        <f>IFERROR(VLOOKUP(작성용!A:A,RM!A:D,4,0),"-")</f>
        <v>서동현</v>
      </c>
      <c r="AH1118" s="9" t="s">
        <v>6163</v>
      </c>
      <c r="AI1118" s="235" t="s">
        <v>6152</v>
      </c>
      <c r="AJ1118" s="235" t="s">
        <v>6152</v>
      </c>
      <c r="AK1118" s="235" t="s">
        <v>6164</v>
      </c>
      <c r="AL1118" s="235">
        <v>1117</v>
      </c>
    </row>
    <row r="1119" spans="1:38" x14ac:dyDescent="0.3">
      <c r="A1119" s="222" t="s">
        <v>6192</v>
      </c>
      <c r="B1119" s="222" t="s">
        <v>6193</v>
      </c>
      <c r="C1119" s="249" t="s">
        <v>6149</v>
      </c>
      <c r="D1119" s="221" t="s">
        <v>6196</v>
      </c>
      <c r="E1119" s="263">
        <v>1101130030790</v>
      </c>
      <c r="F1119" s="225" t="s">
        <v>5200</v>
      </c>
      <c r="G1119" s="238">
        <v>0</v>
      </c>
      <c r="H1119" s="223" t="s">
        <v>6152</v>
      </c>
      <c r="I1119" s="231"/>
      <c r="J1119" s="231"/>
      <c r="K1119" s="231"/>
      <c r="L1119" s="231"/>
      <c r="M1119" s="231"/>
      <c r="N1119" s="225" t="s">
        <v>6153</v>
      </c>
      <c r="O1119" s="225" t="s">
        <v>6154</v>
      </c>
      <c r="P1119" s="225" t="s">
        <v>6155</v>
      </c>
      <c r="Q1119" s="230" t="s">
        <v>6156</v>
      </c>
      <c r="R1119" s="232" t="s">
        <v>2</v>
      </c>
      <c r="S1119" s="263" t="s">
        <v>6157</v>
      </c>
      <c r="T1119" s="233">
        <v>45597</v>
      </c>
      <c r="U1119" s="234" t="s">
        <v>6158</v>
      </c>
      <c r="V1119" s="234">
        <v>45625</v>
      </c>
      <c r="W1119" s="234">
        <v>45632</v>
      </c>
      <c r="X1119" s="234" t="s">
        <v>4771</v>
      </c>
      <c r="Y1119" s="234"/>
      <c r="Z1119" s="234" t="s">
        <v>6159</v>
      </c>
      <c r="AA1119" s="243">
        <v>202411</v>
      </c>
      <c r="AB1119" s="243"/>
      <c r="AC1119" s="244" t="s">
        <v>6160</v>
      </c>
      <c r="AD1119" s="274" t="s">
        <v>4030</v>
      </c>
      <c r="AE1119" s="245">
        <v>1</v>
      </c>
      <c r="AF1119" s="243" t="s">
        <v>6197</v>
      </c>
      <c r="AG1119" s="239" t="str">
        <f>IFERROR(VLOOKUP(작성용!A:A,RM!A:D,4,0),"-")</f>
        <v>서동현</v>
      </c>
      <c r="AH1119" s="9" t="s">
        <v>6163</v>
      </c>
      <c r="AI1119" s="235" t="s">
        <v>6152</v>
      </c>
      <c r="AJ1119" s="235" t="s">
        <v>6152</v>
      </c>
      <c r="AK1119" s="235" t="s">
        <v>6164</v>
      </c>
      <c r="AL1119" s="235">
        <v>1118</v>
      </c>
    </row>
    <row r="1120" spans="1:38" x14ac:dyDescent="0.3">
      <c r="A1120" s="222" t="s">
        <v>6192</v>
      </c>
      <c r="B1120" s="222" t="s">
        <v>6193</v>
      </c>
      <c r="C1120" s="249" t="s">
        <v>6149</v>
      </c>
      <c r="D1120" s="221" t="s">
        <v>6198</v>
      </c>
      <c r="E1120" s="263" t="s">
        <v>6199</v>
      </c>
      <c r="F1120" s="225" t="s">
        <v>5200</v>
      </c>
      <c r="G1120" s="238">
        <v>0</v>
      </c>
      <c r="H1120" s="223" t="s">
        <v>6152</v>
      </c>
      <c r="I1120" s="231"/>
      <c r="J1120" s="231"/>
      <c r="K1120" s="231"/>
      <c r="L1120" s="231"/>
      <c r="M1120" s="231"/>
      <c r="N1120" s="225" t="s">
        <v>6153</v>
      </c>
      <c r="O1120" s="225" t="s">
        <v>6154</v>
      </c>
      <c r="P1120" s="225" t="s">
        <v>6155</v>
      </c>
      <c r="Q1120" s="230" t="s">
        <v>6156</v>
      </c>
      <c r="R1120" s="232" t="s">
        <v>2</v>
      </c>
      <c r="S1120" s="263" t="s">
        <v>6157</v>
      </c>
      <c r="T1120" s="233">
        <v>45597</v>
      </c>
      <c r="U1120" s="234" t="s">
        <v>6158</v>
      </c>
      <c r="V1120" s="234">
        <v>45625</v>
      </c>
      <c r="W1120" s="234">
        <v>45632</v>
      </c>
      <c r="X1120" s="234" t="s">
        <v>4771</v>
      </c>
      <c r="Y1120" s="234"/>
      <c r="Z1120" s="234" t="s">
        <v>6159</v>
      </c>
      <c r="AA1120" s="243">
        <v>202411</v>
      </c>
      <c r="AB1120" s="243"/>
      <c r="AC1120" s="244" t="s">
        <v>6160</v>
      </c>
      <c r="AD1120" s="274" t="s">
        <v>6262</v>
      </c>
      <c r="AE1120" s="245">
        <v>1</v>
      </c>
      <c r="AF1120" s="243" t="s">
        <v>6162</v>
      </c>
      <c r="AG1120" s="239" t="str">
        <f>IFERROR(VLOOKUP(작성용!A:A,RM!A:D,4,0),"-")</f>
        <v>서동현</v>
      </c>
      <c r="AH1120" s="9" t="s">
        <v>6163</v>
      </c>
      <c r="AI1120" s="235" t="s">
        <v>6152</v>
      </c>
      <c r="AJ1120" s="235" t="s">
        <v>6152</v>
      </c>
      <c r="AK1120" s="235" t="s">
        <v>6164</v>
      </c>
      <c r="AL1120" s="235">
        <v>1119</v>
      </c>
    </row>
    <row r="1121" spans="1:38" x14ac:dyDescent="0.3">
      <c r="A1121" s="222" t="s">
        <v>6192</v>
      </c>
      <c r="B1121" s="222" t="s">
        <v>6193</v>
      </c>
      <c r="C1121" s="249" t="s">
        <v>6149</v>
      </c>
      <c r="D1121" s="221" t="s">
        <v>6200</v>
      </c>
      <c r="E1121" s="263">
        <v>1101130030972</v>
      </c>
      <c r="F1121" s="225" t="s">
        <v>5200</v>
      </c>
      <c r="G1121" s="238">
        <v>0</v>
      </c>
      <c r="H1121" s="223" t="s">
        <v>6152</v>
      </c>
      <c r="I1121" s="231"/>
      <c r="J1121" s="231"/>
      <c r="K1121" s="231"/>
      <c r="L1121" s="231"/>
      <c r="M1121" s="231"/>
      <c r="N1121" s="225" t="s">
        <v>6153</v>
      </c>
      <c r="O1121" s="225" t="s">
        <v>6154</v>
      </c>
      <c r="P1121" s="225" t="s">
        <v>6155</v>
      </c>
      <c r="Q1121" s="230" t="s">
        <v>6156</v>
      </c>
      <c r="R1121" s="232" t="s">
        <v>2</v>
      </c>
      <c r="S1121" s="263" t="s">
        <v>6157</v>
      </c>
      <c r="T1121" s="233">
        <v>45597</v>
      </c>
      <c r="U1121" s="234" t="s">
        <v>6158</v>
      </c>
      <c r="V1121" s="234">
        <v>45625</v>
      </c>
      <c r="W1121" s="234">
        <v>45632</v>
      </c>
      <c r="X1121" s="234" t="s">
        <v>4771</v>
      </c>
      <c r="Y1121" s="234"/>
      <c r="Z1121" s="234" t="s">
        <v>6159</v>
      </c>
      <c r="AA1121" s="243">
        <v>202411</v>
      </c>
      <c r="AB1121" s="243"/>
      <c r="AC1121" s="244" t="s">
        <v>6160</v>
      </c>
      <c r="AD1121" s="243" t="s">
        <v>3923</v>
      </c>
      <c r="AE1121" s="245">
        <v>1</v>
      </c>
      <c r="AF1121" s="243" t="s">
        <v>6162</v>
      </c>
      <c r="AG1121" s="239" t="str">
        <f>IFERROR(VLOOKUP(작성용!A:A,RM!A:D,4,0),"-")</f>
        <v>서동현</v>
      </c>
      <c r="AH1121" s="9" t="s">
        <v>6163</v>
      </c>
      <c r="AI1121" s="235" t="s">
        <v>6152</v>
      </c>
      <c r="AJ1121" s="235" t="s">
        <v>6152</v>
      </c>
      <c r="AK1121" s="235" t="s">
        <v>6164</v>
      </c>
      <c r="AL1121" s="235">
        <v>1120</v>
      </c>
    </row>
    <row r="1122" spans="1:38" x14ac:dyDescent="0.3">
      <c r="A1122" s="222" t="s">
        <v>6192</v>
      </c>
      <c r="B1122" s="222" t="s">
        <v>6193</v>
      </c>
      <c r="C1122" s="249" t="s">
        <v>6149</v>
      </c>
      <c r="D1122" s="221" t="s">
        <v>2002</v>
      </c>
      <c r="E1122" s="263">
        <v>1311110419068</v>
      </c>
      <c r="F1122" s="225" t="s">
        <v>4854</v>
      </c>
      <c r="G1122" s="238">
        <v>0</v>
      </c>
      <c r="H1122" s="223" t="s">
        <v>6152</v>
      </c>
      <c r="I1122" s="231"/>
      <c r="J1122" s="231"/>
      <c r="K1122" s="231"/>
      <c r="L1122" s="231"/>
      <c r="M1122" s="231"/>
      <c r="N1122" s="225" t="s">
        <v>6153</v>
      </c>
      <c r="O1122" s="225" t="s">
        <v>6154</v>
      </c>
      <c r="P1122" s="225" t="s">
        <v>6155</v>
      </c>
      <c r="Q1122" s="230" t="s">
        <v>6156</v>
      </c>
      <c r="R1122" s="232" t="s">
        <v>2</v>
      </c>
      <c r="S1122" s="263" t="s">
        <v>6157</v>
      </c>
      <c r="T1122" s="233">
        <v>45597</v>
      </c>
      <c r="U1122" s="234" t="s">
        <v>6158</v>
      </c>
      <c r="V1122" s="234">
        <v>45625</v>
      </c>
      <c r="W1122" s="234">
        <v>45632</v>
      </c>
      <c r="X1122" s="234" t="s">
        <v>4771</v>
      </c>
      <c r="Y1122" s="234"/>
      <c r="Z1122" s="234" t="s">
        <v>6159</v>
      </c>
      <c r="AA1122" s="243">
        <v>202411</v>
      </c>
      <c r="AB1122" s="243"/>
      <c r="AC1122" s="244" t="s">
        <v>6160</v>
      </c>
      <c r="AD1122" s="243" t="s">
        <v>6201</v>
      </c>
      <c r="AE1122" s="245">
        <v>1</v>
      </c>
      <c r="AF1122" s="243" t="s">
        <v>6162</v>
      </c>
      <c r="AG1122" s="239" t="str">
        <f>IFERROR(VLOOKUP(작성용!A:A,RM!A:D,4,0),"-")</f>
        <v>서동현</v>
      </c>
      <c r="AH1122" s="9" t="s">
        <v>6163</v>
      </c>
      <c r="AI1122" s="235" t="s">
        <v>6152</v>
      </c>
      <c r="AJ1122" s="235" t="s">
        <v>6152</v>
      </c>
      <c r="AK1122" s="235" t="s">
        <v>6164</v>
      </c>
      <c r="AL1122" s="235">
        <v>1121</v>
      </c>
    </row>
    <row r="1123" spans="1:38" x14ac:dyDescent="0.3">
      <c r="A1123" s="222" t="s">
        <v>2633</v>
      </c>
      <c r="B1123" s="222" t="s">
        <v>2634</v>
      </c>
      <c r="C1123" s="249" t="s">
        <v>6167</v>
      </c>
      <c r="D1123" s="221" t="s">
        <v>6202</v>
      </c>
      <c r="E1123" s="263" t="s">
        <v>6203</v>
      </c>
      <c r="F1123" s="225" t="s">
        <v>6170</v>
      </c>
      <c r="G1123" s="238">
        <v>0</v>
      </c>
      <c r="H1123" s="223" t="s">
        <v>6152</v>
      </c>
      <c r="I1123" s="231"/>
      <c r="J1123" s="231"/>
      <c r="K1123" s="231"/>
      <c r="L1123" s="231"/>
      <c r="M1123" s="231"/>
      <c r="N1123" s="225" t="s">
        <v>6153</v>
      </c>
      <c r="O1123" s="225" t="s">
        <v>6154</v>
      </c>
      <c r="P1123" s="225" t="s">
        <v>6155</v>
      </c>
      <c r="Q1123" s="230" t="s">
        <v>6156</v>
      </c>
      <c r="R1123" s="232" t="s">
        <v>2</v>
      </c>
      <c r="S1123" s="263" t="s">
        <v>6157</v>
      </c>
      <c r="T1123" s="233">
        <v>45597</v>
      </c>
      <c r="U1123" s="234" t="s">
        <v>6158</v>
      </c>
      <c r="V1123" s="234">
        <v>45625</v>
      </c>
      <c r="W1123" s="234">
        <v>45632</v>
      </c>
      <c r="X1123" s="234" t="s">
        <v>4771</v>
      </c>
      <c r="Y1123" s="234"/>
      <c r="Z1123" s="234" t="s">
        <v>6159</v>
      </c>
      <c r="AA1123" s="243">
        <v>202411</v>
      </c>
      <c r="AB1123" s="243"/>
      <c r="AC1123" s="244" t="s">
        <v>6171</v>
      </c>
      <c r="AD1123" s="243" t="s">
        <v>6173</v>
      </c>
      <c r="AE1123" s="245">
        <v>0</v>
      </c>
      <c r="AF1123" s="243" t="s">
        <v>6173</v>
      </c>
      <c r="AG1123" s="239" t="str">
        <f>IFERROR(VLOOKUP(작성용!A:A,RM!A:D,4,0),"-")</f>
        <v>서동현</v>
      </c>
      <c r="AH1123" s="9" t="s">
        <v>6163</v>
      </c>
      <c r="AI1123" s="235" t="s">
        <v>6152</v>
      </c>
      <c r="AJ1123" s="235" t="s">
        <v>6152</v>
      </c>
      <c r="AK1123" s="235" t="s">
        <v>6164</v>
      </c>
      <c r="AL1123" s="235">
        <v>1122</v>
      </c>
    </row>
    <row r="1124" spans="1:38" x14ac:dyDescent="0.3">
      <c r="A1124" s="222" t="s">
        <v>2633</v>
      </c>
      <c r="B1124" s="222" t="s">
        <v>2634</v>
      </c>
      <c r="C1124" s="249" t="s">
        <v>6167</v>
      </c>
      <c r="D1124" s="221" t="s">
        <v>6204</v>
      </c>
      <c r="E1124" s="263" t="s">
        <v>3930</v>
      </c>
      <c r="F1124" s="225" t="s">
        <v>6170</v>
      </c>
      <c r="G1124" s="238">
        <v>0</v>
      </c>
      <c r="H1124" s="223" t="s">
        <v>6152</v>
      </c>
      <c r="I1124" s="231"/>
      <c r="J1124" s="231"/>
      <c r="K1124" s="231"/>
      <c r="L1124" s="231"/>
      <c r="M1124" s="231"/>
      <c r="N1124" s="225" t="s">
        <v>6153</v>
      </c>
      <c r="O1124" s="225" t="s">
        <v>6154</v>
      </c>
      <c r="P1124" s="225" t="s">
        <v>6155</v>
      </c>
      <c r="Q1124" s="230" t="s">
        <v>6156</v>
      </c>
      <c r="R1124" s="232" t="s">
        <v>2</v>
      </c>
      <c r="S1124" s="263" t="s">
        <v>6157</v>
      </c>
      <c r="T1124" s="233">
        <v>45597</v>
      </c>
      <c r="U1124" s="234" t="s">
        <v>6158</v>
      </c>
      <c r="V1124" s="234">
        <v>45625</v>
      </c>
      <c r="W1124" s="234">
        <v>45632</v>
      </c>
      <c r="X1124" s="234" t="s">
        <v>4771</v>
      </c>
      <c r="Y1124" s="234"/>
      <c r="Z1124" s="234" t="s">
        <v>6159</v>
      </c>
      <c r="AA1124" s="243">
        <v>202411</v>
      </c>
      <c r="AB1124" s="243"/>
      <c r="AC1124" s="244" t="s">
        <v>6171</v>
      </c>
      <c r="AD1124" s="243" t="s">
        <v>6173</v>
      </c>
      <c r="AE1124" s="245">
        <v>0</v>
      </c>
      <c r="AF1124" s="243" t="s">
        <v>6173</v>
      </c>
      <c r="AG1124" s="239" t="str">
        <f>IFERROR(VLOOKUP(작성용!A:A,RM!A:D,4,0),"-")</f>
        <v>서동현</v>
      </c>
      <c r="AH1124" s="9" t="s">
        <v>6163</v>
      </c>
      <c r="AI1124" s="235" t="s">
        <v>6152</v>
      </c>
      <c r="AJ1124" s="235" t="s">
        <v>6152</v>
      </c>
      <c r="AK1124" s="235" t="s">
        <v>6164</v>
      </c>
      <c r="AL1124" s="235">
        <v>1123</v>
      </c>
    </row>
    <row r="1125" spans="1:38" x14ac:dyDescent="0.3">
      <c r="A1125" s="222" t="s">
        <v>1434</v>
      </c>
      <c r="B1125" s="222" t="s">
        <v>1435</v>
      </c>
      <c r="C1125" s="249" t="s">
        <v>6149</v>
      </c>
      <c r="D1125" s="221" t="s">
        <v>6205</v>
      </c>
      <c r="E1125" s="263" t="s">
        <v>6206</v>
      </c>
      <c r="F1125" s="225" t="s">
        <v>6178</v>
      </c>
      <c r="G1125" s="238">
        <v>1</v>
      </c>
      <c r="H1125" s="223" t="s">
        <v>6152</v>
      </c>
      <c r="I1125" s="231"/>
      <c r="J1125" s="231"/>
      <c r="K1125" s="231"/>
      <c r="L1125" s="231"/>
      <c r="M1125" s="231"/>
      <c r="N1125" s="225" t="s">
        <v>6153</v>
      </c>
      <c r="O1125" s="225" t="s">
        <v>6154</v>
      </c>
      <c r="P1125" s="225" t="s">
        <v>6155</v>
      </c>
      <c r="Q1125" s="230" t="s">
        <v>6156</v>
      </c>
      <c r="R1125" s="232" t="s">
        <v>2</v>
      </c>
      <c r="S1125" s="263" t="s">
        <v>6157</v>
      </c>
      <c r="T1125" s="233">
        <v>45597</v>
      </c>
      <c r="U1125" s="234" t="s">
        <v>6158</v>
      </c>
      <c r="V1125" s="234">
        <v>45625</v>
      </c>
      <c r="W1125" s="234">
        <v>45632</v>
      </c>
      <c r="X1125" s="234" t="s">
        <v>4771</v>
      </c>
      <c r="Y1125" s="234"/>
      <c r="Z1125" s="234" t="s">
        <v>6159</v>
      </c>
      <c r="AA1125" s="243">
        <v>202411</v>
      </c>
      <c r="AB1125" s="243"/>
      <c r="AC1125" s="244" t="s">
        <v>6160</v>
      </c>
      <c r="AD1125" s="274" t="s">
        <v>6263</v>
      </c>
      <c r="AE1125" s="245">
        <v>1</v>
      </c>
      <c r="AF1125" s="243" t="s">
        <v>6162</v>
      </c>
      <c r="AG1125" s="239" t="str">
        <f>IFERROR(VLOOKUP(작성용!A:A,RM!A:D,4,0),"-")</f>
        <v>서동현</v>
      </c>
      <c r="AH1125" s="9" t="s">
        <v>6163</v>
      </c>
      <c r="AI1125" s="235" t="s">
        <v>6152</v>
      </c>
      <c r="AJ1125" s="235" t="s">
        <v>6152</v>
      </c>
      <c r="AK1125" s="235" t="s">
        <v>6164</v>
      </c>
      <c r="AL1125" s="235">
        <v>1124</v>
      </c>
    </row>
    <row r="1126" spans="1:38" x14ac:dyDescent="0.3">
      <c r="A1126" s="222" t="s">
        <v>2633</v>
      </c>
      <c r="B1126" s="222" t="s">
        <v>2634</v>
      </c>
      <c r="C1126" s="249" t="s">
        <v>6149</v>
      </c>
      <c r="D1126" s="221" t="s">
        <v>6207</v>
      </c>
      <c r="E1126" s="263" t="s">
        <v>6208</v>
      </c>
      <c r="F1126" s="225" t="s">
        <v>6170</v>
      </c>
      <c r="G1126" s="238">
        <v>0</v>
      </c>
      <c r="H1126" s="223" t="s">
        <v>6152</v>
      </c>
      <c r="I1126" s="231"/>
      <c r="J1126" s="231"/>
      <c r="K1126" s="231"/>
      <c r="L1126" s="231"/>
      <c r="M1126" s="231"/>
      <c r="N1126" s="225" t="s">
        <v>6153</v>
      </c>
      <c r="O1126" s="225" t="s">
        <v>6154</v>
      </c>
      <c r="P1126" s="225" t="s">
        <v>6155</v>
      </c>
      <c r="Q1126" s="230" t="s">
        <v>6156</v>
      </c>
      <c r="R1126" s="232" t="s">
        <v>2</v>
      </c>
      <c r="S1126" s="263" t="s">
        <v>6157</v>
      </c>
      <c r="T1126" s="233">
        <v>45597</v>
      </c>
      <c r="U1126" s="234" t="s">
        <v>6158</v>
      </c>
      <c r="V1126" s="234">
        <v>45625</v>
      </c>
      <c r="W1126" s="234">
        <v>45632</v>
      </c>
      <c r="X1126" s="234" t="s">
        <v>4771</v>
      </c>
      <c r="Y1126" s="234"/>
      <c r="Z1126" s="234" t="s">
        <v>6159</v>
      </c>
      <c r="AA1126" s="243">
        <v>202411</v>
      </c>
      <c r="AB1126" s="243"/>
      <c r="AC1126" s="244" t="s">
        <v>6171</v>
      </c>
      <c r="AD1126" s="243" t="s">
        <v>6173</v>
      </c>
      <c r="AE1126" s="245">
        <v>0</v>
      </c>
      <c r="AF1126" s="243" t="s">
        <v>6173</v>
      </c>
      <c r="AG1126" s="239" t="str">
        <f>IFERROR(VLOOKUP(작성용!A:A,RM!A:D,4,0),"-")</f>
        <v>서동현</v>
      </c>
      <c r="AH1126" s="9" t="s">
        <v>6163</v>
      </c>
      <c r="AI1126" s="235" t="s">
        <v>6152</v>
      </c>
      <c r="AJ1126" s="235" t="s">
        <v>6152</v>
      </c>
      <c r="AK1126" s="235" t="s">
        <v>6164</v>
      </c>
      <c r="AL1126" s="235">
        <v>1125</v>
      </c>
    </row>
    <row r="1127" spans="1:38" x14ac:dyDescent="0.3">
      <c r="A1127" s="222" t="s">
        <v>1434</v>
      </c>
      <c r="B1127" s="222" t="s">
        <v>1435</v>
      </c>
      <c r="C1127" s="249" t="s">
        <v>6167</v>
      </c>
      <c r="D1127" s="221" t="s">
        <v>6100</v>
      </c>
      <c r="E1127" s="263">
        <v>1101117869930</v>
      </c>
      <c r="F1127" s="225" t="s">
        <v>6209</v>
      </c>
      <c r="G1127" s="238">
        <v>1</v>
      </c>
      <c r="H1127" s="223" t="s">
        <v>6152</v>
      </c>
      <c r="I1127" s="231"/>
      <c r="J1127" s="231"/>
      <c r="K1127" s="231"/>
      <c r="L1127" s="231"/>
      <c r="M1127" s="231"/>
      <c r="N1127" s="225" t="s">
        <v>6153</v>
      </c>
      <c r="O1127" s="225" t="s">
        <v>6154</v>
      </c>
      <c r="P1127" s="225" t="s">
        <v>6155</v>
      </c>
      <c r="Q1127" s="230" t="s">
        <v>6156</v>
      </c>
      <c r="R1127" s="232" t="s">
        <v>2</v>
      </c>
      <c r="S1127" s="263" t="s">
        <v>6157</v>
      </c>
      <c r="T1127" s="233">
        <v>45597</v>
      </c>
      <c r="U1127" s="234" t="s">
        <v>6158</v>
      </c>
      <c r="V1127" s="234">
        <v>45625</v>
      </c>
      <c r="W1127" s="234">
        <v>45632</v>
      </c>
      <c r="X1127" s="234" t="s">
        <v>4771</v>
      </c>
      <c r="Y1127" s="234"/>
      <c r="Z1127" s="234" t="s">
        <v>6159</v>
      </c>
      <c r="AA1127" s="243">
        <v>202411</v>
      </c>
      <c r="AB1127" s="243"/>
      <c r="AC1127" s="244" t="s">
        <v>6160</v>
      </c>
      <c r="AD1127" s="243" t="s">
        <v>6210</v>
      </c>
      <c r="AE1127" s="245">
        <v>1</v>
      </c>
      <c r="AF1127" s="243" t="s">
        <v>6210</v>
      </c>
      <c r="AG1127" s="239" t="str">
        <f>IFERROR(VLOOKUP(작성용!A:A,RM!A:D,4,0),"-")</f>
        <v>서동현</v>
      </c>
      <c r="AH1127" s="9" t="s">
        <v>6163</v>
      </c>
      <c r="AI1127" s="235" t="s">
        <v>6152</v>
      </c>
      <c r="AJ1127" s="235" t="s">
        <v>6152</v>
      </c>
      <c r="AK1127" s="235" t="s">
        <v>6164</v>
      </c>
      <c r="AL1127" s="235">
        <v>1126</v>
      </c>
    </row>
    <row r="1128" spans="1:38" x14ac:dyDescent="0.3">
      <c r="A1128" s="222" t="s">
        <v>1434</v>
      </c>
      <c r="B1128" s="222" t="s">
        <v>1435</v>
      </c>
      <c r="C1128" s="249" t="s">
        <v>6167</v>
      </c>
      <c r="D1128" s="221" t="s">
        <v>6211</v>
      </c>
      <c r="E1128" s="263">
        <v>1101110098130</v>
      </c>
      <c r="F1128" s="225" t="s">
        <v>6212</v>
      </c>
      <c r="G1128" s="238">
        <v>0</v>
      </c>
      <c r="H1128" s="223" t="s">
        <v>6152</v>
      </c>
      <c r="I1128" s="231"/>
      <c r="J1128" s="231"/>
      <c r="K1128" s="231"/>
      <c r="L1128" s="231"/>
      <c r="M1128" s="231"/>
      <c r="N1128" s="225" t="s">
        <v>6153</v>
      </c>
      <c r="O1128" s="225" t="s">
        <v>6154</v>
      </c>
      <c r="P1128" s="225" t="s">
        <v>6155</v>
      </c>
      <c r="Q1128" s="230" t="s">
        <v>6156</v>
      </c>
      <c r="R1128" s="232" t="s">
        <v>2</v>
      </c>
      <c r="S1128" s="263" t="s">
        <v>6157</v>
      </c>
      <c r="T1128" s="233">
        <v>45597</v>
      </c>
      <c r="U1128" s="234" t="s">
        <v>6158</v>
      </c>
      <c r="V1128" s="234">
        <v>45625</v>
      </c>
      <c r="W1128" s="234">
        <v>45632</v>
      </c>
      <c r="X1128" s="234" t="s">
        <v>4771</v>
      </c>
      <c r="Y1128" s="234"/>
      <c r="Z1128" s="234" t="s">
        <v>6159</v>
      </c>
      <c r="AA1128" s="243">
        <v>202411</v>
      </c>
      <c r="AB1128" s="243"/>
      <c r="AC1128" s="244" t="s">
        <v>6160</v>
      </c>
      <c r="AD1128" s="243" t="s">
        <v>4012</v>
      </c>
      <c r="AE1128" s="245">
        <v>0</v>
      </c>
      <c r="AF1128" s="243" t="s">
        <v>4012</v>
      </c>
      <c r="AG1128" s="239" t="str">
        <f>IFERROR(VLOOKUP(작성용!A:A,RM!A:D,4,0),"-")</f>
        <v>서동현</v>
      </c>
      <c r="AH1128" s="9" t="s">
        <v>6163</v>
      </c>
      <c r="AI1128" s="235" t="s">
        <v>6152</v>
      </c>
      <c r="AJ1128" s="235" t="s">
        <v>6152</v>
      </c>
      <c r="AK1128" s="235" t="s">
        <v>6164</v>
      </c>
      <c r="AL1128" s="235">
        <v>1127</v>
      </c>
    </row>
    <row r="1129" spans="1:38" x14ac:dyDescent="0.3">
      <c r="A1129" s="222" t="s">
        <v>1434</v>
      </c>
      <c r="B1129" s="222" t="s">
        <v>1435</v>
      </c>
      <c r="C1129" s="249" t="s">
        <v>6167</v>
      </c>
      <c r="D1129" s="221" t="s">
        <v>6213</v>
      </c>
      <c r="E1129" s="263" t="s">
        <v>6214</v>
      </c>
      <c r="F1129" s="225" t="s">
        <v>6178</v>
      </c>
      <c r="G1129" s="238">
        <v>1</v>
      </c>
      <c r="H1129" s="223" t="s">
        <v>6152</v>
      </c>
      <c r="I1129" s="231"/>
      <c r="J1129" s="231"/>
      <c r="K1129" s="231"/>
      <c r="L1129" s="231"/>
      <c r="M1129" s="231"/>
      <c r="N1129" s="225" t="s">
        <v>6153</v>
      </c>
      <c r="O1129" s="225" t="s">
        <v>6154</v>
      </c>
      <c r="P1129" s="225" t="s">
        <v>6155</v>
      </c>
      <c r="Q1129" s="230" t="s">
        <v>6156</v>
      </c>
      <c r="R1129" s="232" t="s">
        <v>2</v>
      </c>
      <c r="S1129" s="263" t="s">
        <v>6157</v>
      </c>
      <c r="T1129" s="233">
        <v>45597</v>
      </c>
      <c r="U1129" s="234" t="s">
        <v>6158</v>
      </c>
      <c r="V1129" s="234">
        <v>45625</v>
      </c>
      <c r="W1129" s="234">
        <v>45632</v>
      </c>
      <c r="X1129" s="234" t="s">
        <v>4771</v>
      </c>
      <c r="Y1129" s="234"/>
      <c r="Z1129" s="234" t="s">
        <v>6159</v>
      </c>
      <c r="AA1129" s="243">
        <v>202411</v>
      </c>
      <c r="AB1129" s="243"/>
      <c r="AC1129" s="244" t="s">
        <v>6160</v>
      </c>
      <c r="AD1129" s="274" t="s">
        <v>6264</v>
      </c>
      <c r="AE1129" s="245">
        <v>1</v>
      </c>
      <c r="AF1129" s="243" t="s">
        <v>4558</v>
      </c>
      <c r="AG1129" s="239" t="str">
        <f>IFERROR(VLOOKUP(작성용!A:A,RM!A:D,4,0),"-")</f>
        <v>서동현</v>
      </c>
      <c r="AH1129" s="9" t="s">
        <v>6163</v>
      </c>
      <c r="AI1129" s="235" t="s">
        <v>6152</v>
      </c>
      <c r="AJ1129" s="235" t="s">
        <v>6152</v>
      </c>
      <c r="AK1129" s="235" t="s">
        <v>6164</v>
      </c>
      <c r="AL1129" s="235">
        <v>1128</v>
      </c>
    </row>
    <row r="1130" spans="1:38" x14ac:dyDescent="0.3">
      <c r="A1130" s="222" t="s">
        <v>1434</v>
      </c>
      <c r="B1130" s="222" t="s">
        <v>1435</v>
      </c>
      <c r="C1130" s="249" t="s">
        <v>6149</v>
      </c>
      <c r="D1130" s="221" t="s">
        <v>6215</v>
      </c>
      <c r="E1130" s="263" t="s">
        <v>6216</v>
      </c>
      <c r="F1130" s="225" t="s">
        <v>6178</v>
      </c>
      <c r="G1130" s="238">
        <v>1</v>
      </c>
      <c r="H1130" s="223" t="s">
        <v>6152</v>
      </c>
      <c r="I1130" s="231"/>
      <c r="J1130" s="231"/>
      <c r="K1130" s="231"/>
      <c r="L1130" s="231"/>
      <c r="M1130" s="231"/>
      <c r="N1130" s="225" t="s">
        <v>6153</v>
      </c>
      <c r="O1130" s="225" t="s">
        <v>6154</v>
      </c>
      <c r="P1130" s="225" t="s">
        <v>6155</v>
      </c>
      <c r="Q1130" s="230" t="s">
        <v>6156</v>
      </c>
      <c r="R1130" s="232" t="s">
        <v>2</v>
      </c>
      <c r="S1130" s="263" t="s">
        <v>6157</v>
      </c>
      <c r="T1130" s="233">
        <v>45597</v>
      </c>
      <c r="U1130" s="234" t="s">
        <v>6158</v>
      </c>
      <c r="V1130" s="234">
        <v>45625</v>
      </c>
      <c r="W1130" s="234">
        <v>45632</v>
      </c>
      <c r="X1130" s="234" t="s">
        <v>4771</v>
      </c>
      <c r="Y1130" s="234"/>
      <c r="Z1130" s="234" t="s">
        <v>6159</v>
      </c>
      <c r="AA1130" s="243">
        <v>202411</v>
      </c>
      <c r="AB1130" s="243"/>
      <c r="AC1130" s="244" t="s">
        <v>6160</v>
      </c>
      <c r="AD1130" s="274" t="s">
        <v>3552</v>
      </c>
      <c r="AE1130" s="245">
        <v>1</v>
      </c>
      <c r="AF1130" s="243" t="s">
        <v>6162</v>
      </c>
      <c r="AG1130" s="239" t="str">
        <f>IFERROR(VLOOKUP(작성용!A:A,RM!A:D,4,0),"-")</f>
        <v>서동현</v>
      </c>
      <c r="AH1130" s="9" t="s">
        <v>6163</v>
      </c>
      <c r="AI1130" s="235" t="s">
        <v>6152</v>
      </c>
      <c r="AJ1130" s="235" t="s">
        <v>6152</v>
      </c>
      <c r="AK1130" s="235" t="s">
        <v>6164</v>
      </c>
      <c r="AL1130" s="235">
        <v>1129</v>
      </c>
    </row>
    <row r="1131" spans="1:38" x14ac:dyDescent="0.3">
      <c r="A1131" s="222" t="s">
        <v>2724</v>
      </c>
      <c r="B1131" s="222" t="s">
        <v>2725</v>
      </c>
      <c r="C1131" s="249" t="s">
        <v>6149</v>
      </c>
      <c r="D1131" s="221" t="s">
        <v>6217</v>
      </c>
      <c r="E1131" s="263">
        <v>1101115911056</v>
      </c>
      <c r="F1131" s="225" t="s">
        <v>6151</v>
      </c>
      <c r="G1131" s="238">
        <v>0</v>
      </c>
      <c r="H1131" s="223" t="s">
        <v>6152</v>
      </c>
      <c r="I1131" s="231"/>
      <c r="J1131" s="231"/>
      <c r="K1131" s="231"/>
      <c r="L1131" s="231"/>
      <c r="M1131" s="231"/>
      <c r="N1131" s="225" t="s">
        <v>6153</v>
      </c>
      <c r="O1131" s="225" t="s">
        <v>6154</v>
      </c>
      <c r="P1131" s="225" t="s">
        <v>6155</v>
      </c>
      <c r="Q1131" s="230" t="s">
        <v>6156</v>
      </c>
      <c r="R1131" s="232" t="s">
        <v>2</v>
      </c>
      <c r="S1131" s="263" t="s">
        <v>6157</v>
      </c>
      <c r="T1131" s="233">
        <v>45597</v>
      </c>
      <c r="U1131" s="234" t="s">
        <v>6158</v>
      </c>
      <c r="V1131" s="234">
        <v>45625</v>
      </c>
      <c r="W1131" s="234">
        <v>45632</v>
      </c>
      <c r="X1131" s="234" t="s">
        <v>4771</v>
      </c>
      <c r="Y1131" s="234"/>
      <c r="Z1131" s="234" t="s">
        <v>6159</v>
      </c>
      <c r="AA1131" s="243">
        <v>202411</v>
      </c>
      <c r="AB1131" s="243"/>
      <c r="AC1131" s="244" t="s">
        <v>6160</v>
      </c>
      <c r="AD1131" s="243" t="s">
        <v>6218</v>
      </c>
      <c r="AE1131" s="245">
        <v>1</v>
      </c>
      <c r="AF1131" s="243" t="s">
        <v>6162</v>
      </c>
      <c r="AG1131" s="239" t="str">
        <f>IFERROR(VLOOKUP(작성용!A:A,RM!A:D,4,0),"-")</f>
        <v>오수현</v>
      </c>
      <c r="AH1131" s="9" t="s">
        <v>6163</v>
      </c>
      <c r="AI1131" s="235" t="s">
        <v>6152</v>
      </c>
      <c r="AJ1131" s="235" t="s">
        <v>6152</v>
      </c>
      <c r="AK1131" s="235" t="s">
        <v>6164</v>
      </c>
      <c r="AL1131" s="235">
        <v>1130</v>
      </c>
    </row>
    <row r="1132" spans="1:38" x14ac:dyDescent="0.3">
      <c r="A1132" s="222" t="s">
        <v>2724</v>
      </c>
      <c r="B1132" s="222" t="s">
        <v>2725</v>
      </c>
      <c r="C1132" s="249" t="s">
        <v>6149</v>
      </c>
      <c r="D1132" s="221" t="s">
        <v>6219</v>
      </c>
      <c r="E1132" s="263">
        <v>1101116786226</v>
      </c>
      <c r="F1132" s="225" t="s">
        <v>6220</v>
      </c>
      <c r="G1132" s="238">
        <v>0</v>
      </c>
      <c r="H1132" s="223" t="s">
        <v>6152</v>
      </c>
      <c r="I1132" s="231"/>
      <c r="J1132" s="231"/>
      <c r="K1132" s="231"/>
      <c r="L1132" s="231"/>
      <c r="M1132" s="231"/>
      <c r="N1132" s="225" t="s">
        <v>6153</v>
      </c>
      <c r="O1132" s="225" t="s">
        <v>6154</v>
      </c>
      <c r="P1132" s="225" t="s">
        <v>6155</v>
      </c>
      <c r="Q1132" s="230" t="s">
        <v>6156</v>
      </c>
      <c r="R1132" s="232" t="s">
        <v>2</v>
      </c>
      <c r="S1132" s="263" t="s">
        <v>6157</v>
      </c>
      <c r="T1132" s="233">
        <v>45597</v>
      </c>
      <c r="U1132" s="234" t="s">
        <v>6158</v>
      </c>
      <c r="V1132" s="234">
        <v>45625</v>
      </c>
      <c r="W1132" s="234">
        <v>45632</v>
      </c>
      <c r="X1132" s="234" t="s">
        <v>4771</v>
      </c>
      <c r="Y1132" s="234"/>
      <c r="Z1132" s="234" t="s">
        <v>6159</v>
      </c>
      <c r="AA1132" s="243">
        <v>202411</v>
      </c>
      <c r="AB1132" s="243"/>
      <c r="AC1132" s="244" t="s">
        <v>6160</v>
      </c>
      <c r="AD1132" s="243" t="s">
        <v>6221</v>
      </c>
      <c r="AE1132" s="245">
        <v>0</v>
      </c>
      <c r="AF1132" s="243" t="s">
        <v>6162</v>
      </c>
      <c r="AG1132" s="239" t="str">
        <f>IFERROR(VLOOKUP(작성용!A:A,RM!A:D,4,0),"-")</f>
        <v>오수현</v>
      </c>
      <c r="AH1132" s="9" t="s">
        <v>6163</v>
      </c>
      <c r="AI1132" s="235" t="s">
        <v>6152</v>
      </c>
      <c r="AJ1132" s="235" t="s">
        <v>6152</v>
      </c>
      <c r="AK1132" s="235" t="s">
        <v>6164</v>
      </c>
      <c r="AL1132" s="235">
        <v>1131</v>
      </c>
    </row>
    <row r="1133" spans="1:38" x14ac:dyDescent="0.3">
      <c r="A1133" s="222" t="s">
        <v>2724</v>
      </c>
      <c r="B1133" s="222" t="s">
        <v>2725</v>
      </c>
      <c r="C1133" s="249" t="s">
        <v>6149</v>
      </c>
      <c r="D1133" s="221" t="s">
        <v>6219</v>
      </c>
      <c r="E1133" s="263">
        <v>1101116786226</v>
      </c>
      <c r="F1133" s="225" t="s">
        <v>6222</v>
      </c>
      <c r="G1133" s="238">
        <v>0</v>
      </c>
      <c r="H1133" s="223" t="s">
        <v>6152</v>
      </c>
      <c r="I1133" s="231"/>
      <c r="J1133" s="231"/>
      <c r="K1133" s="231"/>
      <c r="L1133" s="231"/>
      <c r="M1133" s="231"/>
      <c r="N1133" s="225" t="s">
        <v>6153</v>
      </c>
      <c r="O1133" s="225" t="s">
        <v>6154</v>
      </c>
      <c r="P1133" s="225" t="s">
        <v>6155</v>
      </c>
      <c r="Q1133" s="230" t="s">
        <v>6156</v>
      </c>
      <c r="R1133" s="232" t="s">
        <v>2</v>
      </c>
      <c r="S1133" s="263" t="s">
        <v>6157</v>
      </c>
      <c r="T1133" s="233">
        <v>45597</v>
      </c>
      <c r="U1133" s="234" t="s">
        <v>6158</v>
      </c>
      <c r="V1133" s="234">
        <v>45625</v>
      </c>
      <c r="W1133" s="234">
        <v>45632</v>
      </c>
      <c r="X1133" s="234" t="s">
        <v>4771</v>
      </c>
      <c r="Y1133" s="234"/>
      <c r="Z1133" s="234" t="s">
        <v>6159</v>
      </c>
      <c r="AA1133" s="243">
        <v>202411</v>
      </c>
      <c r="AB1133" s="243"/>
      <c r="AC1133" s="244" t="s">
        <v>6160</v>
      </c>
      <c r="AD1133" s="243" t="s">
        <v>6221</v>
      </c>
      <c r="AE1133" s="245">
        <v>0</v>
      </c>
      <c r="AF1133" s="243" t="s">
        <v>6162</v>
      </c>
      <c r="AG1133" s="239" t="str">
        <f>IFERROR(VLOOKUP(작성용!A:A,RM!A:D,4,0),"-")</f>
        <v>오수현</v>
      </c>
      <c r="AH1133" s="9" t="s">
        <v>6163</v>
      </c>
      <c r="AI1133" s="235" t="s">
        <v>6152</v>
      </c>
      <c r="AJ1133" s="235" t="s">
        <v>6152</v>
      </c>
      <c r="AK1133" s="235" t="s">
        <v>6164</v>
      </c>
      <c r="AL1133" s="235">
        <v>1132</v>
      </c>
    </row>
    <row r="1134" spans="1:38" x14ac:dyDescent="0.3">
      <c r="A1134" s="222" t="s">
        <v>2724</v>
      </c>
      <c r="B1134" s="222" t="s">
        <v>2725</v>
      </c>
      <c r="C1134" s="249" t="s">
        <v>6149</v>
      </c>
      <c r="D1134" s="221" t="s">
        <v>6223</v>
      </c>
      <c r="E1134" s="263">
        <v>1101116725505</v>
      </c>
      <c r="F1134" s="225" t="s">
        <v>6222</v>
      </c>
      <c r="G1134" s="238">
        <v>0</v>
      </c>
      <c r="H1134" s="223" t="s">
        <v>6152</v>
      </c>
      <c r="I1134" s="231"/>
      <c r="J1134" s="231"/>
      <c r="K1134" s="231"/>
      <c r="L1134" s="231"/>
      <c r="M1134" s="231"/>
      <c r="N1134" s="225" t="s">
        <v>6153</v>
      </c>
      <c r="O1134" s="225" t="s">
        <v>6154</v>
      </c>
      <c r="P1134" s="225" t="s">
        <v>6155</v>
      </c>
      <c r="Q1134" s="230" t="s">
        <v>6156</v>
      </c>
      <c r="R1134" s="232" t="s">
        <v>2</v>
      </c>
      <c r="S1134" s="263" t="s">
        <v>6157</v>
      </c>
      <c r="T1134" s="233">
        <v>45597</v>
      </c>
      <c r="U1134" s="234" t="s">
        <v>6158</v>
      </c>
      <c r="V1134" s="234">
        <v>45625</v>
      </c>
      <c r="W1134" s="234">
        <v>45632</v>
      </c>
      <c r="X1134" s="234" t="s">
        <v>4771</v>
      </c>
      <c r="Y1134" s="234"/>
      <c r="Z1134" s="234" t="s">
        <v>6159</v>
      </c>
      <c r="AA1134" s="243">
        <v>202411</v>
      </c>
      <c r="AB1134" s="243"/>
      <c r="AC1134" s="244" t="s">
        <v>6160</v>
      </c>
      <c r="AD1134" s="274" t="s">
        <v>161</v>
      </c>
      <c r="AE1134" s="245">
        <v>1</v>
      </c>
      <c r="AF1134" s="243" t="s">
        <v>6162</v>
      </c>
      <c r="AG1134" s="239" t="str">
        <f>IFERROR(VLOOKUP(작성용!A:A,RM!A:D,4,0),"-")</f>
        <v>오수현</v>
      </c>
      <c r="AH1134" s="9" t="s">
        <v>6163</v>
      </c>
      <c r="AI1134" s="235" t="s">
        <v>6152</v>
      </c>
      <c r="AJ1134" s="235" t="s">
        <v>6152</v>
      </c>
      <c r="AK1134" s="235" t="s">
        <v>6164</v>
      </c>
      <c r="AL1134" s="235">
        <v>1133</v>
      </c>
    </row>
    <row r="1135" spans="1:38" x14ac:dyDescent="0.3">
      <c r="A1135" s="229" t="s">
        <v>371</v>
      </c>
      <c r="B1135" s="229" t="s">
        <v>6224</v>
      </c>
      <c r="C1135" s="241" t="s">
        <v>4778</v>
      </c>
      <c r="D1135" s="237" t="s">
        <v>6225</v>
      </c>
      <c r="E1135" s="236">
        <v>1101114663301</v>
      </c>
      <c r="F1135" s="240" t="s">
        <v>4780</v>
      </c>
      <c r="G1135" s="214">
        <v>0</v>
      </c>
      <c r="H1135" s="231" t="s">
        <v>4771</v>
      </c>
      <c r="I1135" s="231"/>
      <c r="J1135" s="231"/>
      <c r="K1135" s="231"/>
      <c r="L1135" s="231"/>
      <c r="M1135" s="231"/>
      <c r="N1135" s="231" t="s">
        <v>4806</v>
      </c>
      <c r="O1135" s="246" t="s">
        <v>6226</v>
      </c>
      <c r="P1135" s="246" t="s">
        <v>6227</v>
      </c>
      <c r="Q1135" s="225" t="s">
        <v>6228</v>
      </c>
      <c r="R1135" s="212" t="s">
        <v>2</v>
      </c>
      <c r="S1135" s="213" t="s">
        <v>4771</v>
      </c>
      <c r="T1135" s="233">
        <v>45597</v>
      </c>
      <c r="U1135" s="234" t="s">
        <v>4821</v>
      </c>
      <c r="V1135" s="234">
        <v>45600</v>
      </c>
      <c r="W1135" s="233" t="s">
        <v>4877</v>
      </c>
      <c r="X1135" s="234" t="s">
        <v>4771</v>
      </c>
      <c r="Y1135" s="224"/>
      <c r="Z1135" s="234" t="s">
        <v>6229</v>
      </c>
      <c r="AA1135" s="238">
        <v>202410</v>
      </c>
      <c r="AB1135" s="243"/>
      <c r="AC1135" s="244" t="s">
        <v>4800</v>
      </c>
      <c r="AD1135" s="244" t="s">
        <v>4823</v>
      </c>
      <c r="AE1135" s="245">
        <v>1</v>
      </c>
      <c r="AF1135" s="244" t="s">
        <v>4823</v>
      </c>
      <c r="AG1135" s="239" t="s">
        <v>6265</v>
      </c>
      <c r="AH1135" s="9" t="s">
        <v>4823</v>
      </c>
      <c r="AI1135" s="235" t="s">
        <v>4771</v>
      </c>
      <c r="AJ1135" s="235" t="s">
        <v>4776</v>
      </c>
      <c r="AK1135" s="235" t="s">
        <v>4777</v>
      </c>
      <c r="AL1135" s="235">
        <v>1134</v>
      </c>
    </row>
    <row r="1136" spans="1:38" x14ac:dyDescent="0.3">
      <c r="A1136" s="229" t="s">
        <v>1640</v>
      </c>
      <c r="B1136" s="229" t="s">
        <v>6230</v>
      </c>
      <c r="C1136" s="241" t="s">
        <v>4778</v>
      </c>
      <c r="D1136" s="237" t="s">
        <v>6231</v>
      </c>
      <c r="E1136" s="236">
        <v>1101116958502</v>
      </c>
      <c r="F1136" s="240" t="s">
        <v>4854</v>
      </c>
      <c r="G1136" s="242">
        <v>0</v>
      </c>
      <c r="H1136" s="231" t="s">
        <v>4771</v>
      </c>
      <c r="I1136" s="231"/>
      <c r="J1136" s="231"/>
      <c r="K1136" s="231"/>
      <c r="L1136" s="231"/>
      <c r="M1136" s="231"/>
      <c r="N1136" s="230" t="s">
        <v>4972</v>
      </c>
      <c r="O1136" s="230" t="s">
        <v>6232</v>
      </c>
      <c r="P1136" s="230" t="s">
        <v>6233</v>
      </c>
      <c r="Q1136" s="230" t="s">
        <v>6234</v>
      </c>
      <c r="R1136" s="232" t="s">
        <v>2</v>
      </c>
      <c r="S1136" s="232" t="s">
        <v>4771</v>
      </c>
      <c r="T1136" s="233">
        <v>45597</v>
      </c>
      <c r="U1136" s="234" t="s">
        <v>5822</v>
      </c>
      <c r="V1136" s="234">
        <v>45650</v>
      </c>
      <c r="W1136" s="234">
        <v>45657</v>
      </c>
      <c r="X1136" s="234" t="s">
        <v>2</v>
      </c>
      <c r="Y1136" s="234"/>
      <c r="Z1136" s="234" t="s">
        <v>6235</v>
      </c>
      <c r="AA1136" s="243">
        <v>202411</v>
      </c>
      <c r="AB1136" s="243"/>
      <c r="AC1136" s="243" t="s">
        <v>4760</v>
      </c>
      <c r="AD1136" s="257" t="s">
        <v>4033</v>
      </c>
      <c r="AE1136" s="245">
        <v>1</v>
      </c>
      <c r="AF1136" s="244" t="s">
        <v>5144</v>
      </c>
      <c r="AG1136" s="275" t="str">
        <f>IFERROR(VLOOKUP(작성용!A:A,RM!A:D,4,0),"-")</f>
        <v>신원준</v>
      </c>
      <c r="AH1136" s="275" t="s">
        <v>3584</v>
      </c>
      <c r="AI1136" s="235" t="s">
        <v>4771</v>
      </c>
      <c r="AJ1136" s="235" t="s">
        <v>4776</v>
      </c>
      <c r="AK1136" s="235" t="s">
        <v>4777</v>
      </c>
      <c r="AL1136" s="235">
        <v>1135</v>
      </c>
    </row>
    <row r="1137" spans="1:38" x14ac:dyDescent="0.3">
      <c r="A1137" s="229" t="s">
        <v>1640</v>
      </c>
      <c r="B1137" s="229" t="s">
        <v>6230</v>
      </c>
      <c r="C1137" s="241" t="s">
        <v>4778</v>
      </c>
      <c r="D1137" s="237" t="s">
        <v>6236</v>
      </c>
      <c r="E1137" s="236">
        <v>1101116876423</v>
      </c>
      <c r="F1137" s="240" t="s">
        <v>4854</v>
      </c>
      <c r="G1137" s="242">
        <v>0</v>
      </c>
      <c r="H1137" s="231" t="s">
        <v>4771</v>
      </c>
      <c r="I1137" s="231"/>
      <c r="J1137" s="231"/>
      <c r="K1137" s="231"/>
      <c r="L1137" s="231"/>
      <c r="M1137" s="231"/>
      <c r="N1137" s="230" t="s">
        <v>4972</v>
      </c>
      <c r="O1137" s="230" t="s">
        <v>6232</v>
      </c>
      <c r="P1137" s="230" t="s">
        <v>6233</v>
      </c>
      <c r="Q1137" s="230" t="s">
        <v>6234</v>
      </c>
      <c r="R1137" s="232" t="s">
        <v>2</v>
      </c>
      <c r="S1137" s="232" t="s">
        <v>4771</v>
      </c>
      <c r="T1137" s="233">
        <v>45597</v>
      </c>
      <c r="U1137" s="234" t="s">
        <v>5822</v>
      </c>
      <c r="V1137" s="234">
        <v>45650</v>
      </c>
      <c r="W1137" s="234">
        <v>45657</v>
      </c>
      <c r="X1137" s="234" t="s">
        <v>2</v>
      </c>
      <c r="Y1137" s="234"/>
      <c r="Z1137" s="234" t="s">
        <v>6235</v>
      </c>
      <c r="AA1137" s="243">
        <v>202411</v>
      </c>
      <c r="AB1137" s="243"/>
      <c r="AC1137" s="243" t="s">
        <v>4760</v>
      </c>
      <c r="AD1137" s="244" t="s">
        <v>4862</v>
      </c>
      <c r="AE1137" s="245">
        <v>1</v>
      </c>
      <c r="AF1137" s="244" t="s">
        <v>4862</v>
      </c>
      <c r="AG1137" s="275" t="str">
        <f>IFERROR(VLOOKUP(작성용!A:A,RM!A:D,4,0),"-")</f>
        <v>신원준</v>
      </c>
      <c r="AH1137" s="275" t="s">
        <v>3584</v>
      </c>
      <c r="AI1137" s="235" t="s">
        <v>4771</v>
      </c>
      <c r="AJ1137" s="235" t="s">
        <v>4776</v>
      </c>
      <c r="AK1137" s="235" t="s">
        <v>4777</v>
      </c>
      <c r="AL1137" s="235">
        <v>1136</v>
      </c>
    </row>
    <row r="1138" spans="1:38" x14ac:dyDescent="0.3">
      <c r="A1138" s="229" t="s">
        <v>1640</v>
      </c>
      <c r="B1138" s="229" t="s">
        <v>6230</v>
      </c>
      <c r="C1138" s="241" t="s">
        <v>4778</v>
      </c>
      <c r="D1138" s="237" t="s">
        <v>6236</v>
      </c>
      <c r="E1138" s="236">
        <v>1101116876423</v>
      </c>
      <c r="F1138" s="240" t="s">
        <v>4850</v>
      </c>
      <c r="G1138" s="242">
        <v>0</v>
      </c>
      <c r="H1138" s="231" t="s">
        <v>4771</v>
      </c>
      <c r="I1138" s="231"/>
      <c r="J1138" s="231"/>
      <c r="K1138" s="231"/>
      <c r="L1138" s="231"/>
      <c r="M1138" s="231"/>
      <c r="N1138" s="230" t="s">
        <v>4972</v>
      </c>
      <c r="O1138" s="230" t="s">
        <v>6232</v>
      </c>
      <c r="P1138" s="230" t="s">
        <v>6233</v>
      </c>
      <c r="Q1138" s="230" t="s">
        <v>6234</v>
      </c>
      <c r="R1138" s="232" t="s">
        <v>2</v>
      </c>
      <c r="S1138" s="232" t="s">
        <v>4771</v>
      </c>
      <c r="T1138" s="233">
        <v>45597</v>
      </c>
      <c r="U1138" s="234" t="s">
        <v>5822</v>
      </c>
      <c r="V1138" s="234">
        <v>45650</v>
      </c>
      <c r="W1138" s="234">
        <v>45657</v>
      </c>
      <c r="X1138" s="234" t="s">
        <v>2</v>
      </c>
      <c r="Y1138" s="234"/>
      <c r="Z1138" s="234" t="s">
        <v>6235</v>
      </c>
      <c r="AA1138" s="243">
        <v>202411</v>
      </c>
      <c r="AB1138" s="243"/>
      <c r="AC1138" s="243" t="s">
        <v>4760</v>
      </c>
      <c r="AD1138" s="244" t="s">
        <v>4862</v>
      </c>
      <c r="AE1138" s="245">
        <v>0</v>
      </c>
      <c r="AF1138" s="244" t="s">
        <v>4862</v>
      </c>
      <c r="AG1138" s="275" t="str">
        <f>IFERROR(VLOOKUP(작성용!A:A,RM!A:D,4,0),"-")</f>
        <v>신원준</v>
      </c>
      <c r="AH1138" s="275" t="s">
        <v>3584</v>
      </c>
      <c r="AI1138" s="235" t="s">
        <v>4771</v>
      </c>
      <c r="AJ1138" s="235" t="s">
        <v>4776</v>
      </c>
      <c r="AK1138" s="235" t="s">
        <v>4777</v>
      </c>
      <c r="AL1138" s="235">
        <v>1137</v>
      </c>
    </row>
    <row r="1139" spans="1:38" x14ac:dyDescent="0.3">
      <c r="A1139" s="229" t="s">
        <v>1640</v>
      </c>
      <c r="B1139" s="229" t="s">
        <v>6230</v>
      </c>
      <c r="C1139" s="241" t="s">
        <v>4778</v>
      </c>
      <c r="D1139" s="237" t="s">
        <v>6237</v>
      </c>
      <c r="E1139" s="236">
        <v>1101116271350</v>
      </c>
      <c r="F1139" s="240" t="s">
        <v>4926</v>
      </c>
      <c r="G1139" s="242">
        <v>4</v>
      </c>
      <c r="H1139" s="231" t="s">
        <v>4771</v>
      </c>
      <c r="I1139" s="231"/>
      <c r="J1139" s="231"/>
      <c r="K1139" s="231"/>
      <c r="L1139" s="231"/>
      <c r="M1139" s="231"/>
      <c r="N1139" s="230" t="s">
        <v>4972</v>
      </c>
      <c r="O1139" s="230" t="s">
        <v>6232</v>
      </c>
      <c r="P1139" s="230" t="s">
        <v>6233</v>
      </c>
      <c r="Q1139" s="230" t="s">
        <v>6234</v>
      </c>
      <c r="R1139" s="232" t="s">
        <v>2</v>
      </c>
      <c r="S1139" s="232" t="s">
        <v>4771</v>
      </c>
      <c r="T1139" s="233">
        <v>45597</v>
      </c>
      <c r="U1139" s="234" t="s">
        <v>5822</v>
      </c>
      <c r="V1139" s="234">
        <v>45650</v>
      </c>
      <c r="W1139" s="234">
        <v>45657</v>
      </c>
      <c r="X1139" s="234" t="s">
        <v>2</v>
      </c>
      <c r="Y1139" s="234"/>
      <c r="Z1139" s="234" t="s">
        <v>6235</v>
      </c>
      <c r="AA1139" s="243">
        <v>202411</v>
      </c>
      <c r="AB1139" s="243"/>
      <c r="AC1139" s="243" t="s">
        <v>4760</v>
      </c>
      <c r="AD1139" s="244" t="s">
        <v>4933</v>
      </c>
      <c r="AE1139" s="245">
        <v>0</v>
      </c>
      <c r="AF1139" s="244" t="s">
        <v>4933</v>
      </c>
      <c r="AG1139" s="275" t="str">
        <f>IFERROR(VLOOKUP(작성용!A:A,RM!A:D,4,0),"-")</f>
        <v>신원준</v>
      </c>
      <c r="AH1139" s="275" t="s">
        <v>3584</v>
      </c>
      <c r="AI1139" s="235" t="s">
        <v>4771</v>
      </c>
      <c r="AJ1139" s="235" t="s">
        <v>4776</v>
      </c>
      <c r="AK1139" s="235" t="s">
        <v>4777</v>
      </c>
      <c r="AL1139" s="235">
        <v>1138</v>
      </c>
    </row>
    <row r="1140" spans="1:38" x14ac:dyDescent="0.3">
      <c r="A1140" s="229" t="s">
        <v>1640</v>
      </c>
      <c r="B1140" s="229" t="s">
        <v>6230</v>
      </c>
      <c r="C1140" s="241" t="s">
        <v>4778</v>
      </c>
      <c r="D1140" s="237" t="s">
        <v>6237</v>
      </c>
      <c r="E1140" s="236">
        <v>1101116271350</v>
      </c>
      <c r="F1140" s="240" t="s">
        <v>4854</v>
      </c>
      <c r="G1140" s="242">
        <v>0</v>
      </c>
      <c r="H1140" s="231" t="s">
        <v>4771</v>
      </c>
      <c r="I1140" s="231"/>
      <c r="J1140" s="231"/>
      <c r="K1140" s="231"/>
      <c r="L1140" s="231"/>
      <c r="M1140" s="231"/>
      <c r="N1140" s="230" t="s">
        <v>4972</v>
      </c>
      <c r="O1140" s="230" t="s">
        <v>6232</v>
      </c>
      <c r="P1140" s="230" t="s">
        <v>6233</v>
      </c>
      <c r="Q1140" s="230" t="s">
        <v>6234</v>
      </c>
      <c r="R1140" s="232" t="s">
        <v>2</v>
      </c>
      <c r="S1140" s="232" t="s">
        <v>4771</v>
      </c>
      <c r="T1140" s="233">
        <v>45597</v>
      </c>
      <c r="U1140" s="234" t="s">
        <v>5822</v>
      </c>
      <c r="V1140" s="234">
        <v>45650</v>
      </c>
      <c r="W1140" s="234">
        <v>45657</v>
      </c>
      <c r="X1140" s="234" t="s">
        <v>2</v>
      </c>
      <c r="Y1140" s="234"/>
      <c r="Z1140" s="234" t="s">
        <v>6235</v>
      </c>
      <c r="AA1140" s="243">
        <v>202411</v>
      </c>
      <c r="AB1140" s="243"/>
      <c r="AC1140" s="243" t="s">
        <v>4760</v>
      </c>
      <c r="AD1140" s="244" t="s">
        <v>4933</v>
      </c>
      <c r="AE1140" s="245">
        <v>1</v>
      </c>
      <c r="AF1140" s="244" t="s">
        <v>4933</v>
      </c>
      <c r="AG1140" s="275" t="str">
        <f>IFERROR(VLOOKUP(작성용!A:A,RM!A:D,4,0),"-")</f>
        <v>신원준</v>
      </c>
      <c r="AH1140" s="275" t="s">
        <v>3584</v>
      </c>
      <c r="AI1140" s="235" t="s">
        <v>4771</v>
      </c>
      <c r="AJ1140" s="235" t="s">
        <v>4776</v>
      </c>
      <c r="AK1140" s="235" t="s">
        <v>4777</v>
      </c>
      <c r="AL1140" s="235">
        <v>1139</v>
      </c>
    </row>
    <row r="1141" spans="1:38" x14ac:dyDescent="0.3">
      <c r="A1141" s="229" t="s">
        <v>1640</v>
      </c>
      <c r="B1141" s="229" t="s">
        <v>6230</v>
      </c>
      <c r="C1141" s="241" t="s">
        <v>4778</v>
      </c>
      <c r="D1141" s="237" t="s">
        <v>6238</v>
      </c>
      <c r="E1141" s="236">
        <v>1101116955003</v>
      </c>
      <c r="F1141" s="240" t="s">
        <v>4850</v>
      </c>
      <c r="G1141" s="242">
        <v>0</v>
      </c>
      <c r="H1141" s="231" t="s">
        <v>4771</v>
      </c>
      <c r="I1141" s="231"/>
      <c r="J1141" s="231"/>
      <c r="K1141" s="231"/>
      <c r="L1141" s="231"/>
      <c r="M1141" s="231"/>
      <c r="N1141" s="230" t="s">
        <v>4972</v>
      </c>
      <c r="O1141" s="230" t="s">
        <v>6232</v>
      </c>
      <c r="P1141" s="230" t="s">
        <v>6233</v>
      </c>
      <c r="Q1141" s="230" t="s">
        <v>6234</v>
      </c>
      <c r="R1141" s="232" t="s">
        <v>2</v>
      </c>
      <c r="S1141" s="232" t="s">
        <v>4771</v>
      </c>
      <c r="T1141" s="233">
        <v>45597</v>
      </c>
      <c r="U1141" s="234" t="s">
        <v>5822</v>
      </c>
      <c r="V1141" s="234">
        <v>45650</v>
      </c>
      <c r="W1141" s="234">
        <v>45657</v>
      </c>
      <c r="X1141" s="234" t="s">
        <v>2</v>
      </c>
      <c r="Y1141" s="234"/>
      <c r="Z1141" s="234" t="s">
        <v>6235</v>
      </c>
      <c r="AA1141" s="243">
        <v>202411</v>
      </c>
      <c r="AB1141" s="243"/>
      <c r="AC1141" s="243" t="s">
        <v>4760</v>
      </c>
      <c r="AD1141" s="244" t="s">
        <v>4982</v>
      </c>
      <c r="AE1141" s="245">
        <v>1</v>
      </c>
      <c r="AF1141" s="244" t="s">
        <v>4982</v>
      </c>
      <c r="AG1141" s="275" t="str">
        <f>IFERROR(VLOOKUP(작성용!A:A,RM!A:D,4,0),"-")</f>
        <v>신원준</v>
      </c>
      <c r="AH1141" s="275" t="s">
        <v>3584</v>
      </c>
      <c r="AI1141" s="235" t="s">
        <v>4771</v>
      </c>
      <c r="AJ1141" s="235" t="s">
        <v>4776</v>
      </c>
      <c r="AK1141" s="235" t="s">
        <v>4777</v>
      </c>
      <c r="AL1141" s="235">
        <v>1140</v>
      </c>
    </row>
    <row r="1142" spans="1:38" x14ac:dyDescent="0.3">
      <c r="A1142" s="229" t="s">
        <v>1640</v>
      </c>
      <c r="B1142" s="229" t="s">
        <v>6230</v>
      </c>
      <c r="C1142" s="241" t="s">
        <v>4778</v>
      </c>
      <c r="D1142" s="237" t="s">
        <v>6238</v>
      </c>
      <c r="E1142" s="236">
        <v>1101116955003</v>
      </c>
      <c r="F1142" s="240" t="s">
        <v>4930</v>
      </c>
      <c r="G1142" s="242">
        <v>77</v>
      </c>
      <c r="H1142" s="231" t="s">
        <v>4771</v>
      </c>
      <c r="I1142" s="231"/>
      <c r="J1142" s="231"/>
      <c r="K1142" s="231"/>
      <c r="L1142" s="231"/>
      <c r="M1142" s="231"/>
      <c r="N1142" s="230" t="s">
        <v>4972</v>
      </c>
      <c r="O1142" s="230" t="s">
        <v>6232</v>
      </c>
      <c r="P1142" s="230" t="s">
        <v>6233</v>
      </c>
      <c r="Q1142" s="230" t="s">
        <v>6234</v>
      </c>
      <c r="R1142" s="232" t="s">
        <v>2</v>
      </c>
      <c r="S1142" s="232" t="s">
        <v>4771</v>
      </c>
      <c r="T1142" s="233">
        <v>45597</v>
      </c>
      <c r="U1142" s="234" t="s">
        <v>5822</v>
      </c>
      <c r="V1142" s="234">
        <v>45650</v>
      </c>
      <c r="W1142" s="234">
        <v>45657</v>
      </c>
      <c r="X1142" s="234" t="s">
        <v>2</v>
      </c>
      <c r="Y1142" s="234"/>
      <c r="Z1142" s="234" t="s">
        <v>6235</v>
      </c>
      <c r="AA1142" s="243">
        <v>202411</v>
      </c>
      <c r="AB1142" s="243"/>
      <c r="AC1142" s="243" t="s">
        <v>4760</v>
      </c>
      <c r="AD1142" s="244" t="s">
        <v>4982</v>
      </c>
      <c r="AE1142" s="245">
        <v>0</v>
      </c>
      <c r="AF1142" s="244" t="s">
        <v>4982</v>
      </c>
      <c r="AG1142" s="275" t="str">
        <f>IFERROR(VLOOKUP(작성용!A:A,RM!A:D,4,0),"-")</f>
        <v>신원준</v>
      </c>
      <c r="AH1142" s="275" t="s">
        <v>3584</v>
      </c>
      <c r="AI1142" s="235" t="s">
        <v>4771</v>
      </c>
      <c r="AJ1142" s="235" t="s">
        <v>4776</v>
      </c>
      <c r="AK1142" s="235" t="s">
        <v>4777</v>
      </c>
      <c r="AL1142" s="235">
        <v>1141</v>
      </c>
    </row>
    <row r="1143" spans="1:38" x14ac:dyDescent="0.3">
      <c r="A1143" s="229" t="s">
        <v>1640</v>
      </c>
      <c r="B1143" s="229" t="s">
        <v>6230</v>
      </c>
      <c r="C1143" s="241" t="s">
        <v>4762</v>
      </c>
      <c r="D1143" s="237" t="s">
        <v>2310</v>
      </c>
      <c r="E1143" s="236">
        <v>1701110367814</v>
      </c>
      <c r="F1143" s="240" t="s">
        <v>4854</v>
      </c>
      <c r="G1143" s="242">
        <v>0</v>
      </c>
      <c r="H1143" s="231" t="s">
        <v>4771</v>
      </c>
      <c r="I1143" s="231"/>
      <c r="J1143" s="231"/>
      <c r="K1143" s="231"/>
      <c r="L1143" s="231"/>
      <c r="M1143" s="231"/>
      <c r="N1143" s="230" t="s">
        <v>4972</v>
      </c>
      <c r="O1143" s="230" t="s">
        <v>6232</v>
      </c>
      <c r="P1143" s="230" t="s">
        <v>6233</v>
      </c>
      <c r="Q1143" s="230" t="s">
        <v>6234</v>
      </c>
      <c r="R1143" s="232" t="s">
        <v>2</v>
      </c>
      <c r="S1143" s="232" t="s">
        <v>4771</v>
      </c>
      <c r="T1143" s="233">
        <v>45597</v>
      </c>
      <c r="U1143" s="234" t="s">
        <v>5822</v>
      </c>
      <c r="V1143" s="234">
        <v>45650</v>
      </c>
      <c r="W1143" s="234">
        <v>45657</v>
      </c>
      <c r="X1143" s="234" t="s">
        <v>2</v>
      </c>
      <c r="Y1143" s="234"/>
      <c r="Z1143" s="234" t="s">
        <v>6235</v>
      </c>
      <c r="AA1143" s="243">
        <v>202411</v>
      </c>
      <c r="AB1143" s="243"/>
      <c r="AC1143" s="243" t="s">
        <v>4760</v>
      </c>
      <c r="AD1143" s="257" t="s">
        <v>6258</v>
      </c>
      <c r="AE1143" s="245">
        <v>1</v>
      </c>
      <c r="AF1143" s="244" t="s">
        <v>6239</v>
      </c>
      <c r="AG1143" s="275" t="str">
        <f>IFERROR(VLOOKUP(작성용!A:A,RM!A:D,4,0),"-")</f>
        <v>신원준</v>
      </c>
      <c r="AH1143" s="275" t="s">
        <v>3584</v>
      </c>
      <c r="AI1143" s="235" t="s">
        <v>4771</v>
      </c>
      <c r="AJ1143" s="235" t="s">
        <v>4776</v>
      </c>
      <c r="AK1143" s="235" t="s">
        <v>4777</v>
      </c>
      <c r="AL1143" s="235">
        <v>1142</v>
      </c>
    </row>
    <row r="1144" spans="1:38" x14ac:dyDescent="0.3">
      <c r="A1144" s="229" t="s">
        <v>1640</v>
      </c>
      <c r="B1144" s="229" t="s">
        <v>6230</v>
      </c>
      <c r="C1144" s="241" t="s">
        <v>4762</v>
      </c>
      <c r="D1144" s="237" t="s">
        <v>2310</v>
      </c>
      <c r="E1144" s="236">
        <v>1701110367814</v>
      </c>
      <c r="F1144" s="240" t="s">
        <v>4930</v>
      </c>
      <c r="G1144" s="242">
        <v>77</v>
      </c>
      <c r="H1144" s="231" t="s">
        <v>4771</v>
      </c>
      <c r="I1144" s="231"/>
      <c r="J1144" s="231"/>
      <c r="K1144" s="231"/>
      <c r="L1144" s="231"/>
      <c r="M1144" s="231"/>
      <c r="N1144" s="230" t="s">
        <v>4972</v>
      </c>
      <c r="O1144" s="230" t="s">
        <v>6232</v>
      </c>
      <c r="P1144" s="230" t="s">
        <v>6233</v>
      </c>
      <c r="Q1144" s="230" t="s">
        <v>6234</v>
      </c>
      <c r="R1144" s="232" t="s">
        <v>2</v>
      </c>
      <c r="S1144" s="232" t="s">
        <v>4771</v>
      </c>
      <c r="T1144" s="233">
        <v>45597</v>
      </c>
      <c r="U1144" s="234" t="s">
        <v>5822</v>
      </c>
      <c r="V1144" s="234">
        <v>45650</v>
      </c>
      <c r="W1144" s="234">
        <v>45657</v>
      </c>
      <c r="X1144" s="234" t="s">
        <v>2</v>
      </c>
      <c r="Y1144" s="234"/>
      <c r="Z1144" s="234" t="s">
        <v>6235</v>
      </c>
      <c r="AA1144" s="243">
        <v>202411</v>
      </c>
      <c r="AB1144" s="243"/>
      <c r="AC1144" s="243" t="s">
        <v>4760</v>
      </c>
      <c r="AD1144" s="257" t="s">
        <v>6259</v>
      </c>
      <c r="AE1144" s="245">
        <v>0</v>
      </c>
      <c r="AF1144" s="244" t="s">
        <v>6239</v>
      </c>
      <c r="AG1144" s="275" t="str">
        <f>IFERROR(VLOOKUP(작성용!A:A,RM!A:D,4,0),"-")</f>
        <v>신원준</v>
      </c>
      <c r="AH1144" s="275" t="s">
        <v>3584</v>
      </c>
      <c r="AI1144" s="235" t="s">
        <v>4771</v>
      </c>
      <c r="AJ1144" s="235" t="s">
        <v>4776</v>
      </c>
      <c r="AK1144" s="235" t="s">
        <v>4777</v>
      </c>
      <c r="AL1144" s="235">
        <v>1143</v>
      </c>
    </row>
    <row r="1145" spans="1:38" x14ac:dyDescent="0.3">
      <c r="A1145" s="229" t="s">
        <v>1640</v>
      </c>
      <c r="B1145" s="229" t="s">
        <v>6230</v>
      </c>
      <c r="C1145" s="241" t="s">
        <v>4778</v>
      </c>
      <c r="D1145" s="237" t="s">
        <v>6240</v>
      </c>
      <c r="E1145" s="236">
        <v>1311110072634</v>
      </c>
      <c r="F1145" s="240" t="s">
        <v>4854</v>
      </c>
      <c r="G1145" s="242">
        <v>0</v>
      </c>
      <c r="H1145" s="231" t="s">
        <v>4771</v>
      </c>
      <c r="I1145" s="231"/>
      <c r="J1145" s="231"/>
      <c r="K1145" s="231"/>
      <c r="L1145" s="231"/>
      <c r="M1145" s="231"/>
      <c r="N1145" s="230" t="s">
        <v>4972</v>
      </c>
      <c r="O1145" s="230" t="s">
        <v>6232</v>
      </c>
      <c r="P1145" s="230" t="s">
        <v>6233</v>
      </c>
      <c r="Q1145" s="230" t="s">
        <v>6234</v>
      </c>
      <c r="R1145" s="232" t="s">
        <v>2</v>
      </c>
      <c r="S1145" s="232" t="s">
        <v>4771</v>
      </c>
      <c r="T1145" s="233">
        <v>45597</v>
      </c>
      <c r="U1145" s="234" t="s">
        <v>5822</v>
      </c>
      <c r="V1145" s="234">
        <v>45650</v>
      </c>
      <c r="W1145" s="234">
        <v>45657</v>
      </c>
      <c r="X1145" s="234" t="s">
        <v>2</v>
      </c>
      <c r="Y1145" s="234"/>
      <c r="Z1145" s="234" t="s">
        <v>6235</v>
      </c>
      <c r="AA1145" s="243">
        <v>202411</v>
      </c>
      <c r="AB1145" s="243"/>
      <c r="AC1145" s="243" t="s">
        <v>4760</v>
      </c>
      <c r="AD1145" s="244" t="s">
        <v>3713</v>
      </c>
      <c r="AE1145" s="245">
        <v>1</v>
      </c>
      <c r="AF1145" s="244" t="s">
        <v>3713</v>
      </c>
      <c r="AG1145" s="275" t="str">
        <f>IFERROR(VLOOKUP(작성용!A:A,RM!A:D,4,0),"-")</f>
        <v>신원준</v>
      </c>
      <c r="AH1145" s="275" t="s">
        <v>3584</v>
      </c>
      <c r="AI1145" s="235" t="s">
        <v>4771</v>
      </c>
      <c r="AJ1145" s="235" t="s">
        <v>4776</v>
      </c>
      <c r="AK1145" s="235" t="s">
        <v>4777</v>
      </c>
      <c r="AL1145" s="235">
        <v>1144</v>
      </c>
    </row>
    <row r="1146" spans="1:38" x14ac:dyDescent="0.3">
      <c r="A1146" s="229" t="s">
        <v>1640</v>
      </c>
      <c r="B1146" s="229" t="s">
        <v>6230</v>
      </c>
      <c r="C1146" s="241" t="s">
        <v>4778</v>
      </c>
      <c r="D1146" s="237" t="s">
        <v>6241</v>
      </c>
      <c r="E1146" s="236">
        <v>1601110405278</v>
      </c>
      <c r="F1146" s="240" t="s">
        <v>4854</v>
      </c>
      <c r="G1146" s="242">
        <v>0</v>
      </c>
      <c r="H1146" s="231" t="s">
        <v>4771</v>
      </c>
      <c r="I1146" s="231"/>
      <c r="J1146" s="231"/>
      <c r="K1146" s="231"/>
      <c r="L1146" s="231"/>
      <c r="M1146" s="231"/>
      <c r="N1146" s="230" t="s">
        <v>4972</v>
      </c>
      <c r="O1146" s="230" t="s">
        <v>6232</v>
      </c>
      <c r="P1146" s="230" t="s">
        <v>6233</v>
      </c>
      <c r="Q1146" s="230" t="s">
        <v>6234</v>
      </c>
      <c r="R1146" s="232" t="s">
        <v>2</v>
      </c>
      <c r="S1146" s="232" t="s">
        <v>4771</v>
      </c>
      <c r="T1146" s="233">
        <v>45597</v>
      </c>
      <c r="U1146" s="234" t="s">
        <v>5822</v>
      </c>
      <c r="V1146" s="234">
        <v>45650</v>
      </c>
      <c r="W1146" s="234">
        <v>45657</v>
      </c>
      <c r="X1146" s="234" t="s">
        <v>2</v>
      </c>
      <c r="Y1146" s="234"/>
      <c r="Z1146" s="234" t="s">
        <v>6235</v>
      </c>
      <c r="AA1146" s="243">
        <v>202411</v>
      </c>
      <c r="AB1146" s="243"/>
      <c r="AC1146" s="243" t="s">
        <v>4760</v>
      </c>
      <c r="AD1146" s="244" t="s">
        <v>4911</v>
      </c>
      <c r="AE1146" s="245">
        <v>1</v>
      </c>
      <c r="AF1146" s="244" t="s">
        <v>4911</v>
      </c>
      <c r="AG1146" s="275" t="str">
        <f>IFERROR(VLOOKUP(작성용!A:A,RM!A:D,4,0),"-")</f>
        <v>신원준</v>
      </c>
      <c r="AH1146" s="275" t="s">
        <v>3584</v>
      </c>
      <c r="AI1146" s="235" t="s">
        <v>4771</v>
      </c>
      <c r="AJ1146" s="235" t="s">
        <v>4776</v>
      </c>
      <c r="AK1146" s="235" t="s">
        <v>4777</v>
      </c>
      <c r="AL1146" s="235">
        <v>1145</v>
      </c>
    </row>
    <row r="1147" spans="1:38" x14ac:dyDescent="0.3">
      <c r="A1147" s="229" t="s">
        <v>1640</v>
      </c>
      <c r="B1147" s="229" t="s">
        <v>6230</v>
      </c>
      <c r="C1147" s="241" t="s">
        <v>4778</v>
      </c>
      <c r="D1147" s="237" t="s">
        <v>6241</v>
      </c>
      <c r="E1147" s="236">
        <v>1601110405278</v>
      </c>
      <c r="F1147" s="240" t="s">
        <v>4850</v>
      </c>
      <c r="G1147" s="242">
        <v>0</v>
      </c>
      <c r="H1147" s="231" t="s">
        <v>4771</v>
      </c>
      <c r="I1147" s="231"/>
      <c r="J1147" s="231"/>
      <c r="K1147" s="231"/>
      <c r="L1147" s="231"/>
      <c r="M1147" s="231"/>
      <c r="N1147" s="230" t="s">
        <v>4972</v>
      </c>
      <c r="O1147" s="230" t="s">
        <v>6232</v>
      </c>
      <c r="P1147" s="230" t="s">
        <v>6233</v>
      </c>
      <c r="Q1147" s="230" t="s">
        <v>6234</v>
      </c>
      <c r="R1147" s="232" t="s">
        <v>2</v>
      </c>
      <c r="S1147" s="232" t="s">
        <v>4771</v>
      </c>
      <c r="T1147" s="233">
        <v>45597</v>
      </c>
      <c r="U1147" s="234" t="s">
        <v>5822</v>
      </c>
      <c r="V1147" s="234">
        <v>45650</v>
      </c>
      <c r="W1147" s="234">
        <v>45657</v>
      </c>
      <c r="X1147" s="234" t="s">
        <v>2</v>
      </c>
      <c r="Y1147" s="234"/>
      <c r="Z1147" s="234" t="s">
        <v>6235</v>
      </c>
      <c r="AA1147" s="243">
        <v>202411</v>
      </c>
      <c r="AB1147" s="243"/>
      <c r="AC1147" s="243" t="s">
        <v>4760</v>
      </c>
      <c r="AD1147" s="244" t="s">
        <v>4911</v>
      </c>
      <c r="AE1147" s="245">
        <v>0</v>
      </c>
      <c r="AF1147" s="244" t="s">
        <v>4911</v>
      </c>
      <c r="AG1147" s="275" t="str">
        <f>IFERROR(VLOOKUP(작성용!A:A,RM!A:D,4,0),"-")</f>
        <v>신원준</v>
      </c>
      <c r="AH1147" s="275" t="s">
        <v>3584</v>
      </c>
      <c r="AI1147" s="235" t="s">
        <v>4771</v>
      </c>
      <c r="AJ1147" s="235" t="s">
        <v>4776</v>
      </c>
      <c r="AK1147" s="235" t="s">
        <v>4777</v>
      </c>
      <c r="AL1147" s="235">
        <v>1146</v>
      </c>
    </row>
    <row r="1148" spans="1:38" x14ac:dyDescent="0.3">
      <c r="A1148" s="222" t="s">
        <v>3040</v>
      </c>
      <c r="B1148" s="222" t="s">
        <v>6242</v>
      </c>
      <c r="C1148" s="241" t="s">
        <v>4778</v>
      </c>
      <c r="D1148" s="237" t="s">
        <v>6243</v>
      </c>
      <c r="E1148" s="236">
        <v>1101110139207</v>
      </c>
      <c r="F1148" s="240" t="s">
        <v>4854</v>
      </c>
      <c r="G1148" s="242">
        <v>0</v>
      </c>
      <c r="H1148" s="223" t="s">
        <v>4771</v>
      </c>
      <c r="I1148" s="223"/>
      <c r="J1148" s="223"/>
      <c r="K1148" s="223"/>
      <c r="L1148" s="223"/>
      <c r="M1148" s="223"/>
      <c r="N1148" s="240" t="s">
        <v>4972</v>
      </c>
      <c r="O1148" s="240" t="s">
        <v>6244</v>
      </c>
      <c r="P1148" s="240" t="s">
        <v>6245</v>
      </c>
      <c r="Q1148" s="240" t="s">
        <v>6246</v>
      </c>
      <c r="R1148" s="250" t="s">
        <v>4771</v>
      </c>
      <c r="S1148" s="250" t="s">
        <v>4771</v>
      </c>
      <c r="T1148" s="233">
        <v>45597</v>
      </c>
      <c r="U1148" s="234" t="s">
        <v>4772</v>
      </c>
      <c r="V1148" s="234">
        <v>45670</v>
      </c>
      <c r="W1148" s="234">
        <v>45677</v>
      </c>
      <c r="X1148" s="234" t="s">
        <v>2</v>
      </c>
      <c r="Y1148" s="234"/>
      <c r="Z1148" s="234" t="s">
        <v>6247</v>
      </c>
      <c r="AA1148" s="243">
        <v>202412</v>
      </c>
      <c r="AB1148" s="243"/>
      <c r="AC1148" s="244" t="s">
        <v>4760</v>
      </c>
      <c r="AD1148" s="244" t="s">
        <v>4909</v>
      </c>
      <c r="AE1148" s="245">
        <v>1</v>
      </c>
      <c r="AF1148" s="244" t="s">
        <v>4909</v>
      </c>
      <c r="AG1148" s="275" t="str">
        <f>IFERROR(VLOOKUP(작성용!A:A,RM!A:D,4,0),"-")</f>
        <v>이상민</v>
      </c>
      <c r="AH1148" s="275" t="s">
        <v>6862</v>
      </c>
      <c r="AI1148" s="235" t="s">
        <v>4771</v>
      </c>
      <c r="AJ1148" s="9" t="s">
        <v>4776</v>
      </c>
      <c r="AK1148" s="235" t="s">
        <v>4128</v>
      </c>
      <c r="AL1148" s="235">
        <v>1147</v>
      </c>
    </row>
    <row r="1149" spans="1:38" x14ac:dyDescent="0.3">
      <c r="A1149" s="222" t="s">
        <v>3040</v>
      </c>
      <c r="B1149" s="222" t="s">
        <v>6242</v>
      </c>
      <c r="C1149" s="241" t="s">
        <v>4778</v>
      </c>
      <c r="D1149" s="237" t="s">
        <v>6248</v>
      </c>
      <c r="E1149" s="236">
        <v>1101114528737</v>
      </c>
      <c r="F1149" s="240" t="s">
        <v>4854</v>
      </c>
      <c r="G1149" s="242">
        <v>0</v>
      </c>
      <c r="H1149" s="223" t="s">
        <v>4771</v>
      </c>
      <c r="I1149" s="223"/>
      <c r="J1149" s="223"/>
      <c r="K1149" s="223"/>
      <c r="L1149" s="223"/>
      <c r="M1149" s="223"/>
      <c r="N1149" s="240" t="s">
        <v>4972</v>
      </c>
      <c r="O1149" s="240" t="s">
        <v>6244</v>
      </c>
      <c r="P1149" s="240" t="s">
        <v>6245</v>
      </c>
      <c r="Q1149" s="240" t="s">
        <v>6246</v>
      </c>
      <c r="R1149" s="250" t="s">
        <v>4771</v>
      </c>
      <c r="S1149" s="250" t="s">
        <v>4771</v>
      </c>
      <c r="T1149" s="233">
        <v>45597</v>
      </c>
      <c r="U1149" s="234" t="s">
        <v>4772</v>
      </c>
      <c r="V1149" s="234">
        <v>45670</v>
      </c>
      <c r="W1149" s="234">
        <v>45677</v>
      </c>
      <c r="X1149" s="234" t="s">
        <v>2</v>
      </c>
      <c r="Y1149" s="234"/>
      <c r="Z1149" s="234" t="s">
        <v>6247</v>
      </c>
      <c r="AA1149" s="243">
        <v>202412</v>
      </c>
      <c r="AB1149" s="243"/>
      <c r="AC1149" s="244" t="s">
        <v>4760</v>
      </c>
      <c r="AD1149" s="257" t="s">
        <v>4033</v>
      </c>
      <c r="AE1149" s="245">
        <v>1</v>
      </c>
      <c r="AF1149" s="244" t="s">
        <v>5144</v>
      </c>
      <c r="AG1149" s="275" t="str">
        <f>IFERROR(VLOOKUP(작성용!A:A,RM!A:D,4,0),"-")</f>
        <v>이상민</v>
      </c>
      <c r="AH1149" s="275" t="s">
        <v>6862</v>
      </c>
      <c r="AI1149" s="235" t="s">
        <v>4771</v>
      </c>
      <c r="AJ1149" s="9" t="s">
        <v>4776</v>
      </c>
      <c r="AK1149" s="235" t="s">
        <v>4128</v>
      </c>
      <c r="AL1149" s="235">
        <v>1148</v>
      </c>
    </row>
    <row r="1150" spans="1:38" x14ac:dyDescent="0.3">
      <c r="A1150" s="222" t="s">
        <v>3040</v>
      </c>
      <c r="B1150" s="222" t="s">
        <v>6242</v>
      </c>
      <c r="C1150" s="241" t="s">
        <v>4778</v>
      </c>
      <c r="D1150" s="237" t="s">
        <v>6249</v>
      </c>
      <c r="E1150" s="236">
        <v>1101118041933</v>
      </c>
      <c r="F1150" s="240" t="s">
        <v>4854</v>
      </c>
      <c r="G1150" s="242">
        <v>0</v>
      </c>
      <c r="H1150" s="223" t="s">
        <v>4771</v>
      </c>
      <c r="I1150" s="223"/>
      <c r="J1150" s="223"/>
      <c r="K1150" s="223"/>
      <c r="L1150" s="223"/>
      <c r="M1150" s="223"/>
      <c r="N1150" s="240" t="s">
        <v>4972</v>
      </c>
      <c r="O1150" s="240" t="s">
        <v>6244</v>
      </c>
      <c r="P1150" s="240" t="s">
        <v>6245</v>
      </c>
      <c r="Q1150" s="240" t="s">
        <v>6246</v>
      </c>
      <c r="R1150" s="250" t="s">
        <v>4771</v>
      </c>
      <c r="S1150" s="250" t="s">
        <v>4771</v>
      </c>
      <c r="T1150" s="233">
        <v>45597</v>
      </c>
      <c r="U1150" s="234" t="s">
        <v>4772</v>
      </c>
      <c r="V1150" s="234">
        <v>45670</v>
      </c>
      <c r="W1150" s="234">
        <v>45677</v>
      </c>
      <c r="X1150" s="234" t="s">
        <v>2</v>
      </c>
      <c r="Y1150" s="234"/>
      <c r="Z1150" s="234" t="s">
        <v>6247</v>
      </c>
      <c r="AA1150" s="243">
        <v>202412</v>
      </c>
      <c r="AB1150" s="243"/>
      <c r="AC1150" s="244" t="s">
        <v>4760</v>
      </c>
      <c r="AD1150" s="244" t="s">
        <v>4980</v>
      </c>
      <c r="AE1150" s="245">
        <v>1</v>
      </c>
      <c r="AF1150" s="244" t="s">
        <v>4980</v>
      </c>
      <c r="AG1150" s="275" t="str">
        <f>IFERROR(VLOOKUP(작성용!A:A,RM!A:D,4,0),"-")</f>
        <v>이상민</v>
      </c>
      <c r="AH1150" s="275" t="s">
        <v>6862</v>
      </c>
      <c r="AI1150" s="235" t="s">
        <v>4771</v>
      </c>
      <c r="AJ1150" s="9" t="s">
        <v>4776</v>
      </c>
      <c r="AK1150" s="235" t="s">
        <v>4128</v>
      </c>
      <c r="AL1150" s="235">
        <v>1149</v>
      </c>
    </row>
    <row r="1151" spans="1:38" x14ac:dyDescent="0.3">
      <c r="A1151" s="222" t="s">
        <v>3040</v>
      </c>
      <c r="B1151" s="222" t="s">
        <v>6242</v>
      </c>
      <c r="C1151" s="241" t="s">
        <v>4778</v>
      </c>
      <c r="D1151" s="237" t="s">
        <v>6250</v>
      </c>
      <c r="E1151" s="236">
        <v>1243110004210</v>
      </c>
      <c r="F1151" s="240" t="s">
        <v>4854</v>
      </c>
      <c r="G1151" s="242">
        <v>0</v>
      </c>
      <c r="H1151" s="223" t="s">
        <v>4771</v>
      </c>
      <c r="I1151" s="223"/>
      <c r="J1151" s="223"/>
      <c r="K1151" s="223"/>
      <c r="L1151" s="223"/>
      <c r="M1151" s="223"/>
      <c r="N1151" s="240" t="s">
        <v>4972</v>
      </c>
      <c r="O1151" s="240" t="s">
        <v>6244</v>
      </c>
      <c r="P1151" s="240" t="s">
        <v>6245</v>
      </c>
      <c r="Q1151" s="240" t="s">
        <v>6246</v>
      </c>
      <c r="R1151" s="250" t="s">
        <v>4771</v>
      </c>
      <c r="S1151" s="250" t="s">
        <v>4771</v>
      </c>
      <c r="T1151" s="233">
        <v>45597</v>
      </c>
      <c r="U1151" s="234" t="s">
        <v>4772</v>
      </c>
      <c r="V1151" s="234">
        <v>45670</v>
      </c>
      <c r="W1151" s="234">
        <v>45677</v>
      </c>
      <c r="X1151" s="234" t="s">
        <v>2</v>
      </c>
      <c r="Y1151" s="234"/>
      <c r="Z1151" s="234" t="s">
        <v>6247</v>
      </c>
      <c r="AA1151" s="243">
        <v>202412</v>
      </c>
      <c r="AB1151" s="243"/>
      <c r="AC1151" s="244" t="s">
        <v>4760</v>
      </c>
      <c r="AD1151" s="244" t="s">
        <v>4845</v>
      </c>
      <c r="AE1151" s="245">
        <v>1</v>
      </c>
      <c r="AF1151" s="244" t="s">
        <v>4845</v>
      </c>
      <c r="AG1151" s="275" t="str">
        <f>IFERROR(VLOOKUP(작성용!A:A,RM!A:D,4,0),"-")</f>
        <v>이상민</v>
      </c>
      <c r="AH1151" s="275" t="s">
        <v>6862</v>
      </c>
      <c r="AI1151" s="235" t="s">
        <v>4771</v>
      </c>
      <c r="AJ1151" s="9" t="s">
        <v>4776</v>
      </c>
      <c r="AK1151" s="235" t="s">
        <v>4128</v>
      </c>
      <c r="AL1151" s="235">
        <v>1150</v>
      </c>
    </row>
    <row r="1152" spans="1:38" x14ac:dyDescent="0.3">
      <c r="A1152" s="222" t="s">
        <v>3040</v>
      </c>
      <c r="B1152" s="222" t="s">
        <v>6242</v>
      </c>
      <c r="C1152" s="241" t="s">
        <v>4762</v>
      </c>
      <c r="D1152" s="237" t="s">
        <v>6251</v>
      </c>
      <c r="E1152" s="236">
        <v>1717110038686</v>
      </c>
      <c r="F1152" s="240" t="s">
        <v>4854</v>
      </c>
      <c r="G1152" s="242">
        <v>0</v>
      </c>
      <c r="H1152" s="223" t="s">
        <v>4771</v>
      </c>
      <c r="I1152" s="223"/>
      <c r="J1152" s="223"/>
      <c r="K1152" s="223"/>
      <c r="L1152" s="223"/>
      <c r="M1152" s="223"/>
      <c r="N1152" s="240" t="s">
        <v>4972</v>
      </c>
      <c r="O1152" s="240" t="s">
        <v>6244</v>
      </c>
      <c r="P1152" s="240" t="s">
        <v>6245</v>
      </c>
      <c r="Q1152" s="240" t="s">
        <v>6246</v>
      </c>
      <c r="R1152" s="250" t="s">
        <v>4771</v>
      </c>
      <c r="S1152" s="250" t="s">
        <v>4771</v>
      </c>
      <c r="T1152" s="233">
        <v>45597</v>
      </c>
      <c r="U1152" s="234" t="s">
        <v>4772</v>
      </c>
      <c r="V1152" s="234">
        <v>45670</v>
      </c>
      <c r="W1152" s="234">
        <v>45677</v>
      </c>
      <c r="X1152" s="234" t="s">
        <v>2</v>
      </c>
      <c r="Y1152" s="234"/>
      <c r="Z1152" s="234" t="s">
        <v>6247</v>
      </c>
      <c r="AA1152" s="243">
        <v>202412</v>
      </c>
      <c r="AB1152" s="243"/>
      <c r="AC1152" s="244" t="s">
        <v>4760</v>
      </c>
      <c r="AD1152" s="257" t="s">
        <v>6260</v>
      </c>
      <c r="AE1152" s="245">
        <v>1</v>
      </c>
      <c r="AF1152" s="244" t="s">
        <v>4762</v>
      </c>
      <c r="AG1152" s="275" t="str">
        <f>IFERROR(VLOOKUP(작성용!A:A,RM!A:D,4,0),"-")</f>
        <v>이상민</v>
      </c>
      <c r="AH1152" s="275" t="s">
        <v>6862</v>
      </c>
      <c r="AI1152" s="235" t="s">
        <v>4771</v>
      </c>
      <c r="AJ1152" s="9" t="s">
        <v>4776</v>
      </c>
      <c r="AK1152" s="235" t="s">
        <v>4128</v>
      </c>
      <c r="AL1152" s="235">
        <v>1151</v>
      </c>
    </row>
  </sheetData>
  <autoFilter ref="A1:AL1152"/>
  <sortState ref="A5021:AK5040">
    <sortCondition ref="D5021:D5040"/>
  </sortState>
  <phoneticPr fontId="3" type="noConversion"/>
  <conditionalFormatting sqref="AM668">
    <cfRule type="duplicateValues" dxfId="1" priority="2"/>
  </conditionalFormatting>
  <conditionalFormatting sqref="AM669">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종목관리대장</vt:lpstr>
      <vt:lpstr>분배율</vt:lpstr>
      <vt:lpstr>RM</vt:lpstr>
      <vt:lpstr>평가예정</vt:lpstr>
      <vt:lpstr>작성용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다.신윤서</dc:creator>
  <cp:lastModifiedBy>다.신윤서</cp:lastModifiedBy>
  <cp:lastPrinted>2024-03-25T00:11:59Z</cp:lastPrinted>
  <dcterms:created xsi:type="dcterms:W3CDTF">2023-02-21T00:19:48Z</dcterms:created>
  <dcterms:modified xsi:type="dcterms:W3CDTF">2024-11-01T08:56:44Z</dcterms:modified>
</cp:coreProperties>
</file>