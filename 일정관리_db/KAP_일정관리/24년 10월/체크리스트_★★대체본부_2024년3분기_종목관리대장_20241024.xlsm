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\\10.10.10.11\Ai본부\F.AI본부\★분배\2024\24년 10월\"/>
    </mc:Choice>
  </mc:AlternateContent>
  <bookViews>
    <workbookView xWindow="-120" yWindow="-120" windowWidth="29040" windowHeight="15720"/>
  </bookViews>
  <sheets>
    <sheet name="체크리스트" sheetId="1" r:id="rId1"/>
  </sheets>
  <externalReferences>
    <externalReference r:id="rId2"/>
  </externalReferences>
  <definedNames>
    <definedName name="_xlnm.Print_Titles">#N/A</definedName>
    <definedName name="보고서연도설정">[1]Settings!$E$30</definedName>
    <definedName name="영구g">[1]민감도!$B$9</definedName>
    <definedName name="평가값">[1]민감도!$B$7</definedName>
    <definedName name="평가기준일">[1]COMPANY!$G$2</definedName>
    <definedName name="평가회사명">[1]Settings!$E$28</definedName>
    <definedName name="표_19">'[1]보고서(일반)'!$AC$4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6" i="1" l="1"/>
  <c r="L66" i="1" l="1"/>
  <c r="E41" i="1" l="1"/>
  <c r="G41" i="1" l="1"/>
  <c r="G40" i="1"/>
  <c r="G39" i="1"/>
  <c r="I39" i="1" s="1"/>
  <c r="H41" i="1"/>
  <c r="H40" i="1"/>
  <c r="H39" i="1"/>
  <c r="J39" i="1" s="1"/>
  <c r="F41" i="1"/>
  <c r="F40" i="1"/>
  <c r="F39" i="1"/>
  <c r="E40" i="1"/>
  <c r="E39" i="1"/>
  <c r="H104" i="1" l="1"/>
  <c r="F102" i="1"/>
  <c r="H36" i="1" l="1"/>
  <c r="G78" i="1" l="1"/>
  <c r="F139" i="1" l="1"/>
  <c r="F68" i="1"/>
  <c r="G68" i="1"/>
  <c r="F140" i="1" l="1"/>
  <c r="F132" i="1"/>
  <c r="G120" i="1"/>
  <c r="H120" i="1"/>
  <c r="I120" i="1"/>
  <c r="J120" i="1"/>
  <c r="K120" i="1"/>
  <c r="F120" i="1"/>
  <c r="G98" i="1"/>
  <c r="H98" i="1"/>
  <c r="I98" i="1"/>
  <c r="J98" i="1"/>
  <c r="K98" i="1"/>
  <c r="F98" i="1"/>
  <c r="G110" i="1"/>
  <c r="H110" i="1"/>
  <c r="I110" i="1"/>
  <c r="J110" i="1"/>
  <c r="K110" i="1"/>
  <c r="F110" i="1"/>
  <c r="G93" i="1"/>
  <c r="H93" i="1"/>
  <c r="I93" i="1"/>
  <c r="J93" i="1"/>
  <c r="K93" i="1"/>
  <c r="F93" i="1"/>
  <c r="K87" i="1"/>
  <c r="K89" i="1"/>
  <c r="K90" i="1" s="1"/>
  <c r="G89" i="1"/>
  <c r="H89" i="1"/>
  <c r="I89" i="1"/>
  <c r="J89" i="1"/>
  <c r="F89" i="1"/>
  <c r="G55" i="1"/>
  <c r="F49" i="1"/>
  <c r="E49" i="1"/>
  <c r="H105" i="1" l="1"/>
  <c r="J104" i="1"/>
  <c r="J105" i="1" s="1"/>
  <c r="I104" i="1"/>
  <c r="I105" i="1" s="1"/>
  <c r="G104" i="1"/>
  <c r="G105" i="1" s="1"/>
  <c r="F104" i="1"/>
  <c r="F105" i="1" s="1"/>
  <c r="J102" i="1"/>
  <c r="I102" i="1"/>
  <c r="H102" i="1"/>
  <c r="G102" i="1"/>
  <c r="J100" i="1"/>
  <c r="I100" i="1"/>
  <c r="H100" i="1"/>
  <c r="G100" i="1"/>
  <c r="J87" i="1"/>
  <c r="I87" i="1"/>
  <c r="G87" i="1"/>
  <c r="F87" i="1"/>
  <c r="I36" i="1"/>
  <c r="I90" i="1" l="1"/>
  <c r="J90" i="1"/>
  <c r="K125" i="1"/>
  <c r="H90" i="1"/>
  <c r="J63" i="1"/>
  <c r="F90" i="1"/>
  <c r="G90" i="1"/>
  <c r="H87" i="1"/>
  <c r="F114" i="1" l="1"/>
  <c r="G114" i="1" l="1"/>
  <c r="F94" i="1" l="1"/>
  <c r="F115" i="1"/>
  <c r="G115" i="1" l="1"/>
  <c r="H114" i="1"/>
  <c r="G94" i="1" l="1"/>
  <c r="F96" i="1" l="1"/>
  <c r="I114" i="1"/>
  <c r="G96" i="1" l="1"/>
  <c r="H115" i="1"/>
  <c r="H94" i="1"/>
  <c r="J114" i="1" l="1"/>
  <c r="I94" i="1" l="1"/>
  <c r="I115" i="1"/>
  <c r="H96" i="1"/>
  <c r="I96" i="1" l="1"/>
  <c r="J115" i="1"/>
  <c r="J94" i="1"/>
  <c r="J96" i="1" l="1"/>
</calcChain>
</file>

<file path=xl/comments1.xml><?xml version="1.0" encoding="utf-8"?>
<comments xmlns="http://schemas.openxmlformats.org/spreadsheetml/2006/main">
  <authors>
    <author>다.오수현</author>
  </authors>
  <commentList>
    <comment ref="F55" authorId="0" shapeId="0">
      <text>
        <r>
          <rPr>
            <b/>
            <sz val="9"/>
            <color indexed="81"/>
            <rFont val="돋움"/>
            <family val="3"/>
            <charset val="129"/>
          </rPr>
          <t>만든 이 :</t>
        </r>
        <r>
          <rPr>
            <sz val="9"/>
            <color indexed="81"/>
            <rFont val="돋움"/>
            <family val="3"/>
            <charset val="129"/>
          </rPr>
          <t xml:space="preserve">
DCF WACC Sheet의
Track Record에서 가져옴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<sst xmlns="http://schemas.openxmlformats.org/spreadsheetml/2006/main" count="183" uniqueCount="155">
  <si>
    <t>등기부상 평가기준일 이전 1년간 신주발행이 있는지 반드시 검토할 것</t>
  </si>
  <si>
    <t>목적: 공정가치 서열체계상 우위인 수준2 제3자 거래가 준용 가능 여부 확인 및 최근 거래가 참고하여 수준3 평가시 가격 수준 파악</t>
    <phoneticPr fontId="3" type="noConversion"/>
  </si>
  <si>
    <t>취득기관</t>
    <phoneticPr fontId="3" type="noConversion"/>
  </si>
  <si>
    <t>취득일</t>
    <phoneticPr fontId="3" type="noConversion"/>
  </si>
  <si>
    <t>상품형태</t>
    <phoneticPr fontId="3" type="noConversion"/>
  </si>
  <si>
    <t>거래주식수</t>
    <phoneticPr fontId="3" type="noConversion"/>
  </si>
  <si>
    <t>주당거래단가</t>
    <phoneticPr fontId="3" type="noConversion"/>
  </si>
  <si>
    <t>총거래단가</t>
    <phoneticPr fontId="3" type="noConversion"/>
  </si>
  <si>
    <t>&gt;&gt; KONEX 시장 상장 종목인지도 크로스체크 필요</t>
    <phoneticPr fontId="3" type="noConversion"/>
  </si>
  <si>
    <t>&lt;KONEX 평가방법&gt; : 하단 캡쳐 참고</t>
    <phoneticPr fontId="3" type="noConversion"/>
  </si>
  <si>
    <t>해당 발행 주식이 보통주(신주) 발행인지?</t>
    <phoneticPr fontId="3" type="noConversion"/>
  </si>
  <si>
    <t>Yes</t>
  </si>
  <si>
    <t>특수관계자가 아닌 제3자간의 거래인지?</t>
    <phoneticPr fontId="3" type="noConversion"/>
  </si>
  <si>
    <t>발행주식수의 1% 이상인지?</t>
    <phoneticPr fontId="3" type="noConversion"/>
  </si>
  <si>
    <t>거래금액이 5억원이상인지?</t>
    <phoneticPr fontId="3" type="noConversion"/>
  </si>
  <si>
    <t>의뢰기관의 의뢰 종목에 대한 투자 주식 형태, 주식수, 취득단가 확인할 것(특히, 액분/무증/주식병합 등 확인필요)</t>
    <phoneticPr fontId="3" type="noConversion"/>
  </si>
  <si>
    <t>목적: 평가 종목에 대한 금액 Target 값과 액분/무증/주식병합 등 크로스체크</t>
    <phoneticPr fontId="3" type="noConversion"/>
  </si>
  <si>
    <t>취득일</t>
    <phoneticPr fontId="3" type="noConversion"/>
  </si>
  <si>
    <t>상품형태</t>
    <phoneticPr fontId="3" type="noConversion"/>
  </si>
  <si>
    <t>최초투자주식수</t>
    <phoneticPr fontId="3" type="noConversion"/>
  </si>
  <si>
    <t>주당취득단가(취득시)</t>
    <phoneticPr fontId="3" type="noConversion"/>
  </si>
  <si>
    <t>현재 보유 주식수</t>
    <phoneticPr fontId="3" type="noConversion"/>
  </si>
  <si>
    <t>의뢰사 인식 주당 장부가(현재)</t>
    <phoneticPr fontId="3" type="noConversion"/>
  </si>
  <si>
    <t>액분/무증 등 체크</t>
    <phoneticPr fontId="3" type="noConversion"/>
  </si>
  <si>
    <t>평가기준일</t>
    <phoneticPr fontId="3" type="noConversion"/>
  </si>
  <si>
    <t>경과기간</t>
    <phoneticPr fontId="3" type="noConversion"/>
  </si>
  <si>
    <t>2021년 12월 4배 무증 발생</t>
    <phoneticPr fontId="3" type="noConversion"/>
  </si>
  <si>
    <t>취득후 이슈사항없이 2년까지는 취득단가와 공정가치의 괴리가 크지 않을 수 있다</t>
    <phoneticPr fontId="3" type="noConversion"/>
  </si>
  <si>
    <t>직전 대비 평가방법은 일정한지. 변경되었다면 그이유가 명확한지 확인 할 것</t>
    <phoneticPr fontId="3" type="noConversion"/>
  </si>
  <si>
    <t>전기평가방법</t>
    <phoneticPr fontId="3" type="noConversion"/>
  </si>
  <si>
    <t>당기평가방법</t>
    <phoneticPr fontId="3" type="noConversion"/>
  </si>
  <si>
    <t>직전 대비 평가값이 30% 이상 변경하였는가?</t>
    <phoneticPr fontId="3" type="noConversion"/>
  </si>
  <si>
    <t>목적: 평가값의 비이상적인 변동 체크를 통해 평가값 오류 크로스체크</t>
    <phoneticPr fontId="3" type="noConversion"/>
  </si>
  <si>
    <t>전기평가값</t>
    <phoneticPr fontId="3" type="noConversion"/>
  </si>
  <si>
    <t>당기평가값</t>
    <phoneticPr fontId="3" type="noConversion"/>
  </si>
  <si>
    <t>변동률</t>
    <phoneticPr fontId="3" type="noConversion"/>
  </si>
  <si>
    <t>30% 이상 변동시 사유:</t>
    <phoneticPr fontId="3" type="noConversion"/>
  </si>
  <si>
    <t>회사의 기본 재무상태 체크를 통한 평가값 감액 및 신용등급 하락 여부 체크</t>
    <phoneticPr fontId="3" type="noConversion"/>
  </si>
  <si>
    <t>목적: 자본잠식, 영업손실지속 상태등을 체크하여 평가값 감액 및 메자닌 송부 파라미터 신용등급 하향 여부 검토</t>
    <phoneticPr fontId="3" type="noConversion"/>
  </si>
  <si>
    <t>자본총계</t>
    <phoneticPr fontId="3" type="noConversion"/>
  </si>
  <si>
    <t>영업손익</t>
    <phoneticPr fontId="3" type="noConversion"/>
  </si>
  <si>
    <t>메자닌 파라미터 신용등급</t>
    <phoneticPr fontId="3" type="noConversion"/>
  </si>
  <si>
    <t>적용 할인율 검토</t>
    <phoneticPr fontId="3" type="noConversion"/>
  </si>
  <si>
    <t>목적: DCF의 주요 변수인 할인율(WACC) 적정여부 검토</t>
    <phoneticPr fontId="3" type="noConversion"/>
  </si>
  <si>
    <t>적용베타</t>
    <phoneticPr fontId="3" type="noConversion"/>
  </si>
  <si>
    <t>&gt;&gt; 자기자본비용(Ke) 산출위한 베타 값의 적절여부 체크(유사기업 평균 차입금/시총비율로 Leveted Beta 산출했는지, 혹은 무차입가정으로 Unleveted Beta 그대로 사용했는지, 베타 값 1에 비교하여 적절수준인지, 전기대비 변동 사유 등등 확인</t>
    <phoneticPr fontId="3" type="noConversion"/>
  </si>
  <si>
    <t>규모및시장프리미엄</t>
    <phoneticPr fontId="3" type="noConversion"/>
  </si>
  <si>
    <t>&gt;&gt; KAP 내부 기준 대사, 전기와의 차이 등 검토</t>
    <phoneticPr fontId="3" type="noConversion"/>
  </si>
  <si>
    <t>자기자본비용</t>
  </si>
  <si>
    <t>&gt;&gt; DCF 기본 판 산식인 유사기업 차입금/시총활용한 Leveted Beta사용 CAPM아닌 무차입기업or평가대상기업 차입금/자기자본 사용시 수식체크 필요</t>
    <phoneticPr fontId="3" type="noConversion"/>
  </si>
  <si>
    <t>타인자본비용</t>
  </si>
  <si>
    <t>&gt;&gt; Rf와 비교하여 Kd가 지나치게 낙관적이지 않은지, 회사의 신용등급을 고려하여 5년 회사채 수익률(KAP산출) 사용시 이자율 수준 체크, 회사의 실제 차입금 이자비용(이자비용/차입금 ) 사용시 담보or보증 관련된 차입금 이자율은 제외하였는지, 실제 이자비용/차입금 비율 사용시 CB는 제외되었는지 등 체크 필요</t>
    <phoneticPr fontId="3" type="noConversion"/>
  </si>
  <si>
    <t>법인세율</t>
    <phoneticPr fontId="3" type="noConversion"/>
  </si>
  <si>
    <t>&gt;&gt; DCF 추정기간말인 약 +5개년 후의 추정 영업이익 적용 법인세율과 동일한지</t>
    <phoneticPr fontId="3" type="noConversion"/>
  </si>
  <si>
    <t>가중평균자본비용</t>
    <phoneticPr fontId="3" type="noConversion"/>
  </si>
  <si>
    <t>추정 현금흐름의 적정성 검토</t>
    <phoneticPr fontId="3" type="noConversion"/>
  </si>
  <si>
    <t>목적: 평가대상기업의 추정 현금흐름에 대한 수준 적정성 검토 및 IS 추정시 가결산 입력 및 개별 추정으로 기본수식 변동시 FCFF시트와 일치성 확인</t>
    <phoneticPr fontId="3" type="noConversion"/>
  </si>
  <si>
    <t>적용 영구성장률</t>
    <phoneticPr fontId="3" type="noConversion"/>
  </si>
  <si>
    <t>&gt;&gt; KAP 내부 기준 영구성장률 적용 검토에 부합하는지 확인(22년 기말 이전부터 계속 평가해오는 종목은 검토 필요)</t>
    <phoneticPr fontId="3" type="noConversion"/>
  </si>
  <si>
    <t>구분(KAP추정 현금흐름)</t>
    <phoneticPr fontId="3" type="noConversion"/>
  </si>
  <si>
    <t>영구성장</t>
    <phoneticPr fontId="3" type="noConversion"/>
  </si>
  <si>
    <t>매출액</t>
    <phoneticPr fontId="3" type="noConversion"/>
  </si>
  <si>
    <t>매출 성장률(%)</t>
    <phoneticPr fontId="3" type="noConversion"/>
  </si>
  <si>
    <t>사업계획과 비교</t>
    <phoneticPr fontId="3" type="noConversion"/>
  </si>
  <si>
    <t>매출원가</t>
    <phoneticPr fontId="3" type="noConversion"/>
  </si>
  <si>
    <t>매출원가율(%)</t>
    <phoneticPr fontId="3" type="noConversion"/>
  </si>
  <si>
    <t>사업계획과 비교</t>
    <phoneticPr fontId="3" type="noConversion"/>
  </si>
  <si>
    <t>판매비와관리비</t>
    <phoneticPr fontId="3" type="noConversion"/>
  </si>
  <si>
    <t>영업이익</t>
    <phoneticPr fontId="3" type="noConversion"/>
  </si>
  <si>
    <t>영업이익률(%)</t>
    <phoneticPr fontId="3" type="noConversion"/>
  </si>
  <si>
    <t>법인세부담분</t>
    <phoneticPr fontId="3" type="noConversion"/>
  </si>
  <si>
    <t>세후이익(NOPLAT)</t>
    <phoneticPr fontId="3" type="noConversion"/>
  </si>
  <si>
    <t>구분(사업계획)</t>
    <phoneticPr fontId="3" type="noConversion"/>
  </si>
  <si>
    <t>매출액</t>
    <phoneticPr fontId="3" type="noConversion"/>
  </si>
  <si>
    <t>매출 성장률(%)</t>
    <phoneticPr fontId="3" type="noConversion"/>
  </si>
  <si>
    <t>매출원가</t>
    <phoneticPr fontId="3" type="noConversion"/>
  </si>
  <si>
    <t>매출원가율(%)</t>
    <phoneticPr fontId="3" type="noConversion"/>
  </si>
  <si>
    <t>판매비와관리비</t>
    <phoneticPr fontId="3" type="noConversion"/>
  </si>
  <si>
    <t>영업이익</t>
    <phoneticPr fontId="3" type="noConversion"/>
  </si>
  <si>
    <t>영업이익률(%)</t>
    <phoneticPr fontId="3" type="noConversion"/>
  </si>
  <si>
    <t>CAPEX, 감가상각비 적정성 검토</t>
    <phoneticPr fontId="3" type="noConversion"/>
  </si>
  <si>
    <t>목적: 충분한 설비 Capa가 존재하는지. 최소한 감가상각비 이상으로 자본적지출이 있는지 검토</t>
    <phoneticPr fontId="3" type="noConversion"/>
  </si>
  <si>
    <t>구분</t>
    <phoneticPr fontId="3" type="noConversion"/>
  </si>
  <si>
    <t>감가상각비</t>
  </si>
  <si>
    <t>무형자산상각비</t>
  </si>
  <si>
    <t>자본적지출</t>
  </si>
  <si>
    <t>감가상각비/무형자산상각비(CF)</t>
    <phoneticPr fontId="3" type="noConversion"/>
  </si>
  <si>
    <t>추정 NWC 적정성 검토</t>
    <phoneticPr fontId="3" type="noConversion"/>
  </si>
  <si>
    <t>목적: 순운전자본의 변동이 전체가치에 주는 영향이 클 때, 순운전자본이 부의 값으로 변동하여 가치에 크게 기여하는 경우 추가 검토</t>
    <phoneticPr fontId="3" type="noConversion"/>
  </si>
  <si>
    <t>구분</t>
  </si>
  <si>
    <t>운전자산</t>
  </si>
  <si>
    <t>운전부채</t>
  </si>
  <si>
    <t>순운전자본</t>
  </si>
  <si>
    <t>순운전자본변동분</t>
  </si>
  <si>
    <t>&gt;&gt; 매출 증가에 따라 순운전자본 같이 증가하는지 확인</t>
    <phoneticPr fontId="3" type="noConversion"/>
  </si>
  <si>
    <t>비영업용자산(NOA) 검토</t>
    <phoneticPr fontId="3" type="noConversion"/>
  </si>
  <si>
    <t>목적: 영업가치 이외에 기업가치에 중대한 영향을 끼치는 비영업용자산 검토</t>
    <phoneticPr fontId="3" type="noConversion"/>
  </si>
  <si>
    <t>체크여부</t>
  </si>
  <si>
    <t>비영업용자산</t>
    <phoneticPr fontId="3" type="noConversion"/>
  </si>
  <si>
    <t>기업가치</t>
    <phoneticPr fontId="3" type="noConversion"/>
  </si>
  <si>
    <t>비영업용자산/기업가치 비중(%)</t>
    <phoneticPr fontId="3" type="noConversion"/>
  </si>
  <si>
    <t>순부채 검토</t>
    <phoneticPr fontId="3" type="noConversion"/>
  </si>
  <si>
    <t>목적: 영업가치 이외에 기업가치에 중대한 영향을 끼치는 순부채(이자부부채) 검토</t>
    <phoneticPr fontId="3" type="noConversion"/>
  </si>
  <si>
    <t>체크사항</t>
    <phoneticPr fontId="3" type="noConversion"/>
  </si>
  <si>
    <t>순부채(이자부부채)</t>
    <phoneticPr fontId="3" type="noConversion"/>
  </si>
  <si>
    <t>&gt;&gt; RCPS가 BS상 부채에 계상(K-IFRS적용기업등) 되어있을경우 체크필요, CB/RCPS 전환가정 유무에 따라 체크 필요, 파생상품부채 등 RCPS 및 CB 연관 파생금융부채도 고려 필요</t>
    <phoneticPr fontId="3" type="noConversion"/>
  </si>
  <si>
    <t>&gt;&gt; 순부채(이자부부채)가 재무상태에 미치는 영향이 크다면 재확인</t>
    <phoneticPr fontId="3" type="noConversion"/>
  </si>
  <si>
    <t>재무제표일 이후 평가기준일 사이 자본변동 반영 검토</t>
    <phoneticPr fontId="3" type="noConversion"/>
  </si>
  <si>
    <t>목적: 비영업용자산, 순부채 등 영업가치 이외의 기업가치 구성요소 중 사용 재무제표일 이후 평가기준일 사이의 자본변동 및 주식수 변경등 반영여부 검토 필요</t>
    <phoneticPr fontId="3" type="noConversion"/>
  </si>
  <si>
    <t>체크사항</t>
    <phoneticPr fontId="3" type="noConversion"/>
  </si>
  <si>
    <t>체크여부</t>
    <phoneticPr fontId="3" type="noConversion"/>
  </si>
  <si>
    <t>1) 사용 재무제표일 이후 평가기준일 사이 실제 배당존재하는가?</t>
    <phoneticPr fontId="3" type="noConversion"/>
  </si>
  <si>
    <t>&gt;&gt; 감사보고서 이익잉여금처분계산서등 참고하여 재무제표일 이후 평가기준일 사이 실제 배당 존재시 배당락 반영 필요</t>
    <phoneticPr fontId="3" type="noConversion"/>
  </si>
  <si>
    <t>2) 사용 재무제표일 이후 평가기준일 사이 유증이 존재하는가?</t>
    <phoneticPr fontId="3" type="noConversion"/>
  </si>
  <si>
    <t>&gt;&gt; 최신 등기부등본 통해 재무제표일 이후 유증등 존재시 해당 자본증가액만큼 비영업용자산(or현금및현금성자산)에 가산 및 주식수에 가산 필요</t>
    <phoneticPr fontId="3" type="noConversion"/>
  </si>
  <si>
    <t>전환가정(희석효과) 고려시 검토사항</t>
    <phoneticPr fontId="3" type="noConversion"/>
  </si>
  <si>
    <t>목적: RCPS, CPS등의 우선주와 CB, BW등 주식관련사채 보통주 전환가정시 리픽싱, 유통주식수 등 검토 필요</t>
    <phoneticPr fontId="3" type="noConversion"/>
  </si>
  <si>
    <t>증가 보통 주식수</t>
    <phoneticPr fontId="3" type="noConversion"/>
  </si>
  <si>
    <t>리픽싱조항 발동유무</t>
    <phoneticPr fontId="3" type="noConversion"/>
  </si>
  <si>
    <t>전환비율</t>
    <phoneticPr fontId="3" type="noConversion"/>
  </si>
  <si>
    <t>주당 전환가격</t>
    <phoneticPr fontId="3" type="noConversion"/>
  </si>
  <si>
    <t>BS 부채에 계상시 순부채에서 차감하였는가?</t>
    <phoneticPr fontId="3" type="noConversion"/>
  </si>
  <si>
    <t>1) RCPS, CPS등의 우선주를 보통주로 전환가정하였는가?</t>
    <phoneticPr fontId="3" type="noConversion"/>
  </si>
  <si>
    <t>2000주</t>
    <phoneticPr fontId="3" type="noConversion"/>
  </si>
  <si>
    <t>NO</t>
  </si>
  <si>
    <t>1:1</t>
    <phoneticPr fontId="3" type="noConversion"/>
  </si>
  <si>
    <t>7,500원</t>
    <phoneticPr fontId="3" type="noConversion"/>
  </si>
  <si>
    <t>YES</t>
  </si>
  <si>
    <t>2) CB, BW 등을 전환가정하였는가?</t>
    <phoneticPr fontId="3" type="noConversion"/>
  </si>
  <si>
    <t>2500주</t>
    <phoneticPr fontId="3" type="noConversion"/>
  </si>
  <si>
    <t>1:1.25</t>
    <phoneticPr fontId="3" type="noConversion"/>
  </si>
  <si>
    <t>7,500원 → 6,000원</t>
    <phoneticPr fontId="3" type="noConversion"/>
  </si>
  <si>
    <t>코멘트</t>
    <phoneticPr fontId="6" type="noConversion"/>
  </si>
  <si>
    <t>DCF(현금흐름할인법) 체크리스트</t>
    <phoneticPr fontId="6" type="noConversion"/>
  </si>
  <si>
    <t>체크리스트 작성시 유의사항: 노랑 음영 부분은 직접 Check 및 수기 기재 필요</t>
    <phoneticPr fontId="6" type="noConversion"/>
  </si>
  <si>
    <t>평가기준일 이전 1년간 신규 자본 변동 존재유무</t>
    <phoneticPr fontId="6" type="noConversion"/>
  </si>
  <si>
    <t>KONEX 상장종목아님</t>
    <phoneticPr fontId="3" type="noConversion"/>
  </si>
  <si>
    <t>전기/당기 평가방법은 DCF로서 일관됨</t>
    <phoneticPr fontId="3" type="noConversion"/>
  </si>
  <si>
    <t>목적: 평가방법의 일관성 검토</t>
    <phoneticPr fontId="6" type="noConversion"/>
  </si>
  <si>
    <t>직전 평가 대비 평가값 30% 미만 변동됨</t>
    <phoneticPr fontId="3" type="noConversion"/>
  </si>
  <si>
    <t>자본잠식에 해당하지 않으며 영업손익 개선중</t>
    <phoneticPr fontId="3" type="noConversion"/>
  </si>
  <si>
    <t>메자닌 파라미터 신용등급 전기가정지속</t>
    <phoneticPr fontId="3" type="noConversion"/>
  </si>
  <si>
    <t>재무제표일 이후 평가기준일 사이 배당/유증등 존재 안함</t>
    <phoneticPr fontId="3" type="noConversion"/>
  </si>
  <si>
    <t>파생상품 전환가정 검토결과 적정함</t>
    <phoneticPr fontId="3" type="noConversion"/>
  </si>
  <si>
    <t>순부채 검토결과 적정함</t>
    <phoneticPr fontId="3" type="noConversion"/>
  </si>
  <si>
    <t>비영업용자산 검토결과 적정함</t>
    <phoneticPr fontId="3" type="noConversion"/>
  </si>
  <si>
    <t>NWC 검토결과 적정함</t>
    <phoneticPr fontId="3" type="noConversion"/>
  </si>
  <si>
    <t>CAPEX, 감가상각비 검토결과 적정함</t>
    <phoneticPr fontId="3" type="noConversion"/>
  </si>
  <si>
    <t>추정 현금흐름 검토결과 적정함</t>
    <phoneticPr fontId="3" type="noConversion"/>
  </si>
  <si>
    <t>Wacc 검토결과 적정함</t>
    <phoneticPr fontId="3" type="noConversion"/>
  </si>
  <si>
    <t>영업손실 지속여부</t>
    <phoneticPr fontId="3" type="noConversion"/>
  </si>
  <si>
    <t>영업손익 최근 3년간 증감 추이</t>
    <phoneticPr fontId="3" type="noConversion"/>
  </si>
  <si>
    <t>취득한지 오래될수록 감액 가능성 높아짐</t>
    <phoneticPr fontId="3" type="noConversion"/>
  </si>
  <si>
    <t>&gt;&gt; CF추정에 반영되지 않은 자산이 포함되었는지, 중복 포함되지는 않았는지 확인/ 장단기 투자증권중 상장 보통주 종목의 경우 평가기준일 종가로 업데이트 가능</t>
    <phoneticPr fontId="3" type="noConversion"/>
  </si>
  <si>
    <t>&gt;&gt; 비영업용자산이 재무상태에 미치는 영향이 크다면 재확인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</si>
</sst>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(* #,##0_);_(* \(#,##0\);_(* &quot;-&quot;_);_(@_)"/>
    <numFmt numFmtId="176" formatCode="_-* #,##0.00_-;\-* #,##0.00_-;_-* &quot;-&quot;_-;_-@_-"/>
    <numFmt numFmtId="177" formatCode="_(* #,##0_);_(* \(#,##0\);_(* &quot;-&quot;_);_(@_)"/>
    <numFmt numFmtId="178" formatCode="_(* #,##0.00_);_(* \(#,##0.00\);_(* &quot;-&quot;_);_(@_)"/>
    <numFmt numFmtId="179" formatCode="#,##0.00&quot;%&quot;"/>
  </numFmts>
  <fonts count="16" x14ac:knownFonts="1"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i/>
      <sz val="11"/>
      <color theme="1"/>
      <name val="맑은 고딕"/>
      <family val="3"/>
      <charset val="129"/>
      <scheme val="minor"/>
    </font>
    <font>
      <i/>
      <sz val="11"/>
      <color rgb="FFFF000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>
      <alignment vertical="center"/>
    </xf>
    <xf numFmtId="177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128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41" fontId="0" fillId="3" borderId="1" xfId="3" applyFont="1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41" fontId="0" fillId="0" borderId="0" xfId="3" applyFont="1">
      <alignment vertical="center"/>
    </xf>
    <xf numFmtId="14" fontId="0" fillId="2" borderId="1" xfId="0" applyNumberFormat="1" applyFill="1" applyBorder="1" applyAlignment="1">
      <alignment horizontal="center" vertical="center"/>
    </xf>
    <xf numFmtId="41" fontId="0" fillId="0" borderId="1" xfId="3" applyFont="1" applyBorder="1">
      <alignment vertical="center"/>
    </xf>
    <xf numFmtId="0" fontId="0" fillId="3" borderId="0" xfId="0" applyFill="1">
      <alignment vertical="center"/>
    </xf>
    <xf numFmtId="177" fontId="0" fillId="0" borderId="1" xfId="1" applyFont="1" applyBorder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Fill="1" applyBorder="1">
      <alignment vertical="center"/>
    </xf>
    <xf numFmtId="0" fontId="0" fillId="4" borderId="20" xfId="0" applyFill="1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7" fillId="0" borderId="0" xfId="0" applyFont="1" applyAlignment="1">
      <alignment horizontal="left" vertical="center"/>
    </xf>
    <xf numFmtId="14" fontId="0" fillId="3" borderId="1" xfId="0" applyNumberFormat="1" applyFill="1" applyBorder="1" applyAlignment="1">
      <alignment horizontal="center" vertical="center"/>
    </xf>
    <xf numFmtId="176" fontId="0" fillId="3" borderId="3" xfId="3" applyNumberFormat="1" applyFont="1" applyFill="1" applyBorder="1">
      <alignment vertical="center"/>
    </xf>
    <xf numFmtId="0" fontId="2" fillId="5" borderId="0" xfId="0" applyFont="1" applyFill="1" applyAlignment="1">
      <alignment horizontal="center" vertical="center"/>
    </xf>
    <xf numFmtId="0" fontId="2" fillId="5" borderId="0" xfId="0" quotePrefix="1" applyNumberFormat="1" applyFont="1" applyFill="1" applyAlignment="1">
      <alignment horizontal="center" vertical="center"/>
    </xf>
    <xf numFmtId="0" fontId="1" fillId="0" borderId="0" xfId="0" applyFont="1">
      <alignment vertical="center"/>
    </xf>
    <xf numFmtId="14" fontId="0" fillId="0" borderId="1" xfId="3" applyNumberFormat="1" applyFont="1" applyFill="1" applyBorder="1" applyAlignment="1">
      <alignment horizontal="center" vertical="center"/>
    </xf>
    <xf numFmtId="10" fontId="4" fillId="0" borderId="1" xfId="2" applyNumberFormat="1" applyFont="1" applyBorder="1">
      <alignment vertical="center"/>
    </xf>
    <xf numFmtId="177" fontId="0" fillId="0" borderId="1" xfId="1" applyFont="1" applyFill="1" applyBorder="1" applyAlignment="1">
      <alignment horizontal="center" vertical="center"/>
    </xf>
    <xf numFmtId="0" fontId="0" fillId="0" borderId="1" xfId="3" applyNumberFormat="1" applyFont="1" applyFill="1" applyBorder="1" applyAlignment="1">
      <alignment horizontal="center" vertical="center"/>
    </xf>
    <xf numFmtId="177" fontId="0" fillId="0" borderId="1" xfId="1" applyFont="1" applyBorder="1" applyAlignment="1">
      <alignment horizontal="center" vertical="center"/>
    </xf>
    <xf numFmtId="0" fontId="0" fillId="2" borderId="4" xfId="0" applyFont="1" applyFill="1" applyBorder="1">
      <alignment vertical="center"/>
    </xf>
    <xf numFmtId="178" fontId="0" fillId="0" borderId="5" xfId="1" applyNumberFormat="1" applyFont="1" applyBorder="1">
      <alignment vertical="center"/>
    </xf>
    <xf numFmtId="0" fontId="0" fillId="0" borderId="0" xfId="0" applyFont="1">
      <alignment vertical="center"/>
    </xf>
    <xf numFmtId="0" fontId="0" fillId="2" borderId="6" xfId="0" applyFont="1" applyFill="1" applyBorder="1">
      <alignment vertical="center"/>
    </xf>
    <xf numFmtId="0" fontId="0" fillId="2" borderId="8" xfId="0" applyFont="1" applyFill="1" applyBorder="1">
      <alignment vertical="center"/>
    </xf>
    <xf numFmtId="40" fontId="0" fillId="0" borderId="1" xfId="0" applyNumberFormat="1" applyFont="1" applyBorder="1">
      <alignment vertical="center"/>
    </xf>
    <xf numFmtId="0" fontId="2" fillId="0" borderId="0" xfId="0" applyFont="1" applyFill="1" applyBorder="1">
      <alignment vertical="center"/>
    </xf>
    <xf numFmtId="0" fontId="0" fillId="0" borderId="0" xfId="0" applyFont="1" applyFill="1" applyBorder="1">
      <alignment vertical="center"/>
    </xf>
    <xf numFmtId="0" fontId="0" fillId="0" borderId="0" xfId="0" applyFont="1" applyAlignment="1">
      <alignment horizontal="center" vertical="center"/>
    </xf>
    <xf numFmtId="40" fontId="0" fillId="0" borderId="0" xfId="0" applyNumberFormat="1" applyFont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2" borderId="9" xfId="0" applyFont="1" applyFill="1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/>
    </xf>
    <xf numFmtId="38" fontId="0" fillId="0" borderId="6" xfId="0" applyNumberFormat="1" applyFont="1" applyBorder="1">
      <alignment vertical="center"/>
    </xf>
    <xf numFmtId="41" fontId="0" fillId="0" borderId="0" xfId="3" applyFont="1" applyBorder="1">
      <alignment vertical="center"/>
    </xf>
    <xf numFmtId="0" fontId="10" fillId="0" borderId="6" xfId="0" applyFont="1" applyFill="1" applyBorder="1">
      <alignment vertical="center"/>
    </xf>
    <xf numFmtId="0" fontId="11" fillId="0" borderId="6" xfId="0" applyFont="1" applyFill="1" applyBorder="1">
      <alignment vertical="center"/>
    </xf>
    <xf numFmtId="10" fontId="11" fillId="0" borderId="0" xfId="2" applyNumberFormat="1" applyFont="1" applyFill="1" applyBorder="1" applyAlignment="1">
      <alignment horizontal="right" vertical="center"/>
    </xf>
    <xf numFmtId="0" fontId="0" fillId="0" borderId="6" xfId="0" applyFont="1" applyFill="1" applyBorder="1">
      <alignment vertical="center"/>
    </xf>
    <xf numFmtId="41" fontId="0" fillId="0" borderId="0" xfId="3" applyFont="1" applyFill="1" applyBorder="1">
      <alignment vertical="center"/>
    </xf>
    <xf numFmtId="10" fontId="10" fillId="0" borderId="0" xfId="3" applyNumberFormat="1" applyFont="1" applyFill="1" applyBorder="1">
      <alignment vertical="center"/>
    </xf>
    <xf numFmtId="0" fontId="0" fillId="0" borderId="11" xfId="0" applyFont="1" applyFill="1" applyBorder="1">
      <alignment vertical="center"/>
    </xf>
    <xf numFmtId="41" fontId="0" fillId="0" borderId="11" xfId="3" applyFont="1" applyFill="1" applyBorder="1">
      <alignment vertical="center"/>
    </xf>
    <xf numFmtId="41" fontId="0" fillId="0" borderId="12" xfId="3" applyFont="1" applyFill="1" applyBorder="1">
      <alignment vertical="center"/>
    </xf>
    <xf numFmtId="0" fontId="0" fillId="0" borderId="4" xfId="0" applyFont="1" applyFill="1" applyBorder="1">
      <alignment vertical="center"/>
    </xf>
    <xf numFmtId="41" fontId="0" fillId="0" borderId="7" xfId="3" applyFont="1" applyFill="1" applyBorder="1">
      <alignment vertical="center"/>
    </xf>
    <xf numFmtId="10" fontId="10" fillId="0" borderId="12" xfId="2" applyNumberFormat="1" applyFont="1" applyFill="1" applyBorder="1">
      <alignment vertical="center"/>
    </xf>
    <xf numFmtId="10" fontId="10" fillId="0" borderId="7" xfId="2" applyNumberFormat="1" applyFont="1" applyFill="1" applyBorder="1">
      <alignment vertical="center"/>
    </xf>
    <xf numFmtId="38" fontId="0" fillId="0" borderId="13" xfId="0" applyNumberFormat="1" applyFont="1" applyBorder="1">
      <alignment vertical="center"/>
    </xf>
    <xf numFmtId="38" fontId="0" fillId="0" borderId="0" xfId="0" applyNumberFormat="1" applyFont="1" applyBorder="1">
      <alignment vertical="center"/>
    </xf>
    <xf numFmtId="0" fontId="0" fillId="0" borderId="7" xfId="0" applyFont="1" applyBorder="1">
      <alignment vertical="center"/>
    </xf>
    <xf numFmtId="0" fontId="0" fillId="0" borderId="8" xfId="0" applyFont="1" applyFill="1" applyBorder="1">
      <alignment vertical="center"/>
    </xf>
    <xf numFmtId="41" fontId="0" fillId="0" borderId="11" xfId="0" applyNumberFormat="1" applyFont="1" applyBorder="1">
      <alignment vertical="center"/>
    </xf>
    <xf numFmtId="41" fontId="0" fillId="0" borderId="12" xfId="0" applyNumberFormat="1" applyFont="1" applyBorder="1">
      <alignment vertical="center"/>
    </xf>
    <xf numFmtId="38" fontId="0" fillId="0" borderId="3" xfId="0" applyNumberFormat="1" applyFont="1" applyBorder="1">
      <alignment vertical="center"/>
    </xf>
    <xf numFmtId="41" fontId="0" fillId="3" borderId="0" xfId="3" applyFont="1" applyFill="1" applyBorder="1">
      <alignment vertical="center"/>
    </xf>
    <xf numFmtId="41" fontId="0" fillId="0" borderId="7" xfId="3" applyFont="1" applyBorder="1">
      <alignment vertical="center"/>
    </xf>
    <xf numFmtId="10" fontId="10" fillId="0" borderId="0" xfId="2" applyNumberFormat="1" applyFont="1" applyFill="1" applyBorder="1">
      <alignment vertical="center"/>
    </xf>
    <xf numFmtId="41" fontId="10" fillId="0" borderId="7" xfId="3" applyFont="1" applyFill="1" applyBorder="1">
      <alignment vertical="center"/>
    </xf>
    <xf numFmtId="0" fontId="0" fillId="0" borderId="14" xfId="0" applyFont="1" applyFill="1" applyBorder="1">
      <alignment vertical="center"/>
    </xf>
    <xf numFmtId="38" fontId="0" fillId="0" borderId="14" xfId="0" applyNumberFormat="1" applyFont="1" applyBorder="1">
      <alignment vertical="center"/>
    </xf>
    <xf numFmtId="0" fontId="0" fillId="0" borderId="14" xfId="0" applyFont="1" applyBorder="1">
      <alignment vertical="center"/>
    </xf>
    <xf numFmtId="41" fontId="0" fillId="0" borderId="0" xfId="0" applyNumberFormat="1" applyFont="1" applyBorder="1">
      <alignment vertical="center"/>
    </xf>
    <xf numFmtId="0" fontId="0" fillId="0" borderId="6" xfId="0" applyFont="1" applyBorder="1">
      <alignment vertical="center"/>
    </xf>
    <xf numFmtId="0" fontId="0" fillId="0" borderId="8" xfId="0" applyFont="1" applyBorder="1">
      <alignment vertical="center"/>
    </xf>
    <xf numFmtId="41" fontId="0" fillId="0" borderId="12" xfId="3" applyFont="1" applyBorder="1">
      <alignment vertical="center"/>
    </xf>
    <xf numFmtId="41" fontId="0" fillId="0" borderId="3" xfId="3" applyFont="1" applyBorder="1">
      <alignment vertical="center"/>
    </xf>
    <xf numFmtId="0" fontId="0" fillId="0" borderId="1" xfId="0" applyFont="1" applyBorder="1">
      <alignment vertical="center"/>
    </xf>
    <xf numFmtId="41" fontId="0" fillId="0" borderId="14" xfId="0" applyNumberFormat="1" applyFont="1" applyBorder="1">
      <alignment vertical="center"/>
    </xf>
    <xf numFmtId="41" fontId="0" fillId="0" borderId="5" xfId="0" applyNumberFormat="1" applyFont="1" applyBorder="1">
      <alignment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0" fillId="0" borderId="0" xfId="0" quotePrefix="1" applyFont="1">
      <alignment vertical="center"/>
    </xf>
    <xf numFmtId="177" fontId="0" fillId="0" borderId="0" xfId="0" applyNumberFormat="1" applyFont="1">
      <alignment vertical="center"/>
    </xf>
    <xf numFmtId="0" fontId="0" fillId="0" borderId="4" xfId="0" applyFont="1" applyBorder="1">
      <alignment vertical="center"/>
    </xf>
    <xf numFmtId="41" fontId="0" fillId="0" borderId="18" xfId="3" applyFont="1" applyBorder="1">
      <alignment vertical="center"/>
    </xf>
    <xf numFmtId="41" fontId="0" fillId="0" borderId="14" xfId="3" applyFont="1" applyBorder="1">
      <alignment vertical="center"/>
    </xf>
    <xf numFmtId="41" fontId="0" fillId="0" borderId="5" xfId="3" applyFont="1" applyBorder="1">
      <alignment vertical="center"/>
    </xf>
    <xf numFmtId="41" fontId="0" fillId="0" borderId="13" xfId="3" applyFont="1" applyBorder="1">
      <alignment vertical="center"/>
    </xf>
    <xf numFmtId="41" fontId="0" fillId="0" borderId="11" xfId="3" applyFont="1" applyBorder="1">
      <alignment vertical="center"/>
    </xf>
    <xf numFmtId="41" fontId="0" fillId="0" borderId="19" xfId="3" applyFont="1" applyBorder="1">
      <alignment vertical="center"/>
    </xf>
    <xf numFmtId="0" fontId="2" fillId="0" borderId="20" xfId="0" applyFont="1" applyFill="1" applyBorder="1" applyAlignment="1">
      <alignment horizontal="center" vertical="center"/>
    </xf>
    <xf numFmtId="0" fontId="5" fillId="0" borderId="0" xfId="0" quotePrefix="1" applyFont="1">
      <alignment vertical="center"/>
    </xf>
    <xf numFmtId="0" fontId="0" fillId="2" borderId="4" xfId="0" applyFont="1" applyFill="1" applyBorder="1" applyAlignment="1">
      <alignment horizontal="center" vertical="center"/>
    </xf>
    <xf numFmtId="178" fontId="0" fillId="0" borderId="0" xfId="1" applyNumberFormat="1" applyFont="1">
      <alignment vertical="center"/>
    </xf>
    <xf numFmtId="0" fontId="0" fillId="0" borderId="13" xfId="0" applyFont="1" applyBorder="1">
      <alignment vertical="center"/>
    </xf>
    <xf numFmtId="177" fontId="0" fillId="0" borderId="4" xfId="1" applyFont="1" applyBorder="1">
      <alignment vertical="center"/>
    </xf>
    <xf numFmtId="0" fontId="11" fillId="0" borderId="0" xfId="0" quotePrefix="1" applyFont="1">
      <alignment vertical="center"/>
    </xf>
    <xf numFmtId="0" fontId="0" fillId="0" borderId="11" xfId="0" applyFont="1" applyBorder="1">
      <alignment vertical="center"/>
    </xf>
    <xf numFmtId="177" fontId="0" fillId="0" borderId="8" xfId="1" applyFont="1" applyBorder="1">
      <alignment vertical="center"/>
    </xf>
    <xf numFmtId="0" fontId="0" fillId="0" borderId="2" xfId="0" applyFont="1" applyBorder="1">
      <alignment vertical="center"/>
    </xf>
    <xf numFmtId="10" fontId="11" fillId="0" borderId="1" xfId="2" applyNumberFormat="1" applyFont="1" applyBorder="1">
      <alignment vertical="center"/>
    </xf>
    <xf numFmtId="0" fontId="0" fillId="0" borderId="0" xfId="0" applyFont="1" applyBorder="1">
      <alignment vertical="center"/>
    </xf>
    <xf numFmtId="10" fontId="11" fillId="0" borderId="0" xfId="2" applyNumberFormat="1" applyFont="1" applyBorder="1">
      <alignment vertical="center"/>
    </xf>
    <xf numFmtId="9" fontId="0" fillId="0" borderId="7" xfId="2" applyFont="1" applyBorder="1">
      <alignment vertical="center"/>
    </xf>
    <xf numFmtId="179" fontId="0" fillId="0" borderId="7" xfId="1" applyNumberFormat="1" applyFont="1" applyBorder="1">
      <alignment vertical="center"/>
    </xf>
    <xf numFmtId="179" fontId="0" fillId="0" borderId="8" xfId="1" applyNumberFormat="1" applyFont="1" applyBorder="1">
      <alignment vertical="center"/>
    </xf>
    <xf numFmtId="0" fontId="12" fillId="0" borderId="0" xfId="0" applyFont="1">
      <alignment vertical="center"/>
    </xf>
    <xf numFmtId="0" fontId="0" fillId="3" borderId="1" xfId="0" applyFont="1" applyFill="1" applyBorder="1" applyAlignment="1">
      <alignment horizontal="center" vertical="center"/>
    </xf>
    <xf numFmtId="10" fontId="11" fillId="0" borderId="14" xfId="2" applyNumberFormat="1" applyFont="1" applyBorder="1">
      <alignment vertical="center"/>
    </xf>
    <xf numFmtId="0" fontId="0" fillId="3" borderId="6" xfId="0" applyFont="1" applyFill="1" applyBorder="1" applyAlignment="1">
      <alignment horizontal="center" vertical="center"/>
    </xf>
    <xf numFmtId="0" fontId="0" fillId="3" borderId="4" xfId="0" applyFont="1" applyFill="1" applyBorder="1" applyAlignment="1">
      <alignment horizontal="center" vertical="center"/>
    </xf>
    <xf numFmtId="49" fontId="0" fillId="3" borderId="1" xfId="1" applyNumberFormat="1" applyFont="1" applyFill="1" applyBorder="1" applyAlignment="1">
      <alignment horizontal="center" vertical="center"/>
    </xf>
    <xf numFmtId="10" fontId="11" fillId="0" borderId="7" xfId="2" applyNumberFormat="1" applyFont="1" applyFill="1" applyBorder="1" applyAlignment="1">
      <alignment horizontal="right" vertical="center"/>
    </xf>
    <xf numFmtId="10" fontId="10" fillId="0" borderId="7" xfId="3" applyNumberFormat="1" applyFont="1" applyFill="1" applyBorder="1">
      <alignment vertical="center"/>
    </xf>
    <xf numFmtId="41" fontId="0" fillId="0" borderId="3" xfId="3" applyFont="1" applyFill="1" applyBorder="1">
      <alignment vertical="center"/>
    </xf>
    <xf numFmtId="179" fontId="10" fillId="0" borderId="0" xfId="1" applyNumberFormat="1" applyFont="1" applyFill="1" applyBorder="1" applyAlignment="1">
      <alignment horizontal="right" vertical="center"/>
    </xf>
    <xf numFmtId="179" fontId="10" fillId="0" borderId="0" xfId="1" applyNumberFormat="1" applyFont="1" applyFill="1" applyBorder="1">
      <alignment vertical="center"/>
    </xf>
    <xf numFmtId="179" fontId="10" fillId="0" borderId="7" xfId="1" applyNumberFormat="1" applyFont="1" applyFill="1" applyBorder="1" applyAlignment="1">
      <alignment horizontal="right" vertical="center"/>
    </xf>
    <xf numFmtId="0" fontId="8" fillId="3" borderId="0" xfId="0" applyFont="1" applyFill="1">
      <alignment vertical="center"/>
    </xf>
    <xf numFmtId="0" fontId="10" fillId="0" borderId="0" xfId="0" applyFont="1" applyFill="1" applyAlignment="1">
      <alignment horizontal="center" vertical="center"/>
    </xf>
    <xf numFmtId="177" fontId="0" fillId="0" borderId="2" xfId="1" applyFont="1" applyBorder="1">
      <alignment vertical="center"/>
    </xf>
    <xf numFmtId="0" fontId="11" fillId="0" borderId="0" xfId="0" applyFont="1">
      <alignment vertical="center"/>
    </xf>
    <xf numFmtId="0" fontId="11" fillId="0" borderId="0" xfId="0" applyFont="1" applyFill="1" applyBorder="1">
      <alignment vertical="center"/>
    </xf>
    <xf numFmtId="0" fontId="0" fillId="2" borderId="1" xfId="0" applyFont="1" applyFill="1" applyBorder="1" applyAlignment="1">
      <alignment horizontal="left" vertical="center"/>
    </xf>
  </cellXfs>
  <cellStyles count="4">
    <cellStyle name="백분율" xfId="2" builtinId="5"/>
    <cellStyle name="쉼표 [0]" xfId="1" builtinId="6"/>
    <cellStyle name="쉼표 [0] 2" xfId="3"/>
    <cellStyle name="표준" xfId="0" builtinId="0"/>
  </cellStyles>
  <dxfs count="14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44264</xdr:colOff>
      <xdr:row>15</xdr:row>
      <xdr:rowOff>31937</xdr:rowOff>
    </xdr:from>
    <xdr:to>
      <xdr:col>7</xdr:col>
      <xdr:colOff>291354</xdr:colOff>
      <xdr:row>28</xdr:row>
      <xdr:rowOff>197466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19676" y="3382496"/>
          <a:ext cx="7250766" cy="29333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1095375</xdr:colOff>
          <xdr:row>1</xdr:row>
          <xdr:rowOff>0</xdr:rowOff>
        </xdr:from>
        <xdr:to>
          <xdr:col>9</xdr:col>
          <xdr:colOff>476250</xdr:colOff>
          <xdr:row>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평가파일 가져오기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1456765</xdr:colOff>
      <xdr:row>49</xdr:row>
      <xdr:rowOff>1</xdr:rowOff>
    </xdr:from>
    <xdr:to>
      <xdr:col>9</xdr:col>
      <xdr:colOff>571500</xdr:colOff>
      <xdr:row>51</xdr:row>
      <xdr:rowOff>201706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35853" y="10443883"/>
          <a:ext cx="2846294" cy="6499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.AI&#48376;&#48512;/@&#45824;&#52404;&#54217;&#44032;2&#49324;&#50629;&#48376;&#48512;/&#47532;&#48624;&#54532;&#47196;&#49464;&#49828;/2024&#45380;%209&#50900;/MTP&amp;DCF_Checklist_&#51089;&#50629;&#51473;/DCF_&#52404;&#53356;&#47532;&#49828;&#53944;(24.09%20&#52572;&#51333;)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별도 DCF 체크리스트"/>
      <sheetName val="내부 리뷰체크리스트"/>
      <sheetName val="DCF 체크리스트 정리"/>
      <sheetName val="COMPANY"/>
      <sheetName val="RATE"/>
      <sheetName val="BETA"/>
      <sheetName val="Bloomberg"/>
      <sheetName val="TABLE"/>
      <sheetName val="재무적정보"/>
      <sheetName val="WACC"/>
      <sheetName val="감가상각추정"/>
      <sheetName val="비용추정"/>
      <sheetName val="IS추정"/>
      <sheetName val="NWC추정"/>
      <sheetName val="BS추정"/>
      <sheetName val="FCF추정"/>
      <sheetName val="성장률추정"/>
      <sheetName val="민감도"/>
      <sheetName val="보고서(일반)"/>
      <sheetName val="평가요약시트"/>
      <sheetName val="Settings"/>
    </sheetNames>
    <sheetDataSet>
      <sheetData sheetId="0"/>
      <sheetData sheetId="1"/>
      <sheetData sheetId="2"/>
      <sheetData sheetId="3">
        <row r="2">
          <cell r="G2" t="str">
            <v>2024-06-30</v>
          </cell>
        </row>
      </sheetData>
      <sheetData sheetId="4"/>
      <sheetData sheetId="5"/>
      <sheetData sheetId="6"/>
      <sheetData sheetId="7"/>
      <sheetData sheetId="8"/>
      <sheetData sheetId="9">
        <row r="1">
          <cell r="S1" t="str">
            <v>케이투글로벌엑소좀투자조합1호</v>
          </cell>
        </row>
      </sheetData>
      <sheetData sheetId="10"/>
      <sheetData sheetId="11"/>
      <sheetData sheetId="12">
        <row r="3">
          <cell r="J3">
            <v>42.832851555857857</v>
          </cell>
        </row>
      </sheetData>
      <sheetData sheetId="13"/>
      <sheetData sheetId="14">
        <row r="1">
          <cell r="E1" t="str">
            <v>20201231K</v>
          </cell>
        </row>
      </sheetData>
      <sheetData sheetId="15">
        <row r="4">
          <cell r="M4">
            <v>1</v>
          </cell>
        </row>
      </sheetData>
      <sheetData sheetId="16"/>
      <sheetData sheetId="17">
        <row r="7">
          <cell r="B7">
            <v>14138.731764983317</v>
          </cell>
        </row>
        <row r="9">
          <cell r="B9">
            <v>1</v>
          </cell>
        </row>
      </sheetData>
      <sheetData sheetId="18">
        <row r="4">
          <cell r="AC4" t="str">
            <v>2024-12-31</v>
          </cell>
        </row>
      </sheetData>
      <sheetData sheetId="19"/>
      <sheetData sheetId="20">
        <row r="28">
          <cell r="E28" t="str">
            <v>엑소코바이오</v>
          </cell>
        </row>
        <row r="30">
          <cell r="E30">
            <v>5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 tint="0.59999389629810485"/>
  </sheetPr>
  <dimension ref="B1:O155"/>
  <sheetViews>
    <sheetView showGridLines="0" tabSelected="1" zoomScale="85" zoomScaleNormal="85" workbookViewId="0">
      <pane xSplit="3" ySplit="3" topLeftCell="D31" activePane="bottomRight" state="frozen"/>
      <selection pane="topRight" activeCell="D1" sqref="D1"/>
      <selection pane="bottomLeft" activeCell="A4" sqref="A4"/>
      <selection pane="bottomRight" activeCell="H48" sqref="H48"/>
    </sheetView>
  </sheetViews>
  <sheetFormatPr defaultRowHeight="16.5" x14ac:dyDescent="0.3"/>
  <cols>
    <col min="1" max="1" width="3.125" customWidth="1"/>
    <col min="2" max="2" width="48.625" customWidth="1"/>
    <col min="3" max="3" width="4.5" customWidth="1"/>
    <col min="5" max="5" width="48.625" customWidth="1"/>
    <col min="6" max="6" width="20.75" customWidth="1"/>
    <col min="7" max="7" width="22.5" customWidth="1"/>
    <col min="8" max="8" width="21.75" customWidth="1"/>
    <col min="9" max="9" width="27.25" customWidth="1"/>
    <col min="10" max="10" width="28" customWidth="1"/>
    <col min="11" max="11" width="27.125" customWidth="1"/>
    <col min="12" max="12" width="26.5" customWidth="1"/>
    <col min="13" max="15" width="24" customWidth="1"/>
  </cols>
  <sheetData>
    <row r="1" spans="2:15" x14ac:dyDescent="0.3">
      <c r="D1" s="1"/>
    </row>
    <row r="2" spans="2:15" ht="27" thickBot="1" x14ac:dyDescent="0.35">
      <c r="D2" s="21" t="s">
        <v>133</v>
      </c>
      <c r="F2" s="122" t="s">
        <v>134</v>
      </c>
      <c r="G2" s="12"/>
      <c r="H2" s="12"/>
    </row>
    <row r="3" spans="2:15" ht="17.25" hidden="1" thickBot="1" x14ac:dyDescent="0.35">
      <c r="D3" s="1"/>
    </row>
    <row r="4" spans="2:15" ht="17.25" thickBot="1" x14ac:dyDescent="0.35">
      <c r="B4" s="17" t="s">
        <v>132</v>
      </c>
      <c r="D4" s="24">
        <v>1</v>
      </c>
      <c r="E4" s="2" t="s">
        <v>0</v>
      </c>
    </row>
    <row r="5" spans="2:15" x14ac:dyDescent="0.3">
      <c r="B5" s="18" t="s">
        <v>135</v>
      </c>
      <c r="E5" t="s">
        <v>1</v>
      </c>
    </row>
    <row r="6" spans="2:15" x14ac:dyDescent="0.3">
      <c r="B6" s="19" t="s">
        <v>136</v>
      </c>
    </row>
    <row r="7" spans="2:15" x14ac:dyDescent="0.3">
      <c r="B7" s="19"/>
      <c r="E7" s="3" t="s">
        <v>2</v>
      </c>
      <c r="F7" s="27"/>
      <c r="G7" s="27"/>
      <c r="H7" s="27"/>
      <c r="I7" s="27"/>
      <c r="J7" s="27"/>
      <c r="K7" s="27"/>
      <c r="L7" s="27"/>
      <c r="M7" s="27"/>
      <c r="N7" s="27"/>
      <c r="O7" s="27"/>
    </row>
    <row r="8" spans="2:15" x14ac:dyDescent="0.3">
      <c r="B8" s="19"/>
      <c r="E8" s="3" t="s">
        <v>4</v>
      </c>
      <c r="F8" s="30"/>
      <c r="G8" s="30"/>
      <c r="H8" s="30"/>
      <c r="I8" s="30"/>
      <c r="J8" s="30"/>
      <c r="K8" s="27"/>
      <c r="L8" s="27"/>
      <c r="M8" s="27"/>
      <c r="N8" s="27"/>
      <c r="O8" s="27"/>
    </row>
    <row r="9" spans="2:15" x14ac:dyDescent="0.3">
      <c r="B9" s="19"/>
      <c r="E9" s="3" t="s">
        <v>3</v>
      </c>
      <c r="F9" s="27"/>
      <c r="G9" s="27"/>
      <c r="H9" s="27"/>
      <c r="I9" s="27"/>
      <c r="J9" s="27"/>
      <c r="K9" s="27"/>
      <c r="L9" s="27"/>
      <c r="M9" s="27"/>
      <c r="N9" s="27"/>
      <c r="O9" s="27"/>
    </row>
    <row r="10" spans="2:15" x14ac:dyDescent="0.3">
      <c r="B10" s="19"/>
      <c r="E10" s="3" t="s">
        <v>7</v>
      </c>
      <c r="F10" s="29"/>
      <c r="G10" s="29"/>
      <c r="H10" s="29"/>
      <c r="I10" s="29"/>
      <c r="J10" s="29"/>
      <c r="K10" s="29"/>
      <c r="L10" s="29"/>
      <c r="M10" s="29"/>
      <c r="N10" s="29"/>
      <c r="O10" s="29"/>
    </row>
    <row r="11" spans="2:15" x14ac:dyDescent="0.3">
      <c r="B11" s="19"/>
      <c r="E11" s="3" t="s">
        <v>5</v>
      </c>
      <c r="F11" s="29"/>
      <c r="G11" s="29"/>
      <c r="H11" s="29"/>
      <c r="I11" s="29"/>
      <c r="J11" s="29"/>
      <c r="K11" s="29"/>
      <c r="L11" s="29"/>
      <c r="M11" s="29"/>
      <c r="N11" s="29"/>
      <c r="O11" s="29"/>
    </row>
    <row r="12" spans="2:15" ht="17.25" thickBot="1" x14ac:dyDescent="0.35">
      <c r="B12" s="20"/>
      <c r="E12" s="3" t="s">
        <v>6</v>
      </c>
      <c r="F12" s="29"/>
      <c r="G12" s="29"/>
      <c r="H12" s="29"/>
      <c r="I12" s="29"/>
      <c r="J12" s="29"/>
      <c r="K12" s="29"/>
      <c r="L12" s="29"/>
      <c r="M12" s="29"/>
      <c r="N12" s="29"/>
      <c r="O12" s="29"/>
    </row>
    <row r="13" spans="2:15" x14ac:dyDescent="0.3">
      <c r="E13" t="s">
        <v>8</v>
      </c>
    </row>
    <row r="15" spans="2:15" x14ac:dyDescent="0.3">
      <c r="E15" t="s">
        <v>9</v>
      </c>
    </row>
    <row r="30" spans="5:8" x14ac:dyDescent="0.3">
      <c r="E30" t="s">
        <v>10</v>
      </c>
      <c r="H30" s="5" t="s">
        <v>11</v>
      </c>
    </row>
    <row r="31" spans="5:8" x14ac:dyDescent="0.3">
      <c r="E31" t="s">
        <v>12</v>
      </c>
      <c r="H31" s="5" t="s">
        <v>11</v>
      </c>
    </row>
    <row r="32" spans="5:8" x14ac:dyDescent="0.3">
      <c r="E32" t="s">
        <v>13</v>
      </c>
      <c r="H32" s="5" t="s">
        <v>11</v>
      </c>
    </row>
    <row r="33" spans="2:12" x14ac:dyDescent="0.3">
      <c r="E33" t="s">
        <v>14</v>
      </c>
      <c r="H33" s="5" t="s">
        <v>11</v>
      </c>
    </row>
    <row r="34" spans="2:12" ht="17.25" thickBot="1" x14ac:dyDescent="0.35"/>
    <row r="35" spans="2:12" ht="17.25" thickBot="1" x14ac:dyDescent="0.35">
      <c r="B35" s="17" t="s">
        <v>132</v>
      </c>
      <c r="D35" s="24">
        <v>2</v>
      </c>
      <c r="E35" s="2" t="s">
        <v>15</v>
      </c>
      <c r="H35" s="7" t="s">
        <v>24</v>
      </c>
      <c r="I35" s="3" t="s">
        <v>25</v>
      </c>
    </row>
    <row r="36" spans="2:12" x14ac:dyDescent="0.3">
      <c r="B36" s="18"/>
      <c r="D36" s="2"/>
      <c r="E36" t="s">
        <v>16</v>
      </c>
      <c r="H36" s="22" t="str">
        <f>IF(F48="","",F48)</f>
        <v/>
      </c>
      <c r="I36" s="23" t="e">
        <f>YEARFRAC(E39,H36)</f>
        <v>#VALUE!</v>
      </c>
      <c r="J36" s="100" t="s">
        <v>152</v>
      </c>
    </row>
    <row r="37" spans="2:12" x14ac:dyDescent="0.3">
      <c r="B37" s="19"/>
      <c r="D37" s="2"/>
    </row>
    <row r="38" spans="2:12" x14ac:dyDescent="0.3">
      <c r="B38" s="19"/>
      <c r="E38" s="3" t="s">
        <v>17</v>
      </c>
      <c r="F38" s="3" t="s">
        <v>18</v>
      </c>
      <c r="G38" s="3" t="s">
        <v>19</v>
      </c>
      <c r="H38" s="3" t="s">
        <v>20</v>
      </c>
      <c r="I38" s="3" t="s">
        <v>21</v>
      </c>
      <c r="J38" s="3" t="s">
        <v>22</v>
      </c>
      <c r="K38" s="3" t="s">
        <v>23</v>
      </c>
      <c r="L38" s="6"/>
    </row>
    <row r="39" spans="2:12" x14ac:dyDescent="0.3">
      <c r="B39" s="19"/>
      <c r="E39" s="27" t="str">
        <f>IF(F9="","",F9)</f>
        <v/>
      </c>
      <c r="F39" s="27" t="str">
        <f>IF(F8="","",F8)</f>
        <v/>
      </c>
      <c r="G39" s="29" t="str">
        <f>IF(F11="","",F11)</f>
        <v/>
      </c>
      <c r="H39" s="29" t="str">
        <f>IF(F12="","",F12)</f>
        <v/>
      </c>
      <c r="I39" s="4" t="e">
        <f>G39*4</f>
        <v>#VALUE!</v>
      </c>
      <c r="J39" s="4" t="e">
        <f>H39/4</f>
        <v>#VALUE!</v>
      </c>
      <c r="K39" s="4" t="s">
        <v>26</v>
      </c>
      <c r="L39" s="8"/>
    </row>
    <row r="40" spans="2:12" x14ac:dyDescent="0.3">
      <c r="B40" s="19"/>
      <c r="E40" s="27" t="str">
        <f>IF(G9="","",G9)</f>
        <v/>
      </c>
      <c r="F40" s="27" t="str">
        <f>IF(G8="","",G8)</f>
        <v/>
      </c>
      <c r="G40" s="29" t="str">
        <f>IF(G11="","",G11)</f>
        <v/>
      </c>
      <c r="H40" s="29" t="str">
        <f>IF(G12="","",G12)</f>
        <v/>
      </c>
      <c r="I40" s="4"/>
      <c r="J40" s="4"/>
      <c r="K40" s="4"/>
    </row>
    <row r="41" spans="2:12" ht="17.25" thickBot="1" x14ac:dyDescent="0.35">
      <c r="B41" s="20"/>
      <c r="E41" s="27" t="str">
        <f>IF(H9="","",H9)</f>
        <v/>
      </c>
      <c r="F41" s="27" t="str">
        <f>IF(H8="","",H8)</f>
        <v/>
      </c>
      <c r="G41" s="29" t="str">
        <f>IF(H11="","",H11)</f>
        <v/>
      </c>
      <c r="H41" s="29" t="str">
        <f>IF(H12="","",H12)</f>
        <v/>
      </c>
      <c r="I41" s="4"/>
      <c r="J41" s="4"/>
      <c r="K41" s="4"/>
    </row>
    <row r="42" spans="2:12" x14ac:dyDescent="0.3">
      <c r="E42" s="125" t="s">
        <v>27</v>
      </c>
      <c r="J42" s="9"/>
    </row>
    <row r="43" spans="2:12" ht="17.25" thickBot="1" x14ac:dyDescent="0.35"/>
    <row r="44" spans="2:12" ht="17.25" thickBot="1" x14ac:dyDescent="0.35">
      <c r="B44" s="17" t="s">
        <v>132</v>
      </c>
      <c r="D44" s="25">
        <v>3</v>
      </c>
      <c r="E44" s="2" t="s">
        <v>28</v>
      </c>
      <c r="F44" s="2"/>
      <c r="G44" s="2"/>
      <c r="H44" s="2"/>
      <c r="I44" s="2"/>
    </row>
    <row r="45" spans="2:12" x14ac:dyDescent="0.3">
      <c r="B45" s="18" t="s">
        <v>137</v>
      </c>
      <c r="E45" s="26" t="s">
        <v>138</v>
      </c>
    </row>
    <row r="46" spans="2:12" x14ac:dyDescent="0.3">
      <c r="B46" s="19"/>
    </row>
    <row r="47" spans="2:12" x14ac:dyDescent="0.3">
      <c r="B47" s="19"/>
      <c r="E47" s="3" t="s">
        <v>29</v>
      </c>
      <c r="F47" s="3" t="s">
        <v>30</v>
      </c>
    </row>
    <row r="48" spans="2:12" x14ac:dyDescent="0.3">
      <c r="B48" s="19"/>
      <c r="E48" s="10"/>
      <c r="F48" s="10"/>
    </row>
    <row r="49" spans="2:12" ht="17.25" thickBot="1" x14ac:dyDescent="0.35">
      <c r="B49" s="20"/>
      <c r="E49" s="27" t="str">
        <f>IF(E55&gt;=0,"DCF","MTP등")</f>
        <v>DCF</v>
      </c>
      <c r="F49" s="27" t="str">
        <f>IF(F55&gt;=0,"DCF","MTP등")</f>
        <v>DCF</v>
      </c>
    </row>
    <row r="50" spans="2:12" ht="17.25" thickBot="1" x14ac:dyDescent="0.35"/>
    <row r="51" spans="2:12" ht="17.25" thickBot="1" x14ac:dyDescent="0.35">
      <c r="B51" s="17" t="s">
        <v>132</v>
      </c>
      <c r="D51" s="25">
        <v>4</v>
      </c>
      <c r="E51" s="2" t="s">
        <v>31</v>
      </c>
      <c r="F51" s="2"/>
      <c r="G51" s="2"/>
      <c r="H51" s="2"/>
      <c r="I51" s="2"/>
    </row>
    <row r="52" spans="2:12" x14ac:dyDescent="0.3">
      <c r="B52" s="18" t="s">
        <v>139</v>
      </c>
      <c r="E52" t="s">
        <v>32</v>
      </c>
    </row>
    <row r="53" spans="2:12" x14ac:dyDescent="0.3">
      <c r="B53" s="19"/>
    </row>
    <row r="54" spans="2:12" x14ac:dyDescent="0.3">
      <c r="B54" s="19"/>
      <c r="E54" s="3" t="s">
        <v>33</v>
      </c>
      <c r="F54" s="3" t="s">
        <v>34</v>
      </c>
      <c r="G54" s="3" t="s">
        <v>35</v>
      </c>
    </row>
    <row r="55" spans="2:12" x14ac:dyDescent="0.3">
      <c r="B55" s="19"/>
      <c r="E55" s="11"/>
      <c r="F55" s="11"/>
      <c r="G55" s="28" t="str">
        <f>IFERROR((F55/E55)-1,"")</f>
        <v/>
      </c>
    </row>
    <row r="56" spans="2:12" x14ac:dyDescent="0.3">
      <c r="B56" s="19"/>
    </row>
    <row r="57" spans="2:12" ht="17.25" thickBot="1" x14ac:dyDescent="0.35">
      <c r="B57" s="20"/>
      <c r="E57" s="12" t="s">
        <v>36</v>
      </c>
      <c r="F57" s="12"/>
      <c r="G57" s="12"/>
      <c r="H57" s="12"/>
      <c r="I57" s="12"/>
      <c r="J57" s="12"/>
      <c r="K57" s="12"/>
      <c r="L57" s="12"/>
    </row>
    <row r="58" spans="2:12" ht="17.25" thickBot="1" x14ac:dyDescent="0.35"/>
    <row r="59" spans="2:12" ht="17.25" thickBot="1" x14ac:dyDescent="0.35">
      <c r="B59" s="17" t="s">
        <v>132</v>
      </c>
      <c r="D59" s="24">
        <v>5</v>
      </c>
      <c r="E59" s="2" t="s">
        <v>37</v>
      </c>
    </row>
    <row r="60" spans="2:12" x14ac:dyDescent="0.3">
      <c r="B60" s="18" t="s">
        <v>140</v>
      </c>
      <c r="E60" t="s">
        <v>38</v>
      </c>
    </row>
    <row r="61" spans="2:12" x14ac:dyDescent="0.3">
      <c r="B61" s="19" t="s">
        <v>141</v>
      </c>
    </row>
    <row r="62" spans="2:12" ht="17.25" thickBot="1" x14ac:dyDescent="0.35">
      <c r="B62" s="19"/>
      <c r="E62" s="3"/>
      <c r="F62" s="3"/>
      <c r="G62" s="3"/>
      <c r="H62" s="3"/>
      <c r="I62" s="3"/>
    </row>
    <row r="63" spans="2:12" ht="17.25" thickBot="1" x14ac:dyDescent="0.35">
      <c r="B63" s="19"/>
      <c r="E63" s="3" t="s">
        <v>39</v>
      </c>
      <c r="F63" s="13"/>
      <c r="G63" s="13"/>
      <c r="H63" s="13"/>
      <c r="I63" s="124"/>
      <c r="J63" s="94" t="str">
        <f>IF(OR(F63&lt;0,G63&lt;0,H63&lt;0),"자본잠식","해당사항없음")</f>
        <v>해당사항없음</v>
      </c>
    </row>
    <row r="64" spans="2:12" x14ac:dyDescent="0.3">
      <c r="B64" s="19"/>
    </row>
    <row r="65" spans="2:15" ht="17.25" thickBot="1" x14ac:dyDescent="0.35">
      <c r="B65" s="19"/>
      <c r="E65" s="3"/>
      <c r="F65" s="3"/>
      <c r="G65" s="3"/>
      <c r="H65" s="3"/>
      <c r="I65" s="3"/>
      <c r="J65" s="3"/>
      <c r="K65" s="123" t="s">
        <v>150</v>
      </c>
      <c r="L65" s="123" t="s">
        <v>151</v>
      </c>
    </row>
    <row r="66" spans="2:15" ht="17.25" thickBot="1" x14ac:dyDescent="0.35">
      <c r="B66" s="19"/>
      <c r="E66" s="3" t="s">
        <v>40</v>
      </c>
      <c r="F66" s="13"/>
      <c r="G66" s="13"/>
      <c r="H66" s="13"/>
      <c r="I66" s="13"/>
      <c r="J66" s="124"/>
      <c r="K66" s="94" t="str">
        <f>IF(AND(F66&lt;0,G66&lt;0,H66&lt;0,I66&lt;0,J66&lt;0),"영업손실지속","해당사항없음")</f>
        <v>해당사항없음</v>
      </c>
      <c r="L66" s="84" t="str">
        <f>IF(AND(G66&lt;H66,H66&lt;I66),"영업손익개선중","영업손익개선아님")</f>
        <v>영업손익개선아님</v>
      </c>
    </row>
    <row r="67" spans="2:15" x14ac:dyDescent="0.3">
      <c r="B67" s="19"/>
    </row>
    <row r="68" spans="2:15" x14ac:dyDescent="0.3">
      <c r="B68" s="19"/>
      <c r="E68" s="3"/>
      <c r="F68" s="10" t="str">
        <f>IF(E48="","",E48)</f>
        <v/>
      </c>
      <c r="G68" s="10" t="str">
        <f>IF(F48="","",F48)</f>
        <v/>
      </c>
    </row>
    <row r="69" spans="2:15" ht="17.25" thickBot="1" x14ac:dyDescent="0.35">
      <c r="B69" s="20"/>
      <c r="E69" s="3" t="s">
        <v>41</v>
      </c>
      <c r="F69" s="31"/>
      <c r="G69" s="31"/>
    </row>
    <row r="70" spans="2:15" ht="17.25" thickBot="1" x14ac:dyDescent="0.35"/>
    <row r="71" spans="2:15" ht="17.25" thickBot="1" x14ac:dyDescent="0.35">
      <c r="B71" s="17" t="s">
        <v>132</v>
      </c>
      <c r="D71" s="24">
        <v>6</v>
      </c>
      <c r="E71" s="2" t="s">
        <v>42</v>
      </c>
    </row>
    <row r="72" spans="2:15" x14ac:dyDescent="0.3">
      <c r="B72" s="18" t="s">
        <v>149</v>
      </c>
      <c r="E72" t="s">
        <v>43</v>
      </c>
    </row>
    <row r="73" spans="2:15" x14ac:dyDescent="0.3">
      <c r="B73" s="19"/>
    </row>
    <row r="74" spans="2:15" x14ac:dyDescent="0.3">
      <c r="B74" s="19"/>
      <c r="E74" s="32" t="s">
        <v>44</v>
      </c>
      <c r="F74" s="33"/>
      <c r="G74" s="14"/>
      <c r="H74" s="125" t="s">
        <v>45</v>
      </c>
      <c r="I74" s="34"/>
      <c r="J74" s="34"/>
      <c r="K74" s="34"/>
      <c r="L74" s="34"/>
      <c r="M74" s="34"/>
      <c r="N74" s="34"/>
      <c r="O74" s="34"/>
    </row>
    <row r="75" spans="2:15" x14ac:dyDescent="0.3">
      <c r="B75" s="19"/>
      <c r="E75" s="35" t="s">
        <v>46</v>
      </c>
      <c r="F75" s="107"/>
      <c r="G75" s="15"/>
      <c r="H75" s="125" t="s">
        <v>47</v>
      </c>
      <c r="I75" s="34"/>
      <c r="J75" s="34"/>
      <c r="K75" s="34"/>
      <c r="L75" s="34"/>
      <c r="M75" s="34"/>
      <c r="N75" s="34"/>
      <c r="O75" s="34"/>
    </row>
    <row r="76" spans="2:15" x14ac:dyDescent="0.3">
      <c r="B76" s="19"/>
      <c r="E76" s="35" t="s">
        <v>48</v>
      </c>
      <c r="F76" s="108"/>
      <c r="G76" s="15"/>
      <c r="H76" s="125" t="s">
        <v>49</v>
      </c>
      <c r="I76" s="34"/>
      <c r="J76" s="34"/>
      <c r="K76" s="34"/>
      <c r="L76" s="34"/>
      <c r="M76" s="34"/>
      <c r="N76" s="34"/>
      <c r="O76" s="34"/>
    </row>
    <row r="77" spans="2:15" x14ac:dyDescent="0.3">
      <c r="B77" s="19"/>
      <c r="E77" s="35" t="s">
        <v>50</v>
      </c>
      <c r="F77" s="108"/>
      <c r="G77" s="16"/>
      <c r="H77" s="126" t="s">
        <v>51</v>
      </c>
      <c r="I77" s="34"/>
      <c r="J77" s="34"/>
      <c r="K77" s="34"/>
      <c r="L77" s="34"/>
      <c r="M77" s="34"/>
      <c r="N77" s="34"/>
      <c r="O77" s="34"/>
    </row>
    <row r="78" spans="2:15" x14ac:dyDescent="0.3">
      <c r="B78" s="19"/>
      <c r="E78" s="36" t="s">
        <v>52</v>
      </c>
      <c r="F78" s="109"/>
      <c r="G78" s="16" t="b">
        <f>F78=G79</f>
        <v>1</v>
      </c>
      <c r="H78" s="126" t="s">
        <v>53</v>
      </c>
      <c r="I78" s="34"/>
      <c r="J78" s="34"/>
      <c r="K78" s="34"/>
      <c r="L78" s="34"/>
      <c r="M78" s="34"/>
      <c r="N78" s="34"/>
      <c r="O78" s="34"/>
    </row>
    <row r="79" spans="2:15" ht="17.25" thickBot="1" x14ac:dyDescent="0.35">
      <c r="B79" s="20"/>
      <c r="E79" s="36" t="s">
        <v>54</v>
      </c>
      <c r="F79" s="37"/>
      <c r="G79" s="110"/>
      <c r="H79" s="34"/>
      <c r="I79" s="34"/>
      <c r="J79" s="34"/>
      <c r="K79" s="34"/>
      <c r="L79" s="34"/>
      <c r="M79" s="34"/>
      <c r="N79" s="34"/>
      <c r="O79" s="34"/>
    </row>
    <row r="80" spans="2:15" ht="17.25" thickBot="1" x14ac:dyDescent="0.35"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</row>
    <row r="81" spans="2:15" ht="17.25" thickBot="1" x14ac:dyDescent="0.35">
      <c r="B81" s="17" t="s">
        <v>132</v>
      </c>
      <c r="D81" s="24">
        <v>7</v>
      </c>
      <c r="E81" s="38" t="s">
        <v>55</v>
      </c>
      <c r="F81" s="34"/>
      <c r="G81" s="34"/>
      <c r="H81" s="34"/>
      <c r="I81" s="34"/>
      <c r="J81" s="34"/>
      <c r="K81" s="34"/>
      <c r="L81" s="34"/>
      <c r="M81" s="34"/>
      <c r="N81" s="34"/>
      <c r="O81" s="34"/>
    </row>
    <row r="82" spans="2:15" x14ac:dyDescent="0.3">
      <c r="B82" s="18" t="s">
        <v>148</v>
      </c>
      <c r="E82" s="39" t="s">
        <v>56</v>
      </c>
      <c r="F82" s="34"/>
      <c r="G82" s="34"/>
      <c r="H82" s="34"/>
      <c r="I82" s="34"/>
      <c r="J82" s="34"/>
      <c r="L82" s="34"/>
      <c r="M82" s="34"/>
      <c r="N82" s="34"/>
      <c r="O82" s="34"/>
    </row>
    <row r="83" spans="2:15" x14ac:dyDescent="0.3">
      <c r="B83" s="19"/>
      <c r="E83" s="34"/>
      <c r="F83" s="34"/>
      <c r="G83" s="34"/>
      <c r="H83" s="34"/>
      <c r="I83" s="34"/>
      <c r="J83" s="34"/>
      <c r="K83" s="40" t="s">
        <v>57</v>
      </c>
      <c r="L83" s="41"/>
      <c r="N83" s="34"/>
      <c r="O83" s="34"/>
    </row>
    <row r="84" spans="2:15" x14ac:dyDescent="0.3">
      <c r="B84" s="19"/>
      <c r="E84" s="42" t="s">
        <v>59</v>
      </c>
      <c r="F84" s="43"/>
      <c r="G84" s="43"/>
      <c r="H84" s="43"/>
      <c r="I84" s="43"/>
      <c r="J84" s="43"/>
      <c r="K84" s="44" t="s">
        <v>60</v>
      </c>
      <c r="L84" s="125" t="s">
        <v>58</v>
      </c>
      <c r="M84" s="34"/>
      <c r="N84" s="34"/>
      <c r="O84" s="34"/>
    </row>
    <row r="85" spans="2:15" x14ac:dyDescent="0.3">
      <c r="B85" s="19"/>
      <c r="E85" s="45" t="s">
        <v>61</v>
      </c>
      <c r="F85" s="46"/>
      <c r="G85" s="46"/>
      <c r="H85" s="46"/>
      <c r="I85" s="46"/>
      <c r="J85" s="46"/>
      <c r="K85" s="90"/>
      <c r="L85" s="34"/>
      <c r="M85" s="34"/>
      <c r="N85" s="34"/>
      <c r="O85" s="34"/>
    </row>
    <row r="86" spans="2:15" x14ac:dyDescent="0.3">
      <c r="B86" s="19"/>
      <c r="E86" s="47" t="s">
        <v>62</v>
      </c>
      <c r="F86" s="119"/>
      <c r="G86" s="120"/>
      <c r="H86" s="120"/>
      <c r="I86" s="120"/>
      <c r="J86" s="120"/>
      <c r="K86" s="121"/>
      <c r="L86" s="34"/>
      <c r="M86" s="34"/>
      <c r="N86" s="34"/>
      <c r="O86" s="34"/>
    </row>
    <row r="87" spans="2:15" x14ac:dyDescent="0.3">
      <c r="B87" s="19"/>
      <c r="E87" s="48" t="s">
        <v>63</v>
      </c>
      <c r="F87" s="49" t="str">
        <f>IF(F85&lt;F99,"비관적","낙관적")</f>
        <v>비관적</v>
      </c>
      <c r="G87" s="49" t="str">
        <f t="shared" ref="G87:J87" si="0">IF(G85&lt;G99,"비관적","낙관적")</f>
        <v>비관적</v>
      </c>
      <c r="H87" s="49" t="str">
        <f t="shared" si="0"/>
        <v>비관적</v>
      </c>
      <c r="I87" s="49" t="str">
        <f t="shared" si="0"/>
        <v>비관적</v>
      </c>
      <c r="J87" s="49" t="str">
        <f t="shared" si="0"/>
        <v>비관적</v>
      </c>
      <c r="K87" s="116" t="str">
        <f>IF(K85&lt;K99,"비관적","낙관적")</f>
        <v>낙관적</v>
      </c>
      <c r="L87" s="34"/>
      <c r="M87" s="34"/>
      <c r="N87" s="34"/>
      <c r="O87" s="34"/>
    </row>
    <row r="88" spans="2:15" x14ac:dyDescent="0.3">
      <c r="B88" s="19"/>
      <c r="E88" s="50" t="s">
        <v>64</v>
      </c>
      <c r="F88" s="51"/>
      <c r="G88" s="51"/>
      <c r="H88" s="51"/>
      <c r="I88" s="51"/>
      <c r="J88" s="51"/>
      <c r="K88" s="57"/>
      <c r="L88" s="34"/>
      <c r="M88" s="34"/>
      <c r="N88" s="34"/>
      <c r="O88" s="34"/>
    </row>
    <row r="89" spans="2:15" x14ac:dyDescent="0.3">
      <c r="B89" s="19"/>
      <c r="E89" s="47" t="s">
        <v>65</v>
      </c>
      <c r="F89" s="52" t="str">
        <f>IFERROR(F88/F85,"")</f>
        <v/>
      </c>
      <c r="G89" s="52" t="str">
        <f t="shared" ref="G89:J89" si="1">IFERROR(G88/G85,"")</f>
        <v/>
      </c>
      <c r="H89" s="52" t="str">
        <f t="shared" si="1"/>
        <v/>
      </c>
      <c r="I89" s="52" t="str">
        <f t="shared" si="1"/>
        <v/>
      </c>
      <c r="J89" s="52" t="str">
        <f t="shared" si="1"/>
        <v/>
      </c>
      <c r="K89" s="117" t="str">
        <f>IFERROR(K88/K85,"")</f>
        <v/>
      </c>
      <c r="L89" s="34"/>
      <c r="M89" s="34"/>
      <c r="N89" s="34"/>
      <c r="O89" s="34"/>
    </row>
    <row r="90" spans="2:15" x14ac:dyDescent="0.3">
      <c r="B90" s="19"/>
      <c r="E90" s="48" t="s">
        <v>66</v>
      </c>
      <c r="F90" s="49" t="str">
        <f>IF(F89&lt;F102,"낙관적","비관적")</f>
        <v>비관적</v>
      </c>
      <c r="G90" s="49" t="str">
        <f t="shared" ref="G90:J90" si="2">IF(G89&lt;G102,"낙관적","비관적")</f>
        <v>비관적</v>
      </c>
      <c r="H90" s="49" t="str">
        <f t="shared" si="2"/>
        <v>비관적</v>
      </c>
      <c r="I90" s="49" t="str">
        <f t="shared" si="2"/>
        <v>비관적</v>
      </c>
      <c r="J90" s="49" t="str">
        <f t="shared" si="2"/>
        <v>비관적</v>
      </c>
      <c r="K90" s="116" t="str">
        <f>IF(K89&lt;K102,"낙관적","비관적")</f>
        <v>비관적</v>
      </c>
      <c r="L90" s="34"/>
      <c r="M90" s="34"/>
      <c r="N90" s="34"/>
      <c r="O90" s="34"/>
    </row>
    <row r="91" spans="2:15" x14ac:dyDescent="0.3">
      <c r="B91" s="19"/>
      <c r="E91" s="53" t="s">
        <v>67</v>
      </c>
      <c r="F91" s="54"/>
      <c r="G91" s="55"/>
      <c r="H91" s="55"/>
      <c r="I91" s="55"/>
      <c r="J91" s="55"/>
      <c r="K91" s="118"/>
      <c r="L91" s="34"/>
      <c r="M91" s="34"/>
      <c r="N91" s="34"/>
      <c r="O91" s="34"/>
    </row>
    <row r="92" spans="2:15" x14ac:dyDescent="0.3">
      <c r="B92" s="19"/>
      <c r="E92" s="56" t="s">
        <v>68</v>
      </c>
      <c r="F92" s="51"/>
      <c r="G92" s="51"/>
      <c r="H92" s="51"/>
      <c r="I92" s="51"/>
      <c r="J92" s="51"/>
      <c r="K92" s="34"/>
      <c r="L92" s="34"/>
      <c r="M92" s="34"/>
      <c r="N92" s="34"/>
      <c r="O92" s="34"/>
    </row>
    <row r="93" spans="2:15" x14ac:dyDescent="0.3">
      <c r="B93" s="19"/>
      <c r="E93" s="47" t="s">
        <v>69</v>
      </c>
      <c r="F93" s="58" t="str">
        <f>IFERROR(F92/F85,"")</f>
        <v/>
      </c>
      <c r="G93" s="58" t="str">
        <f t="shared" ref="G93:K93" si="3">IFERROR(G92/G85,"")</f>
        <v/>
      </c>
      <c r="H93" s="58" t="str">
        <f t="shared" si="3"/>
        <v/>
      </c>
      <c r="I93" s="58" t="str">
        <f t="shared" si="3"/>
        <v/>
      </c>
      <c r="J93" s="58" t="str">
        <f t="shared" si="3"/>
        <v/>
      </c>
      <c r="K93" s="58" t="str">
        <f t="shared" si="3"/>
        <v/>
      </c>
      <c r="L93" s="34"/>
      <c r="M93" s="34"/>
      <c r="N93" s="34"/>
      <c r="O93" s="34"/>
    </row>
    <row r="94" spans="2:15" x14ac:dyDescent="0.3">
      <c r="B94" s="19"/>
      <c r="E94" s="48" t="s">
        <v>63</v>
      </c>
      <c r="F94" s="49" t="str">
        <f>IF(F92&lt;F104,"비관적","낙관적")</f>
        <v>비관적</v>
      </c>
      <c r="G94" s="49" t="str">
        <f t="shared" ref="G94:J94" si="4">IF(G92&lt;G104,"비관적","낙관적")</f>
        <v>비관적</v>
      </c>
      <c r="H94" s="49" t="str">
        <f t="shared" si="4"/>
        <v>비관적</v>
      </c>
      <c r="I94" s="49" t="str">
        <f t="shared" si="4"/>
        <v>비관적</v>
      </c>
      <c r="J94" s="49" t="str">
        <f t="shared" si="4"/>
        <v>비관적</v>
      </c>
      <c r="K94" s="59"/>
      <c r="L94" s="34"/>
      <c r="M94" s="34"/>
      <c r="N94" s="34"/>
      <c r="O94" s="34"/>
    </row>
    <row r="95" spans="2:15" x14ac:dyDescent="0.3">
      <c r="B95" s="19"/>
      <c r="E95" s="50" t="s">
        <v>70</v>
      </c>
      <c r="F95" s="60"/>
      <c r="G95" s="61"/>
      <c r="H95" s="61"/>
      <c r="I95" s="61"/>
      <c r="J95" s="61"/>
      <c r="K95" s="62"/>
      <c r="L95" s="34"/>
      <c r="M95" s="34"/>
      <c r="N95" s="34"/>
      <c r="O95" s="34"/>
    </row>
    <row r="96" spans="2:15" ht="17.25" thickBot="1" x14ac:dyDescent="0.35">
      <c r="B96" s="20"/>
      <c r="E96" s="63" t="s">
        <v>71</v>
      </c>
      <c r="F96" s="64">
        <f>F92-F95</f>
        <v>0</v>
      </c>
      <c r="G96" s="65">
        <f t="shared" ref="G96:J96" si="5">G92-G95</f>
        <v>0</v>
      </c>
      <c r="H96" s="65">
        <f t="shared" si="5"/>
        <v>0</v>
      </c>
      <c r="I96" s="65">
        <f t="shared" si="5"/>
        <v>0</v>
      </c>
      <c r="J96" s="65">
        <f t="shared" si="5"/>
        <v>0</v>
      </c>
      <c r="K96" s="66"/>
      <c r="L96" s="34"/>
      <c r="M96" s="34"/>
      <c r="N96" s="34"/>
      <c r="O96" s="34"/>
    </row>
    <row r="97" spans="2:15" x14ac:dyDescent="0.3"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</row>
    <row r="98" spans="2:15" x14ac:dyDescent="0.3">
      <c r="E98" s="42" t="s">
        <v>72</v>
      </c>
      <c r="F98" s="43" t="str">
        <f>IF(F84="","",F84)</f>
        <v/>
      </c>
      <c r="G98" s="43" t="str">
        <f t="shared" ref="G98:K98" si="6">IF(G84="","",G84)</f>
        <v/>
      </c>
      <c r="H98" s="43" t="str">
        <f t="shared" si="6"/>
        <v/>
      </c>
      <c r="I98" s="43" t="str">
        <f t="shared" si="6"/>
        <v/>
      </c>
      <c r="J98" s="43" t="str">
        <f t="shared" si="6"/>
        <v/>
      </c>
      <c r="K98" s="44" t="str">
        <f t="shared" si="6"/>
        <v>영구성장</v>
      </c>
      <c r="L98" s="34"/>
      <c r="M98" s="34"/>
      <c r="N98" s="34"/>
      <c r="O98" s="34"/>
    </row>
    <row r="99" spans="2:15" x14ac:dyDescent="0.3">
      <c r="E99" s="45" t="s">
        <v>73</v>
      </c>
      <c r="F99" s="67">
        <v>63200</v>
      </c>
      <c r="G99" s="67">
        <v>80305</v>
      </c>
      <c r="H99" s="67">
        <v>90115</v>
      </c>
      <c r="I99" s="67">
        <v>110653</v>
      </c>
      <c r="J99" s="67">
        <v>150986</v>
      </c>
      <c r="K99" s="68"/>
      <c r="L99" s="34"/>
      <c r="M99" s="34"/>
      <c r="N99" s="34"/>
      <c r="O99" s="34"/>
    </row>
    <row r="100" spans="2:15" x14ac:dyDescent="0.3">
      <c r="E100" s="47" t="s">
        <v>74</v>
      </c>
      <c r="F100" s="69"/>
      <c r="G100" s="69">
        <f>G99/F99-1</f>
        <v>0.27064873417721524</v>
      </c>
      <c r="H100" s="69">
        <f t="shared" ref="H100:J100" si="7">H99/G99-1</f>
        <v>0.12215926779154485</v>
      </c>
      <c r="I100" s="69">
        <f t="shared" si="7"/>
        <v>0.22790878322143926</v>
      </c>
      <c r="J100" s="69">
        <f t="shared" si="7"/>
        <v>0.36449983281067833</v>
      </c>
      <c r="K100" s="70"/>
      <c r="L100" s="34"/>
      <c r="M100" s="34"/>
      <c r="N100" s="34"/>
      <c r="O100" s="34"/>
    </row>
    <row r="101" spans="2:15" x14ac:dyDescent="0.3">
      <c r="E101" s="50" t="s">
        <v>75</v>
      </c>
      <c r="F101" s="67">
        <v>12653</v>
      </c>
      <c r="G101" s="67">
        <v>15074</v>
      </c>
      <c r="H101" s="67">
        <v>14543</v>
      </c>
      <c r="I101" s="67">
        <v>21254</v>
      </c>
      <c r="J101" s="67">
        <v>31245</v>
      </c>
      <c r="K101" s="57"/>
      <c r="L101" s="34"/>
      <c r="M101" s="34"/>
      <c r="N101" s="34"/>
      <c r="O101" s="34"/>
    </row>
    <row r="102" spans="2:15" x14ac:dyDescent="0.3">
      <c r="E102" s="47" t="s">
        <v>76</v>
      </c>
      <c r="F102" s="52">
        <f>F101/F99</f>
        <v>0.20020569620253165</v>
      </c>
      <c r="G102" s="52">
        <f t="shared" ref="G102:J102" si="8">G101/G99</f>
        <v>0.18770935807234918</v>
      </c>
      <c r="H102" s="52">
        <f t="shared" si="8"/>
        <v>0.16138267768961881</v>
      </c>
      <c r="I102" s="52">
        <f t="shared" si="8"/>
        <v>0.19207793733563483</v>
      </c>
      <c r="J102" s="52">
        <f t="shared" si="8"/>
        <v>0.20693971626508417</v>
      </c>
      <c r="K102" s="70"/>
      <c r="L102" s="34"/>
      <c r="M102" s="34"/>
      <c r="N102" s="34"/>
      <c r="O102" s="34"/>
    </row>
    <row r="103" spans="2:15" x14ac:dyDescent="0.3">
      <c r="E103" s="63" t="s">
        <v>77</v>
      </c>
      <c r="F103" s="67">
        <v>21564</v>
      </c>
      <c r="G103" s="67">
        <v>27154</v>
      </c>
      <c r="H103" s="67">
        <v>29157</v>
      </c>
      <c r="I103" s="67">
        <v>33451</v>
      </c>
      <c r="J103" s="67">
        <v>38415</v>
      </c>
      <c r="K103" s="57"/>
      <c r="L103" s="34"/>
      <c r="M103" s="34"/>
      <c r="N103" s="34"/>
      <c r="O103" s="34"/>
    </row>
    <row r="104" spans="2:15" x14ac:dyDescent="0.3">
      <c r="E104" s="56" t="s">
        <v>78</v>
      </c>
      <c r="F104" s="51">
        <f>F99-F101-F103</f>
        <v>28983</v>
      </c>
      <c r="G104" s="51">
        <f t="shared" ref="G104:J104" si="9">G99-G101-G103</f>
        <v>38077</v>
      </c>
      <c r="H104" s="51">
        <f>H99-H101-H103</f>
        <v>46415</v>
      </c>
      <c r="I104" s="51">
        <f t="shared" si="9"/>
        <v>55948</v>
      </c>
      <c r="J104" s="51">
        <f t="shared" si="9"/>
        <v>81326</v>
      </c>
      <c r="K104" s="57"/>
      <c r="L104" s="34"/>
      <c r="M104" s="34"/>
      <c r="N104" s="34"/>
      <c r="O104" s="34"/>
    </row>
    <row r="105" spans="2:15" x14ac:dyDescent="0.3">
      <c r="E105" s="47" t="s">
        <v>79</v>
      </c>
      <c r="F105" s="69">
        <f>F104/F99</f>
        <v>0.45859177215189872</v>
      </c>
      <c r="G105" s="69">
        <f t="shared" ref="G105:J105" si="10">G104/G99</f>
        <v>0.47415478488263496</v>
      </c>
      <c r="H105" s="69">
        <f t="shared" si="10"/>
        <v>0.51506408478055821</v>
      </c>
      <c r="I105" s="69">
        <f t="shared" si="10"/>
        <v>0.50561665747878504</v>
      </c>
      <c r="J105" s="69">
        <f t="shared" si="10"/>
        <v>0.53863272091452186</v>
      </c>
      <c r="K105" s="59"/>
      <c r="L105" s="34"/>
      <c r="M105" s="34"/>
      <c r="N105" s="34"/>
      <c r="O105" s="34"/>
    </row>
    <row r="106" spans="2:15" ht="17.25" thickBot="1" x14ac:dyDescent="0.35">
      <c r="E106" s="71"/>
      <c r="F106" s="72"/>
      <c r="G106" s="72"/>
      <c r="H106" s="72"/>
      <c r="I106" s="72"/>
      <c r="J106" s="72"/>
      <c r="K106" s="73"/>
      <c r="L106" s="34"/>
      <c r="M106" s="34"/>
      <c r="N106" s="34"/>
      <c r="O106" s="34"/>
    </row>
    <row r="107" spans="2:15" ht="17.25" thickBot="1" x14ac:dyDescent="0.35">
      <c r="B107" s="17" t="s">
        <v>132</v>
      </c>
      <c r="D107" s="24">
        <v>8</v>
      </c>
      <c r="E107" s="38" t="s">
        <v>80</v>
      </c>
      <c r="F107" s="74"/>
      <c r="G107" s="74"/>
      <c r="H107" s="74"/>
      <c r="I107" s="74"/>
      <c r="J107" s="74"/>
      <c r="K107" s="61"/>
      <c r="L107" s="34"/>
      <c r="M107" s="34"/>
      <c r="N107" s="34"/>
      <c r="O107" s="34"/>
    </row>
    <row r="108" spans="2:15" x14ac:dyDescent="0.3">
      <c r="B108" s="18" t="s">
        <v>147</v>
      </c>
      <c r="E108" s="39" t="s">
        <v>81</v>
      </c>
      <c r="F108" s="34"/>
      <c r="G108" s="34"/>
      <c r="H108" s="34"/>
      <c r="I108" s="34"/>
      <c r="J108" s="34"/>
      <c r="K108" s="34"/>
      <c r="L108" s="34"/>
      <c r="M108" s="34"/>
      <c r="N108" s="34"/>
      <c r="O108" s="34"/>
    </row>
    <row r="109" spans="2:15" x14ac:dyDescent="0.3">
      <c r="B109" s="19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</row>
    <row r="110" spans="2:15" x14ac:dyDescent="0.3">
      <c r="B110" s="19"/>
      <c r="E110" s="42" t="s">
        <v>82</v>
      </c>
      <c r="F110" s="43" t="str">
        <f>IF(F84="","",F84)</f>
        <v/>
      </c>
      <c r="G110" s="43" t="str">
        <f t="shared" ref="G110:K110" si="11">IF(G84="","",G84)</f>
        <v/>
      </c>
      <c r="H110" s="43" t="str">
        <f t="shared" si="11"/>
        <v/>
      </c>
      <c r="I110" s="43" t="str">
        <f t="shared" si="11"/>
        <v/>
      </c>
      <c r="J110" s="43" t="str">
        <f t="shared" si="11"/>
        <v/>
      </c>
      <c r="K110" s="44" t="str">
        <f t="shared" si="11"/>
        <v>영구성장</v>
      </c>
      <c r="L110" s="34"/>
      <c r="M110" s="34"/>
      <c r="N110" s="34"/>
      <c r="O110" s="34"/>
    </row>
    <row r="111" spans="2:15" x14ac:dyDescent="0.3">
      <c r="B111" s="19"/>
      <c r="E111" s="75" t="s">
        <v>83</v>
      </c>
      <c r="F111" s="46"/>
      <c r="G111" s="46"/>
      <c r="H111" s="46"/>
      <c r="I111" s="46"/>
      <c r="J111" s="46"/>
      <c r="K111" s="68"/>
      <c r="L111" s="34"/>
      <c r="M111" s="34"/>
      <c r="N111" s="34"/>
      <c r="O111" s="34"/>
    </row>
    <row r="112" spans="2:15" ht="17.25" thickBot="1" x14ac:dyDescent="0.35">
      <c r="B112" s="20"/>
      <c r="E112" s="75" t="s">
        <v>84</v>
      </c>
      <c r="F112" s="46"/>
      <c r="G112" s="46"/>
      <c r="H112" s="46"/>
      <c r="I112" s="46"/>
      <c r="J112" s="46"/>
      <c r="K112" s="68"/>
      <c r="L112" s="34"/>
      <c r="M112" s="34"/>
      <c r="N112" s="34"/>
      <c r="O112" s="34"/>
    </row>
    <row r="113" spans="2:15" x14ac:dyDescent="0.3">
      <c r="E113" s="76" t="s">
        <v>85</v>
      </c>
      <c r="F113" s="77"/>
      <c r="G113" s="77"/>
      <c r="H113" s="77"/>
      <c r="I113" s="77"/>
      <c r="J113" s="77"/>
      <c r="K113" s="78"/>
      <c r="L113" s="34"/>
      <c r="M113" s="34"/>
      <c r="N113" s="34"/>
      <c r="O113" s="34"/>
    </row>
    <row r="114" spans="2:15" ht="17.25" thickBot="1" x14ac:dyDescent="0.35">
      <c r="E114" s="79" t="s">
        <v>86</v>
      </c>
      <c r="F114" s="80">
        <f t="shared" ref="F114:J114" si="12">F111+F112</f>
        <v>0</v>
      </c>
      <c r="G114" s="80">
        <f t="shared" si="12"/>
        <v>0</v>
      </c>
      <c r="H114" s="80">
        <f t="shared" si="12"/>
        <v>0</v>
      </c>
      <c r="I114" s="80">
        <f t="shared" si="12"/>
        <v>0</v>
      </c>
      <c r="J114" s="80">
        <f t="shared" si="12"/>
        <v>0</v>
      </c>
      <c r="K114" s="81"/>
      <c r="L114" s="34"/>
      <c r="M114" s="34"/>
      <c r="N114" s="34"/>
      <c r="O114" s="34"/>
    </row>
    <row r="115" spans="2:15" ht="17.25" thickBot="1" x14ac:dyDescent="0.35">
      <c r="E115" s="34"/>
      <c r="F115" s="82" t="str">
        <f t="shared" ref="F115:J115" si="13">IF(F113&gt;F114,"OK","확인필")</f>
        <v>확인필</v>
      </c>
      <c r="G115" s="83" t="str">
        <f t="shared" si="13"/>
        <v>확인필</v>
      </c>
      <c r="H115" s="83" t="str">
        <f t="shared" si="13"/>
        <v>확인필</v>
      </c>
      <c r="I115" s="83" t="str">
        <f t="shared" si="13"/>
        <v>확인필</v>
      </c>
      <c r="J115" s="83" t="str">
        <f t="shared" si="13"/>
        <v>확인필</v>
      </c>
      <c r="K115" s="84"/>
      <c r="L115" s="34"/>
      <c r="M115" s="34"/>
      <c r="N115" s="34"/>
      <c r="O115" s="34"/>
    </row>
    <row r="116" spans="2:15" x14ac:dyDescent="0.3"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2:15" ht="17.25" thickBot="1" x14ac:dyDescent="0.35"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</row>
    <row r="118" spans="2:15" ht="17.25" thickBot="1" x14ac:dyDescent="0.35">
      <c r="B118" s="17" t="s">
        <v>132</v>
      </c>
      <c r="D118" s="24">
        <v>9</v>
      </c>
      <c r="E118" s="38" t="s">
        <v>87</v>
      </c>
      <c r="F118" s="85"/>
      <c r="G118" s="34"/>
      <c r="H118" s="86"/>
      <c r="I118" s="86"/>
      <c r="J118" s="86"/>
      <c r="K118" s="86"/>
      <c r="L118" s="34"/>
      <c r="M118" s="34"/>
      <c r="N118" s="34"/>
      <c r="O118" s="34"/>
    </row>
    <row r="119" spans="2:15" x14ac:dyDescent="0.3">
      <c r="B119" s="18" t="s">
        <v>146</v>
      </c>
      <c r="E119" s="39" t="s">
        <v>88</v>
      </c>
      <c r="F119" s="85"/>
      <c r="G119" s="34"/>
      <c r="H119" s="86"/>
      <c r="I119" s="86"/>
      <c r="J119" s="86"/>
      <c r="K119" s="86"/>
      <c r="L119" s="34"/>
      <c r="M119" s="34"/>
      <c r="N119" s="34"/>
      <c r="O119" s="34"/>
    </row>
    <row r="120" spans="2:15" x14ac:dyDescent="0.3">
      <c r="B120" s="19"/>
      <c r="E120" s="42" t="s">
        <v>89</v>
      </c>
      <c r="F120" s="43" t="str">
        <f>IF(F84="","",F84)</f>
        <v/>
      </c>
      <c r="G120" s="43" t="str">
        <f t="shared" ref="G120:K120" si="14">IF(G84="","",G84)</f>
        <v/>
      </c>
      <c r="H120" s="43" t="str">
        <f t="shared" si="14"/>
        <v/>
      </c>
      <c r="I120" s="43" t="str">
        <f t="shared" si="14"/>
        <v/>
      </c>
      <c r="J120" s="43" t="str">
        <f t="shared" si="14"/>
        <v/>
      </c>
      <c r="K120" s="44" t="str">
        <f t="shared" si="14"/>
        <v>영구성장</v>
      </c>
      <c r="L120" s="34"/>
      <c r="M120" s="34"/>
      <c r="N120" s="34"/>
      <c r="O120" s="34"/>
    </row>
    <row r="121" spans="2:15" x14ac:dyDescent="0.3">
      <c r="B121" s="19"/>
      <c r="E121" s="87" t="s">
        <v>90</v>
      </c>
      <c r="F121" s="88"/>
      <c r="G121" s="89"/>
      <c r="H121" s="89"/>
      <c r="I121" s="89"/>
      <c r="J121" s="89"/>
      <c r="K121" s="90"/>
      <c r="L121" s="34"/>
      <c r="M121" s="34"/>
      <c r="N121" s="34"/>
      <c r="O121" s="34"/>
    </row>
    <row r="122" spans="2:15" x14ac:dyDescent="0.3">
      <c r="B122" s="19"/>
      <c r="E122" s="75" t="s">
        <v>91</v>
      </c>
      <c r="F122" s="91"/>
      <c r="G122" s="46"/>
      <c r="H122" s="46"/>
      <c r="I122" s="46"/>
      <c r="J122" s="46"/>
      <c r="K122" s="68"/>
      <c r="L122" s="34"/>
      <c r="M122" s="34"/>
      <c r="N122" s="34"/>
      <c r="O122" s="34"/>
    </row>
    <row r="123" spans="2:15" ht="17.25" thickBot="1" x14ac:dyDescent="0.35">
      <c r="B123" s="20"/>
      <c r="E123" s="75" t="s">
        <v>92</v>
      </c>
      <c r="F123" s="91"/>
      <c r="G123" s="46"/>
      <c r="H123" s="46"/>
      <c r="I123" s="46"/>
      <c r="J123" s="46"/>
      <c r="K123" s="68"/>
      <c r="L123" s="34"/>
      <c r="M123" s="34"/>
      <c r="N123" s="34"/>
      <c r="O123" s="34"/>
    </row>
    <row r="124" spans="2:15" ht="17.25" thickBot="1" x14ac:dyDescent="0.35">
      <c r="E124" s="76" t="s">
        <v>93</v>
      </c>
      <c r="F124" s="92"/>
      <c r="G124" s="77"/>
      <c r="H124" s="77"/>
      <c r="I124" s="77"/>
      <c r="J124" s="77"/>
      <c r="K124" s="93"/>
      <c r="L124" s="34"/>
      <c r="M124" s="34"/>
      <c r="N124" s="34"/>
      <c r="O124" s="34"/>
    </row>
    <row r="125" spans="2:15" ht="17.25" thickBot="1" x14ac:dyDescent="0.35">
      <c r="E125" s="34"/>
      <c r="F125" s="34"/>
      <c r="G125" s="34"/>
      <c r="H125" s="34"/>
      <c r="I125" s="34"/>
      <c r="J125" s="34"/>
      <c r="K125" s="94" t="str">
        <f>IF(AND(F124&gt;0,G124&gt;0,H124&gt;0,I124&gt;0,J124&gt;0,K124&gt;=0),"OK","검토필")</f>
        <v>검토필</v>
      </c>
      <c r="L125" s="95" t="s">
        <v>94</v>
      </c>
      <c r="M125" s="34"/>
      <c r="N125" s="34"/>
      <c r="O125" s="34"/>
    </row>
    <row r="126" spans="2:15" ht="17.25" thickBot="1" x14ac:dyDescent="0.35"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</row>
    <row r="127" spans="2:15" ht="17.25" thickBot="1" x14ac:dyDescent="0.35">
      <c r="B127" s="17" t="s">
        <v>132</v>
      </c>
      <c r="D127" s="24">
        <v>10</v>
      </c>
      <c r="E127" s="38" t="s">
        <v>95</v>
      </c>
      <c r="F127" s="34"/>
      <c r="G127" s="34"/>
      <c r="H127" s="34"/>
      <c r="I127" s="34"/>
      <c r="J127" s="34"/>
      <c r="K127" s="34"/>
      <c r="L127" s="34"/>
      <c r="M127" s="34"/>
      <c r="N127" s="34"/>
      <c r="O127" s="34"/>
    </row>
    <row r="128" spans="2:15" x14ac:dyDescent="0.3">
      <c r="B128" s="18" t="s">
        <v>145</v>
      </c>
      <c r="E128" s="39" t="s">
        <v>96</v>
      </c>
      <c r="F128" s="34"/>
      <c r="G128" s="34"/>
      <c r="H128" s="34"/>
      <c r="I128" s="34"/>
      <c r="J128" s="34"/>
      <c r="K128" s="34"/>
      <c r="L128" s="34"/>
      <c r="M128" s="34"/>
      <c r="N128" s="34"/>
      <c r="O128" s="34"/>
    </row>
    <row r="129" spans="2:15" x14ac:dyDescent="0.3">
      <c r="B129" s="19"/>
      <c r="E129" s="42" t="s">
        <v>82</v>
      </c>
      <c r="F129" s="96" t="s">
        <v>97</v>
      </c>
      <c r="G129" s="97"/>
      <c r="H129" s="97"/>
      <c r="I129" s="97"/>
      <c r="J129" s="97"/>
      <c r="K129" s="34"/>
      <c r="L129" s="34"/>
      <c r="M129" s="34"/>
      <c r="N129" s="34"/>
      <c r="O129" s="34"/>
    </row>
    <row r="130" spans="2:15" x14ac:dyDescent="0.3">
      <c r="B130" s="19"/>
      <c r="E130" s="98" t="s">
        <v>98</v>
      </c>
      <c r="F130" s="99"/>
      <c r="G130" s="100" t="s">
        <v>153</v>
      </c>
      <c r="H130" s="97"/>
      <c r="I130" s="97"/>
      <c r="J130" s="97"/>
      <c r="K130" s="34"/>
      <c r="L130" s="34"/>
      <c r="M130" s="34"/>
      <c r="N130" s="34"/>
      <c r="O130" s="34"/>
    </row>
    <row r="131" spans="2:15" x14ac:dyDescent="0.3">
      <c r="B131" s="19"/>
      <c r="E131" s="101" t="s">
        <v>99</v>
      </c>
      <c r="F131" s="102"/>
      <c r="G131" s="100" t="s">
        <v>154</v>
      </c>
      <c r="H131" s="34"/>
      <c r="I131" s="97"/>
      <c r="J131" s="97"/>
      <c r="K131" s="34"/>
      <c r="L131" s="34"/>
      <c r="M131" s="34"/>
      <c r="N131" s="34"/>
      <c r="O131" s="34"/>
    </row>
    <row r="132" spans="2:15" ht="17.25" thickBot="1" x14ac:dyDescent="0.35">
      <c r="B132" s="20"/>
      <c r="E132" s="103" t="s">
        <v>100</v>
      </c>
      <c r="F132" s="104" t="str">
        <f>IFERROR(F130/F131,"")</f>
        <v/>
      </c>
      <c r="G132" s="34"/>
      <c r="H132" s="34"/>
      <c r="I132" s="97"/>
      <c r="J132" s="97"/>
      <c r="K132" s="34"/>
      <c r="L132" s="34"/>
      <c r="M132" s="34"/>
      <c r="N132" s="34"/>
      <c r="O132" s="34"/>
    </row>
    <row r="133" spans="2:15" x14ac:dyDescent="0.3">
      <c r="E133" s="105"/>
      <c r="F133" s="106"/>
      <c r="G133" s="34"/>
      <c r="H133" s="34"/>
      <c r="I133" s="97"/>
      <c r="J133" s="97"/>
      <c r="K133" s="34"/>
      <c r="L133" s="34"/>
      <c r="M133" s="34"/>
      <c r="N133" s="34"/>
      <c r="O133" s="34"/>
    </row>
    <row r="134" spans="2:15" ht="17.25" thickBot="1" x14ac:dyDescent="0.35">
      <c r="D134" s="1"/>
      <c r="E134" s="38"/>
      <c r="F134" s="34"/>
      <c r="G134" s="34"/>
      <c r="H134" s="34"/>
      <c r="I134" s="97"/>
      <c r="J134" s="97"/>
      <c r="K134" s="34"/>
      <c r="L134" s="34"/>
      <c r="M134" s="34"/>
      <c r="N134" s="34"/>
      <c r="O134" s="34"/>
    </row>
    <row r="135" spans="2:15" ht="17.25" thickBot="1" x14ac:dyDescent="0.35">
      <c r="B135" s="17" t="s">
        <v>132</v>
      </c>
      <c r="D135" s="24">
        <v>11</v>
      </c>
      <c r="E135" s="38" t="s">
        <v>101</v>
      </c>
      <c r="F135" s="34"/>
      <c r="G135" s="34"/>
      <c r="H135" s="34"/>
      <c r="I135" s="97"/>
      <c r="J135" s="97"/>
      <c r="K135" s="34"/>
      <c r="L135" s="34"/>
      <c r="M135" s="34"/>
      <c r="N135" s="34"/>
      <c r="O135" s="34"/>
    </row>
    <row r="136" spans="2:15" x14ac:dyDescent="0.3">
      <c r="B136" s="18" t="s">
        <v>144</v>
      </c>
      <c r="E136" s="39" t="s">
        <v>102</v>
      </c>
      <c r="F136" s="106"/>
      <c r="G136" s="34"/>
      <c r="H136" s="34"/>
      <c r="I136" s="97"/>
      <c r="J136" s="97"/>
      <c r="K136" s="34"/>
    </row>
    <row r="137" spans="2:15" x14ac:dyDescent="0.3">
      <c r="B137" s="19"/>
      <c r="E137" s="42" t="s">
        <v>103</v>
      </c>
      <c r="F137" s="96" t="s">
        <v>97</v>
      </c>
      <c r="G137" s="34"/>
      <c r="H137" s="34"/>
      <c r="I137" s="97"/>
      <c r="J137" s="97"/>
      <c r="K137" s="34"/>
    </row>
    <row r="138" spans="2:15" x14ac:dyDescent="0.3">
      <c r="B138" s="19"/>
      <c r="E138" s="98" t="s">
        <v>104</v>
      </c>
      <c r="F138" s="99"/>
      <c r="G138" s="125" t="s">
        <v>105</v>
      </c>
      <c r="H138" s="34"/>
      <c r="I138" s="97"/>
      <c r="J138" s="97"/>
      <c r="K138" s="34"/>
    </row>
    <row r="139" spans="2:15" x14ac:dyDescent="0.3">
      <c r="B139" s="19"/>
      <c r="E139" s="101" t="s">
        <v>99</v>
      </c>
      <c r="F139" s="102">
        <f>F131</f>
        <v>0</v>
      </c>
      <c r="G139" s="100" t="s">
        <v>106</v>
      </c>
      <c r="H139" s="34"/>
      <c r="I139" s="97"/>
      <c r="J139" s="97"/>
      <c r="K139" s="34"/>
    </row>
    <row r="140" spans="2:15" ht="17.25" thickBot="1" x14ac:dyDescent="0.35">
      <c r="B140" s="20"/>
      <c r="E140" s="103" t="s">
        <v>100</v>
      </c>
      <c r="F140" s="104" t="str">
        <f>IFERROR(F138/F139,"")</f>
        <v/>
      </c>
      <c r="G140" s="34"/>
      <c r="H140" s="34"/>
      <c r="I140" s="97"/>
      <c r="J140" s="97"/>
      <c r="K140" s="34"/>
    </row>
    <row r="141" spans="2:15" x14ac:dyDescent="0.3">
      <c r="E141" s="105"/>
      <c r="F141" s="106"/>
      <c r="G141" s="34"/>
      <c r="H141" s="34"/>
      <c r="I141" s="97"/>
      <c r="J141" s="97"/>
      <c r="K141" s="34"/>
    </row>
    <row r="142" spans="2:15" ht="17.25" thickBot="1" x14ac:dyDescent="0.35">
      <c r="E142" s="34"/>
      <c r="F142" s="34"/>
      <c r="G142" s="34"/>
      <c r="H142" s="34"/>
      <c r="I142" s="34"/>
      <c r="J142" s="34"/>
      <c r="K142" s="34"/>
    </row>
    <row r="143" spans="2:15" ht="17.25" thickBot="1" x14ac:dyDescent="0.35">
      <c r="B143" s="17" t="s">
        <v>132</v>
      </c>
      <c r="D143" s="24">
        <v>12</v>
      </c>
      <c r="E143" s="38" t="s">
        <v>107</v>
      </c>
      <c r="F143" s="34"/>
      <c r="G143" s="34"/>
      <c r="H143" s="34"/>
      <c r="I143" s="34"/>
      <c r="J143" s="34"/>
      <c r="K143" s="34"/>
    </row>
    <row r="144" spans="2:15" x14ac:dyDescent="0.3">
      <c r="B144" s="18" t="s">
        <v>142</v>
      </c>
      <c r="E144" s="39" t="s">
        <v>108</v>
      </c>
      <c r="F144" s="34"/>
      <c r="G144" s="34"/>
      <c r="H144" s="34"/>
      <c r="I144" s="34"/>
      <c r="J144" s="34"/>
      <c r="K144" s="34"/>
    </row>
    <row r="145" spans="2:11" x14ac:dyDescent="0.3">
      <c r="B145" s="19"/>
      <c r="E145" s="42" t="s">
        <v>109</v>
      </c>
      <c r="F145" s="96" t="s">
        <v>110</v>
      </c>
      <c r="G145" s="34"/>
      <c r="H145" s="34"/>
      <c r="I145" s="34"/>
      <c r="J145" s="34"/>
      <c r="K145" s="34"/>
    </row>
    <row r="146" spans="2:11" x14ac:dyDescent="0.3">
      <c r="B146" s="19"/>
      <c r="E146" s="98" t="s">
        <v>111</v>
      </c>
      <c r="F146" s="111" t="s">
        <v>124</v>
      </c>
      <c r="G146" s="100" t="s">
        <v>112</v>
      </c>
      <c r="H146" s="34"/>
      <c r="I146" s="34"/>
      <c r="J146" s="34"/>
      <c r="K146" s="34"/>
    </row>
    <row r="147" spans="2:11" x14ac:dyDescent="0.3">
      <c r="B147" s="19"/>
      <c r="E147" s="101" t="s">
        <v>113</v>
      </c>
      <c r="F147" s="111" t="s">
        <v>124</v>
      </c>
      <c r="G147" s="100" t="s">
        <v>114</v>
      </c>
      <c r="H147" s="34"/>
      <c r="I147" s="34"/>
      <c r="J147" s="34"/>
      <c r="K147" s="34"/>
    </row>
    <row r="148" spans="2:11" ht="17.25" thickBot="1" x14ac:dyDescent="0.35">
      <c r="B148" s="20"/>
      <c r="E148" s="73"/>
      <c r="F148" s="112"/>
      <c r="G148" s="34"/>
      <c r="H148" s="34"/>
      <c r="I148" s="34"/>
      <c r="J148" s="34"/>
      <c r="K148" s="34"/>
    </row>
    <row r="149" spans="2:11" ht="17.25" thickBot="1" x14ac:dyDescent="0.35">
      <c r="E149" s="34"/>
      <c r="F149" s="34"/>
      <c r="G149" s="34"/>
      <c r="H149" s="34"/>
      <c r="I149" s="34"/>
      <c r="J149" s="34"/>
      <c r="K149" s="34"/>
    </row>
    <row r="150" spans="2:11" ht="17.25" thickBot="1" x14ac:dyDescent="0.35">
      <c r="B150" s="17" t="s">
        <v>132</v>
      </c>
      <c r="D150" s="24">
        <v>13</v>
      </c>
      <c r="E150" s="38" t="s">
        <v>115</v>
      </c>
      <c r="F150" s="34"/>
      <c r="G150" s="34"/>
      <c r="H150" s="34"/>
      <c r="I150" s="34"/>
      <c r="J150" s="34"/>
      <c r="K150" s="34"/>
    </row>
    <row r="151" spans="2:11" x14ac:dyDescent="0.3">
      <c r="B151" s="18" t="s">
        <v>143</v>
      </c>
      <c r="E151" s="39" t="s">
        <v>116</v>
      </c>
      <c r="F151" s="34"/>
      <c r="G151" s="34"/>
      <c r="H151" s="34"/>
      <c r="I151" s="34"/>
      <c r="J151" s="34"/>
      <c r="K151" s="34"/>
    </row>
    <row r="152" spans="2:11" x14ac:dyDescent="0.3">
      <c r="B152" s="19"/>
      <c r="E152" s="42" t="s">
        <v>109</v>
      </c>
      <c r="F152" s="96" t="s">
        <v>110</v>
      </c>
      <c r="G152" s="42" t="s">
        <v>117</v>
      </c>
      <c r="H152" s="42" t="s">
        <v>118</v>
      </c>
      <c r="I152" s="42" t="s">
        <v>119</v>
      </c>
      <c r="J152" s="42" t="s">
        <v>120</v>
      </c>
      <c r="K152" s="127" t="s">
        <v>121</v>
      </c>
    </row>
    <row r="153" spans="2:11" x14ac:dyDescent="0.3">
      <c r="B153" s="19"/>
      <c r="E153" s="98" t="s">
        <v>122</v>
      </c>
      <c r="F153" s="111" t="s">
        <v>11</v>
      </c>
      <c r="G153" s="113" t="s">
        <v>123</v>
      </c>
      <c r="H153" s="114" t="s">
        <v>124</v>
      </c>
      <c r="I153" s="115" t="s">
        <v>125</v>
      </c>
      <c r="J153" s="113" t="s">
        <v>126</v>
      </c>
      <c r="K153" s="114" t="s">
        <v>127</v>
      </c>
    </row>
    <row r="154" spans="2:11" x14ac:dyDescent="0.3">
      <c r="B154" s="19"/>
      <c r="E154" s="101" t="s">
        <v>128</v>
      </c>
      <c r="F154" s="111" t="s">
        <v>124</v>
      </c>
      <c r="G154" s="111" t="s">
        <v>129</v>
      </c>
      <c r="H154" s="111" t="s">
        <v>11</v>
      </c>
      <c r="I154" s="115" t="s">
        <v>130</v>
      </c>
      <c r="J154" s="111" t="s">
        <v>131</v>
      </c>
      <c r="K154" s="111" t="s">
        <v>11</v>
      </c>
    </row>
    <row r="155" spans="2:11" ht="17.25" thickBot="1" x14ac:dyDescent="0.35">
      <c r="B155" s="20"/>
      <c r="E155" s="34"/>
    </row>
  </sheetData>
  <phoneticPr fontId="3" type="noConversion"/>
  <conditionalFormatting sqref="F115">
    <cfRule type="expression" dxfId="13" priority="14">
      <formula>$F$115="검토필"</formula>
    </cfRule>
  </conditionalFormatting>
  <conditionalFormatting sqref="K115">
    <cfRule type="expression" dxfId="12" priority="9">
      <formula>$L$108="검토필"</formula>
    </cfRule>
  </conditionalFormatting>
  <conditionalFormatting sqref="J115">
    <cfRule type="expression" dxfId="11" priority="10">
      <formula>$J$115="검토필"</formula>
    </cfRule>
  </conditionalFormatting>
  <conditionalFormatting sqref="I115">
    <cfRule type="expression" dxfId="10" priority="11">
      <formula>$I$115="검토필"</formula>
    </cfRule>
  </conditionalFormatting>
  <conditionalFormatting sqref="H115">
    <cfRule type="expression" dxfId="9" priority="12">
      <formula>$H$115="검토필"</formula>
    </cfRule>
  </conditionalFormatting>
  <conditionalFormatting sqref="G115">
    <cfRule type="expression" dxfId="8" priority="13">
      <formula>$G$115="검토필"</formula>
    </cfRule>
  </conditionalFormatting>
  <conditionalFormatting sqref="K125">
    <cfRule type="expression" dxfId="7" priority="8">
      <formula>$K$125="검토필"</formula>
    </cfRule>
  </conditionalFormatting>
  <conditionalFormatting sqref="F146">
    <cfRule type="expression" dxfId="6" priority="7">
      <formula>$F$146="YES"</formula>
    </cfRule>
  </conditionalFormatting>
  <conditionalFormatting sqref="F147">
    <cfRule type="expression" dxfId="5" priority="6">
      <formula>$F$147="YES"</formula>
    </cfRule>
  </conditionalFormatting>
  <conditionalFormatting sqref="F153">
    <cfRule type="expression" dxfId="4" priority="5">
      <formula>$F$153="NO"</formula>
    </cfRule>
  </conditionalFormatting>
  <conditionalFormatting sqref="F154">
    <cfRule type="expression" dxfId="3" priority="4">
      <formula>$F$154="YES"</formula>
    </cfRule>
  </conditionalFormatting>
  <conditionalFormatting sqref="J63">
    <cfRule type="expression" dxfId="2" priority="3">
      <formula>$J$63="자본잠식"</formula>
    </cfRule>
  </conditionalFormatting>
  <conditionalFormatting sqref="K66">
    <cfRule type="expression" dxfId="1" priority="2">
      <formula>$K$66="영업손실지속"</formula>
    </cfRule>
  </conditionalFormatting>
  <conditionalFormatting sqref="L66">
    <cfRule type="expression" dxfId="0" priority="1">
      <formula>$L$66="영업손익개선아님"</formula>
    </cfRule>
  </conditionalFormatting>
  <dataValidations count="1">
    <dataValidation type="list" allowBlank="1" showInputMessage="1" showErrorMessage="1" sqref="F146:F147 H30:H33 F153:F154 H153:H154 K153:K154">
      <formula1>"YES, NO"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ㅇ">
                <anchor moveWithCells="1" sizeWithCells="1">
                  <from>
                    <xdr:col>8</xdr:col>
                    <xdr:colOff>1095375</xdr:colOff>
                    <xdr:row>1</xdr:row>
                    <xdr:rowOff>0</xdr:rowOff>
                  </from>
                  <to>
                    <xdr:col>9</xdr:col>
                    <xdr:colOff>476250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체크리스트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다.서동현</dc:creator>
  <cp:lastModifiedBy>다.김영하</cp:lastModifiedBy>
  <dcterms:created xsi:type="dcterms:W3CDTF">2024-09-25T06:46:58Z</dcterms:created>
  <dcterms:modified xsi:type="dcterms:W3CDTF">2024-10-25T01:24:00Z</dcterms:modified>
</cp:coreProperties>
</file>