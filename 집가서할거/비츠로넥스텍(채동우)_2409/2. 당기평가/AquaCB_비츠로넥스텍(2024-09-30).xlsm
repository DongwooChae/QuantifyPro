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0.10.10.11\Ai본부\F.AI본부\2024년 9월\□지분증권기초자산\비츠로넥스텍(채동우)_2409\2. 당기평가\"/>
    </mc:Choice>
  </mc:AlternateContent>
  <bookViews>
    <workbookView xWindow="0" yWindow="0" windowWidth="28800" windowHeight="12255"/>
  </bookViews>
  <sheets>
    <sheet name="AQuA CB" sheetId="1" r:id="rId1"/>
  </sheets>
  <functionGroups builtInGroupCount="18"/>
  <definedNames>
    <definedName name="_xlnm._FilterDatabase" localSheetId="0" hidden="1">'AQuA CB'!$X$2:$AH$20</definedName>
    <definedName name="BondInfo">'AQuA CB'!$J$2</definedName>
    <definedName name="EngineInfo">'AQuA CB'!$C$5</definedName>
    <definedName name="ExerciseInfo">'AQuA CB'!$X$2</definedName>
    <definedName name="IndexInfo">'AQuA CB'!$M$2</definedName>
    <definedName name="OptionInfo">'AQuA CB'!$X$2</definedName>
    <definedName name="ParamInfo">'AQuA CB'!$P$2</definedName>
    <definedName name="ResultCashflow">'AQuA CB'!$E$10</definedName>
    <definedName name="ResultInfo">'AQuA CB'!$B$10</definedName>
    <definedName name="ValuationInfo">'AQuA CB'!$G$2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7" i="1" l="1"/>
  <c r="AH6" i="1"/>
  <c r="AF7" i="1"/>
  <c r="C5" i="1" l="1"/>
  <c r="C6" i="1"/>
</calcChain>
</file>

<file path=xl/comments1.xml><?xml version="1.0" encoding="utf-8"?>
<comments xmlns="http://schemas.openxmlformats.org/spreadsheetml/2006/main">
  <authors>
    <author>Seungwoo Ha</author>
    <author>다.하승우</author>
  </authors>
  <commentList>
    <comment ref="W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Put/Conv </t>
        </r>
        <r>
          <rPr>
            <sz val="9"/>
            <color indexed="81"/>
            <rFont val="돋움"/>
            <family val="3"/>
            <charset val="129"/>
          </rPr>
          <t xml:space="preserve">우선
</t>
        </r>
        <r>
          <rPr>
            <sz val="9"/>
            <color indexed="81"/>
            <rFont val="Tahoma"/>
            <family val="2"/>
          </rPr>
          <t xml:space="preserve">1: Call/DutyCall </t>
        </r>
        <r>
          <rPr>
            <sz val="9"/>
            <color indexed="81"/>
            <rFont val="돋움"/>
            <family val="3"/>
            <charset val="129"/>
          </rPr>
          <t>우선</t>
        </r>
      </text>
    </comment>
    <comment ref="Z3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의무보유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콜</t>
        </r>
        <r>
          <rPr>
            <sz val="9"/>
            <color indexed="81"/>
            <rFont val="Tahoma"/>
            <family val="2"/>
          </rPr>
          <t xml:space="preserve">(Duty </t>
        </r>
        <r>
          <rPr>
            <sz val="9"/>
            <color indexed="81"/>
            <rFont val="돋움"/>
            <family val="3"/>
            <charset val="129"/>
          </rPr>
          <t>속성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>)</t>
        </r>
      </text>
    </comment>
    <comment ref="P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HW Tree </t>
        </r>
        <r>
          <rPr>
            <sz val="9"/>
            <color indexed="81"/>
            <rFont val="돋움"/>
            <family val="3"/>
            <charset val="129"/>
          </rPr>
          <t>모델에서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변동성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기간구조
현재는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구현되지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X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Z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AB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AE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AG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Refixing X
1: </t>
        </r>
        <r>
          <rPr>
            <sz val="9"/>
            <color indexed="81"/>
            <rFont val="돋움"/>
            <family val="3"/>
            <charset val="129"/>
          </rPr>
          <t xml:space="preserve">하향
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상하향</t>
        </r>
      </text>
    </comment>
    <comment ref="AJ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AB5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의무보유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여부
</t>
        </r>
        <r>
          <rPr>
            <sz val="9"/>
            <color indexed="81"/>
            <rFont val="Tahoma"/>
            <family val="2"/>
          </rPr>
          <t>Put</t>
        </r>
        <r>
          <rPr>
            <sz val="9"/>
            <color indexed="81"/>
            <rFont val="돋움"/>
            <family val="3"/>
            <charset val="129"/>
          </rPr>
          <t>에서만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사용됨</t>
        </r>
      </text>
    </comment>
    <comment ref="G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미구현</t>
        </r>
      </text>
    </comment>
    <comment ref="J6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Fixed, 1: Floating</t>
        </r>
      </text>
    </comment>
    <comment ref="J7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12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약수</t>
        </r>
      </text>
    </comment>
    <comment ref="J8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ytm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사용하는</t>
        </r>
        <r>
          <rPr>
            <sz val="9"/>
            <color indexed="81"/>
            <rFont val="Tahoma"/>
            <family val="2"/>
          </rPr>
          <t xml:space="preserve"> compounding.
0: Discrete Compounding.
    (couponStepMonth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>)
1: Continuous Compounding.</t>
        </r>
      </text>
    </comment>
    <comment ref="J9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fixed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고정금리</t>
        </r>
        <r>
          <rPr>
            <sz val="9"/>
            <color indexed="81"/>
            <rFont val="Tahoma"/>
            <family val="2"/>
          </rPr>
          <t>,
floating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스프레드
</t>
        </r>
      </text>
    </comment>
    <comment ref="Z9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비율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상한</t>
        </r>
        <r>
          <rPr>
            <sz val="9"/>
            <color indexed="81"/>
            <rFont val="Tahoma"/>
            <family val="2"/>
          </rPr>
          <t>)
duty Call</t>
        </r>
        <r>
          <rPr>
            <sz val="9"/>
            <color indexed="81"/>
            <rFont val="돋움"/>
            <family val="3"/>
            <charset val="129"/>
          </rPr>
          <t>에서만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사용됨</t>
        </r>
      </text>
    </comment>
    <comment ref="J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만기상환율</t>
        </r>
        <r>
          <rPr>
            <sz val="9"/>
            <color indexed="81"/>
            <rFont val="Tahoma"/>
            <family val="2"/>
          </rPr>
          <t xml:space="preserve">(1.xxxx)
</t>
        </r>
      </text>
    </comment>
    <comment ref="X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(1 </t>
        </r>
        <r>
          <rPr>
            <sz val="9"/>
            <color indexed="81"/>
            <rFont val="돋움"/>
            <family val="3"/>
            <charset val="129"/>
          </rPr>
          <t>내외</t>
        </r>
        <r>
          <rPr>
            <sz val="9"/>
            <color indexed="81"/>
            <rFont val="Tahoma"/>
            <family val="2"/>
          </rPr>
          <t>)</t>
        </r>
      </text>
    </comment>
    <comment ref="Z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(1 </t>
        </r>
        <r>
          <rPr>
            <sz val="9"/>
            <color indexed="81"/>
            <rFont val="돋움"/>
            <family val="3"/>
            <charset val="129"/>
          </rPr>
          <t>내외</t>
        </r>
        <r>
          <rPr>
            <sz val="9"/>
            <color indexed="81"/>
            <rFont val="Tahoma"/>
            <family val="2"/>
          </rPr>
          <t>)</t>
        </r>
      </text>
    </comment>
    <comment ref="AB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(1 </t>
        </r>
        <r>
          <rPr>
            <sz val="9"/>
            <color indexed="81"/>
            <rFont val="돋움"/>
            <family val="3"/>
            <charset val="129"/>
          </rPr>
          <t>내외</t>
        </r>
        <r>
          <rPr>
            <sz val="9"/>
            <color indexed="81"/>
            <rFont val="Tahoma"/>
            <family val="2"/>
          </rPr>
          <t>)</t>
        </r>
      </text>
    </comment>
    <comment ref="AJ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(1 </t>
        </r>
        <r>
          <rPr>
            <sz val="9"/>
            <color indexed="81"/>
            <rFont val="돋움"/>
            <family val="3"/>
            <charset val="129"/>
          </rPr>
          <t>내외</t>
        </r>
        <r>
          <rPr>
            <sz val="9"/>
            <color indexed="81"/>
            <rFont val="Tahoma"/>
            <family val="2"/>
          </rPr>
          <t>)</t>
        </r>
      </text>
    </comment>
    <comment ref="J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보장수익률</t>
        </r>
        <r>
          <rPr>
            <sz val="9"/>
            <color indexed="81"/>
            <rFont val="Tahoma"/>
            <family val="2"/>
          </rPr>
          <t>(0.xxx)
floating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X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>(0.xxx)</t>
        </r>
      </text>
    </comment>
    <comment ref="Z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>(0.xxx)</t>
        </r>
      </text>
    </comment>
    <comment ref="AB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>(0.xxx)</t>
        </r>
      </text>
    </comment>
    <comment ref="AJ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>(0.xxx)</t>
        </r>
      </text>
    </comment>
    <comment ref="J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</t>
        </r>
        <r>
          <rPr>
            <sz val="9"/>
            <color indexed="81"/>
            <rFont val="돋움"/>
            <family val="3"/>
            <charset val="129"/>
          </rPr>
          <t>만기상환율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1: </t>
        </r>
        <r>
          <rPr>
            <sz val="9"/>
            <color indexed="81"/>
            <rFont val="돋움"/>
            <family val="3"/>
            <charset val="129"/>
          </rPr>
          <t>보장수익률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X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flag
0: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Z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flag
0: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AB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flag
0: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AJ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flag
0: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B33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전환권이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우선할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권장</t>
        </r>
      </text>
    </comment>
  </commentList>
</comments>
</file>

<file path=xl/sharedStrings.xml><?xml version="1.0" encoding="utf-8"?>
<sst xmlns="http://schemas.openxmlformats.org/spreadsheetml/2006/main" count="173" uniqueCount="109">
  <si>
    <t>ResultInfo</t>
    <phoneticPr fontId="1" type="noConversion"/>
  </si>
  <si>
    <t>price</t>
    <phoneticPr fontId="1" type="noConversion"/>
  </si>
  <si>
    <t>bond price</t>
    <phoneticPr fontId="1" type="noConversion"/>
  </si>
  <si>
    <t>call opt price</t>
    <phoneticPr fontId="1" type="noConversion"/>
  </si>
  <si>
    <t>put opt price</t>
    <phoneticPr fontId="1" type="noConversion"/>
  </si>
  <si>
    <t>conv opt price</t>
    <phoneticPr fontId="1" type="noConversion"/>
  </si>
  <si>
    <t>clean price</t>
    <phoneticPr fontId="1" type="noConversion"/>
  </si>
  <si>
    <t>HW1F Tree</t>
    <phoneticPr fontId="1" type="noConversion"/>
  </si>
  <si>
    <t>TF Tree Model</t>
    <phoneticPr fontId="1" type="noConversion"/>
  </si>
  <si>
    <t>eff. maturity</t>
    <phoneticPr fontId="1" type="noConversion"/>
  </si>
  <si>
    <t>ValuationInfo</t>
    <phoneticPr fontId="1" type="noConversion"/>
  </si>
  <si>
    <t>valueDate</t>
    <phoneticPr fontId="1" type="noConversion"/>
  </si>
  <si>
    <t>calcSensitivity</t>
    <phoneticPr fontId="1" type="noConversion"/>
  </si>
  <si>
    <t>calcHWTreePrice</t>
    <phoneticPr fontId="1" type="noConversion"/>
  </si>
  <si>
    <t>logging</t>
    <phoneticPr fontId="1" type="noConversion"/>
  </si>
  <si>
    <t>BondInfo</t>
    <phoneticPr fontId="1" type="noConversion"/>
  </si>
  <si>
    <t>issueDate</t>
    <phoneticPr fontId="1" type="noConversion"/>
  </si>
  <si>
    <t>maturityDate</t>
    <phoneticPr fontId="1" type="noConversion"/>
  </si>
  <si>
    <t>faceAmount</t>
    <phoneticPr fontId="1" type="noConversion"/>
  </si>
  <si>
    <t>couponType</t>
    <phoneticPr fontId="1" type="noConversion"/>
  </si>
  <si>
    <t>couponStepMonth</t>
    <phoneticPr fontId="1" type="noConversion"/>
  </si>
  <si>
    <t>fixedSpread</t>
    <phoneticPr fontId="1" type="noConversion"/>
  </si>
  <si>
    <t>redemptionAmount</t>
    <phoneticPr fontId="1" type="noConversion"/>
  </si>
  <si>
    <t>sureRate</t>
    <phoneticPr fontId="1" type="noConversion"/>
  </si>
  <si>
    <t>redemptionRateFlag</t>
    <phoneticPr fontId="1" type="noConversion"/>
  </si>
  <si>
    <t>firstCouponDate</t>
    <phoneticPr fontId="1" type="noConversion"/>
  </si>
  <si>
    <t>lastCouponDate</t>
    <phoneticPr fontId="1" type="noConversion"/>
  </si>
  <si>
    <t>isManualSchedule</t>
    <phoneticPr fontId="1" type="noConversion"/>
  </si>
  <si>
    <t>numSchedule</t>
    <phoneticPr fontId="1" type="noConversion"/>
  </si>
  <si>
    <t>manualCpnSchedule</t>
    <phoneticPr fontId="1" type="noConversion"/>
  </si>
  <si>
    <t>IndexInfo</t>
    <phoneticPr fontId="1" type="noConversion"/>
  </si>
  <si>
    <t>pastFixing</t>
    <phoneticPr fontId="1" type="noConversion"/>
  </si>
  <si>
    <t>n</t>
    <phoneticPr fontId="1" type="noConversion"/>
  </si>
  <si>
    <t>days</t>
    <phoneticPr fontId="1" type="noConversion"/>
  </si>
  <si>
    <t>rates</t>
    <phoneticPr fontId="1" type="noConversion"/>
  </si>
  <si>
    <t>stockVol</t>
    <phoneticPr fontId="1" type="noConversion"/>
  </si>
  <si>
    <t>irMeanRev</t>
    <phoneticPr fontId="1" type="noConversion"/>
  </si>
  <si>
    <t>irSigma</t>
    <phoneticPr fontId="1" type="noConversion"/>
  </si>
  <si>
    <t>debtCurveInfo</t>
    <phoneticPr fontId="1" type="noConversion"/>
  </si>
  <si>
    <t>riskFreeCurveInfo</t>
    <phoneticPr fontId="1" type="noConversion"/>
  </si>
  <si>
    <t>ParamInfo</t>
    <phoneticPr fontId="1" type="noConversion"/>
  </si>
  <si>
    <t>CallInfo</t>
    <phoneticPr fontId="1" type="noConversion"/>
  </si>
  <si>
    <t>exerciseType</t>
    <phoneticPr fontId="1" type="noConversion"/>
  </si>
  <si>
    <t>optionStartDate</t>
    <phoneticPr fontId="1" type="noConversion"/>
  </si>
  <si>
    <t>stepMonth</t>
    <phoneticPr fontId="1" type="noConversion"/>
  </si>
  <si>
    <t>payAmount</t>
    <phoneticPr fontId="1" type="noConversion"/>
  </si>
  <si>
    <t>payRate</t>
    <phoneticPr fontId="1" type="noConversion"/>
  </si>
  <si>
    <t>strike</t>
    <phoneticPr fontId="1" type="noConversion"/>
  </si>
  <si>
    <t>currentStockPrice</t>
    <phoneticPr fontId="1" type="noConversion"/>
  </si>
  <si>
    <t>dividendRate</t>
    <phoneticPr fontId="1" type="noConversion"/>
  </si>
  <si>
    <t>optionPayRateFlag</t>
    <phoneticPr fontId="1" type="noConversion"/>
  </si>
  <si>
    <t>optionEndDate</t>
    <phoneticPr fontId="1" type="noConversion"/>
  </si>
  <si>
    <t>isManualSchedule</t>
    <phoneticPr fontId="1" type="noConversion"/>
  </si>
  <si>
    <t>ExerciseDates</t>
    <phoneticPr fontId="1" type="noConversion"/>
  </si>
  <si>
    <t>DutyCallInfo</t>
    <phoneticPr fontId="1" type="noConversion"/>
  </si>
  <si>
    <t>PutInfo</t>
    <phoneticPr fontId="1" type="noConversion"/>
  </si>
  <si>
    <t>ConversionInfo</t>
    <phoneticPr fontId="1" type="noConversion"/>
  </si>
  <si>
    <t>Dates</t>
    <phoneticPr fontId="1" type="noConversion"/>
  </si>
  <si>
    <t>Coupons</t>
    <phoneticPr fontId="1" type="noConversion"/>
  </si>
  <si>
    <t>Principal</t>
    <phoneticPr fontId="1" type="noConversion"/>
  </si>
  <si>
    <t>DF</t>
    <phoneticPr fontId="1" type="noConversion"/>
  </si>
  <si>
    <t>Cashflows</t>
    <phoneticPr fontId="1" type="noConversion"/>
  </si>
  <si>
    <t>OptionInfo</t>
    <phoneticPr fontId="1" type="noConversion"/>
  </si>
  <si>
    <t>duty call opt price</t>
    <phoneticPr fontId="1" type="noConversion"/>
  </si>
  <si>
    <t>소요시간</t>
    <phoneticPr fontId="1" type="noConversion"/>
  </si>
  <si>
    <t>에러 메시지</t>
    <phoneticPr fontId="1" type="noConversion"/>
  </si>
  <si>
    <t>exerciseLimit</t>
    <phoneticPr fontId="1" type="noConversion"/>
  </si>
  <si>
    <t>ExerAmounts</t>
    <phoneticPr fontId="1" type="noConversion"/>
  </si>
  <si>
    <t>exerciseParity</t>
    <phoneticPr fontId="1" type="noConversion"/>
  </si>
  <si>
    <t>OptionPriorityFlag</t>
    <phoneticPr fontId="1" type="noConversion"/>
  </si>
  <si>
    <t>bond price</t>
    <phoneticPr fontId="1" type="noConversion"/>
  </si>
  <si>
    <t>hw call opt price</t>
    <phoneticPr fontId="1" type="noConversion"/>
  </si>
  <si>
    <t>hw put opt price</t>
    <phoneticPr fontId="1" type="noConversion"/>
  </si>
  <si>
    <t>hw conv opt price</t>
    <phoneticPr fontId="1" type="noConversion"/>
  </si>
  <si>
    <t>isIgnoreDuty</t>
    <phoneticPr fontId="1" type="noConversion"/>
  </si>
  <si>
    <t>3 Bermudan</t>
  </si>
  <si>
    <t>0 Put/Conv우선</t>
  </si>
  <si>
    <t>0 payAmount</t>
  </si>
  <si>
    <t>2 American</t>
  </si>
  <si>
    <t>nodeInterval</t>
    <phoneticPr fontId="1" type="noConversion"/>
  </si>
  <si>
    <t>refixingFlag</t>
  </si>
  <si>
    <t>RefixingInfo</t>
    <phoneticPr fontId="1" type="noConversion"/>
  </si>
  <si>
    <t>refixingStartDate</t>
    <phoneticPr fontId="1" type="noConversion"/>
  </si>
  <si>
    <t>refixingEndDate</t>
    <phoneticPr fontId="1" type="noConversion"/>
  </si>
  <si>
    <t>refixingCeiling</t>
    <phoneticPr fontId="1" type="noConversion"/>
  </si>
  <si>
    <t>refixingFloor</t>
    <phoneticPr fontId="1" type="noConversion"/>
  </si>
  <si>
    <t>ThirdPartyCallInfo</t>
    <phoneticPr fontId="1" type="noConversion"/>
  </si>
  <si>
    <t xml:space="preserve"> </t>
    <phoneticPr fontId="1" type="noConversion"/>
  </si>
  <si>
    <t>isManualSchedule</t>
    <phoneticPr fontId="1" type="noConversion"/>
  </si>
  <si>
    <t>numSchedule</t>
    <phoneticPr fontId="1" type="noConversion"/>
  </si>
  <si>
    <t>RefixingDates</t>
    <phoneticPr fontId="1" type="noConversion"/>
  </si>
  <si>
    <t>엔진 버전</t>
    <phoneticPr fontId="1" type="noConversion"/>
  </si>
  <si>
    <t>엔진 이름</t>
    <phoneticPr fontId="1" type="noConversion"/>
  </si>
  <si>
    <t>3rd call opt price</t>
    <phoneticPr fontId="1" type="noConversion"/>
  </si>
  <si>
    <t>Mac duration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</si>
  <si>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</si>
  <si>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</si>
  <si>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</si>
  <si>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total yield (bond)</t>
    <phoneticPr fontId="1" type="noConversion"/>
  </si>
  <si>
    <t>total yield (cb)</t>
    <phoneticPr fontId="1" type="noConversion"/>
  </si>
  <si>
    <t>1 하향</t>
  </si>
  <si>
    <t>0 rdmptAmount</t>
  </si>
  <si>
    <t>ytmCompounding</t>
    <phoneticPr fontId="1" type="noConversion"/>
  </si>
  <si>
    <t>0 Fixed</t>
  </si>
  <si>
    <t>0 Discrete</t>
  </si>
  <si>
    <t>Mod duration</t>
    <phoneticPr fontId="1" type="noConversion"/>
  </si>
  <si>
    <t>Mod convexity</t>
    <phoneticPr fontId="1" type="noConversion"/>
  </si>
  <si>
    <t>printLattice</t>
    <phoneticPr fontId="1" type="noConversion"/>
  </si>
  <si>
    <t>0 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</si>
</sst>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0"/>
    <numFmt numFmtId="177" formatCode="0.0000%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2" xfId="0" applyNumberFormat="1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10" xfId="0" applyBorder="1">
      <alignment vertical="center"/>
    </xf>
    <xf numFmtId="0" fontId="0" fillId="3" borderId="2" xfId="0" applyFill="1" applyBorder="1">
      <alignment vertical="center"/>
    </xf>
    <xf numFmtId="0" fontId="0" fillId="0" borderId="11" xfId="0" applyBorder="1">
      <alignment vertical="center"/>
    </xf>
    <xf numFmtId="0" fontId="0" fillId="3" borderId="3" xfId="0" applyFill="1" applyBorder="1">
      <alignment vertical="center"/>
    </xf>
    <xf numFmtId="0" fontId="0" fillId="0" borderId="12" xfId="0" applyBorder="1">
      <alignment vertical="center"/>
    </xf>
    <xf numFmtId="0" fontId="0" fillId="0" borderId="6" xfId="0" applyBorder="1">
      <alignment vertical="center"/>
    </xf>
    <xf numFmtId="0" fontId="0" fillId="3" borderId="5" xfId="0" applyFill="1" applyBorder="1">
      <alignment vertical="center"/>
    </xf>
    <xf numFmtId="14" fontId="0" fillId="0" borderId="6" xfId="0" applyNumberFormat="1" applyBorder="1">
      <alignment vertical="center"/>
    </xf>
    <xf numFmtId="14" fontId="0" fillId="0" borderId="8" xfId="0" applyNumberFormat="1" applyBorder="1">
      <alignment vertical="center"/>
    </xf>
    <xf numFmtId="14" fontId="0" fillId="0" borderId="17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6" xfId="0" applyBorder="1">
      <alignment vertical="center"/>
    </xf>
    <xf numFmtId="0" fontId="0" fillId="3" borderId="9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9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6" xfId="0" applyFill="1" applyBorder="1">
      <alignment vertical="center"/>
    </xf>
    <xf numFmtId="0" fontId="9" fillId="3" borderId="7" xfId="0" applyFont="1" applyFill="1" applyBorder="1">
      <alignment vertical="center"/>
    </xf>
    <xf numFmtId="176" fontId="0" fillId="0" borderId="8" xfId="0" applyNumberFormat="1" applyBorder="1">
      <alignment vertical="center"/>
    </xf>
    <xf numFmtId="0" fontId="9" fillId="0" borderId="8" xfId="0" applyFont="1" applyBorder="1">
      <alignment vertical="center"/>
    </xf>
    <xf numFmtId="0" fontId="0" fillId="0" borderId="24" xfId="0" applyBorder="1">
      <alignment vertical="center"/>
    </xf>
    <xf numFmtId="0" fontId="0" fillId="0" borderId="0" xfId="0" applyAlignment="1">
      <alignment horizontal="right" vertical="center"/>
    </xf>
    <xf numFmtId="0" fontId="0" fillId="3" borderId="25" xfId="0" applyFill="1" applyBorder="1">
      <alignment vertical="center"/>
    </xf>
    <xf numFmtId="0" fontId="0" fillId="3" borderId="27" xfId="0" applyFill="1" applyBorder="1">
      <alignment vertical="center"/>
    </xf>
    <xf numFmtId="0" fontId="0" fillId="3" borderId="28" xfId="0" applyFill="1" applyBorder="1" applyAlignment="1">
      <alignment vertical="center" wrapText="1"/>
    </xf>
    <xf numFmtId="14" fontId="0" fillId="0" borderId="12" xfId="0" applyNumberFormat="1" applyBorder="1">
      <alignment vertical="center"/>
    </xf>
    <xf numFmtId="0" fontId="0" fillId="0" borderId="26" xfId="0" applyBorder="1">
      <alignment vertical="center"/>
    </xf>
    <xf numFmtId="0" fontId="0" fillId="5" borderId="17" xfId="0" applyFill="1" applyBorder="1">
      <alignment vertical="center"/>
    </xf>
    <xf numFmtId="0" fontId="0" fillId="0" borderId="29" xfId="0" applyBorder="1">
      <alignment vertical="center"/>
    </xf>
    <xf numFmtId="0" fontId="0" fillId="3" borderId="30" xfId="0" applyFill="1" applyBorder="1">
      <alignment vertical="center"/>
    </xf>
    <xf numFmtId="14" fontId="0" fillId="0" borderId="0" xfId="0" applyNumberFormat="1">
      <alignment vertical="center"/>
    </xf>
    <xf numFmtId="0" fontId="0" fillId="5" borderId="30" xfId="0" applyFill="1" applyBorder="1">
      <alignment vertical="center"/>
    </xf>
    <xf numFmtId="0" fontId="0" fillId="3" borderId="1" xfId="0" applyFill="1" applyBorder="1">
      <alignment vertical="center"/>
    </xf>
    <xf numFmtId="14" fontId="0" fillId="0" borderId="1" xfId="0" applyNumberFormat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3" borderId="31" xfId="0" applyFill="1" applyBorder="1">
      <alignment vertical="center"/>
    </xf>
    <xf numFmtId="0" fontId="0" fillId="0" borderId="32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5" borderId="8" xfId="0" applyFill="1" applyBorder="1">
      <alignment vertical="center"/>
    </xf>
    <xf numFmtId="0" fontId="0" fillId="5" borderId="12" xfId="0" applyFill="1" applyBorder="1">
      <alignment vertical="center"/>
    </xf>
    <xf numFmtId="14" fontId="0" fillId="5" borderId="8" xfId="0" applyNumberFormat="1" applyFill="1" applyBorder="1">
      <alignment vertical="center"/>
    </xf>
    <xf numFmtId="14" fontId="0" fillId="5" borderId="1" xfId="0" applyNumberFormat="1" applyFill="1" applyBorder="1">
      <alignment vertical="center"/>
    </xf>
    <xf numFmtId="14" fontId="0" fillId="3" borderId="1" xfId="0" applyNumberFormat="1" applyFill="1" applyBorder="1">
      <alignment vertical="center"/>
    </xf>
    <xf numFmtId="14" fontId="0" fillId="3" borderId="25" xfId="0" applyNumberFormat="1" applyFill="1" applyBorder="1">
      <alignment vertical="center"/>
    </xf>
    <xf numFmtId="14" fontId="0" fillId="3" borderId="4" xfId="0" applyNumberFormat="1" applyFill="1" applyBorder="1">
      <alignment vertical="center"/>
    </xf>
    <xf numFmtId="0" fontId="0" fillId="0" borderId="26" xfId="0" applyFill="1" applyBorder="1">
      <alignment vertical="center"/>
    </xf>
    <xf numFmtId="0" fontId="0" fillId="3" borderId="12" xfId="0" applyFill="1" applyBorder="1">
      <alignment vertical="center"/>
    </xf>
    <xf numFmtId="177" fontId="0" fillId="0" borderId="8" xfId="0" applyNumberFormat="1" applyBorder="1">
      <alignment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8" fillId="4" borderId="19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6" fillId="5" borderId="17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</xdr:row>
          <xdr:rowOff>0</xdr:rowOff>
        </xdr:from>
        <xdr:to>
          <xdr:col>5</xdr:col>
          <xdr:colOff>619125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M71"/>
  <sheetViews>
    <sheetView tabSelected="1" topLeftCell="Y1" zoomScaleNormal="100" workbookViewId="0">
      <selection activeCell="AK9" sqref="AK9"/>
    </sheetView>
  </sheetViews>
  <sheetFormatPr defaultRowHeight="16.5" x14ac:dyDescent="0.3"/>
  <cols>
    <col min="1" max="1" width="5.125" customWidth="1"/>
    <col min="2" max="2" width="17.625" bestFit="1" customWidth="1"/>
    <col min="3" max="3" width="12.875" customWidth="1"/>
    <col min="4" max="4" width="3.625" customWidth="1"/>
    <col min="5" max="8" width="12.25" customWidth="1"/>
    <col min="9" max="9" width="3.625" customWidth="1"/>
    <col min="10" max="10" width="18.625" customWidth="1"/>
    <col min="11" max="11" width="15.625" customWidth="1"/>
    <col min="12" max="12" width="3.5" customWidth="1"/>
    <col min="13" max="13" width="11.125" customWidth="1"/>
    <col min="14" max="14" width="10.5" customWidth="1"/>
    <col min="15" max="15" width="3.25" customWidth="1"/>
    <col min="16" max="16" width="11.125" customWidth="1"/>
    <col min="17" max="17" width="9" customWidth="1"/>
    <col min="18" max="18" width="11.125" customWidth="1"/>
    <col min="19" max="19" width="9" customWidth="1"/>
    <col min="20" max="20" width="11.125" customWidth="1"/>
    <col min="21" max="21" width="9" customWidth="1"/>
    <col min="22" max="22" width="3" customWidth="1"/>
    <col min="23" max="23" width="18.5" bestFit="1" customWidth="1"/>
    <col min="24" max="24" width="18.125" bestFit="1" customWidth="1"/>
    <col min="25" max="25" width="12.375" bestFit="1" customWidth="1"/>
    <col min="26" max="26" width="18.125" bestFit="1" customWidth="1"/>
    <col min="27" max="27" width="12.375" bestFit="1" customWidth="1"/>
    <col min="28" max="28" width="18.125" bestFit="1" customWidth="1"/>
    <col min="29" max="29" width="12.375" bestFit="1" customWidth="1"/>
    <col min="30" max="30" width="3" customWidth="1"/>
    <col min="31" max="31" width="18.125" bestFit="1" customWidth="1"/>
    <col min="32" max="32" width="12.375" bestFit="1" customWidth="1"/>
    <col min="33" max="33" width="18" bestFit="1" customWidth="1"/>
    <col min="34" max="34" width="13.25" bestFit="1" customWidth="1"/>
    <col min="35" max="35" width="3" customWidth="1"/>
    <col min="36" max="36" width="18" bestFit="1" customWidth="1"/>
    <col min="37" max="37" width="13.25" bestFit="1" customWidth="1"/>
  </cols>
  <sheetData>
    <row r="1" spans="2:37" ht="17.25" thickBot="1" x14ac:dyDescent="0.35"/>
    <row r="2" spans="2:37" ht="17.25" thickBot="1" x14ac:dyDescent="0.35">
      <c r="G2" s="63" t="s">
        <v>10</v>
      </c>
      <c r="H2" s="65"/>
      <c r="J2" s="77" t="s">
        <v>15</v>
      </c>
      <c r="K2" s="79"/>
      <c r="M2" s="77" t="s">
        <v>30</v>
      </c>
      <c r="N2" s="79"/>
      <c r="P2" s="77" t="s">
        <v>40</v>
      </c>
      <c r="Q2" s="78"/>
      <c r="R2" s="78"/>
      <c r="S2" s="78"/>
      <c r="T2" s="78"/>
      <c r="U2" s="79"/>
      <c r="W2" s="9"/>
      <c r="X2" s="70" t="s">
        <v>62</v>
      </c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2"/>
    </row>
    <row r="3" spans="2:37" x14ac:dyDescent="0.3">
      <c r="G3" s="13" t="s">
        <v>11</v>
      </c>
      <c r="H3" s="14">
        <v>45565</v>
      </c>
      <c r="J3" s="13" t="s">
        <v>16</v>
      </c>
      <c r="K3" s="14">
        <v>44454</v>
      </c>
      <c r="L3" s="9"/>
      <c r="M3" s="10" t="s">
        <v>31</v>
      </c>
      <c r="N3" s="12">
        <v>0.08</v>
      </c>
      <c r="O3" s="9"/>
      <c r="P3" s="10" t="s">
        <v>36</v>
      </c>
      <c r="Q3" s="11"/>
      <c r="R3" s="22"/>
      <c r="S3" s="23"/>
      <c r="T3" s="10" t="s">
        <v>35</v>
      </c>
      <c r="U3" s="11">
        <v>0.2</v>
      </c>
      <c r="V3" s="46"/>
      <c r="W3" s="47" t="s">
        <v>69</v>
      </c>
      <c r="X3" s="61" t="s">
        <v>41</v>
      </c>
      <c r="Y3" s="69"/>
      <c r="Z3" s="61" t="s">
        <v>54</v>
      </c>
      <c r="AA3" s="69"/>
      <c r="AB3" s="61" t="s">
        <v>55</v>
      </c>
      <c r="AC3" s="69"/>
      <c r="AD3" s="49"/>
      <c r="AE3" s="61" t="s">
        <v>56</v>
      </c>
      <c r="AF3" s="69"/>
      <c r="AG3" s="68" t="s">
        <v>81</v>
      </c>
      <c r="AH3" s="62"/>
      <c r="AI3" s="49"/>
      <c r="AJ3" s="61" t="s">
        <v>86</v>
      </c>
      <c r="AK3" s="62"/>
    </row>
    <row r="4" spans="2:37" ht="17.25" thickBot="1" x14ac:dyDescent="0.35">
      <c r="G4" s="5" t="s">
        <v>79</v>
      </c>
      <c r="H4" s="4">
        <v>30</v>
      </c>
      <c r="J4" s="5" t="s">
        <v>17</v>
      </c>
      <c r="K4" s="15">
        <v>46280</v>
      </c>
      <c r="L4" s="9"/>
      <c r="M4" s="8" t="s">
        <v>32</v>
      </c>
      <c r="N4" s="4">
        <v>1</v>
      </c>
      <c r="O4" s="9"/>
      <c r="P4" s="75" t="s">
        <v>37</v>
      </c>
      <c r="Q4" s="76"/>
      <c r="R4" s="75" t="s">
        <v>38</v>
      </c>
      <c r="S4" s="76"/>
      <c r="T4" s="75" t="s">
        <v>39</v>
      </c>
      <c r="U4" s="76"/>
      <c r="V4" s="46"/>
      <c r="W4" s="48" t="s">
        <v>76</v>
      </c>
      <c r="X4" s="8" t="s">
        <v>42</v>
      </c>
      <c r="Y4" s="17" t="s">
        <v>75</v>
      </c>
      <c r="Z4" s="8" t="s">
        <v>42</v>
      </c>
      <c r="AA4" s="17" t="s">
        <v>75</v>
      </c>
      <c r="AB4" s="8" t="s">
        <v>42</v>
      </c>
      <c r="AC4" s="17" t="s">
        <v>75</v>
      </c>
      <c r="AD4" s="50"/>
      <c r="AE4" s="8" t="s">
        <v>42</v>
      </c>
      <c r="AF4" s="17" t="s">
        <v>78</v>
      </c>
      <c r="AG4" s="43" t="s">
        <v>80</v>
      </c>
      <c r="AH4" s="4" t="s">
        <v>100</v>
      </c>
      <c r="AI4" s="50"/>
      <c r="AJ4" s="8" t="s">
        <v>42</v>
      </c>
      <c r="AK4" s="4" t="s">
        <v>108</v>
      </c>
    </row>
    <row r="5" spans="2:37" x14ac:dyDescent="0.3">
      <c r="B5" s="32" t="s">
        <v>92</v>
      </c>
      <c r="C5" t="str">
        <f>ShowEngineName()</f>
        <v>AQuA CB - Internal</v>
      </c>
      <c r="G5" s="5" t="s">
        <v>12</v>
      </c>
      <c r="H5" s="4" t="b">
        <v>1</v>
      </c>
      <c r="J5" s="5" t="s">
        <v>18</v>
      </c>
      <c r="K5" s="4">
        <v>10000</v>
      </c>
      <c r="L5" s="9"/>
      <c r="M5" s="8" t="s">
        <v>33</v>
      </c>
      <c r="N5" s="6" t="s">
        <v>34</v>
      </c>
      <c r="O5" s="9"/>
      <c r="P5" s="8" t="s">
        <v>32</v>
      </c>
      <c r="Q5" s="4">
        <v>0</v>
      </c>
      <c r="R5" s="8" t="s">
        <v>32</v>
      </c>
      <c r="S5" s="4">
        <v>1</v>
      </c>
      <c r="T5" s="8" t="s">
        <v>32</v>
      </c>
      <c r="U5" s="4">
        <v>1</v>
      </c>
      <c r="V5" s="46"/>
      <c r="W5" s="9"/>
      <c r="X5" s="24" t="s">
        <v>74</v>
      </c>
      <c r="Y5" s="38" t="b">
        <v>0</v>
      </c>
      <c r="Z5" s="24" t="s">
        <v>74</v>
      </c>
      <c r="AA5" s="38" t="b">
        <v>0</v>
      </c>
      <c r="AB5" s="8" t="s">
        <v>74</v>
      </c>
      <c r="AC5" s="17" t="b">
        <v>1</v>
      </c>
      <c r="AD5" s="50"/>
      <c r="AE5" s="24" t="s">
        <v>74</v>
      </c>
      <c r="AF5" s="38" t="b">
        <v>0</v>
      </c>
      <c r="AG5" s="45"/>
      <c r="AH5" s="53"/>
      <c r="AI5" s="50"/>
      <c r="AJ5" s="24" t="s">
        <v>74</v>
      </c>
      <c r="AK5" s="38" t="b">
        <v>0</v>
      </c>
    </row>
    <row r="6" spans="2:37" x14ac:dyDescent="0.3">
      <c r="B6" s="32" t="s">
        <v>91</v>
      </c>
      <c r="C6" t="str">
        <f>ShowEngineVersion()</f>
        <v>2024-06-12 18:43:39 1d3157b5</v>
      </c>
      <c r="G6" s="28" t="s">
        <v>13</v>
      </c>
      <c r="H6" s="30" t="b">
        <v>0</v>
      </c>
      <c r="J6" s="5" t="s">
        <v>19</v>
      </c>
      <c r="K6" s="4" t="s">
        <v>103</v>
      </c>
      <c r="L6" s="9"/>
      <c r="M6" s="3">
        <v>10800</v>
      </c>
      <c r="N6" s="4">
        <v>0.08</v>
      </c>
      <c r="O6" s="9"/>
      <c r="P6" s="8" t="s">
        <v>33</v>
      </c>
      <c r="Q6" s="6" t="s">
        <v>34</v>
      </c>
      <c r="R6" s="8" t="s">
        <v>33</v>
      </c>
      <c r="S6" s="6" t="s">
        <v>34</v>
      </c>
      <c r="T6" s="8" t="s">
        <v>33</v>
      </c>
      <c r="U6" s="6" t="s">
        <v>34</v>
      </c>
      <c r="V6" s="46"/>
      <c r="W6" s="9"/>
      <c r="X6" s="8" t="s">
        <v>43</v>
      </c>
      <c r="Y6" s="16">
        <v>45901</v>
      </c>
      <c r="Z6" s="8" t="s">
        <v>43</v>
      </c>
      <c r="AA6" s="16">
        <v>45901</v>
      </c>
      <c r="AB6" s="8" t="s">
        <v>43</v>
      </c>
      <c r="AC6" s="16">
        <v>45901</v>
      </c>
      <c r="AD6" s="50"/>
      <c r="AE6" s="8" t="s">
        <v>43</v>
      </c>
      <c r="AF6" s="16">
        <v>44819</v>
      </c>
      <c r="AG6" s="43" t="s">
        <v>82</v>
      </c>
      <c r="AH6" s="15">
        <f>AF6</f>
        <v>44819</v>
      </c>
      <c r="AI6" s="50"/>
      <c r="AJ6" s="8" t="s">
        <v>43</v>
      </c>
      <c r="AK6" s="16">
        <v>45901</v>
      </c>
    </row>
    <row r="7" spans="2:37" x14ac:dyDescent="0.3">
      <c r="B7" s="32" t="s">
        <v>64</v>
      </c>
      <c r="C7">
        <v>1.137</v>
      </c>
      <c r="G7" s="5" t="s">
        <v>107</v>
      </c>
      <c r="H7" s="4">
        <v>0</v>
      </c>
      <c r="J7" s="5" t="s">
        <v>20</v>
      </c>
      <c r="K7" s="4">
        <v>3</v>
      </c>
      <c r="L7" s="9"/>
      <c r="M7" s="3"/>
      <c r="N7" s="4"/>
      <c r="O7" s="9"/>
      <c r="P7" s="3"/>
      <c r="Q7" s="4"/>
      <c r="R7" s="3">
        <v>18000</v>
      </c>
      <c r="S7" s="4">
        <v>0.08</v>
      </c>
      <c r="T7" s="3">
        <v>18000</v>
      </c>
      <c r="U7" s="4">
        <v>0.05</v>
      </c>
      <c r="V7" s="46"/>
      <c r="W7" s="9"/>
      <c r="X7" s="8" t="s">
        <v>51</v>
      </c>
      <c r="Y7" s="15">
        <v>46905</v>
      </c>
      <c r="Z7" s="8" t="s">
        <v>51</v>
      </c>
      <c r="AA7" s="15">
        <v>46905</v>
      </c>
      <c r="AB7" s="8" t="s">
        <v>51</v>
      </c>
      <c r="AC7" s="15">
        <v>46905</v>
      </c>
      <c r="AD7" s="50"/>
      <c r="AE7" s="8" t="s">
        <v>51</v>
      </c>
      <c r="AF7" s="15">
        <f>K4</f>
        <v>46280</v>
      </c>
      <c r="AG7" s="43" t="s">
        <v>83</v>
      </c>
      <c r="AH7" s="15">
        <f>AF7</f>
        <v>46280</v>
      </c>
      <c r="AI7" s="50"/>
      <c r="AJ7" s="8" t="s">
        <v>51</v>
      </c>
      <c r="AK7" s="15">
        <v>46905</v>
      </c>
    </row>
    <row r="8" spans="2:37" ht="17.25" thickBot="1" x14ac:dyDescent="0.35">
      <c r="B8" s="32" t="s">
        <v>65</v>
      </c>
      <c r="G8" s="19" t="s">
        <v>14</v>
      </c>
      <c r="H8" s="7" t="b">
        <v>1</v>
      </c>
      <c r="J8" s="5" t="s">
        <v>102</v>
      </c>
      <c r="K8" s="4" t="s">
        <v>104</v>
      </c>
      <c r="L8" s="9"/>
      <c r="M8" s="3"/>
      <c r="N8" s="4"/>
      <c r="O8" s="9"/>
      <c r="P8" s="3"/>
      <c r="Q8" s="4"/>
      <c r="R8" s="3"/>
      <c r="S8" s="4"/>
      <c r="T8" s="3"/>
      <c r="U8" s="4"/>
      <c r="V8" s="46"/>
      <c r="W8" s="9"/>
      <c r="X8" s="8" t="s">
        <v>44</v>
      </c>
      <c r="Y8" s="17">
        <v>3</v>
      </c>
      <c r="Z8" s="8" t="s">
        <v>44</v>
      </c>
      <c r="AA8" s="4">
        <v>3</v>
      </c>
      <c r="AB8" s="8" t="s">
        <v>44</v>
      </c>
      <c r="AC8" s="17">
        <v>3</v>
      </c>
      <c r="AD8" s="50"/>
      <c r="AE8" s="8" t="s">
        <v>44</v>
      </c>
      <c r="AF8" s="17">
        <v>0</v>
      </c>
      <c r="AG8" s="43" t="s">
        <v>44</v>
      </c>
      <c r="AH8" s="4">
        <v>0</v>
      </c>
      <c r="AI8" s="50"/>
      <c r="AJ8" s="8" t="s">
        <v>44</v>
      </c>
      <c r="AK8" s="4">
        <v>3</v>
      </c>
    </row>
    <row r="9" spans="2:37" ht="17.25" thickBot="1" x14ac:dyDescent="0.35">
      <c r="B9" s="31"/>
      <c r="J9" s="5" t="s">
        <v>21</v>
      </c>
      <c r="K9" s="4">
        <v>0.08</v>
      </c>
      <c r="L9" s="9"/>
      <c r="M9" s="3"/>
      <c r="N9" s="4"/>
      <c r="O9" s="9"/>
      <c r="P9" s="3"/>
      <c r="Q9" s="4"/>
      <c r="R9" s="3"/>
      <c r="S9" s="4"/>
      <c r="T9" s="3"/>
      <c r="U9" s="4"/>
      <c r="V9" s="46"/>
      <c r="W9" s="9"/>
      <c r="X9" s="24" t="s">
        <v>66</v>
      </c>
      <c r="Y9" s="38">
        <v>1</v>
      </c>
      <c r="Z9" s="8" t="s">
        <v>66</v>
      </c>
      <c r="AA9" s="4">
        <v>0.3</v>
      </c>
      <c r="AB9" s="24" t="s">
        <v>66</v>
      </c>
      <c r="AC9" s="38">
        <v>1</v>
      </c>
      <c r="AD9" s="50"/>
      <c r="AE9" s="24" t="s">
        <v>66</v>
      </c>
      <c r="AF9" s="38">
        <v>1</v>
      </c>
      <c r="AG9" s="43" t="s">
        <v>84</v>
      </c>
      <c r="AH9" s="4">
        <v>120</v>
      </c>
      <c r="AI9" s="50"/>
      <c r="AJ9" s="24"/>
      <c r="AK9" s="51"/>
    </row>
    <row r="10" spans="2:37" ht="17.25" thickBot="1" x14ac:dyDescent="0.35">
      <c r="B10" s="63" t="s">
        <v>0</v>
      </c>
      <c r="C10" s="65"/>
      <c r="E10" s="63" t="s">
        <v>61</v>
      </c>
      <c r="F10" s="64"/>
      <c r="G10" s="64"/>
      <c r="H10" s="65"/>
      <c r="J10" s="5" t="s">
        <v>22</v>
      </c>
      <c r="K10" s="4">
        <v>1</v>
      </c>
      <c r="L10" s="9"/>
      <c r="M10" s="3"/>
      <c r="N10" s="4"/>
      <c r="O10" s="9"/>
      <c r="P10" s="3"/>
      <c r="Q10" s="4"/>
      <c r="R10" s="3"/>
      <c r="S10" s="4"/>
      <c r="T10" s="3"/>
      <c r="U10" s="4"/>
      <c r="V10" s="46"/>
      <c r="W10" s="9"/>
      <c r="X10" s="8" t="s">
        <v>45</v>
      </c>
      <c r="Y10" s="17">
        <v>1.1499999999999999</v>
      </c>
      <c r="Z10" s="8" t="s">
        <v>45</v>
      </c>
      <c r="AA10" s="4">
        <v>1.25</v>
      </c>
      <c r="AB10" s="8" t="s">
        <v>45</v>
      </c>
      <c r="AC10" s="17">
        <v>0.95</v>
      </c>
      <c r="AD10" s="50"/>
      <c r="AE10" s="24"/>
      <c r="AF10" s="38"/>
      <c r="AG10" s="43" t="s">
        <v>85</v>
      </c>
      <c r="AH10" s="4">
        <v>95</v>
      </c>
      <c r="AI10" s="50"/>
      <c r="AJ10" s="8" t="s">
        <v>45</v>
      </c>
      <c r="AK10" s="4">
        <v>1.2</v>
      </c>
    </row>
    <row r="11" spans="2:37" x14ac:dyDescent="0.3">
      <c r="B11" s="66" t="s">
        <v>8</v>
      </c>
      <c r="C11" s="67"/>
      <c r="D11" s="9"/>
      <c r="E11" s="25" t="s">
        <v>57</v>
      </c>
      <c r="F11" s="26" t="s">
        <v>58</v>
      </c>
      <c r="G11" s="26" t="s">
        <v>59</v>
      </c>
      <c r="H11" s="27" t="s">
        <v>60</v>
      </c>
      <c r="J11" s="5" t="s">
        <v>23</v>
      </c>
      <c r="K11" s="4">
        <v>0</v>
      </c>
      <c r="L11" s="9"/>
      <c r="M11" s="3"/>
      <c r="N11" s="4"/>
      <c r="O11" s="9"/>
      <c r="P11" s="3"/>
      <c r="Q11" s="4"/>
      <c r="R11" s="3"/>
      <c r="S11" s="4"/>
      <c r="T11" s="3"/>
      <c r="U11" s="4"/>
      <c r="V11" s="46"/>
      <c r="W11" s="9"/>
      <c r="X11" s="8" t="s">
        <v>46</v>
      </c>
      <c r="Y11" s="17">
        <v>0.03</v>
      </c>
      <c r="Z11" s="8" t="s">
        <v>46</v>
      </c>
      <c r="AA11" s="17">
        <v>0.03</v>
      </c>
      <c r="AB11" s="8" t="s">
        <v>46</v>
      </c>
      <c r="AC11" s="17">
        <v>0.03</v>
      </c>
      <c r="AD11" s="50"/>
      <c r="AE11" s="24"/>
      <c r="AF11" s="38"/>
      <c r="AG11" s="45"/>
      <c r="AH11" s="51"/>
      <c r="AI11" s="50"/>
      <c r="AJ11" s="8" t="s">
        <v>46</v>
      </c>
      <c r="AK11" s="4">
        <v>0.03</v>
      </c>
    </row>
    <row r="12" spans="2:37" x14ac:dyDescent="0.3">
      <c r="B12" s="20" t="s">
        <v>1</v>
      </c>
      <c r="C12" s="29">
        <v>11649.832173506151</v>
      </c>
      <c r="D12" s="9"/>
      <c r="E12" s="2">
        <v>44545</v>
      </c>
      <c r="F12" s="1">
        <v>0</v>
      </c>
      <c r="G12" s="1">
        <v>0</v>
      </c>
      <c r="H12" s="4">
        <v>0</v>
      </c>
      <c r="J12" s="5" t="s">
        <v>24</v>
      </c>
      <c r="K12" s="4" t="s">
        <v>101</v>
      </c>
      <c r="L12" s="9"/>
      <c r="M12" s="3"/>
      <c r="N12" s="4"/>
      <c r="O12" s="9"/>
      <c r="P12" s="3"/>
      <c r="Q12" s="4"/>
      <c r="R12" s="3"/>
      <c r="S12" s="4"/>
      <c r="T12" s="3"/>
      <c r="U12" s="4"/>
      <c r="V12" s="46"/>
      <c r="W12" s="9"/>
      <c r="X12" s="8" t="s">
        <v>50</v>
      </c>
      <c r="Y12" s="17" t="s">
        <v>77</v>
      </c>
      <c r="Z12" s="8" t="s">
        <v>50</v>
      </c>
      <c r="AA12" s="17" t="s">
        <v>77</v>
      </c>
      <c r="AB12" s="8" t="s">
        <v>50</v>
      </c>
      <c r="AC12" s="17" t="s">
        <v>77</v>
      </c>
      <c r="AD12" s="50"/>
      <c r="AE12" s="24"/>
      <c r="AF12" s="38"/>
      <c r="AG12" s="45"/>
      <c r="AH12" s="53"/>
      <c r="AI12" s="50"/>
      <c r="AJ12" s="8" t="s">
        <v>50</v>
      </c>
      <c r="AK12" s="4" t="s">
        <v>77</v>
      </c>
    </row>
    <row r="13" spans="2:37" x14ac:dyDescent="0.3">
      <c r="B13" s="20" t="s">
        <v>2</v>
      </c>
      <c r="C13" s="29">
        <v>11557.219543294324</v>
      </c>
      <c r="D13" s="9"/>
      <c r="E13" s="2">
        <v>44635</v>
      </c>
      <c r="F13" s="1">
        <v>0</v>
      </c>
      <c r="G13" s="1">
        <v>0</v>
      </c>
      <c r="H13" s="4">
        <v>0</v>
      </c>
      <c r="J13" s="5" t="s">
        <v>25</v>
      </c>
      <c r="K13" s="15">
        <v>44454</v>
      </c>
      <c r="L13" s="9"/>
      <c r="M13" s="3"/>
      <c r="N13" s="4"/>
      <c r="O13" s="9"/>
      <c r="P13" s="3"/>
      <c r="Q13" s="4"/>
      <c r="R13" s="3"/>
      <c r="S13" s="4"/>
      <c r="T13" s="3"/>
      <c r="U13" s="4"/>
      <c r="V13" s="46"/>
      <c r="W13" s="9"/>
      <c r="X13" s="24"/>
      <c r="Y13" s="38"/>
      <c r="Z13" s="24"/>
      <c r="AA13" s="38"/>
      <c r="AB13" s="24"/>
      <c r="AC13" s="38"/>
      <c r="AD13" s="50"/>
      <c r="AE13" s="8" t="s">
        <v>47</v>
      </c>
      <c r="AF13" s="17">
        <v>100</v>
      </c>
      <c r="AG13" s="45"/>
      <c r="AH13" s="51"/>
      <c r="AI13" s="50"/>
      <c r="AJ13" s="24"/>
      <c r="AK13" s="51"/>
    </row>
    <row r="14" spans="2:37" x14ac:dyDescent="0.3">
      <c r="B14" s="20" t="s">
        <v>3</v>
      </c>
      <c r="C14" s="29">
        <v>-43.56394264668495</v>
      </c>
      <c r="D14" s="9"/>
      <c r="E14" s="2">
        <v>44727</v>
      </c>
      <c r="F14" s="1">
        <v>0</v>
      </c>
      <c r="G14" s="1">
        <v>0</v>
      </c>
      <c r="H14" s="4">
        <v>0</v>
      </c>
      <c r="J14" s="5" t="s">
        <v>26</v>
      </c>
      <c r="K14" s="15">
        <v>46280</v>
      </c>
      <c r="L14" s="9"/>
      <c r="M14" s="3"/>
      <c r="N14" s="4"/>
      <c r="O14" s="9"/>
      <c r="P14" s="3"/>
      <c r="Q14" s="4"/>
      <c r="R14" s="3"/>
      <c r="S14" s="4"/>
      <c r="T14" s="3"/>
      <c r="U14" s="4"/>
      <c r="V14" s="46"/>
      <c r="W14" s="9"/>
      <c r="X14" s="24"/>
      <c r="Y14" s="38"/>
      <c r="Z14" s="24"/>
      <c r="AA14" s="38"/>
      <c r="AB14" s="24"/>
      <c r="AC14" s="38"/>
      <c r="AD14" s="50"/>
      <c r="AE14" s="8" t="s">
        <v>48</v>
      </c>
      <c r="AF14" s="17">
        <v>100</v>
      </c>
      <c r="AG14" s="54"/>
      <c r="AH14" s="51"/>
      <c r="AI14" s="50"/>
      <c r="AJ14" s="24"/>
      <c r="AK14" s="51"/>
    </row>
    <row r="15" spans="2:37" x14ac:dyDescent="0.3">
      <c r="B15" s="20" t="s">
        <v>63</v>
      </c>
      <c r="C15" s="29">
        <v>0</v>
      </c>
      <c r="D15" s="9"/>
      <c r="E15" s="2">
        <v>44819</v>
      </c>
      <c r="F15" s="1">
        <v>0</v>
      </c>
      <c r="G15" s="1">
        <v>0</v>
      </c>
      <c r="H15" s="4">
        <v>0</v>
      </c>
      <c r="J15" s="5" t="s">
        <v>27</v>
      </c>
      <c r="K15" s="4" t="b">
        <v>0</v>
      </c>
      <c r="L15" s="9"/>
      <c r="M15" s="3"/>
      <c r="N15" s="4"/>
      <c r="O15" s="9"/>
      <c r="P15" s="3"/>
      <c r="Q15" s="4"/>
      <c r="R15" s="3"/>
      <c r="S15" s="4"/>
      <c r="T15" s="3"/>
      <c r="U15" s="4"/>
      <c r="V15" s="46"/>
      <c r="W15" s="9"/>
      <c r="X15" s="24"/>
      <c r="Y15" s="38"/>
      <c r="Z15" s="24"/>
      <c r="AA15" s="38"/>
      <c r="AB15" s="24"/>
      <c r="AC15" s="38"/>
      <c r="AD15" s="50"/>
      <c r="AE15" s="8" t="s">
        <v>68</v>
      </c>
      <c r="AF15" s="17">
        <v>0</v>
      </c>
      <c r="AG15" s="54"/>
      <c r="AH15" s="51"/>
      <c r="AI15" s="50"/>
      <c r="AJ15" s="24"/>
      <c r="AK15" s="51"/>
    </row>
    <row r="16" spans="2:37" ht="16.5" customHeight="1" thickBot="1" x14ac:dyDescent="0.35">
      <c r="B16" s="20" t="s">
        <v>4</v>
      </c>
      <c r="C16" s="29">
        <v>0</v>
      </c>
      <c r="D16" s="9"/>
      <c r="E16" s="2">
        <v>44910</v>
      </c>
      <c r="F16" s="1">
        <v>0</v>
      </c>
      <c r="G16" s="1">
        <v>0</v>
      </c>
      <c r="H16" s="4">
        <v>0</v>
      </c>
      <c r="J16" s="33" t="s">
        <v>28</v>
      </c>
      <c r="K16" s="37">
        <v>8</v>
      </c>
      <c r="L16" s="9"/>
      <c r="M16" s="3"/>
      <c r="N16" s="4"/>
      <c r="O16" s="9"/>
      <c r="P16" s="3"/>
      <c r="Q16" s="4"/>
      <c r="R16" s="3"/>
      <c r="S16" s="4"/>
      <c r="T16" s="3"/>
      <c r="U16" s="4"/>
      <c r="V16" s="46"/>
      <c r="W16" s="9"/>
      <c r="X16" s="24"/>
      <c r="Y16" s="38"/>
      <c r="Z16" s="24"/>
      <c r="AA16" s="38"/>
      <c r="AB16" s="24"/>
      <c r="AC16" s="38"/>
      <c r="AD16" s="50"/>
      <c r="AE16" s="8" t="s">
        <v>49</v>
      </c>
      <c r="AF16" s="17">
        <v>0</v>
      </c>
      <c r="AG16" s="54"/>
      <c r="AH16" s="51"/>
      <c r="AI16" s="50"/>
      <c r="AJ16" s="24"/>
      <c r="AK16" s="51"/>
    </row>
    <row r="17" spans="2:39" ht="18" thickTop="1" thickBot="1" x14ac:dyDescent="0.35">
      <c r="B17" s="20" t="s">
        <v>5</v>
      </c>
      <c r="C17" s="29">
        <v>136.17657285852181</v>
      </c>
      <c r="D17" s="9"/>
      <c r="E17" s="2">
        <v>45000</v>
      </c>
      <c r="F17" s="1">
        <v>0</v>
      </c>
      <c r="G17" s="1">
        <v>0</v>
      </c>
      <c r="H17" s="4">
        <v>0</v>
      </c>
      <c r="J17" s="35" t="s">
        <v>29</v>
      </c>
      <c r="K17" s="36"/>
      <c r="L17" s="9"/>
      <c r="M17" s="3"/>
      <c r="N17" s="4"/>
      <c r="O17" s="9"/>
      <c r="P17" s="3"/>
      <c r="Q17" s="4"/>
      <c r="R17" s="3"/>
      <c r="S17" s="4"/>
      <c r="T17" s="3"/>
      <c r="U17" s="4"/>
      <c r="V17" s="46"/>
      <c r="W17" s="9"/>
      <c r="X17" s="8" t="s">
        <v>52</v>
      </c>
      <c r="Y17" s="17" t="b">
        <v>0</v>
      </c>
      <c r="Z17" s="8" t="s">
        <v>52</v>
      </c>
      <c r="AA17" s="17" t="b">
        <v>0</v>
      </c>
      <c r="AB17" s="8" t="s">
        <v>52</v>
      </c>
      <c r="AC17" s="17" t="b">
        <v>0</v>
      </c>
      <c r="AD17" s="50"/>
      <c r="AE17" s="8" t="s">
        <v>27</v>
      </c>
      <c r="AF17" s="17" t="b">
        <v>0</v>
      </c>
      <c r="AG17" s="55" t="s">
        <v>88</v>
      </c>
      <c r="AH17" s="17" t="b">
        <v>0</v>
      </c>
      <c r="AI17" s="50"/>
      <c r="AJ17" s="8" t="s">
        <v>52</v>
      </c>
      <c r="AK17" s="4" t="b">
        <v>0</v>
      </c>
    </row>
    <row r="18" spans="2:39" ht="17.25" thickBot="1" x14ac:dyDescent="0.35">
      <c r="B18" s="20" t="s">
        <v>93</v>
      </c>
      <c r="C18" s="29">
        <v>0</v>
      </c>
      <c r="D18" s="9"/>
      <c r="E18" s="2">
        <v>45092</v>
      </c>
      <c r="F18" s="1">
        <v>0</v>
      </c>
      <c r="G18" s="1">
        <v>0</v>
      </c>
      <c r="H18" s="4">
        <v>0</v>
      </c>
      <c r="J18" s="18"/>
      <c r="K18" s="16"/>
      <c r="L18" s="9"/>
      <c r="M18" s="3"/>
      <c r="N18" s="4"/>
      <c r="O18" s="9"/>
      <c r="P18" s="3"/>
      <c r="Q18" s="4"/>
      <c r="R18" s="3"/>
      <c r="S18" s="4"/>
      <c r="T18" s="3"/>
      <c r="U18" s="4"/>
      <c r="V18" s="46"/>
      <c r="W18" s="9"/>
      <c r="X18" s="34" t="s">
        <v>28</v>
      </c>
      <c r="Y18" s="39">
        <v>1</v>
      </c>
      <c r="Z18" s="34" t="s">
        <v>28</v>
      </c>
      <c r="AA18" s="39">
        <v>1</v>
      </c>
      <c r="AB18" s="34" t="s">
        <v>28</v>
      </c>
      <c r="AC18" s="39">
        <v>1</v>
      </c>
      <c r="AD18" s="50"/>
      <c r="AE18" s="34" t="s">
        <v>28</v>
      </c>
      <c r="AF18" s="37">
        <v>1</v>
      </c>
      <c r="AG18" s="56" t="s">
        <v>89</v>
      </c>
      <c r="AH18" s="58">
        <v>0</v>
      </c>
      <c r="AI18" s="50"/>
      <c r="AJ18" s="33" t="s">
        <v>28</v>
      </c>
      <c r="AK18" s="37">
        <v>1</v>
      </c>
    </row>
    <row r="19" spans="2:39" ht="17.25" thickTop="1" x14ac:dyDescent="0.3">
      <c r="B19" s="20" t="s">
        <v>6</v>
      </c>
      <c r="C19" s="29">
        <v>11616.498840172817</v>
      </c>
      <c r="D19" s="9"/>
      <c r="E19" s="2">
        <v>45184</v>
      </c>
      <c r="F19" s="1">
        <v>0</v>
      </c>
      <c r="G19" s="1">
        <v>0</v>
      </c>
      <c r="H19" s="4">
        <v>0</v>
      </c>
      <c r="J19" s="9"/>
      <c r="K19" s="16"/>
      <c r="L19" s="9"/>
      <c r="M19" s="3"/>
      <c r="N19" s="4"/>
      <c r="O19" s="9"/>
      <c r="P19" s="3"/>
      <c r="Q19" s="4"/>
      <c r="R19" s="3"/>
      <c r="S19" s="4"/>
      <c r="T19" s="3"/>
      <c r="U19" s="4"/>
      <c r="V19" s="46"/>
      <c r="W19" s="9"/>
      <c r="X19" s="10" t="s">
        <v>53</v>
      </c>
      <c r="Y19" s="40" t="s">
        <v>67</v>
      </c>
      <c r="Z19" s="10" t="s">
        <v>53</v>
      </c>
      <c r="AA19" s="40" t="s">
        <v>67</v>
      </c>
      <c r="AB19" s="10" t="s">
        <v>53</v>
      </c>
      <c r="AC19" s="40" t="s">
        <v>67</v>
      </c>
      <c r="AD19" s="50"/>
      <c r="AE19" s="10" t="s">
        <v>53</v>
      </c>
      <c r="AF19" s="42" t="s">
        <v>67</v>
      </c>
      <c r="AG19" s="57" t="s">
        <v>90</v>
      </c>
      <c r="AH19" s="52"/>
      <c r="AI19" s="50"/>
      <c r="AJ19" s="10" t="s">
        <v>53</v>
      </c>
      <c r="AK19" s="59" t="s">
        <v>67</v>
      </c>
    </row>
    <row r="20" spans="2:39" x14ac:dyDescent="0.3">
      <c r="B20" s="20" t="s">
        <v>95</v>
      </c>
      <c r="C20" s="29">
        <v>24.880953581972364</v>
      </c>
      <c r="D20" s="9"/>
      <c r="E20" s="2">
        <v>45275</v>
      </c>
      <c r="F20" s="1">
        <v>0</v>
      </c>
      <c r="G20" s="1">
        <v>0</v>
      </c>
      <c r="H20" s="4">
        <v>0</v>
      </c>
      <c r="J20" s="9"/>
      <c r="K20" s="16"/>
      <c r="L20" s="9"/>
      <c r="M20" s="3"/>
      <c r="N20" s="4"/>
      <c r="O20" s="9"/>
      <c r="P20" s="3"/>
      <c r="Q20" s="4"/>
      <c r="R20" s="3"/>
      <c r="S20" s="4"/>
      <c r="T20" s="3"/>
      <c r="U20" s="4"/>
      <c r="V20" s="46"/>
      <c r="W20" s="9"/>
      <c r="X20" s="2">
        <v>46265</v>
      </c>
      <c r="Y20" s="17">
        <v>1.5</v>
      </c>
      <c r="Z20" s="2">
        <v>46265</v>
      </c>
      <c r="AA20" s="17">
        <v>1.5</v>
      </c>
      <c r="AB20" s="2">
        <v>46265</v>
      </c>
      <c r="AC20" s="17">
        <v>0.8</v>
      </c>
      <c r="AD20" s="50"/>
      <c r="AE20" s="2">
        <v>46265</v>
      </c>
      <c r="AF20" s="38"/>
      <c r="AG20" s="44"/>
      <c r="AH20" s="51"/>
      <c r="AI20" s="50"/>
      <c r="AJ20" s="2">
        <v>46265</v>
      </c>
      <c r="AK20" s="4">
        <v>1.2</v>
      </c>
    </row>
    <row r="21" spans="2:39" x14ac:dyDescent="0.3">
      <c r="B21" s="20" t="s">
        <v>96</v>
      </c>
      <c r="C21" s="29">
        <v>4.041691396985156</v>
      </c>
      <c r="D21" s="9"/>
      <c r="E21" s="2">
        <v>45366</v>
      </c>
      <c r="F21" s="1">
        <v>0</v>
      </c>
      <c r="G21" s="1">
        <v>0</v>
      </c>
      <c r="H21" s="4">
        <v>0</v>
      </c>
      <c r="J21" s="9"/>
      <c r="K21" s="16"/>
      <c r="L21" s="9"/>
      <c r="M21" s="3"/>
      <c r="N21" s="4"/>
      <c r="O21" s="9"/>
      <c r="P21" s="3"/>
      <c r="Q21" s="4"/>
      <c r="R21" s="3"/>
      <c r="S21" s="4"/>
      <c r="T21" s="3"/>
      <c r="U21" s="4"/>
      <c r="V21" s="46"/>
      <c r="W21" s="9"/>
      <c r="X21" s="2"/>
      <c r="Y21" s="17"/>
      <c r="Z21" s="2"/>
      <c r="AA21" s="17"/>
      <c r="AB21" s="2"/>
      <c r="AC21" s="17"/>
      <c r="AD21" s="50"/>
      <c r="AE21" s="2"/>
      <c r="AF21" s="38"/>
      <c r="AG21" s="1"/>
      <c r="AH21" s="51"/>
      <c r="AI21" s="50"/>
      <c r="AJ21" s="2"/>
      <c r="AK21" s="4"/>
      <c r="AM21" t="s">
        <v>87</v>
      </c>
    </row>
    <row r="22" spans="2:39" x14ac:dyDescent="0.3">
      <c r="B22" s="20" t="s">
        <v>97</v>
      </c>
      <c r="C22" s="29">
        <v>795.80827786251973</v>
      </c>
      <c r="D22" s="9"/>
      <c r="E22" s="2">
        <v>45458</v>
      </c>
      <c r="F22" s="1">
        <v>0</v>
      </c>
      <c r="G22" s="1">
        <v>0</v>
      </c>
      <c r="H22" s="4">
        <v>0</v>
      </c>
      <c r="J22" s="9"/>
      <c r="K22" s="16"/>
      <c r="L22" s="9"/>
      <c r="M22" s="3"/>
      <c r="N22" s="4"/>
      <c r="O22" s="9"/>
      <c r="P22" s="3"/>
      <c r="Q22" s="4"/>
      <c r="R22" s="3"/>
      <c r="S22" s="4"/>
      <c r="T22" s="3"/>
      <c r="U22" s="4"/>
      <c r="V22" s="46"/>
      <c r="W22" s="9"/>
      <c r="X22" s="2"/>
      <c r="Y22" s="17"/>
      <c r="Z22" s="2"/>
      <c r="AA22" s="17"/>
      <c r="AB22" s="2"/>
      <c r="AC22" s="17"/>
      <c r="AD22" s="50"/>
      <c r="AE22" s="2"/>
      <c r="AF22" s="38"/>
      <c r="AG22" s="1"/>
      <c r="AH22" s="51"/>
      <c r="AI22" s="50"/>
      <c r="AJ22" s="2"/>
      <c r="AK22" s="4"/>
    </row>
    <row r="23" spans="2:39" x14ac:dyDescent="0.3">
      <c r="B23" s="20" t="s">
        <v>98</v>
      </c>
      <c r="C23" s="60">
        <v>8.0819583471361436E-2</v>
      </c>
      <c r="D23" s="9"/>
      <c r="E23" s="2">
        <v>45550</v>
      </c>
      <c r="F23" s="1">
        <v>0</v>
      </c>
      <c r="G23" s="1">
        <v>0</v>
      </c>
      <c r="H23" s="4">
        <v>0</v>
      </c>
      <c r="J23" s="9"/>
      <c r="K23" s="16"/>
      <c r="L23" s="9"/>
      <c r="M23" s="3"/>
      <c r="N23" s="4"/>
      <c r="O23" s="9"/>
      <c r="P23" s="3"/>
      <c r="Q23" s="4"/>
      <c r="R23" s="3"/>
      <c r="S23" s="4"/>
      <c r="T23" s="3"/>
      <c r="U23" s="4"/>
      <c r="V23" s="46"/>
      <c r="W23" s="9"/>
      <c r="X23" s="2"/>
      <c r="Y23" s="17"/>
      <c r="Z23" s="2"/>
      <c r="AA23" s="17"/>
      <c r="AB23" s="2"/>
      <c r="AC23" s="17"/>
      <c r="AD23" s="50"/>
      <c r="AE23" s="2"/>
      <c r="AF23" s="38"/>
      <c r="AG23" s="1"/>
      <c r="AH23" s="51"/>
      <c r="AI23" s="50"/>
      <c r="AJ23" s="2"/>
      <c r="AK23" s="4"/>
    </row>
    <row r="24" spans="2:39" x14ac:dyDescent="0.3">
      <c r="B24" s="20" t="s">
        <v>99</v>
      </c>
      <c r="C24" s="60">
        <v>-2.3318210326376747E-3</v>
      </c>
      <c r="D24" s="9"/>
      <c r="E24" s="2">
        <v>45641</v>
      </c>
      <c r="F24" s="1">
        <v>200</v>
      </c>
      <c r="G24" s="1">
        <v>0</v>
      </c>
      <c r="H24" s="4">
        <v>0.98348043533709306</v>
      </c>
      <c r="J24" s="9"/>
      <c r="K24" s="16"/>
      <c r="L24" s="9"/>
      <c r="M24" s="3"/>
      <c r="N24" s="4"/>
      <c r="O24" s="9"/>
      <c r="P24" s="3"/>
      <c r="Q24" s="4"/>
      <c r="R24" s="3"/>
      <c r="S24" s="4"/>
      <c r="T24" s="3"/>
      <c r="U24" s="4"/>
      <c r="V24" s="46"/>
      <c r="W24" s="9"/>
      <c r="X24" s="2"/>
      <c r="Y24" s="17"/>
      <c r="Z24" s="2"/>
      <c r="AA24" s="17"/>
      <c r="AB24" s="2"/>
      <c r="AC24" s="17"/>
      <c r="AD24" s="50"/>
      <c r="AE24" s="2"/>
      <c r="AF24" s="38"/>
      <c r="AG24" s="1"/>
      <c r="AH24" s="51"/>
      <c r="AI24" s="50"/>
      <c r="AJ24" s="2"/>
      <c r="AK24" s="4"/>
    </row>
    <row r="25" spans="2:39" x14ac:dyDescent="0.3">
      <c r="B25" s="20" t="s">
        <v>9</v>
      </c>
      <c r="C25" s="29">
        <v>1.8379782711384034</v>
      </c>
      <c r="D25" s="9"/>
      <c r="E25" s="2">
        <v>45731</v>
      </c>
      <c r="F25" s="1">
        <v>200</v>
      </c>
      <c r="G25" s="1">
        <v>0</v>
      </c>
      <c r="H25" s="4">
        <v>0.96427036541608857</v>
      </c>
      <c r="J25" s="9"/>
      <c r="K25" s="17"/>
      <c r="L25" s="9"/>
      <c r="M25" s="3"/>
      <c r="N25" s="4"/>
      <c r="O25" s="9"/>
      <c r="P25" s="3"/>
      <c r="Q25" s="4"/>
      <c r="R25" s="3"/>
      <c r="S25" s="4"/>
      <c r="T25" s="3"/>
      <c r="U25" s="4"/>
      <c r="V25" s="46"/>
      <c r="W25" s="9"/>
      <c r="X25" s="2"/>
      <c r="Y25" s="17"/>
      <c r="Z25" s="2"/>
      <c r="AA25" s="17"/>
      <c r="AB25" s="2"/>
      <c r="AC25" s="17"/>
      <c r="AD25" s="50"/>
      <c r="AE25" s="2"/>
      <c r="AF25" s="38"/>
      <c r="AG25" s="1"/>
      <c r="AH25" s="51"/>
      <c r="AI25" s="50"/>
      <c r="AJ25" s="2"/>
      <c r="AK25" s="4"/>
    </row>
    <row r="26" spans="2:39" x14ac:dyDescent="0.3">
      <c r="B26" s="20" t="s">
        <v>105</v>
      </c>
      <c r="C26" s="29">
        <v>1.7900432780393942</v>
      </c>
      <c r="D26" s="9"/>
      <c r="E26" s="2">
        <v>45823</v>
      </c>
      <c r="F26" s="1">
        <v>200</v>
      </c>
      <c r="G26" s="1">
        <v>0</v>
      </c>
      <c r="H26" s="4">
        <v>0.94502117417457088</v>
      </c>
      <c r="J26" s="9"/>
      <c r="K26" s="17"/>
      <c r="L26" s="9"/>
      <c r="M26" s="3"/>
      <c r="N26" s="4"/>
      <c r="O26" s="9"/>
      <c r="P26" s="3"/>
      <c r="Q26" s="4"/>
      <c r="R26" s="3"/>
      <c r="S26" s="4"/>
      <c r="T26" s="3"/>
      <c r="U26" s="4"/>
      <c r="V26" s="46"/>
      <c r="W26" s="9"/>
      <c r="X26" s="2"/>
      <c r="Y26" s="17"/>
      <c r="Z26" s="2"/>
      <c r="AA26" s="17"/>
      <c r="AB26" s="2"/>
      <c r="AC26" s="17"/>
      <c r="AD26" s="50"/>
      <c r="AE26" s="2"/>
      <c r="AF26" s="38"/>
      <c r="AG26" s="1"/>
      <c r="AH26" s="51"/>
      <c r="AI26" s="50"/>
      <c r="AJ26" s="2"/>
      <c r="AK26" s="4"/>
    </row>
    <row r="27" spans="2:39" x14ac:dyDescent="0.3">
      <c r="B27" s="20" t="s">
        <v>94</v>
      </c>
      <c r="C27" s="29">
        <v>1.826210916071108</v>
      </c>
      <c r="D27" s="9"/>
      <c r="E27" s="2">
        <v>45915</v>
      </c>
      <c r="F27" s="1">
        <v>200</v>
      </c>
      <c r="G27" s="1">
        <v>0</v>
      </c>
      <c r="H27" s="4">
        <v>0.92615624379675054</v>
      </c>
      <c r="J27" s="9"/>
      <c r="K27" s="17"/>
      <c r="L27" s="9"/>
      <c r="M27" s="3"/>
      <c r="N27" s="4"/>
      <c r="O27" s="9"/>
      <c r="P27" s="3"/>
      <c r="Q27" s="4"/>
      <c r="R27" s="3"/>
      <c r="S27" s="4"/>
      <c r="T27" s="3"/>
      <c r="U27" s="4"/>
      <c r="V27" s="46"/>
      <c r="W27" s="9"/>
      <c r="X27" s="2"/>
      <c r="Y27" s="17"/>
      <c r="Z27" s="2"/>
      <c r="AA27" s="17"/>
      <c r="AB27" s="2"/>
      <c r="AC27" s="17"/>
      <c r="AD27" s="50"/>
      <c r="AE27" s="2"/>
      <c r="AF27" s="38"/>
      <c r="AG27" s="1"/>
      <c r="AH27" s="51"/>
      <c r="AI27" s="50"/>
      <c r="AJ27" s="2"/>
      <c r="AK27" s="4"/>
    </row>
    <row r="28" spans="2:39" x14ac:dyDescent="0.3">
      <c r="B28" s="20" t="s">
        <v>106</v>
      </c>
      <c r="C28" s="29">
        <v>3.7866925019267157</v>
      </c>
      <c r="D28" s="9"/>
      <c r="E28" s="2">
        <v>46006</v>
      </c>
      <c r="F28" s="1">
        <v>200</v>
      </c>
      <c r="G28" s="1">
        <v>0</v>
      </c>
      <c r="H28" s="4">
        <v>0.90786686621111534</v>
      </c>
      <c r="J28" s="9"/>
      <c r="K28" s="17"/>
      <c r="L28" s="9"/>
      <c r="M28" s="3"/>
      <c r="N28" s="4"/>
      <c r="O28" s="9"/>
      <c r="P28" s="3"/>
      <c r="Q28" s="4"/>
      <c r="R28" s="3"/>
      <c r="S28" s="4"/>
      <c r="T28" s="3"/>
      <c r="U28" s="4"/>
      <c r="V28" s="46"/>
      <c r="W28" s="9"/>
      <c r="X28" s="2"/>
      <c r="Y28" s="17"/>
      <c r="Z28" s="2"/>
      <c r="AA28" s="17"/>
      <c r="AB28" s="2"/>
      <c r="AC28" s="17"/>
      <c r="AD28" s="50"/>
      <c r="AE28" s="2"/>
      <c r="AF28" s="38"/>
      <c r="AG28" s="1"/>
      <c r="AH28" s="51"/>
      <c r="AI28" s="50"/>
      <c r="AJ28" s="2"/>
      <c r="AK28" s="4"/>
    </row>
    <row r="29" spans="2:39" x14ac:dyDescent="0.3">
      <c r="B29" s="73" t="s">
        <v>7</v>
      </c>
      <c r="C29" s="74"/>
      <c r="D29" s="9"/>
      <c r="E29" s="2">
        <v>46096</v>
      </c>
      <c r="F29" s="1">
        <v>200</v>
      </c>
      <c r="G29" s="1">
        <v>0</v>
      </c>
      <c r="H29" s="4">
        <v>0.89013373665180595</v>
      </c>
      <c r="J29" s="9"/>
      <c r="K29" s="17"/>
      <c r="L29" s="9"/>
      <c r="M29" s="3"/>
      <c r="N29" s="4"/>
      <c r="O29" s="9"/>
      <c r="P29" s="3"/>
      <c r="Q29" s="4"/>
      <c r="R29" s="3"/>
      <c r="S29" s="4"/>
      <c r="T29" s="3"/>
      <c r="U29" s="4"/>
      <c r="V29" s="46"/>
      <c r="W29" s="9"/>
      <c r="X29" s="3"/>
      <c r="Y29" s="17"/>
      <c r="Z29" s="3"/>
      <c r="AA29" s="17"/>
      <c r="AB29" s="3"/>
      <c r="AC29" s="17"/>
      <c r="AD29" s="50"/>
      <c r="AE29" s="3"/>
      <c r="AF29" s="38"/>
      <c r="AG29" s="1"/>
      <c r="AH29" s="51"/>
      <c r="AI29" s="50"/>
      <c r="AJ29" s="3"/>
      <c r="AK29" s="4"/>
    </row>
    <row r="30" spans="2:39" x14ac:dyDescent="0.3">
      <c r="B30" s="20" t="s">
        <v>70</v>
      </c>
      <c r="C30" s="4">
        <v>0</v>
      </c>
      <c r="D30" s="9"/>
      <c r="E30" s="2">
        <v>46188</v>
      </c>
      <c r="F30" s="1">
        <v>200</v>
      </c>
      <c r="G30" s="1">
        <v>0</v>
      </c>
      <c r="H30" s="4">
        <v>0.87236449356203849</v>
      </c>
      <c r="J30" s="9"/>
      <c r="K30" s="17"/>
      <c r="L30" s="9"/>
      <c r="M30" s="3"/>
      <c r="N30" s="4"/>
      <c r="O30" s="9"/>
      <c r="P30" s="3"/>
      <c r="Q30" s="4"/>
      <c r="R30" s="3"/>
      <c r="S30" s="4"/>
      <c r="T30" s="3"/>
      <c r="U30" s="4"/>
      <c r="V30" s="46"/>
      <c r="W30" s="9"/>
      <c r="X30" s="3"/>
      <c r="Y30" s="17"/>
      <c r="Z30" s="3"/>
      <c r="AA30" s="17"/>
      <c r="AB30" s="3"/>
      <c r="AC30" s="17"/>
      <c r="AD30" s="50"/>
      <c r="AE30" s="3"/>
      <c r="AF30" s="38"/>
      <c r="AG30" s="1"/>
      <c r="AH30" s="51"/>
      <c r="AI30" s="50"/>
      <c r="AJ30" s="3"/>
      <c r="AK30" s="4"/>
    </row>
    <row r="31" spans="2:39" x14ac:dyDescent="0.3">
      <c r="B31" s="20" t="s">
        <v>71</v>
      </c>
      <c r="C31" s="4">
        <v>0</v>
      </c>
      <c r="D31" s="9"/>
      <c r="E31" s="2">
        <v>46280</v>
      </c>
      <c r="F31" s="1">
        <v>200</v>
      </c>
      <c r="G31" s="1">
        <v>0</v>
      </c>
      <c r="H31" s="4">
        <v>0.85494996795682665</v>
      </c>
      <c r="J31" s="9"/>
      <c r="K31" s="17"/>
      <c r="L31" s="9"/>
      <c r="M31" s="3"/>
      <c r="N31" s="4"/>
      <c r="O31" s="9"/>
      <c r="P31" s="3"/>
      <c r="Q31" s="4"/>
      <c r="R31" s="3"/>
      <c r="S31" s="4"/>
      <c r="T31" s="3"/>
      <c r="U31" s="4"/>
      <c r="V31" s="46"/>
      <c r="W31" s="9"/>
      <c r="X31" s="3"/>
      <c r="Y31" s="17"/>
      <c r="Z31" s="3"/>
      <c r="AA31" s="17"/>
      <c r="AB31" s="3"/>
      <c r="AC31" s="17"/>
      <c r="AD31" s="50"/>
      <c r="AE31" s="3"/>
      <c r="AF31" s="38"/>
      <c r="AG31" s="1"/>
      <c r="AH31" s="51"/>
      <c r="AI31" s="50"/>
      <c r="AJ31" s="3"/>
      <c r="AK31" s="4"/>
    </row>
    <row r="32" spans="2:39" x14ac:dyDescent="0.3">
      <c r="B32" s="20" t="s">
        <v>72</v>
      </c>
      <c r="C32" s="4">
        <v>0</v>
      </c>
      <c r="D32" s="9"/>
      <c r="E32" s="2">
        <v>46280</v>
      </c>
      <c r="F32" s="1">
        <v>0</v>
      </c>
      <c r="G32" s="1">
        <v>10000</v>
      </c>
      <c r="H32" s="4">
        <v>0.85494996795682665</v>
      </c>
      <c r="J32" s="9"/>
      <c r="K32" s="17"/>
      <c r="L32" s="9"/>
      <c r="M32" s="3"/>
      <c r="N32" s="4"/>
      <c r="O32" s="9"/>
      <c r="P32" s="3"/>
      <c r="Q32" s="4"/>
      <c r="R32" s="3"/>
      <c r="S32" s="4"/>
      <c r="T32" s="3"/>
      <c r="U32" s="4"/>
      <c r="V32" s="46"/>
      <c r="W32" s="9"/>
      <c r="X32" s="3"/>
      <c r="Y32" s="17"/>
      <c r="Z32" s="3"/>
      <c r="AA32" s="17"/>
      <c r="AB32" s="3"/>
      <c r="AC32" s="17"/>
      <c r="AD32" s="50"/>
      <c r="AE32" s="3"/>
      <c r="AF32" s="38"/>
      <c r="AG32" s="1"/>
      <c r="AH32" s="51"/>
      <c r="AI32" s="50"/>
      <c r="AJ32" s="3"/>
      <c r="AK32" s="4"/>
    </row>
    <row r="33" spans="2:37" ht="17.25" thickBot="1" x14ac:dyDescent="0.35">
      <c r="B33" s="21" t="s">
        <v>73</v>
      </c>
      <c r="C33" s="7">
        <v>0</v>
      </c>
      <c r="D33" s="9"/>
      <c r="E33" s="2"/>
      <c r="F33" s="1"/>
      <c r="G33" s="1"/>
      <c r="H33" s="4"/>
      <c r="J33" s="9"/>
      <c r="K33" s="17"/>
      <c r="L33" s="9"/>
      <c r="M33" s="3"/>
      <c r="N33" s="4"/>
      <c r="O33" s="9"/>
      <c r="P33" s="3"/>
      <c r="Q33" s="4"/>
      <c r="R33" s="3"/>
      <c r="S33" s="4"/>
      <c r="T33" s="3"/>
      <c r="U33" s="4"/>
      <c r="V33" s="46"/>
      <c r="W33" s="9"/>
      <c r="X33" s="3"/>
      <c r="Y33" s="17"/>
      <c r="Z33" s="3"/>
      <c r="AA33" s="17"/>
      <c r="AB33" s="3"/>
      <c r="AC33" s="17"/>
      <c r="AD33" s="50"/>
      <c r="AE33" s="3"/>
      <c r="AF33" s="38"/>
      <c r="AG33" s="1"/>
      <c r="AH33" s="51"/>
      <c r="AI33" s="50"/>
      <c r="AJ33" s="3"/>
      <c r="AK33" s="4"/>
    </row>
    <row r="34" spans="2:37" x14ac:dyDescent="0.3">
      <c r="D34" s="9"/>
      <c r="E34" s="2"/>
      <c r="F34" s="1"/>
      <c r="G34" s="1"/>
      <c r="H34" s="4"/>
      <c r="J34" s="9"/>
      <c r="K34" s="17"/>
      <c r="L34" s="9"/>
      <c r="M34" s="3"/>
      <c r="N34" s="4"/>
      <c r="O34" s="9"/>
      <c r="P34" s="3"/>
      <c r="Q34" s="4"/>
      <c r="R34" s="3"/>
      <c r="S34" s="4"/>
      <c r="T34" s="3"/>
      <c r="U34" s="4"/>
      <c r="V34" s="46"/>
      <c r="W34" s="9"/>
      <c r="X34" s="3"/>
      <c r="Y34" s="17"/>
      <c r="Z34" s="3"/>
      <c r="AA34" s="17"/>
      <c r="AB34" s="3"/>
      <c r="AC34" s="17"/>
      <c r="AD34" s="50"/>
      <c r="AE34" s="3"/>
      <c r="AF34" s="38"/>
      <c r="AG34" s="1"/>
      <c r="AH34" s="51"/>
      <c r="AI34" s="50"/>
      <c r="AJ34" s="3"/>
      <c r="AK34" s="4"/>
    </row>
    <row r="35" spans="2:37" x14ac:dyDescent="0.3">
      <c r="D35" s="9"/>
      <c r="E35" s="2"/>
      <c r="F35" s="1"/>
      <c r="G35" s="1"/>
      <c r="H35" s="4"/>
      <c r="J35" s="9"/>
      <c r="K35" s="17"/>
      <c r="L35" s="9"/>
      <c r="M35" s="3"/>
      <c r="N35" s="4"/>
      <c r="O35" s="9"/>
      <c r="P35" s="3"/>
      <c r="Q35" s="4"/>
      <c r="R35" s="3"/>
      <c r="S35" s="4"/>
      <c r="T35" s="3"/>
      <c r="U35" s="4"/>
      <c r="V35" s="46"/>
      <c r="W35" s="9"/>
      <c r="X35" s="3"/>
      <c r="Y35" s="17"/>
      <c r="Z35" s="3"/>
      <c r="AA35" s="17"/>
      <c r="AB35" s="3"/>
      <c r="AC35" s="17"/>
      <c r="AD35" s="50"/>
      <c r="AE35" s="3"/>
      <c r="AF35" s="38"/>
      <c r="AG35" s="1"/>
      <c r="AH35" s="51"/>
      <c r="AI35" s="50"/>
      <c r="AJ35" s="3"/>
      <c r="AK35" s="4"/>
    </row>
    <row r="36" spans="2:37" x14ac:dyDescent="0.3">
      <c r="D36" s="9"/>
      <c r="E36" s="2"/>
      <c r="F36" s="1"/>
      <c r="G36" s="1"/>
      <c r="H36" s="4"/>
      <c r="J36" s="9"/>
      <c r="K36" s="17"/>
      <c r="L36" s="9"/>
      <c r="M36" s="3"/>
      <c r="N36" s="4"/>
      <c r="O36" s="9"/>
      <c r="P36" s="3"/>
      <c r="Q36" s="4"/>
      <c r="R36" s="3"/>
      <c r="S36" s="4"/>
      <c r="T36" s="3"/>
      <c r="U36" s="4"/>
      <c r="V36" s="46"/>
      <c r="W36" s="9"/>
      <c r="X36" s="3"/>
      <c r="Y36" s="17"/>
      <c r="Z36" s="3"/>
      <c r="AA36" s="17"/>
      <c r="AB36" s="3"/>
      <c r="AC36" s="17"/>
      <c r="AD36" s="50"/>
      <c r="AE36" s="3"/>
      <c r="AF36" s="38"/>
      <c r="AG36" s="1"/>
      <c r="AH36" s="51"/>
      <c r="AI36" s="50"/>
      <c r="AJ36" s="3"/>
      <c r="AK36" s="4"/>
    </row>
    <row r="37" spans="2:37" x14ac:dyDescent="0.3">
      <c r="D37" s="9"/>
      <c r="E37" s="2"/>
      <c r="F37" s="1"/>
      <c r="G37" s="1"/>
      <c r="H37" s="4"/>
      <c r="J37" s="9"/>
      <c r="K37" s="17"/>
      <c r="L37" s="9"/>
      <c r="M37" s="3"/>
      <c r="N37" s="4"/>
      <c r="O37" s="9"/>
      <c r="P37" s="3"/>
      <c r="Q37" s="4"/>
      <c r="R37" s="3"/>
      <c r="S37" s="4"/>
      <c r="T37" s="3"/>
      <c r="U37" s="4"/>
      <c r="V37" s="46"/>
      <c r="W37" s="9"/>
      <c r="X37" s="3"/>
      <c r="Y37" s="17"/>
      <c r="Z37" s="3"/>
      <c r="AA37" s="17"/>
      <c r="AB37" s="3"/>
      <c r="AC37" s="17"/>
      <c r="AD37" s="50"/>
      <c r="AE37" s="3"/>
      <c r="AF37" s="38"/>
      <c r="AG37" s="1"/>
      <c r="AH37" s="51"/>
      <c r="AI37" s="50"/>
      <c r="AJ37" s="3"/>
      <c r="AK37" s="4"/>
    </row>
    <row r="38" spans="2:37" x14ac:dyDescent="0.3">
      <c r="D38" s="9"/>
      <c r="E38" s="2"/>
      <c r="F38" s="1"/>
      <c r="G38" s="1"/>
      <c r="H38" s="4"/>
      <c r="J38" s="9"/>
      <c r="K38" s="17"/>
      <c r="V38" s="46"/>
    </row>
    <row r="39" spans="2:37" x14ac:dyDescent="0.3">
      <c r="E39" s="41"/>
      <c r="V39" s="46"/>
    </row>
    <row r="40" spans="2:37" x14ac:dyDescent="0.3">
      <c r="E40" s="41"/>
    </row>
    <row r="41" spans="2:37" x14ac:dyDescent="0.3">
      <c r="E41" s="41"/>
    </row>
    <row r="42" spans="2:37" x14ac:dyDescent="0.3">
      <c r="E42" s="41"/>
    </row>
    <row r="43" spans="2:37" x14ac:dyDescent="0.3">
      <c r="E43" s="41"/>
    </row>
    <row r="44" spans="2:37" x14ac:dyDescent="0.3">
      <c r="E44" s="41"/>
    </row>
    <row r="45" spans="2:37" x14ac:dyDescent="0.3">
      <c r="E45" s="41"/>
    </row>
    <row r="46" spans="2:37" x14ac:dyDescent="0.3">
      <c r="E46" s="41"/>
    </row>
    <row r="47" spans="2:37" x14ac:dyDescent="0.3">
      <c r="E47" s="41"/>
    </row>
    <row r="48" spans="2:37" x14ac:dyDescent="0.3">
      <c r="E48" s="41"/>
    </row>
    <row r="49" spans="5:5" x14ac:dyDescent="0.3">
      <c r="E49" s="41"/>
    </row>
    <row r="50" spans="5:5" x14ac:dyDescent="0.3">
      <c r="E50" s="41"/>
    </row>
    <row r="51" spans="5:5" x14ac:dyDescent="0.3">
      <c r="E51" s="41"/>
    </row>
    <row r="52" spans="5:5" x14ac:dyDescent="0.3">
      <c r="E52" s="41"/>
    </row>
    <row r="53" spans="5:5" x14ac:dyDescent="0.3">
      <c r="E53" s="41"/>
    </row>
    <row r="54" spans="5:5" x14ac:dyDescent="0.3">
      <c r="E54" s="41"/>
    </row>
    <row r="55" spans="5:5" x14ac:dyDescent="0.3">
      <c r="E55" s="41"/>
    </row>
    <row r="56" spans="5:5" x14ac:dyDescent="0.3">
      <c r="E56" s="41"/>
    </row>
    <row r="57" spans="5:5" x14ac:dyDescent="0.3">
      <c r="E57" s="41"/>
    </row>
    <row r="58" spans="5:5" x14ac:dyDescent="0.3">
      <c r="E58" s="41"/>
    </row>
    <row r="59" spans="5:5" x14ac:dyDescent="0.3">
      <c r="E59" s="41"/>
    </row>
    <row r="60" spans="5:5" x14ac:dyDescent="0.3">
      <c r="E60" s="41"/>
    </row>
    <row r="61" spans="5:5" x14ac:dyDescent="0.3">
      <c r="E61" s="41"/>
    </row>
    <row r="62" spans="5:5" x14ac:dyDescent="0.3">
      <c r="E62" s="41"/>
    </row>
    <row r="63" spans="5:5" x14ac:dyDescent="0.3">
      <c r="E63" s="41"/>
    </row>
    <row r="64" spans="5:5" x14ac:dyDescent="0.3">
      <c r="E64" s="41"/>
    </row>
    <row r="65" spans="5:5" x14ac:dyDescent="0.3">
      <c r="E65" s="41"/>
    </row>
    <row r="66" spans="5:5" x14ac:dyDescent="0.3">
      <c r="E66" s="41"/>
    </row>
    <row r="67" spans="5:5" x14ac:dyDescent="0.3">
      <c r="E67" s="41"/>
    </row>
    <row r="68" spans="5:5" x14ac:dyDescent="0.3">
      <c r="E68" s="41"/>
    </row>
    <row r="69" spans="5:5" x14ac:dyDescent="0.3">
      <c r="E69" s="41"/>
    </row>
    <row r="70" spans="5:5" x14ac:dyDescent="0.3">
      <c r="E70" s="41"/>
    </row>
    <row r="71" spans="5:5" x14ac:dyDescent="0.3">
      <c r="E71" s="41"/>
    </row>
  </sheetData>
  <dataConsolidate/>
  <mergeCells count="18">
    <mergeCell ref="B29:C29"/>
    <mergeCell ref="T4:U4"/>
    <mergeCell ref="R4:S4"/>
    <mergeCell ref="P2:U2"/>
    <mergeCell ref="J2:K2"/>
    <mergeCell ref="M2:N2"/>
    <mergeCell ref="P4:Q4"/>
    <mergeCell ref="AJ3:AK3"/>
    <mergeCell ref="E10:H10"/>
    <mergeCell ref="B11:C11"/>
    <mergeCell ref="B10:C10"/>
    <mergeCell ref="G2:H2"/>
    <mergeCell ref="AG3:AH3"/>
    <mergeCell ref="X3:Y3"/>
    <mergeCell ref="Z3:AA3"/>
    <mergeCell ref="AB3:AC3"/>
    <mergeCell ref="AE3:AF3"/>
    <mergeCell ref="X2:AK2"/>
  </mergeCells>
  <phoneticPr fontId="1" type="noConversion"/>
  <dataValidations count="12">
    <dataValidation type="list" allowBlank="1" showInputMessage="1" showErrorMessage="1" sqref="Y4 AA4 AC4 AF4 AK4">
      <formula1>"0 None,1 European,2 American,3 Bermudan"</formula1>
    </dataValidation>
    <dataValidation type="list" allowBlank="1" showInputMessage="1" showErrorMessage="1" sqref="Y12 AA12 AC12 AK12">
      <formula1>"0 payAmount,1 payRate"</formula1>
    </dataValidation>
    <dataValidation type="list" allowBlank="1" showInputMessage="1" showErrorMessage="1" sqref="K6">
      <formula1>"0 Fixed,1 Floating"</formula1>
    </dataValidation>
    <dataValidation type="list" allowBlank="1" showInputMessage="1" showErrorMessage="1" sqref="K12">
      <formula1>"0 rdmptAmount,1 sureRate"</formula1>
    </dataValidation>
    <dataValidation type="list" allowBlank="1" showInputMessage="1" showErrorMessage="1" sqref="K15 AC5 AH17 AA17 Y17 AC17 AF17 AK17 H5:H6 H8">
      <formula1>"TRUE,FALSE"</formula1>
    </dataValidation>
    <dataValidation type="list" allowBlank="1" showInputMessage="1" showErrorMessage="1" sqref="W4">
      <formula1>"0 Put/Conv우선,1 Call우선"</formula1>
    </dataValidation>
    <dataValidation type="list" allowBlank="1" showDropDown="1" showInputMessage="1" showErrorMessage="1" sqref="Y5 AA5 AF5 AK5">
      <formula1>"FALSE"</formula1>
    </dataValidation>
    <dataValidation type="decimal" operator="equal" allowBlank="1" showInputMessage="1" showErrorMessage="1" sqref="Y9 AC9 AF9 AK9">
      <formula1>1</formula1>
    </dataValidation>
    <dataValidation type="whole" allowBlank="1" showInputMessage="1" showErrorMessage="1" sqref="H4">
      <formula1>1</formula1>
      <formula2>180</formula2>
    </dataValidation>
    <dataValidation type="list" allowBlank="1" showInputMessage="1" showErrorMessage="1" sqref="AH4">
      <formula1>"0 X,1 하향,2 상하향"</formula1>
    </dataValidation>
    <dataValidation type="list" allowBlank="1" showInputMessage="1" showErrorMessage="1" sqref="K8">
      <formula1>"0 Discrete,1 Continuous"</formula1>
    </dataValidation>
    <dataValidation type="whole" operator="greaterThanOrEqual" allowBlank="1" showInputMessage="1" showErrorMessage="1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alc">
                <anchor moveWithCells="1" sizeWithCells="1">
                  <from>
                    <xdr:col>2</xdr:col>
                    <xdr:colOff>485775</xdr:colOff>
                    <xdr:row>1</xdr:row>
                    <xdr:rowOff>0</xdr:rowOff>
                  </from>
                  <to>
                    <xdr:col>5</xdr:col>
                    <xdr:colOff>619125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9</vt:i4>
      </vt:variant>
    </vt:vector>
  </HeadingPairs>
  <TitlesOfParts>
    <vt:vector size="10" baseType="lpstr">
      <vt:lpstr>AQuA CB</vt:lpstr>
      <vt:lpstr>BondInfo</vt:lpstr>
      <vt:lpstr>EngineInfo</vt:lpstr>
      <vt:lpstr>ExerciseInfo</vt:lpstr>
      <vt:lpstr>IndexInfo</vt:lpstr>
      <vt:lpstr>OptionInfo</vt:lpstr>
      <vt:lpstr>ParamInfo</vt:lpstr>
      <vt:lpstr>ResultCashflow</vt:lpstr>
      <vt:lpstr>ResultInfo</vt:lpstr>
      <vt:lpstr>ValuationInfo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다.하승우</dc:creator>
  <cp:lastModifiedBy>다.채동우</cp:lastModifiedBy>
  <cp:lastPrinted>2023-09-19T16:53:50Z</cp:lastPrinted>
  <dcterms:created xsi:type="dcterms:W3CDTF">2023-09-13T07:45:01Z</dcterms:created>
  <dcterms:modified xsi:type="dcterms:W3CDTF">2024-09-04T07:16:01Z</dcterms:modified>
</cp:coreProperties>
</file>